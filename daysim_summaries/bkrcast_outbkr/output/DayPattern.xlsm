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date1904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2018baseyear\BKR0V1-02\daysim_summaries\bkrcast_outbkr\output\"/>
    </mc:Choice>
  </mc:AlternateContent>
  <xr:revisionPtr revIDLastSave="0" documentId="13_ncr:1_{C70FF5C7-FEA8-42F1-8069-43063015E85F}" xr6:coauthVersionLast="41" xr6:coauthVersionMax="41" xr10:uidLastSave="{00000000-0000-0000-0000-000000000000}"/>
  <bookViews>
    <workbookView xWindow="25440" yWindow="1950" windowWidth="18900" windowHeight="11055" tabRatio="884" xr2:uid="{00000000-000D-0000-FFFF-FFFF00000000}"/>
  </bookViews>
  <sheets>
    <sheet name="Summary" sheetId="16" r:id="rId1"/>
    <sheet name="NumberOfTours" sheetId="1" r:id="rId2"/>
    <sheet name="TourStopCombos" sheetId="3" r:id="rId3"/>
    <sheet name="Tours&amp;StopsByPurpose" sheetId="2" r:id="rId4"/>
    <sheet name="ExactToursByPurpose (if&gt;0)" sheetId="6" r:id="rId5"/>
    <sheet name="ExactToursByPurpose" sheetId="15" r:id="rId6"/>
    <sheet name="ExactSubtours" sheetId="13" r:id="rId7"/>
    <sheet name="StopsByTourPurpose" sheetId="9" r:id="rId8"/>
    <sheet name="ToursByTourPurpose" sheetId="10" r:id="rId9"/>
    <sheet name="StopsByStopPurpose" sheetId="11" r:id="rId10"/>
    <sheet name="TripsByDestinationPurpose" sheetId="12" r:id="rId11"/>
    <sheet name="output" sheetId="20" r:id="rId12"/>
    <sheet name="output_NHTS" sheetId="21" r:id="rId13"/>
    <sheet name="CoeffDef" sheetId="22" r:id="rId14"/>
    <sheet name="DayPatternCoefficients" sheetId="23" r:id="rId15"/>
    <sheet name="WorkbasedSubtourGenerationCoeff" sheetId="25" r:id="rId16"/>
    <sheet name="calibration" sheetId="24" r:id="rId17"/>
  </sheets>
  <definedNames>
    <definedName name="dpout1">output!$O$4:$V$8</definedName>
    <definedName name="dpout10">output!$O$80:$V$84</definedName>
    <definedName name="dpout11">output!$O$87:$V$91</definedName>
    <definedName name="dpout12">output!$O$94:$V$98</definedName>
    <definedName name="dpout13">output!$O$101:$V$105</definedName>
    <definedName name="dpout14">output!$O$108:$V$112</definedName>
    <definedName name="dpout15">output!$O$115:$V$119</definedName>
    <definedName name="dpout16">output!$O$122:$V$126</definedName>
    <definedName name="dpout17">output!$O$129:$P$133</definedName>
    <definedName name="dpout18">output!$O$136:$P$143</definedName>
    <definedName name="dpout19">output!$O$148:$U$155</definedName>
    <definedName name="dpout2">output!$O$11:$V$24</definedName>
    <definedName name="dpout20">output!$O$158:$U$165</definedName>
    <definedName name="dpout21">output!$O$168:$U$175</definedName>
    <definedName name="dpout22">output!$O$178:$V$186</definedName>
    <definedName name="dpout23">output!$O$189:$R$197</definedName>
    <definedName name="dpout24">output!$O$200:$R$208</definedName>
    <definedName name="dpout25">output!$O$211:$R$219</definedName>
    <definedName name="dpout26">output!$O$222:$V$229</definedName>
    <definedName name="dpout27">output!$O$232:$R$239</definedName>
    <definedName name="dpout28">output!$O$242:$R$249</definedName>
    <definedName name="dpout29">output!$O$252:$R$259</definedName>
    <definedName name="dpout3">output!$O$29:$V$33</definedName>
    <definedName name="dpout30">output!$O$262:$V$270</definedName>
    <definedName name="dpout31">output!$O$273:$R$281</definedName>
    <definedName name="dpout32">output!$O$284:$R$292</definedName>
    <definedName name="dpout33">output!$O$295:$R$303</definedName>
    <definedName name="dpout34">output!$O$306:$O$314</definedName>
    <definedName name="dpout35">output!$O$317:$O$321</definedName>
    <definedName name="dpout36">output!$O$324:$O$328</definedName>
    <definedName name="dpout37">output!$O$331:$O$335</definedName>
    <definedName name="dpout4">output!$O$36:$V$40</definedName>
    <definedName name="dpout5">output!$O$43:$V$47</definedName>
    <definedName name="dpout6">output!$O$50:$V$54</definedName>
    <definedName name="dpout7">output!$O$57:$V$61</definedName>
    <definedName name="dpout8">output!$O$64:$V$68</definedName>
    <definedName name="dpout9">output!$O$71:$V$75</definedName>
    <definedName name="out_1">output_NHTS!$O$262:$V$269</definedName>
    <definedName name="out_10">output!$O$168:$U$174</definedName>
    <definedName name="out_11">output_NHTS!$O$178:$V$185</definedName>
    <definedName name="out_12">output!$O$178:$V$185</definedName>
    <definedName name="out_13">output_NHTS!$O$189:$R$196</definedName>
    <definedName name="out_14">output!$O$189:$R$196</definedName>
    <definedName name="out_15">output_NHTS!$O$200:$R$207</definedName>
    <definedName name="out_16">output!$O$200:$R$207</definedName>
    <definedName name="out_17">output_NHTS!$O$211:$U$218</definedName>
    <definedName name="out_18">output!$O$211:$U$218</definedName>
    <definedName name="out_19">output_NHTS!$O$80:$V$83</definedName>
    <definedName name="out_2">output!$O$262:$V$269</definedName>
    <definedName name="out_20">output!$O$80:$V$83</definedName>
    <definedName name="out_21">output_NHTS!$O$87:$V$90</definedName>
    <definedName name="out_22">output!$O$87:$V$90</definedName>
    <definedName name="out_23">output_NHTS!$O$94:$V$97</definedName>
    <definedName name="out_24">output!$O$94:$V$97</definedName>
    <definedName name="out_25">output_NHTS!$O$101:$V$104</definedName>
    <definedName name="out_26">output!$O$101:$V$104</definedName>
    <definedName name="out_27">output_NHTS!$O$108:$V$111</definedName>
    <definedName name="out_28">output!$O$108:$V$111</definedName>
    <definedName name="out_29">output_NHTS!$O$115:$V$118</definedName>
    <definedName name="out_3">output_NHTS!$O$273:$R$280</definedName>
    <definedName name="out_30">output!$O$115:$V$118</definedName>
    <definedName name="out_31">output_NHTS!$O$122:$V$125</definedName>
    <definedName name="out_32">output!$O$122:$V$125</definedName>
    <definedName name="out_33">output_NHTS!$O$222:$V$222</definedName>
    <definedName name="out_34">output!$O$222:$V$222</definedName>
    <definedName name="out_35">output_NHTS!$O$223:$V$223</definedName>
    <definedName name="out_36">output!$O$223:$V$223</definedName>
    <definedName name="out_37">output_NHTS!$O$224:$V$224</definedName>
    <definedName name="out_38">output!$O$224:$V$224</definedName>
    <definedName name="out_39">output_NHTS!$O$225:$V$225</definedName>
    <definedName name="out_4">output!$O$273:$R$280</definedName>
    <definedName name="out_40">output!$O$225:$V$225</definedName>
    <definedName name="out_41">output_NHTS!$O$226:$V$226</definedName>
    <definedName name="out_42">output!$O$226:$V$226</definedName>
    <definedName name="out_43">output_NHTS!$O$227:$V$227</definedName>
    <definedName name="out_44">output!$O$227:$V$227</definedName>
    <definedName name="out_45">output_NHTS!$O$228:$V$228</definedName>
    <definedName name="out_46">output!$O$228:$V$228</definedName>
    <definedName name="out_47">output_NHTS!$O$232:$R$232</definedName>
    <definedName name="out_48">output!$O$232:$R$232</definedName>
    <definedName name="out_49">output_NHTS!$O$233:$R$233</definedName>
    <definedName name="out_5">output_NHTS!$O$284:$R$291</definedName>
    <definedName name="out_50">output!$O$233:$R$233</definedName>
    <definedName name="out_51">output_NHTS!$O$234:$R$234</definedName>
    <definedName name="out_52">output!$O$234:$R$234</definedName>
    <definedName name="out_53">output_NHTS!$O$235:$R$235</definedName>
    <definedName name="out_54">output!$O$235:$R$235</definedName>
    <definedName name="out_55">output_NHTS!$O$236:$R$236</definedName>
    <definedName name="out_56">output!$O$236:$R$236</definedName>
    <definedName name="out_57">output_NHTS!$O$237:$R$237</definedName>
    <definedName name="out_58">output!$O$237:$R$237</definedName>
    <definedName name="out_59">output_NHTS!$O$238:$R$238</definedName>
    <definedName name="out_6">output!$O$284:$R$291</definedName>
    <definedName name="out_60">output!$O$238:$R$238</definedName>
    <definedName name="out_61">output_NHTS!$O$242:$R$242</definedName>
    <definedName name="out_62">output!$O$242:$R$242</definedName>
    <definedName name="out_63">output_NHTS!$O$243:$R$243</definedName>
    <definedName name="out_64">output!$O$243:$R$243</definedName>
    <definedName name="out_65">output_NHTS!$O$244:$R$244</definedName>
    <definedName name="out_66">output!$O$244:$R$244</definedName>
    <definedName name="out_67">output_NHTS!$O$245:$R$245</definedName>
    <definedName name="out_68">output!$O$245:$R$245</definedName>
    <definedName name="out_69">output_NHTS!$O$246:$R$246</definedName>
    <definedName name="out_7">output_NHTS!$O$295:$U$302</definedName>
    <definedName name="out_70">output!$O$246:$R$246</definedName>
    <definedName name="out_71">output_NHTS!$O$247:$R$247</definedName>
    <definedName name="out_72">output!$O$247:$R$247</definedName>
    <definedName name="out_73">output_NHTS!$O$248:$R$248</definedName>
    <definedName name="out_74">output!$O$248:$R$248</definedName>
    <definedName name="out_75">output_NHTS!$O$252:$U$252</definedName>
    <definedName name="out_76">output!$O$252:$U$252</definedName>
    <definedName name="out_77">output_NHTS!$O$253:$U$253</definedName>
    <definedName name="out_78">output!$O$253:$U$253</definedName>
    <definedName name="out_79">output_NHTS!$O$254:$U$254</definedName>
    <definedName name="out_8">output!$O$295:$U$302</definedName>
    <definedName name="out_80">output!$O$254:$U$254</definedName>
    <definedName name="out_81">output_NHTS!$O$255:$U$255</definedName>
    <definedName name="out_82">output!$O$255:$U$255</definedName>
    <definedName name="out_83">output_NHTS!$O$256:$U$256</definedName>
    <definedName name="out_84">output!$O$256:$U$256</definedName>
    <definedName name="out_85">output_NHTS!$O$257:$U$257</definedName>
    <definedName name="out_86">output!$O$257:$U$257</definedName>
    <definedName name="out_87">output_NHTS!$O$258:$U$258</definedName>
    <definedName name="out_88">output!$O$258:$U$258</definedName>
    <definedName name="out_89">output_NHTS!$O$306:$O$313</definedName>
    <definedName name="out_9">output_NHTS!$O$168:$U$174</definedName>
    <definedName name="out_90">output!$O$306:$O$313</definedName>
    <definedName name="out_91">output_NHTS!$O$317:$O$320</definedName>
    <definedName name="out_92">output!$O$317:$O$320</definedName>
    <definedName name="out_93">output_NHTS!$O$324:$O$327</definedName>
    <definedName name="out_94">output!$O$324:$O$327</definedName>
    <definedName name="out_95">output_NHTS!$O$331:$O$337</definedName>
    <definedName name="out_96">output!$O$331:$O$337</definedName>
    <definedName name="out1">output_NHTS!$O$262:$V$269</definedName>
    <definedName name="out10">output!$O$168:$U$174</definedName>
    <definedName name="out11">output_NHTS!$O$178:$V$185</definedName>
    <definedName name="out12">output!$O$178:$V$185</definedName>
    <definedName name="out13">output_NHTS!$O$189:$R$196</definedName>
    <definedName name="out14">output!$O$189:$R$196</definedName>
    <definedName name="out15">output_NHTS!$O$200:$R$207</definedName>
    <definedName name="out16">output!$O$200:$R$207</definedName>
    <definedName name="out17">output_NHTS!$O$211:$U$218</definedName>
    <definedName name="out18">output!$O$211:$U$218</definedName>
    <definedName name="out19">output_NHTS!$O$80:$V$83</definedName>
    <definedName name="out2">output!$O$262:$V$269</definedName>
    <definedName name="out20">output!$O$80:$V$83</definedName>
    <definedName name="out21">output_NHTS!$O$87:$V$90</definedName>
    <definedName name="out22">output!$O$87:$V$90</definedName>
    <definedName name="out23">output_NHTS!$O$94:$V$97</definedName>
    <definedName name="out24">output!$O$94:$V$97</definedName>
    <definedName name="out25">output_NHTS!$O$101:$V$104</definedName>
    <definedName name="out26">output!$O$101:$V$104</definedName>
    <definedName name="out27">output_NHTS!$O$108:$V$111</definedName>
    <definedName name="out28">output!$O$108:$V$111</definedName>
    <definedName name="out29">output_NHTS!$O$115:$V$118</definedName>
    <definedName name="out3">output_NHTS!$O$273:$R$280</definedName>
    <definedName name="out30">output!$O$115:$V$118</definedName>
    <definedName name="out31">output_NHTS!$O$122:$V$125</definedName>
    <definedName name="out32">output!$O$122:$V$125</definedName>
    <definedName name="out33">output_NHTS!$O$222:$V$222</definedName>
    <definedName name="out34">output!$O$222:$V$222</definedName>
    <definedName name="out35">output_NHTS!$O$223:$V$223</definedName>
    <definedName name="out36">output!$O$223:$V$223</definedName>
    <definedName name="out37">output_NHTS!$O$224:$V$224</definedName>
    <definedName name="out38">output!$O$224:$V$224</definedName>
    <definedName name="out39">output_NHTS!$O$225:$V$225</definedName>
    <definedName name="out4">output!$O$273:$R$280</definedName>
    <definedName name="out40">output!$O$225:$V$225</definedName>
    <definedName name="out41">output_NHTS!$O$226:$V$226</definedName>
    <definedName name="out42">output!$O$226:$V$226</definedName>
    <definedName name="out43">output_NHTS!$O$227:$V$227</definedName>
    <definedName name="out44">output!$O$227:$V$227</definedName>
    <definedName name="out45">output_NHTS!$O$228:$V$228</definedName>
    <definedName name="out46">output!$O$228:$V$228</definedName>
    <definedName name="out47">output_NHTS!$O$232:$R$232</definedName>
    <definedName name="out48">output!$O$232:$R$232</definedName>
    <definedName name="out49">output_NHTS!$O$233:$R$233</definedName>
    <definedName name="out5">output_NHTS!$O$284:$R$291</definedName>
    <definedName name="out50">output!$O$233:$R$233</definedName>
    <definedName name="out51">output_NHTS!$O$234:$R$234</definedName>
    <definedName name="out52">output!$O$234:$R$234</definedName>
    <definedName name="out53">output_NHTS!$O$235:$R$235</definedName>
    <definedName name="out54">output!$O$235:$R$235</definedName>
    <definedName name="out55">output_NHTS!$O$236:$R$236</definedName>
    <definedName name="out56">output!$O$236:$R$236</definedName>
    <definedName name="out57">output_NHTS!$O$237:$R$237</definedName>
    <definedName name="out58">output!$O$237:$R$237</definedName>
    <definedName name="out59">output_NHTS!$O$238:$R$238</definedName>
    <definedName name="out6">output!$O$284:$R$291</definedName>
    <definedName name="out60">output!$O$238:$R$238</definedName>
    <definedName name="out61">output_NHTS!$O$242:$R$242</definedName>
    <definedName name="out62">output!$O$242:$R$242</definedName>
    <definedName name="out63">output_NHTS!$O$243:$R$243</definedName>
    <definedName name="out64">output!$O$243:$R$243</definedName>
    <definedName name="out65">output_NHTS!$O$244:$R$244</definedName>
    <definedName name="out66">output!$O$244:$R$244</definedName>
    <definedName name="out67">output_NHTS!$O$245:$R$245</definedName>
    <definedName name="out68">output!$O$245:$R$245</definedName>
    <definedName name="out69">output_NHTS!$O$246:$R$246</definedName>
    <definedName name="out7">output_NHTS!$O$295:$U$302</definedName>
    <definedName name="out70">output!$O$246:$R$246</definedName>
    <definedName name="out71">output_NHTS!$O$247:$R$247</definedName>
    <definedName name="out72">output!$O$247:$R$247</definedName>
    <definedName name="out73">output_NHTS!$O$248:$R$248</definedName>
    <definedName name="out74">output!$O$248:$R$248</definedName>
    <definedName name="out75">output_NHTS!$O$252:$U$252</definedName>
    <definedName name="out76">output!$O$252:$U$252</definedName>
    <definedName name="out77">output_NHTS!$O$253:$U$253</definedName>
    <definedName name="out78">output!$O$253:$U$253</definedName>
    <definedName name="out79">output_NHTS!$O$254:$U$254</definedName>
    <definedName name="out8">output!$O$295:$U$302</definedName>
    <definedName name="out80">output!$O$254:$U$254</definedName>
    <definedName name="out81">output_NHTS!$O$255:$U$255</definedName>
    <definedName name="out82">output!$O$255:$U$255</definedName>
    <definedName name="out83">output_NHTS!$O$256:$U$256</definedName>
    <definedName name="out84">output!$O$256:$U$256</definedName>
    <definedName name="out85">output_NHTS!$O$257:$U$257</definedName>
    <definedName name="out86">output!$O$257:$U$257</definedName>
    <definedName name="out87">output_NHTS!$O$258:$U$258</definedName>
    <definedName name="out88">output!$O$258:$U$258</definedName>
    <definedName name="out89">output_NHTS!$O$306:$O$313</definedName>
    <definedName name="out9">output_NHTS!$O$168:$U$174</definedName>
    <definedName name="out90">output!$O$306:$O$313</definedName>
    <definedName name="out91">output_NHTS!$O$317:$O$320</definedName>
    <definedName name="out92">output!$O$317:$O$320</definedName>
    <definedName name="out93">output_NHTS!$O$324:$O$327</definedName>
    <definedName name="out94">output!$O$324:$O$327</definedName>
    <definedName name="out95">output_NHTS!$O$331:$O$337</definedName>
    <definedName name="out96">output!$O$331:$O$337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123" i="12" l="1"/>
  <c r="H123" i="12"/>
  <c r="T106" i="12"/>
  <c r="T116" i="11"/>
  <c r="H116" i="11"/>
  <c r="T100" i="11"/>
  <c r="T107" i="10"/>
  <c r="V296" i="20"/>
  <c r="I296" i="20" s="1"/>
  <c r="V297" i="20"/>
  <c r="I297" i="20" s="1"/>
  <c r="V298" i="20"/>
  <c r="I298" i="20" s="1"/>
  <c r="V299" i="20"/>
  <c r="I299" i="20" s="1"/>
  <c r="V300" i="20"/>
  <c r="I300" i="20" s="1"/>
  <c r="V301" i="20"/>
  <c r="I301" i="20" s="1"/>
  <c r="V302" i="20"/>
  <c r="I302" i="20" s="1"/>
  <c r="V295" i="20"/>
  <c r="I295" i="20" s="1"/>
  <c r="V253" i="20"/>
  <c r="I253" i="20" s="1"/>
  <c r="V254" i="20"/>
  <c r="I254" i="20" s="1"/>
  <c r="V255" i="20"/>
  <c r="I255" i="20" s="1"/>
  <c r="V256" i="20"/>
  <c r="I256" i="20" s="1"/>
  <c r="V257" i="20"/>
  <c r="I257" i="20" s="1"/>
  <c r="V258" i="20"/>
  <c r="I258" i="20" s="1"/>
  <c r="V252" i="20"/>
  <c r="I252" i="20" s="1"/>
  <c r="V212" i="20"/>
  <c r="I212" i="20" s="1"/>
  <c r="V213" i="20"/>
  <c r="I213" i="20" s="1"/>
  <c r="V214" i="20"/>
  <c r="I214" i="20" s="1"/>
  <c r="V215" i="20"/>
  <c r="I215" i="20" s="1"/>
  <c r="V216" i="20"/>
  <c r="I216" i="20" s="1"/>
  <c r="V217" i="20"/>
  <c r="I217" i="20" s="1"/>
  <c r="V218" i="20"/>
  <c r="I218" i="20" s="1"/>
  <c r="V211" i="20"/>
  <c r="I211" i="20" s="1"/>
  <c r="B337" i="20"/>
  <c r="T118" i="10" s="1"/>
  <c r="B337" i="21"/>
  <c r="H118" i="10" s="1"/>
  <c r="B331" i="21"/>
  <c r="V296" i="21"/>
  <c r="I296" i="21" s="1"/>
  <c r="V297" i="21"/>
  <c r="I297" i="21" s="1"/>
  <c r="V298" i="21"/>
  <c r="I298" i="21" s="1"/>
  <c r="V299" i="21"/>
  <c r="I299" i="21" s="1"/>
  <c r="V300" i="21"/>
  <c r="I300" i="21" s="1"/>
  <c r="V301" i="21"/>
  <c r="I301" i="21" s="1"/>
  <c r="V302" i="21"/>
  <c r="I302" i="21" s="1"/>
  <c r="V295" i="21"/>
  <c r="I295" i="21" s="1"/>
  <c r="V253" i="21"/>
  <c r="I253" i="21" s="1"/>
  <c r="V254" i="21"/>
  <c r="I254" i="21" s="1"/>
  <c r="V255" i="21"/>
  <c r="I255" i="21" s="1"/>
  <c r="V256" i="21"/>
  <c r="I256" i="21" s="1"/>
  <c r="V257" i="21"/>
  <c r="I257" i="21" s="1"/>
  <c r="V258" i="21"/>
  <c r="I258" i="21" s="1"/>
  <c r="V252" i="21"/>
  <c r="I252" i="21" s="1"/>
  <c r="V212" i="21"/>
  <c r="I212" i="21" s="1"/>
  <c r="V213" i="21"/>
  <c r="I213" i="21" s="1"/>
  <c r="V214" i="21"/>
  <c r="I214" i="21" s="1"/>
  <c r="V215" i="21"/>
  <c r="I215" i="21" s="1"/>
  <c r="V216" i="21"/>
  <c r="I216" i="21" s="1"/>
  <c r="V217" i="21"/>
  <c r="I217" i="21" s="1"/>
  <c r="V218" i="21"/>
  <c r="I218" i="21" s="1"/>
  <c r="V211" i="21"/>
  <c r="I211" i="21" s="1"/>
  <c r="B10" i="16" l="1"/>
  <c r="H117" i="12"/>
  <c r="C10" i="16"/>
  <c r="T117" i="12"/>
  <c r="B628" i="23"/>
  <c r="D634" i="23"/>
  <c r="D644" i="23"/>
  <c r="B793" i="23"/>
  <c r="B799" i="23"/>
  <c r="B808" i="23"/>
  <c r="D808" i="23"/>
  <c r="D809" i="23"/>
  <c r="D857" i="23"/>
  <c r="D867" i="23"/>
  <c r="D868" i="23"/>
  <c r="B882" i="23"/>
  <c r="D886" i="23"/>
  <c r="D887" i="23"/>
  <c r="D892" i="23"/>
  <c r="D917" i="23"/>
  <c r="B918" i="23"/>
  <c r="D918" i="23"/>
  <c r="D966" i="23"/>
  <c r="D1038" i="23"/>
  <c r="D1041" i="23"/>
  <c r="D1057" i="23"/>
  <c r="D1073" i="23"/>
  <c r="D1088" i="23"/>
  <c r="B1105" i="23"/>
  <c r="D1154" i="23"/>
  <c r="B1186" i="23"/>
  <c r="D1264" i="23"/>
  <c r="D1360" i="23"/>
  <c r="D1405" i="23"/>
  <c r="B1408" i="23"/>
  <c r="B1419" i="23"/>
  <c r="B1493" i="23"/>
  <c r="D1569" i="23"/>
  <c r="D1607" i="23"/>
  <c r="B1616" i="23"/>
  <c r="B1650" i="23"/>
  <c r="D1674" i="23"/>
  <c r="B1872" i="23"/>
  <c r="B1881" i="23"/>
  <c r="D2003" i="23"/>
  <c r="D2017" i="23"/>
  <c r="D2026" i="23"/>
  <c r="D2036" i="23"/>
  <c r="B2208" i="23"/>
  <c r="B2268" i="23"/>
  <c r="D2384" i="23"/>
  <c r="D2394" i="23"/>
  <c r="B2442" i="23"/>
  <c r="D2496" i="23"/>
  <c r="D2528" i="23"/>
  <c r="D2804" i="23"/>
  <c r="B2871" i="23"/>
  <c r="B2880" i="23"/>
  <c r="B3068" i="23"/>
  <c r="B3495" i="23"/>
  <c r="D3614" i="23"/>
  <c r="D3688" i="23"/>
  <c r="D3713" i="23"/>
  <c r="B3717" i="23"/>
  <c r="B3720" i="23"/>
  <c r="B3795" i="23"/>
  <c r="D3798" i="23"/>
  <c r="D3816" i="23"/>
  <c r="D3831" i="23"/>
  <c r="B4005" i="23"/>
  <c r="B4031" i="23"/>
  <c r="D4044" i="23"/>
  <c r="B4087" i="23"/>
  <c r="B4196" i="23"/>
  <c r="B4200" i="23"/>
  <c r="D4221" i="23"/>
  <c r="D4346" i="23"/>
  <c r="B4477" i="23"/>
  <c r="B4499" i="23"/>
  <c r="B4539" i="23"/>
  <c r="B4623" i="23"/>
  <c r="D4686" i="23"/>
  <c r="D4697" i="23"/>
  <c r="D4722" i="23"/>
  <c r="B4726" i="23"/>
  <c r="D4792" i="23"/>
  <c r="D4834" i="23"/>
  <c r="B5011" i="23"/>
  <c r="B5029" i="23"/>
  <c r="D5033" i="23"/>
  <c r="B5039" i="23"/>
  <c r="D5061" i="23"/>
  <c r="B5073" i="23"/>
  <c r="B5093" i="23"/>
  <c r="D5101" i="23"/>
  <c r="D5125" i="23"/>
  <c r="B5130" i="23"/>
  <c r="D5187" i="23"/>
  <c r="B5226" i="23"/>
  <c r="B5255" i="23"/>
  <c r="B5256" i="23"/>
  <c r="B5281" i="23"/>
  <c r="D5284" i="23"/>
  <c r="D5287" i="23"/>
  <c r="D5293" i="23"/>
  <c r="B5318" i="23"/>
  <c r="B5330" i="23"/>
  <c r="D5336" i="23"/>
  <c r="D5370" i="23"/>
  <c r="D5401" i="23"/>
  <c r="D5442" i="23"/>
  <c r="D5451" i="23"/>
  <c r="B5468" i="23"/>
  <c r="D5529" i="23"/>
  <c r="D5538" i="23"/>
  <c r="D5539" i="23"/>
  <c r="B5542" i="23"/>
  <c r="D5547" i="23"/>
  <c r="D5594" i="23"/>
  <c r="B5604" i="23"/>
  <c r="B5606" i="23"/>
  <c r="D5626" i="23"/>
  <c r="D5637" i="23"/>
  <c r="B5767" i="23"/>
  <c r="D5822" i="23"/>
  <c r="D5855" i="23"/>
  <c r="B5893" i="23"/>
  <c r="D5921" i="23"/>
  <c r="D5931" i="23"/>
  <c r="B5935" i="23"/>
  <c r="D5940" i="23"/>
  <c r="B6055" i="23"/>
  <c r="D6055" i="23"/>
  <c r="D6062" i="23"/>
  <c r="D6066" i="23"/>
  <c r="D6074" i="23"/>
  <c r="B6100" i="23"/>
  <c r="D6100" i="23"/>
  <c r="D6108" i="23"/>
  <c r="D6136" i="23"/>
  <c r="D6169" i="23"/>
  <c r="D6170" i="23"/>
  <c r="D6193" i="23"/>
  <c r="B6205" i="23"/>
  <c r="D6210" i="23"/>
  <c r="B6227" i="23"/>
  <c r="B6228" i="23"/>
  <c r="D6228" i="23"/>
  <c r="D6229" i="23"/>
  <c r="B6291" i="23"/>
  <c r="B6358" i="23"/>
  <c r="D6363" i="23"/>
  <c r="B6389" i="23"/>
  <c r="D6395" i="23"/>
  <c r="D6431" i="23"/>
  <c r="D6435" i="23"/>
  <c r="D6448" i="23"/>
  <c r="S13" i="24"/>
  <c r="T13" i="24"/>
  <c r="U13" i="24"/>
  <c r="S14" i="24"/>
  <c r="T14" i="24"/>
  <c r="U14" i="24"/>
  <c r="S15" i="24"/>
  <c r="T15" i="24"/>
  <c r="U15" i="24"/>
  <c r="S16" i="24"/>
  <c r="T16" i="24"/>
  <c r="U16" i="24"/>
  <c r="U4" i="24"/>
  <c r="U5" i="24"/>
  <c r="U6" i="24"/>
  <c r="U7" i="24"/>
  <c r="U8" i="24"/>
  <c r="U9" i="24"/>
  <c r="U10" i="24"/>
  <c r="U11" i="24"/>
  <c r="U12" i="24"/>
  <c r="U17" i="24"/>
  <c r="U18" i="24"/>
  <c r="U19" i="24"/>
  <c r="U20" i="24"/>
  <c r="U21" i="24"/>
  <c r="U22" i="24"/>
  <c r="U23" i="24"/>
  <c r="U24" i="24"/>
  <c r="U25" i="24"/>
  <c r="U26" i="24"/>
  <c r="U27" i="24"/>
  <c r="U28" i="24"/>
  <c r="U29" i="24"/>
  <c r="U30" i="24"/>
  <c r="U31" i="24"/>
  <c r="U32" i="24"/>
  <c r="U33" i="24"/>
  <c r="U34" i="24"/>
  <c r="U35" i="24"/>
  <c r="U36" i="24"/>
  <c r="U37" i="24"/>
  <c r="U38" i="24"/>
  <c r="U39" i="24"/>
  <c r="U40" i="24"/>
  <c r="U41" i="24"/>
  <c r="U42" i="24"/>
  <c r="U43" i="24"/>
  <c r="U44" i="24"/>
  <c r="U45" i="24"/>
  <c r="U46" i="24"/>
  <c r="U47" i="24"/>
  <c r="U48" i="24"/>
  <c r="U49" i="24"/>
  <c r="U50" i="24"/>
  <c r="U51" i="24"/>
  <c r="U52" i="24"/>
  <c r="U53" i="24"/>
  <c r="U54" i="24"/>
  <c r="U55" i="24"/>
  <c r="U56" i="24"/>
  <c r="U57" i="24"/>
  <c r="U58" i="24"/>
  <c r="U59" i="24"/>
  <c r="U60" i="24"/>
  <c r="U61" i="24"/>
  <c r="U62" i="24"/>
  <c r="U63" i="24"/>
  <c r="U64" i="24"/>
  <c r="U65" i="24"/>
  <c r="U66" i="24"/>
  <c r="U67" i="24"/>
  <c r="U68" i="24"/>
  <c r="U69" i="24"/>
  <c r="U70" i="24"/>
  <c r="U71" i="24"/>
  <c r="U72" i="24"/>
  <c r="U73" i="24"/>
  <c r="U74" i="24"/>
  <c r="U75" i="24"/>
  <c r="U76" i="24"/>
  <c r="U77" i="24"/>
  <c r="U78" i="24"/>
  <c r="U79" i="24"/>
  <c r="U80" i="24"/>
  <c r="U81" i="24"/>
  <c r="U82" i="24"/>
  <c r="U83" i="24"/>
  <c r="U84" i="24"/>
  <c r="U85" i="24"/>
  <c r="U86" i="24"/>
  <c r="U87" i="24"/>
  <c r="U88" i="24"/>
  <c r="U89" i="24"/>
  <c r="U90" i="24"/>
  <c r="U91" i="24"/>
  <c r="U92" i="24"/>
  <c r="U93" i="24"/>
  <c r="U94" i="24"/>
  <c r="U95" i="24"/>
  <c r="U96" i="24"/>
  <c r="U97" i="24"/>
  <c r="U98" i="24"/>
  <c r="U99" i="24"/>
  <c r="U100" i="24"/>
  <c r="U101" i="24"/>
  <c r="U102" i="24"/>
  <c r="U103" i="24"/>
  <c r="U104" i="24"/>
  <c r="U105" i="24"/>
  <c r="U106" i="24"/>
  <c r="U107" i="24"/>
  <c r="U108" i="24"/>
  <c r="U109" i="24"/>
  <c r="U110" i="24"/>
  <c r="U111" i="24"/>
  <c r="U112" i="24"/>
  <c r="U113" i="24"/>
  <c r="U114" i="24"/>
  <c r="U115" i="24"/>
  <c r="U116" i="24"/>
  <c r="U117" i="24"/>
  <c r="U118" i="24"/>
  <c r="U119" i="24"/>
  <c r="U120" i="24"/>
  <c r="U121" i="24"/>
  <c r="U122" i="24"/>
  <c r="U123" i="24"/>
  <c r="U124" i="24"/>
  <c r="U125" i="24"/>
  <c r="U126" i="24"/>
  <c r="U127" i="24"/>
  <c r="U128" i="24"/>
  <c r="U129" i="24"/>
  <c r="U130" i="24"/>
  <c r="U131" i="24"/>
  <c r="U132" i="24"/>
  <c r="U133" i="24"/>
  <c r="U134" i="24"/>
  <c r="U135" i="24"/>
  <c r="U136" i="24"/>
  <c r="U137" i="24"/>
  <c r="U138" i="24"/>
  <c r="U139" i="24"/>
  <c r="U140" i="24"/>
  <c r="U141" i="24"/>
  <c r="U142" i="24"/>
  <c r="U143" i="24"/>
  <c r="U144" i="24"/>
  <c r="U145" i="24"/>
  <c r="U146" i="24"/>
  <c r="U147" i="24"/>
  <c r="U148" i="24"/>
  <c r="U149" i="24"/>
  <c r="U150" i="24"/>
  <c r="U151" i="24"/>
  <c r="U152" i="24"/>
  <c r="U153" i="24"/>
  <c r="U154" i="24"/>
  <c r="U155" i="24"/>
  <c r="U156" i="24"/>
  <c r="U157" i="24"/>
  <c r="U158" i="24"/>
  <c r="U159" i="24"/>
  <c r="U160" i="24"/>
  <c r="U161" i="24"/>
  <c r="U162" i="24"/>
  <c r="U163" i="24"/>
  <c r="U164" i="24"/>
  <c r="U165" i="24"/>
  <c r="U166" i="24"/>
  <c r="U167" i="24"/>
  <c r="U168" i="24"/>
  <c r="U169" i="24"/>
  <c r="U170" i="24"/>
  <c r="U171" i="24"/>
  <c r="U172" i="24"/>
  <c r="U173" i="24"/>
  <c r="U174" i="24"/>
  <c r="U175" i="24"/>
  <c r="U176" i="24"/>
  <c r="U177" i="24"/>
  <c r="U178" i="24"/>
  <c r="U179" i="24"/>
  <c r="U180" i="24"/>
  <c r="U181" i="24"/>
  <c r="U182" i="24"/>
  <c r="U183" i="24"/>
  <c r="U184" i="24"/>
  <c r="U185" i="24"/>
  <c r="U186" i="24"/>
  <c r="U187" i="24"/>
  <c r="U188" i="24"/>
  <c r="U189" i="24"/>
  <c r="U190" i="24"/>
  <c r="U191" i="24"/>
  <c r="U192" i="24"/>
  <c r="U193" i="24"/>
  <c r="U194" i="24"/>
  <c r="U195" i="24"/>
  <c r="U196" i="24"/>
  <c r="U197" i="24"/>
  <c r="U198" i="24"/>
  <c r="U199" i="24"/>
  <c r="U200" i="24"/>
  <c r="U201" i="24"/>
  <c r="U202" i="24"/>
  <c r="U203" i="24"/>
  <c r="U204" i="24"/>
  <c r="U205" i="24"/>
  <c r="U206" i="24"/>
  <c r="U207" i="24"/>
  <c r="U208" i="24"/>
  <c r="U209" i="24"/>
  <c r="U210" i="24"/>
  <c r="U211" i="24"/>
  <c r="U212" i="24"/>
  <c r="U213" i="24"/>
  <c r="U214" i="24"/>
  <c r="U215" i="24"/>
  <c r="U216" i="24"/>
  <c r="U217" i="24"/>
  <c r="U218" i="24"/>
  <c r="U219" i="24"/>
  <c r="U220" i="24"/>
  <c r="U221" i="24"/>
  <c r="U222" i="24"/>
  <c r="U223" i="24"/>
  <c r="U224" i="24"/>
  <c r="U225" i="24"/>
  <c r="U226" i="24"/>
  <c r="U227" i="24"/>
  <c r="U228" i="24"/>
  <c r="U229" i="24"/>
  <c r="U230" i="24"/>
  <c r="U231" i="24"/>
  <c r="U232" i="24"/>
  <c r="U233" i="24"/>
  <c r="U234" i="24"/>
  <c r="U235" i="24"/>
  <c r="U236" i="24"/>
  <c r="U237" i="24"/>
  <c r="U238" i="24"/>
  <c r="U239" i="24"/>
  <c r="U240" i="24"/>
  <c r="U241" i="24"/>
  <c r="U242" i="24"/>
  <c r="U243" i="24"/>
  <c r="U244" i="24"/>
  <c r="U245" i="24"/>
  <c r="U246" i="24"/>
  <c r="U247" i="24"/>
  <c r="U248" i="24"/>
  <c r="U249" i="24"/>
  <c r="U250" i="24"/>
  <c r="U251" i="24"/>
  <c r="U252" i="24"/>
  <c r="U253" i="24"/>
  <c r="U254" i="24"/>
  <c r="U255" i="24"/>
  <c r="U256" i="24"/>
  <c r="U257" i="24"/>
  <c r="U258" i="24"/>
  <c r="U259" i="24"/>
  <c r="U260" i="24"/>
  <c r="U261" i="24"/>
  <c r="U262" i="24"/>
  <c r="U263" i="24"/>
  <c r="U264" i="24"/>
  <c r="U265" i="24"/>
  <c r="U266" i="24"/>
  <c r="U267" i="24"/>
  <c r="U268" i="24"/>
  <c r="U269" i="24"/>
  <c r="U270" i="24"/>
  <c r="U271" i="24"/>
  <c r="U272" i="24"/>
  <c r="U273" i="24"/>
  <c r="U274" i="24"/>
  <c r="U275" i="24"/>
  <c r="U276" i="24"/>
  <c r="U277" i="24"/>
  <c r="U278" i="24"/>
  <c r="U279" i="24"/>
  <c r="U280" i="24"/>
  <c r="U281" i="24"/>
  <c r="U282" i="24"/>
  <c r="U283" i="24"/>
  <c r="U284" i="24"/>
  <c r="U285" i="24"/>
  <c r="U286" i="24"/>
  <c r="U287" i="24"/>
  <c r="U288" i="24"/>
  <c r="U289" i="24"/>
  <c r="U290" i="24"/>
  <c r="U291" i="24"/>
  <c r="U292" i="24"/>
  <c r="U293" i="24"/>
  <c r="U294" i="24"/>
  <c r="U295" i="24"/>
  <c r="U296" i="24"/>
  <c r="U297" i="24"/>
  <c r="U298" i="24"/>
  <c r="U299" i="24"/>
  <c r="U300" i="24"/>
  <c r="U301" i="24"/>
  <c r="U302" i="24"/>
  <c r="U303" i="24"/>
  <c r="U304" i="24"/>
  <c r="U305" i="24"/>
  <c r="U306" i="24"/>
  <c r="U307" i="24"/>
  <c r="U308" i="24"/>
  <c r="U309" i="24"/>
  <c r="U310" i="24"/>
  <c r="U311" i="24"/>
  <c r="U312" i="24"/>
  <c r="U313" i="24"/>
  <c r="U314" i="24"/>
  <c r="U315" i="24"/>
  <c r="U316" i="24"/>
  <c r="U317" i="24"/>
  <c r="U318" i="24"/>
  <c r="U319" i="24"/>
  <c r="U320" i="24"/>
  <c r="U321" i="24"/>
  <c r="U322" i="24"/>
  <c r="U323" i="24"/>
  <c r="U324" i="24"/>
  <c r="U325" i="24"/>
  <c r="U326" i="24"/>
  <c r="U327" i="24"/>
  <c r="U328" i="24"/>
  <c r="U329" i="24"/>
  <c r="U330" i="24"/>
  <c r="U331" i="24"/>
  <c r="U332" i="24"/>
  <c r="U333" i="24"/>
  <c r="U334" i="24"/>
  <c r="U335" i="24"/>
  <c r="U336" i="24"/>
  <c r="U337" i="24"/>
  <c r="U338" i="24"/>
  <c r="U339" i="24"/>
  <c r="U340" i="24"/>
  <c r="U341" i="24"/>
  <c r="U342" i="24"/>
  <c r="U343" i="24"/>
  <c r="U344" i="24"/>
  <c r="U345" i="24"/>
  <c r="U346" i="24"/>
  <c r="U347" i="24"/>
  <c r="U348" i="24"/>
  <c r="U349" i="24"/>
  <c r="U350" i="24"/>
  <c r="U351" i="24"/>
  <c r="U352" i="24"/>
  <c r="U3" i="24"/>
  <c r="T3" i="24"/>
  <c r="S3" i="24"/>
  <c r="D72" i="24"/>
  <c r="H16" i="24"/>
  <c r="S4" i="24"/>
  <c r="S5" i="24"/>
  <c r="S6" i="24"/>
  <c r="S7" i="24"/>
  <c r="S8" i="24"/>
  <c r="S9" i="24"/>
  <c r="S10" i="24"/>
  <c r="S11" i="24"/>
  <c r="S12" i="24"/>
  <c r="S17" i="24"/>
  <c r="S18" i="24"/>
  <c r="S19" i="24"/>
  <c r="S20" i="24"/>
  <c r="S21" i="24"/>
  <c r="S22" i="24"/>
  <c r="S23" i="24"/>
  <c r="S24" i="24"/>
  <c r="S25" i="24"/>
  <c r="S26" i="24"/>
  <c r="S27" i="24"/>
  <c r="S28" i="24"/>
  <c r="S29" i="24"/>
  <c r="S30" i="24"/>
  <c r="S31" i="24"/>
  <c r="S32" i="24"/>
  <c r="S33" i="24"/>
  <c r="S34" i="24"/>
  <c r="S35" i="24"/>
  <c r="S36" i="24"/>
  <c r="S37" i="24"/>
  <c r="S38" i="24"/>
  <c r="S39" i="24"/>
  <c r="S40" i="24"/>
  <c r="S41" i="24"/>
  <c r="S42" i="24"/>
  <c r="S43" i="24"/>
  <c r="S44" i="24"/>
  <c r="S45" i="24"/>
  <c r="S46" i="24"/>
  <c r="S47" i="24"/>
  <c r="S48" i="24"/>
  <c r="S49" i="24"/>
  <c r="S50" i="24"/>
  <c r="S51" i="24"/>
  <c r="S52" i="24"/>
  <c r="S53" i="24"/>
  <c r="S54" i="24"/>
  <c r="S55" i="24"/>
  <c r="S56" i="24"/>
  <c r="S57" i="24"/>
  <c r="S58" i="24"/>
  <c r="S59" i="24"/>
  <c r="S60" i="24"/>
  <c r="S61" i="24"/>
  <c r="S62" i="24"/>
  <c r="S63" i="24"/>
  <c r="S64" i="24"/>
  <c r="S65" i="24"/>
  <c r="S66" i="24"/>
  <c r="S67" i="24"/>
  <c r="S68" i="24"/>
  <c r="S69" i="24"/>
  <c r="S70" i="24"/>
  <c r="S71" i="24"/>
  <c r="S72" i="24"/>
  <c r="S73" i="24"/>
  <c r="S74" i="24"/>
  <c r="S75" i="24"/>
  <c r="S76" i="24"/>
  <c r="S77" i="24"/>
  <c r="S78" i="24"/>
  <c r="S79" i="24"/>
  <c r="S80" i="24"/>
  <c r="S81" i="24"/>
  <c r="S82" i="24"/>
  <c r="S83" i="24"/>
  <c r="S84" i="24"/>
  <c r="S85" i="24"/>
  <c r="S86" i="24"/>
  <c r="S87" i="24"/>
  <c r="S88" i="24"/>
  <c r="S89" i="24"/>
  <c r="S90" i="24"/>
  <c r="S91" i="24"/>
  <c r="S92" i="24"/>
  <c r="S93" i="24"/>
  <c r="S94" i="24"/>
  <c r="S95" i="24"/>
  <c r="S96" i="24"/>
  <c r="S97" i="24"/>
  <c r="S98" i="24"/>
  <c r="S99" i="24"/>
  <c r="S100" i="24"/>
  <c r="S101" i="24"/>
  <c r="S102" i="24"/>
  <c r="S103" i="24"/>
  <c r="S104" i="24"/>
  <c r="S105" i="24"/>
  <c r="S106" i="24"/>
  <c r="S107" i="24"/>
  <c r="S108" i="24"/>
  <c r="S109" i="24"/>
  <c r="S110" i="24"/>
  <c r="S111" i="24"/>
  <c r="S112" i="24"/>
  <c r="S113" i="24"/>
  <c r="S114" i="24"/>
  <c r="S115" i="24"/>
  <c r="S116" i="24"/>
  <c r="S117" i="24"/>
  <c r="S118" i="24"/>
  <c r="S119" i="24"/>
  <c r="S120" i="24"/>
  <c r="S121" i="24"/>
  <c r="S122" i="24"/>
  <c r="S123" i="24"/>
  <c r="S124" i="24"/>
  <c r="S125" i="24"/>
  <c r="S126" i="24"/>
  <c r="S127" i="24"/>
  <c r="S128" i="24"/>
  <c r="S129" i="24"/>
  <c r="S130" i="24"/>
  <c r="S131" i="24"/>
  <c r="S132" i="24"/>
  <c r="S133" i="24"/>
  <c r="S134" i="24"/>
  <c r="S135" i="24"/>
  <c r="S136" i="24"/>
  <c r="S137" i="24"/>
  <c r="S138" i="24"/>
  <c r="S139" i="24"/>
  <c r="S140" i="24"/>
  <c r="S141" i="24"/>
  <c r="S142" i="24"/>
  <c r="S143" i="24"/>
  <c r="S144" i="24"/>
  <c r="S145" i="24"/>
  <c r="S146" i="24"/>
  <c r="S147" i="24"/>
  <c r="S148" i="24"/>
  <c r="S149" i="24"/>
  <c r="S150" i="24"/>
  <c r="S151" i="24"/>
  <c r="S152" i="24"/>
  <c r="S153" i="24"/>
  <c r="S154" i="24"/>
  <c r="S155" i="24"/>
  <c r="S156" i="24"/>
  <c r="S157" i="24"/>
  <c r="S158" i="24"/>
  <c r="S159" i="24"/>
  <c r="S160" i="24"/>
  <c r="S161" i="24"/>
  <c r="S162" i="24"/>
  <c r="S163" i="24"/>
  <c r="S164" i="24"/>
  <c r="S165" i="24"/>
  <c r="S166" i="24"/>
  <c r="S167" i="24"/>
  <c r="S168" i="24"/>
  <c r="S169" i="24"/>
  <c r="S170" i="24"/>
  <c r="S171" i="24"/>
  <c r="S172" i="24"/>
  <c r="S173" i="24"/>
  <c r="S174" i="24"/>
  <c r="S175" i="24"/>
  <c r="S176" i="24"/>
  <c r="S177" i="24"/>
  <c r="S178" i="24"/>
  <c r="S179" i="24"/>
  <c r="S180" i="24"/>
  <c r="S181" i="24"/>
  <c r="S182" i="24"/>
  <c r="S183" i="24"/>
  <c r="S184" i="24"/>
  <c r="S185" i="24"/>
  <c r="S186" i="24"/>
  <c r="S187" i="24"/>
  <c r="S188" i="24"/>
  <c r="S189" i="24"/>
  <c r="S190" i="24"/>
  <c r="S191" i="24"/>
  <c r="S192" i="24"/>
  <c r="S193" i="24"/>
  <c r="S194" i="24"/>
  <c r="S195" i="24"/>
  <c r="S196" i="24"/>
  <c r="S197" i="24"/>
  <c r="S198" i="24"/>
  <c r="S199" i="24"/>
  <c r="S200" i="24"/>
  <c r="S201" i="24"/>
  <c r="S202" i="24"/>
  <c r="S203" i="24"/>
  <c r="S204" i="24"/>
  <c r="S205" i="24"/>
  <c r="S206" i="24"/>
  <c r="S207" i="24"/>
  <c r="S208" i="24"/>
  <c r="S209" i="24"/>
  <c r="S210" i="24"/>
  <c r="S211" i="24"/>
  <c r="S212" i="24"/>
  <c r="S213" i="24"/>
  <c r="S214" i="24"/>
  <c r="S215" i="24"/>
  <c r="S216" i="24"/>
  <c r="S217" i="24"/>
  <c r="S218" i="24"/>
  <c r="S219" i="24"/>
  <c r="S220" i="24"/>
  <c r="S221" i="24"/>
  <c r="S222" i="24"/>
  <c r="S223" i="24"/>
  <c r="S224" i="24"/>
  <c r="S225" i="24"/>
  <c r="S226" i="24"/>
  <c r="S227" i="24"/>
  <c r="S228" i="24"/>
  <c r="S229" i="24"/>
  <c r="S230" i="24"/>
  <c r="S231" i="24"/>
  <c r="S232" i="24"/>
  <c r="S233" i="24"/>
  <c r="S234" i="24"/>
  <c r="S235" i="24"/>
  <c r="S236" i="24"/>
  <c r="S237" i="24"/>
  <c r="S238" i="24"/>
  <c r="S239" i="24"/>
  <c r="S240" i="24"/>
  <c r="S241" i="24"/>
  <c r="S242" i="24"/>
  <c r="S243" i="24"/>
  <c r="S244" i="24"/>
  <c r="S245" i="24"/>
  <c r="S246" i="24"/>
  <c r="S247" i="24"/>
  <c r="S248" i="24"/>
  <c r="S249" i="24"/>
  <c r="S250" i="24"/>
  <c r="S251" i="24"/>
  <c r="S252" i="24"/>
  <c r="S253" i="24"/>
  <c r="S254" i="24"/>
  <c r="S255" i="24"/>
  <c r="S256" i="24"/>
  <c r="S257" i="24"/>
  <c r="S258" i="24"/>
  <c r="S259" i="24"/>
  <c r="S260" i="24"/>
  <c r="S261" i="24"/>
  <c r="S262" i="24"/>
  <c r="S263" i="24"/>
  <c r="S264" i="24"/>
  <c r="S265" i="24"/>
  <c r="S266" i="24"/>
  <c r="S267" i="24"/>
  <c r="S268" i="24"/>
  <c r="S269" i="24"/>
  <c r="S270" i="24"/>
  <c r="S271" i="24"/>
  <c r="S272" i="24"/>
  <c r="S273" i="24"/>
  <c r="S274" i="24"/>
  <c r="S275" i="24"/>
  <c r="S276" i="24"/>
  <c r="S277" i="24"/>
  <c r="S278" i="24"/>
  <c r="S279" i="24"/>
  <c r="S280" i="24"/>
  <c r="S281" i="24"/>
  <c r="S282" i="24"/>
  <c r="S283" i="24"/>
  <c r="S284" i="24"/>
  <c r="S285" i="24"/>
  <c r="S286" i="24"/>
  <c r="S287" i="24"/>
  <c r="S288" i="24"/>
  <c r="S289" i="24"/>
  <c r="S290" i="24"/>
  <c r="S291" i="24"/>
  <c r="S292" i="24"/>
  <c r="S293" i="24"/>
  <c r="S294" i="24"/>
  <c r="S295" i="24"/>
  <c r="S296" i="24"/>
  <c r="S297" i="24"/>
  <c r="S298" i="24"/>
  <c r="S299" i="24"/>
  <c r="S300" i="24"/>
  <c r="S301" i="24"/>
  <c r="S302" i="24"/>
  <c r="S303" i="24"/>
  <c r="S304" i="24"/>
  <c r="S305" i="24"/>
  <c r="S306" i="24"/>
  <c r="S307" i="24"/>
  <c r="S308" i="24"/>
  <c r="S309" i="24"/>
  <c r="S310" i="24"/>
  <c r="S311" i="24"/>
  <c r="S312" i="24"/>
  <c r="S313" i="24"/>
  <c r="S314" i="24"/>
  <c r="S315" i="24"/>
  <c r="S316" i="24"/>
  <c r="S317" i="24"/>
  <c r="S318" i="24"/>
  <c r="S319" i="24"/>
  <c r="S320" i="24"/>
  <c r="S321" i="24"/>
  <c r="S322" i="24"/>
  <c r="S323" i="24"/>
  <c r="S324" i="24"/>
  <c r="S325" i="24"/>
  <c r="S326" i="24"/>
  <c r="S327" i="24"/>
  <c r="S328" i="24"/>
  <c r="S329" i="24"/>
  <c r="S330" i="24"/>
  <c r="S331" i="24"/>
  <c r="S332" i="24"/>
  <c r="S333" i="24"/>
  <c r="S334" i="24"/>
  <c r="S335" i="24"/>
  <c r="S336" i="24"/>
  <c r="S337" i="24"/>
  <c r="S338" i="24"/>
  <c r="S339" i="24"/>
  <c r="S340" i="24"/>
  <c r="S341" i="24"/>
  <c r="S342" i="24"/>
  <c r="S343" i="24"/>
  <c r="S344" i="24"/>
  <c r="S345" i="24"/>
  <c r="S346" i="24"/>
  <c r="S347" i="24"/>
  <c r="S348" i="24"/>
  <c r="S349" i="24"/>
  <c r="S350" i="24"/>
  <c r="S351" i="24"/>
  <c r="S352" i="24"/>
  <c r="V15" i="24" l="1"/>
  <c r="V14" i="24"/>
  <c r="V13" i="24"/>
  <c r="V16" i="24"/>
  <c r="H24" i="24"/>
  <c r="H22" i="24"/>
  <c r="H20" i="24"/>
  <c r="H23" i="24"/>
  <c r="H21" i="24"/>
  <c r="H5" i="24"/>
  <c r="H11" i="24"/>
  <c r="H10" i="24"/>
  <c r="H9" i="24"/>
  <c r="H8" i="24"/>
  <c r="H7" i="24"/>
  <c r="H6" i="24"/>
  <c r="H19" i="24"/>
  <c r="H25" i="24"/>
  <c r="V8" i="24" l="1"/>
  <c r="V9" i="24"/>
  <c r="V10" i="24"/>
  <c r="V11" i="24"/>
  <c r="V12" i="24"/>
  <c r="V17" i="24"/>
  <c r="V18" i="24"/>
  <c r="V19" i="24"/>
  <c r="V20" i="24"/>
  <c r="V21" i="24"/>
  <c r="V22" i="24"/>
  <c r="V23" i="24"/>
  <c r="V24" i="24"/>
  <c r="V25" i="24"/>
  <c r="V26" i="24"/>
  <c r="V27" i="24"/>
  <c r="V34" i="24"/>
  <c r="V35" i="24"/>
  <c r="V36" i="24"/>
  <c r="V37" i="24"/>
  <c r="V38" i="24"/>
  <c r="V39" i="24"/>
  <c r="V40" i="24"/>
  <c r="V41" i="24"/>
  <c r="V42" i="24"/>
  <c r="V43" i="24"/>
  <c r="V44" i="24"/>
  <c r="V45" i="24"/>
  <c r="V46" i="24"/>
  <c r="V47" i="24"/>
  <c r="V48" i="24"/>
  <c r="V49" i="24"/>
  <c r="V50" i="24"/>
  <c r="V51" i="24"/>
  <c r="V52" i="24"/>
  <c r="V53" i="24"/>
  <c r="V54" i="24"/>
  <c r="V64" i="24"/>
  <c r="V65" i="24"/>
  <c r="V66" i="24"/>
  <c r="V67" i="24"/>
  <c r="V68" i="24"/>
  <c r="V69" i="24"/>
  <c r="V70" i="24"/>
  <c r="V71" i="24"/>
  <c r="V72" i="24"/>
  <c r="V73" i="24"/>
  <c r="V74" i="24"/>
  <c r="V75" i="24"/>
  <c r="V76" i="24"/>
  <c r="V77" i="24"/>
  <c r="V78" i="24"/>
  <c r="V79" i="24"/>
  <c r="V80" i="24"/>
  <c r="V81" i="24"/>
  <c r="V82" i="24"/>
  <c r="V83" i="24"/>
  <c r="V84" i="24"/>
  <c r="V94" i="24"/>
  <c r="V95" i="24"/>
  <c r="V96" i="24"/>
  <c r="V97" i="24"/>
  <c r="V98" i="24"/>
  <c r="V99" i="24"/>
  <c r="V100" i="24"/>
  <c r="V101" i="24"/>
  <c r="V102" i="24"/>
  <c r="V103" i="24"/>
  <c r="V104" i="24"/>
  <c r="V105" i="24"/>
  <c r="V106" i="24"/>
  <c r="V107" i="24"/>
  <c r="V108" i="24"/>
  <c r="V109" i="24"/>
  <c r="V110" i="24"/>
  <c r="V111" i="24"/>
  <c r="V112" i="24"/>
  <c r="V113" i="24"/>
  <c r="V114" i="24"/>
  <c r="V124" i="24"/>
  <c r="V125" i="24"/>
  <c r="V126" i="24"/>
  <c r="V127" i="24"/>
  <c r="V128" i="24"/>
  <c r="V129" i="24"/>
  <c r="V130" i="24"/>
  <c r="V131" i="24"/>
  <c r="V132" i="24"/>
  <c r="V133" i="24"/>
  <c r="V134" i="24"/>
  <c r="V135" i="24"/>
  <c r="V136" i="24"/>
  <c r="V137" i="24"/>
  <c r="V138" i="24"/>
  <c r="V139" i="24"/>
  <c r="V140" i="24"/>
  <c r="V141" i="24"/>
  <c r="V142" i="24"/>
  <c r="V143" i="24"/>
  <c r="V144" i="24"/>
  <c r="V154" i="24"/>
  <c r="V155" i="24"/>
  <c r="V156" i="24"/>
  <c r="V157" i="24"/>
  <c r="V158" i="24"/>
  <c r="V159" i="24"/>
  <c r="V160" i="24"/>
  <c r="V161" i="24"/>
  <c r="V162" i="24"/>
  <c r="V163" i="24"/>
  <c r="V164" i="24"/>
  <c r="V165" i="24"/>
  <c r="V166" i="24"/>
  <c r="V167" i="24"/>
  <c r="V168" i="24"/>
  <c r="V169" i="24"/>
  <c r="V170" i="24"/>
  <c r="V171" i="24"/>
  <c r="V172" i="24"/>
  <c r="V173" i="24"/>
  <c r="V174" i="24"/>
  <c r="V184" i="24"/>
  <c r="V185" i="24"/>
  <c r="V186" i="24"/>
  <c r="V187" i="24"/>
  <c r="V188" i="24"/>
  <c r="V189" i="24"/>
  <c r="V190" i="24"/>
  <c r="V191" i="24"/>
  <c r="V192" i="24"/>
  <c r="V193" i="24"/>
  <c r="V194" i="24"/>
  <c r="V195" i="24"/>
  <c r="V196" i="24"/>
  <c r="V197" i="24"/>
  <c r="V198" i="24"/>
  <c r="V199" i="24"/>
  <c r="V200" i="24"/>
  <c r="V201" i="24"/>
  <c r="V202" i="24"/>
  <c r="V203" i="24"/>
  <c r="V204" i="24"/>
  <c r="V206" i="24"/>
  <c r="V207" i="24"/>
  <c r="V208" i="24"/>
  <c r="V209" i="24"/>
  <c r="V210" i="24"/>
  <c r="V211" i="24"/>
  <c r="V212" i="24"/>
  <c r="V213" i="24"/>
  <c r="V214" i="24"/>
  <c r="V215" i="24"/>
  <c r="V216" i="24"/>
  <c r="V217" i="24"/>
  <c r="V218" i="24"/>
  <c r="V219" i="24"/>
  <c r="V220" i="24"/>
  <c r="V221" i="24"/>
  <c r="V222" i="24"/>
  <c r="V223" i="24"/>
  <c r="V224" i="24"/>
  <c r="V225" i="24"/>
  <c r="V226" i="24"/>
  <c r="V227" i="24"/>
  <c r="V228" i="24"/>
  <c r="V229" i="24"/>
  <c r="V230" i="24"/>
  <c r="V231" i="24"/>
  <c r="V232" i="24"/>
  <c r="V233" i="24"/>
  <c r="V234" i="24"/>
  <c r="V235" i="24"/>
  <c r="V236" i="24"/>
  <c r="V237" i="24"/>
  <c r="V238" i="24"/>
  <c r="V239" i="24"/>
  <c r="V240" i="24"/>
  <c r="V241" i="24"/>
  <c r="V242" i="24"/>
  <c r="V243" i="24"/>
  <c r="V244" i="24"/>
  <c r="V245" i="24"/>
  <c r="V246" i="24"/>
  <c r="V247" i="24"/>
  <c r="V248" i="24"/>
  <c r="V249" i="24"/>
  <c r="V250" i="24"/>
  <c r="V251" i="24"/>
  <c r="V252" i="24"/>
  <c r="V253" i="24"/>
  <c r="V254" i="24"/>
  <c r="V255" i="24"/>
  <c r="V256" i="24"/>
  <c r="V257" i="24"/>
  <c r="V258" i="24"/>
  <c r="V259" i="24"/>
  <c r="V260" i="24"/>
  <c r="V261" i="24"/>
  <c r="V262" i="24"/>
  <c r="V263" i="24"/>
  <c r="V264" i="24"/>
  <c r="V265" i="24"/>
  <c r="V266" i="24"/>
  <c r="V267" i="24"/>
  <c r="V268" i="24"/>
  <c r="V269" i="24"/>
  <c r="V270" i="24"/>
  <c r="V271" i="24"/>
  <c r="V272" i="24"/>
  <c r="V273" i="24"/>
  <c r="V274" i="24"/>
  <c r="V275" i="24"/>
  <c r="V276" i="24"/>
  <c r="V277" i="24"/>
  <c r="V278" i="24"/>
  <c r="V279" i="24"/>
  <c r="V280" i="24"/>
  <c r="V281" i="24"/>
  <c r="V282" i="24"/>
  <c r="V283" i="24"/>
  <c r="V284" i="24"/>
  <c r="V285" i="24"/>
  <c r="V286" i="24"/>
  <c r="V287" i="24"/>
  <c r="V288" i="24"/>
  <c r="V289" i="24"/>
  <c r="V290" i="24"/>
  <c r="V291" i="24"/>
  <c r="V292" i="24"/>
  <c r="V293" i="24"/>
  <c r="V294" i="24"/>
  <c r="V295" i="24"/>
  <c r="V296" i="24"/>
  <c r="V297" i="24"/>
  <c r="V298" i="24"/>
  <c r="V299" i="24"/>
  <c r="V300" i="24"/>
  <c r="V301" i="24"/>
  <c r="V302" i="24"/>
  <c r="V303" i="24"/>
  <c r="V304" i="24"/>
  <c r="V305" i="24"/>
  <c r="V306" i="24"/>
  <c r="V307" i="24"/>
  <c r="V308" i="24"/>
  <c r="V309" i="24"/>
  <c r="V310" i="24"/>
  <c r="V311" i="24"/>
  <c r="V312" i="24"/>
  <c r="V313" i="24"/>
  <c r="V314" i="24"/>
  <c r="V315" i="24"/>
  <c r="V316" i="24"/>
  <c r="V317" i="24"/>
  <c r="V318" i="24"/>
  <c r="V319" i="24"/>
  <c r="V320" i="24"/>
  <c r="V321" i="24"/>
  <c r="V322" i="24"/>
  <c r="V323" i="24"/>
  <c r="V324" i="24"/>
  <c r="V325" i="24"/>
  <c r="V326" i="24"/>
  <c r="V327" i="24"/>
  <c r="V328" i="24"/>
  <c r="V329" i="24"/>
  <c r="V330" i="24"/>
  <c r="V331" i="24"/>
  <c r="V332" i="24"/>
  <c r="V333" i="24"/>
  <c r="V334" i="24"/>
  <c r="V335" i="24"/>
  <c r="V336" i="24"/>
  <c r="V337" i="24"/>
  <c r="V338" i="24"/>
  <c r="V339" i="24"/>
  <c r="V340" i="24"/>
  <c r="V341" i="24"/>
  <c r="V342" i="24"/>
  <c r="V343" i="24"/>
  <c r="V344" i="24"/>
  <c r="V345" i="24"/>
  <c r="V346" i="24"/>
  <c r="V347" i="24"/>
  <c r="V348" i="24"/>
  <c r="V349" i="24"/>
  <c r="V350" i="24"/>
  <c r="V351" i="24"/>
  <c r="V352" i="24"/>
  <c r="T4" i="24"/>
  <c r="T5" i="24"/>
  <c r="K56" i="24" s="1"/>
  <c r="T6" i="24"/>
  <c r="K72" i="24" s="1"/>
  <c r="T7" i="24"/>
  <c r="K79" i="24" s="1"/>
  <c r="T8" i="24"/>
  <c r="T9" i="24"/>
  <c r="T10" i="24"/>
  <c r="T11" i="24"/>
  <c r="T12" i="24"/>
  <c r="T17" i="24"/>
  <c r="T18" i="24"/>
  <c r="T19" i="24"/>
  <c r="T20" i="24"/>
  <c r="T21" i="24"/>
  <c r="T22" i="24"/>
  <c r="T23" i="24"/>
  <c r="T24" i="24"/>
  <c r="T25" i="24"/>
  <c r="T26" i="24"/>
  <c r="T27" i="24"/>
  <c r="T28" i="24"/>
  <c r="K49" i="24" s="1"/>
  <c r="T29" i="24"/>
  <c r="T30" i="24"/>
  <c r="T31" i="24"/>
  <c r="K73" i="24" s="1"/>
  <c r="T32" i="24"/>
  <c r="K80" i="24" s="1"/>
  <c r="T33" i="24"/>
  <c r="K86" i="24" s="1"/>
  <c r="T34" i="24"/>
  <c r="T35" i="24"/>
  <c r="T36" i="24"/>
  <c r="T37" i="24"/>
  <c r="T38" i="24"/>
  <c r="T39" i="24"/>
  <c r="T40" i="24"/>
  <c r="T41" i="24"/>
  <c r="T42" i="24"/>
  <c r="T43" i="24"/>
  <c r="T44" i="24"/>
  <c r="T45" i="24"/>
  <c r="T46" i="24"/>
  <c r="T47" i="24"/>
  <c r="T48" i="24"/>
  <c r="T49" i="24"/>
  <c r="T50" i="24"/>
  <c r="T51" i="24"/>
  <c r="T52" i="24"/>
  <c r="T53" i="24"/>
  <c r="T54" i="24"/>
  <c r="T55" i="24"/>
  <c r="K50" i="24" s="1"/>
  <c r="T56" i="24"/>
  <c r="T57" i="24"/>
  <c r="T58" i="24"/>
  <c r="K57" i="24" s="1"/>
  <c r="T59" i="24"/>
  <c r="K62" i="24" s="1"/>
  <c r="T60" i="24"/>
  <c r="K67" i="24" s="1"/>
  <c r="T61" i="24"/>
  <c r="K74" i="24" s="1"/>
  <c r="T62" i="24"/>
  <c r="K81" i="24" s="1"/>
  <c r="T63" i="24"/>
  <c r="K87" i="24" s="1"/>
  <c r="T64" i="24"/>
  <c r="T65" i="24"/>
  <c r="T66" i="24"/>
  <c r="T67" i="24"/>
  <c r="T68" i="24"/>
  <c r="T69" i="24"/>
  <c r="T70" i="24"/>
  <c r="T71" i="24"/>
  <c r="T72" i="24"/>
  <c r="T73" i="24"/>
  <c r="T74" i="24"/>
  <c r="T75" i="24"/>
  <c r="T76" i="24"/>
  <c r="T77" i="24"/>
  <c r="T78" i="24"/>
  <c r="T79" i="24"/>
  <c r="T80" i="24"/>
  <c r="T81" i="24"/>
  <c r="T82" i="24"/>
  <c r="T83" i="24"/>
  <c r="T84" i="24"/>
  <c r="T85" i="24"/>
  <c r="K51" i="24" s="1"/>
  <c r="T86" i="24"/>
  <c r="T87" i="24"/>
  <c r="T88" i="24"/>
  <c r="K58" i="24" s="1"/>
  <c r="T89" i="24"/>
  <c r="K63" i="24" s="1"/>
  <c r="T90" i="24"/>
  <c r="K68" i="24" s="1"/>
  <c r="T91" i="24"/>
  <c r="K75" i="24" s="1"/>
  <c r="T92" i="24"/>
  <c r="K82" i="24" s="1"/>
  <c r="T93" i="24"/>
  <c r="K88" i="24" s="1"/>
  <c r="T94" i="24"/>
  <c r="T95" i="24"/>
  <c r="T96" i="24"/>
  <c r="T97" i="24"/>
  <c r="T98" i="24"/>
  <c r="T99" i="24"/>
  <c r="T100" i="24"/>
  <c r="T101" i="24"/>
  <c r="T102" i="24"/>
  <c r="T103" i="24"/>
  <c r="T104" i="24"/>
  <c r="T105" i="24"/>
  <c r="T106" i="24"/>
  <c r="T107" i="24"/>
  <c r="T108" i="24"/>
  <c r="T109" i="24"/>
  <c r="T110" i="24"/>
  <c r="T111" i="24"/>
  <c r="T112" i="24"/>
  <c r="T113" i="24"/>
  <c r="T114" i="24"/>
  <c r="T115" i="24"/>
  <c r="K52" i="24" s="1"/>
  <c r="T116" i="24"/>
  <c r="T117" i="24"/>
  <c r="T118" i="24"/>
  <c r="K59" i="24" s="1"/>
  <c r="T119" i="24"/>
  <c r="K64" i="24" s="1"/>
  <c r="T120" i="24"/>
  <c r="K69" i="24" s="1"/>
  <c r="T121" i="24"/>
  <c r="K76" i="24" s="1"/>
  <c r="T122" i="24"/>
  <c r="K83" i="24" s="1"/>
  <c r="T123" i="24"/>
  <c r="K89" i="24" s="1"/>
  <c r="T124" i="24"/>
  <c r="T125" i="24"/>
  <c r="T126" i="24"/>
  <c r="T127" i="24"/>
  <c r="T128" i="24"/>
  <c r="T129" i="24"/>
  <c r="T130" i="24"/>
  <c r="T131" i="24"/>
  <c r="T132" i="24"/>
  <c r="T133" i="24"/>
  <c r="T134" i="24"/>
  <c r="T135" i="24"/>
  <c r="T136" i="24"/>
  <c r="T137" i="24"/>
  <c r="T138" i="24"/>
  <c r="T139" i="24"/>
  <c r="T140" i="24"/>
  <c r="T141" i="24"/>
  <c r="T142" i="24"/>
  <c r="T143" i="24"/>
  <c r="T144" i="24"/>
  <c r="T145" i="24"/>
  <c r="K53" i="24" s="1"/>
  <c r="T146" i="24"/>
  <c r="T147" i="24"/>
  <c r="T148" i="24"/>
  <c r="K60" i="24" s="1"/>
  <c r="T149" i="24"/>
  <c r="K65" i="24" s="1"/>
  <c r="T150" i="24"/>
  <c r="K70" i="24" s="1"/>
  <c r="T151" i="24"/>
  <c r="K77" i="24" s="1"/>
  <c r="T152" i="24"/>
  <c r="K84" i="24" s="1"/>
  <c r="T153" i="24"/>
  <c r="K90" i="24" s="1"/>
  <c r="T154" i="24"/>
  <c r="T155" i="24"/>
  <c r="T156" i="24"/>
  <c r="T157" i="24"/>
  <c r="T158" i="24"/>
  <c r="T159" i="24"/>
  <c r="T160" i="24"/>
  <c r="T161" i="24"/>
  <c r="T162" i="24"/>
  <c r="T163" i="24"/>
  <c r="T164" i="24"/>
  <c r="T165" i="24"/>
  <c r="T166" i="24"/>
  <c r="T167" i="24"/>
  <c r="T168" i="24"/>
  <c r="T169" i="24"/>
  <c r="T170" i="24"/>
  <c r="T171" i="24"/>
  <c r="T172" i="24"/>
  <c r="T173" i="24"/>
  <c r="T174" i="24"/>
  <c r="T175" i="24"/>
  <c r="K54" i="24" s="1"/>
  <c r="T176" i="24"/>
  <c r="T177" i="24"/>
  <c r="T178" i="24"/>
  <c r="K61" i="24" s="1"/>
  <c r="T179" i="24"/>
  <c r="K66" i="24" s="1"/>
  <c r="T180" i="24"/>
  <c r="K71" i="24" s="1"/>
  <c r="T181" i="24"/>
  <c r="K78" i="24" s="1"/>
  <c r="T182" i="24"/>
  <c r="K85" i="24" s="1"/>
  <c r="T183" i="24"/>
  <c r="K91" i="24" s="1"/>
  <c r="T184" i="24"/>
  <c r="T185" i="24"/>
  <c r="T186" i="24"/>
  <c r="T187" i="24"/>
  <c r="T188" i="24"/>
  <c r="T189" i="24"/>
  <c r="T190" i="24"/>
  <c r="T191" i="24"/>
  <c r="T192" i="24"/>
  <c r="T193" i="24"/>
  <c r="T194" i="24"/>
  <c r="T195" i="24"/>
  <c r="T196" i="24"/>
  <c r="T197" i="24"/>
  <c r="T198" i="24"/>
  <c r="T199" i="24"/>
  <c r="T200" i="24"/>
  <c r="T201" i="24"/>
  <c r="T202" i="24"/>
  <c r="T203" i="24"/>
  <c r="T204" i="24"/>
  <c r="T205" i="24"/>
  <c r="K55" i="24" s="1"/>
  <c r="T206" i="24"/>
  <c r="T207" i="24"/>
  <c r="T208" i="24"/>
  <c r="T209" i="24"/>
  <c r="T210" i="24"/>
  <c r="T211" i="24"/>
  <c r="T212" i="24"/>
  <c r="T213" i="24"/>
  <c r="T214" i="24"/>
  <c r="T215" i="24"/>
  <c r="T216" i="24"/>
  <c r="T217" i="24"/>
  <c r="T218" i="24"/>
  <c r="T219" i="24"/>
  <c r="T220" i="24"/>
  <c r="T221" i="24"/>
  <c r="T222" i="24"/>
  <c r="T223" i="24"/>
  <c r="T224" i="24"/>
  <c r="T225" i="24"/>
  <c r="T226" i="24"/>
  <c r="T227" i="24"/>
  <c r="T228" i="24"/>
  <c r="T229" i="24"/>
  <c r="T230" i="24"/>
  <c r="T231" i="24"/>
  <c r="T232" i="24"/>
  <c r="T233" i="24"/>
  <c r="T234" i="24"/>
  <c r="T235" i="24"/>
  <c r="T236" i="24"/>
  <c r="T237" i="24"/>
  <c r="T238" i="24"/>
  <c r="T239" i="24"/>
  <c r="T240" i="24"/>
  <c r="T241" i="24"/>
  <c r="T242" i="24"/>
  <c r="T243" i="24"/>
  <c r="T244" i="24"/>
  <c r="T245" i="24"/>
  <c r="T246" i="24"/>
  <c r="T247" i="24"/>
  <c r="T248" i="24"/>
  <c r="T249" i="24"/>
  <c r="T250" i="24"/>
  <c r="T251" i="24"/>
  <c r="T252" i="24"/>
  <c r="T253" i="24"/>
  <c r="T254" i="24"/>
  <c r="T255" i="24"/>
  <c r="T256" i="24"/>
  <c r="T257" i="24"/>
  <c r="T258" i="24"/>
  <c r="T259" i="24"/>
  <c r="T260" i="24"/>
  <c r="T261" i="24"/>
  <c r="T262" i="24"/>
  <c r="T263" i="24"/>
  <c r="T264" i="24"/>
  <c r="T265" i="24"/>
  <c r="T266" i="24"/>
  <c r="T267" i="24"/>
  <c r="T268" i="24"/>
  <c r="T269" i="24"/>
  <c r="T270" i="24"/>
  <c r="T271" i="24"/>
  <c r="T272" i="24"/>
  <c r="T273" i="24"/>
  <c r="T274" i="24"/>
  <c r="T275" i="24"/>
  <c r="T276" i="24"/>
  <c r="T277" i="24"/>
  <c r="T278" i="24"/>
  <c r="T279" i="24"/>
  <c r="T280" i="24"/>
  <c r="T281" i="24"/>
  <c r="T282" i="24"/>
  <c r="T283" i="24"/>
  <c r="T284" i="24"/>
  <c r="T285" i="24"/>
  <c r="T286" i="24"/>
  <c r="T287" i="24"/>
  <c r="T288" i="24"/>
  <c r="T289" i="24"/>
  <c r="T290" i="24"/>
  <c r="T291" i="24"/>
  <c r="T292" i="24"/>
  <c r="T293" i="24"/>
  <c r="T294" i="24"/>
  <c r="T295" i="24"/>
  <c r="T296" i="24"/>
  <c r="T297" i="24"/>
  <c r="T298" i="24"/>
  <c r="T299" i="24"/>
  <c r="T300" i="24"/>
  <c r="T301" i="24"/>
  <c r="T302" i="24"/>
  <c r="T303" i="24"/>
  <c r="T304" i="24"/>
  <c r="T305" i="24"/>
  <c r="T306" i="24"/>
  <c r="T307" i="24"/>
  <c r="T308" i="24"/>
  <c r="T309" i="24"/>
  <c r="T310" i="24"/>
  <c r="T311" i="24"/>
  <c r="T312" i="24"/>
  <c r="T313" i="24"/>
  <c r="T314" i="24"/>
  <c r="T315" i="24"/>
  <c r="T316" i="24"/>
  <c r="T317" i="24"/>
  <c r="T318" i="24"/>
  <c r="T319" i="24"/>
  <c r="T320" i="24"/>
  <c r="T321" i="24"/>
  <c r="T322" i="24"/>
  <c r="T323" i="24"/>
  <c r="T324" i="24"/>
  <c r="T325" i="24"/>
  <c r="T326" i="24"/>
  <c r="T327" i="24"/>
  <c r="T328" i="24"/>
  <c r="T329" i="24"/>
  <c r="T330" i="24"/>
  <c r="T331" i="24"/>
  <c r="T332" i="24"/>
  <c r="T333" i="24"/>
  <c r="T334" i="24"/>
  <c r="T335" i="24"/>
  <c r="T336" i="24"/>
  <c r="T337" i="24"/>
  <c r="T338" i="24"/>
  <c r="T339" i="24"/>
  <c r="T340" i="24"/>
  <c r="T341" i="24"/>
  <c r="T342" i="24"/>
  <c r="T343" i="24"/>
  <c r="T344" i="24"/>
  <c r="T345" i="24"/>
  <c r="T346" i="24"/>
  <c r="T347" i="24"/>
  <c r="T348" i="24"/>
  <c r="T349" i="24"/>
  <c r="T350" i="24"/>
  <c r="T351" i="24"/>
  <c r="T352" i="24"/>
  <c r="F253" i="20" l="1"/>
  <c r="F254" i="20"/>
  <c r="F255" i="20"/>
  <c r="F256" i="20"/>
  <c r="F257" i="20"/>
  <c r="F258" i="20"/>
  <c r="F252" i="20"/>
  <c r="S291" i="20"/>
  <c r="S290" i="20"/>
  <c r="S289" i="20"/>
  <c r="S288" i="20"/>
  <c r="S287" i="20"/>
  <c r="S286" i="20"/>
  <c r="S285" i="20"/>
  <c r="S284" i="20"/>
  <c r="S280" i="20"/>
  <c r="S279" i="20"/>
  <c r="S278" i="20"/>
  <c r="S277" i="20"/>
  <c r="S276" i="20"/>
  <c r="S275" i="20"/>
  <c r="S274" i="20"/>
  <c r="S273" i="20"/>
  <c r="W269" i="20"/>
  <c r="W268" i="20"/>
  <c r="W267" i="20"/>
  <c r="W266" i="20"/>
  <c r="W265" i="20"/>
  <c r="W264" i="20"/>
  <c r="W263" i="20"/>
  <c r="W262" i="20"/>
  <c r="S248" i="20"/>
  <c r="S247" i="20"/>
  <c r="S246" i="20"/>
  <c r="S245" i="20"/>
  <c r="S244" i="20"/>
  <c r="S243" i="20"/>
  <c r="S242" i="20"/>
  <c r="S238" i="20"/>
  <c r="S237" i="20"/>
  <c r="S236" i="20"/>
  <c r="S235" i="20"/>
  <c r="S234" i="20"/>
  <c r="S233" i="20"/>
  <c r="S232" i="20"/>
  <c r="W228" i="20"/>
  <c r="W227" i="20"/>
  <c r="W226" i="20"/>
  <c r="W225" i="20"/>
  <c r="W224" i="20"/>
  <c r="W223" i="20"/>
  <c r="W222" i="20"/>
  <c r="S207" i="20"/>
  <c r="S206" i="20"/>
  <c r="S205" i="20"/>
  <c r="S204" i="20"/>
  <c r="S203" i="20"/>
  <c r="S202" i="20"/>
  <c r="S201" i="20"/>
  <c r="S200" i="20"/>
  <c r="S196" i="20"/>
  <c r="S195" i="20"/>
  <c r="S194" i="20"/>
  <c r="S193" i="20"/>
  <c r="S192" i="20"/>
  <c r="S191" i="20"/>
  <c r="S190" i="20"/>
  <c r="S189" i="20"/>
  <c r="W185" i="20"/>
  <c r="W184" i="20"/>
  <c r="W183" i="20"/>
  <c r="W182" i="20"/>
  <c r="W181" i="20"/>
  <c r="W180" i="20"/>
  <c r="W179" i="20"/>
  <c r="W178" i="20"/>
  <c r="V174" i="20"/>
  <c r="V173" i="20"/>
  <c r="V172" i="20"/>
  <c r="V171" i="20"/>
  <c r="V170" i="20"/>
  <c r="V169" i="20"/>
  <c r="V168" i="20"/>
  <c r="V164" i="20"/>
  <c r="V163" i="20"/>
  <c r="V162" i="20"/>
  <c r="V161" i="20"/>
  <c r="V160" i="20"/>
  <c r="V159" i="20"/>
  <c r="V158" i="20"/>
  <c r="V154" i="20"/>
  <c r="V153" i="20"/>
  <c r="V152" i="20"/>
  <c r="V151" i="20"/>
  <c r="V150" i="20"/>
  <c r="V149" i="20"/>
  <c r="V148" i="20"/>
  <c r="Q142" i="20"/>
  <c r="Q141" i="20"/>
  <c r="Q140" i="20"/>
  <c r="Q139" i="20"/>
  <c r="Q138" i="20"/>
  <c r="Q137" i="20"/>
  <c r="Q136" i="20"/>
  <c r="Q132" i="20"/>
  <c r="Q131" i="20"/>
  <c r="Q130" i="20"/>
  <c r="Q129" i="20"/>
  <c r="W125" i="20"/>
  <c r="W124" i="20"/>
  <c r="W123" i="20"/>
  <c r="W122" i="20"/>
  <c r="W118" i="20"/>
  <c r="W117" i="20"/>
  <c r="W116" i="20"/>
  <c r="W115" i="20"/>
  <c r="W111" i="20"/>
  <c r="W110" i="20"/>
  <c r="W109" i="20"/>
  <c r="W108" i="20"/>
  <c r="W104" i="20"/>
  <c r="W103" i="20"/>
  <c r="W102" i="20"/>
  <c r="W101" i="20"/>
  <c r="W97" i="20"/>
  <c r="W96" i="20"/>
  <c r="W95" i="20"/>
  <c r="W94" i="20"/>
  <c r="W90" i="20"/>
  <c r="W89" i="20"/>
  <c r="W88" i="20"/>
  <c r="W87" i="20"/>
  <c r="W83" i="20"/>
  <c r="W82" i="20"/>
  <c r="W81" i="20"/>
  <c r="W80" i="20"/>
  <c r="W74" i="20"/>
  <c r="W73" i="20"/>
  <c r="W72" i="20"/>
  <c r="W71" i="20"/>
  <c r="W67" i="20"/>
  <c r="W66" i="20"/>
  <c r="W65" i="20"/>
  <c r="W64" i="20"/>
  <c r="W60" i="20"/>
  <c r="W59" i="20"/>
  <c r="W58" i="20"/>
  <c r="W57" i="20"/>
  <c r="W53" i="20"/>
  <c r="W52" i="20"/>
  <c r="W51" i="20"/>
  <c r="W50" i="20"/>
  <c r="W46" i="20"/>
  <c r="W45" i="20"/>
  <c r="W44" i="20"/>
  <c r="W43" i="20"/>
  <c r="W39" i="20"/>
  <c r="W38" i="20"/>
  <c r="W37" i="20"/>
  <c r="W36" i="20"/>
  <c r="W32" i="20"/>
  <c r="W31" i="20"/>
  <c r="W30" i="20"/>
  <c r="W29" i="20"/>
  <c r="W23" i="20"/>
  <c r="W22" i="20"/>
  <c r="W21" i="20"/>
  <c r="W20" i="20"/>
  <c r="W19" i="20"/>
  <c r="W18" i="20"/>
  <c r="W17" i="20"/>
  <c r="W16" i="20"/>
  <c r="W15" i="20"/>
  <c r="W14" i="20"/>
  <c r="W13" i="20"/>
  <c r="W12" i="20"/>
  <c r="W11" i="20"/>
  <c r="W7" i="20"/>
  <c r="W6" i="20"/>
  <c r="W5" i="20"/>
  <c r="W4" i="20"/>
  <c r="S291" i="21"/>
  <c r="S290" i="21"/>
  <c r="S289" i="21"/>
  <c r="S288" i="21"/>
  <c r="S287" i="21"/>
  <c r="S286" i="21"/>
  <c r="S285" i="21"/>
  <c r="S284" i="21"/>
  <c r="S280" i="21"/>
  <c r="S279" i="21"/>
  <c r="S278" i="21"/>
  <c r="S277" i="21"/>
  <c r="S276" i="21"/>
  <c r="S275" i="21"/>
  <c r="S274" i="21"/>
  <c r="S273" i="21"/>
  <c r="W269" i="21"/>
  <c r="J269" i="21" s="1"/>
  <c r="W268" i="21"/>
  <c r="J268" i="21" s="1"/>
  <c r="W267" i="21"/>
  <c r="J267" i="21" s="1"/>
  <c r="W266" i="21"/>
  <c r="J266" i="21" s="1"/>
  <c r="W265" i="21"/>
  <c r="J265" i="21" s="1"/>
  <c r="W264" i="21"/>
  <c r="J264" i="21" s="1"/>
  <c r="W263" i="21"/>
  <c r="W262" i="21"/>
  <c r="S248" i="21"/>
  <c r="S247" i="21"/>
  <c r="S246" i="21"/>
  <c r="S245" i="21"/>
  <c r="S244" i="21"/>
  <c r="S243" i="21"/>
  <c r="S242" i="21"/>
  <c r="S238" i="21"/>
  <c r="S237" i="21"/>
  <c r="S236" i="21"/>
  <c r="S235" i="21"/>
  <c r="S234" i="21"/>
  <c r="S233" i="21"/>
  <c r="S232" i="21"/>
  <c r="W228" i="21"/>
  <c r="W227" i="21"/>
  <c r="W226" i="21"/>
  <c r="W225" i="21"/>
  <c r="W224" i="21"/>
  <c r="W223" i="21"/>
  <c r="W222" i="21"/>
  <c r="S207" i="21"/>
  <c r="S206" i="21"/>
  <c r="S205" i="21"/>
  <c r="S204" i="21"/>
  <c r="S203" i="21"/>
  <c r="S202" i="21"/>
  <c r="S201" i="21"/>
  <c r="S200" i="21"/>
  <c r="S196" i="21"/>
  <c r="S195" i="21"/>
  <c r="S194" i="21"/>
  <c r="S193" i="21"/>
  <c r="S192" i="21"/>
  <c r="S191" i="21"/>
  <c r="S190" i="21"/>
  <c r="S189" i="21"/>
  <c r="W185" i="21"/>
  <c r="W184" i="21"/>
  <c r="W183" i="21"/>
  <c r="W182" i="21"/>
  <c r="W181" i="21"/>
  <c r="W180" i="21"/>
  <c r="W179" i="21"/>
  <c r="W178" i="21"/>
  <c r="V174" i="21"/>
  <c r="V173" i="21"/>
  <c r="V172" i="21"/>
  <c r="V171" i="21"/>
  <c r="V170" i="21"/>
  <c r="V169" i="21"/>
  <c r="V168" i="21"/>
  <c r="V164" i="21"/>
  <c r="V163" i="21"/>
  <c r="V162" i="21"/>
  <c r="V161" i="21"/>
  <c r="V160" i="21"/>
  <c r="V159" i="21"/>
  <c r="V158" i="21"/>
  <c r="V154" i="21"/>
  <c r="V153" i="21"/>
  <c r="V152" i="21"/>
  <c r="V151" i="21"/>
  <c r="V150" i="21"/>
  <c r="V149" i="21"/>
  <c r="V148" i="21"/>
  <c r="Q142" i="21"/>
  <c r="Q141" i="21"/>
  <c r="Q140" i="21"/>
  <c r="Q139" i="21"/>
  <c r="Q138" i="21"/>
  <c r="Q137" i="21"/>
  <c r="Q136" i="21"/>
  <c r="Q132" i="21"/>
  <c r="Q131" i="21"/>
  <c r="Q130" i="21"/>
  <c r="Q129" i="21"/>
  <c r="W125" i="21"/>
  <c r="W124" i="21"/>
  <c r="W123" i="21"/>
  <c r="W122" i="21"/>
  <c r="W118" i="21"/>
  <c r="W117" i="21"/>
  <c r="W116" i="21"/>
  <c r="W115" i="21"/>
  <c r="W111" i="21"/>
  <c r="W110" i="21"/>
  <c r="W109" i="21"/>
  <c r="W108" i="21"/>
  <c r="W104" i="21"/>
  <c r="W103" i="21"/>
  <c r="W102" i="21"/>
  <c r="W101" i="21"/>
  <c r="W97" i="21"/>
  <c r="W96" i="21"/>
  <c r="W95" i="21"/>
  <c r="W94" i="21"/>
  <c r="W90" i="21"/>
  <c r="W89" i="21"/>
  <c r="W88" i="21"/>
  <c r="W87" i="21"/>
  <c r="W83" i="21"/>
  <c r="W82" i="21"/>
  <c r="W81" i="21"/>
  <c r="W80" i="21"/>
  <c r="W74" i="21"/>
  <c r="W73" i="21"/>
  <c r="W72" i="21"/>
  <c r="W71" i="21"/>
  <c r="W67" i="21"/>
  <c r="W66" i="21"/>
  <c r="W65" i="21"/>
  <c r="W64" i="21"/>
  <c r="W60" i="21"/>
  <c r="W59" i="21"/>
  <c r="W58" i="21"/>
  <c r="W57" i="21"/>
  <c r="W53" i="21"/>
  <c r="W52" i="21"/>
  <c r="W51" i="21"/>
  <c r="W50" i="21"/>
  <c r="W46" i="21"/>
  <c r="W45" i="21"/>
  <c r="W44" i="21"/>
  <c r="W43" i="21"/>
  <c r="W39" i="21"/>
  <c r="W38" i="21"/>
  <c r="W37" i="21"/>
  <c r="W36" i="21"/>
  <c r="W32" i="21"/>
  <c r="W31" i="21"/>
  <c r="W30" i="21"/>
  <c r="W29" i="21"/>
  <c r="W23" i="21"/>
  <c r="W22" i="21"/>
  <c r="W21" i="21"/>
  <c r="W20" i="21"/>
  <c r="W19" i="21"/>
  <c r="W18" i="21"/>
  <c r="W17" i="21"/>
  <c r="W16" i="21"/>
  <c r="W15" i="21"/>
  <c r="W14" i="21"/>
  <c r="W13" i="21"/>
  <c r="W12" i="21"/>
  <c r="W11" i="21"/>
  <c r="W7" i="21"/>
  <c r="W6" i="21"/>
  <c r="W5" i="21"/>
  <c r="W4" i="21"/>
  <c r="Z4" i="24" l="1"/>
  <c r="H102" i="24" s="1"/>
  <c r="Z5" i="24"/>
  <c r="H103" i="24" s="1"/>
  <c r="Z6" i="24"/>
  <c r="H104" i="24" s="1"/>
  <c r="Z7" i="24"/>
  <c r="H105" i="24" s="1"/>
  <c r="Z8" i="24"/>
  <c r="H106" i="24" s="1"/>
  <c r="Z9" i="24"/>
  <c r="H107" i="24" s="1"/>
  <c r="Z10" i="24"/>
  <c r="Z11" i="24"/>
  <c r="Z12" i="24"/>
  <c r="Z13" i="24"/>
  <c r="Z14" i="24"/>
  <c r="Z15" i="24"/>
  <c r="Z16" i="24"/>
  <c r="Z17" i="24"/>
  <c r="Z3" i="24"/>
  <c r="H101" i="24" s="1"/>
  <c r="AA17" i="24" l="1"/>
  <c r="AA16" i="24"/>
  <c r="AA15" i="24"/>
  <c r="AA14" i="24"/>
  <c r="AA13" i="24"/>
  <c r="AA12" i="24"/>
  <c r="AA11" i="24"/>
  <c r="AA10" i="24"/>
  <c r="H68" i="24" l="1"/>
  <c r="G68" i="24"/>
  <c r="F68" i="24"/>
  <c r="E68" i="24"/>
  <c r="D68" i="24"/>
  <c r="C68" i="24"/>
  <c r="B68" i="24"/>
  <c r="H67" i="24"/>
  <c r="G67" i="24"/>
  <c r="F67" i="24"/>
  <c r="E67" i="24"/>
  <c r="D67" i="24"/>
  <c r="C67" i="24"/>
  <c r="B67" i="24"/>
  <c r="H66" i="24"/>
  <c r="G66" i="24"/>
  <c r="F66" i="24"/>
  <c r="E66" i="24"/>
  <c r="D66" i="24"/>
  <c r="C66" i="24"/>
  <c r="B66" i="24"/>
  <c r="H65" i="24"/>
  <c r="G65" i="24"/>
  <c r="F65" i="24"/>
  <c r="E65" i="24"/>
  <c r="D65" i="24"/>
  <c r="C65" i="24"/>
  <c r="B65" i="24"/>
  <c r="H64" i="24"/>
  <c r="G64" i="24"/>
  <c r="F64" i="24"/>
  <c r="E64" i="24"/>
  <c r="D64" i="24"/>
  <c r="C64" i="24"/>
  <c r="B64" i="24"/>
  <c r="H63" i="24"/>
  <c r="G63" i="24"/>
  <c r="F63" i="24"/>
  <c r="B63" i="24"/>
  <c r="G62" i="24"/>
  <c r="F62" i="24"/>
  <c r="C62" i="24"/>
  <c r="B62" i="24"/>
  <c r="J42" i="24"/>
  <c r="J41" i="24"/>
  <c r="J40" i="24"/>
  <c r="J39" i="24"/>
  <c r="J38" i="24"/>
  <c r="J37" i="24"/>
  <c r="J36" i="24"/>
  <c r="J35" i="24"/>
  <c r="J34" i="24"/>
  <c r="Q33" i="24"/>
  <c r="P33" i="24"/>
  <c r="O33" i="24"/>
  <c r="N33" i="24"/>
  <c r="M33" i="24"/>
  <c r="L33" i="24"/>
  <c r="K33" i="24"/>
  <c r="J33" i="24"/>
  <c r="J31" i="24"/>
  <c r="J30" i="24"/>
  <c r="A42" i="24"/>
  <c r="A41" i="24"/>
  <c r="A40" i="24"/>
  <c r="A39" i="24"/>
  <c r="A38" i="24"/>
  <c r="A37" i="24"/>
  <c r="A36" i="24"/>
  <c r="A35" i="24"/>
  <c r="A34" i="24"/>
  <c r="H33" i="24"/>
  <c r="G33" i="24"/>
  <c r="F33" i="24"/>
  <c r="E33" i="24"/>
  <c r="D33" i="24"/>
  <c r="C33" i="24"/>
  <c r="B33" i="24"/>
  <c r="A33" i="24"/>
  <c r="A31" i="24"/>
  <c r="A30" i="24"/>
  <c r="D18" i="24" l="1"/>
  <c r="A4" i="24"/>
  <c r="A18" i="24" s="1"/>
  <c r="C4" i="24"/>
  <c r="C18" i="24" s="1"/>
  <c r="B4" i="24"/>
  <c r="B18" i="24" s="1"/>
  <c r="A6" i="24"/>
  <c r="A20" i="24" s="1"/>
  <c r="A7" i="24"/>
  <c r="A21" i="24" s="1"/>
  <c r="A8" i="24"/>
  <c r="A22" i="24" s="1"/>
  <c r="A9" i="24"/>
  <c r="A23" i="24" s="1"/>
  <c r="A10" i="24"/>
  <c r="A24" i="24" s="1"/>
  <c r="A11" i="24"/>
  <c r="A25" i="24" s="1"/>
  <c r="A12" i="24"/>
  <c r="A26" i="24" s="1"/>
  <c r="A13" i="24"/>
  <c r="A27" i="24" s="1"/>
  <c r="A5" i="24"/>
  <c r="A19" i="24" s="1"/>
  <c r="AA124" i="10" l="1"/>
  <c r="AB124" i="10"/>
  <c r="AC124" i="10"/>
  <c r="AD124" i="10"/>
  <c r="AE124" i="10"/>
  <c r="AF124" i="10"/>
  <c r="AA107" i="10"/>
  <c r="AB107" i="10"/>
  <c r="AC107" i="10"/>
  <c r="AD107" i="10"/>
  <c r="AE107" i="10"/>
  <c r="AF107" i="10"/>
  <c r="Z124" i="10"/>
  <c r="Z107" i="10"/>
  <c r="O124" i="10"/>
  <c r="P124" i="10"/>
  <c r="Q124" i="10"/>
  <c r="R124" i="10"/>
  <c r="S124" i="10"/>
  <c r="T124" i="10"/>
  <c r="O107" i="10"/>
  <c r="P107" i="10"/>
  <c r="Q107" i="10"/>
  <c r="R107" i="10"/>
  <c r="S107" i="10"/>
  <c r="N124" i="10"/>
  <c r="N107" i="10"/>
  <c r="C124" i="10"/>
  <c r="D124" i="10"/>
  <c r="E124" i="10"/>
  <c r="F124" i="10"/>
  <c r="G124" i="10"/>
  <c r="H124" i="10"/>
  <c r="B124" i="10"/>
  <c r="AA116" i="11"/>
  <c r="AB116" i="11"/>
  <c r="AC116" i="11"/>
  <c r="AD116" i="11"/>
  <c r="AE116" i="11"/>
  <c r="AF116" i="11"/>
  <c r="AA100" i="11"/>
  <c r="AB100" i="11"/>
  <c r="AC100" i="11"/>
  <c r="AD100" i="11"/>
  <c r="AE100" i="11"/>
  <c r="AF100" i="11"/>
  <c r="Z116" i="11"/>
  <c r="Z100" i="11"/>
  <c r="O116" i="11"/>
  <c r="P116" i="11"/>
  <c r="Q116" i="11"/>
  <c r="R116" i="11"/>
  <c r="S116" i="11"/>
  <c r="O100" i="11"/>
  <c r="P100" i="11"/>
  <c r="Q100" i="11"/>
  <c r="R100" i="11"/>
  <c r="S100" i="11"/>
  <c r="N116" i="11"/>
  <c r="N100" i="11"/>
  <c r="C116" i="11"/>
  <c r="D116" i="11"/>
  <c r="E116" i="11"/>
  <c r="F116" i="11"/>
  <c r="G116" i="11"/>
  <c r="B116" i="11"/>
  <c r="AA123" i="12"/>
  <c r="AB123" i="12"/>
  <c r="AC123" i="12"/>
  <c r="AD123" i="12"/>
  <c r="AE123" i="12"/>
  <c r="AF123" i="12"/>
  <c r="Z123" i="12"/>
  <c r="AA106" i="12"/>
  <c r="AB106" i="12"/>
  <c r="AC106" i="12"/>
  <c r="AD106" i="12"/>
  <c r="AE106" i="12"/>
  <c r="AF106" i="12"/>
  <c r="Z106" i="12"/>
  <c r="O123" i="12"/>
  <c r="P123" i="12"/>
  <c r="Q123" i="12"/>
  <c r="R123" i="12"/>
  <c r="S123" i="12"/>
  <c r="N123" i="12"/>
  <c r="O106" i="12"/>
  <c r="P106" i="12"/>
  <c r="Q106" i="12"/>
  <c r="R106" i="12"/>
  <c r="S106" i="12"/>
  <c r="N106" i="12"/>
  <c r="C123" i="12"/>
  <c r="D123" i="12"/>
  <c r="E123" i="12"/>
  <c r="F123" i="12"/>
  <c r="G123" i="12"/>
  <c r="B123" i="12"/>
  <c r="AF118" i="10" l="1"/>
  <c r="AF117" i="12"/>
  <c r="F296" i="21"/>
  <c r="F108" i="12" s="1"/>
  <c r="F297" i="21"/>
  <c r="F109" i="12" s="1"/>
  <c r="F298" i="21"/>
  <c r="F110" i="12" s="1"/>
  <c r="F299" i="21"/>
  <c r="F111" i="12" s="1"/>
  <c r="F300" i="21"/>
  <c r="F112" i="12" s="1"/>
  <c r="F301" i="21"/>
  <c r="F113" i="12" s="1"/>
  <c r="F302" i="21"/>
  <c r="F114" i="12" s="1"/>
  <c r="F295" i="21"/>
  <c r="F107" i="12" s="1"/>
  <c r="G218" i="21"/>
  <c r="G115" i="10" s="1"/>
  <c r="F218" i="21"/>
  <c r="F115" i="10" s="1"/>
  <c r="G217" i="21"/>
  <c r="G114" i="10" s="1"/>
  <c r="F217" i="21"/>
  <c r="F114" i="10" s="1"/>
  <c r="G216" i="21"/>
  <c r="G113" i="10" s="1"/>
  <c r="F216" i="21"/>
  <c r="F113" i="10" s="1"/>
  <c r="G215" i="21"/>
  <c r="G112" i="10" s="1"/>
  <c r="F215" i="21"/>
  <c r="F112" i="10" s="1"/>
  <c r="G214" i="21"/>
  <c r="G111" i="10" s="1"/>
  <c r="F214" i="21"/>
  <c r="F111" i="10" s="1"/>
  <c r="G213" i="21"/>
  <c r="G110" i="10" s="1"/>
  <c r="F213" i="21"/>
  <c r="F110" i="10" s="1"/>
  <c r="G212" i="21"/>
  <c r="G109" i="10" s="1"/>
  <c r="F212" i="21"/>
  <c r="F109" i="10" s="1"/>
  <c r="G211" i="21"/>
  <c r="G108" i="10" s="1"/>
  <c r="F211" i="21"/>
  <c r="F108" i="10" s="1"/>
  <c r="H212" i="21" s="1"/>
  <c r="F253" i="21"/>
  <c r="F102" i="11" s="1"/>
  <c r="G253" i="21"/>
  <c r="G102" i="11" s="1"/>
  <c r="F254" i="21"/>
  <c r="F103" i="11" s="1"/>
  <c r="G254" i="21"/>
  <c r="G103" i="11" s="1"/>
  <c r="F255" i="21"/>
  <c r="F104" i="11" s="1"/>
  <c r="G255" i="21"/>
  <c r="G104" i="11" s="1"/>
  <c r="F256" i="21"/>
  <c r="F105" i="11" s="1"/>
  <c r="G256" i="21"/>
  <c r="G105" i="11" s="1"/>
  <c r="F257" i="21"/>
  <c r="F106" i="11" s="1"/>
  <c r="G257" i="21"/>
  <c r="G106" i="11" s="1"/>
  <c r="F258" i="21"/>
  <c r="F107" i="11" s="1"/>
  <c r="G258" i="21"/>
  <c r="G107" i="11" s="1"/>
  <c r="G252" i="21"/>
  <c r="G101" i="11" s="1"/>
  <c r="F252" i="21"/>
  <c r="F101" i="11" s="1"/>
  <c r="H253" i="21" s="1"/>
  <c r="G302" i="21"/>
  <c r="G114" i="12" s="1"/>
  <c r="G301" i="21"/>
  <c r="G113" i="12" s="1"/>
  <c r="G300" i="21"/>
  <c r="G112" i="12" s="1"/>
  <c r="G299" i="21"/>
  <c r="G111" i="12" s="1"/>
  <c r="G298" i="21"/>
  <c r="G110" i="12" s="1"/>
  <c r="G297" i="21"/>
  <c r="G109" i="12" s="1"/>
  <c r="G296" i="21"/>
  <c r="G108" i="12" s="1"/>
  <c r="G295" i="21"/>
  <c r="G107" i="12" s="1"/>
  <c r="F296" i="20"/>
  <c r="R108" i="12" s="1"/>
  <c r="F297" i="20"/>
  <c r="R109" i="12" s="1"/>
  <c r="F298" i="20"/>
  <c r="R110" i="12" s="1"/>
  <c r="F299" i="20"/>
  <c r="R111" i="12" s="1"/>
  <c r="F300" i="20"/>
  <c r="R112" i="12" s="1"/>
  <c r="F301" i="20"/>
  <c r="R113" i="12" s="1"/>
  <c r="F302" i="20"/>
  <c r="R114" i="12" s="1"/>
  <c r="F295" i="20"/>
  <c r="R107" i="12" s="1"/>
  <c r="B335" i="21"/>
  <c r="F118" i="10" s="1"/>
  <c r="B8" i="16" s="1"/>
  <c r="B336" i="21"/>
  <c r="G118" i="10" s="1"/>
  <c r="G110" i="11" s="1"/>
  <c r="B335" i="20"/>
  <c r="R118" i="10" s="1"/>
  <c r="C8" i="16" s="1"/>
  <c r="B336" i="20"/>
  <c r="S118" i="10" s="1"/>
  <c r="S110" i="11" s="1"/>
  <c r="H296" i="20" s="1"/>
  <c r="T108" i="12" s="1"/>
  <c r="G302" i="20"/>
  <c r="S114" i="12" s="1"/>
  <c r="G301" i="20"/>
  <c r="S113" i="12" s="1"/>
  <c r="G300" i="20"/>
  <c r="S112" i="12" s="1"/>
  <c r="G299" i="20"/>
  <c r="S111" i="12" s="1"/>
  <c r="G298" i="20"/>
  <c r="S110" i="12" s="1"/>
  <c r="G297" i="20"/>
  <c r="S109" i="12" s="1"/>
  <c r="G296" i="20"/>
  <c r="S108" i="12" s="1"/>
  <c r="G295" i="20"/>
  <c r="S107" i="12" s="1"/>
  <c r="H253" i="20" s="1"/>
  <c r="T102" i="11" s="1"/>
  <c r="G258" i="20"/>
  <c r="S107" i="11" s="1"/>
  <c r="G257" i="20"/>
  <c r="S106" i="11" s="1"/>
  <c r="G256" i="20"/>
  <c r="S105" i="11" s="1"/>
  <c r="G255" i="20"/>
  <c r="S104" i="11" s="1"/>
  <c r="G254" i="20"/>
  <c r="S103" i="11" s="1"/>
  <c r="G253" i="20"/>
  <c r="S102" i="11" s="1"/>
  <c r="G252" i="20"/>
  <c r="S101" i="11" s="1"/>
  <c r="G218" i="20"/>
  <c r="S115" i="10" s="1"/>
  <c r="F218" i="20"/>
  <c r="R115" i="10" s="1"/>
  <c r="G217" i="20"/>
  <c r="S114" i="10" s="1"/>
  <c r="F217" i="20"/>
  <c r="R114" i="10" s="1"/>
  <c r="G216" i="20"/>
  <c r="S113" i="10" s="1"/>
  <c r="F216" i="20"/>
  <c r="R113" i="10" s="1"/>
  <c r="G215" i="20"/>
  <c r="S112" i="10" s="1"/>
  <c r="F215" i="20"/>
  <c r="R112" i="10" s="1"/>
  <c r="G214" i="20"/>
  <c r="S111" i="10" s="1"/>
  <c r="F214" i="20"/>
  <c r="R111" i="10" s="1"/>
  <c r="G213" i="20"/>
  <c r="S110" i="10" s="1"/>
  <c r="F213" i="20"/>
  <c r="R110" i="10" s="1"/>
  <c r="G212" i="20"/>
  <c r="S109" i="10" s="1"/>
  <c r="F212" i="20"/>
  <c r="R109" i="10" s="1"/>
  <c r="G211" i="20"/>
  <c r="S108" i="10" s="1"/>
  <c r="F211" i="20"/>
  <c r="R108" i="10" s="1"/>
  <c r="H212" i="20" s="1"/>
  <c r="T109" i="10" s="1"/>
  <c r="I148" i="21"/>
  <c r="I5" i="9" s="1"/>
  <c r="I149" i="21"/>
  <c r="I6" i="9" s="1"/>
  <c r="I150" i="21"/>
  <c r="I7" i="9" s="1"/>
  <c r="I151" i="21"/>
  <c r="I8" i="9" s="1"/>
  <c r="I152" i="21"/>
  <c r="I9" i="9" s="1"/>
  <c r="I153" i="21"/>
  <c r="I10" i="9" s="1"/>
  <c r="I154" i="21"/>
  <c r="I11" i="9" s="1"/>
  <c r="D129" i="21"/>
  <c r="F48" i="10"/>
  <c r="F61" i="10" s="1"/>
  <c r="H255" i="20"/>
  <c r="T104" i="11" s="1"/>
  <c r="H215" i="20"/>
  <c r="T112" i="10" s="1"/>
  <c r="C137" i="20"/>
  <c r="C138" i="20"/>
  <c r="C139" i="20"/>
  <c r="C140" i="20"/>
  <c r="C141" i="20"/>
  <c r="C142" i="20"/>
  <c r="B137" i="20"/>
  <c r="B138" i="20"/>
  <c r="B139" i="20"/>
  <c r="B140" i="20"/>
  <c r="B141" i="20"/>
  <c r="B142" i="20"/>
  <c r="C130" i="21"/>
  <c r="C131" i="21"/>
  <c r="C132" i="21"/>
  <c r="B130" i="21"/>
  <c r="B131" i="21"/>
  <c r="B132" i="21"/>
  <c r="C137" i="21"/>
  <c r="C138" i="21"/>
  <c r="C139" i="21"/>
  <c r="C140" i="21"/>
  <c r="C141" i="21"/>
  <c r="C142" i="21"/>
  <c r="B137" i="21"/>
  <c r="B138" i="21"/>
  <c r="B139" i="21"/>
  <c r="B140" i="21"/>
  <c r="B141" i="21"/>
  <c r="B142" i="21"/>
  <c r="F291" i="21"/>
  <c r="F80" i="12" s="1"/>
  <c r="B70" i="16" s="1"/>
  <c r="F290" i="21"/>
  <c r="F79" i="12" s="1"/>
  <c r="B69" i="16" s="1"/>
  <c r="F289" i="21"/>
  <c r="F78" i="12" s="1"/>
  <c r="B68" i="16" s="1"/>
  <c r="F288" i="21"/>
  <c r="F77" i="12" s="1"/>
  <c r="B67" i="16" s="1"/>
  <c r="F287" i="21"/>
  <c r="F76" i="12" s="1"/>
  <c r="B66" i="16" s="1"/>
  <c r="F285" i="21"/>
  <c r="F74" i="12" s="1"/>
  <c r="B64" i="16" s="1"/>
  <c r="F284" i="21"/>
  <c r="F73" i="12" s="1"/>
  <c r="B63" i="16" s="1"/>
  <c r="F280" i="21"/>
  <c r="K12" i="12"/>
  <c r="F274" i="21"/>
  <c r="F275" i="21"/>
  <c r="F276" i="21"/>
  <c r="F277" i="21"/>
  <c r="F278" i="21"/>
  <c r="F279" i="21"/>
  <c r="F273" i="21"/>
  <c r="J263" i="21"/>
  <c r="K6" i="12" s="1"/>
  <c r="J262" i="21"/>
  <c r="K5" i="12" s="1"/>
  <c r="F248" i="21"/>
  <c r="F75" i="11" s="1"/>
  <c r="F247" i="21"/>
  <c r="F74" i="11" s="1"/>
  <c r="F246" i="21"/>
  <c r="F73" i="11" s="1"/>
  <c r="F245" i="21"/>
  <c r="F72" i="11" s="1"/>
  <c r="F244" i="21"/>
  <c r="F71" i="11" s="1"/>
  <c r="F243" i="21"/>
  <c r="F70" i="11" s="1"/>
  <c r="F242" i="21"/>
  <c r="F69" i="11" s="1"/>
  <c r="F233" i="21"/>
  <c r="F234" i="21"/>
  <c r="F235" i="21"/>
  <c r="F236" i="21"/>
  <c r="F237" i="21"/>
  <c r="F238" i="21"/>
  <c r="F232" i="21"/>
  <c r="F207" i="21"/>
  <c r="F81" i="10" s="1"/>
  <c r="F206" i="21"/>
  <c r="F80" i="10" s="1"/>
  <c r="F205" i="21"/>
  <c r="F79" i="10" s="1"/>
  <c r="F204" i="21"/>
  <c r="F78" i="10" s="1"/>
  <c r="F203" i="21"/>
  <c r="F77" i="10" s="1"/>
  <c r="F202" i="21"/>
  <c r="F76" i="10" s="1"/>
  <c r="F201" i="21"/>
  <c r="F75" i="10" s="1"/>
  <c r="F200" i="21"/>
  <c r="F74" i="10" s="1"/>
  <c r="F190" i="21"/>
  <c r="F191" i="21"/>
  <c r="F192" i="21"/>
  <c r="F193" i="21"/>
  <c r="F194" i="21"/>
  <c r="F195" i="21"/>
  <c r="F196" i="21"/>
  <c r="F189" i="21"/>
  <c r="J179" i="21"/>
  <c r="K6" i="10" s="1"/>
  <c r="J185" i="21"/>
  <c r="K12" i="10" s="1"/>
  <c r="J178" i="21"/>
  <c r="K5" i="10" s="1"/>
  <c r="I174" i="21"/>
  <c r="I71" i="9" s="1"/>
  <c r="I173" i="21"/>
  <c r="I70" i="9" s="1"/>
  <c r="I172" i="21"/>
  <c r="I69" i="9" s="1"/>
  <c r="I171" i="21"/>
  <c r="I68" i="9" s="1"/>
  <c r="I170" i="21"/>
  <c r="I67" i="9" s="1"/>
  <c r="I169" i="21"/>
  <c r="I66" i="9" s="1"/>
  <c r="I168" i="21"/>
  <c r="I65" i="9" s="1"/>
  <c r="I164" i="21"/>
  <c r="I41" i="9" s="1"/>
  <c r="I163" i="21"/>
  <c r="I40" i="9" s="1"/>
  <c r="I162" i="21"/>
  <c r="I39" i="9" s="1"/>
  <c r="I161" i="21"/>
  <c r="I38" i="9" s="1"/>
  <c r="I160" i="21"/>
  <c r="I37" i="9" s="1"/>
  <c r="I159" i="21"/>
  <c r="I36" i="9" s="1"/>
  <c r="I158" i="21"/>
  <c r="I35" i="9" s="1"/>
  <c r="D137" i="21"/>
  <c r="B102" i="24" s="1"/>
  <c r="D138" i="21"/>
  <c r="B103" i="24" s="1"/>
  <c r="D139" i="21"/>
  <c r="B104" i="24" s="1"/>
  <c r="D140" i="21"/>
  <c r="B105" i="24" s="1"/>
  <c r="D141" i="21"/>
  <c r="B106" i="24" s="1"/>
  <c r="D142" i="21"/>
  <c r="B107" i="24" s="1"/>
  <c r="F291" i="20"/>
  <c r="R80" i="12" s="1"/>
  <c r="F290" i="20"/>
  <c r="R79" i="12" s="1"/>
  <c r="F289" i="20"/>
  <c r="R78" i="12" s="1"/>
  <c r="F288" i="20"/>
  <c r="R77" i="12" s="1"/>
  <c r="F287" i="20"/>
  <c r="R76" i="12" s="1"/>
  <c r="F286" i="20"/>
  <c r="R75" i="12" s="1"/>
  <c r="F285" i="20"/>
  <c r="R74" i="12" s="1"/>
  <c r="F284" i="20"/>
  <c r="R73" i="12" s="1"/>
  <c r="F274" i="20"/>
  <c r="F275" i="20"/>
  <c r="F276" i="20"/>
  <c r="F277" i="20"/>
  <c r="F278" i="20"/>
  <c r="F279" i="20"/>
  <c r="F280" i="20"/>
  <c r="F273" i="20"/>
  <c r="J263" i="20"/>
  <c r="W6" i="12" s="1"/>
  <c r="C64" i="16" s="1"/>
  <c r="J264" i="20"/>
  <c r="W7" i="12" s="1"/>
  <c r="J265" i="20"/>
  <c r="W8" i="12" s="1"/>
  <c r="J266" i="20"/>
  <c r="W9" i="12" s="1"/>
  <c r="J267" i="20"/>
  <c r="W10" i="12" s="1"/>
  <c r="C68" i="16" s="1"/>
  <c r="J268" i="20"/>
  <c r="W11" i="12" s="1"/>
  <c r="C69" i="16" s="1"/>
  <c r="J269" i="20"/>
  <c r="W12" i="12" s="1"/>
  <c r="C70" i="16" s="1"/>
  <c r="J262" i="20"/>
  <c r="W5" i="12" s="1"/>
  <c r="F248" i="20"/>
  <c r="R75" i="11" s="1"/>
  <c r="F247" i="20"/>
  <c r="R74" i="11" s="1"/>
  <c r="F246" i="20"/>
  <c r="R73" i="11" s="1"/>
  <c r="F245" i="20"/>
  <c r="R72" i="11" s="1"/>
  <c r="F244" i="20"/>
  <c r="R71" i="11" s="1"/>
  <c r="F243" i="20"/>
  <c r="R70" i="11" s="1"/>
  <c r="F242" i="20"/>
  <c r="R69" i="11" s="1"/>
  <c r="F233" i="20"/>
  <c r="F234" i="20"/>
  <c r="F235" i="20"/>
  <c r="F236" i="20"/>
  <c r="F237" i="20"/>
  <c r="F238" i="20"/>
  <c r="F232" i="20"/>
  <c r="F207" i="20"/>
  <c r="R81" i="10" s="1"/>
  <c r="C12" i="24" s="1"/>
  <c r="F206" i="20"/>
  <c r="R80" i="10" s="1"/>
  <c r="C11" i="24" s="1"/>
  <c r="F205" i="20"/>
  <c r="R79" i="10" s="1"/>
  <c r="C10" i="24" s="1"/>
  <c r="F204" i="20"/>
  <c r="R78" i="10" s="1"/>
  <c r="C9" i="24" s="1"/>
  <c r="F203" i="20"/>
  <c r="R77" i="10" s="1"/>
  <c r="C8" i="24" s="1"/>
  <c r="F202" i="20"/>
  <c r="R76" i="10" s="1"/>
  <c r="C7" i="24" s="1"/>
  <c r="F201" i="20"/>
  <c r="R75" i="10" s="1"/>
  <c r="C6" i="24" s="1"/>
  <c r="F200" i="20"/>
  <c r="R74" i="10" s="1"/>
  <c r="C5" i="24" s="1"/>
  <c r="F190" i="20"/>
  <c r="F192" i="20"/>
  <c r="F193" i="20"/>
  <c r="F194" i="20"/>
  <c r="F195" i="20"/>
  <c r="F196" i="20"/>
  <c r="F189" i="20"/>
  <c r="J185" i="20"/>
  <c r="W12" i="10" s="1"/>
  <c r="I174" i="20"/>
  <c r="S71" i="9" s="1"/>
  <c r="I173" i="20"/>
  <c r="S70" i="9" s="1"/>
  <c r="I172" i="20"/>
  <c r="S69" i="9" s="1"/>
  <c r="I171" i="20"/>
  <c r="S68" i="9" s="1"/>
  <c r="I170" i="20"/>
  <c r="S67" i="9" s="1"/>
  <c r="I169" i="20"/>
  <c r="S66" i="9" s="1"/>
  <c r="I168" i="20"/>
  <c r="S65" i="9" s="1"/>
  <c r="I159" i="20"/>
  <c r="S36" i="9" s="1"/>
  <c r="I160" i="20"/>
  <c r="S37" i="9" s="1"/>
  <c r="I161" i="20"/>
  <c r="S38" i="9" s="1"/>
  <c r="I162" i="20"/>
  <c r="S39" i="9" s="1"/>
  <c r="I163" i="20"/>
  <c r="S40" i="9" s="1"/>
  <c r="I164" i="20"/>
  <c r="S41" i="9" s="1"/>
  <c r="I158" i="20"/>
  <c r="S35" i="9" s="1"/>
  <c r="I149" i="20"/>
  <c r="S6" i="9" s="1"/>
  <c r="I150" i="20"/>
  <c r="S7" i="9" s="1"/>
  <c r="I151" i="20"/>
  <c r="S8" i="9" s="1"/>
  <c r="I152" i="20"/>
  <c r="S9" i="9" s="1"/>
  <c r="I153" i="20"/>
  <c r="S10" i="9" s="1"/>
  <c r="I154" i="20"/>
  <c r="S11" i="9" s="1"/>
  <c r="I148" i="20"/>
  <c r="S5" i="9" s="1"/>
  <c r="J179" i="20"/>
  <c r="W6" i="10" s="1"/>
  <c r="C34" i="16" s="1"/>
  <c r="J180" i="20"/>
  <c r="W7" i="10" s="1"/>
  <c r="C35" i="16" s="1"/>
  <c r="J181" i="20"/>
  <c r="W8" i="10" s="1"/>
  <c r="J182" i="20"/>
  <c r="W9" i="10" s="1"/>
  <c r="C37" i="16" s="1"/>
  <c r="J183" i="20"/>
  <c r="W10" i="10" s="1"/>
  <c r="J184" i="20"/>
  <c r="W11" i="10" s="1"/>
  <c r="AM11" i="10" s="1"/>
  <c r="J178" i="20"/>
  <c r="W5" i="10" s="1"/>
  <c r="F64" i="12"/>
  <c r="F63" i="12"/>
  <c r="F62" i="12"/>
  <c r="F61" i="12"/>
  <c r="F60" i="12"/>
  <c r="F59" i="12"/>
  <c r="F58" i="12"/>
  <c r="F57" i="12"/>
  <c r="F56" i="12"/>
  <c r="D136" i="21"/>
  <c r="B101" i="24" s="1"/>
  <c r="B334" i="21"/>
  <c r="E118" i="10" s="1"/>
  <c r="B7" i="16" s="1"/>
  <c r="B333" i="21"/>
  <c r="D118" i="10" s="1"/>
  <c r="B332" i="21"/>
  <c r="C118" i="10" s="1"/>
  <c r="B118" i="10"/>
  <c r="B327" i="21"/>
  <c r="E84" i="10" s="1"/>
  <c r="B326" i="21"/>
  <c r="D84" i="10" s="1"/>
  <c r="D83" i="12" s="1"/>
  <c r="B325" i="21"/>
  <c r="C84" i="10" s="1"/>
  <c r="C78" i="11" s="1"/>
  <c r="B324" i="21"/>
  <c r="B84" i="10" s="1"/>
  <c r="B320" i="21"/>
  <c r="E50" i="10" s="1"/>
  <c r="B319" i="21"/>
  <c r="D50" i="10" s="1"/>
  <c r="B318" i="21"/>
  <c r="C50" i="10" s="1"/>
  <c r="B317" i="21"/>
  <c r="B50" i="10" s="1"/>
  <c r="B313" i="21"/>
  <c r="J15" i="10" s="1"/>
  <c r="B312" i="21"/>
  <c r="I15" i="10" s="1"/>
  <c r="B311" i="21"/>
  <c r="G15" i="10" s="1"/>
  <c r="B310" i="21"/>
  <c r="F15" i="10" s="1"/>
  <c r="B309" i="21"/>
  <c r="E15" i="10" s="1"/>
  <c r="B308" i="21"/>
  <c r="D15" i="10" s="1"/>
  <c r="B307" i="21"/>
  <c r="C15" i="10" s="1"/>
  <c r="C14" i="11" s="1"/>
  <c r="B306" i="21"/>
  <c r="B15" i="10" s="1"/>
  <c r="E302" i="21"/>
  <c r="E114" i="12" s="1"/>
  <c r="D302" i="21"/>
  <c r="D114" i="12" s="1"/>
  <c r="C302" i="21"/>
  <c r="C114" i="12" s="1"/>
  <c r="B302" i="21"/>
  <c r="B114" i="12" s="1"/>
  <c r="E301" i="21"/>
  <c r="E113" i="12" s="1"/>
  <c r="D301" i="21"/>
  <c r="D113" i="12" s="1"/>
  <c r="C301" i="21"/>
  <c r="C113" i="12" s="1"/>
  <c r="B301" i="21"/>
  <c r="B113" i="12" s="1"/>
  <c r="E300" i="21"/>
  <c r="E112" i="12" s="1"/>
  <c r="D300" i="21"/>
  <c r="D112" i="12" s="1"/>
  <c r="C300" i="21"/>
  <c r="C112" i="12" s="1"/>
  <c r="B300" i="21"/>
  <c r="B112" i="12" s="1"/>
  <c r="E299" i="21"/>
  <c r="E111" i="12" s="1"/>
  <c r="D299" i="21"/>
  <c r="D111" i="12" s="1"/>
  <c r="C299" i="21"/>
  <c r="C111" i="12" s="1"/>
  <c r="B299" i="21"/>
  <c r="B111" i="12" s="1"/>
  <c r="E298" i="21"/>
  <c r="E110" i="12" s="1"/>
  <c r="D298" i="21"/>
  <c r="D110" i="12" s="1"/>
  <c r="C298" i="21"/>
  <c r="C110" i="12" s="1"/>
  <c r="B298" i="21"/>
  <c r="B110" i="12" s="1"/>
  <c r="E297" i="21"/>
  <c r="E109" i="12" s="1"/>
  <c r="D297" i="21"/>
  <c r="D109" i="12" s="1"/>
  <c r="C297" i="21"/>
  <c r="C109" i="12" s="1"/>
  <c r="B297" i="21"/>
  <c r="B109" i="12" s="1"/>
  <c r="E296" i="21"/>
  <c r="E108" i="12" s="1"/>
  <c r="D296" i="21"/>
  <c r="D108" i="12" s="1"/>
  <c r="C296" i="21"/>
  <c r="C108" i="12" s="1"/>
  <c r="B296" i="21"/>
  <c r="B108" i="12" s="1"/>
  <c r="E295" i="21"/>
  <c r="E107" i="12" s="1"/>
  <c r="D295" i="21"/>
  <c r="D107" i="12" s="1"/>
  <c r="C295" i="21"/>
  <c r="C107" i="12" s="1"/>
  <c r="B295" i="21"/>
  <c r="B107" i="12" s="1"/>
  <c r="E291" i="21"/>
  <c r="E80" i="12" s="1"/>
  <c r="D291" i="21"/>
  <c r="D80" i="12" s="1"/>
  <c r="C291" i="21"/>
  <c r="C80" i="12" s="1"/>
  <c r="B291" i="21"/>
  <c r="B80" i="12" s="1"/>
  <c r="E290" i="21"/>
  <c r="E79" i="12" s="1"/>
  <c r="D290" i="21"/>
  <c r="D79" i="12" s="1"/>
  <c r="C290" i="21"/>
  <c r="C79" i="12" s="1"/>
  <c r="B290" i="21"/>
  <c r="B79" i="12" s="1"/>
  <c r="E289" i="21"/>
  <c r="E78" i="12" s="1"/>
  <c r="D289" i="21"/>
  <c r="D78" i="12" s="1"/>
  <c r="C289" i="21"/>
  <c r="C78" i="12" s="1"/>
  <c r="B289" i="21"/>
  <c r="B78" i="12" s="1"/>
  <c r="E288" i="21"/>
  <c r="E77" i="12" s="1"/>
  <c r="D288" i="21"/>
  <c r="D77" i="12" s="1"/>
  <c r="C288" i="21"/>
  <c r="C77" i="12" s="1"/>
  <c r="B288" i="21"/>
  <c r="B77" i="12" s="1"/>
  <c r="E287" i="21"/>
  <c r="E76" i="12" s="1"/>
  <c r="D287" i="21"/>
  <c r="D76" i="12" s="1"/>
  <c r="C287" i="21"/>
  <c r="C76" i="12" s="1"/>
  <c r="B287" i="21"/>
  <c r="B76" i="12" s="1"/>
  <c r="F286" i="21"/>
  <c r="F75" i="12" s="1"/>
  <c r="B65" i="16" s="1"/>
  <c r="E286" i="21"/>
  <c r="E75" i="12" s="1"/>
  <c r="D286" i="21"/>
  <c r="D75" i="12" s="1"/>
  <c r="C286" i="21"/>
  <c r="C75" i="12" s="1"/>
  <c r="B286" i="21"/>
  <c r="B75" i="12" s="1"/>
  <c r="E285" i="21"/>
  <c r="E74" i="12" s="1"/>
  <c r="D285" i="21"/>
  <c r="D74" i="12" s="1"/>
  <c r="C285" i="21"/>
  <c r="C74" i="12" s="1"/>
  <c r="B285" i="21"/>
  <c r="B74" i="12" s="1"/>
  <c r="E284" i="21"/>
  <c r="E73" i="12" s="1"/>
  <c r="D284" i="21"/>
  <c r="D73" i="12" s="1"/>
  <c r="C284" i="21"/>
  <c r="C73" i="12" s="1"/>
  <c r="B284" i="21"/>
  <c r="B73" i="12" s="1"/>
  <c r="E280" i="21"/>
  <c r="E46" i="12" s="1"/>
  <c r="D280" i="21"/>
  <c r="D46" i="12" s="1"/>
  <c r="C280" i="21"/>
  <c r="C46" i="12" s="1"/>
  <c r="B280" i="21"/>
  <c r="B46" i="12" s="1"/>
  <c r="E279" i="21"/>
  <c r="E45" i="12" s="1"/>
  <c r="D279" i="21"/>
  <c r="D45" i="12" s="1"/>
  <c r="C279" i="21"/>
  <c r="C45" i="12" s="1"/>
  <c r="B279" i="21"/>
  <c r="B45" i="12" s="1"/>
  <c r="E278" i="21"/>
  <c r="E44" i="12" s="1"/>
  <c r="D278" i="21"/>
  <c r="D44" i="12" s="1"/>
  <c r="C278" i="21"/>
  <c r="C44" i="12" s="1"/>
  <c r="B278" i="21"/>
  <c r="B44" i="12" s="1"/>
  <c r="E277" i="21"/>
  <c r="E43" i="12" s="1"/>
  <c r="D277" i="21"/>
  <c r="D43" i="12" s="1"/>
  <c r="C277" i="21"/>
  <c r="C43" i="12" s="1"/>
  <c r="B277" i="21"/>
  <c r="B43" i="12" s="1"/>
  <c r="E276" i="21"/>
  <c r="E42" i="12" s="1"/>
  <c r="D276" i="21"/>
  <c r="D42" i="12" s="1"/>
  <c r="C276" i="21"/>
  <c r="C42" i="12" s="1"/>
  <c r="B276" i="21"/>
  <c r="B42" i="12" s="1"/>
  <c r="E275" i="21"/>
  <c r="E41" i="12" s="1"/>
  <c r="D275" i="21"/>
  <c r="D41" i="12" s="1"/>
  <c r="C275" i="21"/>
  <c r="C41" i="12" s="1"/>
  <c r="B275" i="21"/>
  <c r="B41" i="12" s="1"/>
  <c r="E274" i="21"/>
  <c r="E40" i="12" s="1"/>
  <c r="D274" i="21"/>
  <c r="D40" i="12" s="1"/>
  <c r="C274" i="21"/>
  <c r="C40" i="12" s="1"/>
  <c r="B274" i="21"/>
  <c r="B40" i="12" s="1"/>
  <c r="E273" i="21"/>
  <c r="E39" i="12" s="1"/>
  <c r="D273" i="21"/>
  <c r="D39" i="12" s="1"/>
  <c r="C273" i="21"/>
  <c r="C39" i="12" s="1"/>
  <c r="B273" i="21"/>
  <c r="B39" i="12" s="1"/>
  <c r="I269" i="21"/>
  <c r="J12" i="12" s="1"/>
  <c r="H269" i="21"/>
  <c r="I12" i="12" s="1"/>
  <c r="G269" i="21"/>
  <c r="G12" i="12" s="1"/>
  <c r="F269" i="21"/>
  <c r="F12" i="12" s="1"/>
  <c r="E269" i="21"/>
  <c r="E12" i="12" s="1"/>
  <c r="D269" i="21"/>
  <c r="D12" i="12" s="1"/>
  <c r="C269" i="21"/>
  <c r="C12" i="12" s="1"/>
  <c r="B269" i="21"/>
  <c r="B12" i="12" s="1"/>
  <c r="I268" i="21"/>
  <c r="J11" i="12" s="1"/>
  <c r="H268" i="21"/>
  <c r="I11" i="12" s="1"/>
  <c r="G268" i="21"/>
  <c r="G11" i="12" s="1"/>
  <c r="F268" i="21"/>
  <c r="F11" i="12" s="1"/>
  <c r="E268" i="21"/>
  <c r="E11" i="12" s="1"/>
  <c r="D268" i="21"/>
  <c r="D11" i="12" s="1"/>
  <c r="C268" i="21"/>
  <c r="C11" i="12" s="1"/>
  <c r="B268" i="21"/>
  <c r="B11" i="12" s="1"/>
  <c r="I267" i="21"/>
  <c r="J10" i="12" s="1"/>
  <c r="H267" i="21"/>
  <c r="I10" i="12" s="1"/>
  <c r="G267" i="21"/>
  <c r="G10" i="12" s="1"/>
  <c r="F267" i="21"/>
  <c r="F10" i="12" s="1"/>
  <c r="E267" i="21"/>
  <c r="E10" i="12" s="1"/>
  <c r="D267" i="21"/>
  <c r="D10" i="12" s="1"/>
  <c r="C267" i="21"/>
  <c r="C10" i="12" s="1"/>
  <c r="B267" i="21"/>
  <c r="B10" i="12" s="1"/>
  <c r="I266" i="21"/>
  <c r="J9" i="12" s="1"/>
  <c r="H266" i="21"/>
  <c r="I9" i="12" s="1"/>
  <c r="G266" i="21"/>
  <c r="G9" i="12" s="1"/>
  <c r="F266" i="21"/>
  <c r="F9" i="12" s="1"/>
  <c r="E266" i="21"/>
  <c r="E9" i="12" s="1"/>
  <c r="D266" i="21"/>
  <c r="D9" i="12" s="1"/>
  <c r="C266" i="21"/>
  <c r="C9" i="12" s="1"/>
  <c r="B266" i="21"/>
  <c r="B9" i="12" s="1"/>
  <c r="I265" i="21"/>
  <c r="J8" i="12" s="1"/>
  <c r="H265" i="21"/>
  <c r="I8" i="12" s="1"/>
  <c r="G265" i="21"/>
  <c r="G8" i="12" s="1"/>
  <c r="F265" i="21"/>
  <c r="F8" i="12" s="1"/>
  <c r="E265" i="21"/>
  <c r="E8" i="12" s="1"/>
  <c r="D265" i="21"/>
  <c r="D8" i="12" s="1"/>
  <c r="C265" i="21"/>
  <c r="C8" i="12" s="1"/>
  <c r="B265" i="21"/>
  <c r="B8" i="12" s="1"/>
  <c r="I264" i="21"/>
  <c r="J7" i="12" s="1"/>
  <c r="H264" i="21"/>
  <c r="I7" i="12" s="1"/>
  <c r="G264" i="21"/>
  <c r="G7" i="12" s="1"/>
  <c r="F264" i="21"/>
  <c r="F7" i="12" s="1"/>
  <c r="E264" i="21"/>
  <c r="E7" i="12" s="1"/>
  <c r="D264" i="21"/>
  <c r="D7" i="12" s="1"/>
  <c r="C264" i="21"/>
  <c r="C7" i="12" s="1"/>
  <c r="B264" i="21"/>
  <c r="B7" i="12" s="1"/>
  <c r="I263" i="21"/>
  <c r="J6" i="12" s="1"/>
  <c r="H263" i="21"/>
  <c r="I6" i="12" s="1"/>
  <c r="G263" i="21"/>
  <c r="G6" i="12" s="1"/>
  <c r="F263" i="21"/>
  <c r="F6" i="12" s="1"/>
  <c r="E263" i="21"/>
  <c r="E6" i="12" s="1"/>
  <c r="D263" i="21"/>
  <c r="D6" i="12" s="1"/>
  <c r="C263" i="21"/>
  <c r="C6" i="12" s="1"/>
  <c r="B263" i="21"/>
  <c r="B6" i="12" s="1"/>
  <c r="I262" i="21"/>
  <c r="J5" i="12" s="1"/>
  <c r="H262" i="21"/>
  <c r="I5" i="12" s="1"/>
  <c r="G262" i="21"/>
  <c r="G5" i="12" s="1"/>
  <c r="F262" i="21"/>
  <c r="F5" i="12" s="1"/>
  <c r="E262" i="21"/>
  <c r="E5" i="12" s="1"/>
  <c r="D262" i="21"/>
  <c r="D5" i="12" s="1"/>
  <c r="C262" i="21"/>
  <c r="C5" i="12" s="1"/>
  <c r="B262" i="21"/>
  <c r="B5" i="12" s="1"/>
  <c r="E258" i="21"/>
  <c r="E107" i="11" s="1"/>
  <c r="D258" i="21"/>
  <c r="D107" i="11" s="1"/>
  <c r="C258" i="21"/>
  <c r="C107" i="11" s="1"/>
  <c r="B258" i="21"/>
  <c r="B107" i="11" s="1"/>
  <c r="E257" i="21"/>
  <c r="E106" i="11" s="1"/>
  <c r="D257" i="21"/>
  <c r="D106" i="11" s="1"/>
  <c r="C257" i="21"/>
  <c r="C106" i="11" s="1"/>
  <c r="B257" i="21"/>
  <c r="B106" i="11" s="1"/>
  <c r="E256" i="21"/>
  <c r="E105" i="11" s="1"/>
  <c r="D256" i="21"/>
  <c r="D105" i="11" s="1"/>
  <c r="C256" i="21"/>
  <c r="C105" i="11" s="1"/>
  <c r="B256" i="21"/>
  <c r="B105" i="11" s="1"/>
  <c r="E255" i="21"/>
  <c r="E104" i="11" s="1"/>
  <c r="D255" i="21"/>
  <c r="D104" i="11" s="1"/>
  <c r="C255" i="21"/>
  <c r="C104" i="11" s="1"/>
  <c r="B255" i="21"/>
  <c r="B104" i="11" s="1"/>
  <c r="E254" i="21"/>
  <c r="E103" i="11" s="1"/>
  <c r="D254" i="21"/>
  <c r="D103" i="11" s="1"/>
  <c r="C254" i="21"/>
  <c r="C103" i="11" s="1"/>
  <c r="B254" i="21"/>
  <c r="B103" i="11" s="1"/>
  <c r="E253" i="21"/>
  <c r="E102" i="11" s="1"/>
  <c r="D253" i="21"/>
  <c r="D102" i="11" s="1"/>
  <c r="C253" i="21"/>
  <c r="C102" i="11" s="1"/>
  <c r="B253" i="21"/>
  <c r="B102" i="11" s="1"/>
  <c r="E252" i="21"/>
  <c r="E101" i="11" s="1"/>
  <c r="D252" i="21"/>
  <c r="D101" i="11" s="1"/>
  <c r="C252" i="21"/>
  <c r="C101" i="11" s="1"/>
  <c r="B252" i="21"/>
  <c r="B101" i="11" s="1"/>
  <c r="E248" i="21"/>
  <c r="E75" i="11" s="1"/>
  <c r="D248" i="21"/>
  <c r="D75" i="11" s="1"/>
  <c r="C248" i="21"/>
  <c r="C75" i="11" s="1"/>
  <c r="B248" i="21"/>
  <c r="B75" i="11" s="1"/>
  <c r="E247" i="21"/>
  <c r="E74" i="11" s="1"/>
  <c r="D247" i="21"/>
  <c r="D74" i="11" s="1"/>
  <c r="C247" i="21"/>
  <c r="C74" i="11" s="1"/>
  <c r="B247" i="21"/>
  <c r="B74" i="11" s="1"/>
  <c r="E246" i="21"/>
  <c r="E73" i="11" s="1"/>
  <c r="D246" i="21"/>
  <c r="D73" i="11" s="1"/>
  <c r="C246" i="21"/>
  <c r="C73" i="11" s="1"/>
  <c r="B246" i="21"/>
  <c r="B73" i="11" s="1"/>
  <c r="E245" i="21"/>
  <c r="E72" i="11" s="1"/>
  <c r="D245" i="21"/>
  <c r="D72" i="11" s="1"/>
  <c r="C245" i="21"/>
  <c r="C72" i="11" s="1"/>
  <c r="B245" i="21"/>
  <c r="B72" i="11" s="1"/>
  <c r="E244" i="21"/>
  <c r="E71" i="11" s="1"/>
  <c r="D244" i="21"/>
  <c r="D71" i="11" s="1"/>
  <c r="C244" i="21"/>
  <c r="C71" i="11" s="1"/>
  <c r="B244" i="21"/>
  <c r="B71" i="11" s="1"/>
  <c r="E243" i="21"/>
  <c r="E70" i="11" s="1"/>
  <c r="D243" i="21"/>
  <c r="D70" i="11" s="1"/>
  <c r="C243" i="21"/>
  <c r="C70" i="11" s="1"/>
  <c r="B243" i="21"/>
  <c r="B70" i="11" s="1"/>
  <c r="E242" i="21"/>
  <c r="E69" i="11" s="1"/>
  <c r="D242" i="21"/>
  <c r="D69" i="11" s="1"/>
  <c r="C242" i="21"/>
  <c r="C69" i="11" s="1"/>
  <c r="B242" i="21"/>
  <c r="B69" i="11" s="1"/>
  <c r="E238" i="21"/>
  <c r="E43" i="11" s="1"/>
  <c r="D238" i="21"/>
  <c r="D43" i="11" s="1"/>
  <c r="C238" i="21"/>
  <c r="C43" i="11" s="1"/>
  <c r="B238" i="21"/>
  <c r="B43" i="11" s="1"/>
  <c r="E237" i="21"/>
  <c r="E42" i="11" s="1"/>
  <c r="D237" i="21"/>
  <c r="D42" i="11" s="1"/>
  <c r="C237" i="21"/>
  <c r="C42" i="11" s="1"/>
  <c r="B237" i="21"/>
  <c r="B42" i="11" s="1"/>
  <c r="E236" i="21"/>
  <c r="E41" i="11" s="1"/>
  <c r="D236" i="21"/>
  <c r="D41" i="11" s="1"/>
  <c r="C236" i="21"/>
  <c r="C41" i="11" s="1"/>
  <c r="B236" i="21"/>
  <c r="B41" i="11" s="1"/>
  <c r="E235" i="21"/>
  <c r="E40" i="11" s="1"/>
  <c r="D235" i="21"/>
  <c r="D40" i="11" s="1"/>
  <c r="C235" i="21"/>
  <c r="C40" i="11" s="1"/>
  <c r="B235" i="21"/>
  <c r="B40" i="11" s="1"/>
  <c r="E234" i="21"/>
  <c r="E39" i="11" s="1"/>
  <c r="D234" i="21"/>
  <c r="D39" i="11" s="1"/>
  <c r="C234" i="21"/>
  <c r="C39" i="11" s="1"/>
  <c r="B234" i="21"/>
  <c r="B39" i="11" s="1"/>
  <c r="E233" i="21"/>
  <c r="E38" i="11" s="1"/>
  <c r="D233" i="21"/>
  <c r="D38" i="11" s="1"/>
  <c r="C233" i="21"/>
  <c r="C38" i="11" s="1"/>
  <c r="B233" i="21"/>
  <c r="B38" i="11" s="1"/>
  <c r="E232" i="21"/>
  <c r="E37" i="11" s="1"/>
  <c r="D232" i="21"/>
  <c r="D37" i="11" s="1"/>
  <c r="C232" i="21"/>
  <c r="C37" i="11" s="1"/>
  <c r="B232" i="21"/>
  <c r="B37" i="11" s="1"/>
  <c r="I228" i="21"/>
  <c r="J11" i="11" s="1"/>
  <c r="H228" i="21"/>
  <c r="I11" i="11" s="1"/>
  <c r="G228" i="21"/>
  <c r="G11" i="11" s="1"/>
  <c r="F228" i="21"/>
  <c r="F11" i="11" s="1"/>
  <c r="E228" i="21"/>
  <c r="E11" i="11" s="1"/>
  <c r="D228" i="21"/>
  <c r="D11" i="11" s="1"/>
  <c r="C228" i="21"/>
  <c r="C11" i="11" s="1"/>
  <c r="B228" i="21"/>
  <c r="B11" i="11" s="1"/>
  <c r="I227" i="21"/>
  <c r="J10" i="11" s="1"/>
  <c r="H227" i="21"/>
  <c r="I10" i="11" s="1"/>
  <c r="G227" i="21"/>
  <c r="G10" i="11" s="1"/>
  <c r="F227" i="21"/>
  <c r="F10" i="11" s="1"/>
  <c r="E227" i="21"/>
  <c r="E10" i="11" s="1"/>
  <c r="D227" i="21"/>
  <c r="D10" i="11" s="1"/>
  <c r="C227" i="21"/>
  <c r="C10" i="11" s="1"/>
  <c r="B227" i="21"/>
  <c r="B10" i="11" s="1"/>
  <c r="I226" i="21"/>
  <c r="J9" i="11" s="1"/>
  <c r="H226" i="21"/>
  <c r="I9" i="11" s="1"/>
  <c r="G226" i="21"/>
  <c r="G9" i="11" s="1"/>
  <c r="F226" i="21"/>
  <c r="F9" i="11" s="1"/>
  <c r="E226" i="21"/>
  <c r="E9" i="11" s="1"/>
  <c r="D226" i="21"/>
  <c r="D9" i="11" s="1"/>
  <c r="C226" i="21"/>
  <c r="C9" i="11" s="1"/>
  <c r="B226" i="21"/>
  <c r="B9" i="11" s="1"/>
  <c r="I225" i="21"/>
  <c r="J8" i="11" s="1"/>
  <c r="H225" i="21"/>
  <c r="I8" i="11" s="1"/>
  <c r="G225" i="21"/>
  <c r="G8" i="11" s="1"/>
  <c r="F225" i="21"/>
  <c r="F8" i="11" s="1"/>
  <c r="E225" i="21"/>
  <c r="E8" i="11" s="1"/>
  <c r="D225" i="21"/>
  <c r="D8" i="11" s="1"/>
  <c r="C225" i="21"/>
  <c r="C8" i="11" s="1"/>
  <c r="B225" i="21"/>
  <c r="B8" i="11" s="1"/>
  <c r="I224" i="21"/>
  <c r="J7" i="11" s="1"/>
  <c r="H224" i="21"/>
  <c r="I7" i="11" s="1"/>
  <c r="G224" i="21"/>
  <c r="G7" i="11" s="1"/>
  <c r="F224" i="21"/>
  <c r="F7" i="11" s="1"/>
  <c r="E224" i="21"/>
  <c r="E7" i="11" s="1"/>
  <c r="D224" i="21"/>
  <c r="D7" i="11" s="1"/>
  <c r="C224" i="21"/>
  <c r="C7" i="11" s="1"/>
  <c r="B224" i="21"/>
  <c r="B7" i="11" s="1"/>
  <c r="I223" i="21"/>
  <c r="J6" i="11" s="1"/>
  <c r="H223" i="21"/>
  <c r="I6" i="11" s="1"/>
  <c r="G223" i="21"/>
  <c r="G6" i="11" s="1"/>
  <c r="F223" i="21"/>
  <c r="F6" i="11" s="1"/>
  <c r="E223" i="21"/>
  <c r="E6" i="11" s="1"/>
  <c r="D223" i="21"/>
  <c r="D6" i="11" s="1"/>
  <c r="C223" i="21"/>
  <c r="C6" i="11" s="1"/>
  <c r="B223" i="21"/>
  <c r="B6" i="11" s="1"/>
  <c r="I222" i="21"/>
  <c r="J5" i="11" s="1"/>
  <c r="H222" i="21"/>
  <c r="I5" i="11" s="1"/>
  <c r="G222" i="21"/>
  <c r="G5" i="11" s="1"/>
  <c r="F222" i="21"/>
  <c r="F5" i="11" s="1"/>
  <c r="E222" i="21"/>
  <c r="E5" i="11" s="1"/>
  <c r="D222" i="21"/>
  <c r="D5" i="11" s="1"/>
  <c r="C222" i="21"/>
  <c r="C5" i="11" s="1"/>
  <c r="B222" i="21"/>
  <c r="B5" i="11" s="1"/>
  <c r="E218" i="21"/>
  <c r="E115" i="10" s="1"/>
  <c r="D218" i="21"/>
  <c r="D115" i="10" s="1"/>
  <c r="C218" i="21"/>
  <c r="C115" i="10" s="1"/>
  <c r="B218" i="21"/>
  <c r="B115" i="10" s="1"/>
  <c r="E217" i="21"/>
  <c r="E114" i="10" s="1"/>
  <c r="D217" i="21"/>
  <c r="D114" i="10" s="1"/>
  <c r="C217" i="21"/>
  <c r="C114" i="10" s="1"/>
  <c r="B217" i="21"/>
  <c r="B114" i="10" s="1"/>
  <c r="E216" i="21"/>
  <c r="E113" i="10" s="1"/>
  <c r="D216" i="21"/>
  <c r="D113" i="10" s="1"/>
  <c r="C216" i="21"/>
  <c r="C113" i="10" s="1"/>
  <c r="B216" i="21"/>
  <c r="B113" i="10" s="1"/>
  <c r="E215" i="21"/>
  <c r="E112" i="10" s="1"/>
  <c r="D215" i="21"/>
  <c r="D112" i="10" s="1"/>
  <c r="C215" i="21"/>
  <c r="C112" i="10" s="1"/>
  <c r="B215" i="21"/>
  <c r="B112" i="10" s="1"/>
  <c r="E214" i="21"/>
  <c r="E111" i="10" s="1"/>
  <c r="D214" i="21"/>
  <c r="D111" i="10" s="1"/>
  <c r="C214" i="21"/>
  <c r="C111" i="10" s="1"/>
  <c r="B214" i="21"/>
  <c r="B111" i="10" s="1"/>
  <c r="E213" i="21"/>
  <c r="E110" i="10" s="1"/>
  <c r="D213" i="21"/>
  <c r="D110" i="10" s="1"/>
  <c r="C213" i="21"/>
  <c r="C110" i="10" s="1"/>
  <c r="B213" i="21"/>
  <c r="B110" i="10" s="1"/>
  <c r="E212" i="21"/>
  <c r="E109" i="10" s="1"/>
  <c r="D212" i="21"/>
  <c r="D109" i="10" s="1"/>
  <c r="C212" i="21"/>
  <c r="C109" i="10" s="1"/>
  <c r="B212" i="21"/>
  <c r="B109" i="10" s="1"/>
  <c r="E211" i="21"/>
  <c r="E108" i="10" s="1"/>
  <c r="D211" i="21"/>
  <c r="D108" i="10" s="1"/>
  <c r="C211" i="21"/>
  <c r="C108" i="10" s="1"/>
  <c r="B211" i="21"/>
  <c r="B108" i="10" s="1"/>
  <c r="E207" i="21"/>
  <c r="E81" i="10" s="1"/>
  <c r="D207" i="21"/>
  <c r="D81" i="10" s="1"/>
  <c r="C207" i="21"/>
  <c r="C81" i="10" s="1"/>
  <c r="B207" i="21"/>
  <c r="B81" i="10" s="1"/>
  <c r="E206" i="21"/>
  <c r="E80" i="10" s="1"/>
  <c r="D206" i="21"/>
  <c r="D80" i="10" s="1"/>
  <c r="C206" i="21"/>
  <c r="C80" i="10" s="1"/>
  <c r="B206" i="21"/>
  <c r="B80" i="10" s="1"/>
  <c r="E205" i="21"/>
  <c r="E79" i="10" s="1"/>
  <c r="D205" i="21"/>
  <c r="D79" i="10" s="1"/>
  <c r="C205" i="21"/>
  <c r="C79" i="10" s="1"/>
  <c r="B205" i="21"/>
  <c r="B79" i="10" s="1"/>
  <c r="E204" i="21"/>
  <c r="E78" i="10" s="1"/>
  <c r="D204" i="21"/>
  <c r="D78" i="10" s="1"/>
  <c r="C204" i="21"/>
  <c r="C78" i="10" s="1"/>
  <c r="B204" i="21"/>
  <c r="B78" i="10" s="1"/>
  <c r="E203" i="21"/>
  <c r="E77" i="10" s="1"/>
  <c r="D203" i="21"/>
  <c r="D77" i="10" s="1"/>
  <c r="C203" i="21"/>
  <c r="C77" i="10" s="1"/>
  <c r="B203" i="21"/>
  <c r="B77" i="10" s="1"/>
  <c r="E202" i="21"/>
  <c r="E76" i="10" s="1"/>
  <c r="D202" i="21"/>
  <c r="D76" i="10" s="1"/>
  <c r="C202" i="21"/>
  <c r="C76" i="10" s="1"/>
  <c r="B202" i="21"/>
  <c r="B76" i="10" s="1"/>
  <c r="E201" i="21"/>
  <c r="E75" i="10" s="1"/>
  <c r="D201" i="21"/>
  <c r="D75" i="10" s="1"/>
  <c r="C201" i="21"/>
  <c r="C75" i="10" s="1"/>
  <c r="B201" i="21"/>
  <c r="B75" i="10" s="1"/>
  <c r="E200" i="21"/>
  <c r="E74" i="10" s="1"/>
  <c r="D200" i="21"/>
  <c r="D74" i="10" s="1"/>
  <c r="C200" i="21"/>
  <c r="C74" i="10" s="1"/>
  <c r="B200" i="21"/>
  <c r="B74" i="10" s="1"/>
  <c r="E196" i="21"/>
  <c r="E47" i="10" s="1"/>
  <c r="D196" i="21"/>
  <c r="D47" i="10" s="1"/>
  <c r="C196" i="21"/>
  <c r="C47" i="10" s="1"/>
  <c r="B196" i="21"/>
  <c r="B47" i="10" s="1"/>
  <c r="E195" i="21"/>
  <c r="E46" i="10" s="1"/>
  <c r="D195" i="21"/>
  <c r="D46" i="10" s="1"/>
  <c r="C195" i="21"/>
  <c r="C46" i="10" s="1"/>
  <c r="B195" i="21"/>
  <c r="B46" i="10" s="1"/>
  <c r="E194" i="21"/>
  <c r="E45" i="10" s="1"/>
  <c r="D194" i="21"/>
  <c r="D45" i="10" s="1"/>
  <c r="C194" i="21"/>
  <c r="C45" i="10" s="1"/>
  <c r="B194" i="21"/>
  <c r="B45" i="10" s="1"/>
  <c r="E193" i="21"/>
  <c r="E44" i="10" s="1"/>
  <c r="D193" i="21"/>
  <c r="D44" i="10" s="1"/>
  <c r="C193" i="21"/>
  <c r="C44" i="10" s="1"/>
  <c r="B193" i="21"/>
  <c r="B44" i="10" s="1"/>
  <c r="E192" i="21"/>
  <c r="E43" i="10" s="1"/>
  <c r="D192" i="21"/>
  <c r="D43" i="10" s="1"/>
  <c r="C192" i="21"/>
  <c r="C43" i="10" s="1"/>
  <c r="B192" i="21"/>
  <c r="B43" i="10" s="1"/>
  <c r="E191" i="21"/>
  <c r="E42" i="10" s="1"/>
  <c r="D191" i="21"/>
  <c r="D42" i="10" s="1"/>
  <c r="C191" i="21"/>
  <c r="C42" i="10" s="1"/>
  <c r="B191" i="21"/>
  <c r="B42" i="10" s="1"/>
  <c r="E190" i="21"/>
  <c r="E41" i="10" s="1"/>
  <c r="D190" i="21"/>
  <c r="D41" i="10" s="1"/>
  <c r="C190" i="21"/>
  <c r="C41" i="10" s="1"/>
  <c r="B190" i="21"/>
  <c r="B41" i="10" s="1"/>
  <c r="E189" i="21"/>
  <c r="E40" i="10" s="1"/>
  <c r="D189" i="21"/>
  <c r="D40" i="10" s="1"/>
  <c r="C189" i="21"/>
  <c r="C40" i="10" s="1"/>
  <c r="B189" i="21"/>
  <c r="B40" i="10" s="1"/>
  <c r="I185" i="21"/>
  <c r="J12" i="10" s="1"/>
  <c r="H185" i="21"/>
  <c r="I12" i="10" s="1"/>
  <c r="H41" i="24" s="1"/>
  <c r="G185" i="21"/>
  <c r="G12" i="10" s="1"/>
  <c r="G41" i="24" s="1"/>
  <c r="F185" i="21"/>
  <c r="F12" i="10" s="1"/>
  <c r="F41" i="24" s="1"/>
  <c r="E185" i="21"/>
  <c r="E12" i="10" s="1"/>
  <c r="E41" i="24" s="1"/>
  <c r="D185" i="21"/>
  <c r="D12" i="10" s="1"/>
  <c r="D41" i="24" s="1"/>
  <c r="C185" i="21"/>
  <c r="C12" i="10" s="1"/>
  <c r="C41" i="24" s="1"/>
  <c r="B185" i="21"/>
  <c r="B12" i="10" s="1"/>
  <c r="B41" i="24" s="1"/>
  <c r="I184" i="21"/>
  <c r="J11" i="10" s="1"/>
  <c r="H184" i="21"/>
  <c r="I11" i="10" s="1"/>
  <c r="H40" i="24" s="1"/>
  <c r="G184" i="21"/>
  <c r="G11" i="10" s="1"/>
  <c r="G40" i="24" s="1"/>
  <c r="F184" i="21"/>
  <c r="F11" i="10" s="1"/>
  <c r="F40" i="24" s="1"/>
  <c r="E184" i="21"/>
  <c r="E11" i="10" s="1"/>
  <c r="E40" i="24" s="1"/>
  <c r="D184" i="21"/>
  <c r="D11" i="10" s="1"/>
  <c r="D40" i="24" s="1"/>
  <c r="C184" i="21"/>
  <c r="C11" i="10" s="1"/>
  <c r="C40" i="24" s="1"/>
  <c r="B184" i="21"/>
  <c r="B11" i="10" s="1"/>
  <c r="B40" i="24" s="1"/>
  <c r="I183" i="21"/>
  <c r="J10" i="10" s="1"/>
  <c r="H183" i="21"/>
  <c r="I10" i="10" s="1"/>
  <c r="H39" i="24" s="1"/>
  <c r="G183" i="21"/>
  <c r="G10" i="10" s="1"/>
  <c r="G39" i="24" s="1"/>
  <c r="G80" i="24" s="1"/>
  <c r="F183" i="21"/>
  <c r="F10" i="10" s="1"/>
  <c r="F39" i="24" s="1"/>
  <c r="E183" i="21"/>
  <c r="E10" i="10" s="1"/>
  <c r="E39" i="24" s="1"/>
  <c r="D183" i="21"/>
  <c r="D10" i="10" s="1"/>
  <c r="D39" i="24" s="1"/>
  <c r="C183" i="21"/>
  <c r="C10" i="10" s="1"/>
  <c r="C39" i="24" s="1"/>
  <c r="B183" i="21"/>
  <c r="B10" i="10" s="1"/>
  <c r="B39" i="24" s="1"/>
  <c r="I182" i="21"/>
  <c r="J9" i="10" s="1"/>
  <c r="H182" i="21"/>
  <c r="I9" i="10" s="1"/>
  <c r="H38" i="24" s="1"/>
  <c r="G182" i="21"/>
  <c r="G9" i="10" s="1"/>
  <c r="G38" i="24" s="1"/>
  <c r="F182" i="21"/>
  <c r="F9" i="10" s="1"/>
  <c r="F38" i="24" s="1"/>
  <c r="E182" i="21"/>
  <c r="E9" i="10" s="1"/>
  <c r="E38" i="24" s="1"/>
  <c r="D182" i="21"/>
  <c r="D9" i="10" s="1"/>
  <c r="D38" i="24" s="1"/>
  <c r="C182" i="21"/>
  <c r="C9" i="10" s="1"/>
  <c r="C38" i="24" s="1"/>
  <c r="B182" i="21"/>
  <c r="B9" i="10" s="1"/>
  <c r="B38" i="24" s="1"/>
  <c r="I181" i="21"/>
  <c r="J8" i="10" s="1"/>
  <c r="H181" i="21"/>
  <c r="I8" i="10" s="1"/>
  <c r="H37" i="24" s="1"/>
  <c r="G181" i="21"/>
  <c r="G8" i="10" s="1"/>
  <c r="G37" i="24" s="1"/>
  <c r="F181" i="21"/>
  <c r="F8" i="10" s="1"/>
  <c r="F37" i="24" s="1"/>
  <c r="E181" i="21"/>
  <c r="E8" i="10" s="1"/>
  <c r="E37" i="24" s="1"/>
  <c r="D181" i="21"/>
  <c r="D8" i="10" s="1"/>
  <c r="D37" i="24" s="1"/>
  <c r="C181" i="21"/>
  <c r="C8" i="10" s="1"/>
  <c r="C37" i="24" s="1"/>
  <c r="B181" i="21"/>
  <c r="B8" i="10" s="1"/>
  <c r="B37" i="24" s="1"/>
  <c r="I180" i="21"/>
  <c r="J7" i="10" s="1"/>
  <c r="H180" i="21"/>
  <c r="I7" i="10" s="1"/>
  <c r="H36" i="24" s="1"/>
  <c r="G180" i="21"/>
  <c r="G7" i="10" s="1"/>
  <c r="G36" i="24" s="1"/>
  <c r="F180" i="21"/>
  <c r="F7" i="10" s="1"/>
  <c r="F36" i="24" s="1"/>
  <c r="E180" i="21"/>
  <c r="E7" i="10" s="1"/>
  <c r="E36" i="24" s="1"/>
  <c r="D180" i="21"/>
  <c r="D7" i="10" s="1"/>
  <c r="D36" i="24" s="1"/>
  <c r="C180" i="21"/>
  <c r="C7" i="10" s="1"/>
  <c r="C36" i="24" s="1"/>
  <c r="B180" i="21"/>
  <c r="B7" i="10" s="1"/>
  <c r="B36" i="24" s="1"/>
  <c r="I179" i="21"/>
  <c r="J6" i="10" s="1"/>
  <c r="H179" i="21"/>
  <c r="I6" i="10" s="1"/>
  <c r="H35" i="24" s="1"/>
  <c r="G179" i="21"/>
  <c r="G6" i="10" s="1"/>
  <c r="G35" i="24" s="1"/>
  <c r="F179" i="21"/>
  <c r="F6" i="10" s="1"/>
  <c r="F35" i="24" s="1"/>
  <c r="E179" i="21"/>
  <c r="E6" i="10" s="1"/>
  <c r="E35" i="24" s="1"/>
  <c r="D179" i="21"/>
  <c r="D6" i="10" s="1"/>
  <c r="D35" i="24" s="1"/>
  <c r="C179" i="21"/>
  <c r="C6" i="10" s="1"/>
  <c r="C35" i="24" s="1"/>
  <c r="B179" i="21"/>
  <c r="B6" i="10" s="1"/>
  <c r="B35" i="24" s="1"/>
  <c r="I178" i="21"/>
  <c r="J5" i="10" s="1"/>
  <c r="H178" i="21"/>
  <c r="I5" i="10" s="1"/>
  <c r="H34" i="24" s="1"/>
  <c r="G178" i="21"/>
  <c r="G5" i="10" s="1"/>
  <c r="G34" i="24" s="1"/>
  <c r="F178" i="21"/>
  <c r="F5" i="10" s="1"/>
  <c r="F34" i="24" s="1"/>
  <c r="E178" i="21"/>
  <c r="E5" i="10" s="1"/>
  <c r="E34" i="24" s="1"/>
  <c r="D178" i="21"/>
  <c r="D5" i="10" s="1"/>
  <c r="D34" i="24" s="1"/>
  <c r="C178" i="21"/>
  <c r="C5" i="10" s="1"/>
  <c r="C34" i="24" s="1"/>
  <c r="B178" i="21"/>
  <c r="B5" i="10" s="1"/>
  <c r="B34" i="24" s="1"/>
  <c r="H174" i="21"/>
  <c r="H71" i="9" s="1"/>
  <c r="G174" i="21"/>
  <c r="G71" i="9" s="1"/>
  <c r="F174" i="21"/>
  <c r="F71" i="9" s="1"/>
  <c r="E174" i="21"/>
  <c r="E71" i="9" s="1"/>
  <c r="D174" i="21"/>
  <c r="D71" i="9" s="1"/>
  <c r="C174" i="21"/>
  <c r="C71" i="9" s="1"/>
  <c r="B174" i="21"/>
  <c r="B71" i="9" s="1"/>
  <c r="H173" i="21"/>
  <c r="H70" i="9" s="1"/>
  <c r="G173" i="21"/>
  <c r="G70" i="9" s="1"/>
  <c r="F173" i="21"/>
  <c r="F70" i="9" s="1"/>
  <c r="E173" i="21"/>
  <c r="E70" i="9" s="1"/>
  <c r="D173" i="21"/>
  <c r="D70" i="9" s="1"/>
  <c r="C173" i="21"/>
  <c r="C70" i="9" s="1"/>
  <c r="B173" i="21"/>
  <c r="B70" i="9" s="1"/>
  <c r="H172" i="21"/>
  <c r="H69" i="9" s="1"/>
  <c r="G172" i="21"/>
  <c r="G69" i="9" s="1"/>
  <c r="F172" i="21"/>
  <c r="F69" i="9" s="1"/>
  <c r="E172" i="21"/>
  <c r="E69" i="9" s="1"/>
  <c r="D172" i="21"/>
  <c r="D69" i="9" s="1"/>
  <c r="C172" i="21"/>
  <c r="C69" i="9" s="1"/>
  <c r="B172" i="21"/>
  <c r="B69" i="9" s="1"/>
  <c r="H171" i="21"/>
  <c r="H68" i="9" s="1"/>
  <c r="G171" i="21"/>
  <c r="G68" i="9" s="1"/>
  <c r="F171" i="21"/>
  <c r="F68" i="9" s="1"/>
  <c r="E171" i="21"/>
  <c r="E68" i="9" s="1"/>
  <c r="D171" i="21"/>
  <c r="D68" i="9" s="1"/>
  <c r="C171" i="21"/>
  <c r="C68" i="9" s="1"/>
  <c r="B171" i="21"/>
  <c r="B68" i="9" s="1"/>
  <c r="H170" i="21"/>
  <c r="H67" i="9" s="1"/>
  <c r="G170" i="21"/>
  <c r="G67" i="9" s="1"/>
  <c r="F170" i="21"/>
  <c r="F67" i="9" s="1"/>
  <c r="E170" i="21"/>
  <c r="E67" i="9" s="1"/>
  <c r="D170" i="21"/>
  <c r="D67" i="9" s="1"/>
  <c r="C170" i="21"/>
  <c r="C67" i="9" s="1"/>
  <c r="B170" i="21"/>
  <c r="B67" i="9" s="1"/>
  <c r="H169" i="21"/>
  <c r="H66" i="9" s="1"/>
  <c r="G169" i="21"/>
  <c r="G66" i="9" s="1"/>
  <c r="F169" i="21"/>
  <c r="F66" i="9" s="1"/>
  <c r="E169" i="21"/>
  <c r="E66" i="9" s="1"/>
  <c r="D169" i="21"/>
  <c r="D66" i="9" s="1"/>
  <c r="C169" i="21"/>
  <c r="C66" i="9" s="1"/>
  <c r="B169" i="21"/>
  <c r="B66" i="9" s="1"/>
  <c r="H168" i="21"/>
  <c r="H65" i="9" s="1"/>
  <c r="G168" i="21"/>
  <c r="G65" i="9" s="1"/>
  <c r="F168" i="21"/>
  <c r="F65" i="9" s="1"/>
  <c r="E168" i="21"/>
  <c r="E65" i="9" s="1"/>
  <c r="D168" i="21"/>
  <c r="D65" i="9" s="1"/>
  <c r="C168" i="21"/>
  <c r="C65" i="9" s="1"/>
  <c r="B168" i="21"/>
  <c r="B65" i="9" s="1"/>
  <c r="H164" i="21"/>
  <c r="H41" i="9" s="1"/>
  <c r="G164" i="21"/>
  <c r="G41" i="9" s="1"/>
  <c r="F164" i="21"/>
  <c r="F41" i="9" s="1"/>
  <c r="E164" i="21"/>
  <c r="E41" i="9" s="1"/>
  <c r="D164" i="21"/>
  <c r="D41" i="9" s="1"/>
  <c r="C164" i="21"/>
  <c r="C41" i="9" s="1"/>
  <c r="B164" i="21"/>
  <c r="B41" i="9" s="1"/>
  <c r="H163" i="21"/>
  <c r="H40" i="9" s="1"/>
  <c r="G163" i="21"/>
  <c r="G40" i="9" s="1"/>
  <c r="F163" i="21"/>
  <c r="F40" i="9" s="1"/>
  <c r="E163" i="21"/>
  <c r="E40" i="9" s="1"/>
  <c r="D163" i="21"/>
  <c r="D40" i="9" s="1"/>
  <c r="C163" i="21"/>
  <c r="C40" i="9" s="1"/>
  <c r="B163" i="21"/>
  <c r="B40" i="9" s="1"/>
  <c r="H162" i="21"/>
  <c r="H39" i="9" s="1"/>
  <c r="G162" i="21"/>
  <c r="G39" i="9" s="1"/>
  <c r="F162" i="21"/>
  <c r="F39" i="9" s="1"/>
  <c r="E162" i="21"/>
  <c r="E39" i="9" s="1"/>
  <c r="D162" i="21"/>
  <c r="D39" i="9" s="1"/>
  <c r="C162" i="21"/>
  <c r="C39" i="9" s="1"/>
  <c r="B162" i="21"/>
  <c r="B39" i="9" s="1"/>
  <c r="H161" i="21"/>
  <c r="H38" i="9" s="1"/>
  <c r="G161" i="21"/>
  <c r="G38" i="9" s="1"/>
  <c r="F161" i="21"/>
  <c r="F38" i="9" s="1"/>
  <c r="E161" i="21"/>
  <c r="E38" i="9" s="1"/>
  <c r="D161" i="21"/>
  <c r="D38" i="9" s="1"/>
  <c r="C161" i="21"/>
  <c r="C38" i="9" s="1"/>
  <c r="B161" i="21"/>
  <c r="B38" i="9" s="1"/>
  <c r="H160" i="21"/>
  <c r="H37" i="9" s="1"/>
  <c r="G160" i="21"/>
  <c r="G37" i="9" s="1"/>
  <c r="F160" i="21"/>
  <c r="F37" i="9" s="1"/>
  <c r="E160" i="21"/>
  <c r="E37" i="9" s="1"/>
  <c r="D160" i="21"/>
  <c r="D37" i="9" s="1"/>
  <c r="C160" i="21"/>
  <c r="C37" i="9" s="1"/>
  <c r="B160" i="21"/>
  <c r="B37" i="9" s="1"/>
  <c r="H159" i="21"/>
  <c r="H36" i="9" s="1"/>
  <c r="G159" i="21"/>
  <c r="G36" i="9" s="1"/>
  <c r="F159" i="21"/>
  <c r="F36" i="9" s="1"/>
  <c r="E159" i="21"/>
  <c r="E36" i="9" s="1"/>
  <c r="D159" i="21"/>
  <c r="D36" i="9" s="1"/>
  <c r="C159" i="21"/>
  <c r="C36" i="9" s="1"/>
  <c r="B159" i="21"/>
  <c r="B36" i="9" s="1"/>
  <c r="H158" i="21"/>
  <c r="H35" i="9" s="1"/>
  <c r="G158" i="21"/>
  <c r="G35" i="9" s="1"/>
  <c r="F158" i="21"/>
  <c r="F35" i="9" s="1"/>
  <c r="E158" i="21"/>
  <c r="E35" i="9" s="1"/>
  <c r="D158" i="21"/>
  <c r="D35" i="9" s="1"/>
  <c r="C158" i="21"/>
  <c r="C35" i="9" s="1"/>
  <c r="B158" i="21"/>
  <c r="B35" i="9" s="1"/>
  <c r="H154" i="21"/>
  <c r="H11" i="9" s="1"/>
  <c r="G154" i="21"/>
  <c r="G11" i="9" s="1"/>
  <c r="F154" i="21"/>
  <c r="F11" i="9" s="1"/>
  <c r="E154" i="21"/>
  <c r="E11" i="9" s="1"/>
  <c r="D154" i="21"/>
  <c r="D11" i="9" s="1"/>
  <c r="C154" i="21"/>
  <c r="C11" i="9" s="1"/>
  <c r="B154" i="21"/>
  <c r="B11" i="9" s="1"/>
  <c r="H153" i="21"/>
  <c r="H10" i="9" s="1"/>
  <c r="G153" i="21"/>
  <c r="G10" i="9" s="1"/>
  <c r="F153" i="21"/>
  <c r="F10" i="9" s="1"/>
  <c r="E153" i="21"/>
  <c r="E10" i="9" s="1"/>
  <c r="D153" i="21"/>
  <c r="D10" i="9" s="1"/>
  <c r="C153" i="21"/>
  <c r="C10" i="9" s="1"/>
  <c r="B153" i="21"/>
  <c r="B10" i="9" s="1"/>
  <c r="H152" i="21"/>
  <c r="H9" i="9" s="1"/>
  <c r="G152" i="21"/>
  <c r="G9" i="9" s="1"/>
  <c r="F152" i="21"/>
  <c r="F9" i="9" s="1"/>
  <c r="E152" i="21"/>
  <c r="E9" i="9" s="1"/>
  <c r="D152" i="21"/>
  <c r="D9" i="9" s="1"/>
  <c r="C152" i="21"/>
  <c r="C9" i="9" s="1"/>
  <c r="B152" i="21"/>
  <c r="B9" i="9" s="1"/>
  <c r="H151" i="21"/>
  <c r="H8" i="9" s="1"/>
  <c r="G151" i="21"/>
  <c r="G8" i="9" s="1"/>
  <c r="F151" i="21"/>
  <c r="F8" i="9" s="1"/>
  <c r="E151" i="21"/>
  <c r="E8" i="9" s="1"/>
  <c r="D151" i="21"/>
  <c r="D8" i="9" s="1"/>
  <c r="C151" i="21"/>
  <c r="C8" i="9" s="1"/>
  <c r="B151" i="21"/>
  <c r="B8" i="9" s="1"/>
  <c r="H150" i="21"/>
  <c r="H7" i="9" s="1"/>
  <c r="G150" i="21"/>
  <c r="G7" i="9" s="1"/>
  <c r="F150" i="21"/>
  <c r="F7" i="9" s="1"/>
  <c r="E150" i="21"/>
  <c r="E7" i="9" s="1"/>
  <c r="D150" i="21"/>
  <c r="D7" i="9" s="1"/>
  <c r="C150" i="21"/>
  <c r="C7" i="9" s="1"/>
  <c r="B150" i="21"/>
  <c r="B7" i="9" s="1"/>
  <c r="H149" i="21"/>
  <c r="H6" i="9" s="1"/>
  <c r="G149" i="21"/>
  <c r="G6" i="9" s="1"/>
  <c r="F149" i="21"/>
  <c r="F6" i="9" s="1"/>
  <c r="E149" i="21"/>
  <c r="E6" i="9" s="1"/>
  <c r="D149" i="21"/>
  <c r="D6" i="9" s="1"/>
  <c r="C149" i="21"/>
  <c r="C6" i="9" s="1"/>
  <c r="B149" i="21"/>
  <c r="B6" i="9" s="1"/>
  <c r="H148" i="21"/>
  <c r="H5" i="9" s="1"/>
  <c r="G148" i="21"/>
  <c r="G5" i="9" s="1"/>
  <c r="F148" i="21"/>
  <c r="F5" i="9" s="1"/>
  <c r="E148" i="21"/>
  <c r="E5" i="9" s="1"/>
  <c r="D148" i="21"/>
  <c r="D5" i="9" s="1"/>
  <c r="C148" i="21"/>
  <c r="C5" i="9" s="1"/>
  <c r="B148" i="21"/>
  <c r="B5" i="9" s="1"/>
  <c r="C136" i="21"/>
  <c r="B136" i="21"/>
  <c r="D132" i="21"/>
  <c r="D131" i="21"/>
  <c r="D130" i="21"/>
  <c r="C129" i="21"/>
  <c r="B129" i="21"/>
  <c r="J125" i="21"/>
  <c r="I125" i="21"/>
  <c r="H125" i="21"/>
  <c r="G125" i="21"/>
  <c r="F125" i="21"/>
  <c r="E125" i="21"/>
  <c r="D125" i="21"/>
  <c r="C125" i="21"/>
  <c r="B125" i="21"/>
  <c r="J124" i="21"/>
  <c r="I124" i="21"/>
  <c r="H124" i="21"/>
  <c r="G124" i="21"/>
  <c r="F124" i="21"/>
  <c r="E124" i="21"/>
  <c r="D124" i="21"/>
  <c r="C124" i="21"/>
  <c r="B124" i="21"/>
  <c r="J123" i="21"/>
  <c r="I123" i="21"/>
  <c r="H123" i="21"/>
  <c r="G123" i="21"/>
  <c r="F123" i="21"/>
  <c r="E123" i="21"/>
  <c r="D123" i="21"/>
  <c r="C123" i="21"/>
  <c r="B123" i="21"/>
  <c r="J122" i="21"/>
  <c r="I122" i="21"/>
  <c r="H122" i="21"/>
  <c r="G122" i="21"/>
  <c r="F122" i="21"/>
  <c r="E122" i="21"/>
  <c r="D122" i="21"/>
  <c r="C122" i="21"/>
  <c r="B122" i="21"/>
  <c r="J118" i="21"/>
  <c r="I118" i="21"/>
  <c r="H118" i="21"/>
  <c r="G118" i="21"/>
  <c r="F118" i="21"/>
  <c r="E118" i="21"/>
  <c r="D118" i="21"/>
  <c r="C118" i="21"/>
  <c r="B118" i="21"/>
  <c r="J117" i="21"/>
  <c r="I117" i="21"/>
  <c r="H117" i="21"/>
  <c r="G117" i="21"/>
  <c r="F117" i="21"/>
  <c r="E117" i="21"/>
  <c r="D117" i="21"/>
  <c r="C117" i="21"/>
  <c r="B117" i="21"/>
  <c r="J116" i="21"/>
  <c r="I116" i="21"/>
  <c r="H116" i="21"/>
  <c r="G116" i="21"/>
  <c r="F116" i="21"/>
  <c r="E116" i="21"/>
  <c r="D116" i="21"/>
  <c r="C116" i="21"/>
  <c r="B116" i="21"/>
  <c r="J115" i="21"/>
  <c r="I115" i="21"/>
  <c r="H115" i="21"/>
  <c r="G115" i="21"/>
  <c r="F115" i="21"/>
  <c r="E115" i="21"/>
  <c r="D115" i="21"/>
  <c r="C115" i="21"/>
  <c r="B115" i="21"/>
  <c r="J111" i="21"/>
  <c r="I111" i="21"/>
  <c r="H111" i="21"/>
  <c r="G111" i="21"/>
  <c r="F111" i="21"/>
  <c r="E111" i="21"/>
  <c r="D111" i="21"/>
  <c r="C111" i="21"/>
  <c r="B111" i="21"/>
  <c r="J110" i="21"/>
  <c r="I110" i="21"/>
  <c r="H110" i="21"/>
  <c r="G110" i="21"/>
  <c r="F110" i="21"/>
  <c r="E110" i="21"/>
  <c r="D110" i="21"/>
  <c r="C110" i="21"/>
  <c r="B110" i="21"/>
  <c r="J109" i="21"/>
  <c r="I109" i="21"/>
  <c r="H109" i="21"/>
  <c r="G109" i="21"/>
  <c r="F109" i="21"/>
  <c r="E109" i="21"/>
  <c r="D109" i="21"/>
  <c r="C109" i="21"/>
  <c r="B109" i="21"/>
  <c r="J108" i="21"/>
  <c r="I108" i="21"/>
  <c r="H108" i="21"/>
  <c r="G108" i="21"/>
  <c r="F108" i="21"/>
  <c r="E108" i="21"/>
  <c r="D108" i="21"/>
  <c r="C108" i="21"/>
  <c r="B108" i="21"/>
  <c r="J104" i="21"/>
  <c r="I104" i="21"/>
  <c r="H104" i="21"/>
  <c r="G104" i="21"/>
  <c r="F104" i="21"/>
  <c r="E104" i="21"/>
  <c r="D104" i="21"/>
  <c r="C104" i="21"/>
  <c r="B104" i="21"/>
  <c r="J103" i="21"/>
  <c r="I103" i="21"/>
  <c r="H103" i="21"/>
  <c r="G103" i="21"/>
  <c r="F103" i="21"/>
  <c r="E103" i="21"/>
  <c r="D103" i="21"/>
  <c r="C103" i="21"/>
  <c r="B103" i="21"/>
  <c r="J102" i="21"/>
  <c r="I102" i="21"/>
  <c r="H102" i="21"/>
  <c r="G102" i="21"/>
  <c r="F102" i="21"/>
  <c r="E102" i="21"/>
  <c r="D102" i="21"/>
  <c r="C102" i="21"/>
  <c r="B102" i="21"/>
  <c r="J101" i="21"/>
  <c r="I101" i="21"/>
  <c r="H101" i="21"/>
  <c r="G101" i="21"/>
  <c r="F101" i="21"/>
  <c r="E101" i="21"/>
  <c r="D101" i="21"/>
  <c r="C101" i="21"/>
  <c r="B101" i="21"/>
  <c r="J97" i="21"/>
  <c r="I97" i="21"/>
  <c r="H97" i="21"/>
  <c r="G97" i="21"/>
  <c r="F97" i="21"/>
  <c r="E97" i="21"/>
  <c r="D97" i="21"/>
  <c r="C97" i="21"/>
  <c r="B97" i="21"/>
  <c r="J96" i="21"/>
  <c r="I96" i="21"/>
  <c r="H96" i="21"/>
  <c r="G96" i="21"/>
  <c r="F96" i="21"/>
  <c r="E96" i="21"/>
  <c r="D96" i="21"/>
  <c r="C96" i="21"/>
  <c r="B96" i="21"/>
  <c r="J95" i="21"/>
  <c r="I95" i="21"/>
  <c r="H95" i="21"/>
  <c r="G95" i="21"/>
  <c r="F95" i="21"/>
  <c r="E95" i="21"/>
  <c r="D95" i="21"/>
  <c r="C95" i="21"/>
  <c r="B95" i="21"/>
  <c r="J94" i="21"/>
  <c r="I94" i="21"/>
  <c r="H94" i="21"/>
  <c r="G94" i="21"/>
  <c r="F94" i="21"/>
  <c r="E94" i="21"/>
  <c r="D94" i="21"/>
  <c r="C94" i="21"/>
  <c r="B94" i="21"/>
  <c r="J90" i="21"/>
  <c r="I90" i="21"/>
  <c r="H90" i="21"/>
  <c r="G90" i="21"/>
  <c r="F90" i="21"/>
  <c r="E90" i="21"/>
  <c r="D90" i="21"/>
  <c r="C90" i="21"/>
  <c r="B90" i="21"/>
  <c r="J89" i="21"/>
  <c r="I89" i="21"/>
  <c r="H89" i="21"/>
  <c r="G89" i="21"/>
  <c r="F89" i="21"/>
  <c r="E89" i="21"/>
  <c r="D89" i="21"/>
  <c r="C89" i="21"/>
  <c r="B89" i="21"/>
  <c r="J88" i="21"/>
  <c r="I88" i="21"/>
  <c r="H88" i="21"/>
  <c r="G88" i="21"/>
  <c r="F88" i="21"/>
  <c r="E88" i="21"/>
  <c r="D88" i="21"/>
  <c r="C88" i="21"/>
  <c r="B88" i="21"/>
  <c r="J87" i="21"/>
  <c r="I87" i="21"/>
  <c r="H87" i="21"/>
  <c r="G87" i="21"/>
  <c r="F87" i="21"/>
  <c r="E87" i="21"/>
  <c r="D87" i="21"/>
  <c r="C87" i="21"/>
  <c r="B87" i="21"/>
  <c r="J83" i="21"/>
  <c r="I83" i="21"/>
  <c r="H83" i="21"/>
  <c r="G83" i="21"/>
  <c r="F83" i="21"/>
  <c r="E83" i="21"/>
  <c r="D83" i="21"/>
  <c r="C83" i="21"/>
  <c r="B83" i="21"/>
  <c r="J82" i="21"/>
  <c r="I82" i="21"/>
  <c r="H82" i="21"/>
  <c r="G82" i="21"/>
  <c r="F82" i="21"/>
  <c r="E82" i="21"/>
  <c r="D82" i="21"/>
  <c r="C82" i="21"/>
  <c r="B82" i="21"/>
  <c r="J81" i="21"/>
  <c r="I81" i="21"/>
  <c r="H81" i="21"/>
  <c r="G81" i="21"/>
  <c r="F81" i="21"/>
  <c r="E81" i="21"/>
  <c r="D81" i="21"/>
  <c r="C81" i="21"/>
  <c r="B81" i="21"/>
  <c r="J80" i="21"/>
  <c r="I80" i="21"/>
  <c r="H80" i="21"/>
  <c r="G80" i="21"/>
  <c r="F80" i="21"/>
  <c r="E80" i="21"/>
  <c r="D80" i="21"/>
  <c r="C80" i="21"/>
  <c r="B80" i="21"/>
  <c r="J74" i="21"/>
  <c r="I74" i="21"/>
  <c r="H74" i="21"/>
  <c r="G74" i="21"/>
  <c r="F74" i="21"/>
  <c r="E74" i="21"/>
  <c r="D74" i="21"/>
  <c r="C74" i="21"/>
  <c r="B74" i="21"/>
  <c r="J73" i="21"/>
  <c r="I73" i="21"/>
  <c r="H73" i="21"/>
  <c r="G73" i="21"/>
  <c r="F73" i="21"/>
  <c r="E73" i="21"/>
  <c r="D73" i="21"/>
  <c r="C73" i="21"/>
  <c r="B73" i="21"/>
  <c r="J72" i="21"/>
  <c r="I72" i="21"/>
  <c r="H72" i="21"/>
  <c r="G72" i="21"/>
  <c r="F72" i="21"/>
  <c r="E72" i="21"/>
  <c r="D72" i="21"/>
  <c r="C72" i="21"/>
  <c r="B72" i="21"/>
  <c r="J71" i="21"/>
  <c r="I71" i="21"/>
  <c r="H71" i="21"/>
  <c r="G71" i="21"/>
  <c r="F71" i="21"/>
  <c r="E71" i="21"/>
  <c r="D71" i="21"/>
  <c r="C71" i="21"/>
  <c r="B71" i="21"/>
  <c r="J67" i="21"/>
  <c r="I67" i="21"/>
  <c r="H67" i="21"/>
  <c r="G67" i="21"/>
  <c r="F67" i="21"/>
  <c r="E67" i="21"/>
  <c r="D67" i="21"/>
  <c r="C67" i="21"/>
  <c r="B67" i="21"/>
  <c r="J66" i="21"/>
  <c r="I66" i="21"/>
  <c r="H66" i="21"/>
  <c r="G66" i="21"/>
  <c r="F66" i="21"/>
  <c r="E66" i="21"/>
  <c r="D66" i="21"/>
  <c r="C66" i="21"/>
  <c r="B66" i="21"/>
  <c r="J65" i="21"/>
  <c r="I65" i="21"/>
  <c r="H65" i="21"/>
  <c r="G65" i="21"/>
  <c r="F65" i="21"/>
  <c r="E65" i="21"/>
  <c r="D65" i="21"/>
  <c r="C65" i="21"/>
  <c r="B65" i="21"/>
  <c r="J64" i="21"/>
  <c r="I64" i="21"/>
  <c r="H64" i="21"/>
  <c r="G64" i="21"/>
  <c r="F64" i="21"/>
  <c r="E64" i="21"/>
  <c r="D64" i="21"/>
  <c r="C64" i="21"/>
  <c r="B64" i="21"/>
  <c r="J60" i="21"/>
  <c r="I60" i="21"/>
  <c r="H60" i="21"/>
  <c r="G60" i="21"/>
  <c r="F60" i="21"/>
  <c r="E60" i="21"/>
  <c r="D60" i="21"/>
  <c r="C60" i="21"/>
  <c r="B60" i="21"/>
  <c r="J59" i="21"/>
  <c r="I59" i="21"/>
  <c r="H59" i="21"/>
  <c r="G59" i="21"/>
  <c r="F59" i="21"/>
  <c r="E59" i="21"/>
  <c r="D59" i="21"/>
  <c r="C59" i="21"/>
  <c r="B59" i="21"/>
  <c r="J58" i="21"/>
  <c r="I58" i="21"/>
  <c r="H58" i="21"/>
  <c r="G58" i="21"/>
  <c r="F58" i="21"/>
  <c r="E58" i="21"/>
  <c r="D58" i="21"/>
  <c r="C58" i="21"/>
  <c r="B58" i="21"/>
  <c r="J57" i="21"/>
  <c r="I57" i="21"/>
  <c r="H57" i="21"/>
  <c r="G57" i="21"/>
  <c r="F57" i="21"/>
  <c r="E57" i="21"/>
  <c r="D57" i="21"/>
  <c r="C57" i="21"/>
  <c r="B57" i="21"/>
  <c r="J53" i="21"/>
  <c r="I53" i="21"/>
  <c r="H53" i="21"/>
  <c r="G53" i="21"/>
  <c r="F53" i="21"/>
  <c r="E53" i="21"/>
  <c r="D53" i="21"/>
  <c r="C53" i="21"/>
  <c r="B53" i="21"/>
  <c r="J52" i="21"/>
  <c r="I52" i="21"/>
  <c r="H52" i="21"/>
  <c r="G52" i="21"/>
  <c r="F52" i="21"/>
  <c r="E52" i="21"/>
  <c r="D52" i="21"/>
  <c r="C52" i="21"/>
  <c r="B52" i="21"/>
  <c r="J51" i="21"/>
  <c r="I51" i="21"/>
  <c r="H51" i="21"/>
  <c r="G51" i="21"/>
  <c r="F51" i="21"/>
  <c r="E51" i="21"/>
  <c r="D51" i="21"/>
  <c r="C51" i="21"/>
  <c r="B51" i="21"/>
  <c r="J50" i="21"/>
  <c r="I50" i="21"/>
  <c r="H50" i="21"/>
  <c r="G50" i="21"/>
  <c r="F50" i="21"/>
  <c r="E50" i="21"/>
  <c r="D50" i="21"/>
  <c r="C50" i="21"/>
  <c r="B50" i="21"/>
  <c r="J46" i="21"/>
  <c r="I46" i="21"/>
  <c r="H46" i="21"/>
  <c r="G46" i="21"/>
  <c r="F46" i="21"/>
  <c r="E46" i="21"/>
  <c r="D46" i="21"/>
  <c r="C46" i="21"/>
  <c r="B46" i="21"/>
  <c r="J45" i="21"/>
  <c r="I45" i="21"/>
  <c r="H45" i="21"/>
  <c r="G45" i="21"/>
  <c r="F45" i="21"/>
  <c r="E45" i="21"/>
  <c r="D45" i="21"/>
  <c r="C45" i="21"/>
  <c r="B45" i="21"/>
  <c r="J44" i="21"/>
  <c r="I44" i="21"/>
  <c r="H44" i="21"/>
  <c r="G44" i="21"/>
  <c r="F44" i="21"/>
  <c r="E44" i="21"/>
  <c r="D44" i="21"/>
  <c r="C44" i="21"/>
  <c r="B44" i="21"/>
  <c r="J43" i="21"/>
  <c r="I43" i="21"/>
  <c r="H43" i="21"/>
  <c r="G43" i="21"/>
  <c r="F43" i="21"/>
  <c r="E43" i="21"/>
  <c r="D43" i="21"/>
  <c r="C43" i="21"/>
  <c r="B43" i="21"/>
  <c r="J39" i="21"/>
  <c r="I39" i="21"/>
  <c r="H39" i="21"/>
  <c r="G39" i="21"/>
  <c r="F39" i="21"/>
  <c r="E39" i="21"/>
  <c r="D39" i="21"/>
  <c r="C39" i="21"/>
  <c r="B39" i="21"/>
  <c r="J38" i="21"/>
  <c r="I38" i="21"/>
  <c r="H38" i="21"/>
  <c r="G38" i="21"/>
  <c r="F38" i="21"/>
  <c r="E38" i="21"/>
  <c r="D38" i="21"/>
  <c r="C38" i="21"/>
  <c r="B38" i="21"/>
  <c r="J37" i="21"/>
  <c r="I37" i="21"/>
  <c r="H37" i="21"/>
  <c r="G37" i="21"/>
  <c r="F37" i="21"/>
  <c r="E37" i="21"/>
  <c r="D37" i="21"/>
  <c r="C37" i="21"/>
  <c r="B37" i="21"/>
  <c r="J36" i="21"/>
  <c r="I36" i="21"/>
  <c r="H36" i="21"/>
  <c r="G36" i="21"/>
  <c r="F36" i="21"/>
  <c r="E36" i="21"/>
  <c r="D36" i="21"/>
  <c r="C36" i="21"/>
  <c r="B36" i="21"/>
  <c r="J32" i="21"/>
  <c r="I32" i="21"/>
  <c r="H32" i="21"/>
  <c r="G32" i="21"/>
  <c r="F32" i="21"/>
  <c r="E32" i="21"/>
  <c r="D32" i="21"/>
  <c r="C32" i="21"/>
  <c r="B32" i="21"/>
  <c r="J31" i="21"/>
  <c r="I31" i="21"/>
  <c r="H31" i="21"/>
  <c r="G31" i="21"/>
  <c r="F31" i="21"/>
  <c r="E31" i="21"/>
  <c r="D31" i="21"/>
  <c r="C31" i="21"/>
  <c r="B31" i="21"/>
  <c r="J30" i="21"/>
  <c r="I30" i="21"/>
  <c r="H30" i="21"/>
  <c r="G30" i="21"/>
  <c r="F30" i="21"/>
  <c r="E30" i="21"/>
  <c r="D30" i="21"/>
  <c r="C30" i="21"/>
  <c r="B30" i="21"/>
  <c r="J29" i="21"/>
  <c r="I29" i="21"/>
  <c r="H29" i="21"/>
  <c r="G29" i="21"/>
  <c r="F29" i="21"/>
  <c r="E29" i="21"/>
  <c r="D29" i="21"/>
  <c r="C29" i="21"/>
  <c r="B29" i="21"/>
  <c r="J23" i="21"/>
  <c r="I23" i="21"/>
  <c r="H23" i="21"/>
  <c r="G23" i="21"/>
  <c r="F23" i="21"/>
  <c r="E23" i="21"/>
  <c r="D23" i="21"/>
  <c r="C23" i="21"/>
  <c r="B23" i="21"/>
  <c r="J22" i="21"/>
  <c r="I22" i="21"/>
  <c r="H22" i="21"/>
  <c r="G22" i="21"/>
  <c r="F22" i="21"/>
  <c r="E22" i="21"/>
  <c r="D22" i="21"/>
  <c r="C22" i="21"/>
  <c r="B22" i="21"/>
  <c r="J21" i="21"/>
  <c r="I21" i="21"/>
  <c r="H21" i="21"/>
  <c r="G21" i="21"/>
  <c r="F21" i="21"/>
  <c r="E21" i="21"/>
  <c r="D21" i="21"/>
  <c r="C21" i="21"/>
  <c r="B21" i="21"/>
  <c r="J20" i="21"/>
  <c r="I20" i="21"/>
  <c r="H20" i="21"/>
  <c r="G20" i="21"/>
  <c r="F20" i="21"/>
  <c r="E20" i="21"/>
  <c r="D20" i="21"/>
  <c r="C20" i="21"/>
  <c r="B20" i="21"/>
  <c r="J19" i="21"/>
  <c r="I19" i="21"/>
  <c r="H19" i="21"/>
  <c r="G19" i="21"/>
  <c r="F19" i="21"/>
  <c r="E19" i="21"/>
  <c r="D19" i="21"/>
  <c r="C19" i="21"/>
  <c r="B19" i="21"/>
  <c r="J18" i="21"/>
  <c r="I18" i="21"/>
  <c r="H18" i="21"/>
  <c r="G18" i="21"/>
  <c r="F18" i="21"/>
  <c r="E18" i="21"/>
  <c r="D18" i="21"/>
  <c r="C18" i="21"/>
  <c r="B18" i="21"/>
  <c r="J17" i="21"/>
  <c r="I17" i="21"/>
  <c r="H17" i="21"/>
  <c r="G17" i="21"/>
  <c r="F17" i="21"/>
  <c r="E17" i="21"/>
  <c r="D17" i="21"/>
  <c r="C17" i="21"/>
  <c r="B17" i="21"/>
  <c r="J16" i="21"/>
  <c r="I16" i="21"/>
  <c r="H16" i="21"/>
  <c r="G16" i="21"/>
  <c r="F16" i="21"/>
  <c r="E16" i="21"/>
  <c r="D16" i="21"/>
  <c r="C16" i="21"/>
  <c r="B16" i="21"/>
  <c r="J15" i="21"/>
  <c r="I15" i="21"/>
  <c r="H15" i="21"/>
  <c r="G15" i="21"/>
  <c r="F15" i="21"/>
  <c r="E15" i="21"/>
  <c r="D15" i="21"/>
  <c r="C15" i="21"/>
  <c r="B15" i="21"/>
  <c r="J14" i="21"/>
  <c r="I14" i="21"/>
  <c r="H14" i="21"/>
  <c r="G14" i="21"/>
  <c r="F14" i="21"/>
  <c r="E14" i="21"/>
  <c r="D14" i="21"/>
  <c r="C14" i="21"/>
  <c r="B14" i="21"/>
  <c r="J13" i="21"/>
  <c r="I13" i="21"/>
  <c r="H13" i="21"/>
  <c r="G13" i="21"/>
  <c r="F13" i="21"/>
  <c r="E13" i="21"/>
  <c r="D13" i="21"/>
  <c r="C13" i="21"/>
  <c r="B13" i="21"/>
  <c r="J12" i="21"/>
  <c r="I12" i="21"/>
  <c r="H12" i="21"/>
  <c r="G12" i="21"/>
  <c r="F12" i="21"/>
  <c r="E12" i="21"/>
  <c r="D12" i="21"/>
  <c r="C12" i="21"/>
  <c r="B12" i="21"/>
  <c r="J11" i="21"/>
  <c r="I11" i="21"/>
  <c r="H11" i="21"/>
  <c r="G11" i="21"/>
  <c r="F11" i="21"/>
  <c r="E11" i="21"/>
  <c r="D11" i="21"/>
  <c r="C11" i="21"/>
  <c r="B11" i="21"/>
  <c r="J7" i="21"/>
  <c r="I7" i="21"/>
  <c r="H7" i="21"/>
  <c r="G7" i="21"/>
  <c r="F7" i="21"/>
  <c r="E7" i="21"/>
  <c r="D7" i="21"/>
  <c r="C7" i="21"/>
  <c r="B7" i="21"/>
  <c r="J6" i="21"/>
  <c r="I6" i="21"/>
  <c r="H6" i="21"/>
  <c r="G6" i="21"/>
  <c r="F6" i="21"/>
  <c r="E6" i="21"/>
  <c r="D6" i="21"/>
  <c r="C6" i="21"/>
  <c r="B6" i="21"/>
  <c r="J5" i="21"/>
  <c r="I5" i="21"/>
  <c r="H5" i="21"/>
  <c r="G5" i="21"/>
  <c r="F5" i="21"/>
  <c r="E5" i="21"/>
  <c r="D5" i="21"/>
  <c r="C5" i="21"/>
  <c r="B5" i="21"/>
  <c r="J4" i="21"/>
  <c r="I4" i="21"/>
  <c r="H4" i="21"/>
  <c r="G4" i="21"/>
  <c r="F4" i="21"/>
  <c r="E4" i="21"/>
  <c r="D4" i="21"/>
  <c r="C4" i="21"/>
  <c r="B4" i="21"/>
  <c r="C130" i="20"/>
  <c r="C131" i="20"/>
  <c r="C132" i="20"/>
  <c r="C129" i="20"/>
  <c r="B130" i="20"/>
  <c r="B131" i="20"/>
  <c r="B132" i="20"/>
  <c r="B129" i="20"/>
  <c r="D137" i="20"/>
  <c r="C102" i="24" s="1"/>
  <c r="D138" i="20"/>
  <c r="C103" i="24" s="1"/>
  <c r="D139" i="20"/>
  <c r="C104" i="24" s="1"/>
  <c r="D140" i="20"/>
  <c r="C105" i="24" s="1"/>
  <c r="D141" i="20"/>
  <c r="C106" i="24" s="1"/>
  <c r="D142" i="20"/>
  <c r="C107" i="24" s="1"/>
  <c r="D136" i="20"/>
  <c r="C101" i="24" s="1"/>
  <c r="D130" i="20"/>
  <c r="D131" i="20"/>
  <c r="D132" i="20"/>
  <c r="D129" i="20"/>
  <c r="J123" i="20"/>
  <c r="J124" i="20"/>
  <c r="J125" i="20"/>
  <c r="J122" i="20"/>
  <c r="J116" i="20"/>
  <c r="J117" i="20"/>
  <c r="J118" i="20"/>
  <c r="J115" i="20"/>
  <c r="J109" i="20"/>
  <c r="J110" i="20"/>
  <c r="J111" i="20"/>
  <c r="J108" i="20"/>
  <c r="J102" i="20"/>
  <c r="J103" i="20"/>
  <c r="J104" i="20"/>
  <c r="J101" i="20"/>
  <c r="J95" i="20"/>
  <c r="J96" i="20"/>
  <c r="J97" i="20"/>
  <c r="J94" i="20"/>
  <c r="J88" i="20"/>
  <c r="J89" i="20"/>
  <c r="J90" i="20"/>
  <c r="J87" i="20"/>
  <c r="J81" i="20"/>
  <c r="J82" i="20"/>
  <c r="J83" i="20"/>
  <c r="J80" i="20"/>
  <c r="J72" i="20"/>
  <c r="J73" i="20"/>
  <c r="J74" i="20"/>
  <c r="J71" i="20"/>
  <c r="J65" i="20"/>
  <c r="J66" i="20"/>
  <c r="J67" i="20"/>
  <c r="J64" i="20"/>
  <c r="J58" i="20"/>
  <c r="J59" i="20"/>
  <c r="J60" i="20"/>
  <c r="J57" i="20"/>
  <c r="J51" i="20"/>
  <c r="J52" i="20"/>
  <c r="J53" i="20"/>
  <c r="J50" i="20"/>
  <c r="J44" i="20"/>
  <c r="J45" i="20"/>
  <c r="J46" i="20"/>
  <c r="J43" i="20"/>
  <c r="J37" i="20"/>
  <c r="J38" i="20"/>
  <c r="J39" i="20"/>
  <c r="J36" i="20"/>
  <c r="J29" i="20"/>
  <c r="J30" i="20"/>
  <c r="J31" i="20"/>
  <c r="J32" i="20"/>
  <c r="J12" i="20"/>
  <c r="J13" i="20"/>
  <c r="J14" i="20"/>
  <c r="J15" i="20"/>
  <c r="J16" i="20"/>
  <c r="J17" i="20"/>
  <c r="J18" i="20"/>
  <c r="J19" i="20"/>
  <c r="J20" i="20"/>
  <c r="J21" i="20"/>
  <c r="J22" i="20"/>
  <c r="J23" i="20"/>
  <c r="J11" i="20"/>
  <c r="J5" i="20"/>
  <c r="J6" i="20"/>
  <c r="J7" i="20"/>
  <c r="J4" i="20"/>
  <c r="B252" i="20"/>
  <c r="N101" i="11" s="1"/>
  <c r="C252" i="20"/>
  <c r="O101" i="11" s="1"/>
  <c r="AD40" i="10"/>
  <c r="AD41" i="10"/>
  <c r="AD42" i="10"/>
  <c r="AD43" i="10"/>
  <c r="AD44" i="10"/>
  <c r="AD45" i="10"/>
  <c r="AD46" i="10"/>
  <c r="AD47" i="10"/>
  <c r="AD50" i="10"/>
  <c r="R57" i="10"/>
  <c r="R58" i="10"/>
  <c r="R59" i="10"/>
  <c r="R60" i="10"/>
  <c r="R61" i="10"/>
  <c r="R62" i="10"/>
  <c r="R63" i="10"/>
  <c r="R64" i="10"/>
  <c r="R65" i="10"/>
  <c r="AD65" i="10" s="1"/>
  <c r="AD37" i="11"/>
  <c r="AD38" i="11"/>
  <c r="AD39" i="11"/>
  <c r="AD40" i="11"/>
  <c r="AD41" i="11"/>
  <c r="AD42" i="11"/>
  <c r="AD43" i="11"/>
  <c r="AD44" i="11"/>
  <c r="R46" i="11"/>
  <c r="R47" i="11" s="1"/>
  <c r="F47" i="11"/>
  <c r="F53" i="11"/>
  <c r="R53" i="11"/>
  <c r="F54" i="11"/>
  <c r="R54" i="11"/>
  <c r="F55" i="11"/>
  <c r="R55" i="11"/>
  <c r="F56" i="11"/>
  <c r="R56" i="11"/>
  <c r="F57" i="11"/>
  <c r="R57" i="11"/>
  <c r="F58" i="11"/>
  <c r="R58" i="11"/>
  <c r="F59" i="11"/>
  <c r="R59" i="11"/>
  <c r="F60" i="11"/>
  <c r="R60" i="11"/>
  <c r="AD39" i="12"/>
  <c r="AD40" i="12"/>
  <c r="AD41" i="12"/>
  <c r="AD42" i="12"/>
  <c r="AD43" i="12"/>
  <c r="AD44" i="12"/>
  <c r="AD45" i="12"/>
  <c r="AD46" i="12"/>
  <c r="AD47" i="12"/>
  <c r="R49" i="12"/>
  <c r="R50" i="12" s="1"/>
  <c r="F50" i="12"/>
  <c r="R56" i="12"/>
  <c r="R57" i="12"/>
  <c r="R58" i="12"/>
  <c r="R59" i="12"/>
  <c r="R60" i="12"/>
  <c r="R61" i="12"/>
  <c r="R62" i="12"/>
  <c r="R63" i="12"/>
  <c r="R64" i="12"/>
  <c r="B4" i="20"/>
  <c r="C4" i="20"/>
  <c r="D4" i="20"/>
  <c r="E4" i="20"/>
  <c r="F4" i="20"/>
  <c r="G4" i="20"/>
  <c r="H4" i="20"/>
  <c r="I4" i="20"/>
  <c r="B5" i="20"/>
  <c r="C5" i="20"/>
  <c r="D5" i="20"/>
  <c r="E5" i="20"/>
  <c r="F5" i="20"/>
  <c r="G5" i="20"/>
  <c r="H5" i="20"/>
  <c r="I5" i="20"/>
  <c r="B6" i="20"/>
  <c r="C6" i="20"/>
  <c r="D6" i="20"/>
  <c r="E6" i="20"/>
  <c r="F6" i="20"/>
  <c r="G6" i="20"/>
  <c r="H6" i="20"/>
  <c r="I6" i="20"/>
  <c r="B7" i="20"/>
  <c r="C7" i="20"/>
  <c r="D7" i="20"/>
  <c r="E7" i="20"/>
  <c r="F7" i="20"/>
  <c r="G7" i="20"/>
  <c r="H7" i="20"/>
  <c r="I7" i="20"/>
  <c r="B11" i="20"/>
  <c r="C11" i="20"/>
  <c r="D11" i="20"/>
  <c r="E11" i="20"/>
  <c r="F11" i="20"/>
  <c r="G11" i="20"/>
  <c r="H11" i="20"/>
  <c r="I11" i="20"/>
  <c r="B12" i="20"/>
  <c r="C12" i="20"/>
  <c r="D12" i="20"/>
  <c r="E12" i="20"/>
  <c r="F12" i="20"/>
  <c r="G12" i="20"/>
  <c r="H12" i="20"/>
  <c r="I12" i="20"/>
  <c r="B13" i="20"/>
  <c r="C13" i="20"/>
  <c r="D13" i="20"/>
  <c r="E13" i="20"/>
  <c r="F13" i="20"/>
  <c r="G13" i="20"/>
  <c r="H13" i="20"/>
  <c r="I13" i="20"/>
  <c r="B14" i="20"/>
  <c r="C14" i="20"/>
  <c r="D14" i="20"/>
  <c r="E14" i="20"/>
  <c r="F14" i="20"/>
  <c r="G14" i="20"/>
  <c r="H14" i="20"/>
  <c r="I14" i="20"/>
  <c r="B15" i="20"/>
  <c r="C15" i="20"/>
  <c r="D15" i="20"/>
  <c r="E15" i="20"/>
  <c r="F15" i="20"/>
  <c r="G15" i="20"/>
  <c r="H15" i="20"/>
  <c r="I15" i="20"/>
  <c r="B16" i="20"/>
  <c r="C16" i="20"/>
  <c r="D16" i="20"/>
  <c r="E16" i="20"/>
  <c r="F16" i="20"/>
  <c r="G16" i="20"/>
  <c r="H16" i="20"/>
  <c r="I16" i="20"/>
  <c r="B17" i="20"/>
  <c r="C17" i="20"/>
  <c r="D17" i="20"/>
  <c r="E17" i="20"/>
  <c r="F17" i="20"/>
  <c r="G17" i="20"/>
  <c r="H17" i="20"/>
  <c r="I17" i="20"/>
  <c r="B18" i="20"/>
  <c r="C18" i="20"/>
  <c r="D18" i="20"/>
  <c r="E18" i="20"/>
  <c r="F18" i="20"/>
  <c r="G18" i="20"/>
  <c r="H18" i="20"/>
  <c r="I18" i="20"/>
  <c r="B19" i="20"/>
  <c r="C19" i="20"/>
  <c r="D19" i="20"/>
  <c r="E19" i="20"/>
  <c r="F19" i="20"/>
  <c r="G19" i="20"/>
  <c r="H19" i="20"/>
  <c r="I19" i="20"/>
  <c r="B20" i="20"/>
  <c r="C20" i="20"/>
  <c r="D20" i="20"/>
  <c r="E20" i="20"/>
  <c r="F20" i="20"/>
  <c r="G20" i="20"/>
  <c r="H20" i="20"/>
  <c r="I20" i="20"/>
  <c r="B21" i="20"/>
  <c r="C21" i="20"/>
  <c r="D21" i="20"/>
  <c r="E21" i="20"/>
  <c r="F21" i="20"/>
  <c r="G21" i="20"/>
  <c r="H21" i="20"/>
  <c r="I21" i="20"/>
  <c r="B22" i="20"/>
  <c r="C22" i="20"/>
  <c r="D22" i="20"/>
  <c r="E22" i="20"/>
  <c r="F22" i="20"/>
  <c r="G22" i="20"/>
  <c r="H22" i="20"/>
  <c r="I22" i="20"/>
  <c r="B23" i="20"/>
  <c r="C23" i="20"/>
  <c r="D23" i="20"/>
  <c r="E23" i="20"/>
  <c r="F23" i="20"/>
  <c r="G23" i="20"/>
  <c r="H23" i="20"/>
  <c r="I23" i="20"/>
  <c r="B29" i="20"/>
  <c r="C29" i="20"/>
  <c r="D29" i="20"/>
  <c r="E29" i="20"/>
  <c r="F29" i="20"/>
  <c r="G29" i="20"/>
  <c r="H29" i="20"/>
  <c r="I29" i="20"/>
  <c r="B30" i="20"/>
  <c r="C30" i="20"/>
  <c r="D30" i="20"/>
  <c r="E30" i="20"/>
  <c r="F30" i="20"/>
  <c r="G30" i="20"/>
  <c r="H30" i="20"/>
  <c r="I30" i="20"/>
  <c r="B31" i="20"/>
  <c r="C31" i="20"/>
  <c r="D31" i="20"/>
  <c r="E31" i="20"/>
  <c r="F31" i="20"/>
  <c r="G31" i="20"/>
  <c r="H31" i="20"/>
  <c r="I31" i="20"/>
  <c r="B32" i="20"/>
  <c r="C32" i="20"/>
  <c r="D32" i="20"/>
  <c r="E32" i="20"/>
  <c r="F32" i="20"/>
  <c r="G32" i="20"/>
  <c r="H32" i="20"/>
  <c r="I32" i="20"/>
  <c r="B36" i="20"/>
  <c r="C36" i="20"/>
  <c r="D36" i="20"/>
  <c r="E36" i="20"/>
  <c r="F36" i="20"/>
  <c r="G36" i="20"/>
  <c r="H36" i="20"/>
  <c r="I36" i="20"/>
  <c r="B37" i="20"/>
  <c r="C37" i="20"/>
  <c r="D37" i="20"/>
  <c r="E37" i="20"/>
  <c r="F37" i="20"/>
  <c r="G37" i="20"/>
  <c r="H37" i="20"/>
  <c r="I37" i="20"/>
  <c r="B38" i="20"/>
  <c r="C38" i="20"/>
  <c r="D38" i="20"/>
  <c r="E38" i="20"/>
  <c r="F38" i="20"/>
  <c r="G38" i="20"/>
  <c r="H38" i="20"/>
  <c r="I38" i="20"/>
  <c r="B39" i="20"/>
  <c r="C39" i="20"/>
  <c r="D39" i="20"/>
  <c r="E39" i="20"/>
  <c r="F39" i="20"/>
  <c r="G39" i="20"/>
  <c r="H39" i="20"/>
  <c r="I39" i="20"/>
  <c r="B43" i="20"/>
  <c r="C43" i="20"/>
  <c r="D43" i="20"/>
  <c r="E43" i="20"/>
  <c r="F43" i="20"/>
  <c r="G43" i="20"/>
  <c r="H43" i="20"/>
  <c r="I43" i="20"/>
  <c r="B44" i="20"/>
  <c r="C44" i="20"/>
  <c r="D44" i="20"/>
  <c r="E44" i="20"/>
  <c r="F44" i="20"/>
  <c r="G44" i="20"/>
  <c r="H44" i="20"/>
  <c r="I44" i="20"/>
  <c r="B45" i="20"/>
  <c r="C45" i="20"/>
  <c r="D45" i="20"/>
  <c r="E45" i="20"/>
  <c r="F45" i="20"/>
  <c r="G45" i="20"/>
  <c r="H45" i="20"/>
  <c r="I45" i="20"/>
  <c r="B46" i="20"/>
  <c r="C46" i="20"/>
  <c r="D46" i="20"/>
  <c r="E46" i="20"/>
  <c r="F46" i="20"/>
  <c r="G46" i="20"/>
  <c r="H46" i="20"/>
  <c r="I46" i="20"/>
  <c r="B50" i="20"/>
  <c r="C50" i="20"/>
  <c r="D50" i="20"/>
  <c r="E50" i="20"/>
  <c r="F50" i="20"/>
  <c r="G50" i="20"/>
  <c r="H50" i="20"/>
  <c r="I50" i="20"/>
  <c r="B51" i="20"/>
  <c r="C51" i="20"/>
  <c r="D51" i="20"/>
  <c r="E51" i="20"/>
  <c r="F51" i="20"/>
  <c r="G51" i="20"/>
  <c r="H51" i="20"/>
  <c r="I51" i="20"/>
  <c r="B52" i="20"/>
  <c r="C52" i="20"/>
  <c r="D52" i="20"/>
  <c r="E52" i="20"/>
  <c r="F52" i="20"/>
  <c r="G52" i="20"/>
  <c r="H52" i="20"/>
  <c r="I52" i="20"/>
  <c r="B53" i="20"/>
  <c r="C53" i="20"/>
  <c r="D53" i="20"/>
  <c r="E53" i="20"/>
  <c r="F53" i="20"/>
  <c r="G53" i="20"/>
  <c r="H53" i="20"/>
  <c r="I53" i="20"/>
  <c r="B57" i="20"/>
  <c r="C57" i="20"/>
  <c r="D57" i="20"/>
  <c r="E57" i="20"/>
  <c r="F57" i="20"/>
  <c r="G57" i="20"/>
  <c r="H57" i="20"/>
  <c r="I57" i="20"/>
  <c r="B58" i="20"/>
  <c r="C58" i="20"/>
  <c r="D58" i="20"/>
  <c r="E58" i="20"/>
  <c r="F58" i="20"/>
  <c r="G58" i="20"/>
  <c r="H58" i="20"/>
  <c r="I58" i="20"/>
  <c r="B59" i="20"/>
  <c r="C59" i="20"/>
  <c r="D59" i="20"/>
  <c r="E59" i="20"/>
  <c r="F59" i="20"/>
  <c r="G59" i="20"/>
  <c r="H59" i="20"/>
  <c r="I59" i="20"/>
  <c r="B60" i="20"/>
  <c r="C60" i="20"/>
  <c r="D60" i="20"/>
  <c r="E60" i="20"/>
  <c r="F60" i="20"/>
  <c r="G60" i="20"/>
  <c r="H60" i="20"/>
  <c r="I60" i="20"/>
  <c r="B64" i="20"/>
  <c r="C64" i="20"/>
  <c r="D64" i="20"/>
  <c r="E64" i="20"/>
  <c r="F64" i="20"/>
  <c r="G64" i="20"/>
  <c r="H64" i="20"/>
  <c r="I64" i="20"/>
  <c r="B65" i="20"/>
  <c r="C65" i="20"/>
  <c r="D65" i="20"/>
  <c r="E65" i="20"/>
  <c r="F65" i="20"/>
  <c r="G65" i="20"/>
  <c r="H65" i="20"/>
  <c r="I65" i="20"/>
  <c r="B66" i="20"/>
  <c r="C66" i="20"/>
  <c r="D66" i="20"/>
  <c r="E66" i="20"/>
  <c r="F66" i="20"/>
  <c r="G66" i="20"/>
  <c r="H66" i="20"/>
  <c r="I66" i="20"/>
  <c r="B67" i="20"/>
  <c r="C67" i="20"/>
  <c r="D67" i="20"/>
  <c r="E67" i="20"/>
  <c r="F67" i="20"/>
  <c r="G67" i="20"/>
  <c r="H67" i="20"/>
  <c r="I67" i="20"/>
  <c r="B71" i="20"/>
  <c r="C71" i="20"/>
  <c r="D71" i="20"/>
  <c r="E71" i="20"/>
  <c r="F71" i="20"/>
  <c r="G71" i="20"/>
  <c r="H71" i="20"/>
  <c r="I71" i="20"/>
  <c r="B72" i="20"/>
  <c r="C72" i="20"/>
  <c r="D72" i="20"/>
  <c r="E72" i="20"/>
  <c r="F72" i="20"/>
  <c r="G72" i="20"/>
  <c r="H72" i="20"/>
  <c r="I72" i="20"/>
  <c r="B73" i="20"/>
  <c r="C73" i="20"/>
  <c r="D73" i="20"/>
  <c r="E73" i="20"/>
  <c r="F73" i="20"/>
  <c r="G73" i="20"/>
  <c r="H73" i="20"/>
  <c r="I73" i="20"/>
  <c r="B74" i="20"/>
  <c r="C74" i="20"/>
  <c r="D74" i="20"/>
  <c r="E74" i="20"/>
  <c r="F74" i="20"/>
  <c r="G74" i="20"/>
  <c r="H74" i="20"/>
  <c r="I74" i="20"/>
  <c r="B80" i="20"/>
  <c r="C80" i="20"/>
  <c r="D80" i="20"/>
  <c r="E80" i="20"/>
  <c r="F80" i="20"/>
  <c r="G80" i="20"/>
  <c r="H80" i="20"/>
  <c r="I80" i="20"/>
  <c r="B81" i="20"/>
  <c r="C81" i="20"/>
  <c r="D81" i="20"/>
  <c r="E81" i="20"/>
  <c r="F81" i="20"/>
  <c r="G81" i="20"/>
  <c r="H81" i="20"/>
  <c r="I81" i="20"/>
  <c r="B82" i="20"/>
  <c r="C82" i="20"/>
  <c r="D82" i="20"/>
  <c r="E82" i="20"/>
  <c r="F82" i="20"/>
  <c r="G82" i="20"/>
  <c r="H82" i="20"/>
  <c r="I82" i="20"/>
  <c r="B83" i="20"/>
  <c r="C83" i="20"/>
  <c r="D83" i="20"/>
  <c r="E83" i="20"/>
  <c r="F83" i="20"/>
  <c r="G83" i="20"/>
  <c r="H83" i="20"/>
  <c r="I83" i="20"/>
  <c r="B87" i="20"/>
  <c r="C87" i="20"/>
  <c r="D87" i="20"/>
  <c r="E87" i="20"/>
  <c r="F87" i="20"/>
  <c r="G87" i="20"/>
  <c r="H87" i="20"/>
  <c r="I87" i="20"/>
  <c r="B88" i="20"/>
  <c r="C88" i="20"/>
  <c r="D88" i="20"/>
  <c r="E88" i="20"/>
  <c r="F88" i="20"/>
  <c r="G88" i="20"/>
  <c r="H88" i="20"/>
  <c r="I88" i="20"/>
  <c r="B89" i="20"/>
  <c r="C89" i="20"/>
  <c r="D89" i="20"/>
  <c r="E89" i="20"/>
  <c r="F89" i="20"/>
  <c r="G89" i="20"/>
  <c r="H89" i="20"/>
  <c r="I89" i="20"/>
  <c r="B90" i="20"/>
  <c r="C90" i="20"/>
  <c r="D90" i="20"/>
  <c r="E90" i="20"/>
  <c r="F90" i="20"/>
  <c r="G90" i="20"/>
  <c r="H90" i="20"/>
  <c r="I90" i="20"/>
  <c r="B94" i="20"/>
  <c r="C94" i="20"/>
  <c r="D94" i="20"/>
  <c r="E94" i="20"/>
  <c r="F94" i="20"/>
  <c r="G94" i="20"/>
  <c r="H94" i="20"/>
  <c r="I94" i="20"/>
  <c r="B95" i="20"/>
  <c r="C95" i="20"/>
  <c r="D95" i="20"/>
  <c r="E95" i="20"/>
  <c r="F95" i="20"/>
  <c r="G95" i="20"/>
  <c r="H95" i="20"/>
  <c r="I95" i="20"/>
  <c r="B96" i="20"/>
  <c r="C96" i="20"/>
  <c r="D96" i="20"/>
  <c r="E96" i="20"/>
  <c r="F96" i="20"/>
  <c r="G96" i="20"/>
  <c r="H96" i="20"/>
  <c r="I96" i="20"/>
  <c r="B97" i="20"/>
  <c r="C97" i="20"/>
  <c r="D97" i="20"/>
  <c r="E97" i="20"/>
  <c r="F97" i="20"/>
  <c r="G97" i="20"/>
  <c r="H97" i="20"/>
  <c r="I97" i="20"/>
  <c r="B101" i="20"/>
  <c r="C101" i="20"/>
  <c r="D101" i="20"/>
  <c r="E101" i="20"/>
  <c r="F101" i="20"/>
  <c r="G101" i="20"/>
  <c r="H101" i="20"/>
  <c r="I101" i="20"/>
  <c r="B102" i="20"/>
  <c r="C102" i="20"/>
  <c r="D102" i="20"/>
  <c r="E102" i="20"/>
  <c r="F102" i="20"/>
  <c r="G102" i="20"/>
  <c r="H102" i="20"/>
  <c r="I102" i="20"/>
  <c r="B103" i="20"/>
  <c r="C103" i="20"/>
  <c r="D103" i="20"/>
  <c r="E103" i="20"/>
  <c r="F103" i="20"/>
  <c r="G103" i="20"/>
  <c r="H103" i="20"/>
  <c r="I103" i="20"/>
  <c r="B104" i="20"/>
  <c r="C104" i="20"/>
  <c r="D104" i="20"/>
  <c r="E104" i="20"/>
  <c r="F104" i="20"/>
  <c r="G104" i="20"/>
  <c r="H104" i="20"/>
  <c r="I104" i="20"/>
  <c r="B108" i="20"/>
  <c r="C108" i="20"/>
  <c r="D108" i="20"/>
  <c r="E108" i="20"/>
  <c r="F108" i="20"/>
  <c r="G108" i="20"/>
  <c r="H108" i="20"/>
  <c r="I108" i="20"/>
  <c r="B109" i="20"/>
  <c r="C109" i="20"/>
  <c r="D109" i="20"/>
  <c r="E109" i="20"/>
  <c r="F109" i="20"/>
  <c r="G109" i="20"/>
  <c r="H109" i="20"/>
  <c r="I109" i="20"/>
  <c r="B110" i="20"/>
  <c r="C110" i="20"/>
  <c r="D110" i="20"/>
  <c r="E110" i="20"/>
  <c r="F110" i="20"/>
  <c r="G110" i="20"/>
  <c r="H110" i="20"/>
  <c r="I110" i="20"/>
  <c r="B111" i="20"/>
  <c r="C111" i="20"/>
  <c r="D111" i="20"/>
  <c r="E111" i="20"/>
  <c r="F111" i="20"/>
  <c r="G111" i="20"/>
  <c r="H111" i="20"/>
  <c r="I111" i="20"/>
  <c r="B115" i="20"/>
  <c r="C115" i="20"/>
  <c r="D115" i="20"/>
  <c r="E115" i="20"/>
  <c r="F115" i="20"/>
  <c r="G115" i="20"/>
  <c r="H115" i="20"/>
  <c r="I115" i="20"/>
  <c r="B116" i="20"/>
  <c r="C116" i="20"/>
  <c r="D116" i="20"/>
  <c r="E116" i="20"/>
  <c r="F116" i="20"/>
  <c r="G116" i="20"/>
  <c r="H116" i="20"/>
  <c r="I116" i="20"/>
  <c r="B117" i="20"/>
  <c r="C117" i="20"/>
  <c r="D117" i="20"/>
  <c r="E117" i="20"/>
  <c r="F117" i="20"/>
  <c r="G117" i="20"/>
  <c r="H117" i="20"/>
  <c r="I117" i="20"/>
  <c r="B118" i="20"/>
  <c r="C118" i="20"/>
  <c r="D118" i="20"/>
  <c r="E118" i="20"/>
  <c r="F118" i="20"/>
  <c r="G118" i="20"/>
  <c r="H118" i="20"/>
  <c r="I118" i="20"/>
  <c r="B122" i="20"/>
  <c r="C122" i="20"/>
  <c r="D122" i="20"/>
  <c r="E122" i="20"/>
  <c r="F122" i="20"/>
  <c r="G122" i="20"/>
  <c r="H122" i="20"/>
  <c r="I122" i="20"/>
  <c r="B123" i="20"/>
  <c r="C123" i="20"/>
  <c r="D123" i="20"/>
  <c r="E123" i="20"/>
  <c r="F123" i="20"/>
  <c r="G123" i="20"/>
  <c r="H123" i="20"/>
  <c r="I123" i="20"/>
  <c r="B124" i="20"/>
  <c r="C124" i="20"/>
  <c r="D124" i="20"/>
  <c r="E124" i="20"/>
  <c r="F124" i="20"/>
  <c r="G124" i="20"/>
  <c r="H124" i="20"/>
  <c r="I124" i="20"/>
  <c r="B125" i="20"/>
  <c r="C125" i="20"/>
  <c r="D125" i="20"/>
  <c r="E125" i="20"/>
  <c r="F125" i="20"/>
  <c r="G125" i="20"/>
  <c r="H125" i="20"/>
  <c r="I125" i="20"/>
  <c r="B136" i="20"/>
  <c r="C136" i="20"/>
  <c r="B148" i="20"/>
  <c r="L5" i="9" s="1"/>
  <c r="C148" i="20"/>
  <c r="M5" i="9" s="1"/>
  <c r="D148" i="20"/>
  <c r="N5" i="9" s="1"/>
  <c r="E148" i="20"/>
  <c r="O5" i="9" s="1"/>
  <c r="F148" i="20"/>
  <c r="P5" i="9" s="1"/>
  <c r="G148" i="20"/>
  <c r="Q5" i="9" s="1"/>
  <c r="H148" i="20"/>
  <c r="R5" i="9" s="1"/>
  <c r="B149" i="20"/>
  <c r="L6" i="9" s="1"/>
  <c r="C149" i="20"/>
  <c r="M6" i="9" s="1"/>
  <c r="D149" i="20"/>
  <c r="N6" i="9" s="1"/>
  <c r="E149" i="20"/>
  <c r="O6" i="9" s="1"/>
  <c r="F149" i="20"/>
  <c r="P6" i="9" s="1"/>
  <c r="G149" i="20"/>
  <c r="Q6" i="9" s="1"/>
  <c r="H149" i="20"/>
  <c r="R6" i="9" s="1"/>
  <c r="B150" i="20"/>
  <c r="L7" i="9" s="1"/>
  <c r="C150" i="20"/>
  <c r="M7" i="9" s="1"/>
  <c r="D150" i="20"/>
  <c r="N7" i="9" s="1"/>
  <c r="E150" i="20"/>
  <c r="O7" i="9" s="1"/>
  <c r="F150" i="20"/>
  <c r="P7" i="9" s="1"/>
  <c r="G150" i="20"/>
  <c r="Q7" i="9" s="1"/>
  <c r="H150" i="20"/>
  <c r="R7" i="9" s="1"/>
  <c r="B151" i="20"/>
  <c r="L8" i="9" s="1"/>
  <c r="C151" i="20"/>
  <c r="M8" i="9" s="1"/>
  <c r="D151" i="20"/>
  <c r="N8" i="9" s="1"/>
  <c r="E151" i="20"/>
  <c r="O8" i="9" s="1"/>
  <c r="F151" i="20"/>
  <c r="P8" i="9" s="1"/>
  <c r="G151" i="20"/>
  <c r="Q8" i="9" s="1"/>
  <c r="H151" i="20"/>
  <c r="R8" i="9" s="1"/>
  <c r="B152" i="20"/>
  <c r="L9" i="9" s="1"/>
  <c r="C152" i="20"/>
  <c r="M9" i="9" s="1"/>
  <c r="D152" i="20"/>
  <c r="N9" i="9" s="1"/>
  <c r="E152" i="20"/>
  <c r="O9" i="9" s="1"/>
  <c r="F152" i="20"/>
  <c r="P9" i="9" s="1"/>
  <c r="G152" i="20"/>
  <c r="Q9" i="9" s="1"/>
  <c r="H152" i="20"/>
  <c r="R9" i="9" s="1"/>
  <c r="B153" i="20"/>
  <c r="L10" i="9" s="1"/>
  <c r="C153" i="20"/>
  <c r="M10" i="9" s="1"/>
  <c r="D153" i="20"/>
  <c r="N10" i="9" s="1"/>
  <c r="E153" i="20"/>
  <c r="O10" i="9" s="1"/>
  <c r="F153" i="20"/>
  <c r="P10" i="9" s="1"/>
  <c r="G153" i="20"/>
  <c r="Q10" i="9" s="1"/>
  <c r="H153" i="20"/>
  <c r="R10" i="9" s="1"/>
  <c r="B154" i="20"/>
  <c r="L11" i="9" s="1"/>
  <c r="C154" i="20"/>
  <c r="M11" i="9" s="1"/>
  <c r="D154" i="20"/>
  <c r="N11" i="9" s="1"/>
  <c r="E154" i="20"/>
  <c r="O11" i="9" s="1"/>
  <c r="F154" i="20"/>
  <c r="P11" i="9" s="1"/>
  <c r="G154" i="20"/>
  <c r="Q11" i="9" s="1"/>
  <c r="H154" i="20"/>
  <c r="R11" i="9" s="1"/>
  <c r="B158" i="20"/>
  <c r="L35" i="9" s="1"/>
  <c r="C158" i="20"/>
  <c r="M35" i="9" s="1"/>
  <c r="D158" i="20"/>
  <c r="N35" i="9" s="1"/>
  <c r="E158" i="20"/>
  <c r="O35" i="9" s="1"/>
  <c r="F158" i="20"/>
  <c r="P35" i="9" s="1"/>
  <c r="G158" i="20"/>
  <c r="Q35" i="9" s="1"/>
  <c r="H158" i="20"/>
  <c r="R35" i="9" s="1"/>
  <c r="B159" i="20"/>
  <c r="L36" i="9" s="1"/>
  <c r="C159" i="20"/>
  <c r="M36" i="9" s="1"/>
  <c r="D159" i="20"/>
  <c r="N36" i="9" s="1"/>
  <c r="E159" i="20"/>
  <c r="O36" i="9" s="1"/>
  <c r="F159" i="20"/>
  <c r="P36" i="9" s="1"/>
  <c r="G159" i="20"/>
  <c r="Q36" i="9" s="1"/>
  <c r="H159" i="20"/>
  <c r="R36" i="9" s="1"/>
  <c r="B160" i="20"/>
  <c r="L37" i="9" s="1"/>
  <c r="C160" i="20"/>
  <c r="M37" i="9" s="1"/>
  <c r="D160" i="20"/>
  <c r="N37" i="9" s="1"/>
  <c r="E160" i="20"/>
  <c r="O37" i="9" s="1"/>
  <c r="F160" i="20"/>
  <c r="P37" i="9" s="1"/>
  <c r="G160" i="20"/>
  <c r="Q37" i="9" s="1"/>
  <c r="H160" i="20"/>
  <c r="R37" i="9" s="1"/>
  <c r="B161" i="20"/>
  <c r="L38" i="9" s="1"/>
  <c r="C161" i="20"/>
  <c r="M38" i="9" s="1"/>
  <c r="D161" i="20"/>
  <c r="N38" i="9" s="1"/>
  <c r="E161" i="20"/>
  <c r="O38" i="9" s="1"/>
  <c r="F161" i="20"/>
  <c r="P38" i="9" s="1"/>
  <c r="G161" i="20"/>
  <c r="Q38" i="9" s="1"/>
  <c r="H161" i="20"/>
  <c r="R38" i="9" s="1"/>
  <c r="B162" i="20"/>
  <c r="L39" i="9" s="1"/>
  <c r="C162" i="20"/>
  <c r="M39" i="9" s="1"/>
  <c r="D162" i="20"/>
  <c r="N39" i="9" s="1"/>
  <c r="E162" i="20"/>
  <c r="O39" i="9" s="1"/>
  <c r="F162" i="20"/>
  <c r="P39" i="9" s="1"/>
  <c r="G162" i="20"/>
  <c r="Q39" i="9" s="1"/>
  <c r="H162" i="20"/>
  <c r="R39" i="9" s="1"/>
  <c r="B163" i="20"/>
  <c r="L40" i="9" s="1"/>
  <c r="C163" i="20"/>
  <c r="M40" i="9" s="1"/>
  <c r="D163" i="20"/>
  <c r="N40" i="9" s="1"/>
  <c r="E163" i="20"/>
  <c r="O40" i="9" s="1"/>
  <c r="F163" i="20"/>
  <c r="P40" i="9" s="1"/>
  <c r="G163" i="20"/>
  <c r="Q40" i="9" s="1"/>
  <c r="H163" i="20"/>
  <c r="R40" i="9" s="1"/>
  <c r="B164" i="20"/>
  <c r="L41" i="9" s="1"/>
  <c r="C164" i="20"/>
  <c r="M41" i="9" s="1"/>
  <c r="D164" i="20"/>
  <c r="N41" i="9" s="1"/>
  <c r="E164" i="20"/>
  <c r="O41" i="9" s="1"/>
  <c r="F164" i="20"/>
  <c r="P41" i="9" s="1"/>
  <c r="G164" i="20"/>
  <c r="Q41" i="9" s="1"/>
  <c r="H164" i="20"/>
  <c r="R41" i="9" s="1"/>
  <c r="B168" i="20"/>
  <c r="L65" i="9" s="1"/>
  <c r="C168" i="20"/>
  <c r="M65" i="9" s="1"/>
  <c r="D168" i="20"/>
  <c r="N65" i="9" s="1"/>
  <c r="E168" i="20"/>
  <c r="O65" i="9" s="1"/>
  <c r="F168" i="20"/>
  <c r="P65" i="9" s="1"/>
  <c r="G168" i="20"/>
  <c r="Q65" i="9" s="1"/>
  <c r="H168" i="20"/>
  <c r="R65" i="9" s="1"/>
  <c r="B169" i="20"/>
  <c r="L66" i="9" s="1"/>
  <c r="C169" i="20"/>
  <c r="M66" i="9" s="1"/>
  <c r="D169" i="20"/>
  <c r="N66" i="9" s="1"/>
  <c r="E169" i="20"/>
  <c r="O66" i="9" s="1"/>
  <c r="F169" i="20"/>
  <c r="P66" i="9" s="1"/>
  <c r="G169" i="20"/>
  <c r="Q66" i="9" s="1"/>
  <c r="H169" i="20"/>
  <c r="R66" i="9" s="1"/>
  <c r="B170" i="20"/>
  <c r="L67" i="9" s="1"/>
  <c r="C170" i="20"/>
  <c r="M67" i="9" s="1"/>
  <c r="D170" i="20"/>
  <c r="N67" i="9" s="1"/>
  <c r="E170" i="20"/>
  <c r="O67" i="9" s="1"/>
  <c r="F170" i="20"/>
  <c r="P67" i="9" s="1"/>
  <c r="G170" i="20"/>
  <c r="Q67" i="9" s="1"/>
  <c r="H170" i="20"/>
  <c r="R67" i="9" s="1"/>
  <c r="B171" i="20"/>
  <c r="L68" i="9" s="1"/>
  <c r="C171" i="20"/>
  <c r="M68" i="9" s="1"/>
  <c r="D171" i="20"/>
  <c r="N68" i="9" s="1"/>
  <c r="E171" i="20"/>
  <c r="O68" i="9" s="1"/>
  <c r="F171" i="20"/>
  <c r="P68" i="9" s="1"/>
  <c r="G171" i="20"/>
  <c r="Q68" i="9" s="1"/>
  <c r="H171" i="20"/>
  <c r="R68" i="9" s="1"/>
  <c r="B172" i="20"/>
  <c r="L69" i="9" s="1"/>
  <c r="C172" i="20"/>
  <c r="M69" i="9" s="1"/>
  <c r="D172" i="20"/>
  <c r="N69" i="9" s="1"/>
  <c r="E172" i="20"/>
  <c r="O69" i="9" s="1"/>
  <c r="F172" i="20"/>
  <c r="P69" i="9" s="1"/>
  <c r="G172" i="20"/>
  <c r="Q69" i="9" s="1"/>
  <c r="H172" i="20"/>
  <c r="R69" i="9" s="1"/>
  <c r="B173" i="20"/>
  <c r="L70" i="9" s="1"/>
  <c r="C173" i="20"/>
  <c r="M70" i="9" s="1"/>
  <c r="D173" i="20"/>
  <c r="N70" i="9" s="1"/>
  <c r="E173" i="20"/>
  <c r="O70" i="9" s="1"/>
  <c r="F173" i="20"/>
  <c r="P70" i="9" s="1"/>
  <c r="G173" i="20"/>
  <c r="Q70" i="9" s="1"/>
  <c r="H173" i="20"/>
  <c r="R70" i="9" s="1"/>
  <c r="B174" i="20"/>
  <c r="L71" i="9" s="1"/>
  <c r="C174" i="20"/>
  <c r="M71" i="9" s="1"/>
  <c r="D174" i="20"/>
  <c r="N71" i="9" s="1"/>
  <c r="E174" i="20"/>
  <c r="O71" i="9" s="1"/>
  <c r="F174" i="20"/>
  <c r="P71" i="9" s="1"/>
  <c r="G174" i="20"/>
  <c r="Q71" i="9" s="1"/>
  <c r="H174" i="20"/>
  <c r="R71" i="9" s="1"/>
  <c r="B178" i="20"/>
  <c r="N5" i="10" s="1"/>
  <c r="K34" i="24" s="1"/>
  <c r="C178" i="20"/>
  <c r="O5" i="10" s="1"/>
  <c r="L34" i="24" s="1"/>
  <c r="D178" i="20"/>
  <c r="P5" i="10" s="1"/>
  <c r="M34" i="24" s="1"/>
  <c r="E178" i="20"/>
  <c r="Q5" i="10" s="1"/>
  <c r="N34" i="24" s="1"/>
  <c r="F178" i="20"/>
  <c r="R5" i="10" s="1"/>
  <c r="O34" i="24" s="1"/>
  <c r="G178" i="20"/>
  <c r="S5" i="10" s="1"/>
  <c r="P34" i="24" s="1"/>
  <c r="H178" i="20"/>
  <c r="U5" i="10" s="1"/>
  <c r="Q34" i="24" s="1"/>
  <c r="I178" i="20"/>
  <c r="V5" i="10" s="1"/>
  <c r="B179" i="20"/>
  <c r="N6" i="10" s="1"/>
  <c r="K35" i="24" s="1"/>
  <c r="C179" i="20"/>
  <c r="O6" i="10" s="1"/>
  <c r="L35" i="24" s="1"/>
  <c r="D179" i="20"/>
  <c r="P6" i="10" s="1"/>
  <c r="M35" i="24" s="1"/>
  <c r="E179" i="20"/>
  <c r="Q6" i="10" s="1"/>
  <c r="N35" i="24" s="1"/>
  <c r="F179" i="20"/>
  <c r="R6" i="10" s="1"/>
  <c r="O35" i="24" s="1"/>
  <c r="G179" i="20"/>
  <c r="S6" i="10" s="1"/>
  <c r="P35" i="24" s="1"/>
  <c r="H179" i="20"/>
  <c r="U6" i="10" s="1"/>
  <c r="Q35" i="24" s="1"/>
  <c r="I179" i="20"/>
  <c r="V6" i="10" s="1"/>
  <c r="B180" i="20"/>
  <c r="N7" i="10" s="1"/>
  <c r="K36" i="24" s="1"/>
  <c r="C180" i="20"/>
  <c r="O7" i="10" s="1"/>
  <c r="L36" i="24" s="1"/>
  <c r="D180" i="20"/>
  <c r="P7" i="10" s="1"/>
  <c r="M36" i="24" s="1"/>
  <c r="E180" i="20"/>
  <c r="Q7" i="10" s="1"/>
  <c r="N36" i="24" s="1"/>
  <c r="F180" i="20"/>
  <c r="R7" i="10" s="1"/>
  <c r="O36" i="24" s="1"/>
  <c r="G180" i="20"/>
  <c r="S7" i="10" s="1"/>
  <c r="P36" i="24" s="1"/>
  <c r="H180" i="20"/>
  <c r="U7" i="10" s="1"/>
  <c r="Q36" i="24" s="1"/>
  <c r="I180" i="20"/>
  <c r="V7" i="10" s="1"/>
  <c r="B181" i="20"/>
  <c r="N8" i="10" s="1"/>
  <c r="K37" i="24" s="1"/>
  <c r="C181" i="20"/>
  <c r="O8" i="10" s="1"/>
  <c r="L37" i="24" s="1"/>
  <c r="D181" i="20"/>
  <c r="P8" i="10" s="1"/>
  <c r="M37" i="24" s="1"/>
  <c r="E181" i="20"/>
  <c r="Q8" i="10" s="1"/>
  <c r="N37" i="24" s="1"/>
  <c r="F181" i="20"/>
  <c r="R8" i="10" s="1"/>
  <c r="O37" i="24" s="1"/>
  <c r="G181" i="20"/>
  <c r="S8" i="10" s="1"/>
  <c r="P37" i="24" s="1"/>
  <c r="H181" i="20"/>
  <c r="U8" i="10" s="1"/>
  <c r="Q37" i="24" s="1"/>
  <c r="I181" i="20"/>
  <c r="V8" i="10" s="1"/>
  <c r="B182" i="20"/>
  <c r="N9" i="10" s="1"/>
  <c r="K38" i="24" s="1"/>
  <c r="C182" i="20"/>
  <c r="O9" i="10" s="1"/>
  <c r="L38" i="24" s="1"/>
  <c r="D182" i="20"/>
  <c r="P9" i="10" s="1"/>
  <c r="M38" i="24" s="1"/>
  <c r="E182" i="20"/>
  <c r="Q9" i="10" s="1"/>
  <c r="N38" i="24" s="1"/>
  <c r="F182" i="20"/>
  <c r="R9" i="10" s="1"/>
  <c r="O38" i="24" s="1"/>
  <c r="G182" i="20"/>
  <c r="S9" i="10" s="1"/>
  <c r="P38" i="24" s="1"/>
  <c r="H182" i="20"/>
  <c r="U9" i="10" s="1"/>
  <c r="Q38" i="24" s="1"/>
  <c r="I182" i="20"/>
  <c r="V9" i="10" s="1"/>
  <c r="B183" i="20"/>
  <c r="N10" i="10" s="1"/>
  <c r="K39" i="24" s="1"/>
  <c r="C183" i="20"/>
  <c r="O10" i="10" s="1"/>
  <c r="L39" i="24" s="1"/>
  <c r="D183" i="20"/>
  <c r="P10" i="10" s="1"/>
  <c r="M39" i="24" s="1"/>
  <c r="E183" i="20"/>
  <c r="Q10" i="10" s="1"/>
  <c r="N39" i="24" s="1"/>
  <c r="F183" i="20"/>
  <c r="R10" i="10" s="1"/>
  <c r="O39" i="24" s="1"/>
  <c r="G183" i="20"/>
  <c r="S10" i="10" s="1"/>
  <c r="P39" i="24" s="1"/>
  <c r="H183" i="20"/>
  <c r="U10" i="10" s="1"/>
  <c r="Q39" i="24" s="1"/>
  <c r="I183" i="20"/>
  <c r="V10" i="10" s="1"/>
  <c r="B184" i="20"/>
  <c r="N11" i="10" s="1"/>
  <c r="K40" i="24" s="1"/>
  <c r="C184" i="20"/>
  <c r="O11" i="10" s="1"/>
  <c r="L40" i="24" s="1"/>
  <c r="D184" i="20"/>
  <c r="P11" i="10" s="1"/>
  <c r="M40" i="24" s="1"/>
  <c r="E184" i="20"/>
  <c r="Q11" i="10" s="1"/>
  <c r="N40" i="24" s="1"/>
  <c r="F184" i="20"/>
  <c r="R11" i="10" s="1"/>
  <c r="O40" i="24" s="1"/>
  <c r="G184" i="20"/>
  <c r="S11" i="10" s="1"/>
  <c r="P40" i="24" s="1"/>
  <c r="H184" i="20"/>
  <c r="U11" i="10" s="1"/>
  <c r="Q40" i="24" s="1"/>
  <c r="I184" i="20"/>
  <c r="V11" i="10" s="1"/>
  <c r="B185" i="20"/>
  <c r="N12" i="10" s="1"/>
  <c r="K41" i="24" s="1"/>
  <c r="C185" i="20"/>
  <c r="O12" i="10" s="1"/>
  <c r="L41" i="24" s="1"/>
  <c r="D185" i="20"/>
  <c r="P12" i="10" s="1"/>
  <c r="M41" i="24" s="1"/>
  <c r="E185" i="20"/>
  <c r="Q12" i="10" s="1"/>
  <c r="N41" i="24" s="1"/>
  <c r="F185" i="20"/>
  <c r="R12" i="10" s="1"/>
  <c r="O41" i="24" s="1"/>
  <c r="G185" i="20"/>
  <c r="S12" i="10" s="1"/>
  <c r="P41" i="24" s="1"/>
  <c r="H185" i="20"/>
  <c r="U12" i="10" s="1"/>
  <c r="Q41" i="24" s="1"/>
  <c r="I185" i="20"/>
  <c r="V12" i="10" s="1"/>
  <c r="B189" i="20"/>
  <c r="N40" i="10" s="1"/>
  <c r="C189" i="20"/>
  <c r="O40" i="10" s="1"/>
  <c r="D189" i="20"/>
  <c r="P40" i="10" s="1"/>
  <c r="E189" i="20"/>
  <c r="Q40" i="10" s="1"/>
  <c r="B190" i="20"/>
  <c r="N41" i="10" s="1"/>
  <c r="C190" i="20"/>
  <c r="O41" i="10" s="1"/>
  <c r="D190" i="20"/>
  <c r="P41" i="10" s="1"/>
  <c r="E190" i="20"/>
  <c r="Q41" i="10" s="1"/>
  <c r="B191" i="20"/>
  <c r="N42" i="10" s="1"/>
  <c r="C191" i="20"/>
  <c r="O42" i="10" s="1"/>
  <c r="D191" i="20"/>
  <c r="P42" i="10" s="1"/>
  <c r="E191" i="20"/>
  <c r="Q42" i="10" s="1"/>
  <c r="F191" i="20"/>
  <c r="B192" i="20"/>
  <c r="N43" i="10" s="1"/>
  <c r="C192" i="20"/>
  <c r="O43" i="10" s="1"/>
  <c r="D192" i="20"/>
  <c r="P43" i="10" s="1"/>
  <c r="E192" i="20"/>
  <c r="Q43" i="10" s="1"/>
  <c r="B193" i="20"/>
  <c r="N44" i="10" s="1"/>
  <c r="C193" i="20"/>
  <c r="O44" i="10" s="1"/>
  <c r="D193" i="20"/>
  <c r="P44" i="10" s="1"/>
  <c r="E193" i="20"/>
  <c r="Q44" i="10" s="1"/>
  <c r="B194" i="20"/>
  <c r="N45" i="10" s="1"/>
  <c r="C194" i="20"/>
  <c r="O45" i="10" s="1"/>
  <c r="D194" i="20"/>
  <c r="P45" i="10" s="1"/>
  <c r="E194" i="20"/>
  <c r="Q45" i="10" s="1"/>
  <c r="B195" i="20"/>
  <c r="N46" i="10" s="1"/>
  <c r="C195" i="20"/>
  <c r="O46" i="10" s="1"/>
  <c r="D195" i="20"/>
  <c r="P46" i="10" s="1"/>
  <c r="E195" i="20"/>
  <c r="Q46" i="10" s="1"/>
  <c r="B196" i="20"/>
  <c r="N47" i="10" s="1"/>
  <c r="C196" i="20"/>
  <c r="O47" i="10" s="1"/>
  <c r="D196" i="20"/>
  <c r="P47" i="10" s="1"/>
  <c r="E196" i="20"/>
  <c r="Q47" i="10" s="1"/>
  <c r="B200" i="20"/>
  <c r="N74" i="10" s="1"/>
  <c r="C200" i="20"/>
  <c r="O74" i="10" s="1"/>
  <c r="D200" i="20"/>
  <c r="P74" i="10" s="1"/>
  <c r="E200" i="20"/>
  <c r="Q74" i="10" s="1"/>
  <c r="B201" i="20"/>
  <c r="N75" i="10" s="1"/>
  <c r="C201" i="20"/>
  <c r="O75" i="10" s="1"/>
  <c r="D201" i="20"/>
  <c r="P75" i="10" s="1"/>
  <c r="E201" i="20"/>
  <c r="Q75" i="10" s="1"/>
  <c r="B202" i="20"/>
  <c r="N76" i="10" s="1"/>
  <c r="C202" i="20"/>
  <c r="O76" i="10" s="1"/>
  <c r="D202" i="20"/>
  <c r="P76" i="10" s="1"/>
  <c r="E202" i="20"/>
  <c r="Q76" i="10" s="1"/>
  <c r="B203" i="20"/>
  <c r="N77" i="10" s="1"/>
  <c r="C203" i="20"/>
  <c r="O77" i="10" s="1"/>
  <c r="D203" i="20"/>
  <c r="P77" i="10" s="1"/>
  <c r="E203" i="20"/>
  <c r="Q77" i="10" s="1"/>
  <c r="B204" i="20"/>
  <c r="N78" i="10" s="1"/>
  <c r="C204" i="20"/>
  <c r="O78" i="10" s="1"/>
  <c r="D204" i="20"/>
  <c r="P78" i="10" s="1"/>
  <c r="E204" i="20"/>
  <c r="Q78" i="10" s="1"/>
  <c r="B205" i="20"/>
  <c r="N79" i="10" s="1"/>
  <c r="C205" i="20"/>
  <c r="O79" i="10" s="1"/>
  <c r="D205" i="20"/>
  <c r="P79" i="10" s="1"/>
  <c r="E205" i="20"/>
  <c r="Q79" i="10" s="1"/>
  <c r="B206" i="20"/>
  <c r="N80" i="10" s="1"/>
  <c r="C206" i="20"/>
  <c r="O80" i="10" s="1"/>
  <c r="D206" i="20"/>
  <c r="P80" i="10" s="1"/>
  <c r="E206" i="20"/>
  <c r="Q80" i="10" s="1"/>
  <c r="B207" i="20"/>
  <c r="N81" i="10" s="1"/>
  <c r="C207" i="20"/>
  <c r="O81" i="10" s="1"/>
  <c r="D207" i="20"/>
  <c r="P81" i="10" s="1"/>
  <c r="E207" i="20"/>
  <c r="Q81" i="10" s="1"/>
  <c r="B211" i="20"/>
  <c r="N108" i="10" s="1"/>
  <c r="C211" i="20"/>
  <c r="O108" i="10" s="1"/>
  <c r="D211" i="20"/>
  <c r="P108" i="10" s="1"/>
  <c r="E211" i="20"/>
  <c r="Q108" i="10" s="1"/>
  <c r="B212" i="20"/>
  <c r="N109" i="10" s="1"/>
  <c r="C212" i="20"/>
  <c r="O109" i="10" s="1"/>
  <c r="D212" i="20"/>
  <c r="P109" i="10" s="1"/>
  <c r="E212" i="20"/>
  <c r="Q109" i="10" s="1"/>
  <c r="B213" i="20"/>
  <c r="N110" i="10" s="1"/>
  <c r="C213" i="20"/>
  <c r="O110" i="10" s="1"/>
  <c r="D213" i="20"/>
  <c r="P110" i="10" s="1"/>
  <c r="E213" i="20"/>
  <c r="Q110" i="10" s="1"/>
  <c r="B214" i="20"/>
  <c r="N111" i="10" s="1"/>
  <c r="C214" i="20"/>
  <c r="O111" i="10" s="1"/>
  <c r="D214" i="20"/>
  <c r="P111" i="10" s="1"/>
  <c r="E214" i="20"/>
  <c r="Q111" i="10" s="1"/>
  <c r="B215" i="20"/>
  <c r="N112" i="10" s="1"/>
  <c r="C215" i="20"/>
  <c r="O112" i="10" s="1"/>
  <c r="D215" i="20"/>
  <c r="P112" i="10" s="1"/>
  <c r="E215" i="20"/>
  <c r="Q112" i="10" s="1"/>
  <c r="B216" i="20"/>
  <c r="N113" i="10" s="1"/>
  <c r="C216" i="20"/>
  <c r="O113" i="10" s="1"/>
  <c r="D216" i="20"/>
  <c r="P113" i="10" s="1"/>
  <c r="E216" i="20"/>
  <c r="Q113" i="10" s="1"/>
  <c r="B217" i="20"/>
  <c r="N114" i="10" s="1"/>
  <c r="C217" i="20"/>
  <c r="O114" i="10" s="1"/>
  <c r="D217" i="20"/>
  <c r="P114" i="10" s="1"/>
  <c r="E217" i="20"/>
  <c r="Q114" i="10" s="1"/>
  <c r="B218" i="20"/>
  <c r="N115" i="10" s="1"/>
  <c r="C218" i="20"/>
  <c r="O115" i="10" s="1"/>
  <c r="D218" i="20"/>
  <c r="P115" i="10" s="1"/>
  <c r="E218" i="20"/>
  <c r="Q115" i="10" s="1"/>
  <c r="B222" i="20"/>
  <c r="N5" i="11" s="1"/>
  <c r="C222" i="20"/>
  <c r="O5" i="11" s="1"/>
  <c r="D222" i="20"/>
  <c r="P5" i="11" s="1"/>
  <c r="E222" i="20"/>
  <c r="Q5" i="11" s="1"/>
  <c r="F222" i="20"/>
  <c r="R5" i="11" s="1"/>
  <c r="G222" i="20"/>
  <c r="S5" i="11" s="1"/>
  <c r="H222" i="20"/>
  <c r="U5" i="11" s="1"/>
  <c r="I222" i="20"/>
  <c r="V5" i="11" s="1"/>
  <c r="B223" i="20"/>
  <c r="N6" i="11" s="1"/>
  <c r="C223" i="20"/>
  <c r="O6" i="11" s="1"/>
  <c r="D223" i="20"/>
  <c r="P6" i="11" s="1"/>
  <c r="E223" i="20"/>
  <c r="Q6" i="11" s="1"/>
  <c r="F223" i="20"/>
  <c r="R6" i="11" s="1"/>
  <c r="G223" i="20"/>
  <c r="S6" i="11" s="1"/>
  <c r="H223" i="20"/>
  <c r="U6" i="11" s="1"/>
  <c r="I223" i="20"/>
  <c r="V6" i="11" s="1"/>
  <c r="B224" i="20"/>
  <c r="N7" i="11" s="1"/>
  <c r="C224" i="20"/>
  <c r="O7" i="11" s="1"/>
  <c r="D224" i="20"/>
  <c r="P7" i="11" s="1"/>
  <c r="E224" i="20"/>
  <c r="Q7" i="11" s="1"/>
  <c r="F224" i="20"/>
  <c r="R7" i="11" s="1"/>
  <c r="G224" i="20"/>
  <c r="S7" i="11" s="1"/>
  <c r="H224" i="20"/>
  <c r="U7" i="11" s="1"/>
  <c r="I224" i="20"/>
  <c r="V7" i="11" s="1"/>
  <c r="B225" i="20"/>
  <c r="N8" i="11" s="1"/>
  <c r="C225" i="20"/>
  <c r="O8" i="11" s="1"/>
  <c r="D225" i="20"/>
  <c r="P8" i="11" s="1"/>
  <c r="E225" i="20"/>
  <c r="Q8" i="11" s="1"/>
  <c r="F225" i="20"/>
  <c r="R8" i="11" s="1"/>
  <c r="G225" i="20"/>
  <c r="S8" i="11" s="1"/>
  <c r="H225" i="20"/>
  <c r="U8" i="11" s="1"/>
  <c r="I225" i="20"/>
  <c r="V8" i="11" s="1"/>
  <c r="B226" i="20"/>
  <c r="N9" i="11" s="1"/>
  <c r="C226" i="20"/>
  <c r="O9" i="11" s="1"/>
  <c r="D226" i="20"/>
  <c r="P9" i="11" s="1"/>
  <c r="E226" i="20"/>
  <c r="Q9" i="11" s="1"/>
  <c r="F226" i="20"/>
  <c r="R9" i="11" s="1"/>
  <c r="G226" i="20"/>
  <c r="S9" i="11" s="1"/>
  <c r="H226" i="20"/>
  <c r="U9" i="11" s="1"/>
  <c r="I226" i="20"/>
  <c r="V9" i="11" s="1"/>
  <c r="B227" i="20"/>
  <c r="N10" i="11" s="1"/>
  <c r="C227" i="20"/>
  <c r="O10" i="11" s="1"/>
  <c r="D227" i="20"/>
  <c r="P10" i="11" s="1"/>
  <c r="E227" i="20"/>
  <c r="Q10" i="11" s="1"/>
  <c r="F227" i="20"/>
  <c r="R10" i="11" s="1"/>
  <c r="G227" i="20"/>
  <c r="S10" i="11" s="1"/>
  <c r="H227" i="20"/>
  <c r="U10" i="11" s="1"/>
  <c r="I227" i="20"/>
  <c r="V10" i="11" s="1"/>
  <c r="B228" i="20"/>
  <c r="N11" i="11" s="1"/>
  <c r="C228" i="20"/>
  <c r="O11" i="11" s="1"/>
  <c r="D228" i="20"/>
  <c r="P11" i="11" s="1"/>
  <c r="E228" i="20"/>
  <c r="Q11" i="11" s="1"/>
  <c r="F228" i="20"/>
  <c r="R11" i="11" s="1"/>
  <c r="G228" i="20"/>
  <c r="S11" i="11" s="1"/>
  <c r="H228" i="20"/>
  <c r="U11" i="11" s="1"/>
  <c r="I228" i="20"/>
  <c r="V11" i="11" s="1"/>
  <c r="B232" i="20"/>
  <c r="N37" i="11" s="1"/>
  <c r="C232" i="20"/>
  <c r="O37" i="11" s="1"/>
  <c r="D232" i="20"/>
  <c r="P37" i="11" s="1"/>
  <c r="E232" i="20"/>
  <c r="Q37" i="11" s="1"/>
  <c r="B233" i="20"/>
  <c r="N38" i="11" s="1"/>
  <c r="C233" i="20"/>
  <c r="O38" i="11" s="1"/>
  <c r="D233" i="20"/>
  <c r="P38" i="11" s="1"/>
  <c r="E233" i="20"/>
  <c r="Q38" i="11" s="1"/>
  <c r="B234" i="20"/>
  <c r="N39" i="11" s="1"/>
  <c r="C234" i="20"/>
  <c r="O39" i="11" s="1"/>
  <c r="D234" i="20"/>
  <c r="P39" i="11" s="1"/>
  <c r="E234" i="20"/>
  <c r="Q39" i="11" s="1"/>
  <c r="B235" i="20"/>
  <c r="N40" i="11" s="1"/>
  <c r="C235" i="20"/>
  <c r="O40" i="11" s="1"/>
  <c r="D235" i="20"/>
  <c r="P40" i="11" s="1"/>
  <c r="E235" i="20"/>
  <c r="Q40" i="11" s="1"/>
  <c r="B236" i="20"/>
  <c r="N41" i="11" s="1"/>
  <c r="C236" i="20"/>
  <c r="O41" i="11" s="1"/>
  <c r="D236" i="20"/>
  <c r="P41" i="11" s="1"/>
  <c r="E236" i="20"/>
  <c r="Q41" i="11" s="1"/>
  <c r="B237" i="20"/>
  <c r="N42" i="11" s="1"/>
  <c r="C237" i="20"/>
  <c r="O42" i="11" s="1"/>
  <c r="D237" i="20"/>
  <c r="P42" i="11" s="1"/>
  <c r="E237" i="20"/>
  <c r="Q42" i="11" s="1"/>
  <c r="B238" i="20"/>
  <c r="N43" i="11" s="1"/>
  <c r="C238" i="20"/>
  <c r="O43" i="11" s="1"/>
  <c r="D238" i="20"/>
  <c r="P43" i="11" s="1"/>
  <c r="E238" i="20"/>
  <c r="Q43" i="11" s="1"/>
  <c r="B242" i="20"/>
  <c r="N69" i="11" s="1"/>
  <c r="C242" i="20"/>
  <c r="O69" i="11" s="1"/>
  <c r="D242" i="20"/>
  <c r="P69" i="11" s="1"/>
  <c r="E242" i="20"/>
  <c r="Q69" i="11" s="1"/>
  <c r="B243" i="20"/>
  <c r="N70" i="11" s="1"/>
  <c r="C243" i="20"/>
  <c r="O70" i="11" s="1"/>
  <c r="D243" i="20"/>
  <c r="P70" i="11" s="1"/>
  <c r="E243" i="20"/>
  <c r="Q70" i="11" s="1"/>
  <c r="B244" i="20"/>
  <c r="N71" i="11" s="1"/>
  <c r="C244" i="20"/>
  <c r="O71" i="11" s="1"/>
  <c r="D244" i="20"/>
  <c r="P71" i="11" s="1"/>
  <c r="E244" i="20"/>
  <c r="Q71" i="11" s="1"/>
  <c r="B245" i="20"/>
  <c r="N72" i="11" s="1"/>
  <c r="C245" i="20"/>
  <c r="O72" i="11" s="1"/>
  <c r="D245" i="20"/>
  <c r="P72" i="11" s="1"/>
  <c r="E245" i="20"/>
  <c r="Q72" i="11" s="1"/>
  <c r="B246" i="20"/>
  <c r="N73" i="11" s="1"/>
  <c r="C246" i="20"/>
  <c r="O73" i="11" s="1"/>
  <c r="D246" i="20"/>
  <c r="P73" i="11" s="1"/>
  <c r="E246" i="20"/>
  <c r="Q73" i="11" s="1"/>
  <c r="B247" i="20"/>
  <c r="N74" i="11" s="1"/>
  <c r="C247" i="20"/>
  <c r="O74" i="11" s="1"/>
  <c r="D247" i="20"/>
  <c r="P74" i="11" s="1"/>
  <c r="E247" i="20"/>
  <c r="Q74" i="11" s="1"/>
  <c r="B248" i="20"/>
  <c r="N75" i="11" s="1"/>
  <c r="C248" i="20"/>
  <c r="O75" i="11" s="1"/>
  <c r="D248" i="20"/>
  <c r="P75" i="11" s="1"/>
  <c r="E248" i="20"/>
  <c r="Q75" i="11" s="1"/>
  <c r="D252" i="20"/>
  <c r="P101" i="11" s="1"/>
  <c r="E252" i="20"/>
  <c r="Q101" i="11" s="1"/>
  <c r="B253" i="20"/>
  <c r="N102" i="11" s="1"/>
  <c r="C253" i="20"/>
  <c r="O102" i="11" s="1"/>
  <c r="D253" i="20"/>
  <c r="P102" i="11" s="1"/>
  <c r="E253" i="20"/>
  <c r="Q102" i="11" s="1"/>
  <c r="B254" i="20"/>
  <c r="N103" i="11" s="1"/>
  <c r="C254" i="20"/>
  <c r="O103" i="11" s="1"/>
  <c r="D254" i="20"/>
  <c r="P103" i="11" s="1"/>
  <c r="E254" i="20"/>
  <c r="Q103" i="11" s="1"/>
  <c r="B255" i="20"/>
  <c r="N104" i="11" s="1"/>
  <c r="C255" i="20"/>
  <c r="O104" i="11" s="1"/>
  <c r="D255" i="20"/>
  <c r="P104" i="11" s="1"/>
  <c r="E255" i="20"/>
  <c r="Q104" i="11" s="1"/>
  <c r="B256" i="20"/>
  <c r="N105" i="11" s="1"/>
  <c r="C256" i="20"/>
  <c r="O105" i="11" s="1"/>
  <c r="D256" i="20"/>
  <c r="P105" i="11" s="1"/>
  <c r="E256" i="20"/>
  <c r="Q105" i="11" s="1"/>
  <c r="B257" i="20"/>
  <c r="N106" i="11" s="1"/>
  <c r="C257" i="20"/>
  <c r="O106" i="11" s="1"/>
  <c r="D257" i="20"/>
  <c r="P106" i="11" s="1"/>
  <c r="E257" i="20"/>
  <c r="Q106" i="11" s="1"/>
  <c r="B258" i="20"/>
  <c r="N107" i="11" s="1"/>
  <c r="C258" i="20"/>
  <c r="O107" i="11" s="1"/>
  <c r="D258" i="20"/>
  <c r="P107" i="11" s="1"/>
  <c r="E258" i="20"/>
  <c r="Q107" i="11" s="1"/>
  <c r="B262" i="20"/>
  <c r="N5" i="12" s="1"/>
  <c r="C262" i="20"/>
  <c r="O5" i="12" s="1"/>
  <c r="D262" i="20"/>
  <c r="P5" i="12" s="1"/>
  <c r="E262" i="20"/>
  <c r="Q5" i="12" s="1"/>
  <c r="F262" i="20"/>
  <c r="R5" i="12" s="1"/>
  <c r="G262" i="20"/>
  <c r="S5" i="12" s="1"/>
  <c r="H262" i="20"/>
  <c r="U5" i="12" s="1"/>
  <c r="I262" i="20"/>
  <c r="V5" i="12" s="1"/>
  <c r="B263" i="20"/>
  <c r="N6" i="12" s="1"/>
  <c r="C263" i="20"/>
  <c r="O6" i="12" s="1"/>
  <c r="D263" i="20"/>
  <c r="P6" i="12" s="1"/>
  <c r="E263" i="20"/>
  <c r="Q6" i="12" s="1"/>
  <c r="F263" i="20"/>
  <c r="R6" i="12" s="1"/>
  <c r="G263" i="20"/>
  <c r="S6" i="12" s="1"/>
  <c r="H263" i="20"/>
  <c r="U6" i="12" s="1"/>
  <c r="I263" i="20"/>
  <c r="V6" i="12" s="1"/>
  <c r="B264" i="20"/>
  <c r="N7" i="12" s="1"/>
  <c r="C264" i="20"/>
  <c r="O7" i="12" s="1"/>
  <c r="D264" i="20"/>
  <c r="P7" i="12" s="1"/>
  <c r="E264" i="20"/>
  <c r="Q7" i="12" s="1"/>
  <c r="F264" i="20"/>
  <c r="R7" i="12" s="1"/>
  <c r="G264" i="20"/>
  <c r="S7" i="12" s="1"/>
  <c r="H264" i="20"/>
  <c r="U7" i="12" s="1"/>
  <c r="I264" i="20"/>
  <c r="V7" i="12" s="1"/>
  <c r="B265" i="20"/>
  <c r="N8" i="12" s="1"/>
  <c r="C265" i="20"/>
  <c r="O8" i="12" s="1"/>
  <c r="D265" i="20"/>
  <c r="P8" i="12" s="1"/>
  <c r="E265" i="20"/>
  <c r="Q8" i="12" s="1"/>
  <c r="F265" i="20"/>
  <c r="R8" i="12" s="1"/>
  <c r="G265" i="20"/>
  <c r="S8" i="12" s="1"/>
  <c r="H265" i="20"/>
  <c r="U8" i="12" s="1"/>
  <c r="I265" i="20"/>
  <c r="V8" i="12" s="1"/>
  <c r="B266" i="20"/>
  <c r="N9" i="12" s="1"/>
  <c r="C266" i="20"/>
  <c r="O9" i="12" s="1"/>
  <c r="D266" i="20"/>
  <c r="P9" i="12" s="1"/>
  <c r="E266" i="20"/>
  <c r="Q9" i="12" s="1"/>
  <c r="F266" i="20"/>
  <c r="R9" i="12" s="1"/>
  <c r="G266" i="20"/>
  <c r="S9" i="12" s="1"/>
  <c r="H266" i="20"/>
  <c r="U9" i="12" s="1"/>
  <c r="I266" i="20"/>
  <c r="V9" i="12" s="1"/>
  <c r="B267" i="20"/>
  <c r="N10" i="12" s="1"/>
  <c r="C267" i="20"/>
  <c r="O10" i="12" s="1"/>
  <c r="D267" i="20"/>
  <c r="P10" i="12" s="1"/>
  <c r="E267" i="20"/>
  <c r="Q10" i="12" s="1"/>
  <c r="F267" i="20"/>
  <c r="R10" i="12" s="1"/>
  <c r="G267" i="20"/>
  <c r="S10" i="12" s="1"/>
  <c r="H267" i="20"/>
  <c r="U10" i="12" s="1"/>
  <c r="I267" i="20"/>
  <c r="V10" i="12" s="1"/>
  <c r="B268" i="20"/>
  <c r="N11" i="12" s="1"/>
  <c r="C268" i="20"/>
  <c r="O11" i="12" s="1"/>
  <c r="D268" i="20"/>
  <c r="P11" i="12" s="1"/>
  <c r="E268" i="20"/>
  <c r="Q11" i="12" s="1"/>
  <c r="F268" i="20"/>
  <c r="R11" i="12" s="1"/>
  <c r="G268" i="20"/>
  <c r="S11" i="12" s="1"/>
  <c r="H268" i="20"/>
  <c r="U11" i="12" s="1"/>
  <c r="I268" i="20"/>
  <c r="V11" i="12" s="1"/>
  <c r="B269" i="20"/>
  <c r="N12" i="12" s="1"/>
  <c r="C269" i="20"/>
  <c r="O12" i="12" s="1"/>
  <c r="D269" i="20"/>
  <c r="P12" i="12" s="1"/>
  <c r="E269" i="20"/>
  <c r="Q12" i="12" s="1"/>
  <c r="F269" i="20"/>
  <c r="R12" i="12" s="1"/>
  <c r="G269" i="20"/>
  <c r="S12" i="12" s="1"/>
  <c r="H269" i="20"/>
  <c r="U12" i="12" s="1"/>
  <c r="I269" i="20"/>
  <c r="V12" i="12" s="1"/>
  <c r="B273" i="20"/>
  <c r="N39" i="12" s="1"/>
  <c r="C273" i="20"/>
  <c r="O39" i="12" s="1"/>
  <c r="D273" i="20"/>
  <c r="P39" i="12" s="1"/>
  <c r="E273" i="20"/>
  <c r="Q39" i="12" s="1"/>
  <c r="B274" i="20"/>
  <c r="N40" i="12" s="1"/>
  <c r="C274" i="20"/>
  <c r="O40" i="12" s="1"/>
  <c r="D274" i="20"/>
  <c r="P40" i="12" s="1"/>
  <c r="E274" i="20"/>
  <c r="Q40" i="12" s="1"/>
  <c r="B275" i="20"/>
  <c r="N41" i="12" s="1"/>
  <c r="C275" i="20"/>
  <c r="O41" i="12" s="1"/>
  <c r="D275" i="20"/>
  <c r="P41" i="12" s="1"/>
  <c r="E275" i="20"/>
  <c r="Q41" i="12" s="1"/>
  <c r="B276" i="20"/>
  <c r="N42" i="12" s="1"/>
  <c r="C276" i="20"/>
  <c r="O42" i="12" s="1"/>
  <c r="D276" i="20"/>
  <c r="P42" i="12" s="1"/>
  <c r="E276" i="20"/>
  <c r="Q42" i="12" s="1"/>
  <c r="B277" i="20"/>
  <c r="N43" i="12" s="1"/>
  <c r="C277" i="20"/>
  <c r="O43" i="12" s="1"/>
  <c r="D277" i="20"/>
  <c r="P43" i="12" s="1"/>
  <c r="E277" i="20"/>
  <c r="Q43" i="12" s="1"/>
  <c r="B278" i="20"/>
  <c r="N44" i="12" s="1"/>
  <c r="C278" i="20"/>
  <c r="O44" i="12" s="1"/>
  <c r="D278" i="20"/>
  <c r="P44" i="12" s="1"/>
  <c r="E278" i="20"/>
  <c r="Q44" i="12" s="1"/>
  <c r="B279" i="20"/>
  <c r="N45" i="12" s="1"/>
  <c r="C279" i="20"/>
  <c r="O45" i="12" s="1"/>
  <c r="D279" i="20"/>
  <c r="P45" i="12" s="1"/>
  <c r="E279" i="20"/>
  <c r="Q45" i="12" s="1"/>
  <c r="B280" i="20"/>
  <c r="N46" i="12" s="1"/>
  <c r="C280" i="20"/>
  <c r="O46" i="12" s="1"/>
  <c r="D280" i="20"/>
  <c r="P46" i="12" s="1"/>
  <c r="E280" i="20"/>
  <c r="Q46" i="12" s="1"/>
  <c r="B284" i="20"/>
  <c r="N73" i="12" s="1"/>
  <c r="C284" i="20"/>
  <c r="O73" i="12" s="1"/>
  <c r="D284" i="20"/>
  <c r="P73" i="12" s="1"/>
  <c r="E284" i="20"/>
  <c r="Q73" i="12" s="1"/>
  <c r="B285" i="20"/>
  <c r="N74" i="12" s="1"/>
  <c r="C285" i="20"/>
  <c r="O74" i="12" s="1"/>
  <c r="D285" i="20"/>
  <c r="P74" i="12" s="1"/>
  <c r="E285" i="20"/>
  <c r="Q74" i="12" s="1"/>
  <c r="B286" i="20"/>
  <c r="N75" i="12" s="1"/>
  <c r="C286" i="20"/>
  <c r="O75" i="12" s="1"/>
  <c r="D286" i="20"/>
  <c r="P75" i="12" s="1"/>
  <c r="E286" i="20"/>
  <c r="Q75" i="12" s="1"/>
  <c r="B287" i="20"/>
  <c r="N76" i="12" s="1"/>
  <c r="C287" i="20"/>
  <c r="O76" i="12" s="1"/>
  <c r="D287" i="20"/>
  <c r="P76" i="12" s="1"/>
  <c r="E287" i="20"/>
  <c r="Q76" i="12" s="1"/>
  <c r="B288" i="20"/>
  <c r="N77" i="12" s="1"/>
  <c r="C288" i="20"/>
  <c r="O77" i="12" s="1"/>
  <c r="D288" i="20"/>
  <c r="P77" i="12" s="1"/>
  <c r="E288" i="20"/>
  <c r="Q77" i="12" s="1"/>
  <c r="B289" i="20"/>
  <c r="N78" i="12" s="1"/>
  <c r="C289" i="20"/>
  <c r="O78" i="12" s="1"/>
  <c r="D289" i="20"/>
  <c r="P78" i="12" s="1"/>
  <c r="E289" i="20"/>
  <c r="Q78" i="12" s="1"/>
  <c r="B290" i="20"/>
  <c r="N79" i="12" s="1"/>
  <c r="C290" i="20"/>
  <c r="O79" i="12" s="1"/>
  <c r="D290" i="20"/>
  <c r="P79" i="12" s="1"/>
  <c r="E290" i="20"/>
  <c r="Q79" i="12" s="1"/>
  <c r="B291" i="20"/>
  <c r="N80" i="12" s="1"/>
  <c r="C291" i="20"/>
  <c r="O80" i="12" s="1"/>
  <c r="D291" i="20"/>
  <c r="P80" i="12" s="1"/>
  <c r="E291" i="20"/>
  <c r="Q80" i="12" s="1"/>
  <c r="B295" i="20"/>
  <c r="N107" i="12" s="1"/>
  <c r="C295" i="20"/>
  <c r="O107" i="12" s="1"/>
  <c r="D295" i="20"/>
  <c r="P107" i="12" s="1"/>
  <c r="E295" i="20"/>
  <c r="Q107" i="12" s="1"/>
  <c r="B296" i="20"/>
  <c r="N108" i="12" s="1"/>
  <c r="C296" i="20"/>
  <c r="O108" i="12" s="1"/>
  <c r="D296" i="20"/>
  <c r="P108" i="12" s="1"/>
  <c r="E296" i="20"/>
  <c r="Q108" i="12" s="1"/>
  <c r="B297" i="20"/>
  <c r="N109" i="12" s="1"/>
  <c r="C297" i="20"/>
  <c r="O109" i="12" s="1"/>
  <c r="D297" i="20"/>
  <c r="P109" i="12" s="1"/>
  <c r="E297" i="20"/>
  <c r="Q109" i="12" s="1"/>
  <c r="B298" i="20"/>
  <c r="N110" i="12" s="1"/>
  <c r="C298" i="20"/>
  <c r="O110" i="12" s="1"/>
  <c r="D298" i="20"/>
  <c r="P110" i="12" s="1"/>
  <c r="E298" i="20"/>
  <c r="Q110" i="12" s="1"/>
  <c r="B299" i="20"/>
  <c r="N111" i="12" s="1"/>
  <c r="C299" i="20"/>
  <c r="O111" i="12" s="1"/>
  <c r="D299" i="20"/>
  <c r="P111" i="12" s="1"/>
  <c r="E299" i="20"/>
  <c r="Q111" i="12" s="1"/>
  <c r="B300" i="20"/>
  <c r="N112" i="12" s="1"/>
  <c r="C300" i="20"/>
  <c r="O112" i="12" s="1"/>
  <c r="D300" i="20"/>
  <c r="P112" i="12" s="1"/>
  <c r="E300" i="20"/>
  <c r="Q112" i="12" s="1"/>
  <c r="B301" i="20"/>
  <c r="N113" i="12" s="1"/>
  <c r="C301" i="20"/>
  <c r="O113" i="12" s="1"/>
  <c r="D301" i="20"/>
  <c r="P113" i="12" s="1"/>
  <c r="E301" i="20"/>
  <c r="Q113" i="12" s="1"/>
  <c r="B302" i="20"/>
  <c r="N114" i="12" s="1"/>
  <c r="C302" i="20"/>
  <c r="O114" i="12" s="1"/>
  <c r="D302" i="20"/>
  <c r="P114" i="12" s="1"/>
  <c r="E302" i="20"/>
  <c r="Q114" i="12" s="1"/>
  <c r="B306" i="20"/>
  <c r="N15" i="10" s="1"/>
  <c r="N15" i="12" s="1"/>
  <c r="B307" i="20"/>
  <c r="O15" i="10" s="1"/>
  <c r="B308" i="20"/>
  <c r="P15" i="10" s="1"/>
  <c r="P15" i="12" s="1"/>
  <c r="B309" i="20"/>
  <c r="Q15" i="10" s="1"/>
  <c r="Q14" i="11" s="1"/>
  <c r="B310" i="20"/>
  <c r="R15" i="10" s="1"/>
  <c r="R15" i="12" s="1"/>
  <c r="B311" i="20"/>
  <c r="S15" i="10" s="1"/>
  <c r="B312" i="20"/>
  <c r="U15" i="10" s="1"/>
  <c r="U15" i="12" s="1"/>
  <c r="B313" i="20"/>
  <c r="V15" i="10" s="1"/>
  <c r="V14" i="11" s="1"/>
  <c r="B317" i="20"/>
  <c r="N50" i="10" s="1"/>
  <c r="B318" i="20"/>
  <c r="O50" i="10" s="1"/>
  <c r="O49" i="12" s="1"/>
  <c r="B319" i="20"/>
  <c r="P50" i="10" s="1"/>
  <c r="P49" i="12" s="1"/>
  <c r="B320" i="20"/>
  <c r="Q50" i="10" s="1"/>
  <c r="Q49" i="12" s="1"/>
  <c r="B324" i="20"/>
  <c r="N84" i="10" s="1"/>
  <c r="N83" i="12" s="1"/>
  <c r="B325" i="20"/>
  <c r="O84" i="10" s="1"/>
  <c r="B326" i="20"/>
  <c r="P84" i="10" s="1"/>
  <c r="P83" i="12" s="1"/>
  <c r="B327" i="20"/>
  <c r="Q84" i="10" s="1"/>
  <c r="Q78" i="11" s="1"/>
  <c r="B331" i="20"/>
  <c r="N118" i="10" s="1"/>
  <c r="B332" i="20"/>
  <c r="O118" i="10" s="1"/>
  <c r="O110" i="11" s="1"/>
  <c r="B333" i="20"/>
  <c r="P118" i="10" s="1"/>
  <c r="C6" i="16" s="1"/>
  <c r="B334" i="20"/>
  <c r="Q118" i="10" s="1"/>
  <c r="C7" i="16" s="1"/>
  <c r="M64" i="16" l="1"/>
  <c r="H254" i="21"/>
  <c r="H102" i="11"/>
  <c r="I102" i="11" s="1"/>
  <c r="H213" i="21"/>
  <c r="H109" i="10"/>
  <c r="I109" i="10" s="1"/>
  <c r="D105" i="24"/>
  <c r="D104" i="24"/>
  <c r="J222" i="21"/>
  <c r="K5" i="11" s="1"/>
  <c r="B19" i="24"/>
  <c r="J228" i="21"/>
  <c r="K11" i="11" s="1"/>
  <c r="B25" i="24"/>
  <c r="J227" i="21"/>
  <c r="K10" i="11" s="1"/>
  <c r="B24" i="24"/>
  <c r="J226" i="21"/>
  <c r="K9" i="11" s="1"/>
  <c r="B23" i="24"/>
  <c r="J225" i="21"/>
  <c r="K8" i="11" s="1"/>
  <c r="B22" i="24"/>
  <c r="J224" i="21"/>
  <c r="K7" i="11" s="1"/>
  <c r="B21" i="24"/>
  <c r="J223" i="21"/>
  <c r="K6" i="11" s="1"/>
  <c r="B20" i="24"/>
  <c r="J222" i="20"/>
  <c r="W5" i="11" s="1"/>
  <c r="AL5" i="11" s="1"/>
  <c r="C19" i="24"/>
  <c r="J228" i="20"/>
  <c r="W11" i="11" s="1"/>
  <c r="AL11" i="11" s="1"/>
  <c r="C25" i="24"/>
  <c r="J227" i="20"/>
  <c r="W10" i="11" s="1"/>
  <c r="C24" i="24"/>
  <c r="J226" i="20"/>
  <c r="W9" i="11" s="1"/>
  <c r="AL9" i="11" s="1"/>
  <c r="C23" i="24"/>
  <c r="J225" i="20"/>
  <c r="W8" i="11" s="1"/>
  <c r="AL8" i="11" s="1"/>
  <c r="C22" i="24"/>
  <c r="J224" i="20"/>
  <c r="W7" i="11" s="1"/>
  <c r="AL7" i="11" s="1"/>
  <c r="C21" i="24"/>
  <c r="J223" i="20"/>
  <c r="W6" i="11" s="1"/>
  <c r="C20" i="24"/>
  <c r="D107" i="24"/>
  <c r="D106" i="24"/>
  <c r="D103" i="24"/>
  <c r="D102" i="24"/>
  <c r="D101" i="24"/>
  <c r="B5" i="24"/>
  <c r="B33" i="16"/>
  <c r="L63" i="16" s="1"/>
  <c r="B6" i="24"/>
  <c r="B34" i="16"/>
  <c r="L64" i="16" s="1"/>
  <c r="B7" i="24"/>
  <c r="B35" i="16"/>
  <c r="L65" i="16" s="1"/>
  <c r="B8" i="24"/>
  <c r="B36" i="16"/>
  <c r="L66" i="16" s="1"/>
  <c r="B9" i="24"/>
  <c r="B37" i="16"/>
  <c r="L67" i="16" s="1"/>
  <c r="B10" i="24"/>
  <c r="B38" i="16"/>
  <c r="L68" i="16" s="1"/>
  <c r="B11" i="24"/>
  <c r="B39" i="16"/>
  <c r="L69" i="16" s="1"/>
  <c r="B12" i="24"/>
  <c r="B40" i="16"/>
  <c r="B71" i="16"/>
  <c r="C74" i="9"/>
  <c r="D74" i="9"/>
  <c r="E74" i="9"/>
  <c r="F74" i="9"/>
  <c r="B74" i="9"/>
  <c r="G74" i="9"/>
  <c r="H74" i="9"/>
  <c r="U112" i="10"/>
  <c r="I118" i="10"/>
  <c r="I110" i="11" s="1"/>
  <c r="H254" i="20"/>
  <c r="T103" i="11" s="1"/>
  <c r="Y6" i="9"/>
  <c r="H297" i="20"/>
  <c r="T109" i="12" s="1"/>
  <c r="U108" i="12"/>
  <c r="H213" i="20"/>
  <c r="T110" i="10" s="1"/>
  <c r="U109" i="10"/>
  <c r="AE113" i="10"/>
  <c r="U118" i="10"/>
  <c r="AD114" i="10"/>
  <c r="H252" i="20"/>
  <c r="T101" i="11" s="1"/>
  <c r="J184" i="21"/>
  <c r="K11" i="10" s="1"/>
  <c r="J183" i="21"/>
  <c r="K10" i="10" s="1"/>
  <c r="J182" i="21"/>
  <c r="K9" i="10" s="1"/>
  <c r="J181" i="21"/>
  <c r="K8" i="10" s="1"/>
  <c r="J180" i="21"/>
  <c r="K7" i="10" s="1"/>
  <c r="H257" i="20"/>
  <c r="T106" i="11" s="1"/>
  <c r="K11" i="12"/>
  <c r="K10" i="12"/>
  <c r="K8" i="12"/>
  <c r="K9" i="12"/>
  <c r="K7" i="12"/>
  <c r="AD48" i="10"/>
  <c r="AE112" i="10"/>
  <c r="AD112" i="12"/>
  <c r="S117" i="12"/>
  <c r="R110" i="11"/>
  <c r="AE112" i="12"/>
  <c r="E117" i="12"/>
  <c r="AE106" i="11"/>
  <c r="AE111" i="10"/>
  <c r="F110" i="11"/>
  <c r="AD109" i="10"/>
  <c r="AD9" i="11"/>
  <c r="AD5" i="11"/>
  <c r="Z109" i="10"/>
  <c r="Q51" i="6"/>
  <c r="R6" i="6"/>
  <c r="S18" i="2"/>
  <c r="AC113" i="12"/>
  <c r="AG9" i="10"/>
  <c r="AG5" i="10"/>
  <c r="Q16" i="6"/>
  <c r="X68" i="9"/>
  <c r="N39" i="6"/>
  <c r="S108" i="11"/>
  <c r="S111" i="11" s="1"/>
  <c r="AA78" i="12"/>
  <c r="AB44" i="12"/>
  <c r="M77" i="15"/>
  <c r="AC114" i="12"/>
  <c r="AE11" i="12"/>
  <c r="AE7" i="12"/>
  <c r="Z44" i="12"/>
  <c r="AD11" i="12"/>
  <c r="AE114" i="10"/>
  <c r="AD113" i="12"/>
  <c r="AE113" i="12"/>
  <c r="AD114" i="12"/>
  <c r="AD110" i="10"/>
  <c r="AE108" i="12"/>
  <c r="I17" i="2"/>
  <c r="AC112" i="12"/>
  <c r="AE110" i="12"/>
  <c r="AE103" i="11"/>
  <c r="N28" i="6"/>
  <c r="O6" i="6"/>
  <c r="H256" i="20"/>
  <c r="T105" i="11" s="1"/>
  <c r="AD109" i="12"/>
  <c r="AD75" i="11"/>
  <c r="AD108" i="12"/>
  <c r="AE104" i="11"/>
  <c r="AB78" i="10"/>
  <c r="AC44" i="10"/>
  <c r="AC108" i="12"/>
  <c r="AE110" i="10"/>
  <c r="AB101" i="11"/>
  <c r="R102" i="11"/>
  <c r="U102" i="11" s="1"/>
  <c r="AD111" i="10"/>
  <c r="AA74" i="12"/>
  <c r="AE9" i="12"/>
  <c r="AE5" i="12"/>
  <c r="AC111" i="10"/>
  <c r="AC77" i="10"/>
  <c r="V38" i="9"/>
  <c r="R103" i="11"/>
  <c r="AD103" i="11" s="1"/>
  <c r="AC109" i="12"/>
  <c r="AA112" i="10"/>
  <c r="F108" i="11"/>
  <c r="F124" i="11" s="1"/>
  <c r="Z74" i="12"/>
  <c r="I29" i="6"/>
  <c r="AE107" i="11"/>
  <c r="AE118" i="10"/>
  <c r="AA78" i="10"/>
  <c r="AC110" i="12"/>
  <c r="AD118" i="10"/>
  <c r="R107" i="11"/>
  <c r="AD107" i="11" s="1"/>
  <c r="AD115" i="10"/>
  <c r="AA7" i="11"/>
  <c r="C9" i="16"/>
  <c r="AE105" i="11"/>
  <c r="AD113" i="10"/>
  <c r="AC111" i="12"/>
  <c r="B9" i="16"/>
  <c r="AC118" i="10"/>
  <c r="G115" i="12"/>
  <c r="G127" i="12" s="1"/>
  <c r="AE107" i="12"/>
  <c r="AE114" i="12"/>
  <c r="F115" i="12"/>
  <c r="F127" i="12" s="1"/>
  <c r="AE111" i="12"/>
  <c r="AD111" i="12"/>
  <c r="G108" i="11"/>
  <c r="G124" i="11" s="1"/>
  <c r="AE101" i="11"/>
  <c r="AA105" i="11"/>
  <c r="AB72" i="11"/>
  <c r="AB39" i="11"/>
  <c r="AE109" i="10"/>
  <c r="AD112" i="10"/>
  <c r="AE115" i="10"/>
  <c r="AD108" i="10"/>
  <c r="F116" i="10"/>
  <c r="F133" i="10" s="1"/>
  <c r="F68" i="15"/>
  <c r="B60" i="6"/>
  <c r="E55" i="15"/>
  <c r="D50" i="6"/>
  <c r="H40" i="6"/>
  <c r="G17" i="15"/>
  <c r="G7" i="6"/>
  <c r="F78" i="2"/>
  <c r="E56" i="2"/>
  <c r="B44" i="2"/>
  <c r="J17" i="2"/>
  <c r="D20" i="2"/>
  <c r="AD110" i="12"/>
  <c r="AE102" i="11"/>
  <c r="AE109" i="12"/>
  <c r="R116" i="10"/>
  <c r="R125" i="10" s="1"/>
  <c r="S116" i="10"/>
  <c r="S125" i="10" s="1"/>
  <c r="G116" i="10"/>
  <c r="G119" i="10" s="1"/>
  <c r="R115" i="12"/>
  <c r="R129" i="12" s="1"/>
  <c r="S115" i="12"/>
  <c r="AE108" i="10"/>
  <c r="AD107" i="12"/>
  <c r="G117" i="12"/>
  <c r="AE110" i="11"/>
  <c r="Z70" i="9"/>
  <c r="V66" i="9"/>
  <c r="Z6" i="12"/>
  <c r="Z10" i="12"/>
  <c r="Z102" i="11"/>
  <c r="AA108" i="12"/>
  <c r="AD74" i="10"/>
  <c r="AD73" i="11"/>
  <c r="X6" i="9"/>
  <c r="AD7" i="10"/>
  <c r="AB11" i="10"/>
  <c r="AB10" i="9"/>
  <c r="Y70" i="9"/>
  <c r="X70" i="9"/>
  <c r="AD9" i="12"/>
  <c r="AD5" i="12"/>
  <c r="Z76" i="10"/>
  <c r="AB75" i="11"/>
  <c r="AC109" i="10"/>
  <c r="AA6" i="10"/>
  <c r="Z78" i="10"/>
  <c r="AA40" i="11"/>
  <c r="Z65" i="9"/>
  <c r="AH6" i="11"/>
  <c r="W6" i="9"/>
  <c r="AA44" i="10"/>
  <c r="H300" i="21"/>
  <c r="H112" i="12" s="1"/>
  <c r="H301" i="21"/>
  <c r="AC9" i="12"/>
  <c r="AA75" i="11"/>
  <c r="Z11" i="10"/>
  <c r="AA7" i="10"/>
  <c r="X10" i="9"/>
  <c r="AB73" i="12"/>
  <c r="Z7" i="10"/>
  <c r="Z37" i="9"/>
  <c r="Y5" i="9"/>
  <c r="V70" i="9"/>
  <c r="AB107" i="12"/>
  <c r="Z77" i="10"/>
  <c r="W65" i="9"/>
  <c r="AA73" i="12"/>
  <c r="AA39" i="12"/>
  <c r="AA9" i="12"/>
  <c r="AA5" i="12"/>
  <c r="AC74" i="11"/>
  <c r="AC41" i="11"/>
  <c r="AC10" i="11"/>
  <c r="AC110" i="10"/>
  <c r="AD76" i="10"/>
  <c r="AG10" i="10"/>
  <c r="V65" i="9"/>
  <c r="Z73" i="12"/>
  <c r="Z9" i="12"/>
  <c r="Z5" i="12"/>
  <c r="AB41" i="11"/>
  <c r="AB6" i="11"/>
  <c r="AB110" i="10"/>
  <c r="AE10" i="10"/>
  <c r="AG6" i="10"/>
  <c r="Y69" i="9"/>
  <c r="AB41" i="9"/>
  <c r="AA10" i="11"/>
  <c r="AA110" i="10"/>
  <c r="AA114" i="12"/>
  <c r="AA80" i="12"/>
  <c r="AG12" i="12"/>
  <c r="AG8" i="12"/>
  <c r="AB107" i="11"/>
  <c r="Z6" i="11"/>
  <c r="AA76" i="10"/>
  <c r="AC10" i="10"/>
  <c r="W69" i="9"/>
  <c r="Y9" i="9"/>
  <c r="Z39" i="12"/>
  <c r="AC46" i="12"/>
  <c r="AC73" i="11"/>
  <c r="AH5" i="11"/>
  <c r="AB10" i="10"/>
  <c r="AD12" i="12"/>
  <c r="AD8" i="12"/>
  <c r="AB73" i="11"/>
  <c r="AB40" i="11"/>
  <c r="AG6" i="11"/>
  <c r="AB80" i="12"/>
  <c r="AE12" i="12"/>
  <c r="AC45" i="12"/>
  <c r="AE5" i="11"/>
  <c r="AC43" i="10"/>
  <c r="AC107" i="11"/>
  <c r="Z114" i="12"/>
  <c r="AA113" i="12"/>
  <c r="AB8" i="12"/>
  <c r="Z40" i="11"/>
  <c r="AB114" i="12"/>
  <c r="AA41" i="11"/>
  <c r="AA107" i="11"/>
  <c r="AA79" i="12"/>
  <c r="AA12" i="12"/>
  <c r="AA106" i="11"/>
  <c r="AC72" i="11"/>
  <c r="AC108" i="10"/>
  <c r="AC78" i="12"/>
  <c r="Z12" i="12"/>
  <c r="Z106" i="11"/>
  <c r="Z45" i="12"/>
  <c r="Z8" i="12"/>
  <c r="AB78" i="12"/>
  <c r="AH11" i="12"/>
  <c r="AA11" i="10"/>
  <c r="AG7" i="12"/>
  <c r="AB108" i="12"/>
  <c r="AC74" i="12"/>
  <c r="AH9" i="12"/>
  <c r="AH5" i="12"/>
  <c r="AE7" i="10"/>
  <c r="AC11" i="9"/>
  <c r="AD80" i="10"/>
  <c r="AC39" i="9"/>
  <c r="AD74" i="12"/>
  <c r="Z74" i="10"/>
  <c r="W8" i="9"/>
  <c r="AC65" i="9"/>
  <c r="AC66" i="9"/>
  <c r="AC43" i="12"/>
  <c r="AC11" i="12"/>
  <c r="Z40" i="10"/>
  <c r="AB7" i="9"/>
  <c r="AB77" i="12"/>
  <c r="X35" i="9"/>
  <c r="Z118" i="10"/>
  <c r="AA77" i="12"/>
  <c r="AA104" i="11"/>
  <c r="Z47" i="10"/>
  <c r="X67" i="9"/>
  <c r="AA39" i="9"/>
  <c r="AB37" i="11"/>
  <c r="AE12" i="10"/>
  <c r="Z39" i="9"/>
  <c r="Y7" i="9"/>
  <c r="AB8" i="11"/>
  <c r="AB83" i="12"/>
  <c r="AB11" i="9"/>
  <c r="X7" i="9"/>
  <c r="AB76" i="12"/>
  <c r="Z37" i="11"/>
  <c r="Z114" i="10"/>
  <c r="Z80" i="10"/>
  <c r="AA46" i="10"/>
  <c r="AC12" i="10"/>
  <c r="AD8" i="10"/>
  <c r="Y71" i="9"/>
  <c r="AA11" i="9"/>
  <c r="W7" i="9"/>
  <c r="AA76" i="12"/>
  <c r="Z46" i="10"/>
  <c r="AA66" i="9"/>
  <c r="AB11" i="12"/>
  <c r="AA103" i="11"/>
  <c r="X71" i="9"/>
  <c r="Z103" i="11"/>
  <c r="AB69" i="11"/>
  <c r="AB113" i="10"/>
  <c r="AB79" i="10"/>
  <c r="AA12" i="10"/>
  <c r="V39" i="9"/>
  <c r="Y11" i="9"/>
  <c r="AC75" i="12"/>
  <c r="AE7" i="11"/>
  <c r="AA79" i="10"/>
  <c r="AB45" i="10"/>
  <c r="Z12" i="10"/>
  <c r="AA101" i="11"/>
  <c r="AB10" i="12"/>
  <c r="AD11" i="11"/>
  <c r="AD7" i="11"/>
  <c r="Z8" i="10"/>
  <c r="AA38" i="9"/>
  <c r="Z6" i="9"/>
  <c r="Z101" i="11"/>
  <c r="Z50" i="10"/>
  <c r="AG11" i="10"/>
  <c r="AH7" i="10"/>
  <c r="W66" i="9"/>
  <c r="Z38" i="9"/>
  <c r="H301" i="20"/>
  <c r="T113" i="12" s="1"/>
  <c r="AM7" i="10"/>
  <c r="AD71" i="11"/>
  <c r="AD80" i="12"/>
  <c r="P80" i="2"/>
  <c r="R39" i="6"/>
  <c r="T28" i="6"/>
  <c r="T80" i="15"/>
  <c r="S27" i="6"/>
  <c r="M8" i="2"/>
  <c r="P78" i="15"/>
  <c r="T7" i="2"/>
  <c r="M16" i="6"/>
  <c r="AA10" i="12"/>
  <c r="S29" i="6"/>
  <c r="M5" i="15"/>
  <c r="P73" i="6"/>
  <c r="P61" i="6"/>
  <c r="T5" i="2"/>
  <c r="R32" i="2"/>
  <c r="AM9" i="10"/>
  <c r="R19" i="2"/>
  <c r="M72" i="6"/>
  <c r="M50" i="6"/>
  <c r="M28" i="6"/>
  <c r="M6" i="6"/>
  <c r="S44" i="10"/>
  <c r="P67" i="15"/>
  <c r="N66" i="15"/>
  <c r="P18" i="6"/>
  <c r="Q7" i="15"/>
  <c r="S29" i="15"/>
  <c r="AA102" i="11"/>
  <c r="G21" i="13"/>
  <c r="AA38" i="11"/>
  <c r="AB5" i="10"/>
  <c r="AA110" i="12"/>
  <c r="AD76" i="12"/>
  <c r="AC115" i="10"/>
  <c r="Z104" i="11"/>
  <c r="V68" i="9"/>
  <c r="AA108" i="10"/>
  <c r="Z5" i="11"/>
  <c r="N61" i="6"/>
  <c r="N18" i="15"/>
  <c r="N7" i="6"/>
  <c r="O68" i="2"/>
  <c r="Z40" i="9"/>
  <c r="AC74" i="10"/>
  <c r="S61" i="6"/>
  <c r="S56" i="15"/>
  <c r="T39" i="6"/>
  <c r="R5" i="1"/>
  <c r="T17" i="6"/>
  <c r="M80" i="2"/>
  <c r="Q7" i="1"/>
  <c r="AD69" i="11"/>
  <c r="R5" i="6"/>
  <c r="P79" i="15"/>
  <c r="R17" i="6"/>
  <c r="AA68" i="9"/>
  <c r="O72" i="6"/>
  <c r="O66" i="15"/>
  <c r="O50" i="6"/>
  <c r="P39" i="6"/>
  <c r="Q28" i="6"/>
  <c r="Q19" i="15"/>
  <c r="R7" i="15"/>
  <c r="S32" i="2"/>
  <c r="P17" i="6"/>
  <c r="V37" i="9"/>
  <c r="O28" i="6"/>
  <c r="Z84" i="10"/>
  <c r="P80" i="15"/>
  <c r="T78" i="15"/>
  <c r="T61" i="6"/>
  <c r="R60" i="6"/>
  <c r="R38" i="6"/>
  <c r="Q66" i="15"/>
  <c r="C39" i="16"/>
  <c r="M69" i="16" s="1"/>
  <c r="P77" i="15"/>
  <c r="P62" i="6"/>
  <c r="R27" i="6"/>
  <c r="R16" i="6"/>
  <c r="S6" i="15"/>
  <c r="Q78" i="15"/>
  <c r="AB50" i="10"/>
  <c r="P41" i="15"/>
  <c r="Q8" i="15"/>
  <c r="M78" i="15"/>
  <c r="N38" i="6"/>
  <c r="T77" i="15"/>
  <c r="N29" i="6"/>
  <c r="O6" i="15"/>
  <c r="P71" i="6"/>
  <c r="AA7" i="9"/>
  <c r="R71" i="6"/>
  <c r="M20" i="15"/>
  <c r="N78" i="2"/>
  <c r="Q39" i="6"/>
  <c r="N72" i="9"/>
  <c r="N83" i="9" s="1"/>
  <c r="M68" i="15"/>
  <c r="G12" i="9"/>
  <c r="G23" i="9" s="1"/>
  <c r="T38" i="6"/>
  <c r="N19" i="15"/>
  <c r="E55" i="2"/>
  <c r="T16" i="6"/>
  <c r="I31" i="15"/>
  <c r="O30" i="15"/>
  <c r="E66" i="2"/>
  <c r="E71" i="6"/>
  <c r="Z43" i="12"/>
  <c r="AA11" i="12"/>
  <c r="AB108" i="10"/>
  <c r="V69" i="9"/>
  <c r="X5" i="9"/>
  <c r="M78" i="2"/>
  <c r="F19" i="15"/>
  <c r="B29" i="15"/>
  <c r="Z11" i="12"/>
  <c r="AA7" i="12"/>
  <c r="Z71" i="11"/>
  <c r="Y41" i="9"/>
  <c r="AA9" i="9"/>
  <c r="T78" i="2"/>
  <c r="AC71" i="9"/>
  <c r="P72" i="6"/>
  <c r="N42" i="15"/>
  <c r="AH9" i="10"/>
  <c r="Z6" i="10"/>
  <c r="X41" i="9"/>
  <c r="R17" i="15"/>
  <c r="T41" i="2"/>
  <c r="F61" i="6"/>
  <c r="T67" i="15"/>
  <c r="P42" i="9"/>
  <c r="P49" i="9" s="1"/>
  <c r="AG10" i="12"/>
  <c r="AH6" i="12"/>
  <c r="AB70" i="11"/>
  <c r="AB36" i="9"/>
  <c r="H17" i="13"/>
  <c r="Q17" i="15"/>
  <c r="R6" i="15"/>
  <c r="T32" i="2"/>
  <c r="I20" i="15"/>
  <c r="F39" i="6"/>
  <c r="B50" i="6"/>
  <c r="N8" i="15"/>
  <c r="AG6" i="12"/>
  <c r="P19" i="15"/>
  <c r="D44" i="2"/>
  <c r="H56" i="2"/>
  <c r="I77" i="2"/>
  <c r="G44" i="15"/>
  <c r="C49" i="6"/>
  <c r="H60" i="6"/>
  <c r="AA109" i="12"/>
  <c r="AD10" i="12"/>
  <c r="AE8" i="11"/>
  <c r="AC40" i="10"/>
  <c r="Z36" i="9"/>
  <c r="W9" i="9"/>
  <c r="T73" i="6"/>
  <c r="T62" i="6"/>
  <c r="T51" i="6"/>
  <c r="M41" i="15"/>
  <c r="O32" i="15"/>
  <c r="N16" i="6"/>
  <c r="N19" i="6" s="1"/>
  <c r="R44" i="15"/>
  <c r="AC10" i="12"/>
  <c r="AD6" i="12"/>
  <c r="Z115" i="10"/>
  <c r="AA81" i="10"/>
  <c r="AC9" i="10"/>
  <c r="AD5" i="10"/>
  <c r="Y36" i="9"/>
  <c r="S80" i="15"/>
  <c r="T40" i="6"/>
  <c r="S8" i="3"/>
  <c r="AA40" i="9"/>
  <c r="R41" i="15"/>
  <c r="AB41" i="12"/>
  <c r="Z81" i="10"/>
  <c r="AC5" i="10"/>
  <c r="AB8" i="9"/>
  <c r="R77" i="15"/>
  <c r="R62" i="6"/>
  <c r="AB9" i="12"/>
  <c r="P38" i="6"/>
  <c r="M8" i="15"/>
  <c r="B19" i="2"/>
  <c r="H77" i="15"/>
  <c r="AB70" i="9"/>
  <c r="Z79" i="10"/>
  <c r="AC41" i="12"/>
  <c r="Z41" i="12"/>
  <c r="AA8" i="11"/>
  <c r="AA114" i="10"/>
  <c r="AB80" i="10"/>
  <c r="AH12" i="10"/>
  <c r="V36" i="9"/>
  <c r="S5" i="6"/>
  <c r="F16" i="6"/>
  <c r="AC38" i="9"/>
  <c r="AB75" i="12"/>
  <c r="P60" i="6"/>
  <c r="M61" i="6"/>
  <c r="Z5" i="10"/>
  <c r="W40" i="9"/>
  <c r="P40" i="6"/>
  <c r="O61" i="6"/>
  <c r="Q115" i="12"/>
  <c r="Q132" i="12" s="1"/>
  <c r="Q18" i="6"/>
  <c r="N68" i="15"/>
  <c r="AE8" i="10"/>
  <c r="M62" i="6"/>
  <c r="N44" i="15"/>
  <c r="N32" i="15"/>
  <c r="P16" i="6"/>
  <c r="P19" i="6" s="1"/>
  <c r="O7" i="1"/>
  <c r="T79" i="15"/>
  <c r="O7" i="6"/>
  <c r="Q32" i="2"/>
  <c r="T12" i="3"/>
  <c r="V8" i="9"/>
  <c r="C25" i="16"/>
  <c r="P65" i="15"/>
  <c r="Z35" i="9"/>
  <c r="V40" i="9"/>
  <c r="AC114" i="10"/>
  <c r="AC6" i="12"/>
  <c r="T71" i="6"/>
  <c r="T72" i="6"/>
  <c r="Q15" i="12"/>
  <c r="T41" i="15"/>
  <c r="N49" i="12"/>
  <c r="AA74" i="10"/>
  <c r="Z68" i="9"/>
  <c r="M17" i="15"/>
  <c r="T18" i="6"/>
  <c r="Q83" i="12"/>
  <c r="AD9" i="10"/>
  <c r="Y68" i="9"/>
  <c r="N65" i="15"/>
  <c r="T17" i="15"/>
  <c r="AB9" i="10"/>
  <c r="Q31" i="15"/>
  <c r="AB40" i="10"/>
  <c r="P44" i="15"/>
  <c r="S18" i="15"/>
  <c r="Z8" i="9"/>
  <c r="W36" i="9"/>
  <c r="W68" i="9"/>
  <c r="AA71" i="11"/>
  <c r="M53" i="15"/>
  <c r="N41" i="15"/>
  <c r="P29" i="15"/>
  <c r="S65" i="2"/>
  <c r="AB74" i="10"/>
  <c r="AC35" i="9"/>
  <c r="AH5" i="10"/>
  <c r="Q80" i="15"/>
  <c r="Q6" i="15"/>
  <c r="V41" i="9"/>
  <c r="Q110" i="11"/>
  <c r="M31" i="15"/>
  <c r="P77" i="2"/>
  <c r="AC7" i="12"/>
  <c r="AA43" i="12"/>
  <c r="P43" i="15"/>
  <c r="R40" i="6"/>
  <c r="R30" i="15"/>
  <c r="O80" i="2"/>
  <c r="AC41" i="10"/>
  <c r="AB43" i="12"/>
  <c r="M42" i="15"/>
  <c r="Q43" i="15"/>
  <c r="R8" i="1"/>
  <c r="N71" i="6"/>
  <c r="N62" i="6"/>
  <c r="N50" i="6"/>
  <c r="N77" i="2"/>
  <c r="P42" i="2"/>
  <c r="R17" i="2"/>
  <c r="I53" i="2"/>
  <c r="F17" i="6"/>
  <c r="V5" i="9"/>
  <c r="AB6" i="10"/>
  <c r="B18" i="15"/>
  <c r="AC6" i="10"/>
  <c r="M80" i="15"/>
  <c r="P29" i="2"/>
  <c r="Q20" i="2"/>
  <c r="P17" i="15"/>
  <c r="AC112" i="10"/>
  <c r="R18" i="6"/>
  <c r="M54" i="2"/>
  <c r="P5" i="2"/>
  <c r="R14" i="3"/>
  <c r="X69" i="9"/>
  <c r="Z110" i="10"/>
  <c r="Z73" i="11"/>
  <c r="AH7" i="12"/>
  <c r="Z78" i="12"/>
  <c r="O49" i="6"/>
  <c r="O55" i="15"/>
  <c r="R72" i="9"/>
  <c r="R80" i="9" s="1"/>
  <c r="S55" i="15"/>
  <c r="R80" i="2"/>
  <c r="R68" i="2"/>
  <c r="M32" i="2"/>
  <c r="N17" i="2"/>
  <c r="B40" i="6"/>
  <c r="Z5" i="9"/>
  <c r="M18" i="2"/>
  <c r="H17" i="2"/>
  <c r="I41" i="2"/>
  <c r="C43" i="15"/>
  <c r="H51" i="6"/>
  <c r="I78" i="15"/>
  <c r="AA69" i="9"/>
  <c r="AH6" i="10"/>
  <c r="T20" i="2"/>
  <c r="D67" i="15"/>
  <c r="R65" i="15"/>
  <c r="AB79" i="12"/>
  <c r="N18" i="6"/>
  <c r="R29" i="2"/>
  <c r="S20" i="2"/>
  <c r="AB69" i="9"/>
  <c r="Z111" i="10"/>
  <c r="AE8" i="12"/>
  <c r="T17" i="3"/>
  <c r="V6" i="9"/>
  <c r="AB113" i="12"/>
  <c r="T60" i="6"/>
  <c r="AC79" i="12"/>
  <c r="P28" i="6"/>
  <c r="N31" i="2"/>
  <c r="Y38" i="9"/>
  <c r="AB65" i="9"/>
  <c r="Z112" i="10"/>
  <c r="Z75" i="11"/>
  <c r="AA46" i="12"/>
  <c r="Q17" i="6"/>
  <c r="AD11" i="10"/>
  <c r="AB44" i="10"/>
  <c r="R61" i="6"/>
  <c r="O31" i="15"/>
  <c r="S53" i="15"/>
  <c r="Q6" i="6"/>
  <c r="AH12" i="12"/>
  <c r="AC78" i="10"/>
  <c r="O5" i="3"/>
  <c r="V7" i="9"/>
  <c r="Z113" i="10"/>
  <c r="O7" i="15"/>
  <c r="P51" i="6"/>
  <c r="R42" i="15"/>
  <c r="O67" i="2"/>
  <c r="N60" i="6"/>
  <c r="AB8" i="10"/>
  <c r="O53" i="15"/>
  <c r="AC38" i="11"/>
  <c r="D7" i="6"/>
  <c r="I18" i="6"/>
  <c r="E32" i="15"/>
  <c r="B67" i="15"/>
  <c r="AG11" i="11"/>
  <c r="Z69" i="11"/>
  <c r="AC107" i="12"/>
  <c r="P115" i="12"/>
  <c r="T65" i="15"/>
  <c r="R18" i="15"/>
  <c r="Y39" i="9"/>
  <c r="AC113" i="10"/>
  <c r="Z108" i="12"/>
  <c r="N17" i="6"/>
  <c r="S66" i="15"/>
  <c r="S66" i="2"/>
  <c r="R20" i="15"/>
  <c r="AC42" i="12"/>
  <c r="AH10" i="12"/>
  <c r="AA5" i="11"/>
  <c r="R66" i="15"/>
  <c r="AD12" i="10"/>
  <c r="R51" i="6"/>
  <c r="R49" i="6"/>
  <c r="R53" i="15"/>
  <c r="R54" i="15"/>
  <c r="Q42" i="15"/>
  <c r="Q41" i="15"/>
  <c r="Z112" i="12"/>
  <c r="Z109" i="12"/>
  <c r="C67" i="16"/>
  <c r="M67" i="16" s="1"/>
  <c r="R8" i="15"/>
  <c r="R7" i="6"/>
  <c r="N6" i="6"/>
  <c r="N5" i="15"/>
  <c r="N7" i="15"/>
  <c r="N6" i="15"/>
  <c r="N5" i="6"/>
  <c r="S7" i="15"/>
  <c r="S6" i="6"/>
  <c r="O5" i="6"/>
  <c r="O8" i="6" s="1"/>
  <c r="O5" i="15"/>
  <c r="Q78" i="2"/>
  <c r="Q80" i="2"/>
  <c r="S42" i="2"/>
  <c r="S44" i="2"/>
  <c r="C66" i="16"/>
  <c r="M11" i="3"/>
  <c r="N51" i="6"/>
  <c r="R68" i="15"/>
  <c r="R50" i="6"/>
  <c r="N14" i="11"/>
  <c r="N78" i="11"/>
  <c r="C18" i="16"/>
  <c r="Y66" i="9"/>
  <c r="X65" i="9"/>
  <c r="AA41" i="9"/>
  <c r="S32" i="15"/>
  <c r="O29" i="6"/>
  <c r="S5" i="15"/>
  <c r="M79" i="2"/>
  <c r="M77" i="2"/>
  <c r="O30" i="2"/>
  <c r="T19" i="2"/>
  <c r="P19" i="2"/>
  <c r="T17" i="2"/>
  <c r="U18" i="2"/>
  <c r="S7" i="3"/>
  <c r="T11" i="3"/>
  <c r="Q8" i="1"/>
  <c r="E67" i="2"/>
  <c r="U65" i="2"/>
  <c r="H8" i="13"/>
  <c r="D8" i="1"/>
  <c r="H5" i="2"/>
  <c r="I55" i="15"/>
  <c r="G55" i="15"/>
  <c r="H16" i="13"/>
  <c r="Q44" i="15"/>
  <c r="Q40" i="6"/>
  <c r="N110" i="11"/>
  <c r="N117" i="12"/>
  <c r="AD15" i="10"/>
  <c r="R14" i="11"/>
  <c r="Q62" i="6"/>
  <c r="Q68" i="15"/>
  <c r="Q67" i="15"/>
  <c r="Q61" i="6"/>
  <c r="Q60" i="6"/>
  <c r="Q65" i="15"/>
  <c r="M60" i="6"/>
  <c r="M66" i="15"/>
  <c r="M65" i="15"/>
  <c r="N66" i="2"/>
  <c r="N68" i="2"/>
  <c r="M38" i="6"/>
  <c r="O54" i="15"/>
  <c r="R67" i="15"/>
  <c r="Z80" i="12"/>
  <c r="N49" i="6"/>
  <c r="N54" i="15"/>
  <c r="S50" i="6"/>
  <c r="Q38" i="6"/>
  <c r="N46" i="11"/>
  <c r="C22" i="16"/>
  <c r="AC5" i="11"/>
  <c r="Q116" i="10"/>
  <c r="Q126" i="10" s="1"/>
  <c r="Q72" i="6"/>
  <c r="M67" i="15"/>
  <c r="S7" i="6"/>
  <c r="O8" i="15"/>
  <c r="R66" i="2"/>
  <c r="N65" i="2"/>
  <c r="M20" i="2"/>
  <c r="O42" i="9"/>
  <c r="O52" i="9" s="1"/>
  <c r="Y35" i="9"/>
  <c r="S49" i="6"/>
  <c r="S54" i="15"/>
  <c r="M44" i="15"/>
  <c r="M40" i="6"/>
  <c r="M39" i="6"/>
  <c r="M43" i="15"/>
  <c r="P17" i="3"/>
  <c r="P7" i="3"/>
  <c r="Z107" i="12"/>
  <c r="N115" i="12"/>
  <c r="N131" i="12" s="1"/>
  <c r="AC69" i="9"/>
  <c r="AB66" i="9"/>
  <c r="R28" i="6"/>
  <c r="R32" i="15"/>
  <c r="R29" i="6"/>
  <c r="N30" i="15"/>
  <c r="N27" i="6"/>
  <c r="S31" i="15"/>
  <c r="S28" i="6"/>
  <c r="O27" i="6"/>
  <c r="O29" i="15"/>
  <c r="Q18" i="15"/>
  <c r="Q20" i="15"/>
  <c r="M18" i="15"/>
  <c r="M18" i="6"/>
  <c r="M19" i="15"/>
  <c r="M17" i="6"/>
  <c r="I32" i="2"/>
  <c r="I29" i="2"/>
  <c r="B42" i="15"/>
  <c r="B43" i="15"/>
  <c r="I51" i="6"/>
  <c r="I50" i="6"/>
  <c r="E83" i="12"/>
  <c r="E78" i="11"/>
  <c r="AC78" i="11" s="1"/>
  <c r="S6" i="2"/>
  <c r="N67" i="15"/>
  <c r="Z110" i="12"/>
  <c r="Z71" i="9"/>
  <c r="V71" i="9"/>
  <c r="V35" i="9"/>
  <c r="AA8" i="9"/>
  <c r="T55" i="15"/>
  <c r="S30" i="15"/>
  <c r="R17" i="3"/>
  <c r="N5" i="3"/>
  <c r="Q5" i="1"/>
  <c r="AG5" i="11"/>
  <c r="AD77" i="12"/>
  <c r="Z76" i="12"/>
  <c r="AC103" i="11"/>
  <c r="AD72" i="11"/>
  <c r="AB7" i="11"/>
  <c r="AA75" i="10"/>
  <c r="V67" i="9"/>
  <c r="V11" i="9"/>
  <c r="R12" i="9"/>
  <c r="R20" i="9" s="1"/>
  <c r="G22" i="13"/>
  <c r="S51" i="6"/>
  <c r="N80" i="2"/>
  <c r="N6" i="3"/>
  <c r="Y67" i="9"/>
  <c r="AB115" i="10"/>
  <c r="AA42" i="11"/>
  <c r="N40" i="6"/>
  <c r="M29" i="15"/>
  <c r="M7" i="15"/>
  <c r="N20" i="15"/>
  <c r="S8" i="15"/>
  <c r="R19" i="15"/>
  <c r="S40" i="11"/>
  <c r="N108" i="11"/>
  <c r="N119" i="11" s="1"/>
  <c r="P110" i="11"/>
  <c r="N20" i="2"/>
  <c r="M30" i="2"/>
  <c r="AC84" i="10"/>
  <c r="AC50" i="10"/>
  <c r="Z79" i="12"/>
  <c r="AB45" i="12"/>
  <c r="AG11" i="12"/>
  <c r="AD8" i="11"/>
  <c r="Z8" i="11"/>
  <c r="AA6" i="11"/>
  <c r="AC81" i="10"/>
  <c r="AC42" i="10"/>
  <c r="Z41" i="10"/>
  <c r="AE11" i="10"/>
  <c r="AB38" i="9"/>
  <c r="X37" i="9"/>
  <c r="Q42" i="2"/>
  <c r="R43" i="2"/>
  <c r="Q8" i="2"/>
  <c r="T6" i="1"/>
  <c r="T5" i="1"/>
  <c r="U55" i="2"/>
  <c r="U72" i="6"/>
  <c r="G8" i="13"/>
  <c r="H5" i="13"/>
  <c r="F8" i="1"/>
  <c r="E5" i="3"/>
  <c r="F17" i="3"/>
  <c r="D7" i="2"/>
  <c r="H7" i="2"/>
  <c r="C5" i="2"/>
  <c r="E8" i="2"/>
  <c r="I8" i="2"/>
  <c r="W35" i="9"/>
  <c r="AA35" i="9"/>
  <c r="Y37" i="9"/>
  <c r="AB68" i="9"/>
  <c r="AA42" i="10"/>
  <c r="Z44" i="10"/>
  <c r="AB75" i="10"/>
  <c r="AC79" i="10"/>
  <c r="AC6" i="11"/>
  <c r="AA37" i="11"/>
  <c r="AB71" i="11"/>
  <c r="AA72" i="11"/>
  <c r="Z77" i="12"/>
  <c r="AB40" i="12"/>
  <c r="AC5" i="12"/>
  <c r="AC104" i="11"/>
  <c r="Z72" i="11"/>
  <c r="AA70" i="11"/>
  <c r="AG7" i="11"/>
  <c r="Z67" i="9"/>
  <c r="Z11" i="9"/>
  <c r="Y10" i="9"/>
  <c r="X9" i="9"/>
  <c r="O51" i="6"/>
  <c r="S68" i="2"/>
  <c r="R15" i="3"/>
  <c r="R13" i="3"/>
  <c r="R7" i="3"/>
  <c r="X66" i="9"/>
  <c r="AB114" i="10"/>
  <c r="AB5" i="11"/>
  <c r="AA42" i="12"/>
  <c r="AC77" i="12"/>
  <c r="O12" i="9"/>
  <c r="O23" i="9" s="1"/>
  <c r="O56" i="15"/>
  <c r="AA50" i="10"/>
  <c r="AB84" i="10"/>
  <c r="Q81" i="12"/>
  <c r="Q98" i="12" s="1"/>
  <c r="AB47" i="10"/>
  <c r="S46" i="10"/>
  <c r="O72" i="9"/>
  <c r="O86" i="9" s="1"/>
  <c r="Y40" i="9"/>
  <c r="X39" i="9"/>
  <c r="S72" i="6"/>
  <c r="S73" i="6"/>
  <c r="O73" i="6"/>
  <c r="O80" i="15"/>
  <c r="S67" i="15"/>
  <c r="O67" i="15"/>
  <c r="T50" i="6"/>
  <c r="P56" i="15"/>
  <c r="U49" i="6"/>
  <c r="Q55" i="15"/>
  <c r="M55" i="15"/>
  <c r="R55" i="15"/>
  <c r="N53" i="15"/>
  <c r="S44" i="15"/>
  <c r="O44" i="15"/>
  <c r="S43" i="15"/>
  <c r="O43" i="15"/>
  <c r="S38" i="6"/>
  <c r="T29" i="15"/>
  <c r="P32" i="15"/>
  <c r="Q32" i="15"/>
  <c r="M32" i="15"/>
  <c r="R31" i="15"/>
  <c r="N31" i="15"/>
  <c r="S17" i="6"/>
  <c r="O16" i="6"/>
  <c r="O19" i="6" s="1"/>
  <c r="T7" i="15"/>
  <c r="P5" i="15"/>
  <c r="Q7" i="6"/>
  <c r="M7" i="6"/>
  <c r="R5" i="15"/>
  <c r="S80" i="2"/>
  <c r="S79" i="2"/>
  <c r="O79" i="2"/>
  <c r="S78" i="2"/>
  <c r="O78" i="2"/>
  <c r="T68" i="2"/>
  <c r="P68" i="2"/>
  <c r="T67" i="2"/>
  <c r="T65" i="2"/>
  <c r="P66" i="2"/>
  <c r="Q66" i="2"/>
  <c r="M65" i="2"/>
  <c r="R55" i="2"/>
  <c r="O44" i="2"/>
  <c r="R20" i="2"/>
  <c r="O11" i="3"/>
  <c r="S13" i="3"/>
  <c r="O10" i="3"/>
  <c r="T8" i="3"/>
  <c r="T7" i="3"/>
  <c r="T5" i="3"/>
  <c r="P11" i="3"/>
  <c r="Q8" i="3"/>
  <c r="R6" i="1"/>
  <c r="S5" i="1"/>
  <c r="O8" i="1"/>
  <c r="D78" i="11"/>
  <c r="J17" i="6"/>
  <c r="B39" i="6"/>
  <c r="C73" i="6"/>
  <c r="G77" i="15"/>
  <c r="C6" i="13"/>
  <c r="Y8" i="9"/>
  <c r="AB71" i="9"/>
  <c r="AD10" i="10"/>
  <c r="AG12" i="10"/>
  <c r="AC75" i="10"/>
  <c r="AB76" i="10"/>
  <c r="AA77" i="10"/>
  <c r="AD6" i="11"/>
  <c r="AC8" i="11"/>
  <c r="Z43" i="11"/>
  <c r="AC70" i="11"/>
  <c r="AB109" i="12"/>
  <c r="AB112" i="12"/>
  <c r="S72" i="9"/>
  <c r="S80" i="9" s="1"/>
  <c r="AD77" i="10"/>
  <c r="AD81" i="10"/>
  <c r="G18" i="13"/>
  <c r="H22" i="13"/>
  <c r="AB12" i="12"/>
  <c r="AA8" i="12"/>
  <c r="O13" i="12"/>
  <c r="O25" i="12" s="1"/>
  <c r="AB6" i="12"/>
  <c r="P13" i="12"/>
  <c r="P30" i="12" s="1"/>
  <c r="AA84" i="10"/>
  <c r="O78" i="11"/>
  <c r="AA78" i="11" s="1"/>
  <c r="R84" i="10"/>
  <c r="R83" i="12" s="1"/>
  <c r="S15" i="12"/>
  <c r="S14" i="11"/>
  <c r="C23" i="16"/>
  <c r="O14" i="11"/>
  <c r="AA14" i="11" s="1"/>
  <c r="O15" i="12"/>
  <c r="C19" i="16"/>
  <c r="AA112" i="12"/>
  <c r="AA111" i="12"/>
  <c r="O115" i="12"/>
  <c r="O130" i="12" s="1"/>
  <c r="AA107" i="12"/>
  <c r="AA75" i="12"/>
  <c r="O81" i="12"/>
  <c r="O94" i="12" s="1"/>
  <c r="P81" i="12"/>
  <c r="P94" i="12" s="1"/>
  <c r="AB74" i="12"/>
  <c r="AC106" i="11"/>
  <c r="AC105" i="11"/>
  <c r="AC102" i="11"/>
  <c r="Q108" i="11"/>
  <c r="Q123" i="11" s="1"/>
  <c r="AC101" i="11"/>
  <c r="AC42" i="11"/>
  <c r="S42" i="11"/>
  <c r="S41" i="11"/>
  <c r="Z41" i="11"/>
  <c r="AM10" i="10"/>
  <c r="C38" i="16"/>
  <c r="M68" i="16" s="1"/>
  <c r="AC70" i="9"/>
  <c r="AI5" i="12"/>
  <c r="C63" i="16"/>
  <c r="R81" i="12"/>
  <c r="R97" i="12" s="1"/>
  <c r="AD73" i="12"/>
  <c r="D70" i="16"/>
  <c r="E70" i="16" s="1"/>
  <c r="AI12" i="12"/>
  <c r="S68" i="15"/>
  <c r="M49" i="6"/>
  <c r="O42" i="15"/>
  <c r="S18" i="6"/>
  <c r="O5" i="2"/>
  <c r="M13" i="3"/>
  <c r="G56" i="2"/>
  <c r="S17" i="15"/>
  <c r="S41" i="15"/>
  <c r="S65" i="15"/>
  <c r="G7" i="13"/>
  <c r="H21" i="13"/>
  <c r="P5" i="6"/>
  <c r="P8" i="6" s="1"/>
  <c r="T5" i="6"/>
  <c r="T8" i="6" s="1"/>
  <c r="P7" i="6"/>
  <c r="T7" i="6"/>
  <c r="P20" i="15"/>
  <c r="P27" i="6"/>
  <c r="T27" i="6"/>
  <c r="P29" i="6"/>
  <c r="T29" i="6"/>
  <c r="O39" i="6"/>
  <c r="S39" i="6"/>
  <c r="P49" i="6"/>
  <c r="T49" i="6"/>
  <c r="Q50" i="6"/>
  <c r="T56" i="15"/>
  <c r="P66" i="15"/>
  <c r="T66" i="15"/>
  <c r="P68" i="15"/>
  <c r="T68" i="15"/>
  <c r="AC46" i="10"/>
  <c r="T5" i="15"/>
  <c r="N29" i="15"/>
  <c r="P53" i="15"/>
  <c r="H7" i="13"/>
  <c r="H20" i="13"/>
  <c r="P6" i="6"/>
  <c r="T6" i="6"/>
  <c r="T19" i="15"/>
  <c r="P31" i="15"/>
  <c r="T31" i="15"/>
  <c r="O38" i="6"/>
  <c r="T43" i="15"/>
  <c r="O40" i="6"/>
  <c r="M54" i="15"/>
  <c r="O71" i="6"/>
  <c r="N12" i="9"/>
  <c r="N19" i="9" s="1"/>
  <c r="S8" i="1"/>
  <c r="O8" i="2"/>
  <c r="P32" i="2"/>
  <c r="O17" i="3"/>
  <c r="M66" i="2"/>
  <c r="T77" i="2"/>
  <c r="Q68" i="2"/>
  <c r="Q65" i="2"/>
  <c r="T66" i="2"/>
  <c r="O77" i="2"/>
  <c r="O5" i="1"/>
  <c r="M5" i="3"/>
  <c r="M7" i="3"/>
  <c r="S9" i="3"/>
  <c r="R12" i="3"/>
  <c r="P14" i="3"/>
  <c r="P31" i="2"/>
  <c r="R53" i="2"/>
  <c r="T79" i="2"/>
  <c r="T7" i="1"/>
  <c r="Q6" i="3"/>
  <c r="S14" i="3"/>
  <c r="R44" i="2"/>
  <c r="AB110" i="12"/>
  <c r="N81" i="12"/>
  <c r="N94" i="12" s="1"/>
  <c r="AB39" i="12"/>
  <c r="AC12" i="12"/>
  <c r="P78" i="2"/>
  <c r="Q77" i="2"/>
  <c r="S55" i="2"/>
  <c r="O56" i="2"/>
  <c r="P55" i="2"/>
  <c r="U53" i="2"/>
  <c r="Q56" i="2"/>
  <c r="M56" i="2"/>
  <c r="S12" i="3"/>
  <c r="O12" i="3"/>
  <c r="P10" i="3"/>
  <c r="M9" i="3"/>
  <c r="F20" i="15"/>
  <c r="I16" i="6"/>
  <c r="I27" i="6"/>
  <c r="B44" i="15"/>
  <c r="E50" i="6"/>
  <c r="I53" i="15"/>
  <c r="G43" i="12"/>
  <c r="E49" i="6"/>
  <c r="U20" i="2"/>
  <c r="U44" i="2"/>
  <c r="U68" i="2"/>
  <c r="J5" i="2"/>
  <c r="D8" i="2"/>
  <c r="B32" i="2"/>
  <c r="E65" i="2"/>
  <c r="E17" i="15"/>
  <c r="C19" i="15"/>
  <c r="B18" i="6"/>
  <c r="H27" i="6"/>
  <c r="F40" i="6"/>
  <c r="X8" i="9"/>
  <c r="AB67" i="9"/>
  <c r="AH10" i="10"/>
  <c r="Z74" i="11"/>
  <c r="AC75" i="11"/>
  <c r="P116" i="10"/>
  <c r="P125" i="10" s="1"/>
  <c r="S42" i="9"/>
  <c r="S51" i="9" s="1"/>
  <c r="S78" i="15"/>
  <c r="O68" i="15"/>
  <c r="Q49" i="6"/>
  <c r="O17" i="6"/>
  <c r="O6" i="2"/>
  <c r="N14" i="3"/>
  <c r="P6" i="3"/>
  <c r="Q5" i="15"/>
  <c r="Q29" i="15"/>
  <c r="Q53" i="15"/>
  <c r="H6" i="13"/>
  <c r="H19" i="13"/>
  <c r="P6" i="15"/>
  <c r="T6" i="15"/>
  <c r="P8" i="15"/>
  <c r="T8" i="15"/>
  <c r="P18" i="15"/>
  <c r="T18" i="15"/>
  <c r="O19" i="15"/>
  <c r="T20" i="15"/>
  <c r="P30" i="15"/>
  <c r="T30" i="15"/>
  <c r="T32" i="15"/>
  <c r="P42" i="15"/>
  <c r="T42" i="15"/>
  <c r="T44" i="15"/>
  <c r="P54" i="15"/>
  <c r="T54" i="15"/>
  <c r="N56" i="15"/>
  <c r="Y65" i="9"/>
  <c r="G6" i="13"/>
  <c r="H18" i="13"/>
  <c r="P7" i="15"/>
  <c r="M27" i="6"/>
  <c r="Q27" i="6"/>
  <c r="M29" i="6"/>
  <c r="Q29" i="6"/>
  <c r="S40" i="6"/>
  <c r="Q54" i="15"/>
  <c r="P55" i="15"/>
  <c r="M51" i="6"/>
  <c r="AB5" i="9"/>
  <c r="L72" i="9"/>
  <c r="L80" i="9" s="1"/>
  <c r="P72" i="9"/>
  <c r="P83" i="9" s="1"/>
  <c r="N32" i="2"/>
  <c r="Q44" i="2"/>
  <c r="M17" i="3"/>
  <c r="O32" i="2"/>
  <c r="T80" i="2"/>
  <c r="S7" i="1"/>
  <c r="T6" i="3"/>
  <c r="N12" i="3"/>
  <c r="T16" i="3"/>
  <c r="Q18" i="2"/>
  <c r="O6" i="1"/>
  <c r="M6" i="3"/>
  <c r="T13" i="3"/>
  <c r="AC80" i="12"/>
  <c r="AC40" i="11"/>
  <c r="AC11" i="10"/>
  <c r="AE9" i="10"/>
  <c r="AA9" i="10"/>
  <c r="V9" i="9"/>
  <c r="M6" i="2"/>
  <c r="Q11" i="3"/>
  <c r="Q10" i="3"/>
  <c r="R10" i="3"/>
  <c r="N9" i="3"/>
  <c r="R5" i="3"/>
  <c r="N16" i="3"/>
  <c r="P5" i="1"/>
  <c r="Q6" i="1"/>
  <c r="M7" i="1"/>
  <c r="N7" i="1"/>
  <c r="R7" i="1"/>
  <c r="N8" i="1"/>
  <c r="F51" i="10"/>
  <c r="AD51" i="10" s="1"/>
  <c r="D5" i="2"/>
  <c r="I17" i="6"/>
  <c r="E54" i="15"/>
  <c r="I54" i="15"/>
  <c r="H65" i="15"/>
  <c r="I73" i="6"/>
  <c r="G6" i="15"/>
  <c r="U13" i="3"/>
  <c r="E68" i="2"/>
  <c r="D77" i="2"/>
  <c r="B77" i="2"/>
  <c r="F79" i="2"/>
  <c r="E5" i="6"/>
  <c r="H17" i="15"/>
  <c r="C16" i="6"/>
  <c r="G18" i="15"/>
  <c r="B20" i="15"/>
  <c r="F18" i="15"/>
  <c r="E18" i="6"/>
  <c r="C29" i="6"/>
  <c r="G31" i="15"/>
  <c r="F42" i="15"/>
  <c r="C53" i="15"/>
  <c r="E56" i="15"/>
  <c r="D79" i="15"/>
  <c r="H78" i="15"/>
  <c r="F77" i="15"/>
  <c r="D80" i="15"/>
  <c r="H73" i="6"/>
  <c r="AB37" i="9"/>
  <c r="R42" i="9"/>
  <c r="R56" i="9" s="1"/>
  <c r="O78" i="15"/>
  <c r="S42" i="15"/>
  <c r="O18" i="6"/>
  <c r="Q5" i="3"/>
  <c r="B13" i="10"/>
  <c r="B48" i="16" s="1"/>
  <c r="O17" i="15"/>
  <c r="O41" i="15"/>
  <c r="O65" i="15"/>
  <c r="G5" i="13"/>
  <c r="S19" i="15"/>
  <c r="R56" i="15"/>
  <c r="AC40" i="9"/>
  <c r="AM6" i="10"/>
  <c r="R29" i="15"/>
  <c r="T53" i="15"/>
  <c r="G17" i="13"/>
  <c r="M6" i="15"/>
  <c r="Q5" i="6"/>
  <c r="O18" i="15"/>
  <c r="S16" i="6"/>
  <c r="M30" i="15"/>
  <c r="Q30" i="15"/>
  <c r="O60" i="6"/>
  <c r="S60" i="6"/>
  <c r="S71" i="6"/>
  <c r="T8" i="1"/>
  <c r="Q67" i="2"/>
  <c r="R8" i="3"/>
  <c r="Q13" i="3"/>
  <c r="Q15" i="3"/>
  <c r="M10" i="3"/>
  <c r="AC76" i="12"/>
  <c r="AD75" i="12"/>
  <c r="S13" i="12"/>
  <c r="S23" i="12" s="1"/>
  <c r="U13" i="12"/>
  <c r="U24" i="12" s="1"/>
  <c r="AA74" i="11"/>
  <c r="Q76" i="11"/>
  <c r="Q86" i="11" s="1"/>
  <c r="R76" i="11"/>
  <c r="R86" i="11" s="1"/>
  <c r="AH8" i="11"/>
  <c r="AC80" i="10"/>
  <c r="Z75" i="10"/>
  <c r="N82" i="10"/>
  <c r="N93" i="10" s="1"/>
  <c r="AA43" i="10"/>
  <c r="AG7" i="10"/>
  <c r="N42" i="9"/>
  <c r="N54" i="9" s="1"/>
  <c r="U80" i="15"/>
  <c r="R79" i="15"/>
  <c r="N79" i="15"/>
  <c r="R73" i="6"/>
  <c r="N77" i="15"/>
  <c r="P50" i="6"/>
  <c r="R43" i="15"/>
  <c r="N43" i="15"/>
  <c r="N17" i="15"/>
  <c r="S20" i="15"/>
  <c r="O20" i="15"/>
  <c r="R77" i="2"/>
  <c r="S77" i="2"/>
  <c r="S67" i="2"/>
  <c r="O66" i="2"/>
  <c r="P65" i="2"/>
  <c r="P43" i="2"/>
  <c r="P41" i="2"/>
  <c r="Q41" i="2"/>
  <c r="M44" i="2"/>
  <c r="S17" i="2"/>
  <c r="P20" i="2"/>
  <c r="U8" i="2"/>
  <c r="R7" i="2"/>
  <c r="N7" i="2"/>
  <c r="N5" i="2"/>
  <c r="P16" i="3"/>
  <c r="M15" i="3"/>
  <c r="M14" i="3"/>
  <c r="S5" i="3"/>
  <c r="O8" i="3"/>
  <c r="O7" i="3"/>
  <c r="S6" i="3"/>
  <c r="P9" i="3"/>
  <c r="AD61" i="10"/>
  <c r="O108" i="11"/>
  <c r="O123" i="11" s="1"/>
  <c r="E7" i="2"/>
  <c r="D43" i="2"/>
  <c r="I56" i="15"/>
  <c r="H20" i="2"/>
  <c r="F77" i="2"/>
  <c r="C5" i="15"/>
  <c r="E19" i="15"/>
  <c r="F41" i="15"/>
  <c r="D44" i="15"/>
  <c r="E72" i="6"/>
  <c r="B6" i="13"/>
  <c r="C12" i="9"/>
  <c r="C79" i="9" s="1"/>
  <c r="AH8" i="10"/>
  <c r="AB118" i="10"/>
  <c r="AA118" i="10"/>
  <c r="P117" i="12"/>
  <c r="O83" i="12"/>
  <c r="P78" i="11"/>
  <c r="S50" i="10"/>
  <c r="O46" i="11"/>
  <c r="P46" i="11"/>
  <c r="Q46" i="11"/>
  <c r="P14" i="11"/>
  <c r="AG15" i="10"/>
  <c r="U14" i="11"/>
  <c r="W15" i="10"/>
  <c r="AA15" i="10"/>
  <c r="C20" i="16"/>
  <c r="C21" i="16"/>
  <c r="V15" i="12"/>
  <c r="AB15" i="10"/>
  <c r="C24" i="16"/>
  <c r="AB111" i="12"/>
  <c r="Z111" i="12"/>
  <c r="Z113" i="12"/>
  <c r="Z75" i="12"/>
  <c r="AD79" i="12"/>
  <c r="AD78" i="12"/>
  <c r="AC73" i="12"/>
  <c r="AC8" i="12"/>
  <c r="AI6" i="12"/>
  <c r="AB7" i="12"/>
  <c r="AE6" i="12"/>
  <c r="AD7" i="12"/>
  <c r="AB103" i="11"/>
  <c r="AB105" i="11"/>
  <c r="Z105" i="11"/>
  <c r="Z107" i="11"/>
  <c r="AC69" i="11"/>
  <c r="AD70" i="11"/>
  <c r="AB74" i="11"/>
  <c r="Z38" i="11"/>
  <c r="Z42" i="11"/>
  <c r="AB42" i="11"/>
  <c r="AB109" i="10"/>
  <c r="AB111" i="10"/>
  <c r="AB112" i="10"/>
  <c r="AA80" i="10"/>
  <c r="AD78" i="10"/>
  <c r="AA40" i="10"/>
  <c r="Z42" i="10"/>
  <c r="AB46" i="10"/>
  <c r="AC7" i="10"/>
  <c r="Q13" i="10"/>
  <c r="AM5" i="10"/>
  <c r="AI5" i="10"/>
  <c r="C33" i="16"/>
  <c r="W13" i="10"/>
  <c r="W26" i="10" s="1"/>
  <c r="AM8" i="10"/>
  <c r="C36" i="16"/>
  <c r="AM12" i="10"/>
  <c r="C40" i="16"/>
  <c r="AI12" i="10"/>
  <c r="Z10" i="10"/>
  <c r="N13" i="10"/>
  <c r="P13" i="10"/>
  <c r="M42" i="24" s="1"/>
  <c r="AB7" i="10"/>
  <c r="AB12" i="10"/>
  <c r="AE6" i="10"/>
  <c r="AA8" i="10"/>
  <c r="AC8" i="10"/>
  <c r="AA10" i="10"/>
  <c r="Z69" i="9"/>
  <c r="AC67" i="9"/>
  <c r="Z66" i="9"/>
  <c r="AC68" i="9"/>
  <c r="X36" i="9"/>
  <c r="AC36" i="9"/>
  <c r="X38" i="9"/>
  <c r="AB39" i="9"/>
  <c r="X40" i="9"/>
  <c r="AB40" i="9"/>
  <c r="AB35" i="9"/>
  <c r="AC37" i="9"/>
  <c r="AC41" i="9"/>
  <c r="AC6" i="9"/>
  <c r="S12" i="9"/>
  <c r="S20" i="9" s="1"/>
  <c r="Z9" i="9"/>
  <c r="AC9" i="9"/>
  <c r="AC5" i="9"/>
  <c r="AB6" i="9"/>
  <c r="AC10" i="9"/>
  <c r="AB9" i="9"/>
  <c r="AC7" i="9"/>
  <c r="X11" i="9"/>
  <c r="G16" i="13"/>
  <c r="G20" i="13"/>
  <c r="G19" i="13"/>
  <c r="U79" i="15"/>
  <c r="U78" i="15"/>
  <c r="U77" i="15"/>
  <c r="O77" i="15"/>
  <c r="O79" i="15"/>
  <c r="S79" i="15"/>
  <c r="N80" i="15"/>
  <c r="R80" i="15"/>
  <c r="M71" i="6"/>
  <c r="Q71" i="6"/>
  <c r="U71" i="6"/>
  <c r="S77" i="15"/>
  <c r="N78" i="15"/>
  <c r="R78" i="15"/>
  <c r="M79" i="15"/>
  <c r="Q79" i="15"/>
  <c r="N72" i="6"/>
  <c r="R72" i="6"/>
  <c r="M73" i="6"/>
  <c r="Q73" i="6"/>
  <c r="U73" i="6"/>
  <c r="Q77" i="15"/>
  <c r="N73" i="6"/>
  <c r="U66" i="15"/>
  <c r="U60" i="6"/>
  <c r="U67" i="15"/>
  <c r="U65" i="15"/>
  <c r="U61" i="6"/>
  <c r="U68" i="15"/>
  <c r="U62" i="6"/>
  <c r="O62" i="6"/>
  <c r="S62" i="6"/>
  <c r="U53" i="15"/>
  <c r="U56" i="15"/>
  <c r="U50" i="6"/>
  <c r="U51" i="6"/>
  <c r="U54" i="15"/>
  <c r="N55" i="15"/>
  <c r="M56" i="15"/>
  <c r="Q56" i="15"/>
  <c r="U55" i="15"/>
  <c r="U39" i="6"/>
  <c r="U40" i="6"/>
  <c r="U41" i="15"/>
  <c r="U42" i="15"/>
  <c r="U38" i="6"/>
  <c r="U43" i="15"/>
  <c r="U44" i="15"/>
  <c r="U29" i="6"/>
  <c r="U31" i="15"/>
  <c r="U30" i="15"/>
  <c r="U28" i="6"/>
  <c r="U27" i="6"/>
  <c r="U29" i="15"/>
  <c r="U32" i="15"/>
  <c r="U18" i="15"/>
  <c r="U17" i="15"/>
  <c r="U16" i="6"/>
  <c r="U19" i="15"/>
  <c r="U17" i="6"/>
  <c r="U20" i="15"/>
  <c r="U18" i="6"/>
  <c r="U5" i="6"/>
  <c r="U8" i="15"/>
  <c r="U7" i="6"/>
  <c r="U7" i="15"/>
  <c r="U5" i="15"/>
  <c r="U6" i="15"/>
  <c r="U6" i="6"/>
  <c r="U77" i="2"/>
  <c r="U78" i="2"/>
  <c r="U79" i="2"/>
  <c r="U80" i="2"/>
  <c r="R78" i="2"/>
  <c r="Q79" i="2"/>
  <c r="U67" i="2"/>
  <c r="U66" i="2"/>
  <c r="R65" i="2"/>
  <c r="M68" i="2"/>
  <c r="O65" i="2"/>
  <c r="M67" i="2"/>
  <c r="R67" i="2"/>
  <c r="U54" i="2"/>
  <c r="U56" i="2"/>
  <c r="S54" i="2"/>
  <c r="S56" i="2"/>
  <c r="S53" i="2"/>
  <c r="Q55" i="2"/>
  <c r="U32" i="2"/>
  <c r="U29" i="2"/>
  <c r="U30" i="2"/>
  <c r="M29" i="2"/>
  <c r="U7" i="2"/>
  <c r="U6" i="2"/>
  <c r="U5" i="3"/>
  <c r="U17" i="3"/>
  <c r="U14" i="3"/>
  <c r="U15" i="3"/>
  <c r="U9" i="3"/>
  <c r="U7" i="3"/>
  <c r="U6" i="3"/>
  <c r="U12" i="3"/>
  <c r="U11" i="3"/>
  <c r="S17" i="3"/>
  <c r="R6" i="3"/>
  <c r="Q7" i="3"/>
  <c r="P8" i="3"/>
  <c r="Q9" i="3"/>
  <c r="O15" i="3"/>
  <c r="N11" i="3"/>
  <c r="N17" i="3"/>
  <c r="Q17" i="3"/>
  <c r="N8" i="3"/>
  <c r="P8" i="1"/>
  <c r="P6" i="1"/>
  <c r="M8" i="1"/>
  <c r="M5" i="1"/>
  <c r="N6" i="1"/>
  <c r="J14" i="11"/>
  <c r="AH14" i="11" s="1"/>
  <c r="AH15" i="10"/>
  <c r="B19" i="16"/>
  <c r="C15" i="12"/>
  <c r="G43" i="11"/>
  <c r="AC47" i="10"/>
  <c r="AB41" i="10"/>
  <c r="AI6" i="10"/>
  <c r="AA71" i="9"/>
  <c r="AA67" i="9"/>
  <c r="AA65" i="9"/>
  <c r="F71" i="6"/>
  <c r="E51" i="6"/>
  <c r="D49" i="6"/>
  <c r="E53" i="15"/>
  <c r="B38" i="6"/>
  <c r="F38" i="6"/>
  <c r="F43" i="15"/>
  <c r="C28" i="6"/>
  <c r="B27" i="6"/>
  <c r="C32" i="15"/>
  <c r="B17" i="15"/>
  <c r="F17" i="15"/>
  <c r="B19" i="15"/>
  <c r="B17" i="6"/>
  <c r="E18" i="15"/>
  <c r="F18" i="6"/>
  <c r="E16" i="6"/>
  <c r="E17" i="6"/>
  <c r="C77" i="2"/>
  <c r="G77" i="2"/>
  <c r="F80" i="2"/>
  <c r="E79" i="2"/>
  <c r="D80" i="2"/>
  <c r="D66" i="2"/>
  <c r="F54" i="2"/>
  <c r="D42" i="2"/>
  <c r="F29" i="2"/>
  <c r="D19" i="2"/>
  <c r="H8" i="2"/>
  <c r="B13" i="3"/>
  <c r="G6" i="3"/>
  <c r="E7" i="1"/>
  <c r="D6" i="1"/>
  <c r="G5" i="1"/>
  <c r="F7" i="1"/>
  <c r="J7" i="1"/>
  <c r="C8" i="1"/>
  <c r="AB43" i="11"/>
  <c r="P44" i="11"/>
  <c r="P56" i="11" s="1"/>
  <c r="J7" i="6"/>
  <c r="J5" i="6"/>
  <c r="E15" i="12"/>
  <c r="B21" i="16"/>
  <c r="E14" i="11"/>
  <c r="AC14" i="11" s="1"/>
  <c r="AC15" i="10"/>
  <c r="U7" i="1"/>
  <c r="U8" i="1"/>
  <c r="U6" i="1"/>
  <c r="U5" i="1"/>
  <c r="G15" i="12"/>
  <c r="B23" i="16"/>
  <c r="AE15" i="10"/>
  <c r="G14" i="11"/>
  <c r="F12" i="9"/>
  <c r="F85" i="9" s="1"/>
  <c r="Z7" i="9"/>
  <c r="B14" i="11"/>
  <c r="B15" i="12"/>
  <c r="Z15" i="12" s="1"/>
  <c r="Z15" i="10"/>
  <c r="B18" i="16"/>
  <c r="E46" i="11"/>
  <c r="E49" i="12"/>
  <c r="AC49" i="12" s="1"/>
  <c r="Q117" i="12"/>
  <c r="AE10" i="11"/>
  <c r="I19" i="2"/>
  <c r="H6" i="2"/>
  <c r="C7" i="2"/>
  <c r="G5" i="2"/>
  <c r="B16" i="6"/>
  <c r="E78" i="15"/>
  <c r="I77" i="15"/>
  <c r="Z11" i="11"/>
  <c r="B15" i="3"/>
  <c r="I55" i="2"/>
  <c r="C66" i="2"/>
  <c r="B65" i="2"/>
  <c r="F67" i="2"/>
  <c r="J29" i="15"/>
  <c r="Z9" i="11"/>
  <c r="B8" i="13"/>
  <c r="AB106" i="11"/>
  <c r="R9" i="3"/>
  <c r="N13" i="3"/>
  <c r="C7" i="1"/>
  <c r="AE6" i="11"/>
  <c r="S40" i="10"/>
  <c r="R54" i="2"/>
  <c r="J7" i="2"/>
  <c r="E5" i="2"/>
  <c r="I5" i="2"/>
  <c r="C32" i="2"/>
  <c r="D41" i="2"/>
  <c r="I39" i="6"/>
  <c r="C55" i="15"/>
  <c r="G53" i="15"/>
  <c r="C51" i="6"/>
  <c r="Z7" i="11"/>
  <c r="AG9" i="11"/>
  <c r="G12" i="11"/>
  <c r="G28" i="11" s="1"/>
  <c r="AB11" i="11"/>
  <c r="AB9" i="11"/>
  <c r="B6" i="3"/>
  <c r="B16" i="3"/>
  <c r="F5" i="3"/>
  <c r="F16" i="3"/>
  <c r="D18" i="2"/>
  <c r="D17" i="2"/>
  <c r="H18" i="2"/>
  <c r="H19" i="2"/>
  <c r="G19" i="2"/>
  <c r="G17" i="2"/>
  <c r="G18" i="2"/>
  <c r="J42" i="2"/>
  <c r="J43" i="2"/>
  <c r="E43" i="2"/>
  <c r="E42" i="2"/>
  <c r="B62" i="6"/>
  <c r="B68" i="15"/>
  <c r="B61" i="6"/>
  <c r="F62" i="6"/>
  <c r="F60" i="6"/>
  <c r="C71" i="6"/>
  <c r="C72" i="6"/>
  <c r="C77" i="15"/>
  <c r="G79" i="15"/>
  <c r="G80" i="15"/>
  <c r="G71" i="6"/>
  <c r="B77" i="15"/>
  <c r="B71" i="6"/>
  <c r="B73" i="6"/>
  <c r="B80" i="15"/>
  <c r="B72" i="6"/>
  <c r="B79" i="15"/>
  <c r="B78" i="15"/>
  <c r="F78" i="15"/>
  <c r="F73" i="6"/>
  <c r="F79" i="15"/>
  <c r="F72" i="6"/>
  <c r="F80" i="15"/>
  <c r="J77" i="15"/>
  <c r="J71" i="6"/>
  <c r="J78" i="15"/>
  <c r="J79" i="15"/>
  <c r="J72" i="6"/>
  <c r="D78" i="15"/>
  <c r="D77" i="15"/>
  <c r="D71" i="6"/>
  <c r="D72" i="6"/>
  <c r="D73" i="6"/>
  <c r="H72" i="6"/>
  <c r="H79" i="15"/>
  <c r="H71" i="6"/>
  <c r="H80" i="15"/>
  <c r="B22" i="16"/>
  <c r="F15" i="12"/>
  <c r="AD15" i="12" s="1"/>
  <c r="F14" i="11"/>
  <c r="J15" i="12"/>
  <c r="B25" i="16"/>
  <c r="B11" i="3"/>
  <c r="G79" i="2"/>
  <c r="E6" i="3"/>
  <c r="B8" i="2"/>
  <c r="F8" i="2"/>
  <c r="H44" i="2"/>
  <c r="D76" i="11"/>
  <c r="D90" i="11" s="1"/>
  <c r="J18" i="2"/>
  <c r="J19" i="2"/>
  <c r="B54" i="2"/>
  <c r="B53" i="2"/>
  <c r="E53" i="2"/>
  <c r="E54" i="2"/>
  <c r="I54" i="2"/>
  <c r="I56" i="2"/>
  <c r="C53" i="2"/>
  <c r="C56" i="2"/>
  <c r="G54" i="2"/>
  <c r="G55" i="2"/>
  <c r="G53" i="2"/>
  <c r="G65" i="2"/>
  <c r="G68" i="2"/>
  <c r="G67" i="2"/>
  <c r="J66" i="2"/>
  <c r="J67" i="2"/>
  <c r="J65" i="2"/>
  <c r="D19" i="15"/>
  <c r="D17" i="6"/>
  <c r="D16" i="6"/>
  <c r="D18" i="6"/>
  <c r="H19" i="15"/>
  <c r="H17" i="6"/>
  <c r="H16" i="6"/>
  <c r="C20" i="15"/>
  <c r="C18" i="6"/>
  <c r="G20" i="15"/>
  <c r="G18" i="6"/>
  <c r="E31" i="15"/>
  <c r="E29" i="15"/>
  <c r="E28" i="6"/>
  <c r="E29" i="6"/>
  <c r="E30" i="15"/>
  <c r="E27" i="6"/>
  <c r="I29" i="15"/>
  <c r="I32" i="15"/>
  <c r="I28" i="6"/>
  <c r="D115" i="12"/>
  <c r="B78" i="11"/>
  <c r="B83" i="12"/>
  <c r="Z83" i="12" s="1"/>
  <c r="C19" i="13"/>
  <c r="C18" i="13"/>
  <c r="C17" i="13"/>
  <c r="C20" i="13"/>
  <c r="C16" i="13"/>
  <c r="F12" i="3"/>
  <c r="C15" i="3"/>
  <c r="B16" i="13"/>
  <c r="Q16" i="3"/>
  <c r="Q14" i="3"/>
  <c r="B6" i="1"/>
  <c r="B5" i="1"/>
  <c r="B7" i="1"/>
  <c r="B8" i="1"/>
  <c r="F6" i="1"/>
  <c r="F5" i="1"/>
  <c r="D7" i="1"/>
  <c r="D5" i="1"/>
  <c r="H5" i="1"/>
  <c r="H6" i="1"/>
  <c r="H7" i="1"/>
  <c r="H8" i="1"/>
  <c r="G8" i="1"/>
  <c r="G6" i="1"/>
  <c r="E29" i="2"/>
  <c r="E31" i="2"/>
  <c r="E30" i="2"/>
  <c r="E32" i="2"/>
  <c r="I30" i="2"/>
  <c r="I31" i="2"/>
  <c r="J79" i="2"/>
  <c r="J80" i="2"/>
  <c r="J77" i="2"/>
  <c r="I79" i="2"/>
  <c r="I78" i="2"/>
  <c r="H77" i="2"/>
  <c r="H78" i="2"/>
  <c r="H80" i="2"/>
  <c r="E7" i="15"/>
  <c r="E6" i="15"/>
  <c r="E8" i="15"/>
  <c r="E5" i="15"/>
  <c r="E6" i="6"/>
  <c r="E7" i="6"/>
  <c r="I5" i="15"/>
  <c r="I5" i="6"/>
  <c r="I7" i="6"/>
  <c r="I7" i="15"/>
  <c r="I8" i="15"/>
  <c r="I6" i="6"/>
  <c r="C30" i="15"/>
  <c r="C29" i="15"/>
  <c r="C27" i="6"/>
  <c r="C31" i="15"/>
  <c r="G30" i="15"/>
  <c r="G32" i="15"/>
  <c r="G29" i="6"/>
  <c r="G28" i="6"/>
  <c r="G29" i="15"/>
  <c r="G27" i="6"/>
  <c r="D43" i="15"/>
  <c r="D42" i="15"/>
  <c r="D41" i="15"/>
  <c r="H43" i="15"/>
  <c r="H42" i="15"/>
  <c r="H41" i="15"/>
  <c r="C39" i="6"/>
  <c r="C44" i="15"/>
  <c r="G42" i="15"/>
  <c r="G43" i="15"/>
  <c r="G39" i="6"/>
  <c r="E110" i="11"/>
  <c r="M12" i="3"/>
  <c r="U10" i="3"/>
  <c r="D17" i="3"/>
  <c r="H17" i="3"/>
  <c r="J6" i="2"/>
  <c r="F31" i="2"/>
  <c r="C80" i="2"/>
  <c r="D42" i="9"/>
  <c r="D81" i="12"/>
  <c r="D94" i="12" s="1"/>
  <c r="E5" i="1"/>
  <c r="E8" i="1"/>
  <c r="I5" i="1"/>
  <c r="I6" i="1"/>
  <c r="I7" i="1"/>
  <c r="I8" i="1"/>
  <c r="D11" i="3"/>
  <c r="D15" i="3"/>
  <c r="D12" i="3"/>
  <c r="H8" i="3"/>
  <c r="H9" i="3"/>
  <c r="H15" i="3"/>
  <c r="B7" i="2"/>
  <c r="B5" i="2"/>
  <c r="F5" i="2"/>
  <c r="F7" i="2"/>
  <c r="F6" i="2"/>
  <c r="H43" i="2"/>
  <c r="H41" i="2"/>
  <c r="H42" i="2"/>
  <c r="C43" i="2"/>
  <c r="C41" i="2"/>
  <c r="C42" i="2"/>
  <c r="C6" i="15"/>
  <c r="C7" i="6"/>
  <c r="C7" i="15"/>
  <c r="C8" i="15"/>
  <c r="C6" i="6"/>
  <c r="C5" i="6"/>
  <c r="G6" i="6"/>
  <c r="G7" i="15"/>
  <c r="G8" i="15"/>
  <c r="G5" i="15"/>
  <c r="G5" i="6"/>
  <c r="D20" i="15"/>
  <c r="D18" i="15"/>
  <c r="D17" i="15"/>
  <c r="H20" i="15"/>
  <c r="H18" i="15"/>
  <c r="C18" i="15"/>
  <c r="C17" i="6"/>
  <c r="C17" i="15"/>
  <c r="G19" i="15"/>
  <c r="G16" i="6"/>
  <c r="G17" i="6"/>
  <c r="D40" i="6"/>
  <c r="D38" i="6"/>
  <c r="H44" i="15"/>
  <c r="H38" i="6"/>
  <c r="B56" i="15"/>
  <c r="B49" i="6"/>
  <c r="B53" i="15"/>
  <c r="B55" i="15"/>
  <c r="F50" i="6"/>
  <c r="F56" i="15"/>
  <c r="F53" i="15"/>
  <c r="D51" i="6"/>
  <c r="D54" i="15"/>
  <c r="H50" i="6"/>
  <c r="H49" i="6"/>
  <c r="G49" i="6"/>
  <c r="G51" i="6"/>
  <c r="B65" i="15"/>
  <c r="B66" i="15"/>
  <c r="F65" i="15"/>
  <c r="F67" i="15"/>
  <c r="F66" i="15"/>
  <c r="D68" i="15"/>
  <c r="D66" i="15"/>
  <c r="D61" i="6"/>
  <c r="D62" i="6"/>
  <c r="H61" i="6"/>
  <c r="H67" i="15"/>
  <c r="H66" i="15"/>
  <c r="H62" i="6"/>
  <c r="G42" i="9"/>
  <c r="O82" i="10"/>
  <c r="O97" i="10" s="1"/>
  <c r="L42" i="9"/>
  <c r="L52" i="9" s="1"/>
  <c r="J20" i="2"/>
  <c r="K15" i="10"/>
  <c r="K15" i="12" s="1"/>
  <c r="W10" i="9"/>
  <c r="D13" i="3"/>
  <c r="H13" i="3"/>
  <c r="G66" i="2"/>
  <c r="H79" i="2"/>
  <c r="I6" i="15"/>
  <c r="I30" i="15"/>
  <c r="H68" i="15"/>
  <c r="C80" i="15"/>
  <c r="G73" i="6"/>
  <c r="G7" i="1"/>
  <c r="B14" i="3"/>
  <c r="F14" i="3"/>
  <c r="D6" i="2"/>
  <c r="C19" i="2"/>
  <c r="B41" i="2"/>
  <c r="G43" i="2"/>
  <c r="I80" i="2"/>
  <c r="E20" i="15"/>
  <c r="B41" i="15"/>
  <c r="F44" i="15"/>
  <c r="C42" i="9"/>
  <c r="AE10" i="12"/>
  <c r="AG9" i="12"/>
  <c r="V13" i="12"/>
  <c r="V29" i="12" s="1"/>
  <c r="Q13" i="12"/>
  <c r="C81" i="16" s="1"/>
  <c r="R13" i="12"/>
  <c r="R16" i="12" s="1"/>
  <c r="Z7" i="12"/>
  <c r="AA6" i="12"/>
  <c r="AG5" i="12"/>
  <c r="AB5" i="12"/>
  <c r="AB104" i="11"/>
  <c r="AB102" i="11"/>
  <c r="P108" i="11"/>
  <c r="P117" i="11" s="1"/>
  <c r="M5" i="6"/>
  <c r="P79" i="2"/>
  <c r="R79" i="2"/>
  <c r="N79" i="2"/>
  <c r="P67" i="2"/>
  <c r="N67" i="2"/>
  <c r="Q53" i="2"/>
  <c r="R56" i="2"/>
  <c r="O55" i="2"/>
  <c r="P44" i="2"/>
  <c r="Q43" i="2"/>
  <c r="T30" i="2"/>
  <c r="P30" i="2"/>
  <c r="U31" i="2"/>
  <c r="M31" i="2"/>
  <c r="T18" i="2"/>
  <c r="P17" i="2"/>
  <c r="R18" i="2"/>
  <c r="S19" i="2"/>
  <c r="U5" i="2"/>
  <c r="M5" i="2"/>
  <c r="N8" i="2"/>
  <c r="O7" i="2"/>
  <c r="T15" i="3"/>
  <c r="U16" i="3"/>
  <c r="M16" i="3"/>
  <c r="N15" i="3"/>
  <c r="O14" i="3"/>
  <c r="M6" i="1"/>
  <c r="N5" i="1"/>
  <c r="S6" i="1"/>
  <c r="P7" i="1"/>
  <c r="H31" i="2"/>
  <c r="H55" i="2"/>
  <c r="B42" i="9"/>
  <c r="E42" i="9"/>
  <c r="H42" i="9"/>
  <c r="B108" i="11"/>
  <c r="B123" i="11" s="1"/>
  <c r="G41" i="12"/>
  <c r="E81" i="12"/>
  <c r="E97" i="12" s="1"/>
  <c r="C115" i="12"/>
  <c r="C132" i="12" s="1"/>
  <c r="I42" i="9"/>
  <c r="D6" i="13"/>
  <c r="D7" i="13"/>
  <c r="D5" i="13"/>
  <c r="AC8" i="9"/>
  <c r="AD74" i="11"/>
  <c r="AA73" i="11"/>
  <c r="P76" i="11"/>
  <c r="AC71" i="11"/>
  <c r="Z70" i="11"/>
  <c r="N76" i="11"/>
  <c r="N90" i="11" s="1"/>
  <c r="O76" i="11"/>
  <c r="AA69" i="11"/>
  <c r="S38" i="11"/>
  <c r="AB38" i="11"/>
  <c r="AC37" i="11"/>
  <c r="S37" i="11"/>
  <c r="N116" i="10"/>
  <c r="Z108" i="10"/>
  <c r="Z9" i="10"/>
  <c r="Z41" i="9"/>
  <c r="P12" i="9"/>
  <c r="Z10" i="9"/>
  <c r="V10" i="9"/>
  <c r="L12" i="9"/>
  <c r="L24" i="9" s="1"/>
  <c r="T56" i="2"/>
  <c r="T53" i="2"/>
  <c r="T54" i="2"/>
  <c r="P54" i="2"/>
  <c r="P56" i="2"/>
  <c r="M55" i="2"/>
  <c r="M53" i="2"/>
  <c r="N56" i="2"/>
  <c r="N54" i="2"/>
  <c r="N55" i="2"/>
  <c r="T42" i="2"/>
  <c r="T43" i="2"/>
  <c r="T44" i="2"/>
  <c r="U43" i="2"/>
  <c r="U41" i="2"/>
  <c r="M41" i="2"/>
  <c r="M43" i="2"/>
  <c r="R41" i="2"/>
  <c r="R42" i="2"/>
  <c r="N43" i="2"/>
  <c r="N44" i="2"/>
  <c r="N42" i="2"/>
  <c r="S43" i="2"/>
  <c r="S41" i="2"/>
  <c r="O42" i="2"/>
  <c r="O41" i="2"/>
  <c r="Q29" i="2"/>
  <c r="Q31" i="2"/>
  <c r="R31" i="2"/>
  <c r="R30" i="2"/>
  <c r="N29" i="2"/>
  <c r="N30" i="2"/>
  <c r="S30" i="2"/>
  <c r="S29" i="2"/>
  <c r="O31" i="2"/>
  <c r="O29" i="2"/>
  <c r="U19" i="2"/>
  <c r="U17" i="2"/>
  <c r="Q17" i="2"/>
  <c r="Q19" i="2"/>
  <c r="M19" i="2"/>
  <c r="M17" i="2"/>
  <c r="N19" i="2"/>
  <c r="N18" i="2"/>
  <c r="O20" i="2"/>
  <c r="O17" i="2"/>
  <c r="O18" i="2"/>
  <c r="T8" i="2"/>
  <c r="T6" i="2"/>
  <c r="P7" i="2"/>
  <c r="P8" i="2"/>
  <c r="P6" i="2"/>
  <c r="Q7" i="2"/>
  <c r="Q6" i="2"/>
  <c r="Q5" i="2"/>
  <c r="R6" i="2"/>
  <c r="R5" i="2"/>
  <c r="R8" i="2"/>
  <c r="S5" i="2"/>
  <c r="S8" i="2"/>
  <c r="S7" i="2"/>
  <c r="N7" i="3"/>
  <c r="N10" i="3"/>
  <c r="S15" i="3"/>
  <c r="S11" i="3"/>
  <c r="S16" i="3"/>
  <c r="O6" i="3"/>
  <c r="O13" i="3"/>
  <c r="O9" i="3"/>
  <c r="O16" i="3"/>
  <c r="T14" i="3"/>
  <c r="T10" i="3"/>
  <c r="P5" i="3"/>
  <c r="P12" i="3"/>
  <c r="P15" i="3"/>
  <c r="J6" i="1"/>
  <c r="J5" i="1"/>
  <c r="J8" i="1"/>
  <c r="E8" i="3"/>
  <c r="E16" i="3"/>
  <c r="E13" i="3"/>
  <c r="E11" i="3"/>
  <c r="E10" i="3"/>
  <c r="E14" i="3"/>
  <c r="E12" i="3"/>
  <c r="E17" i="3"/>
  <c r="E9" i="3"/>
  <c r="I11" i="3"/>
  <c r="I9" i="3"/>
  <c r="I6" i="3"/>
  <c r="I16" i="3"/>
  <c r="I10" i="3"/>
  <c r="I13" i="3"/>
  <c r="I14" i="3"/>
  <c r="I17" i="3"/>
  <c r="I8" i="3"/>
  <c r="C7" i="3"/>
  <c r="C14" i="3"/>
  <c r="C5" i="3"/>
  <c r="C12" i="3"/>
  <c r="C13" i="3"/>
  <c r="C10" i="3"/>
  <c r="C17" i="3"/>
  <c r="C9" i="3"/>
  <c r="C6" i="3"/>
  <c r="C16" i="3"/>
  <c r="G10" i="3"/>
  <c r="G13" i="3"/>
  <c r="G17" i="3"/>
  <c r="G9" i="3"/>
  <c r="G7" i="3"/>
  <c r="G14" i="3"/>
  <c r="G12" i="3"/>
  <c r="G16" i="3"/>
  <c r="G5" i="3"/>
  <c r="G8" i="3"/>
  <c r="G15" i="3"/>
  <c r="J8" i="3"/>
  <c r="J7" i="3"/>
  <c r="J9" i="3"/>
  <c r="J15" i="3"/>
  <c r="J17" i="3"/>
  <c r="J11" i="3"/>
  <c r="J6" i="3"/>
  <c r="G8" i="2"/>
  <c r="G6" i="2"/>
  <c r="J29" i="2"/>
  <c r="J31" i="2"/>
  <c r="J32" i="2"/>
  <c r="D31" i="2"/>
  <c r="D30" i="2"/>
  <c r="J55" i="2"/>
  <c r="J54" i="2"/>
  <c r="D55" i="2"/>
  <c r="D56" i="2"/>
  <c r="B7" i="15"/>
  <c r="B5" i="6"/>
  <c r="B7" i="6"/>
  <c r="B6" i="15"/>
  <c r="B5" i="15"/>
  <c r="B6" i="6"/>
  <c r="F7" i="15"/>
  <c r="F5" i="15"/>
  <c r="F6" i="15"/>
  <c r="F6" i="6"/>
  <c r="F5" i="6"/>
  <c r="F8" i="15"/>
  <c r="J6" i="15"/>
  <c r="J8" i="15"/>
  <c r="J6" i="6"/>
  <c r="J5" i="15"/>
  <c r="J7" i="15"/>
  <c r="D6" i="6"/>
  <c r="D5" i="6"/>
  <c r="D6" i="15"/>
  <c r="D7" i="15"/>
  <c r="H7" i="15"/>
  <c r="H5" i="6"/>
  <c r="H6" i="6"/>
  <c r="H7" i="6"/>
  <c r="B30" i="15"/>
  <c r="B29" i="6"/>
  <c r="B31" i="15"/>
  <c r="B28" i="6"/>
  <c r="F30" i="15"/>
  <c r="F31" i="15"/>
  <c r="F28" i="6"/>
  <c r="F29" i="15"/>
  <c r="F32" i="15"/>
  <c r="F27" i="6"/>
  <c r="J27" i="6"/>
  <c r="J32" i="15"/>
  <c r="J30" i="15"/>
  <c r="J28" i="6"/>
  <c r="J31" i="15"/>
  <c r="J29" i="6"/>
  <c r="D28" i="6"/>
  <c r="D31" i="15"/>
  <c r="D27" i="6"/>
  <c r="D29" i="15"/>
  <c r="D29" i="6"/>
  <c r="H28" i="6"/>
  <c r="H29" i="6"/>
  <c r="H31" i="15"/>
  <c r="E44" i="15"/>
  <c r="E40" i="6"/>
  <c r="E38" i="6"/>
  <c r="E43" i="15"/>
  <c r="I44" i="15"/>
  <c r="I40" i="6"/>
  <c r="I41" i="15"/>
  <c r="I38" i="6"/>
  <c r="D56" i="15"/>
  <c r="D55" i="15"/>
  <c r="H56" i="15"/>
  <c r="H54" i="15"/>
  <c r="H53" i="15"/>
  <c r="J61" i="6"/>
  <c r="J60" i="6"/>
  <c r="E62" i="6"/>
  <c r="E60" i="6"/>
  <c r="E65" i="15"/>
  <c r="E67" i="15"/>
  <c r="E61" i="6"/>
  <c r="I67" i="15"/>
  <c r="I62" i="6"/>
  <c r="I60" i="6"/>
  <c r="I61" i="6"/>
  <c r="C66" i="15"/>
  <c r="C67" i="15"/>
  <c r="C68" i="15"/>
  <c r="C60" i="6"/>
  <c r="C61" i="6"/>
  <c r="G61" i="6"/>
  <c r="G68" i="15"/>
  <c r="G66" i="15"/>
  <c r="G60" i="6"/>
  <c r="G67" i="15"/>
  <c r="G65" i="15"/>
  <c r="G62" i="6"/>
  <c r="B18" i="13"/>
  <c r="B19" i="13"/>
  <c r="B22" i="13"/>
  <c r="B17" i="13"/>
  <c r="B20" i="13"/>
  <c r="D12" i="9"/>
  <c r="D19" i="9" s="1"/>
  <c r="H12" i="9"/>
  <c r="H82" i="9" s="1"/>
  <c r="D13" i="10"/>
  <c r="B50" i="16" s="1"/>
  <c r="E116" i="10"/>
  <c r="E125" i="10" s="1"/>
  <c r="D116" i="10"/>
  <c r="D13" i="12"/>
  <c r="D29" i="12" s="1"/>
  <c r="E13" i="12"/>
  <c r="E25" i="12" s="1"/>
  <c r="C47" i="12"/>
  <c r="C62" i="12" s="1"/>
  <c r="G39" i="12"/>
  <c r="G45" i="12"/>
  <c r="B115" i="12"/>
  <c r="B125" i="12" s="1"/>
  <c r="C110" i="11"/>
  <c r="AA110" i="11" s="1"/>
  <c r="B5" i="16"/>
  <c r="C117" i="12"/>
  <c r="P13" i="3"/>
  <c r="Q12" i="3"/>
  <c r="R11" i="3"/>
  <c r="S10" i="3"/>
  <c r="T9" i="3"/>
  <c r="U8" i="3"/>
  <c r="M8" i="3"/>
  <c r="R16" i="3"/>
  <c r="W13" i="12"/>
  <c r="C65" i="16"/>
  <c r="M65" i="16" s="1"/>
  <c r="AH8" i="12"/>
  <c r="T29" i="2"/>
  <c r="N41" i="2"/>
  <c r="P53" i="2"/>
  <c r="Q54" i="2"/>
  <c r="M7" i="2"/>
  <c r="O19" i="2"/>
  <c r="S31" i="2"/>
  <c r="O53" i="2"/>
  <c r="J16" i="3"/>
  <c r="B8" i="15"/>
  <c r="H30" i="15"/>
  <c r="N13" i="12"/>
  <c r="N23" i="12" s="1"/>
  <c r="Q30" i="2"/>
  <c r="T31" i="2"/>
  <c r="M42" i="2"/>
  <c r="U42" i="2"/>
  <c r="N53" i="2"/>
  <c r="O54" i="2"/>
  <c r="T55" i="2"/>
  <c r="N6" i="2"/>
  <c r="P18" i="2"/>
  <c r="O43" i="2"/>
  <c r="J14" i="3"/>
  <c r="B32" i="15"/>
  <c r="D53" i="15"/>
  <c r="C62" i="6"/>
  <c r="C65" i="15"/>
  <c r="H32" i="15"/>
  <c r="E19" i="2"/>
  <c r="E20" i="2"/>
  <c r="E18" i="2"/>
  <c r="I18" i="2"/>
  <c r="I20" i="2"/>
  <c r="B20" i="2"/>
  <c r="B17" i="2"/>
  <c r="B18" i="2"/>
  <c r="F17" i="2"/>
  <c r="F20" i="2"/>
  <c r="F19" i="2"/>
  <c r="F18" i="2"/>
  <c r="D29" i="2"/>
  <c r="D32" i="2"/>
  <c r="H29" i="2"/>
  <c r="H32" i="2"/>
  <c r="H30" i="2"/>
  <c r="C31" i="2"/>
  <c r="C29" i="2"/>
  <c r="C30" i="2"/>
  <c r="G29" i="2"/>
  <c r="G30" i="2"/>
  <c r="G32" i="2"/>
  <c r="G31" i="2"/>
  <c r="E41" i="2"/>
  <c r="E44" i="2"/>
  <c r="I42" i="2"/>
  <c r="I43" i="2"/>
  <c r="I44" i="2"/>
  <c r="B43" i="2"/>
  <c r="B42" i="2"/>
  <c r="F44" i="2"/>
  <c r="F43" i="2"/>
  <c r="F42" i="2"/>
  <c r="D53" i="2"/>
  <c r="D54" i="2"/>
  <c r="H54" i="2"/>
  <c r="H53" i="2"/>
  <c r="C54" i="2"/>
  <c r="C55" i="2"/>
  <c r="E78" i="2"/>
  <c r="E77" i="2"/>
  <c r="E80" i="2"/>
  <c r="D5" i="15"/>
  <c r="D8" i="15"/>
  <c r="H8" i="15"/>
  <c r="H6" i="15"/>
  <c r="H5" i="15"/>
  <c r="I17" i="15"/>
  <c r="I19" i="15"/>
  <c r="D32" i="15"/>
  <c r="D30" i="15"/>
  <c r="E39" i="6"/>
  <c r="E41" i="15"/>
  <c r="I42" i="15"/>
  <c r="I43" i="15"/>
  <c r="C40" i="6"/>
  <c r="C38" i="6"/>
  <c r="G38" i="6"/>
  <c r="G40" i="6"/>
  <c r="J80" i="15"/>
  <c r="J73" i="6"/>
  <c r="C21" i="13"/>
  <c r="C22" i="13"/>
  <c r="B7" i="13"/>
  <c r="B5" i="13"/>
  <c r="E15" i="3"/>
  <c r="I15" i="3"/>
  <c r="B17" i="3"/>
  <c r="H29" i="15"/>
  <c r="B72" i="9"/>
  <c r="D108" i="11"/>
  <c r="B21" i="13"/>
  <c r="B10" i="3"/>
  <c r="B9" i="3"/>
  <c r="B12" i="3"/>
  <c r="B7" i="3"/>
  <c r="B5" i="3"/>
  <c r="F6" i="3"/>
  <c r="F10" i="3"/>
  <c r="F9" i="3"/>
  <c r="F8" i="3"/>
  <c r="F15" i="3"/>
  <c r="F7" i="3"/>
  <c r="F13" i="3"/>
  <c r="F11" i="3"/>
  <c r="D16" i="3"/>
  <c r="D5" i="3"/>
  <c r="D14" i="3"/>
  <c r="D6" i="3"/>
  <c r="D9" i="3"/>
  <c r="D7" i="3"/>
  <c r="D10" i="3"/>
  <c r="D8" i="3"/>
  <c r="H10" i="3"/>
  <c r="H12" i="3"/>
  <c r="H7" i="3"/>
  <c r="H11" i="3"/>
  <c r="H16" i="3"/>
  <c r="H5" i="3"/>
  <c r="H14" i="3"/>
  <c r="C6" i="2"/>
  <c r="C8" i="2"/>
  <c r="B30" i="2"/>
  <c r="B29" i="2"/>
  <c r="B31" i="2"/>
  <c r="F32" i="2"/>
  <c r="F30" i="2"/>
  <c r="B56" i="2"/>
  <c r="B55" i="2"/>
  <c r="F56" i="2"/>
  <c r="F55" i="2"/>
  <c r="F53" i="2"/>
  <c r="D65" i="2"/>
  <c r="D68" i="2"/>
  <c r="D67" i="2"/>
  <c r="H68" i="2"/>
  <c r="H67" i="2"/>
  <c r="H66" i="2"/>
  <c r="H65" i="2"/>
  <c r="B51" i="6"/>
  <c r="B54" i="15"/>
  <c r="F55" i="15"/>
  <c r="F49" i="6"/>
  <c r="F54" i="15"/>
  <c r="F51" i="6"/>
  <c r="C56" i="15"/>
  <c r="C50" i="6"/>
  <c r="C54" i="15"/>
  <c r="G56" i="15"/>
  <c r="G50" i="6"/>
  <c r="G54" i="15"/>
  <c r="E80" i="15"/>
  <c r="E77" i="15"/>
  <c r="C78" i="15"/>
  <c r="C79" i="15"/>
  <c r="G72" i="6"/>
  <c r="G78" i="15"/>
  <c r="C5" i="13"/>
  <c r="C8" i="13"/>
  <c r="C7" i="13"/>
  <c r="E7" i="3"/>
  <c r="I5" i="3"/>
  <c r="C8" i="3"/>
  <c r="C11" i="3"/>
  <c r="G11" i="3"/>
  <c r="J8" i="2"/>
  <c r="E6" i="2"/>
  <c r="I7" i="2"/>
  <c r="G7" i="2"/>
  <c r="F7" i="6"/>
  <c r="F29" i="6"/>
  <c r="H55" i="15"/>
  <c r="J62" i="6"/>
  <c r="I80" i="15"/>
  <c r="F42" i="9"/>
  <c r="E115" i="12"/>
  <c r="C6" i="1"/>
  <c r="C5" i="1"/>
  <c r="C20" i="2"/>
  <c r="C17" i="2"/>
  <c r="C18" i="2"/>
  <c r="G42" i="2"/>
  <c r="G41" i="2"/>
  <c r="G44" i="2"/>
  <c r="B67" i="2"/>
  <c r="B66" i="2"/>
  <c r="B68" i="2"/>
  <c r="F66" i="2"/>
  <c r="F68" i="2"/>
  <c r="F65" i="2"/>
  <c r="I66" i="2"/>
  <c r="I65" i="2"/>
  <c r="I68" i="2"/>
  <c r="I67" i="2"/>
  <c r="C67" i="2"/>
  <c r="C65" i="2"/>
  <c r="C68" i="2"/>
  <c r="B79" i="2"/>
  <c r="B80" i="2"/>
  <c r="B78" i="2"/>
  <c r="D79" i="2"/>
  <c r="D78" i="2"/>
  <c r="C78" i="2"/>
  <c r="C79" i="2"/>
  <c r="G78" i="2"/>
  <c r="G80" i="2"/>
  <c r="C41" i="15"/>
  <c r="C42" i="15"/>
  <c r="E66" i="15"/>
  <c r="E68" i="15"/>
  <c r="I68" i="15"/>
  <c r="I66" i="15"/>
  <c r="I65" i="15"/>
  <c r="D60" i="6"/>
  <c r="D65" i="15"/>
  <c r="E73" i="6"/>
  <c r="E79" i="15"/>
  <c r="I71" i="6"/>
  <c r="I72" i="6"/>
  <c r="I79" i="15"/>
  <c r="B8" i="3"/>
  <c r="E17" i="2"/>
  <c r="I21" i="13"/>
  <c r="E6" i="1"/>
  <c r="I12" i="3"/>
  <c r="G20" i="2"/>
  <c r="C44" i="2"/>
  <c r="G41" i="15"/>
  <c r="B12" i="9"/>
  <c r="D8" i="13"/>
  <c r="H6" i="3"/>
  <c r="J12" i="3"/>
  <c r="F41" i="2"/>
  <c r="H72" i="9"/>
  <c r="C12" i="11"/>
  <c r="B12" i="11"/>
  <c r="B21" i="11" s="1"/>
  <c r="B76" i="11"/>
  <c r="C13" i="12"/>
  <c r="B13" i="12"/>
  <c r="J13" i="12"/>
  <c r="I13" i="12"/>
  <c r="E47" i="12"/>
  <c r="E61" i="12" s="1"/>
  <c r="J5" i="3"/>
  <c r="J41" i="2"/>
  <c r="J68" i="2"/>
  <c r="I18" i="15"/>
  <c r="H18" i="6"/>
  <c r="D39" i="6"/>
  <c r="H39" i="6"/>
  <c r="I49" i="6"/>
  <c r="D72" i="9"/>
  <c r="G40" i="11"/>
  <c r="G13" i="12"/>
  <c r="G23" i="12" s="1"/>
  <c r="F63" i="10"/>
  <c r="AD63" i="10" s="1"/>
  <c r="B6" i="2"/>
  <c r="I6" i="2"/>
  <c r="J30" i="2"/>
  <c r="E42" i="15"/>
  <c r="I12" i="9"/>
  <c r="I22" i="9" s="1"/>
  <c r="I72" i="9"/>
  <c r="S41" i="12"/>
  <c r="S39" i="12"/>
  <c r="G72" i="9"/>
  <c r="F13" i="10"/>
  <c r="E48" i="10"/>
  <c r="G42" i="10"/>
  <c r="G46" i="10"/>
  <c r="B82" i="10"/>
  <c r="B95" i="10" s="1"/>
  <c r="B116" i="10"/>
  <c r="F12" i="11"/>
  <c r="G42" i="11"/>
  <c r="F76" i="11"/>
  <c r="C108" i="11"/>
  <c r="F13" i="12"/>
  <c r="B81" i="12"/>
  <c r="F72" i="9"/>
  <c r="S43" i="12"/>
  <c r="E76" i="11"/>
  <c r="C76" i="11"/>
  <c r="F81" i="12"/>
  <c r="S45" i="12"/>
  <c r="E12" i="9"/>
  <c r="E23" i="9" s="1"/>
  <c r="E72" i="9"/>
  <c r="C82" i="10"/>
  <c r="C93" i="10" s="1"/>
  <c r="D47" i="12"/>
  <c r="G42" i="12"/>
  <c r="G46" i="12"/>
  <c r="C81" i="12"/>
  <c r="AB46" i="12"/>
  <c r="AA44" i="12"/>
  <c r="S44" i="12"/>
  <c r="AC40" i="12"/>
  <c r="Q47" i="12"/>
  <c r="Q61" i="12" s="1"/>
  <c r="Z40" i="12"/>
  <c r="N47" i="12"/>
  <c r="S40" i="12"/>
  <c r="S46" i="12"/>
  <c r="Z46" i="12"/>
  <c r="P47" i="12"/>
  <c r="P63" i="12" s="1"/>
  <c r="AB42" i="12"/>
  <c r="AA40" i="12"/>
  <c r="O47" i="12"/>
  <c r="O58" i="12" s="1"/>
  <c r="S42" i="12"/>
  <c r="Z42" i="12"/>
  <c r="AC44" i="12"/>
  <c r="AC39" i="12"/>
  <c r="AA41" i="12"/>
  <c r="AA45" i="12"/>
  <c r="AA43" i="11"/>
  <c r="S43" i="11"/>
  <c r="Q44" i="11"/>
  <c r="Q55" i="11" s="1"/>
  <c r="AC39" i="11"/>
  <c r="S39" i="11"/>
  <c r="Z39" i="11"/>
  <c r="N44" i="11"/>
  <c r="AA39" i="11"/>
  <c r="O44" i="11"/>
  <c r="O55" i="11" s="1"/>
  <c r="AC43" i="11"/>
  <c r="AH11" i="11"/>
  <c r="P12" i="11"/>
  <c r="AB10" i="11"/>
  <c r="AE9" i="11"/>
  <c r="S12" i="11"/>
  <c r="AG8" i="11"/>
  <c r="U12" i="11"/>
  <c r="U24" i="11" s="1"/>
  <c r="AE11" i="11"/>
  <c r="Z10" i="11"/>
  <c r="N12" i="11"/>
  <c r="AC9" i="11"/>
  <c r="AC11" i="11"/>
  <c r="AG10" i="11"/>
  <c r="AA9" i="11"/>
  <c r="O12" i="11"/>
  <c r="O25" i="11" s="1"/>
  <c r="AA11" i="11"/>
  <c r="AH10" i="11"/>
  <c r="AD10" i="11"/>
  <c r="R12" i="11"/>
  <c r="AH9" i="11"/>
  <c r="AH7" i="11"/>
  <c r="V12" i="11"/>
  <c r="V23" i="11" s="1"/>
  <c r="Q12" i="11"/>
  <c r="Q27" i="11" s="1"/>
  <c r="AC7" i="11"/>
  <c r="AA109" i="10"/>
  <c r="O116" i="10"/>
  <c r="O128" i="10" s="1"/>
  <c r="AA111" i="10"/>
  <c r="AA113" i="10"/>
  <c r="AA115" i="10"/>
  <c r="AB81" i="10"/>
  <c r="P82" i="10"/>
  <c r="P94" i="10" s="1"/>
  <c r="AB77" i="10"/>
  <c r="AC76" i="10"/>
  <c r="Q82" i="10"/>
  <c r="Q93" i="10" s="1"/>
  <c r="R82" i="10"/>
  <c r="R96" i="10" s="1"/>
  <c r="AD75" i="10"/>
  <c r="AD79" i="10"/>
  <c r="AA45" i="10"/>
  <c r="S47" i="10"/>
  <c r="AA47" i="10"/>
  <c r="AB43" i="10"/>
  <c r="S43" i="10"/>
  <c r="N48" i="10"/>
  <c r="Z43" i="10"/>
  <c r="Q48" i="10"/>
  <c r="Q62" i="10" s="1"/>
  <c r="AC45" i="10"/>
  <c r="S45" i="10"/>
  <c r="Z45" i="10"/>
  <c r="AB42" i="10"/>
  <c r="S42" i="10"/>
  <c r="P48" i="10"/>
  <c r="P59" i="10" s="1"/>
  <c r="AA41" i="10"/>
  <c r="O48" i="10"/>
  <c r="O62" i="10" s="1"/>
  <c r="S41" i="10"/>
  <c r="U13" i="10"/>
  <c r="AG8" i="10"/>
  <c r="AD6" i="10"/>
  <c r="R13" i="10"/>
  <c r="AH11" i="10"/>
  <c r="V13" i="10"/>
  <c r="V29" i="10" s="1"/>
  <c r="AE5" i="10"/>
  <c r="S13" i="10"/>
  <c r="O13" i="10"/>
  <c r="AA5" i="10"/>
  <c r="W67" i="9"/>
  <c r="M72" i="9"/>
  <c r="M81" i="9" s="1"/>
  <c r="W71" i="9"/>
  <c r="Q72" i="9"/>
  <c r="Q84" i="9" s="1"/>
  <c r="AA70" i="9"/>
  <c r="W70" i="9"/>
  <c r="W41" i="9"/>
  <c r="W38" i="9"/>
  <c r="AA37" i="9"/>
  <c r="M42" i="9"/>
  <c r="M51" i="9" s="1"/>
  <c r="W37" i="9"/>
  <c r="Q42" i="9"/>
  <c r="Q51" i="9" s="1"/>
  <c r="AA36" i="9"/>
  <c r="W39" i="9"/>
  <c r="W11" i="9"/>
  <c r="AA10" i="9"/>
  <c r="Q12" i="9"/>
  <c r="AA5" i="9"/>
  <c r="M12" i="9"/>
  <c r="W5" i="9"/>
  <c r="AA6" i="9"/>
  <c r="I20" i="13"/>
  <c r="I17" i="13"/>
  <c r="I16" i="13"/>
  <c r="I22" i="13"/>
  <c r="I18" i="13"/>
  <c r="I19" i="13"/>
  <c r="I6" i="13"/>
  <c r="I7" i="13"/>
  <c r="I8" i="13"/>
  <c r="I5" i="13"/>
  <c r="C4" i="16"/>
  <c r="O117" i="12"/>
  <c r="C5" i="16"/>
  <c r="J16" i="6"/>
  <c r="J19" i="15"/>
  <c r="J17" i="15"/>
  <c r="J18" i="15"/>
  <c r="J20" i="15"/>
  <c r="J43" i="15"/>
  <c r="J38" i="6"/>
  <c r="J41" i="15"/>
  <c r="J44" i="15"/>
  <c r="J39" i="6"/>
  <c r="J42" i="15"/>
  <c r="J40" i="6"/>
  <c r="J66" i="15"/>
  <c r="J65" i="15"/>
  <c r="J67" i="15"/>
  <c r="J68" i="15"/>
  <c r="D44" i="11"/>
  <c r="D53" i="11" s="1"/>
  <c r="D15" i="12"/>
  <c r="B20" i="16"/>
  <c r="D14" i="11"/>
  <c r="D49" i="12"/>
  <c r="D46" i="11"/>
  <c r="D110" i="11"/>
  <c r="D117" i="12"/>
  <c r="B6" i="16"/>
  <c r="C13" i="10"/>
  <c r="B49" i="16" s="1"/>
  <c r="F82" i="10"/>
  <c r="B41" i="16" s="1"/>
  <c r="C48" i="10"/>
  <c r="G41" i="10"/>
  <c r="G43" i="10"/>
  <c r="I14" i="11"/>
  <c r="I15" i="12"/>
  <c r="B24" i="16"/>
  <c r="C46" i="11"/>
  <c r="C49" i="12"/>
  <c r="D19" i="13"/>
  <c r="D21" i="13"/>
  <c r="D22" i="13"/>
  <c r="D17" i="13"/>
  <c r="D16" i="13"/>
  <c r="D18" i="13"/>
  <c r="D20" i="13"/>
  <c r="E13" i="10"/>
  <c r="G45" i="10"/>
  <c r="G47" i="10"/>
  <c r="C116" i="10"/>
  <c r="C126" i="10" s="1"/>
  <c r="E12" i="11"/>
  <c r="E25" i="11" s="1"/>
  <c r="D12" i="11"/>
  <c r="G13" i="10"/>
  <c r="B53" i="16" s="1"/>
  <c r="G40" i="10"/>
  <c r="B48" i="10"/>
  <c r="B60" i="10" s="1"/>
  <c r="G44" i="10"/>
  <c r="E82" i="10"/>
  <c r="E92" i="10" s="1"/>
  <c r="G38" i="11"/>
  <c r="C44" i="11"/>
  <c r="B46" i="11"/>
  <c r="G50" i="10"/>
  <c r="B49" i="12"/>
  <c r="J53" i="2"/>
  <c r="J56" i="2"/>
  <c r="J54" i="15"/>
  <c r="J53" i="15"/>
  <c r="J55" i="15"/>
  <c r="J49" i="6"/>
  <c r="J56" i="15"/>
  <c r="J51" i="6"/>
  <c r="J50" i="6"/>
  <c r="G37" i="11"/>
  <c r="B44" i="11"/>
  <c r="G40" i="12"/>
  <c r="B47" i="12"/>
  <c r="C83" i="12"/>
  <c r="F84" i="10"/>
  <c r="B117" i="12"/>
  <c r="B4" i="16"/>
  <c r="B110" i="11"/>
  <c r="J10" i="3"/>
  <c r="J13" i="3"/>
  <c r="J44" i="2"/>
  <c r="J18" i="6"/>
  <c r="J78" i="2"/>
  <c r="C72" i="9"/>
  <c r="J13" i="10"/>
  <c r="I13" i="10"/>
  <c r="H42" i="24" s="1"/>
  <c r="D48" i="10"/>
  <c r="D82" i="10"/>
  <c r="J12" i="11"/>
  <c r="I12" i="11"/>
  <c r="I26" i="11" s="1"/>
  <c r="E44" i="11"/>
  <c r="G39" i="11"/>
  <c r="G41" i="11"/>
  <c r="E108" i="11"/>
  <c r="E118" i="11" s="1"/>
  <c r="G44" i="12"/>
  <c r="F62" i="10"/>
  <c r="AD62" i="10" s="1"/>
  <c r="F58" i="10"/>
  <c r="AD58" i="10" s="1"/>
  <c r="F59" i="10"/>
  <c r="AD59" i="10" s="1"/>
  <c r="I7" i="3"/>
  <c r="F64" i="10"/>
  <c r="AD64" i="10" s="1"/>
  <c r="F60" i="10"/>
  <c r="AD60" i="10" s="1"/>
  <c r="F57" i="10"/>
  <c r="AD57" i="10" s="1"/>
  <c r="S8" i="6" l="1"/>
  <c r="AA80" i="2"/>
  <c r="L21" i="13"/>
  <c r="AD32" i="2"/>
  <c r="H81" i="16"/>
  <c r="K12" i="11"/>
  <c r="K22" i="11" s="1"/>
  <c r="M66" i="16"/>
  <c r="M63" i="16"/>
  <c r="Y39" i="6"/>
  <c r="T63" i="6"/>
  <c r="L71" i="16"/>
  <c r="C26" i="16"/>
  <c r="H63" i="16" s="1"/>
  <c r="B26" i="16"/>
  <c r="H214" i="21"/>
  <c r="H110" i="10"/>
  <c r="I110" i="10" s="1"/>
  <c r="AI10" i="11"/>
  <c r="T74" i="6"/>
  <c r="H255" i="21"/>
  <c r="H103" i="11"/>
  <c r="I103" i="11" s="1"/>
  <c r="H113" i="12"/>
  <c r="AF113" i="12" s="1"/>
  <c r="U103" i="11"/>
  <c r="T52" i="6"/>
  <c r="I30" i="6"/>
  <c r="I19" i="6"/>
  <c r="I63" i="6"/>
  <c r="I21" i="2"/>
  <c r="I101" i="24"/>
  <c r="J101" i="24" s="1"/>
  <c r="AI5" i="11"/>
  <c r="I102" i="24"/>
  <c r="J102" i="24" s="1"/>
  <c r="I104" i="24"/>
  <c r="J104" i="24" s="1"/>
  <c r="I103" i="24"/>
  <c r="J103" i="24" s="1"/>
  <c r="I105" i="24"/>
  <c r="J105" i="24" s="1"/>
  <c r="I106" i="24"/>
  <c r="J106" i="24" s="1"/>
  <c r="I107" i="24"/>
  <c r="J107" i="24" s="1"/>
  <c r="AI6" i="11"/>
  <c r="Z7" i="15"/>
  <c r="AI11" i="11"/>
  <c r="AI8" i="11"/>
  <c r="AC17" i="6"/>
  <c r="AI7" i="11"/>
  <c r="AI9" i="11"/>
  <c r="Y66" i="15"/>
  <c r="AL10" i="11"/>
  <c r="W12" i="11"/>
  <c r="W26" i="11" s="1"/>
  <c r="X6" i="6"/>
  <c r="AL6" i="11"/>
  <c r="AE44" i="10"/>
  <c r="E42" i="24"/>
  <c r="B51" i="16"/>
  <c r="B25" i="12"/>
  <c r="B78" i="16"/>
  <c r="G78" i="16" s="1"/>
  <c r="F42" i="24"/>
  <c r="B52" i="16"/>
  <c r="G52" i="16" s="1"/>
  <c r="D20" i="24"/>
  <c r="B27" i="10"/>
  <c r="B42" i="24"/>
  <c r="S23" i="10"/>
  <c r="P42" i="24"/>
  <c r="D63" i="16"/>
  <c r="E63" i="16" s="1"/>
  <c r="N28" i="10"/>
  <c r="K42" i="24"/>
  <c r="R24" i="10"/>
  <c r="O42" i="24"/>
  <c r="D30" i="10"/>
  <c r="D42" i="24"/>
  <c r="C30" i="10"/>
  <c r="C42" i="24"/>
  <c r="U26" i="10"/>
  <c r="Q42" i="24"/>
  <c r="G23" i="10"/>
  <c r="G42" i="24"/>
  <c r="O23" i="10"/>
  <c r="L42" i="24"/>
  <c r="Q30" i="10"/>
  <c r="N42" i="24"/>
  <c r="D40" i="16"/>
  <c r="E40" i="16" s="1"/>
  <c r="D12" i="24"/>
  <c r="D33" i="16"/>
  <c r="E33" i="16" s="1"/>
  <c r="Y42" i="15"/>
  <c r="Y78" i="2"/>
  <c r="N30" i="6"/>
  <c r="AA39" i="6"/>
  <c r="AA67" i="15"/>
  <c r="AC71" i="6"/>
  <c r="D34" i="16"/>
  <c r="E34" i="16" s="1"/>
  <c r="N63" i="6"/>
  <c r="N52" i="6"/>
  <c r="T69" i="15"/>
  <c r="T45" i="15"/>
  <c r="T21" i="15"/>
  <c r="T9" i="2"/>
  <c r="T9" i="15"/>
  <c r="I57" i="15"/>
  <c r="T19" i="6"/>
  <c r="T18" i="3"/>
  <c r="T33" i="15"/>
  <c r="T41" i="6"/>
  <c r="T45" i="2"/>
  <c r="T9" i="1"/>
  <c r="T69" i="2"/>
  <c r="I33" i="2"/>
  <c r="I45" i="2"/>
  <c r="I57" i="2"/>
  <c r="T81" i="15"/>
  <c r="I81" i="2"/>
  <c r="H8" i="6"/>
  <c r="AD8" i="6" s="1"/>
  <c r="Y68" i="15"/>
  <c r="AE72" i="6"/>
  <c r="AB7" i="1"/>
  <c r="AB53" i="15"/>
  <c r="AG109" i="10"/>
  <c r="AG118" i="10"/>
  <c r="AG102" i="11"/>
  <c r="AE7" i="2"/>
  <c r="Y7" i="6"/>
  <c r="B63" i="6"/>
  <c r="Y61" i="6"/>
  <c r="AA55" i="15"/>
  <c r="AC7" i="6"/>
  <c r="AD77" i="2"/>
  <c r="U41" i="6"/>
  <c r="P59" i="11"/>
  <c r="X77" i="15"/>
  <c r="B11" i="16"/>
  <c r="X11" i="3"/>
  <c r="Q41" i="6"/>
  <c r="AF102" i="11"/>
  <c r="AC49" i="6"/>
  <c r="Y51" i="6"/>
  <c r="P81" i="15"/>
  <c r="M21" i="15"/>
  <c r="N69" i="2"/>
  <c r="AF109" i="10"/>
  <c r="R63" i="6"/>
  <c r="M19" i="6"/>
  <c r="H214" i="20"/>
  <c r="T111" i="10" s="1"/>
  <c r="U117" i="12"/>
  <c r="Q9" i="15"/>
  <c r="AB16" i="6"/>
  <c r="M8" i="6"/>
  <c r="S81" i="2"/>
  <c r="M69" i="15"/>
  <c r="S74" i="6"/>
  <c r="H298" i="20"/>
  <c r="T110" i="12" s="1"/>
  <c r="AB80" i="2"/>
  <c r="U113" i="12"/>
  <c r="Q63" i="6"/>
  <c r="C11" i="16"/>
  <c r="S127" i="10"/>
  <c r="S132" i="10"/>
  <c r="S131" i="10"/>
  <c r="S130" i="10"/>
  <c r="S129" i="10"/>
  <c r="S128" i="10"/>
  <c r="S126" i="10"/>
  <c r="Q21" i="15"/>
  <c r="Q30" i="6"/>
  <c r="S122" i="11"/>
  <c r="X80" i="2"/>
  <c r="I117" i="12"/>
  <c r="U81" i="2"/>
  <c r="M52" i="6"/>
  <c r="M81" i="15"/>
  <c r="M30" i="6"/>
  <c r="S118" i="11"/>
  <c r="AC6" i="6"/>
  <c r="S33" i="15"/>
  <c r="O52" i="6"/>
  <c r="AE79" i="2"/>
  <c r="S57" i="2"/>
  <c r="AF73" i="6"/>
  <c r="AB68" i="15"/>
  <c r="Z29" i="15"/>
  <c r="AD55" i="15"/>
  <c r="Z28" i="6"/>
  <c r="AE61" i="6"/>
  <c r="AB7" i="6"/>
  <c r="AC32" i="2"/>
  <c r="X44" i="2"/>
  <c r="P9" i="15"/>
  <c r="M9" i="15"/>
  <c r="Q9" i="1"/>
  <c r="R9" i="15"/>
  <c r="P63" i="6"/>
  <c r="R41" i="6"/>
  <c r="Q57" i="15"/>
  <c r="O33" i="15"/>
  <c r="U33" i="15"/>
  <c r="Q81" i="15"/>
  <c r="U30" i="6"/>
  <c r="U110" i="11"/>
  <c r="AG110" i="11" s="1"/>
  <c r="Q8" i="6"/>
  <c r="U52" i="6"/>
  <c r="O74" i="6"/>
  <c r="Z50" i="6"/>
  <c r="AD27" i="6"/>
  <c r="AA61" i="6"/>
  <c r="AA62" i="6"/>
  <c r="N33" i="15"/>
  <c r="R30" i="6"/>
  <c r="U57" i="15"/>
  <c r="S21" i="2"/>
  <c r="N8" i="6"/>
  <c r="Z6" i="6"/>
  <c r="U69" i="15"/>
  <c r="Q33" i="15"/>
  <c r="O9" i="1"/>
  <c r="M41" i="6"/>
  <c r="AB51" i="6"/>
  <c r="U33" i="2"/>
  <c r="U19" i="6"/>
  <c r="O81" i="2"/>
  <c r="O57" i="15"/>
  <c r="P81" i="2"/>
  <c r="U21" i="15"/>
  <c r="U63" i="6"/>
  <c r="N9" i="1"/>
  <c r="Y7" i="1"/>
  <c r="Q69" i="2"/>
  <c r="P52" i="6"/>
  <c r="Z78" i="15"/>
  <c r="S9" i="15"/>
  <c r="S30" i="6"/>
  <c r="O63" i="6"/>
  <c r="AD110" i="11"/>
  <c r="N21" i="15"/>
  <c r="Q52" i="6"/>
  <c r="Q69" i="15"/>
  <c r="M45" i="15"/>
  <c r="N57" i="15"/>
  <c r="R57" i="15"/>
  <c r="R69" i="15"/>
  <c r="S19" i="6"/>
  <c r="R52" i="6"/>
  <c r="R21" i="15"/>
  <c r="AD18" i="2"/>
  <c r="P30" i="6"/>
  <c r="M69" i="2"/>
  <c r="H9" i="13"/>
  <c r="M33" i="15"/>
  <c r="P69" i="15"/>
  <c r="AB13" i="3"/>
  <c r="N81" i="15"/>
  <c r="U57" i="2"/>
  <c r="S69" i="2"/>
  <c r="O69" i="2"/>
  <c r="AA66" i="2"/>
  <c r="S52" i="6"/>
  <c r="P33" i="15"/>
  <c r="R74" i="6"/>
  <c r="Z30" i="15"/>
  <c r="AB17" i="15"/>
  <c r="N45" i="15"/>
  <c r="R69" i="2"/>
  <c r="M57" i="15"/>
  <c r="P74" i="6"/>
  <c r="R33" i="15"/>
  <c r="S57" i="15"/>
  <c r="G23" i="13"/>
  <c r="Q31" i="10"/>
  <c r="U45" i="15"/>
  <c r="S81" i="15"/>
  <c r="AA5" i="6"/>
  <c r="P41" i="6"/>
  <c r="Y28" i="6"/>
  <c r="O41" i="6"/>
  <c r="AB66" i="15"/>
  <c r="Q74" i="6"/>
  <c r="N41" i="6"/>
  <c r="AE6" i="15"/>
  <c r="M74" i="6"/>
  <c r="S45" i="15"/>
  <c r="H23" i="13"/>
  <c r="N81" i="2"/>
  <c r="R8" i="6"/>
  <c r="S21" i="15"/>
  <c r="AA56" i="2"/>
  <c r="P45" i="15"/>
  <c r="S117" i="11"/>
  <c r="O69" i="15"/>
  <c r="AC6" i="15"/>
  <c r="N74" i="6"/>
  <c r="Q19" i="6"/>
  <c r="O45" i="15"/>
  <c r="O9" i="15"/>
  <c r="R78" i="11"/>
  <c r="R79" i="11" s="1"/>
  <c r="O21" i="15"/>
  <c r="R45" i="15"/>
  <c r="R9" i="1"/>
  <c r="U9" i="15"/>
  <c r="O81" i="15"/>
  <c r="P57" i="15"/>
  <c r="O30" i="6"/>
  <c r="U69" i="2"/>
  <c r="N69" i="15"/>
  <c r="R19" i="6"/>
  <c r="AI7" i="12"/>
  <c r="K13" i="12"/>
  <c r="AI9" i="12"/>
  <c r="AI8" i="12"/>
  <c r="AI10" i="12"/>
  <c r="AI11" i="12"/>
  <c r="K13" i="10"/>
  <c r="K24" i="10" s="1"/>
  <c r="AI7" i="10"/>
  <c r="AI8" i="10"/>
  <c r="AI9" i="10"/>
  <c r="AI10" i="10"/>
  <c r="AI11" i="10"/>
  <c r="AE7" i="15"/>
  <c r="AA8" i="15"/>
  <c r="AD68" i="15"/>
  <c r="F117" i="11"/>
  <c r="F119" i="11"/>
  <c r="AC17" i="2"/>
  <c r="F123" i="11"/>
  <c r="F122" i="11"/>
  <c r="Q92" i="12"/>
  <c r="Q93" i="12"/>
  <c r="X60" i="6"/>
  <c r="F132" i="12"/>
  <c r="Q96" i="12"/>
  <c r="AF43" i="15"/>
  <c r="Z67" i="15"/>
  <c r="G8" i="6"/>
  <c r="AA5" i="1"/>
  <c r="N120" i="11"/>
  <c r="N123" i="11"/>
  <c r="Z123" i="11" s="1"/>
  <c r="F125" i="12"/>
  <c r="F126" i="12"/>
  <c r="AD29" i="6"/>
  <c r="AC39" i="6"/>
  <c r="AB78" i="2"/>
  <c r="X53" i="15"/>
  <c r="X68" i="15"/>
  <c r="G83" i="9"/>
  <c r="F124" i="12"/>
  <c r="AB6" i="6"/>
  <c r="AD73" i="6"/>
  <c r="G121" i="11"/>
  <c r="Z79" i="2"/>
  <c r="AB6" i="15"/>
  <c r="AE62" i="6"/>
  <c r="F119" i="10"/>
  <c r="Z68" i="2"/>
  <c r="AE67" i="15"/>
  <c r="AF42" i="15"/>
  <c r="G111" i="11"/>
  <c r="AE111" i="11" s="1"/>
  <c r="S123" i="11"/>
  <c r="S119" i="11"/>
  <c r="S124" i="11"/>
  <c r="AE124" i="11" s="1"/>
  <c r="Y19" i="15"/>
  <c r="AD102" i="11"/>
  <c r="S120" i="11"/>
  <c r="F118" i="11"/>
  <c r="S121" i="11"/>
  <c r="F121" i="11"/>
  <c r="F120" i="11"/>
  <c r="R127" i="12"/>
  <c r="AD127" i="12" s="1"/>
  <c r="R128" i="12"/>
  <c r="Q84" i="12"/>
  <c r="X7" i="3"/>
  <c r="Z8" i="15"/>
  <c r="AD53" i="15"/>
  <c r="AB20" i="2"/>
  <c r="AE29" i="6"/>
  <c r="N82" i="9"/>
  <c r="AE56" i="2"/>
  <c r="R96" i="12"/>
  <c r="P58" i="11"/>
  <c r="F111" i="11"/>
  <c r="AD7" i="15"/>
  <c r="AC8" i="3"/>
  <c r="G126" i="12"/>
  <c r="G128" i="12"/>
  <c r="G120" i="11"/>
  <c r="G118" i="11"/>
  <c r="G122" i="11"/>
  <c r="G130" i="12"/>
  <c r="G125" i="12"/>
  <c r="G124" i="12"/>
  <c r="G123" i="11"/>
  <c r="G117" i="11"/>
  <c r="G118" i="12"/>
  <c r="AE108" i="11"/>
  <c r="AA80" i="15"/>
  <c r="X20" i="2"/>
  <c r="AE28" i="6"/>
  <c r="AE20" i="2"/>
  <c r="AD7" i="6"/>
  <c r="X5" i="2"/>
  <c r="AB80" i="15"/>
  <c r="R94" i="12"/>
  <c r="AA31" i="2"/>
  <c r="AB72" i="6"/>
  <c r="AA18" i="15"/>
  <c r="R95" i="12"/>
  <c r="AA29" i="2"/>
  <c r="X17" i="6"/>
  <c r="F131" i="10"/>
  <c r="AE66" i="15"/>
  <c r="AB42" i="2"/>
  <c r="R91" i="12"/>
  <c r="G129" i="12"/>
  <c r="AA68" i="15"/>
  <c r="N86" i="9"/>
  <c r="AA66" i="15"/>
  <c r="N80" i="9"/>
  <c r="G119" i="11"/>
  <c r="N84" i="9"/>
  <c r="Y62" i="6"/>
  <c r="AC5" i="15"/>
  <c r="P21" i="15"/>
  <c r="F131" i="12"/>
  <c r="AE80" i="15"/>
  <c r="AC68" i="15"/>
  <c r="AD43" i="2"/>
  <c r="X8" i="2"/>
  <c r="Q128" i="10"/>
  <c r="AE46" i="10"/>
  <c r="AC61" i="6"/>
  <c r="AA78" i="15"/>
  <c r="R49" i="9"/>
  <c r="Q133" i="10"/>
  <c r="Y16" i="6"/>
  <c r="AC51" i="6"/>
  <c r="Y80" i="2"/>
  <c r="X16" i="6"/>
  <c r="F128" i="12"/>
  <c r="F130" i="12"/>
  <c r="F129" i="12"/>
  <c r="AD129" i="12" s="1"/>
  <c r="G132" i="12"/>
  <c r="G131" i="12"/>
  <c r="F132" i="10"/>
  <c r="F130" i="10"/>
  <c r="F129" i="10"/>
  <c r="F128" i="10"/>
  <c r="F127" i="10"/>
  <c r="F126" i="10"/>
  <c r="F125" i="10"/>
  <c r="AD125" i="10" s="1"/>
  <c r="AD40" i="6"/>
  <c r="X18" i="15"/>
  <c r="Y16" i="3"/>
  <c r="S132" i="12"/>
  <c r="S125" i="12"/>
  <c r="S126" i="12"/>
  <c r="S127" i="12"/>
  <c r="AE127" i="12" s="1"/>
  <c r="S128" i="12"/>
  <c r="S129" i="12"/>
  <c r="AE115" i="12"/>
  <c r="S124" i="12"/>
  <c r="Q120" i="11"/>
  <c r="R132" i="12"/>
  <c r="R125" i="12"/>
  <c r="R126" i="12"/>
  <c r="R130" i="12"/>
  <c r="R131" i="12"/>
  <c r="AD115" i="12"/>
  <c r="R124" i="12"/>
  <c r="D131" i="12"/>
  <c r="D124" i="12"/>
  <c r="G132" i="10"/>
  <c r="G131" i="10"/>
  <c r="G130" i="10"/>
  <c r="G129" i="10"/>
  <c r="G125" i="10"/>
  <c r="AE125" i="10" s="1"/>
  <c r="G133" i="10"/>
  <c r="S130" i="12"/>
  <c r="Q121" i="11"/>
  <c r="G126" i="10"/>
  <c r="S131" i="12"/>
  <c r="Q122" i="11"/>
  <c r="S119" i="10"/>
  <c r="S133" i="10"/>
  <c r="AE116" i="10"/>
  <c r="E127" i="12"/>
  <c r="E128" i="12"/>
  <c r="E124" i="12"/>
  <c r="E132" i="12"/>
  <c r="AC132" i="12" s="1"/>
  <c r="E125" i="12"/>
  <c r="E126" i="12"/>
  <c r="AD116" i="10"/>
  <c r="R126" i="10"/>
  <c r="R119" i="10"/>
  <c r="R133" i="10"/>
  <c r="AD133" i="10" s="1"/>
  <c r="R132" i="10"/>
  <c r="R131" i="10"/>
  <c r="R130" i="10"/>
  <c r="R128" i="10"/>
  <c r="R127" i="10"/>
  <c r="X67" i="15"/>
  <c r="R129" i="10"/>
  <c r="G128" i="10"/>
  <c r="AA6" i="3"/>
  <c r="AB8" i="15"/>
  <c r="Q127" i="10"/>
  <c r="E129" i="12"/>
  <c r="AB7" i="3"/>
  <c r="AB8" i="1"/>
  <c r="G127" i="10"/>
  <c r="E130" i="12"/>
  <c r="AC6" i="3"/>
  <c r="Y32" i="2"/>
  <c r="AA17" i="15"/>
  <c r="E131" i="12"/>
  <c r="AE66" i="2"/>
  <c r="S118" i="12"/>
  <c r="AD51" i="6"/>
  <c r="F50" i="9"/>
  <c r="Q119" i="11"/>
  <c r="E119" i="11"/>
  <c r="E120" i="11"/>
  <c r="E121" i="11"/>
  <c r="E122" i="11"/>
  <c r="E123" i="11"/>
  <c r="Q118" i="11"/>
  <c r="AE117" i="12"/>
  <c r="AC110" i="11"/>
  <c r="Z14" i="11"/>
  <c r="D19" i="16"/>
  <c r="E19" i="16" s="1"/>
  <c r="Z46" i="11"/>
  <c r="Z8" i="1"/>
  <c r="AE20" i="15"/>
  <c r="AF67" i="2"/>
  <c r="AE43" i="12"/>
  <c r="G19" i="9"/>
  <c r="G51" i="9"/>
  <c r="AA51" i="9" s="1"/>
  <c r="AE45" i="12"/>
  <c r="G84" i="9"/>
  <c r="AA84" i="9" s="1"/>
  <c r="E74" i="6"/>
  <c r="Y5" i="2"/>
  <c r="G56" i="9"/>
  <c r="D9" i="2"/>
  <c r="G82" i="9"/>
  <c r="AB16" i="3"/>
  <c r="Z13" i="3"/>
  <c r="AA54" i="2"/>
  <c r="AE54" i="2"/>
  <c r="E64" i="12"/>
  <c r="E58" i="12"/>
  <c r="C85" i="9"/>
  <c r="D84" i="12"/>
  <c r="Z44" i="2"/>
  <c r="D95" i="12"/>
  <c r="X54" i="2"/>
  <c r="B111" i="11"/>
  <c r="D96" i="12"/>
  <c r="H86" i="9"/>
  <c r="D97" i="12"/>
  <c r="AD7" i="2"/>
  <c r="AF5" i="2"/>
  <c r="C56" i="9"/>
  <c r="G49" i="9"/>
  <c r="AB42" i="15"/>
  <c r="D90" i="12"/>
  <c r="D93" i="12"/>
  <c r="D91" i="12"/>
  <c r="AE6" i="6"/>
  <c r="AE50" i="6"/>
  <c r="F19" i="6"/>
  <c r="AC16" i="3"/>
  <c r="AF17" i="6"/>
  <c r="F79" i="9"/>
  <c r="AC54" i="2"/>
  <c r="AF72" i="6"/>
  <c r="AF7" i="2"/>
  <c r="L19" i="13"/>
  <c r="Y12" i="3"/>
  <c r="G81" i="15"/>
  <c r="AA8" i="2"/>
  <c r="AC44" i="15"/>
  <c r="G74" i="6"/>
  <c r="Z73" i="6"/>
  <c r="AE8" i="2"/>
  <c r="AD56" i="2"/>
  <c r="I20" i="9"/>
  <c r="AC20" i="9" s="1"/>
  <c r="G57" i="15"/>
  <c r="X7" i="2"/>
  <c r="AA65" i="2"/>
  <c r="N8" i="13"/>
  <c r="J69" i="2"/>
  <c r="E33" i="15"/>
  <c r="F51" i="9"/>
  <c r="AC67" i="2"/>
  <c r="AB39" i="6"/>
  <c r="AB6" i="2"/>
  <c r="F19" i="9"/>
  <c r="AB19" i="15"/>
  <c r="N6" i="13"/>
  <c r="AB17" i="3"/>
  <c r="E69" i="2"/>
  <c r="N7" i="13"/>
  <c r="Y56" i="2"/>
  <c r="AD50" i="6"/>
  <c r="AE30" i="2"/>
  <c r="AD60" i="6"/>
  <c r="Y14" i="3"/>
  <c r="E93" i="12"/>
  <c r="D21" i="2"/>
  <c r="AA56" i="15"/>
  <c r="Z80" i="15"/>
  <c r="AE78" i="15"/>
  <c r="Y8" i="1"/>
  <c r="X18" i="6"/>
  <c r="AB20" i="15"/>
  <c r="AB17" i="6"/>
  <c r="F21" i="15"/>
  <c r="AD18" i="15"/>
  <c r="G79" i="9"/>
  <c r="G54" i="9"/>
  <c r="Y43" i="15"/>
  <c r="AB30" i="15"/>
  <c r="Z17" i="6"/>
  <c r="X32" i="2"/>
  <c r="B52" i="6"/>
  <c r="G85" i="9"/>
  <c r="AH15" i="12"/>
  <c r="AC29" i="6"/>
  <c r="AC68" i="2"/>
  <c r="Y19" i="2"/>
  <c r="AA67" i="2"/>
  <c r="G80" i="9"/>
  <c r="AA50" i="6"/>
  <c r="AC32" i="15"/>
  <c r="G21" i="9"/>
  <c r="AD78" i="15"/>
  <c r="Z17" i="3"/>
  <c r="G86" i="9"/>
  <c r="B119" i="11"/>
  <c r="Z119" i="11" s="1"/>
  <c r="X19" i="2"/>
  <c r="G24" i="9"/>
  <c r="G55" i="9"/>
  <c r="M18" i="13"/>
  <c r="Y5" i="15"/>
  <c r="X42" i="15"/>
  <c r="B124" i="11"/>
  <c r="G53" i="9"/>
  <c r="X6" i="15"/>
  <c r="L6" i="13"/>
  <c r="Z8" i="2"/>
  <c r="AE8" i="3"/>
  <c r="B120" i="11"/>
  <c r="G26" i="9"/>
  <c r="X56" i="15"/>
  <c r="X78" i="15"/>
  <c r="G81" i="9"/>
  <c r="B16" i="10"/>
  <c r="AF9" i="3"/>
  <c r="AD79" i="15"/>
  <c r="AA55" i="2"/>
  <c r="AE7" i="6"/>
  <c r="E60" i="12"/>
  <c r="AF19" i="2"/>
  <c r="G22" i="9"/>
  <c r="G48" i="16"/>
  <c r="Z79" i="15"/>
  <c r="Z44" i="15"/>
  <c r="AA19" i="15"/>
  <c r="G52" i="9"/>
  <c r="B24" i="10"/>
  <c r="AD55" i="2"/>
  <c r="G27" i="11"/>
  <c r="G20" i="9"/>
  <c r="C49" i="9"/>
  <c r="AF8" i="15"/>
  <c r="G50" i="9"/>
  <c r="AB77" i="2"/>
  <c r="Z29" i="6"/>
  <c r="AE18" i="6"/>
  <c r="AB78" i="15"/>
  <c r="AD20" i="15"/>
  <c r="AC56" i="2"/>
  <c r="G15" i="11"/>
  <c r="C84" i="9"/>
  <c r="AF5" i="6"/>
  <c r="AF77" i="15"/>
  <c r="Y67" i="15"/>
  <c r="X39" i="6"/>
  <c r="Z61" i="6"/>
  <c r="G24" i="11"/>
  <c r="X15" i="3"/>
  <c r="X40" i="6"/>
  <c r="G25" i="9"/>
  <c r="B9" i="2"/>
  <c r="AD15" i="3"/>
  <c r="X16" i="3"/>
  <c r="B30" i="10"/>
  <c r="AB78" i="11"/>
  <c r="AE31" i="15"/>
  <c r="X44" i="15"/>
  <c r="AB61" i="6"/>
  <c r="P118" i="12"/>
  <c r="AB44" i="2"/>
  <c r="X80" i="15"/>
  <c r="AF30" i="15"/>
  <c r="Q91" i="12"/>
  <c r="S16" i="12"/>
  <c r="AA71" i="6"/>
  <c r="AC15" i="12"/>
  <c r="X29" i="15"/>
  <c r="Y20" i="15"/>
  <c r="X73" i="6"/>
  <c r="AB7" i="15"/>
  <c r="Z66" i="15"/>
  <c r="AF80" i="2"/>
  <c r="AF12" i="3"/>
  <c r="AD68" i="2"/>
  <c r="Z67" i="2"/>
  <c r="O124" i="11"/>
  <c r="O54" i="9"/>
  <c r="AC18" i="15"/>
  <c r="Y68" i="2"/>
  <c r="AB8" i="3"/>
  <c r="S29" i="12"/>
  <c r="Y31" i="2"/>
  <c r="C83" i="16"/>
  <c r="H83" i="16" s="1"/>
  <c r="S25" i="12"/>
  <c r="AD42" i="15"/>
  <c r="Z55" i="15"/>
  <c r="AE7" i="1"/>
  <c r="AD14" i="11"/>
  <c r="AC53" i="15"/>
  <c r="S22" i="12"/>
  <c r="Z20" i="15"/>
  <c r="Y42" i="9"/>
  <c r="Q95" i="12"/>
  <c r="AE40" i="6"/>
  <c r="AC27" i="6"/>
  <c r="Q94" i="12"/>
  <c r="AE68" i="2"/>
  <c r="O51" i="9"/>
  <c r="O56" i="9"/>
  <c r="AD29" i="15"/>
  <c r="AA44" i="15"/>
  <c r="Z7" i="6"/>
  <c r="AB6" i="3"/>
  <c r="U81" i="15"/>
  <c r="X12" i="3"/>
  <c r="Y13" i="3"/>
  <c r="AC13" i="3"/>
  <c r="Q90" i="11"/>
  <c r="AA40" i="6"/>
  <c r="Q79" i="11"/>
  <c r="AE8" i="1"/>
  <c r="AF77" i="2"/>
  <c r="AF15" i="3"/>
  <c r="O96" i="10"/>
  <c r="Z17" i="15"/>
  <c r="AD43" i="15"/>
  <c r="Z68" i="15"/>
  <c r="Z18" i="15"/>
  <c r="AE6" i="1"/>
  <c r="M63" i="6"/>
  <c r="Z42" i="15"/>
  <c r="X38" i="6"/>
  <c r="AB67" i="15"/>
  <c r="AA17" i="3"/>
  <c r="AC5" i="1"/>
  <c r="AE42" i="11"/>
  <c r="Z8" i="3"/>
  <c r="Z10" i="3"/>
  <c r="Q26" i="10"/>
  <c r="AA5" i="2"/>
  <c r="Q92" i="11"/>
  <c r="AC7" i="3"/>
  <c r="Y8" i="15"/>
  <c r="Z54" i="15"/>
  <c r="Y7" i="15"/>
  <c r="AE12" i="3"/>
  <c r="Y77" i="15"/>
  <c r="AF68" i="15"/>
  <c r="Z43" i="15"/>
  <c r="Z19" i="15"/>
  <c r="AF67" i="15"/>
  <c r="AC80" i="2"/>
  <c r="AB55" i="15"/>
  <c r="AC40" i="6"/>
  <c r="X32" i="15"/>
  <c r="AA11" i="3"/>
  <c r="AB65" i="15"/>
  <c r="AA32" i="2"/>
  <c r="AE39" i="6"/>
  <c r="N97" i="12"/>
  <c r="AC14" i="3"/>
  <c r="X65" i="15"/>
  <c r="AC28" i="6"/>
  <c r="AF66" i="2"/>
  <c r="AB62" i="6"/>
  <c r="Q90" i="12"/>
  <c r="Y6" i="1"/>
  <c r="AE43" i="15"/>
  <c r="AE7" i="3"/>
  <c r="AC17" i="3"/>
  <c r="AD49" i="6"/>
  <c r="Y6" i="6"/>
  <c r="AC30" i="15"/>
  <c r="AC8" i="1"/>
  <c r="Z78" i="11"/>
  <c r="AF32" i="15"/>
  <c r="AF51" i="6"/>
  <c r="X79" i="2"/>
  <c r="W15" i="12"/>
  <c r="W16" i="12" s="1"/>
  <c r="Y29" i="15"/>
  <c r="AE19" i="15"/>
  <c r="AA42" i="15"/>
  <c r="AB28" i="6"/>
  <c r="AD32" i="15"/>
  <c r="AE11" i="3"/>
  <c r="AD6" i="15"/>
  <c r="Y17" i="3"/>
  <c r="AI15" i="10"/>
  <c r="R25" i="12"/>
  <c r="Z7" i="1"/>
  <c r="O92" i="12"/>
  <c r="X56" i="2"/>
  <c r="W14" i="11"/>
  <c r="Q29" i="12"/>
  <c r="P96" i="12"/>
  <c r="C85" i="16"/>
  <c r="H85" i="16" s="1"/>
  <c r="AC19" i="2"/>
  <c r="AE17" i="6"/>
  <c r="Z49" i="12"/>
  <c r="X28" i="6"/>
  <c r="V22" i="12"/>
  <c r="Q23" i="10"/>
  <c r="N125" i="12"/>
  <c r="Z125" i="12" s="1"/>
  <c r="AB68" i="2"/>
  <c r="AD56" i="15"/>
  <c r="X31" i="15"/>
  <c r="Z30" i="2"/>
  <c r="V23" i="12"/>
  <c r="Q27" i="10"/>
  <c r="R54" i="9"/>
  <c r="N97" i="10"/>
  <c r="AE32" i="2"/>
  <c r="X29" i="6"/>
  <c r="V24" i="12"/>
  <c r="Q25" i="10"/>
  <c r="N95" i="10"/>
  <c r="Z95" i="10" s="1"/>
  <c r="O84" i="12"/>
  <c r="X30" i="15"/>
  <c r="Q28" i="10"/>
  <c r="AA72" i="6"/>
  <c r="AD39" i="6"/>
  <c r="AD30" i="15"/>
  <c r="Q16" i="10"/>
  <c r="R92" i="11"/>
  <c r="Q24" i="10"/>
  <c r="N92" i="12"/>
  <c r="AF18" i="15"/>
  <c r="AA79" i="15"/>
  <c r="X67" i="2"/>
  <c r="X8" i="15"/>
  <c r="R87" i="11"/>
  <c r="C51" i="16"/>
  <c r="H51" i="16" s="1"/>
  <c r="N91" i="12"/>
  <c r="N31" i="10"/>
  <c r="Q29" i="10"/>
  <c r="C48" i="16"/>
  <c r="H48" i="16" s="1"/>
  <c r="N23" i="10"/>
  <c r="AC18" i="6"/>
  <c r="X65" i="2"/>
  <c r="AD17" i="15"/>
  <c r="Z6" i="15"/>
  <c r="N25" i="10"/>
  <c r="AD8" i="3"/>
  <c r="AC42" i="15"/>
  <c r="X72" i="6"/>
  <c r="AD20" i="2"/>
  <c r="Q124" i="12"/>
  <c r="R29" i="12"/>
  <c r="AC67" i="15"/>
  <c r="AE6" i="3"/>
  <c r="Y44" i="15"/>
  <c r="AA42" i="2"/>
  <c r="X68" i="2"/>
  <c r="AC77" i="2"/>
  <c r="R53" i="9"/>
  <c r="R51" i="9"/>
  <c r="AB73" i="6"/>
  <c r="R55" i="9"/>
  <c r="AF29" i="15"/>
  <c r="R52" i="9"/>
  <c r="R50" i="9"/>
  <c r="N29" i="10"/>
  <c r="AC43" i="15"/>
  <c r="X79" i="15"/>
  <c r="AA15" i="12"/>
  <c r="N92" i="10"/>
  <c r="O93" i="12"/>
  <c r="AE73" i="6"/>
  <c r="AC83" i="12"/>
  <c r="D21" i="16"/>
  <c r="E21" i="16" s="1"/>
  <c r="AC17" i="15"/>
  <c r="AC73" i="6"/>
  <c r="N130" i="12"/>
  <c r="AF28" i="6"/>
  <c r="X7" i="6"/>
  <c r="R98" i="12"/>
  <c r="R84" i="12"/>
  <c r="M20" i="13"/>
  <c r="AF65" i="2"/>
  <c r="AE19" i="2"/>
  <c r="AC7" i="15"/>
  <c r="Y56" i="15"/>
  <c r="M22" i="13"/>
  <c r="U8" i="6"/>
  <c r="AD17" i="2"/>
  <c r="AB18" i="6"/>
  <c r="X20" i="15"/>
  <c r="Q125" i="12"/>
  <c r="Q131" i="12"/>
  <c r="AA7" i="3"/>
  <c r="Q91" i="11"/>
  <c r="N24" i="10"/>
  <c r="Z72" i="6"/>
  <c r="Q118" i="12"/>
  <c r="Y53" i="15"/>
  <c r="N96" i="12"/>
  <c r="X50" i="6"/>
  <c r="M7" i="13"/>
  <c r="AD8" i="15"/>
  <c r="Z32" i="2"/>
  <c r="AA43" i="2"/>
  <c r="N93" i="12"/>
  <c r="Q126" i="12"/>
  <c r="Y30" i="15"/>
  <c r="Z49" i="6"/>
  <c r="AB32" i="15"/>
  <c r="Y23" i="9"/>
  <c r="AB32" i="2"/>
  <c r="AB18" i="2"/>
  <c r="X7" i="15"/>
  <c r="Y9" i="3"/>
  <c r="Z13" i="10"/>
  <c r="AE80" i="2"/>
  <c r="N95" i="12"/>
  <c r="AB50" i="6"/>
  <c r="AA51" i="6"/>
  <c r="X55" i="15"/>
  <c r="AE8" i="15"/>
  <c r="Q88" i="11"/>
  <c r="AE40" i="11"/>
  <c r="Z56" i="2"/>
  <c r="AE79" i="15"/>
  <c r="AB66" i="2"/>
  <c r="X29" i="2"/>
  <c r="AB31" i="15"/>
  <c r="N30" i="10"/>
  <c r="AB5" i="1"/>
  <c r="X30" i="2"/>
  <c r="AA78" i="2"/>
  <c r="Z66" i="2"/>
  <c r="AD54" i="15"/>
  <c r="AF55" i="2"/>
  <c r="AE32" i="15"/>
  <c r="Q124" i="11"/>
  <c r="Q45" i="2"/>
  <c r="S84" i="9"/>
  <c r="AC44" i="2"/>
  <c r="AD14" i="3"/>
  <c r="X17" i="3"/>
  <c r="X19" i="9"/>
  <c r="AC77" i="15"/>
  <c r="AA6" i="6"/>
  <c r="AA30" i="15"/>
  <c r="S79" i="9"/>
  <c r="AF13" i="3"/>
  <c r="AE18" i="15"/>
  <c r="AE15" i="3"/>
  <c r="AD54" i="2"/>
  <c r="AF32" i="2"/>
  <c r="Z40" i="6"/>
  <c r="AB79" i="15"/>
  <c r="Y77" i="2"/>
  <c r="O119" i="11"/>
  <c r="S41" i="6"/>
  <c r="S85" i="9"/>
  <c r="O53" i="9"/>
  <c r="AD6" i="6"/>
  <c r="AE17" i="3"/>
  <c r="N9" i="15"/>
  <c r="AF18" i="2"/>
  <c r="AB5" i="3"/>
  <c r="Y29" i="6"/>
  <c r="Y54" i="15"/>
  <c r="AD7" i="3"/>
  <c r="AA20" i="2"/>
  <c r="Q89" i="11"/>
  <c r="AB42" i="9"/>
  <c r="AA6" i="15"/>
  <c r="AA17" i="6"/>
  <c r="AA18" i="6"/>
  <c r="Q85" i="11"/>
  <c r="Y20" i="2"/>
  <c r="AA19" i="2"/>
  <c r="L18" i="13"/>
  <c r="L16" i="13"/>
  <c r="AA31" i="15"/>
  <c r="X6" i="3"/>
  <c r="R81" i="15"/>
  <c r="Z56" i="15"/>
  <c r="P27" i="12"/>
  <c r="P50" i="9"/>
  <c r="P25" i="12"/>
  <c r="O16" i="12"/>
  <c r="D22" i="16"/>
  <c r="E22" i="16" s="1"/>
  <c r="AD31" i="15"/>
  <c r="AD66" i="2"/>
  <c r="P55" i="9"/>
  <c r="Z31" i="15"/>
  <c r="O91" i="10"/>
  <c r="S28" i="12"/>
  <c r="P51" i="9"/>
  <c r="AD42" i="2"/>
  <c r="AD17" i="3"/>
  <c r="O22" i="9"/>
  <c r="N98" i="12"/>
  <c r="Z32" i="15"/>
  <c r="P52" i="9"/>
  <c r="P54" i="9"/>
  <c r="Q127" i="12"/>
  <c r="AC9" i="3"/>
  <c r="S26" i="12"/>
  <c r="AC81" i="12"/>
  <c r="AD38" i="6"/>
  <c r="AE51" i="6"/>
  <c r="Q128" i="12"/>
  <c r="AB56" i="2"/>
  <c r="AA27" i="6"/>
  <c r="M8" i="13"/>
  <c r="D25" i="16"/>
  <c r="E25" i="16" s="1"/>
  <c r="P56" i="9"/>
  <c r="AA7" i="15"/>
  <c r="AB46" i="11"/>
  <c r="Y79" i="15"/>
  <c r="AF61" i="6"/>
  <c r="Q87" i="11"/>
  <c r="R90" i="12"/>
  <c r="AD79" i="2"/>
  <c r="AC20" i="15"/>
  <c r="AD44" i="2"/>
  <c r="S86" i="9"/>
  <c r="Y18" i="15"/>
  <c r="P53" i="9"/>
  <c r="X66" i="15"/>
  <c r="AE68" i="15"/>
  <c r="Y32" i="15"/>
  <c r="P81" i="9"/>
  <c r="P79" i="9"/>
  <c r="N118" i="12"/>
  <c r="P82" i="9"/>
  <c r="P85" i="9"/>
  <c r="Z85" i="9" s="1"/>
  <c r="Y40" i="6"/>
  <c r="AC62" i="6"/>
  <c r="AF6" i="3"/>
  <c r="AF56" i="15"/>
  <c r="AD67" i="2"/>
  <c r="AB11" i="3"/>
  <c r="AE42" i="15"/>
  <c r="AF11" i="3"/>
  <c r="AE16" i="3"/>
  <c r="P22" i="12"/>
  <c r="P91" i="12"/>
  <c r="X13" i="3"/>
  <c r="N26" i="9"/>
  <c r="N122" i="11"/>
  <c r="Q129" i="12"/>
  <c r="AB15" i="3"/>
  <c r="P16" i="12"/>
  <c r="R28" i="12"/>
  <c r="AC7" i="1"/>
  <c r="AD44" i="15"/>
  <c r="X7" i="1"/>
  <c r="O24" i="9"/>
  <c r="D18" i="16"/>
  <c r="E18" i="16" s="1"/>
  <c r="Q97" i="12"/>
  <c r="AC97" i="12" s="1"/>
  <c r="O97" i="12"/>
  <c r="N85" i="9"/>
  <c r="Y49" i="6"/>
  <c r="P26" i="12"/>
  <c r="Q25" i="12"/>
  <c r="AC25" i="12" s="1"/>
  <c r="AA7" i="6"/>
  <c r="O50" i="9"/>
  <c r="N81" i="9"/>
  <c r="W16" i="10"/>
  <c r="Z80" i="2"/>
  <c r="Y17" i="15"/>
  <c r="Q130" i="12"/>
  <c r="X9" i="3"/>
  <c r="O92" i="10"/>
  <c r="P69" i="2"/>
  <c r="R92" i="12"/>
  <c r="L8" i="13"/>
  <c r="D23" i="16"/>
  <c r="E23" i="16" s="1"/>
  <c r="N132" i="12"/>
  <c r="X31" i="2"/>
  <c r="X10" i="3"/>
  <c r="AF31" i="15"/>
  <c r="AA8" i="3"/>
  <c r="O85" i="10"/>
  <c r="R93" i="12"/>
  <c r="AD13" i="3"/>
  <c r="Z11" i="3"/>
  <c r="AE15" i="12"/>
  <c r="AE78" i="2"/>
  <c r="L51" i="9"/>
  <c r="AC117" i="12"/>
  <c r="C19" i="9"/>
  <c r="Z6" i="1"/>
  <c r="AC46" i="11"/>
  <c r="AB41" i="15"/>
  <c r="H63" i="6"/>
  <c r="AA29" i="6"/>
  <c r="AD80" i="2"/>
  <c r="N111" i="11"/>
  <c r="Y6" i="3"/>
  <c r="AB40" i="6"/>
  <c r="AA54" i="15"/>
  <c r="AB18" i="15"/>
  <c r="AD17" i="6"/>
  <c r="N50" i="9"/>
  <c r="AE14" i="11"/>
  <c r="N53" i="9"/>
  <c r="AC31" i="15"/>
  <c r="N51" i="9"/>
  <c r="N49" i="9"/>
  <c r="AC56" i="15"/>
  <c r="D57" i="2"/>
  <c r="L22" i="13"/>
  <c r="P45" i="2"/>
  <c r="X14" i="3"/>
  <c r="D52" i="6"/>
  <c r="Z18" i="6"/>
  <c r="Q81" i="2"/>
  <c r="AB67" i="2"/>
  <c r="N94" i="10"/>
  <c r="N124" i="12"/>
  <c r="N79" i="9"/>
  <c r="C9" i="15"/>
  <c r="E19" i="6"/>
  <c r="AA19" i="6" s="1"/>
  <c r="AB71" i="6"/>
  <c r="N85" i="10"/>
  <c r="AD61" i="6"/>
  <c r="Z55" i="2"/>
  <c r="F84" i="9"/>
  <c r="AD12" i="3"/>
  <c r="L7" i="13"/>
  <c r="AB43" i="2"/>
  <c r="AE44" i="15"/>
  <c r="AE13" i="3"/>
  <c r="E52" i="6"/>
  <c r="AB56" i="15"/>
  <c r="F83" i="9"/>
  <c r="Z83" i="9" s="1"/>
  <c r="N96" i="10"/>
  <c r="AE55" i="15"/>
  <c r="AB14" i="11"/>
  <c r="B118" i="12"/>
  <c r="G9" i="1"/>
  <c r="AA43" i="15"/>
  <c r="AD8" i="2"/>
  <c r="X42" i="9"/>
  <c r="N98" i="10"/>
  <c r="U30" i="12"/>
  <c r="AB94" i="12"/>
  <c r="AF31" i="2"/>
  <c r="AD7" i="1"/>
  <c r="N99" i="10"/>
  <c r="C84" i="16"/>
  <c r="H84" i="16" s="1"/>
  <c r="C69" i="15"/>
  <c r="Y80" i="15"/>
  <c r="B19" i="6"/>
  <c r="C26" i="9"/>
  <c r="N91" i="10"/>
  <c r="U22" i="12"/>
  <c r="C45" i="15"/>
  <c r="Z7" i="3"/>
  <c r="Y55" i="15"/>
  <c r="U29" i="12"/>
  <c r="F56" i="9"/>
  <c r="J81" i="15"/>
  <c r="Z42" i="2"/>
  <c r="AC66" i="15"/>
  <c r="AF7" i="15"/>
  <c r="C79" i="16"/>
  <c r="H79" i="16" s="1"/>
  <c r="AE30" i="15"/>
  <c r="B25" i="10"/>
  <c r="AD80" i="15"/>
  <c r="Y72" i="6"/>
  <c r="Q132" i="10"/>
  <c r="U16" i="12"/>
  <c r="M6" i="13"/>
  <c r="AA28" i="6"/>
  <c r="AB43" i="15"/>
  <c r="D45" i="2"/>
  <c r="AF7" i="6"/>
  <c r="U27" i="12"/>
  <c r="X77" i="2"/>
  <c r="N21" i="13"/>
  <c r="H30" i="6"/>
  <c r="P47" i="11"/>
  <c r="U25" i="12"/>
  <c r="AF14" i="3"/>
  <c r="W24" i="10"/>
  <c r="AF50" i="6"/>
  <c r="AF44" i="15"/>
  <c r="AC15" i="3"/>
  <c r="AB7" i="2"/>
  <c r="P55" i="11"/>
  <c r="R91" i="11"/>
  <c r="AC66" i="2"/>
  <c r="Z38" i="6"/>
  <c r="C23" i="9"/>
  <c r="AC53" i="2"/>
  <c r="AD72" i="6"/>
  <c r="X19" i="15"/>
  <c r="O55" i="9"/>
  <c r="U28" i="12"/>
  <c r="C50" i="12"/>
  <c r="X62" i="6"/>
  <c r="Y7" i="2"/>
  <c r="U26" i="12"/>
  <c r="R24" i="9"/>
  <c r="AF16" i="3"/>
  <c r="C53" i="9"/>
  <c r="S30" i="12"/>
  <c r="AA68" i="2"/>
  <c r="AE18" i="2"/>
  <c r="U9" i="2"/>
  <c r="F81" i="2"/>
  <c r="C81" i="9"/>
  <c r="W81" i="9" s="1"/>
  <c r="B41" i="6"/>
  <c r="AF71" i="6"/>
  <c r="O49" i="9"/>
  <c r="Y66" i="2"/>
  <c r="AE23" i="12"/>
  <c r="V72" i="9"/>
  <c r="P29" i="12"/>
  <c r="AB29" i="12" s="1"/>
  <c r="AD18" i="6"/>
  <c r="R84" i="9"/>
  <c r="D69" i="15"/>
  <c r="R83" i="9"/>
  <c r="R82" i="9"/>
  <c r="AB82" i="9" s="1"/>
  <c r="AF5" i="3"/>
  <c r="AD77" i="15"/>
  <c r="R86" i="9"/>
  <c r="C131" i="12"/>
  <c r="C118" i="12"/>
  <c r="M81" i="2"/>
  <c r="R85" i="9"/>
  <c r="C52" i="6"/>
  <c r="C129" i="12"/>
  <c r="R81" i="9"/>
  <c r="C127" i="12"/>
  <c r="R79" i="9"/>
  <c r="L84" i="9"/>
  <c r="AF40" i="6"/>
  <c r="C130" i="12"/>
  <c r="AA130" i="12" s="1"/>
  <c r="AF55" i="15"/>
  <c r="AF39" i="6"/>
  <c r="D82" i="9"/>
  <c r="C126" i="12"/>
  <c r="AA9" i="3"/>
  <c r="U74" i="6"/>
  <c r="O27" i="12"/>
  <c r="L85" i="9"/>
  <c r="X49" i="6"/>
  <c r="AF6" i="2"/>
  <c r="Y18" i="6"/>
  <c r="AB8" i="2"/>
  <c r="C54" i="9"/>
  <c r="R21" i="9"/>
  <c r="N84" i="12"/>
  <c r="AA46" i="11"/>
  <c r="AF62" i="6"/>
  <c r="B57" i="15"/>
  <c r="G41" i="6"/>
  <c r="C124" i="12"/>
  <c r="J8" i="6"/>
  <c r="Y42" i="2"/>
  <c r="P60" i="11"/>
  <c r="R90" i="11"/>
  <c r="O23" i="12"/>
  <c r="R23" i="9"/>
  <c r="Q131" i="10"/>
  <c r="O84" i="9"/>
  <c r="AA32" i="15"/>
  <c r="AF54" i="15"/>
  <c r="AA44" i="2"/>
  <c r="E84" i="12"/>
  <c r="P133" i="10"/>
  <c r="O24" i="12"/>
  <c r="X61" i="6"/>
  <c r="O83" i="9"/>
  <c r="C21" i="9"/>
  <c r="Y73" i="6"/>
  <c r="R25" i="9"/>
  <c r="S55" i="9"/>
  <c r="N90" i="12"/>
  <c r="O82" i="9"/>
  <c r="AF56" i="2"/>
  <c r="AB72" i="9"/>
  <c r="AB29" i="6"/>
  <c r="AF8" i="3"/>
  <c r="E95" i="12"/>
  <c r="AA14" i="3"/>
  <c r="Y43" i="2"/>
  <c r="P129" i="10"/>
  <c r="O26" i="12"/>
  <c r="AC6" i="1"/>
  <c r="M16" i="13"/>
  <c r="O85" i="9"/>
  <c r="S52" i="9"/>
  <c r="Q129" i="10"/>
  <c r="O80" i="9"/>
  <c r="AG14" i="11"/>
  <c r="F45" i="2"/>
  <c r="Z43" i="2"/>
  <c r="AE9" i="3"/>
  <c r="E91" i="12"/>
  <c r="AA10" i="3"/>
  <c r="P131" i="10"/>
  <c r="O111" i="11"/>
  <c r="AD19" i="15"/>
  <c r="S49" i="9"/>
  <c r="P127" i="10"/>
  <c r="O81" i="9"/>
  <c r="L86" i="9"/>
  <c r="AC7" i="2"/>
  <c r="E92" i="12"/>
  <c r="AA7" i="2"/>
  <c r="P128" i="10"/>
  <c r="O122" i="11"/>
  <c r="Y31" i="15"/>
  <c r="AD8" i="1"/>
  <c r="N21" i="9"/>
  <c r="S53" i="9"/>
  <c r="P130" i="10"/>
  <c r="O132" i="12"/>
  <c r="AA132" i="12" s="1"/>
  <c r="E63" i="12"/>
  <c r="AD6" i="3"/>
  <c r="N9" i="2"/>
  <c r="AC12" i="3"/>
  <c r="P126" i="10"/>
  <c r="AD16" i="6"/>
  <c r="O118" i="11"/>
  <c r="AF20" i="2"/>
  <c r="D19" i="6"/>
  <c r="Z19" i="6" s="1"/>
  <c r="X27" i="6"/>
  <c r="Z77" i="2"/>
  <c r="N23" i="9"/>
  <c r="S56" i="9"/>
  <c r="P132" i="10"/>
  <c r="S24" i="12"/>
  <c r="Q130" i="10"/>
  <c r="E59" i="12"/>
  <c r="E9" i="2"/>
  <c r="AE55" i="2"/>
  <c r="AB12" i="3"/>
  <c r="AA16" i="3"/>
  <c r="P119" i="10"/>
  <c r="O120" i="11"/>
  <c r="Q45" i="15"/>
  <c r="F45" i="15"/>
  <c r="C33" i="15"/>
  <c r="M19" i="13"/>
  <c r="C83" i="9"/>
  <c r="AB79" i="2"/>
  <c r="N25" i="9"/>
  <c r="S50" i="9"/>
  <c r="S27" i="12"/>
  <c r="Q119" i="10"/>
  <c r="AF19" i="15"/>
  <c r="E33" i="2"/>
  <c r="B69" i="15"/>
  <c r="P123" i="11"/>
  <c r="O121" i="11"/>
  <c r="B45" i="15"/>
  <c r="AD62" i="6"/>
  <c r="G21" i="15"/>
  <c r="AD9" i="3"/>
  <c r="S54" i="9"/>
  <c r="Q125" i="10"/>
  <c r="AC125" i="10" s="1"/>
  <c r="B56" i="9"/>
  <c r="E30" i="6"/>
  <c r="AF8" i="1"/>
  <c r="AF43" i="2"/>
  <c r="P119" i="11"/>
  <c r="O117" i="11"/>
  <c r="AA20" i="15"/>
  <c r="P97" i="12"/>
  <c r="X71" i="6"/>
  <c r="O126" i="12"/>
  <c r="O25" i="9"/>
  <c r="O19" i="9"/>
  <c r="AC55" i="15"/>
  <c r="AF20" i="15"/>
  <c r="Y11" i="3"/>
  <c r="AF42" i="2"/>
  <c r="AA29" i="15"/>
  <c r="L50" i="9"/>
  <c r="C80" i="16"/>
  <c r="H80" i="16" s="1"/>
  <c r="S63" i="6"/>
  <c r="J21" i="2"/>
  <c r="P124" i="11"/>
  <c r="AD67" i="15"/>
  <c r="C19" i="6"/>
  <c r="Y19" i="6" s="1"/>
  <c r="Z12" i="3"/>
  <c r="N55" i="9"/>
  <c r="P93" i="12"/>
  <c r="O79" i="9"/>
  <c r="N117" i="11"/>
  <c r="O21" i="9"/>
  <c r="P124" i="12"/>
  <c r="P126" i="12"/>
  <c r="P128" i="12"/>
  <c r="P130" i="12"/>
  <c r="P131" i="12"/>
  <c r="P132" i="12"/>
  <c r="P129" i="12"/>
  <c r="AF30" i="2"/>
  <c r="C45" i="2"/>
  <c r="Y67" i="2"/>
  <c r="Y8" i="3"/>
  <c r="AB55" i="2"/>
  <c r="AB10" i="3"/>
  <c r="B121" i="11"/>
  <c r="P23" i="12"/>
  <c r="P120" i="11"/>
  <c r="R85" i="11"/>
  <c r="M33" i="2"/>
  <c r="AC43" i="2"/>
  <c r="N52" i="9"/>
  <c r="P84" i="12"/>
  <c r="O26" i="9"/>
  <c r="AE41" i="2"/>
  <c r="P125" i="12"/>
  <c r="P127" i="12"/>
  <c r="C128" i="12"/>
  <c r="AF18" i="6"/>
  <c r="AE67" i="2"/>
  <c r="AE31" i="2"/>
  <c r="B117" i="11"/>
  <c r="AC10" i="3"/>
  <c r="P28" i="12"/>
  <c r="R89" i="11"/>
  <c r="Z62" i="6"/>
  <c r="AB6" i="1"/>
  <c r="N56" i="9"/>
  <c r="O20" i="9"/>
  <c r="F52" i="6"/>
  <c r="N27" i="10"/>
  <c r="R88" i="11"/>
  <c r="AC42" i="9"/>
  <c r="X8" i="1"/>
  <c r="AC79" i="15"/>
  <c r="P24" i="12"/>
  <c r="N128" i="12"/>
  <c r="AA16" i="6"/>
  <c r="U23" i="12"/>
  <c r="S81" i="9"/>
  <c r="S82" i="9"/>
  <c r="X43" i="15"/>
  <c r="N126" i="12"/>
  <c r="N127" i="12"/>
  <c r="R19" i="9"/>
  <c r="R26" i="9"/>
  <c r="R22" i="9"/>
  <c r="AE17" i="2"/>
  <c r="T21" i="2"/>
  <c r="N118" i="11"/>
  <c r="N124" i="11"/>
  <c r="N121" i="11"/>
  <c r="D85" i="9"/>
  <c r="B23" i="10"/>
  <c r="S83" i="9"/>
  <c r="N129" i="12"/>
  <c r="O90" i="12"/>
  <c r="O96" i="12"/>
  <c r="O91" i="12"/>
  <c r="O98" i="12"/>
  <c r="O95" i="12"/>
  <c r="O131" i="12"/>
  <c r="O125" i="12"/>
  <c r="W23" i="10"/>
  <c r="G9" i="13"/>
  <c r="N22" i="9"/>
  <c r="O129" i="12"/>
  <c r="B31" i="10"/>
  <c r="B26" i="10"/>
  <c r="B29" i="10"/>
  <c r="B28" i="10"/>
  <c r="Q117" i="11"/>
  <c r="Q111" i="11"/>
  <c r="P90" i="12"/>
  <c r="P95" i="12"/>
  <c r="P98" i="12"/>
  <c r="P92" i="12"/>
  <c r="AF6" i="1"/>
  <c r="C51" i="9"/>
  <c r="W51" i="9" s="1"/>
  <c r="Z5" i="2"/>
  <c r="P80" i="9"/>
  <c r="O124" i="12"/>
  <c r="T57" i="15"/>
  <c r="AE53" i="15"/>
  <c r="L79" i="9"/>
  <c r="L82" i="9"/>
  <c r="T30" i="6"/>
  <c r="AE27" i="6"/>
  <c r="AE54" i="15"/>
  <c r="AE56" i="15"/>
  <c r="AE16" i="6"/>
  <c r="L81" i="9"/>
  <c r="C52" i="9"/>
  <c r="C22" i="9"/>
  <c r="C55" i="9"/>
  <c r="C82" i="9"/>
  <c r="C50" i="9"/>
  <c r="C20" i="9"/>
  <c r="P86" i="9"/>
  <c r="P84" i="9"/>
  <c r="T81" i="2"/>
  <c r="AE77" i="2"/>
  <c r="S69" i="15"/>
  <c r="AD65" i="15"/>
  <c r="O22" i="12"/>
  <c r="O30" i="12"/>
  <c r="O29" i="12"/>
  <c r="O28" i="12"/>
  <c r="AF79" i="2"/>
  <c r="AF79" i="15"/>
  <c r="W30" i="10"/>
  <c r="C80" i="9"/>
  <c r="AA49" i="6"/>
  <c r="N20" i="9"/>
  <c r="C24" i="9"/>
  <c r="L83" i="9"/>
  <c r="O127" i="12"/>
  <c r="O128" i="12"/>
  <c r="N24" i="9"/>
  <c r="C25" i="9"/>
  <c r="S49" i="12"/>
  <c r="S46" i="11"/>
  <c r="AE39" i="12"/>
  <c r="R23" i="12"/>
  <c r="Q27" i="12"/>
  <c r="P23" i="10"/>
  <c r="P31" i="10"/>
  <c r="P24" i="10"/>
  <c r="C50" i="16"/>
  <c r="H50" i="16" s="1"/>
  <c r="P29" i="10"/>
  <c r="P30" i="10"/>
  <c r="P27" i="10"/>
  <c r="P28" i="10"/>
  <c r="P16" i="10"/>
  <c r="P25" i="10"/>
  <c r="N16" i="10"/>
  <c r="N26" i="10"/>
  <c r="P26" i="10"/>
  <c r="W28" i="10"/>
  <c r="AM13" i="10"/>
  <c r="W27" i="10"/>
  <c r="C56" i="16"/>
  <c r="W31" i="10"/>
  <c r="C41" i="16"/>
  <c r="W29" i="10"/>
  <c r="W25" i="10"/>
  <c r="L56" i="9"/>
  <c r="L55" i="9"/>
  <c r="S23" i="9"/>
  <c r="S22" i="9"/>
  <c r="AC22" i="9" s="1"/>
  <c r="S19" i="9"/>
  <c r="S25" i="9"/>
  <c r="S26" i="9"/>
  <c r="S21" i="9"/>
  <c r="S24" i="9"/>
  <c r="L20" i="13"/>
  <c r="AF78" i="15"/>
  <c r="AC80" i="15"/>
  <c r="AB77" i="15"/>
  <c r="AF66" i="15"/>
  <c r="AF29" i="6"/>
  <c r="AF6" i="15"/>
  <c r="Y79" i="2"/>
  <c r="AA79" i="2"/>
  <c r="AF54" i="2"/>
  <c r="Y8" i="2"/>
  <c r="AF17" i="3"/>
  <c r="Z14" i="3"/>
  <c r="AB9" i="3"/>
  <c r="AF7" i="3"/>
  <c r="Z15" i="3"/>
  <c r="AA8" i="1"/>
  <c r="K14" i="11"/>
  <c r="K15" i="11" s="1"/>
  <c r="D130" i="12"/>
  <c r="D128" i="12"/>
  <c r="E96" i="12"/>
  <c r="AE41" i="12"/>
  <c r="D23" i="12"/>
  <c r="G23" i="11"/>
  <c r="F26" i="9"/>
  <c r="F24" i="9"/>
  <c r="F20" i="9"/>
  <c r="F81" i="9"/>
  <c r="F21" i="9"/>
  <c r="F82" i="9"/>
  <c r="C23" i="13"/>
  <c r="Z51" i="6"/>
  <c r="E57" i="15"/>
  <c r="AA53" i="15"/>
  <c r="G52" i="6"/>
  <c r="F41" i="6"/>
  <c r="AB38" i="6"/>
  <c r="D41" i="6"/>
  <c r="G30" i="6"/>
  <c r="B21" i="15"/>
  <c r="X17" i="15"/>
  <c r="AC19" i="15"/>
  <c r="AC5" i="6"/>
  <c r="C57" i="2"/>
  <c r="AD31" i="2"/>
  <c r="AB31" i="2"/>
  <c r="AD19" i="2"/>
  <c r="Z19" i="2"/>
  <c r="AA13" i="3"/>
  <c r="Y15" i="3"/>
  <c r="AF7" i="1"/>
  <c r="E9" i="1"/>
  <c r="AD6" i="2"/>
  <c r="H9" i="2"/>
  <c r="H21" i="2"/>
  <c r="I81" i="15"/>
  <c r="AE77" i="15"/>
  <c r="P54" i="11"/>
  <c r="P53" i="11"/>
  <c r="AB53" i="11" s="1"/>
  <c r="P57" i="11"/>
  <c r="I9" i="2"/>
  <c r="AE5" i="2"/>
  <c r="F54" i="9"/>
  <c r="F23" i="9"/>
  <c r="F52" i="9"/>
  <c r="F25" i="9"/>
  <c r="F49" i="9"/>
  <c r="Z49" i="9" s="1"/>
  <c r="F80" i="9"/>
  <c r="F55" i="9"/>
  <c r="F53" i="9"/>
  <c r="F22" i="9"/>
  <c r="N22" i="13"/>
  <c r="AE43" i="10"/>
  <c r="O132" i="10"/>
  <c r="O130" i="10"/>
  <c r="I86" i="9"/>
  <c r="F69" i="2"/>
  <c r="B69" i="2"/>
  <c r="C9" i="13"/>
  <c r="C81" i="15"/>
  <c r="H56" i="9"/>
  <c r="AB56" i="9" s="1"/>
  <c r="H52" i="6"/>
  <c r="H21" i="15"/>
  <c r="H45" i="2"/>
  <c r="F9" i="2"/>
  <c r="F9" i="1"/>
  <c r="D127" i="12"/>
  <c r="F74" i="6"/>
  <c r="N86" i="11"/>
  <c r="H81" i="15"/>
  <c r="U9" i="1"/>
  <c r="G26" i="11"/>
  <c r="G22" i="11"/>
  <c r="G21" i="11"/>
  <c r="G25" i="11"/>
  <c r="V25" i="11"/>
  <c r="V26" i="11"/>
  <c r="V27" i="11"/>
  <c r="AC18" i="2"/>
  <c r="R21" i="2"/>
  <c r="L49" i="9"/>
  <c r="L53" i="9"/>
  <c r="L54" i="9"/>
  <c r="V42" i="9"/>
  <c r="G19" i="6"/>
  <c r="AC16" i="6"/>
  <c r="Y27" i="6"/>
  <c r="C30" i="6"/>
  <c r="I9" i="15"/>
  <c r="AE5" i="15"/>
  <c r="I33" i="15"/>
  <c r="AE29" i="15"/>
  <c r="D74" i="6"/>
  <c r="Z71" i="6"/>
  <c r="G45" i="2"/>
  <c r="C41" i="6"/>
  <c r="H85" i="9"/>
  <c r="H54" i="9"/>
  <c r="H19" i="9"/>
  <c r="G9" i="15"/>
  <c r="H81" i="2"/>
  <c r="E57" i="2"/>
  <c r="AD78" i="2"/>
  <c r="Z16" i="6"/>
  <c r="F81" i="15"/>
  <c r="E98" i="12"/>
  <c r="AC98" i="12" s="1"/>
  <c r="E94" i="12"/>
  <c r="E90" i="12"/>
  <c r="AD6" i="1"/>
  <c r="S9" i="1"/>
  <c r="Z7" i="2"/>
  <c r="O9" i="2"/>
  <c r="AC79" i="2"/>
  <c r="R81" i="2"/>
  <c r="V16" i="12"/>
  <c r="V30" i="12"/>
  <c r="V26" i="12"/>
  <c r="V28" i="12"/>
  <c r="V25" i="12"/>
  <c r="V27" i="12"/>
  <c r="C8" i="6"/>
  <c r="Y5" i="6"/>
  <c r="AB81" i="12"/>
  <c r="D98" i="12"/>
  <c r="D92" i="12"/>
  <c r="H45" i="15"/>
  <c r="AD41" i="15"/>
  <c r="I8" i="6"/>
  <c r="AE8" i="6" s="1"/>
  <c r="AE5" i="6"/>
  <c r="E9" i="15"/>
  <c r="AA5" i="15"/>
  <c r="D9" i="1"/>
  <c r="Z5" i="1"/>
  <c r="G69" i="2"/>
  <c r="AC65" i="2"/>
  <c r="H74" i="6"/>
  <c r="AD71" i="6"/>
  <c r="H33" i="2"/>
  <c r="G9" i="2"/>
  <c r="E21" i="15"/>
  <c r="F69" i="15"/>
  <c r="D21" i="15"/>
  <c r="AB14" i="3"/>
  <c r="Y6" i="15"/>
  <c r="AB44" i="15"/>
  <c r="Y17" i="6"/>
  <c r="B74" i="6"/>
  <c r="B81" i="15"/>
  <c r="AA115" i="12"/>
  <c r="C125" i="12"/>
  <c r="AA7" i="1"/>
  <c r="P9" i="1"/>
  <c r="P118" i="11"/>
  <c r="P122" i="11"/>
  <c r="P111" i="11"/>
  <c r="P121" i="11"/>
  <c r="Q22" i="12"/>
  <c r="Q28" i="12"/>
  <c r="Q16" i="12"/>
  <c r="Q23" i="12"/>
  <c r="Q26" i="12"/>
  <c r="Q24" i="12"/>
  <c r="Q30" i="12"/>
  <c r="Z41" i="15"/>
  <c r="D45" i="15"/>
  <c r="G33" i="15"/>
  <c r="AC29" i="15"/>
  <c r="H9" i="1"/>
  <c r="AD5" i="1"/>
  <c r="D132" i="12"/>
  <c r="D126" i="12"/>
  <c r="D129" i="12"/>
  <c r="D125" i="12"/>
  <c r="AB115" i="12"/>
  <c r="D86" i="11"/>
  <c r="D79" i="11"/>
  <c r="D87" i="11"/>
  <c r="D85" i="11"/>
  <c r="D91" i="11"/>
  <c r="D89" i="11"/>
  <c r="D88" i="11"/>
  <c r="D92" i="11"/>
  <c r="F63" i="6"/>
  <c r="AB60" i="6"/>
  <c r="B57" i="2"/>
  <c r="D9" i="15"/>
  <c r="J33" i="15"/>
  <c r="H69" i="15"/>
  <c r="C21" i="15"/>
  <c r="R57" i="2"/>
  <c r="E8" i="6"/>
  <c r="AA8" i="6" s="1"/>
  <c r="AD66" i="15"/>
  <c r="B122" i="11"/>
  <c r="B118" i="11"/>
  <c r="Z108" i="11"/>
  <c r="M9" i="1"/>
  <c r="X6" i="1"/>
  <c r="AA30" i="2"/>
  <c r="P33" i="2"/>
  <c r="R22" i="12"/>
  <c r="R30" i="12"/>
  <c r="R27" i="12"/>
  <c r="R24" i="12"/>
  <c r="C82" i="16"/>
  <c r="H82" i="16" s="1"/>
  <c r="R26" i="12"/>
  <c r="O98" i="10"/>
  <c r="O93" i="10"/>
  <c r="AA93" i="10" s="1"/>
  <c r="O99" i="10"/>
  <c r="O94" i="10"/>
  <c r="O95" i="10"/>
  <c r="AE5" i="1"/>
  <c r="I9" i="1"/>
  <c r="X5" i="1"/>
  <c r="B9" i="1"/>
  <c r="G57" i="2"/>
  <c r="AC55" i="2"/>
  <c r="Z77" i="15"/>
  <c r="D81" i="15"/>
  <c r="C74" i="6"/>
  <c r="Y71" i="6"/>
  <c r="AC8" i="15"/>
  <c r="X41" i="15"/>
  <c r="B85" i="16"/>
  <c r="J16" i="12"/>
  <c r="J24" i="12"/>
  <c r="J30" i="12"/>
  <c r="J23" i="12"/>
  <c r="J29" i="12"/>
  <c r="AH29" i="12" s="1"/>
  <c r="J25" i="12"/>
  <c r="J28" i="12"/>
  <c r="J26" i="12"/>
  <c r="J22" i="12"/>
  <c r="B92" i="11"/>
  <c r="B87" i="11"/>
  <c r="B91" i="11"/>
  <c r="B85" i="11"/>
  <c r="B89" i="11"/>
  <c r="B86" i="11"/>
  <c r="B90" i="11"/>
  <c r="Z90" i="11" s="1"/>
  <c r="G21" i="2"/>
  <c r="AC20" i="2"/>
  <c r="AA17" i="2"/>
  <c r="E21" i="2"/>
  <c r="H69" i="2"/>
  <c r="AD65" i="2"/>
  <c r="H18" i="3"/>
  <c r="AD5" i="3"/>
  <c r="D18" i="3"/>
  <c r="Z5" i="3"/>
  <c r="D117" i="11"/>
  <c r="AB117" i="11" s="1"/>
  <c r="D122" i="11"/>
  <c r="D118" i="11"/>
  <c r="D123" i="11"/>
  <c r="D121" i="11"/>
  <c r="D120" i="11"/>
  <c r="D124" i="11"/>
  <c r="AB108" i="11"/>
  <c r="AA18" i="2"/>
  <c r="P21" i="2"/>
  <c r="N57" i="2"/>
  <c r="Y53" i="2"/>
  <c r="P57" i="2"/>
  <c r="AA53" i="2"/>
  <c r="AC11" i="3"/>
  <c r="R18" i="3"/>
  <c r="C63" i="12"/>
  <c r="C58" i="12"/>
  <c r="AA58" i="12" s="1"/>
  <c r="C57" i="12"/>
  <c r="C64" i="12"/>
  <c r="C59" i="12"/>
  <c r="C60" i="12"/>
  <c r="C61" i="12"/>
  <c r="D125" i="10"/>
  <c r="AB125" i="10" s="1"/>
  <c r="D129" i="10"/>
  <c r="D133" i="10"/>
  <c r="D119" i="10"/>
  <c r="D128" i="10"/>
  <c r="D132" i="10"/>
  <c r="D130" i="10"/>
  <c r="D127" i="10"/>
  <c r="D131" i="10"/>
  <c r="G50" i="16"/>
  <c r="D23" i="10"/>
  <c r="D27" i="10"/>
  <c r="D28" i="10"/>
  <c r="D31" i="10"/>
  <c r="AB13" i="10"/>
  <c r="D16" i="10"/>
  <c r="D29" i="10"/>
  <c r="D26" i="10"/>
  <c r="D25" i="10"/>
  <c r="E69" i="15"/>
  <c r="AA65" i="15"/>
  <c r="F30" i="6"/>
  <c r="AB27" i="6"/>
  <c r="D8" i="6"/>
  <c r="Z8" i="6" s="1"/>
  <c r="Z5" i="6"/>
  <c r="F8" i="6"/>
  <c r="AB5" i="6"/>
  <c r="Y7" i="3"/>
  <c r="N18" i="3"/>
  <c r="Z17" i="2"/>
  <c r="O21" i="2"/>
  <c r="M21" i="2"/>
  <c r="X17" i="2"/>
  <c r="U21" i="2"/>
  <c r="AF17" i="2"/>
  <c r="AC30" i="2"/>
  <c r="R33" i="2"/>
  <c r="O45" i="2"/>
  <c r="Z41" i="2"/>
  <c r="R45" i="2"/>
  <c r="AC41" i="2"/>
  <c r="AE53" i="2"/>
  <c r="T57" i="2"/>
  <c r="P25" i="9"/>
  <c r="Z12" i="9"/>
  <c r="P20" i="9"/>
  <c r="P21" i="9"/>
  <c r="P22" i="9"/>
  <c r="P23" i="9"/>
  <c r="P24" i="9"/>
  <c r="P19" i="9"/>
  <c r="P26" i="9"/>
  <c r="N132" i="10"/>
  <c r="N130" i="10"/>
  <c r="N126" i="10"/>
  <c r="N128" i="10"/>
  <c r="N131" i="10"/>
  <c r="N133" i="10"/>
  <c r="N125" i="10"/>
  <c r="N127" i="10"/>
  <c r="N129" i="10"/>
  <c r="N119" i="10"/>
  <c r="P87" i="11"/>
  <c r="AB76" i="11"/>
  <c r="P85" i="11"/>
  <c r="P79" i="11"/>
  <c r="P86" i="11"/>
  <c r="P91" i="11"/>
  <c r="P90" i="11"/>
  <c r="AB90" i="11" s="1"/>
  <c r="P89" i="11"/>
  <c r="P92" i="11"/>
  <c r="O57" i="12"/>
  <c r="P59" i="12"/>
  <c r="F33" i="2"/>
  <c r="B79" i="11"/>
  <c r="B45" i="2"/>
  <c r="C33" i="2"/>
  <c r="H41" i="6"/>
  <c r="C81" i="2"/>
  <c r="AB30" i="2"/>
  <c r="AC50" i="6"/>
  <c r="AF68" i="2"/>
  <c r="X54" i="15"/>
  <c r="Z39" i="6"/>
  <c r="B27" i="11"/>
  <c r="B51" i="9"/>
  <c r="X8" i="3"/>
  <c r="AF80" i="15"/>
  <c r="B23" i="13"/>
  <c r="AA12" i="3"/>
  <c r="Z16" i="3"/>
  <c r="AD16" i="3"/>
  <c r="AC8" i="2"/>
  <c r="AD29" i="2"/>
  <c r="Y55" i="2"/>
  <c r="X55" i="2"/>
  <c r="M9" i="2"/>
  <c r="AA73" i="6"/>
  <c r="AF6" i="6"/>
  <c r="AD5" i="6"/>
  <c r="M5" i="13"/>
  <c r="M18" i="3"/>
  <c r="Q18" i="3"/>
  <c r="AB65" i="2"/>
  <c r="AB49" i="6"/>
  <c r="AC38" i="6"/>
  <c r="AD28" i="6"/>
  <c r="G25" i="12"/>
  <c r="G28" i="12"/>
  <c r="G22" i="12"/>
  <c r="G29" i="12"/>
  <c r="G24" i="12"/>
  <c r="G27" i="12"/>
  <c r="G16" i="12"/>
  <c r="G26" i="12"/>
  <c r="B83" i="16"/>
  <c r="G83" i="16" s="1"/>
  <c r="G30" i="12"/>
  <c r="B84" i="16"/>
  <c r="G84" i="16" s="1"/>
  <c r="I26" i="12"/>
  <c r="I22" i="12"/>
  <c r="I30" i="12"/>
  <c r="I27" i="12"/>
  <c r="AG13" i="12"/>
  <c r="I24" i="12"/>
  <c r="AG24" i="12" s="1"/>
  <c r="I23" i="12"/>
  <c r="I25" i="12"/>
  <c r="B79" i="16"/>
  <c r="G79" i="16" s="1"/>
  <c r="C28" i="12"/>
  <c r="C24" i="12"/>
  <c r="C16" i="12"/>
  <c r="C25" i="12"/>
  <c r="AA25" i="12" s="1"/>
  <c r="C29" i="12"/>
  <c r="C26" i="12"/>
  <c r="C23" i="12"/>
  <c r="C30" i="12"/>
  <c r="C22" i="12"/>
  <c r="C27" i="12"/>
  <c r="C69" i="2"/>
  <c r="Y65" i="2"/>
  <c r="I69" i="2"/>
  <c r="AE65" i="2"/>
  <c r="C21" i="2"/>
  <c r="Y17" i="2"/>
  <c r="E118" i="12"/>
  <c r="AC115" i="12"/>
  <c r="F57" i="2"/>
  <c r="AB53" i="2"/>
  <c r="B21" i="2"/>
  <c r="X18" i="2"/>
  <c r="N28" i="12"/>
  <c r="N29" i="12"/>
  <c r="N22" i="12"/>
  <c r="N24" i="12"/>
  <c r="C78" i="16"/>
  <c r="H78" i="16" s="1"/>
  <c r="N26" i="12"/>
  <c r="N16" i="12"/>
  <c r="N27" i="12"/>
  <c r="N25" i="12"/>
  <c r="Z13" i="12"/>
  <c r="N30" i="12"/>
  <c r="AB54" i="2"/>
  <c r="Q57" i="2"/>
  <c r="AD10" i="3"/>
  <c r="S18" i="3"/>
  <c r="D27" i="12"/>
  <c r="B80" i="16"/>
  <c r="G80" i="16" s="1"/>
  <c r="D26" i="12"/>
  <c r="D25" i="12"/>
  <c r="D30" i="12"/>
  <c r="AB30" i="12" s="1"/>
  <c r="D24" i="12"/>
  <c r="D22" i="12"/>
  <c r="D28" i="12"/>
  <c r="D21" i="9"/>
  <c r="D49" i="9"/>
  <c r="D55" i="9"/>
  <c r="D81" i="9"/>
  <c r="D50" i="9"/>
  <c r="D22" i="9"/>
  <c r="D53" i="9"/>
  <c r="D54" i="9"/>
  <c r="X54" i="9" s="1"/>
  <c r="D20" i="9"/>
  <c r="D25" i="9"/>
  <c r="D56" i="9"/>
  <c r="D51" i="9"/>
  <c r="D84" i="9"/>
  <c r="D80" i="9"/>
  <c r="D26" i="9"/>
  <c r="D79" i="9"/>
  <c r="D52" i="9"/>
  <c r="D24" i="9"/>
  <c r="D83" i="9"/>
  <c r="X83" i="9" s="1"/>
  <c r="X12" i="9"/>
  <c r="D23" i="9"/>
  <c r="G69" i="15"/>
  <c r="AC65" i="15"/>
  <c r="J63" i="6"/>
  <c r="AF60" i="6"/>
  <c r="I45" i="15"/>
  <c r="AE41" i="15"/>
  <c r="E41" i="6"/>
  <c r="AA38" i="6"/>
  <c r="D30" i="6"/>
  <c r="Z27" i="6"/>
  <c r="J30" i="6"/>
  <c r="AF27" i="6"/>
  <c r="J9" i="15"/>
  <c r="AF5" i="15"/>
  <c r="J33" i="2"/>
  <c r="AF29" i="2"/>
  <c r="G18" i="3"/>
  <c r="AC5" i="3"/>
  <c r="Z6" i="3"/>
  <c r="O18" i="3"/>
  <c r="S9" i="2"/>
  <c r="AD5" i="2"/>
  <c r="AB5" i="2"/>
  <c r="Q9" i="2"/>
  <c r="AB17" i="2"/>
  <c r="Q21" i="2"/>
  <c r="N33" i="2"/>
  <c r="Y29" i="2"/>
  <c r="AB29" i="2"/>
  <c r="Q33" i="2"/>
  <c r="U45" i="2"/>
  <c r="AF41" i="2"/>
  <c r="M57" i="2"/>
  <c r="X53" i="2"/>
  <c r="N91" i="11"/>
  <c r="Z76" i="11"/>
  <c r="N92" i="11"/>
  <c r="N89" i="11"/>
  <c r="N79" i="11"/>
  <c r="N88" i="11"/>
  <c r="N85" i="11"/>
  <c r="N87" i="11"/>
  <c r="B61" i="10"/>
  <c r="O62" i="12"/>
  <c r="AA62" i="12" s="1"/>
  <c r="B81" i="2"/>
  <c r="C57" i="15"/>
  <c r="F57" i="15"/>
  <c r="B33" i="2"/>
  <c r="H9" i="15"/>
  <c r="J74" i="6"/>
  <c r="F18" i="3"/>
  <c r="Z54" i="2"/>
  <c r="X51" i="6"/>
  <c r="AC54" i="15"/>
  <c r="S33" i="2"/>
  <c r="AB54" i="15"/>
  <c r="I29" i="12"/>
  <c r="B88" i="11"/>
  <c r="B53" i="9"/>
  <c r="AD5" i="15"/>
  <c r="C56" i="12"/>
  <c r="D126" i="10"/>
  <c r="D24" i="10"/>
  <c r="F9" i="15"/>
  <c r="C18" i="3"/>
  <c r="AA15" i="3"/>
  <c r="AE14" i="3"/>
  <c r="Y10" i="3"/>
  <c r="Z31" i="2"/>
  <c r="AC42" i="2"/>
  <c r="AE42" i="2"/>
  <c r="AC72" i="9"/>
  <c r="AE60" i="6"/>
  <c r="U18" i="3"/>
  <c r="AE13" i="12"/>
  <c r="AB116" i="10"/>
  <c r="AH13" i="12"/>
  <c r="X78" i="2"/>
  <c r="AA13" i="12"/>
  <c r="D9" i="13"/>
  <c r="I52" i="6"/>
  <c r="AE49" i="6"/>
  <c r="E56" i="12"/>
  <c r="E57" i="12"/>
  <c r="E62" i="12"/>
  <c r="E50" i="12"/>
  <c r="B22" i="12"/>
  <c r="B28" i="12"/>
  <c r="B27" i="12"/>
  <c r="B30" i="12"/>
  <c r="B24" i="12"/>
  <c r="B23" i="12"/>
  <c r="Z23" i="12" s="1"/>
  <c r="B16" i="12"/>
  <c r="B29" i="12"/>
  <c r="B26" i="12"/>
  <c r="C23" i="11"/>
  <c r="C28" i="11"/>
  <c r="C24" i="11"/>
  <c r="C22" i="11"/>
  <c r="C15" i="11"/>
  <c r="C27" i="11"/>
  <c r="C25" i="11"/>
  <c r="AA25" i="11" s="1"/>
  <c r="C21" i="11"/>
  <c r="C26" i="11"/>
  <c r="G45" i="15"/>
  <c r="AC41" i="15"/>
  <c r="I69" i="15"/>
  <c r="AE65" i="15"/>
  <c r="E81" i="15"/>
  <c r="AA77" i="15"/>
  <c r="D69" i="2"/>
  <c r="Z65" i="2"/>
  <c r="I21" i="15"/>
  <c r="AE17" i="15"/>
  <c r="E45" i="2"/>
  <c r="AA41" i="2"/>
  <c r="G33" i="2"/>
  <c r="AC29" i="2"/>
  <c r="D57" i="15"/>
  <c r="Z53" i="15"/>
  <c r="Z53" i="2"/>
  <c r="O57" i="2"/>
  <c r="AE29" i="2"/>
  <c r="T33" i="2"/>
  <c r="W28" i="12"/>
  <c r="W23" i="12"/>
  <c r="W27" i="12"/>
  <c r="C71" i="16"/>
  <c r="W25" i="12"/>
  <c r="W22" i="12"/>
  <c r="W24" i="12"/>
  <c r="W30" i="12"/>
  <c r="W26" i="12"/>
  <c r="W29" i="12"/>
  <c r="B81" i="16"/>
  <c r="G81" i="16" s="1"/>
  <c r="E16" i="12"/>
  <c r="E27" i="12"/>
  <c r="E26" i="12"/>
  <c r="E28" i="12"/>
  <c r="E22" i="12"/>
  <c r="E23" i="12"/>
  <c r="E24" i="12"/>
  <c r="E29" i="12"/>
  <c r="E30" i="12"/>
  <c r="E119" i="10"/>
  <c r="E132" i="10"/>
  <c r="E128" i="10"/>
  <c r="E133" i="10"/>
  <c r="E129" i="10"/>
  <c r="E131" i="10"/>
  <c r="E127" i="10"/>
  <c r="E130" i="10"/>
  <c r="AC116" i="10"/>
  <c r="E126" i="10"/>
  <c r="AC126" i="10" s="1"/>
  <c r="H22" i="9"/>
  <c r="H26" i="9"/>
  <c r="H51" i="9"/>
  <c r="H55" i="9"/>
  <c r="H21" i="9"/>
  <c r="H25" i="9"/>
  <c r="H50" i="9"/>
  <c r="H81" i="9"/>
  <c r="H23" i="9"/>
  <c r="H52" i="9"/>
  <c r="H79" i="9"/>
  <c r="H83" i="9"/>
  <c r="H53" i="9"/>
  <c r="AB12" i="9"/>
  <c r="H49" i="9"/>
  <c r="H20" i="9"/>
  <c r="AB20" i="9" s="1"/>
  <c r="H80" i="9"/>
  <c r="AB80" i="9" s="1"/>
  <c r="H84" i="9"/>
  <c r="H24" i="9"/>
  <c r="C63" i="6"/>
  <c r="Y60" i="6"/>
  <c r="I41" i="6"/>
  <c r="AE38" i="6"/>
  <c r="AB29" i="15"/>
  <c r="F33" i="15"/>
  <c r="B9" i="15"/>
  <c r="X5" i="15"/>
  <c r="Y18" i="2"/>
  <c r="N21" i="2"/>
  <c r="Z29" i="2"/>
  <c r="O33" i="2"/>
  <c r="AD41" i="2"/>
  <c r="S45" i="2"/>
  <c r="X41" i="2"/>
  <c r="M45" i="2"/>
  <c r="O85" i="11"/>
  <c r="O88" i="11"/>
  <c r="O92" i="11"/>
  <c r="O79" i="11"/>
  <c r="O86" i="11"/>
  <c r="O91" i="11"/>
  <c r="O87" i="11"/>
  <c r="O90" i="11"/>
  <c r="N20" i="13"/>
  <c r="G81" i="2"/>
  <c r="C9" i="2"/>
  <c r="B18" i="3"/>
  <c r="D33" i="2"/>
  <c r="F21" i="2"/>
  <c r="X42" i="2"/>
  <c r="AC72" i="6"/>
  <c r="X66" i="2"/>
  <c r="Y78" i="15"/>
  <c r="Z5" i="15"/>
  <c r="J27" i="12"/>
  <c r="D119" i="11"/>
  <c r="E18" i="3"/>
  <c r="H33" i="15"/>
  <c r="D33" i="15"/>
  <c r="B30" i="6"/>
  <c r="AE10" i="3"/>
  <c r="AC6" i="2"/>
  <c r="P9" i="2"/>
  <c r="AB19" i="2"/>
  <c r="Y30" i="2"/>
  <c r="AE43" i="2"/>
  <c r="AA6" i="1"/>
  <c r="AB41" i="2"/>
  <c r="Y41" i="15"/>
  <c r="O89" i="11"/>
  <c r="Z65" i="15"/>
  <c r="AB5" i="15"/>
  <c r="Z42" i="9"/>
  <c r="H19" i="6"/>
  <c r="AC13" i="12"/>
  <c r="I54" i="9"/>
  <c r="I83" i="9"/>
  <c r="I21" i="9"/>
  <c r="I81" i="9"/>
  <c r="I49" i="9"/>
  <c r="I84" i="9"/>
  <c r="I23" i="9"/>
  <c r="I51" i="9"/>
  <c r="AC51" i="9" s="1"/>
  <c r="I26" i="9"/>
  <c r="I24" i="9"/>
  <c r="I80" i="9"/>
  <c r="AC80" i="9" s="1"/>
  <c r="I82" i="9"/>
  <c r="I56" i="9"/>
  <c r="I55" i="9"/>
  <c r="I25" i="9"/>
  <c r="I19" i="9"/>
  <c r="I50" i="9"/>
  <c r="I85" i="9"/>
  <c r="AC12" i="9"/>
  <c r="I79" i="9"/>
  <c r="I52" i="9"/>
  <c r="I53" i="9"/>
  <c r="D86" i="9"/>
  <c r="X72" i="9"/>
  <c r="B15" i="11"/>
  <c r="B23" i="11"/>
  <c r="B28" i="11"/>
  <c r="B22" i="11"/>
  <c r="B26" i="11"/>
  <c r="B25" i="11"/>
  <c r="B24" i="9"/>
  <c r="V24" i="9" s="1"/>
  <c r="B25" i="9"/>
  <c r="B82" i="9"/>
  <c r="B79" i="9"/>
  <c r="B52" i="9"/>
  <c r="V52" i="9" s="1"/>
  <c r="B84" i="9"/>
  <c r="B26" i="9"/>
  <c r="B20" i="9"/>
  <c r="B54" i="9"/>
  <c r="B19" i="9"/>
  <c r="B80" i="9"/>
  <c r="V80" i="9" s="1"/>
  <c r="B85" i="9"/>
  <c r="B83" i="9"/>
  <c r="B22" i="9"/>
  <c r="B55" i="9"/>
  <c r="B49" i="9"/>
  <c r="B50" i="9"/>
  <c r="B21" i="9"/>
  <c r="B23" i="9"/>
  <c r="I74" i="6"/>
  <c r="AE71" i="6"/>
  <c r="D63" i="6"/>
  <c r="Z60" i="6"/>
  <c r="D81" i="2"/>
  <c r="Z78" i="2"/>
  <c r="C9" i="1"/>
  <c r="Y5" i="1"/>
  <c r="J9" i="2"/>
  <c r="AF8" i="2"/>
  <c r="I18" i="3"/>
  <c r="AE5" i="3"/>
  <c r="B9" i="13"/>
  <c r="L5" i="13"/>
  <c r="E45" i="15"/>
  <c r="AA41" i="15"/>
  <c r="E81" i="2"/>
  <c r="AA77" i="2"/>
  <c r="H57" i="2"/>
  <c r="AD53" i="2"/>
  <c r="N45" i="2"/>
  <c r="Y41" i="2"/>
  <c r="B128" i="12"/>
  <c r="B130" i="12"/>
  <c r="B124" i="12"/>
  <c r="B126" i="12"/>
  <c r="B131" i="12"/>
  <c r="Z131" i="12" s="1"/>
  <c r="B132" i="12"/>
  <c r="Z115" i="12"/>
  <c r="B129" i="12"/>
  <c r="B127" i="12"/>
  <c r="G63" i="6"/>
  <c r="AC60" i="6"/>
  <c r="E63" i="6"/>
  <c r="AA60" i="6"/>
  <c r="B8" i="6"/>
  <c r="X5" i="6"/>
  <c r="J9" i="1"/>
  <c r="AF5" i="1"/>
  <c r="P18" i="3"/>
  <c r="AA5" i="3"/>
  <c r="R9" i="2"/>
  <c r="AC5" i="2"/>
  <c r="L25" i="9"/>
  <c r="L26" i="9"/>
  <c r="L20" i="9"/>
  <c r="L21" i="9"/>
  <c r="L22" i="9"/>
  <c r="L23" i="9"/>
  <c r="L19" i="9"/>
  <c r="V12" i="9"/>
  <c r="M55" i="9"/>
  <c r="B86" i="9"/>
  <c r="Y50" i="6"/>
  <c r="AC78" i="15"/>
  <c r="I28" i="12"/>
  <c r="B24" i="11"/>
  <c r="B81" i="9"/>
  <c r="B33" i="15"/>
  <c r="M21" i="13"/>
  <c r="H57" i="15"/>
  <c r="Z9" i="3"/>
  <c r="AD11" i="3"/>
  <c r="AE6" i="2"/>
  <c r="AD30" i="2"/>
  <c r="AC31" i="2"/>
  <c r="Y44" i="2"/>
  <c r="X43" i="2"/>
  <c r="AE44" i="2"/>
  <c r="Y54" i="2"/>
  <c r="AC78" i="2"/>
  <c r="Y65" i="15"/>
  <c r="P88" i="11"/>
  <c r="X5" i="3"/>
  <c r="AB13" i="12"/>
  <c r="Y38" i="6"/>
  <c r="Y5" i="3"/>
  <c r="C85" i="10"/>
  <c r="C97" i="10"/>
  <c r="AA97" i="10" s="1"/>
  <c r="C99" i="10"/>
  <c r="C96" i="10"/>
  <c r="C98" i="10"/>
  <c r="AA82" i="10"/>
  <c r="C85" i="11"/>
  <c r="C87" i="11"/>
  <c r="C91" i="11"/>
  <c r="C88" i="11"/>
  <c r="C89" i="11"/>
  <c r="AA76" i="11"/>
  <c r="C86" i="11"/>
  <c r="C90" i="11"/>
  <c r="C92" i="11"/>
  <c r="C79" i="11"/>
  <c r="F86" i="9"/>
  <c r="Z72" i="9"/>
  <c r="F85" i="11"/>
  <c r="F92" i="11"/>
  <c r="AD76" i="11"/>
  <c r="F89" i="11"/>
  <c r="F86" i="11"/>
  <c r="AD86" i="11" s="1"/>
  <c r="F91" i="11"/>
  <c r="F88" i="11"/>
  <c r="F90" i="11"/>
  <c r="E86" i="9"/>
  <c r="Y86" i="9" s="1"/>
  <c r="Y72" i="9"/>
  <c r="E92" i="11"/>
  <c r="E91" i="11"/>
  <c r="E79" i="11"/>
  <c r="AC76" i="11"/>
  <c r="E85" i="11"/>
  <c r="E88" i="11"/>
  <c r="E86" i="11"/>
  <c r="AC86" i="11" s="1"/>
  <c r="E89" i="11"/>
  <c r="E87" i="11"/>
  <c r="E90" i="11"/>
  <c r="B84" i="12"/>
  <c r="Z81" i="12"/>
  <c r="B90" i="12"/>
  <c r="B91" i="12"/>
  <c r="B92" i="12"/>
  <c r="B93" i="12"/>
  <c r="B94" i="12"/>
  <c r="Z94" i="12" s="1"/>
  <c r="B95" i="12"/>
  <c r="B96" i="12"/>
  <c r="B97" i="12"/>
  <c r="B98" i="12"/>
  <c r="B91" i="10"/>
  <c r="B94" i="10"/>
  <c r="Z82" i="10"/>
  <c r="B85" i="10"/>
  <c r="B99" i="10"/>
  <c r="B93" i="10"/>
  <c r="Z93" i="10" s="1"/>
  <c r="B96" i="10"/>
  <c r="B92" i="10"/>
  <c r="B98" i="10"/>
  <c r="B97" i="10"/>
  <c r="F16" i="10"/>
  <c r="F26" i="10"/>
  <c r="F28" i="10"/>
  <c r="F27" i="10"/>
  <c r="F23" i="10"/>
  <c r="F30" i="10"/>
  <c r="F29" i="10"/>
  <c r="F31" i="10"/>
  <c r="F25" i="10"/>
  <c r="F24" i="10"/>
  <c r="C95" i="10"/>
  <c r="M53" i="9"/>
  <c r="M84" i="9"/>
  <c r="P60" i="10"/>
  <c r="O59" i="11"/>
  <c r="AA81" i="12"/>
  <c r="C90" i="12"/>
  <c r="C91" i="12"/>
  <c r="C92" i="12"/>
  <c r="C93" i="12"/>
  <c r="C94" i="12"/>
  <c r="AA94" i="12" s="1"/>
  <c r="C95" i="12"/>
  <c r="C96" i="12"/>
  <c r="C97" i="12"/>
  <c r="C98" i="12"/>
  <c r="D64" i="12"/>
  <c r="D61" i="12"/>
  <c r="D62" i="12"/>
  <c r="D57" i="12"/>
  <c r="D58" i="12"/>
  <c r="D56" i="12"/>
  <c r="D60" i="12"/>
  <c r="D63" i="12"/>
  <c r="AB63" i="12" s="1"/>
  <c r="D59" i="12"/>
  <c r="F90" i="12"/>
  <c r="F91" i="12"/>
  <c r="F92" i="12"/>
  <c r="F93" i="12"/>
  <c r="F94" i="12"/>
  <c r="F95" i="12"/>
  <c r="F96" i="12"/>
  <c r="F97" i="12"/>
  <c r="AD97" i="12" s="1"/>
  <c r="F98" i="12"/>
  <c r="AD81" i="12"/>
  <c r="C111" i="11"/>
  <c r="C118" i="11"/>
  <c r="C120" i="11"/>
  <c r="C122" i="11"/>
  <c r="C124" i="11"/>
  <c r="C117" i="11"/>
  <c r="C119" i="11"/>
  <c r="C121" i="11"/>
  <c r="C123" i="11"/>
  <c r="AA123" i="11" s="1"/>
  <c r="AA108" i="11"/>
  <c r="B126" i="10"/>
  <c r="B133" i="10"/>
  <c r="B128" i="10"/>
  <c r="B130" i="10"/>
  <c r="Z116" i="10"/>
  <c r="B129" i="10"/>
  <c r="B132" i="10"/>
  <c r="B127" i="10"/>
  <c r="B125" i="10"/>
  <c r="B131" i="10"/>
  <c r="B119" i="10"/>
  <c r="C94" i="10"/>
  <c r="E60" i="10"/>
  <c r="E62" i="10"/>
  <c r="AC62" i="10" s="1"/>
  <c r="E57" i="10"/>
  <c r="E59" i="10"/>
  <c r="E51" i="10"/>
  <c r="E61" i="10"/>
  <c r="E58" i="10"/>
  <c r="E64" i="10"/>
  <c r="E80" i="9"/>
  <c r="E21" i="9"/>
  <c r="E53" i="9"/>
  <c r="E22" i="9"/>
  <c r="E54" i="9"/>
  <c r="E26" i="9"/>
  <c r="E50" i="9"/>
  <c r="E52" i="9"/>
  <c r="Y52" i="9" s="1"/>
  <c r="E85" i="9"/>
  <c r="E81" i="9"/>
  <c r="E55" i="9"/>
  <c r="E24" i="9"/>
  <c r="E25" i="9"/>
  <c r="E84" i="9"/>
  <c r="E19" i="9"/>
  <c r="E82" i="9"/>
  <c r="E51" i="9"/>
  <c r="E56" i="9"/>
  <c r="Y12" i="9"/>
  <c r="E20" i="9"/>
  <c r="E83" i="9"/>
  <c r="E79" i="9"/>
  <c r="E49" i="9"/>
  <c r="F16" i="12"/>
  <c r="AD16" i="12" s="1"/>
  <c r="F27" i="12"/>
  <c r="B82" i="16"/>
  <c r="G82" i="16" s="1"/>
  <c r="F26" i="12"/>
  <c r="F29" i="12"/>
  <c r="F24" i="12"/>
  <c r="F28" i="12"/>
  <c r="F25" i="12"/>
  <c r="F22" i="12"/>
  <c r="AD13" i="12"/>
  <c r="F23" i="12"/>
  <c r="F30" i="12"/>
  <c r="F15" i="11"/>
  <c r="F22" i="11"/>
  <c r="F25" i="11"/>
  <c r="F28" i="11"/>
  <c r="F23" i="11"/>
  <c r="F27" i="11"/>
  <c r="F24" i="11"/>
  <c r="F26" i="11"/>
  <c r="F21" i="11"/>
  <c r="C92" i="10"/>
  <c r="C84" i="12"/>
  <c r="F87" i="11"/>
  <c r="E63" i="10"/>
  <c r="C91" i="10"/>
  <c r="AE45" i="10"/>
  <c r="N18" i="13"/>
  <c r="AE41" i="10"/>
  <c r="O58" i="10"/>
  <c r="U26" i="11"/>
  <c r="AG26" i="11" s="1"/>
  <c r="Q59" i="11"/>
  <c r="N62" i="12"/>
  <c r="N50" i="12"/>
  <c r="S47" i="12"/>
  <c r="S63" i="12" s="1"/>
  <c r="N56" i="12"/>
  <c r="N60" i="12"/>
  <c r="N61" i="12"/>
  <c r="N58" i="12"/>
  <c r="N64" i="12"/>
  <c r="Q60" i="12"/>
  <c r="Q64" i="12"/>
  <c r="Q58" i="12"/>
  <c r="Q56" i="12"/>
  <c r="AC47" i="12"/>
  <c r="Q62" i="12"/>
  <c r="Q50" i="12"/>
  <c r="Q59" i="12"/>
  <c r="Q63" i="12"/>
  <c r="AE42" i="12"/>
  <c r="AE46" i="12"/>
  <c r="O63" i="12"/>
  <c r="O56" i="12"/>
  <c r="O64" i="12"/>
  <c r="O60" i="12"/>
  <c r="O59" i="12"/>
  <c r="AA47" i="12"/>
  <c r="O50" i="12"/>
  <c r="P60" i="12"/>
  <c r="P64" i="12"/>
  <c r="P56" i="12"/>
  <c r="AB47" i="12"/>
  <c r="P62" i="12"/>
  <c r="P57" i="12"/>
  <c r="P50" i="12"/>
  <c r="P61" i="12"/>
  <c r="P58" i="12"/>
  <c r="Q57" i="12"/>
  <c r="AC61" i="12"/>
  <c r="N59" i="12"/>
  <c r="N63" i="12"/>
  <c r="N57" i="12"/>
  <c r="O61" i="12"/>
  <c r="N47" i="11"/>
  <c r="N54" i="11"/>
  <c r="N53" i="11"/>
  <c r="N59" i="11"/>
  <c r="N57" i="11"/>
  <c r="N56" i="11"/>
  <c r="N58" i="11"/>
  <c r="N60" i="11"/>
  <c r="S44" i="11"/>
  <c r="AE43" i="11"/>
  <c r="O57" i="11"/>
  <c r="O47" i="11"/>
  <c r="O56" i="11"/>
  <c r="O53" i="11"/>
  <c r="O60" i="11"/>
  <c r="O54" i="11"/>
  <c r="O58" i="11"/>
  <c r="Q56" i="11"/>
  <c r="Q57" i="11"/>
  <c r="Q60" i="11"/>
  <c r="Q54" i="11"/>
  <c r="Q58" i="11"/>
  <c r="Q53" i="11"/>
  <c r="Q47" i="11"/>
  <c r="N55" i="11"/>
  <c r="R28" i="11"/>
  <c r="R23" i="11"/>
  <c r="R22" i="11"/>
  <c r="R24" i="11"/>
  <c r="R21" i="11"/>
  <c r="R27" i="11"/>
  <c r="R15" i="11"/>
  <c r="AD12" i="11"/>
  <c r="R25" i="11"/>
  <c r="N24" i="11"/>
  <c r="N21" i="11"/>
  <c r="Z21" i="11" s="1"/>
  <c r="N23" i="11"/>
  <c r="N28" i="11"/>
  <c r="N27" i="11"/>
  <c r="N15" i="11"/>
  <c r="Z12" i="11"/>
  <c r="N25" i="11"/>
  <c r="N22" i="11"/>
  <c r="S15" i="11"/>
  <c r="S23" i="11"/>
  <c r="AE12" i="11"/>
  <c r="S21" i="11"/>
  <c r="S24" i="11"/>
  <c r="S22" i="11"/>
  <c r="S26" i="11"/>
  <c r="S28" i="11"/>
  <c r="AE28" i="11" s="1"/>
  <c r="Q22" i="11"/>
  <c r="Q26" i="11"/>
  <c r="Q28" i="11"/>
  <c r="Q21" i="11"/>
  <c r="Q15" i="11"/>
  <c r="Q24" i="11"/>
  <c r="O24" i="11"/>
  <c r="O15" i="11"/>
  <c r="O21" i="11"/>
  <c r="O23" i="11"/>
  <c r="O22" i="11"/>
  <c r="O26" i="11"/>
  <c r="AA12" i="11"/>
  <c r="O28" i="11"/>
  <c r="P25" i="11"/>
  <c r="P28" i="11"/>
  <c r="P23" i="11"/>
  <c r="P24" i="11"/>
  <c r="P22" i="11"/>
  <c r="P21" i="11"/>
  <c r="P15" i="11"/>
  <c r="P27" i="11"/>
  <c r="V15" i="11"/>
  <c r="V21" i="11"/>
  <c r="V24" i="11"/>
  <c r="V22" i="11"/>
  <c r="V28" i="11"/>
  <c r="U28" i="11"/>
  <c r="U27" i="11"/>
  <c r="U22" i="11"/>
  <c r="U25" i="11"/>
  <c r="U15" i="11"/>
  <c r="U21" i="11"/>
  <c r="U23" i="11"/>
  <c r="S27" i="11"/>
  <c r="Q23" i="11"/>
  <c r="Q25" i="11"/>
  <c r="AC25" i="11" s="1"/>
  <c r="R26" i="11"/>
  <c r="O27" i="11"/>
  <c r="N26" i="11"/>
  <c r="S25" i="11"/>
  <c r="P26" i="11"/>
  <c r="O119" i="10"/>
  <c r="O131" i="10"/>
  <c r="O125" i="10"/>
  <c r="O127" i="10"/>
  <c r="O129" i="10"/>
  <c r="O133" i="10"/>
  <c r="O126" i="10"/>
  <c r="AA126" i="10" s="1"/>
  <c r="R91" i="10"/>
  <c r="R99" i="10"/>
  <c r="R93" i="10"/>
  <c r="R97" i="10"/>
  <c r="R85" i="10"/>
  <c r="R94" i="10"/>
  <c r="R98" i="10"/>
  <c r="R95" i="10"/>
  <c r="P98" i="10"/>
  <c r="R92" i="10"/>
  <c r="Q98" i="10"/>
  <c r="Q91" i="10"/>
  <c r="Q96" i="10"/>
  <c r="Q97" i="10"/>
  <c r="Q92" i="10"/>
  <c r="AC92" i="10" s="1"/>
  <c r="Q85" i="10"/>
  <c r="Q94" i="10"/>
  <c r="Q99" i="10"/>
  <c r="Q95" i="10"/>
  <c r="P92" i="10"/>
  <c r="P95" i="10"/>
  <c r="P97" i="10"/>
  <c r="P99" i="10"/>
  <c r="P93" i="10"/>
  <c r="P85" i="10"/>
  <c r="P96" i="10"/>
  <c r="P91" i="10"/>
  <c r="S48" i="10"/>
  <c r="P58" i="10"/>
  <c r="P65" i="10"/>
  <c r="AB65" i="10" s="1"/>
  <c r="P61" i="10"/>
  <c r="P64" i="10"/>
  <c r="P51" i="10"/>
  <c r="P63" i="10"/>
  <c r="P62" i="10"/>
  <c r="P57" i="10"/>
  <c r="AE47" i="10"/>
  <c r="N63" i="10"/>
  <c r="N59" i="10"/>
  <c r="N51" i="10"/>
  <c r="N61" i="10"/>
  <c r="N58" i="10"/>
  <c r="N64" i="10"/>
  <c r="N57" i="10"/>
  <c r="N65" i="10"/>
  <c r="Z65" i="10" s="1"/>
  <c r="O57" i="10"/>
  <c r="O65" i="10"/>
  <c r="AA65" i="10" s="1"/>
  <c r="O61" i="10"/>
  <c r="O59" i="10"/>
  <c r="O51" i="10"/>
  <c r="O60" i="10"/>
  <c r="O63" i="10"/>
  <c r="AE42" i="10"/>
  <c r="Q64" i="10"/>
  <c r="Q59" i="10"/>
  <c r="Q65" i="10"/>
  <c r="AC65" i="10" s="1"/>
  <c r="Q57" i="10"/>
  <c r="Q60" i="10"/>
  <c r="AC48" i="10"/>
  <c r="Q63" i="10"/>
  <c r="Q61" i="10"/>
  <c r="Q51" i="10"/>
  <c r="Q58" i="10"/>
  <c r="N62" i="10"/>
  <c r="N60" i="10"/>
  <c r="Z60" i="10" s="1"/>
  <c r="O64" i="10"/>
  <c r="C53" i="16"/>
  <c r="H53" i="16" s="1"/>
  <c r="S27" i="10"/>
  <c r="S29" i="10"/>
  <c r="S26" i="10"/>
  <c r="S30" i="10"/>
  <c r="S31" i="10"/>
  <c r="S16" i="10"/>
  <c r="S25" i="10"/>
  <c r="S24" i="10"/>
  <c r="S28" i="10"/>
  <c r="O25" i="10"/>
  <c r="O31" i="10"/>
  <c r="O24" i="10"/>
  <c r="O28" i="10"/>
  <c r="O16" i="10"/>
  <c r="O27" i="10"/>
  <c r="O29" i="10"/>
  <c r="C49" i="16"/>
  <c r="H49" i="16" s="1"/>
  <c r="O26" i="10"/>
  <c r="O30" i="10"/>
  <c r="C55" i="16"/>
  <c r="H55" i="16" s="1"/>
  <c r="V26" i="10"/>
  <c r="V30" i="10"/>
  <c r="V23" i="10"/>
  <c r="V25" i="10"/>
  <c r="V31" i="10"/>
  <c r="V24" i="10"/>
  <c r="V28" i="10"/>
  <c r="V27" i="10"/>
  <c r="V16" i="10"/>
  <c r="R30" i="10"/>
  <c r="R25" i="10"/>
  <c r="C52" i="16"/>
  <c r="R16" i="10"/>
  <c r="R27" i="10"/>
  <c r="R28" i="10"/>
  <c r="R26" i="10"/>
  <c r="R23" i="10"/>
  <c r="R29" i="10"/>
  <c r="R31" i="10"/>
  <c r="AD13" i="10"/>
  <c r="U31" i="10"/>
  <c r="U25" i="10"/>
  <c r="U29" i="10"/>
  <c r="U23" i="10"/>
  <c r="U24" i="10"/>
  <c r="C54" i="16"/>
  <c r="H54" i="16" s="1"/>
  <c r="U30" i="10"/>
  <c r="U27" i="10"/>
  <c r="U28" i="10"/>
  <c r="U16" i="10"/>
  <c r="Q85" i="9"/>
  <c r="Q80" i="9"/>
  <c r="AA72" i="9"/>
  <c r="Q79" i="9"/>
  <c r="Q83" i="9"/>
  <c r="Q82" i="9"/>
  <c r="Q81" i="9"/>
  <c r="Q86" i="9"/>
  <c r="M83" i="9"/>
  <c r="M80" i="9"/>
  <c r="M86" i="9"/>
  <c r="M79" i="9"/>
  <c r="W79" i="9" s="1"/>
  <c r="M82" i="9"/>
  <c r="M85" i="9"/>
  <c r="Q55" i="9"/>
  <c r="Q54" i="9"/>
  <c r="Q56" i="9"/>
  <c r="Q49" i="9"/>
  <c r="Q53" i="9"/>
  <c r="AA42" i="9"/>
  <c r="Q52" i="9"/>
  <c r="M54" i="9"/>
  <c r="M56" i="9"/>
  <c r="W42" i="9"/>
  <c r="M49" i="9"/>
  <c r="M50" i="9"/>
  <c r="Q50" i="9"/>
  <c r="M52" i="9"/>
  <c r="M24" i="9"/>
  <c r="W12" i="9"/>
  <c r="M22" i="9"/>
  <c r="M21" i="9"/>
  <c r="M23" i="9"/>
  <c r="M20" i="9"/>
  <c r="M26" i="9"/>
  <c r="Q25" i="9"/>
  <c r="Q22" i="9"/>
  <c r="Q26" i="9"/>
  <c r="Q21" i="9"/>
  <c r="AA12" i="9"/>
  <c r="Q23" i="9"/>
  <c r="AA23" i="9" s="1"/>
  <c r="M19" i="9"/>
  <c r="M25" i="9"/>
  <c r="Q20" i="9"/>
  <c r="Q19" i="9"/>
  <c r="Q24" i="9"/>
  <c r="I23" i="13"/>
  <c r="N16" i="13"/>
  <c r="N19" i="13"/>
  <c r="N5" i="13"/>
  <c r="I9" i="13"/>
  <c r="E117" i="11"/>
  <c r="E124" i="11"/>
  <c r="E111" i="11"/>
  <c r="AC108" i="11"/>
  <c r="D96" i="10"/>
  <c r="D98" i="10"/>
  <c r="D99" i="10"/>
  <c r="D85" i="10"/>
  <c r="D91" i="10"/>
  <c r="D92" i="10"/>
  <c r="D93" i="10"/>
  <c r="D94" i="10"/>
  <c r="AB94" i="10" s="1"/>
  <c r="D95" i="10"/>
  <c r="D97" i="10"/>
  <c r="AB82" i="10"/>
  <c r="J16" i="10"/>
  <c r="J24" i="10"/>
  <c r="J26" i="10"/>
  <c r="B55" i="16"/>
  <c r="J28" i="10"/>
  <c r="J23" i="10"/>
  <c r="J31" i="10"/>
  <c r="J30" i="10"/>
  <c r="AH13" i="10"/>
  <c r="D64" i="16"/>
  <c r="E64" i="16" s="1"/>
  <c r="AE40" i="12"/>
  <c r="J57" i="15"/>
  <c r="AF53" i="15"/>
  <c r="AE44" i="12"/>
  <c r="AE39" i="11"/>
  <c r="J21" i="11"/>
  <c r="J27" i="11"/>
  <c r="J28" i="11"/>
  <c r="J23" i="11"/>
  <c r="AH23" i="11" s="1"/>
  <c r="J24" i="11"/>
  <c r="J25" i="11"/>
  <c r="J26" i="11"/>
  <c r="J15" i="11"/>
  <c r="J22" i="11"/>
  <c r="AH12" i="11"/>
  <c r="I30" i="10"/>
  <c r="I27" i="10"/>
  <c r="I16" i="10"/>
  <c r="I29" i="10"/>
  <c r="I26" i="10"/>
  <c r="I24" i="10"/>
  <c r="B54" i="16"/>
  <c r="I28" i="10"/>
  <c r="I25" i="10"/>
  <c r="I23" i="10"/>
  <c r="I31" i="10"/>
  <c r="AG13" i="10"/>
  <c r="J81" i="2"/>
  <c r="AF78" i="2"/>
  <c r="J18" i="3"/>
  <c r="AF10" i="3"/>
  <c r="F117" i="12"/>
  <c r="F118" i="12" s="1"/>
  <c r="B62" i="12"/>
  <c r="G47" i="12"/>
  <c r="G57" i="12" s="1"/>
  <c r="B60" i="12"/>
  <c r="B50" i="12"/>
  <c r="B63" i="12"/>
  <c r="B57" i="12"/>
  <c r="B61" i="12"/>
  <c r="B56" i="12"/>
  <c r="B59" i="12"/>
  <c r="B64" i="12"/>
  <c r="B58" i="12"/>
  <c r="Z47" i="12"/>
  <c r="J57" i="2"/>
  <c r="AF53" i="2"/>
  <c r="C60" i="11"/>
  <c r="C55" i="11"/>
  <c r="AA55" i="11" s="1"/>
  <c r="C57" i="11"/>
  <c r="C47" i="11"/>
  <c r="C58" i="11"/>
  <c r="C53" i="11"/>
  <c r="C56" i="11"/>
  <c r="C59" i="11"/>
  <c r="C54" i="11"/>
  <c r="AA44" i="11"/>
  <c r="G29" i="10"/>
  <c r="G30" i="10"/>
  <c r="G31" i="10"/>
  <c r="G25" i="10"/>
  <c r="G24" i="10"/>
  <c r="G26" i="10"/>
  <c r="G27" i="10"/>
  <c r="G16" i="10"/>
  <c r="G28" i="10"/>
  <c r="AE13" i="10"/>
  <c r="E23" i="11"/>
  <c r="E22" i="11"/>
  <c r="E27" i="11"/>
  <c r="AC27" i="11" s="1"/>
  <c r="E21" i="11"/>
  <c r="E24" i="11"/>
  <c r="E28" i="11"/>
  <c r="E26" i="11"/>
  <c r="E15" i="11"/>
  <c r="AC12" i="11"/>
  <c r="C26" i="10"/>
  <c r="C28" i="10"/>
  <c r="C23" i="10"/>
  <c r="C27" i="10"/>
  <c r="C25" i="10"/>
  <c r="C29" i="10"/>
  <c r="C24" i="10"/>
  <c r="C31" i="10"/>
  <c r="C16" i="10"/>
  <c r="AA13" i="10"/>
  <c r="D16" i="12"/>
  <c r="AB15" i="12"/>
  <c r="D58" i="11"/>
  <c r="D60" i="11"/>
  <c r="D47" i="11"/>
  <c r="D59" i="11"/>
  <c r="D54" i="11"/>
  <c r="D56" i="11"/>
  <c r="AB56" i="11" s="1"/>
  <c r="D55" i="11"/>
  <c r="D57" i="11"/>
  <c r="AB44" i="11"/>
  <c r="J45" i="15"/>
  <c r="AF41" i="15"/>
  <c r="O118" i="12"/>
  <c r="AA117" i="12"/>
  <c r="J27" i="10"/>
  <c r="AA83" i="12"/>
  <c r="D63" i="10"/>
  <c r="D64" i="10"/>
  <c r="D61" i="10"/>
  <c r="D51" i="10"/>
  <c r="D60" i="10"/>
  <c r="D57" i="10"/>
  <c r="D58" i="10"/>
  <c r="D62" i="10"/>
  <c r="D59" i="10"/>
  <c r="AB59" i="10" s="1"/>
  <c r="AB48" i="10"/>
  <c r="G44" i="11"/>
  <c r="G53" i="11" s="1"/>
  <c r="AE37" i="11"/>
  <c r="J52" i="6"/>
  <c r="AF49" i="6"/>
  <c r="G48" i="10"/>
  <c r="AE40" i="10"/>
  <c r="D21" i="11"/>
  <c r="D27" i="11"/>
  <c r="D15" i="11"/>
  <c r="D24" i="11"/>
  <c r="D28" i="11"/>
  <c r="D25" i="11"/>
  <c r="D22" i="11"/>
  <c r="D23" i="11"/>
  <c r="D26" i="11"/>
  <c r="AB12" i="11"/>
  <c r="D111" i="11"/>
  <c r="AB110" i="11"/>
  <c r="J19" i="6"/>
  <c r="AF16" i="6"/>
  <c r="R117" i="12"/>
  <c r="J29" i="10"/>
  <c r="AH29" i="10" s="1"/>
  <c r="J25" i="10"/>
  <c r="Z117" i="12"/>
  <c r="Z110" i="11"/>
  <c r="AE41" i="11"/>
  <c r="C86" i="9"/>
  <c r="W72" i="9"/>
  <c r="J45" i="2"/>
  <c r="AF44" i="2"/>
  <c r="F83" i="12"/>
  <c r="F78" i="11"/>
  <c r="AD84" i="10"/>
  <c r="B54" i="11"/>
  <c r="B53" i="11"/>
  <c r="B57" i="11"/>
  <c r="B59" i="11"/>
  <c r="B58" i="11"/>
  <c r="B60" i="11"/>
  <c r="B47" i="11"/>
  <c r="B55" i="11"/>
  <c r="B56" i="11"/>
  <c r="Z44" i="11"/>
  <c r="G49" i="12"/>
  <c r="G46" i="11"/>
  <c r="AE50" i="10"/>
  <c r="E97" i="10"/>
  <c r="E85" i="10"/>
  <c r="E99" i="10"/>
  <c r="E95" i="10"/>
  <c r="E93" i="10"/>
  <c r="AC93" i="10" s="1"/>
  <c r="E96" i="10"/>
  <c r="E94" i="10"/>
  <c r="E98" i="10"/>
  <c r="E91" i="10"/>
  <c r="AC82" i="10"/>
  <c r="B51" i="10"/>
  <c r="B57" i="10"/>
  <c r="B59" i="10"/>
  <c r="B63" i="10"/>
  <c r="B58" i="10"/>
  <c r="B62" i="10"/>
  <c r="B64" i="10"/>
  <c r="Z48" i="10"/>
  <c r="C64" i="10"/>
  <c r="C51" i="10"/>
  <c r="C58" i="10"/>
  <c r="C63" i="10"/>
  <c r="C57" i="10"/>
  <c r="C61" i="10"/>
  <c r="C59" i="10"/>
  <c r="C60" i="10"/>
  <c r="C62" i="10"/>
  <c r="AA62" i="10" s="1"/>
  <c r="AA48" i="10"/>
  <c r="F91" i="10"/>
  <c r="F96" i="10"/>
  <c r="AD96" i="10" s="1"/>
  <c r="F97" i="10"/>
  <c r="F98" i="10"/>
  <c r="F93" i="10"/>
  <c r="F85" i="10"/>
  <c r="F95" i="10"/>
  <c r="F99" i="10"/>
  <c r="F94" i="10"/>
  <c r="F92" i="10"/>
  <c r="AD82" i="10"/>
  <c r="D118" i="12"/>
  <c r="AB117" i="12"/>
  <c r="K25" i="11"/>
  <c r="K23" i="11"/>
  <c r="K26" i="11"/>
  <c r="K27" i="11"/>
  <c r="K21" i="11"/>
  <c r="K24" i="11"/>
  <c r="K28" i="11"/>
  <c r="J69" i="15"/>
  <c r="AF65" i="15"/>
  <c r="D24" i="16"/>
  <c r="E24" i="16" s="1"/>
  <c r="I24" i="11"/>
  <c r="AG24" i="11" s="1"/>
  <c r="I25" i="11"/>
  <c r="I22" i="11"/>
  <c r="I28" i="11"/>
  <c r="I23" i="11"/>
  <c r="I15" i="11"/>
  <c r="I27" i="11"/>
  <c r="I21" i="11"/>
  <c r="AG12" i="11"/>
  <c r="E53" i="11"/>
  <c r="E56" i="11"/>
  <c r="E59" i="11"/>
  <c r="E47" i="11"/>
  <c r="E54" i="11"/>
  <c r="E55" i="11"/>
  <c r="AC55" i="11" s="1"/>
  <c r="E60" i="11"/>
  <c r="E58" i="11"/>
  <c r="E57" i="11"/>
  <c r="AC44" i="11"/>
  <c r="AE38" i="11"/>
  <c r="C133" i="10"/>
  <c r="C130" i="10"/>
  <c r="C132" i="10"/>
  <c r="C119" i="10"/>
  <c r="C125" i="10"/>
  <c r="C127" i="10"/>
  <c r="C129" i="10"/>
  <c r="C131" i="10"/>
  <c r="AA116" i="10"/>
  <c r="E16" i="10"/>
  <c r="E23" i="10"/>
  <c r="E31" i="10"/>
  <c r="E26" i="10"/>
  <c r="E24" i="10"/>
  <c r="E27" i="10"/>
  <c r="E25" i="10"/>
  <c r="E28" i="10"/>
  <c r="E30" i="10"/>
  <c r="E29" i="10"/>
  <c r="AC13" i="10"/>
  <c r="I16" i="12"/>
  <c r="AG15" i="12"/>
  <c r="D50" i="12"/>
  <c r="AB49" i="12"/>
  <c r="J41" i="6"/>
  <c r="AF38" i="6"/>
  <c r="J21" i="15"/>
  <c r="AF17" i="15"/>
  <c r="D23" i="13"/>
  <c r="C128" i="10"/>
  <c r="AA128" i="10" s="1"/>
  <c r="D20" i="16"/>
  <c r="E20" i="16" s="1"/>
  <c r="AA49" i="12"/>
  <c r="H66" i="16" l="1"/>
  <c r="H39" i="16"/>
  <c r="H41" i="16"/>
  <c r="H56" i="16"/>
  <c r="X81" i="15"/>
  <c r="AE74" i="6"/>
  <c r="AE63" i="6"/>
  <c r="AE21" i="2"/>
  <c r="AE30" i="6"/>
  <c r="AE52" i="6"/>
  <c r="AF41" i="6"/>
  <c r="H71" i="16"/>
  <c r="M71" i="16"/>
  <c r="G63" i="16"/>
  <c r="I63" i="16" s="1"/>
  <c r="J63" i="16" s="1"/>
  <c r="G64" i="16"/>
  <c r="G66" i="16"/>
  <c r="I66" i="16" s="1"/>
  <c r="J66" i="16" s="1"/>
  <c r="G67" i="16"/>
  <c r="G68" i="16"/>
  <c r="G69" i="16"/>
  <c r="G70" i="16"/>
  <c r="G65" i="16"/>
  <c r="G33" i="16"/>
  <c r="G34" i="16"/>
  <c r="H37" i="16"/>
  <c r="H35" i="16"/>
  <c r="H34" i="16"/>
  <c r="H70" i="16"/>
  <c r="H69" i="16"/>
  <c r="H68" i="16"/>
  <c r="H64" i="16"/>
  <c r="G35" i="16"/>
  <c r="H67" i="16"/>
  <c r="G41" i="16"/>
  <c r="I41" i="16" s="1"/>
  <c r="J41" i="16" s="1"/>
  <c r="G36" i="16"/>
  <c r="H65" i="16"/>
  <c r="G37" i="16"/>
  <c r="H33" i="16"/>
  <c r="G38" i="16"/>
  <c r="AE19" i="6"/>
  <c r="G39" i="16"/>
  <c r="I39" i="16" s="1"/>
  <c r="J39" i="16" s="1"/>
  <c r="H36" i="16"/>
  <c r="G85" i="16"/>
  <c r="I85" i="16" s="1"/>
  <c r="J85" i="16" s="1"/>
  <c r="G40" i="16"/>
  <c r="H40" i="16"/>
  <c r="G71" i="16"/>
  <c r="H38" i="16"/>
  <c r="I113" i="12"/>
  <c r="AG113" i="12" s="1"/>
  <c r="H256" i="21"/>
  <c r="H104" i="11"/>
  <c r="H215" i="21"/>
  <c r="H111" i="10"/>
  <c r="AA9" i="24"/>
  <c r="AA8" i="24"/>
  <c r="AA7" i="24"/>
  <c r="AA5" i="24"/>
  <c r="AA6" i="24"/>
  <c r="AA4" i="24"/>
  <c r="AA3" i="24"/>
  <c r="W15" i="11"/>
  <c r="AI15" i="11" s="1"/>
  <c r="AI12" i="11"/>
  <c r="W24" i="11"/>
  <c r="AI24" i="11" s="1"/>
  <c r="W22" i="11"/>
  <c r="AI22" i="11" s="1"/>
  <c r="AE81" i="2"/>
  <c r="W27" i="11"/>
  <c r="AI27" i="11" s="1"/>
  <c r="AL12" i="11"/>
  <c r="W23" i="11"/>
  <c r="AI23" i="11" s="1"/>
  <c r="W28" i="11"/>
  <c r="AI28" i="11" s="1"/>
  <c r="Z27" i="10"/>
  <c r="Y30" i="6"/>
  <c r="W21" i="11"/>
  <c r="AI21" i="11" s="1"/>
  <c r="AE33" i="2"/>
  <c r="AA86" i="9"/>
  <c r="W25" i="11"/>
  <c r="AI25" i="11" s="1"/>
  <c r="Z25" i="12"/>
  <c r="AA21" i="9"/>
  <c r="Z97" i="12"/>
  <c r="I20" i="24"/>
  <c r="J20" i="24" s="1"/>
  <c r="V30" i="24" s="1"/>
  <c r="AA21" i="15"/>
  <c r="AE9" i="2"/>
  <c r="AF81" i="2"/>
  <c r="AF52" i="6"/>
  <c r="Y52" i="6"/>
  <c r="AE69" i="15"/>
  <c r="AD24" i="10"/>
  <c r="AE21" i="15"/>
  <c r="AA55" i="9"/>
  <c r="AE18" i="3"/>
  <c r="C86" i="16"/>
  <c r="H86" i="16" s="1"/>
  <c r="AA30" i="10"/>
  <c r="AC69" i="2"/>
  <c r="AE57" i="15"/>
  <c r="AD9" i="15"/>
  <c r="Y63" i="6"/>
  <c r="AC63" i="6"/>
  <c r="AF30" i="6"/>
  <c r="AE9" i="15"/>
  <c r="Z28" i="10"/>
  <c r="AE23" i="10"/>
  <c r="AA24" i="9"/>
  <c r="AB30" i="10"/>
  <c r="AC52" i="6"/>
  <c r="AE81" i="15"/>
  <c r="AD21" i="2"/>
  <c r="X69" i="15"/>
  <c r="AD57" i="2"/>
  <c r="AG26" i="10"/>
  <c r="AE41" i="6"/>
  <c r="AC30" i="10"/>
  <c r="B56" i="16"/>
  <c r="AE57" i="2"/>
  <c r="C27" i="24"/>
  <c r="AD81" i="15"/>
  <c r="AA23" i="10"/>
  <c r="Y57" i="15"/>
  <c r="B86" i="16"/>
  <c r="G86" i="16" s="1"/>
  <c r="AE69" i="2"/>
  <c r="D65" i="16"/>
  <c r="E65" i="16" s="1"/>
  <c r="AE45" i="2"/>
  <c r="D19" i="24"/>
  <c r="I19" i="24" s="1"/>
  <c r="AA56" i="9"/>
  <c r="D69" i="16"/>
  <c r="E69" i="16" s="1"/>
  <c r="D25" i="24"/>
  <c r="AE45" i="15"/>
  <c r="D68" i="16"/>
  <c r="E68" i="16" s="1"/>
  <c r="D24" i="24"/>
  <c r="AE9" i="1"/>
  <c r="D66" i="16"/>
  <c r="E66" i="16" s="1"/>
  <c r="D22" i="24"/>
  <c r="D67" i="16"/>
  <c r="E67" i="16" s="1"/>
  <c r="D23" i="24"/>
  <c r="AB9" i="15"/>
  <c r="X30" i="6"/>
  <c r="AA127" i="12"/>
  <c r="D39" i="16"/>
  <c r="E39" i="16" s="1"/>
  <c r="D11" i="24"/>
  <c r="I11" i="24" s="1"/>
  <c r="AE27" i="11"/>
  <c r="D38" i="16"/>
  <c r="E38" i="16" s="1"/>
  <c r="D10" i="24"/>
  <c r="I10" i="24" s="1"/>
  <c r="D37" i="16"/>
  <c r="E37" i="16" s="1"/>
  <c r="D9" i="24"/>
  <c r="I9" i="24" s="1"/>
  <c r="AE33" i="15"/>
  <c r="D36" i="16"/>
  <c r="E36" i="16" s="1"/>
  <c r="D8" i="24"/>
  <c r="I8" i="24" s="1"/>
  <c r="D35" i="16"/>
  <c r="E35" i="16" s="1"/>
  <c r="D7" i="24"/>
  <c r="I7" i="24" s="1"/>
  <c r="D6" i="24"/>
  <c r="I6" i="24" s="1"/>
  <c r="X19" i="6"/>
  <c r="AA82" i="9"/>
  <c r="C13" i="24"/>
  <c r="D5" i="24"/>
  <c r="I5" i="24" s="1"/>
  <c r="X80" i="9"/>
  <c r="AC91" i="12"/>
  <c r="W49" i="9"/>
  <c r="AE118" i="11"/>
  <c r="AC131" i="12"/>
  <c r="Z69" i="15"/>
  <c r="K30" i="10"/>
  <c r="AI30" i="10" s="1"/>
  <c r="K25" i="10"/>
  <c r="AI25" i="10" s="1"/>
  <c r="AF63" i="6"/>
  <c r="AA63" i="6"/>
  <c r="AD52" i="6"/>
  <c r="X63" i="6"/>
  <c r="AB57" i="15"/>
  <c r="X8" i="6"/>
  <c r="AC93" i="12"/>
  <c r="AA41" i="6"/>
  <c r="AC19" i="6"/>
  <c r="Z52" i="6"/>
  <c r="AC69" i="15"/>
  <c r="AC30" i="6"/>
  <c r="Y69" i="15"/>
  <c r="AC57" i="15"/>
  <c r="Z41" i="6"/>
  <c r="AD33" i="15"/>
  <c r="AD81" i="2"/>
  <c r="AA50" i="9"/>
  <c r="AD19" i="6"/>
  <c r="Y33" i="15"/>
  <c r="AF57" i="15"/>
  <c r="X57" i="15"/>
  <c r="AA20" i="9"/>
  <c r="AC21" i="15"/>
  <c r="K25" i="12"/>
  <c r="AI25" i="12" s="1"/>
  <c r="K26" i="12"/>
  <c r="AI26" i="12" s="1"/>
  <c r="K28" i="12"/>
  <c r="AI28" i="12" s="1"/>
  <c r="K27" i="12"/>
  <c r="AI27" i="12" s="1"/>
  <c r="Y8" i="6"/>
  <c r="K29" i="12"/>
  <c r="AI29" i="12" s="1"/>
  <c r="K30" i="12"/>
  <c r="AI30" i="12" s="1"/>
  <c r="K16" i="12"/>
  <c r="AI16" i="12" s="1"/>
  <c r="K24" i="12"/>
  <c r="AI24" i="12" s="1"/>
  <c r="K23" i="12"/>
  <c r="AI23" i="12" s="1"/>
  <c r="AI13" i="12"/>
  <c r="K22" i="12"/>
  <c r="AI22" i="12" s="1"/>
  <c r="AD92" i="11"/>
  <c r="AE22" i="12"/>
  <c r="Z96" i="10"/>
  <c r="AB52" i="9"/>
  <c r="X52" i="6"/>
  <c r="AF69" i="2"/>
  <c r="AC124" i="12"/>
  <c r="AF19" i="6"/>
  <c r="AD69" i="2"/>
  <c r="AD126" i="12"/>
  <c r="K28" i="10"/>
  <c r="AI28" i="10" s="1"/>
  <c r="K29" i="10"/>
  <c r="AI29" i="10" s="1"/>
  <c r="K16" i="10"/>
  <c r="AI16" i="10" s="1"/>
  <c r="K26" i="10"/>
  <c r="AI26" i="10" s="1"/>
  <c r="Z57" i="15"/>
  <c r="AA30" i="6"/>
  <c r="K27" i="10"/>
  <c r="AI27" i="10" s="1"/>
  <c r="X9" i="15"/>
  <c r="AB33" i="15"/>
  <c r="AD74" i="6"/>
  <c r="AE24" i="11"/>
  <c r="AB74" i="6"/>
  <c r="AF69" i="15"/>
  <c r="AB59" i="11"/>
  <c r="Y41" i="6"/>
  <c r="AA81" i="9"/>
  <c r="AB41" i="6"/>
  <c r="K31" i="10"/>
  <c r="AI31" i="10" s="1"/>
  <c r="Y81" i="15"/>
  <c r="K23" i="10"/>
  <c r="AI23" i="10" s="1"/>
  <c r="X69" i="2"/>
  <c r="AB63" i="6"/>
  <c r="AF57" i="2"/>
  <c r="AD94" i="12"/>
  <c r="AC133" i="10"/>
  <c r="AA81" i="2"/>
  <c r="AD125" i="12"/>
  <c r="AC79" i="11"/>
  <c r="AA45" i="15"/>
  <c r="Z69" i="2"/>
  <c r="AA9" i="15"/>
  <c r="AF33" i="2"/>
  <c r="AB9" i="1"/>
  <c r="AB49" i="9"/>
  <c r="Y81" i="2"/>
  <c r="AD21" i="15"/>
  <c r="Z81" i="2"/>
  <c r="AA83" i="9"/>
  <c r="AA81" i="15"/>
  <c r="Y9" i="1"/>
  <c r="AF21" i="15"/>
  <c r="X21" i="15"/>
  <c r="Z45" i="15"/>
  <c r="AC9" i="15"/>
  <c r="AA84" i="12"/>
  <c r="AC127" i="10"/>
  <c r="Z9" i="15"/>
  <c r="AD124" i="12"/>
  <c r="AA92" i="12"/>
  <c r="AB81" i="15"/>
  <c r="AC16" i="10"/>
  <c r="AB30" i="6"/>
  <c r="AB58" i="11"/>
  <c r="AD30" i="6"/>
  <c r="AC120" i="11"/>
  <c r="AC84" i="12"/>
  <c r="AC55" i="9"/>
  <c r="AC74" i="6"/>
  <c r="AE122" i="11"/>
  <c r="AD131" i="10"/>
  <c r="AF103" i="11"/>
  <c r="R104" i="11"/>
  <c r="U104" i="11" s="1"/>
  <c r="AG103" i="11"/>
  <c r="AB21" i="15"/>
  <c r="U109" i="12"/>
  <c r="AH22" i="12"/>
  <c r="H299" i="20"/>
  <c r="T111" i="12" s="1"/>
  <c r="AA124" i="11"/>
  <c r="AE22" i="11"/>
  <c r="AD29" i="12"/>
  <c r="AE29" i="12"/>
  <c r="AE119" i="11"/>
  <c r="AC96" i="12"/>
  <c r="AC125" i="12"/>
  <c r="W19" i="9"/>
  <c r="AF110" i="10"/>
  <c r="U110" i="10"/>
  <c r="AG110" i="10" s="1"/>
  <c r="AF33" i="15"/>
  <c r="AC41" i="6"/>
  <c r="AA52" i="6"/>
  <c r="H216" i="20"/>
  <c r="T113" i="10" s="1"/>
  <c r="Y69" i="2"/>
  <c r="AG117" i="12"/>
  <c r="I112" i="12"/>
  <c r="AC92" i="12"/>
  <c r="AE28" i="12"/>
  <c r="AE130" i="12"/>
  <c r="AB25" i="12"/>
  <c r="AD128" i="12"/>
  <c r="AI24" i="10"/>
  <c r="Y74" i="6"/>
  <c r="AD95" i="12"/>
  <c r="AB27" i="12"/>
  <c r="Z91" i="12"/>
  <c r="AB55" i="9"/>
  <c r="AB69" i="2"/>
  <c r="AC88" i="11"/>
  <c r="Z33" i="15"/>
  <c r="AC94" i="12"/>
  <c r="X82" i="9"/>
  <c r="AI13" i="10"/>
  <c r="AC24" i="10"/>
  <c r="AC128" i="10"/>
  <c r="AB8" i="6"/>
  <c r="Z120" i="11"/>
  <c r="AA57" i="15"/>
  <c r="X45" i="15"/>
  <c r="AF45" i="15"/>
  <c r="Z58" i="10"/>
  <c r="Z74" i="6"/>
  <c r="AB51" i="9"/>
  <c r="AC130" i="12"/>
  <c r="AC8" i="6"/>
  <c r="AB19" i="6"/>
  <c r="Y45" i="15"/>
  <c r="W54" i="9"/>
  <c r="AC60" i="12"/>
  <c r="X41" i="6"/>
  <c r="AA19" i="9"/>
  <c r="M23" i="13"/>
  <c r="AA69" i="15"/>
  <c r="AC54" i="9"/>
  <c r="Z51" i="9"/>
  <c r="AA22" i="9"/>
  <c r="X74" i="6"/>
  <c r="AD45" i="15"/>
  <c r="AE25" i="12"/>
  <c r="AA90" i="12"/>
  <c r="X33" i="15"/>
  <c r="AB26" i="12"/>
  <c r="M9" i="13"/>
  <c r="Z9" i="1"/>
  <c r="AC28" i="10"/>
  <c r="AD132" i="12"/>
  <c r="AC33" i="15"/>
  <c r="Z63" i="6"/>
  <c r="Z124" i="11"/>
  <c r="AC9" i="1"/>
  <c r="AA79" i="9"/>
  <c r="AA93" i="12"/>
  <c r="AD57" i="15"/>
  <c r="Z30" i="6"/>
  <c r="Y21" i="15"/>
  <c r="AD96" i="12"/>
  <c r="AC29" i="10"/>
  <c r="Z81" i="15"/>
  <c r="Y56" i="9"/>
  <c r="AA74" i="6"/>
  <c r="Y51" i="9"/>
  <c r="AC31" i="10"/>
  <c r="AC124" i="11"/>
  <c r="AE117" i="11"/>
  <c r="AF9" i="15"/>
  <c r="Z21" i="15"/>
  <c r="AC45" i="15"/>
  <c r="AB69" i="15"/>
  <c r="AC92" i="11"/>
  <c r="AB52" i="6"/>
  <c r="AA33" i="15"/>
  <c r="AB131" i="12"/>
  <c r="L23" i="13"/>
  <c r="AF81" i="15"/>
  <c r="AC84" i="9"/>
  <c r="AD128" i="10"/>
  <c r="AA26" i="9"/>
  <c r="Z94" i="10"/>
  <c r="AD119" i="10"/>
  <c r="AA91" i="12"/>
  <c r="AC27" i="10"/>
  <c r="X86" i="9"/>
  <c r="AC95" i="12"/>
  <c r="Z50" i="9"/>
  <c r="AE121" i="11"/>
  <c r="Z55" i="9"/>
  <c r="AE123" i="11"/>
  <c r="AA54" i="9"/>
  <c r="AE120" i="11"/>
  <c r="AD132" i="10"/>
  <c r="AE124" i="12"/>
  <c r="AE126" i="12"/>
  <c r="AE118" i="12"/>
  <c r="AE125" i="12"/>
  <c r="AE127" i="10"/>
  <c r="AD91" i="12"/>
  <c r="AE129" i="12"/>
  <c r="AE128" i="12"/>
  <c r="Z54" i="11"/>
  <c r="AC90" i="12"/>
  <c r="AD28" i="12"/>
  <c r="AE30" i="12"/>
  <c r="AC122" i="11"/>
  <c r="Z91" i="10"/>
  <c r="AE26" i="12"/>
  <c r="AD127" i="10"/>
  <c r="Z23" i="9"/>
  <c r="AB93" i="12"/>
  <c r="AE129" i="10"/>
  <c r="AE119" i="10"/>
  <c r="Y80" i="9"/>
  <c r="Z99" i="10"/>
  <c r="AE131" i="12"/>
  <c r="AE132" i="12"/>
  <c r="AE49" i="12"/>
  <c r="AC90" i="11"/>
  <c r="AC26" i="10"/>
  <c r="AC23" i="10"/>
  <c r="W56" i="9"/>
  <c r="AB86" i="9"/>
  <c r="AD126" i="10"/>
  <c r="AC58" i="12"/>
  <c r="AC130" i="10"/>
  <c r="Z61" i="10"/>
  <c r="Y33" i="2"/>
  <c r="Y50" i="9"/>
  <c r="V79" i="9"/>
  <c r="AC56" i="9"/>
  <c r="AD131" i="12"/>
  <c r="Y54" i="9"/>
  <c r="X84" i="9"/>
  <c r="AD130" i="12"/>
  <c r="W85" i="9"/>
  <c r="Z97" i="10"/>
  <c r="AE126" i="10"/>
  <c r="AC9" i="2"/>
  <c r="AE133" i="10"/>
  <c r="AD129" i="10"/>
  <c r="AD130" i="10"/>
  <c r="AA80" i="9"/>
  <c r="V56" i="9"/>
  <c r="W80" i="9"/>
  <c r="W83" i="9"/>
  <c r="Z79" i="9"/>
  <c r="W23" i="9"/>
  <c r="Z9" i="2"/>
  <c r="AC119" i="10"/>
  <c r="AB95" i="12"/>
  <c r="AC23" i="12"/>
  <c r="Z53" i="9"/>
  <c r="AG26" i="12"/>
  <c r="AE128" i="10"/>
  <c r="AE130" i="10"/>
  <c r="AE131" i="10"/>
  <c r="AE132" i="10"/>
  <c r="AC118" i="12"/>
  <c r="AE16" i="12"/>
  <c r="AI15" i="12"/>
  <c r="AC111" i="11"/>
  <c r="AB118" i="12"/>
  <c r="R118" i="12"/>
  <c r="AD118" i="12" s="1"/>
  <c r="AD117" i="12"/>
  <c r="AA15" i="11"/>
  <c r="AA111" i="11"/>
  <c r="AE15" i="11"/>
  <c r="D85" i="16"/>
  <c r="E85" i="16" s="1"/>
  <c r="AC126" i="12"/>
  <c r="AB87" i="11"/>
  <c r="W84" i="9"/>
  <c r="AC81" i="15"/>
  <c r="AA85" i="9"/>
  <c r="Z111" i="11"/>
  <c r="AB97" i="12"/>
  <c r="AA53" i="9"/>
  <c r="AC64" i="12"/>
  <c r="AA49" i="9"/>
  <c r="Z19" i="9"/>
  <c r="AB90" i="12"/>
  <c r="Z24" i="10"/>
  <c r="AA118" i="12"/>
  <c r="AA28" i="11"/>
  <c r="Z57" i="2"/>
  <c r="Z118" i="12"/>
  <c r="AA25" i="9"/>
  <c r="AF21" i="2"/>
  <c r="AA69" i="2"/>
  <c r="AB96" i="12"/>
  <c r="AC63" i="12"/>
  <c r="AB45" i="15"/>
  <c r="AD23" i="10"/>
  <c r="AA23" i="11"/>
  <c r="AD33" i="2"/>
  <c r="Z25" i="9"/>
  <c r="AE21" i="11"/>
  <c r="W26" i="9"/>
  <c r="W20" i="9"/>
  <c r="W21" i="9"/>
  <c r="AB86" i="11"/>
  <c r="AB84" i="12"/>
  <c r="AA63" i="12"/>
  <c r="AB91" i="12"/>
  <c r="AA57" i="2"/>
  <c r="W52" i="9"/>
  <c r="AB79" i="11"/>
  <c r="W24" i="9"/>
  <c r="AE25" i="11"/>
  <c r="AI14" i="11"/>
  <c r="X9" i="2"/>
  <c r="AA27" i="11"/>
  <c r="W22" i="9"/>
  <c r="AA22" i="11"/>
  <c r="D26" i="16"/>
  <c r="E26" i="16" s="1"/>
  <c r="AA129" i="12"/>
  <c r="AD18" i="3"/>
  <c r="V51" i="9"/>
  <c r="AB81" i="2"/>
  <c r="Z52" i="9"/>
  <c r="AB45" i="2"/>
  <c r="W50" i="9"/>
  <c r="W53" i="9"/>
  <c r="Z45" i="2"/>
  <c r="AH23" i="12"/>
  <c r="AA23" i="12"/>
  <c r="AC59" i="12"/>
  <c r="AB91" i="11"/>
  <c r="Y9" i="15"/>
  <c r="Y9" i="2"/>
  <c r="X81" i="2"/>
  <c r="I48" i="16"/>
  <c r="J48" i="16" s="1"/>
  <c r="AB124" i="11"/>
  <c r="AA52" i="9"/>
  <c r="Z30" i="10"/>
  <c r="AD63" i="6"/>
  <c r="AB129" i="10"/>
  <c r="I79" i="16"/>
  <c r="J79" i="16" s="1"/>
  <c r="Z21" i="2"/>
  <c r="Z16" i="10"/>
  <c r="AD22" i="11"/>
  <c r="Z23" i="11"/>
  <c r="G57" i="11"/>
  <c r="X45" i="2"/>
  <c r="Z79" i="11"/>
  <c r="Z84" i="9"/>
  <c r="AB120" i="11"/>
  <c r="Z56" i="9"/>
  <c r="W82" i="9"/>
  <c r="AA9" i="2"/>
  <c r="AC29" i="12"/>
  <c r="Z92" i="12"/>
  <c r="AA96" i="10"/>
  <c r="AC127" i="12"/>
  <c r="AG22" i="12"/>
  <c r="AC128" i="12"/>
  <c r="AA119" i="11"/>
  <c r="AD25" i="12"/>
  <c r="X56" i="9"/>
  <c r="I50" i="16"/>
  <c r="J50" i="16" s="1"/>
  <c r="AB53" i="9"/>
  <c r="AA24" i="12"/>
  <c r="Z25" i="10"/>
  <c r="Y81" i="9"/>
  <c r="AC79" i="9"/>
  <c r="AG27" i="12"/>
  <c r="AB28" i="12"/>
  <c r="AD89" i="11"/>
  <c r="AC131" i="10"/>
  <c r="AC129" i="12"/>
  <c r="AE27" i="12"/>
  <c r="AC129" i="10"/>
  <c r="AA118" i="11"/>
  <c r="Z98" i="12"/>
  <c r="Z96" i="12"/>
  <c r="AC24" i="12"/>
  <c r="AD41" i="6"/>
  <c r="AD93" i="12"/>
  <c r="AA89" i="11"/>
  <c r="AA130" i="10"/>
  <c r="AC21" i="9"/>
  <c r="AC30" i="12"/>
  <c r="AH26" i="11"/>
  <c r="AH25" i="11"/>
  <c r="AD92" i="12"/>
  <c r="Z90" i="12"/>
  <c r="Y25" i="9"/>
  <c r="Z117" i="11"/>
  <c r="X81" i="9"/>
  <c r="Z63" i="10"/>
  <c r="V83" i="9"/>
  <c r="AE26" i="10"/>
  <c r="AF8" i="6"/>
  <c r="Z29" i="10"/>
  <c r="Z31" i="10"/>
  <c r="Z82" i="9"/>
  <c r="AD27" i="12"/>
  <c r="AD98" i="12"/>
  <c r="AH24" i="12"/>
  <c r="Z122" i="11"/>
  <c r="AB54" i="9"/>
  <c r="Y49" i="9"/>
  <c r="Z95" i="12"/>
  <c r="AC83" i="9"/>
  <c r="X26" i="9"/>
  <c r="Z57" i="12"/>
  <c r="AD90" i="12"/>
  <c r="AB24" i="12"/>
  <c r="AB126" i="10"/>
  <c r="Z118" i="11"/>
  <c r="AB91" i="10"/>
  <c r="AA91" i="10"/>
  <c r="Y82" i="9"/>
  <c r="Z84" i="12"/>
  <c r="AD87" i="11"/>
  <c r="Y19" i="9"/>
  <c r="Z124" i="12"/>
  <c r="AA125" i="12"/>
  <c r="Z93" i="12"/>
  <c r="V86" i="9"/>
  <c r="Z23" i="10"/>
  <c r="AD22" i="12"/>
  <c r="AA97" i="12"/>
  <c r="Y79" i="9"/>
  <c r="Z54" i="9"/>
  <c r="AB24" i="9"/>
  <c r="AB57" i="11"/>
  <c r="AC123" i="11"/>
  <c r="AA92" i="10"/>
  <c r="AC89" i="11"/>
  <c r="AB55" i="11"/>
  <c r="AC119" i="11"/>
  <c r="Y24" i="9"/>
  <c r="AB83" i="9"/>
  <c r="AB25" i="11"/>
  <c r="Y55" i="9"/>
  <c r="AG28" i="12"/>
  <c r="AB79" i="9"/>
  <c r="X53" i="9"/>
  <c r="AA16" i="12"/>
  <c r="D48" i="16"/>
  <c r="E48" i="16" s="1"/>
  <c r="AC56" i="11"/>
  <c r="AA85" i="10"/>
  <c r="Z130" i="12"/>
  <c r="AB54" i="11"/>
  <c r="AC52" i="9"/>
  <c r="AG16" i="12"/>
  <c r="AB81" i="9"/>
  <c r="AB23" i="12"/>
  <c r="AC91" i="11"/>
  <c r="AB50" i="9"/>
  <c r="AB128" i="10"/>
  <c r="AB60" i="11"/>
  <c r="AC85" i="9"/>
  <c r="AB21" i="9"/>
  <c r="X21" i="9"/>
  <c r="Y22" i="9"/>
  <c r="AC86" i="9"/>
  <c r="AB16" i="12"/>
  <c r="AC25" i="10"/>
  <c r="Y53" i="9"/>
  <c r="Z98" i="10"/>
  <c r="V84" i="9"/>
  <c r="AB22" i="12"/>
  <c r="Y21" i="9"/>
  <c r="AA121" i="11"/>
  <c r="Z92" i="10"/>
  <c r="AG30" i="12"/>
  <c r="AB130" i="12"/>
  <c r="V82" i="9"/>
  <c r="D84" i="16"/>
  <c r="E84" i="16" s="1"/>
  <c r="X85" i="9"/>
  <c r="AA96" i="12"/>
  <c r="AF9" i="2"/>
  <c r="AA88" i="11"/>
  <c r="X79" i="9"/>
  <c r="AC26" i="12"/>
  <c r="X51" i="9"/>
  <c r="AA30" i="12"/>
  <c r="AF45" i="2"/>
  <c r="Z62" i="12"/>
  <c r="AC85" i="11"/>
  <c r="Y85" i="9"/>
  <c r="Z80" i="9"/>
  <c r="AA64" i="10"/>
  <c r="Z63" i="12"/>
  <c r="AH27" i="11"/>
  <c r="AC121" i="11"/>
  <c r="AC117" i="11"/>
  <c r="Y84" i="9"/>
  <c r="AC87" i="11"/>
  <c r="V81" i="9"/>
  <c r="Z132" i="12"/>
  <c r="AC16" i="12"/>
  <c r="AB25" i="9"/>
  <c r="X49" i="9"/>
  <c r="AG23" i="12"/>
  <c r="AB119" i="10"/>
  <c r="AA117" i="11"/>
  <c r="AA98" i="12"/>
  <c r="Z85" i="10"/>
  <c r="AB129" i="12"/>
  <c r="AA95" i="12"/>
  <c r="AC49" i="9"/>
  <c r="AB119" i="11"/>
  <c r="Y83" i="9"/>
  <c r="Y20" i="9"/>
  <c r="S59" i="12"/>
  <c r="N23" i="13"/>
  <c r="AH21" i="11"/>
  <c r="AC118" i="11"/>
  <c r="AA87" i="11"/>
  <c r="Z127" i="12"/>
  <c r="AC28" i="12"/>
  <c r="AB26" i="11"/>
  <c r="AF74" i="6"/>
  <c r="AB47" i="11"/>
  <c r="AF18" i="3"/>
  <c r="Z128" i="12"/>
  <c r="V85" i="9"/>
  <c r="AB23" i="9"/>
  <c r="X50" i="9"/>
  <c r="AB127" i="10"/>
  <c r="AG25" i="12"/>
  <c r="AC58" i="11"/>
  <c r="Z51" i="10"/>
  <c r="AB24" i="11"/>
  <c r="AB92" i="12"/>
  <c r="Z81" i="9"/>
  <c r="AB131" i="10"/>
  <c r="AB98" i="12"/>
  <c r="AC91" i="10"/>
  <c r="AC98" i="10"/>
  <c r="AB130" i="10"/>
  <c r="AB132" i="10"/>
  <c r="AB133" i="10"/>
  <c r="AC21" i="2"/>
  <c r="Z86" i="11"/>
  <c r="AB93" i="10"/>
  <c r="AB128" i="12"/>
  <c r="AB125" i="12"/>
  <c r="AF9" i="1"/>
  <c r="AC132" i="10"/>
  <c r="X23" i="9"/>
  <c r="AE24" i="12"/>
  <c r="AA90" i="11"/>
  <c r="AA94" i="10"/>
  <c r="AB59" i="12"/>
  <c r="Z129" i="12"/>
  <c r="AA22" i="12"/>
  <c r="AB16" i="10"/>
  <c r="X25" i="9"/>
  <c r="Z28" i="11"/>
  <c r="X22" i="9"/>
  <c r="AA91" i="11"/>
  <c r="AA131" i="12"/>
  <c r="AC45" i="2"/>
  <c r="AD90" i="11"/>
  <c r="V50" i="9"/>
  <c r="AB126" i="12"/>
  <c r="AD23" i="12"/>
  <c r="AD88" i="11"/>
  <c r="V49" i="9"/>
  <c r="AA45" i="2"/>
  <c r="AB132" i="12"/>
  <c r="AD95" i="10"/>
  <c r="AD91" i="11"/>
  <c r="Z126" i="12"/>
  <c r="AB33" i="2"/>
  <c r="AD93" i="10"/>
  <c r="AB62" i="12"/>
  <c r="X24" i="9"/>
  <c r="AH26" i="12"/>
  <c r="AC63" i="10"/>
  <c r="W55" i="9"/>
  <c r="AC53" i="9"/>
  <c r="AG29" i="12"/>
  <c r="X52" i="9"/>
  <c r="AH28" i="12"/>
  <c r="AA124" i="12"/>
  <c r="AE46" i="11"/>
  <c r="AB62" i="10"/>
  <c r="AB56" i="12"/>
  <c r="AA122" i="11"/>
  <c r="AB84" i="9"/>
  <c r="AC22" i="12"/>
  <c r="AH25" i="12"/>
  <c r="X57" i="2"/>
  <c r="AB64" i="12"/>
  <c r="AD24" i="12"/>
  <c r="AA120" i="11"/>
  <c r="AC81" i="2"/>
  <c r="AB92" i="10"/>
  <c r="AC57" i="10"/>
  <c r="AB60" i="12"/>
  <c r="AD85" i="11"/>
  <c r="D83" i="16"/>
  <c r="E83" i="16" s="1"/>
  <c r="AA27" i="12"/>
  <c r="AB25" i="10"/>
  <c r="AE23" i="11"/>
  <c r="AA50" i="12"/>
  <c r="AD26" i="12"/>
  <c r="I83" i="16"/>
  <c r="J83" i="16" s="1"/>
  <c r="V54" i="9"/>
  <c r="AC27" i="12"/>
  <c r="Z55" i="11"/>
  <c r="Z86" i="9"/>
  <c r="Y45" i="2"/>
  <c r="AC50" i="9"/>
  <c r="I84" i="16"/>
  <c r="J84" i="16" s="1"/>
  <c r="AD16" i="10"/>
  <c r="AD97" i="10"/>
  <c r="AB60" i="10"/>
  <c r="AH22" i="11"/>
  <c r="AB99" i="10"/>
  <c r="Z22" i="11"/>
  <c r="AA59" i="12"/>
  <c r="AC19" i="9"/>
  <c r="D80" i="16"/>
  <c r="E80" i="16" s="1"/>
  <c r="AB124" i="12"/>
  <c r="AA60" i="12"/>
  <c r="AA92" i="11"/>
  <c r="AC25" i="9"/>
  <c r="AA26" i="12"/>
  <c r="Y26" i="9"/>
  <c r="AG22" i="11"/>
  <c r="AB63" i="10"/>
  <c r="AB85" i="9"/>
  <c r="AB58" i="12"/>
  <c r="AA132" i="10"/>
  <c r="AA57" i="10"/>
  <c r="Z59" i="11"/>
  <c r="Z59" i="12"/>
  <c r="AA56" i="12"/>
  <c r="AA86" i="11"/>
  <c r="AA25" i="10"/>
  <c r="AB97" i="10"/>
  <c r="AC61" i="10"/>
  <c r="AH27" i="12"/>
  <c r="AB89" i="11"/>
  <c r="Z121" i="11"/>
  <c r="AB9" i="2"/>
  <c r="AC60" i="11"/>
  <c r="Z119" i="10"/>
  <c r="V20" i="9"/>
  <c r="AC82" i="9"/>
  <c r="Z26" i="9"/>
  <c r="Y57" i="2"/>
  <c r="AA33" i="2"/>
  <c r="AA128" i="12"/>
  <c r="AC62" i="12"/>
  <c r="AD9" i="2"/>
  <c r="AA21" i="2"/>
  <c r="AA26" i="11"/>
  <c r="AC95" i="10"/>
  <c r="N9" i="13"/>
  <c r="Z125" i="10"/>
  <c r="AC24" i="9"/>
  <c r="Z18" i="3"/>
  <c r="X20" i="9"/>
  <c r="AA29" i="12"/>
  <c r="Z24" i="9"/>
  <c r="AH30" i="12"/>
  <c r="AC99" i="10"/>
  <c r="AC56" i="12"/>
  <c r="Z127" i="10"/>
  <c r="AA99" i="10"/>
  <c r="L9" i="13"/>
  <c r="AC26" i="9"/>
  <c r="AB29" i="10"/>
  <c r="AA21" i="11"/>
  <c r="AA61" i="12"/>
  <c r="X33" i="2"/>
  <c r="AH16" i="12"/>
  <c r="AC23" i="9"/>
  <c r="Z21" i="9"/>
  <c r="AD98" i="10"/>
  <c r="AA18" i="3"/>
  <c r="AA28" i="12"/>
  <c r="Z20" i="9"/>
  <c r="AB31" i="10"/>
  <c r="AB121" i="11"/>
  <c r="AB111" i="11"/>
  <c r="AH23" i="10"/>
  <c r="Z130" i="10"/>
  <c r="AB26" i="9"/>
  <c r="AB28" i="10"/>
  <c r="AB123" i="11"/>
  <c r="Z26" i="10"/>
  <c r="AH28" i="10"/>
  <c r="Z128" i="10"/>
  <c r="AC81" i="9"/>
  <c r="AD45" i="2"/>
  <c r="AB22" i="9"/>
  <c r="X55" i="9"/>
  <c r="AB27" i="10"/>
  <c r="AB118" i="11"/>
  <c r="AC57" i="12"/>
  <c r="Z133" i="10"/>
  <c r="AB23" i="10"/>
  <c r="AB122" i="11"/>
  <c r="AA54" i="11"/>
  <c r="Z56" i="11"/>
  <c r="AA16" i="10"/>
  <c r="AA59" i="11"/>
  <c r="AG25" i="10"/>
  <c r="W25" i="9"/>
  <c r="Z126" i="10"/>
  <c r="AA57" i="12"/>
  <c r="D50" i="16"/>
  <c r="E50" i="16" s="1"/>
  <c r="AB19" i="9"/>
  <c r="AA126" i="12"/>
  <c r="AA56" i="11"/>
  <c r="AG28" i="10"/>
  <c r="AD69" i="15"/>
  <c r="AA127" i="10"/>
  <c r="AA60" i="10"/>
  <c r="AA24" i="10"/>
  <c r="AA53" i="11"/>
  <c r="AC58" i="10"/>
  <c r="AD30" i="12"/>
  <c r="Z87" i="11"/>
  <c r="AA125" i="10"/>
  <c r="Z60" i="11"/>
  <c r="Z85" i="11"/>
  <c r="AB92" i="11"/>
  <c r="AB127" i="12"/>
  <c r="V19" i="9"/>
  <c r="AA79" i="11"/>
  <c r="AC47" i="11"/>
  <c r="AA47" i="11"/>
  <c r="Z56" i="12"/>
  <c r="Z64" i="12"/>
  <c r="I80" i="16"/>
  <c r="J80" i="16" s="1"/>
  <c r="AC94" i="10"/>
  <c r="AB95" i="10"/>
  <c r="AA95" i="10"/>
  <c r="AA98" i="10"/>
  <c r="AA31" i="10"/>
  <c r="AA27" i="10"/>
  <c r="AG29" i="10"/>
  <c r="AB26" i="10"/>
  <c r="AG30" i="10"/>
  <c r="AE25" i="10"/>
  <c r="AB24" i="10"/>
  <c r="V55" i="9"/>
  <c r="V53" i="9"/>
  <c r="AB88" i="11"/>
  <c r="Z91" i="11"/>
  <c r="AB85" i="11"/>
  <c r="G54" i="11"/>
  <c r="AC51" i="10"/>
  <c r="AC60" i="10"/>
  <c r="AD29" i="10"/>
  <c r="AD27" i="10"/>
  <c r="AD28" i="10"/>
  <c r="AD25" i="10"/>
  <c r="Z22" i="9"/>
  <c r="Y21" i="2"/>
  <c r="AA9" i="1"/>
  <c r="X9" i="1"/>
  <c r="V21" i="9"/>
  <c r="AE26" i="11"/>
  <c r="AA24" i="11"/>
  <c r="Z25" i="11"/>
  <c r="AD26" i="11"/>
  <c r="AG23" i="11"/>
  <c r="AB23" i="11"/>
  <c r="AC22" i="11"/>
  <c r="AC18" i="3"/>
  <c r="AD9" i="1"/>
  <c r="Z26" i="12"/>
  <c r="Z29" i="12"/>
  <c r="AD28" i="11"/>
  <c r="AC57" i="2"/>
  <c r="D81" i="16"/>
  <c r="E81" i="16" s="1"/>
  <c r="I81" i="16"/>
  <c r="J81" i="16" s="1"/>
  <c r="AB18" i="3"/>
  <c r="AC33" i="2"/>
  <c r="Y18" i="3"/>
  <c r="AC54" i="11"/>
  <c r="AA61" i="10"/>
  <c r="Z57" i="10"/>
  <c r="AC26" i="11"/>
  <c r="AH28" i="11"/>
  <c r="AB98" i="10"/>
  <c r="AD30" i="10"/>
  <c r="Z26" i="11"/>
  <c r="AD21" i="11"/>
  <c r="AB61" i="12"/>
  <c r="AA64" i="12"/>
  <c r="AC50" i="12"/>
  <c r="Z131" i="10"/>
  <c r="Z129" i="10"/>
  <c r="D79" i="16"/>
  <c r="E79" i="16" s="1"/>
  <c r="Z88" i="11"/>
  <c r="Z30" i="12"/>
  <c r="Z16" i="12"/>
  <c r="Z22" i="12"/>
  <c r="AG25" i="11"/>
  <c r="AB27" i="11"/>
  <c r="AA58" i="11"/>
  <c r="AH15" i="11"/>
  <c r="AC64" i="10"/>
  <c r="Z27" i="11"/>
  <c r="Z24" i="11"/>
  <c r="AD27" i="11"/>
  <c r="AD23" i="11"/>
  <c r="Z132" i="10"/>
  <c r="AA85" i="11"/>
  <c r="V22" i="9"/>
  <c r="V25" i="9"/>
  <c r="Z92" i="11"/>
  <c r="AB57" i="2"/>
  <c r="Z27" i="12"/>
  <c r="Z24" i="12"/>
  <c r="D71" i="16"/>
  <c r="E71" i="16" s="1"/>
  <c r="I78" i="16"/>
  <c r="J78" i="16" s="1"/>
  <c r="D78" i="16"/>
  <c r="AD85" i="10"/>
  <c r="AA63" i="10"/>
  <c r="AC96" i="10"/>
  <c r="AC24" i="11"/>
  <c r="AE27" i="10"/>
  <c r="AG31" i="10"/>
  <c r="AH16" i="10"/>
  <c r="AD26" i="10"/>
  <c r="AC59" i="10"/>
  <c r="Z15" i="11"/>
  <c r="AD15" i="11"/>
  <c r="V23" i="9"/>
  <c r="V26" i="9"/>
  <c r="Z33" i="2"/>
  <c r="Z89" i="11"/>
  <c r="AB21" i="2"/>
  <c r="Z28" i="12"/>
  <c r="X18" i="3"/>
  <c r="X21" i="2"/>
  <c r="AG27" i="11"/>
  <c r="AA58" i="10"/>
  <c r="Z53" i="11"/>
  <c r="AA133" i="10"/>
  <c r="AC59" i="11"/>
  <c r="AG21" i="11"/>
  <c r="AD92" i="10"/>
  <c r="AA26" i="10"/>
  <c r="AE29" i="10"/>
  <c r="AH24" i="10"/>
  <c r="AD25" i="11"/>
  <c r="S57" i="12"/>
  <c r="AE57" i="12" s="1"/>
  <c r="AB57" i="12"/>
  <c r="AC57" i="11"/>
  <c r="AC53" i="11"/>
  <c r="Z58" i="11"/>
  <c r="Z58" i="12"/>
  <c r="AD31" i="10"/>
  <c r="I82" i="16"/>
  <c r="J82" i="16" s="1"/>
  <c r="D82" i="16"/>
  <c r="E82" i="16" s="1"/>
  <c r="W86" i="9"/>
  <c r="AC23" i="11"/>
  <c r="AH24" i="11"/>
  <c r="AD24" i="11"/>
  <c r="AC85" i="10"/>
  <c r="AB51" i="10"/>
  <c r="AG16" i="10"/>
  <c r="AB15" i="11"/>
  <c r="AE16" i="10"/>
  <c r="S50" i="12"/>
  <c r="S64" i="12"/>
  <c r="S56" i="12"/>
  <c r="S60" i="12"/>
  <c r="S62" i="12"/>
  <c r="S58" i="12"/>
  <c r="Z61" i="12"/>
  <c r="Z60" i="12"/>
  <c r="AB50" i="12"/>
  <c r="Z50" i="12"/>
  <c r="S61" i="12"/>
  <c r="S53" i="11"/>
  <c r="AE53" i="11" s="1"/>
  <c r="S57" i="11"/>
  <c r="S47" i="11"/>
  <c r="S54" i="11"/>
  <c r="S60" i="11"/>
  <c r="S58" i="11"/>
  <c r="S56" i="11"/>
  <c r="AA60" i="11"/>
  <c r="S55" i="11"/>
  <c r="S59" i="11"/>
  <c r="Z47" i="11"/>
  <c r="Z57" i="11"/>
  <c r="AA57" i="11"/>
  <c r="AB22" i="11"/>
  <c r="AG28" i="11"/>
  <c r="AC28" i="11"/>
  <c r="AG15" i="11"/>
  <c r="AI26" i="11"/>
  <c r="AB28" i="11"/>
  <c r="AB21" i="11"/>
  <c r="AC15" i="11"/>
  <c r="AC21" i="11"/>
  <c r="AA129" i="10"/>
  <c r="AA131" i="10"/>
  <c r="AA119" i="10"/>
  <c r="AB96" i="10"/>
  <c r="AD99" i="10"/>
  <c r="AD94" i="10"/>
  <c r="AD91" i="10"/>
  <c r="AC97" i="10"/>
  <c r="AB85" i="10"/>
  <c r="S57" i="10"/>
  <c r="AE57" i="10" s="1"/>
  <c r="S65" i="10"/>
  <c r="AE65" i="10" s="1"/>
  <c r="S51" i="10"/>
  <c r="S61" i="10"/>
  <c r="AE61" i="10" s="1"/>
  <c r="S63" i="10"/>
  <c r="AE63" i="10" s="1"/>
  <c r="S62" i="10"/>
  <c r="AE62" i="10" s="1"/>
  <c r="S60" i="10"/>
  <c r="AE60" i="10" s="1"/>
  <c r="S64" i="10"/>
  <c r="AE64" i="10" s="1"/>
  <c r="S59" i="10"/>
  <c r="AE59" i="10" s="1"/>
  <c r="S58" i="10"/>
  <c r="AE58" i="10" s="1"/>
  <c r="AA51" i="10"/>
  <c r="Z62" i="10"/>
  <c r="AB57" i="10"/>
  <c r="AB64" i="10"/>
  <c r="AA59" i="10"/>
  <c r="Z64" i="10"/>
  <c r="Z59" i="10"/>
  <c r="AB58" i="10"/>
  <c r="AB61" i="10"/>
  <c r="D52" i="16"/>
  <c r="E52" i="16" s="1"/>
  <c r="H52" i="16"/>
  <c r="I52" i="16" s="1"/>
  <c r="J52" i="16" s="1"/>
  <c r="AA28" i="10"/>
  <c r="AE28" i="10"/>
  <c r="AE24" i="10"/>
  <c r="AE30" i="10"/>
  <c r="AH31" i="10"/>
  <c r="AH26" i="10"/>
  <c r="AH25" i="10"/>
  <c r="AH27" i="10"/>
  <c r="AA29" i="10"/>
  <c r="AE31" i="10"/>
  <c r="AG23" i="10"/>
  <c r="AG24" i="10"/>
  <c r="AG27" i="10"/>
  <c r="AH30" i="10"/>
  <c r="F84" i="12"/>
  <c r="AD84" i="12" s="1"/>
  <c r="AD83" i="12"/>
  <c r="G47" i="11"/>
  <c r="AE44" i="11"/>
  <c r="G56" i="11"/>
  <c r="G60" i="11"/>
  <c r="G59" i="11"/>
  <c r="G58" i="11"/>
  <c r="G54" i="16"/>
  <c r="I54" i="16" s="1"/>
  <c r="J54" i="16" s="1"/>
  <c r="D54" i="16"/>
  <c r="E54" i="16" s="1"/>
  <c r="G55" i="16"/>
  <c r="I55" i="16" s="1"/>
  <c r="J55" i="16" s="1"/>
  <c r="D55" i="16"/>
  <c r="E55" i="16" s="1"/>
  <c r="G61" i="12"/>
  <c r="F79" i="11"/>
  <c r="AD79" i="11" s="1"/>
  <c r="AD78" i="11"/>
  <c r="G51" i="10"/>
  <c r="AE48" i="10"/>
  <c r="G53" i="16"/>
  <c r="I53" i="16" s="1"/>
  <c r="J53" i="16" s="1"/>
  <c r="D53" i="16"/>
  <c r="E53" i="16" s="1"/>
  <c r="G51" i="16"/>
  <c r="I51" i="16" s="1"/>
  <c r="J51" i="16" s="1"/>
  <c r="D51" i="16"/>
  <c r="E51" i="16" s="1"/>
  <c r="G64" i="12"/>
  <c r="G50" i="12"/>
  <c r="G60" i="12"/>
  <c r="G63" i="12"/>
  <c r="AE63" i="12" s="1"/>
  <c r="G62" i="12"/>
  <c r="G58" i="12"/>
  <c r="G56" i="12"/>
  <c r="G59" i="12"/>
  <c r="AE47" i="12"/>
  <c r="G55" i="11"/>
  <c r="G49" i="16"/>
  <c r="I49" i="16" s="1"/>
  <c r="J49" i="16" s="1"/>
  <c r="D49" i="16"/>
  <c r="E49" i="16" s="1"/>
  <c r="I65" i="16" l="1"/>
  <c r="J65" i="16" s="1"/>
  <c r="I38" i="16"/>
  <c r="J38" i="16" s="1"/>
  <c r="I33" i="16"/>
  <c r="J33" i="16" s="1"/>
  <c r="I34" i="16"/>
  <c r="J34" i="16" s="1"/>
  <c r="I40" i="16"/>
  <c r="J40" i="16" s="1"/>
  <c r="I69" i="16"/>
  <c r="J69" i="16" s="1"/>
  <c r="I70" i="16"/>
  <c r="J70" i="16" s="1"/>
  <c r="I64" i="16"/>
  <c r="J64" i="16" s="1"/>
  <c r="I68" i="16"/>
  <c r="J68" i="16" s="1"/>
  <c r="I35" i="16"/>
  <c r="J35" i="16" s="1"/>
  <c r="I67" i="16"/>
  <c r="J67" i="16" s="1"/>
  <c r="I36" i="16"/>
  <c r="J36" i="16" s="1"/>
  <c r="I37" i="16"/>
  <c r="J37" i="16" s="1"/>
  <c r="I111" i="10"/>
  <c r="H216" i="21"/>
  <c r="H112" i="10"/>
  <c r="I104" i="11"/>
  <c r="AG104" i="11" s="1"/>
  <c r="AF104" i="11"/>
  <c r="H257" i="21"/>
  <c r="H105" i="11"/>
  <c r="K101" i="24"/>
  <c r="L101" i="24" s="1"/>
  <c r="K102" i="24"/>
  <c r="L102" i="24" s="1"/>
  <c r="K104" i="24"/>
  <c r="L104" i="24" s="1"/>
  <c r="K103" i="24"/>
  <c r="L103" i="24" s="1"/>
  <c r="K105" i="24"/>
  <c r="L105" i="24" s="1"/>
  <c r="K106" i="24"/>
  <c r="L106" i="24" s="1"/>
  <c r="K107" i="24"/>
  <c r="L107" i="24" s="1"/>
  <c r="K20" i="24"/>
  <c r="L20" i="24" s="1"/>
  <c r="I23" i="24"/>
  <c r="J23" i="24" s="1"/>
  <c r="V117" i="24" s="1"/>
  <c r="I22" i="24"/>
  <c r="J22" i="24" s="1"/>
  <c r="V87" i="24" s="1"/>
  <c r="I24" i="24"/>
  <c r="J24" i="24" s="1"/>
  <c r="V147" i="24" s="1"/>
  <c r="I25" i="24"/>
  <c r="J25" i="24" s="1"/>
  <c r="V177" i="24" s="1"/>
  <c r="G75" i="24"/>
  <c r="G88" i="24" s="1"/>
  <c r="L79" i="24" s="1"/>
  <c r="V7" i="24" s="1"/>
  <c r="B75" i="24"/>
  <c r="B88" i="24" s="1"/>
  <c r="L49" i="24" s="1"/>
  <c r="V28" i="24" s="1"/>
  <c r="C75" i="24"/>
  <c r="C88" i="24" s="1"/>
  <c r="L56" i="24" s="1"/>
  <c r="V5" i="24" s="1"/>
  <c r="F75" i="24"/>
  <c r="F88" i="24" s="1"/>
  <c r="L72" i="24" s="1"/>
  <c r="V6" i="24" s="1"/>
  <c r="B76" i="24"/>
  <c r="B89" i="24" s="1"/>
  <c r="L50" i="24" s="1"/>
  <c r="V55" i="24" s="1"/>
  <c r="F76" i="24"/>
  <c r="F89" i="24" s="1"/>
  <c r="L73" i="24" s="1"/>
  <c r="V31" i="24" s="1"/>
  <c r="G76" i="24"/>
  <c r="G89" i="24" s="1"/>
  <c r="L80" i="24" s="1"/>
  <c r="V32" i="24" s="1"/>
  <c r="H76" i="24"/>
  <c r="H89" i="24" s="1"/>
  <c r="L86" i="24" s="1"/>
  <c r="V33" i="24" s="1"/>
  <c r="H77" i="24"/>
  <c r="H90" i="24" s="1"/>
  <c r="L87" i="24" s="1"/>
  <c r="V63" i="24" s="1"/>
  <c r="G77" i="24"/>
  <c r="G90" i="24" s="1"/>
  <c r="L81" i="24" s="1"/>
  <c r="V62" i="24" s="1"/>
  <c r="B77" i="24"/>
  <c r="B90" i="24" s="1"/>
  <c r="L51" i="24" s="1"/>
  <c r="V85" i="24" s="1"/>
  <c r="C77" i="24"/>
  <c r="C90" i="24" s="1"/>
  <c r="L57" i="24" s="1"/>
  <c r="V58" i="24" s="1"/>
  <c r="D77" i="24"/>
  <c r="D90" i="24" s="1"/>
  <c r="L62" i="24" s="1"/>
  <c r="V59" i="24" s="1"/>
  <c r="E77" i="24"/>
  <c r="E90" i="24" s="1"/>
  <c r="L67" i="24" s="1"/>
  <c r="V60" i="24" s="1"/>
  <c r="F77" i="24"/>
  <c r="F90" i="24" s="1"/>
  <c r="L74" i="24" s="1"/>
  <c r="V61" i="24" s="1"/>
  <c r="H78" i="24"/>
  <c r="H91" i="24" s="1"/>
  <c r="L88" i="24" s="1"/>
  <c r="V93" i="24" s="1"/>
  <c r="B78" i="24"/>
  <c r="B91" i="24" s="1"/>
  <c r="L52" i="24" s="1"/>
  <c r="V115" i="24" s="1"/>
  <c r="C78" i="24"/>
  <c r="C91" i="24" s="1"/>
  <c r="L58" i="24" s="1"/>
  <c r="V88" i="24" s="1"/>
  <c r="D78" i="24"/>
  <c r="D91" i="24" s="1"/>
  <c r="L63" i="24" s="1"/>
  <c r="V89" i="24" s="1"/>
  <c r="E78" i="24"/>
  <c r="E91" i="24" s="1"/>
  <c r="L68" i="24" s="1"/>
  <c r="V90" i="24" s="1"/>
  <c r="F78" i="24"/>
  <c r="F91" i="24" s="1"/>
  <c r="L75" i="24" s="1"/>
  <c r="V91" i="24" s="1"/>
  <c r="G78" i="24"/>
  <c r="G91" i="24" s="1"/>
  <c r="L82" i="24" s="1"/>
  <c r="V92" i="24" s="1"/>
  <c r="B81" i="24"/>
  <c r="B94" i="24" s="1"/>
  <c r="L55" i="24" s="1"/>
  <c r="V205" i="24" s="1"/>
  <c r="C81" i="24"/>
  <c r="C94" i="24" s="1"/>
  <c r="L61" i="24" s="1"/>
  <c r="V178" i="24" s="1"/>
  <c r="D81" i="24"/>
  <c r="D94" i="24" s="1"/>
  <c r="L66" i="24" s="1"/>
  <c r="V179" i="24" s="1"/>
  <c r="E81" i="24"/>
  <c r="E94" i="24" s="1"/>
  <c r="L71" i="24" s="1"/>
  <c r="V180" i="24" s="1"/>
  <c r="F81" i="24"/>
  <c r="F94" i="24" s="1"/>
  <c r="L78" i="24" s="1"/>
  <c r="V181" i="24" s="1"/>
  <c r="G81" i="24"/>
  <c r="G94" i="24" s="1"/>
  <c r="L85" i="24" s="1"/>
  <c r="V182" i="24" s="1"/>
  <c r="H81" i="24"/>
  <c r="H94" i="24" s="1"/>
  <c r="L91" i="24" s="1"/>
  <c r="V183" i="24" s="1"/>
  <c r="G79" i="24"/>
  <c r="G92" i="24" s="1"/>
  <c r="L83" i="24" s="1"/>
  <c r="V122" i="24" s="1"/>
  <c r="H79" i="24"/>
  <c r="H92" i="24" s="1"/>
  <c r="L89" i="24" s="1"/>
  <c r="V123" i="24" s="1"/>
  <c r="B79" i="24"/>
  <c r="B92" i="24" s="1"/>
  <c r="L53" i="24" s="1"/>
  <c r="V145" i="24" s="1"/>
  <c r="C79" i="24"/>
  <c r="C92" i="24" s="1"/>
  <c r="L59" i="24" s="1"/>
  <c r="V118" i="24" s="1"/>
  <c r="D79" i="24"/>
  <c r="D92" i="24" s="1"/>
  <c r="L64" i="24" s="1"/>
  <c r="V119" i="24" s="1"/>
  <c r="E79" i="24"/>
  <c r="E92" i="24" s="1"/>
  <c r="L69" i="24" s="1"/>
  <c r="V120" i="24" s="1"/>
  <c r="F79" i="24"/>
  <c r="F92" i="24" s="1"/>
  <c r="L76" i="24" s="1"/>
  <c r="V121" i="24" s="1"/>
  <c r="B80" i="24"/>
  <c r="B93" i="24" s="1"/>
  <c r="L54" i="24" s="1"/>
  <c r="V175" i="24" s="1"/>
  <c r="C80" i="24"/>
  <c r="C93" i="24" s="1"/>
  <c r="L60" i="24" s="1"/>
  <c r="V148" i="24" s="1"/>
  <c r="D80" i="24"/>
  <c r="D93" i="24" s="1"/>
  <c r="L65" i="24" s="1"/>
  <c r="V149" i="24" s="1"/>
  <c r="E80" i="24"/>
  <c r="E93" i="24" s="1"/>
  <c r="L70" i="24" s="1"/>
  <c r="V150" i="24" s="1"/>
  <c r="F80" i="24"/>
  <c r="F93" i="24" s="1"/>
  <c r="L77" i="24" s="1"/>
  <c r="V151" i="24" s="1"/>
  <c r="G93" i="24"/>
  <c r="L84" i="24" s="1"/>
  <c r="H80" i="24"/>
  <c r="H93" i="24" s="1"/>
  <c r="L90" i="24" s="1"/>
  <c r="V153" i="24" s="1"/>
  <c r="E78" i="16"/>
  <c r="D86" i="16"/>
  <c r="E86" i="16" s="1"/>
  <c r="B13" i="24"/>
  <c r="D13" i="24" s="1"/>
  <c r="J6" i="24"/>
  <c r="J7" i="24"/>
  <c r="J8" i="24"/>
  <c r="J9" i="24"/>
  <c r="J10" i="24"/>
  <c r="J11" i="24"/>
  <c r="J5" i="24"/>
  <c r="J19" i="24"/>
  <c r="V4" i="24" s="1"/>
  <c r="D21" i="24"/>
  <c r="B27" i="24"/>
  <c r="D27" i="24" s="1"/>
  <c r="D41" i="16"/>
  <c r="E41" i="16" s="1"/>
  <c r="U110" i="12"/>
  <c r="H300" i="20"/>
  <c r="T112" i="12" s="1"/>
  <c r="R105" i="11"/>
  <c r="U105" i="11" s="1"/>
  <c r="AD104" i="11"/>
  <c r="H217" i="20"/>
  <c r="T114" i="10" s="1"/>
  <c r="AF111" i="10"/>
  <c r="U111" i="10"/>
  <c r="AE59" i="11"/>
  <c r="AE57" i="11"/>
  <c r="I86" i="16"/>
  <c r="J86" i="16" s="1"/>
  <c r="I71" i="16"/>
  <c r="J71" i="16" s="1"/>
  <c r="AE54" i="11"/>
  <c r="AE59" i="12"/>
  <c r="AE58" i="12"/>
  <c r="AE62" i="12"/>
  <c r="AE56" i="12"/>
  <c r="AE64" i="12"/>
  <c r="AE58" i="11"/>
  <c r="AE56" i="11"/>
  <c r="AE60" i="12"/>
  <c r="AE51" i="10"/>
  <c r="AE50" i="12"/>
  <c r="AE61" i="12"/>
  <c r="AE60" i="11"/>
  <c r="AE55" i="11"/>
  <c r="AE47" i="11"/>
  <c r="I105" i="11" l="1"/>
  <c r="AF105" i="11"/>
  <c r="H258" i="21"/>
  <c r="H106" i="11"/>
  <c r="I112" i="10"/>
  <c r="AF112" i="10"/>
  <c r="H217" i="21"/>
  <c r="H113" i="10"/>
  <c r="AG105" i="11"/>
  <c r="L108" i="24"/>
  <c r="V56" i="24"/>
  <c r="K7" i="24" s="1"/>
  <c r="L7" i="24" s="1"/>
  <c r="V116" i="24"/>
  <c r="K9" i="24" s="1"/>
  <c r="L9" i="24" s="1"/>
  <c r="V29" i="24"/>
  <c r="K6" i="24" s="1"/>
  <c r="L6" i="24" s="1"/>
  <c r="V176" i="24"/>
  <c r="K11" i="24" s="1"/>
  <c r="L11" i="24" s="1"/>
  <c r="V146" i="24"/>
  <c r="K10" i="24" s="1"/>
  <c r="L10" i="24" s="1"/>
  <c r="V86" i="24"/>
  <c r="K8" i="24" s="1"/>
  <c r="L8" i="24" s="1"/>
  <c r="V3" i="24"/>
  <c r="K5" i="24" s="1"/>
  <c r="L5" i="24" s="1"/>
  <c r="M74" i="24"/>
  <c r="N74" i="24" s="1"/>
  <c r="M67" i="24"/>
  <c r="N67" i="24" s="1"/>
  <c r="M62" i="24"/>
  <c r="N62" i="24" s="1"/>
  <c r="M57" i="24"/>
  <c r="N57" i="24" s="1"/>
  <c r="M51" i="24"/>
  <c r="N51" i="24" s="1"/>
  <c r="M70" i="24"/>
  <c r="N70" i="24" s="1"/>
  <c r="M81" i="24"/>
  <c r="N81" i="24" s="1"/>
  <c r="M65" i="24"/>
  <c r="N65" i="24" s="1"/>
  <c r="M87" i="24"/>
  <c r="N87" i="24" s="1"/>
  <c r="M54" i="24"/>
  <c r="N54" i="24" s="1"/>
  <c r="M86" i="24"/>
  <c r="N86" i="24" s="1"/>
  <c r="M89" i="24"/>
  <c r="N89" i="24" s="1"/>
  <c r="M80" i="24"/>
  <c r="N80" i="24" s="1"/>
  <c r="M73" i="24"/>
  <c r="N73" i="24" s="1"/>
  <c r="M52" i="24"/>
  <c r="N52" i="24" s="1"/>
  <c r="M91" i="24"/>
  <c r="N91" i="24" s="1"/>
  <c r="M50" i="24"/>
  <c r="N50" i="24" s="1"/>
  <c r="M60" i="24"/>
  <c r="N60" i="24" s="1"/>
  <c r="M85" i="24"/>
  <c r="N85" i="24" s="1"/>
  <c r="M72" i="24"/>
  <c r="N72" i="24" s="1"/>
  <c r="M64" i="24"/>
  <c r="N64" i="24" s="1"/>
  <c r="M56" i="24"/>
  <c r="N56" i="24" s="1"/>
  <c r="M77" i="24"/>
  <c r="N77" i="24" s="1"/>
  <c r="K19" i="24"/>
  <c r="L19" i="24" s="1"/>
  <c r="M49" i="24"/>
  <c r="N49" i="24" s="1"/>
  <c r="M88" i="24"/>
  <c r="N88" i="24" s="1"/>
  <c r="M66" i="24"/>
  <c r="N66" i="24" s="1"/>
  <c r="M79" i="24"/>
  <c r="N79" i="24" s="1"/>
  <c r="M59" i="24"/>
  <c r="N59" i="24" s="1"/>
  <c r="M61" i="24"/>
  <c r="N61" i="24" s="1"/>
  <c r="K25" i="24"/>
  <c r="L25" i="24" s="1"/>
  <c r="M58" i="24"/>
  <c r="N58" i="24" s="1"/>
  <c r="M83" i="24"/>
  <c r="N83" i="24" s="1"/>
  <c r="K24" i="24"/>
  <c r="L24" i="24" s="1"/>
  <c r="M76" i="24"/>
  <c r="N76" i="24" s="1"/>
  <c r="M78" i="24"/>
  <c r="N78" i="24" s="1"/>
  <c r="M82" i="24"/>
  <c r="N82" i="24" s="1"/>
  <c r="K22" i="24"/>
  <c r="L22" i="24" s="1"/>
  <c r="M53" i="24"/>
  <c r="N53" i="24" s="1"/>
  <c r="M75" i="24"/>
  <c r="N75" i="24" s="1"/>
  <c r="K23" i="24"/>
  <c r="L23" i="24" s="1"/>
  <c r="M69" i="24"/>
  <c r="N69" i="24" s="1"/>
  <c r="M71" i="24"/>
  <c r="N71" i="24" s="1"/>
  <c r="M55" i="24"/>
  <c r="N55" i="24" s="1"/>
  <c r="M68" i="24"/>
  <c r="N68" i="24" s="1"/>
  <c r="M90" i="24"/>
  <c r="N90" i="24" s="1"/>
  <c r="M63" i="24"/>
  <c r="N63" i="24" s="1"/>
  <c r="V152" i="24"/>
  <c r="I21" i="24"/>
  <c r="J21" i="24" s="1"/>
  <c r="V57" i="24" s="1"/>
  <c r="AG111" i="10"/>
  <c r="AF113" i="10"/>
  <c r="U113" i="10"/>
  <c r="R106" i="11"/>
  <c r="U106" i="11" s="1"/>
  <c r="AD105" i="11"/>
  <c r="H218" i="20"/>
  <c r="T115" i="10" s="1"/>
  <c r="U111" i="12"/>
  <c r="H302" i="20"/>
  <c r="T114" i="12" s="1"/>
  <c r="I113" i="10" l="1"/>
  <c r="AG113" i="10" s="1"/>
  <c r="H218" i="21"/>
  <c r="H114" i="10"/>
  <c r="AF114" i="10" s="1"/>
  <c r="AG112" i="10"/>
  <c r="I106" i="11"/>
  <c r="AG106" i="11" s="1"/>
  <c r="AF106" i="11"/>
  <c r="H252" i="21"/>
  <c r="H107" i="11"/>
  <c r="I107" i="11" s="1"/>
  <c r="L12" i="24"/>
  <c r="K21" i="24"/>
  <c r="L21" i="24" s="1"/>
  <c r="L26" i="24" s="1"/>
  <c r="M84" i="24"/>
  <c r="N84" i="24" s="1"/>
  <c r="N92" i="24" s="1"/>
  <c r="H295" i="20"/>
  <c r="T107" i="12" s="1"/>
  <c r="U114" i="10"/>
  <c r="AF112" i="12"/>
  <c r="U112" i="12"/>
  <c r="H211" i="20"/>
  <c r="T108" i="10" s="1"/>
  <c r="T116" i="10" s="1"/>
  <c r="T119" i="10" s="1"/>
  <c r="H258" i="20"/>
  <c r="T107" i="11" s="1"/>
  <c r="AD106" i="11"/>
  <c r="T115" i="12" l="1"/>
  <c r="T118" i="12" s="1"/>
  <c r="I114" i="10"/>
  <c r="AG114" i="10" s="1"/>
  <c r="H296" i="21"/>
  <c r="H101" i="11"/>
  <c r="H211" i="21"/>
  <c r="H108" i="10" s="1"/>
  <c r="AF108" i="10" s="1"/>
  <c r="H115" i="10"/>
  <c r="AF115" i="10" s="1"/>
  <c r="T108" i="11"/>
  <c r="U107" i="11"/>
  <c r="AG112" i="12"/>
  <c r="U115" i="10"/>
  <c r="U114" i="12"/>
  <c r="T125" i="10"/>
  <c r="U108" i="10"/>
  <c r="U107" i="12"/>
  <c r="I115" i="10" l="1"/>
  <c r="AG115" i="10" s="1"/>
  <c r="H108" i="11"/>
  <c r="I101" i="11"/>
  <c r="AF101" i="11"/>
  <c r="T132" i="12"/>
  <c r="T125" i="12"/>
  <c r="T126" i="12"/>
  <c r="T130" i="12"/>
  <c r="T127" i="12"/>
  <c r="T128" i="12"/>
  <c r="T129" i="12"/>
  <c r="T131" i="12"/>
  <c r="H116" i="10"/>
  <c r="AF116" i="10" s="1"/>
  <c r="I108" i="10"/>
  <c r="AG108" i="10" s="1"/>
  <c r="H297" i="21"/>
  <c r="H108" i="12"/>
  <c r="T124" i="12"/>
  <c r="U116" i="10"/>
  <c r="U125" i="10" s="1"/>
  <c r="AF107" i="11"/>
  <c r="R101" i="11"/>
  <c r="U101" i="11" s="1"/>
  <c r="AG107" i="11"/>
  <c r="T132" i="10"/>
  <c r="T133" i="10"/>
  <c r="T129" i="10"/>
  <c r="T126" i="10"/>
  <c r="T127" i="10"/>
  <c r="T128" i="10"/>
  <c r="T130" i="10"/>
  <c r="T131" i="10"/>
  <c r="U115" i="12"/>
  <c r="U124" i="12" s="1"/>
  <c r="AG101" i="11" l="1"/>
  <c r="H125" i="10"/>
  <c r="AF125" i="10" s="1"/>
  <c r="U108" i="11"/>
  <c r="U123" i="11" s="1"/>
  <c r="H298" i="21"/>
  <c r="H109" i="12"/>
  <c r="I108" i="11"/>
  <c r="I117" i="11" s="1"/>
  <c r="I108" i="12"/>
  <c r="AF108" i="12"/>
  <c r="H119" i="10"/>
  <c r="AF119" i="10" s="1"/>
  <c r="H133" i="10"/>
  <c r="AF133" i="10" s="1"/>
  <c r="H126" i="10"/>
  <c r="AF126" i="10" s="1"/>
  <c r="H127" i="10"/>
  <c r="AF127" i="10" s="1"/>
  <c r="H128" i="10"/>
  <c r="AF128" i="10" s="1"/>
  <c r="H129" i="10"/>
  <c r="AF129" i="10" s="1"/>
  <c r="H130" i="10"/>
  <c r="AF130" i="10" s="1"/>
  <c r="H131" i="10"/>
  <c r="AF131" i="10" s="1"/>
  <c r="H132" i="10"/>
  <c r="AF132" i="10" s="1"/>
  <c r="I116" i="10"/>
  <c r="I125" i="10" s="1"/>
  <c r="AG125" i="10" s="1"/>
  <c r="U132" i="10"/>
  <c r="U131" i="12"/>
  <c r="AF117" i="11"/>
  <c r="AF108" i="11"/>
  <c r="AF124" i="11"/>
  <c r="AF118" i="11"/>
  <c r="AF120" i="11"/>
  <c r="AF122" i="11"/>
  <c r="AF119" i="11"/>
  <c r="AF121" i="11"/>
  <c r="AF123" i="11"/>
  <c r="U130" i="12"/>
  <c r="U118" i="12"/>
  <c r="U125" i="12"/>
  <c r="U132" i="12"/>
  <c r="U126" i="12"/>
  <c r="U127" i="12"/>
  <c r="U128" i="12"/>
  <c r="U129" i="12"/>
  <c r="AD101" i="11"/>
  <c r="R108" i="11"/>
  <c r="R117" i="11" s="1"/>
  <c r="AD117" i="11" s="1"/>
  <c r="U133" i="10"/>
  <c r="U129" i="10"/>
  <c r="U126" i="10"/>
  <c r="U119" i="10"/>
  <c r="U127" i="10"/>
  <c r="U128" i="10"/>
  <c r="U130" i="10"/>
  <c r="U131" i="10"/>
  <c r="U118" i="11" l="1"/>
  <c r="U121" i="11"/>
  <c r="U120" i="11"/>
  <c r="U117" i="11"/>
  <c r="AG117" i="11" s="1"/>
  <c r="U119" i="11"/>
  <c r="U124" i="11"/>
  <c r="U111" i="11"/>
  <c r="U122" i="11"/>
  <c r="I111" i="11"/>
  <c r="AG111" i="11" s="1"/>
  <c r="I118" i="11"/>
  <c r="AG118" i="11" s="1"/>
  <c r="I119" i="11"/>
  <c r="I124" i="11"/>
  <c r="I120" i="11"/>
  <c r="I121" i="11"/>
  <c r="AG121" i="11" s="1"/>
  <c r="I123" i="11"/>
  <c r="AG123" i="11" s="1"/>
  <c r="I122" i="11"/>
  <c r="H299" i="21"/>
  <c r="H110" i="12"/>
  <c r="I127" i="10"/>
  <c r="AG127" i="10" s="1"/>
  <c r="I119" i="10"/>
  <c r="AG119" i="10" s="1"/>
  <c r="I126" i="10"/>
  <c r="AG126" i="10" s="1"/>
  <c r="I133" i="10"/>
  <c r="AG133" i="10" s="1"/>
  <c r="I128" i="10"/>
  <c r="AG128" i="10" s="1"/>
  <c r="I129" i="10"/>
  <c r="AG129" i="10" s="1"/>
  <c r="I130" i="10"/>
  <c r="AG130" i="10" s="1"/>
  <c r="I131" i="10"/>
  <c r="AG131" i="10" s="1"/>
  <c r="I132" i="10"/>
  <c r="AG132" i="10" s="1"/>
  <c r="AG116" i="10"/>
  <c r="AG108" i="11"/>
  <c r="AG108" i="12"/>
  <c r="I109" i="12"/>
  <c r="AF109" i="12"/>
  <c r="R111" i="11"/>
  <c r="AD111" i="11" s="1"/>
  <c r="AD108" i="11"/>
  <c r="R123" i="11"/>
  <c r="AD123" i="11" s="1"/>
  <c r="R120" i="11"/>
  <c r="AD120" i="11" s="1"/>
  <c r="R124" i="11"/>
  <c r="AD124" i="11" s="1"/>
  <c r="R118" i="11"/>
  <c r="AD118" i="11" s="1"/>
  <c r="R119" i="11"/>
  <c r="AD119" i="11" s="1"/>
  <c r="R121" i="11"/>
  <c r="AD121" i="11" s="1"/>
  <c r="R122" i="11"/>
  <c r="AD122" i="11" s="1"/>
  <c r="AG122" i="11" l="1"/>
  <c r="AG120" i="11"/>
  <c r="AG124" i="11"/>
  <c r="AG119" i="11"/>
  <c r="H302" i="21"/>
  <c r="H111" i="12"/>
  <c r="I110" i="12"/>
  <c r="AF110" i="12"/>
  <c r="AG109" i="12"/>
  <c r="D56" i="16"/>
  <c r="E56" i="16" s="1"/>
  <c r="G56" i="16"/>
  <c r="I56" i="16" s="1"/>
  <c r="J56" i="16" s="1"/>
  <c r="I111" i="12" l="1"/>
  <c r="AF111" i="12"/>
  <c r="AG110" i="12"/>
  <c r="H295" i="21"/>
  <c r="H107" i="12" s="1"/>
  <c r="H114" i="12"/>
  <c r="H115" i="12" l="1"/>
  <c r="H118" i="12" s="1"/>
  <c r="AF118" i="12" s="1"/>
  <c r="I107" i="12"/>
  <c r="AF107" i="12"/>
  <c r="AG111" i="12"/>
  <c r="I114" i="12"/>
  <c r="AF114" i="12"/>
  <c r="H131" i="12" l="1"/>
  <c r="AF131" i="12" s="1"/>
  <c r="H124" i="12"/>
  <c r="AF124" i="12" s="1"/>
  <c r="AG114" i="12"/>
  <c r="I115" i="12"/>
  <c r="I124" i="12" s="1"/>
  <c r="AG124" i="12" s="1"/>
  <c r="AG107" i="12"/>
  <c r="H132" i="12"/>
  <c r="AF132" i="12" s="1"/>
  <c r="H129" i="12"/>
  <c r="AF129" i="12" s="1"/>
  <c r="H130" i="12"/>
  <c r="AF130" i="12" s="1"/>
  <c r="AF115" i="12"/>
  <c r="H125" i="12"/>
  <c r="AF125" i="12" s="1"/>
  <c r="H126" i="12"/>
  <c r="AF126" i="12" s="1"/>
  <c r="H127" i="12"/>
  <c r="AF127" i="12" s="1"/>
  <c r="H128" i="12"/>
  <c r="AF128" i="12" s="1"/>
  <c r="I132" i="12" l="1"/>
  <c r="AG132" i="12" s="1"/>
  <c r="I130" i="12"/>
  <c r="AG130" i="12" s="1"/>
  <c r="I118" i="12"/>
  <c r="AG118" i="12" s="1"/>
  <c r="I129" i="12"/>
  <c r="AG129" i="12" s="1"/>
  <c r="AG115" i="12"/>
  <c r="I125" i="12"/>
  <c r="AG125" i="12" s="1"/>
  <c r="I126" i="12"/>
  <c r="AG126" i="12" s="1"/>
  <c r="I127" i="12"/>
  <c r="AG127" i="12" s="1"/>
  <c r="I128" i="12"/>
  <c r="AG128" i="12" s="1"/>
  <c r="I131" i="12"/>
  <c r="AG131" i="12" s="1"/>
</calcChain>
</file>

<file path=xl/sharedStrings.xml><?xml version="1.0" encoding="utf-8"?>
<sst xmlns="http://schemas.openxmlformats.org/spreadsheetml/2006/main" count="26305" uniqueCount="10873">
  <si>
    <t>ESTIMATED % TOURS BY # OF STOPS and PURPOSE</t>
  </si>
  <si>
    <t>ESTIMATED EXACT # SHOP TOURS (if &gt; 0)</t>
  </si>
  <si>
    <t>ESTIMATED EXACT # MEAL TOURS (if &gt; 0)</t>
  </si>
  <si>
    <t>ESTIMATED EXACT # SOCIAL/RECREATIONAL TOURS (if &gt; 0)</t>
  </si>
  <si>
    <t>Escort</t>
  </si>
  <si>
    <t>PersBus</t>
  </si>
  <si>
    <t>Shop</t>
  </si>
  <si>
    <t>Meal</t>
  </si>
  <si>
    <t>SocRec</t>
  </si>
  <si>
    <t>1/3+</t>
  </si>
  <si>
    <t>2/3+</t>
  </si>
  <si>
    <t>3+/2</t>
  </si>
  <si>
    <t>DIFFERENCE  SERVE PASSENGER TOURS &amp; STOPS (% by persontype)</t>
  </si>
  <si>
    <t>DIFFERENCE  PERSONAL BUSINESS TOURS &amp; STOPS (% by persontype)</t>
  </si>
  <si>
    <t>DIFFERENCE  SHOP TOURS &amp; STOPS (% by persontype)</t>
  </si>
  <si>
    <t xml:space="preserve">OBSERVED EXACT # SCHOOL TOURS  </t>
  </si>
  <si>
    <t xml:space="preserve">DIFFERENCE EXACT # SCHOOL TOURS  </t>
  </si>
  <si>
    <t>number of</t>
  </si>
  <si>
    <t>tours by p</t>
  </si>
  <si>
    <t>ersontype</t>
  </si>
  <si>
    <t>tours</t>
  </si>
  <si>
    <t>ftworker</t>
  </si>
  <si>
    <t>ptworker</t>
  </si>
  <si>
    <t>univstud</t>
  </si>
  <si>
    <t>stud16+</t>
  </si>
  <si>
    <t>stud5-15</t>
  </si>
  <si>
    <t>under5</t>
  </si>
  <si>
    <t>total</t>
  </si>
  <si>
    <t>tour/stop</t>
  </si>
  <si>
    <t>combinatio</t>
  </si>
  <si>
    <t>ns by pers</t>
  </si>
  <si>
    <t>ontype</t>
  </si>
  <si>
    <t>ns by purp</t>
  </si>
  <si>
    <t>ose and by</t>
  </si>
  <si>
    <t>persontyp</t>
  </si>
  <si>
    <t>e</t>
  </si>
  <si>
    <t>pers bus</t>
  </si>
  <si>
    <t>exact numb</t>
  </si>
  <si>
    <t>er of tour</t>
  </si>
  <si>
    <t>s by purpo</t>
  </si>
  <si>
    <t>se and by</t>
  </si>
  <si>
    <t>persontype</t>
  </si>
  <si>
    <t>er of subt</t>
  </si>
  <si>
    <t>ours</t>
  </si>
  <si>
    <t>purpose</t>
  </si>
  <si>
    <t>other</t>
  </si>
  <si>
    <t>subtours b</t>
  </si>
  <si>
    <t>y purpose</t>
  </si>
  <si>
    <t>tours by n</t>
  </si>
  <si>
    <t>umber of s</t>
  </si>
  <si>
    <t>tops and t</t>
  </si>
  <si>
    <t>ourpurpose</t>
  </si>
  <si>
    <t>fulltour</t>
  </si>
  <si>
    <t>stops</t>
  </si>
  <si>
    <t>persbus</t>
  </si>
  <si>
    <t>socrec</t>
  </si>
  <si>
    <t>halftour1</t>
  </si>
  <si>
    <t>halftour2</t>
  </si>
  <si>
    <t>urpose and</t>
  </si>
  <si>
    <t>by person</t>
  </si>
  <si>
    <t>type</t>
  </si>
  <si>
    <t>by income</t>
  </si>
  <si>
    <t>category</t>
  </si>
  <si>
    <t>by distri</t>
  </si>
  <si>
    <t>ct</t>
  </si>
  <si>
    <t>stops by d</t>
  </si>
  <si>
    <t>estination</t>
  </si>
  <si>
    <t>purpose a</t>
  </si>
  <si>
    <t>nd by pers</t>
  </si>
  <si>
    <t>stops by p</t>
  </si>
  <si>
    <t>trips by d</t>
  </si>
  <si>
    <t>trips by p</t>
  </si>
  <si>
    <t>persons by</t>
  </si>
  <si>
    <t>ptype</t>
  </si>
  <si>
    <t>hhincome</t>
  </si>
  <si>
    <t>hhinc</t>
  </si>
  <si>
    <t>district</t>
  </si>
  <si>
    <t xml:space="preserve">OBSERVED EXACT # SOCIAL/RECREATIONAL TOURS  </t>
  </si>
  <si>
    <t>DIFFERENCE TOTAL TRIPS (by persontype)</t>
  </si>
  <si>
    <t>DIFFERENCE % TOTAL TRIPS (by persontype)</t>
  </si>
  <si>
    <t>DIFFERENCE TOTAL TRIPS (by hhincome)</t>
  </si>
  <si>
    <t>diff</t>
  </si>
  <si>
    <t>ESTIMATED  SERVE PASSENGER TOURS &amp; STOPS (% by persontype)</t>
  </si>
  <si>
    <t>DIFFERENCE % TOTAL TOURS (by district)</t>
  </si>
  <si>
    <t>DIFFERENCE TOTAL TOURS (by persontype)</t>
  </si>
  <si>
    <t>DIFFERENCE  SCHOOL TOURS &amp; STOPS (% by persontype)</t>
  </si>
  <si>
    <t xml:space="preserve">ESTIMATED EXACT # SOCIAL/RECREATIONAL TOURS  </t>
  </si>
  <si>
    <t>Workbased Subtours</t>
  </si>
  <si>
    <t>Persons</t>
  </si>
  <si>
    <t>Tours/Person</t>
  </si>
  <si>
    <t>Stops/Person</t>
  </si>
  <si>
    <t>Trips/Person</t>
  </si>
  <si>
    <t>DIFFERENCE  MEAL TOURS &amp; STOPS (% by persontype)</t>
  </si>
  <si>
    <t>DIFFERENCE  SOCIAL/RECREATIONAL TOURS &amp; STOPS (% by persontype)</t>
  </si>
  <si>
    <t>DIFFERENCE % TOTAL STOPS (by district)</t>
  </si>
  <si>
    <t>ESTIMATED NUMBER OF TOURS (% by persontype)</t>
  </si>
  <si>
    <t>DIFFERENCE NUMBER OF TOURS (% by persontype)</t>
  </si>
  <si>
    <t>OBSERVED % TOTAL TRIPS (by auto sufficiency)</t>
  </si>
  <si>
    <t>0veh</t>
  </si>
  <si>
    <t>autos&lt;drivers</t>
  </si>
  <si>
    <t>autos=drivers</t>
  </si>
  <si>
    <t>autos&gt;drivers</t>
  </si>
  <si>
    <t>OBSERVED % TOURS BY # OF STOPS and PURPOSE</t>
  </si>
  <si>
    <t>OBSERVED OUTBOUND TOURS BY # STOPS and PURPOSE</t>
  </si>
  <si>
    <t>OBSERVED TOUR / STOP COMBINATIONS (% by persontype)</t>
  </si>
  <si>
    <t>OBSERVED % TOTAL STOPS (by persontype)</t>
  </si>
  <si>
    <t>OBSERVED RETURN TOURS BY # STOPS and PURPOSE</t>
  </si>
  <si>
    <t>OBSERVED TOTAL STOPS (by auto sufficiency)</t>
  </si>
  <si>
    <t>DIFFERENCE % TOTAL TRIPS (by hhincome)</t>
  </si>
  <si>
    <t>ESTIMATED TOTAL STOPS (by persontype)</t>
  </si>
  <si>
    <t>ESTIMATED % TOTAL STOPS (by persontype)</t>
  </si>
  <si>
    <t>OBSERVED % TOTAL STOPS (by auto sufficiency)</t>
  </si>
  <si>
    <t>OBSERVED SCHOOL TOURS &amp; STOPS (% by persontype)</t>
  </si>
  <si>
    <t>DIFFERENCE TOTAL STOPS (by auto sufficiency)</t>
  </si>
  <si>
    <t>DIFFERENCE % TOTAL STOPS (by auto sufficiency)</t>
  </si>
  <si>
    <t>Tours</t>
  </si>
  <si>
    <t>3+</t>
  </si>
  <si>
    <t>Work</t>
  </si>
  <si>
    <t>School</t>
  </si>
  <si>
    <t>OBSERVED % TOTAL STOPS (by district)</t>
  </si>
  <si>
    <t>OBSERVED SOCIAL/RECREATIONAL TOURS &amp; STOPS (% by persontype)</t>
  </si>
  <si>
    <t>ESTIMATED  WORK TOURS &amp; STOPS (% by persontype)</t>
  </si>
  <si>
    <t>OBSERVED EXACT # MEAL TOURS (if &gt; 0)</t>
  </si>
  <si>
    <t>OBSERVED EXACT # WORK TOURS (if &gt; 0)</t>
  </si>
  <si>
    <t>OBSERVED EXACT # SCHOOL TOURS (if &gt; 0)</t>
  </si>
  <si>
    <t>OBSERVED EXACT # ESCORT TOURS (if &gt; 0)</t>
  </si>
  <si>
    <t xml:space="preserve">OBSERVED EXACT # ESCORT TOURS  </t>
  </si>
  <si>
    <t>ESTIMATED TOTAL TRIPS (by hhincome)</t>
  </si>
  <si>
    <t>OBSERVED TOTAL TRIPS (by persontype)</t>
  </si>
  <si>
    <t>meal</t>
  </si>
  <si>
    <t>soc/rec</t>
  </si>
  <si>
    <t xml:space="preserve">OBSERVED EXACT # WORK TOURS  </t>
  </si>
  <si>
    <t xml:space="preserve">DIFFERENCE EXACT # WORK TOURS  </t>
  </si>
  <si>
    <t>DIFFERENCE EXACT # SOCIAL/RECREATIONAL TOURS (if &gt; 0)</t>
  </si>
  <si>
    <t>OBSERVED EXACT # OF WORKBASED SUBTOURS (work tours only)</t>
  </si>
  <si>
    <t>ESTIMATED % TOTAL TRIPS (by hhincome)</t>
  </si>
  <si>
    <t>ESTIMATED TOTAL TRIPS (by auto sufficiency)</t>
  </si>
  <si>
    <t>ESTIMATED % TOTAL TRIPS (by auto sufficiency)</t>
  </si>
  <si>
    <t>ESTIMATED SUBTOURS BY PURPOSE (work tours only)</t>
  </si>
  <si>
    <t>DIFFERENCE EXACT # OF WORKBASED SUBTOURS (work tours only)</t>
  </si>
  <si>
    <t>DIFFERENCE SUBTOURS BY PURPOSE (work tours only)</t>
  </si>
  <si>
    <t>ESTIMATED TOTAL STOPS (by auto sufficiency)</t>
  </si>
  <si>
    <t xml:space="preserve">ESTIMATED EXACT # ESCORT TOURS  </t>
  </si>
  <si>
    <t xml:space="preserve">ESTIMATED EXACT # PERSONAL BUSINESS TOURS  </t>
  </si>
  <si>
    <t>Dest Purpose</t>
  </si>
  <si>
    <t>home</t>
  </si>
  <si>
    <t>ft worker</t>
  </si>
  <si>
    <t>pt worker</t>
  </si>
  <si>
    <t>retired</t>
  </si>
  <si>
    <t xml:space="preserve">OBSERVED EXACT # MEAL TOURS  </t>
  </si>
  <si>
    <t xml:space="preserve">DIFFERENCE EXACT # MEAL TOURS  </t>
  </si>
  <si>
    <t xml:space="preserve">DIFFERENCE EXACT # SOCIAL/RECREATIONAL TOURS  </t>
  </si>
  <si>
    <t xml:space="preserve">ESTIMATED EXACT # WORK TOURS  </t>
  </si>
  <si>
    <t xml:space="preserve">ESTIMATED EXACT # SCHOOL TOURS  </t>
  </si>
  <si>
    <t>Diff</t>
  </si>
  <si>
    <t>Persontype</t>
  </si>
  <si>
    <t xml:space="preserve">DIFFERENCE ESTIMATED EXACT # SHOP TOURS  </t>
  </si>
  <si>
    <t>OBSERVED % TOTAL TRIPS (by persontype)</t>
  </si>
  <si>
    <t>OBSERVED TOTAL TOURS (by persontype)</t>
  </si>
  <si>
    <t>Purpose</t>
  </si>
  <si>
    <t>DIFFERENCE % TOTAL STOPS (by persontype)</t>
  </si>
  <si>
    <t>DIFFERENCE TOTAL STOPS (by hhincome)</t>
  </si>
  <si>
    <t>OBSERVED SHOP TOURS &amp; STOPS (% by persontype)</t>
  </si>
  <si>
    <t>ESTIMATED TOTAL TRIPS (by persontype)</t>
  </si>
  <si>
    <t>ESTIMATED % TOTAL TRIPS (by persontype)</t>
  </si>
  <si>
    <t>DIFFERENCE  WORK TOURS &amp; STOPS (% by persontype)</t>
  </si>
  <si>
    <t>ESTIMATED TOTAL TOURS (by auto sufficiency)</t>
  </si>
  <si>
    <t>ESTIMATED  SCHOOL TOURS &amp; STOPS (% by persontype)</t>
  </si>
  <si>
    <t>DIFFERENCE TOTAL TOURS (by district)</t>
  </si>
  <si>
    <t>ESTIMATED TOURS BY # STOPS and PURPOSE</t>
  </si>
  <si>
    <t>under 5</t>
  </si>
  <si>
    <t>ESTIMATED  SOCIAL/RECREATIONAL TOURS &amp; STOPS (% by persontype)</t>
  </si>
  <si>
    <t>missing</t>
  </si>
  <si>
    <t>1+/1+</t>
  </si>
  <si>
    <t>Tours/Stops</t>
  </si>
  <si>
    <t>Table X.X</t>
  </si>
  <si>
    <t>OBSERVED TOURS BY # STOPS and PURPOSE</t>
  </si>
  <si>
    <t>OBSERVED SUBTOURS BY PURPOSE (work tours only)</t>
  </si>
  <si>
    <t>ESTIMATED EXACT # OF WORKBASED SUBTOURS (work tours only)</t>
  </si>
  <si>
    <t>ESTIMATED TOUR / STOP COMBINATIONS (% by persontype)</t>
  </si>
  <si>
    <t>OBSERVED TOTAL STOPS (by persontype)</t>
  </si>
  <si>
    <t xml:space="preserve">DIFFERENCE EXACT # ESCORT TOURS  </t>
  </si>
  <si>
    <t xml:space="preserve">OBSERVED EXACT # PERSONAL BUSINESS TOURS  </t>
  </si>
  <si>
    <t xml:space="preserve">DIFFERENCE EXACT # PERSONAL BUSINESS TOURS  </t>
  </si>
  <si>
    <t xml:space="preserve">OBSERVED EXACT # SHOP TOURS  </t>
  </si>
  <si>
    <t>TABLE 1. HH POPULATION BY COUNTY</t>
  </si>
  <si>
    <t>OBSERVED % OUTBOUND TOURS BY # OF STOPS and PURPOSE</t>
  </si>
  <si>
    <t>ESTIMATED OUTBOUND TOURS BY # STOPS and PURPOSE</t>
  </si>
  <si>
    <t>ESTIMATED % TOTAL STOPS (by hhincome)</t>
  </si>
  <si>
    <t>OBSERVED SERVE PASSENGER TOURS &amp; STOPS (% by persontype)</t>
  </si>
  <si>
    <t>OBSERVED PERSONAL BUSINESS TOURS &amp; STOPS (% by persontype)</t>
  </si>
  <si>
    <t>ESTIMATED % OUTBOUND TOURS BY # OF STOPS and PURPOSE</t>
  </si>
  <si>
    <t>OBSERVED WORK TOURS &amp; STOPS (% by persontype)</t>
  </si>
  <si>
    <t>OBSERVED TOTAL TRIPS (by auto sufficiency)</t>
  </si>
  <si>
    <t>DIFFERENCE TOUR / STOP COMBINATIONS (% by persontype)</t>
  </si>
  <si>
    <t>ESTIMATED % RETURN TOURS BY # OF STOPS and PURPOSE</t>
  </si>
  <si>
    <t>DIFFERENCE % TOTAL STOPS (by hhincome)</t>
  </si>
  <si>
    <t>ESTIMATED TOTAL STOPS (by hhincome)</t>
  </si>
  <si>
    <t>DIFFERENCE TOTAL STOPS (by persontype)</t>
  </si>
  <si>
    <t>ESTIMATED EXACT # SCHOOL TOURS (if &gt; 0)</t>
  </si>
  <si>
    <t>ESTIMATED EXACT # ESCORT TOURS (if &gt; 0)</t>
  </si>
  <si>
    <t>ESTIMATED  PERSONAL BUSINESS TOURS &amp; STOPS (% by persontype)</t>
  </si>
  <si>
    <t>ESTIMATED EXACT # WORK TOURS (if &gt; 0)</t>
  </si>
  <si>
    <t>OBSERVED EXACT # PERSONAL BUSINESS TOURS (if &gt; 0)</t>
  </si>
  <si>
    <t>DIFFERENCE EXACT # ESCORT TOURS (if &gt; 0)</t>
  </si>
  <si>
    <t>DIFFERENCE EXACT # PERSONAL BUSINESS TOURS (if &gt; 0)</t>
  </si>
  <si>
    <t>3+/3+</t>
  </si>
  <si>
    <t>1/2</t>
  </si>
  <si>
    <t>2/2</t>
  </si>
  <si>
    <t>6+</t>
  </si>
  <si>
    <t>work</t>
  </si>
  <si>
    <t>school</t>
  </si>
  <si>
    <t>escort</t>
  </si>
  <si>
    <t>pers.bus</t>
  </si>
  <si>
    <t>shop</t>
  </si>
  <si>
    <t>OBSERVED % RETURN TOURS BY # OF STOPS and PURPOSE</t>
  </si>
  <si>
    <t>OBSERVED % TOTAL TOURS (by persontype)</t>
  </si>
  <si>
    <t>County</t>
  </si>
  <si>
    <t>OBSERVED TOTAL TOURS (by auto sufficiency)</t>
  </si>
  <si>
    <t>TABLE 7. TRIPS BY DESTINATION PURPOSE</t>
  </si>
  <si>
    <t>TABLE 9. TRIPS BY PERSONTYPE</t>
  </si>
  <si>
    <t>Total</t>
  </si>
  <si>
    <t>none</t>
  </si>
  <si>
    <t>one</t>
  </si>
  <si>
    <t>two</t>
  </si>
  <si>
    <t>three or more</t>
  </si>
  <si>
    <t>0/0</t>
  </si>
  <si>
    <t>3+/0</t>
  </si>
  <si>
    <t xml:space="preserve">ESTIMATED EXACT # SHOP TOURS  </t>
  </si>
  <si>
    <t xml:space="preserve">ESTIMATED EXACT # MEAL TOURS  </t>
  </si>
  <si>
    <t>3+/1</t>
  </si>
  <si>
    <t>1/0</t>
  </si>
  <si>
    <t>1/1</t>
  </si>
  <si>
    <t>2/0</t>
  </si>
  <si>
    <t>2/1</t>
  </si>
  <si>
    <t>0/1+</t>
  </si>
  <si>
    <t>1+/0</t>
  </si>
  <si>
    <t>DIFFERENCE RETURN TOURS BY # STOPS and PURPOSE</t>
  </si>
  <si>
    <t>DIFFERENCE TOTAL TOURS (by hhincome)</t>
  </si>
  <si>
    <t>DIFFERENCE % TOTAL TOURS (by hhincome)</t>
  </si>
  <si>
    <t>DIFFERENCE TOTAL TOURS (by auto sufficiency)</t>
  </si>
  <si>
    <t>OBSERVED EXACT # SOCIAL/RECREATIONAL TOURS (if &gt; 0)</t>
  </si>
  <si>
    <t>DIFFERENCE EXACT # WORK TOURS (if &gt; 0)</t>
  </si>
  <si>
    <t>nonworker</t>
  </si>
  <si>
    <t>uinv.stud</t>
  </si>
  <si>
    <t>stud 16+</t>
  </si>
  <si>
    <t>stud.5-15</t>
  </si>
  <si>
    <t>workbased</t>
  </si>
  <si>
    <t>Stops</t>
  </si>
  <si>
    <t>FT Worker</t>
  </si>
  <si>
    <t>Other</t>
  </si>
  <si>
    <t>DIFFERENCE TOTAL TRIPS (by auto sufficiency)</t>
  </si>
  <si>
    <t>DIFFERENCE % TOTAL TRIPS (by auto sufficiency)</t>
  </si>
  <si>
    <t>DIFFERENCE EXACT # SCHOOL TOURS (if &gt; 0)</t>
  </si>
  <si>
    <t>DIFFERENCE EXACT # SHOP TOURS (if &gt; 0)</t>
  </si>
  <si>
    <t>DIFFERENCE EXACT # MEAL TOURS (if &gt; 0)</t>
  </si>
  <si>
    <t>OBSERVED MEAL TOURS &amp; STOPS (% by persontype)</t>
  </si>
  <si>
    <t>ESTIMATED TOTAL TOURS (by persontype)</t>
  </si>
  <si>
    <t>ESTIMATED % TOTAL STOPS (by auto sufficiency)</t>
  </si>
  <si>
    <t>DIFFERENCE % TOTAL TOURS (by persontype)</t>
  </si>
  <si>
    <t>ExpandSurv</t>
  </si>
  <si>
    <t>SynthPop</t>
  </si>
  <si>
    <t>% Diff</t>
  </si>
  <si>
    <t>TABLE 3. TOURS BY PURPOSE</t>
  </si>
  <si>
    <t>ESTIMATED EXACT # PERSONAL BUSINESS TOURS (if &gt; 0)</t>
  </si>
  <si>
    <t>DIFFERENCE % RETURN TOURS BY # OF STOPS and PURPOSE</t>
  </si>
  <si>
    <t>OBSERVED EXACT # SHOP TOURS (if &gt; 0)</t>
  </si>
  <si>
    <t>ESTIMATED % TOTAL TOURS (by persontype)</t>
  </si>
  <si>
    <t>ESTIMATED TOTAL TOURS (by hhincome)</t>
  </si>
  <si>
    <t>ESTIMATED % TOTAL TOURS (by hhincome)</t>
  </si>
  <si>
    <t>DIFFERENCE OUTBOUND TOURS BY # STOPS and PURPOSE</t>
  </si>
  <si>
    <t>DIFFERENCE % OUTBOUND TOURS BY # OF STOPS and PURPOSE</t>
  </si>
  <si>
    <t>NUMBER OF TOURS (% by persontype)</t>
  </si>
  <si>
    <t>TOTAL TOURS (by hhincome)</t>
  </si>
  <si>
    <t>TOTAL STOPS (by hhincome)</t>
  </si>
  <si>
    <t>% TOTAL STOPS (by hhincome)</t>
  </si>
  <si>
    <t>TOTAL TRIPS (by hhincome)</t>
  </si>
  <si>
    <t>% TOTAL TRIPS (by hhincome)</t>
  </si>
  <si>
    <t>% TOTAL TOURS (by hhincome)</t>
  </si>
  <si>
    <t>by auto s</t>
  </si>
  <si>
    <t>ufficiency</t>
  </si>
  <si>
    <t>auto&lt;driv</t>
  </si>
  <si>
    <t>auto=driv</t>
  </si>
  <si>
    <t>auto&gt;driv</t>
  </si>
  <si>
    <t>auto suff</t>
  </si>
  <si>
    <t>iciency</t>
  </si>
  <si>
    <t>autosuf</t>
  </si>
  <si>
    <t>ESTIMATED % TOTAL STOPS (by district)</t>
  </si>
  <si>
    <t>TABLE 5. TOURS BY PERSONTYPE</t>
  </si>
  <si>
    <t>ESTIMATED RETURN TOURS BY # STOPS and PURPOSE</t>
  </si>
  <si>
    <t>HHSRAT=</t>
  </si>
  <si>
    <t>TABLE 2. POPULATION BY PERSONTYPE</t>
  </si>
  <si>
    <t>DIFFERENCE TOURS BY # STOPS and PURPOSE</t>
  </si>
  <si>
    <t>DIFFERENCE % TOURS BY # OF STOPS and PURPOSE</t>
  </si>
  <si>
    <t>ESTIMATED  SHOP TOURS &amp; STOPS (% by persontype)</t>
  </si>
  <si>
    <t>ESTIMATED  MEAL TOURS &amp; STOPS (% by persontype)</t>
  </si>
  <si>
    <t>$K 0-25</t>
  </si>
  <si>
    <t>$K 25-45</t>
  </si>
  <si>
    <t>$K 45-75</t>
  </si>
  <si>
    <t>$K 75+</t>
  </si>
  <si>
    <t>county</t>
  </si>
  <si>
    <t>$K &gt;75</t>
  </si>
  <si>
    <t>OBSERVED % TOTAL TOURS (by auto sufficiency)</t>
  </si>
  <si>
    <t>OBSERVED TOTAL TOURS (by county)</t>
  </si>
  <si>
    <t>OBSERVED % TOTAL TOURS (by county)</t>
  </si>
  <si>
    <t>ESTIMATED % TOTAL TOURS (by county)</t>
  </si>
  <si>
    <t>ESTIMATED TOTAL TOURS (by county)</t>
  </si>
  <si>
    <t>OBSERVED TOTAL STOPS (by county)</t>
  </si>
  <si>
    <t>ESTIMATED TOTAL STOPS (by county)</t>
  </si>
  <si>
    <t>DIFFERENCE TOTAL STOPS (by county)</t>
  </si>
  <si>
    <t>OBSERVED TOTAL TRIPS (by county)</t>
  </si>
  <si>
    <t>ESTIMATED TOTAL TRIPS (by county)</t>
  </si>
  <si>
    <t>DIFFERENCE TOTAL TRIPS (by county)</t>
  </si>
  <si>
    <t>DIFFERENCE % TOTAL TRIPS (by county)</t>
  </si>
  <si>
    <t>ESTIMATED % TOTAL TRIPS (by county)</t>
  </si>
  <si>
    <t>OBSERVED % TOTAL TRIPS (by county)</t>
  </si>
  <si>
    <t>END</t>
  </si>
  <si>
    <t>Name</t>
  </si>
  <si>
    <t>Constr.</t>
  </si>
  <si>
    <t>Beta</t>
  </si>
  <si>
    <t>Description</t>
  </si>
  <si>
    <t>W-TASC</t>
  </si>
  <si>
    <t>F</t>
  </si>
  <si>
    <t xml:space="preserve">workTourConstant                                                                 </t>
  </si>
  <si>
    <t>W-SASC</t>
  </si>
  <si>
    <t xml:space="preserve">workStopConstant                                                                 </t>
  </si>
  <si>
    <t>W-PTW</t>
  </si>
  <si>
    <t xml:space="preserve">workPurposeConstant * IsPartTimeWorkerFlag                                       </t>
  </si>
  <si>
    <t>W-UNI</t>
  </si>
  <si>
    <t xml:space="preserve">workPurposeConstant * IsUniversityStudentFlag                                    </t>
  </si>
  <si>
    <t>W-DAS</t>
  </si>
  <si>
    <t xml:space="preserve">workPurposeConstant * IsDrivingAgeStudentFlag                                    </t>
  </si>
  <si>
    <t>W-VLINC</t>
  </si>
  <si>
    <t xml:space="preserve">workPurposeConstant * Has0To25KIncomeFlag                                        </t>
  </si>
  <si>
    <t>W-LOINC</t>
  </si>
  <si>
    <t xml:space="preserve">workPurposeConstant * Has25To45KIncomeFlag                                       </t>
  </si>
  <si>
    <t>W-HIINC</t>
  </si>
  <si>
    <t xml:space="preserve">workPurposeConstant * Has75KPlusIncomeFlag                                       </t>
  </si>
  <si>
    <t>W-CARSPD</t>
  </si>
  <si>
    <t xml:space="preserve">workPurposeConstant * carsPerDriver                                              </t>
  </si>
  <si>
    <t>W-ONLYAD</t>
  </si>
  <si>
    <t>T</t>
  </si>
  <si>
    <t xml:space="preserve">workPurposeConstant * IsOnlyAdultFlag                                            </t>
  </si>
  <si>
    <t>W-ONLYWK</t>
  </si>
  <si>
    <t xml:space="preserve">workPurposeConstant * IsOnlyFullOrPartTimeWorkerFlag                             </t>
  </si>
  <si>
    <t>W-FEMNOC</t>
  </si>
  <si>
    <t xml:space="preserve">workPurposeConstant * IsFemaleFlag * IsAdultFlag * (not HasChildrenUnder16Flag)  </t>
  </si>
  <si>
    <t>W-FADCU5</t>
  </si>
  <si>
    <t xml:space="preserve">workPurposeConstant * IsFemaleFlag * IsAdultFlag * HasChildrenUnder5Flag         </t>
  </si>
  <si>
    <t>W-FAD515</t>
  </si>
  <si>
    <t xml:space="preserve">workPurposeConstant * IsFemaleFlag * IsAdultFlag * HasChildrenAge5Through15Flag  </t>
  </si>
  <si>
    <t>W-MADCU5</t>
  </si>
  <si>
    <t xml:space="preserve">workPurposeConstant * IsMaleFlag * IsAdultFlag * HasChildrenUnder5Flag           </t>
  </si>
  <si>
    <t>W-MAD515</t>
  </si>
  <si>
    <t xml:space="preserve">workPurposeConstant * IsMaleFlag * IsAdultFlag * HasChildrenAge5Through15Flag    </t>
  </si>
  <si>
    <t>W-AG1825</t>
  </si>
  <si>
    <t xml:space="preserve">workPurposeConstant * AgeIsBetween18And25Flag                                    </t>
  </si>
  <si>
    <t>W-AG2635</t>
  </si>
  <si>
    <t xml:space="preserve">workPurposeConstant * AgeIsBetween26And35Flag                                    </t>
  </si>
  <si>
    <t>W-AG5165</t>
  </si>
  <si>
    <t xml:space="preserve">workPurposeConstant * AgeIsBetween51And65Flag                                    </t>
  </si>
  <si>
    <t>W-WAHOME</t>
  </si>
  <si>
    <t xml:space="preserve">workPurposeConstant * WorksAtHomeFlag                                            </t>
  </si>
  <si>
    <t>W-MIXDEN</t>
  </si>
  <si>
    <t xml:space="preserve">workPurposeConstant * (Buffer2 households + foodEmpl + retailEmpl + serviceEmpl + medicalEmpl)                                               </t>
  </si>
  <si>
    <t>W-INTDEN</t>
  </si>
  <si>
    <t xml:space="preserve">workPurposeConstant * intersectionDensity                                        </t>
  </si>
  <si>
    <t>W-ACCLOG</t>
  </si>
  <si>
    <t xml:space="preserve">workPurposeConstant * purposeSpecificLogsum                                      </t>
  </si>
  <si>
    <t>W-T-LOGS</t>
  </si>
  <si>
    <t>W-S-LOGS</t>
  </si>
  <si>
    <t>W-FTW</t>
  </si>
  <si>
    <t xml:space="preserve">workPurposeConstant * IsFulltimeWorkerFlag                                       </t>
  </si>
  <si>
    <t>S-TASC</t>
  </si>
  <si>
    <t xml:space="preserve">schoolTourConstant                                                                   </t>
  </si>
  <si>
    <t>S-SASC</t>
  </si>
  <si>
    <t xml:space="preserve">schoolStopConstant                                                                   </t>
  </si>
  <si>
    <t xml:space="preserve">schoolPurposeConstant * IsPartTimeWorkerFlag                                         </t>
  </si>
  <si>
    <t xml:space="preserve">schoolPurposeConstant * IsRetiredAdultFlag                                           </t>
  </si>
  <si>
    <t xml:space="preserve">schoolPurposeConstant * IsNonworkingAdultFlag                                        </t>
  </si>
  <si>
    <t>S-UNI</t>
  </si>
  <si>
    <t xml:space="preserve">schoolPurposeConstant * IsUniversityStudentFlag                                      </t>
  </si>
  <si>
    <t>S-DAS</t>
  </si>
  <si>
    <t xml:space="preserve">schoolPurposeConstant * IsDrivingAgeStudentFlag                                      </t>
  </si>
  <si>
    <t>S-PAS</t>
  </si>
  <si>
    <t xml:space="preserve">schoolPurposeConstant * IsChildAge5Through15Flag                                     </t>
  </si>
  <si>
    <t>S-CU5</t>
  </si>
  <si>
    <t xml:space="preserve">schoolPurposeConstant * IsChildUnder5Flag                                            </t>
  </si>
  <si>
    <t>S-VLINC</t>
  </si>
  <si>
    <t xml:space="preserve">schoolPurposeConstant * Has0To25KIncomeFlag                                          </t>
  </si>
  <si>
    <t>S-LOINC</t>
  </si>
  <si>
    <t xml:space="preserve">schoolPurposeConstant * Has25To45KIncomeFlag                                         </t>
  </si>
  <si>
    <t>S-HIINC</t>
  </si>
  <si>
    <t xml:space="preserve">schoolPurposeConstant * Has75KPlusIncomeFlag                                         </t>
  </si>
  <si>
    <t>S-CARSPD</t>
  </si>
  <si>
    <t xml:space="preserve">schoolPurposeConstant * carsPerDriver                                                </t>
  </si>
  <si>
    <t>S-ONLYAD</t>
  </si>
  <si>
    <t xml:space="preserve">schoolPurposeConstant * IsOnlyAdultFlag                                              </t>
  </si>
  <si>
    <t>S-ONLYWK</t>
  </si>
  <si>
    <t xml:space="preserve">schoolPurposeConstant * IsOnlyFullOrPartTimeWorkerFlag                               </t>
  </si>
  <si>
    <t xml:space="preserve">schoolPurposeConstant * 0                                                            </t>
  </si>
  <si>
    <t>S-FEMNOC</t>
  </si>
  <si>
    <t xml:space="preserve">schoolPurposeConstant * IsFemaleFlag * IsAdultFlag * (not HasChildrenUnder16Flag)    </t>
  </si>
  <si>
    <t>S-FADCU5</t>
  </si>
  <si>
    <t xml:space="preserve">schoolPurposeConstant * IsFemaleFlag * IsAdultFlag * HasChildrenUnder5Flag           </t>
  </si>
  <si>
    <t>S-FAD515</t>
  </si>
  <si>
    <t xml:space="preserve">schoolPurposeConstant * IsFemaleFlag * IsAdultFlag * HasChildrenAge5Through15Flag    </t>
  </si>
  <si>
    <t>S-MADCU5</t>
  </si>
  <si>
    <t xml:space="preserve">schoolPurposeConstant * IsMaleFlag * IsAdultFlag * HasChildrenUnder5Flag             </t>
  </si>
  <si>
    <t>S-MAD515</t>
  </si>
  <si>
    <t xml:space="preserve">schoolPurposeConstant * IsMaleFlag * IsAdultFlag * HasChildrenAge5Through15Flag      </t>
  </si>
  <si>
    <t>S-AG1825</t>
  </si>
  <si>
    <t xml:space="preserve">schoolPurposeConstant * AgeIsBetween18And25Flag                                      </t>
  </si>
  <si>
    <t>S-AG2635</t>
  </si>
  <si>
    <t xml:space="preserve">schoolPurposeConstant * AgeIsBetween26And35Flag                                      </t>
  </si>
  <si>
    <t>S-AG5165</t>
  </si>
  <si>
    <t xml:space="preserve">schoolPurposeConstant * AgeIsBetween51And65Flag                                      </t>
  </si>
  <si>
    <t>S-WAHOME</t>
  </si>
  <si>
    <t xml:space="preserve">schoolPurposeConstant * WorksAtHomeFlag                                              </t>
  </si>
  <si>
    <t>S-MIXDEN</t>
  </si>
  <si>
    <t xml:space="preserve">schoolPurposeConstant * (Buffer2 households + foodEmpl + retailEmpl + serviceEmpl + medicalEmpl)                                                 </t>
  </si>
  <si>
    <t>S-INTDEN</t>
  </si>
  <si>
    <t xml:space="preserve">schoolPurposeConstant * intersectionDensity                                          </t>
  </si>
  <si>
    <t>S-ACCLOG</t>
  </si>
  <si>
    <t xml:space="preserve">schoolPurposeConstant * purposeSpecificLogsum                                        </t>
  </si>
  <si>
    <t>S-T-LOGS</t>
  </si>
  <si>
    <t>S-S-LOGS</t>
  </si>
  <si>
    <t>S-FTW</t>
  </si>
  <si>
    <t xml:space="preserve">schoolPurposeConstant * IsFulltimeWorkerFlag                                         </t>
  </si>
  <si>
    <t>E-TASC</t>
  </si>
  <si>
    <t xml:space="preserve">escortTourConstant                                                                   </t>
  </si>
  <si>
    <t>E-SASC</t>
  </si>
  <si>
    <t xml:space="preserve">escortStopConstant                                                                   </t>
  </si>
  <si>
    <t>E-PTW</t>
  </si>
  <si>
    <t xml:space="preserve">escortPurposeConstant * IsPartTimeWorkerFlag                                         </t>
  </si>
  <si>
    <t>E-RET</t>
  </si>
  <si>
    <t xml:space="preserve">escortPurposeConstant * IsRetiredAdultFlag                                           </t>
  </si>
  <si>
    <t>E-NWA</t>
  </si>
  <si>
    <t xml:space="preserve">escortPurposeConstant * IsNonworkingAdultFlag                                        </t>
  </si>
  <si>
    <t>E-UNI</t>
  </si>
  <si>
    <t xml:space="preserve">escortPurposeConstant * IsUniversityStudentFlag                                      </t>
  </si>
  <si>
    <t>E-DAS</t>
  </si>
  <si>
    <t xml:space="preserve">escortPurposeConstant * IsDrivingAgeStudentFlag                                      </t>
  </si>
  <si>
    <t>E-PAS</t>
  </si>
  <si>
    <t xml:space="preserve">escortPurposeConstant * IsChildAge5Through15Flag                                     </t>
  </si>
  <si>
    <t>E-CU5</t>
  </si>
  <si>
    <t xml:space="preserve">escortPurposeConstant * IsChildUnder5Flag                                            </t>
  </si>
  <si>
    <t>E-VLINC</t>
  </si>
  <si>
    <t xml:space="preserve">escortPurposeConstant * Has0To25KIncomeFlag                                          </t>
  </si>
  <si>
    <t>E-LOINC</t>
  </si>
  <si>
    <t xml:space="preserve">escortPurposeConstant * Has25To45KIncomeFlag                                         </t>
  </si>
  <si>
    <t>E-HIINC</t>
  </si>
  <si>
    <t xml:space="preserve">escortPurposeConstant * Has75KPlusIncomeFlag                                         </t>
  </si>
  <si>
    <t>E-CARSPD</t>
  </si>
  <si>
    <t xml:space="preserve">escortPurposeConstant * carsPerDriver                                                </t>
  </si>
  <si>
    <t>E-ONLYAD</t>
  </si>
  <si>
    <t xml:space="preserve">escortPurposeConstant * IsOnlyAdultFlag                                              </t>
  </si>
  <si>
    <t>E-ONLYWK</t>
  </si>
  <si>
    <t xml:space="preserve">escortPurposeConstant * IsOnlyFullOrPartTimeWorkerFlag                               </t>
  </si>
  <si>
    <t xml:space="preserve">escortPurposeConstant * 0                                                            </t>
  </si>
  <si>
    <t>E-FEMNOC</t>
  </si>
  <si>
    <t xml:space="preserve">escortPurposeConstant * IsFemaleFlag * IsAdultFlag * (not HasChildrenUnder16Flag)    </t>
  </si>
  <si>
    <t>E-FADCU5</t>
  </si>
  <si>
    <t xml:space="preserve">escortPurposeConstant * IsFemaleFlag * IsAdultFlag * HasChildrenUnder5Flag           </t>
  </si>
  <si>
    <t>E-FAD515</t>
  </si>
  <si>
    <t xml:space="preserve">escortPurposeConstant * IsFemaleFlag * IsAdultFlag * HasChildrenAge5Through15Flag    </t>
  </si>
  <si>
    <t>E-MADCU5</t>
  </si>
  <si>
    <t xml:space="preserve">escortPurposeConstant * IsMaleFlag * IsAdultFlag * HasChildrenUnder5Flag             </t>
  </si>
  <si>
    <t>E-MAD515</t>
  </si>
  <si>
    <t xml:space="preserve">escortPurposeConstant * IsMaleFlag * IsAdultFlag * HasChildrenAge5Through15Flag      </t>
  </si>
  <si>
    <t>E-AG1825</t>
  </si>
  <si>
    <t xml:space="preserve">escortPurposeConstant * AgeIsBetween18And25Flag                                      </t>
  </si>
  <si>
    <t>E-AG2635</t>
  </si>
  <si>
    <t xml:space="preserve">escortPurposeConstant * AgeIsBetween26And35Flag                                      </t>
  </si>
  <si>
    <t>E-AG5165</t>
  </si>
  <si>
    <t xml:space="preserve">escortPurposeConstant * AgeIsBetween51And65Flag                                      </t>
  </si>
  <si>
    <t>E-WAHOME</t>
  </si>
  <si>
    <t xml:space="preserve">escortPurposeConstant * WorksAtHomeFlag                                              </t>
  </si>
  <si>
    <t>E-MIXDEN</t>
  </si>
  <si>
    <t xml:space="preserve">escortPurposeConstant * (Buffer2 households + foodEmpl + retailEmpl + serviceEmpl + medicalEmpl)                                                 </t>
  </si>
  <si>
    <t>E-INTDEN</t>
  </si>
  <si>
    <t xml:space="preserve">escortPurposeConstant * intersectionDensity                                          </t>
  </si>
  <si>
    <t>E-ACCLOG</t>
  </si>
  <si>
    <t xml:space="preserve">escortPurposeConstant * purposeSpecificLogsum                                        </t>
  </si>
  <si>
    <t>E-T-LOGS</t>
  </si>
  <si>
    <t>E-S-LOGS</t>
  </si>
  <si>
    <t>E-FTW</t>
  </si>
  <si>
    <t xml:space="preserve">escortPurposeConstant * IsFulltimeWorkerFlag                                         </t>
  </si>
  <si>
    <t>P-TASC</t>
  </si>
  <si>
    <t xml:space="preserve">personalBusinessTourConstant                                                                  </t>
  </si>
  <si>
    <t>P-SASC</t>
  </si>
  <si>
    <t xml:space="preserve">personalBusinessStopConstant                                                                  </t>
  </si>
  <si>
    <t>P-PTW</t>
  </si>
  <si>
    <t xml:space="preserve">personalBusinessPurposeConstant * IsPartTimeWorkerFlag                                        </t>
  </si>
  <si>
    <t>P-RET</t>
  </si>
  <si>
    <t xml:space="preserve">personalBusinessPurposeConstant * IsRetiredAdultFlag                                          </t>
  </si>
  <si>
    <t>P-NWA</t>
  </si>
  <si>
    <t xml:space="preserve">personalBusinessPurposeConstant * IsNonworkingAdultFlag                                       </t>
  </si>
  <si>
    <t>P-UNI</t>
  </si>
  <si>
    <t xml:space="preserve">personalBusinessPurposeConstant * IsUniversityStudentFlag                                     </t>
  </si>
  <si>
    <t>P-DAS</t>
  </si>
  <si>
    <t xml:space="preserve">personalBusinessPurposeConstant * IsDrivingAgeStudentFlag                                     </t>
  </si>
  <si>
    <t>P-PAS</t>
  </si>
  <si>
    <t xml:space="preserve">personalBusinessPurposeConstant * IsChildAge5Through15Flag                                    </t>
  </si>
  <si>
    <t>P-CU5</t>
  </si>
  <si>
    <t xml:space="preserve">personalBusinessPurposeConstant * IsChildUnder5Flag                                           </t>
  </si>
  <si>
    <t>P-VLINC</t>
  </si>
  <si>
    <t xml:space="preserve">personalBusinessPurposeConstant * Has0To25KIncomeFlag                                         </t>
  </si>
  <si>
    <t>P-LOINC</t>
  </si>
  <si>
    <t xml:space="preserve">personalBusinessPurposeConstant * Has25To45KIncomeFlag                                        </t>
  </si>
  <si>
    <t>P-HIINC</t>
  </si>
  <si>
    <t xml:space="preserve">personalBusinessPurposeConstant * Has75KPlusIncomeFlag                                        </t>
  </si>
  <si>
    <t>P-CARSPD</t>
  </si>
  <si>
    <t xml:space="preserve">personalBusinessPurposeConstant * carsPerDriver                                               </t>
  </si>
  <si>
    <t>P-ONLYAD</t>
  </si>
  <si>
    <t xml:space="preserve">personalBusinessPurposeConstant * IsOnlyAdultFlag                                             </t>
  </si>
  <si>
    <t>P-ONLYWK</t>
  </si>
  <si>
    <t xml:space="preserve">personalBusinessPurposeConstant * IsOnlyFullOrPartTimeWorkerFlag                              </t>
  </si>
  <si>
    <t xml:space="preserve">personalBusinessPurposeConstant * 0                                                           </t>
  </si>
  <si>
    <t>P-FEMNOC</t>
  </si>
  <si>
    <t xml:space="preserve">personalBusinessPurposeConstant * IsFemaleFlag * IsAdultFlag * (not HasChildrenUnder16Flag)   </t>
  </si>
  <si>
    <t>P-FADCU5</t>
  </si>
  <si>
    <t xml:space="preserve">personalBusinessPurposeConstant * IsFemaleFlag * IsAdultFlag * HasChildrenUnder5Flag          </t>
  </si>
  <si>
    <t>P-FAD515</t>
  </si>
  <si>
    <t xml:space="preserve">personalBusinessPurposeConstant * IsFemaleFlag * IsAdultFlag * HasChildrenAge5Through15Flag   </t>
  </si>
  <si>
    <t>P-MADCU5</t>
  </si>
  <si>
    <t xml:space="preserve">personalBusinessPurposeConstant * IsMaleFlag * IsAdultFlag * HasChildrenUnder5Flag            </t>
  </si>
  <si>
    <t>P-MAD515</t>
  </si>
  <si>
    <t xml:space="preserve">personalBusinessPurposeConstant * IsMaleFlag * IsAdultFlag * HasChildrenAge5Through15Flag     </t>
  </si>
  <si>
    <t>P-AG1825</t>
  </si>
  <si>
    <t xml:space="preserve">personalBusinessPurposeConstant * AgeIsBetween18And25Flag                                     </t>
  </si>
  <si>
    <t>P-AG2635</t>
  </si>
  <si>
    <t xml:space="preserve">personalBusinessPurposeConstant * AgeIsBetween26And35Flag                                     </t>
  </si>
  <si>
    <t>P-AG5165</t>
  </si>
  <si>
    <t xml:space="preserve">personalBusinessPurposeConstant * AgeIsBetween51And65Flag                                     </t>
  </si>
  <si>
    <t>P-WAHOME</t>
  </si>
  <si>
    <t xml:space="preserve">personalBusinessPurposeConstant * WorksAtHomeFlag                                             </t>
  </si>
  <si>
    <t>P-MIXDEN</t>
  </si>
  <si>
    <t xml:space="preserve">personalBusinessPurposeConstant * (Buffer2 households + foodEmpl + retailEmpl + serviceEmpl + medicalEmpl)                                                </t>
  </si>
  <si>
    <t>P-INTDEN</t>
  </si>
  <si>
    <t xml:space="preserve">personalBusinessPurposeConstant * intersectionDensity                                         </t>
  </si>
  <si>
    <t>P-ACCLOG</t>
  </si>
  <si>
    <t xml:space="preserve">personalBusinessPurposeConstant * purposeSpecificLogsum                                       </t>
  </si>
  <si>
    <t>P-T-LOGS</t>
  </si>
  <si>
    <t>P-S-LOGS</t>
  </si>
  <si>
    <t>P-FTW</t>
  </si>
  <si>
    <t xml:space="preserve">personalBusinessPurposeConstant * IsFulltimeWorkerFlag                                        </t>
  </si>
  <si>
    <t>H-TASC</t>
  </si>
  <si>
    <t xml:space="preserve">shopTourConstant                                                                   </t>
  </si>
  <si>
    <t>H-SASC</t>
  </si>
  <si>
    <t xml:space="preserve">shopStopConstant                                                                   </t>
  </si>
  <si>
    <t>H-PTW</t>
  </si>
  <si>
    <t xml:space="preserve">shopPurposeConstant * IsPartTimeWorkerFlag                                         </t>
  </si>
  <si>
    <t>H-RET</t>
  </si>
  <si>
    <t xml:space="preserve">shopPurposeConstant * IsRetiredAdultFlag                                           </t>
  </si>
  <si>
    <t>H-NWA</t>
  </si>
  <si>
    <t xml:space="preserve">shopPurposeConstant * IsNonworkingAdultFlag                                        </t>
  </si>
  <si>
    <t>H-UNI</t>
  </si>
  <si>
    <t xml:space="preserve">shopPurposeConstant * IsUniversityStudentFlag                                      </t>
  </si>
  <si>
    <t>H-DAS</t>
  </si>
  <si>
    <t xml:space="preserve">shopPurposeConstant * IsDrivingAgeStudentFlag                                      </t>
  </si>
  <si>
    <t>H-PAS</t>
  </si>
  <si>
    <t xml:space="preserve">shopPurposeConstant * IsChildAge5Through15Flag                                     </t>
  </si>
  <si>
    <t>H-CU5</t>
  </si>
  <si>
    <t xml:space="preserve">shopPurposeConstant * IsChildUnder5Flag                                            </t>
  </si>
  <si>
    <t>H-VLINC</t>
  </si>
  <si>
    <t xml:space="preserve">shopPurposeConstant * Has0To25KIncomeFlag                                          </t>
  </si>
  <si>
    <t>H-LOINC</t>
  </si>
  <si>
    <t xml:space="preserve">shopPurposeConstant * Has25To45KIncomeFlag                                         </t>
  </si>
  <si>
    <t>H-HIINC</t>
  </si>
  <si>
    <t xml:space="preserve">shopPurposeConstant * Has75KPlusIncomeFlag                                         </t>
  </si>
  <si>
    <t>H-CARSPD</t>
  </si>
  <si>
    <t xml:space="preserve">shopPurposeConstant * carsPerDriver                                                </t>
  </si>
  <si>
    <t>H-ONLYAD</t>
  </si>
  <si>
    <t xml:space="preserve">shopPurposeConstant * IsOnlyAdultFlag                                              </t>
  </si>
  <si>
    <t>H-ONLYWK</t>
  </si>
  <si>
    <t xml:space="preserve">shopPurposeConstant * IsOnlyFullOrPartTimeWorkerFlag                               </t>
  </si>
  <si>
    <t xml:space="preserve">shopPurposeConstant * 0                                                            </t>
  </si>
  <si>
    <t>H-FEMNOC</t>
  </si>
  <si>
    <t xml:space="preserve">shopPurposeConstant * IsFemaleFlag * IsAdultFlag * (not HasChildrenUnder16Flag)    </t>
  </si>
  <si>
    <t>H-FADCU5</t>
  </si>
  <si>
    <t xml:space="preserve">shopPurposeConstant * IsFemaleFlag * IsAdultFlag * HasChildrenUnder5Flag           </t>
  </si>
  <si>
    <t>H-FAD515</t>
  </si>
  <si>
    <t xml:space="preserve">shopPurposeConstant * IsFemaleFlag * IsAdultFlag * HasChildrenAge5Through15Flag    </t>
  </si>
  <si>
    <t>H-MADCU5</t>
  </si>
  <si>
    <t xml:space="preserve">shopPurposeConstant * IsMaleFlag * IsAdultFlag * HasChildrenUnder5Flag             </t>
  </si>
  <si>
    <t>H-MAD515</t>
  </si>
  <si>
    <t xml:space="preserve">shopPurposeConstant * IsMaleFlag * IsAdultFlag * HasChildrenAge5Through15Flag      </t>
  </si>
  <si>
    <t>H-AG1825</t>
  </si>
  <si>
    <t xml:space="preserve">shopPurposeConstant * AgeIsBetween18And25Flag                                      </t>
  </si>
  <si>
    <t>H-AG2635</t>
  </si>
  <si>
    <t xml:space="preserve">shopPurposeConstant * AgeIsBetween26And35Flag                                      </t>
  </si>
  <si>
    <t>H-AG5165</t>
  </si>
  <si>
    <t xml:space="preserve">shopPurposeConstant * AgeIsBetween51And65Flag                                      </t>
  </si>
  <si>
    <t>H-WAHOME</t>
  </si>
  <si>
    <t xml:space="preserve">shopPurposeConstant * WorksAtHomeFlag                                              </t>
  </si>
  <si>
    <t>H-MIXDEN</t>
  </si>
  <si>
    <t xml:space="preserve">shopPurposeConstant * (Buffer2 households + foodEmpl + retailEmpl + serviceEmpl + medicalEmpl)                                                 </t>
  </si>
  <si>
    <t>H-INTDEN</t>
  </si>
  <si>
    <t xml:space="preserve">shopPurposeConstant * intersectionDensity                                          </t>
  </si>
  <si>
    <t>H-ACCLOG</t>
  </si>
  <si>
    <t xml:space="preserve">shopPurposeConstant * purposeSpecificLogsum                                        </t>
  </si>
  <si>
    <t>H-T-LOGS</t>
  </si>
  <si>
    <t>H-S-LOGS</t>
  </si>
  <si>
    <t>H-FTW</t>
  </si>
  <si>
    <t xml:space="preserve">shopPurposeConstant * IsFulltimeWorkerFlag                                         </t>
  </si>
  <si>
    <t>M-TASC</t>
  </si>
  <si>
    <t xml:space="preserve">mealTourConstant                                                                 </t>
  </si>
  <si>
    <t>M-SASC</t>
  </si>
  <si>
    <t xml:space="preserve">mealStopConstant                                                                 </t>
  </si>
  <si>
    <t>M-PTW</t>
  </si>
  <si>
    <t xml:space="preserve">mealPurposeConstant * IsPartTimeWorkerFlag                                       </t>
  </si>
  <si>
    <t>M-RET</t>
  </si>
  <si>
    <t xml:space="preserve">mealPurposeConstant * IsRetiredAdultFlag                                         </t>
  </si>
  <si>
    <t>M-NWA</t>
  </si>
  <si>
    <t xml:space="preserve">mealPurposeConstant * IsNonworkingAdultFlag                                      </t>
  </si>
  <si>
    <t>M-UNI</t>
  </si>
  <si>
    <t xml:space="preserve">mealPurposeConstant * IsUniversityStudentFlag                                    </t>
  </si>
  <si>
    <t>M-DAS</t>
  </si>
  <si>
    <t xml:space="preserve">mealPurposeConstant * IsDrivingAgeStudentFlag                                    </t>
  </si>
  <si>
    <t>M-PAS</t>
  </si>
  <si>
    <t xml:space="preserve">mealPurposeConstant * IsChildAge5Through15Flag                                   </t>
  </si>
  <si>
    <t>M-CU5</t>
  </si>
  <si>
    <t xml:space="preserve">mealPurposeConstant * IsChildUnder5Flag                                          </t>
  </si>
  <si>
    <t>M-VLINC</t>
  </si>
  <si>
    <t xml:space="preserve">mealPurposeConstant * Has0To25KIncomeFlag                                        </t>
  </si>
  <si>
    <t>M-LOINC</t>
  </si>
  <si>
    <t xml:space="preserve">mealPurposeConstant * Has25To45KIncomeFlag                                       </t>
  </si>
  <si>
    <t>M-HIINC</t>
  </si>
  <si>
    <t xml:space="preserve">mealPurposeConstant * Has75KPlusIncomeFlag                                       </t>
  </si>
  <si>
    <t>M-CARSPD</t>
  </si>
  <si>
    <t xml:space="preserve">mealPurposeConstant * carsPerDriver                                              </t>
  </si>
  <si>
    <t>M-ONLYAD</t>
  </si>
  <si>
    <t xml:space="preserve">mealPurposeConstant * IsOnlyAdultFlag                                            </t>
  </si>
  <si>
    <t>M-ONLYWK</t>
  </si>
  <si>
    <t xml:space="preserve">mealPurposeConstant * IsOnlyFullOrPartTimeWorkerFlag                             </t>
  </si>
  <si>
    <t xml:space="preserve">mealPurposeConstant * 0                                                          </t>
  </si>
  <si>
    <t>M-FEMNOC</t>
  </si>
  <si>
    <t xml:space="preserve">mealPurposeConstant * IsFemaleFlag * IsAdultFlag * (not HasChildrenUnder16Flag)  </t>
  </si>
  <si>
    <t>M-FADCU5</t>
  </si>
  <si>
    <t xml:space="preserve">mealPurposeConstant * IsFemaleFlag * IsAdultFlag * HasChildrenUnder5Flag         </t>
  </si>
  <si>
    <t>M-FAD515</t>
  </si>
  <si>
    <t xml:space="preserve">mealPurposeConstant * IsFemaleFlag * IsAdultFlag * HasChildrenAge5Through15Flag  </t>
  </si>
  <si>
    <t>M-MADCU5</t>
  </si>
  <si>
    <t xml:space="preserve">mealPurposeConstant * IsMaleFlag * IsAdultFlag * HasChildrenUnder5Flag           </t>
  </si>
  <si>
    <t>M-MAD515</t>
  </si>
  <si>
    <t xml:space="preserve">mealPurposeConstant * IsMaleFlag * IsAdultFlag * HasChildrenAge5Through15Flag    </t>
  </si>
  <si>
    <t>M-AG1825</t>
  </si>
  <si>
    <t xml:space="preserve">mealPurposeConstant * AgeIsBetween18And25Flag                                    </t>
  </si>
  <si>
    <t>M-AG2635</t>
  </si>
  <si>
    <t xml:space="preserve">mealPurposeConstant * AgeIsBetween26And35Flag                                    </t>
  </si>
  <si>
    <t>M-AG5165</t>
  </si>
  <si>
    <t xml:space="preserve">mealPurposeConstant * AgeIsBetween51And65Flag                                    </t>
  </si>
  <si>
    <t>M-WAHOME</t>
  </si>
  <si>
    <t xml:space="preserve">mealPurposeConstant * WorksAtHomeFlag                                            </t>
  </si>
  <si>
    <t>M-MIXDEN</t>
  </si>
  <si>
    <t xml:space="preserve">mealPurposeConstant * (Buffer2 households + foodEmpl + retailEmpl + serviceEmpl + medicalEmpl)                                               </t>
  </si>
  <si>
    <t>M-INTDEN</t>
  </si>
  <si>
    <t xml:space="preserve">mealPurposeConstant * intersectionDensity                                        </t>
  </si>
  <si>
    <t>M-ACCLOG</t>
  </si>
  <si>
    <t xml:space="preserve">mealPurposeConstant * purposeSpecificLogsum                                      </t>
  </si>
  <si>
    <t>M-T-LOGS</t>
  </si>
  <si>
    <t>M-S-LOGS</t>
  </si>
  <si>
    <t>M-FTW</t>
  </si>
  <si>
    <t xml:space="preserve">mealPurposeConstant * IsFulltimeWorkerFlag                                       </t>
  </si>
  <si>
    <t>D-TASC</t>
  </si>
  <si>
    <t xml:space="preserve">socialOrRecreationTourConstant                                                                       </t>
  </si>
  <si>
    <t>D-SASC</t>
  </si>
  <si>
    <t xml:space="preserve">socialOrRecreationStopConstant                                                                       </t>
  </si>
  <si>
    <t>D-PTW</t>
  </si>
  <si>
    <t xml:space="preserve">socialOrRecreationPurposeConstant * IsPartTimeWorkerFlag                                             </t>
  </si>
  <si>
    <t>D-RET</t>
  </si>
  <si>
    <t xml:space="preserve">socialOrRecreationPurposeConstant * IsRetiredAdultFlag                                               </t>
  </si>
  <si>
    <t>D-NWA</t>
  </si>
  <si>
    <t xml:space="preserve">socialOrRecreationPurposeConstant * IsNonworkingAdultFlag                                            </t>
  </si>
  <si>
    <t>D-UNI</t>
  </si>
  <si>
    <t xml:space="preserve">socialOrRecreationPurposeConstant * IsUniversityStudentFlag                                          </t>
  </si>
  <si>
    <t>D-DAS</t>
  </si>
  <si>
    <t xml:space="preserve">socialOrRecreationPurposeConstant * IsDrivingAgeStudentFlag                                          </t>
  </si>
  <si>
    <t>D-PAS</t>
  </si>
  <si>
    <t xml:space="preserve">socialOrRecreationPurposeConstant * IsChildAge5Through15Flag                                         </t>
  </si>
  <si>
    <t>D-CU5</t>
  </si>
  <si>
    <t xml:space="preserve">socialOrRecreationPurposeConstant * IsChildUnder5Flag                                                </t>
  </si>
  <si>
    <t>D-VLINC</t>
  </si>
  <si>
    <t xml:space="preserve">socialOrRecreationPurposeConstant * Has0To25KIncomeFlag                                              </t>
  </si>
  <si>
    <t>D-LOINC</t>
  </si>
  <si>
    <t xml:space="preserve">socialOrRecreationPurposeConstant * Has25To45KIncomeFlag                                             </t>
  </si>
  <si>
    <t>D-HIINC</t>
  </si>
  <si>
    <t xml:space="preserve">socialOrRecreationPurposeConstant * Has75KPlusIncomeFlag                                             </t>
  </si>
  <si>
    <t>D-CARSPD</t>
  </si>
  <si>
    <t xml:space="preserve">socialOrRecreationPurposeConstant * carsPerDriver                                                    </t>
  </si>
  <si>
    <t>D-ONLYAD</t>
  </si>
  <si>
    <t xml:space="preserve">socialOrRecreationPurposeConstant * IsOnlyAdultFlag                                                  </t>
  </si>
  <si>
    <t>D-ONLYWK</t>
  </si>
  <si>
    <t xml:space="preserve">socialOrRecreationPurposeConstant * IsOnlyFullOrPartTimeWorkerFlag                                   </t>
  </si>
  <si>
    <t xml:space="preserve">socialOrRecreationPurposeConstant * 0                                                                </t>
  </si>
  <si>
    <t>D-FEMNOC</t>
  </si>
  <si>
    <t xml:space="preserve">socialOrRecreationPurposeConstant * IsFemaleFlag * IsAdultFlag * (not HasChildrenUnder16Flag)        </t>
  </si>
  <si>
    <t>D-FADCU5</t>
  </si>
  <si>
    <t xml:space="preserve">socialOrRecreationPurposeConstant * IsFemaleFlag * IsAdultFlag * HasChildrenUnder5Flag               </t>
  </si>
  <si>
    <t>D-FAD515</t>
  </si>
  <si>
    <t xml:space="preserve">socialOrRecreationPurposeConstant * IsFemaleFlag * IsAdultFlag * HasChildrenAge5Through15Flag        </t>
  </si>
  <si>
    <t>D-MADCU5</t>
  </si>
  <si>
    <t xml:space="preserve">socialOrRecreationPurposeConstant * IsMaleFlag * IsAdultFlag * HasChildrenUnder5Flag                 </t>
  </si>
  <si>
    <t>D-MAD515</t>
  </si>
  <si>
    <t xml:space="preserve">socialOrRecreationPurposeConstant * IsMaleFlag * IsAdultFlag * HasChildrenAge5Through15Flag          </t>
  </si>
  <si>
    <t>D-AG1825</t>
  </si>
  <si>
    <t xml:space="preserve">socialOrRecreationPurposeConstant * AgeIsBetween18And25Flag                                          </t>
  </si>
  <si>
    <t>D-AG2635</t>
  </si>
  <si>
    <t xml:space="preserve">socialOrRecreationPurposeConstant * AgeIsBetween26And35Flag                                          </t>
  </si>
  <si>
    <t>D-AG5165</t>
  </si>
  <si>
    <t xml:space="preserve">socialOrRecreationPurposeConstant * AgeIsBetween51And65Flag                                          </t>
  </si>
  <si>
    <t>D-WAHOME</t>
  </si>
  <si>
    <t xml:space="preserve">socialOrRecreationPurposeConstant * WorksAtHomeFlag                                                  </t>
  </si>
  <si>
    <t>D-MIXDEN</t>
  </si>
  <si>
    <t xml:space="preserve">socialOrRecreationPurposeConstant * (Buffer2 households + foodEmpl + retailEmpl + serviceEmpl + medicalEmpl)                                                     </t>
  </si>
  <si>
    <t>D-INTDEN</t>
  </si>
  <si>
    <t xml:space="preserve">socialOrRecreationPurposeConstant * intersectionDensity                                              </t>
  </si>
  <si>
    <t>D-ACCLOG</t>
  </si>
  <si>
    <t xml:space="preserve">socialOrRecreationPurposeConstant * purposeSpecificLogsum                                            </t>
  </si>
  <si>
    <t>D-T-LOGS</t>
  </si>
  <si>
    <t>D-S-LOGS</t>
  </si>
  <si>
    <t>D-FTW</t>
  </si>
  <si>
    <t xml:space="preserve">socialOrRecreationPurposeConstant * IsFulltimeWorkerFlag                                             </t>
  </si>
  <si>
    <t>T-PTW</t>
  </si>
  <si>
    <t xml:space="preserve">LN(max(1, number of tour purposes) * IsPartTimeWorkerFlag                                        </t>
  </si>
  <si>
    <t>T-RET</t>
  </si>
  <si>
    <t xml:space="preserve">LN(max(1, number of tour purposes) * IsRetiredAdultFlag                                          </t>
  </si>
  <si>
    <t>T-NWA</t>
  </si>
  <si>
    <t xml:space="preserve">LN(max(1, number of tour purposes) * IsNonworkingAdultFlag                                       </t>
  </si>
  <si>
    <t>T-UNI</t>
  </si>
  <si>
    <t xml:space="preserve">LN(max(1, number of tour purposes) * IsUniversityStudentFlag                                     </t>
  </si>
  <si>
    <t>T-DAS</t>
  </si>
  <si>
    <t xml:space="preserve">LN(max(1, number of tour purposes) * IsDrivingAgeStudentFlag                                     </t>
  </si>
  <si>
    <t>T-PAS</t>
  </si>
  <si>
    <t xml:space="preserve">LN(max(1, number of tour purposes) * IsChildAge5Through15Flag                                    </t>
  </si>
  <si>
    <t>T-CU5</t>
  </si>
  <si>
    <t xml:space="preserve">LN(max(1, number of tour purposes) * IsChildUnder5Flag                                           </t>
  </si>
  <si>
    <t>T-VLINC</t>
  </si>
  <si>
    <t xml:space="preserve">LN(max(1, number of tour purposes) * Has0To25KIncomeFlag                                         </t>
  </si>
  <si>
    <t>T-LOINC</t>
  </si>
  <si>
    <t xml:space="preserve">LN(max(1, number of tour purposes) * Has25To45KIncomeFlag                                        </t>
  </si>
  <si>
    <t>T-HIINC</t>
  </si>
  <si>
    <t xml:space="preserve">LN(max(1, number of tour purposes) * Has75KPlusIncomeFlag                                        </t>
  </si>
  <si>
    <t>T-CARSPD</t>
  </si>
  <si>
    <t xml:space="preserve">LN(max(1, number of tour purposes) * carsPerDriver                                               </t>
  </si>
  <si>
    <t>T-ONLYAD</t>
  </si>
  <si>
    <t xml:space="preserve">LN(max(1, number of tour purposes) * IsOnlyAdultFlag                                             </t>
  </si>
  <si>
    <t>T-ONLYWK</t>
  </si>
  <si>
    <t xml:space="preserve">LN(max(1, number of tour purposes) * IsOnlyFullOrPartTimeWorkerFlag                              </t>
  </si>
  <si>
    <t xml:space="preserve">LN(max(1, number of tour purposes) * 0                                                           </t>
  </si>
  <si>
    <t>T-FEMNOC</t>
  </si>
  <si>
    <t xml:space="preserve">LN(max(1, number of tour purposes) * IsFemaleFlag * IsAdultFlag * (not HasChildrenUnder16Flag)   </t>
  </si>
  <si>
    <t>T-FADCU5</t>
  </si>
  <si>
    <t xml:space="preserve">LN(max(1, number of tour purposes) * IsFemaleFlag * IsAdultFlag * HasChildrenUnder5Flag          </t>
  </si>
  <si>
    <t>T-FAD515</t>
  </si>
  <si>
    <t xml:space="preserve">LN(max(1, number of tour purposes) * IsFemaleFlag * IsAdultFlag * HasChildrenAge5Through15Flag   </t>
  </si>
  <si>
    <t>T-MADCU5</t>
  </si>
  <si>
    <t xml:space="preserve">LN(max(1, number of tour purposes) * IsMaleFlag * IsAdultFlag * HasChildrenUnder5Flag            </t>
  </si>
  <si>
    <t>T-MAD515</t>
  </si>
  <si>
    <t xml:space="preserve">LN(max(1, number of tour purposes) * IsMaleFlag * IsAdultFlag * HasChildrenAge5Through15Flag     </t>
  </si>
  <si>
    <t>T-AG1825</t>
  </si>
  <si>
    <t xml:space="preserve">LN(max(1, number of tour purposes) * AgeIsBetween18And25Flag                                     </t>
  </si>
  <si>
    <t>T-AG2635</t>
  </si>
  <si>
    <t xml:space="preserve">LN(max(1, number of tour purposes) * AgeIsBetween26And35Flag                                     </t>
  </si>
  <si>
    <t>T-AG5165</t>
  </si>
  <si>
    <t xml:space="preserve">LN(max(1, number of tour purposes) * AgeIsBetween51And65Flag                                     </t>
  </si>
  <si>
    <t>T-WAHOME</t>
  </si>
  <si>
    <t xml:space="preserve">LN(max(1, number of tour purposes) * WorksAtHomeFlag                                             </t>
  </si>
  <si>
    <t>T-MIXDEN</t>
  </si>
  <si>
    <t xml:space="preserve">LN(max(1, number of tour purposes) * (Buffer2 households + foodEmpl + retailEmpl + serviceEmpl + medicalEmpl)                                                </t>
  </si>
  <si>
    <t>T-INTDEN</t>
  </si>
  <si>
    <t xml:space="preserve">LN(max(1, number of tour purposes) * intersectionDensity                                         </t>
  </si>
  <si>
    <t>T-ACCLOG</t>
  </si>
  <si>
    <t xml:space="preserve">LN(max(1, number of tour purposes) * purposeSpecificLogsum                                       </t>
  </si>
  <si>
    <t>T-FTW</t>
  </si>
  <si>
    <t xml:space="preserve">LN(max(1, number of tour purposes) * IsFulltimeWorkerFlag                                        </t>
  </si>
  <si>
    <t>I-PTW</t>
  </si>
  <si>
    <t xml:space="preserve">LN(max(1, number of stop purposes) * IsPartTimeWorkerFlag                                             </t>
  </si>
  <si>
    <t>I-RET</t>
  </si>
  <si>
    <t xml:space="preserve">LN(max(1, number of stop purposes) * IsRetiredAdultFlag                                               </t>
  </si>
  <si>
    <t>I-NWA</t>
  </si>
  <si>
    <t xml:space="preserve">LN(max(1, number of stop purposes) * IsNonworkingAdultFlag                                            </t>
  </si>
  <si>
    <t>I-UNI</t>
  </si>
  <si>
    <t xml:space="preserve">LN(max(1, number of stop purposes) * IsUniversityStudentFlag                                          </t>
  </si>
  <si>
    <t>I-DAS</t>
  </si>
  <si>
    <t xml:space="preserve">LN(max(1, number of stop purposes) * IsDrivingAgeStudentFlag                                          </t>
  </si>
  <si>
    <t>I-PAS</t>
  </si>
  <si>
    <t xml:space="preserve">LN(max(1, number of stop purposes) * IsChildAge5Through15Flag                                         </t>
  </si>
  <si>
    <t>I-CU5</t>
  </si>
  <si>
    <t xml:space="preserve">LN(max(1, number of stop purposes) * IsChildUnder5Flag                                                </t>
  </si>
  <si>
    <t>I-VLINC</t>
  </si>
  <si>
    <t xml:space="preserve">LN(max(1, number of stop purposes) * Has0To25KIncomeFlag                                              </t>
  </si>
  <si>
    <t>I-LOINC</t>
  </si>
  <si>
    <t xml:space="preserve">LN(max(1, number of stop purposes) * Has25To45KIncomeFlag                                             </t>
  </si>
  <si>
    <t>I-HIINC</t>
  </si>
  <si>
    <t xml:space="preserve">LN(max(1, number of stop purposes) * Has75KPlusIncomeFlag                                             </t>
  </si>
  <si>
    <t>I-CARSPD</t>
  </si>
  <si>
    <t xml:space="preserve">LN(max(1, number of stop purposes) * carsPerDriver                                                    </t>
  </si>
  <si>
    <t>I-ONLYAD</t>
  </si>
  <si>
    <t xml:space="preserve">LN(max(1, number of stop purposes) * IsOnlyAdultFlag                                                  </t>
  </si>
  <si>
    <t>I-ONLYWK</t>
  </si>
  <si>
    <t xml:space="preserve">LN(max(1, number of stop purposes) * IsOnlyFullOrPartTimeWorkerFlag                                   </t>
  </si>
  <si>
    <t xml:space="preserve">LN(max(1, number of stop purposes) * 0                                                                </t>
  </si>
  <si>
    <t>I-FEMNOC</t>
  </si>
  <si>
    <t xml:space="preserve">LN(max(1, number of stop purposes) * IsFemaleFlag * IsAdultFlag * (not HasChildrenUnder16Flag)        </t>
  </si>
  <si>
    <t>I-FADCU5</t>
  </si>
  <si>
    <t xml:space="preserve">LN(max(1, number of stop purposes) * IsFemaleFlag * IsAdultFlag * HasChildrenUnder5Flag               </t>
  </si>
  <si>
    <t>I-FAD515</t>
  </si>
  <si>
    <t xml:space="preserve">LN(max(1, number of stop purposes) * IsFemaleFlag * IsAdultFlag * HasChildrenAge5Through15Flag        </t>
  </si>
  <si>
    <t>I-MADCU5</t>
  </si>
  <si>
    <t xml:space="preserve">LN(max(1, number of stop purposes) * IsMaleFlag * IsAdultFlag * HasChildrenUnder5Flag                 </t>
  </si>
  <si>
    <t>I-MAD515</t>
  </si>
  <si>
    <t xml:space="preserve">LN(max(1, number of stop purposes) * IsMaleFlag * IsAdultFlag * HasChildrenAge5Through15Flag          </t>
  </si>
  <si>
    <t>I-AG1825</t>
  </si>
  <si>
    <t xml:space="preserve">LN(max(1, number of stop purposes) * AgeIsBetween18And25Flag                                          </t>
  </si>
  <si>
    <t>I-AG2635</t>
  </si>
  <si>
    <t xml:space="preserve">LN(max(1, number of stop purposes) * AgeIsBetween26And35Flag                                          </t>
  </si>
  <si>
    <t>I-AG5165</t>
  </si>
  <si>
    <t xml:space="preserve">LN(max(1, number of stop purposes) * AgeIsBetween51And65Flag                                          </t>
  </si>
  <si>
    <t>I-WAHOME</t>
  </si>
  <si>
    <t xml:space="preserve">LN(max(1, number of stop purposes) * WorksAtHomeFlag                                                  </t>
  </si>
  <si>
    <t>I-MIXDEN</t>
  </si>
  <si>
    <t xml:space="preserve">LN(max(1, number of stop purposes) * (Buffer2 households + foodEmpl + retailEmpl + serviceEmpl + medicalEmpl)                                                     </t>
  </si>
  <si>
    <t>I-INTDEN</t>
  </si>
  <si>
    <t xml:space="preserve">LN(max(1, number of stop purposes) * intersectionDensity                                              </t>
  </si>
  <si>
    <t>I-ACCLOG</t>
  </si>
  <si>
    <t xml:space="preserve">LN(max(1, number of stop purposes) * purposeSpecificLogsum                                            </t>
  </si>
  <si>
    <t>I-FTW</t>
  </si>
  <si>
    <t xml:space="preserve">LN(max(1, number of stop purposes) * IsFulltimeWorkerFlag                                             </t>
  </si>
  <si>
    <t>TW/S-LS</t>
  </si>
  <si>
    <t>usualWorkLogsum * patternHasWorkTourFlag * patternHasStopsFlag</t>
  </si>
  <si>
    <t>T/S-W/W</t>
  </si>
  <si>
    <t>pattern has work tour and work stop</t>
  </si>
  <si>
    <t>T/S-W/S</t>
  </si>
  <si>
    <t>pattern has work tour and school stop</t>
  </si>
  <si>
    <t>T/S-W/E</t>
  </si>
  <si>
    <t>pattern has work tour and escort stop</t>
  </si>
  <si>
    <t>T/S-W/P</t>
  </si>
  <si>
    <t>pattern has work tour and personal business stop</t>
  </si>
  <si>
    <t>T/S-W/H</t>
  </si>
  <si>
    <t>pattern has work tour and shop stop</t>
  </si>
  <si>
    <t>T/S-W/M</t>
  </si>
  <si>
    <t>pattern has work tour and meal stop</t>
  </si>
  <si>
    <t>pattern has work tour and social or recreation stop</t>
  </si>
  <si>
    <t>TW/S-HLS</t>
  </si>
  <si>
    <t>atHomeLogsum * patternHasWorkTourFlag * patternHasStopsFlag</t>
  </si>
  <si>
    <t>TW/S-WLS</t>
  </si>
  <si>
    <t>atWorkLogsum * patternHasWorkTourFlag * patternHasStopsFlag</t>
  </si>
  <si>
    <t>TS/S-LS</t>
  </si>
  <si>
    <t>usualSchoolLogsum * patternHasSchoolTourFlag * patternHasStopsFlag</t>
  </si>
  <si>
    <t>T/S-S/W</t>
  </si>
  <si>
    <t>pattern has school tour and work stop</t>
  </si>
  <si>
    <t>T/S-S/S</t>
  </si>
  <si>
    <t>pattern has school tour and school stop</t>
  </si>
  <si>
    <t>T/S-S/E</t>
  </si>
  <si>
    <t>pattern has school tour and escort stop</t>
  </si>
  <si>
    <t>T/S-S/P</t>
  </si>
  <si>
    <t>pattern has school tour and personal business stop</t>
  </si>
  <si>
    <t>T/S-S/H</t>
  </si>
  <si>
    <t>pattern has school tour and shop stop</t>
  </si>
  <si>
    <t>T/S-S/M</t>
  </si>
  <si>
    <t>pattern has school tour and meal stop</t>
  </si>
  <si>
    <t>TS/S-HLS</t>
  </si>
  <si>
    <t>atHomeLogsum * patternHasSchoolTourFlag * patternHasStopsFlag</t>
  </si>
  <si>
    <t>TS/S-SLS</t>
  </si>
  <si>
    <t>atSchoolLogsum * patternHasSchoolTourFlag * patternHasStopsFlag</t>
  </si>
  <si>
    <t>T/S-E/E</t>
  </si>
  <si>
    <t>pattern has escort tour and escort stop</t>
  </si>
  <si>
    <t>T/S-E/P</t>
  </si>
  <si>
    <t>pattern has escort tour and personal business stop</t>
  </si>
  <si>
    <t>T/S-E/H</t>
  </si>
  <si>
    <t>pattern has escort tour and shop stop</t>
  </si>
  <si>
    <t>T/S-E/M</t>
  </si>
  <si>
    <t>pattern has escort tour and meal stop</t>
  </si>
  <si>
    <t>T/S-P/E</t>
  </si>
  <si>
    <t>pattern has personal business tour and escort stop</t>
  </si>
  <si>
    <t>T/S-P/P</t>
  </si>
  <si>
    <t>pattern has personal business tour and personal business stop</t>
  </si>
  <si>
    <t>T/S-P/H</t>
  </si>
  <si>
    <t>pattern has personal business tour and shop stop</t>
  </si>
  <si>
    <t>T/S-P/M</t>
  </si>
  <si>
    <t>pattern has personal business tour and meal stop</t>
  </si>
  <si>
    <t>T/S-H/E</t>
  </si>
  <si>
    <t>pattern has shop tour and escort stop</t>
  </si>
  <si>
    <t>T/S-H/P</t>
  </si>
  <si>
    <t>pattern has shop tour and personal business stop</t>
  </si>
  <si>
    <t>T/S-H/H</t>
  </si>
  <si>
    <t>pattern has shop tour and shop stop</t>
  </si>
  <si>
    <t>T/S-H/M</t>
  </si>
  <si>
    <t>pattern has shop tour and meal stop</t>
  </si>
  <si>
    <t>T/S-M/E</t>
  </si>
  <si>
    <t>pattern has meal tour and escort stop</t>
  </si>
  <si>
    <t>T/S-M/P</t>
  </si>
  <si>
    <t>pattern has meal tour and personal business stop</t>
  </si>
  <si>
    <t>T/S-M/H</t>
  </si>
  <si>
    <t>pattern has meal tour and shop stop</t>
  </si>
  <si>
    <t>T/S-M/M</t>
  </si>
  <si>
    <t>pattern has meal tour and meal stop</t>
  </si>
  <si>
    <t>T/S-D/E</t>
  </si>
  <si>
    <t>pattern has social or recreation tour and escort stop</t>
  </si>
  <si>
    <t>T/S-D/P</t>
  </si>
  <si>
    <t>pattern has social or recreation tour and personal business stop</t>
  </si>
  <si>
    <t>T/S-D/H</t>
  </si>
  <si>
    <t>pattern has social or recreation tour and shop stop</t>
  </si>
  <si>
    <t>T/S-D/M</t>
  </si>
  <si>
    <t>pattern has social or recreation tour and meal stop</t>
  </si>
  <si>
    <t>T/T-W/S</t>
  </si>
  <si>
    <t>pattern has work tour and school tour</t>
  </si>
  <si>
    <t>T/T-W/E</t>
  </si>
  <si>
    <t>pattern has work tour and escort tour</t>
  </si>
  <si>
    <t>T/T-W/P</t>
  </si>
  <si>
    <t>pattern has work tour and personal business tour</t>
  </si>
  <si>
    <t>T/T-W/H</t>
  </si>
  <si>
    <t>pattern has work tour and shop tour</t>
  </si>
  <si>
    <t>T/T-W/M</t>
  </si>
  <si>
    <t>pattern has work tour and meal tour</t>
  </si>
  <si>
    <t>T/T-W/D</t>
  </si>
  <si>
    <t>pattern has work tour and social or recreation tour</t>
  </si>
  <si>
    <t>T/T-S/E</t>
  </si>
  <si>
    <t>pattern has school tour and escort tour</t>
  </si>
  <si>
    <t>T/T-S/P</t>
  </si>
  <si>
    <t>pattern has school tour and personal business tour</t>
  </si>
  <si>
    <t>T/T-S/H</t>
  </si>
  <si>
    <t>pattern has school tour and shop tour</t>
  </si>
  <si>
    <t>T/T-S/M</t>
  </si>
  <si>
    <t>pattern has school tour and meal tour</t>
  </si>
  <si>
    <t>T/T-S/D</t>
  </si>
  <si>
    <t>pattern has school tour and social or recreation tour</t>
  </si>
  <si>
    <t>T/T-E/P</t>
  </si>
  <si>
    <t>pattern has escort tour and personal business tour</t>
  </si>
  <si>
    <t>T/T-E/H</t>
  </si>
  <si>
    <t>pattern has escort tour and shop tour</t>
  </si>
  <si>
    <t>T/T-E/M</t>
  </si>
  <si>
    <t>pattern has escort tour and meal tour</t>
  </si>
  <si>
    <t>T/T-E/D</t>
  </si>
  <si>
    <t>pattern has escort tour and social or recreation tour</t>
  </si>
  <si>
    <t>T/T-P/H</t>
  </si>
  <si>
    <t>pattern has personal business tour and shop tour</t>
  </si>
  <si>
    <t>T/T-P/M</t>
  </si>
  <si>
    <t>pattern has personal business tour and meal tour</t>
  </si>
  <si>
    <t>T/T-P/D</t>
  </si>
  <si>
    <t>pattern has personal business tour and social or recreation tour</t>
  </si>
  <si>
    <t>T/T-H/M</t>
  </si>
  <si>
    <t>pattern has shop tour and meal tour</t>
  </si>
  <si>
    <t>T/T-H/D</t>
  </si>
  <si>
    <t>pattern has shop tour and social or recreation tour</t>
  </si>
  <si>
    <t>S/S-W/E</t>
  </si>
  <si>
    <t>pattern has work stop and escort stop</t>
  </si>
  <si>
    <t>S/S-W/P</t>
  </si>
  <si>
    <t>pattern has work stop and personal business stop</t>
  </si>
  <si>
    <t>S/S-W/H</t>
  </si>
  <si>
    <t>pattern has work stop and shop stop</t>
  </si>
  <si>
    <t>S/S-W/M</t>
  </si>
  <si>
    <t>pattern has work stop and meal stop</t>
  </si>
  <si>
    <t>S/S-W/D</t>
  </si>
  <si>
    <t>pattern has work stop and social or recreation stop</t>
  </si>
  <si>
    <t>S/S-S/E</t>
  </si>
  <si>
    <t>pattern has school stop and escort stop</t>
  </si>
  <si>
    <t>S/S-S/P</t>
  </si>
  <si>
    <t>pattern has school stop and personal business stop</t>
  </si>
  <si>
    <t>S/S-S/H</t>
  </si>
  <si>
    <t>pattern has school stop and shop stop</t>
  </si>
  <si>
    <t>S/S-S/M</t>
  </si>
  <si>
    <t>pattern has school stop and meal stop</t>
  </si>
  <si>
    <t>S/S-S/D</t>
  </si>
  <si>
    <t>pattern has school stop and social or recreation stop</t>
  </si>
  <si>
    <t>S/S-E/P</t>
  </si>
  <si>
    <t>pattern has escort stop and personal business stop</t>
  </si>
  <si>
    <t>S/S-E/H</t>
  </si>
  <si>
    <t>pattern has escort stop and shop stop</t>
  </si>
  <si>
    <t>S/S-E/M</t>
  </si>
  <si>
    <t>pattern has escort stop and meal stop</t>
  </si>
  <si>
    <t>S/S-E/D</t>
  </si>
  <si>
    <t>pattern has escort stop and social or recreation stop</t>
  </si>
  <si>
    <t>S/S-P/H</t>
  </si>
  <si>
    <t>pattern has personal business stop and shop stop</t>
  </si>
  <si>
    <t>S/S-P/M</t>
  </si>
  <si>
    <t>pattern has personal business stop and meal stop</t>
  </si>
  <si>
    <t>S/S-P/D</t>
  </si>
  <si>
    <t>pattern has personal business stop and social or recreation stop</t>
  </si>
  <si>
    <t>S/S-H/M</t>
  </si>
  <si>
    <t>pattern has shop stop and meal stop</t>
  </si>
  <si>
    <t>S/S-H/D</t>
  </si>
  <si>
    <t>pattern has shop stop and social or recreation stop</t>
  </si>
  <si>
    <t>NT/NS-1/1</t>
  </si>
  <si>
    <t>pattern has 1 tour purpose and 1 stop purpose</t>
  </si>
  <si>
    <t>NT/NS-1/2</t>
  </si>
  <si>
    <t>pattern has 1 tour purpose and 2 stop purposes</t>
  </si>
  <si>
    <t>NT/NS-1/3</t>
  </si>
  <si>
    <t>pattern has 1 tour purpose and 3+ stop purposes</t>
  </si>
  <si>
    <t>NT/NS-2/1</t>
  </si>
  <si>
    <t>pattern has 2 tour purposes and 1 stop purpose</t>
  </si>
  <si>
    <t>NT/NS-2/2</t>
  </si>
  <si>
    <t>pattern has 2 tour purposes and 2 stop purposes</t>
  </si>
  <si>
    <t>NT/NS-2/3</t>
  </si>
  <si>
    <t>pattern has 2 tour purposes and 3 stop purposes</t>
  </si>
  <si>
    <t>NT/NS-3/1</t>
  </si>
  <si>
    <t>pattern has 3 tour purposes and 1 stop purpose</t>
  </si>
  <si>
    <t>NT/NS-3/2</t>
  </si>
  <si>
    <t>pattern has 3 tour purposes and 2 stop purposes</t>
  </si>
  <si>
    <t>TxCARSPD</t>
  </si>
  <si>
    <t xml:space="preserve">patternHasNonMandatoryToursFlag * carsPerDriver                                </t>
  </si>
  <si>
    <t>TxWAHOME</t>
  </si>
  <si>
    <t xml:space="preserve">patternHasNonMandatoryToursFlag * WorksAtHomeFlag                              </t>
  </si>
  <si>
    <t>TxMIXDEN</t>
  </si>
  <si>
    <t xml:space="preserve">patternHasNonMandatoryToursFlag * (Buffer2 households + foodEmpl + retailEmpl + serviceEmpl + medicalEmpl)                                 </t>
  </si>
  <si>
    <t>TxMDEN515</t>
  </si>
  <si>
    <t xml:space="preserve">patternHasNonMandatoryToursFlag * (Buffer2 households + foodEmpl + retailEmpl + serviceEmpl + medicalEmpl) * IsChildAge5Through15Flag      </t>
  </si>
  <si>
    <t>TxHLOGS</t>
  </si>
  <si>
    <t xml:space="preserve">patternHasNonMandatoryToursFlag * atHomeLogsum                                 </t>
  </si>
  <si>
    <t>SxCARSPD</t>
  </si>
  <si>
    <t xml:space="preserve">patternHasNonMandatoryStopsFlag * carsPerDriver                                </t>
  </si>
  <si>
    <t>SxWAHOME</t>
  </si>
  <si>
    <t xml:space="preserve">patternHasNonMandatoryStopsFlag * WorksAtHomeFlag                              </t>
  </si>
  <si>
    <t>SxMIXDEN</t>
  </si>
  <si>
    <t xml:space="preserve">patternHasNonMandatoryStopsFlag * (Buffer2 households + foodEmpl + retailEmpl + serviceEmpl + medicalEmpl)                                 </t>
  </si>
  <si>
    <t>SxMDEN515</t>
  </si>
  <si>
    <t xml:space="preserve">patternHasNonMandatoryStopsFlag * (Buffer2 households + foodEmpl + retailEmpl + serviceEmpl + medicalEmpl) * IsChildAge5Through15Flag      </t>
  </si>
  <si>
    <t>SxHLOGS</t>
  </si>
  <si>
    <t xml:space="preserve">patternHasNonMandatoryStopsFlag * atHomeLogsum                                 </t>
  </si>
  <si>
    <t>Index</t>
  </si>
  <si>
    <t>Instructions:</t>
  </si>
  <si>
    <t>By: nagendra.dhakar@rsginc.com</t>
  </si>
  <si>
    <t>Select all(ctrl+A)</t>
  </si>
  <si>
    <t>Paste in cell A8</t>
  </si>
  <si>
    <t>Tours By Purpose</t>
  </si>
  <si>
    <t>Ratio</t>
  </si>
  <si>
    <t>Old Coeff</t>
  </si>
  <si>
    <t>Adj</t>
  </si>
  <si>
    <t>New Coeff</t>
  </si>
  <si>
    <t>--</t>
  </si>
  <si>
    <t>Go to "Data" --&gt;Text to Columns - Select "Fixed Width" ---&gt; Finish</t>
  </si>
  <si>
    <t>Old</t>
  </si>
  <si>
    <t>New</t>
  </si>
  <si>
    <t>Adjustments</t>
  </si>
  <si>
    <t>IntermediateStopGenerationCoefficients_SACOG-v1.5.F12</t>
  </si>
  <si>
    <t>ORIGINAL COEFFICIENT</t>
  </si>
  <si>
    <t>COEFFICIENT ADJUSTMENT</t>
  </si>
  <si>
    <t>NEXT COEFFICIENT</t>
  </si>
  <si>
    <t>DAYSIM COEFFICIENT INDICES</t>
  </si>
  <si>
    <t>twoSimulatedTripsFlag * halfTourFromOriginFlag</t>
  </si>
  <si>
    <t>threeSimulatedTripsFlag * halfTourFromOriginFlag</t>
  </si>
  <si>
    <t>fourSimulatedTripsFlag * halfTourFromOriginFlag</t>
  </si>
  <si>
    <t xml:space="preserve"> fiveSimulatedTripsFlag * halfTourFromOriginFlag</t>
  </si>
  <si>
    <t>twoSimulatedTripsFlag * halfTourFromDestinationFlag</t>
  </si>
  <si>
    <t>threeSimulatedTripsFlag * halfTourFromDestinationFlag</t>
  </si>
  <si>
    <t>fourSimulatedTripsFlag * halfTourFromDestinationFlag</t>
  </si>
  <si>
    <t>fiveSimulatedTripsFlag * halfTourFromDestinationFlag</t>
  </si>
  <si>
    <t>homeBasedTours</t>
  </si>
  <si>
    <t>simulatedToursFlag</t>
  </si>
  <si>
    <t xml:space="preserve"> notHomeBasedTourFlag</t>
  </si>
  <si>
    <t>beforeMandatoryDestinationFlag</t>
  </si>
  <si>
    <t>(transitTourFlag + walkTourFlag + bikeTourFlag) * c34Ratio * foodRetailServiceMedicalQtrMileLog)</t>
  </si>
  <si>
    <t>transitTourFlag</t>
  </si>
  <si>
    <t>schoolTourFlag</t>
  </si>
  <si>
    <t>workTourFlag + schoolTourFlag</t>
  </si>
  <si>
    <t>halfTourFromOriginFlag</t>
  </si>
  <si>
    <t>simulatedWorkStops</t>
  </si>
  <si>
    <t>simulatedWorkStopsFlag</t>
  </si>
  <si>
    <t>remainingToursCount</t>
  </si>
  <si>
    <t>duration</t>
  </si>
  <si>
    <t>from9AMto11AMFlag + from11AMto1PMFlag + from1PMto3PMFlag + from3PMto5PMFlag</t>
  </si>
  <si>
    <t>adultMaleFlag</t>
  </si>
  <si>
    <t>WORK</t>
  </si>
  <si>
    <t>SCHOOL</t>
  </si>
  <si>
    <t>NO MORE STOPS</t>
  </si>
  <si>
    <t>simulatedSchoolStops</t>
  </si>
  <si>
    <t>from7AMto9AMFlag + from7PMto9PMFlag + from9PMto11PMFlag + from11PMto7AMFlag</t>
  </si>
  <si>
    <t>oneSimulatedTripFlag</t>
  </si>
  <si>
    <t>ESCORT</t>
  </si>
  <si>
    <t>simulatedEscortStops</t>
  </si>
  <si>
    <t xml:space="preserve"> duration</t>
  </si>
  <si>
    <t>from7AMto9AMFlag</t>
  </si>
  <si>
    <t xml:space="preserve"> from9AMto11AMFlag + from11AMto1PMFlag + from1PMto3PMFlag + from3PMto5PMFlag</t>
  </si>
  <si>
    <t>childrenFlag * adultFemaleFlag</t>
  </si>
  <si>
    <t>hov2TourFlag</t>
  </si>
  <si>
    <t>hov3TourFlag</t>
  </si>
  <si>
    <t>PERSBUS</t>
  </si>
  <si>
    <t>escortTourFlag</t>
  </si>
  <si>
    <t>personalBusinessOrMedicalTourFlag</t>
  </si>
  <si>
    <t>shoppingTourFlag</t>
  </si>
  <si>
    <t>mealTourFlag</t>
  </si>
  <si>
    <t>socialOrRecreationTourFlag</t>
  </si>
  <si>
    <t>simulatedPersonalBusinessStops</t>
  </si>
  <si>
    <t>PERBUS</t>
  </si>
  <si>
    <t>onePersonHouseholdFlag</t>
  </si>
  <si>
    <t>SHOP</t>
  </si>
  <si>
    <t>simulatedShoppingStops</t>
  </si>
  <si>
    <t>from7AMto9AMFlag + from9PMto11PMFlag + from11PMto7AMFlag</t>
  </si>
  <si>
    <t>from11AMto1PMFlag + from1PMto3PMFlag + from3PMto5PMFlag</t>
  </si>
  <si>
    <t>workTourFlag</t>
  </si>
  <si>
    <t>MEAL</t>
  </si>
  <si>
    <t>simulatedMealStops</t>
  </si>
  <si>
    <t>from7AMto9AMFlag + from11PMto7AMFlag</t>
  </si>
  <si>
    <t>from11AMto1PMFlag + from1PMto3PMFlag</t>
  </si>
  <si>
    <t>from7PMto9PMFlag</t>
  </si>
  <si>
    <t>partTimeWorkerFlag + retiredAdultFlag + drivingAgeStudentFlag</t>
  </si>
  <si>
    <t>nonworkingAdultFlag + childAge5Through15Flag + childUnder5Flag</t>
  </si>
  <si>
    <t xml:space="preserve"> workTourFlag + schoolTourFlag</t>
  </si>
  <si>
    <t>SOCREC</t>
  </si>
  <si>
    <t>simulatedSocialStops</t>
  </si>
  <si>
    <t>Stop-trips by Purpose</t>
  </si>
  <si>
    <t>WORKBASED SUBTOURS</t>
  </si>
  <si>
    <t>WorkbasedSubtourGenerationCoefficients_SACOG-v1.5.F12</t>
  </si>
  <si>
    <t>Beta00001</t>
  </si>
  <si>
    <t>Beta00003</t>
  </si>
  <si>
    <t>Beta00004</t>
  </si>
  <si>
    <t>Beta00006</t>
  </si>
  <si>
    <t>Beta00008</t>
  </si>
  <si>
    <t>Beta00010</t>
  </si>
  <si>
    <t>Beta00013</t>
  </si>
  <si>
    <t>Beta00015</t>
  </si>
  <si>
    <t>Beta00016</t>
  </si>
  <si>
    <t>Beta00018</t>
  </si>
  <si>
    <t>Beta00022</t>
  </si>
  <si>
    <t>Beta00023</t>
  </si>
  <si>
    <t>Beta00032</t>
  </si>
  <si>
    <t>Beta00039</t>
  </si>
  <si>
    <t>Theta0050</t>
  </si>
  <si>
    <t>based</t>
  </si>
  <si>
    <t>tour</t>
  </si>
  <si>
    <t>frequency</t>
  </si>
  <si>
    <t>and</t>
  </si>
  <si>
    <t>wbfreq0501.ALO</t>
  </si>
  <si>
    <t>Created</t>
  </si>
  <si>
    <t>by</t>
  </si>
  <si>
    <t>ALOGIT</t>
  </si>
  <si>
    <t>version</t>
  </si>
  <si>
    <t>on</t>
  </si>
  <si>
    <t>Apr</t>
  </si>
  <si>
    <t>012:39:34</t>
  </si>
  <si>
    <t>Copy cells AA3:AA17</t>
  </si>
  <si>
    <t>Damp</t>
  </si>
  <si>
    <t>Crea</t>
  </si>
  <si>
    <t>ted by ALO</t>
  </si>
  <si>
    <t>GIT</t>
  </si>
  <si>
    <t>version 4</t>
  </si>
  <si>
    <t>-</t>
  </si>
  <si>
    <t>0      0</t>
  </si>
  <si>
    <t>0      0      0</t>
  </si>
  <si>
    <t>0      0      0      0      0</t>
  </si>
  <si>
    <t>806      0</t>
  </si>
  <si>
    <t>37      0      0</t>
  </si>
  <si>
    <t>749      0</t>
  </si>
  <si>
    <t>279      0</t>
  </si>
  <si>
    <t>0      0    239</t>
  </si>
  <si>
    <t>029      0</t>
  </si>
  <si>
    <t>383      0</t>
  </si>
  <si>
    <t>175      0</t>
  </si>
  <si>
    <t>283      0</t>
  </si>
  <si>
    <t>-48      0</t>
  </si>
  <si>
    <t>351      0</t>
  </si>
  <si>
    <t>0   -247</t>
  </si>
  <si>
    <t>740      0</t>
  </si>
  <si>
    <t>217      0</t>
  </si>
  <si>
    <t>0    629      0</t>
  </si>
  <si>
    <t>-69      0</t>
  </si>
  <si>
    <t>080      0</t>
  </si>
  <si>
    <t>0   -300</t>
  </si>
  <si>
    <t>199      0</t>
  </si>
  <si>
    <t>99      0</t>
  </si>
  <si>
    <t>0    601</t>
  </si>
  <si>
    <t>348      0</t>
  </si>
  <si>
    <t>062      0</t>
  </si>
  <si>
    <t>291      0</t>
  </si>
  <si>
    <t>244      0</t>
  </si>
  <si>
    <t>0    -70      0</t>
  </si>
  <si>
    <t>190      0</t>
  </si>
  <si>
    <t>128      0</t>
  </si>
  <si>
    <t>261      0</t>
  </si>
  <si>
    <t>118      0</t>
  </si>
  <si>
    <t>241      0</t>
  </si>
  <si>
    <t>0    142</t>
  </si>
  <si>
    <t>-19      0</t>
  </si>
  <si>
    <t>0     61</t>
  </si>
  <si>
    <t>0   -341</t>
  </si>
  <si>
    <t>0    178</t>
  </si>
  <si>
    <t>578      0</t>
  </si>
  <si>
    <t>113      0</t>
  </si>
  <si>
    <t>134      0</t>
  </si>
  <si>
    <t>0     34      0</t>
  </si>
  <si>
    <t>142      0</t>
  </si>
  <si>
    <t>308      0</t>
  </si>
  <si>
    <t>0   -635</t>
  </si>
  <si>
    <t>249      0</t>
  </si>
  <si>
    <t>462      0</t>
  </si>
  <si>
    <t>196      0      0</t>
  </si>
  <si>
    <t>125      0</t>
  </si>
  <si>
    <t>395      0</t>
  </si>
  <si>
    <t>165      0</t>
  </si>
  <si>
    <t>763      0</t>
  </si>
  <si>
    <t>78      0</t>
  </si>
  <si>
    <t>0    -97      0      0      0</t>
  </si>
  <si>
    <t>737      0</t>
  </si>
  <si>
    <t>137      0</t>
  </si>
  <si>
    <t>-4      0</t>
  </si>
  <si>
    <t>596      0</t>
  </si>
  <si>
    <t>378      0</t>
  </si>
  <si>
    <t>0   -525</t>
  </si>
  <si>
    <t>101      0</t>
  </si>
  <si>
    <t>595      0</t>
  </si>
  <si>
    <t>0    254</t>
  </si>
  <si>
    <t>252      0</t>
  </si>
  <si>
    <t>170      0</t>
  </si>
  <si>
    <t>0     11</t>
  </si>
  <si>
    <t>380      0</t>
  </si>
  <si>
    <t>0   -197</t>
  </si>
  <si>
    <t>911      0</t>
  </si>
  <si>
    <t>0   -122</t>
  </si>
  <si>
    <t>0     91</t>
  </si>
  <si>
    <t>156      0</t>
  </si>
  <si>
    <t>699      0</t>
  </si>
  <si>
    <t>176      0</t>
  </si>
  <si>
    <t>0      0     43</t>
  </si>
  <si>
    <t>145      0</t>
  </si>
  <si>
    <t>0    -95</t>
  </si>
  <si>
    <t>105      0</t>
  </si>
  <si>
    <t>401      0</t>
  </si>
  <si>
    <t>829      0</t>
  </si>
  <si>
    <t>0    -68</t>
  </si>
  <si>
    <t>-46      0      0</t>
  </si>
  <si>
    <t>227      0</t>
  </si>
  <si>
    <t>36      0</t>
  </si>
  <si>
    <t>0   -205</t>
  </si>
  <si>
    <t>642      0</t>
  </si>
  <si>
    <t>454      0</t>
  </si>
  <si>
    <t>519      0</t>
  </si>
  <si>
    <t>931      0</t>
  </si>
  <si>
    <t>172      0</t>
  </si>
  <si>
    <t>455      0</t>
  </si>
  <si>
    <t>-83      0      0</t>
  </si>
  <si>
    <t>245      0</t>
  </si>
  <si>
    <t>122      0</t>
  </si>
  <si>
    <t>0   -924      0</t>
  </si>
  <si>
    <t>0   1033</t>
  </si>
  <si>
    <t>501      0</t>
  </si>
  <si>
    <t>690      0</t>
  </si>
  <si>
    <t>356      0</t>
  </si>
  <si>
    <t>310      0</t>
  </si>
  <si>
    <t>0    -97</t>
  </si>
  <si>
    <t>0   -106      0</t>
  </si>
  <si>
    <t>178      0</t>
  </si>
  <si>
    <t>0      0    -57</t>
  </si>
  <si>
    <t>632      0</t>
  </si>
  <si>
    <t>0    140      0      0      0</t>
  </si>
  <si>
    <t>0      0    -56</t>
  </si>
  <si>
    <t>0    -58</t>
  </si>
  <si>
    <t>0      9</t>
  </si>
  <si>
    <t>324      0</t>
  </si>
  <si>
    <t>0     81      0</t>
  </si>
  <si>
    <t>216      0</t>
  </si>
  <si>
    <t>188      0</t>
  </si>
  <si>
    <t>-54      0</t>
  </si>
  <si>
    <t>0     62</t>
  </si>
  <si>
    <t>295      0</t>
  </si>
  <si>
    <t>298      0</t>
  </si>
  <si>
    <t>409      0</t>
  </si>
  <si>
    <t>0     32</t>
  </si>
  <si>
    <t>103      0</t>
  </si>
  <si>
    <t>0     21</t>
  </si>
  <si>
    <t>457      0</t>
  </si>
  <si>
    <t>0      0    -17</t>
  </si>
  <si>
    <t>-55      0</t>
  </si>
  <si>
    <t>0    -76</t>
  </si>
  <si>
    <t>341      0</t>
  </si>
  <si>
    <t>335      0</t>
  </si>
  <si>
    <t>0    849</t>
  </si>
  <si>
    <t>0    204      0</t>
  </si>
  <si>
    <t>0      5</t>
  </si>
  <si>
    <t>251      0</t>
  </si>
  <si>
    <t>0   -175</t>
  </si>
  <si>
    <t>0   -187</t>
  </si>
  <si>
    <t>161      0</t>
  </si>
  <si>
    <t>-69      0      0</t>
  </si>
  <si>
    <t>752      0</t>
  </si>
  <si>
    <t>-29      0</t>
  </si>
  <si>
    <t>0     64      0</t>
  </si>
  <si>
    <t>0   -409</t>
  </si>
  <si>
    <t>623      0</t>
  </si>
  <si>
    <t>162      0</t>
  </si>
  <si>
    <t>0     15</t>
  </si>
  <si>
    <t>0   -236</t>
  </si>
  <si>
    <t>0    -49</t>
  </si>
  <si>
    <t>0   -142</t>
  </si>
  <si>
    <t>393      0</t>
  </si>
  <si>
    <t>0   -190</t>
  </si>
  <si>
    <t>340      0</t>
  </si>
  <si>
    <t>194      0</t>
  </si>
  <si>
    <t>0    -22</t>
  </si>
  <si>
    <t>-181      0      0</t>
  </si>
  <si>
    <t>602      0</t>
  </si>
  <si>
    <t>491      0</t>
  </si>
  <si>
    <t>231      0</t>
  </si>
  <si>
    <t>559      0</t>
  </si>
  <si>
    <t>0    737</t>
  </si>
  <si>
    <t>365      0</t>
  </si>
  <si>
    <t>-60      0</t>
  </si>
  <si>
    <t>25      0</t>
  </si>
  <si>
    <t>0     96</t>
  </si>
  <si>
    <t>297      0</t>
  </si>
  <si>
    <t>27      0</t>
  </si>
  <si>
    <t>186      0</t>
  </si>
  <si>
    <t>-73      0</t>
  </si>
  <si>
    <t>205      0</t>
  </si>
  <si>
    <t>-47      0</t>
  </si>
  <si>
    <t>0    -63</t>
  </si>
  <si>
    <t>0      0   -162</t>
  </si>
  <si>
    <t>0   -306</t>
  </si>
  <si>
    <t>0    196</t>
  </si>
  <si>
    <t>0     50</t>
  </si>
  <si>
    <t>0    234</t>
  </si>
  <si>
    <t>0   -193      0</t>
  </si>
  <si>
    <t>0    323</t>
  </si>
  <si>
    <t>0    297</t>
  </si>
  <si>
    <t>0    107</t>
  </si>
  <si>
    <t>265      0</t>
  </si>
  <si>
    <t>201      0</t>
  </si>
  <si>
    <t>219      0</t>
  </si>
  <si>
    <t>94      0      0</t>
  </si>
  <si>
    <t>0    158</t>
  </si>
  <si>
    <t>83      0</t>
  </si>
  <si>
    <t>0      0      0     50      0</t>
  </si>
  <si>
    <t>18      0</t>
  </si>
  <si>
    <t>383      0      0</t>
  </si>
  <si>
    <t>306      0</t>
  </si>
  <si>
    <t>0      0    326</t>
  </si>
  <si>
    <t>0    -31</t>
  </si>
  <si>
    <t>976      0</t>
  </si>
  <si>
    <t>180      0</t>
  </si>
  <si>
    <t>153      0</t>
  </si>
  <si>
    <t>0     -7      0</t>
  </si>
  <si>
    <t>88      0</t>
  </si>
  <si>
    <t>48      0</t>
  </si>
  <si>
    <t>160      0</t>
  </si>
  <si>
    <t>-67      0</t>
  </si>
  <si>
    <t>284      0</t>
  </si>
  <si>
    <t>0      0    -39</t>
  </si>
  <si>
    <t>289      0</t>
  </si>
  <si>
    <t>369      0</t>
  </si>
  <si>
    <t>0   -157      0</t>
  </si>
  <si>
    <t>0   -432</t>
  </si>
  <si>
    <t>232      0</t>
  </si>
  <si>
    <t>19      0</t>
  </si>
  <si>
    <t>0    237</t>
  </si>
  <si>
    <t>-23      0      0</t>
  </si>
  <si>
    <t>0      0    135</t>
  </si>
  <si>
    <t>0    -98</t>
  </si>
  <si>
    <t>-40      0</t>
  </si>
  <si>
    <t>0   -913</t>
  </si>
  <si>
    <t>124      0</t>
  </si>
  <si>
    <t>622      0</t>
  </si>
  <si>
    <t>141      0</t>
  </si>
  <si>
    <t>148      0</t>
  </si>
  <si>
    <t>19      0      0</t>
  </si>
  <si>
    <t>0     42</t>
  </si>
  <si>
    <t>-7      0</t>
  </si>
  <si>
    <t>320      0</t>
  </si>
  <si>
    <t>0     27</t>
  </si>
  <si>
    <t>-71      0      0</t>
  </si>
  <si>
    <t>12      0</t>
  </si>
  <si>
    <t>300      0</t>
  </si>
  <si>
    <t>0   -322      0</t>
  </si>
  <si>
    <t>32      0</t>
  </si>
  <si>
    <t>115      0</t>
  </si>
  <si>
    <t>350      0</t>
  </si>
  <si>
    <t>80      0</t>
  </si>
  <si>
    <t>305      0</t>
  </si>
  <si>
    <t>0  -1322</t>
  </si>
  <si>
    <t>0     -8</t>
  </si>
  <si>
    <t>104      0</t>
  </si>
  <si>
    <t>0   -744</t>
  </si>
  <si>
    <t>159      0</t>
  </si>
  <si>
    <t>0   -135</t>
  </si>
  <si>
    <t>106      0      0</t>
  </si>
  <si>
    <t>0     23      0</t>
  </si>
  <si>
    <t>0   -149</t>
  </si>
  <si>
    <t>0   -203      0</t>
  </si>
  <si>
    <t>0   -344</t>
  </si>
  <si>
    <t>336      0</t>
  </si>
  <si>
    <t>0   -157</t>
  </si>
  <si>
    <t>93      0</t>
  </si>
  <si>
    <t>387      0</t>
  </si>
  <si>
    <t>43      0</t>
  </si>
  <si>
    <t>0     85</t>
  </si>
  <si>
    <t>64      0</t>
  </si>
  <si>
    <t>0    180</t>
  </si>
  <si>
    <t>542      0</t>
  </si>
  <si>
    <t>0     71</t>
  </si>
  <si>
    <t>581      0</t>
  </si>
  <si>
    <t>0    487</t>
  </si>
  <si>
    <t>0   1288</t>
  </si>
  <si>
    <t>0    591</t>
  </si>
  <si>
    <t>317      0</t>
  </si>
  <si>
    <t>526      0</t>
  </si>
  <si>
    <t>440      0</t>
  </si>
  <si>
    <t>0    216</t>
  </si>
  <si>
    <t>-73      0      0</t>
  </si>
  <si>
    <t>879      0</t>
  </si>
  <si>
    <t>0    248      0</t>
  </si>
  <si>
    <t>0    -36</t>
  </si>
  <si>
    <t>837      0</t>
  </si>
  <si>
    <t>0    -96</t>
  </si>
  <si>
    <t>0    110</t>
  </si>
  <si>
    <t>366      0</t>
  </si>
  <si>
    <t>-245      0      0</t>
  </si>
  <si>
    <t>145      0      0</t>
  </si>
  <si>
    <t>271      0</t>
  </si>
  <si>
    <t>299      0</t>
  </si>
  <si>
    <t>150      0</t>
  </si>
  <si>
    <t>0      0    563</t>
  </si>
  <si>
    <t>0    104      0</t>
  </si>
  <si>
    <t>202      0</t>
  </si>
  <si>
    <t>41      0</t>
  </si>
  <si>
    <t>013      0</t>
  </si>
  <si>
    <t>207      0</t>
  </si>
  <si>
    <t>0   -218</t>
  </si>
  <si>
    <t>0      0      0      0   1115</t>
  </si>
  <si>
    <t>541      0</t>
  </si>
  <si>
    <t>992      0</t>
  </si>
  <si>
    <t>0    -41</t>
  </si>
  <si>
    <t>566      0</t>
  </si>
  <si>
    <t>18      0      0</t>
  </si>
  <si>
    <t>32      0      0</t>
  </si>
  <si>
    <t>375      0</t>
  </si>
  <si>
    <t>-102      0      0</t>
  </si>
  <si>
    <t>0   -267</t>
  </si>
  <si>
    <t>0      0   -124</t>
  </si>
  <si>
    <t>436      0</t>
  </si>
  <si>
    <t>204      0</t>
  </si>
  <si>
    <t>0      0    484</t>
  </si>
  <si>
    <t>0    750      0      0      0</t>
  </si>
  <si>
    <t>927      0</t>
  </si>
  <si>
    <t>389      0</t>
  </si>
  <si>
    <t>0   -259</t>
  </si>
  <si>
    <t>0     65</t>
  </si>
  <si>
    <t>0      0     26</t>
  </si>
  <si>
    <t>0     48      0</t>
  </si>
  <si>
    <t>0     18</t>
  </si>
  <si>
    <t>169      0</t>
  </si>
  <si>
    <t>100      0</t>
  </si>
  <si>
    <t>238      0</t>
  </si>
  <si>
    <t>442      0</t>
  </si>
  <si>
    <t>548      0</t>
  </si>
  <si>
    <t>720      0</t>
  </si>
  <si>
    <t>522      0</t>
  </si>
  <si>
    <t>151      0</t>
  </si>
  <si>
    <t>273      0</t>
  </si>
  <si>
    <t>0   1384</t>
  </si>
  <si>
    <t>254      0</t>
  </si>
  <si>
    <t>-63      0</t>
  </si>
  <si>
    <t>327      0</t>
  </si>
  <si>
    <t>0    164</t>
  </si>
  <si>
    <t>830      0</t>
  </si>
  <si>
    <t>309      0</t>
  </si>
  <si>
    <t>267      0</t>
  </si>
  <si>
    <t>445      0</t>
  </si>
  <si>
    <t>-19      0      0</t>
  </si>
  <si>
    <t>114      0</t>
  </si>
  <si>
    <t>191      0</t>
  </si>
  <si>
    <t>377      0</t>
  </si>
  <si>
    <t>779      0</t>
  </si>
  <si>
    <t>370      0</t>
  </si>
  <si>
    <t>102      0</t>
  </si>
  <si>
    <t>575      0</t>
  </si>
  <si>
    <t>47      0</t>
  </si>
  <si>
    <t>0     25</t>
  </si>
  <si>
    <t>270      0</t>
  </si>
  <si>
    <t>551      0</t>
  </si>
  <si>
    <t>228      0</t>
  </si>
  <si>
    <t>281      0</t>
  </si>
  <si>
    <t>304      0</t>
  </si>
  <si>
    <t>-79      0</t>
  </si>
  <si>
    <t>0      0      0      0   -521</t>
  </si>
  <si>
    <t>0   -260</t>
  </si>
  <si>
    <t>0   -112</t>
  </si>
  <si>
    <t>-94      0</t>
  </si>
  <si>
    <t>0   -210</t>
  </si>
  <si>
    <t>119      0</t>
  </si>
  <si>
    <t>343      0</t>
  </si>
  <si>
    <t>0    497      0</t>
  </si>
  <si>
    <t>0    -13</t>
  </si>
  <si>
    <t>893      0</t>
  </si>
  <si>
    <t>-96      0</t>
  </si>
  <si>
    <t>123      0</t>
  </si>
  <si>
    <t>361      0</t>
  </si>
  <si>
    <t>717      0</t>
  </si>
  <si>
    <t>0     72</t>
  </si>
  <si>
    <t>420      0</t>
  </si>
  <si>
    <t>382      0</t>
  </si>
  <si>
    <t>750      0</t>
  </si>
  <si>
    <t>449      0</t>
  </si>
  <si>
    <t>441      0</t>
  </si>
  <si>
    <t>0      0    194</t>
  </si>
  <si>
    <t>0    347</t>
  </si>
  <si>
    <t>313      0      0</t>
  </si>
  <si>
    <t>133      0</t>
  </si>
  <si>
    <t>296      0</t>
  </si>
  <si>
    <t>898      0</t>
  </si>
  <si>
    <t>509      0</t>
  </si>
  <si>
    <t>313      0</t>
  </si>
  <si>
    <t>679      0</t>
  </si>
  <si>
    <t>0     15      0</t>
  </si>
  <si>
    <t>192      0</t>
  </si>
  <si>
    <t>956      0</t>
  </si>
  <si>
    <t>497      0</t>
  </si>
  <si>
    <t>0      0    -86</t>
  </si>
  <si>
    <t>0    313</t>
  </si>
  <si>
    <t>120      0</t>
  </si>
  <si>
    <t>215      0</t>
  </si>
  <si>
    <t>867      0</t>
  </si>
  <si>
    <t>262      0</t>
  </si>
  <si>
    <t>0      0      0      0    -41</t>
  </si>
  <si>
    <t>0     46</t>
  </si>
  <si>
    <t>533      0</t>
  </si>
  <si>
    <t>064      0</t>
  </si>
  <si>
    <t>0      4</t>
  </si>
  <si>
    <t>0    -23      0</t>
  </si>
  <si>
    <t>0    258</t>
  </si>
  <si>
    <t>-14      0      0</t>
  </si>
  <si>
    <t>444      0</t>
  </si>
  <si>
    <t>9      0</t>
  </si>
  <si>
    <t>-17      0</t>
  </si>
  <si>
    <t>0     22</t>
  </si>
  <si>
    <t>357      0</t>
  </si>
  <si>
    <t>608      0      0</t>
  </si>
  <si>
    <t>0    -40</t>
  </si>
  <si>
    <t>23      0</t>
  </si>
  <si>
    <t>-42      0</t>
  </si>
  <si>
    <t>0    114      0</t>
  </si>
  <si>
    <t>0    -60</t>
  </si>
  <si>
    <t>0      4      0</t>
  </si>
  <si>
    <t>841      0</t>
  </si>
  <si>
    <t>0     -6      0</t>
  </si>
  <si>
    <t>0     68      0</t>
  </si>
  <si>
    <t>0     49</t>
  </si>
  <si>
    <t>765      0</t>
  </si>
  <si>
    <t>0    100      0</t>
  </si>
  <si>
    <t>0    -88</t>
  </si>
  <si>
    <t>155      0</t>
  </si>
  <si>
    <t>0   -288      0</t>
  </si>
  <si>
    <t>0   1782</t>
  </si>
  <si>
    <t>0      0   -377</t>
  </si>
  <si>
    <t>0     36</t>
  </si>
  <si>
    <t>0    119</t>
  </si>
  <si>
    <t>0   -511</t>
  </si>
  <si>
    <t>135      0</t>
  </si>
  <si>
    <t>0    -61</t>
  </si>
  <si>
    <t>328      0</t>
  </si>
  <si>
    <t>167      0</t>
  </si>
  <si>
    <t>187      0</t>
  </si>
  <si>
    <t>0    326</t>
  </si>
  <si>
    <t>408      0</t>
  </si>
  <si>
    <t>0     -3</t>
  </si>
  <si>
    <t>240      0</t>
  </si>
  <si>
    <t>0    302</t>
  </si>
  <si>
    <t>268      0</t>
  </si>
  <si>
    <t>0   -203</t>
  </si>
  <si>
    <t>0     58</t>
  </si>
  <si>
    <t>347      0      0</t>
  </si>
  <si>
    <t>948      0</t>
  </si>
  <si>
    <t>0      0   -192</t>
  </si>
  <si>
    <t>074      0</t>
  </si>
  <si>
    <t>747      0</t>
  </si>
  <si>
    <t>373      0</t>
  </si>
  <si>
    <t>131      0</t>
  </si>
  <si>
    <t>325      0</t>
  </si>
  <si>
    <t>239      0</t>
  </si>
  <si>
    <t>116      0</t>
  </si>
  <si>
    <t>777      0</t>
  </si>
  <si>
    <t>0     57</t>
  </si>
  <si>
    <t>0    -57</t>
  </si>
  <si>
    <t>0   -266</t>
  </si>
  <si>
    <t>374      0</t>
  </si>
  <si>
    <t>-143      0      0</t>
  </si>
  <si>
    <t>-16      0</t>
  </si>
  <si>
    <t>060      0</t>
  </si>
  <si>
    <t>243      0</t>
  </si>
  <si>
    <t>636      0</t>
  </si>
  <si>
    <t>539      0</t>
  </si>
  <si>
    <t>0      0    -72</t>
  </si>
  <si>
    <t>388      0</t>
  </si>
  <si>
    <t>0      0      0      0   -174</t>
  </si>
  <si>
    <t>0    269</t>
  </si>
  <si>
    <t>-12      0      0</t>
  </si>
  <si>
    <t>923      0</t>
  </si>
  <si>
    <t>0    416</t>
  </si>
  <si>
    <t>39      0</t>
  </si>
  <si>
    <t>510      0</t>
  </si>
  <si>
    <t>0    -44</t>
  </si>
  <si>
    <t>0     75      0</t>
  </si>
  <si>
    <t>655      0</t>
  </si>
  <si>
    <t>0     -6</t>
  </si>
  <si>
    <t>0     67      0</t>
  </si>
  <si>
    <t>234      0</t>
  </si>
  <si>
    <t>0     51</t>
  </si>
  <si>
    <t>0      0      0      0    -23</t>
  </si>
  <si>
    <t>0    -34</t>
  </si>
  <si>
    <t>0  -1051</t>
  </si>
  <si>
    <t>0   -240</t>
  </si>
  <si>
    <t>646      0</t>
  </si>
  <si>
    <t>702      0</t>
  </si>
  <si>
    <t>0      0      0      0     91</t>
  </si>
  <si>
    <t>-51      0</t>
  </si>
  <si>
    <t>-6      0</t>
  </si>
  <si>
    <t>0     74      0</t>
  </si>
  <si>
    <t>14      0</t>
  </si>
  <si>
    <t>-62      0</t>
  </si>
  <si>
    <t>0    215</t>
  </si>
  <si>
    <t>0     23</t>
  </si>
  <si>
    <t>-212      0      0</t>
  </si>
  <si>
    <t>0    549</t>
  </si>
  <si>
    <t>0    208      0</t>
  </si>
  <si>
    <t>0   -274</t>
  </si>
  <si>
    <t>0   -204</t>
  </si>
  <si>
    <t>164      0      0</t>
  </si>
  <si>
    <t>26      0</t>
  </si>
  <si>
    <t>275      0</t>
  </si>
  <si>
    <t>0   1159</t>
  </si>
  <si>
    <t>0   -936</t>
  </si>
  <si>
    <t>0    594</t>
  </si>
  <si>
    <t>352      0</t>
  </si>
  <si>
    <t>558      0</t>
  </si>
  <si>
    <t>266      0</t>
  </si>
  <si>
    <t>0    -56</t>
  </si>
  <si>
    <t>203      0</t>
  </si>
  <si>
    <t>525      0</t>
  </si>
  <si>
    <t>0     37</t>
  </si>
  <si>
    <t>109      0</t>
  </si>
  <si>
    <t>-76      0</t>
  </si>
  <si>
    <t>96      0</t>
  </si>
  <si>
    <t>785      0</t>
  </si>
  <si>
    <t>250      0</t>
  </si>
  <si>
    <t>0   -217</t>
  </si>
  <si>
    <t>-41      0</t>
  </si>
  <si>
    <t>0      0      0      0    177</t>
  </si>
  <si>
    <t>0      0    -21</t>
  </si>
  <si>
    <t>0    203</t>
  </si>
  <si>
    <t>0   -302</t>
  </si>
  <si>
    <t>0      0      0      0     61</t>
  </si>
  <si>
    <t>0     79      0</t>
  </si>
  <si>
    <t>481      0</t>
  </si>
  <si>
    <t>0   -662</t>
  </si>
  <si>
    <t>728      0</t>
  </si>
  <si>
    <t>0    244</t>
  </si>
  <si>
    <t>63      0</t>
  </si>
  <si>
    <t>89      0</t>
  </si>
  <si>
    <t>0     55      0      0      0</t>
  </si>
  <si>
    <t>415      0</t>
  </si>
  <si>
    <t>16      0</t>
  </si>
  <si>
    <t>0     79</t>
  </si>
  <si>
    <t>286      0</t>
  </si>
  <si>
    <t>-48      0      0</t>
  </si>
  <si>
    <t>2      0</t>
  </si>
  <si>
    <t>469      0</t>
  </si>
  <si>
    <t>0    299</t>
  </si>
  <si>
    <t>0     -1</t>
  </si>
  <si>
    <t>0    110      0</t>
  </si>
  <si>
    <t>149      0</t>
  </si>
  <si>
    <t>157      0</t>
  </si>
  <si>
    <t>0     53</t>
  </si>
  <si>
    <t>041      0</t>
  </si>
  <si>
    <t>0   -673</t>
  </si>
  <si>
    <t>114      0      0</t>
  </si>
  <si>
    <t>49      0</t>
  </si>
  <si>
    <t>0   -164</t>
  </si>
  <si>
    <t>936      0</t>
  </si>
  <si>
    <t>75      0</t>
  </si>
  <si>
    <t>0   -146      0</t>
  </si>
  <si>
    <t>0  -1803</t>
  </si>
  <si>
    <t>844      0</t>
  </si>
  <si>
    <t>158      0</t>
  </si>
  <si>
    <t>0    157      0</t>
  </si>
  <si>
    <t>0   -120      0</t>
  </si>
  <si>
    <t>331      0</t>
  </si>
  <si>
    <t>-97      0</t>
  </si>
  <si>
    <t>372      0</t>
  </si>
  <si>
    <t>0    -19</t>
  </si>
  <si>
    <t>414      0</t>
  </si>
  <si>
    <t>-95      0</t>
  </si>
  <si>
    <t>0    838</t>
  </si>
  <si>
    <t>793      0</t>
  </si>
  <si>
    <t>0   -154      0</t>
  </si>
  <si>
    <t>328      0      0</t>
  </si>
  <si>
    <t>980      0</t>
  </si>
  <si>
    <t>259      0</t>
  </si>
  <si>
    <t>-121      0      0</t>
  </si>
  <si>
    <t>0    225</t>
  </si>
  <si>
    <t>Go to "Data" --&gt;Text to Columns - Select "Delimited" ---&gt; Select "Space" --&gt; Finish</t>
  </si>
  <si>
    <t>Seattle</t>
  </si>
  <si>
    <t>patt</t>
  </si>
  <si>
    <t>ern020115.</t>
  </si>
  <si>
    <t>ALO</t>
  </si>
  <si>
    <t>(SACOG2000 v020115)</t>
  </si>
  <si>
    <t>16:22:40 on 12 Nov 16</t>
  </si>
  <si>
    <t>2953  -.52</t>
  </si>
  <si>
    <t>8375481E+05  -.882566118</t>
  </si>
  <si>
    <t>019E+05  -.505543876204E+05</t>
  </si>
  <si>
    <t>016:22:</t>
  </si>
  <si>
    <t>on 12 Nov 16</t>
  </si>
  <si>
    <t>209 -22959</t>
  </si>
  <si>
    <t>6164  -9673  -8944  1235</t>
  </si>
  <si>
    <t>7      0      0      0      0</t>
  </si>
  <si>
    <t>0      0      0 -2154</t>
  </si>
  <si>
    <t>5  -3949  -5051    711      0</t>
  </si>
  <si>
    <t>0      0      0 -66294 -10215</t>
  </si>
  <si>
    <t>056     42</t>
  </si>
  <si>
    <t>0      0   8988</t>
  </si>
  <si>
    <t>0  -5024   -171  -4284   -435</t>
  </si>
  <si>
    <t>3654      0   -832</t>
  </si>
  <si>
    <t>0      0      0  -4605   -352</t>
  </si>
  <si>
    <t>474   -866</t>
  </si>
  <si>
    <t>0  -2707      0      0      0</t>
  </si>
  <si>
    <t>0 -20083</t>
  </si>
  <si>
    <t>4386  -4522  -2823</t>
  </si>
  <si>
    <t>0      0   1127      0 -12143</t>
  </si>
  <si>
    <t>0  -4054  -3887</t>
  </si>
  <si>
    <t>0 -40458  -8921   497</t>
  </si>
  <si>
    <t>4   -588      0      0     12</t>
  </si>
  <si>
    <t>0  24839</t>
  </si>
  <si>
    <t>0      0      0    52</t>
  </si>
  <si>
    <t>9   4656      0      0      0</t>
  </si>
  <si>
    <t>0      0      0   314</t>
  </si>
  <si>
    <t>0      0      0   530</t>
  </si>
  <si>
    <t>1  -6054   5845   3120      0</t>
  </si>
  <si>
    <t>0   1091</t>
  </si>
  <si>
    <t>0  -4043      0</t>
  </si>
  <si>
    <t>0      0  -1458   -656      0</t>
  </si>
  <si>
    <t>0      0   2202   2640      0</t>
  </si>
  <si>
    <t>0   1618</t>
  </si>
  <si>
    <t>3077   -991  -9937</t>
  </si>
  <si>
    <t>0      0   -310      0  -1532</t>
  </si>
  <si>
    <t>0    437    215</t>
  </si>
  <si>
    <t>0   -147  -1766</t>
  </si>
  <si>
    <t>0      0  23797  -1503   5966</t>
  </si>
  <si>
    <t>317     23</t>
  </si>
  <si>
    <t>0      0   -808</t>
  </si>
  <si>
    <t>0   1531      0      0      0</t>
  </si>
  <si>
    <t>308    473</t>
  </si>
  <si>
    <t>428  -2041</t>
  </si>
  <si>
    <t>0      0 -79842 -2107</t>
  </si>
  <si>
    <t>1  -1016   3658  -2587  -1966</t>
  </si>
  <si>
    <t>-524      0    969</t>
  </si>
  <si>
    <t>0      0      0    786    437</t>
  </si>
  <si>
    <t>0      0      0  -1037  -1421</t>
  </si>
  <si>
    <t>1449  -9436  37843  -128</t>
  </si>
  <si>
    <t>4   6794  -4666  -4521      0</t>
  </si>
  <si>
    <t>0   -908</t>
  </si>
  <si>
    <t>0    549      0</t>
  </si>
  <si>
    <t>0      0   1446    788      0</t>
  </si>
  <si>
    <t>0      0  -1732  -2581      0</t>
  </si>
  <si>
    <t>0 -63309</t>
  </si>
  <si>
    <t>2199  64764  32450   -11</t>
  </si>
  <si>
    <t>7   1077   -789   -724      0</t>
  </si>
  <si>
    <t>0    147      0</t>
  </si>
  <si>
    <t>0      0    224     91      0</t>
  </si>
  <si>
    <t>0      0   -241   -349      0</t>
  </si>
  <si>
    <t>0  -9303</t>
  </si>
  <si>
    <t>1859   9901   4822   920</t>
  </si>
  <si>
    <t>5      0      0      0      0</t>
  </si>
  <si>
    <t>0      0      0  -339</t>
  </si>
  <si>
    <t>8  -2578    517   3642      0</t>
  </si>
  <si>
    <t>0   -152</t>
  </si>
  <si>
    <t>0   6699      0</t>
  </si>
  <si>
    <t>0      0   -362    -82      0</t>
  </si>
  <si>
    <t>0      0   -191    530      0</t>
  </si>
  <si>
    <t>0 -27841</t>
  </si>
  <si>
    <t>4323  -2305    830 -2587</t>
  </si>
  <si>
    <t>2  -3467      0      0      0</t>
  </si>
  <si>
    <t>-542   -296   2743</t>
  </si>
  <si>
    <t>0      0    124      0   -442</t>
  </si>
  <si>
    <t>0   3270   1321</t>
  </si>
  <si>
    <t>0   -103     32</t>
  </si>
  <si>
    <t>0      0  -9025  -3763   5671</t>
  </si>
  <si>
    <t>269   6948</t>
  </si>
  <si>
    <t>1151      0      0</t>
  </si>
  <si>
    <t>0    758      0      0      0</t>
  </si>
  <si>
    <t>239   -790</t>
  </si>
  <si>
    <t>108   1702      0</t>
  </si>
  <si>
    <t>0    335      0    397      0</t>
  </si>
  <si>
    <t>-5    -59      0</t>
  </si>
  <si>
    <t>-145    414      0</t>
  </si>
  <si>
    <t>0  -2811  -1873   -477   2599</t>
  </si>
  <si>
    <t>042   1079</t>
  </si>
  <si>
    <t>0      0      0  -930</t>
  </si>
  <si>
    <t>7      0      0      0   1793</t>
  </si>
  <si>
    <t>0      0      0    250    955</t>
  </si>
  <si>
    <t>193    383</t>
  </si>
  <si>
    <t>0      0   -230</t>
  </si>
  <si>
    <t>0   4261      0      0      0</t>
  </si>
  <si>
    <t>374   3898</t>
  </si>
  <si>
    <t>203  -1537</t>
  </si>
  <si>
    <t>0      0   1570   180</t>
  </si>
  <si>
    <t>0   -806    869  -1578   -467</t>
  </si>
  <si>
    <t>0    200      0</t>
  </si>
  <si>
    <t>0      0   1270      0      0</t>
  </si>
  <si>
    <t>0    199      0</t>
  </si>
  <si>
    <t>0   -452</t>
  </si>
  <si>
    <t>2192   1220    392</t>
  </si>
  <si>
    <t>0      0     97      0   -303</t>
  </si>
  <si>
    <t>0   -638  -1067</t>
  </si>
  <si>
    <t>0    -93   -323</t>
  </si>
  <si>
    <t>0      0    203  57793     96</t>
  </si>
  <si>
    <t>124   1078</t>
  </si>
  <si>
    <t>121      0      0</t>
  </si>
  <si>
    <t>0   -367      0      0      0</t>
  </si>
  <si>
    <t>633      0</t>
  </si>
  <si>
    <t>0     25      0      0      0</t>
  </si>
  <si>
    <t>0      0   6417</t>
  </si>
  <si>
    <t>186   -163</t>
  </si>
  <si>
    <t>-462    -19      0</t>
  </si>
  <si>
    <t>0    505      0   -725      0</t>
  </si>
  <si>
    <t>1148  -2375      0</t>
  </si>
  <si>
    <t>464    530      0</t>
  </si>
  <si>
    <t>0    -76   -191    293   -659</t>
  </si>
  <si>
    <t>237   -125</t>
  </si>
  <si>
    <t>0      0      0   -50</t>
  </si>
  <si>
    <t>5      0      0      0  -1352</t>
  </si>
  <si>
    <t>0      0      0    -7</t>
  </si>
  <si>
    <t>1      0      0      0      0</t>
  </si>
  <si>
    <t>0 -25779 -12326</t>
  </si>
  <si>
    <t>220    413</t>
  </si>
  <si>
    <t>1362   -142      0</t>
  </si>
  <si>
    <t>0    338      0   1490      0</t>
  </si>
  <si>
    <t>-571   -903      0</t>
  </si>
  <si>
    <t>-561   -248      0</t>
  </si>
  <si>
    <t>0    472    550   -189   -635</t>
  </si>
  <si>
    <t>867   -195</t>
  </si>
  <si>
    <t>0      0      0    15</t>
  </si>
  <si>
    <t>3      0      0      0   -107</t>
  </si>
  <si>
    <t>0      0      0     4</t>
  </si>
  <si>
    <t>0   8668 -10896</t>
  </si>
  <si>
    <t>0  21705      0      0      0</t>
  </si>
  <si>
    <t>0   -143</t>
  </si>
  <si>
    <t>444    232     61</t>
  </si>
  <si>
    <t>0      0    185      0   -219</t>
  </si>
  <si>
    <t>0   -401   -874</t>
  </si>
  <si>
    <t>0   -277     35</t>
  </si>
  <si>
    <t>0      0    -87    747   -191</t>
  </si>
  <si>
    <t>12     83</t>
  </si>
  <si>
    <t>-98      0      0</t>
  </si>
  <si>
    <t>0   -397      0      0      0</t>
  </si>
  <si>
    <t>0     17      0      0      0</t>
  </si>
  <si>
    <t>0      0  -3127  -356</t>
  </si>
  <si>
    <t>0      0   1500      0      0</t>
  </si>
  <si>
    <t>4006    -99    187     -</t>
  </si>
  <si>
    <t>6     -1      0      0   1025</t>
  </si>
  <si>
    <t>0    -74</t>
  </si>
  <si>
    <t>0      0      0   -10</t>
  </si>
  <si>
    <t>8   -162      0      0      0</t>
  </si>
  <si>
    <t>0      0      0   -17</t>
  </si>
  <si>
    <t>3      2      0      0   -127</t>
  </si>
  <si>
    <t>451    -54</t>
  </si>
  <si>
    <t>27    229    -73</t>
  </si>
  <si>
    <t>0      0      0   -259      0</t>
  </si>
  <si>
    <t>-324      0      0</t>
  </si>
  <si>
    <t>0      0      0     -4      0</t>
  </si>
  <si>
    <t>0  -3820  -3305      0  -6002</t>
  </si>
  <si>
    <t>0      0    265  1369</t>
  </si>
  <si>
    <t>2      0      0      0      0</t>
  </si>
  <si>
    <t>0      0      0   -12</t>
  </si>
  <si>
    <t>3   -610   -488    208      0</t>
  </si>
  <si>
    <t>0    335</t>
  </si>
  <si>
    <t>0    106      0</t>
  </si>
  <si>
    <t>0      0   -286   -479      0</t>
  </si>
  <si>
    <t>0      0    148    427      0</t>
  </si>
  <si>
    <t>0    535</t>
  </si>
  <si>
    <t>-911    477   -420  -196</t>
  </si>
  <si>
    <t>4     96      0      0      0</t>
  </si>
  <si>
    <t>58      0</t>
  </si>
  <si>
    <t>0      0      0  -3716  -3939</t>
  </si>
  <si>
    <t>0  -5699</t>
  </si>
  <si>
    <t>0  11933 -16675  -6754      0</t>
  </si>
  <si>
    <t>0      2</t>
  </si>
  <si>
    <t>81    570   -176</t>
  </si>
  <si>
    <t>0      0    -86      0    160</t>
  </si>
  <si>
    <t>0    191    769</t>
  </si>
  <si>
    <t>0    293   -169</t>
  </si>
  <si>
    <t>0      0   -118    112   -235</t>
  </si>
  <si>
    <t>-12    411</t>
  </si>
  <si>
    <t>0   -161      0      0      0</t>
  </si>
  <si>
    <t>0    -49      0      0      0</t>
  </si>
  <si>
    <t>0      0  -2035    92</t>
  </si>
  <si>
    <t>0      0   8171      0      0</t>
  </si>
  <si>
    <t>1677  -1107  -9599</t>
  </si>
  <si>
    <t>0      0 -37333      0      0</t>
  </si>
  <si>
    <t>0   -500   -171    -69     12</t>
  </si>
  <si>
    <t>144      0   -278</t>
  </si>
  <si>
    <t>0      0      0   1192  -1750</t>
  </si>
  <si>
    <t>0      0      0    485     74</t>
  </si>
  <si>
    <t>-213   -296    135   -26</t>
  </si>
  <si>
    <t>9   -419    -69      0      0</t>
  </si>
  <si>
    <t>0   -215</t>
  </si>
  <si>
    <t>0      0      0   -27</t>
  </si>
  <si>
    <t>4      0      0      0      0</t>
  </si>
  <si>
    <t>0      0      0      0 -12820</t>
  </si>
  <si>
    <t>2199      0      0</t>
  </si>
  <si>
    <t>0      0   9592   2273   1516</t>
  </si>
  <si>
    <t>0281    392      0   -27</t>
  </si>
  <si>
    <t>4     31   -387   -159      0</t>
  </si>
  <si>
    <t>0      0   -845   2675      0</t>
  </si>
  <si>
    <t>0      0    709     -1      0</t>
  </si>
  <si>
    <t>0     31</t>
  </si>
  <si>
    <t>155    -52   -577  -113</t>
  </si>
  <si>
    <t>2    -55      0      0      0</t>
  </si>
  <si>
    <t>0      0   -671</t>
  </si>
  <si>
    <t>3      0</t>
  </si>
  <si>
    <t>0      0      0 -21009  -9788</t>
  </si>
  <si>
    <t>0  19886</t>
  </si>
  <si>
    <t>0  14901  -2974  -2942      0</t>
  </si>
  <si>
    <t>0   7644</t>
  </si>
  <si>
    <t>625      0  -9502     3</t>
  </si>
  <si>
    <t>4    -89   -148     17      0</t>
  </si>
  <si>
    <t>0   -143      0</t>
  </si>
  <si>
    <t>0      0    395    566      0</t>
  </si>
  <si>
    <t>0      0    539     14      0</t>
  </si>
  <si>
    <t>0    104</t>
  </si>
  <si>
    <t>-35      0   -180   -41</t>
  </si>
  <si>
    <t>5    -12      0      0      0</t>
  </si>
  <si>
    <t>0      0   -127</t>
  </si>
  <si>
    <t>0      0      0  -6590  -4348</t>
  </si>
  <si>
    <t>0   3862</t>
  </si>
  <si>
    <t>0   4579  -1123   1617      0</t>
  </si>
  <si>
    <t>0  12119</t>
  </si>
  <si>
    <t>9205      0  10597  1034</t>
  </si>
  <si>
    <t>5    155     53   -140     39</t>
  </si>
  <si>
    <t>-239      0    155</t>
  </si>
  <si>
    <t>0      0      0    254    412</t>
  </si>
  <si>
    <t>0      0      0    307   -168</t>
  </si>
  <si>
    <t>161     89    -89   -33</t>
  </si>
  <si>
    <t>7   -865    -27      0      0</t>
  </si>
  <si>
    <t>0     35</t>
  </si>
  <si>
    <t>0      0      0   -25</t>
  </si>
  <si>
    <t>0      0      0      0 -10785</t>
  </si>
  <si>
    <t>028      0</t>
  </si>
  <si>
    <t>8849      0      0</t>
  </si>
  <si>
    <t>0      0   8462  -3044   -966</t>
  </si>
  <si>
    <t>2159  -6465      0   824</t>
  </si>
  <si>
    <t>7  16311 -17709    167    141</t>
  </si>
  <si>
    <t>219   -164</t>
  </si>
  <si>
    <t>0      0     27</t>
  </si>
  <si>
    <t>0   -362      0      0      0</t>
  </si>
  <si>
    <t>88    145</t>
  </si>
  <si>
    <t>0      0   1157    52</t>
  </si>
  <si>
    <t>7   -173   -569  -2412     46</t>
  </si>
  <si>
    <t>0    -88      0</t>
  </si>
  <si>
    <t>0      0    487      0      0</t>
  </si>
  <si>
    <t>0   -159      0</t>
  </si>
  <si>
    <t>0  -4642</t>
  </si>
  <si>
    <t>5182      0  13740</t>
  </si>
  <si>
    <t>0      0      0      0  13031</t>
  </si>
  <si>
    <t>659    374</t>
  </si>
  <si>
    <t>0      0 -19055   975</t>
  </si>
  <si>
    <t>9      0   -355   4380     46</t>
  </si>
  <si>
    <t>285    256</t>
  </si>
  <si>
    <t>0      0    -13      0   -242</t>
  </si>
  <si>
    <t>0     89    -54</t>
  </si>
  <si>
    <t>0     73    264</t>
  </si>
  <si>
    <t>0      0    440     77     40</t>
  </si>
  <si>
    <t>549  -1763</t>
  </si>
  <si>
    <t>0    -84      0      0      0</t>
  </si>
  <si>
    <t>0     31      0      0      0</t>
  </si>
  <si>
    <t>0      0  -8824  -661</t>
  </si>
  <si>
    <t>2      0  18344      0      0</t>
  </si>
  <si>
    <t>5620  -5033  -5773</t>
  </si>
  <si>
    <t>0      0  -3202   2645      0</t>
  </si>
  <si>
    <t>144  10731</t>
  </si>
  <si>
    <t>9193  12850  14039     9</t>
  </si>
  <si>
    <t>7   -147    -74      9      0</t>
  </si>
  <si>
    <t>0    117</t>
  </si>
  <si>
    <t>0   -433      0</t>
  </si>
  <si>
    <t>0      0   -486  -1108      0</t>
  </si>
  <si>
    <t>0      0    180    175      0</t>
  </si>
  <si>
    <t>0    166</t>
  </si>
  <si>
    <t>5    -93      0      0      0</t>
  </si>
  <si>
    <t>0      0   -951</t>
  </si>
  <si>
    <t>0      0      0 -21715  -9798</t>
  </si>
  <si>
    <t>0  26586</t>
  </si>
  <si>
    <t>0  16956  -2640   -425      0</t>
  </si>
  <si>
    <t>0    572</t>
  </si>
  <si>
    <t>-32      0  10362  1876</t>
  </si>
  <si>
    <t>3   9928  12517  11306  21792</t>
  </si>
  <si>
    <t>902   -180</t>
  </si>
  <si>
    <t>-310   -246      0</t>
  </si>
  <si>
    <t>0   -439      0     23      0</t>
  </si>
  <si>
    <t>1203   2208      0</t>
  </si>
  <si>
    <t>-112    934      0</t>
  </si>
  <si>
    <t>0    715    217   -321   -335</t>
  </si>
  <si>
    <t>515   -110</t>
  </si>
  <si>
    <t>0      0      0   -33</t>
  </si>
  <si>
    <t>3      0      0      0   -248</t>
  </si>
  <si>
    <t>0      0      0     3</t>
  </si>
  <si>
    <t>0   3510   -133</t>
  </si>
  <si>
    <t>0   -177      0      0      0</t>
  </si>
  <si>
    <t>0   1147</t>
  </si>
  <si>
    <t>3041    182      0</t>
  </si>
  <si>
    <t>0   3262  -3632      0    319</t>
  </si>
  <si>
    <t>665    659</t>
  </si>
  <si>
    <t>5388   1252  -6081    93</t>
  </si>
  <si>
    <t>919   -713</t>
  </si>
  <si>
    <t>1181   -411      0</t>
  </si>
  <si>
    <t>0     37      0  -5081      0</t>
  </si>
  <si>
    <t>-911  -3045      0</t>
  </si>
  <si>
    <t>2487   1546      0</t>
  </si>
  <si>
    <t>0   -117  -1361    390   -594</t>
  </si>
  <si>
    <t>384    694</t>
  </si>
  <si>
    <t>0      0      0   -34</t>
  </si>
  <si>
    <t>5      0      0      0   -589</t>
  </si>
  <si>
    <t>0 -84525  -1890</t>
  </si>
  <si>
    <t>0  12001      0      0      0</t>
  </si>
  <si>
    <t>0 -31183</t>
  </si>
  <si>
    <t>3355  -1283      0</t>
  </si>
  <si>
    <t>0    -18   2622      0   5451</t>
  </si>
  <si>
    <t>079   3352</t>
  </si>
  <si>
    <t>4855  -2629   -154  1058</t>
  </si>
  <si>
    <t>009   4712</t>
  </si>
  <si>
    <t>51  -5976   -887</t>
  </si>
  <si>
    <t>0      0  -2011      0    776</t>
  </si>
  <si>
    <t>0   5188   9327</t>
  </si>
  <si>
    <t>0    748  -1035</t>
  </si>
  <si>
    <t>0      0   -423  -1153    296</t>
  </si>
  <si>
    <t>509   -933</t>
  </si>
  <si>
    <t>-45      0      0</t>
  </si>
  <si>
    <t>941      0</t>
  </si>
  <si>
    <t>0    -75      0      0      0</t>
  </si>
  <si>
    <t>0      0 -19102 -1584</t>
  </si>
  <si>
    <t>4      0  21267      0      0</t>
  </si>
  <si>
    <t>8568  10828   6559</t>
  </si>
  <si>
    <t>0      0   6010 -20025      0</t>
  </si>
  <si>
    <t>618   6864</t>
  </si>
  <si>
    <t>3891 -10170   6300   -54</t>
  </si>
  <si>
    <t>7   5793      0      0      0</t>
  </si>
  <si>
    <t>0 -16648</t>
  </si>
  <si>
    <t>5571   4434   2471   234</t>
  </si>
  <si>
    <t>8    538      0      0    260</t>
  </si>
  <si>
    <t>0      0      0   -20</t>
  </si>
  <si>
    <t>9    796      0      0      0</t>
  </si>
  <si>
    <t>0      0      0  -347</t>
  </si>
  <si>
    <t>3  -2580      0      0    883</t>
  </si>
  <si>
    <t>437   -208</t>
  </si>
  <si>
    <t>1178   1533     38</t>
  </si>
  <si>
    <t>0      0      0  -2590      0</t>
  </si>
  <si>
    <t>390      0      0</t>
  </si>
  <si>
    <t>0      0      0    470      0</t>
  </si>
  <si>
    <t>0   8301   1319      0   1403</t>
  </si>
  <si>
    <t>0      0    873    68</t>
  </si>
  <si>
    <t>8    390      0      0   -895</t>
  </si>
  <si>
    <t>-56      0</t>
  </si>
  <si>
    <t>68    702    269    70</t>
  </si>
  <si>
    <t>4    447    250   1187      0</t>
  </si>
  <si>
    <t>0   -447  -4509  -267</t>
  </si>
  <si>
    <t>0   2247  45650    359     14</t>
  </si>
  <si>
    <t>246      0   -752</t>
  </si>
  <si>
    <t>0      0      0   -252     51</t>
  </si>
  <si>
    <t>0      0      0    -39   -921</t>
  </si>
  <si>
    <t>657  62276    170   -24</t>
  </si>
  <si>
    <t>3    289    126      0      0</t>
  </si>
  <si>
    <t>0   -952</t>
  </si>
  <si>
    <t>0      0      0     7</t>
  </si>
  <si>
    <t>0    222</t>
  </si>
  <si>
    <t>0      0      0      0  -1228</t>
  </si>
  <si>
    <t>0      0    649    444    331</t>
  </si>
  <si>
    <t>109     45      0    10</t>
  </si>
  <si>
    <t>8    566     33    435    640</t>
  </si>
  <si>
    <t>770    483</t>
  </si>
  <si>
    <t>0    327    882   -137  10613</t>
  </si>
  <si>
    <t>561   -233</t>
  </si>
  <si>
    <t>8691    546      0</t>
  </si>
  <si>
    <t>0   -878      0   -508      0</t>
  </si>
  <si>
    <t>-63   -300      0</t>
  </si>
  <si>
    <t>-838    -65      0</t>
  </si>
  <si>
    <t>0    898    408  -1638   -570</t>
  </si>
  <si>
    <t>801   -176</t>
  </si>
  <si>
    <t>0      0      0   -31</t>
  </si>
  <si>
    <t>4      0      0      0   -215</t>
  </si>
  <si>
    <t>0      0      0   -19</t>
  </si>
  <si>
    <t>0    680   -122</t>
  </si>
  <si>
    <t>0   -481</t>
  </si>
  <si>
    <t>834    512      0</t>
  </si>
  <si>
    <t>0   -486   -134      0     75</t>
  </si>
  <si>
    <t>14    -38</t>
  </si>
  <si>
    <t>-229     57   -286     4</t>
  </si>
  <si>
    <t>3      0      0      0      0</t>
  </si>
  <si>
    <t>244   -501</t>
  </si>
  <si>
    <t>1318 -10644  -7758  -618</t>
  </si>
  <si>
    <t>1    363   -772    435      0</t>
  </si>
  <si>
    <t>0  -1965</t>
  </si>
  <si>
    <t>0  -1569      0</t>
  </si>
  <si>
    <t>0      0    908    793      0</t>
  </si>
  <si>
    <t>0      0     78   1082      0</t>
  </si>
  <si>
    <t>0   -992</t>
  </si>
  <si>
    <t>580   -427    -24    74</t>
  </si>
  <si>
    <t>3     -9      0      0      0</t>
  </si>
  <si>
    <t>0      0     60</t>
  </si>
  <si>
    <t>0      0      0   1666    354</t>
  </si>
  <si>
    <t>0  -1324</t>
  </si>
  <si>
    <t>0  -1809    518    599      0</t>
  </si>
  <si>
    <t>0   -353</t>
  </si>
  <si>
    <t>-111      0    -33   -64</t>
  </si>
  <si>
    <t>7    -36   -682   -572  -1536</t>
  </si>
  <si>
    <t>0      0      0   -42</t>
  </si>
  <si>
    <t>4   -732   1027 -27153 -17305</t>
  </si>
  <si>
    <t>659  -6040</t>
  </si>
  <si>
    <t>140   -401    570</t>
  </si>
  <si>
    <t>0      0  -1809      0  -1298</t>
  </si>
  <si>
    <t>0     63    -57</t>
  </si>
  <si>
    <t>0     13   1084</t>
  </si>
  <si>
    <t>0      0    247    624  -1473</t>
  </si>
  <si>
    <t>443   -273</t>
  </si>
  <si>
    <t>0   -478      0      0      0</t>
  </si>
  <si>
    <t>0   -305      0      0      0</t>
  </si>
  <si>
    <t>0      0   1091   -36</t>
  </si>
  <si>
    <t>9      0    568      0      0</t>
  </si>
  <si>
    <t>-989   1178    600</t>
  </si>
  <si>
    <t>0      0   -541    -37      0</t>
  </si>
  <si>
    <t>244     14</t>
  </si>
  <si>
    <t>-13   -241     31    -7</t>
  </si>
  <si>
    <t>3    793      0      0      0</t>
  </si>
  <si>
    <t>0   -349</t>
  </si>
  <si>
    <t>-416   1258 -17534 -1201</t>
  </si>
  <si>
    <t>0  32978  41226      0      0</t>
  </si>
  <si>
    <t>0  -1891    266    -38    344</t>
  </si>
  <si>
    <t>-457      0   -281</t>
  </si>
  <si>
    <t>0      0      0    236    248</t>
  </si>
  <si>
    <t>0      0      0     54    298</t>
  </si>
  <si>
    <t>1122   -136   -268   869</t>
  </si>
  <si>
    <t>1    -86    -56      0      0</t>
  </si>
  <si>
    <t>0      0      0   -18</t>
  </si>
  <si>
    <t>0    210</t>
  </si>
  <si>
    <t>-784      0      0</t>
  </si>
  <si>
    <t>0      0  -1511    383    274</t>
  </si>
  <si>
    <t>1110    185      0   -24</t>
  </si>
  <si>
    <t>3   -752   -217   -595   -795</t>
  </si>
  <si>
    <t>163   -882</t>
  </si>
  <si>
    <t>0      6   -717     17 -10063</t>
  </si>
  <si>
    <t>789   8826</t>
  </si>
  <si>
    <t>6296  12445      0  -309</t>
  </si>
  <si>
    <t>2    939   -287    651      0</t>
  </si>
  <si>
    <t>0   -904</t>
  </si>
  <si>
    <t>0   -966      0</t>
  </si>
  <si>
    <t>0      0    513    590      0</t>
  </si>
  <si>
    <t>0      0    -43    672      0</t>
  </si>
  <si>
    <t>339   -153   1193   947</t>
  </si>
  <si>
    <t>2    -80      0      0      0</t>
  </si>
  <si>
    <t>0      0   -777</t>
  </si>
  <si>
    <t>0      0      0  -1489   1985</t>
  </si>
  <si>
    <t>0  -3658</t>
  </si>
  <si>
    <t>0  -8788    976   1131      0</t>
  </si>
  <si>
    <t>0  -5539</t>
  </si>
  <si>
    <t>1337      0  -1302  -324</t>
  </si>
  <si>
    <t>4  -1097  -2600  -5353  -4973</t>
  </si>
  <si>
    <t>0      0      0  -276</t>
  </si>
  <si>
    <t>7   3370   -975 -13665  -9656</t>
  </si>
  <si>
    <t>453  31358</t>
  </si>
  <si>
    <t>2678      0  20578  -539</t>
  </si>
  <si>
    <t>8    858  -1554    376      0</t>
  </si>
  <si>
    <t>0  -1303</t>
  </si>
  <si>
    <t>0  -1112      0</t>
  </si>
  <si>
    <t>0      0    806    558      0</t>
  </si>
  <si>
    <t>0      0   -177    634      0</t>
  </si>
  <si>
    <t>0    378</t>
  </si>
  <si>
    <t>1077   -512     98    12</t>
  </si>
  <si>
    <t>3    378      0      0      0</t>
  </si>
  <si>
    <t>0      0    -11</t>
  </si>
  <si>
    <t>67      0</t>
  </si>
  <si>
    <t>0      0      0    753    405</t>
  </si>
  <si>
    <t>0   -438</t>
  </si>
  <si>
    <t>0  -6126    478    255      0</t>
  </si>
  <si>
    <t>0   -767</t>
  </si>
  <si>
    <t>215      0   -364   -70</t>
  </si>
  <si>
    <t>7   -216   -942   -583  -1321</t>
  </si>
  <si>
    <t>864      0</t>
  </si>
  <si>
    <t>0      0      0   -35</t>
  </si>
  <si>
    <t>0  -1922   1971 -16125 -11976</t>
  </si>
  <si>
    <t>815  39903</t>
  </si>
  <si>
    <t>8998      0  15687  3065</t>
  </si>
  <si>
    <t>6    763    -14   -260   -357</t>
  </si>
  <si>
    <t>308      0    297</t>
  </si>
  <si>
    <t>0      0      0     94     14</t>
  </si>
  <si>
    <t>0      0      0    260   -268</t>
  </si>
  <si>
    <t>-387    103   -490   -18</t>
  </si>
  <si>
    <t>5     42    -27      0      0</t>
  </si>
  <si>
    <t>0    121</t>
  </si>
  <si>
    <t>0      0      0     2</t>
  </si>
  <si>
    <t>0      0      0      0   -333</t>
  </si>
  <si>
    <t>-322      0      0</t>
  </si>
  <si>
    <t>0      0   -277  -5329   -827</t>
  </si>
  <si>
    <t>311    269      0   -18</t>
  </si>
  <si>
    <t>0     43    -17     69   -208</t>
  </si>
  <si>
    <t>57    -56</t>
  </si>
  <si>
    <t>0    264    510  -1000 -10006</t>
  </si>
  <si>
    <t>751 -14967</t>
  </si>
  <si>
    <t>0638 -21786      0  -544</t>
  </si>
  <si>
    <t>8 -10801  -8408    707   -143</t>
  </si>
  <si>
    <t>108   -451</t>
  </si>
  <si>
    <t>0      0   3714</t>
  </si>
  <si>
    <t>0    482      0      0      0</t>
  </si>
  <si>
    <t>133   -379</t>
  </si>
  <si>
    <t>0      0   -435     9</t>
  </si>
  <si>
    <t>6   -501   -202     22    -44</t>
  </si>
  <si>
    <t>0    -94      0</t>
  </si>
  <si>
    <t>0      0     14      0      0</t>
  </si>
  <si>
    <t>0   -226      0</t>
  </si>
  <si>
    <t>0    -84</t>
  </si>
  <si>
    <t>10      0    129</t>
  </si>
  <si>
    <t>0      0      0      0     13</t>
  </si>
  <si>
    <t>894  -5180</t>
  </si>
  <si>
    <t>0      0     99    39</t>
  </si>
  <si>
    <t>6      0   -173    -27    -98</t>
  </si>
  <si>
    <t>151   -197      0</t>
  </si>
  <si>
    <t>0      0      0     91    232</t>
  </si>
  <si>
    <t>545  -9562</t>
  </si>
  <si>
    <t>7384  -8559 -10951 -1152</t>
  </si>
  <si>
    <t>2      0  -5299  -9643  -7542</t>
  </si>
  <si>
    <t>059   1058</t>
  </si>
  <si>
    <t>-201    119   -383</t>
  </si>
  <si>
    <t>0      0    231      0    163</t>
  </si>
  <si>
    <t>0   -172     -5</t>
  </si>
  <si>
    <t>0    507   -316</t>
  </si>
  <si>
    <t>0      0   -239   -233   -365</t>
  </si>
  <si>
    <t>-83    205</t>
  </si>
  <si>
    <t>0   -175      0      0      0</t>
  </si>
  <si>
    <t>-85      0</t>
  </si>
  <si>
    <t>0   -217      0      0      0</t>
  </si>
  <si>
    <t>0      0    216    -6</t>
  </si>
  <si>
    <t>9      0      6      0      0</t>
  </si>
  <si>
    <t>139    276    286</t>
  </si>
  <si>
    <t>0      0   -309    171      0</t>
  </si>
  <si>
    <t>9    -68      0      0      0</t>
  </si>
  <si>
    <t>0    407   2340  -1843      0</t>
  </si>
  <si>
    <t>728  -5858</t>
  </si>
  <si>
    <t>3937  32330  45365  -250</t>
  </si>
  <si>
    <t>7  -2202    756     -1      0</t>
  </si>
  <si>
    <t>0    395</t>
  </si>
  <si>
    <t>0   4403      0</t>
  </si>
  <si>
    <t>0      0   -160     10      0</t>
  </si>
  <si>
    <t>0      0    -90   -139      0</t>
  </si>
  <si>
    <t>2828   -368      1  -121</t>
  </si>
  <si>
    <t>3   -151      0      0      0</t>
  </si>
  <si>
    <t>200      0</t>
  </si>
  <si>
    <t>0      0      0   8514    -77</t>
  </si>
  <si>
    <t>0    -23</t>
  </si>
  <si>
    <t>0   3824  -2509  -1567      0</t>
  </si>
  <si>
    <t>0   1083</t>
  </si>
  <si>
    <t>-42      0    501    40</t>
  </si>
  <si>
    <t>7    388    445  -2190  -1926</t>
  </si>
  <si>
    <t>0      0      0  -281</t>
  </si>
  <si>
    <t>7  -7919    176 -10072 -13874</t>
  </si>
  <si>
    <t>392  -2422</t>
  </si>
  <si>
    <t>1778      0   4022  -589</t>
  </si>
  <si>
    <t>1  -2870  12413   4132  -8176</t>
  </si>
  <si>
    <t>677   -379</t>
  </si>
  <si>
    <t>-22    515      0</t>
  </si>
  <si>
    <t>0    -75      0   -203      0</t>
  </si>
  <si>
    <t>166    218      0</t>
  </si>
  <si>
    <t>-277    643      0</t>
  </si>
  <si>
    <t>0    714   -608    646    280</t>
  </si>
  <si>
    <t>-9     45</t>
  </si>
  <si>
    <t>2      0      0      0    -47</t>
  </si>
  <si>
    <t>0      0      0    27</t>
  </si>
  <si>
    <t>8      0      0      0      0</t>
  </si>
  <si>
    <t>0    218   -527</t>
  </si>
  <si>
    <t>0    163      0      0      0</t>
  </si>
  <si>
    <t>0   -566</t>
  </si>
  <si>
    <t>1041    753      0</t>
  </si>
  <si>
    <t>0  -3252    200      0   -563</t>
  </si>
  <si>
    <t>398   -365</t>
  </si>
  <si>
    <t>-601   1064    443    -3</t>
  </si>
  <si>
    <t>132   -447</t>
  </si>
  <si>
    <t>942  -5850  -9238  1592</t>
  </si>
  <si>
    <t>6  14867  20404      0  11639</t>
  </si>
  <si>
    <t>211  23192</t>
  </si>
  <si>
    <t>5931  -5149  22064 -1285</t>
  </si>
  <si>
    <t>0   -519</t>
  </si>
  <si>
    <t>115   -494    -32</t>
  </si>
  <si>
    <t>0      0    -73      0    -10</t>
  </si>
  <si>
    <t>0   6022  -1035</t>
  </si>
  <si>
    <t>0     63    -31</t>
  </si>
  <si>
    <t>0      0   -746     16    460</t>
  </si>
  <si>
    <t>272    592</t>
  </si>
  <si>
    <t>66      0      0</t>
  </si>
  <si>
    <t>0   -108      0      0      0</t>
  </si>
  <si>
    <t>0      1      0      0      0</t>
  </si>
  <si>
    <t>0      0   1550    24</t>
  </si>
  <si>
    <t>6      0    621      0      0</t>
  </si>
  <si>
    <t>-373    299    216</t>
  </si>
  <si>
    <t>0      0    -82    -19      0</t>
  </si>
  <si>
    <t>491    141</t>
  </si>
  <si>
    <t>-67   -570   -413    10</t>
  </si>
  <si>
    <t>8    -68      0      0      0</t>
  </si>
  <si>
    <t>0   -132</t>
  </si>
  <si>
    <t>1  -4573   3796 -10889      0</t>
  </si>
  <si>
    <t>038   2951</t>
  </si>
  <si>
    <t>4799   2228    662  -258</t>
  </si>
  <si>
    <t>4  -3122   6873      0      0</t>
  </si>
  <si>
    <t>664    308</t>
  </si>
  <si>
    <t>-730    -83      0</t>
  </si>
  <si>
    <t>0     -5      0     67      0</t>
  </si>
  <si>
    <t>1077   7004      0</t>
  </si>
  <si>
    <t>279     82      0</t>
  </si>
  <si>
    <t>0    -55    492     69     52</t>
  </si>
  <si>
    <t>151     18</t>
  </si>
  <si>
    <t>0      0      0    11</t>
  </si>
  <si>
    <t>2      0      0      0    350</t>
  </si>
  <si>
    <t>0   2720    730</t>
  </si>
  <si>
    <t>0    834      0      0      0</t>
  </si>
  <si>
    <t>0   -434</t>
  </si>
  <si>
    <t>738    627      0</t>
  </si>
  <si>
    <t>0    359   -162      0    175</t>
  </si>
  <si>
    <t>969    124</t>
  </si>
  <si>
    <t>1100   -825  -1383   -18</t>
  </si>
  <si>
    <t>323   -973</t>
  </si>
  <si>
    <t>2  12079  -7688      0   4669</t>
  </si>
  <si>
    <t>114  12001</t>
  </si>
  <si>
    <t>0   6411      0      0 -15579</t>
  </si>
  <si>
    <t>300     61     44</t>
  </si>
  <si>
    <t>0      0    -74      0    332</t>
  </si>
  <si>
    <t>0   -222   -296</t>
  </si>
  <si>
    <t>0    386   -296</t>
  </si>
  <si>
    <t>0      0    123    507   -233</t>
  </si>
  <si>
    <t>-20      0      0</t>
  </si>
  <si>
    <t>0     42      0      0      0</t>
  </si>
  <si>
    <t>0     48      0      0      0</t>
  </si>
  <si>
    <t>0      0   1316   125</t>
  </si>
  <si>
    <t>9      0    460      0      0</t>
  </si>
  <si>
    <t>-379    483    362</t>
  </si>
  <si>
    <t>0      0   -241    139      0</t>
  </si>
  <si>
    <t>154   -578</t>
  </si>
  <si>
    <t>9   -251      0      0      0</t>
  </si>
  <si>
    <t>0   -400</t>
  </si>
  <si>
    <t>5   7714  15352   5779      0</t>
  </si>
  <si>
    <t>161  12613</t>
  </si>
  <si>
    <t>4482  -3469  -1942  -191</t>
  </si>
  <si>
    <t>9  -3336  13190      0      0</t>
  </si>
  <si>
    <t>486  12374</t>
  </si>
  <si>
    <t>0  -1860    -96   -47</t>
  </si>
  <si>
    <t>6    501      0      0   -342</t>
  </si>
  <si>
    <t>0   -647</t>
  </si>
  <si>
    <t>0      0      0    21</t>
  </si>
  <si>
    <t>4    217      0      0      0</t>
  </si>
  <si>
    <t>0      0      0    31</t>
  </si>
  <si>
    <t>4    692      0      0   3175</t>
  </si>
  <si>
    <t>417   -363</t>
  </si>
  <si>
    <t>0      0      0    -61      0</t>
  </si>
  <si>
    <t>0      0      0    -79      0</t>
  </si>
  <si>
    <t>0    291   -130      0   -907</t>
  </si>
  <si>
    <t>0      0   -820   -21</t>
  </si>
  <si>
    <t>1   -349      0      0    733</t>
  </si>
  <si>
    <t>136   -280    105   -21</t>
  </si>
  <si>
    <t>3   -528  -1126  -1112      0</t>
  </si>
  <si>
    <t>0    -20   -169    51</t>
  </si>
  <si>
    <t>3 -15539 -12192   3791  27636</t>
  </si>
  <si>
    <t>4368  25930  21533   727</t>
  </si>
  <si>
    <t>2   7753  10347  13124  -8380</t>
  </si>
  <si>
    <t>-300   7934      0   721</t>
  </si>
  <si>
    <t>5   -445   -379    -86    341</t>
  </si>
  <si>
    <t>13      0   -298</t>
  </si>
  <si>
    <t>0      0      0   -155     41</t>
  </si>
  <si>
    <t>0      0      0    338    162</t>
  </si>
  <si>
    <t>959   -343   -145    -8</t>
  </si>
  <si>
    <t>8   -422    -30      0      0</t>
  </si>
  <si>
    <t>0    186</t>
  </si>
  <si>
    <t>0      0      0    -8</t>
  </si>
  <si>
    <t>0      0      0      0    538</t>
  </si>
  <si>
    <t>208      0</t>
  </si>
  <si>
    <t>1305      0      0</t>
  </si>
  <si>
    <t>0      0  -1009    -52     75</t>
  </si>
  <si>
    <t>319   -126      0    77</t>
  </si>
  <si>
    <t>6   -708    359   -765   -679</t>
  </si>
  <si>
    <t>825  -1511</t>
  </si>
  <si>
    <t>0    492   -160    474 -11959</t>
  </si>
  <si>
    <t>279   6989</t>
  </si>
  <si>
    <t>9522   1837      0  1181</t>
  </si>
  <si>
    <t>2  20900  22632    854   -714</t>
  </si>
  <si>
    <t>841   6547</t>
  </si>
  <si>
    <t>3646      0      0 -1236</t>
  </si>
  <si>
    <t>7  11462      0  11578  29994</t>
  </si>
  <si>
    <t>-9    280</t>
  </si>
  <si>
    <t>-191    -92      0</t>
  </si>
  <si>
    <t>0     -9      0     -2      0</t>
  </si>
  <si>
    <t>267    225      0</t>
  </si>
  <si>
    <t>-93    -15      0</t>
  </si>
  <si>
    <t>0   -521    256    251    156</t>
  </si>
  <si>
    <t>432     49</t>
  </si>
  <si>
    <t>0      0      0    -5</t>
  </si>
  <si>
    <t>9      0      0      0    122</t>
  </si>
  <si>
    <t>0      0      0    41</t>
  </si>
  <si>
    <t>0   1043    562</t>
  </si>
  <si>
    <t>0  -2180      0      0      0</t>
  </si>
  <si>
    <t>0  -1402</t>
  </si>
  <si>
    <t>-133   -197      0</t>
  </si>
  <si>
    <t>0   -148      5      0   -537</t>
  </si>
  <si>
    <t>148   -310</t>
  </si>
  <si>
    <t>1  28129 -17668      0   8385</t>
  </si>
  <si>
    <t>342  20295</t>
  </si>
  <si>
    <t>1682   2096   2480  -548</t>
  </si>
  <si>
    <t>9   1674      0      0   9330</t>
  </si>
  <si>
    <t>024      0</t>
  </si>
  <si>
    <t>4048  24746  34548</t>
  </si>
  <si>
    <t>0      0      0    91</t>
  </si>
  <si>
    <t>2   -704    741   -659      0</t>
  </si>
  <si>
    <t>0    676      0</t>
  </si>
  <si>
    <t>0      0   -225     16      0</t>
  </si>
  <si>
    <t>0      0   -479   4259      0</t>
  </si>
  <si>
    <t>0    708</t>
  </si>
  <si>
    <t>2   -100      0      0      0</t>
  </si>
  <si>
    <t>0      0     63</t>
  </si>
  <si>
    <t>-38      0</t>
  </si>
  <si>
    <t>0      0      0   -332   -363</t>
  </si>
  <si>
    <t>0   -119    304    211      0</t>
  </si>
  <si>
    <t>18      0   -103   -27</t>
  </si>
  <si>
    <t>4    -47   -283   -150    268</t>
  </si>
  <si>
    <t>0      0      0  -265</t>
  </si>
  <si>
    <t>8    343    498  -1821  -3669</t>
  </si>
  <si>
    <t>109   9198</t>
  </si>
  <si>
    <t>6299      0   4077  1198</t>
  </si>
  <si>
    <t>0   6963  -7029  -7551  -9908</t>
  </si>
  <si>
    <t>074   1518</t>
  </si>
  <si>
    <t>0      0   2110   410</t>
  </si>
  <si>
    <t>3      0   4124   9607  -4832</t>
  </si>
  <si>
    <t>274      0</t>
  </si>
  <si>
    <t>0      0      0    90</t>
  </si>
  <si>
    <t>0  -1900  -1286   -640      0</t>
  </si>
  <si>
    <t>0    345</t>
  </si>
  <si>
    <t>0   -370      0</t>
  </si>
  <si>
    <t>0      0   -329  -1326      0</t>
  </si>
  <si>
    <t>0      0   3775   2389      0</t>
  </si>
  <si>
    <t>2516    251  -1301  -129</t>
  </si>
  <si>
    <t>7     21      0      0      0</t>
  </si>
  <si>
    <t>0      0      0   -377   -652</t>
  </si>
  <si>
    <t>0  -3856  -1191   -267      0</t>
  </si>
  <si>
    <t>0   2532</t>
  </si>
  <si>
    <t>-246      0    590     5</t>
  </si>
  <si>
    <t>9     61    -69    -32   1137</t>
  </si>
  <si>
    <t>0      0      0   136</t>
  </si>
  <si>
    <t>4  12093   1867 -80042    759</t>
  </si>
  <si>
    <t>789   3388</t>
  </si>
  <si>
    <t>1287      0   1790  -143</t>
  </si>
  <si>
    <t>2  -4004   2287   -391  -2957</t>
  </si>
  <si>
    <t>294  -7630</t>
  </si>
  <si>
    <t>0      0     73   236</t>
  </si>
  <si>
    <t>2      0   1270  -1051  -3612</t>
  </si>
  <si>
    <t>0      0      0  -312</t>
  </si>
  <si>
    <t>0      0      0   3662   2679</t>
  </si>
  <si>
    <t>824    291</t>
  </si>
  <si>
    <t>0  -1087      0      0      0</t>
  </si>
  <si>
    <t>90   1000</t>
  </si>
  <si>
    <t>228  -1648</t>
  </si>
  <si>
    <t>0      0    711   383</t>
  </si>
  <si>
    <t>8   -101    600   3049    399</t>
  </si>
  <si>
    <t>0  -3654      0</t>
  </si>
  <si>
    <t>0      0    281      0      0</t>
  </si>
  <si>
    <t>0    155      0</t>
  </si>
  <si>
    <t>0   7954</t>
  </si>
  <si>
    <t>1649      0    497</t>
  </si>
  <si>
    <t>0      0      0      0     75</t>
  </si>
  <si>
    <t>303    167</t>
  </si>
  <si>
    <t>0      0   -686    -6</t>
  </si>
  <si>
    <t>7      0   -143     68     10</t>
  </si>
  <si>
    <t>303    202</t>
  </si>
  <si>
    <t>-190    477      0</t>
  </si>
  <si>
    <t>0      0      0   -364  -3012</t>
  </si>
  <si>
    <t>111   9569</t>
  </si>
  <si>
    <t>241   1354   3001   254</t>
  </si>
  <si>
    <t>0      0    711    883  -1440</t>
  </si>
  <si>
    <t>034   -323</t>
  </si>
  <si>
    <t>141   1473    676</t>
  </si>
  <si>
    <t>0      0    -91     36      0</t>
  </si>
  <si>
    <t>323   1116</t>
  </si>
  <si>
    <t>745    879      0</t>
  </si>
  <si>
    <t>0      0      0   -111  -4891</t>
  </si>
  <si>
    <t>0   2287</t>
  </si>
  <si>
    <t>6667     64   -269</t>
  </si>
  <si>
    <t>0      0     47      0   -990</t>
  </si>
  <si>
    <t>0    -43    328</t>
  </si>
  <si>
    <t>0     77   -737</t>
  </si>
  <si>
    <t>0      0    665  63638   -183</t>
  </si>
  <si>
    <t>214    465</t>
  </si>
  <si>
    <t>160      0      0</t>
  </si>
  <si>
    <t>0  -1198      0      0      0</t>
  </si>
  <si>
    <t>0    121      0      0      0</t>
  </si>
  <si>
    <t>0      0  -1094  7797</t>
  </si>
  <si>
    <t>5      0    -22      0      0</t>
  </si>
  <si>
    <t>-272    546    212</t>
  </si>
  <si>
    <t>0      0    -86    105      0</t>
  </si>
  <si>
    <t>-61    304</t>
  </si>
  <si>
    <t>-63    193    477    47</t>
  </si>
  <si>
    <t>8    234      0      0      0</t>
  </si>
  <si>
    <t>0    381</t>
  </si>
  <si>
    <t>1151    -31   -327  8500</t>
  </si>
  <si>
    <t>6    407    855    495      0</t>
  </si>
  <si>
    <t>170    505</t>
  </si>
  <si>
    <t>-52      6   -319   -30</t>
  </si>
  <si>
    <t>5  -3276    312      0      0</t>
  </si>
  <si>
    <t>-33    369</t>
  </si>
  <si>
    <t>0    389    662    53</t>
  </si>
  <si>
    <t>2    736      0      0      0</t>
  </si>
  <si>
    <t>0     98</t>
  </si>
  <si>
    <t>797      0   5980  -399</t>
  </si>
  <si>
    <t>7   -359   8249   1059      0</t>
  </si>
  <si>
    <t>0   -321      0</t>
  </si>
  <si>
    <t>0      0    148    186      0</t>
  </si>
  <si>
    <t>0      0  -1141   -444      0</t>
  </si>
  <si>
    <t>0    936</t>
  </si>
  <si>
    <t>465  -1017   -315   -60</t>
  </si>
  <si>
    <t>8   -217      0      0      0</t>
  </si>
  <si>
    <t>11      0</t>
  </si>
  <si>
    <t>0      0      0   1135     33</t>
  </si>
  <si>
    <t>0    464    663     55      0</t>
  </si>
  <si>
    <t>0   -263</t>
  </si>
  <si>
    <t>41      0   -193   -14</t>
  </si>
  <si>
    <t>3   -106    -64     77    -47</t>
  </si>
  <si>
    <t>77      0</t>
  </si>
  <si>
    <t>0      0      0   -22</t>
  </si>
  <si>
    <t>4   -878     87   2037    412</t>
  </si>
  <si>
    <t>252  -1132</t>
  </si>
  <si>
    <t>1594      0   -410   -82</t>
  </si>
  <si>
    <t>8    838   1976    229    147</t>
  </si>
  <si>
    <t>143   -961</t>
  </si>
  <si>
    <t>0      0    -88    17</t>
  </si>
  <si>
    <t>7      0   -303    194     13</t>
  </si>
  <si>
    <t>9  -1112      0  -6065  -5981</t>
  </si>
  <si>
    <t>771     17</t>
  </si>
  <si>
    <t>519   1365      0</t>
  </si>
  <si>
    <t>0   -320      0   -963      0</t>
  </si>
  <si>
    <t>420    140      0</t>
  </si>
  <si>
    <t>-371     77      0</t>
  </si>
  <si>
    <t>0  -1105    475    387    713</t>
  </si>
  <si>
    <t>105    -94</t>
  </si>
  <si>
    <t>0      0      0   -47</t>
  </si>
  <si>
    <t>1      0      0      0    117</t>
  </si>
  <si>
    <t>0   1055    171</t>
  </si>
  <si>
    <t>0    331      0      0      0</t>
  </si>
  <si>
    <t>0    758</t>
  </si>
  <si>
    <t>184     61      0</t>
  </si>
  <si>
    <t>0   -243   -161      0     -1</t>
  </si>
  <si>
    <t>213     94</t>
  </si>
  <si>
    <t>9      0      0      0      0</t>
  </si>
  <si>
    <t>418  -1122</t>
  </si>
  <si>
    <t>166   5637    616  -132</t>
  </si>
  <si>
    <t>6 -12078  -2589      0  -1369</t>
  </si>
  <si>
    <t>399     -9</t>
  </si>
  <si>
    <t>1411    426    391    50</t>
  </si>
  <si>
    <t>0    260      0      0   -228</t>
  </si>
  <si>
    <t>677  -2339</t>
  </si>
  <si>
    <t>0 -14631 -12916  2629</t>
  </si>
  <si>
    <t>0  -7679   -183    548   1690</t>
  </si>
  <si>
    <t>-266      0   -750</t>
  </si>
  <si>
    <t>0      0      0    366    398</t>
  </si>
  <si>
    <t>0      0      0   -278    100</t>
  </si>
  <si>
    <t>100    494   -394     9</t>
  </si>
  <si>
    <t>8    134   -200      0      0</t>
  </si>
  <si>
    <t>0   -230</t>
  </si>
  <si>
    <t>0      0      0      0   1625</t>
  </si>
  <si>
    <t>652      0      0</t>
  </si>
  <si>
    <t>0      0    629   1003     21</t>
  </si>
  <si>
    <t>36   -152      0   -20</t>
  </si>
  <si>
    <t>0   -176   -185    136     92</t>
  </si>
  <si>
    <t>262    907</t>
  </si>
  <si>
    <t>0   -275  -1108    549   3948</t>
  </si>
  <si>
    <t>370  -1851</t>
  </si>
  <si>
    <t>2592 -10992      0   -93</t>
  </si>
  <si>
    <t>9  -1706    316   2888    574</t>
  </si>
  <si>
    <t>543   -303</t>
  </si>
  <si>
    <t>1328      0      0    34</t>
  </si>
  <si>
    <t>0    489      0    -46     53</t>
  </si>
  <si>
    <t>895   2615</t>
  </si>
  <si>
    <t>0   -160  -1916      0 -11583</t>
  </si>
  <si>
    <t>811  29703</t>
  </si>
  <si>
    <t>8726  -4864   -541    52</t>
  </si>
  <si>
    <t>2   3255      0      0   -629</t>
  </si>
  <si>
    <t>0    -48</t>
  </si>
  <si>
    <t>0      0      0    28</t>
  </si>
  <si>
    <t>5    257      0      0      0</t>
  </si>
  <si>
    <t>0      0      0   -21</t>
  </si>
  <si>
    <t>5    456      0      0   2547</t>
  </si>
  <si>
    <t>357   2792</t>
  </si>
  <si>
    <t>0      0      0   1124      0</t>
  </si>
  <si>
    <t>456      0      0</t>
  </si>
  <si>
    <t>0      0      0   1267      0</t>
  </si>
  <si>
    <t>0    465    -34      0    276</t>
  </si>
  <si>
    <t>0      0    362   -23</t>
  </si>
  <si>
    <t>9     74      0      0    754</t>
  </si>
  <si>
    <t>61    181    -66    19</t>
  </si>
  <si>
    <t>7    344    604    202      0</t>
  </si>
  <si>
    <t>0   -362   -154    24</t>
  </si>
  <si>
    <t>9    225   -538    593    564</t>
  </si>
  <si>
    <t>235   -692   1687     7</t>
  </si>
  <si>
    <t>4   1753   1490   -678   2077</t>
  </si>
  <si>
    <t>249    117      0    46</t>
  </si>
  <si>
    <t>8    173    681    461      0</t>
  </si>
  <si>
    <t>0   -241   -189</t>
  </si>
  <si>
    <t>0  -9538  -6646  18939  23257</t>
  </si>
  <si>
    <t>953  -1257</t>
  </si>
  <si>
    <t>73    257    506</t>
  </si>
  <si>
    <t>0      0    -50      0    -90</t>
  </si>
  <si>
    <t>0     62     16</t>
  </si>
  <si>
    <t>0    -71    -21</t>
  </si>
  <si>
    <t>0      0   1156   -188    108</t>
  </si>
  <si>
    <t>598   -555</t>
  </si>
  <si>
    <t>0    134      0      0      0</t>
  </si>
  <si>
    <t>0    280      0      0      0</t>
  </si>
  <si>
    <t>0      0    640   -13</t>
  </si>
  <si>
    <t>1      0   -573      0      0</t>
  </si>
  <si>
    <t>-534    172    109</t>
  </si>
  <si>
    <t>0      0   -780    157      0</t>
  </si>
  <si>
    <t>197   -479</t>
  </si>
  <si>
    <t>1   -577      0      0      0</t>
  </si>
  <si>
    <t>-520   -267    914   -25</t>
  </si>
  <si>
    <t>3   -152   -400   -437      0</t>
  </si>
  <si>
    <t>885   -419</t>
  </si>
  <si>
    <t>239    298    166    16</t>
  </si>
  <si>
    <t>7   -338   -682      0      0</t>
  </si>
  <si>
    <t>107    -29</t>
  </si>
  <si>
    <t>0    -81   -938   -67</t>
  </si>
  <si>
    <t>8   -209      0      0      0</t>
  </si>
  <si>
    <t>-763      0  -3909  -371</t>
  </si>
  <si>
    <t>4   5175   7903   7828   9444</t>
  </si>
  <si>
    <t>601    245</t>
  </si>
  <si>
    <t>312   1183      0</t>
  </si>
  <si>
    <t>0   -101      0   -541      0</t>
  </si>
  <si>
    <t>134    -98      0</t>
  </si>
  <si>
    <t>205    321      0</t>
  </si>
  <si>
    <t>0   1416   -348    501   -828</t>
  </si>
  <si>
    <t>654   -333</t>
  </si>
  <si>
    <t>0      0      0   -15</t>
  </si>
  <si>
    <t>3      0      0      0   -644</t>
  </si>
  <si>
    <t>0      0      0    72</t>
  </si>
  <si>
    <t>0  -1932   1713</t>
  </si>
  <si>
    <t>0  -3360      0      0      0</t>
  </si>
  <si>
    <t>0  -7773</t>
  </si>
  <si>
    <t>486    840      0</t>
  </si>
  <si>
    <t>0  -5032   1334      0  -1165</t>
  </si>
  <si>
    <t>884   -958</t>
  </si>
  <si>
    <t>2256  -4968  -4153  -320</t>
  </si>
  <si>
    <t>559   5150</t>
  </si>
  <si>
    <t>1419    227     24   -57</t>
  </si>
  <si>
    <t>4  -1027  -1225      0   -672</t>
  </si>
  <si>
    <t>741    393</t>
  </si>
  <si>
    <t>1356   1074    661  -131</t>
  </si>
  <si>
    <t>3  -2582      0      0    437</t>
  </si>
  <si>
    <t>126    861</t>
  </si>
  <si>
    <t>0 -17050  -6692  1287</t>
  </si>
  <si>
    <t>4  20510  19348  23615  12127</t>
  </si>
  <si>
    <t>0   -560</t>
  </si>
  <si>
    <t>51   -381    211</t>
  </si>
  <si>
    <t>0      0   -514      0    267</t>
  </si>
  <si>
    <t>0     52    -11</t>
  </si>
  <si>
    <t>0    100     16</t>
  </si>
  <si>
    <t>0      0   -145    197     68</t>
  </si>
  <si>
    <t>-9      0      0</t>
  </si>
  <si>
    <t>0    476      0      0      0</t>
  </si>
  <si>
    <t>0     52      0      0      0</t>
  </si>
  <si>
    <t>0      0   -311    22</t>
  </si>
  <si>
    <t>8      0   -197      0      0</t>
  </si>
  <si>
    <t>-526  -4804    159</t>
  </si>
  <si>
    <t>0      0    330    141      0</t>
  </si>
  <si>
    <t>28    108</t>
  </si>
  <si>
    <t>65     21    -30     5</t>
  </si>
  <si>
    <t>6     15      0      0      0</t>
  </si>
  <si>
    <t>0    108</t>
  </si>
  <si>
    <t>589   -546    275    14</t>
  </si>
  <si>
    <t>6   2123   1337   2834      0</t>
  </si>
  <si>
    <t>373    905</t>
  </si>
  <si>
    <t>374 -16791    641   -12</t>
  </si>
  <si>
    <t>1  -1801   2261      0      0</t>
  </si>
  <si>
    <t>-98     74</t>
  </si>
  <si>
    <t>0    239   -299    -2</t>
  </si>
  <si>
    <t>4     35      0      0      0</t>
  </si>
  <si>
    <t>0    548</t>
  </si>
  <si>
    <t>536      0 -10323  -272</t>
  </si>
  <si>
    <t>4 -10956  -5685 -15601  10705</t>
  </si>
  <si>
    <t>097  -2923</t>
  </si>
  <si>
    <t>115  -2515</t>
  </si>
  <si>
    <t>634    340      0</t>
  </si>
  <si>
    <t>0   -150      0   4488      0</t>
  </si>
  <si>
    <t>122    409      0</t>
  </si>
  <si>
    <t>-129   -222      0</t>
  </si>
  <si>
    <t>0   -309  -3291     15    124</t>
  </si>
  <si>
    <t>150   -107</t>
  </si>
  <si>
    <t>0      0      0   278</t>
  </si>
  <si>
    <t>8      0      0      0     87</t>
  </si>
  <si>
    <t>0      0      0   -11</t>
  </si>
  <si>
    <t>0   9856   -171</t>
  </si>
  <si>
    <t>0   -173      0      0      0</t>
  </si>
  <si>
    <t>0   4492</t>
  </si>
  <si>
    <t>2545  -1421      0</t>
  </si>
  <si>
    <t>0   1283    -94      0    423</t>
  </si>
  <si>
    <t>343    359</t>
  </si>
  <si>
    <t>497  -2421  -2171     6</t>
  </si>
  <si>
    <t>6      0      0      0      0</t>
  </si>
  <si>
    <t>234  -9887</t>
  </si>
  <si>
    <t>231   2892  -3530    34</t>
  </si>
  <si>
    <t>8    581    -68      0   -674</t>
  </si>
  <si>
    <t>463   1185</t>
  </si>
  <si>
    <t>1488    451    245  1901</t>
  </si>
  <si>
    <t>5    650      0      0     99</t>
  </si>
  <si>
    <t>31  -1975  -1090    59</t>
  </si>
  <si>
    <t>375  -5857</t>
  </si>
  <si>
    <t>0  -8954 -16428   142</t>
  </si>
  <si>
    <t>8   3143   5308   8610   4019</t>
  </si>
  <si>
    <t>3521      0      0    61</t>
  </si>
  <si>
    <t>5   -502    129   -534      0</t>
  </si>
  <si>
    <t>0    864</t>
  </si>
  <si>
    <t>0   -194      0</t>
  </si>
  <si>
    <t>0      0   -306   -164      0</t>
  </si>
  <si>
    <t>0      0   -195    310      0</t>
  </si>
  <si>
    <t>0    403</t>
  </si>
  <si>
    <t>8    -45      0      0      0</t>
  </si>
  <si>
    <t>0      0   -239</t>
  </si>
  <si>
    <t>0      0      0   -641   -811</t>
  </si>
  <si>
    <t>0    122</t>
  </si>
  <si>
    <t>0    257    543    -67      0</t>
  </si>
  <si>
    <t>0  -2391</t>
  </si>
  <si>
    <t>263      0   -393   -41</t>
  </si>
  <si>
    <t>3   -158   -589    811    420</t>
  </si>
  <si>
    <t>0      0      0    32</t>
  </si>
  <si>
    <t>9    802    366    200    731</t>
  </si>
  <si>
    <t>685   -850</t>
  </si>
  <si>
    <t>2016      0  -1488  -332</t>
  </si>
  <si>
    <t>6  -1255   1956   -877  -1105</t>
  </si>
  <si>
    <t>529 -12675</t>
  </si>
  <si>
    <t>0      0   -729   -68</t>
  </si>
  <si>
    <t>9      0  -1551   1769    355</t>
  </si>
  <si>
    <t>2   2030      0   1550  -1324</t>
  </si>
  <si>
    <t>661  -1726</t>
  </si>
  <si>
    <t>6699 -29854   2550   728</t>
  </si>
  <si>
    <t>3      0 -22487      0      0</t>
  </si>
  <si>
    <t>0      0      0    836   -156</t>
  </si>
  <si>
    <t>115   -213</t>
  </si>
  <si>
    <t>0      0    319</t>
  </si>
  <si>
    <t>0    322      0      0      0</t>
  </si>
  <si>
    <t>655   -879</t>
  </si>
  <si>
    <t>169     73</t>
  </si>
  <si>
    <t>0      0    -33   -22</t>
  </si>
  <si>
    <t>9    -72    -20    -32    -72</t>
  </si>
  <si>
    <t>0     16      0</t>
  </si>
  <si>
    <t>0      0   -307      0      0</t>
  </si>
  <si>
    <t>-349      0   -177</t>
  </si>
  <si>
    <t>0      0      0      0    197</t>
  </si>
  <si>
    <t>126     83</t>
  </si>
  <si>
    <t>0      0     49     4</t>
  </si>
  <si>
    <t>4      0    253    273    330</t>
  </si>
  <si>
    <t>75    250</t>
  </si>
  <si>
    <t>292    193      0</t>
  </si>
  <si>
    <t>0      0      0     90   -109</t>
  </si>
  <si>
    <t>135     75</t>
  </si>
  <si>
    <t>-598     23    988    -7</t>
  </si>
  <si>
    <t>6      0    398    810   1780</t>
  </si>
  <si>
    <t>47   -223   1472</t>
  </si>
  <si>
    <t>0      0   1561   1654      0</t>
  </si>
  <si>
    <t>192    593</t>
  </si>
  <si>
    <t>692   1469      0</t>
  </si>
  <si>
    <t>0      0      0    444   -589</t>
  </si>
  <si>
    <t>0  -3837</t>
  </si>
  <si>
    <t>4622 -10323 -15162  -615</t>
  </si>
  <si>
    <t>0  -5582   2386   5357      0</t>
  </si>
  <si>
    <t>280      0</t>
  </si>
  <si>
    <t>0   1191 -15893</t>
  </si>
  <si>
    <t>0      0      0    50</t>
  </si>
  <si>
    <t>1     89    280      0      0</t>
  </si>
  <si>
    <t>0     26</t>
  </si>
  <si>
    <t>0    138      0</t>
  </si>
  <si>
    <t>0      0   -483   -605      0</t>
  </si>
  <si>
    <t>0      0    564   -180      0</t>
  </si>
  <si>
    <t>0      1</t>
  </si>
  <si>
    <t>165   -174     29     4</t>
  </si>
  <si>
    <t>1    -53      0      0      0</t>
  </si>
  <si>
    <t>0      0   -105</t>
  </si>
  <si>
    <t>-21      0</t>
  </si>
  <si>
    <t>0      0      0    385    672</t>
  </si>
  <si>
    <t>0    167</t>
  </si>
  <si>
    <t>0    261    164      5      0</t>
  </si>
  <si>
    <t>0   -241</t>
  </si>
  <si>
    <t>212      0     93    11</t>
  </si>
  <si>
    <t>2   -882   -212    -70    165</t>
  </si>
  <si>
    <t>-72      0</t>
  </si>
  <si>
    <t>0      0      0    -3</t>
  </si>
  <si>
    <t>5   -369   -550    374     83</t>
  </si>
  <si>
    <t>205    166</t>
  </si>
  <si>
    <t>-62      0     81    23</t>
  </si>
  <si>
    <t>1    858     46   -140   -190</t>
  </si>
  <si>
    <t>125   -725</t>
  </si>
  <si>
    <t>0      0    470    44</t>
  </si>
  <si>
    <t>5      0   -593    260    288</t>
  </si>
  <si>
    <t>0   -409      0  -2987  -2695</t>
  </si>
  <si>
    <t>422   4039</t>
  </si>
  <si>
    <t>2657  -1197   1808   506</t>
  </si>
  <si>
    <t>3      0  -2058      0      0</t>
  </si>
  <si>
    <t>818   8258</t>
  </si>
  <si>
    <t>0  11602      0</t>
  </si>
  <si>
    <t>0      0      0    543    -53</t>
  </si>
  <si>
    <t>207   -674</t>
  </si>
  <si>
    <t>0      0    118</t>
  </si>
  <si>
    <t>0   -448      0      0      0</t>
  </si>
  <si>
    <t>44   -252</t>
  </si>
  <si>
    <t>329    190</t>
  </si>
  <si>
    <t>0      0   2914    35</t>
  </si>
  <si>
    <t>9  -1196  -1224  -1936   -243</t>
  </si>
  <si>
    <t>0   -378      0</t>
  </si>
  <si>
    <t>0      0   -278      0      0</t>
  </si>
  <si>
    <t>0   -448      0</t>
  </si>
  <si>
    <t>0   -339</t>
  </si>
  <si>
    <t>-293      0   -735</t>
  </si>
  <si>
    <t>140    -14</t>
  </si>
  <si>
    <t>0      0     57   -15</t>
  </si>
  <si>
    <t>3      0    -17   -302    294</t>
  </si>
  <si>
    <t>291      9</t>
  </si>
  <si>
    <t>1003   -927      0</t>
  </si>
  <si>
    <t>0      0      0     55    386</t>
  </si>
  <si>
    <t>-47   1315</t>
  </si>
  <si>
    <t>731    -99  -2318     6</t>
  </si>
  <si>
    <t>2      0   -976  -2268   -649</t>
  </si>
  <si>
    <t>295   -416</t>
  </si>
  <si>
    <t>-423  -1993   1218</t>
  </si>
  <si>
    <t>0      0   -126   -399      0</t>
  </si>
  <si>
    <t>487  -6719</t>
  </si>
  <si>
    <t>3189  -2611      0</t>
  </si>
  <si>
    <t>0      0      0   -719     18</t>
  </si>
  <si>
    <t>0  -5336</t>
  </si>
  <si>
    <t>4925  -5892  11145  -829</t>
  </si>
  <si>
    <t>5 -33505   4290  10109      0</t>
  </si>
  <si>
    <t>0  10788  -3961</t>
  </si>
  <si>
    <t>0  -3243      0      0   1290</t>
  </si>
  <si>
    <t>0   1151</t>
  </si>
  <si>
    <t>-529     22   -272</t>
  </si>
  <si>
    <t>0      0    258      0   -128</t>
  </si>
  <si>
    <t>0    520   -454</t>
  </si>
  <si>
    <t>0    287     82</t>
  </si>
  <si>
    <t>0      0    668   -521   -352</t>
  </si>
  <si>
    <t>312   -396</t>
  </si>
  <si>
    <t>-91      0      0</t>
  </si>
  <si>
    <t>0     -9      0      0      0</t>
  </si>
  <si>
    <t>29      0</t>
  </si>
  <si>
    <t>0   -149      0      0      0</t>
  </si>
  <si>
    <t>0      0   -108   -66</t>
  </si>
  <si>
    <t>4      0  -1048      0      0</t>
  </si>
  <si>
    <t>96   -139      3</t>
  </si>
  <si>
    <t>0      0     88   -145      0</t>
  </si>
  <si>
    <t>144   -604</t>
  </si>
  <si>
    <t>623   -753   -410  -371</t>
  </si>
  <si>
    <t>3  -1203      0      0      0</t>
  </si>
  <si>
    <t>0    470</t>
  </si>
  <si>
    <t>294     54   1099    58</t>
  </si>
  <si>
    <t>2   -314  -2824    798      0</t>
  </si>
  <si>
    <t>088  -2022</t>
  </si>
  <si>
    <t>2  -1478    362      0      0</t>
  </si>
  <si>
    <t>107   -810</t>
  </si>
  <si>
    <t>0  -1044  -3179 -1072</t>
  </si>
  <si>
    <t>5  -4132      0      0      0</t>
  </si>
  <si>
    <t>0    642</t>
  </si>
  <si>
    <t>238      0  -3890  -682</t>
  </si>
  <si>
    <t>9   -245  18313  -9185 -13862</t>
  </si>
  <si>
    <t>308   9057</t>
  </si>
  <si>
    <t>0   7569   1150      0  -5030</t>
  </si>
  <si>
    <t>3887      0  29597   110</t>
  </si>
  <si>
    <t>3    187    156   -141      0</t>
  </si>
  <si>
    <t>0    -55</t>
  </si>
  <si>
    <t>0      0   -120   -504      0</t>
  </si>
  <si>
    <t>0      0   -323   -106      0</t>
  </si>
  <si>
    <t>0   -608</t>
  </si>
  <si>
    <t>91    215    314    44</t>
  </si>
  <si>
    <t>2     -6      0      0      0</t>
  </si>
  <si>
    <t>0      0    -80</t>
  </si>
  <si>
    <t>0      0      0     58    199</t>
  </si>
  <si>
    <t>0  -1610</t>
  </si>
  <si>
    <t>0     16   -309      7      0</t>
  </si>
  <si>
    <t>0   -539</t>
  </si>
  <si>
    <t>30      0   -277   -63</t>
  </si>
  <si>
    <t>8    -13   -577   -303  -1150</t>
  </si>
  <si>
    <t>5   -355   -416   1731    897</t>
  </si>
  <si>
    <t>715  -2511</t>
  </si>
  <si>
    <t>2704      0   -681  -112</t>
  </si>
  <si>
    <t>3    -28   -154   -154   -233</t>
  </si>
  <si>
    <t>837    374</t>
  </si>
  <si>
    <t>0      0   -414  -103</t>
  </si>
  <si>
    <t>2      0  -1101  -2613  -3808</t>
  </si>
  <si>
    <t>993      0</t>
  </si>
  <si>
    <t>0      0      0   -49</t>
  </si>
  <si>
    <t>8   -831      0  -6625  -4633</t>
  </si>
  <si>
    <t>454  20886</t>
  </si>
  <si>
    <t>9850  -1555   2617   796</t>
  </si>
  <si>
    <t>2      0    956      0      0</t>
  </si>
  <si>
    <t>560  -1689</t>
  </si>
  <si>
    <t>0 -13651      0</t>
  </si>
  <si>
    <t>0   5659      0  19783  31879</t>
  </si>
  <si>
    <t>466   -964</t>
  </si>
  <si>
    <t>336   -119      0</t>
  </si>
  <si>
    <t>0    104      0    428      0</t>
  </si>
  <si>
    <t>-98     32      0</t>
  </si>
  <si>
    <t>-463   3724      0</t>
  </si>
  <si>
    <t>0    775   -611   -312   -320</t>
  </si>
  <si>
    <t>508    -80</t>
  </si>
  <si>
    <t>0      0      0    -6</t>
  </si>
  <si>
    <t>5      0      0      0     62</t>
  </si>
  <si>
    <t>0   -617   -640</t>
  </si>
  <si>
    <t>0    -31      0      0      0</t>
  </si>
  <si>
    <t>148     58      0</t>
  </si>
  <si>
    <t>0    114    -33      0    -27</t>
  </si>
  <si>
    <t>155     78</t>
  </si>
  <si>
    <t>-249    138    498   -12</t>
  </si>
  <si>
    <t>508    631</t>
  </si>
  <si>
    <t>422   -323   -256     3</t>
  </si>
  <si>
    <t>6   -385     -9      0   -102</t>
  </si>
  <si>
    <t>550    865</t>
  </si>
  <si>
    <t>482    299    323  -190</t>
  </si>
  <si>
    <t>0    388      0      0    -52</t>
  </si>
  <si>
    <t>-255   -607    905   -35</t>
  </si>
  <si>
    <t>857    781</t>
  </si>
  <si>
    <t>0  -4254  -5669   401</t>
  </si>
  <si>
    <t>7  12489  11692  22168   3344</t>
  </si>
  <si>
    <t>-688      0      0  1390</t>
  </si>
  <si>
    <t>8  -4767      0  -4900      0</t>
  </si>
  <si>
    <t>0    287</t>
  </si>
  <si>
    <t>0   1367  -9361   172</t>
  </si>
  <si>
    <t>178  -1681</t>
  </si>
  <si>
    <t>1173   -817      0</t>
  </si>
  <si>
    <t>0    280      0    155      0</t>
  </si>
  <si>
    <t>-394  -1101      0</t>
  </si>
  <si>
    <t>3584   1684      0</t>
  </si>
  <si>
    <t>0   1317  -2449   -353   -999</t>
  </si>
  <si>
    <t>755   -293</t>
  </si>
  <si>
    <t>0      0      0   292</t>
  </si>
  <si>
    <t>2      0      0      0   -246</t>
  </si>
  <si>
    <t>0    971   -723</t>
  </si>
  <si>
    <t>0   1035      0      0      0</t>
  </si>
  <si>
    <t>0  -4580</t>
  </si>
  <si>
    <t>1658   -302      0</t>
  </si>
  <si>
    <t>0   2087   -160      0    791</t>
  </si>
  <si>
    <t>599    171</t>
  </si>
  <si>
    <t>187    -36   1262    75</t>
  </si>
  <si>
    <t>337  10921</t>
  </si>
  <si>
    <t>1534  -5794    154    -5</t>
  </si>
  <si>
    <t>1    326    261      0   -179</t>
  </si>
  <si>
    <t>643  -1253</t>
  </si>
  <si>
    <t>5    173      0      0    -26</t>
  </si>
  <si>
    <t>-46    -82    323    14</t>
  </si>
  <si>
    <t>458  20511</t>
  </si>
  <si>
    <t>0 -80869   2245  -353</t>
  </si>
  <si>
    <t>1  -3729  -3930    944  -1089</t>
  </si>
  <si>
    <t>700      0</t>
  </si>
  <si>
    <t>6322      0      0 -1184</t>
  </si>
  <si>
    <t>3  -3142      0  -1941      0</t>
  </si>
  <si>
    <t>0   -824</t>
  </si>
  <si>
    <t>0  -1389  -5489   -34</t>
  </si>
  <si>
    <t>0   3547   1617   200</t>
  </si>
  <si>
    <t>3    276      0      0    327</t>
  </si>
  <si>
    <t>0    320</t>
  </si>
  <si>
    <t>4    306      0      0      0</t>
  </si>
  <si>
    <t>0      0      0  -130</t>
  </si>
  <si>
    <t>2   -974      0      0   2015</t>
  </si>
  <si>
    <t>548  -1216</t>
  </si>
  <si>
    <t>60     97    -29</t>
  </si>
  <si>
    <t>0      0      0   -338      0</t>
  </si>
  <si>
    <t>305      0      0</t>
  </si>
  <si>
    <t>0      0      0    380      0</t>
  </si>
  <si>
    <t>0  10761   1012      0   1552</t>
  </si>
  <si>
    <t>0      0  -2647   -26</t>
  </si>
  <si>
    <t>8    208      0      0      6</t>
  </si>
  <si>
    <t>583    517    437    68</t>
  </si>
  <si>
    <t>2    367    343    850      0</t>
  </si>
  <si>
    <t>0    209   2078  -163</t>
  </si>
  <si>
    <t>3   9179    317   1262   1841</t>
  </si>
  <si>
    <t>247  -1074  -1545     1</t>
  </si>
  <si>
    <t>9    430    161   -405    161</t>
  </si>
  <si>
    <t>96    130      0    42</t>
  </si>
  <si>
    <t>9    455     70    -59      0</t>
  </si>
  <si>
    <t>0   -142   5879</t>
  </si>
  <si>
    <t>0   8815    673   1141   1994</t>
  </si>
  <si>
    <t>822    764</t>
  </si>
  <si>
    <t>43    207      0    -2</t>
  </si>
  <si>
    <t>5      0      0  -1827    -68</t>
  </si>
  <si>
    <t>0    593</t>
  </si>
  <si>
    <t>0      0    402</t>
  </si>
  <si>
    <t>0    329    -82   -190      0</t>
  </si>
  <si>
    <t>0   -151   7581</t>
  </si>
  <si>
    <t>0    612  44961    170     51</t>
  </si>
  <si>
    <t>194      0   -656</t>
  </si>
  <si>
    <t>0      0      0    -23     10</t>
  </si>
  <si>
    <t>0      0      0    148    -96</t>
  </si>
  <si>
    <t>760  61215   -262   -32</t>
  </si>
  <si>
    <t>6    -36     68      0      0</t>
  </si>
  <si>
    <t>0   -477</t>
  </si>
  <si>
    <t>0      0      0     6</t>
  </si>
  <si>
    <t>0    150</t>
  </si>
  <si>
    <t>0      0      0      0   -579</t>
  </si>
  <si>
    <t>086      0</t>
  </si>
  <si>
    <t>-66      0      0</t>
  </si>
  <si>
    <t>0      0     49    516    344</t>
  </si>
  <si>
    <t>-192     24      0   -15</t>
  </si>
  <si>
    <t>3    404    -51    135    446</t>
  </si>
  <si>
    <t>299     23</t>
  </si>
  <si>
    <t>0    446    672   -133    932</t>
  </si>
  <si>
    <t>949     61</t>
  </si>
  <si>
    <t>-86    -49      0   -67</t>
  </si>
  <si>
    <t>9   -188    384     53    152</t>
  </si>
  <si>
    <t>201  -3374</t>
  </si>
  <si>
    <t>-3      0      0    -8</t>
  </si>
  <si>
    <t>1    366      0    226     16</t>
  </si>
  <si>
    <t>-86     55</t>
  </si>
  <si>
    <t>0    214    137      0   1238</t>
  </si>
  <si>
    <t>266     20</t>
  </si>
  <si>
    <t>6   -320      0     -2      0</t>
  </si>
  <si>
    <t>0  -4453</t>
  </si>
  <si>
    <t>-179      0    -22</t>
  </si>
  <si>
    <t>0      0    110      0   -132</t>
  </si>
  <si>
    <t>254    -58</t>
  </si>
  <si>
    <t>0     -9     64      0   5885</t>
  </si>
  <si>
    <t>1756    545      0</t>
  </si>
  <si>
    <t>0     15      0    -45      0</t>
  </si>
  <si>
    <t>-112    270      0</t>
  </si>
  <si>
    <t>-820   -280      0</t>
  </si>
  <si>
    <t>0  -1242  -1388   1198    537</t>
  </si>
  <si>
    <t>924     96</t>
  </si>
  <si>
    <t>0      0      0     9</t>
  </si>
  <si>
    <t>0    -97   -481</t>
  </si>
  <si>
    <t>0   -209      0      0      0</t>
  </si>
  <si>
    <t>242    151      0</t>
  </si>
  <si>
    <t>0   -178    138      0   -152</t>
  </si>
  <si>
    <t>103    -78</t>
  </si>
  <si>
    <t>-31     12    -24    -6</t>
  </si>
  <si>
    <t>111   -172</t>
  </si>
  <si>
    <t>434     15   -208  -342</t>
  </si>
  <si>
    <t>6    -18   -201      0    -74</t>
  </si>
  <si>
    <t>100   -302</t>
  </si>
  <si>
    <t>537    280    -18    -7</t>
  </si>
  <si>
    <t>0     13      0      0    -83</t>
  </si>
  <si>
    <t>-125     13     15     8</t>
  </si>
  <si>
    <t>0   -221   -402   -47</t>
  </si>
  <si>
    <t>0    459    453    246     89</t>
  </si>
  <si>
    <t>370      0      0   -11</t>
  </si>
  <si>
    <t>9    -61      0     22      0</t>
  </si>
  <si>
    <t>0     46    -29     3</t>
  </si>
  <si>
    <t>212   -140</t>
  </si>
  <si>
    <t>0  -4161  -1054</t>
  </si>
  <si>
    <t>0   -289    646     68     14</t>
  </si>
  <si>
    <t>-21      0    -39</t>
  </si>
  <si>
    <t>0      0      0     66    115</t>
  </si>
  <si>
    <t>0      0      0    -29   -166</t>
  </si>
  <si>
    <t>720   -279    229   268</t>
  </si>
  <si>
    <t>7   -460   -145      0      0</t>
  </si>
  <si>
    <t>0    -87</t>
  </si>
  <si>
    <t>0   -111</t>
  </si>
  <si>
    <t>0      0      0      0    686</t>
  </si>
  <si>
    <t>-787      0      0</t>
  </si>
  <si>
    <t>0      0  -1440    212    201</t>
  </si>
  <si>
    <t>1070    281      0   -26</t>
  </si>
  <si>
    <t>2   -735   -257   -487  -1078</t>
  </si>
  <si>
    <t>878   -717</t>
  </si>
  <si>
    <t>0    -49   -237   -443     43</t>
  </si>
  <si>
    <t>150     44</t>
  </si>
  <si>
    <t>183     65      0  1293</t>
  </si>
  <si>
    <t>9    927   -255     78    106</t>
  </si>
  <si>
    <t>63    -34</t>
  </si>
  <si>
    <t>-214      0      0     9</t>
  </si>
  <si>
    <t>4    -80      0    -33   -484</t>
  </si>
  <si>
    <t>145    147</t>
  </si>
  <si>
    <t>0    165   -196      0    147</t>
  </si>
  <si>
    <t>-22     44</t>
  </si>
  <si>
    <t>-77    -56   -252  1108</t>
  </si>
  <si>
    <t>2   1421      0     17      0</t>
  </si>
  <si>
    <t>0     12</t>
  </si>
  <si>
    <t>-24      0   -197</t>
  </si>
  <si>
    <t>0      0     34      0   -107</t>
  </si>
  <si>
    <t>-66     97</t>
  </si>
  <si>
    <t>0   -118   -232      0  -5287</t>
  </si>
  <si>
    <t>771   1195</t>
  </si>
  <si>
    <t>0      0      0   -61</t>
  </si>
  <si>
    <t>0   1191    -26     36      0</t>
  </si>
  <si>
    <t>0    -66</t>
  </si>
  <si>
    <t>0    242      0</t>
  </si>
  <si>
    <t>0      0    187    258      0</t>
  </si>
  <si>
    <t>0      0   -153   -616      0</t>
  </si>
  <si>
    <t>-662    822   -207   533</t>
  </si>
  <si>
    <t>1   -321      0      0      0</t>
  </si>
  <si>
    <t>0      0   -850</t>
  </si>
  <si>
    <t>0      0      0  -1675   1849</t>
  </si>
  <si>
    <t>0  -3414</t>
  </si>
  <si>
    <t>0  -8224    590    918      0</t>
  </si>
  <si>
    <t>0  -5228</t>
  </si>
  <si>
    <t>1462      0  -1190  -304</t>
  </si>
  <si>
    <t>3  -1077  -2250  -5624  -4237</t>
  </si>
  <si>
    <t>0      0      0  -272</t>
  </si>
  <si>
    <t>6   3763  -1697   -449   -552</t>
  </si>
  <si>
    <t>-27    454</t>
  </si>
  <si>
    <t>37      0    316  2244</t>
  </si>
  <si>
    <t>2   -635    731    845    403</t>
  </si>
  <si>
    <t>12  -1059</t>
  </si>
  <si>
    <t>0      0    356     3</t>
  </si>
  <si>
    <t>8      0    110  -1603   -453</t>
  </si>
  <si>
    <t>561      0</t>
  </si>
  <si>
    <t>0      0      0    18</t>
  </si>
  <si>
    <t>4  -1146      0   -374   -179</t>
  </si>
  <si>
    <t>-188  -1652    693  2342</t>
  </si>
  <si>
    <t>9      0    118      0      0</t>
  </si>
  <si>
    <t>401   -448</t>
  </si>
  <si>
    <t>0   -427      0</t>
  </si>
  <si>
    <t>0    157      0   -653   -215</t>
  </si>
  <si>
    <t>478      0</t>
  </si>
  <si>
    <t>0      0      0   -36</t>
  </si>
  <si>
    <t>2   -918      0  -4827  -1549</t>
  </si>
  <si>
    <t>0      0   7819  -152</t>
  </si>
  <si>
    <t>6    351   -467    -70      0</t>
  </si>
  <si>
    <t>0   -154</t>
  </si>
  <si>
    <t>0    557      0</t>
  </si>
  <si>
    <t>0      0     86    267      0</t>
  </si>
  <si>
    <t>0      0   -413   -566      0</t>
  </si>
  <si>
    <t>0    473</t>
  </si>
  <si>
    <t>-91    141   -287   -45</t>
  </si>
  <si>
    <t>1   -844      0      0      0</t>
  </si>
  <si>
    <t>0      0      0    -21   -397</t>
  </si>
  <si>
    <t>0  -2946   -118    -67      0</t>
  </si>
  <si>
    <t>0   -168</t>
  </si>
  <si>
    <t>125      0    115   -38</t>
  </si>
  <si>
    <t>7     25   -338    -80     12</t>
  </si>
  <si>
    <t>5   -855    910    375   -165</t>
  </si>
  <si>
    <t>574   -724</t>
  </si>
  <si>
    <t>-721      0   -461   -51</t>
  </si>
  <si>
    <t>4  -6532     58    117     61</t>
  </si>
  <si>
    <t>973   -370</t>
  </si>
  <si>
    <t>0      0     26   -42</t>
  </si>
  <si>
    <t>2      0   -303   -331   -166</t>
  </si>
  <si>
    <t>0      0      0    -2</t>
  </si>
  <si>
    <t>4  -1425      0   -490   -770</t>
  </si>
  <si>
    <t>469    972</t>
  </si>
  <si>
    <t>624      5    209    71</t>
  </si>
  <si>
    <t>4      0   -166      0      0</t>
  </si>
  <si>
    <t>874    363</t>
  </si>
  <si>
    <t>0    200      0    223    595</t>
  </si>
  <si>
    <t>774      0</t>
  </si>
  <si>
    <t>0      0      0    22</t>
  </si>
  <si>
    <t>1  -1496      0  -6985  -4960</t>
  </si>
  <si>
    <t>781      0</t>
  </si>
  <si>
    <t>0      0   3892   991</t>
  </si>
  <si>
    <t>5   -861   1000    136    -11</t>
  </si>
  <si>
    <t>-152      0    207</t>
  </si>
  <si>
    <t>0      0      0     48    363</t>
  </si>
  <si>
    <t>0      0      0   -358   -137</t>
  </si>
  <si>
    <t>-976   1048    883    48</t>
  </si>
  <si>
    <t>2   1025    112      0      0</t>
  </si>
  <si>
    <t>0   -390</t>
  </si>
  <si>
    <t>0      0      0      0    612</t>
  </si>
  <si>
    <t>742      0</t>
  </si>
  <si>
    <t>0      0    -83  -2284   -336</t>
  </si>
  <si>
    <t>-110     57      0    -9</t>
  </si>
  <si>
    <t>6    102    -42     20   -135</t>
  </si>
  <si>
    <t>-46     58</t>
  </si>
  <si>
    <t>0      7   -401   -472   1047</t>
  </si>
  <si>
    <t>957    570</t>
  </si>
  <si>
    <t>150    306      0   -11</t>
  </si>
  <si>
    <t>1    -70   -323  -7033   -938</t>
  </si>
  <si>
    <t>102   -183</t>
  </si>
  <si>
    <t>98      0      0   -12</t>
  </si>
  <si>
    <t>7   -237      0   -218    124</t>
  </si>
  <si>
    <t>150    -16</t>
  </si>
  <si>
    <t>0    327   -193      0    828</t>
  </si>
  <si>
    <t>740    440</t>
  </si>
  <si>
    <t>155    153     57    -1</t>
  </si>
  <si>
    <t>2    -21      0  -5349      0</t>
  </si>
  <si>
    <t>0    432</t>
  </si>
  <si>
    <t>-52      0    179</t>
  </si>
  <si>
    <t>0      0    -16      0    323</t>
  </si>
  <si>
    <t>271     62</t>
  </si>
  <si>
    <t>0    330   -299      0  -7921</t>
  </si>
  <si>
    <t>374  -7565</t>
  </si>
  <si>
    <t>0      0      0   -51</t>
  </si>
  <si>
    <t>9  -1705   1864    637    483</t>
  </si>
  <si>
    <t>211    141</t>
  </si>
  <si>
    <t>0      0  -3744</t>
  </si>
  <si>
    <t>0   -114      0      0      0</t>
  </si>
  <si>
    <t>-53     63</t>
  </si>
  <si>
    <t>293    187</t>
  </si>
  <si>
    <t>0      0  -1350    41</t>
  </si>
  <si>
    <t>4    967    592   1165    151</t>
  </si>
  <si>
    <t>0      0   -132      0      0</t>
  </si>
  <si>
    <t>0   -199      0</t>
  </si>
  <si>
    <t>830      0    162</t>
  </si>
  <si>
    <t>0      0      0      0     46</t>
  </si>
  <si>
    <t>254  -2787</t>
  </si>
  <si>
    <t>0      0   -105     9</t>
  </si>
  <si>
    <t>8      0   -120    132   -101</t>
  </si>
  <si>
    <t>16   -163</t>
  </si>
  <si>
    <t>-86    -29      0</t>
  </si>
  <si>
    <t>0      0      0    -39   -185</t>
  </si>
  <si>
    <t>161    613</t>
  </si>
  <si>
    <t>1297    331    230    15</t>
  </si>
  <si>
    <t>7      0    -72      2   -138</t>
  </si>
  <si>
    <t>231  -7415</t>
  </si>
  <si>
    <t>-128   -342    358</t>
  </si>
  <si>
    <t>0      0   -109   -269      0</t>
  </si>
  <si>
    <t>300     39</t>
  </si>
  <si>
    <t>160    -59      0</t>
  </si>
  <si>
    <t>0      0      0    323    169</t>
  </si>
  <si>
    <t>888    -52   -303   -22</t>
  </si>
  <si>
    <t>4    554    -28     17      0</t>
  </si>
  <si>
    <t>0    359   -578</t>
  </si>
  <si>
    <t>0    237      0      0    -90</t>
  </si>
  <si>
    <t>0    109</t>
  </si>
  <si>
    <t>28     12      0</t>
  </si>
  <si>
    <t>0      0      0    114     54</t>
  </si>
  <si>
    <t>0  -8772</t>
  </si>
  <si>
    <t>3832  -3875      0</t>
  </si>
  <si>
    <t>0      0  -1237  -3124    319</t>
  </si>
  <si>
    <t>0      0      0    64</t>
  </si>
  <si>
    <t>7  -3041     65     55      0</t>
  </si>
  <si>
    <t>0   -139</t>
  </si>
  <si>
    <t>0   -115      0</t>
  </si>
  <si>
    <t>0      0     31     27      0</t>
  </si>
  <si>
    <t>0      0    276   -749      0</t>
  </si>
  <si>
    <t>3569    242    226    81</t>
  </si>
  <si>
    <t>0    100      0      0      0</t>
  </si>
  <si>
    <t>049      0</t>
  </si>
  <si>
    <t>0      0     41</t>
  </si>
  <si>
    <t>0      0      0   6905  -1940</t>
  </si>
  <si>
    <t>0   3209  -2230  -1314      0</t>
  </si>
  <si>
    <t>0    861</t>
  </si>
  <si>
    <t>-47      0    328    30</t>
  </si>
  <si>
    <t>7    241    398  -1791  -1267</t>
  </si>
  <si>
    <t>0      0      0  -239</t>
  </si>
  <si>
    <t>7  -6510    274    804  -4873</t>
  </si>
  <si>
    <t>182    395</t>
  </si>
  <si>
    <t>-30      0   -339   -38</t>
  </si>
  <si>
    <t>9    878  -1025   -308     39</t>
  </si>
  <si>
    <t>553   -383</t>
  </si>
  <si>
    <t>0      0    -16    -4</t>
  </si>
  <si>
    <t>9      0    -92   -282     32</t>
  </si>
  <si>
    <t>0      0      0   -68</t>
  </si>
  <si>
    <t>4  -2689      0   -442  -5776</t>
  </si>
  <si>
    <t>22    235</t>
  </si>
  <si>
    <t>7      0   -568      0      0</t>
  </si>
  <si>
    <t>911   -501</t>
  </si>
  <si>
    <t>0    -60      0   -431   -272</t>
  </si>
  <si>
    <t>0      0      0   -64</t>
  </si>
  <si>
    <t>7  -2483      0 -20389 -16790</t>
  </si>
  <si>
    <t>330      0</t>
  </si>
  <si>
    <t>0      0   1789  -847</t>
  </si>
  <si>
    <t>8  -4447  12388   6553      0</t>
  </si>
  <si>
    <t>0   -191    304   -38</t>
  </si>
  <si>
    <t>3   -201      0      0     55</t>
  </si>
  <si>
    <t>0      0      0    60</t>
  </si>
  <si>
    <t>3      8      0      0      0</t>
  </si>
  <si>
    <t>0      0      0   -37</t>
  </si>
  <si>
    <t>3   -211      0      0    596</t>
  </si>
  <si>
    <t>9   -389</t>
  </si>
  <si>
    <t>0      0      0     64      0</t>
  </si>
  <si>
    <t>310      0      0</t>
  </si>
  <si>
    <t>0      0      0    -90      0</t>
  </si>
  <si>
    <t>0    417    137      0    -77</t>
  </si>
  <si>
    <t>0      0   -372    24</t>
  </si>
  <si>
    <t>6    161      0      0    -57</t>
  </si>
  <si>
    <t>295    -15    224    -3</t>
  </si>
  <si>
    <t>6   -109   -112    -47      0</t>
  </si>
  <si>
    <t>0   -100   -426    19</t>
  </si>
  <si>
    <t>3    734    241   -342   -567</t>
  </si>
  <si>
    <t>-250   -562   -933    32</t>
  </si>
  <si>
    <t>8    442    122     76   -527</t>
  </si>
  <si>
    <t>737   -342      0   -16</t>
  </si>
  <si>
    <t>2   -158   -126   -265      0</t>
  </si>
  <si>
    <t>0     75   -355</t>
  </si>
  <si>
    <t>0    552    229     79     74</t>
  </si>
  <si>
    <t>-145   -465      0    -5</t>
  </si>
  <si>
    <t>6      0      0    -63    481</t>
  </si>
  <si>
    <t>0  -1767</t>
  </si>
  <si>
    <t>0    123    311    352      0</t>
  </si>
  <si>
    <t>0    356    -90</t>
  </si>
  <si>
    <t>0 -14504  -9136  -5663      0</t>
  </si>
  <si>
    <t>7039  15867  17981  -350</t>
  </si>
  <si>
    <t>7  -5169      0  -2513      0</t>
  </si>
  <si>
    <t>182    582</t>
  </si>
  <si>
    <t>108    -64      0</t>
  </si>
  <si>
    <t>0    -20      0    156      0</t>
  </si>
  <si>
    <t>71  -1924      0</t>
  </si>
  <si>
    <t>269   -188      0</t>
  </si>
  <si>
    <t>0   -262    854     74    129</t>
  </si>
  <si>
    <t>377    -12</t>
  </si>
  <si>
    <t>0      0      0    14</t>
  </si>
  <si>
    <t>8      0      0      0   -342</t>
  </si>
  <si>
    <t>0    922    867</t>
  </si>
  <si>
    <t>-497   -139      0</t>
  </si>
  <si>
    <t>0    423   -142      0     33</t>
  </si>
  <si>
    <t>556    307</t>
  </si>
  <si>
    <t>1046    460    346     4</t>
  </si>
  <si>
    <t>696    210</t>
  </si>
  <si>
    <t>430    508    779    18</t>
  </si>
  <si>
    <t>9    -88   -195      0    -21</t>
  </si>
  <si>
    <t>324   -548</t>
  </si>
  <si>
    <t>72      8     29    22</t>
  </si>
  <si>
    <t>0   -238      0      0    207</t>
  </si>
  <si>
    <t>787      0</t>
  </si>
  <si>
    <t>-279   -114   -122     1</t>
  </si>
  <si>
    <t>217   -505</t>
  </si>
  <si>
    <t>0    206    732    19</t>
  </si>
  <si>
    <t>6    169    -52    157     39</t>
  </si>
  <si>
    <t>430      0</t>
  </si>
  <si>
    <t>19      0      0    11</t>
  </si>
  <si>
    <t>2   -106      0   -447      0</t>
  </si>
  <si>
    <t>0   -186</t>
  </si>
  <si>
    <t>0    -37   -122    13</t>
  </si>
  <si>
    <t>0  -7481  -2267  -751</t>
  </si>
  <si>
    <t>6      0      0      0   2344</t>
  </si>
  <si>
    <t>202   8620</t>
  </si>
  <si>
    <t>-251   -450      0  -362</t>
  </si>
  <si>
    <t>5      0      0  19858      0</t>
  </si>
  <si>
    <t>0    382</t>
  </si>
  <si>
    <t>1264    -90     94</t>
  </si>
  <si>
    <t>0      0    -27      0    -40</t>
  </si>
  <si>
    <t>0    384   -393</t>
  </si>
  <si>
    <t>0    446     85</t>
  </si>
  <si>
    <t>0      0   -388   2174    216</t>
  </si>
  <si>
    <t>175    402</t>
  </si>
  <si>
    <t>14      0      0</t>
  </si>
  <si>
    <t>0    179      0      0      0</t>
  </si>
  <si>
    <t>0    -48      0      0      0</t>
  </si>
  <si>
    <t>0      0    851   243</t>
  </si>
  <si>
    <t>1      0    -38      0      0</t>
  </si>
  <si>
    <t>0      0    146    -48      0</t>
  </si>
  <si>
    <t>233   -902</t>
  </si>
  <si>
    <t>-121  -1614    264    20</t>
  </si>
  <si>
    <t>8    -59      0      0      0</t>
  </si>
  <si>
    <t>0    426</t>
  </si>
  <si>
    <t>-289    352    536   208</t>
  </si>
  <si>
    <t>0    -89      3    -57      0</t>
  </si>
  <si>
    <t>46    357</t>
  </si>
  <si>
    <t>-249     42   -114    -2</t>
  </si>
  <si>
    <t>6    279   -250      0      0</t>
  </si>
  <si>
    <t>161   -154</t>
  </si>
  <si>
    <t>0  -1013   -118   -10</t>
  </si>
  <si>
    <t>6     18      0      0      0</t>
  </si>
  <si>
    <t>-518      0    398   212</t>
  </si>
  <si>
    <t>2     22    185    133    193</t>
  </si>
  <si>
    <t>34    293</t>
  </si>
  <si>
    <t>0     33      0</t>
  </si>
  <si>
    <t>0    223   -283      0   -517</t>
  </si>
  <si>
    <t>339      0   -138   -34</t>
  </si>
  <si>
    <t>3      2      0      0      0</t>
  </si>
  <si>
    <t>-280      0  -6941   -46</t>
  </si>
  <si>
    <t>3   1941      0      0      0</t>
  </si>
  <si>
    <t>007   5236</t>
  </si>
  <si>
    <t>6470     78   1143</t>
  </si>
  <si>
    <t>0  -3138      0      0  18403</t>
  </si>
  <si>
    <t>0  12420</t>
  </si>
  <si>
    <t>0      0      0   460</t>
  </si>
  <si>
    <t>1  -2063   -695    247      0</t>
  </si>
  <si>
    <t>0  -1130      0</t>
  </si>
  <si>
    <t>0      0    173  -1172      0</t>
  </si>
  <si>
    <t>0      0    362  -3272      0</t>
  </si>
  <si>
    <t>0  -1648</t>
  </si>
  <si>
    <t>2217   1606    795   164</t>
  </si>
  <si>
    <t>3    174      0      0      0</t>
  </si>
  <si>
    <t>825      0</t>
  </si>
  <si>
    <t>654      0</t>
  </si>
  <si>
    <t>0      0      0   -734  -1986</t>
  </si>
  <si>
    <t>0    -47</t>
  </si>
  <si>
    <t>0    119    177    160      0</t>
  </si>
  <si>
    <t>75      0     22    -4</t>
  </si>
  <si>
    <t>8      5    -94    -18     67</t>
  </si>
  <si>
    <t>0      0      0  -207</t>
  </si>
  <si>
    <t>1    452    303   -673  -1824</t>
  </si>
  <si>
    <t>50   -101</t>
  </si>
  <si>
    <t>-93      0     49    -9</t>
  </si>
  <si>
    <t>2    219    234    191     14</t>
  </si>
  <si>
    <t>216    109</t>
  </si>
  <si>
    <t>0      0     14   -14</t>
  </si>
  <si>
    <t>6      0   -121    -81    -24</t>
  </si>
  <si>
    <t>0      0      0  -559</t>
  </si>
  <si>
    <t>2    496      0   -704  -1949</t>
  </si>
  <si>
    <t>129    201</t>
  </si>
  <si>
    <t>349    259     73    26</t>
  </si>
  <si>
    <t>3      0     77      0      0</t>
  </si>
  <si>
    <t>898    198</t>
  </si>
  <si>
    <t>0    -23      0    -27    -58</t>
  </si>
  <si>
    <t>0      0      0  -174</t>
  </si>
  <si>
    <t>1    356      0  -2619  -4924</t>
  </si>
  <si>
    <t>0      0   -722   248</t>
  </si>
  <si>
    <t>4     73  -2936  -3268      0</t>
  </si>
  <si>
    <t>939      0</t>
  </si>
  <si>
    <t>0  -1168      0   254</t>
  </si>
  <si>
    <t>7      0   2643      0      0</t>
  </si>
  <si>
    <t>0      0      0   103</t>
  </si>
  <si>
    <t>1   -912  -1182   -295      0</t>
  </si>
  <si>
    <t>0    304</t>
  </si>
  <si>
    <t>0      0   -299  -1136      0</t>
  </si>
  <si>
    <t>0      0   2578   2530      0</t>
  </si>
  <si>
    <t>0   1133</t>
  </si>
  <si>
    <t>1227   1032   -959   -88</t>
  </si>
  <si>
    <t>1    -12      0      0      0</t>
  </si>
  <si>
    <t>025      0</t>
  </si>
  <si>
    <t>0      0   -450</t>
  </si>
  <si>
    <t>0      0      0  -2093   -164</t>
  </si>
  <si>
    <t>0    177</t>
  </si>
  <si>
    <t>0  -2776   -577   -192      0</t>
  </si>
  <si>
    <t>0   1859</t>
  </si>
  <si>
    <t>-209      0    194    -4</t>
  </si>
  <si>
    <t>2    -99   -328    113    730</t>
  </si>
  <si>
    <t>0      0      0   104</t>
  </si>
  <si>
    <t>4   9041   1479  -6566    733</t>
  </si>
  <si>
    <t>580   -545</t>
  </si>
  <si>
    <t>-657      0   -371  -133</t>
  </si>
  <si>
    <t>0  -1251    295     32    -42</t>
  </si>
  <si>
    <t>271    -34</t>
  </si>
  <si>
    <t>0      0   -188   -29</t>
  </si>
  <si>
    <t>4      0   -466   -100    -71</t>
  </si>
  <si>
    <t>0      0      0    45</t>
  </si>
  <si>
    <t>9  15487      0  -4481    879</t>
  </si>
  <si>
    <t>945  -1455</t>
  </si>
  <si>
    <t>1398     18   -379    43</t>
  </si>
  <si>
    <t>8      0    587      0      0</t>
  </si>
  <si>
    <t>223   1171</t>
  </si>
  <si>
    <t>0   -358      0</t>
  </si>
  <si>
    <t>0   -475      0     65    134</t>
  </si>
  <si>
    <t>0      0      0    69</t>
  </si>
  <si>
    <t>9  13736      0 -67409    369</t>
  </si>
  <si>
    <t>0      0   2986   -16</t>
  </si>
  <si>
    <t>3  -3526   -702    523      0</t>
  </si>
  <si>
    <t>0   -893      0   308</t>
  </si>
  <si>
    <t>4      0   2785      0      0</t>
  </si>
  <si>
    <t>0      0      0  -422</t>
  </si>
  <si>
    <t>0      0      0   2059    745</t>
  </si>
  <si>
    <t>675    710</t>
  </si>
  <si>
    <t>0      0   -245</t>
  </si>
  <si>
    <t>0    355      0      0      0</t>
  </si>
  <si>
    <t>261    877</t>
  </si>
  <si>
    <t>639  -2325</t>
  </si>
  <si>
    <t>0      0   1006   124</t>
  </si>
  <si>
    <t>4  -1560   1630   2548    152</t>
  </si>
  <si>
    <t>0  -1235      0</t>
  </si>
  <si>
    <t>0      0    663      0      0</t>
  </si>
  <si>
    <t>0    457      0</t>
  </si>
  <si>
    <t>0  12426</t>
  </si>
  <si>
    <t>1716      0   1170</t>
  </si>
  <si>
    <t>0      0      0      0    545</t>
  </si>
  <si>
    <t>272     43</t>
  </si>
  <si>
    <t>0      0  -1241     3</t>
  </si>
  <si>
    <t>9      0    404    233    560</t>
  </si>
  <si>
    <t>371   -225</t>
  </si>
  <si>
    <t>-635    483      0</t>
  </si>
  <si>
    <t>0      0      0  -1000  -4634</t>
  </si>
  <si>
    <t>466  14113</t>
  </si>
  <si>
    <t>3664   1493   2273   207</t>
  </si>
  <si>
    <t>8      0   1692    -81    455</t>
  </si>
  <si>
    <t>237    489</t>
  </si>
  <si>
    <t>838   4612   -466</t>
  </si>
  <si>
    <t>0      0    328    131      0</t>
  </si>
  <si>
    <t>163    614</t>
  </si>
  <si>
    <t>81    234      0</t>
  </si>
  <si>
    <t>0      0      0   -430  -6144</t>
  </si>
  <si>
    <t>0  12248</t>
  </si>
  <si>
    <t>3766   1578   2282   219</t>
  </si>
  <si>
    <t>4    787   1198   -498      0</t>
  </si>
  <si>
    <t>354      0</t>
  </si>
  <si>
    <t>0   4839  -1069</t>
  </si>
  <si>
    <t>0    659      0      0    517</t>
  </si>
  <si>
    <t>-120    255      0</t>
  </si>
  <si>
    <t>0      0      0   -249  -3266</t>
  </si>
  <si>
    <t>0  14952</t>
  </si>
  <si>
    <t>3227   -101      0</t>
  </si>
  <si>
    <t>0      0    855   -954    691</t>
  </si>
  <si>
    <t>847    455</t>
  </si>
  <si>
    <t>0   2938      0</t>
  </si>
  <si>
    <t>0    660      0    347      0</t>
  </si>
  <si>
    <t>0      0      0   -828  -8540</t>
  </si>
  <si>
    <t>0   -450</t>
  </si>
  <si>
    <t>1065    693    211</t>
  </si>
  <si>
    <t>0      0    -30      0   -466</t>
  </si>
  <si>
    <t>0     -2    225</t>
  </si>
  <si>
    <t>0     25   -651</t>
  </si>
  <si>
    <t>0      0    380  69838      5</t>
  </si>
  <si>
    <t>0   -371      0      0      0</t>
  </si>
  <si>
    <t>52      0</t>
  </si>
  <si>
    <t>0     39      0      0      0</t>
  </si>
  <si>
    <t>0      0    307  7834</t>
  </si>
  <si>
    <t>2      0     23      0      0</t>
  </si>
  <si>
    <t>-26    421    205</t>
  </si>
  <si>
    <t>0      0   -286     24      0</t>
  </si>
  <si>
    <t>-34    194</t>
  </si>
  <si>
    <t>50     91    357    11</t>
  </si>
  <si>
    <t>4     50      0      0      0</t>
  </si>
  <si>
    <t>-135   -444   1485  8501</t>
  </si>
  <si>
    <t>3    384    162    149      0</t>
  </si>
  <si>
    <t>103   -111</t>
  </si>
  <si>
    <t>286     66    215    38</t>
  </si>
  <si>
    <t>0  -2697     39      0      0</t>
  </si>
  <si>
    <t>82    300</t>
  </si>
  <si>
    <t>0    230     71   -18</t>
  </si>
  <si>
    <t>1    159      0      0      0</t>
  </si>
  <si>
    <t>-914      0   1706  8696</t>
  </si>
  <si>
    <t>8    273    -33    -46   -129</t>
  </si>
  <si>
    <t>0     36      0</t>
  </si>
  <si>
    <t>0  -2898   -130      0   -233</t>
  </si>
  <si>
    <t>186      0   -125   -36</t>
  </si>
  <si>
    <t>5    132      0      0      0</t>
  </si>
  <si>
    <t>0   -138</t>
  </si>
  <si>
    <t>-810      0   1370  8337</t>
  </si>
  <si>
    <t>4   -427      0      0      0</t>
  </si>
  <si>
    <t>354   -311</t>
  </si>
  <si>
    <t>-564   2064   1209</t>
  </si>
  <si>
    <t>0  -4097      0      0    136</t>
  </si>
  <si>
    <t>0    773</t>
  </si>
  <si>
    <t>0   2245      0</t>
  </si>
  <si>
    <t>0  -1865</t>
  </si>
  <si>
    <t>-270      0   2740</t>
  </si>
  <si>
    <t>124   3505</t>
  </si>
  <si>
    <t>1089    -45      0</t>
  </si>
  <si>
    <t>0    -51      0     62      0</t>
  </si>
  <si>
    <t>-46    268      0</t>
  </si>
  <si>
    <t>370    281      0</t>
  </si>
  <si>
    <t>0  -1101   4258   1330   -163</t>
  </si>
  <si>
    <t>508    -75</t>
  </si>
  <si>
    <t>0      0      0   140</t>
  </si>
  <si>
    <t>0      0      0      0  -1048</t>
  </si>
  <si>
    <t>0      0      0   -38</t>
  </si>
  <si>
    <t>0  -4105   6195</t>
  </si>
  <si>
    <t>0  -4096      0      0      0</t>
  </si>
  <si>
    <t>0  -9977</t>
  </si>
  <si>
    <t>604   1001      0</t>
  </si>
  <si>
    <t>0  -5555   1522      0  -1607</t>
  </si>
  <si>
    <t>073  -1435</t>
  </si>
  <si>
    <t>2500  -6011  -4492  -352</t>
  </si>
  <si>
    <t>976   7589</t>
  </si>
  <si>
    <t>1432  -2455   4196   -53</t>
  </si>
  <si>
    <t>7    168   -322      0  -1860</t>
  </si>
  <si>
    <t>206  -1136</t>
  </si>
  <si>
    <t>1249   1363   1148  -199</t>
  </si>
  <si>
    <t>9  -1660      0      0    118</t>
  </si>
  <si>
    <t>240  -1787   -573    35</t>
  </si>
  <si>
    <t>211   2185</t>
  </si>
  <si>
    <t>0   -654   4623   -36</t>
  </si>
  <si>
    <t>5     98     -1  -1153   -740</t>
  </si>
  <si>
    <t>056      0</t>
  </si>
  <si>
    <t>353      0      0  -192</t>
  </si>
  <si>
    <t>5  -1365      0    183      0</t>
  </si>
  <si>
    <t>0   -632   -113    -9</t>
  </si>
  <si>
    <t>386    500</t>
  </si>
  <si>
    <t>0  -1873   4634    10</t>
  </si>
  <si>
    <t>4      0      0      0     -4</t>
  </si>
  <si>
    <t>591   -367</t>
  </si>
  <si>
    <t>155    142      0  -107</t>
  </si>
  <si>
    <t>4      0      0   -123      0</t>
  </si>
  <si>
    <t>543      0      0</t>
  </si>
  <si>
    <t>279   1735</t>
  </si>
  <si>
    <t>0 -14149   1434</t>
  </si>
  <si>
    <t>454   1372</t>
  </si>
  <si>
    <t>3277   -757      0</t>
  </si>
  <si>
    <t>0    -61      0   -488      0</t>
  </si>
  <si>
    <t>-184    -72      0</t>
  </si>
  <si>
    <t>468    142      0</t>
  </si>
  <si>
    <t>0    163   1823     48  -1090</t>
  </si>
  <si>
    <t>470    436</t>
  </si>
  <si>
    <t>0      0      0    39</t>
  </si>
  <si>
    <t>1      0      0      0   -280</t>
  </si>
  <si>
    <t>0  -2941   1770</t>
  </si>
  <si>
    <t>0   -742      0      0      0</t>
  </si>
  <si>
    <t>0  -3677</t>
  </si>
  <si>
    <t>-296   -145      0</t>
  </si>
  <si>
    <t>0     79    268      0   -440</t>
  </si>
  <si>
    <t>161   -527</t>
  </si>
  <si>
    <t>-399    -14    356   -34</t>
  </si>
  <si>
    <t>415   2478</t>
  </si>
  <si>
    <t>3250  -3582   3478  -162</t>
  </si>
  <si>
    <t>1  -2316  -2394      0  -2602</t>
  </si>
  <si>
    <t>471  -7903</t>
  </si>
  <si>
    <t>943    874   1091   -89</t>
  </si>
  <si>
    <t>6  -1149      0      0   -675</t>
  </si>
  <si>
    <t>433      0</t>
  </si>
  <si>
    <t>314   3791</t>
  </si>
  <si>
    <t>0  -4305   2460    46</t>
  </si>
  <si>
    <t>1   1637    818    -68   -730</t>
  </si>
  <si>
    <t>-85      0      0  -110</t>
  </si>
  <si>
    <t>1    633      0    443      0</t>
  </si>
  <si>
    <t>0    643   1667    91</t>
  </si>
  <si>
    <t>964   2719</t>
  </si>
  <si>
    <t>0  -3442   2988   -11</t>
  </si>
  <si>
    <t>6      0      0      0  -1294</t>
  </si>
  <si>
    <t>696  -6329</t>
  </si>
  <si>
    <t>-299    -57      0   -36</t>
  </si>
  <si>
    <t>9      0      0   -868      0</t>
  </si>
  <si>
    <t>475      0</t>
  </si>
  <si>
    <t>-249      0      0</t>
  </si>
  <si>
    <t>536   3557</t>
  </si>
  <si>
    <t>0 -22393   -755</t>
  </si>
  <si>
    <t>401   -300</t>
  </si>
  <si>
    <t>723    795   -433</t>
  </si>
  <si>
    <t>0      0    -57      0   -388</t>
  </si>
  <si>
    <t>0    -42    -86</t>
  </si>
  <si>
    <t>0    -48   -232</t>
  </si>
  <si>
    <t>0      0    212   1090  -1666</t>
  </si>
  <si>
    <t>15   -355</t>
  </si>
  <si>
    <t>0   -633      0      0      0</t>
  </si>
  <si>
    <t>0     54      0      0      0</t>
  </si>
  <si>
    <t>0      0   -302   235</t>
  </si>
  <si>
    <t>6      0    -97      0      0</t>
  </si>
  <si>
    <t>0      0    -25    110      0</t>
  </si>
  <si>
    <t>100    -96</t>
  </si>
  <si>
    <t>91     21   -145    -4</t>
  </si>
  <si>
    <t>8    301      0      0      0</t>
  </si>
  <si>
    <t>384   -941    531   250</t>
  </si>
  <si>
    <t>0   1279    916   1645      0</t>
  </si>
  <si>
    <t>084   1342</t>
  </si>
  <si>
    <t>684  -5388  -1437  -150</t>
  </si>
  <si>
    <t>7  -1183    502      0      0</t>
  </si>
  <si>
    <t>194    -96</t>
  </si>
  <si>
    <t>0     37      4     8</t>
  </si>
  <si>
    <t>4    166      0      0      0</t>
  </si>
  <si>
    <t>0    586</t>
  </si>
  <si>
    <t>-71      0   1001   250</t>
  </si>
  <si>
    <t>0   1084    511    990   -391</t>
  </si>
  <si>
    <t>595   1059</t>
  </si>
  <si>
    <t>0  -8666      0</t>
  </si>
  <si>
    <t>0  -1446   1020      0    -77</t>
  </si>
  <si>
    <t>129      0    478    19</t>
  </si>
  <si>
    <t>8    372      0      0      0</t>
  </si>
  <si>
    <t>0    445</t>
  </si>
  <si>
    <t>-425      0    568   279</t>
  </si>
  <si>
    <t>562    494</t>
  </si>
  <si>
    <t>0  -1483      0      0    209</t>
  </si>
  <si>
    <t>0     86</t>
  </si>
  <si>
    <t>-100      0 -10066  -227</t>
  </si>
  <si>
    <t>0  -6291</t>
  </si>
  <si>
    <t>2709   -505      4    71</t>
  </si>
  <si>
    <t>5   -436      0      0   1726</t>
  </si>
  <si>
    <t>2   -120      0      0      0</t>
  </si>
  <si>
    <t>0      0      0     1</t>
  </si>
  <si>
    <t>6   -132      0      0   -255</t>
  </si>
  <si>
    <t>5  -1266</t>
  </si>
  <si>
    <t>264    -77    -71</t>
  </si>
  <si>
    <t>0      0      0   -576      0</t>
  </si>
  <si>
    <t>0      0      0     83      0</t>
  </si>
  <si>
    <t>0   -960   1238      0    580</t>
  </si>
  <si>
    <t>0      0   -946    19</t>
  </si>
  <si>
    <t>5  -2178      0      0   -110</t>
  </si>
  <si>
    <t>7   -127     67    130      0</t>
  </si>
  <si>
    <t>0    326   1151   -48</t>
  </si>
  <si>
    <t>9    332   1889   1004    872</t>
  </si>
  <si>
    <t>003      0</t>
  </si>
  <si>
    <t>1289   1408    431  -160</t>
  </si>
  <si>
    <t>4  -6552  -2595  -1999    349</t>
  </si>
  <si>
    <t>-164    -71      0   -10</t>
  </si>
  <si>
    <t>0   -300    144    -87      0</t>
  </si>
  <si>
    <t>0    688    828</t>
  </si>
  <si>
    <t>0   -161   1479     81   -374</t>
  </si>
  <si>
    <t>272    518</t>
  </si>
  <si>
    <t>607    995      0    75</t>
  </si>
  <si>
    <t>2      0      0  -1843   -258</t>
  </si>
  <si>
    <t>0      0   -100</t>
  </si>
  <si>
    <t>0    268     62    157      0</t>
  </si>
  <si>
    <t>0    310    690</t>
  </si>
  <si>
    <t>0    637   1977     98      0</t>
  </si>
  <si>
    <t>721    538   -213   -48</t>
  </si>
  <si>
    <t>0  -5103      0  -1798      0</t>
  </si>
  <si>
    <t>0    311</t>
  </si>
  <si>
    <t>0    -64      0    -9</t>
  </si>
  <si>
    <t>0    241    440</t>
  </si>
  <si>
    <t>0 -12413  -4158      0      0</t>
  </si>
  <si>
    <t>0  -7433  -5095  2346</t>
  </si>
  <si>
    <t>0   -511   -223    885   -102</t>
  </si>
  <si>
    <t>-30      0   -134</t>
  </si>
  <si>
    <t>0      0      0     93   -113</t>
  </si>
  <si>
    <t>0      0      0    148   -254</t>
  </si>
  <si>
    <t>-246   -325   -623    82</t>
  </si>
  <si>
    <t>4    226     15      0      0</t>
  </si>
  <si>
    <t>0      0      0      0   -978</t>
  </si>
  <si>
    <t>015      0</t>
  </si>
  <si>
    <t>0      0   -619    669    529</t>
  </si>
  <si>
    <t>-424    166      0     8</t>
  </si>
  <si>
    <t>2   -150    -40    -44     32</t>
  </si>
  <si>
    <t>187    168</t>
  </si>
  <si>
    <t>0    338    664   -513   1011</t>
  </si>
  <si>
    <t>821    345</t>
  </si>
  <si>
    <t>5    293      0   197</t>
  </si>
  <si>
    <t>1    767    417  -1847  -2873</t>
  </si>
  <si>
    <t>563  -1612</t>
  </si>
  <si>
    <t>1695      0      0    17</t>
  </si>
  <si>
    <t>3      9      0     40   -578</t>
  </si>
  <si>
    <t>159     15</t>
  </si>
  <si>
    <t>0    693   -102      0    178</t>
  </si>
  <si>
    <t>139    154</t>
  </si>
  <si>
    <t>-59   -224    372   102</t>
  </si>
  <si>
    <t>9    396      0    441      0</t>
  </si>
  <si>
    <t>0  -2125</t>
  </si>
  <si>
    <t>-242      0   -321</t>
  </si>
  <si>
    <t>0      0    -94      0    189</t>
  </si>
  <si>
    <t>372    349</t>
  </si>
  <si>
    <t>0    252   -185      0    106</t>
  </si>
  <si>
    <t>474    -18</t>
  </si>
  <si>
    <t>0      0      0   120</t>
  </si>
  <si>
    <t>2     18   -164    306    251</t>
  </si>
  <si>
    <t>0  -1566</t>
  </si>
  <si>
    <t>0      0   -122</t>
  </si>
  <si>
    <t>0    -72      0    -43      0</t>
  </si>
  <si>
    <t>0    149   -323      0  -7455</t>
  </si>
  <si>
    <t>0 -12365 -11869  25093  40534</t>
  </si>
  <si>
    <t>247   -680</t>
  </si>
  <si>
    <t>1158    218      0</t>
  </si>
  <si>
    <t>0     27      0   -693      0</t>
  </si>
  <si>
    <t>-7   -205      0</t>
  </si>
  <si>
    <t>232    -72      0</t>
  </si>
  <si>
    <t>0    917  -1036   -267   -362</t>
  </si>
  <si>
    <t>382   -205</t>
  </si>
  <si>
    <t>7      0      0      0     32</t>
  </si>
  <si>
    <t>0      0      0   -13</t>
  </si>
  <si>
    <t>0  11661   2930</t>
  </si>
  <si>
    <t>0    310      0      0      0</t>
  </si>
  <si>
    <t>0   3765</t>
  </si>
  <si>
    <t>2550  -1444      0</t>
  </si>
  <si>
    <t>0   1524   -132      0    502</t>
  </si>
  <si>
    <t>40    380</t>
  </si>
  <si>
    <t>159  -1777  -1179    14</t>
  </si>
  <si>
    <t>039  -8633</t>
  </si>
  <si>
    <t>140   2002   -546    75</t>
  </si>
  <si>
    <t>8    768     78      0   -563</t>
  </si>
  <si>
    <t>293    712</t>
  </si>
  <si>
    <t>-322    468   1211  2079</t>
  </si>
  <si>
    <t>9    564      0      0     85</t>
  </si>
  <si>
    <t>-301   -299    116    59</t>
  </si>
  <si>
    <t>221  -1504</t>
  </si>
  <si>
    <t>0   1263   -317    19</t>
  </si>
  <si>
    <t>7    -35   -607   -690   -402</t>
  </si>
  <si>
    <t>660      0</t>
  </si>
  <si>
    <t>-904      0      0  2097</t>
  </si>
  <si>
    <t>0    518      0   -283      0</t>
  </si>
  <si>
    <t>0    112</t>
  </si>
  <si>
    <t>0   -591   -352    93</t>
  </si>
  <si>
    <t>845   -243</t>
  </si>
  <si>
    <t>0   2724    677    -2</t>
  </si>
  <si>
    <t>2      0      0      0   -464</t>
  </si>
  <si>
    <t>797    365</t>
  </si>
  <si>
    <t>77     68      0  1492</t>
  </si>
  <si>
    <t>1      0      0    -47      0</t>
  </si>
  <si>
    <t>-14      0</t>
  </si>
  <si>
    <t>70      0      0</t>
  </si>
  <si>
    <t>913  -1387</t>
  </si>
  <si>
    <t>0 -13734  -5959</t>
  </si>
  <si>
    <t>603  -8818</t>
  </si>
  <si>
    <t>4604  -5496 -19933   -72</t>
  </si>
  <si>
    <t>3   -580   -458    863      0</t>
  </si>
  <si>
    <t>0    182</t>
  </si>
  <si>
    <t>0   -338      0</t>
  </si>
  <si>
    <t>0      0   -358    307      0</t>
  </si>
  <si>
    <t>0      0   -409   -188      0</t>
  </si>
  <si>
    <t>0    602</t>
  </si>
  <si>
    <t>-354   1909   -437   -15</t>
  </si>
  <si>
    <t>4     46      0      0      0</t>
  </si>
  <si>
    <t>0      0   -171</t>
  </si>
  <si>
    <t>0      0      0  -1948  -1091</t>
  </si>
  <si>
    <t>0    286</t>
  </si>
  <si>
    <t>0    419   1027    643      0</t>
  </si>
  <si>
    <t>0   -663</t>
  </si>
  <si>
    <t>-252      0   -721    15</t>
  </si>
  <si>
    <t>7   -607     69   1006    600</t>
  </si>
  <si>
    <t>0      0      0     5</t>
  </si>
  <si>
    <t>9   -544    555    -72     92</t>
  </si>
  <si>
    <t>849   -620</t>
  </si>
  <si>
    <t>-933      0  -1780  -267</t>
  </si>
  <si>
    <t>8   -845    319     51  -1756</t>
  </si>
  <si>
    <t>277  -3941</t>
  </si>
  <si>
    <t>0      0   -611   -16</t>
  </si>
  <si>
    <t>1      0   -623    489     72</t>
  </si>
  <si>
    <t>6  -1262      0   -286   -388</t>
  </si>
  <si>
    <t>279    486</t>
  </si>
  <si>
    <t>81   1418  -1059  -277</t>
  </si>
  <si>
    <t>5      0   1033      0      0</t>
  </si>
  <si>
    <t>201  -6082</t>
  </si>
  <si>
    <t>0   1338      0</t>
  </si>
  <si>
    <t>0   -844      0    288    484</t>
  </si>
  <si>
    <t>0      0      0    35</t>
  </si>
  <si>
    <t>0  -1764      0  -2611   -368</t>
  </si>
  <si>
    <t>0      0  -1038  -160</t>
  </si>
  <si>
    <t>1    148    232    340      0</t>
  </si>
  <si>
    <t>0    134      0     1</t>
  </si>
  <si>
    <t>9      0    -38      0      0</t>
  </si>
  <si>
    <t>0      0      0    19</t>
  </si>
  <si>
    <t>9   -431      0   9219  -6384</t>
  </si>
  <si>
    <t>0      0      0  1166</t>
  </si>
  <si>
    <t>2  10190 -12091  -4151  23445</t>
  </si>
  <si>
    <t>983      0</t>
  </si>
  <si>
    <t>0      0      0   -66</t>
  </si>
  <si>
    <t>5   1349   -147    -30      0</t>
  </si>
  <si>
    <t>0      0   -206   5498      0</t>
  </si>
  <si>
    <t>0      0    171    -81      0</t>
  </si>
  <si>
    <t>1949    -67   -459   -11</t>
  </si>
  <si>
    <t>8      1      0      0      0</t>
  </si>
  <si>
    <t>0      0    664</t>
  </si>
  <si>
    <t>0      0      0   1838   1595</t>
  </si>
  <si>
    <t>0   -967</t>
  </si>
  <si>
    <t>0    205   -857   -341      0</t>
  </si>
  <si>
    <t>0   -357</t>
  </si>
  <si>
    <t>-76      0   -569   451</t>
  </si>
  <si>
    <t>7    200   -425    141     59</t>
  </si>
  <si>
    <t>770      0</t>
  </si>
  <si>
    <t>0      0      0    55</t>
  </si>
  <si>
    <t>5   -822   -123    375   2629</t>
  </si>
  <si>
    <t>100   -108</t>
  </si>
  <si>
    <t>-257      0   -871   -16</t>
  </si>
  <si>
    <t>2   -671    304    269    425</t>
  </si>
  <si>
    <t>951   -270</t>
  </si>
  <si>
    <t>0      0   -140   601</t>
  </si>
  <si>
    <t>9      0    393     42     22</t>
  </si>
  <si>
    <t>2   -228      0    287   2681</t>
  </si>
  <si>
    <t>440    317</t>
  </si>
  <si>
    <t>382    425   -514   -15</t>
  </si>
  <si>
    <t>0      0    200      0      0</t>
  </si>
  <si>
    <t>625   -812</t>
  </si>
  <si>
    <t>0   -267      0</t>
  </si>
  <si>
    <t>0   -453      0   -137   -202</t>
  </si>
  <si>
    <t>4     88      0    576   2765</t>
  </si>
  <si>
    <t>0      0   -663   -20</t>
  </si>
  <si>
    <t>6   -383     92     -7      0</t>
  </si>
  <si>
    <t>696      0</t>
  </si>
  <si>
    <t>0    -10      0   150</t>
  </si>
  <si>
    <t>0      0    305      0      0</t>
  </si>
  <si>
    <t>0      0      0   -14</t>
  </si>
  <si>
    <t>0   -450      0  -4434   1422</t>
  </si>
  <si>
    <t>0      0      0   894</t>
  </si>
  <si>
    <t>2  10586  -4260  -4031  -6813</t>
  </si>
  <si>
    <t>144   7563</t>
  </si>
  <si>
    <t>0   -236   1283    215    324</t>
  </si>
  <si>
    <t>-185      0    438</t>
  </si>
  <si>
    <t>0      0      0   -470   -200</t>
  </si>
  <si>
    <t>0      0      0    181   -320</t>
  </si>
  <si>
    <t>219   1895     -3   -31</t>
  </si>
  <si>
    <t>9   -256    -38      0      0</t>
  </si>
  <si>
    <t>0    151</t>
  </si>
  <si>
    <t>0      0      0     -</t>
  </si>
  <si>
    <t>0      0      0      0   1243</t>
  </si>
  <si>
    <t>-296      0      0</t>
  </si>
  <si>
    <t>0      0    -11   -231   -163</t>
  </si>
  <si>
    <t>-383   -119      0</t>
  </si>
  <si>
    <t>8    132   -543   4574     75</t>
  </si>
  <si>
    <t>3   -412</t>
  </si>
  <si>
    <t>0    141  -1127   -947    680</t>
  </si>
  <si>
    <t>067    234</t>
  </si>
  <si>
    <t>-152   -155      0   -55</t>
  </si>
  <si>
    <t>2   -202   -743    188     27</t>
  </si>
  <si>
    <t>114   -573</t>
  </si>
  <si>
    <t>-372      0      0   -14</t>
  </si>
  <si>
    <t>1    483      0   6714    -89</t>
  </si>
  <si>
    <t>0   -269   -837      0    711</t>
  </si>
  <si>
    <t>160     40</t>
  </si>
  <si>
    <t>-71    -42    386   -40</t>
  </si>
  <si>
    <t>4   -519      0    292      0</t>
  </si>
  <si>
    <t>1232      0   -437</t>
  </si>
  <si>
    <t>0      0    711      0   -325</t>
  </si>
  <si>
    <t>619   -739</t>
  </si>
  <si>
    <t>0   -413   -614      0    657</t>
  </si>
  <si>
    <t>084    114</t>
  </si>
  <si>
    <t>0      0      0   -40</t>
  </si>
  <si>
    <t>8   -159   -350     63    -96</t>
  </si>
  <si>
    <t>0   -401</t>
  </si>
  <si>
    <t>0    141      0   2493      0</t>
  </si>
  <si>
    <t>0   -178  -1099      0  -2614</t>
  </si>
  <si>
    <t>661      0</t>
  </si>
  <si>
    <t>0   5586   4919  -3057  -1105</t>
  </si>
  <si>
    <t>751  -5300</t>
  </si>
  <si>
    <t>9009      0      0</t>
  </si>
  <si>
    <t>0  11388      0      0      0</t>
  </si>
  <si>
    <t>0      0      0   -23</t>
  </si>
  <si>
    <t>1    395    662    -49      0</t>
  </si>
  <si>
    <t>0    196      0</t>
  </si>
  <si>
    <t>0      0   -506    -40      0</t>
  </si>
  <si>
    <t>0      0   -281   -109      0</t>
  </si>
  <si>
    <t>0   -552</t>
  </si>
  <si>
    <t>496   -226   -327    13</t>
  </si>
  <si>
    <t>9     18      0      0      0</t>
  </si>
  <si>
    <t>0      0    -76</t>
  </si>
  <si>
    <t>0      0      0    254   1379</t>
  </si>
  <si>
    <t>0  -2433</t>
  </si>
  <si>
    <t>0  -1127    485    107      0</t>
  </si>
  <si>
    <t>-99      0  -1032   -59</t>
  </si>
  <si>
    <t>7   -777   -107   -605    116</t>
  </si>
  <si>
    <t>1   -220   -700    510   1617</t>
  </si>
  <si>
    <t>571   -861</t>
  </si>
  <si>
    <t>1055      0   -706    34</t>
  </si>
  <si>
    <t>9   -525    195    -46    182</t>
  </si>
  <si>
    <t>243   -104</t>
  </si>
  <si>
    <t>0      0   -859   -67</t>
  </si>
  <si>
    <t>3      0   -543   -678    -40</t>
  </si>
  <si>
    <t>0      0      0   -16</t>
  </si>
  <si>
    <t>0   -525      0    362   1459</t>
  </si>
  <si>
    <t>360   -482</t>
  </si>
  <si>
    <t>335     41   -346    48</t>
  </si>
  <si>
    <t>2      0    346      0      0</t>
  </si>
  <si>
    <t>0    873      0</t>
  </si>
  <si>
    <t>0   -826      0   -496    150</t>
  </si>
  <si>
    <t>887      0</t>
  </si>
  <si>
    <t>8   -313      0   -123   1269</t>
  </si>
  <si>
    <t>0      0   -406    59</t>
  </si>
  <si>
    <t>8    -45    249      1      0</t>
  </si>
  <si>
    <t>504      0</t>
  </si>
  <si>
    <t>0     44      0</t>
  </si>
  <si>
    <t>4      0     36      0      0</t>
  </si>
  <si>
    <t>2   -460      0  -8437   -675</t>
  </si>
  <si>
    <t>0      0      0   898</t>
  </si>
  <si>
    <t>0  11226  -5368   -754  -3436</t>
  </si>
  <si>
    <t>087   1855</t>
  </si>
  <si>
    <t>0      0      0   948</t>
  </si>
  <si>
    <t>1      0   7527      0      0</t>
  </si>
  <si>
    <t>510  -1159</t>
  </si>
  <si>
    <t>1531   -383      0</t>
  </si>
  <si>
    <t>0    -39      0    596      0</t>
  </si>
  <si>
    <t>-63   -129      0</t>
  </si>
  <si>
    <t>-193   2451      0</t>
  </si>
  <si>
    <t>0    812  -1620  -1443   -492</t>
  </si>
  <si>
    <t>244    -77</t>
  </si>
  <si>
    <t>9      0      0      0     95</t>
  </si>
  <si>
    <t>0   -852  -1586</t>
  </si>
  <si>
    <t>0   -143      0      0      0</t>
  </si>
  <si>
    <t>410    266      0</t>
  </si>
  <si>
    <t>0   -255    156      0    -73</t>
  </si>
  <si>
    <t>224   -137</t>
  </si>
  <si>
    <t>-202   -265    101     2</t>
  </si>
  <si>
    <t>138   1035</t>
  </si>
  <si>
    <t>201   -362  -1795    56</t>
  </si>
  <si>
    <t>8   -105    207      0   -201</t>
  </si>
  <si>
    <t>152   -287</t>
  </si>
  <si>
    <t>622    689    812  -179</t>
  </si>
  <si>
    <t>8     97      0      0    -85</t>
  </si>
  <si>
    <t>-257   -451      1   -14</t>
  </si>
  <si>
    <t>177    624</t>
  </si>
  <si>
    <t>0    -23  -1544    -8</t>
  </si>
  <si>
    <t>2   -388   -163   -839   -177</t>
  </si>
  <si>
    <t>98      0</t>
  </si>
  <si>
    <t>323      0      0  -220</t>
  </si>
  <si>
    <t>9    274      0    489      0</t>
  </si>
  <si>
    <t>0   -102</t>
  </si>
  <si>
    <t>0   -210    217   -21</t>
  </si>
  <si>
    <t>099    590</t>
  </si>
  <si>
    <t>0   -163  -1145     5</t>
  </si>
  <si>
    <t>1      0      0      0   -130</t>
  </si>
  <si>
    <t>53    -35</t>
  </si>
  <si>
    <t>167    210      0  -152</t>
  </si>
  <si>
    <t>4      0      0     76      0</t>
  </si>
  <si>
    <t>-314      0      0</t>
  </si>
  <si>
    <t>113    800</t>
  </si>
  <si>
    <t>0   5559  -3118</t>
  </si>
  <si>
    <t>018   -239</t>
  </si>
  <si>
    <t>8879  -9351 -10862   974</t>
  </si>
  <si>
    <t>3   3434      0      0      0</t>
  </si>
  <si>
    <t>4628      0      0   258</t>
  </si>
  <si>
    <t>940   -430</t>
  </si>
  <si>
    <t>1082   -385      0</t>
  </si>
  <si>
    <t>0    285      0   -435      0</t>
  </si>
  <si>
    <t>-394  -1257      0</t>
  </si>
  <si>
    <t>3055   2966      0</t>
  </si>
  <si>
    <t>0   1728   -385   1442  -1679</t>
  </si>
  <si>
    <t>338   -112</t>
  </si>
  <si>
    <t>0      0      0   132</t>
  </si>
  <si>
    <t>6      0      0      0   -639</t>
  </si>
  <si>
    <t>0      0      0   -53</t>
  </si>
  <si>
    <t>0   -864   1380</t>
  </si>
  <si>
    <t>0    616      0      0      0</t>
  </si>
  <si>
    <t>0  -5404</t>
  </si>
  <si>
    <t>-928   -316      0</t>
  </si>
  <si>
    <t>0   2843   -330      0    542</t>
  </si>
  <si>
    <t>322    -46</t>
  </si>
  <si>
    <t>44    413   1332    55</t>
  </si>
  <si>
    <t>719  13849</t>
  </si>
  <si>
    <t>1749  -8441   2842   -60</t>
  </si>
  <si>
    <t>5   -574   -497      0  -1294</t>
  </si>
  <si>
    <t>815  -2901</t>
  </si>
  <si>
    <t>225    -97    215  -606</t>
  </si>
  <si>
    <t>6    897      0      0   -177</t>
  </si>
  <si>
    <t>371  25154</t>
  </si>
  <si>
    <t>0  -5192   3005  -107</t>
  </si>
  <si>
    <t>3  -1542  -1471     98  -1111</t>
  </si>
  <si>
    <t>711      0      0  -718</t>
  </si>
  <si>
    <t>4   2142      0   -728      0</t>
  </si>
  <si>
    <t>0    119     -5   -66</t>
  </si>
  <si>
    <t>724  22589</t>
  </si>
  <si>
    <t>0   4667   2206   -27</t>
  </si>
  <si>
    <t>5      0      0      0   -689</t>
  </si>
  <si>
    <t>777  -2296</t>
  </si>
  <si>
    <t>-523   -180      0  -370</t>
  </si>
  <si>
    <t>3      0      0   -414      0</t>
  </si>
  <si>
    <t>-482      0      0</t>
  </si>
  <si>
    <t>483  19666</t>
  </si>
  <si>
    <t>0 -76689   1117</t>
  </si>
  <si>
    <t>580  15711</t>
  </si>
  <si>
    <t>1672   3185  -4718   666</t>
  </si>
  <si>
    <t>1 -20287      0      0      0</t>
  </si>
  <si>
    <t>1708      0      0   451</t>
  </si>
  <si>
    <t>899   6255</t>
  </si>
  <si>
    <t>0      0    -84      0   1825</t>
  </si>
  <si>
    <t>0    244   -488</t>
  </si>
  <si>
    <t>0   1254   1821</t>
  </si>
  <si>
    <t>0      0  -1317  -1623    154</t>
  </si>
  <si>
    <t>372    957</t>
  </si>
  <si>
    <t>268      0      0</t>
  </si>
  <si>
    <t>0    -99      0      0      0</t>
  </si>
  <si>
    <t>0   -131      0      0      0</t>
  </si>
  <si>
    <t>0      0  -4338   -40</t>
  </si>
  <si>
    <t>4      0     97      0      0</t>
  </si>
  <si>
    <t>2673   -479    -98</t>
  </si>
  <si>
    <t>0      0    167   -109      0</t>
  </si>
  <si>
    <t>164    364</t>
  </si>
  <si>
    <t>237   -265    506    30</t>
  </si>
  <si>
    <t>8     63      0      0      0</t>
  </si>
  <si>
    <t>0    874</t>
  </si>
  <si>
    <t>2269   2381  -3312   -24</t>
  </si>
  <si>
    <t>8  -3098    116   -357      0</t>
  </si>
  <si>
    <t>361    415</t>
  </si>
  <si>
    <t>2170     92    540   106</t>
  </si>
  <si>
    <t>0  -2417    271      0      0</t>
  </si>
  <si>
    <t>0    -73    524    17</t>
  </si>
  <si>
    <t>3    466      0      0      0</t>
  </si>
  <si>
    <t>0    550</t>
  </si>
  <si>
    <t>1236      0  -2439   -42</t>
  </si>
  <si>
    <t>5  -1940   1276   1457    138</t>
  </si>
  <si>
    <t>751    685</t>
  </si>
  <si>
    <t>0   -735      0</t>
  </si>
  <si>
    <t>0  -2164    -20      0    141</t>
  </si>
  <si>
    <t>-203      0    232   -33</t>
  </si>
  <si>
    <t>2   -111      0      0      0</t>
  </si>
  <si>
    <t>0    915</t>
  </si>
  <si>
    <t>167      0  -3484    13</t>
  </si>
  <si>
    <t>1   -881      0      0      0</t>
  </si>
  <si>
    <t>168    -33</t>
  </si>
  <si>
    <t>1320   -569   -145</t>
  </si>
  <si>
    <t>0  -1503      0      0    488</t>
  </si>
  <si>
    <t>0     88</t>
  </si>
  <si>
    <t>0   1207</t>
  </si>
  <si>
    <t>1202      0  -5203  -756</t>
  </si>
  <si>
    <t>0  11353</t>
  </si>
  <si>
    <t>9073   1742  -7076 -1902</t>
  </si>
  <si>
    <t>5 -15012  -4582      0      0</t>
  </si>
  <si>
    <t>0   1627</t>
  </si>
  <si>
    <t>0 -12823      0</t>
  </si>
  <si>
    <t>0  -5139      0      0      0</t>
  </si>
  <si>
    <t>0 -25622</t>
  </si>
  <si>
    <t>726   1396    532 -1721</t>
  </si>
  <si>
    <t>1  -1716      0      0   -272</t>
  </si>
  <si>
    <t>0    808</t>
  </si>
  <si>
    <t>0      0      0    94</t>
  </si>
  <si>
    <t>9    953      0      0      0</t>
  </si>
  <si>
    <t>0      0      0   114</t>
  </si>
  <si>
    <t>1    400      0      0  -2077</t>
  </si>
  <si>
    <t>010   1877</t>
  </si>
  <si>
    <t>308    765    433</t>
  </si>
  <si>
    <t>0      0      0    846      0</t>
  </si>
  <si>
    <t>48      0      0</t>
  </si>
  <si>
    <t>0      0      0   -128      0</t>
  </si>
  <si>
    <t>0  -7928  -2776      0   2990</t>
  </si>
  <si>
    <t>0      0   6520    -1</t>
  </si>
  <si>
    <t>5    243      0      0   1395</t>
  </si>
  <si>
    <t>1042   1370   -301   -86</t>
  </si>
  <si>
    <t>4   1300    610    599      0</t>
  </si>
  <si>
    <t>0  -1038   3148  1335</t>
  </si>
  <si>
    <t>2  -4397   1469 -20607  -3720</t>
  </si>
  <si>
    <t>1277  -1373   1067    76</t>
  </si>
  <si>
    <t>6   1038    724   -741   -804</t>
  </si>
  <si>
    <t>913   1839      0   -72</t>
  </si>
  <si>
    <t>4    472   -182    536      0</t>
  </si>
  <si>
    <t>0   1019   2589</t>
  </si>
  <si>
    <t>0  -3304   1549 -22200  -5380</t>
  </si>
  <si>
    <t>354  -4388</t>
  </si>
  <si>
    <t>1272  -2212      0     5</t>
  </si>
  <si>
    <t>1      0      0   -957   -199</t>
  </si>
  <si>
    <t>0   2396</t>
  </si>
  <si>
    <t>0      0  -1004</t>
  </si>
  <si>
    <t>0   1552    256   -393      0</t>
  </si>
  <si>
    <t>0    124   1723</t>
  </si>
  <si>
    <t>0  -6063   -137 -12972      0</t>
  </si>
  <si>
    <t>-446   -227   1597   -52</t>
  </si>
  <si>
    <t>2   -106      0   -342      0</t>
  </si>
  <si>
    <t>0   1768</t>
  </si>
  <si>
    <t>0   1356      0    -5</t>
  </si>
  <si>
    <t>0   1159   2437</t>
  </si>
  <si>
    <t>0  -7686  -2448      0      0</t>
  </si>
  <si>
    <t>0   4380  11867  -367</t>
  </si>
  <si>
    <t>3  -3683  -4252  -4770   2205</t>
  </si>
  <si>
    <t>0    713      0  -305</t>
  </si>
  <si>
    <t>6      0      0  -2733      0</t>
  </si>
  <si>
    <t>0  -5401   2213  2827</t>
  </si>
  <si>
    <t>6   -903    282  -7710  -1481</t>
  </si>
  <si>
    <t>-427      0   1092</t>
  </si>
  <si>
    <t>0      0      0     32  -1127</t>
  </si>
  <si>
    <t>0      0      0    583   -375</t>
  </si>
  <si>
    <t>-886   -862    270   -43</t>
  </si>
  <si>
    <t>4  -1087    284      0      0</t>
  </si>
  <si>
    <t>0   1477</t>
  </si>
  <si>
    <t>0      0      0   -30</t>
  </si>
  <si>
    <t>0      0      0      0  -7283</t>
  </si>
  <si>
    <t>5629      0      0</t>
  </si>
  <si>
    <t>0      0   4393   -654   -189</t>
  </si>
  <si>
    <t>55    843      0  -125</t>
  </si>
  <si>
    <t>8   -840  -1044  -1301   -104</t>
  </si>
  <si>
    <t>0     23   3377   8491  -5740</t>
  </si>
  <si>
    <t>923  -3617</t>
  </si>
  <si>
    <t>0990  -8321      0  -194</t>
  </si>
  <si>
    <t>0  -1926   -321   1087   1377</t>
  </si>
  <si>
    <t>823  -1030</t>
  </si>
  <si>
    <t>1200      0      0   -88</t>
  </si>
  <si>
    <t>6   -524      0   -914  -2018</t>
  </si>
  <si>
    <t>272    101</t>
  </si>
  <si>
    <t>0   1012   4439      0  -4577</t>
  </si>
  <si>
    <t>457  -4940</t>
  </si>
  <si>
    <t>3253  -9980  -5102  -151</t>
  </si>
  <si>
    <t>6  -2109      0    239      0</t>
  </si>
  <si>
    <t>0  -1656</t>
  </si>
  <si>
    <t>224      0   2791</t>
  </si>
  <si>
    <t>0      0   -691      0   -207</t>
  </si>
  <si>
    <t>426   -223</t>
  </si>
  <si>
    <t>0     64   2765      0 -10569</t>
  </si>
  <si>
    <t>272   1120</t>
  </si>
  <si>
    <t>1   1308   3100  -1223  -1282</t>
  </si>
  <si>
    <t>0   -871</t>
  </si>
  <si>
    <t>0      0   1144</t>
  </si>
  <si>
    <t>0    612      0    577      0</t>
  </si>
  <si>
    <t>0   2096   4374      0 -12969</t>
  </si>
  <si>
    <t>909      0</t>
  </si>
  <si>
    <t>0   5957  15473  -2540  -4152</t>
  </si>
  <si>
    <t>324  -5108</t>
  </si>
  <si>
    <t>619      0      0</t>
  </si>
  <si>
    <t>0   2005      0  -1339      0</t>
  </si>
  <si>
    <t>0   5853</t>
  </si>
  <si>
    <t>0   -975   4570  19707  31186</t>
  </si>
  <si>
    <t>066    387</t>
  </si>
  <si>
    <t>8668  -2068      0</t>
  </si>
  <si>
    <t>0   -236      0    880      0</t>
  </si>
  <si>
    <t>470  -1271      0</t>
  </si>
  <si>
    <t>702   -286      0</t>
  </si>
  <si>
    <t>0  -1726  -1357   1623     11</t>
  </si>
  <si>
    <t>-79    471</t>
  </si>
  <si>
    <t>0      0      0   135</t>
  </si>
  <si>
    <t>4      0      0      0   -203</t>
  </si>
  <si>
    <t>0      0      0   -28</t>
  </si>
  <si>
    <t>0 -10171  -2734</t>
  </si>
  <si>
    <t>0   3647      0      0      0</t>
  </si>
  <si>
    <t>0   8787</t>
  </si>
  <si>
    <t>2166  -1045      0</t>
  </si>
  <si>
    <t>0    482   2165      0    877</t>
  </si>
  <si>
    <t>369   -682</t>
  </si>
  <si>
    <t>1122    991   -944  -294</t>
  </si>
  <si>
    <t>-89   4485</t>
  </si>
  <si>
    <t>5091  -6090   2938  -444</t>
  </si>
  <si>
    <t>5  -8091 -21425      0  -2181</t>
  </si>
  <si>
    <t>076    -28</t>
  </si>
  <si>
    <t>1651   1583   1095   -26</t>
  </si>
  <si>
    <t>8  -1601      0      0   2175</t>
  </si>
  <si>
    <t>017      0</t>
  </si>
  <si>
    <t>-93   -893   -487   102</t>
  </si>
  <si>
    <t>399   4538</t>
  </si>
  <si>
    <t>0  -4513   3243  -537</t>
  </si>
  <si>
    <t>2 -10208 -22854  -6504  -1997</t>
  </si>
  <si>
    <t>920      0</t>
  </si>
  <si>
    <t>514      0      0   -68</t>
  </si>
  <si>
    <t>1    -77      0   1858      0</t>
  </si>
  <si>
    <t>0   -443</t>
  </si>
  <si>
    <t>0   1097    462    12</t>
  </si>
  <si>
    <t>180   3141</t>
  </si>
  <si>
    <t>0 -10283    -82   102</t>
  </si>
  <si>
    <t>4      0      0      0   -101</t>
  </si>
  <si>
    <t>379   3034</t>
  </si>
  <si>
    <t>2343   -722      0    54</t>
  </si>
  <si>
    <t>7      0      0   1186      0</t>
  </si>
  <si>
    <t>479      0</t>
  </si>
  <si>
    <t>597      0      0</t>
  </si>
  <si>
    <t>954   4530</t>
  </si>
  <si>
    <t>0 -11450  -2209</t>
  </si>
  <si>
    <t>071  14679</t>
  </si>
  <si>
    <t>5023  -3571  -3761  -219</t>
  </si>
  <si>
    <t>6   2211      0      0      0</t>
  </si>
  <si>
    <t>2078      0      0  -640</t>
  </si>
  <si>
    <t>144   3790</t>
  </si>
  <si>
    <t>1743  36028  46876     1</t>
  </si>
  <si>
    <t>4   1150  -5315  -7772      0</t>
  </si>
  <si>
    <t>0   -198</t>
  </si>
  <si>
    <t>0   -833      0</t>
  </si>
  <si>
    <t>0      0    175   -549      0</t>
  </si>
  <si>
    <t>0      0    792    448      0</t>
  </si>
  <si>
    <t>0   8362</t>
  </si>
  <si>
    <t>2014 -10712  -3547  -412</t>
  </si>
  <si>
    <t>8   -194      0      0      0</t>
  </si>
  <si>
    <t>0      0   -678</t>
  </si>
  <si>
    <t>768      0</t>
  </si>
  <si>
    <t>0      0      0  -6364  -1979</t>
  </si>
  <si>
    <t>0   3143</t>
  </si>
  <si>
    <t>0   5868   1371    907      0</t>
  </si>
  <si>
    <t>0  -3977</t>
  </si>
  <si>
    <t>2610      0   1282   165</t>
  </si>
  <si>
    <t>8   -326   -663   2129   -557</t>
  </si>
  <si>
    <t>0      0      0   138</t>
  </si>
  <si>
    <t>2   2734   9773  -6834   -424</t>
  </si>
  <si>
    <t>-96    679</t>
  </si>
  <si>
    <t>-256      0  -1093  -210</t>
  </si>
  <si>
    <t>5   3087   3121   3398   3104</t>
  </si>
  <si>
    <t>560  -4011</t>
  </si>
  <si>
    <t>0      0    264    18</t>
  </si>
  <si>
    <t>1      0     90     54  -1552</t>
  </si>
  <si>
    <t>0      0      0   451</t>
  </si>
  <si>
    <t>8   3846      0  -3593   1609</t>
  </si>
  <si>
    <t>596  -5369</t>
  </si>
  <si>
    <t>6919 -20006  -2773  -654</t>
  </si>
  <si>
    <t>8      0   -354      0      0</t>
  </si>
  <si>
    <t>360   1494</t>
  </si>
  <si>
    <t>0   2390      0</t>
  </si>
  <si>
    <t>0    221      0   5810    473</t>
  </si>
  <si>
    <t>226      0</t>
  </si>
  <si>
    <t>0      0      0    25</t>
  </si>
  <si>
    <t>4   3208      0  -5369     61</t>
  </si>
  <si>
    <t>0      0    176    62</t>
  </si>
  <si>
    <t>1   2413    659    952      0</t>
  </si>
  <si>
    <t>0    839      0    51</t>
  </si>
  <si>
    <t>2      0    522      0      0</t>
  </si>
  <si>
    <t>0      0      0   331</t>
  </si>
  <si>
    <t>3   1901      0  -7340  -1624</t>
  </si>
  <si>
    <t>0      0      0    65</t>
  </si>
  <si>
    <t>2  10561   4747   3937   1000</t>
  </si>
  <si>
    <t>649  -8449</t>
  </si>
  <si>
    <t>0      0      0    -1</t>
  </si>
  <si>
    <t>7      0  -2651      0      0</t>
  </si>
  <si>
    <t>0      0      0   276</t>
  </si>
  <si>
    <t>1   2638  16082  25941  25169</t>
  </si>
  <si>
    <t>299   -550</t>
  </si>
  <si>
    <t>0      0    -92      0   1069</t>
  </si>
  <si>
    <t>0     -6   -473</t>
  </si>
  <si>
    <t>0    267     77</t>
  </si>
  <si>
    <t>0      0   3658    190  -2644</t>
  </si>
  <si>
    <t>292  -2130</t>
  </si>
  <si>
    <t>0   1427      0      0      0</t>
  </si>
  <si>
    <t>-27      0</t>
  </si>
  <si>
    <t>0    -41      0      0      0</t>
  </si>
  <si>
    <t>0      0  -4721  -109</t>
  </si>
  <si>
    <t>7      0   2659      0      0</t>
  </si>
  <si>
    <t>4869   -323   -310</t>
  </si>
  <si>
    <t>0      0   1398    147      0</t>
  </si>
  <si>
    <t>979   1996</t>
  </si>
  <si>
    <t>242    805   1133   198</t>
  </si>
  <si>
    <t>6   2161      0      0      0</t>
  </si>
  <si>
    <t>2310   4854  -3437   130</t>
  </si>
  <si>
    <t>8   -864  -1349  -1553      0</t>
  </si>
  <si>
    <t>689  -4802</t>
  </si>
  <si>
    <t>180    772    828    76</t>
  </si>
  <si>
    <t>3   -459  -1524      0      0</t>
  </si>
  <si>
    <t>214   -306</t>
  </si>
  <si>
    <t>0   -398  -2205   -50</t>
  </si>
  <si>
    <t>6   -110      0      0      0</t>
  </si>
  <si>
    <t>0    527</t>
  </si>
  <si>
    <t>3214      0  -1967    97</t>
  </si>
  <si>
    <t>6  -1729  -2087  -2853  -3993</t>
  </si>
  <si>
    <t>537  -5925</t>
  </si>
  <si>
    <t>0   -927   -135      0   -822</t>
  </si>
  <si>
    <t>-491      0  -1103     6</t>
  </si>
  <si>
    <t>7    184      0      0      0</t>
  </si>
  <si>
    <t>0    -64</t>
  </si>
  <si>
    <t>2054      0  -2371    32</t>
  </si>
  <si>
    <t>8    -89      0      0      0</t>
  </si>
  <si>
    <t>749  -2807</t>
  </si>
  <si>
    <t>421    -60    201</t>
  </si>
  <si>
    <t>0    210      0      0  -1037</t>
  </si>
  <si>
    <t>0   -413</t>
  </si>
  <si>
    <t>0   -306      0</t>
  </si>
  <si>
    <t>0    847</t>
  </si>
  <si>
    <t>1633      0  -7153   -79</t>
  </si>
  <si>
    <t>0   2271</t>
  </si>
  <si>
    <t>8968  -1611  -2272  -406</t>
  </si>
  <si>
    <t>5    438   2086      0      0</t>
  </si>
  <si>
    <t>0   1564</t>
  </si>
  <si>
    <t>0   1742      0      0      0</t>
  </si>
  <si>
    <t>0     74</t>
  </si>
  <si>
    <t>4699   7799  10127  1223</t>
  </si>
  <si>
    <t>7  14385  19712    524   -971</t>
  </si>
  <si>
    <t>517  -2114</t>
  </si>
  <si>
    <t>0      0     29</t>
  </si>
  <si>
    <t>0   -242      0      0      0</t>
  </si>
  <si>
    <t>54   -748</t>
  </si>
  <si>
    <t>398    231</t>
  </si>
  <si>
    <t>0      0   7878   -82</t>
  </si>
  <si>
    <t>0  -4195  -3005 -22516     97</t>
  </si>
  <si>
    <t>0    757      0</t>
  </si>
  <si>
    <t>0      0    316      0      0</t>
  </si>
  <si>
    <t>0   -745</t>
  </si>
  <si>
    <t>3809      0   4596</t>
  </si>
  <si>
    <t>0      0      0      0  13704</t>
  </si>
  <si>
    <t>254   -680</t>
  </si>
  <si>
    <t>0      0   4404   -57</t>
  </si>
  <si>
    <t>1      0   1540   3309    649</t>
  </si>
  <si>
    <t>757   4429</t>
  </si>
  <si>
    <t>4552   3921      0</t>
  </si>
  <si>
    <t>0      0      0   3429  -6565</t>
  </si>
  <si>
    <t>292  -3447</t>
  </si>
  <si>
    <t>24  -1292  -2878  -284</t>
  </si>
  <si>
    <t>3      0  -2560 -25525   1161</t>
  </si>
  <si>
    <t>430    591</t>
  </si>
  <si>
    <t>403   1981  -1333</t>
  </si>
  <si>
    <t>0      0   -405   -581      0</t>
  </si>
  <si>
    <t>760  -2063</t>
  </si>
  <si>
    <t>-348   -334      0</t>
  </si>
  <si>
    <t>0      0      0    706    771</t>
  </si>
  <si>
    <t>0  -5038</t>
  </si>
  <si>
    <t>2  -4739  -2703 -25515      0</t>
  </si>
  <si>
    <t>0   1678     28</t>
  </si>
  <si>
    <t>0  -1490      0      0   -753</t>
  </si>
  <si>
    <t>0  -1208</t>
  </si>
  <si>
    <t>39    344      0</t>
  </si>
  <si>
    <t>0      0      0     52   2276</t>
  </si>
  <si>
    <t>0  -4617</t>
  </si>
  <si>
    <t>1646   -242      0</t>
  </si>
  <si>
    <t>0      0  -1953 -20499    945</t>
  </si>
  <si>
    <t>120    222</t>
  </si>
  <si>
    <t>0   1936      0</t>
  </si>
  <si>
    <t>0  -1437      0  -1019      0</t>
  </si>
  <si>
    <t>800      0</t>
  </si>
  <si>
    <t>0      0      0   1277  -1146</t>
  </si>
  <si>
    <t>0  -8593</t>
  </si>
  <si>
    <t>1347      0      0</t>
  </si>
  <si>
    <t>0      0      0 -31082   8158</t>
  </si>
  <si>
    <t>46   -437</t>
  </si>
  <si>
    <t>-911   2876  -1151</t>
  </si>
  <si>
    <t>0      0      0   -295      0</t>
  </si>
  <si>
    <t>0    272      0</t>
  </si>
  <si>
    <t>0      0      0  -1355   3385</t>
  </si>
  <si>
    <t>476  13674</t>
  </si>
  <si>
    <t>7302  20653  28557  2086</t>
  </si>
  <si>
    <t>85     85</t>
  </si>
  <si>
    <t>815    382      0</t>
  </si>
  <si>
    <t>0   -620      0   -662      0</t>
  </si>
  <si>
    <t>284    440      0</t>
  </si>
  <si>
    <t>500   -126      0</t>
  </si>
  <si>
    <t>0   -721    256    349    194</t>
  </si>
  <si>
    <t>335    194</t>
  </si>
  <si>
    <t>9      0      0      0     13</t>
  </si>
  <si>
    <t>0      0      0   -26</t>
  </si>
  <si>
    <t>0  -1796    481</t>
  </si>
  <si>
    <t>0    128      0      0      0</t>
  </si>
  <si>
    <t>-475   -276      0</t>
  </si>
  <si>
    <t>0   -908    -16      0   -164</t>
  </si>
  <si>
    <t>100   -540</t>
  </si>
  <si>
    <t>-127     76   -326   -60</t>
  </si>
  <si>
    <t>224   2025</t>
  </si>
  <si>
    <t>1458  -3219    360    33</t>
  </si>
  <si>
    <t>7    864   1094      0    241</t>
  </si>
  <si>
    <t>339   2450</t>
  </si>
  <si>
    <t>-236   -512     -7    40</t>
  </si>
  <si>
    <t>4  -1826      0      0   -461</t>
  </si>
  <si>
    <t>-157    579   -111   -91</t>
  </si>
  <si>
    <t>716   2696</t>
  </si>
  <si>
    <t>0  -1073   1985   240</t>
  </si>
  <si>
    <t>7   3465   1843   2111   -494</t>
  </si>
  <si>
    <t>101      0      0    22</t>
  </si>
  <si>
    <t>3   1447      0 -23107      0</t>
  </si>
  <si>
    <t>0  -2947</t>
  </si>
  <si>
    <t>0    464    380   182</t>
  </si>
  <si>
    <t>532   2034</t>
  </si>
  <si>
    <t>0    419   1618    94</t>
  </si>
  <si>
    <t>2      0      0      0   -931</t>
  </si>
  <si>
    <t>172  -1740</t>
  </si>
  <si>
    <t>236    289      0    41</t>
  </si>
  <si>
    <t>8      0      0 -16070      0</t>
  </si>
  <si>
    <t>2920      0      0</t>
  </si>
  <si>
    <t>523   1735</t>
  </si>
  <si>
    <t>0  -3739    535</t>
  </si>
  <si>
    <t>281   3862</t>
  </si>
  <si>
    <t>65   -571   1247   101</t>
  </si>
  <si>
    <t>5  -3989      0      0      0</t>
  </si>
  <si>
    <t>66      0      0  -197</t>
  </si>
  <si>
    <t>393   3160</t>
  </si>
  <si>
    <t>2137 -11897  -9923 -1043</t>
  </si>
  <si>
    <t>6  -9950   5194   7809      0</t>
  </si>
  <si>
    <t>0     67     94    721    107</t>
  </si>
  <si>
    <t>11      0    -56</t>
  </si>
  <si>
    <t>0      0      0  -6456   1802</t>
  </si>
  <si>
    <t>0      0      0   -121     64</t>
  </si>
  <si>
    <t>51    326   -256   -16</t>
  </si>
  <si>
    <t>4   -417    -14      0      0</t>
  </si>
  <si>
    <t>0    135</t>
  </si>
  <si>
    <t>0      0      0  -233</t>
  </si>
  <si>
    <t>0      0      0      0    968</t>
  </si>
  <si>
    <t>1454      0      0</t>
  </si>
  <si>
    <t>0      0   -930    161    -13</t>
  </si>
  <si>
    <t>-23    149      0 -2515</t>
  </si>
  <si>
    <t>2   5197  -1492  -1376   -596</t>
  </si>
  <si>
    <t>667    212</t>
  </si>
  <si>
    <t>0    330   1096  -1652   -246</t>
  </si>
  <si>
    <t>227    839</t>
  </si>
  <si>
    <t>-972   2517      0   -21</t>
  </si>
  <si>
    <t>0   -127     89   -201   -175</t>
  </si>
  <si>
    <t>-7    303</t>
  </si>
  <si>
    <t>-670      0      0 -2119</t>
  </si>
  <si>
    <t>5   4227      0  -1402   -367</t>
  </si>
  <si>
    <t>231   -619</t>
  </si>
  <si>
    <t>0   -230    143      0   -148</t>
  </si>
  <si>
    <t>286     27</t>
  </si>
  <si>
    <t>-289    104    428    -6</t>
  </si>
  <si>
    <t>7    219      0    507      0</t>
  </si>
  <si>
    <t>0   -389</t>
  </si>
  <si>
    <t>996      0   -780</t>
  </si>
  <si>
    <t>0      0    128      0   -776</t>
  </si>
  <si>
    <t>130   1190</t>
  </si>
  <si>
    <t>0    313   -166      0   -947</t>
  </si>
  <si>
    <t>235    -52</t>
  </si>
  <si>
    <t>9    337    503    568    294</t>
  </si>
  <si>
    <t>0      0   -288</t>
  </si>
  <si>
    <t>0    441      0   -162      0</t>
  </si>
  <si>
    <t>0    -52    430      0  -1548</t>
  </si>
  <si>
    <t>0   1527   3140    460    122</t>
  </si>
  <si>
    <t>822   -611</t>
  </si>
  <si>
    <t>2161      0      0</t>
  </si>
  <si>
    <t>0   1386      0    557      0</t>
  </si>
  <si>
    <t>0   4758</t>
  </si>
  <si>
    <t>0    332    520   -840  -5669</t>
  </si>
  <si>
    <t>342 -10687</t>
  </si>
  <si>
    <t>2964   1418   1879</t>
  </si>
  <si>
    <t>4749    626   -735   152</t>
  </si>
  <si>
    <t>8    200      0      0    -23</t>
  </si>
  <si>
    <t>0      0      0   160</t>
  </si>
  <si>
    <t>9  -8192      0      0      0</t>
  </si>
  <si>
    <t>4    221      0      0    -43</t>
  </si>
  <si>
    <t>934     54</t>
  </si>
  <si>
    <t>75   -306     50</t>
  </si>
  <si>
    <t>0      0      0    -38      0</t>
  </si>
  <si>
    <t>-678      0      0</t>
  </si>
  <si>
    <t>0      0      0     62      0</t>
  </si>
  <si>
    <t>0   -453   3557      0   -506</t>
  </si>
  <si>
    <t>0      0   -989    34</t>
  </si>
  <si>
    <t>0     65      0      0    247</t>
  </si>
  <si>
    <t>4511 -25224  -2125  -139</t>
  </si>
  <si>
    <t>2   -662      9    848      0</t>
  </si>
  <si>
    <t>0   -280   2797  -215</t>
  </si>
  <si>
    <t>2   -551  -1050   1702   -789</t>
  </si>
  <si>
    <t>34   -347    538   -18</t>
  </si>
  <si>
    <t>1   -264   -221    815   -652</t>
  </si>
  <si>
    <t>3947 -22313      0  -216</t>
  </si>
  <si>
    <t>4   -334   -486   -484      0</t>
  </si>
  <si>
    <t>0   -411    744</t>
  </si>
  <si>
    <t>0   -681  -1215     18    670</t>
  </si>
  <si>
    <t>192   -201</t>
  </si>
  <si>
    <t>348    855      0   -10</t>
  </si>
  <si>
    <t>4      0      0    -45    746</t>
  </si>
  <si>
    <t>0   -829</t>
  </si>
  <si>
    <t>0    913   1906   3027      0</t>
  </si>
  <si>
    <t>0    353    170</t>
  </si>
  <si>
    <t>0    352  -1486   1084      0</t>
  </si>
  <si>
    <t>-103   -569   -590     6</t>
  </si>
  <si>
    <t>4    -95      0    475      0</t>
  </si>
  <si>
    <t>0  -3466</t>
  </si>
  <si>
    <t>0 -11056      0  -221</t>
  </si>
  <si>
    <t>0   -279    382</t>
  </si>
  <si>
    <t>0     65   -692      0      0</t>
  </si>
  <si>
    <t>0  -2047   -515   117</t>
  </si>
  <si>
    <t>8    831   1580   2516  -2236</t>
  </si>
  <si>
    <t>0 -38309      0  -452</t>
  </si>
  <si>
    <t>0      0      0   1030      0</t>
  </si>
  <si>
    <t>0    297    180  -206</t>
  </si>
  <si>
    <t>4  -9392    985  -9895  -4245</t>
  </si>
  <si>
    <t>797   3957</t>
  </si>
  <si>
    <t>0      0      0      0  18533</t>
  </si>
  <si>
    <t>323   -241</t>
  </si>
  <si>
    <t>-33    428   -139</t>
  </si>
  <si>
    <t>0      0     39      0    129</t>
  </si>
  <si>
    <t>0    -22     14</t>
  </si>
  <si>
    <t>0   -236    357</t>
  </si>
  <si>
    <t>0      0   -518    -40    422</t>
  </si>
  <si>
    <t>57    122</t>
  </si>
  <si>
    <t>0    224      0      0      0</t>
  </si>
  <si>
    <t>0    115      0      0      0</t>
  </si>
  <si>
    <t>0      0   -858   204</t>
  </si>
  <si>
    <t>0      0   -236      0      0</t>
  </si>
  <si>
    <t>192   -205   -111</t>
  </si>
  <si>
    <t>0      0     91     -3      0</t>
  </si>
  <si>
    <t>190  -1403</t>
  </si>
  <si>
    <t>9909   4128   -342     4</t>
  </si>
  <si>
    <t>7   -138      0      0      0</t>
  </si>
  <si>
    <t>0    146</t>
  </si>
  <si>
    <t>1340    330  -1638   -15</t>
  </si>
  <si>
    <t>7    178    643    538      0</t>
  </si>
  <si>
    <t>193    566</t>
  </si>
  <si>
    <t>1478   -339   -151   -15</t>
  </si>
  <si>
    <t>1   -286   1353      0      0</t>
  </si>
  <si>
    <t>188   -161</t>
  </si>
  <si>
    <t>0    622    -50   -91</t>
  </si>
  <si>
    <t>9   1211      0      0      0</t>
  </si>
  <si>
    <t>1110      0   -264    19</t>
  </si>
  <si>
    <t>4  -1063   -637   -398    503</t>
  </si>
  <si>
    <t>410   -891</t>
  </si>
  <si>
    <t>0    321      0</t>
  </si>
  <si>
    <t>0    104   -712      0  -3223</t>
  </si>
  <si>
    <t>6724      0   -632   -56</t>
  </si>
  <si>
    <t>3   -246      0      0      0</t>
  </si>
  <si>
    <t>720      0  -1582    13</t>
  </si>
  <si>
    <t>8     61      0      0      0</t>
  </si>
  <si>
    <t>-4     85</t>
  </si>
  <si>
    <t>453     56    152</t>
  </si>
  <si>
    <t>0    103      0      0   -106</t>
  </si>
  <si>
    <t>0    160      0</t>
  </si>
  <si>
    <t>1347      0  -2684   -12</t>
  </si>
  <si>
    <t>0   1230</t>
  </si>
  <si>
    <t>3002   -735    -13     6</t>
  </si>
  <si>
    <t>2   -378   3138      0      0</t>
  </si>
  <si>
    <t>0    505</t>
  </si>
  <si>
    <t>0   1102      0</t>
  </si>
  <si>
    <t>0   3965      0      0      0</t>
  </si>
  <si>
    <t>0    523</t>
  </si>
  <si>
    <t>1722  -1333   1987   287</t>
  </si>
  <si>
    <t>2     73  -1591   2481   3251</t>
  </si>
  <si>
    <t>0      0  13503   6107   7688</t>
  </si>
  <si>
    <t>57   -882</t>
  </si>
  <si>
    <t>382   -169      0</t>
  </si>
  <si>
    <t>0    335      0   -649      0</t>
  </si>
  <si>
    <t>15   -106      0</t>
  </si>
  <si>
    <t>-65    689      0</t>
  </si>
  <si>
    <t>0   -363  -1286    401    131</t>
  </si>
  <si>
    <t>1    114</t>
  </si>
  <si>
    <t>0  -1697   1892</t>
  </si>
  <si>
    <t>0     11      0      0      0</t>
  </si>
  <si>
    <t>0    583</t>
  </si>
  <si>
    <t>-272    -99      0</t>
  </si>
  <si>
    <t>0    262    523      0  -1283</t>
  </si>
  <si>
    <t>523   3557</t>
  </si>
  <si>
    <t>1588   -433    -37    39</t>
  </si>
  <si>
    <t>217   2136</t>
  </si>
  <si>
    <t>656   -603   -929  -107</t>
  </si>
  <si>
    <t>0  -1197   -219      0   -317</t>
  </si>
  <si>
    <t>903    349</t>
  </si>
  <si>
    <t>31    -60    -59   127</t>
  </si>
  <si>
    <t>4  -1329      0      0  -1352</t>
  </si>
  <si>
    <t>9802   -259   -275   -62</t>
  </si>
  <si>
    <t>224    714</t>
  </si>
  <si>
    <t>0  -1453  -1230    19</t>
  </si>
  <si>
    <t>7    960     22   -523    346</t>
  </si>
  <si>
    <t>-514      0      0    49</t>
  </si>
  <si>
    <t>9   1921      0   -584      0</t>
  </si>
  <si>
    <t>0   -343</t>
  </si>
  <si>
    <t>0    922   2407   230</t>
  </si>
  <si>
    <t>651    350</t>
  </si>
  <si>
    <t>0   -764  -1235   -43</t>
  </si>
  <si>
    <t>6      0      0      0   -147</t>
  </si>
  <si>
    <t>573   -111</t>
  </si>
  <si>
    <t>-25    -35      0    78</t>
  </si>
  <si>
    <t>1      0      0  -2934      0</t>
  </si>
  <si>
    <t>3314      0      0</t>
  </si>
  <si>
    <t>129    986</t>
  </si>
  <si>
    <t>0   -955  -1184</t>
  </si>
  <si>
    <t>124   1490</t>
  </si>
  <si>
    <t>354     86    417   232</t>
  </si>
  <si>
    <t>0  -1688      0      0      0</t>
  </si>
  <si>
    <t>001      0</t>
  </si>
  <si>
    <t>0305      0      0   -30</t>
  </si>
  <si>
    <t>440    184</t>
  </si>
  <si>
    <t>3607   2905   4210   124</t>
  </si>
  <si>
    <t>6    429   3081   5356      0</t>
  </si>
  <si>
    <t>0  15415   7584  13441 -14988</t>
  </si>
  <si>
    <t>642   -234</t>
  </si>
  <si>
    <t>-404   1603      0</t>
  </si>
  <si>
    <t>0    -53      0   2017      0</t>
  </si>
  <si>
    <t>70    -79      0</t>
  </si>
  <si>
    <t>-161     90      0</t>
  </si>
  <si>
    <t>0  -2718  -1633   1307    926</t>
  </si>
  <si>
    <t>517    419</t>
  </si>
  <si>
    <t>0      0      0   225</t>
  </si>
  <si>
    <t>1      0      0      0    498</t>
  </si>
  <si>
    <t>0      0      0   159</t>
  </si>
  <si>
    <t>0  -1197    -96</t>
  </si>
  <si>
    <t>0  -1183      0      0      0</t>
  </si>
  <si>
    <t>0  -1082</t>
  </si>
  <si>
    <t>-451   -452      0</t>
  </si>
  <si>
    <t>0   2905  -1093      0   -236</t>
  </si>
  <si>
    <t>235    -56</t>
  </si>
  <si>
    <t>633 -12264   1435    61</t>
  </si>
  <si>
    <t>352   1552</t>
  </si>
  <si>
    <t>1675  -1550   1018    29</t>
  </si>
  <si>
    <t>6  -1915   -459      0  -2112</t>
  </si>
  <si>
    <t>353  -1627</t>
  </si>
  <si>
    <t>5   1833      0      0   -427</t>
  </si>
  <si>
    <t>318      0</t>
  </si>
  <si>
    <t>-266 -18430    383   -26</t>
  </si>
  <si>
    <t>686   3020</t>
  </si>
  <si>
    <t>0  -2348    -50   149</t>
  </si>
  <si>
    <t>2   -223   1409   5873   -831</t>
  </si>
  <si>
    <t>311      0      0  -192</t>
  </si>
  <si>
    <t>1    502      0    254      0</t>
  </si>
  <si>
    <t>0 -19270   -140   -20</t>
  </si>
  <si>
    <t>413   2619</t>
  </si>
  <si>
    <t>0  -2719    -28    16</t>
  </si>
  <si>
    <t>7      0      0      0    446</t>
  </si>
  <si>
    <t>741    631</t>
  </si>
  <si>
    <t>-46    102      0    81</t>
  </si>
  <si>
    <t>4      0      0    236      0</t>
  </si>
  <si>
    <t>139      0</t>
  </si>
  <si>
    <t>627   2088</t>
  </si>
  <si>
    <t>0  -4542   -308</t>
  </si>
  <si>
    <t>306   2819</t>
  </si>
  <si>
    <t>-312    675   1600    81</t>
  </si>
  <si>
    <t>2   -636      0      0      0</t>
  </si>
  <si>
    <t>670      0</t>
  </si>
  <si>
    <t>729      0      0   476</t>
  </si>
  <si>
    <t>079   3214</t>
  </si>
  <si>
    <t>2302  -7867   1663  -603</t>
  </si>
  <si>
    <t>3 -29304   5648   7320      0</t>
  </si>
  <si>
    <t>0   -231   2103   1276   2607</t>
  </si>
  <si>
    <t>0   -541   -215    -43   -114</t>
  </si>
  <si>
    <t>-57      0    -58</t>
  </si>
  <si>
    <t>0      0      0   -169   -631</t>
  </si>
  <si>
    <t>0      0      0     70     11</t>
  </si>
  <si>
    <t>29   -358    -44    -8</t>
  </si>
  <si>
    <t>4   -221     27      0      0</t>
  </si>
  <si>
    <t>0      0      0      0  -1211</t>
  </si>
  <si>
    <t>0      0    566   -441   -297</t>
  </si>
  <si>
    <t>455   -691      0     8</t>
  </si>
  <si>
    <t>9    229    203    332     21</t>
  </si>
  <si>
    <t>43    137</t>
  </si>
  <si>
    <t>0    241   1224     22   -230</t>
  </si>
  <si>
    <t>667    504</t>
  </si>
  <si>
    <t>-620   -410      0   -17</t>
  </si>
  <si>
    <t>2   -149    397   -261   -138</t>
  </si>
  <si>
    <t>189      0      0    12</t>
  </si>
  <si>
    <t>9    282      0    284   -273</t>
  </si>
  <si>
    <t>45    161</t>
  </si>
  <si>
    <t>0    228    382      0     57</t>
  </si>
  <si>
    <t>734    489</t>
  </si>
  <si>
    <t>1116  -1051   -451   -17</t>
  </si>
  <si>
    <t>6   -349      0   -121      0</t>
  </si>
  <si>
    <t>0   -491</t>
  </si>
  <si>
    <t>133      0     56</t>
  </si>
  <si>
    <t>0      0     51      0   -242</t>
  </si>
  <si>
    <t>23     83</t>
  </si>
  <si>
    <t>0     98    229      0    121</t>
  </si>
  <si>
    <t>467   -154</t>
  </si>
  <si>
    <t>3      2    353   -381    -79</t>
  </si>
  <si>
    <t>0   -458</t>
  </si>
  <si>
    <t>0      0    110</t>
  </si>
  <si>
    <t>0    222      0    114      0</t>
  </si>
  <si>
    <t>0    232    275      0  -1619</t>
  </si>
  <si>
    <t>0     90   1127   -131   -116</t>
  </si>
  <si>
    <t>126      0      0</t>
  </si>
  <si>
    <t>0   -301      0   -399      0</t>
  </si>
  <si>
    <t>0    184</t>
  </si>
  <si>
    <t>0    238    555    849  -2360</t>
  </si>
  <si>
    <t>020   5873</t>
  </si>
  <si>
    <t>1859   1245   1971</t>
  </si>
  <si>
    <t>-533    717    471     2</t>
  </si>
  <si>
    <t>3    908   1184      0      0</t>
  </si>
  <si>
    <t>0      0      0  -140</t>
  </si>
  <si>
    <t>4     87   -261    699      0</t>
  </si>
  <si>
    <t>0  -1016</t>
  </si>
  <si>
    <t>0   7807      0</t>
  </si>
  <si>
    <t>0      0    248    559      0</t>
  </si>
  <si>
    <t>0      0  -2702  -3648      0</t>
  </si>
  <si>
    <t>-443  -1373    785    29</t>
  </si>
  <si>
    <t>671      0</t>
  </si>
  <si>
    <t>0      0    712</t>
  </si>
  <si>
    <t>0      0      0  12044   -313</t>
  </si>
  <si>
    <t>0   -864</t>
  </si>
  <si>
    <t>0   4540   -630   -309      0</t>
  </si>
  <si>
    <t>0  -2119</t>
  </si>
  <si>
    <t>317      0   -620  -112</t>
  </si>
  <si>
    <t>4   -537   -815    670   -754</t>
  </si>
  <si>
    <t>0      0      0  -168</t>
  </si>
  <si>
    <t>6 -10133    864  13775   -894</t>
  </si>
  <si>
    <t>973  -2493</t>
  </si>
  <si>
    <t>1898      0   -539  -240</t>
  </si>
  <si>
    <t>5   -383    125    435    -37</t>
  </si>
  <si>
    <t>845  -2993</t>
  </si>
  <si>
    <t>0      0   -157   -95</t>
  </si>
  <si>
    <t>7      0  -1004     72   -903</t>
  </si>
  <si>
    <t>0      0      0  -155</t>
  </si>
  <si>
    <t>2 -10777      0  10144  -1109</t>
  </si>
  <si>
    <t>662  -1470</t>
  </si>
  <si>
    <t>1410    -20    -96  -263</t>
  </si>
  <si>
    <t>2      0    113      0      0</t>
  </si>
  <si>
    <t>302  -3287</t>
  </si>
  <si>
    <t>0    236      0</t>
  </si>
  <si>
    <t>0   -323      0    255   -750</t>
  </si>
  <si>
    <t>863      0</t>
  </si>
  <si>
    <t>0      0      0  -189</t>
  </si>
  <si>
    <t>0  -6576      0  15835   -330</t>
  </si>
  <si>
    <t>0      0   -104   -81</t>
  </si>
  <si>
    <t>7    918   -467   -220      0</t>
  </si>
  <si>
    <t>424      0</t>
  </si>
  <si>
    <t>0   -532      0   -50</t>
  </si>
  <si>
    <t>8      0   -361      0      0</t>
  </si>
  <si>
    <t>0      0      0   -54</t>
  </si>
  <si>
    <t>3 -14135      0  24936   -448</t>
  </si>
  <si>
    <t>0      0      0  -588</t>
  </si>
  <si>
    <t>7  -3839  -1186  -1652   -729</t>
  </si>
  <si>
    <t>861  -2841</t>
  </si>
  <si>
    <t>0      0      0  -191</t>
  </si>
  <si>
    <t>1      0  -1907      0      0</t>
  </si>
  <si>
    <t>713      0</t>
  </si>
  <si>
    <t>0      0      0  -345</t>
  </si>
  <si>
    <t>4 -20791   2331   4918  11127</t>
  </si>
  <si>
    <t>226  -7307</t>
  </si>
  <si>
    <t>5992   5956      0</t>
  </si>
  <si>
    <t>0   3311</t>
  </si>
  <si>
    <t>4063   9068   4155   846</t>
  </si>
  <si>
    <t>7  -9937      0      0    346</t>
  </si>
  <si>
    <t>0  -6213</t>
  </si>
  <si>
    <t>511   4379    891</t>
  </si>
  <si>
    <t>0      0    441      0  -3087</t>
  </si>
  <si>
    <t>0    167   1369</t>
  </si>
  <si>
    <t>0  -2112   -283</t>
  </si>
  <si>
    <t>0      0  -3827   1272    509</t>
  </si>
  <si>
    <t>006   1733</t>
  </si>
  <si>
    <t>-97      0      0</t>
  </si>
  <si>
    <t>0  -4186      0      0      0</t>
  </si>
  <si>
    <t>0    -29      0      0      0</t>
  </si>
  <si>
    <t>0      0  -1645    56</t>
  </si>
  <si>
    <t>0      0    229      0      0</t>
  </si>
  <si>
    <t>561   2434    966</t>
  </si>
  <si>
    <t>0      0  -1584   -219      0</t>
  </si>
  <si>
    <t>72   -230</t>
  </si>
  <si>
    <t>437    511    381   -50</t>
  </si>
  <si>
    <t>7   -803      0      0      0</t>
  </si>
  <si>
    <t>0317  -5998   7059     8</t>
  </si>
  <si>
    <t>3   2806   5114   4709      0</t>
  </si>
  <si>
    <t>470   5202</t>
  </si>
  <si>
    <t>2740   -693   -721   -60</t>
  </si>
  <si>
    <t>0  -2425   2702      0      0</t>
  </si>
  <si>
    <t>716    681</t>
  </si>
  <si>
    <t>0   1107   1644    76</t>
  </si>
  <si>
    <t>0   -231      0      0      0</t>
  </si>
  <si>
    <t>0     77</t>
  </si>
  <si>
    <t>2771      0   7078   -21</t>
  </si>
  <si>
    <t>3   3805   6510   6753   2629</t>
  </si>
  <si>
    <t>620   2727</t>
  </si>
  <si>
    <t>0   -847      0</t>
  </si>
  <si>
    <t>0   -831    198      0   2514</t>
  </si>
  <si>
    <t>1218      0    389    30</t>
  </si>
  <si>
    <t>0   -248      0      0      0</t>
  </si>
  <si>
    <t>3955      0 -10753   110</t>
  </si>
  <si>
    <t>7   -173      0      0      0</t>
  </si>
  <si>
    <t>318   2220</t>
  </si>
  <si>
    <t>729   1546    438</t>
  </si>
  <si>
    <t>0  -3409      0      0   2457</t>
  </si>
  <si>
    <t>0    848</t>
  </si>
  <si>
    <t>0    909      0</t>
  </si>
  <si>
    <t>0   -934</t>
  </si>
  <si>
    <t>5450      0   5050   139</t>
  </si>
  <si>
    <t>0    639</t>
  </si>
  <si>
    <t>5744   1551    725   150</t>
  </si>
  <si>
    <t>6  -6640   5946      0      0</t>
  </si>
  <si>
    <t>0   1774</t>
  </si>
  <si>
    <t>0   3065      0</t>
  </si>
  <si>
    <t>0    277      0      0      0</t>
  </si>
  <si>
    <t>0   1467</t>
  </si>
  <si>
    <t>5526  -8546 -15468 -2717</t>
  </si>
  <si>
    <t>2 -25176 -11939 -11086  -9654</t>
  </si>
  <si>
    <t>0      0 -13785  -5657  -6693</t>
  </si>
  <si>
    <t>104  -8334</t>
  </si>
  <si>
    <t>-519      0      0  -230</t>
  </si>
  <si>
    <t>1      0 -45789      0      0</t>
  </si>
  <si>
    <t>0      0      0    375    186</t>
  </si>
  <si>
    <t>208    -58</t>
  </si>
  <si>
    <t>0      0     20</t>
  </si>
  <si>
    <t>0   -157      0      0      0</t>
  </si>
  <si>
    <t>40    105</t>
  </si>
  <si>
    <t>0      0   1434   122</t>
  </si>
  <si>
    <t>7    -21 -11897  -1071    118</t>
  </si>
  <si>
    <t>0   -152      0</t>
  </si>
  <si>
    <t>0      0    429      0      0</t>
  </si>
  <si>
    <t>0    135      0</t>
  </si>
  <si>
    <t>0  -1072</t>
  </si>
  <si>
    <t>589      0   1540</t>
  </si>
  <si>
    <t>0      0      0      0   2899</t>
  </si>
  <si>
    <t>416   -378</t>
  </si>
  <si>
    <t>0      0   2162   -56</t>
  </si>
  <si>
    <t>9      0    573   1442    549</t>
  </si>
  <si>
    <t>943   2269</t>
  </si>
  <si>
    <t>1828   1463      0</t>
  </si>
  <si>
    <t>0      0      0     94    107</t>
  </si>
  <si>
    <t>028   1110</t>
  </si>
  <si>
    <t>1908   -346   -650   -40</t>
  </si>
  <si>
    <t>4      0 -31093  -2639    -30</t>
  </si>
  <si>
    <t>195   -163</t>
  </si>
  <si>
    <t>-181   -290    297</t>
  </si>
  <si>
    <t>0      0    -65    139      0</t>
  </si>
  <si>
    <t>68    957</t>
  </si>
  <si>
    <t>219   -338      0</t>
  </si>
  <si>
    <t>0      0      0   -425   -625</t>
  </si>
  <si>
    <t>0     44</t>
  </si>
  <si>
    <t>1485    -29    162    11</t>
  </si>
  <si>
    <t>2    340 -23404  -2566      0</t>
  </si>
  <si>
    <t>0   -235   -165</t>
  </si>
  <si>
    <t>0     85      0      0    -67</t>
  </si>
  <si>
    <t>0     89</t>
  </si>
  <si>
    <t>-21    -59      0</t>
  </si>
  <si>
    <t>0      0      0     -4     69</t>
  </si>
  <si>
    <t>0   1339</t>
  </si>
  <si>
    <t>1805   -162      0</t>
  </si>
  <si>
    <t>0      0 -42140  -3569     51</t>
  </si>
  <si>
    <t>119    -78</t>
  </si>
  <si>
    <t>0   -543      0</t>
  </si>
  <si>
    <t>0    107      0   -149      0</t>
  </si>
  <si>
    <t>0      0      0   -378   -945</t>
  </si>
  <si>
    <t>0   -696</t>
  </si>
  <si>
    <t>667      0      0</t>
  </si>
  <si>
    <t>0      0      0   -468   2054</t>
  </si>
  <si>
    <t>097  -1374</t>
  </si>
  <si>
    <t>2416    600   2228</t>
  </si>
  <si>
    <t>0      0      0   1420      0</t>
  </si>
  <si>
    <t>836      0</t>
  </si>
  <si>
    <t>0    888      0</t>
  </si>
  <si>
    <t>0      0      0    350    347</t>
  </si>
  <si>
    <t>678   1089</t>
  </si>
  <si>
    <t>730    920    174  1513</t>
  </si>
  <si>
    <t>2   2226      0      0      0</t>
  </si>
  <si>
    <t>0      0   -221     1</t>
  </si>
  <si>
    <t>0   -574     85   -265   -505</t>
  </si>
  <si>
    <t>112      0     13   -35</t>
  </si>
  <si>
    <t>0    232</t>
  </si>
  <si>
    <t>1160    -54   -201</t>
  </si>
  <si>
    <t>0      0     34      0    637</t>
  </si>
  <si>
    <t>0    -85   -105</t>
  </si>
  <si>
    <t>0   -118    271</t>
  </si>
  <si>
    <t>0      0   2303    902   -736</t>
  </si>
  <si>
    <t>234  -9093</t>
  </si>
  <si>
    <t>0   -966      0      0      0</t>
  </si>
  <si>
    <t>0    536      0      0      0</t>
  </si>
  <si>
    <t>0      0   1448   -14</t>
  </si>
  <si>
    <t>9      0   4284      0      0</t>
  </si>
  <si>
    <t>0238   -524   -942</t>
  </si>
  <si>
    <t>0      0   6369  -1820      0</t>
  </si>
  <si>
    <t>615   3844</t>
  </si>
  <si>
    <t>1456   2776   6847   518</t>
  </si>
  <si>
    <t>7   3982      0      0      0</t>
  </si>
  <si>
    <t>0   3203</t>
  </si>
  <si>
    <t>4946   2141   1514   291</t>
  </si>
  <si>
    <t>6   -455  -1099   -443      0</t>
  </si>
  <si>
    <t>117 -30393</t>
  </si>
  <si>
    <t>341   -814   -893   -84</t>
  </si>
  <si>
    <t>8   -173    963      0      0</t>
  </si>
  <si>
    <t>113    320</t>
  </si>
  <si>
    <t>0    186   1754    35</t>
  </si>
  <si>
    <t>8   -755      0      0      0</t>
  </si>
  <si>
    <t>-387      0   1229   194</t>
  </si>
  <si>
    <t>6    127    204    418   1638</t>
  </si>
  <si>
    <t>396 -27434</t>
  </si>
  <si>
    <t>0    -87      0</t>
  </si>
  <si>
    <t>0    268     15      0    -15</t>
  </si>
  <si>
    <t>-87      0    145   -15</t>
  </si>
  <si>
    <t>1   -414      0      0      0</t>
  </si>
  <si>
    <t>-763      0   1455   197</t>
  </si>
  <si>
    <t>0   -387      0      0      0</t>
  </si>
  <si>
    <t>144 -40984</t>
  </si>
  <si>
    <t>404   -270   -261</t>
  </si>
  <si>
    <t>0   -430      0      0    210</t>
  </si>
  <si>
    <t>0   -449</t>
  </si>
  <si>
    <t>0   -246      0</t>
  </si>
  <si>
    <t>-228      0   3775   206</t>
  </si>
  <si>
    <t>0 -36082</t>
  </si>
  <si>
    <t>-761   -139      7     3</t>
  </si>
  <si>
    <t>2    203    931      0      0</t>
  </si>
  <si>
    <t>0    867</t>
  </si>
  <si>
    <t>0    501      0</t>
  </si>
  <si>
    <t>0   -300      0      0      0</t>
  </si>
  <si>
    <t>0    450</t>
  </si>
  <si>
    <t>3097   2517    900   -37</t>
  </si>
  <si>
    <t>8    489    863   2461  19574</t>
  </si>
  <si>
    <t>0      0   -418   -469   -897</t>
  </si>
  <si>
    <t>183   -526</t>
  </si>
  <si>
    <t>1397      0      0    15</t>
  </si>
  <si>
    <t>5      0   1739  -1180      0</t>
  </si>
  <si>
    <t>0      0   7572</t>
  </si>
  <si>
    <t>0    735   -168    -23      0</t>
  </si>
  <si>
    <t>0      0    -65   -246      0</t>
  </si>
  <si>
    <t>0      0    102    183      0</t>
  </si>
  <si>
    <t>0    161</t>
  </si>
  <si>
    <t>1313    -93   -140   -17</t>
  </si>
  <si>
    <t>8     -3      0      0      0</t>
  </si>
  <si>
    <t>0      0     45</t>
  </si>
  <si>
    <t>0      0      0   -110    942</t>
  </si>
  <si>
    <t>0    871</t>
  </si>
  <si>
    <t>0    454   -212    -90      0</t>
  </si>
  <si>
    <t>0    429</t>
  </si>
  <si>
    <t>-541      0    258     9</t>
  </si>
  <si>
    <t>5    108    338    262    229</t>
  </si>
  <si>
    <t>9     27   -395      0    850</t>
  </si>
  <si>
    <t>37   1445</t>
  </si>
  <si>
    <t>1660      0    200    54</t>
  </si>
  <si>
    <t>0   1145   -752   -529    -99</t>
  </si>
  <si>
    <t>460    849</t>
  </si>
  <si>
    <t>0      0    423    -7</t>
  </si>
  <si>
    <t>6      0    604    704    345</t>
  </si>
  <si>
    <t>9   -336      0    310   1084</t>
  </si>
  <si>
    <t>295    669</t>
  </si>
  <si>
    <t>697   -458    -89   -15</t>
  </si>
  <si>
    <t>9      0   -331      0      0</t>
  </si>
  <si>
    <t>287    426</t>
  </si>
  <si>
    <t>0   -114      0</t>
  </si>
  <si>
    <t>0    105      0    393    160</t>
  </si>
  <si>
    <t>0   -321      0    482   1215</t>
  </si>
  <si>
    <t>0      0   -119   -15</t>
  </si>
  <si>
    <t>2    439   -742   -276      0</t>
  </si>
  <si>
    <t>755      0</t>
  </si>
  <si>
    <t>0    138      0   -40</t>
  </si>
  <si>
    <t>3      0    188      0      0</t>
  </si>
  <si>
    <t>0      0      0   -91</t>
  </si>
  <si>
    <t>3   -173      0    -73    974</t>
  </si>
  <si>
    <t>0      0      0   -39</t>
  </si>
  <si>
    <t>6   -156    203    143    106</t>
  </si>
  <si>
    <t>1      0    -24      0      0</t>
  </si>
  <si>
    <t>1      0</t>
  </si>
  <si>
    <t>8   -385    688    494   -679</t>
  </si>
  <si>
    <t>523     -4</t>
  </si>
  <si>
    <t>25     34      0</t>
  </si>
  <si>
    <t>-138    189      2    -7</t>
  </si>
  <si>
    <t>8   -229      0      0  -1925</t>
  </si>
  <si>
    <t>376      0      0</t>
  </si>
  <si>
    <t>0      0      0    552   1645</t>
  </si>
  <si>
    <t>0      0      0  1294</t>
  </si>
  <si>
    <t>5   1455  -2914   -660      0</t>
  </si>
  <si>
    <t>0    191</t>
  </si>
  <si>
    <t>0   3654      0</t>
  </si>
  <si>
    <t>0      0    125   -973      0</t>
  </si>
  <si>
    <t>0      0 -45904   2712      0</t>
  </si>
  <si>
    <t>0   -736</t>
  </si>
  <si>
    <t>2539    421    111     1</t>
  </si>
  <si>
    <t>6     43      0      0      0</t>
  </si>
  <si>
    <t>0      0    -97</t>
  </si>
  <si>
    <t>7      0</t>
  </si>
  <si>
    <t>0      0      0     69  -1049</t>
  </si>
  <si>
    <t>0   -245</t>
  </si>
  <si>
    <t>0     81    -55    227      0</t>
  </si>
  <si>
    <t>-807      0   -870  -139</t>
  </si>
  <si>
    <t>9   -575   -619    190    355</t>
  </si>
  <si>
    <t>0      0      0   143</t>
  </si>
  <si>
    <t>3   -384    594    238  -1144</t>
  </si>
  <si>
    <t>786   -395</t>
  </si>
  <si>
    <t>-212      0   -258   -50</t>
  </si>
  <si>
    <t>4   -237   -523   -119   -684</t>
  </si>
  <si>
    <t>560    120</t>
  </si>
  <si>
    <t>0      0   -361   -83</t>
  </si>
  <si>
    <t>0      0   -983   -180   -263</t>
  </si>
  <si>
    <t>0      0      0   161</t>
  </si>
  <si>
    <t>1   -200      0     48  -1320</t>
  </si>
  <si>
    <t>105   -171</t>
  </si>
  <si>
    <t>1      0   -565      0      0</t>
  </si>
  <si>
    <t>954    536</t>
  </si>
  <si>
    <t>0    751      0</t>
  </si>
  <si>
    <t>0   -923      0     61    -11</t>
  </si>
  <si>
    <t>583      0</t>
  </si>
  <si>
    <t>0      0      0   215</t>
  </si>
  <si>
    <t>1   -233      0   -263  -1089</t>
  </si>
  <si>
    <t>0      0   -195   -40</t>
  </si>
  <si>
    <t>5     16   -267    496      0</t>
  </si>
  <si>
    <t>746      0</t>
  </si>
  <si>
    <t>0    784      0   -77</t>
  </si>
  <si>
    <t>5      0  -1058      0      0</t>
  </si>
  <si>
    <t>3   -102      0   -247  -1165</t>
  </si>
  <si>
    <t>0      0      0   -44</t>
  </si>
  <si>
    <t>6    118   -227    -20   -404</t>
  </si>
  <si>
    <t>470    170</t>
  </si>
  <si>
    <t>0      0      0   -80</t>
  </si>
  <si>
    <t>5      0   -671      0      0</t>
  </si>
  <si>
    <t>0      0      0   108</t>
  </si>
  <si>
    <t>0   -140   1355    958    569</t>
  </si>
  <si>
    <t>523    502</t>
  </si>
  <si>
    <t>288    517      0</t>
  </si>
  <si>
    <t>0   -486</t>
  </si>
  <si>
    <t>237    774    203    53</t>
  </si>
  <si>
    <t>7     57      0      0     56</t>
  </si>
  <si>
    <t>0   -107</t>
  </si>
  <si>
    <t>449      0      0</t>
  </si>
  <si>
    <t>0      0      0     52    387</t>
  </si>
  <si>
    <t>397 -82607</t>
  </si>
  <si>
    <t>7579  10669      0</t>
  </si>
  <si>
    <t>0   4732      0  11712      0</t>
  </si>
  <si>
    <t>204    525      0</t>
  </si>
  <si>
    <t>5694  10445      0</t>
  </si>
  <si>
    <t>0   7636  -2653  -7309  -4359</t>
  </si>
  <si>
    <t>641  -1216</t>
  </si>
  <si>
    <t>0      0      0   214</t>
  </si>
  <si>
    <t>2      0      0      0    706</t>
  </si>
  <si>
    <t>0    110    120</t>
  </si>
  <si>
    <t>0    102      0      0      0</t>
  </si>
  <si>
    <t>34     34      0</t>
  </si>
  <si>
    <t>0     74     -3      0     70</t>
  </si>
  <si>
    <t>132    124</t>
  </si>
  <si>
    <t>109     -2    127     8</t>
  </si>
  <si>
    <t>167   -203</t>
  </si>
  <si>
    <t>-328   -333    -53    35</t>
  </si>
  <si>
    <t>4   -135     21      0   -486</t>
  </si>
  <si>
    <t>430   -125</t>
  </si>
  <si>
    <t>53    183      9    22</t>
  </si>
  <si>
    <t>5    -26      0      0   -107</t>
  </si>
  <si>
    <t>-20      3    209    -7</t>
  </si>
  <si>
    <t>545    387</t>
  </si>
  <si>
    <t>0   -375   -113    36</t>
  </si>
  <si>
    <t>5    125    258    306   -232</t>
  </si>
  <si>
    <t>-10      0</t>
  </si>
  <si>
    <t>59      0      0    19</t>
  </si>
  <si>
    <t>3   -105      0      1      0</t>
  </si>
  <si>
    <t>0   -216    103    -8</t>
  </si>
  <si>
    <t>570    327</t>
  </si>
  <si>
    <t>0    -38    -21    22</t>
  </si>
  <si>
    <t>7      0      0      0   -608</t>
  </si>
  <si>
    <t>858   -120</t>
  </si>
  <si>
    <t>123    188      0   -10</t>
  </si>
  <si>
    <t>9      0      0   -278      0</t>
  </si>
  <si>
    <t>85      0      0</t>
  </si>
  <si>
    <t>968    258</t>
  </si>
  <si>
    <t>0   -134    -91</t>
  </si>
  <si>
    <t>484   -518</t>
  </si>
  <si>
    <t>141    275     49    -6</t>
  </si>
  <si>
    <t>6   -695      0      0      0</t>
  </si>
  <si>
    <t>37      0      0    14</t>
  </si>
  <si>
    <t>602    337</t>
  </si>
  <si>
    <t>943   -636   -364   -68</t>
  </si>
  <si>
    <t>6   -962    110     86      0</t>
  </si>
  <si>
    <t>0     38     24     -6    -18</t>
  </si>
  <si>
    <t>-17    244</t>
  </si>
  <si>
    <t>0      0    -25</t>
  </si>
  <si>
    <t>0    151   -286      0      0</t>
  </si>
  <si>
    <t>0    603   2870</t>
  </si>
  <si>
    <t>233      0</t>
  </si>
  <si>
    <t>0      0      0  -306</t>
  </si>
  <si>
    <t>0  -2374   2190   195</t>
  </si>
  <si>
    <t>9   -113      0      0   1600</t>
  </si>
  <si>
    <t>0    -29</t>
  </si>
  <si>
    <t>0      0      0  -385</t>
  </si>
  <si>
    <t>1  -6980      0      0      0</t>
  </si>
  <si>
    <t>0      0      0    42</t>
  </si>
  <si>
    <t>9   1435      0      0    131</t>
  </si>
  <si>
    <t>388   -381</t>
  </si>
  <si>
    <t>50   -536    -37</t>
  </si>
  <si>
    <t>0      0      0    283      0</t>
  </si>
  <si>
    <t>-213      0      0</t>
  </si>
  <si>
    <t>0      0      0     67      0</t>
  </si>
  <si>
    <t>0   8288 -40511      0   2462</t>
  </si>
  <si>
    <t>0      0   3882   110</t>
  </si>
  <si>
    <t>1   -256      0      0   1086</t>
  </si>
  <si>
    <t>979      0</t>
  </si>
  <si>
    <t>1419  -1373    134   -73</t>
  </si>
  <si>
    <t>3    651  -1106   -241      0</t>
  </si>
  <si>
    <t>0  -5450  -4060 -1887</t>
  </si>
  <si>
    <t>2   1437  -6314   -248   -291</t>
  </si>
  <si>
    <t>400      0</t>
  </si>
  <si>
    <t>6    284    151    -52    145</t>
  </si>
  <si>
    <t>386    561      0   -26</t>
  </si>
  <si>
    <t>8     14    475     19      0</t>
  </si>
  <si>
    <t>0    546  -1938</t>
  </si>
  <si>
    <t>0   1231  -6653    -54    -18</t>
  </si>
  <si>
    <t>654   -349</t>
  </si>
  <si>
    <t>-76  -1382      0   -30</t>
  </si>
  <si>
    <t>7      0      0    102    306</t>
  </si>
  <si>
    <t>0      0   -297</t>
  </si>
  <si>
    <t>0     85    761     48      0</t>
  </si>
  <si>
    <t>0    539  -1736</t>
  </si>
  <si>
    <t>0    850  -7158   -394      0</t>
  </si>
  <si>
    <t>-274  -1382    -15    10</t>
  </si>
  <si>
    <t>1     47      0    211      0</t>
  </si>
  <si>
    <t>0   -327</t>
  </si>
  <si>
    <t>0    886      0    -1</t>
  </si>
  <si>
    <t>0    628  -1335</t>
  </si>
  <si>
    <t>0   3192   2746      0      0</t>
  </si>
  <si>
    <t>0  -3003  -2046  -147</t>
  </si>
  <si>
    <t>8  -1587  -2145  -2291  -1865</t>
  </si>
  <si>
    <t>0   1797      0    40</t>
  </si>
  <si>
    <t>5      0      0   -736      0</t>
  </si>
  <si>
    <t>0    589  -2217  -134</t>
  </si>
  <si>
    <t>2  -2151  -3502  -3710  -1906</t>
  </si>
  <si>
    <t>084   -364</t>
  </si>
  <si>
    <t>0      0      0      0    743</t>
  </si>
  <si>
    <t>231  -3643</t>
  </si>
  <si>
    <t>1244  -2236    889</t>
  </si>
  <si>
    <t>0      0   -849      0   1376</t>
  </si>
  <si>
    <t>0    317   2094      0      0</t>
  </si>
  <si>
    <t>0   1229      0</t>
  </si>
  <si>
    <t>0      0      0     51   1207</t>
  </si>
  <si>
    <t>0  -4358</t>
  </si>
  <si>
    <t>3821  -2758    169</t>
  </si>
  <si>
    <t>0      0  -1867      0   -706</t>
  </si>
  <si>
    <t>0    841    -39</t>
  </si>
  <si>
    <t>0    638   1685</t>
  </si>
  <si>
    <t>0      0  -1073   4102    -12</t>
  </si>
  <si>
    <t>170   -119</t>
  </si>
  <si>
    <t>-58      0      0</t>
  </si>
  <si>
    <t>0    506      0      0      0</t>
  </si>
  <si>
    <t>-2      0</t>
  </si>
  <si>
    <t>0   -298      0      0      0</t>
  </si>
  <si>
    <t>0      0   1129  -662</t>
  </si>
  <si>
    <t>9      0    759      0      0</t>
  </si>
  <si>
    <t>-989    266    256</t>
  </si>
  <si>
    <t>0      0   -198   -219      0</t>
  </si>
  <si>
    <t>316   -236</t>
  </si>
  <si>
    <t>21   -129    -57    15</t>
  </si>
  <si>
    <t>6    146      0      0      0</t>
  </si>
  <si>
    <t>0   9825  28002  28483      0</t>
  </si>
  <si>
    <t>322  12354</t>
  </si>
  <si>
    <t>9021  -3420  -5407  -443</t>
  </si>
  <si>
    <t>4  -4353   5279      0      0</t>
  </si>
  <si>
    <t>513   -230</t>
  </si>
  <si>
    <t>0  -1752   7202    73</t>
  </si>
  <si>
    <t>6   -114      0      0      0</t>
  </si>
  <si>
    <t>0 -10683</t>
  </si>
  <si>
    <t>581      0   2212  -931</t>
  </si>
  <si>
    <t>0   -445   -445  -1289   -137</t>
  </si>
  <si>
    <t>0    144      0</t>
  </si>
  <si>
    <t>0   -394   -254      0    381</t>
  </si>
  <si>
    <t>15      0   -270    80</t>
  </si>
  <si>
    <t>7    555      0      0      0</t>
  </si>
  <si>
    <t>0   1857</t>
  </si>
  <si>
    <t>1288      0   2153  -978</t>
  </si>
  <si>
    <t>6   -470      0      0      0</t>
  </si>
  <si>
    <t>-784    300    465</t>
  </si>
  <si>
    <t>0     -5      0      0    -89</t>
  </si>
  <si>
    <t>0   -348      0</t>
  </si>
  <si>
    <t>0   1400</t>
  </si>
  <si>
    <t>1293      0   4913   358</t>
  </si>
  <si>
    <t>0  -2635</t>
  </si>
  <si>
    <t>4310  -1394  -1480  -239</t>
  </si>
  <si>
    <t>1  -3655  -2876      0      0</t>
  </si>
  <si>
    <t>0   -869</t>
  </si>
  <si>
    <t>0   -580      0</t>
  </si>
  <si>
    <t>0  -1114      0      0      0</t>
  </si>
  <si>
    <t>0   1352</t>
  </si>
  <si>
    <t>2105   -964  -2455  -946</t>
  </si>
  <si>
    <t>6  -8407   -376  -2006  -1927</t>
  </si>
  <si>
    <t>0      0     73    446   1083</t>
  </si>
  <si>
    <t>326   1132</t>
  </si>
  <si>
    <t>-517      0      0  -204</t>
  </si>
  <si>
    <t>9      0    964    808      0</t>
  </si>
  <si>
    <t>0      0   -526    90</t>
  </si>
  <si>
    <t>0   2067</t>
  </si>
  <si>
    <t>0   1519    919      0  17103</t>
  </si>
  <si>
    <t>312   4090</t>
  </si>
  <si>
    <t>1529    805      0</t>
  </si>
  <si>
    <t>0   -312      0    184      0</t>
  </si>
  <si>
    <t>260   -488      0</t>
  </si>
  <si>
    <t>759   1313      0</t>
  </si>
  <si>
    <t>0  -1168   4845    469    350</t>
  </si>
  <si>
    <t>280   -109</t>
  </si>
  <si>
    <t>3      0      0      0     56</t>
  </si>
  <si>
    <t>0   1110  -7193</t>
  </si>
  <si>
    <t>0    363</t>
  </si>
  <si>
    <t>191     45      0</t>
  </si>
  <si>
    <t>0    157   -321      0    -36</t>
  </si>
  <si>
    <t>123   -131</t>
  </si>
  <si>
    <t>313    141    530    36</t>
  </si>
  <si>
    <t>708  -1141</t>
  </si>
  <si>
    <t>-401   2918  -9911   -29</t>
  </si>
  <si>
    <t>5  -1178  -1057      0   -318</t>
  </si>
  <si>
    <t>045    362</t>
  </si>
  <si>
    <t>350    471    572   -40</t>
  </si>
  <si>
    <t>9    -23      0      0   -128</t>
  </si>
  <si>
    <t>-46   -334    716    49</t>
  </si>
  <si>
    <t>380  -2395</t>
  </si>
  <si>
    <t>0  -3217 -30400   779</t>
  </si>
  <si>
    <t>4  24651  25938  13068   3488</t>
  </si>
  <si>
    <t>839      0      0  -224</t>
  </si>
  <si>
    <t>8  -1565      0  -1995      0</t>
  </si>
  <si>
    <t>0  -2819</t>
  </si>
  <si>
    <t>0   -753  -3730  -290</t>
  </si>
  <si>
    <t>903  -1303</t>
  </si>
  <si>
    <t>0   2058 -11532   -28</t>
  </si>
  <si>
    <t>6      0      0      0   -244</t>
  </si>
  <si>
    <t>904    212</t>
  </si>
  <si>
    <t>374    199      0   -10</t>
  </si>
  <si>
    <t>4      0      0    285      0</t>
  </si>
  <si>
    <t>-57      0</t>
  </si>
  <si>
    <t>082  -1602</t>
  </si>
  <si>
    <t>0   5642   3551</t>
  </si>
  <si>
    <t>308  -2740</t>
  </si>
  <si>
    <t>1843  -2117  -2873  -383</t>
  </si>
  <si>
    <t>0  -2561      0      0      0</t>
  </si>
  <si>
    <t>230      0</t>
  </si>
  <si>
    <t>189      0      0   -70</t>
  </si>
  <si>
    <t>789  -2359</t>
  </si>
  <si>
    <t>947  -2365  -8518  -860</t>
  </si>
  <si>
    <t>7  -3271  -1204   -948      0</t>
  </si>
  <si>
    <t>0   -760     68   -314   1321</t>
  </si>
  <si>
    <t>949   1004</t>
  </si>
  <si>
    <t>0      0  -2319</t>
  </si>
  <si>
    <t>0   1406    543      0      0</t>
  </si>
  <si>
    <t>0   -216   1980</t>
  </si>
  <si>
    <t>534      0</t>
  </si>
  <si>
    <t>0      0      0   187</t>
  </si>
  <si>
    <t>6   1640      0  19775  27474</t>
  </si>
  <si>
    <t>793   5580</t>
  </si>
  <si>
    <t>373   -260      0</t>
  </si>
  <si>
    <t>0   -197      0   1515      0</t>
  </si>
  <si>
    <t>-306    992      0</t>
  </si>
  <si>
    <t>173    726      0</t>
  </si>
  <si>
    <t>0   -320   4666   -202    -40</t>
  </si>
  <si>
    <t>725   -106</t>
  </si>
  <si>
    <t>0      0      0    82</t>
  </si>
  <si>
    <t>8      0      0      0     42</t>
  </si>
  <si>
    <t>0    400  -5623</t>
  </si>
  <si>
    <t>0    337      0      0      0</t>
  </si>
  <si>
    <t>-51    -14      0</t>
  </si>
  <si>
    <t>0    186   -218      0    107</t>
  </si>
  <si>
    <t>458    162</t>
  </si>
  <si>
    <t>18    418    319    11</t>
  </si>
  <si>
    <t>807   -547</t>
  </si>
  <si>
    <t>-170    747  -7345    17</t>
  </si>
  <si>
    <t>2    540    580      0    245</t>
  </si>
  <si>
    <t>283   -183</t>
  </si>
  <si>
    <t>-173    115    247   -54</t>
  </si>
  <si>
    <t>8      0      0      0    -11</t>
  </si>
  <si>
    <t>56    200    104     5</t>
  </si>
  <si>
    <t>761  -1190</t>
  </si>
  <si>
    <t>0    951  -8321   -11</t>
  </si>
  <si>
    <t>7    433    312   -237    172</t>
  </si>
  <si>
    <t>-279      0      0   -69</t>
  </si>
  <si>
    <t>7    155      0     64      0</t>
  </si>
  <si>
    <t>0   -130</t>
  </si>
  <si>
    <t>0    263    345    16</t>
  </si>
  <si>
    <t>410  -1061</t>
  </si>
  <si>
    <t>0   1469 -33870  -280</t>
  </si>
  <si>
    <t>9      0      0      0   1369</t>
  </si>
  <si>
    <t>049   7644</t>
  </si>
  <si>
    <t>5185   1137      0  -535</t>
  </si>
  <si>
    <t>4      0      0   2544      0</t>
  </si>
  <si>
    <t>5148      0      0</t>
  </si>
  <si>
    <t>460    144</t>
  </si>
  <si>
    <t>0   3821   6272</t>
  </si>
  <si>
    <t>161  -2977</t>
  </si>
  <si>
    <t>2518  -2569  -3371  -412</t>
  </si>
  <si>
    <t>7  -2649      0      0      0</t>
  </si>
  <si>
    <t>-224      0      0  -107</t>
  </si>
  <si>
    <t>947   -659</t>
  </si>
  <si>
    <t>1109    236  -1259  -129</t>
  </si>
  <si>
    <t>1   -857   -281   1404      0</t>
  </si>
  <si>
    <t>0   -205   -171   1823   -272</t>
  </si>
  <si>
    <t>336   -469</t>
  </si>
  <si>
    <t>0      0  -1480</t>
  </si>
  <si>
    <t>0   -624  -1313      0      0</t>
  </si>
  <si>
    <t>0   -363   1776</t>
  </si>
  <si>
    <t>0      0      0   107</t>
  </si>
  <si>
    <t>4    460      0  18707  25208</t>
  </si>
  <si>
    <t>232  -8006</t>
  </si>
  <si>
    <t>6618  -4765   -411</t>
  </si>
  <si>
    <t>0      0   -692      0   -351</t>
  </si>
  <si>
    <t>0    994   2523</t>
  </si>
  <si>
    <t>0   8649   3284</t>
  </si>
  <si>
    <t>0      0    788  -7909    348</t>
  </si>
  <si>
    <t>58     85</t>
  </si>
  <si>
    <t>0  -1230      0      0      0</t>
  </si>
  <si>
    <t>-35      0</t>
  </si>
  <si>
    <t>0     96      0      0      0</t>
  </si>
  <si>
    <t>0      0  -2535   -68</t>
  </si>
  <si>
    <t>8      0    615      0      0</t>
  </si>
  <si>
    <t>1238   -446   -403</t>
  </si>
  <si>
    <t>0      0    638    201      0</t>
  </si>
  <si>
    <t>678   1187</t>
  </si>
  <si>
    <t>790   -133    327    22</t>
  </si>
  <si>
    <t>5    571      0      0      0</t>
  </si>
  <si>
    <t>0   1934</t>
  </si>
  <si>
    <t>4228    696  -4052   290</t>
  </si>
  <si>
    <t>6  -1319   -856  -1271      0</t>
  </si>
  <si>
    <t>113  -1501</t>
  </si>
  <si>
    <t>1467     86   -299    38</t>
  </si>
  <si>
    <t>8  -1801     83      0      0</t>
  </si>
  <si>
    <t>371    850</t>
  </si>
  <si>
    <t>0    499    -88   -27</t>
  </si>
  <si>
    <t>1     73      0      0      0</t>
  </si>
  <si>
    <t>0   1583</t>
  </si>
  <si>
    <t>6229      0  -4055   348</t>
  </si>
  <si>
    <t>6  -1206  -1243  -1106    976</t>
  </si>
  <si>
    <t>0    255      0</t>
  </si>
  <si>
    <t>0  -1874   -269      0   -208</t>
  </si>
  <si>
    <t>1235      0    -63   -50</t>
  </si>
  <si>
    <t>1     43      0      0      0</t>
  </si>
  <si>
    <t>0   2335</t>
  </si>
  <si>
    <t>6048      0   -727   174</t>
  </si>
  <si>
    <t>1   -745      0      0      0</t>
  </si>
  <si>
    <t>94   -942</t>
  </si>
  <si>
    <t>0  -1066      0      0    -37</t>
  </si>
  <si>
    <t>0    859</t>
  </si>
  <si>
    <t>0    924      0</t>
  </si>
  <si>
    <t>0   2151</t>
  </si>
  <si>
    <t>4065      0  -3046  -185</t>
  </si>
  <si>
    <t>0    -82</t>
  </si>
  <si>
    <t>876   -310   -619  -101</t>
  </si>
  <si>
    <t>7  -1578   -805      0      0</t>
  </si>
  <si>
    <t>0    709</t>
  </si>
  <si>
    <t>0     87      0</t>
  </si>
  <si>
    <t>0     83      0      0      0</t>
  </si>
  <si>
    <t>0  -1325</t>
  </si>
  <si>
    <t>6162  -7399   -846   -33</t>
  </si>
  <si>
    <t>1   -409  -1002    -46   1017</t>
  </si>
  <si>
    <t>0      0    989    135   -308</t>
  </si>
  <si>
    <t>339    341</t>
  </si>
  <si>
    <t>542      0      0     2</t>
  </si>
  <si>
    <t>0      0  -4497  -3144      0</t>
  </si>
  <si>
    <t>0      0     -9   -98</t>
  </si>
  <si>
    <t>0  -2212</t>
  </si>
  <si>
    <t>0 -14524  -1422      0 -11373</t>
  </si>
  <si>
    <t>472 -25535</t>
  </si>
  <si>
    <t>8925   1208   2227   913</t>
  </si>
  <si>
    <t>0   1459      0      0    742</t>
  </si>
  <si>
    <t>0  -2946</t>
  </si>
  <si>
    <t>0      0      0  -127</t>
  </si>
  <si>
    <t>3  -1643      0      0      0</t>
  </si>
  <si>
    <t>8  -9150      0      0    402</t>
  </si>
  <si>
    <t>008   -670</t>
  </si>
  <si>
    <t>100    324    -32</t>
  </si>
  <si>
    <t>0      0      0     37      0</t>
  </si>
  <si>
    <t>181      0      0</t>
  </si>
  <si>
    <t>0   2980   2128      0   -906</t>
  </si>
  <si>
    <t>0      0     22    42</t>
  </si>
  <si>
    <t>9    426      0      0   -699</t>
  </si>
  <si>
    <t>5   -581   -663   -572      0</t>
  </si>
  <si>
    <t>0  -3285  -2410  -136</t>
  </si>
  <si>
    <t>6   2955   2068   2511    519</t>
  </si>
  <si>
    <t>333   1031    674    13</t>
  </si>
  <si>
    <t>1    360    -47   1067    119</t>
  </si>
  <si>
    <t>-45   -196      0    18</t>
  </si>
  <si>
    <t>7   -396   -307   -243      0</t>
  </si>
  <si>
    <t>0  -2897  -3218</t>
  </si>
  <si>
    <t>0   3070   2235   3073    477</t>
  </si>
  <si>
    <t>730   -249</t>
  </si>
  <si>
    <t>268    526      0    23</t>
  </si>
  <si>
    <t>6      0      0   1150    131</t>
  </si>
  <si>
    <t>0   -373</t>
  </si>
  <si>
    <t>0      0   -537</t>
  </si>
  <si>
    <t>0   -546   -460   -342      0</t>
  </si>
  <si>
    <t>0  -4259  -3033</t>
  </si>
  <si>
    <t>0   1573   1606   2431      0</t>
  </si>
  <si>
    <t>403   1127    573    63</t>
  </si>
  <si>
    <t>4    631      0    714      0</t>
  </si>
  <si>
    <t>0   -335</t>
  </si>
  <si>
    <t>0   -334      0    -1</t>
  </si>
  <si>
    <t>0  -3901  -2179</t>
  </si>
  <si>
    <t>0   2923   1954      0      0</t>
  </si>
  <si>
    <t>0    690   -556    32</t>
  </si>
  <si>
    <t>6    291     74    574     50</t>
  </si>
  <si>
    <t>0    -35      0    21</t>
  </si>
  <si>
    <t>7      0      0     99      0</t>
  </si>
  <si>
    <t>0  -1962  -2642  -339</t>
  </si>
  <si>
    <t>5  -2863  -1426  -1612  -1522</t>
  </si>
  <si>
    <t>811  -1602</t>
  </si>
  <si>
    <t>0      0      0      0    -86</t>
  </si>
  <si>
    <t>76     81</t>
  </si>
  <si>
    <t>0      0     22      0   2820</t>
  </si>
  <si>
    <t>0   -195   -645      0      0</t>
  </si>
  <si>
    <t>0   -166      0</t>
  </si>
  <si>
    <t>0      0      0 -19516   -899</t>
  </si>
  <si>
    <t>0  -1693</t>
  </si>
  <si>
    <t>2721  -3713  -1638 -6735</t>
  </si>
  <si>
    <t>0      0      0  -204</t>
  </si>
  <si>
    <t>8  -1923   2457  15383      0</t>
  </si>
  <si>
    <t>0   1281      0</t>
  </si>
  <si>
    <t>0      0   -661    152      0</t>
  </si>
  <si>
    <t>0      0    572   1323      0</t>
  </si>
  <si>
    <t>0 -34996</t>
  </si>
  <si>
    <t>0739  31835  14150  1751</t>
  </si>
  <si>
    <t>0   2690      0      0      0</t>
  </si>
  <si>
    <t>257      0</t>
  </si>
  <si>
    <t>0      0   5396</t>
  </si>
  <si>
    <t>0      0      0    -97   -396</t>
  </si>
  <si>
    <t>0   -766   -181   -173      0</t>
  </si>
  <si>
    <t>0   -165</t>
  </si>
  <si>
    <t>193      0     31   -31</t>
  </si>
  <si>
    <t>4   -154   -210   -722   -661</t>
  </si>
  <si>
    <t>0      0      0   -83</t>
  </si>
  <si>
    <t>8    265    708   -597   -472</t>
  </si>
  <si>
    <t>192   -314</t>
  </si>
  <si>
    <t>-739      0   1216   197</t>
  </si>
  <si>
    <t>4   -575    -40    -69    -99</t>
  </si>
  <si>
    <t>948    -44</t>
  </si>
  <si>
    <t>0      0    124     8</t>
  </si>
  <si>
    <t>3      0    -67   -281    -11</t>
  </si>
  <si>
    <t>7    497      0   -766   -571</t>
  </si>
  <si>
    <t>205   -214</t>
  </si>
  <si>
    <t>-448   1148    821   162</t>
  </si>
  <si>
    <t>5      0     64      0      0</t>
  </si>
  <si>
    <t>164   -179</t>
  </si>
  <si>
    <t>0     91      0   -688   -251</t>
  </si>
  <si>
    <t>4    514      0   -615   -440</t>
  </si>
  <si>
    <t>0      0   1779   364</t>
  </si>
  <si>
    <t>6     -7    797    817      0</t>
  </si>
  <si>
    <t>9      0   -395      0      0</t>
  </si>
  <si>
    <t>9    415      0   -806   -153</t>
  </si>
  <si>
    <t>0      0      0   440</t>
  </si>
  <si>
    <t>6     63   -787   -627   -124</t>
  </si>
  <si>
    <t>275   1293</t>
  </si>
  <si>
    <t>8      0     27      0      0</t>
  </si>
  <si>
    <t>0      0      0   -43</t>
  </si>
  <si>
    <t>0    902  -2680   -374    -70</t>
  </si>
  <si>
    <t>288  -4670</t>
  </si>
  <si>
    <t>1378  -2985      0</t>
  </si>
  <si>
    <t>-22    104    212    20</t>
  </si>
  <si>
    <t>8   2261      0      0    -20</t>
  </si>
  <si>
    <t>0    735</t>
  </si>
  <si>
    <t>-467      0      0</t>
  </si>
  <si>
    <t>0      0      0  -3220 -10158</t>
  </si>
  <si>
    <t>0      0      0   -84</t>
  </si>
  <si>
    <t>535    898</t>
  </si>
  <si>
    <t>0  -2066  -1816  -252</t>
  </si>
  <si>
    <t>1    326   3035    801      0</t>
  </si>
  <si>
    <t>2891   -877    -46</t>
  </si>
  <si>
    <t>0      0   -317      0     16</t>
  </si>
  <si>
    <t>0    993   2002</t>
  </si>
  <si>
    <t>0    330   -285</t>
  </si>
  <si>
    <t>0      0   -646   3689    788</t>
  </si>
  <si>
    <t>15    475</t>
  </si>
  <si>
    <t>-704      0      0</t>
  </si>
  <si>
    <t>0    897      0      0      0</t>
  </si>
  <si>
    <t>516      0</t>
  </si>
  <si>
    <t>0   -284      0      0      0</t>
  </si>
  <si>
    <t>0      0  -6085 -3970</t>
  </si>
  <si>
    <t>9      0  12031      0      0</t>
  </si>
  <si>
    <t>1015   2575   2436</t>
  </si>
  <si>
    <t>0      0  -5553   2599      0</t>
  </si>
  <si>
    <t>190   7946</t>
  </si>
  <si>
    <t>3409   3514  -6068   -16</t>
  </si>
  <si>
    <t>7   8135      0      0      0</t>
  </si>
  <si>
    <t>0   2138</t>
  </si>
  <si>
    <t>5913  16270     -8  -572</t>
  </si>
  <si>
    <t>9    403    236    698      0</t>
  </si>
  <si>
    <t>062   6462</t>
  </si>
  <si>
    <t>377    -23    245    12</t>
  </si>
  <si>
    <t>0   -399    133      0      0</t>
  </si>
  <si>
    <t>309    504</t>
  </si>
  <si>
    <t>0   -379     25    15</t>
  </si>
  <si>
    <t>8   -176      0      0      0</t>
  </si>
  <si>
    <t>-225      0    -54  -595</t>
  </si>
  <si>
    <t>0    203    -55    566      9</t>
  </si>
  <si>
    <t>303   5798</t>
  </si>
  <si>
    <t>0   -444    299      0    -40</t>
  </si>
  <si>
    <t>-393      0    301    45</t>
  </si>
  <si>
    <t>2   -126      0      0      0</t>
  </si>
  <si>
    <t>49      0    327  -659</t>
  </si>
  <si>
    <t>7    190      0      0      0</t>
  </si>
  <si>
    <t>109   7047</t>
  </si>
  <si>
    <t>168    120    194</t>
  </si>
  <si>
    <t>0    164      0      0    -70</t>
  </si>
  <si>
    <t>0    740</t>
  </si>
  <si>
    <t>0    235</t>
  </si>
  <si>
    <t>-160      0   1077   213</t>
  </si>
  <si>
    <t>0   7873</t>
  </si>
  <si>
    <t>122  -1756  -1840  -193</t>
  </si>
  <si>
    <t>5  -2599   -379      0      0</t>
  </si>
  <si>
    <t>0   2119</t>
  </si>
  <si>
    <t>0    933      0</t>
  </si>
  <si>
    <t>0  -1293      0      0      0</t>
  </si>
  <si>
    <t>0   -580</t>
  </si>
  <si>
    <t>333  -3498   1388   -78</t>
  </si>
  <si>
    <t>5   1450    850   -704  -3997</t>
  </si>
  <si>
    <t>0      0   -182  -3646  -6044</t>
  </si>
  <si>
    <t>379  -4133</t>
  </si>
  <si>
    <t>1420      0      0   -80</t>
  </si>
  <si>
    <t>4      0    102   -156      0</t>
  </si>
  <si>
    <t>0      0  -5148 -1538</t>
  </si>
  <si>
    <t>0   -265  -2197      0  55767</t>
  </si>
  <si>
    <t>243  11853</t>
  </si>
  <si>
    <t>2057  -3124   -210</t>
  </si>
  <si>
    <t>0      0   5901  -1472   3582</t>
  </si>
  <si>
    <t>171   -191</t>
  </si>
  <si>
    <t>0      0   -167</t>
  </si>
  <si>
    <t>0    157      0      0      0</t>
  </si>
  <si>
    <t>252     34</t>
  </si>
  <si>
    <t>160    328</t>
  </si>
  <si>
    <t>0      0  -2635   677</t>
  </si>
  <si>
    <t>9   1056   -666  -1612   -361</t>
  </si>
  <si>
    <t>0   2394      0</t>
  </si>
  <si>
    <t>0      0   -219      0      0</t>
  </si>
  <si>
    <t>0  -1331      0</t>
  </si>
  <si>
    <t>0   1860</t>
  </si>
  <si>
    <t>6028      0    358</t>
  </si>
  <si>
    <t>0      0      0      0   -776</t>
  </si>
  <si>
    <t>0      0   -187     6</t>
  </si>
  <si>
    <t>6      0   -452   -537   -166</t>
  </si>
  <si>
    <t>478   -230</t>
  </si>
  <si>
    <t>-215   -238      0</t>
  </si>
  <si>
    <t>0      0      0   -121   -462</t>
  </si>
  <si>
    <t>159   -209</t>
  </si>
  <si>
    <t>2976   2399   8318   539</t>
  </si>
  <si>
    <t>0      0 -10094 -20440  -4372</t>
  </si>
  <si>
    <t>286   5611</t>
  </si>
  <si>
    <t>3767   2591  -8819</t>
  </si>
  <si>
    <t>0      0   2812    235      0</t>
  </si>
  <si>
    <t>14 -14373</t>
  </si>
  <si>
    <t>5142   2100      0</t>
  </si>
  <si>
    <t>0      0      0   2886    791</t>
  </si>
  <si>
    <t>0   1264</t>
  </si>
  <si>
    <t>8622    184    689    40</t>
  </si>
  <si>
    <t>5    466   1305   1949      0</t>
  </si>
  <si>
    <t>30      0</t>
  </si>
  <si>
    <t>0    755    974</t>
  </si>
  <si>
    <t>0     57      0      0     83</t>
  </si>
  <si>
    <t>686   -235      0</t>
  </si>
  <si>
    <t>0      0      0     27   -348</t>
  </si>
  <si>
    <t>0   1833</t>
  </si>
  <si>
    <t>8892    -20      0</t>
  </si>
  <si>
    <t>0      0   1285   1930   -607</t>
  </si>
  <si>
    <t>409    152</t>
  </si>
  <si>
    <t>0   1088      0</t>
  </si>
  <si>
    <t>0    271      0    -54      0</t>
  </si>
  <si>
    <t>0      0      0    -93   -475</t>
  </si>
  <si>
    <t>0   3013</t>
  </si>
  <si>
    <t>3067      0      0</t>
  </si>
  <si>
    <t>0      0      0   2747   -751</t>
  </si>
  <si>
    <t>359  -2945</t>
  </si>
  <si>
    <t>2840  -1749    729</t>
  </si>
  <si>
    <t>0      0      0   -511      0</t>
  </si>
  <si>
    <t>0  -1656      0</t>
  </si>
  <si>
    <t>0      0      0   -518     91</t>
  </si>
  <si>
    <t>196  -3896</t>
  </si>
  <si>
    <t>6834  -5092   -147   174</t>
  </si>
  <si>
    <t>5    807      0      0      0</t>
  </si>
  <si>
    <t>0      0   -241     7</t>
  </si>
  <si>
    <t>0    342    160     59   3700</t>
  </si>
  <si>
    <t>1566      0   1008  -101</t>
  </si>
  <si>
    <t>0  -3071</t>
  </si>
  <si>
    <t>9683      0      0</t>
  </si>
  <si>
    <t>0      0      0   -317      0</t>
  </si>
  <si>
    <t>0    358  -2385</t>
  </si>
  <si>
    <t>0  11757  49337  18841  17414</t>
  </si>
  <si>
    <t>193   -781</t>
  </si>
  <si>
    <t>0      0   5089  1717</t>
  </si>
  <si>
    <t>3  -1120   4242    130   -587</t>
  </si>
  <si>
    <t>-13      0    170</t>
  </si>
  <si>
    <t>0      0      0    -27   -110</t>
  </si>
  <si>
    <t>0      0      0     66    169</t>
  </si>
  <si>
    <t>4748   7378    744   259</t>
  </si>
  <si>
    <t>1    645   -132      0      0</t>
  </si>
  <si>
    <t>0   2695</t>
  </si>
  <si>
    <t>0      0      0   -60</t>
  </si>
  <si>
    <t>0  -1733</t>
  </si>
  <si>
    <t>0      0      0      0   1623</t>
  </si>
  <si>
    <t>100      0      0</t>
  </si>
  <si>
    <t>0      0   -599    182    110</t>
  </si>
  <si>
    <t>-465     53      0   -17</t>
  </si>
  <si>
    <t>1   -317   -330   -237   -292</t>
  </si>
  <si>
    <t>338   -186</t>
  </si>
  <si>
    <t>0      8  -1425   -898   1686</t>
  </si>
  <si>
    <t>260    141</t>
  </si>
  <si>
    <t>-200    311      0   223</t>
  </si>
  <si>
    <t>8   2241   -448    157    -58</t>
  </si>
  <si>
    <t>92   1150</t>
  </si>
  <si>
    <t>649      0      0     3</t>
  </si>
  <si>
    <t>5     34      0     28   1273</t>
  </si>
  <si>
    <t>425   -301</t>
  </si>
  <si>
    <t>0    -54  -2131      0   5016</t>
  </si>
  <si>
    <t>714   -259</t>
  </si>
  <si>
    <t>6133   1717 -19800  -857</t>
  </si>
  <si>
    <t>0 -25039      0   -433      0</t>
  </si>
  <si>
    <t>0   2159</t>
  </si>
  <si>
    <t>2797      0   1638</t>
  </si>
  <si>
    <t>0      0   1437      0  -7307</t>
  </si>
  <si>
    <t>256   2652</t>
  </si>
  <si>
    <t>0      4  -4258      0    854</t>
  </si>
  <si>
    <t>611    -35</t>
  </si>
  <si>
    <t>0      0      0    81</t>
  </si>
  <si>
    <t>1    730   -831    456    161</t>
  </si>
  <si>
    <t>0   1547</t>
  </si>
  <si>
    <t>0      0    354</t>
  </si>
  <si>
    <t>0     65      0    -24      0</t>
  </si>
  <si>
    <t>0     65  -1458      0   3469</t>
  </si>
  <si>
    <t>0   3603  -1128  -2352  -3078</t>
  </si>
  <si>
    <t>684  -1678</t>
  </si>
  <si>
    <t>1483      0      0</t>
  </si>
  <si>
    <t>0   -534      0    328      0</t>
  </si>
  <si>
    <t>0  -1633</t>
  </si>
  <si>
    <t>0   -658  -1526  -5804  -2584</t>
  </si>
  <si>
    <t>883  -3721</t>
  </si>
  <si>
    <t>3369   1620   2285</t>
  </si>
  <si>
    <t>1447    143     -7    59</t>
  </si>
  <si>
    <t>7   -589   2821      0      0</t>
  </si>
  <si>
    <t>473      0</t>
  </si>
  <si>
    <t>1246   -353      0</t>
  </si>
  <si>
    <t>0      0      0      0  -2904</t>
  </si>
  <si>
    <t>0    -40      0      0      0</t>
  </si>
  <si>
    <t>0    544</t>
  </si>
  <si>
    <t>2848      0  12420  1776</t>
  </si>
  <si>
    <t>5  47707  19137  -9784   -907</t>
  </si>
  <si>
    <t>6080  18944  24931   -65</t>
  </si>
  <si>
    <t>5   2709    291    241      0</t>
  </si>
  <si>
    <t>0   -153</t>
  </si>
  <si>
    <t>0    -85      0</t>
  </si>
  <si>
    <t>0      0    -94     68      0</t>
  </si>
  <si>
    <t>0      0    127   -221      0</t>
  </si>
  <si>
    <t>0  -2286</t>
  </si>
  <si>
    <t>3162    175   1629    68</t>
  </si>
  <si>
    <t>7     46      0      0      0</t>
  </si>
  <si>
    <t>631      0</t>
  </si>
  <si>
    <t>0      0   -291</t>
  </si>
  <si>
    <t>0      0      0    838  -5488</t>
  </si>
  <si>
    <t>0    165</t>
  </si>
  <si>
    <t>0    -23     48    -63      0</t>
  </si>
  <si>
    <t>39      0     30   -55</t>
  </si>
  <si>
    <t>6    -16   -346    158    -59</t>
  </si>
  <si>
    <t>7   -480   -300    381  -6575</t>
  </si>
  <si>
    <t>303    564</t>
  </si>
  <si>
    <t>409      0   1661    15</t>
  </si>
  <si>
    <t>8    101     11   -104    297</t>
  </si>
  <si>
    <t>0      0    120   -20</t>
  </si>
  <si>
    <t>4      0    -12    355    -31</t>
  </si>
  <si>
    <t>94      0</t>
  </si>
  <si>
    <t>0      0      0   -32</t>
  </si>
  <si>
    <t>8   -490      0    720  -7455</t>
  </si>
  <si>
    <t>178    362</t>
  </si>
  <si>
    <t>265    462    624  -128</t>
  </si>
  <si>
    <t>0      0     33      0      0</t>
  </si>
  <si>
    <t>324   -119</t>
  </si>
  <si>
    <t>0    146      0</t>
  </si>
  <si>
    <t>0     68      0    478    123</t>
  </si>
  <si>
    <t>3   -643      0     50 -29035</t>
  </si>
  <si>
    <t>0      0  -5827 -1573</t>
  </si>
  <si>
    <t>2  -3135   4010   5620      0</t>
  </si>
  <si>
    <t>0  -1620      0   149</t>
  </si>
  <si>
    <t>6      0    581      0      0</t>
  </si>
  <si>
    <t>0      0      0   557</t>
  </si>
  <si>
    <t>5   -470      0   2472   4900</t>
  </si>
  <si>
    <t>0      0      0   145</t>
  </si>
  <si>
    <t>0   -940  -2506  -2954  -2735</t>
  </si>
  <si>
    <t>852    -60</t>
  </si>
  <si>
    <t>0      0      0   -90</t>
  </si>
  <si>
    <t>2      0    -42      0      0</t>
  </si>
  <si>
    <t>0      0      0  -120</t>
  </si>
  <si>
    <t>6    451  -4936  -1377  -1826</t>
  </si>
  <si>
    <t>720  -1671</t>
  </si>
  <si>
    <t>84   1308      0</t>
  </si>
  <si>
    <t>0    354</t>
  </si>
  <si>
    <t>-72   1480   -103    64</t>
  </si>
  <si>
    <t>5   -470      0      0  -1218</t>
  </si>
  <si>
    <t>1027      0      0</t>
  </si>
  <si>
    <t>0      0      0  -1417  -6309</t>
  </si>
  <si>
    <t>191   -349</t>
  </si>
  <si>
    <t>0  12551  17197  1985</t>
  </si>
  <si>
    <t>8  56911  -6178   -613      0</t>
  </si>
  <si>
    <t>0  -3483</t>
  </si>
  <si>
    <t>7555  23285  27859   268</t>
  </si>
  <si>
    <t>1  -8938     34   -317      0</t>
  </si>
  <si>
    <t>0  -1410      0</t>
  </si>
  <si>
    <t>0      0     39    278      0</t>
  </si>
  <si>
    <t>0      0    -98   -463      0</t>
  </si>
  <si>
    <t>0  -7058</t>
  </si>
  <si>
    <t>1305  -1497   1092   704</t>
  </si>
  <si>
    <t>3    708      0      0      0</t>
  </si>
  <si>
    <t>073      0</t>
  </si>
  <si>
    <t>0      0   1001</t>
  </si>
  <si>
    <t>904      0</t>
  </si>
  <si>
    <t>0      0      0  -1579   2294</t>
  </si>
  <si>
    <t>0   -359    176    106      0</t>
  </si>
  <si>
    <t>0    353</t>
  </si>
  <si>
    <t>-4      0    283    47</t>
  </si>
  <si>
    <t>3    104    273   -299    540</t>
  </si>
  <si>
    <t>237      0</t>
  </si>
  <si>
    <t>7   3059    618  -1693   5894</t>
  </si>
  <si>
    <t>-286      0  -2784   -67</t>
  </si>
  <si>
    <t>8    294   -121   -183     67</t>
  </si>
  <si>
    <t>592    574</t>
  </si>
  <si>
    <t>1      0     58  -1719   -238</t>
  </si>
  <si>
    <t>0   3991      0  -2017   6859</t>
  </si>
  <si>
    <t>323  -1383</t>
  </si>
  <si>
    <t>-950  -1646  -1221   209</t>
  </si>
  <si>
    <t>7      0     21      0      0</t>
  </si>
  <si>
    <t>472    766</t>
  </si>
  <si>
    <t>0    -34      0  -1551   -693</t>
  </si>
  <si>
    <t>0   4703      0    789   4699</t>
  </si>
  <si>
    <t>0      0  -1099    72</t>
  </si>
  <si>
    <t>5   1849   -572   -244      0</t>
  </si>
  <si>
    <t>0   -284      0</t>
  </si>
  <si>
    <t>0      0    151      0      0</t>
  </si>
  <si>
    <t>0      0      0    26</t>
  </si>
  <si>
    <t>4   2535      0   -453  -1851</t>
  </si>
  <si>
    <t>0      0      0 -1136</t>
  </si>
  <si>
    <t>4  -1619   2256   2652   -161</t>
  </si>
  <si>
    <t>711  -8334</t>
  </si>
  <si>
    <t>0      0      0    84</t>
  </si>
  <si>
    <t>3      0   -424      0      0</t>
  </si>
  <si>
    <t>8   3051   4762   1352   1746</t>
  </si>
  <si>
    <t>361   3036</t>
  </si>
  <si>
    <t>1653   3447      0</t>
  </si>
  <si>
    <t>0    348</t>
  </si>
  <si>
    <t>8    919      0      0    234</t>
  </si>
  <si>
    <t>0  -1813</t>
  </si>
  <si>
    <t>4471      0      0</t>
  </si>
  <si>
    <t>0      0      0   3487  19433</t>
  </si>
  <si>
    <t>144   7549</t>
  </si>
  <si>
    <t>0  -6379 -12586 -1547</t>
  </si>
  <si>
    <t>0 -10020  22523   1802      0</t>
  </si>
  <si>
    <t>0 -14238</t>
  </si>
  <si>
    <t>6025 -40006 -45623 -3810</t>
  </si>
  <si>
    <t>0      0      0   1242    873</t>
  </si>
  <si>
    <t>270   -588</t>
  </si>
  <si>
    <t>0      0   -679</t>
  </si>
  <si>
    <t>0    204      0      0      0</t>
  </si>
  <si>
    <t>132   4007</t>
  </si>
  <si>
    <t>488   -387</t>
  </si>
  <si>
    <t>0      0    132    89</t>
  </si>
  <si>
    <t>9   -262   -608  -1855    -53</t>
  </si>
  <si>
    <t>0    -82      0</t>
  </si>
  <si>
    <t>0      0   -706      0      0</t>
  </si>
  <si>
    <t>0     30      0</t>
  </si>
  <si>
    <t>0 -18979</t>
  </si>
  <si>
    <t>0962      0  24545</t>
  </si>
  <si>
    <t>0      0      0      0  22539</t>
  </si>
  <si>
    <t>443   7404</t>
  </si>
  <si>
    <t>0      0   9348   -74</t>
  </si>
  <si>
    <t>8      0  12381  19575   7496</t>
  </si>
  <si>
    <t>160  10975</t>
  </si>
  <si>
    <t>4356  20721      0</t>
  </si>
  <si>
    <t>0      0      0   2115   4010</t>
  </si>
  <si>
    <t>902   -386</t>
  </si>
  <si>
    <t>5015    288   -597    53</t>
  </si>
  <si>
    <t>2      0   -577  -4218   -174</t>
  </si>
  <si>
    <t>622   -518</t>
  </si>
  <si>
    <t>177   -958    -41</t>
  </si>
  <si>
    <t>0      0    384    787      0</t>
  </si>
  <si>
    <t>-763  -1393      0</t>
  </si>
  <si>
    <t>0      0      0    -82   1027</t>
  </si>
  <si>
    <t>0   -455</t>
  </si>
  <si>
    <t>5201     81   -640    61</t>
  </si>
  <si>
    <t>2    227   -518  -4103      0</t>
  </si>
  <si>
    <t>438      0</t>
  </si>
  <si>
    <t>0   -893   -177</t>
  </si>
  <si>
    <t>0   -297      0      0    -37</t>
  </si>
  <si>
    <t>0   -649</t>
  </si>
  <si>
    <t>-706  -1325      0</t>
  </si>
  <si>
    <t>0      0      0    139   1133</t>
  </si>
  <si>
    <t>6663    154      0</t>
  </si>
  <si>
    <t>0      0   -679  -4029    199</t>
  </si>
  <si>
    <t>349   -250</t>
  </si>
  <si>
    <t>0   -518      0</t>
  </si>
  <si>
    <t>0   -126      0    666      0</t>
  </si>
  <si>
    <t>0      0      0    208    683</t>
  </si>
  <si>
    <t>0   1351</t>
  </si>
  <si>
    <t>2497      0      0</t>
  </si>
  <si>
    <t>0      0      0  -5581   -313</t>
  </si>
  <si>
    <t>141  -2282</t>
  </si>
  <si>
    <t>2789  -3280  -1783</t>
  </si>
  <si>
    <t>0      0      0   1678      0</t>
  </si>
  <si>
    <t>0  -1627      0</t>
  </si>
  <si>
    <t>0      0      0   -409    818</t>
  </si>
  <si>
    <t>494   4948</t>
  </si>
  <si>
    <t>1284   5259   4335   281</t>
  </si>
  <si>
    <t>7   6219      0      0      0</t>
  </si>
  <si>
    <t>0      0   -384  -431</t>
  </si>
  <si>
    <t>7  -6782  -2506  -4140   -344</t>
  </si>
  <si>
    <t>-706      0     13  -228</t>
  </si>
  <si>
    <t>0   1399</t>
  </si>
  <si>
    <t>5129      0      0</t>
  </si>
  <si>
    <t>0      0      0   -393      0</t>
  </si>
  <si>
    <t>0   -144    -32</t>
  </si>
  <si>
    <t>0  42962  13227  13773  14333</t>
  </si>
  <si>
    <t>225   -956</t>
  </si>
  <si>
    <t>0      0   -184  4743</t>
  </si>
  <si>
    <t>2  10247  10194  11298    240</t>
  </si>
  <si>
    <t>0  -1039</t>
  </si>
  <si>
    <t>948    585     51</t>
  </si>
  <si>
    <t>0      0    101      0    -53</t>
  </si>
  <si>
    <t>0   -678  -1166</t>
  </si>
  <si>
    <t>0     -2     85</t>
  </si>
  <si>
    <t>0      0   -398   1389     -7</t>
  </si>
  <si>
    <t>58   -419</t>
  </si>
  <si>
    <t>0    184      0      0      0</t>
  </si>
  <si>
    <t>0    -32      0      0      0</t>
  </si>
  <si>
    <t>0      0  -7101  -639</t>
  </si>
  <si>
    <t>3      0  -3859      0      0</t>
  </si>
  <si>
    <t>39  -1676  -1688</t>
  </si>
  <si>
    <t>0      0  -1588    355      0</t>
  </si>
  <si>
    <t>489    850</t>
  </si>
  <si>
    <t>-296   1000   1698   133</t>
  </si>
  <si>
    <t>0  -1758      0      0      0</t>
  </si>
  <si>
    <t>0    236</t>
  </si>
  <si>
    <t>1420   1493   1377 -1816</t>
  </si>
  <si>
    <t>4   -862   1709  -2880      0</t>
  </si>
  <si>
    <t>357   -850</t>
  </si>
  <si>
    <t>2935   1311   1251    22</t>
  </si>
  <si>
    <t>3  -1469    813      0      0</t>
  </si>
  <si>
    <t>737 -10586</t>
  </si>
  <si>
    <t>0  -4915   2025    44</t>
  </si>
  <si>
    <t>7   2307      0      0      0</t>
  </si>
  <si>
    <t>175      0    473  -740</t>
  </si>
  <si>
    <t>2    493    698    960    -71</t>
  </si>
  <si>
    <t>107   -584</t>
  </si>
  <si>
    <t>0  -1091     35      0   -105</t>
  </si>
  <si>
    <t>-74      0   -471    -9</t>
  </si>
  <si>
    <t>9   -285      0      0      0</t>
  </si>
  <si>
    <t>0    126</t>
  </si>
  <si>
    <t>486      0   1238  -935</t>
  </si>
  <si>
    <t>6    151      0      0      0</t>
  </si>
  <si>
    <t>201   -502</t>
  </si>
  <si>
    <t>61    203    230</t>
  </si>
  <si>
    <t>0   -479      0      0     54</t>
  </si>
  <si>
    <t>0   -111      0</t>
  </si>
  <si>
    <t>336      0   3299   329</t>
  </si>
  <si>
    <t>0  -2584</t>
  </si>
  <si>
    <t>2205  -1900  -2156  -336</t>
  </si>
  <si>
    <t>7  -4151  -2879      0      0</t>
  </si>
  <si>
    <t>0  -1600</t>
  </si>
  <si>
    <t>0   -602      0</t>
  </si>
  <si>
    <t>0   -961      0      0      0</t>
  </si>
  <si>
    <t>0    -79</t>
  </si>
  <si>
    <t>354  -4528  -2400  -333</t>
  </si>
  <si>
    <t>0  -2235   -663  -1020   -187</t>
  </si>
  <si>
    <t>0      0   -358   1560   2662</t>
  </si>
  <si>
    <t>87   1411</t>
  </si>
  <si>
    <t>73      0      0  -203</t>
  </si>
  <si>
    <t>3      0    451  -2066      0</t>
  </si>
  <si>
    <t>0      0   -457    64</t>
  </si>
  <si>
    <t>0   -755</t>
  </si>
  <si>
    <t>0    245    153      0  11650</t>
  </si>
  <si>
    <t>001  18104</t>
  </si>
  <si>
    <t>9189   -392   -309</t>
  </si>
  <si>
    <t>0      0    -64  10260  32770</t>
  </si>
  <si>
    <t>020  15305</t>
  </si>
  <si>
    <t>1389      0  12177  -124</t>
  </si>
  <si>
    <t>2   1013    349    -25      0</t>
  </si>
  <si>
    <t>0      0   -169   -207      0</t>
  </si>
  <si>
    <t>0      0     85    119      0</t>
  </si>
  <si>
    <t>0   -395</t>
  </si>
  <si>
    <t>1458     43   -238   -87</t>
  </si>
  <si>
    <t>6    -60      0      0      0</t>
  </si>
  <si>
    <t>0      0    -84</t>
  </si>
  <si>
    <t>0      0      0  -8323  -6337</t>
  </si>
  <si>
    <t>0  -1529</t>
  </si>
  <si>
    <t>0   1289  -1616    -62      0</t>
  </si>
  <si>
    <t>0  -2074</t>
  </si>
  <si>
    <t>247      0   -275   -23</t>
  </si>
  <si>
    <t>1    336    -30   1906    402</t>
  </si>
  <si>
    <t>3   1604    569    418  -7491</t>
  </si>
  <si>
    <t>631    139</t>
  </si>
  <si>
    <t>1223      0   -214  -152</t>
  </si>
  <si>
    <t>9   -213    143    206    335</t>
  </si>
  <si>
    <t>161     22</t>
  </si>
  <si>
    <t>0      0   -231   -41</t>
  </si>
  <si>
    <t>9      0    -93   -671   -169</t>
  </si>
  <si>
    <t>432      0</t>
  </si>
  <si>
    <t>4    608      0   -266 -18796</t>
  </si>
  <si>
    <t>035   3778</t>
  </si>
  <si>
    <t>4717    521    670    66</t>
  </si>
  <si>
    <t>4      0   1290      0      0</t>
  </si>
  <si>
    <t>394   2043</t>
  </si>
  <si>
    <t>0   4631      0</t>
  </si>
  <si>
    <t>0     -6      0   2648   1305</t>
  </si>
  <si>
    <t>0      0      0   111</t>
  </si>
  <si>
    <t>3    764      0   1184 -10274</t>
  </si>
  <si>
    <t>0      0    -38  -115</t>
  </si>
  <si>
    <t>9    -87    187    196      0</t>
  </si>
  <si>
    <t>563      0</t>
  </si>
  <si>
    <t>0    163      0   -14</t>
  </si>
  <si>
    <t>1      0   -124      0      0</t>
  </si>
  <si>
    <t>2    478      0   3700   3350</t>
  </si>
  <si>
    <t>0  -2344  -1955  -2322  -3524</t>
  </si>
  <si>
    <t>412  -3015</t>
  </si>
  <si>
    <t>0      0      0   -55</t>
  </si>
  <si>
    <t>1      0    -62      0      0</t>
  </si>
  <si>
    <t>838      0</t>
  </si>
  <si>
    <t>9    766  -4342  -1600  -2725</t>
  </si>
  <si>
    <t>576   -427</t>
  </si>
  <si>
    <t>213   1224      0</t>
  </si>
  <si>
    <t>0  -2141</t>
  </si>
  <si>
    <t>55   -192   1180   -61</t>
  </si>
  <si>
    <t>2    595      0      0  -1903</t>
  </si>
  <si>
    <t>0     82</t>
  </si>
  <si>
    <t>2370      0      0</t>
  </si>
  <si>
    <t>0      0      0   -189   1471</t>
  </si>
  <si>
    <t>0      0      0   -65</t>
  </si>
  <si>
    <t>174    168</t>
  </si>
  <si>
    <t>0  13315  18231  4310</t>
  </si>
  <si>
    <t>9  21153   -650   -478      0</t>
  </si>
  <si>
    <t>0   -118</t>
  </si>
  <si>
    <t>9911  14769  31975  1679</t>
  </si>
  <si>
    <t>7  -1671      0  12822  10694</t>
  </si>
  <si>
    <t>741   1911</t>
  </si>
  <si>
    <t>268    -48      0</t>
  </si>
  <si>
    <t>0    -74      0    244      0</t>
  </si>
  <si>
    <t>71   -605      0</t>
  </si>
  <si>
    <t>82     45      0</t>
  </si>
  <si>
    <t>0   -226   2754    -50   -110</t>
  </si>
  <si>
    <t>873    -37</t>
  </si>
  <si>
    <t>0      0      0    33</t>
  </si>
  <si>
    <t>1      0      0      0     19</t>
  </si>
  <si>
    <t>0  -1838  -4680</t>
  </si>
  <si>
    <t>0  -1135      0      0      0</t>
  </si>
  <si>
    <t>0   2621</t>
  </si>
  <si>
    <t>1445     76      0</t>
  </si>
  <si>
    <t>0   -823     34      0   -515</t>
  </si>
  <si>
    <t>801   -116</t>
  </si>
  <si>
    <t>952   -227   -439   -58</t>
  </si>
  <si>
    <t>626  -2547</t>
  </si>
  <si>
    <t>-847   -459  -4873    11</t>
  </si>
  <si>
    <t>4    110     82      0     75</t>
  </si>
  <si>
    <t>508    -71</t>
  </si>
  <si>
    <t>-30     52    274  -119</t>
  </si>
  <si>
    <t>7    239      0      0   -122</t>
  </si>
  <si>
    <t>-203    231    113     8</t>
  </si>
  <si>
    <t>68   1204</t>
  </si>
  <si>
    <t>0   -282  -5289    -5</t>
  </si>
  <si>
    <t>3     -5   -158     54     28</t>
  </si>
  <si>
    <t>-5      0      0  -125</t>
  </si>
  <si>
    <t>4    288      0     89      0</t>
  </si>
  <si>
    <t>0    161    155    19</t>
  </si>
  <si>
    <t>174   1181</t>
  </si>
  <si>
    <t>0   1614 -19486  -164</t>
  </si>
  <si>
    <t>1      0      0      0    -94</t>
  </si>
  <si>
    <t>193  -2961</t>
  </si>
  <si>
    <t>1106   1432      0  -118</t>
  </si>
  <si>
    <t>5      0      0   2023      0</t>
  </si>
  <si>
    <t>5207      0      0</t>
  </si>
  <si>
    <t>422    503</t>
  </si>
  <si>
    <t>0   2074   5272</t>
  </si>
  <si>
    <t>289  -1614</t>
  </si>
  <si>
    <t>2125  -2341  -3289  -412</t>
  </si>
  <si>
    <t>1  -2366      0      0      0</t>
  </si>
  <si>
    <t>616      0</t>
  </si>
  <si>
    <t>-665      0      0   -82</t>
  </si>
  <si>
    <t>351   1724</t>
  </si>
  <si>
    <t>3237   -620  -1043  -136</t>
  </si>
  <si>
    <t>5   -624    178   2106      0</t>
  </si>
  <si>
    <t>0   -160   -424   3286   -399</t>
  </si>
  <si>
    <t>682    114</t>
  </si>
  <si>
    <t>0      0  -1302</t>
  </si>
  <si>
    <t>0  -1087  -2258      0      0</t>
  </si>
  <si>
    <t>0   -247   1644</t>
  </si>
  <si>
    <t>0      0      0    13</t>
  </si>
  <si>
    <t>9    151      0  13890  16526</t>
  </si>
  <si>
    <t>898  44625</t>
  </si>
  <si>
    <t>-391   -165      0</t>
  </si>
  <si>
    <t>0   -240   9839  13165  13514</t>
  </si>
  <si>
    <t>667   -823</t>
  </si>
  <si>
    <t>0  11559  12483  1726</t>
  </si>
  <si>
    <t>7     11    879   -257   -214</t>
  </si>
  <si>
    <t>-134      0      7</t>
  </si>
  <si>
    <t>0      0      0    523    882</t>
  </si>
  <si>
    <t>0      0      0    -31   -236</t>
  </si>
  <si>
    <t>-22   1143   -297     1</t>
  </si>
  <si>
    <t>0   -182     11      0      0</t>
  </si>
  <si>
    <t>0      0      0      0   1904</t>
  </si>
  <si>
    <t>1505      0      0</t>
  </si>
  <si>
    <t>0      0    177   -933   -986</t>
  </si>
  <si>
    <t>-517   -958      0    83</t>
  </si>
  <si>
    <t>1    941   1282   1093    852</t>
  </si>
  <si>
    <t>47   -986</t>
  </si>
  <si>
    <t>0    185   -471   3100  -1827</t>
  </si>
  <si>
    <t>610    442</t>
  </si>
  <si>
    <t>722   -115      0    41</t>
  </si>
  <si>
    <t>0    252   -306    453    758</t>
  </si>
  <si>
    <t>987      0      0  -154</t>
  </si>
  <si>
    <t>5  -2857      0  -2222    896</t>
  </si>
  <si>
    <t>860   1054</t>
  </si>
  <si>
    <t>0    335    118      0   -109</t>
  </si>
  <si>
    <t>644     -1</t>
  </si>
  <si>
    <t>-479     70    -83    -3</t>
  </si>
  <si>
    <t>3   -628      0    -49      0</t>
  </si>
  <si>
    <t>0   -633</t>
  </si>
  <si>
    <t>-246      0   -549</t>
  </si>
  <si>
    <t>0      0    171      0   -314</t>
  </si>
  <si>
    <t>0     35   -250      0    -63</t>
  </si>
  <si>
    <t>866     63</t>
  </si>
  <si>
    <t>5   -270    218    -57     30</t>
  </si>
  <si>
    <t>0   -451</t>
  </si>
  <si>
    <t>0      0   -182</t>
  </si>
  <si>
    <t>0    707      0    377      0</t>
  </si>
  <si>
    <t>0    258   -346      0   1450</t>
  </si>
  <si>
    <t>0  -1319   -721  -1589  -1817</t>
  </si>
  <si>
    <t>299  -2917</t>
  </si>
  <si>
    <t>1890      0      0</t>
  </si>
  <si>
    <t>0   2015      0   1402      0</t>
  </si>
  <si>
    <t>0   -790</t>
  </si>
  <si>
    <t>0   -239   -701  -2077    321</t>
  </si>
  <si>
    <t>-72    391</t>
  </si>
  <si>
    <t>503   -216    263</t>
  </si>
  <si>
    <t>409  -1973  -4285  -216</t>
  </si>
  <si>
    <t>2  -3846    639      0      0</t>
  </si>
  <si>
    <t>280    -74      0</t>
  </si>
  <si>
    <t>0      0      0      0   -163</t>
  </si>
  <si>
    <t>456      0</t>
  </si>
  <si>
    <t>0   -724      0      0      0</t>
  </si>
  <si>
    <t>-46      0  32762  1179</t>
  </si>
  <si>
    <t>9  11659  12069    426    146</t>
  </si>
  <si>
    <t>-44  26942   8961   927</t>
  </si>
  <si>
    <t>1   9851   -164      0  20358</t>
  </si>
  <si>
    <t>935  12963</t>
  </si>
  <si>
    <t>0693  -4286    113    49</t>
  </si>
  <si>
    <t>3    205      0      0   -415</t>
  </si>
  <si>
    <t>0    828</t>
  </si>
  <si>
    <t>0      0      0    53</t>
  </si>
  <si>
    <t>8    667      0      0      0</t>
  </si>
  <si>
    <t>8    530      0      0   -160</t>
  </si>
  <si>
    <t>392   -728</t>
  </si>
  <si>
    <t>184    -40    -89</t>
  </si>
  <si>
    <t>0      0      0    564      0</t>
  </si>
  <si>
    <t>0      0      0   -200      0</t>
  </si>
  <si>
    <t>0   4675  -6380      0   -138</t>
  </si>
  <si>
    <t>0      0   -898   -52</t>
  </si>
  <si>
    <t>6   -483      0      0   -629</t>
  </si>
  <si>
    <t>3  -1356  -1994  -1020      0</t>
  </si>
  <si>
    <t>0  -1096  -2741     -</t>
  </si>
  <si>
    <t>5 -25558 -37035  18868  38335</t>
  </si>
  <si>
    <t>4304  23097  27899  1318</t>
  </si>
  <si>
    <t>7  17720  28370  30506  22922</t>
  </si>
  <si>
    <t>3313   9285      0  1251</t>
  </si>
  <si>
    <t>0  28364  26868  21113      0</t>
  </si>
  <si>
    <t>0   9912  -3189</t>
  </si>
  <si>
    <t>0   2390  -7156   -234  -1548</t>
  </si>
  <si>
    <t>081    849</t>
  </si>
  <si>
    <t>-159   -320      0   -43</t>
  </si>
  <si>
    <t>7      0      0   5311  -2202</t>
  </si>
  <si>
    <t>0    994</t>
  </si>
  <si>
    <t>0      0     92</t>
  </si>
  <si>
    <t>0  -2732  -2934  -1774      0</t>
  </si>
  <si>
    <t>0   -778   -896</t>
  </si>
  <si>
    <t>0   1892  -9409   -146      0</t>
  </si>
  <si>
    <t>458   1139   -535   -39</t>
  </si>
  <si>
    <t>1   -560      0   4962      0</t>
  </si>
  <si>
    <t>0   -114      0    -5</t>
  </si>
  <si>
    <t>0   -475  -1387</t>
  </si>
  <si>
    <t>0   5760   2213      0      0</t>
  </si>
  <si>
    <t>0  -1227  -3886  -235</t>
  </si>
  <si>
    <t>3  -3532  -5539   3724  -4620</t>
  </si>
  <si>
    <t>0   -351      0   -10</t>
  </si>
  <si>
    <t>8      0      0  -1552      0</t>
  </si>
  <si>
    <t>0   -625  -2308  -462</t>
  </si>
  <si>
    <t>4  -4481  -8049  -6797    542</t>
  </si>
  <si>
    <t>514  -2285</t>
  </si>
  <si>
    <t>0      0      0      0      5</t>
  </si>
  <si>
    <t>464   -536</t>
  </si>
  <si>
    <t>468  -1061  -2625</t>
  </si>
  <si>
    <t>0      0  -1881      0    742</t>
  </si>
  <si>
    <t>0  -1421  -1930      0      0</t>
  </si>
  <si>
    <t>0      0      0   -643    136</t>
  </si>
  <si>
    <t>0  11537</t>
  </si>
  <si>
    <t>6241  15271  16559     2</t>
  </si>
  <si>
    <t>4    838      0      0    177</t>
  </si>
  <si>
    <t>887  30611</t>
  </si>
  <si>
    <t>2870  13519  -1682</t>
  </si>
  <si>
    <t>0  11302  26894  16993  14859</t>
  </si>
  <si>
    <t>095   -674</t>
  </si>
  <si>
    <t>1185    292    -41</t>
  </si>
  <si>
    <t>0      0    -40      0    -15</t>
  </si>
  <si>
    <t>0    -20     45</t>
  </si>
  <si>
    <t>0      7   -107</t>
  </si>
  <si>
    <t>0      0   -258   1617    -78</t>
  </si>
  <si>
    <t>219   -800</t>
  </si>
  <si>
    <t>-18      0      0</t>
  </si>
  <si>
    <t>0      0   1043  -878</t>
  </si>
  <si>
    <t>2      0    396      0      0</t>
  </si>
  <si>
    <t>-702    411     83</t>
  </si>
  <si>
    <t>0      0    259   -103      0</t>
  </si>
  <si>
    <t>55    156</t>
  </si>
  <si>
    <t>-136     48    -56    20</t>
  </si>
  <si>
    <t>3    446      0      0      0</t>
  </si>
  <si>
    <t>333   -530  -5009  -766</t>
  </si>
  <si>
    <t>7     71    609    125      0</t>
  </si>
  <si>
    <t>274    708</t>
  </si>
  <si>
    <t>1182   -397     13    -1</t>
  </si>
  <si>
    <t>2  -2022  -1113      0      0</t>
  </si>
  <si>
    <t>31     30</t>
  </si>
  <si>
    <t>0    170   1537    36</t>
  </si>
  <si>
    <t>6   -413      0      0      0</t>
  </si>
  <si>
    <t>0   -334</t>
  </si>
  <si>
    <t>244      0   2224 -2141</t>
  </si>
  <si>
    <t>4  -2937  -5738  -3237    842</t>
  </si>
  <si>
    <t>172  -1746</t>
  </si>
  <si>
    <t>0  -1183      0</t>
  </si>
  <si>
    <t>0  -1527  -2502      0    893</t>
  </si>
  <si>
    <t>439      0    746    39</t>
  </si>
  <si>
    <t>7   -725      0      0      0</t>
  </si>
  <si>
    <t>0    888</t>
  </si>
  <si>
    <t>825      0   1493 -1162</t>
  </si>
  <si>
    <t>3    168      0      0      0</t>
  </si>
  <si>
    <t>136   -813</t>
  </si>
  <si>
    <t>-244    454    236</t>
  </si>
  <si>
    <t>0   -851      0      0    266</t>
  </si>
  <si>
    <t>0     65      0</t>
  </si>
  <si>
    <t>0    259</t>
  </si>
  <si>
    <t>419      0   4382   399</t>
  </si>
  <si>
    <t>0  -3541</t>
  </si>
  <si>
    <t>3024  -2004  -2784  -406</t>
  </si>
  <si>
    <t>4  -5276  -3379      0      0</t>
  </si>
  <si>
    <t>0   -697      0      0      0</t>
  </si>
  <si>
    <t>0   -314</t>
  </si>
  <si>
    <t>619  -5517  -1957  -124</t>
  </si>
  <si>
    <t>0  -2145   -810    -21   1152</t>
  </si>
  <si>
    <t>0      0  -1411     61   -246</t>
  </si>
  <si>
    <t>049   -785</t>
  </si>
  <si>
    <t>982      0      0  -207</t>
  </si>
  <si>
    <t>6      0    307  -3042      0</t>
  </si>
  <si>
    <t>0      0   -605    95</t>
  </si>
  <si>
    <t>0   -830</t>
  </si>
  <si>
    <t>0    -67     60      0  15353</t>
  </si>
  <si>
    <t>554  47939</t>
  </si>
  <si>
    <t>3295   1522    110</t>
  </si>
  <si>
    <t>0      0     41  12630  14767</t>
  </si>
  <si>
    <t>026  18865</t>
  </si>
  <si>
    <t>104      0  16452  2205</t>
  </si>
  <si>
    <t>2  38003  20808  13797  13262</t>
  </si>
  <si>
    <t>640   2205</t>
  </si>
  <si>
    <t>307     57      0</t>
  </si>
  <si>
    <t>0     83      0     60      0</t>
  </si>
  <si>
    <t>-13    127      0</t>
  </si>
  <si>
    <t>-92   -205      0</t>
  </si>
  <si>
    <t>0   -218   3145     62    -16</t>
  </si>
  <si>
    <t>463    -14</t>
  </si>
  <si>
    <t>0      0      0    12</t>
  </si>
  <si>
    <t>3      0      0      0     14</t>
  </si>
  <si>
    <t>0    -79  -5911</t>
  </si>
  <si>
    <t>0    308      0      0      0</t>
  </si>
  <si>
    <t>0   -368</t>
  </si>
  <si>
    <t>50    103      0</t>
  </si>
  <si>
    <t>0    163    -54      0    172</t>
  </si>
  <si>
    <t>397     60</t>
  </si>
  <si>
    <t>-79    364    220    19</t>
  </si>
  <si>
    <t>196    603</t>
  </si>
  <si>
    <t>-8    682  -5710    51</t>
  </si>
  <si>
    <t>6    349    364      0    990</t>
  </si>
  <si>
    <t>952   1382</t>
  </si>
  <si>
    <t>1207    351    108   -80</t>
  </si>
  <si>
    <t>5      8      0      0    -97</t>
  </si>
  <si>
    <t>547      0</t>
  </si>
  <si>
    <t>463     40   -129     4</t>
  </si>
  <si>
    <t>653  -3777</t>
  </si>
  <si>
    <t>0   -206  -6165    -1</t>
  </si>
  <si>
    <t>6   -176   -105    154     45</t>
  </si>
  <si>
    <t>817      0</t>
  </si>
  <si>
    <t>23      0      0  -158</t>
  </si>
  <si>
    <t>7    177      0     44      0</t>
  </si>
  <si>
    <t>0    129     66     7</t>
  </si>
  <si>
    <t>146    803</t>
  </si>
  <si>
    <t>0   1501 -23221  -212</t>
  </si>
  <si>
    <t>312    457</t>
  </si>
  <si>
    <t>3017  -2770      0  -206</t>
  </si>
  <si>
    <t>6      0      0   -115      0</t>
  </si>
  <si>
    <t>717    740</t>
  </si>
  <si>
    <t>0   2445   5875</t>
  </si>
  <si>
    <t>047  -2044</t>
  </si>
  <si>
    <t>2497  -2761  -3864  -511</t>
  </si>
  <si>
    <t>0  -2862      0      0      0</t>
  </si>
  <si>
    <t>-156      0      0  -111</t>
  </si>
  <si>
    <t>638   1251</t>
  </si>
  <si>
    <t>3697   -508  -1354  -133</t>
  </si>
  <si>
    <t>3  -1150     -4   1645      0</t>
  </si>
  <si>
    <t>0    305   -101   1619   -135</t>
  </si>
  <si>
    <t>651   -314</t>
  </si>
  <si>
    <t>0      0  -1436</t>
  </si>
  <si>
    <t>0  -1453  -1541      0      0</t>
  </si>
  <si>
    <t>0   -514    994</t>
  </si>
  <si>
    <t>0    114      0  13545  18885</t>
  </si>
  <si>
    <t>946  49949</t>
  </si>
  <si>
    <t>613    265      0</t>
  </si>
  <si>
    <t>0   -271  11087  14328  15314</t>
  </si>
  <si>
    <t>327     39</t>
  </si>
  <si>
    <t>0  14599  19714  2102</t>
  </si>
  <si>
    <t>9  31644  12823  14018  22718</t>
  </si>
  <si>
    <t>118    886</t>
  </si>
  <si>
    <t>-302   -215      0</t>
  </si>
  <si>
    <t>0   -175      0     -9      0</t>
  </si>
  <si>
    <t>680   1204      0</t>
  </si>
  <si>
    <t>-43   -265      0</t>
  </si>
  <si>
    <t>0   -115   1155   -275     32</t>
  </si>
  <si>
    <t>238      3</t>
  </si>
  <si>
    <t>3      0      0      0     67</t>
  </si>
  <si>
    <t>0   2303 -21050</t>
  </si>
  <si>
    <t>0  -1113      0      0      0</t>
  </si>
  <si>
    <t>0    188</t>
  </si>
  <si>
    <t>-776   -289      0</t>
  </si>
  <si>
    <t>0  -1131  -1032      0    615</t>
  </si>
  <si>
    <t>471   2216</t>
  </si>
  <si>
    <t>227    837   -505  -109</t>
  </si>
  <si>
    <t>155   -836</t>
  </si>
  <si>
    <t>2813     22  -4827    -8</t>
  </si>
  <si>
    <t>3   -185    -78      0     18</t>
  </si>
  <si>
    <t>634    178</t>
  </si>
  <si>
    <t>7    157    191   -74</t>
  </si>
  <si>
    <t>2   -196      0      0    593</t>
  </si>
  <si>
    <t>901   -213    -34   -21</t>
  </si>
  <si>
    <t>25   -606</t>
  </si>
  <si>
    <t>0  -2082  -5132     5</t>
  </si>
  <si>
    <t>3   1003   -719   -478    343</t>
  </si>
  <si>
    <t>421      0</t>
  </si>
  <si>
    <t>344      0      0  -158</t>
  </si>
  <si>
    <t>9   1840      0   1075      0</t>
  </si>
  <si>
    <t>0   -937</t>
  </si>
  <si>
    <t>0   1261   1483   195</t>
  </si>
  <si>
    <t>545    -19</t>
  </si>
  <si>
    <t>0     51  -6080     5</t>
  </si>
  <si>
    <t>6      0      0      0    -26</t>
  </si>
  <si>
    <t>524    193</t>
  </si>
  <si>
    <t>-50    102      0   -54</t>
  </si>
  <si>
    <t>5      0      0   -230      0</t>
  </si>
  <si>
    <t>732      0</t>
  </si>
  <si>
    <t>514      0      0</t>
  </si>
  <si>
    <t>243   -547</t>
  </si>
  <si>
    <t>0   1758   2309</t>
  </si>
  <si>
    <t>614   -841</t>
  </si>
  <si>
    <t>1698  -1849  -2449  -302</t>
  </si>
  <si>
    <t>6  -2075      0      0      0</t>
  </si>
  <si>
    <t>565      0</t>
  </si>
  <si>
    <t>1967      0      0   -96</t>
  </si>
  <si>
    <t>310  -1013</t>
  </si>
  <si>
    <t>2240    384   -327    51</t>
  </si>
  <si>
    <t>6    425   -335    293      0</t>
  </si>
  <si>
    <t>0    122  -2680  -5844  -2155</t>
  </si>
  <si>
    <t>242    478</t>
  </si>
  <si>
    <t>0      0  -1112</t>
  </si>
  <si>
    <t>0    373    263      0      0</t>
  </si>
  <si>
    <t>0     87    760</t>
  </si>
  <si>
    <t>5    -36      0  32574  11847</t>
  </si>
  <si>
    <t>379  12657</t>
  </si>
  <si>
    <t>532    133      0</t>
  </si>
  <si>
    <t>0    -81  28258   9639   9224</t>
  </si>
  <si>
    <t>233    -10</t>
  </si>
  <si>
    <t>0  21595  13103  1458</t>
  </si>
  <si>
    <t>0  11180  18118  10899  14665</t>
  </si>
  <si>
    <t>055   -951</t>
  </si>
  <si>
    <t>1014    468     33</t>
  </si>
  <si>
    <t>0      0    104      0   -117</t>
  </si>
  <si>
    <t>0     27    -33</t>
  </si>
  <si>
    <t>0    -53   -199</t>
  </si>
  <si>
    <t>0      0   -365   1491   -122</t>
  </si>
  <si>
    <t>289   -324</t>
  </si>
  <si>
    <t>0     24      0      0      0</t>
  </si>
  <si>
    <t>0      0    914  -861</t>
  </si>
  <si>
    <t>9      0    980      0      0</t>
  </si>
  <si>
    <t>-502    383    209</t>
  </si>
  <si>
    <t>0      0    140    -74      0</t>
  </si>
  <si>
    <t>265   -183</t>
  </si>
  <si>
    <t>-25   -220    -16     9</t>
  </si>
  <si>
    <t>0    344      0      0      0</t>
  </si>
  <si>
    <t>0    394</t>
  </si>
  <si>
    <t>303   -841   2602 -2241</t>
  </si>
  <si>
    <t>1  -2788  -2977  -3073      0</t>
  </si>
  <si>
    <t>053   -742</t>
  </si>
  <si>
    <t>-987  -1045    -81    27</t>
  </si>
  <si>
    <t>9  -1175  -2700      0      0</t>
  </si>
  <si>
    <t>662   -457</t>
  </si>
  <si>
    <t>0   -965   1490   -23</t>
  </si>
  <si>
    <t>9   -603      0      0      0</t>
  </si>
  <si>
    <t>54      0  -3833  -796</t>
  </si>
  <si>
    <t>5   -151  -1009    108    453</t>
  </si>
  <si>
    <t>276   -107</t>
  </si>
  <si>
    <t>0  -2310   -839      0   -103</t>
  </si>
  <si>
    <t>-27      0    695    55</t>
  </si>
  <si>
    <t>7   -594      0      0      0</t>
  </si>
  <si>
    <t>98      0   1709 -1087</t>
  </si>
  <si>
    <t>5    221      0      0      0</t>
  </si>
  <si>
    <t>238   -556</t>
  </si>
  <si>
    <t>-88    388    380</t>
  </si>
  <si>
    <t>0   -936      0      0     99</t>
  </si>
  <si>
    <t>0    248</t>
  </si>
  <si>
    <t>45      0   4272   385</t>
  </si>
  <si>
    <t>0  -3006</t>
  </si>
  <si>
    <t>2915  -2185  -2594  -402</t>
  </si>
  <si>
    <t>7  -5086  -3451      0      0</t>
  </si>
  <si>
    <t>0   -634</t>
  </si>
  <si>
    <t>0   -266      0</t>
  </si>
  <si>
    <t>0  -1155      0      0      0</t>
  </si>
  <si>
    <t>3  -2707   -953  -1641   -305</t>
  </si>
  <si>
    <t>0      0   -210    630    793</t>
  </si>
  <si>
    <t>189    709</t>
  </si>
  <si>
    <t>307      0      0  -223</t>
  </si>
  <si>
    <t>4      0    579  -2064      0</t>
  </si>
  <si>
    <t>0      0   -600    39</t>
  </si>
  <si>
    <t>0   -930</t>
  </si>
  <si>
    <t>0      4     92      0  15236</t>
  </si>
  <si>
    <t>677  19792</t>
  </si>
  <si>
    <t>1940   1536     53</t>
  </si>
  <si>
    <t>0      0    -48  12158  39246</t>
  </si>
  <si>
    <t>860  17579</t>
  </si>
  <si>
    <t>202      0  16009  3790</t>
  </si>
  <si>
    <t>9  22668  20219  13725  32703</t>
  </si>
  <si>
    <t>701  23277</t>
  </si>
  <si>
    <t>3742  -4561   -289   124</t>
  </si>
  <si>
    <t>6    902      0      0    -85</t>
  </si>
  <si>
    <t>0   1314</t>
  </si>
  <si>
    <t>5      3      0      0      0</t>
  </si>
  <si>
    <t>0    137      0      0    -72</t>
  </si>
  <si>
    <t>-8     71</t>
  </si>
  <si>
    <t>144   -592   -184</t>
  </si>
  <si>
    <t>0      0      0   1052      0</t>
  </si>
  <si>
    <t>9      0      0</t>
  </si>
  <si>
    <t>0      0      0     29      0</t>
  </si>
  <si>
    <t>0   4749  -7645      0    -91</t>
  </si>
  <si>
    <t>0      0   1355   -88</t>
  </si>
  <si>
    <t>8   -367      0      0    -47</t>
  </si>
  <si>
    <t>74   -130    129   -13</t>
  </si>
  <si>
    <t>0   -906  -1259   -497      0</t>
  </si>
  <si>
    <t>0  -1168  -3556   -22</t>
  </si>
  <si>
    <t>2   3804  -7893   -390  -2112</t>
  </si>
  <si>
    <t>1159  -1971    680   -40</t>
  </si>
  <si>
    <t>1    615    572   5325   -687</t>
  </si>
  <si>
    <t>250     89      0   -30</t>
  </si>
  <si>
    <t>2  -2637  -2303  -1496      0</t>
  </si>
  <si>
    <t>0  -1013  -2507</t>
  </si>
  <si>
    <t>0 -16453 -32707  16537  30746</t>
  </si>
  <si>
    <t>382  16250</t>
  </si>
  <si>
    <t>8985  17531      0   643</t>
  </si>
  <si>
    <t>0      0      0  39602   3893</t>
  </si>
  <si>
    <t>0  11303</t>
  </si>
  <si>
    <t>0      0   7812</t>
  </si>
  <si>
    <t>0  12439  17437  12355      0</t>
  </si>
  <si>
    <t>0  15587  -6988</t>
  </si>
  <si>
    <t>0   1414 -11498    214      0</t>
  </si>
  <si>
    <t>139   -136    779    15</t>
  </si>
  <si>
    <t>7    298      0   7295      0</t>
  </si>
  <si>
    <t>0    117      0     4</t>
  </si>
  <si>
    <t>0    -73  -1751</t>
  </si>
  <si>
    <t>0   6561   2121      0      0</t>
  </si>
  <si>
    <t>0  -2847  -1772  -252</t>
  </si>
  <si>
    <t>4  -2983  -4231   3255  -3828</t>
  </si>
  <si>
    <t>0   -472      0   -31</t>
  </si>
  <si>
    <t>7      0      0  -1428      0</t>
  </si>
  <si>
    <t>0  -1350  -2788  -494</t>
  </si>
  <si>
    <t>7  -5500  -8345  -8390  -4567</t>
  </si>
  <si>
    <t>705  -1986</t>
  </si>
  <si>
    <t>0      0      0      0  -3553</t>
  </si>
  <si>
    <t>260    437</t>
  </si>
  <si>
    <t>1046    394   -545</t>
  </si>
  <si>
    <t>0      0  -2167      0   1316</t>
  </si>
  <si>
    <t>0   -597    151      0      0</t>
  </si>
  <si>
    <t>0      0      0   -278    272</t>
  </si>
  <si>
    <t>0  13076</t>
  </si>
  <si>
    <t>6614  47326  19535     3</t>
  </si>
  <si>
    <t>9    565      0      0    394</t>
  </si>
  <si>
    <t>823  14625</t>
  </si>
  <si>
    <t>9308  16038  -2655</t>
  </si>
  <si>
    <t>0  12890  18283  32667  16923</t>
  </si>
  <si>
    <t>379  17304</t>
  </si>
  <si>
    <t>5334  19591  11973  1477</t>
  </si>
  <si>
    <t>4   -558   2153    310     53</t>
  </si>
  <si>
    <t>52      0    -64</t>
  </si>
  <si>
    <t>0      0      0      5     -5</t>
  </si>
  <si>
    <t>0      0      0    -37    -74</t>
  </si>
  <si>
    <t>-284   3172    103     3</t>
  </si>
  <si>
    <t>0   -386     -4      0      0</t>
  </si>
  <si>
    <t>0     34</t>
  </si>
  <si>
    <t>0      0      0      0   -257</t>
  </si>
  <si>
    <t>0      0   -323     69    111</t>
  </si>
  <si>
    <t>175    -59      0    14</t>
  </si>
  <si>
    <t>7   -474     61   -152    345</t>
  </si>
  <si>
    <t>217    179</t>
  </si>
  <si>
    <t>0    227    857    -21   -455</t>
  </si>
  <si>
    <t>909     42</t>
  </si>
  <si>
    <t>-86    -61      0</t>
  </si>
  <si>
    <t>2  -1210   -307    149    282</t>
  </si>
  <si>
    <t>355  -1694</t>
  </si>
  <si>
    <t>197      0      0    10</t>
  </si>
  <si>
    <t>6   -434      0   -227    184</t>
  </si>
  <si>
    <t>24    -23</t>
  </si>
  <si>
    <t>0     70    994      0    699</t>
  </si>
  <si>
    <t>602    303</t>
  </si>
  <si>
    <t>-179    137   -175    57</t>
  </si>
  <si>
    <t>6    242      0   1241      0</t>
  </si>
  <si>
    <t>0   -840</t>
  </si>
  <si>
    <t>-365      0     16</t>
  </si>
  <si>
    <t>0      0    -44      0   -249</t>
  </si>
  <si>
    <t>455   -143</t>
  </si>
  <si>
    <t>0   -851  -3331      0   1342</t>
  </si>
  <si>
    <t>840  -2232</t>
  </si>
  <si>
    <t>4   -579    906  -2894  -1379</t>
  </si>
  <si>
    <t>0  -1613</t>
  </si>
  <si>
    <t>0      0  -1031</t>
  </si>
  <si>
    <t>0   -547      0   -771      0</t>
  </si>
  <si>
    <t>0    -40   1018      0   2420</t>
  </si>
  <si>
    <t>0  -2977  -1958  -2613  -2836</t>
  </si>
  <si>
    <t>051  -5384</t>
  </si>
  <si>
    <t>3028      0      0</t>
  </si>
  <si>
    <t>0   -938      0   -334      0</t>
  </si>
  <si>
    <t>0  -1183</t>
  </si>
  <si>
    <t>0   -561   1588  -3861   -470</t>
  </si>
  <si>
    <t>206  -1280</t>
  </si>
  <si>
    <t>1044   -315   1361</t>
  </si>
  <si>
    <t>465   -172   2079    -7</t>
  </si>
  <si>
    <t>4   1056   -171      0      0</t>
  </si>
  <si>
    <t>386      0</t>
  </si>
  <si>
    <t>1845  -1631      0</t>
  </si>
  <si>
    <t>0      0      0      0   -408</t>
  </si>
  <si>
    <t>0   -769      0      0      0</t>
  </si>
  <si>
    <t>0    -72</t>
  </si>
  <si>
    <t>146      0  14109  1918</t>
  </si>
  <si>
    <t>4  21145  50332    780    263</t>
  </si>
  <si>
    <t>-376  11449  15396  1586</t>
  </si>
  <si>
    <t>2  40168    249      0  15171</t>
  </si>
  <si>
    <t>724  21826</t>
  </si>
  <si>
    <t>2931  13050  17803  2510</t>
  </si>
  <si>
    <t>7  38126  13814  19773  19527</t>
  </si>
  <si>
    <t>173    599</t>
  </si>
  <si>
    <t>-235   -117      0</t>
  </si>
  <si>
    <t>0   -147      0   -159      0</t>
  </si>
  <si>
    <t>438   1071      0</t>
  </si>
  <si>
    <t>-11   -186      0</t>
  </si>
  <si>
    <t>0   -163    749   -169     57</t>
  </si>
  <si>
    <t>149     26</t>
  </si>
  <si>
    <t>1      0      0      0    106</t>
  </si>
  <si>
    <t>0   1390 -14100</t>
  </si>
  <si>
    <t>0   -443      0      0      0</t>
  </si>
  <si>
    <t>0    339</t>
  </si>
  <si>
    <t>362   -174      0</t>
  </si>
  <si>
    <t>0   -712   -671      0    662</t>
  </si>
  <si>
    <t>101   1240</t>
  </si>
  <si>
    <t>1494   -452   -978   -24</t>
  </si>
  <si>
    <t>029   -172</t>
  </si>
  <si>
    <t>1116    271  -3935    -5</t>
  </si>
  <si>
    <t>1      8    -77      0     70</t>
  </si>
  <si>
    <t>583     80</t>
  </si>
  <si>
    <t>20     27    185   -76</t>
  </si>
  <si>
    <t>7    117      0      0    499</t>
  </si>
  <si>
    <t>097      0</t>
  </si>
  <si>
    <t>890   -186    126     3</t>
  </si>
  <si>
    <t>79   -104</t>
  </si>
  <si>
    <t>0    338  -3925     3</t>
  </si>
  <si>
    <t>1   -175     63    -10    -20</t>
  </si>
  <si>
    <t>-18      0      0   -78</t>
  </si>
  <si>
    <t>0      6      0   -420      0</t>
  </si>
  <si>
    <t>0    307</t>
  </si>
  <si>
    <t>0   -257     28   -17</t>
  </si>
  <si>
    <t>82     23</t>
  </si>
  <si>
    <t>0  -2992  -4717    35</t>
  </si>
  <si>
    <t>3      0      0      0    -66</t>
  </si>
  <si>
    <t>835  -1133</t>
  </si>
  <si>
    <t>634   1386      0  -110</t>
  </si>
  <si>
    <t>1      0      0    657      0</t>
  </si>
  <si>
    <t>4023      0      0</t>
  </si>
  <si>
    <t>488   1764</t>
  </si>
  <si>
    <t>0   1874   1805</t>
  </si>
  <si>
    <t>378   -757</t>
  </si>
  <si>
    <t>1242  -1488  -1895  -235</t>
  </si>
  <si>
    <t>4  -1589      0      0      0</t>
  </si>
  <si>
    <t>1731      0      0   -67</t>
  </si>
  <si>
    <t>212   -362</t>
  </si>
  <si>
    <t>1828     53   -387     6</t>
  </si>
  <si>
    <t>1    210   -262    347      0</t>
  </si>
  <si>
    <t>0    240  -2345  -4080  -2345</t>
  </si>
  <si>
    <t>013   1121</t>
  </si>
  <si>
    <t>0      0   -863</t>
  </si>
  <si>
    <t>0    -48    799      0      0</t>
  </si>
  <si>
    <t>0     -1    808</t>
  </si>
  <si>
    <t>5    -10      0  19902   9563</t>
  </si>
  <si>
    <t>845  10390</t>
  </si>
  <si>
    <t>364    137      0</t>
  </si>
  <si>
    <t>0    -17  17786   7754   7675</t>
  </si>
  <si>
    <t>152     45</t>
  </si>
  <si>
    <t>0  14839  10165  1039</t>
  </si>
  <si>
    <t>6  10558  12539   8795  11943</t>
  </si>
  <si>
    <t>248  12996</t>
  </si>
  <si>
    <t>1724   9602  10714  -106</t>
  </si>
  <si>
    <t>6    642    546    -17      0</t>
  </si>
  <si>
    <t>0    131</t>
  </si>
  <si>
    <t>0    -98      0</t>
  </si>
  <si>
    <t>0      0    -48    175      0</t>
  </si>
  <si>
    <t>0      0    -44   -263      0</t>
  </si>
  <si>
    <t>0   -429</t>
  </si>
  <si>
    <t>966   -260    209   -19</t>
  </si>
  <si>
    <t>6    -16      0      0      0</t>
  </si>
  <si>
    <t>65      0</t>
  </si>
  <si>
    <t>56      0</t>
  </si>
  <si>
    <t>0      0      0    823  -6900</t>
  </si>
  <si>
    <t>0    720</t>
  </si>
  <si>
    <t>0   -530    221    206      0</t>
  </si>
  <si>
    <t>-58      0   -200   -15</t>
  </si>
  <si>
    <t>7    -36   -226     -8    162</t>
  </si>
  <si>
    <t>213      0</t>
  </si>
  <si>
    <t>0      0      0    37</t>
  </si>
  <si>
    <t>0    338   -576    895 -16326</t>
  </si>
  <si>
    <t>111   -815</t>
  </si>
  <si>
    <t>-778      0    854    -4</t>
  </si>
  <si>
    <t>6    323   1044     52     94</t>
  </si>
  <si>
    <t>210  -1455</t>
  </si>
  <si>
    <t>0      0    309   111</t>
  </si>
  <si>
    <t>1      0     39   -246   -811</t>
  </si>
  <si>
    <t>0      0      0   -73</t>
  </si>
  <si>
    <t>2    663      0    572  -7169</t>
  </si>
  <si>
    <t>508   1109</t>
  </si>
  <si>
    <t>632    -28    161   -40</t>
  </si>
  <si>
    <t>7      0     59      0      0</t>
  </si>
  <si>
    <t>544    515</t>
  </si>
  <si>
    <t>0    131      0</t>
  </si>
  <si>
    <t>0     51      0   -200    141</t>
  </si>
  <si>
    <t>53      0</t>
  </si>
  <si>
    <t>8    584      0  -8930  -8331</t>
  </si>
  <si>
    <t>0      0    308    13</t>
  </si>
  <si>
    <t>6    507  -2014  -2010      0</t>
  </si>
  <si>
    <t>540      0</t>
  </si>
  <si>
    <t>0   -351      0    52</t>
  </si>
  <si>
    <t>2      0    848      0      0</t>
  </si>
  <si>
    <t>8    820      0   3351   2947</t>
  </si>
  <si>
    <t>0      0      0  -234</t>
  </si>
  <si>
    <t>2  -2375  -1682  -1921  -3147</t>
  </si>
  <si>
    <t>818  -2755</t>
  </si>
  <si>
    <t>2      0   -187      0      0</t>
  </si>
  <si>
    <t>6    170  -4458  -2416  -3423</t>
  </si>
  <si>
    <t>732   -571</t>
  </si>
  <si>
    <t>1199   -230      0</t>
  </si>
  <si>
    <t>644    229    209    30</t>
  </si>
  <si>
    <t>7    979      0      0  -2027</t>
  </si>
  <si>
    <t>0     10</t>
  </si>
  <si>
    <t>1001      0      0</t>
  </si>
  <si>
    <t>0      0      0   -489    397</t>
  </si>
  <si>
    <t>0      0      0   -72</t>
  </si>
  <si>
    <t>22     71</t>
  </si>
  <si>
    <t>0  12200  33113  1721</t>
  </si>
  <si>
    <t>9  17733   1126    -81      0</t>
  </si>
  <si>
    <t>9742  27414  13254  1398</t>
  </si>
  <si>
    <t>3     71      0  12750  27368</t>
  </si>
  <si>
    <t>296  16010</t>
  </si>
  <si>
    <t>0889  24804  21129  1894</t>
  </si>
  <si>
    <t>3  11613  33697  17552  19586</t>
  </si>
  <si>
    <t>318   -813</t>
  </si>
  <si>
    <t>668    422    -67</t>
  </si>
  <si>
    <t>0      0     15      0   -133</t>
  </si>
  <si>
    <t>0    -66     85</t>
  </si>
  <si>
    <t>0     29   -112</t>
  </si>
  <si>
    <t>0      0   -448    903   -201</t>
  </si>
  <si>
    <t>20   -429</t>
  </si>
  <si>
    <t>-30      0      0</t>
  </si>
  <si>
    <t>0     80      0      0      0</t>
  </si>
  <si>
    <t>0      0    521  -724</t>
  </si>
  <si>
    <t>3      0    352      0      0</t>
  </si>
  <si>
    <t>-520    236    122</t>
  </si>
  <si>
    <t>0      0    154    -74      0</t>
  </si>
  <si>
    <t>-16     72</t>
  </si>
  <si>
    <t>-187      8    -30    25</t>
  </si>
  <si>
    <t>7    275      0      0      0</t>
  </si>
  <si>
    <t>0    410</t>
  </si>
  <si>
    <t>326   -403    247  -716</t>
  </si>
  <si>
    <t>4    548    678    739      0</t>
  </si>
  <si>
    <t>-307    206    224    37</t>
  </si>
  <si>
    <t>8  -1541    545      0      0</t>
  </si>
  <si>
    <t>-13     30</t>
  </si>
  <si>
    <t>0    -17   -373     9</t>
  </si>
  <si>
    <t>8     51      0      0      0</t>
  </si>
  <si>
    <t>0    212</t>
  </si>
  <si>
    <t>456      0    488 -1569</t>
  </si>
  <si>
    <t>5  -1229  -1430   -886    583</t>
  </si>
  <si>
    <t>359   -347</t>
  </si>
  <si>
    <t>0   1173      0</t>
  </si>
  <si>
    <t>0   -383  -1959      0    796</t>
  </si>
  <si>
    <t>307      0   -825  -117</t>
  </si>
  <si>
    <t>6   -329      0      0      0</t>
  </si>
  <si>
    <t>0   -565</t>
  </si>
  <si>
    <t>886      0 -10691  -906</t>
  </si>
  <si>
    <t>0    -82      0      0      0</t>
  </si>
  <si>
    <t>077    904</t>
  </si>
  <si>
    <t>1280  -1961   -493</t>
  </si>
  <si>
    <t>0  -2176      0      0  -1220</t>
  </si>
  <si>
    <t>-61      0   3190   299</t>
  </si>
  <si>
    <t>0  -2688</t>
  </si>
  <si>
    <t>2321  -1732  -2167  -327</t>
  </si>
  <si>
    <t>1  -4153  -2634      0      0</t>
  </si>
  <si>
    <t>0   -648      0      0      0</t>
  </si>
  <si>
    <t>345  -4376  -1877  -205</t>
  </si>
  <si>
    <t>3  -2430   -634   -238    805</t>
  </si>
  <si>
    <t>0      0  -1028    170    -79</t>
  </si>
  <si>
    <t>034   -611</t>
  </si>
  <si>
    <t>1684      0      0  -188</t>
  </si>
  <si>
    <t>2      0   -168  -1518      0</t>
  </si>
  <si>
    <t>0      0   -634    52</t>
  </si>
  <si>
    <t>0   -587</t>
  </si>
  <si>
    <t>0    -13     44      0  12545</t>
  </si>
  <si>
    <t>050  33424</t>
  </si>
  <si>
    <t>9119   1086    -67</t>
  </si>
  <si>
    <t>0      0    -32  10223  13860</t>
  </si>
  <si>
    <t>312  14733</t>
  </si>
  <si>
    <t>16      0  13239  1811</t>
  </si>
  <si>
    <t>0  28292  16674  11449  16150</t>
  </si>
  <si>
    <t>966  19534</t>
  </si>
  <si>
    <t>1855  21633  26998  2055</t>
  </si>
  <si>
    <t>4   9216   7450    -45    863</t>
  </si>
  <si>
    <t>71     82</t>
  </si>
  <si>
    <t>0      0   -340</t>
  </si>
  <si>
    <t>0   -113      0      0      0</t>
  </si>
  <si>
    <t>141     40</t>
  </si>
  <si>
    <t>0      0   -346   126</t>
  </si>
  <si>
    <t>6    396    223    295      2</t>
  </si>
  <si>
    <t>0   -600      0</t>
  </si>
  <si>
    <t>0      0     15      0      0</t>
  </si>
  <si>
    <t>5466      0     10</t>
  </si>
  <si>
    <t>662   -494</t>
  </si>
  <si>
    <t>0      0     96     4</t>
  </si>
  <si>
    <t>5      0    157   -298    102</t>
  </si>
  <si>
    <t>100   -514</t>
  </si>
  <si>
    <t>-411    -23      0</t>
  </si>
  <si>
    <t>0      0      0   -720  -1498</t>
  </si>
  <si>
    <t>15    510</t>
  </si>
  <si>
    <t>6215    -62     -3    -7</t>
  </si>
  <si>
    <t>1      0     47   -207   -511</t>
  </si>
  <si>
    <t>635   -451</t>
  </si>
  <si>
    <t>335   3400    -60</t>
  </si>
  <si>
    <t>0      0    208   -405      0</t>
  </si>
  <si>
    <t>250   -157</t>
  </si>
  <si>
    <t>-57    -20      0</t>
  </si>
  <si>
    <t>0      0      0   -465   -670</t>
  </si>
  <si>
    <t>0     28</t>
  </si>
  <si>
    <t>6929    107    100     -</t>
  </si>
  <si>
    <t>7     69    237     28      0</t>
  </si>
  <si>
    <t>399      0</t>
  </si>
  <si>
    <t>0   4972      8</t>
  </si>
  <si>
    <t>0   -327      0      0     52</t>
  </si>
  <si>
    <t>0    -78</t>
  </si>
  <si>
    <t>-49    179      0</t>
  </si>
  <si>
    <t>0      0      0   -159   -458</t>
  </si>
  <si>
    <t>0 -16357</t>
  </si>
  <si>
    <t>4270   3182      0</t>
  </si>
  <si>
    <t>0      0   3755   4505   7281</t>
  </si>
  <si>
    <t>238   9380</t>
  </si>
  <si>
    <t>0  27345      0</t>
  </si>
  <si>
    <t>0  18038      0   6831      0</t>
  </si>
  <si>
    <t>0      0      0   9883  -1325</t>
  </si>
  <si>
    <t>0   3356</t>
  </si>
  <si>
    <t>3543      0      0</t>
  </si>
  <si>
    <t>0      0      0  -1590  -2194</t>
  </si>
  <si>
    <t>590  -3159</t>
  </si>
  <si>
    <t>3593    179  -2741</t>
  </si>
  <si>
    <t>0      0      0   -452      0</t>
  </si>
  <si>
    <t>0   -931      0</t>
  </si>
  <si>
    <t>0      0      0  -1226   -867</t>
  </si>
  <si>
    <t>632  -1160</t>
  </si>
  <si>
    <t>-754   -494      8   -74</t>
  </si>
  <si>
    <t>2    349      0      0      0</t>
  </si>
  <si>
    <t>0      0  -2791    -3</t>
  </si>
  <si>
    <t>1   -342    -82   -828    201</t>
  </si>
  <si>
    <t>1305      0    541   -91</t>
  </si>
  <si>
    <t>0  -1161</t>
  </si>
  <si>
    <t>-851      0      0</t>
  </si>
  <si>
    <t>0      0      0  -1009      0</t>
  </si>
  <si>
    <t>0   -159     76</t>
  </si>
  <si>
    <t>0  11295  15557  16570  31714</t>
  </si>
  <si>
    <t>598    389</t>
  </si>
  <si>
    <t>0      0    235   958</t>
  </si>
  <si>
    <t>8  12974  13219  28645   -990</t>
  </si>
  <si>
    <t>0  11776</t>
  </si>
  <si>
    <t>6434  17229  22409  1033</t>
  </si>
  <si>
    <t>4  15671  19947  26165  10759</t>
  </si>
  <si>
    <t>379  18511</t>
  </si>
  <si>
    <t>7026   7572   9146  1402</t>
  </si>
  <si>
    <t>6    191    864   -317   -196</t>
  </si>
  <si>
    <t>-90      0     69</t>
  </si>
  <si>
    <t>0      0      0    597    704</t>
  </si>
  <si>
    <t>0      0      0    -26   -225</t>
  </si>
  <si>
    <t>-244   1150   -275     4</t>
  </si>
  <si>
    <t>7   -102      8      0      0</t>
  </si>
  <si>
    <t>0      0      0    17</t>
  </si>
  <si>
    <t>0      0      0      0   1827</t>
  </si>
  <si>
    <t>682      0</t>
  </si>
  <si>
    <t>-182      0      0</t>
  </si>
  <si>
    <t>0      0     32   1024    347</t>
  </si>
  <si>
    <t>-329  -1189      0   111</t>
  </si>
  <si>
    <t>8   1612   2024   2173    350</t>
  </si>
  <si>
    <t>633    180</t>
  </si>
  <si>
    <t>0  -1557   -390   2604    -28</t>
  </si>
  <si>
    <t>941    -77</t>
  </si>
  <si>
    <t>176    -11      0     8</t>
  </si>
  <si>
    <t>7   -203    224     20     53</t>
  </si>
  <si>
    <t>262   -492</t>
  </si>
  <si>
    <t>23      0      0    78</t>
  </si>
  <si>
    <t>3   1234      0    809   -349</t>
  </si>
  <si>
    <t>126    -27</t>
  </si>
  <si>
    <t>0    142   -896      0      6</t>
  </si>
  <si>
    <t>952      4</t>
  </si>
  <si>
    <t>-44    140    -69    -1</t>
  </si>
  <si>
    <t>4   -495      0    -58      0</t>
  </si>
  <si>
    <t>0   -296</t>
  </si>
  <si>
    <t>-261      0   -563</t>
  </si>
  <si>
    <t>0      0    450      0   -437</t>
  </si>
  <si>
    <t>0     52   -745      0   -150</t>
  </si>
  <si>
    <t>495    -23</t>
  </si>
  <si>
    <t>1    -37    227    -25     24</t>
  </si>
  <si>
    <t>0   -140</t>
  </si>
  <si>
    <t>0      0   -199</t>
  </si>
  <si>
    <t>0    780      0    664      0</t>
  </si>
  <si>
    <t>0    241   -655      0    -15</t>
  </si>
  <si>
    <t>464      0</t>
  </si>
  <si>
    <t>0   -960  -1772  -1332   -583</t>
  </si>
  <si>
    <t>954  -3306</t>
  </si>
  <si>
    <t>0  -4932      0  -3634      0</t>
  </si>
  <si>
    <t>0    541</t>
  </si>
  <si>
    <t>0    848   -305  -2530    465</t>
  </si>
  <si>
    <t>875    277</t>
  </si>
  <si>
    <t>426   -265    234</t>
  </si>
  <si>
    <t>342  -3638  -4719  -350</t>
  </si>
  <si>
    <t>5  -4636   1611      0      0</t>
  </si>
  <si>
    <t>-390   1784      0</t>
  </si>
  <si>
    <t>0      0      0      0   -181</t>
  </si>
  <si>
    <t>-49      0  30337  1578</t>
  </si>
  <si>
    <t>0  16539  17085    685    238</t>
  </si>
  <si>
    <t>0  26485  13065  1311</t>
  </si>
  <si>
    <t>8  13784   -352      0  20979</t>
  </si>
  <si>
    <t>568  17687</t>
  </si>
  <si>
    <t>5416  19738  14872  1977</t>
  </si>
  <si>
    <t>7  17208  19670  19502  16318</t>
  </si>
  <si>
    <t>930  15377</t>
  </si>
  <si>
    <t>5421  15923  14351   -96</t>
  </si>
  <si>
    <t>3   1083    316   -144      0</t>
  </si>
  <si>
    <t>0      0    -65     67      0</t>
  </si>
  <si>
    <t>0      0    -39   -293      0</t>
  </si>
  <si>
    <t>1528   -241    131   -26</t>
  </si>
  <si>
    <t>2    -29      0      0      0</t>
  </si>
  <si>
    <t>0      0      0   1004  -9515</t>
  </si>
  <si>
    <t>0    840</t>
  </si>
  <si>
    <t>0   -547    162    174      0</t>
  </si>
  <si>
    <t>-54      0   -257   -17</t>
  </si>
  <si>
    <t>0    -51   -221   -140     89</t>
  </si>
  <si>
    <t>0      0      0    38</t>
  </si>
  <si>
    <t>4    440   -800   1992 -21767</t>
  </si>
  <si>
    <t>787  -2168</t>
  </si>
  <si>
    <t>2046      0   -101  -197</t>
  </si>
  <si>
    <t>9  -2151   1924    464   -488</t>
  </si>
  <si>
    <t>825  -1682</t>
  </si>
  <si>
    <t>0      0    508    29</t>
  </si>
  <si>
    <t>0      0    403   -668  -1154</t>
  </si>
  <si>
    <t>0      0      0  -147</t>
  </si>
  <si>
    <t>0    622      0    605  -9864</t>
  </si>
  <si>
    <t>720   1369</t>
  </si>
  <si>
    <t>927   -108    251     5</t>
  </si>
  <si>
    <t>0      0    -53      0      0</t>
  </si>
  <si>
    <t>245    543</t>
  </si>
  <si>
    <t>0     85      0</t>
  </si>
  <si>
    <t>0     23      0   -287     79</t>
  </si>
  <si>
    <t>10      0</t>
  </si>
  <si>
    <t>0      0      0    43</t>
  </si>
  <si>
    <t>8    428      0   1301 -12165</t>
  </si>
  <si>
    <t>0      0    266   -15</t>
  </si>
  <si>
    <t>1    -20    232    366      0</t>
  </si>
  <si>
    <t>0    115      0    -3</t>
  </si>
  <si>
    <t>7      0   -190      0      0</t>
  </si>
  <si>
    <t>1    143      0  -1213   4061</t>
  </si>
  <si>
    <t>0      0      0  -139</t>
  </si>
  <si>
    <t>6  -1120  -4105  -4822  -4364</t>
  </si>
  <si>
    <t>314  -4206</t>
  </si>
  <si>
    <t>0      0      0    36</t>
  </si>
  <si>
    <t>3      0    935      0      0</t>
  </si>
  <si>
    <t>0      0      0    10</t>
  </si>
  <si>
    <t>1    503  -3186  -2331  -3409</t>
  </si>
  <si>
    <t>691   -202</t>
  </si>
  <si>
    <t>1090   -345      0</t>
  </si>
  <si>
    <t>825    291    224    -1</t>
  </si>
  <si>
    <t>3   1276      0      0  -1552</t>
  </si>
  <si>
    <t>1635      0      0</t>
  </si>
  <si>
    <t>0      0      0   -579    396</t>
  </si>
  <si>
    <t>70    107</t>
  </si>
  <si>
    <t>0  17141  44486  2423</t>
  </si>
  <si>
    <t>6  25150    906    -26      0</t>
  </si>
  <si>
    <t>0   -141</t>
  </si>
  <si>
    <t>3801  37300  18519  1995</t>
  </si>
  <si>
    <t>6   -240      0  17664  35229</t>
  </si>
  <si>
    <t>756  22657</t>
  </si>
  <si>
    <t>5221  32211  29321  2596</t>
  </si>
  <si>
    <t>9  16090  45082  24733  27137</t>
  </si>
  <si>
    <t>876  34574</t>
  </si>
  <si>
    <t>3802  21494  20423   -79</t>
  </si>
  <si>
    <t>3   1174    287   -161      0</t>
  </si>
  <si>
    <t>0      0    -47     65      0</t>
  </si>
  <si>
    <t>0      0    -45   -257      0</t>
  </si>
  <si>
    <t>0   -705</t>
  </si>
  <si>
    <t>1633   -217   -267   -60</t>
  </si>
  <si>
    <t>0    -20      0      0      0</t>
  </si>
  <si>
    <t>97      0</t>
  </si>
  <si>
    <t>0      0      0   1248 -10075</t>
  </si>
  <si>
    <t>0    478</t>
  </si>
  <si>
    <t>0   -573    189    101      0</t>
  </si>
  <si>
    <t>-91      0     31    10</t>
  </si>
  <si>
    <t>6   -288     63   -124    232</t>
  </si>
  <si>
    <t>6    275   -492    620 -10140</t>
  </si>
  <si>
    <t>752    931</t>
  </si>
  <si>
    <t>1061      0   -227   -78</t>
  </si>
  <si>
    <t>2   -232     75    259    554</t>
  </si>
  <si>
    <t>340    635</t>
  </si>
  <si>
    <t>0      0     61    10</t>
  </si>
  <si>
    <t>7      0     43   -573     29</t>
  </si>
  <si>
    <t>1    266      0   1518 -21923</t>
  </si>
  <si>
    <t>437  -1686</t>
  </si>
  <si>
    <t>1443    628   -295  -197</t>
  </si>
  <si>
    <t>5      0   2114      0      0</t>
  </si>
  <si>
    <t>969  -1344</t>
  </si>
  <si>
    <t>0   1134      0</t>
  </si>
  <si>
    <t>0    956      0   -823  -1006</t>
  </si>
  <si>
    <t>0      0      0  -121</t>
  </si>
  <si>
    <t>6    902      0   1434 -13185</t>
  </si>
  <si>
    <t>117      0</t>
  </si>
  <si>
    <t>0      0    -58   -62</t>
  </si>
  <si>
    <t>5   -140    240    264      0</t>
  </si>
  <si>
    <t>0    304      0    16</t>
  </si>
  <si>
    <t>4      0     31      0      0</t>
  </si>
  <si>
    <t>2    177      0  -1045   4438</t>
  </si>
  <si>
    <t>0      0      0  -144</t>
  </si>
  <si>
    <t>9  -1033  -4158  -3503  -4953</t>
  </si>
  <si>
    <t>089  -5170</t>
  </si>
  <si>
    <t>0      0      0   -45</t>
  </si>
  <si>
    <t>3      0    330      0      0</t>
  </si>
  <si>
    <t>644      0</t>
  </si>
  <si>
    <t>0      0      0   -56</t>
  </si>
  <si>
    <t>0   -386  -4226  -1784  -2103</t>
  </si>
  <si>
    <t>465   -281</t>
  </si>
  <si>
    <t>747   1060      0</t>
  </si>
  <si>
    <t>0  -1641</t>
  </si>
  <si>
    <t>128   -195   1427   -94</t>
  </si>
  <si>
    <t>9   2220      0      0  -1599</t>
  </si>
  <si>
    <t>0   -184</t>
  </si>
  <si>
    <t>-986      0      0</t>
  </si>
  <si>
    <t>0      0      0   -236    833</t>
  </si>
  <si>
    <t>-49     64</t>
  </si>
  <si>
    <t>0  17865  24343  4610</t>
  </si>
  <si>
    <t>8  26989   1434    183      0</t>
  </si>
  <si>
    <t>0    -46</t>
  </si>
  <si>
    <t>4673  19882  36676  2165</t>
  </si>
  <si>
    <t>0    -88      0  18827  25859</t>
  </si>
  <si>
    <t>324  23809</t>
  </si>
  <si>
    <t>6215  23159  47411  2760</t>
  </si>
  <si>
    <t>4  16928  30652  36435  28915</t>
  </si>
  <si>
    <t>604  24295</t>
  </si>
  <si>
    <t>5971  22832  21868  2726</t>
  </si>
  <si>
    <t>3   -481   2573    301     38</t>
  </si>
  <si>
    <t>-1      0    145</t>
  </si>
  <si>
    <t>0      0      0     32     49</t>
  </si>
  <si>
    <t>0      0      0    -12    -98</t>
  </si>
  <si>
    <t>-358   3753     39   -13</t>
  </si>
  <si>
    <t>1   -415      1      0      0</t>
  </si>
  <si>
    <t>0    230</t>
  </si>
  <si>
    <t>0      0      0      0    142</t>
  </si>
  <si>
    <t>343      0      0</t>
  </si>
  <si>
    <t>0      0   -124     -3     41</t>
  </si>
  <si>
    <t>239   -112      0    15</t>
  </si>
  <si>
    <t>1   -397     99   -134    399</t>
  </si>
  <si>
    <t>212    225</t>
  </si>
  <si>
    <t>0    298    483    -75    -97</t>
  </si>
  <si>
    <t>341    127</t>
  </si>
  <si>
    <t>28    164      0   -16</t>
  </si>
  <si>
    <t>7  -1243   -165    -52    155</t>
  </si>
  <si>
    <t>377  -1443</t>
  </si>
  <si>
    <t>228      0      0    14</t>
  </si>
  <si>
    <t>6   -378      0   -200     91</t>
  </si>
  <si>
    <t>0    128    413      0     50</t>
  </si>
  <si>
    <t>770      3</t>
  </si>
  <si>
    <t>-32    -12    152    -6</t>
  </si>
  <si>
    <t>4   -981      0   -125      0</t>
  </si>
  <si>
    <t>0  -1532</t>
  </si>
  <si>
    <t>299      0    -38</t>
  </si>
  <si>
    <t>0      0    110      0    119</t>
  </si>
  <si>
    <t>36     59</t>
  </si>
  <si>
    <t>0    254    514      0   1230</t>
  </si>
  <si>
    <t>439  -2699</t>
  </si>
  <si>
    <t>0      0      0    -9</t>
  </si>
  <si>
    <t>5  -2136   -629   1485     54</t>
  </si>
  <si>
    <t>0  -3069</t>
  </si>
  <si>
    <t>0      0    489</t>
  </si>
  <si>
    <t>0    217      0    765      0</t>
  </si>
  <si>
    <t>0  -2073    554      0   3508</t>
  </si>
  <si>
    <t>0  -1384   -913  -1083  -2683</t>
  </si>
  <si>
    <t>916  -4615</t>
  </si>
  <si>
    <t>2880      0      0</t>
  </si>
  <si>
    <t>0   1047      0   1147      0</t>
  </si>
  <si>
    <t>0   -724</t>
  </si>
  <si>
    <t>0  -1353  -4093  -4173   -337</t>
  </si>
  <si>
    <t>220  -1398</t>
  </si>
  <si>
    <t>1112    507   1487</t>
  </si>
  <si>
    <t>414   -128   1518   -18</t>
  </si>
  <si>
    <t>1    486   -440      0      0</t>
  </si>
  <si>
    <t>1512    162      0</t>
  </si>
  <si>
    <t>0      0      0      0   -184</t>
  </si>
  <si>
    <t>0    690      0      0      0</t>
  </si>
  <si>
    <t>0   -181</t>
  </si>
  <si>
    <t>150      0  17171  2373</t>
  </si>
  <si>
    <t>1  25294  48556   1060    391</t>
  </si>
  <si>
    <t>-219  13995  19275  1948</t>
  </si>
  <si>
    <t>8  39721    -99      0  18315</t>
  </si>
  <si>
    <t>152  26329</t>
  </si>
  <si>
    <t>2702  15717  21918  3032</t>
  </si>
  <si>
    <t>4  40416  16397  29633  24892</t>
  </si>
  <si>
    <t>725  12989</t>
  </si>
  <si>
    <t>3427  24368  30200  2155</t>
  </si>
  <si>
    <t>6  28691  33517  -1216   8378</t>
  </si>
  <si>
    <t>319 -12545</t>
  </si>
  <si>
    <t>0      0  -1171</t>
  </si>
  <si>
    <t>0   2108      0      0      0</t>
  </si>
  <si>
    <t>425   -288</t>
  </si>
  <si>
    <t>623  -3262</t>
  </si>
  <si>
    <t>0      0 -18657   492</t>
  </si>
  <si>
    <t>0  16892   9095  15801   2476</t>
  </si>
  <si>
    <t>0  -2550      0</t>
  </si>
  <si>
    <t>0      0  -1275      0      0</t>
  </si>
  <si>
    <t>0   -571      0</t>
  </si>
  <si>
    <t>2124      0  -1359</t>
  </si>
  <si>
    <t>0      0      0      0  -1261</t>
  </si>
  <si>
    <t>280   -922</t>
  </si>
  <si>
    <t>0      0   1514   -25</t>
  </si>
  <si>
    <t>2      0   -127   -186    164</t>
  </si>
  <si>
    <t>-821   -513      0</t>
  </si>
  <si>
    <t>0      0      0  -1314   3345</t>
  </si>
  <si>
    <t>543  -3132</t>
  </si>
  <si>
    <t>1969    484   -835  -118</t>
  </si>
  <si>
    <t>1      0    -25  -1198   -930</t>
  </si>
  <si>
    <t>117     93</t>
  </si>
  <si>
    <t>-78    645   -187</t>
  </si>
  <si>
    <t>0      0   -251    231      0</t>
  </si>
  <si>
    <t>87    874</t>
  </si>
  <si>
    <t>413    172      0</t>
  </si>
  <si>
    <t>0      0      0   -160   7310</t>
  </si>
  <si>
    <t>0  -3175</t>
  </si>
  <si>
    <t>2169    838   -786  -100</t>
  </si>
  <si>
    <t>4   1683    -41    -99      0</t>
  </si>
  <si>
    <t>614      0</t>
  </si>
  <si>
    <t>0    477   -382</t>
  </si>
  <si>
    <t>0     58      0      0     -2</t>
  </si>
  <si>
    <t>231   -116      0</t>
  </si>
  <si>
    <t>0      0      0    448   7212</t>
  </si>
  <si>
    <t>0   1885</t>
  </si>
  <si>
    <t>-304    862      0</t>
  </si>
  <si>
    <t>0      0     50   -698   -935</t>
  </si>
  <si>
    <t>837   -526</t>
  </si>
  <si>
    <t>0    770      0</t>
  </si>
  <si>
    <t>0    107      0    -72      0</t>
  </si>
  <si>
    <t>0      0      0    301   5899</t>
  </si>
  <si>
    <t>0  -3264</t>
  </si>
  <si>
    <t>537      0      0</t>
  </si>
  <si>
    <t>0      0      0    328    232</t>
  </si>
  <si>
    <t>091   -655</t>
  </si>
  <si>
    <t>-922   1635   -330</t>
  </si>
  <si>
    <t>0      0      0     69      0</t>
  </si>
  <si>
    <t>0   -587      0</t>
  </si>
  <si>
    <t>0      0      0    163   9568</t>
  </si>
  <si>
    <t>133  -2519</t>
  </si>
  <si>
    <t>5858   5289  -6879  -203</t>
  </si>
  <si>
    <t>2  -5170      0      0      0</t>
  </si>
  <si>
    <t>0      0   -704    91</t>
  </si>
  <si>
    <t>6   -732   -717   -688  -1961</t>
  </si>
  <si>
    <t>914      0   5110 -2428</t>
  </si>
  <si>
    <t>-233      0      0</t>
  </si>
  <si>
    <t>0      0      0    -48      0</t>
  </si>
  <si>
    <t>0    527  -9263</t>
  </si>
  <si>
    <t>0  -3582   5330   6219    824</t>
  </si>
  <si>
    <t>154  -1322</t>
  </si>
  <si>
    <t>0      0  -5374  -474</t>
  </si>
  <si>
    <t>2   5748   5504   1142  -7115</t>
  </si>
  <si>
    <t>0  -1358</t>
  </si>
  <si>
    <t>3659   3925   1203   -28</t>
  </si>
  <si>
    <t>5   2857   4127   1161   -271</t>
  </si>
  <si>
    <t>968   3490</t>
  </si>
  <si>
    <t>1340    201   3037   324</t>
  </si>
  <si>
    <t>8   1603    476   4143   3982</t>
  </si>
  <si>
    <t>030  -5200</t>
  </si>
  <si>
    <t>71   -466    440</t>
  </si>
  <si>
    <t>0      0   1744      0   -854</t>
  </si>
  <si>
    <t>0  -4806 -10143</t>
  </si>
  <si>
    <t>0   1096   1440</t>
  </si>
  <si>
    <t>0      0   -244    473    337</t>
  </si>
  <si>
    <t>637   -470</t>
  </si>
  <si>
    <t>0   1110      0      0      0</t>
  </si>
  <si>
    <t>0   -196      0      0      0</t>
  </si>
  <si>
    <t>0      0 -11298  1348</t>
  </si>
  <si>
    <t>4      0   5426      0      0</t>
  </si>
  <si>
    <t>2990    752    158</t>
  </si>
  <si>
    <t>0      0    963  -2454      0</t>
  </si>
  <si>
    <t>654   3319</t>
  </si>
  <si>
    <t>1937    733    354    43</t>
  </si>
  <si>
    <t>3   2705      0      0      0</t>
  </si>
  <si>
    <t>0  -3881</t>
  </si>
  <si>
    <t>8541 -16953  -5235    35</t>
  </si>
  <si>
    <t>5   -916  -2680  -3529      0</t>
  </si>
  <si>
    <t>962  -3207</t>
  </si>
  <si>
    <t>2738    536    601    45</t>
  </si>
  <si>
    <t>0    780   -911      0      0</t>
  </si>
  <si>
    <t>288   1034</t>
  </si>
  <si>
    <t>0   2991   -749   -13</t>
  </si>
  <si>
    <t>5    102      0      0      0</t>
  </si>
  <si>
    <t>0    468</t>
  </si>
  <si>
    <t>3295      0  -5145    45</t>
  </si>
  <si>
    <t>9  -1213  -3855  -4328  -1533</t>
  </si>
  <si>
    <t>921  -1607</t>
  </si>
  <si>
    <t>0    657      0</t>
  </si>
  <si>
    <t>0    -24     52      0    239</t>
  </si>
  <si>
    <t>1369      0   -137   -39</t>
  </si>
  <si>
    <t>7   -547      0      0      0</t>
  </si>
  <si>
    <t>3537      0   3295    15</t>
  </si>
  <si>
    <t>1    708      0      0      0</t>
  </si>
  <si>
    <t>136  -1223</t>
  </si>
  <si>
    <t>0   1418      0      0     45</t>
  </si>
  <si>
    <t>0   1395</t>
  </si>
  <si>
    <t>0   2061      0</t>
  </si>
  <si>
    <t>0    974</t>
  </si>
  <si>
    <t>9914      0  -5457    -5</t>
  </si>
  <si>
    <t>0   -173</t>
  </si>
  <si>
    <t>2249  -1112   -623  -127</t>
  </si>
  <si>
    <t>7   2836  -2596      0      0</t>
  </si>
  <si>
    <t>0   3498</t>
  </si>
  <si>
    <t>0   5529      0</t>
  </si>
  <si>
    <t>0  -1154      0      0      0</t>
  </si>
  <si>
    <t>6270   3612   4563  1211</t>
  </si>
  <si>
    <t>5  14720   7700   3726   1106</t>
  </si>
  <si>
    <t>0      0  -3086  -4573 -10701</t>
  </si>
  <si>
    <t>325 -12142</t>
  </si>
  <si>
    <t>864      0      0   174</t>
  </si>
  <si>
    <t>5      0   8871 -40502      0</t>
  </si>
  <si>
    <t>0      0    332   123</t>
  </si>
  <si>
    <t>0    185</t>
  </si>
  <si>
    <t>0   -221    361      0 -18765</t>
  </si>
  <si>
    <t>072   -289</t>
  </si>
  <si>
    <t>0      0   -362 -18484    909</t>
  </si>
  <si>
    <t>378   -147</t>
  </si>
  <si>
    <t>-620      0 -27289   518</t>
  </si>
  <si>
    <t>0   5717  -1782  -5780    -21</t>
  </si>
  <si>
    <t>488    531</t>
  </si>
  <si>
    <t>5343   1084   -389    68</t>
  </si>
  <si>
    <t>1  -2087   1188   1589   1442</t>
  </si>
  <si>
    <t>179   1721</t>
  </si>
  <si>
    <t>1384    963  18325  -643</t>
  </si>
  <si>
    <t>0    644  -5676    -68      0</t>
  </si>
  <si>
    <t>0  -2026</t>
  </si>
  <si>
    <t>0  -1018      0</t>
  </si>
  <si>
    <t>0      0    681   -916      0</t>
  </si>
  <si>
    <t>0      0   1549    767      0</t>
  </si>
  <si>
    <t>0   -446</t>
  </si>
  <si>
    <t>516   -143   -689   -28</t>
  </si>
  <si>
    <t>1     30      0      0      0</t>
  </si>
  <si>
    <t>0      0   -258</t>
  </si>
  <si>
    <t>0      0      0  -1406  -1133</t>
  </si>
  <si>
    <t>0  -1347</t>
  </si>
  <si>
    <t>0  -1703  -1759   -611      0</t>
  </si>
  <si>
    <t>0   1101</t>
  </si>
  <si>
    <t>711      0    331   141</t>
  </si>
  <si>
    <t>6    427    987   -138    456</t>
  </si>
  <si>
    <t>0      0      0    61</t>
  </si>
  <si>
    <t>9   7488   4372 -13164  -2744</t>
  </si>
  <si>
    <t>986  18306</t>
  </si>
  <si>
    <t>7746      0   4189   633</t>
  </si>
  <si>
    <t>9  13077  -1606  -3643  -2782</t>
  </si>
  <si>
    <t>485   2704</t>
  </si>
  <si>
    <t>0      0    677   -36</t>
  </si>
  <si>
    <t>4      0   -994   4760    164</t>
  </si>
  <si>
    <t>0      0      0  -735</t>
  </si>
  <si>
    <t>5   9887      0  -6766    205</t>
  </si>
  <si>
    <t>167  -8449</t>
  </si>
  <si>
    <t>7429  -2271  -1101  -168</t>
  </si>
  <si>
    <t>4      0    454      0      0</t>
  </si>
  <si>
    <t>199     17</t>
  </si>
  <si>
    <t>0   1309      0</t>
  </si>
  <si>
    <t>0    444      0   -262    172</t>
  </si>
  <si>
    <t>-74      0</t>
  </si>
  <si>
    <t>4  16539      0   2984  -1097</t>
  </si>
  <si>
    <t>721      0</t>
  </si>
  <si>
    <t>0      0    103   -74</t>
  </si>
  <si>
    <t>5   -829  -1397   -295      0</t>
  </si>
  <si>
    <t>0    379      0    37</t>
  </si>
  <si>
    <t>3      0    914      0      0</t>
  </si>
  <si>
    <t>0      0      0   166</t>
  </si>
  <si>
    <t>1  12380      0  -7763   -288</t>
  </si>
  <si>
    <t>8   3480  -1311   -540  -1305</t>
  </si>
  <si>
    <t>518  -3089</t>
  </si>
  <si>
    <t>0      0      0    74</t>
  </si>
  <si>
    <t>1      0    651      0      0</t>
  </si>
  <si>
    <t>2  19729   5110   5598  16298</t>
  </si>
  <si>
    <t>546  12413</t>
  </si>
  <si>
    <t>4823   1765      0</t>
  </si>
  <si>
    <t>0  -5190</t>
  </si>
  <si>
    <t>7   -160      0      0   2049</t>
  </si>
  <si>
    <t>0  11797</t>
  </si>
  <si>
    <t>1204      0      0</t>
  </si>
  <si>
    <t>0      0      0   -131    293</t>
  </si>
  <si>
    <t>0      0      0    30</t>
  </si>
  <si>
    <t>0    329   7882   -35</t>
  </si>
  <si>
    <t>0   2283  -1891  -1168      0</t>
  </si>
  <si>
    <t>0   -312</t>
  </si>
  <si>
    <t>1924    360    875   160</t>
  </si>
  <si>
    <t>8  -1137      0   3489    572</t>
  </si>
  <si>
    <t>456   2092</t>
  </si>
  <si>
    <t>4398   7115   6032   -21</t>
  </si>
  <si>
    <t>9   1763   -802   -569   2083</t>
  </si>
  <si>
    <t>229    672</t>
  </si>
  <si>
    <t>2308   2460   1822    85</t>
  </si>
  <si>
    <t>4   2378   1990  19821  33485</t>
  </si>
  <si>
    <t>954    485</t>
  </si>
  <si>
    <t>4805    531      0</t>
  </si>
  <si>
    <t>0   -695      0   -435      0</t>
  </si>
  <si>
    <t>341  -1205      0</t>
  </si>
  <si>
    <t>1488    120      0</t>
  </si>
  <si>
    <t>0   -522    529    283   -235</t>
  </si>
  <si>
    <t>135     47</t>
  </si>
  <si>
    <t>2      0      0      0   -218</t>
  </si>
  <si>
    <t>0  -1954  -1137</t>
  </si>
  <si>
    <t>0   -828      0      0      0</t>
  </si>
  <si>
    <t>1829   -665      0</t>
  </si>
  <si>
    <t>0   1390    665      0    340</t>
  </si>
  <si>
    <t>492     62</t>
  </si>
  <si>
    <t>1510    -53    594    22</t>
  </si>
  <si>
    <t>552   8039</t>
  </si>
  <si>
    <t>4440  -7199     87   -88</t>
  </si>
  <si>
    <t>5  -6222  -6413      0  -1204</t>
  </si>
  <si>
    <t>783  -1862</t>
  </si>
  <si>
    <t>371    832    694   115</t>
  </si>
  <si>
    <t>2  -1150      0      0   -170</t>
  </si>
  <si>
    <t>608      0</t>
  </si>
  <si>
    <t>1105  -1102    129    51</t>
  </si>
  <si>
    <t>325  16799</t>
  </si>
  <si>
    <t>0  -9491  -2366   542</t>
  </si>
  <si>
    <t>2  13756  15169   8440   1761</t>
  </si>
  <si>
    <t>677      0</t>
  </si>
  <si>
    <t>1787      0      0   -67</t>
  </si>
  <si>
    <t>6  -1622      0     84      0</t>
  </si>
  <si>
    <t>0  -1164</t>
  </si>
  <si>
    <t>0   -671  -3262  -260</t>
  </si>
  <si>
    <t>216   7104</t>
  </si>
  <si>
    <t>0   2897   -841   170</t>
  </si>
  <si>
    <t>932    -29</t>
  </si>
  <si>
    <t>1363   -378      0   171</t>
  </si>
  <si>
    <t>8      0      0    647      0</t>
  </si>
  <si>
    <t>1181      0      0</t>
  </si>
  <si>
    <t>519  13084</t>
  </si>
  <si>
    <t>0  -8646   -337</t>
  </si>
  <si>
    <t>810   5446</t>
  </si>
  <si>
    <t>1819   -898  -1797   331</t>
  </si>
  <si>
    <t>3  -2834      0      0      0</t>
  </si>
  <si>
    <t>1630      0      0   -44</t>
  </si>
  <si>
    <t>438  21049</t>
  </si>
  <si>
    <t>6060   6639  17931  1793</t>
  </si>
  <si>
    <t>5  11021   5019   1684      0</t>
  </si>
  <si>
    <t>0  -6241   -492  -4093  -1010</t>
  </si>
  <si>
    <t>572   1053</t>
  </si>
  <si>
    <t>0      0   1853</t>
  </si>
  <si>
    <t>0  11890 -53923      0      0</t>
  </si>
  <si>
    <t>0    197    876</t>
  </si>
  <si>
    <t>7    102      0    457   -896</t>
  </si>
  <si>
    <t>117   1750</t>
  </si>
  <si>
    <t>1979  -1096      0</t>
  </si>
  <si>
    <t>0   -186   1799   1514   -270</t>
  </si>
  <si>
    <t>205  -1513</t>
  </si>
  <si>
    <t>0   3722   2145   171</t>
  </si>
  <si>
    <t>1   1882   1864      5     53</t>
  </si>
  <si>
    <t>678  -4646</t>
  </si>
  <si>
    <t>5852   7429   -402   135</t>
  </si>
  <si>
    <t>1   1903   1705   2478   2094</t>
  </si>
  <si>
    <t>843   1521</t>
  </si>
  <si>
    <t>1948  21348  36073  4181</t>
  </si>
  <si>
    <t>0  -5812    693  -2884   -466</t>
  </si>
  <si>
    <t>-557      0   1217</t>
  </si>
  <si>
    <t>0      0      0   -152     14</t>
  </si>
  <si>
    <t>0      0      0    717    -76</t>
  </si>
  <si>
    <t>-244    501   -678   -44</t>
  </si>
  <si>
    <t>3   -255     22      0      0</t>
  </si>
  <si>
    <t>0   1635</t>
  </si>
  <si>
    <t>0      0      0      0   -378</t>
  </si>
  <si>
    <t>650      0</t>
  </si>
  <si>
    <t>-629      0      0</t>
  </si>
  <si>
    <t>0      0   -990  -1584   -611</t>
  </si>
  <si>
    <t>1283    469      0    47</t>
  </si>
  <si>
    <t>4   1066    530    815   -100</t>
  </si>
  <si>
    <t>483    284</t>
  </si>
  <si>
    <t>0    825   7780   3898  -5955</t>
  </si>
  <si>
    <t>27   -725</t>
  </si>
  <si>
    <t>3285  -3426      0   -76</t>
  </si>
  <si>
    <t>8  -2783  -1979    345    487</t>
  </si>
  <si>
    <t>490   1121</t>
  </si>
  <si>
    <t>-984      0      0   -15</t>
  </si>
  <si>
    <t>9    379      0    702   -704</t>
  </si>
  <si>
    <t>138    204</t>
  </si>
  <si>
    <t>0   1214  16198      0  -5296</t>
  </si>
  <si>
    <t>117  -1574</t>
  </si>
  <si>
    <t>5288  -5003  -2453   -90</t>
  </si>
  <si>
    <t>3  -1061      0    446      0</t>
  </si>
  <si>
    <t>454      0    874</t>
  </si>
  <si>
    <t>0      0    300      0    120</t>
  </si>
  <si>
    <t>37   -357</t>
  </si>
  <si>
    <t>0    366  16230      0  -8931</t>
  </si>
  <si>
    <t>115    117</t>
  </si>
  <si>
    <t>9   1258   6247   3231    263</t>
  </si>
  <si>
    <t>0  -2434</t>
  </si>
  <si>
    <t>0      0   2509</t>
  </si>
  <si>
    <t>0   -320      0  -3842      0</t>
  </si>
  <si>
    <t>0 -12756   4013      0  -6020</t>
  </si>
  <si>
    <t>0    720   4217  -1474   -674</t>
  </si>
  <si>
    <t>503   3226</t>
  </si>
  <si>
    <t>2871      0      0</t>
  </si>
  <si>
    <t>0    235      0    434      0</t>
  </si>
  <si>
    <t>0   -595</t>
  </si>
  <si>
    <t>0    842  20226   5263   8477</t>
  </si>
  <si>
    <t>981  20049</t>
  </si>
  <si>
    <t>2760   5291   3475</t>
  </si>
  <si>
    <t>4564   -740  -1961  -249</t>
  </si>
  <si>
    <t>8  -2123     99      0      0</t>
  </si>
  <si>
    <t>761      0</t>
  </si>
  <si>
    <t>9454 -47056      0</t>
  </si>
  <si>
    <t>0      0      0      0    -15</t>
  </si>
  <si>
    <t>0   -125      0      0      0</t>
  </si>
  <si>
    <t>0    163</t>
  </si>
  <si>
    <t>-78      0    -56    -2</t>
  </si>
  <si>
    <t>5    819   4154  -1808   -806</t>
  </si>
  <si>
    <t>-130   1469   1394   110</t>
  </si>
  <si>
    <t>6   -911   -819      0   3105</t>
  </si>
  <si>
    <t>836   2470</t>
  </si>
  <si>
    <t>1682   1382    508   249</t>
  </si>
  <si>
    <t>2    934   1381   1699     96</t>
  </si>
  <si>
    <t>364  -8238</t>
  </si>
  <si>
    <t>7003   6936  -2556   132</t>
  </si>
  <si>
    <t>0   2439   2236   1684  17663</t>
  </si>
  <si>
    <t>288  36132</t>
  </si>
  <si>
    <t>8190  -7290   1007  -327</t>
  </si>
  <si>
    <t>7   -177      0      0    -65</t>
  </si>
  <si>
    <t>7   -908      0      0      0</t>
  </si>
  <si>
    <t>0      0      0    95</t>
  </si>
  <si>
    <t>4  -1917      0      0      7</t>
  </si>
  <si>
    <t>254   -296</t>
  </si>
  <si>
    <t>0      0      0   1471      0</t>
  </si>
  <si>
    <t>-331      0      0</t>
  </si>
  <si>
    <t>0      0      0   -134      0</t>
  </si>
  <si>
    <t>0    190  -1106      0  -1000</t>
  </si>
  <si>
    <t>0      0  -2408  -183</t>
  </si>
  <si>
    <t>1   -780      0      0   1547</t>
  </si>
  <si>
    <t>459   1403    600    78</t>
  </si>
  <si>
    <t>6   -350    402    264      0</t>
  </si>
  <si>
    <t>0    661   8944   438</t>
  </si>
  <si>
    <t>4  -7405   -176    143  -4553</t>
  </si>
  <si>
    <t>686      0</t>
  </si>
  <si>
    <t>-928  -4031  -3694    73</t>
  </si>
  <si>
    <t>8    655    494   2219  -1393</t>
  </si>
  <si>
    <t>-272    378      0    51</t>
  </si>
  <si>
    <t>9  -1178   -310    181      0</t>
  </si>
  <si>
    <t>0    619  19826</t>
  </si>
  <si>
    <t>0  -7237    679   -895  -6841</t>
  </si>
  <si>
    <t>673  -2935</t>
  </si>
  <si>
    <t>1053  -1690      0    69</t>
  </si>
  <si>
    <t>3      0      0    905    530</t>
  </si>
  <si>
    <t>0   1250</t>
  </si>
  <si>
    <t>0      0    571</t>
  </si>
  <si>
    <t>0    100    144   -236      0</t>
  </si>
  <si>
    <t>0    372  20386</t>
  </si>
  <si>
    <t>0   6157   -209   1956      0</t>
  </si>
  <si>
    <t>288   -813  -1237  -153</t>
  </si>
  <si>
    <t>9   -483      0   3034      0</t>
  </si>
  <si>
    <t>0    275      0    80</t>
  </si>
  <si>
    <t>0   1920  15199</t>
  </si>
  <si>
    <t>0 -10352   3025      0      0</t>
  </si>
  <si>
    <t>0  -1285   7042   137</t>
  </si>
  <si>
    <t>4    888    568   6436  -2046</t>
  </si>
  <si>
    <t>0   -561      0  -107</t>
  </si>
  <si>
    <t>5      0      0    105      0</t>
  </si>
  <si>
    <t>0  -6197  18287 -2189</t>
  </si>
  <si>
    <t>0   1351  20084  19910  10833</t>
  </si>
  <si>
    <t>879    519</t>
  </si>
  <si>
    <t>0      0      0      0  -4974</t>
  </si>
  <si>
    <t>443  -2381</t>
  </si>
  <si>
    <t>2896  -2298    529</t>
  </si>
  <si>
    <t>0      0   3020      0  14675</t>
  </si>
  <si>
    <t>0   -518   -587      0      0</t>
  </si>
  <si>
    <t>0   -632      0</t>
  </si>
  <si>
    <t>0      0      0   -346   -739</t>
  </si>
  <si>
    <t>0   1093</t>
  </si>
  <si>
    <t>1134  -1236    535   145</t>
  </si>
  <si>
    <t>0   -278      0      0    828</t>
  </si>
  <si>
    <t>932   4862</t>
  </si>
  <si>
    <t>2944   2562  -3409</t>
  </si>
  <si>
    <t>0   5250   4542   4037   3183</t>
  </si>
  <si>
    <t>996   2737</t>
  </si>
  <si>
    <t>4412   2862   3151   493</t>
  </si>
  <si>
    <t>7   1605   3339   2084   4035</t>
  </si>
  <si>
    <t>010   3898</t>
  </si>
  <si>
    <t>3130   8074   6640    68</t>
  </si>
  <si>
    <t>8  24066  37947  46250  48211</t>
  </si>
  <si>
    <t>532  -2256</t>
  </si>
  <si>
    <t>718    632   1664</t>
  </si>
  <si>
    <t>0      0    509      0    950</t>
  </si>
  <si>
    <t>0  -1325  -1908</t>
  </si>
  <si>
    <t>0    239    323</t>
  </si>
  <si>
    <t>0      0  -5496    194   4206</t>
  </si>
  <si>
    <t>906   3707</t>
  </si>
  <si>
    <t>-409      0      0</t>
  </si>
  <si>
    <t>0    -42      0      0      0</t>
  </si>
  <si>
    <t>0   -116      0      0      0</t>
  </si>
  <si>
    <t>0      0   5046   648</t>
  </si>
  <si>
    <t>5      0   6578      0      0</t>
  </si>
  <si>
    <t>6429   2431   2140</t>
  </si>
  <si>
    <t>0      0  -1762    809      0</t>
  </si>
  <si>
    <t>065   3841</t>
  </si>
  <si>
    <t>681   1278  -2468   148</t>
  </si>
  <si>
    <t>5   4358      0      0      0</t>
  </si>
  <si>
    <t>3618   1577  -1710    -9</t>
  </si>
  <si>
    <t>7   -211   -858   -341      0</t>
  </si>
  <si>
    <t>962   9985</t>
  </si>
  <si>
    <t>1271   -451   -416   -37</t>
  </si>
  <si>
    <t>4   1265    468      0      0</t>
  </si>
  <si>
    <t>921   -760</t>
  </si>
  <si>
    <t>0   -113   1483     3</t>
  </si>
  <si>
    <t>8   -148      0      0      0</t>
  </si>
  <si>
    <t>0   -795</t>
  </si>
  <si>
    <t>5122      0  -1836   -65</t>
  </si>
  <si>
    <t>6    127   -197     14   3105</t>
  </si>
  <si>
    <t>251  10843</t>
  </si>
  <si>
    <t>0    303      0</t>
  </si>
  <si>
    <t>0   1463     13      0    193</t>
  </si>
  <si>
    <t>-1      0    796   -27</t>
  </si>
  <si>
    <t>5    121      0      0      0</t>
  </si>
  <si>
    <t>4748      0   2218   -11</t>
  </si>
  <si>
    <t>0    295      0      0      0</t>
  </si>
  <si>
    <t>824   7662</t>
  </si>
  <si>
    <t>0   1427      0      0     14</t>
  </si>
  <si>
    <t>0   -531</t>
  </si>
  <si>
    <t>4505      0   -378    67</t>
  </si>
  <si>
    <t>0  13516</t>
  </si>
  <si>
    <t>2357  -1173   -757   -66</t>
  </si>
  <si>
    <t>3   2092   -425      0      0</t>
  </si>
  <si>
    <t>0   -658</t>
  </si>
  <si>
    <t>0   -582      0      0      0</t>
  </si>
  <si>
    <t>0   -530</t>
  </si>
  <si>
    <t>6145  -1948  -1888   -24</t>
  </si>
  <si>
    <t>5  -2337 -15122 -13408 -26704</t>
  </si>
  <si>
    <t>0      0    334    147  -1531</t>
  </si>
  <si>
    <t>116   -777</t>
  </si>
  <si>
    <t>4115      0      0   -66</t>
  </si>
  <si>
    <t>7      0   6078 -19278      0</t>
  </si>
  <si>
    <t>0      0  -1818  -856</t>
  </si>
  <si>
    <t>0   -116    -45      0 -12608</t>
  </si>
  <si>
    <t>135   2104</t>
  </si>
  <si>
    <t>798  -1124      9</t>
  </si>
  <si>
    <t>0      0   2248 -17340  -1125</t>
  </si>
  <si>
    <t>233    911</t>
  </si>
  <si>
    <t>3926      0 -10380   427</t>
  </si>
  <si>
    <t>7   6827   1803  -3456   1560</t>
  </si>
  <si>
    <t>361    649</t>
  </si>
  <si>
    <t>3856   1296   2679    93</t>
  </si>
  <si>
    <t>6  -2070   1146   1368   1560</t>
  </si>
  <si>
    <t>476   1482</t>
  </si>
  <si>
    <t>1070    902  14602  2976</t>
  </si>
  <si>
    <t>7  15803  17275  13469  18665</t>
  </si>
  <si>
    <t>064    575</t>
  </si>
  <si>
    <t>253   1656      0</t>
  </si>
  <si>
    <t>0   -202      0     51      0</t>
  </si>
  <si>
    <t>-69   -346      0</t>
  </si>
  <si>
    <t>940    714      0</t>
  </si>
  <si>
    <t>0  -9313     24   5673   1618</t>
  </si>
  <si>
    <t>954     75</t>
  </si>
  <si>
    <t>2      0      0      0     53</t>
  </si>
  <si>
    <t>0      0      0   -67</t>
  </si>
  <si>
    <t>0   -204    786</t>
  </si>
  <si>
    <t>0  -3097      0      0      0</t>
  </si>
  <si>
    <t>0  -6647</t>
  </si>
  <si>
    <t>1458   -617      0</t>
  </si>
  <si>
    <t>0    668   -311      0  -1000</t>
  </si>
  <si>
    <t>182   -258</t>
  </si>
  <si>
    <t>-482    176   -783  -149</t>
  </si>
  <si>
    <t>163   7806</t>
  </si>
  <si>
    <t>2168  -5769    121   176</t>
  </si>
  <si>
    <t>6   5709   3810      0  -7687</t>
  </si>
  <si>
    <t>593  -3563</t>
  </si>
  <si>
    <t>2348   3144   1619    62</t>
  </si>
  <si>
    <t>0  -4347      0      0    930</t>
  </si>
  <si>
    <t>484      0</t>
  </si>
  <si>
    <t>-157  -8133  -3071   159</t>
  </si>
  <si>
    <t>598   6612</t>
  </si>
  <si>
    <t>0  -2967   -829    -8</t>
  </si>
  <si>
    <t>1  -2923   -566   5316   2652</t>
  </si>
  <si>
    <t>376      0</t>
  </si>
  <si>
    <t>194      0      0   -46</t>
  </si>
  <si>
    <t>7    480      0   -199      0</t>
  </si>
  <si>
    <t>0   2783    354   -68</t>
  </si>
  <si>
    <t>-26  10147</t>
  </si>
  <si>
    <t>0   4449   -472    32</t>
  </si>
  <si>
    <t>1      0      0      0   1245</t>
  </si>
  <si>
    <t>402  -1240</t>
  </si>
  <si>
    <t>1015   -900      0    -9</t>
  </si>
  <si>
    <t>9      0      0     80      0</t>
  </si>
  <si>
    <t>897   9169</t>
  </si>
  <si>
    <t>0  -1499   1195</t>
  </si>
  <si>
    <t>547  -2494</t>
  </si>
  <si>
    <t>2272  -1744  -1342    49</t>
  </si>
  <si>
    <t>0    516      0      0      0</t>
  </si>
  <si>
    <t>312      0</t>
  </si>
  <si>
    <t>63      0      0   -99</t>
  </si>
  <si>
    <t>607  12995</t>
  </si>
  <si>
    <t>2651  -4268  -1304  -534</t>
  </si>
  <si>
    <t>6 -22973 -15506 -30137      0</t>
  </si>
  <si>
    <t>0    454   1699    409    552</t>
  </si>
  <si>
    <t>434  -6687</t>
  </si>
  <si>
    <t>0      0   -468</t>
  </si>
  <si>
    <t>0   5556 -29836      0      0</t>
  </si>
  <si>
    <t>0    733  -1950</t>
  </si>
  <si>
    <t>0    -25      0   1592   1560</t>
  </si>
  <si>
    <t>280   2581</t>
  </si>
  <si>
    <t>-45   -486      0</t>
  </si>
  <si>
    <t>0   2369   2397   8114  -1226</t>
  </si>
  <si>
    <t>999  -4420</t>
  </si>
  <si>
    <t>0    -29   1532   309</t>
  </si>
  <si>
    <t>0   2260   -940   2766   8084</t>
  </si>
  <si>
    <t>600   1634</t>
  </si>
  <si>
    <t>742   3450   3042   104</t>
  </si>
  <si>
    <t>7   1274   2946   2360   1622</t>
  </si>
  <si>
    <t>260   3001</t>
  </si>
  <si>
    <t>2877  18871  19090  3277</t>
  </si>
  <si>
    <t>2  24455  19710  27646  24869</t>
  </si>
  <si>
    <t>901    314</t>
  </si>
  <si>
    <t>197   1357      0</t>
  </si>
  <si>
    <t>0     59      0    158      0</t>
  </si>
  <si>
    <t>-279   -578      0</t>
  </si>
  <si>
    <t>1210    738      0</t>
  </si>
  <si>
    <t>0 -10099   -362   5346   3746</t>
  </si>
  <si>
    <t>736    246</t>
  </si>
  <si>
    <t>0      0      0    71</t>
  </si>
  <si>
    <t>1      0      0      0   -102</t>
  </si>
  <si>
    <t>0      0      0   -87</t>
  </si>
  <si>
    <t>0   -361    324</t>
  </si>
  <si>
    <t>0  -2295      0      0      0</t>
  </si>
  <si>
    <t>0  -5932</t>
  </si>
  <si>
    <t>1490   -498      0</t>
  </si>
  <si>
    <t>0   1315   -506      0   -770</t>
  </si>
  <si>
    <t>828   -119</t>
  </si>
  <si>
    <t>-185    570   -297   -97</t>
  </si>
  <si>
    <t>663   7930</t>
  </si>
  <si>
    <t>1729  -3763   -238  -100</t>
  </si>
  <si>
    <t>3  -2984  -1704      0   1853</t>
  </si>
  <si>
    <t>406  -2316</t>
  </si>
  <si>
    <t>1052  -1036   -944   -67</t>
  </si>
  <si>
    <t>4   1219      0      0   -485</t>
  </si>
  <si>
    <t>-104   4120    862   -37</t>
  </si>
  <si>
    <t>201  12047</t>
  </si>
  <si>
    <t>0 -10068    294    17</t>
  </si>
  <si>
    <t>3   3253   1501  -8542  -5757</t>
  </si>
  <si>
    <t>986      0</t>
  </si>
  <si>
    <t>1016      0      0  -111</t>
  </si>
  <si>
    <t>0  -1477      0    857      0</t>
  </si>
  <si>
    <t>0    423</t>
  </si>
  <si>
    <t>0  -4534  -1691   162</t>
  </si>
  <si>
    <t>687  13025</t>
  </si>
  <si>
    <t>0   4256   -407    26</t>
  </si>
  <si>
    <t>8      0      0      0    299</t>
  </si>
  <si>
    <t>681  -1486</t>
  </si>
  <si>
    <t>-935   -686      0   -20</t>
  </si>
  <si>
    <t>2      0      0    102      0</t>
  </si>
  <si>
    <t>-86      0      0</t>
  </si>
  <si>
    <t>798  10073</t>
  </si>
  <si>
    <t>0  -2912    986</t>
  </si>
  <si>
    <t>417  -1783</t>
  </si>
  <si>
    <t>2499  -1746  -1575    42</t>
  </si>
  <si>
    <t>7   1103      0      0      0</t>
  </si>
  <si>
    <t>95      0      0  -109</t>
  </si>
  <si>
    <t>674  15069</t>
  </si>
  <si>
    <t>2527  -3267    218  -378</t>
  </si>
  <si>
    <t>9 -20673  -9734 -24022      0</t>
  </si>
  <si>
    <t>0   -174   1868    397    549</t>
  </si>
  <si>
    <t>451  -6354</t>
  </si>
  <si>
    <t>0      0   -360</t>
  </si>
  <si>
    <t>0   3818 -30062      0      0</t>
  </si>
  <si>
    <t>0    173  -2141</t>
  </si>
  <si>
    <t>4     45      0   1528   1896</t>
  </si>
  <si>
    <t>219   1989</t>
  </si>
  <si>
    <t>323   -763      0</t>
  </si>
  <si>
    <t>0   2382   2322   -587   8811</t>
  </si>
  <si>
    <t>832  -3975</t>
  </si>
  <si>
    <t>0    430   2969   167</t>
  </si>
  <si>
    <t>8   2197   1456   1524   1247</t>
  </si>
  <si>
    <t>387   -469</t>
  </si>
  <si>
    <t>5986   2110   1002    95</t>
  </si>
  <si>
    <t>4   2435   1787   2025   1497</t>
  </si>
  <si>
    <t>099   1957</t>
  </si>
  <si>
    <t>2769  18755  19496  2292</t>
  </si>
  <si>
    <t>8  33191  20238  28019  22492</t>
  </si>
  <si>
    <t>167   -943</t>
  </si>
  <si>
    <t>-50    641   1843</t>
  </si>
  <si>
    <t>0      0    -85      0    137</t>
  </si>
  <si>
    <t>0   -298   -188</t>
  </si>
  <si>
    <t>0    565     66</t>
  </si>
  <si>
    <t>0      0  -8197   -215   4264</t>
  </si>
  <si>
    <t>036   4567</t>
  </si>
  <si>
    <t>0    523      0      0      0</t>
  </si>
  <si>
    <t>0    138      0      0      0</t>
  </si>
  <si>
    <t>0      0   1238     1</t>
  </si>
  <si>
    <t>6      0  -1654      0      0</t>
  </si>
  <si>
    <t>4110  -1210   -588</t>
  </si>
  <si>
    <t>0      0   1570   -604      0</t>
  </si>
  <si>
    <t>591   -358</t>
  </si>
  <si>
    <t>15     65   1596     2</t>
  </si>
  <si>
    <t>4   -460      0      0      0</t>
  </si>
  <si>
    <t>0   -473</t>
  </si>
  <si>
    <t>5657  -1607  -1606   -54</t>
  </si>
  <si>
    <t>7   -628  -1443   -857      0</t>
  </si>
  <si>
    <t>422   1998</t>
  </si>
  <si>
    <t>1692   -802  -1053   -69</t>
  </si>
  <si>
    <t>0   -500    927      0      0</t>
  </si>
  <si>
    <t>429    105</t>
  </si>
  <si>
    <t>0    -35   3855    51</t>
  </si>
  <si>
    <t>2      1      0      0      0</t>
  </si>
  <si>
    <t>0  -1268</t>
  </si>
  <si>
    <t>9383      0  -1591  -117</t>
  </si>
  <si>
    <t>6    169   -894    231   5222</t>
  </si>
  <si>
    <t>022   3580</t>
  </si>
  <si>
    <t>0    459      0</t>
  </si>
  <si>
    <t>0   -342   -140      0    -61</t>
  </si>
  <si>
    <t>-180      0   2308   -10</t>
  </si>
  <si>
    <t>4   -267      0      0      0</t>
  </si>
  <si>
    <t>0     75</t>
  </si>
  <si>
    <t>8940      0  -2142   -84</t>
  </si>
  <si>
    <t>4    992      0      0      0</t>
  </si>
  <si>
    <t>348 -15178</t>
  </si>
  <si>
    <t>1859   2070   3349</t>
  </si>
  <si>
    <t>0   3651      0      0   -837</t>
  </si>
  <si>
    <t>0    280</t>
  </si>
  <si>
    <t>0     71      0</t>
  </si>
  <si>
    <t>0   3292</t>
  </si>
  <si>
    <t>3077      0   -565    84</t>
  </si>
  <si>
    <t>0   3354</t>
  </si>
  <si>
    <t>2256  -2278  -1764  -135</t>
  </si>
  <si>
    <t>7    380   1391      0      0</t>
  </si>
  <si>
    <t>0   -863      0      0      0</t>
  </si>
  <si>
    <t>0  -1097</t>
  </si>
  <si>
    <t>2589  -2734  -3136    40</t>
  </si>
  <si>
    <t>1  -3358 -23133 -10592 -18558</t>
  </si>
  <si>
    <t>0      0    354   1519    384</t>
  </si>
  <si>
    <t>460   -391</t>
  </si>
  <si>
    <t>0745      0      0   -51</t>
  </si>
  <si>
    <t>1      0   3485 -21987      0</t>
  </si>
  <si>
    <t>0      0   1854   226</t>
  </si>
  <si>
    <t>0     33    314      0   1543</t>
  </si>
  <si>
    <t>093   3160</t>
  </si>
  <si>
    <t>316   -190   -498</t>
  </si>
  <si>
    <t>0      0   1531   1023    183</t>
  </si>
  <si>
    <t>97   5286</t>
  </si>
  <si>
    <t>3544      0    596   257</t>
  </si>
  <si>
    <t>6   2821   1790   1122   1494</t>
  </si>
  <si>
    <t>030   1810</t>
  </si>
  <si>
    <t>1181   2695   3058   187</t>
  </si>
  <si>
    <t>9  -1532   6604   8210   -330</t>
  </si>
  <si>
    <t>034   2765</t>
  </si>
  <si>
    <t>2561   2404  15545  1444</t>
  </si>
  <si>
    <t>8  16914  18451  32371  20484</t>
  </si>
  <si>
    <t>169  26790</t>
  </si>
  <si>
    <t>5611   -370   -491    36</t>
  </si>
  <si>
    <t>9   2062      0      0    227</t>
  </si>
  <si>
    <t>6   -516      0      0      0</t>
  </si>
  <si>
    <t>0      0      0   129</t>
  </si>
  <si>
    <t>9    559      0      0  -9846</t>
  </si>
  <si>
    <t>531   5667</t>
  </si>
  <si>
    <t>3170   3348     32</t>
  </si>
  <si>
    <t>0      0      0  -1415      0</t>
  </si>
  <si>
    <t>23      0      0</t>
  </si>
  <si>
    <t>0      0      0    295      0</t>
  </si>
  <si>
    <t>0    757   -504      0  -3197</t>
  </si>
  <si>
    <t>0      0  -7804  -162</t>
  </si>
  <si>
    <t>5   -642      0      0   1230</t>
  </si>
  <si>
    <t>493      0</t>
  </si>
  <si>
    <t>1110  -1263   -214   -47</t>
  </si>
  <si>
    <t>7    630   -897  -1413      0</t>
  </si>
  <si>
    <t>0   -993   9513  -246</t>
  </si>
  <si>
    <t>2  -3508  -1982   -815  -2052</t>
  </si>
  <si>
    <t>4937   6779  -2396   -99</t>
  </si>
  <si>
    <t>1  -1348  -1130   -952   1500</t>
  </si>
  <si>
    <t>-585     70      0     -</t>
  </si>
  <si>
    <t>7   4579    640    -26      0</t>
  </si>
  <si>
    <t>0  -1361  14036</t>
  </si>
  <si>
    <t>0  -3332  -2122    152  -1430</t>
  </si>
  <si>
    <t>141   6429</t>
  </si>
  <si>
    <t>3499   9505      0    52</t>
  </si>
  <si>
    <t>7      0      0  -1270    720</t>
  </si>
  <si>
    <t>0      0   -201</t>
  </si>
  <si>
    <t>0   2748   -157   -531      0</t>
  </si>
  <si>
    <t>0     16  13445</t>
  </si>
  <si>
    <t>0   7122  -1366    375      0</t>
  </si>
  <si>
    <t>2410   2932  -1613  -134</t>
  </si>
  <si>
    <t>1  -1031      0   -414      0</t>
  </si>
  <si>
    <t>0   -110      0   -25</t>
  </si>
  <si>
    <t>0   -859  11928</t>
  </si>
  <si>
    <t>0  -7396   -141      0      0</t>
  </si>
  <si>
    <t>0 -12124  -5066   312</t>
  </si>
  <si>
    <t>5   4776   1676   3851  -9097</t>
  </si>
  <si>
    <t>0   -519      0  -135</t>
  </si>
  <si>
    <t>4      0      0   2539      0</t>
  </si>
  <si>
    <t>0   -208  14581   -93</t>
  </si>
  <si>
    <t>7  -3994   1881  -4098 -27976</t>
  </si>
  <si>
    <t>744 -33827</t>
  </si>
  <si>
    <t>0      0      0      0    921</t>
  </si>
  <si>
    <t>265    721</t>
  </si>
  <si>
    <t>573    202 -12885</t>
  </si>
  <si>
    <t>0      0    406      0   7141</t>
  </si>
  <si>
    <t>704      0</t>
  </si>
  <si>
    <t>0  -2114   -504      0      0</t>
  </si>
  <si>
    <t>0      0      0     22    573</t>
  </si>
  <si>
    <t>0   2244</t>
  </si>
  <si>
    <t>3593   3666   2310   -61</t>
  </si>
  <si>
    <t>1  -1094      0      0   1283</t>
  </si>
  <si>
    <t>668  -1249</t>
  </si>
  <si>
    <t>3767    260    163</t>
  </si>
  <si>
    <t>0    188   3755   2980   2294</t>
  </si>
  <si>
    <t>719   2505</t>
  </si>
  <si>
    <t>3389   2464   1811   411</t>
  </si>
  <si>
    <t>9   3384   2971   1003   3180</t>
  </si>
  <si>
    <t>964   2189</t>
  </si>
  <si>
    <t>-742   6933   6927   125</t>
  </si>
  <si>
    <t>7  22482  22878  27692  29818</t>
  </si>
  <si>
    <t>855  44048</t>
  </si>
  <si>
    <t>8306  40919  37580  3293</t>
  </si>
  <si>
    <t>4  -1723   -582   -402     17</t>
  </si>
  <si>
    <t>-247      0    793</t>
  </si>
  <si>
    <t>0      0      0   -283    356</t>
  </si>
  <si>
    <t>0      0      0    833    388</t>
  </si>
  <si>
    <t>-473   -829     59   -33</t>
  </si>
  <si>
    <t>5   -536   -166      0      0</t>
  </si>
  <si>
    <t>0   1418</t>
  </si>
  <si>
    <t>0      0      0      0 -17180</t>
  </si>
  <si>
    <t>3118      0      0</t>
  </si>
  <si>
    <t>0      0   2136  -1494  -1323</t>
  </si>
  <si>
    <t>1771   -242      0   208</t>
  </si>
  <si>
    <t>0   2543    570   1060   1495</t>
  </si>
  <si>
    <t>942   -999</t>
  </si>
  <si>
    <t>0    217  -1797   1581 -12878</t>
  </si>
  <si>
    <t>795     22</t>
  </si>
  <si>
    <t>3016    386      0    32</t>
  </si>
  <si>
    <t>7    342    135   1194    810</t>
  </si>
  <si>
    <t>273  -1656</t>
  </si>
  <si>
    <t>698      0      0  -327</t>
  </si>
  <si>
    <t>2  -6115      0  -2476   1230</t>
  </si>
  <si>
    <t>329   1651</t>
  </si>
  <si>
    <t>0   -244  -4015      0 -10595</t>
  </si>
  <si>
    <t>516    467</t>
  </si>
  <si>
    <t>1067   1507   -139    -8</t>
  </si>
  <si>
    <t>8   -652      0     84      0</t>
  </si>
  <si>
    <t>0  -1338</t>
  </si>
  <si>
    <t>-602      0   -782</t>
  </si>
  <si>
    <t>0      0    -32      0   -758</t>
  </si>
  <si>
    <t>259   -726</t>
  </si>
  <si>
    <t>0   -292  -2968      0 -10963</t>
  </si>
  <si>
    <t>225    876</t>
  </si>
  <si>
    <t>5    327    359   -703   -176</t>
  </si>
  <si>
    <t>0      0   -399</t>
  </si>
  <si>
    <t>0   1491      0    295      0</t>
  </si>
  <si>
    <t>0    558   -184      0 -12773</t>
  </si>
  <si>
    <t>0   -227   -425    205    547</t>
  </si>
  <si>
    <t>605  -2605</t>
  </si>
  <si>
    <t>0   4233      0   1433      0</t>
  </si>
  <si>
    <t>0    453</t>
  </si>
  <si>
    <t>0    291  -2200     79    -80</t>
  </si>
  <si>
    <t>157  -2540</t>
  </si>
  <si>
    <t>818    294  -1437</t>
  </si>
  <si>
    <t>245  -3244  -8569  -127</t>
  </si>
  <si>
    <t>6  -3019   1188      0      0</t>
  </si>
  <si>
    <t>729      0</t>
  </si>
  <si>
    <t>4471 -19733      0</t>
  </si>
  <si>
    <t>0    -58      0      0      0</t>
  </si>
  <si>
    <t>238      0  -4744  -171</t>
  </si>
  <si>
    <t>0  -1193   -139    961   -883</t>
  </si>
  <si>
    <t>259  -2867  -2413   -91</t>
  </si>
  <si>
    <t>4   -195    691      0   1949</t>
  </si>
  <si>
    <t>011    184</t>
  </si>
  <si>
    <t>2626 -14531  -2790   -98</t>
  </si>
  <si>
    <t>3    497    158  -1269   -936</t>
  </si>
  <si>
    <t>385   -522</t>
  </si>
  <si>
    <t>-883    381    314     1</t>
  </si>
  <si>
    <t>1   -499   -499   -189   8144</t>
  </si>
  <si>
    <t>579  24112</t>
  </si>
  <si>
    <t>6941  10174  15573  1613</t>
  </si>
  <si>
    <t>1  16655  10383   5627  11217</t>
  </si>
  <si>
    <t>915   -518</t>
  </si>
  <si>
    <t>-481    -13      0</t>
  </si>
  <si>
    <t>0   -194      0    781      0</t>
  </si>
  <si>
    <t>91   1200      0</t>
  </si>
  <si>
    <t>864    316      0</t>
  </si>
  <si>
    <t>0   -367   -721     24   -363</t>
  </si>
  <si>
    <t>777   -167</t>
  </si>
  <si>
    <t>0      0      0   142</t>
  </si>
  <si>
    <t>3      0      0      0     93</t>
  </si>
  <si>
    <t>0 -16682   1485</t>
  </si>
  <si>
    <t>0  -1493      0      0      0</t>
  </si>
  <si>
    <t>0   2787</t>
  </si>
  <si>
    <t>1399    -84      0</t>
  </si>
  <si>
    <t>0  -2106   -363      0   1626</t>
  </si>
  <si>
    <t>769   1049</t>
  </si>
  <si>
    <t>228   1518    127  -101</t>
  </si>
  <si>
    <t>224  -1897</t>
  </si>
  <si>
    <t>622  -9477    751    15</t>
  </si>
  <si>
    <t>9  -1066    966      0   -130</t>
  </si>
  <si>
    <t>113    573</t>
  </si>
  <si>
    <t>88    127   -120  -148</t>
  </si>
  <si>
    <t>1   -294      0      0    860</t>
  </si>
  <si>
    <t>587      0</t>
  </si>
  <si>
    <t>982   -692    -57   -40</t>
  </si>
  <si>
    <t>0 -14360     58   -68</t>
  </si>
  <si>
    <t>0   3185   -624    260    403</t>
  </si>
  <si>
    <t>586      0</t>
  </si>
  <si>
    <t>1323      0      0  -195</t>
  </si>
  <si>
    <t>5    923      0   2255      0</t>
  </si>
  <si>
    <t>0   1227    499   288</t>
  </si>
  <si>
    <t>37  -3909</t>
  </si>
  <si>
    <t>0 -10875    -51    86</t>
  </si>
  <si>
    <t>4      0      0      0     19</t>
  </si>
  <si>
    <t>182    305</t>
  </si>
  <si>
    <t>-680   -110      0   -65</t>
  </si>
  <si>
    <t>5      0      0   -381      0</t>
  </si>
  <si>
    <t>434      0      0</t>
  </si>
  <si>
    <t>584   -180</t>
  </si>
  <si>
    <t>0 -12746    -67</t>
  </si>
  <si>
    <t>321   -282</t>
  </si>
  <si>
    <t>134    498    517  -263</t>
  </si>
  <si>
    <t>2001      0      0    42</t>
  </si>
  <si>
    <t>295  -1989</t>
  </si>
  <si>
    <t>230    354   2242  -202</t>
  </si>
  <si>
    <t>8   1121    829   -454      0</t>
  </si>
  <si>
    <t>0   -931  -4956 -11744  -1088</t>
  </si>
  <si>
    <t>666   1450</t>
  </si>
  <si>
    <t>0      0  -2677</t>
  </si>
  <si>
    <t>0   4010 -19463      0      0</t>
  </si>
  <si>
    <t>0     63    462</t>
  </si>
  <si>
    <t>8    231      0  -3789  -1854</t>
  </si>
  <si>
    <t>032   -414</t>
  </si>
  <si>
    <t>1016   -912      0</t>
  </si>
  <si>
    <t>0    235  -2996  -1561  -1380</t>
  </si>
  <si>
    <t>339    618</t>
  </si>
  <si>
    <t>0   1692  -2164  -106</t>
  </si>
  <si>
    <t>0   1753    119   -779   -682</t>
  </si>
  <si>
    <t>227 -13467</t>
  </si>
  <si>
    <t>2416   -270    385   -29</t>
  </si>
  <si>
    <t>5   -382    174    224    511</t>
  </si>
  <si>
    <t>-315   8167  24181  1577</t>
  </si>
  <si>
    <t>1  25499  10385  15626  16349</t>
  </si>
  <si>
    <t>785  14899</t>
  </si>
  <si>
    <t>5480  10707  34535  -123</t>
  </si>
  <si>
    <t>2   -399   -308   -144      0</t>
  </si>
  <si>
    <t>0   -191</t>
  </si>
  <si>
    <t>0      0    145     55      0</t>
  </si>
  <si>
    <t>0      0    595    209      0</t>
  </si>
  <si>
    <t>0   -237</t>
  </si>
  <si>
    <t>5   -110      0      0      0</t>
  </si>
  <si>
    <t>0      0    119</t>
  </si>
  <si>
    <t>0      0      0  -9899    829</t>
  </si>
  <si>
    <t>0  -1115</t>
  </si>
  <si>
    <t>0   3522    957    -75      0</t>
  </si>
  <si>
    <t>0   -866</t>
  </si>
  <si>
    <t>-392      0    871   254</t>
  </si>
  <si>
    <t>8    444    893    -68   -441</t>
  </si>
  <si>
    <t>0      0      0   -46</t>
  </si>
  <si>
    <t>8  -3794   -701  -6863    272</t>
  </si>
  <si>
    <t>215      0    -17   -24</t>
  </si>
  <si>
    <t>7    493     78     10    -58</t>
  </si>
  <si>
    <t>884    -54</t>
  </si>
  <si>
    <t>0      0    657   122</t>
  </si>
  <si>
    <t>7      0    646   -284     50</t>
  </si>
  <si>
    <t>2  -2180      0  -7543    139</t>
  </si>
  <si>
    <t>86   -662</t>
  </si>
  <si>
    <t>505   -288   -117   -81</t>
  </si>
  <si>
    <t>8      0     64      0      0</t>
  </si>
  <si>
    <t>768   -248</t>
  </si>
  <si>
    <t>0   -410      0</t>
  </si>
  <si>
    <t>0    103      0   -354    -21</t>
  </si>
  <si>
    <t>8  -2094      0 -17204    150</t>
  </si>
  <si>
    <t>0      0     -1   -47</t>
  </si>
  <si>
    <t>5  -1278    670   1107      0</t>
  </si>
  <si>
    <t>0   1180      0  -881</t>
  </si>
  <si>
    <t>5      0  -3254      0      0</t>
  </si>
  <si>
    <t>8    280      0  -9491   -179</t>
  </si>
  <si>
    <t>0      0      0   -57</t>
  </si>
  <si>
    <t>5    -30     43    294    388</t>
  </si>
  <si>
    <t>599     41</t>
  </si>
  <si>
    <t>0      0      0   222</t>
  </si>
  <si>
    <t>8      0   1050      0      0</t>
  </si>
  <si>
    <t>0      0      0    23</t>
  </si>
  <si>
    <t>7  -1239    401    588   2553</t>
  </si>
  <si>
    <t>651   1179</t>
  </si>
  <si>
    <t>738    740      0</t>
  </si>
  <si>
    <t>0     45</t>
  </si>
  <si>
    <t>3734  -4355  -1066  -211</t>
  </si>
  <si>
    <t>8   1160      0      0  -2188</t>
  </si>
  <si>
    <t>0   2165</t>
  </si>
  <si>
    <t>3723      0      0</t>
  </si>
  <si>
    <t>0      0      0     39    594</t>
  </si>
  <si>
    <t>66    125</t>
  </si>
  <si>
    <t>0  -1576  -1002   -57</t>
  </si>
  <si>
    <t>8   -487    684   -591      0</t>
  </si>
  <si>
    <t>2005   -933   -351   -78</t>
  </si>
  <si>
    <t>9    556      0    257   -627</t>
  </si>
  <si>
    <t>297    504</t>
  </si>
  <si>
    <t>-8   -361    109   -11</t>
  </si>
  <si>
    <t>8    124   -197   -421    -94</t>
  </si>
  <si>
    <t>377  -2430</t>
  </si>
  <si>
    <t>-450   -786   -101     -</t>
  </si>
  <si>
    <t>1   -281   -445   5420  15480</t>
  </si>
  <si>
    <t>593  11487</t>
  </si>
  <si>
    <t>9547  10698  11133   694</t>
  </si>
  <si>
    <t>9   6578  11420   7040  23329</t>
  </si>
  <si>
    <t>575  -1936</t>
  </si>
  <si>
    <t>0      0   -176      0   1174</t>
  </si>
  <si>
    <t>0    387    216</t>
  </si>
  <si>
    <t>0    915    368</t>
  </si>
  <si>
    <t>0      0   -572  -1335     46</t>
  </si>
  <si>
    <t>319   -413</t>
  </si>
  <si>
    <t>-174      0      0</t>
  </si>
  <si>
    <t>0   1645      0      0      0</t>
  </si>
  <si>
    <t>0    -39      0      0      0</t>
  </si>
  <si>
    <t>0      0 -19481    29</t>
  </si>
  <si>
    <t>6      0   -979      0      0</t>
  </si>
  <si>
    <t>2085   3338    980</t>
  </si>
  <si>
    <t>0      0   -768   -717      0</t>
  </si>
  <si>
    <t>693   2135</t>
  </si>
  <si>
    <t>721   1260    576     2</t>
  </si>
  <si>
    <t>3    551      0      0      0</t>
  </si>
  <si>
    <t>0   -549</t>
  </si>
  <si>
    <t>4141   1125 -11233   -18</t>
  </si>
  <si>
    <t>0    -60   -868    273      0</t>
  </si>
  <si>
    <t>117    426</t>
  </si>
  <si>
    <t>1015     87     16    -9</t>
  </si>
  <si>
    <t>8  -2026   -186      0      0</t>
  </si>
  <si>
    <t>985   1447</t>
  </si>
  <si>
    <t>0    492   -479     2</t>
  </si>
  <si>
    <t>3    -89      0      0      0</t>
  </si>
  <si>
    <t>4574      0 -12293     5</t>
  </si>
  <si>
    <t>2    154  -1054    743   -428</t>
  </si>
  <si>
    <t>0     14      0</t>
  </si>
  <si>
    <t>0  -1762   -632      0   -612</t>
  </si>
  <si>
    <t>23      0   -563   -10</t>
  </si>
  <si>
    <t>3   -441      0      0      0</t>
  </si>
  <si>
    <t>0   -265</t>
  </si>
  <si>
    <t>4492      0 -13666   -39</t>
  </si>
  <si>
    <t>5    971      0      0      0</t>
  </si>
  <si>
    <t>194    657</t>
  </si>
  <si>
    <t>651   -918   -228</t>
  </si>
  <si>
    <t>0   -906      0      0   -466</t>
  </si>
  <si>
    <t>0   1035</t>
  </si>
  <si>
    <t>0    715</t>
  </si>
  <si>
    <t>-518      0 -20204   -46</t>
  </si>
  <si>
    <t>0   -661</t>
  </si>
  <si>
    <t>1958    904   1581    21</t>
  </si>
  <si>
    <t>6  -3575   2503      0      0</t>
  </si>
  <si>
    <t>0  -9967</t>
  </si>
  <si>
    <t>0  -3513      0</t>
  </si>
  <si>
    <t>0   1646      0      0      0</t>
  </si>
  <si>
    <t>3969    173    723   449</t>
  </si>
  <si>
    <t>2   -436   1214    653  -1553</t>
  </si>
  <si>
    <t>0      0    404  -5728  -5110</t>
  </si>
  <si>
    <t>313  -1348</t>
  </si>
  <si>
    <t>1497      0      0   101</t>
  </si>
  <si>
    <t>9      0   4720 -22047      0</t>
  </si>
  <si>
    <t>0      0   -134    14</t>
  </si>
  <si>
    <t>0     -5</t>
  </si>
  <si>
    <t>0     72    224      0  -2700</t>
  </si>
  <si>
    <t>873  -1319</t>
  </si>
  <si>
    <t>-861   1207   -913</t>
  </si>
  <si>
    <t>0      0    379  -1835   -938</t>
  </si>
  <si>
    <t>750   -717</t>
  </si>
  <si>
    <t>615      0   3003   140</t>
  </si>
  <si>
    <t>6    231    363    298   -499</t>
  </si>
  <si>
    <t>-12    150</t>
  </si>
  <si>
    <t>658    264  -1065    14</t>
  </si>
  <si>
    <t>8   -674    -51    469    -34</t>
  </si>
  <si>
    <t>284  -1601</t>
  </si>
  <si>
    <t>1416   -845   8408  2146</t>
  </si>
  <si>
    <t>4  16232  17446  10295  25196</t>
  </si>
  <si>
    <t>753  11427</t>
  </si>
  <si>
    <t>0533   5351  17530  3676</t>
  </si>
  <si>
    <t>9  35965  26547  -1423   -909</t>
  </si>
  <si>
    <t>101     71</t>
  </si>
  <si>
    <t>0      0    -62</t>
  </si>
  <si>
    <t>0    905      0      0      0</t>
  </si>
  <si>
    <t>106    688</t>
  </si>
  <si>
    <t>0      0   -169  -119</t>
  </si>
  <si>
    <t>7    -18   -452  -1030   -192</t>
  </si>
  <si>
    <t>0   1712      0</t>
  </si>
  <si>
    <t>0      0   -137      0      0</t>
  </si>
  <si>
    <t>0   -134      0</t>
  </si>
  <si>
    <t>0 -12164</t>
  </si>
  <si>
    <t>1210      0    592</t>
  </si>
  <si>
    <t>0      0      0      0      6</t>
  </si>
  <si>
    <t>724    197</t>
  </si>
  <si>
    <t>0      0   -225     2</t>
  </si>
  <si>
    <t>0      0   -495    175    -61</t>
  </si>
  <si>
    <t>124   -188</t>
  </si>
  <si>
    <t>60     42      0</t>
  </si>
  <si>
    <t>0      0      0    155  -1705</t>
  </si>
  <si>
    <t>769 -16153</t>
  </si>
  <si>
    <t>564   -891   1843    69</t>
  </si>
  <si>
    <t>1      0    912   1054   2151</t>
  </si>
  <si>
    <t>099   -391</t>
  </si>
  <si>
    <t>0      0   -180   -508      0</t>
  </si>
  <si>
    <t>315   1322</t>
  </si>
  <si>
    <t>119   -371      0</t>
  </si>
  <si>
    <t>0      0      0   -346  -6047</t>
  </si>
  <si>
    <t>0 -18212</t>
  </si>
  <si>
    <t>192   -994   -643    49</t>
  </si>
  <si>
    <t>8    684     34   -659      0</t>
  </si>
  <si>
    <t>0   -931  -2245</t>
  </si>
  <si>
    <t>0    940      0      0     41</t>
  </si>
  <si>
    <t>48   -451      0</t>
  </si>
  <si>
    <t>0      0      0    -86  -5187</t>
  </si>
  <si>
    <t>0 -13915</t>
  </si>
  <si>
    <t>1131   1051      0</t>
  </si>
  <si>
    <t>0      0    159    446     78</t>
  </si>
  <si>
    <t>380     90</t>
  </si>
  <si>
    <t>0   -297      0</t>
  </si>
  <si>
    <t>0    109      0     44      0</t>
  </si>
  <si>
    <t>0      0      0    519   -624</t>
  </si>
  <si>
    <t>0 -15796</t>
  </si>
  <si>
    <t>0      0      0   -884  -1867</t>
  </si>
  <si>
    <t>772   1225</t>
  </si>
  <si>
    <t>1019  -2254    605</t>
  </si>
  <si>
    <t>0      0      0   -406      0</t>
  </si>
  <si>
    <t>0    382      0</t>
  </si>
  <si>
    <t>0      0      0    582  -3533</t>
  </si>
  <si>
    <t>391  -2593</t>
  </si>
  <si>
    <t>6949  -5275   -581     5</t>
  </si>
  <si>
    <t>4  -1448      0      0      0</t>
  </si>
  <si>
    <t>0      0  -2061   145</t>
  </si>
  <si>
    <t>1   -340    203   -662   1542</t>
  </si>
  <si>
    <t>3813      0   4225 -2288</t>
  </si>
  <si>
    <t>101      0      0</t>
  </si>
  <si>
    <t>0      0      0    323      0</t>
  </si>
  <si>
    <t>0     41    289</t>
  </si>
  <si>
    <t>0   1418  -1351  -1255    959</t>
  </si>
  <si>
    <t>199  -1119</t>
  </si>
  <si>
    <t>0      0    394    80</t>
  </si>
  <si>
    <t>3  -2226  -1005    789    381</t>
  </si>
  <si>
    <t>0    675</t>
  </si>
  <si>
    <t>-135    230    936   300</t>
  </si>
  <si>
    <t>5  -1856   -435   2464   3018</t>
  </si>
  <si>
    <t>165   -592</t>
  </si>
  <si>
    <t>2902     30   -244    74</t>
  </si>
  <si>
    <t>4    938   1162    -23   -266</t>
  </si>
  <si>
    <t>490   8977</t>
  </si>
  <si>
    <t>2960  25586  26935  1016</t>
  </si>
  <si>
    <t>1  17040   9984  19640  17711</t>
  </si>
  <si>
    <t>407  13133</t>
  </si>
  <si>
    <t>7695  36770  23451  3940</t>
  </si>
  <si>
    <t>6  -1134   -616     57    -17</t>
  </si>
  <si>
    <t>71      0    571</t>
  </si>
  <si>
    <t>0      0      0    -22    -77</t>
  </si>
  <si>
    <t>0      0      0    671    330</t>
  </si>
  <si>
    <t>2   -680   -131      0      0</t>
  </si>
  <si>
    <t>0   1079</t>
  </si>
  <si>
    <t>0    -62</t>
  </si>
  <si>
    <t>0      0      0      0  -8817</t>
  </si>
  <si>
    <t>320      0      0</t>
  </si>
  <si>
    <t>0      0    284    398    191</t>
  </si>
  <si>
    <t>-300     72      0   -27</t>
  </si>
  <si>
    <t>3   -133    -53    -26    -47</t>
  </si>
  <si>
    <t>0     20  -1503   -319  -9111</t>
  </si>
  <si>
    <t>237   -295</t>
  </si>
  <si>
    <t>1566    991      0    64</t>
  </si>
  <si>
    <t>9   1238   2434    802   -141</t>
  </si>
  <si>
    <t>388    546</t>
  </si>
  <si>
    <t>-510      0      0   -16</t>
  </si>
  <si>
    <t>7    355      0    128    167</t>
  </si>
  <si>
    <t>178      3</t>
  </si>
  <si>
    <t>0   -489  -7928      0  -9636</t>
  </si>
  <si>
    <t>460    403</t>
  </si>
  <si>
    <t>1029    599   -180     5</t>
  </si>
  <si>
    <t>4   -265      0    116      0</t>
  </si>
  <si>
    <t>0   -523</t>
  </si>
  <si>
    <t>-158      0    168</t>
  </si>
  <si>
    <t>0      0     98      0   -275</t>
  </si>
  <si>
    <t>-74    161</t>
  </si>
  <si>
    <t>0   -122  -3722      0 -23001</t>
  </si>
  <si>
    <t>332   -493</t>
  </si>
  <si>
    <t>4    423   1185  -3264  -2301</t>
  </si>
  <si>
    <t>0   -659</t>
  </si>
  <si>
    <t>0      0    -53</t>
  </si>
  <si>
    <t>0    109      0     98      0</t>
  </si>
  <si>
    <t>0    884   -928      0 -11638</t>
  </si>
  <si>
    <t>0   -625  -1169    317    871</t>
  </si>
  <si>
    <t>641  -1416</t>
  </si>
  <si>
    <t>476      0      0</t>
  </si>
  <si>
    <t>0   -697      0    -24      0</t>
  </si>
  <si>
    <t>0    337  -2831   -505  -1124</t>
  </si>
  <si>
    <t>090  -2392</t>
  </si>
  <si>
    <t>-136     11   -357</t>
  </si>
  <si>
    <t>-348    763    410     3</t>
  </si>
  <si>
    <t>0    -50    623      0      0</t>
  </si>
  <si>
    <t>1975 -15134      0</t>
  </si>
  <si>
    <t>0    389      0      0      0</t>
  </si>
  <si>
    <t>158      0    608   -21</t>
  </si>
  <si>
    <t>9     88   -106    759   -704</t>
  </si>
  <si>
    <t>165    273  -1126    17</t>
  </si>
  <si>
    <t>5   -214    364      0    311</t>
  </si>
  <si>
    <t>1    573</t>
  </si>
  <si>
    <t>250   1662     53   105</t>
  </si>
  <si>
    <t>7    527    957   -156    454</t>
  </si>
  <si>
    <t>655   1601</t>
  </si>
  <si>
    <t>4466    317   2158    78</t>
  </si>
  <si>
    <t>2     39    -44    -41   5939</t>
  </si>
  <si>
    <t>422  16459</t>
  </si>
  <si>
    <t>2036  20539  10897   663</t>
  </si>
  <si>
    <t>4  12730   7910  13443   8401</t>
  </si>
  <si>
    <t>293  23687</t>
  </si>
  <si>
    <t>1019  27778  33438  -123</t>
  </si>
  <si>
    <t>8   -905   -247   -119      0</t>
  </si>
  <si>
    <t>0    916      0</t>
  </si>
  <si>
    <t>0      0    -35   -197      0</t>
  </si>
  <si>
    <t>0      0    988    502      0</t>
  </si>
  <si>
    <t>0   -616</t>
  </si>
  <si>
    <t>1293     62   -314   -33</t>
  </si>
  <si>
    <t>1   -177      0      0      0</t>
  </si>
  <si>
    <t>0      0      0 -13689  -1227</t>
  </si>
  <si>
    <t>0    412</t>
  </si>
  <si>
    <t>0    745    539    249      0</t>
  </si>
  <si>
    <t>0   -575</t>
  </si>
  <si>
    <t>93      0   -474</t>
  </si>
  <si>
    <t>7   -104    -64     74     36</t>
  </si>
  <si>
    <t>5  -2191   -390 -14506     58</t>
  </si>
  <si>
    <t>352   1302</t>
  </si>
  <si>
    <t>426      0    -58   -64</t>
  </si>
  <si>
    <t>3   1082   1786    219   -801</t>
  </si>
  <si>
    <t>573   -608</t>
  </si>
  <si>
    <t>0      0   -128   -15</t>
  </si>
  <si>
    <t>7      0    277   -337   -450</t>
  </si>
  <si>
    <t>412      0</t>
  </si>
  <si>
    <t>1 -10381      0 -13995   -234</t>
  </si>
  <si>
    <t>568   1349</t>
  </si>
  <si>
    <t>727   -301    138   -44</t>
  </si>
  <si>
    <t>6      0     34      0      0</t>
  </si>
  <si>
    <t>630   -285</t>
  </si>
  <si>
    <t>0     60      0   -368   -136</t>
  </si>
  <si>
    <t>6  -6437      0 -15750   -718</t>
  </si>
  <si>
    <t>146      0</t>
  </si>
  <si>
    <t>0      0    189    49</t>
  </si>
  <si>
    <t>4    447   -930     68      0</t>
  </si>
  <si>
    <t>0   -218      0    -3</t>
  </si>
  <si>
    <t>7      0   -297      0      0</t>
  </si>
  <si>
    <t>2  -1590      0 -23045   -237</t>
  </si>
  <si>
    <t>0      0      0  -101</t>
  </si>
  <si>
    <t>5    408  -2193  -1468    344</t>
  </si>
  <si>
    <t>045   -258</t>
  </si>
  <si>
    <t>0      0      0   -78</t>
  </si>
  <si>
    <t>5      0   -151      0      0</t>
  </si>
  <si>
    <t>915      0</t>
  </si>
  <si>
    <t>1  -6131   1813   -980  -4472</t>
  </si>
  <si>
    <t>614    297</t>
  </si>
  <si>
    <t>64  -2479      0</t>
  </si>
  <si>
    <t>1153    197    103    26</t>
  </si>
  <si>
    <t>8    861      0      0    873</t>
  </si>
  <si>
    <t>0   4779</t>
  </si>
  <si>
    <t>2353      0      0</t>
  </si>
  <si>
    <t>0      0      0    -80    659</t>
  </si>
  <si>
    <t>85    271</t>
  </si>
  <si>
    <t>0   1070     14   -39</t>
  </si>
  <si>
    <t>6     75    988  -1068      0</t>
  </si>
  <si>
    <t>319   -643   -447   -15</t>
  </si>
  <si>
    <t>9    871      0    483    761</t>
  </si>
  <si>
    <t>536    420</t>
  </si>
  <si>
    <t>3106   -235   -115    81</t>
  </si>
  <si>
    <t>3   1371    252    -61    770</t>
  </si>
  <si>
    <t>160     -1</t>
  </si>
  <si>
    <t>713    396   2648  -226</t>
  </si>
  <si>
    <t>2   -425   1487   8298  11616</t>
  </si>
  <si>
    <t>706  17045</t>
  </si>
  <si>
    <t>8885  23665   9310  1715</t>
  </si>
  <si>
    <t>2  10973   5225  18579  36267</t>
  </si>
  <si>
    <t>586  24814</t>
  </si>
  <si>
    <t>4072  47696  35126  -110</t>
  </si>
  <si>
    <t>2   -649    -27    -35      0</t>
  </si>
  <si>
    <t>0      0    -37   -174      0</t>
  </si>
  <si>
    <t>0      0    753    500      0</t>
  </si>
  <si>
    <t>9   -127      0      0      0</t>
  </si>
  <si>
    <t>076      0</t>
  </si>
  <si>
    <t>0      0      0  -9363   -720</t>
  </si>
  <si>
    <t>0   -238</t>
  </si>
  <si>
    <t>0    482    408    157      0</t>
  </si>
  <si>
    <t>0   -291</t>
  </si>
  <si>
    <t>85      0   -258   -15</t>
  </si>
  <si>
    <t>1   -124     31    -96    -10</t>
  </si>
  <si>
    <t>1  -1473   -232  -9008    -77</t>
  </si>
  <si>
    <t>389    284</t>
  </si>
  <si>
    <t>335      0     30    42</t>
  </si>
  <si>
    <t>2    628    205    115   -114</t>
  </si>
  <si>
    <t>618     95</t>
  </si>
  <si>
    <t>0      0   -179   -15</t>
  </si>
  <si>
    <t>7      0    103   -258     33</t>
  </si>
  <si>
    <t>17      0</t>
  </si>
  <si>
    <t>3  -3971      0 -10865   -508</t>
  </si>
  <si>
    <t>455    676</t>
  </si>
  <si>
    <t>872    406    327    -2</t>
  </si>
  <si>
    <t>6      0    946      0      0</t>
  </si>
  <si>
    <t>009  -1491</t>
  </si>
  <si>
    <t>0    652      0</t>
  </si>
  <si>
    <t>0     59      0   -520   -688</t>
  </si>
  <si>
    <t>8  -7625      0 -23149   -341</t>
  </si>
  <si>
    <t>0      0    701   112</t>
  </si>
  <si>
    <t>6   1766  -3120   -973      0</t>
  </si>
  <si>
    <t>0   -595      0   -44</t>
  </si>
  <si>
    <t>6      0   -486      0      0</t>
  </si>
  <si>
    <t>3  -2058      0 -12503   -327</t>
  </si>
  <si>
    <t>3   -679    232    679    528</t>
  </si>
  <si>
    <t>612    653</t>
  </si>
  <si>
    <t>6      0    136      0      0</t>
  </si>
  <si>
    <t>0  -2773   -182   -655  -1350</t>
  </si>
  <si>
    <t>717    -42</t>
  </si>
  <si>
    <t>359    202      0</t>
  </si>
  <si>
    <t>0  -1050</t>
  </si>
  <si>
    <t>479    345    248   -39</t>
  </si>
  <si>
    <t>5   1011      0      0  -3086</t>
  </si>
  <si>
    <t>0   1365</t>
  </si>
  <si>
    <t>5360      0      0</t>
  </si>
  <si>
    <t>0      0      0   -326   -242</t>
  </si>
  <si>
    <t>3    151</t>
  </si>
  <si>
    <t>0    489   -646    -5</t>
  </si>
  <si>
    <t>4    -79    831   -745      0</t>
  </si>
  <si>
    <t>247   -774   -135   -50</t>
  </si>
  <si>
    <t>2    398      0    276    246</t>
  </si>
  <si>
    <t>341    216</t>
  </si>
  <si>
    <t>943    -22    140    55</t>
  </si>
  <si>
    <t>0   1673   -555   1352    453</t>
  </si>
  <si>
    <t>556  -2228</t>
  </si>
  <si>
    <t>-584   1660    760    22</t>
  </si>
  <si>
    <t>1   -205   -155   6095   8726</t>
  </si>
  <si>
    <t>501  17795</t>
  </si>
  <si>
    <t>0522  11268   6777   866</t>
  </si>
  <si>
    <t>4  11489  14079   8526  24610</t>
  </si>
  <si>
    <t>771  22102</t>
  </si>
  <si>
    <t>8638  33892  27612  3326</t>
  </si>
  <si>
    <t>6  -1384   -908   -199   -102</t>
  </si>
  <si>
    <t>-76      0    888</t>
  </si>
  <si>
    <t>0      0      0    -21   -225</t>
  </si>
  <si>
    <t>0      0      0   1060    631</t>
  </si>
  <si>
    <t>-562  -1263     85   -42</t>
  </si>
  <si>
    <t>3   -702   -171      0      0</t>
  </si>
  <si>
    <t>0   1569</t>
  </si>
  <si>
    <t>0   -124</t>
  </si>
  <si>
    <t>0      0      0      0 -14459</t>
  </si>
  <si>
    <t>-265      0      0</t>
  </si>
  <si>
    <t>0      0    896    609    271</t>
  </si>
  <si>
    <t>-610    116      0   -43</t>
  </si>
  <si>
    <t>1    -11   -190    -50     12</t>
  </si>
  <si>
    <t>1   -268</t>
  </si>
  <si>
    <t>0    101  -2456   -316 -13062</t>
  </si>
  <si>
    <t>257    444</t>
  </si>
  <si>
    <t>224    212      0    -2</t>
  </si>
  <si>
    <t>8    785   1101     57    130</t>
  </si>
  <si>
    <t>127  -1742</t>
  </si>
  <si>
    <t>51      0      0   -17</t>
  </si>
  <si>
    <t>5     40      0     60   -381</t>
  </si>
  <si>
    <t>0     68  -7226      0 -17707</t>
  </si>
  <si>
    <t>39   -949</t>
  </si>
  <si>
    <t>1278   1113    208    -5</t>
  </si>
  <si>
    <t>1  -1372      0   1926      0</t>
  </si>
  <si>
    <t>0  -2032</t>
  </si>
  <si>
    <t>1067      0    834</t>
  </si>
  <si>
    <t>0      0    338      0   -614</t>
  </si>
  <si>
    <t>577    714</t>
  </si>
  <si>
    <t>0  -1059 -10344      0 -17007</t>
  </si>
  <si>
    <t>546   1211</t>
  </si>
  <si>
    <t>8    785    544   -894      2</t>
  </si>
  <si>
    <t>0   -740</t>
  </si>
  <si>
    <t>0     46      0   -239      0</t>
  </si>
  <si>
    <t>0    721  -1831      0 -23386</t>
  </si>
  <si>
    <t>0      1    669  -2174   -260</t>
  </si>
  <si>
    <t>74  -3507</t>
  </si>
  <si>
    <t>-568      0      0</t>
  </si>
  <si>
    <t>0  -1393      0   -608      0</t>
  </si>
  <si>
    <t>0   -996</t>
  </si>
  <si>
    <t>0     25  -7546    983   -926</t>
  </si>
  <si>
    <t>462  -1299</t>
  </si>
  <si>
    <t>309    913  -1241</t>
  </si>
  <si>
    <t>1135    732     43    36</t>
  </si>
  <si>
    <t>9     92   1282      0      0</t>
  </si>
  <si>
    <t>910      0</t>
  </si>
  <si>
    <t>4052 -22011      0</t>
  </si>
  <si>
    <t>0      0      0      0    -24</t>
  </si>
  <si>
    <t>0   -121      0      0      0</t>
  </si>
  <si>
    <t>251      0    919   -17</t>
  </si>
  <si>
    <t>3   -525   -174   1250  -1058</t>
  </si>
  <si>
    <t>346    421   -654   -33</t>
  </si>
  <si>
    <t>2   -214    701      0    460</t>
  </si>
  <si>
    <t>844    427</t>
  </si>
  <si>
    <t>321   1368     31   -17</t>
  </si>
  <si>
    <t>5    669   3196   1335   -558</t>
  </si>
  <si>
    <t>572   -191</t>
  </si>
  <si>
    <t>197    595    379   272</t>
  </si>
  <si>
    <t>4   -423  -1517    985   8277</t>
  </si>
  <si>
    <t>513  15772</t>
  </si>
  <si>
    <t>3083   8753  23420   918</t>
  </si>
  <si>
    <t>4  11828  15152   4991  18456</t>
  </si>
  <si>
    <t>082  36964</t>
  </si>
  <si>
    <t>5675  45877  49452  3345</t>
  </si>
  <si>
    <t>7  52900  36704   -418 -30529</t>
  </si>
  <si>
    <t>125    -39</t>
  </si>
  <si>
    <t>0      0    -16</t>
  </si>
  <si>
    <t>0    497      0      0      0</t>
  </si>
  <si>
    <t>169   -259</t>
  </si>
  <si>
    <t>572    120</t>
  </si>
  <si>
    <t>0      0   -382 -3960</t>
  </si>
  <si>
    <t>1    174    -99   -728    -71</t>
  </si>
  <si>
    <t>0   1090      0</t>
  </si>
  <si>
    <t>0      0    -70      0      0</t>
  </si>
  <si>
    <t>0   -103      0</t>
  </si>
  <si>
    <t>9831      0    -69</t>
  </si>
  <si>
    <t>620   -225</t>
  </si>
  <si>
    <t>0      0    919    -4</t>
  </si>
  <si>
    <t>2      0   -103   -357   -475</t>
  </si>
  <si>
    <t>434     40</t>
  </si>
  <si>
    <t>60     75      0</t>
  </si>
  <si>
    <t>0      0      0   -176   1105</t>
  </si>
  <si>
    <t>1497    -57   -301   -23</t>
  </si>
  <si>
    <t>4      0     63  -1115  -1057</t>
  </si>
  <si>
    <t>340   2697    522</t>
  </si>
  <si>
    <t>0      0    -44   -342      0</t>
  </si>
  <si>
    <t>220    175</t>
  </si>
  <si>
    <t>250   -255      0</t>
  </si>
  <si>
    <t>0      0      0    312   2205</t>
  </si>
  <si>
    <t>0  -3234</t>
  </si>
  <si>
    <t>2400    101   -135    -8</t>
  </si>
  <si>
    <t>6    410     63   -676      0</t>
  </si>
  <si>
    <t>143      0</t>
  </si>
  <si>
    <t>0   3162    724</t>
  </si>
  <si>
    <t>0    143      0      0     36</t>
  </si>
  <si>
    <t>500   -180      0</t>
  </si>
  <si>
    <t>0      0      0    613   1966</t>
  </si>
  <si>
    <t>0  -2129</t>
  </si>
  <si>
    <t>0379    309      0</t>
  </si>
  <si>
    <t>0      0   -287  -1087   -451</t>
  </si>
  <si>
    <t>152   -663</t>
  </si>
  <si>
    <t>0   3970      0</t>
  </si>
  <si>
    <t>0    -27      0   -872      0</t>
  </si>
  <si>
    <t>0      0      0   1460    988</t>
  </si>
  <si>
    <t>0  -1062</t>
  </si>
  <si>
    <t>5415      0      0</t>
  </si>
  <si>
    <t>0      0      0  -3066  -1260</t>
  </si>
  <si>
    <t>048   -470</t>
  </si>
  <si>
    <t>-71   1041    984</t>
  </si>
  <si>
    <t>0      0      0  -1572      0</t>
  </si>
  <si>
    <t>0   -662      0</t>
  </si>
  <si>
    <t>0      0      0    629    486</t>
  </si>
  <si>
    <t>922   -103</t>
  </si>
  <si>
    <t>-46    108   -422     7</t>
  </si>
  <si>
    <t>1   1327      0      0      0</t>
  </si>
  <si>
    <t>0      0   -118    -1</t>
  </si>
  <si>
    <t>6    883    180    984      3</t>
  </si>
  <si>
    <t>132      0   -347   -48</t>
  </si>
  <si>
    <t>0   -507</t>
  </si>
  <si>
    <t>-689      0      0</t>
  </si>
  <si>
    <t>0      0      0  -1002      0</t>
  </si>
  <si>
    <t>0   1306  -1740</t>
  </si>
  <si>
    <t>0 -12434  -4661  -6087  -5635</t>
  </si>
  <si>
    <t>052  -1594</t>
  </si>
  <si>
    <t>0      0   2121    40</t>
  </si>
  <si>
    <t>0  -1143  -1547  -1632   3573</t>
  </si>
  <si>
    <t>0   1460</t>
  </si>
  <si>
    <t>79   -247     32   111</t>
  </si>
  <si>
    <t>1    893     11  -1260   1237</t>
  </si>
  <si>
    <t>114   1425</t>
  </si>
  <si>
    <t>1176   1320    311    35</t>
  </si>
  <si>
    <t>8    177   2180    203    235</t>
  </si>
  <si>
    <t>277   -713</t>
  </si>
  <si>
    <t>203   -583   -576   -64</t>
  </si>
  <si>
    <t>6   -195  -1303   -468   -226</t>
  </si>
  <si>
    <t>-93    159</t>
  </si>
  <si>
    <t>411    365    339    87</t>
  </si>
  <si>
    <t>2    992    688    979    747</t>
  </si>
  <si>
    <t>004   -614</t>
  </si>
  <si>
    <t>6051   -214     14</t>
  </si>
  <si>
    <t>0      0    -35      0    567</t>
  </si>
  <si>
    <t>0    -12   -120</t>
  </si>
  <si>
    <t>0   -637    139</t>
  </si>
  <si>
    <t>0      0   -473 -45295    247</t>
  </si>
  <si>
    <t>-81      0      0</t>
  </si>
  <si>
    <t>0   1232      0      0      0</t>
  </si>
  <si>
    <t>-61      0</t>
  </si>
  <si>
    <t>0   -124      0      0      0</t>
  </si>
  <si>
    <t>0      0  -1607 -4500</t>
  </si>
  <si>
    <t>8      0    104      0      0</t>
  </si>
  <si>
    <t>0      0    906   -108      0</t>
  </si>
  <si>
    <t>216   -107</t>
  </si>
  <si>
    <t>27   -191   -110     5</t>
  </si>
  <si>
    <t>0    165      0      0      0</t>
  </si>
  <si>
    <t>1399    331  -3576 -4874</t>
  </si>
  <si>
    <t>4    175     35    107      0</t>
  </si>
  <si>
    <t>374   -782</t>
  </si>
  <si>
    <t>4   2989    883      0      0</t>
  </si>
  <si>
    <t>149   -407</t>
  </si>
  <si>
    <t>0   -348    515    27</t>
  </si>
  <si>
    <t>3   -308      0      0      0</t>
  </si>
  <si>
    <t>2587      0  -3696 -4927</t>
  </si>
  <si>
    <t>5    151   -188    -52    422</t>
  </si>
  <si>
    <t>101   -626</t>
  </si>
  <si>
    <t>0   -204      0</t>
  </si>
  <si>
    <t>0   3551    881      0    168</t>
  </si>
  <si>
    <t>-72      0    338    61</t>
  </si>
  <si>
    <t>2   -186      0      0      0</t>
  </si>
  <si>
    <t>2293      0  -2427 -4653</t>
  </si>
  <si>
    <t>8    213      0      0      0</t>
  </si>
  <si>
    <t>309  -1178</t>
  </si>
  <si>
    <t>0   4492      0      0   -114</t>
  </si>
  <si>
    <t>0   -703</t>
  </si>
  <si>
    <t>0  -1465      0</t>
  </si>
  <si>
    <t>0   1709</t>
  </si>
  <si>
    <t>1184      0  -1206 -5263</t>
  </si>
  <si>
    <t>0  -3341</t>
  </si>
  <si>
    <t>1384  -1273   -561   -11</t>
  </si>
  <si>
    <t>5   1058   1146      0      0</t>
  </si>
  <si>
    <t>0  -1760</t>
  </si>
  <si>
    <t>0  -1541      0</t>
  </si>
  <si>
    <t>0   -764      0      0      0</t>
  </si>
  <si>
    <t>0    706</t>
  </si>
  <si>
    <t>613  -1262   -126   -30</t>
  </si>
  <si>
    <t>2     18   -583      1   1376</t>
  </si>
  <si>
    <t>0      0   -119   -104    903</t>
  </si>
  <si>
    <t>71   1001</t>
  </si>
  <si>
    <t>-72      0      0    11</t>
  </si>
  <si>
    <t>0      0   -391   -635      0</t>
  </si>
  <si>
    <t>0      0   -702   -97</t>
  </si>
  <si>
    <t>0  -1176</t>
  </si>
  <si>
    <t>0   1538   -863      0  -2877</t>
  </si>
  <si>
    <t>211  -5413</t>
  </si>
  <si>
    <t>6419  13561  -1904</t>
  </si>
  <si>
    <t>0      0   1532   -494  -1153</t>
  </si>
  <si>
    <t>473  -2237</t>
  </si>
  <si>
    <t>4416      0    209   107</t>
  </si>
  <si>
    <t>4     32   -935    105   2132</t>
  </si>
  <si>
    <t>315   -744</t>
  </si>
  <si>
    <t>42   1611   1833   -78</t>
  </si>
  <si>
    <t>2    145   1660    642    491</t>
  </si>
  <si>
    <t>408   2053</t>
  </si>
  <si>
    <t>652   -992   -664    -7</t>
  </si>
  <si>
    <t>7   -127   -409   -545    112</t>
  </si>
  <si>
    <t>923   -614</t>
  </si>
  <si>
    <t>-187     -2    310    54</t>
  </si>
  <si>
    <t>0    460    393   1005   1001</t>
  </si>
  <si>
    <t>724   1044</t>
  </si>
  <si>
    <t>766   1050  39662   -60</t>
  </si>
  <si>
    <t>5 -38130   -189     43      0</t>
  </si>
  <si>
    <t>0    608      0</t>
  </si>
  <si>
    <t>0      0    -13    -82      0</t>
  </si>
  <si>
    <t>0      0   -753     48      0</t>
  </si>
  <si>
    <t>0   -470</t>
  </si>
  <si>
    <t>7577    294   -182   -95</t>
  </si>
  <si>
    <t>9    -88      0      0      0</t>
  </si>
  <si>
    <t>0      0      0  -1816 -46045</t>
  </si>
  <si>
    <t>0   -679   -858   -421      0</t>
  </si>
  <si>
    <t>0   1065</t>
  </si>
  <si>
    <t>-144      0    256    -7</t>
  </si>
  <si>
    <t>1      9   -149    -78     93</t>
  </si>
  <si>
    <t>7   1563    394  -3938 -49207</t>
  </si>
  <si>
    <t>-248      0    -14  -150</t>
  </si>
  <si>
    <t>8  -1282   -101    -14    448</t>
  </si>
  <si>
    <t>400    672</t>
  </si>
  <si>
    <t>0      0    -54   -36</t>
  </si>
  <si>
    <t>9      0   -274    210    345</t>
  </si>
  <si>
    <t>1   2924      0  -4290 -50589</t>
  </si>
  <si>
    <t>303     90</t>
  </si>
  <si>
    <t>193    797    122   -70</t>
  </si>
  <si>
    <t>1      0   -157      0      0</t>
  </si>
  <si>
    <t>918   1149</t>
  </si>
  <si>
    <t>0    258      0</t>
  </si>
  <si>
    <t>0   -295      0    563    632</t>
  </si>
  <si>
    <t>0      0      0    51</t>
  </si>
  <si>
    <t>5   2620      0  -2699 -47453</t>
  </si>
  <si>
    <t>0      0   -554  -175</t>
  </si>
  <si>
    <t>5   -814  -1400   -885      0</t>
  </si>
  <si>
    <t>0   -147      0   -74</t>
  </si>
  <si>
    <t>6      0  -1559      0      0</t>
  </si>
  <si>
    <t>0      0      0   169</t>
  </si>
  <si>
    <t>0   1374      0  -1541 -54161</t>
  </si>
  <si>
    <t>0      0      0  -362</t>
  </si>
  <si>
    <t>8  -1348  -1334   -613   -182</t>
  </si>
  <si>
    <t>348   1246</t>
  </si>
  <si>
    <t>0      0      0  -181</t>
  </si>
  <si>
    <t>9      0  -1592      0      0</t>
  </si>
  <si>
    <t>801      0</t>
  </si>
  <si>
    <t>0      0      0    59</t>
  </si>
  <si>
    <t>1    879  -1843   -268   -333</t>
  </si>
  <si>
    <t>133   1633      0</t>
  </si>
  <si>
    <t>0   -110</t>
  </si>
  <si>
    <t>-134    931     98   107</t>
  </si>
  <si>
    <t>7    -31      0      0    152</t>
  </si>
  <si>
    <t>0   -533</t>
  </si>
  <si>
    <t>-603      0      0</t>
  </si>
  <si>
    <t>0      0      0   -368   -319</t>
  </si>
  <si>
    <t>0      0      0  -117</t>
  </si>
  <si>
    <t>590  -1117</t>
  </si>
  <si>
    <t>0  -4069  -5763 -1911</t>
  </si>
  <si>
    <t>3  -8590  16193  -1879      0</t>
  </si>
  <si>
    <t>0   2169</t>
  </si>
  <si>
    <t>3   5144      0     32   -199</t>
  </si>
  <si>
    <t>320  -1397</t>
  </si>
  <si>
    <t>-174   1080    688  -137</t>
  </si>
  <si>
    <t>5   -126     90   2546  -1225</t>
  </si>
  <si>
    <t>-12    353</t>
  </si>
  <si>
    <t>1144    186    181    25</t>
  </si>
  <si>
    <t>8   1269  -1434   -907   -211</t>
  </si>
  <si>
    <t>603   -414</t>
  </si>
  <si>
    <t>-740    151  -1033   -46</t>
  </si>
  <si>
    <t>0   -289     59    202    650</t>
  </si>
  <si>
    <t>607    490</t>
  </si>
  <si>
    <t>1151   1163    814   114</t>
  </si>
  <si>
    <t>8    890   1236  42905  46021</t>
  </si>
  <si>
    <t>546 -38866</t>
  </si>
  <si>
    <t>-254      9      0</t>
  </si>
  <si>
    <t>0    -42      0    709      0</t>
  </si>
  <si>
    <t>-7    -97      0</t>
  </si>
  <si>
    <t>-744    157      0</t>
  </si>
  <si>
    <t>0   -531 -46360    309   -156</t>
  </si>
  <si>
    <t>944    -86</t>
  </si>
  <si>
    <t>3      0      0      0    -70</t>
  </si>
  <si>
    <t>0  -1848 -45991</t>
  </si>
  <si>
    <t>0    197      0      0      0</t>
  </si>
  <si>
    <t>-837   -433      0</t>
  </si>
  <si>
    <t>0   1064   -169      0    255</t>
  </si>
  <si>
    <t>-80     53</t>
  </si>
  <si>
    <t>-175   -116    107    21</t>
  </si>
  <si>
    <t>164   1526</t>
  </si>
  <si>
    <t>433  -3967 -49302    -6</t>
  </si>
  <si>
    <t>4   -361   -246      0      6</t>
  </si>
  <si>
    <t>526  -1285</t>
  </si>
  <si>
    <t>-97    -40    435   353</t>
  </si>
  <si>
    <t>6    733      0      0    -53</t>
  </si>
  <si>
    <t>-292    228    350   -35</t>
  </si>
  <si>
    <t>414   2875</t>
  </si>
  <si>
    <t>0  -4204 -50427    11</t>
  </si>
  <si>
    <t>5   -196    -66    444     45</t>
  </si>
  <si>
    <t>905      0</t>
  </si>
  <si>
    <t>-226      0      0   412</t>
  </si>
  <si>
    <t>1   1020      0    182      0</t>
  </si>
  <si>
    <t>0    412    714   -22</t>
  </si>
  <si>
    <t>835   2558</t>
  </si>
  <si>
    <t>0  -2782 -48794    42</t>
  </si>
  <si>
    <t>4      0      0      0   -273</t>
  </si>
  <si>
    <t>391   -631</t>
  </si>
  <si>
    <t>1328   -692      0   492</t>
  </si>
  <si>
    <t>9      0      0    114      0</t>
  </si>
  <si>
    <t>964      0</t>
  </si>
  <si>
    <t>1963      0      0</t>
  </si>
  <si>
    <t>387   1337</t>
  </si>
  <si>
    <t>0  -1518 -54103</t>
  </si>
  <si>
    <t>885  -1452</t>
  </si>
  <si>
    <t>1295   -553    -91   150</t>
  </si>
  <si>
    <t>8   1204      0      0      0</t>
  </si>
  <si>
    <t>886      0</t>
  </si>
  <si>
    <t>1646      0      0   -79</t>
  </si>
  <si>
    <t>808    717</t>
  </si>
  <si>
    <t>1057    -47    -78    24</t>
  </si>
  <si>
    <t>2   -569    164   1807      0</t>
  </si>
  <si>
    <t>0   -168   -158    929     83</t>
  </si>
  <si>
    <t>122    -42</t>
  </si>
  <si>
    <t>0   -476   -616      0      0</t>
  </si>
  <si>
    <t>0   -495   -273</t>
  </si>
  <si>
    <t>0      0      0   172</t>
  </si>
  <si>
    <t>1   -323      0  -4166  -5646</t>
  </si>
  <si>
    <t>911 -21142</t>
  </si>
  <si>
    <t>5485  -2121      0</t>
  </si>
  <si>
    <t>0   -142  -1270  -1939  -2399</t>
  </si>
  <si>
    <t>948   5287</t>
  </si>
  <si>
    <t>0    -94   -404   -53</t>
  </si>
  <si>
    <t>5   -697   -315    905   -342</t>
  </si>
  <si>
    <t>630   -319</t>
  </si>
  <si>
    <t>-211   1583   -510    -5</t>
  </si>
  <si>
    <t>9    173    226    825     48</t>
  </si>
  <si>
    <t>17     43</t>
  </si>
  <si>
    <t>2   -695   -726   -314  -1146</t>
  </si>
  <si>
    <t>657   -361</t>
  </si>
  <si>
    <t>-228     95    701    63</t>
  </si>
  <si>
    <t>0    535   1179   1197    817</t>
  </si>
  <si>
    <t>192    899</t>
  </si>
  <si>
    <t>1244  42350  45946  5223</t>
  </si>
  <si>
    <t>3  -1383 -36425    -37      2</t>
  </si>
  <si>
    <t>94      0    177</t>
  </si>
  <si>
    <t>0      0      0   -143    -83</t>
  </si>
  <si>
    <t>0      0      0   -536    -36</t>
  </si>
  <si>
    <t>-288 -46130    326   -13</t>
  </si>
  <si>
    <t>5   -634    -63      0      0</t>
  </si>
  <si>
    <t>0   -123</t>
  </si>
  <si>
    <t>0      0      0      0  -1150</t>
  </si>
  <si>
    <t>241      0      0</t>
  </si>
  <si>
    <t>0      0   -793   -689   -365</t>
  </si>
  <si>
    <t>892   -189      0    18</t>
  </si>
  <si>
    <t>6   -116     51   -179    -41</t>
  </si>
  <si>
    <t>161    181</t>
  </si>
  <si>
    <t>0    318   1067    149  -2634</t>
  </si>
  <si>
    <t>397    155</t>
  </si>
  <si>
    <t>-267   -142      0   -25</t>
  </si>
  <si>
    <t>1  -1222  -1328    -96     39</t>
  </si>
  <si>
    <t>435   2688</t>
  </si>
  <si>
    <t>580      0      0    -8</t>
  </si>
  <si>
    <t>7   -404      0   -390    173</t>
  </si>
  <si>
    <t>340   -306</t>
  </si>
  <si>
    <t>0    404   2006      0  -2834</t>
  </si>
  <si>
    <t>555    216</t>
  </si>
  <si>
    <t>-143   -111    266   -12</t>
  </si>
  <si>
    <t>5   -767      0   -275      0</t>
  </si>
  <si>
    <t>0   3204</t>
  </si>
  <si>
    <t>826      0    178</t>
  </si>
  <si>
    <t>0      0   -125      0    362</t>
  </si>
  <si>
    <t>764    -84</t>
  </si>
  <si>
    <t>0    939   1757      0  -1770</t>
  </si>
  <si>
    <t>817    262</t>
  </si>
  <si>
    <t>6  -1397   -604  -1317   -758</t>
  </si>
  <si>
    <t>0   4109</t>
  </si>
  <si>
    <t>0      0   -145</t>
  </si>
  <si>
    <t>0   -715      0  -1439      0</t>
  </si>
  <si>
    <t>0   1719    852      0   -411</t>
  </si>
  <si>
    <t>735      0</t>
  </si>
  <si>
    <t>0  -1757   -768  -1464  -1203</t>
  </si>
  <si>
    <t>052    222</t>
  </si>
  <si>
    <t>1958      0      0</t>
  </si>
  <si>
    <t>0  -1740      0  -1629      0</t>
  </si>
  <si>
    <t>0   -944</t>
  </si>
  <si>
    <t>0  -1262    939  -9516  -2344</t>
  </si>
  <si>
    <t>815  -1623</t>
  </si>
  <si>
    <t>2263   -252    358</t>
  </si>
  <si>
    <t>153     37   1065    24</t>
  </si>
  <si>
    <t>4   1139     27      0      0</t>
  </si>
  <si>
    <t>-515    452      0</t>
  </si>
  <si>
    <t>0      0      0      0     23</t>
  </si>
  <si>
    <t>0   -743      0      0      0</t>
  </si>
  <si>
    <t>0   1743</t>
  </si>
  <si>
    <t>44      0  -2366  -346</t>
  </si>
  <si>
    <t>4  -4216  -5019   8123  -2458</t>
  </si>
  <si>
    <t>593  -1791  -2005  -235</t>
  </si>
  <si>
    <t>9  -2928   4224      0   -592</t>
  </si>
  <si>
    <t>703   -827</t>
  </si>
  <si>
    <t>1930   -718    306   -91</t>
  </si>
  <si>
    <t>3  -2081   -706   -683    765</t>
  </si>
  <si>
    <t>002   -423</t>
  </si>
  <si>
    <t>5   -871   -753  -2357   -418</t>
  </si>
  <si>
    <t>769  -1125</t>
  </si>
  <si>
    <t>1229  -1277   2790   -67</t>
  </si>
  <si>
    <t>9   -137     70    249   -847</t>
  </si>
  <si>
    <t>325    229</t>
  </si>
  <si>
    <t>177    876    889    57</t>
  </si>
  <si>
    <t>9    664    604    843  36728</t>
  </si>
  <si>
    <t>477  47567</t>
  </si>
  <si>
    <t>4106    -54 -14810   -32</t>
  </si>
  <si>
    <t>5   -281      0      0    -40</t>
  </si>
  <si>
    <t>0    277</t>
  </si>
  <si>
    <t>4    -53      0      0      0</t>
  </si>
  <si>
    <t>0      0      0    -4</t>
  </si>
  <si>
    <t>5    467      0      0   -404</t>
  </si>
  <si>
    <t>029   -103</t>
  </si>
  <si>
    <t>352    976      1</t>
  </si>
  <si>
    <t>0      0      0   -524      0</t>
  </si>
  <si>
    <t>-789      0      0</t>
  </si>
  <si>
    <t>0      0      0     71      0</t>
  </si>
  <si>
    <t>0  -1315 -20080      0    120</t>
  </si>
  <si>
    <t>0      0  -1436    23</t>
  </si>
  <si>
    <t>3    183      0      0  -1481</t>
  </si>
  <si>
    <t>634      0</t>
  </si>
  <si>
    <t>327   -614   -147   -57</t>
  </si>
  <si>
    <t>1  -2224   -897   -203      0</t>
  </si>
  <si>
    <t>0   -184   1313   175</t>
  </si>
  <si>
    <t>7  -1671 -20994    -27    -53</t>
  </si>
  <si>
    <t>11    590   -127    -1</t>
  </si>
  <si>
    <t>9     42    215    961    375</t>
  </si>
  <si>
    <t>-159   -303      0   -27</t>
  </si>
  <si>
    <t>6   -118    268    -88      0</t>
  </si>
  <si>
    <t>0    295   1200</t>
  </si>
  <si>
    <t>0  -1742 -21311   -169   -189</t>
  </si>
  <si>
    <t>136   -217</t>
  </si>
  <si>
    <t>112    923      0    -8</t>
  </si>
  <si>
    <t>3      0      0   1076    505</t>
  </si>
  <si>
    <t>0      0   -221</t>
  </si>
  <si>
    <t>0   -183    372    -75      0</t>
  </si>
  <si>
    <t>0    453   1186</t>
  </si>
  <si>
    <t>0  -1069 -20125      7      0</t>
  </si>
  <si>
    <t>137    834   -694   -75</t>
  </si>
  <si>
    <t>5   -579      0   1402      0</t>
  </si>
  <si>
    <t>0   -129</t>
  </si>
  <si>
    <t>0     63      0   -19</t>
  </si>
  <si>
    <t>0    599    644</t>
  </si>
  <si>
    <t>0   -610 -22862      0      0</t>
  </si>
  <si>
    <t>0  -1570   -695   -33</t>
  </si>
  <si>
    <t>4     67     14    229   -355</t>
  </si>
  <si>
    <t>0   -835      0   -76</t>
  </si>
  <si>
    <t>9      0      0   -204      0</t>
  </si>
  <si>
    <t>0    807    264   100</t>
  </si>
  <si>
    <t>6    572    446    643    564</t>
  </si>
  <si>
    <t>88    364</t>
  </si>
  <si>
    <t>0      0      0      0   -165</t>
  </si>
  <si>
    <t>271    292</t>
  </si>
  <si>
    <t>-101    259    207</t>
  </si>
  <si>
    <t>0      0     92      0   -237</t>
  </si>
  <si>
    <t>0  -1390  -2367      0      0</t>
  </si>
  <si>
    <t>0  -1511      0</t>
  </si>
  <si>
    <t>0      0      0   1085    975</t>
  </si>
  <si>
    <t>-457   -771   -812   294</t>
  </si>
  <si>
    <t>8  -1793      0      0  -1878</t>
  </si>
  <si>
    <t>667  -3571</t>
  </si>
  <si>
    <t>4609  -4349  12190</t>
  </si>
  <si>
    <t>0   1494    393    101    593</t>
  </si>
  <si>
    <t>981    708</t>
  </si>
  <si>
    <t>269   -431    842    38</t>
  </si>
  <si>
    <t>8    731   -423    766    434</t>
  </si>
  <si>
    <t>419    116</t>
  </si>
  <si>
    <t>1489    473    408   -42</t>
  </si>
  <si>
    <t>5   -198   -992      6    -87</t>
  </si>
  <si>
    <t>121   -474</t>
  </si>
  <si>
    <t>1029   -377   -215   -23</t>
  </si>
  <si>
    <t>8    660    278    229     99</t>
  </si>
  <si>
    <t>477    484</t>
  </si>
  <si>
    <t>359    542    382    52</t>
  </si>
  <si>
    <t>9  16495  17812  18769  18727</t>
  </si>
  <si>
    <t>093   -357</t>
  </si>
  <si>
    <t>6624   -586   -171</t>
  </si>
  <si>
    <t>0      0    -53      0    541</t>
  </si>
  <si>
    <t>0     25   -277</t>
  </si>
  <si>
    <t>0   -195    787</t>
  </si>
  <si>
    <t>0      0   -945 -42839    -85</t>
  </si>
  <si>
    <t>016   2055</t>
  </si>
  <si>
    <t>0   -751      0      0      0</t>
  </si>
  <si>
    <t>0    -96      0      0      0</t>
  </si>
  <si>
    <t>0      0  -1703 -3492</t>
  </si>
  <si>
    <t>8      0   -109      0      0</t>
  </si>
  <si>
    <t>0      0    362   -110      0</t>
  </si>
  <si>
    <t>102   -201</t>
  </si>
  <si>
    <t>10    -93   -776    -8</t>
  </si>
  <si>
    <t>6   -199      0      0      0</t>
  </si>
  <si>
    <t>0     48</t>
  </si>
  <si>
    <t>1512    446  -3394 -3790</t>
  </si>
  <si>
    <t>0   -216    130    158      0</t>
  </si>
  <si>
    <t>442   3907</t>
  </si>
  <si>
    <t>-546    478    473    83</t>
  </si>
  <si>
    <t>8   2077   -258      0      0</t>
  </si>
  <si>
    <t>18   -997</t>
  </si>
  <si>
    <t>0   -615  -2705   -27</t>
  </si>
  <si>
    <t>2    163      0      0      0</t>
  </si>
  <si>
    <t>0    970</t>
  </si>
  <si>
    <t>2298      0  -3098 -3835</t>
  </si>
  <si>
    <t>0   -289   -366   -186   -338</t>
  </si>
  <si>
    <t>344   1756</t>
  </si>
  <si>
    <t>0   -257      0</t>
  </si>
  <si>
    <t>0   2192    964      0    120</t>
  </si>
  <si>
    <t>-203      0     69    67</t>
  </si>
  <si>
    <t>6   -307      0      0      0</t>
  </si>
  <si>
    <t>0    652</t>
  </si>
  <si>
    <t>1920      0  -2143 -3552</t>
  </si>
  <si>
    <t>7    199      0      0      0</t>
  </si>
  <si>
    <t>680   2050</t>
  </si>
  <si>
    <t>0   2947      0      0    -37</t>
  </si>
  <si>
    <t>0   -710</t>
  </si>
  <si>
    <t>0  -1513      0</t>
  </si>
  <si>
    <t>0   1322</t>
  </si>
  <si>
    <t>922      0   -994 -4141</t>
  </si>
  <si>
    <t>0  -2939</t>
  </si>
  <si>
    <t>1679   -433    252     9</t>
  </si>
  <si>
    <t>9    705  -1126      0      0</t>
  </si>
  <si>
    <t>0  -1455</t>
  </si>
  <si>
    <t>0  -1434      0</t>
  </si>
  <si>
    <t>0   -286      0      0      0</t>
  </si>
  <si>
    <t>0   1457</t>
  </si>
  <si>
    <t>158   2163    865    54</t>
  </si>
  <si>
    <t>7    762    916   -726    111</t>
  </si>
  <si>
    <t>0      0   -183   -210    815</t>
  </si>
  <si>
    <t>-62    913</t>
  </si>
  <si>
    <t>640      0      0    14</t>
  </si>
  <si>
    <t>5      0   -285   -816      0</t>
  </si>
  <si>
    <t>0      0  -3175  -331</t>
  </si>
  <si>
    <t>0  -1088</t>
  </si>
  <si>
    <t>0   1894   1519      0   -760</t>
  </si>
  <si>
    <t>440  -1581</t>
  </si>
  <si>
    <t>3500   5635  -3114</t>
  </si>
  <si>
    <t>0      0  -1823  -4153 -32445</t>
  </si>
  <si>
    <t>761  -8457</t>
  </si>
  <si>
    <t>2754      0   -205    53</t>
  </si>
  <si>
    <t>4   -122   -772   -231   1800</t>
  </si>
  <si>
    <t>4   -527</t>
  </si>
  <si>
    <t>-149   1059    954   -75</t>
  </si>
  <si>
    <t>0     10   1175    337    209</t>
  </si>
  <si>
    <t>94   1480</t>
  </si>
  <si>
    <t>192  -1204  -1086   -26</t>
  </si>
  <si>
    <t>2   -147   -374   -265  -1200</t>
  </si>
  <si>
    <t>169   -963</t>
  </si>
  <si>
    <t>-198   -441   1545    55</t>
  </si>
  <si>
    <t>6    474    422    912    898</t>
  </si>
  <si>
    <t>726    988</t>
  </si>
  <si>
    <t>702    979  28020  3430</t>
  </si>
  <si>
    <t>4  34104  34342  33104  17106</t>
  </si>
  <si>
    <t>-608   -362      0</t>
  </si>
  <si>
    <t>0      4      0    607      0</t>
  </si>
  <si>
    <t>-20   -265      0</t>
  </si>
  <si>
    <t>-190    738      0</t>
  </si>
  <si>
    <t>0   -617 -43016   -441      3</t>
  </si>
  <si>
    <t>370    106</t>
  </si>
  <si>
    <t>1      0      0      0    199</t>
  </si>
  <si>
    <t>0  -1689 -34061</t>
  </si>
  <si>
    <t>0    200      0      0      0</t>
  </si>
  <si>
    <t>-576   -344      0</t>
  </si>
  <si>
    <t>0    963   -296      0    200</t>
  </si>
  <si>
    <t>77    195</t>
  </si>
  <si>
    <t>76   -277    344    13</t>
  </si>
  <si>
    <t>259   1281</t>
  </si>
  <si>
    <t>553  -2887 -36480   -21</t>
  </si>
  <si>
    <t>9   -322   -101      0  -1253</t>
  </si>
  <si>
    <t>596   -658</t>
  </si>
  <si>
    <t>-134    -96    248   200</t>
  </si>
  <si>
    <t>0    560      0      0   -176</t>
  </si>
  <si>
    <t>402      0</t>
  </si>
  <si>
    <t>-333    -70    382   -35</t>
  </si>
  <si>
    <t>363   2054</t>
  </si>
  <si>
    <t>0  -3202 -36973  -123</t>
  </si>
  <si>
    <t>4  -1083  -1388  -4923    480</t>
  </si>
  <si>
    <t>-433      0      0   193</t>
  </si>
  <si>
    <t>6   1574      0    215      0</t>
  </si>
  <si>
    <t>0   -293    653    26</t>
  </si>
  <si>
    <t>154   2438</t>
  </si>
  <si>
    <t>0  -2133 -34556    15</t>
  </si>
  <si>
    <t>7      0      0      0   -542</t>
  </si>
  <si>
    <t>788     86</t>
  </si>
  <si>
    <t>1082   -662      0   296</t>
  </si>
  <si>
    <t>7      0      0    -90      0</t>
  </si>
  <si>
    <t>624      0</t>
  </si>
  <si>
    <t>1390      0      0</t>
  </si>
  <si>
    <t>445    960</t>
  </si>
  <si>
    <t>0  -1002 -40661</t>
  </si>
  <si>
    <t>993  -1614</t>
  </si>
  <si>
    <t>-361    300     40    89</t>
  </si>
  <si>
    <t>6  -1271      0      0      0</t>
  </si>
  <si>
    <t>292      0</t>
  </si>
  <si>
    <t>1355      0      0   -23</t>
  </si>
  <si>
    <t>536    137</t>
  </si>
  <si>
    <t>2691   1259    929   125</t>
  </si>
  <si>
    <t>1   2098    524   1518      0</t>
  </si>
  <si>
    <t>0   -238   -223    588    -96</t>
  </si>
  <si>
    <t>817    121</t>
  </si>
  <si>
    <t>0      0    225</t>
  </si>
  <si>
    <t>0   -211  -1132      0      0</t>
  </si>
  <si>
    <t>0   1369   2813</t>
  </si>
  <si>
    <t>0      0      0   192</t>
  </si>
  <si>
    <t>8   1639      0   -995  -1659</t>
  </si>
  <si>
    <t>796  -3503</t>
  </si>
  <si>
    <t>5718  -3144      0</t>
  </si>
  <si>
    <t>0  -2051  -6287  -8145 -31291</t>
  </si>
  <si>
    <t>572  25635</t>
  </si>
  <si>
    <t>0    -51   -220     1</t>
  </si>
  <si>
    <t>3  -1113   -301    445    349</t>
  </si>
  <si>
    <t>166   -289</t>
  </si>
  <si>
    <t>-188    672   -984    -8</t>
  </si>
  <si>
    <t>3    110    844   -132   -188</t>
  </si>
  <si>
    <t>17    830</t>
  </si>
  <si>
    <t>1390  -1188     20    -4</t>
  </si>
  <si>
    <t>9   -599    -51  -1165   -805</t>
  </si>
  <si>
    <t>769   -235</t>
  </si>
  <si>
    <t>-753   1137    648    48</t>
  </si>
  <si>
    <t>6    479    953    823    657</t>
  </si>
  <si>
    <t>079    751</t>
  </si>
  <si>
    <t>952  27677  31890  3520</t>
  </si>
  <si>
    <t>1  33819  32738  17967  29293</t>
  </si>
  <si>
    <t>424 -27867</t>
  </si>
  <si>
    <t>-595   -351      0</t>
  </si>
  <si>
    <t>0    -43      0    664      0</t>
  </si>
  <si>
    <t>-9   -240      0</t>
  </si>
  <si>
    <t>-293    804      0</t>
  </si>
  <si>
    <t>0   -348 -53787   -486    -23</t>
  </si>
  <si>
    <t>628     86</t>
  </si>
  <si>
    <t>8      0      0      0    385</t>
  </si>
  <si>
    <t>0  -2024 -37153</t>
  </si>
  <si>
    <t>0    470      0      0      0</t>
  </si>
  <si>
    <t>0     95</t>
  </si>
  <si>
    <t>-797   -451      0</t>
  </si>
  <si>
    <t>0   1575   -419      0    301</t>
  </si>
  <si>
    <t>364    204</t>
  </si>
  <si>
    <t>305    427    662    42</t>
  </si>
  <si>
    <t>415   1364</t>
  </si>
  <si>
    <t>729  -3418 -39675   -21</t>
  </si>
  <si>
    <t>6   -389   -155      0  -1167</t>
  </si>
  <si>
    <t>198   -836</t>
  </si>
  <si>
    <t>-139    -52    356   224</t>
  </si>
  <si>
    <t>0    726      0      0   -185</t>
  </si>
  <si>
    <t>-375    -74    445   -36</t>
  </si>
  <si>
    <t>420   2515</t>
  </si>
  <si>
    <t>0  -3710 -40650   -19</t>
  </si>
  <si>
    <t>2   -241    -77    122   -623</t>
  </si>
  <si>
    <t>-278      0      0   261</t>
  </si>
  <si>
    <t>3   1065      0    184      0</t>
  </si>
  <si>
    <t>0   -248</t>
  </si>
  <si>
    <t>0    140    727   -30</t>
  </si>
  <si>
    <t>834   2357</t>
  </si>
  <si>
    <t>0  -2458 -39350   -24</t>
  </si>
  <si>
    <t>2      0      0      0    338</t>
  </si>
  <si>
    <t>587    151</t>
  </si>
  <si>
    <t>1030   -676      0   375</t>
  </si>
  <si>
    <t>8      0      0   -470      0</t>
  </si>
  <si>
    <t>1491      0      0</t>
  </si>
  <si>
    <t>295   1185</t>
  </si>
  <si>
    <t>0  -1226 -44078</t>
  </si>
  <si>
    <t>657  -1601</t>
  </si>
  <si>
    <t>-563    162     74    98</t>
  </si>
  <si>
    <t>6   -672      0      0      0</t>
  </si>
  <si>
    <t>1468      0      0   -36</t>
  </si>
  <si>
    <t>469    322</t>
  </si>
  <si>
    <t>2395   1085    716   101</t>
  </si>
  <si>
    <t>0   1006    695   2606      0</t>
  </si>
  <si>
    <t>0   -194   -267    661    -58</t>
  </si>
  <si>
    <t>884     15</t>
  </si>
  <si>
    <t>0   -268  -1005      0      0</t>
  </si>
  <si>
    <t>0    898   8149</t>
  </si>
  <si>
    <t>0      0      0   234</t>
  </si>
  <si>
    <t>3     87      0  -1577  -2312</t>
  </si>
  <si>
    <t>691  -4294</t>
  </si>
  <si>
    <t>7223  -3758      0</t>
  </si>
  <si>
    <t>0   5733  -7395  -8675 -10774</t>
  </si>
  <si>
    <t>295  26512</t>
  </si>
  <si>
    <t>0    234   -360   -41</t>
  </si>
  <si>
    <t>6   -766   -331    288   -489</t>
  </si>
  <si>
    <t>508   -281</t>
  </si>
  <si>
    <t>-386    832   -422    -8</t>
  </si>
  <si>
    <t>9     77    151    466   -221</t>
  </si>
  <si>
    <t>108   -181</t>
  </si>
  <si>
    <t>8   -362   -446  -1361  -1514</t>
  </si>
  <si>
    <t>068   -865</t>
  </si>
  <si>
    <t>-772    716    764    68</t>
  </si>
  <si>
    <t>5    578   1113   1087    771</t>
  </si>
  <si>
    <t>257    850</t>
  </si>
  <si>
    <t>1183  31401  36454  3869</t>
  </si>
  <si>
    <t>3  40909  36979  19582  32097</t>
  </si>
  <si>
    <t>567    410</t>
  </si>
  <si>
    <t>1164   -745   -377</t>
  </si>
  <si>
    <t>0      0    -31      0    782</t>
  </si>
  <si>
    <t>0     62   -276</t>
  </si>
  <si>
    <t>0   -114    942</t>
  </si>
  <si>
    <t>0      0  -1089 -48210   -335</t>
  </si>
  <si>
    <t>762   1117</t>
  </si>
  <si>
    <t>-140      0      0</t>
  </si>
  <si>
    <t>0   -311      0      0      0</t>
  </si>
  <si>
    <t>0    -56      0      0      0</t>
  </si>
  <si>
    <t>0      0  -1557 -4317</t>
  </si>
  <si>
    <t>5      0   -265      0      0</t>
  </si>
  <si>
    <t>0      0    139     35      0</t>
  </si>
  <si>
    <t>78   -421</t>
  </si>
  <si>
    <t>7   -301      0      0      0</t>
  </si>
  <si>
    <t>1549    230  -2840 -4712</t>
  </si>
  <si>
    <t>1   -191     86    170      0</t>
  </si>
  <si>
    <t>319   2111</t>
  </si>
  <si>
    <t>-224   -134    -67    35</t>
  </si>
  <si>
    <t>7   1828    765      0      0</t>
  </si>
  <si>
    <t>0   -185   -110    35</t>
  </si>
  <si>
    <t>5   -218      0      0      0</t>
  </si>
  <si>
    <t>0    447</t>
  </si>
  <si>
    <t>1882      0  -3023 -4816</t>
  </si>
  <si>
    <t>5   -296    -88     50   -208</t>
  </si>
  <si>
    <t>951   2537</t>
  </si>
  <si>
    <t>0   -352      0</t>
  </si>
  <si>
    <t>0   2077   1310      0     86</t>
  </si>
  <si>
    <t>-123      0    244    55</t>
  </si>
  <si>
    <t>3   -375      0      0      0</t>
  </si>
  <si>
    <t>0    497</t>
  </si>
  <si>
    <t>1903      0  -1915 -4522</t>
  </si>
  <si>
    <t>3    100      0      0      0</t>
  </si>
  <si>
    <t>465   3298</t>
  </si>
  <si>
    <t>0   3023      0      0    -48</t>
  </si>
  <si>
    <t>0   -625</t>
  </si>
  <si>
    <t>0  -1547      0</t>
  </si>
  <si>
    <t>0   1499</t>
  </si>
  <si>
    <t>785      0  -1180 -5595</t>
  </si>
  <si>
    <t>0  -7329</t>
  </si>
  <si>
    <t>3323   1753   2556    45</t>
  </si>
  <si>
    <t>9   1235  -8102      0      0</t>
  </si>
  <si>
    <t>0  -1397</t>
  </si>
  <si>
    <t>0  -2170      0</t>
  </si>
  <si>
    <t>0   1264      0      0      0</t>
  </si>
  <si>
    <t>0   2702</t>
  </si>
  <si>
    <t>261   9203   2315   171</t>
  </si>
  <si>
    <t>1   1669   2790   -420   1535</t>
  </si>
  <si>
    <t>0      0   -304   -465    519</t>
  </si>
  <si>
    <t>431    909</t>
  </si>
  <si>
    <t>28      0      0    27</t>
  </si>
  <si>
    <t>3      0    528  -1637      0</t>
  </si>
  <si>
    <t>0      0  -4594  -880</t>
  </si>
  <si>
    <t>0   1919    210      0  -2395</t>
  </si>
  <si>
    <t>819  -3112</t>
  </si>
  <si>
    <t>4684   4770  -3166</t>
  </si>
  <si>
    <t>0      0    964  -1250  -3050</t>
  </si>
  <si>
    <t>566  -4451</t>
  </si>
  <si>
    <t>6242      0  -1587  -179</t>
  </si>
  <si>
    <t>6  -1883  -2840  -1198   -618</t>
  </si>
  <si>
    <t>229  -2943</t>
  </si>
  <si>
    <t>1286  -2137   -715  -309</t>
  </si>
  <si>
    <t>4   -940  -1396  -1368  -1507</t>
  </si>
  <si>
    <t>587  -1880</t>
  </si>
  <si>
    <t>2234  -3816   -772    -1</t>
  </si>
  <si>
    <t>5     73    -52    -54  -3962</t>
  </si>
  <si>
    <t>861  -1834</t>
  </si>
  <si>
    <t>1420  -1412   3109    52</t>
  </si>
  <si>
    <t>4    497    399    601    720</t>
  </si>
  <si>
    <t>562   1000</t>
  </si>
  <si>
    <t>624    843  33846  3925</t>
  </si>
  <si>
    <t>0  41273  41206  43103  17110</t>
  </si>
  <si>
    <t>481  33404</t>
  </si>
  <si>
    <t>3260    237 -28821    -3</t>
  </si>
  <si>
    <t>3    -47      0      0    206</t>
  </si>
  <si>
    <t>7   -593      0      0      0</t>
  </si>
  <si>
    <t>3    220      0      0      6</t>
  </si>
  <si>
    <t>270    -68    -66</t>
  </si>
  <si>
    <t>0      0      0     53      0</t>
  </si>
  <si>
    <t>0    297 -55109      0   -227</t>
  </si>
  <si>
    <t>0      0   -200   -56</t>
  </si>
  <si>
    <t>2  -1085      0      0   -900</t>
  </si>
  <si>
    <t>571      0</t>
  </si>
  <si>
    <t>299    293   -145   169</t>
  </si>
  <si>
    <t>3   1088   1022  -1098      0</t>
  </si>
  <si>
    <t>0    629    513   112</t>
  </si>
  <si>
    <t>7   -698 -52010   1155    635</t>
  </si>
  <si>
    <t>823      0</t>
  </si>
  <si>
    <t>1488   1357   -432     4</t>
  </si>
  <si>
    <t>6   1205   -601   -556   2546</t>
  </si>
  <si>
    <t>3987  -7402      0  -724</t>
  </si>
  <si>
    <t>4   2511   2496   2079      0</t>
  </si>
  <si>
    <t>0   1296   -233</t>
  </si>
  <si>
    <t>0   -736 -51283    -59   -175</t>
  </si>
  <si>
    <t>17    144</t>
  </si>
  <si>
    <t>299    -88      0    13</t>
  </si>
  <si>
    <t>8      0      0   -431   -290</t>
  </si>
  <si>
    <t>0      0    -40</t>
  </si>
  <si>
    <t>0   -171   -196   -509      0</t>
  </si>
  <si>
    <t>0    -39    305</t>
  </si>
  <si>
    <t>0   -800 -48967    361      0</t>
  </si>
  <si>
    <t>331    533    521  -129</t>
  </si>
  <si>
    <t>4   -794      0    922      0</t>
  </si>
  <si>
    <t>0   -242      0  -118</t>
  </si>
  <si>
    <t>0   1226     78</t>
  </si>
  <si>
    <t>0    731 -53271      0      0</t>
  </si>
  <si>
    <t>0  -2875  -1076   -93</t>
  </si>
  <si>
    <t>5   -138    450  -1829   1222</t>
  </si>
  <si>
    <t>0  -2018      0  -173</t>
  </si>
  <si>
    <t>4      0      0   -551      0</t>
  </si>
  <si>
    <t>0   1219  -1083    88</t>
  </si>
  <si>
    <t>3    124    223    179    -57</t>
  </si>
  <si>
    <t>404    642</t>
  </si>
  <si>
    <t>0      0      0      0   -338</t>
  </si>
  <si>
    <t>398   2104</t>
  </si>
  <si>
    <t>-147   1592   -447</t>
  </si>
  <si>
    <t>0      0    153      0    -40</t>
  </si>
  <si>
    <t>0  -1766  -3197      0      0</t>
  </si>
  <si>
    <t>0  -1643      0</t>
  </si>
  <si>
    <t>0      0      0    622   -171</t>
  </si>
  <si>
    <t>0   7772</t>
  </si>
  <si>
    <t>5214    656   -936   126</t>
  </si>
  <si>
    <t>4   -641      0      0    553</t>
  </si>
  <si>
    <t>315  -2514</t>
  </si>
  <si>
    <t>1153    -93   -706</t>
  </si>
  <si>
    <t>0   -385 -13580   3277   1056</t>
  </si>
  <si>
    <t>890   2870</t>
  </si>
  <si>
    <t>378   -857    570   314</t>
  </si>
  <si>
    <t>0    -44   -791    960   1783</t>
  </si>
  <si>
    <t>478   -377</t>
  </si>
  <si>
    <t>3391   3296    347  -130</t>
  </si>
  <si>
    <t>3   -540  -1588    717    -95</t>
  </si>
  <si>
    <t>313   -822</t>
  </si>
  <si>
    <t>2    788   3001    263    159</t>
  </si>
  <si>
    <t>199    -84</t>
  </si>
  <si>
    <t>-27    144    125    14</t>
  </si>
  <si>
    <t>2  31455  37693  36821  36890</t>
  </si>
  <si>
    <t>080  15969</t>
  </si>
  <si>
    <t>0712  26970  29824  3541</t>
  </si>
  <si>
    <t>9    462 -29455    -31    -59</t>
  </si>
  <si>
    <t>88      0    -48</t>
  </si>
  <si>
    <t>0      0      0    -67   -251</t>
  </si>
  <si>
    <t>0      0      0   -175     49</t>
  </si>
  <si>
    <t>58 -40619     10     4</t>
  </si>
  <si>
    <t>7   -130    -66      0      0</t>
  </si>
  <si>
    <t>0      0      0      0   1153</t>
  </si>
  <si>
    <t>-272      0      0</t>
  </si>
  <si>
    <t>0      0   -460   -117    223</t>
  </si>
  <si>
    <t>2002   -257      0   -23</t>
  </si>
  <si>
    <t>8   -753   2166   -505    901</t>
  </si>
  <si>
    <t>0   -254    270    556   -560</t>
  </si>
  <si>
    <t>570   -113</t>
  </si>
  <si>
    <t>-256    -58      0     7</t>
  </si>
  <si>
    <t>2   -429    -31    179     42</t>
  </si>
  <si>
    <t>-432      0      0</t>
  </si>
  <si>
    <t>9    -64      0     10   -177</t>
  </si>
  <si>
    <t>362   -549</t>
  </si>
  <si>
    <t>0   -209    254      0  -1428</t>
  </si>
  <si>
    <t>731     50</t>
  </si>
  <si>
    <t>1341   -846  -1215    91</t>
  </si>
  <si>
    <t>7   1878      0    -61      0</t>
  </si>
  <si>
    <t>0  -1755</t>
  </si>
  <si>
    <t>3899      0   3207</t>
  </si>
  <si>
    <t>0      0  -3640      0   3362</t>
  </si>
  <si>
    <t>782   3978</t>
  </si>
  <si>
    <t>0   1401    -95      0   -657</t>
  </si>
  <si>
    <t>376    430</t>
  </si>
  <si>
    <t>1    -31    545  -1357   -734</t>
  </si>
  <si>
    <t>0    596</t>
  </si>
  <si>
    <t>0      0   -185</t>
  </si>
  <si>
    <t>0   -426      0  -1385      0</t>
  </si>
  <si>
    <t>0   1238     20      0   1000</t>
  </si>
  <si>
    <t>0  -3223   -971  -1042   -183</t>
  </si>
  <si>
    <t>312  -2212</t>
  </si>
  <si>
    <t>1216      0      0</t>
  </si>
  <si>
    <t>0  -1744      0  -1460      0</t>
  </si>
  <si>
    <t>0   -701</t>
  </si>
  <si>
    <t>0   1149  -1220    646    270</t>
  </si>
  <si>
    <t>183    448</t>
  </si>
  <si>
    <t>173   -190    659</t>
  </si>
  <si>
    <t>1125   -172    833   -11</t>
  </si>
  <si>
    <t>2    653   -512      0      0</t>
  </si>
  <si>
    <t>-194    355      0</t>
  </si>
  <si>
    <t>0      0      0      0   -350</t>
  </si>
  <si>
    <t>0  -1611      0      0      0</t>
  </si>
  <si>
    <t>-348      0   6829    27</t>
  </si>
  <si>
    <t>1  -6002  -1829   2353   -144</t>
  </si>
  <si>
    <t>738   9303   1288  -159</t>
  </si>
  <si>
    <t>5   -135   -873      0    897</t>
  </si>
  <si>
    <t>269 -13620</t>
  </si>
  <si>
    <t>87   2124     -9   287</t>
  </si>
  <si>
    <t>2   -626     95    673   4026</t>
  </si>
  <si>
    <t>708   2374</t>
  </si>
  <si>
    <t>623   1743   -433   245</t>
  </si>
  <si>
    <t>9    762   3028  -1140   -693</t>
  </si>
  <si>
    <t>221    -46</t>
  </si>
  <si>
    <t>0   -201   -444      6    837</t>
  </si>
  <si>
    <t>181   1297</t>
  </si>
  <si>
    <t>-27    623     -2    17</t>
  </si>
  <si>
    <t>4    235     48    130  33773</t>
  </si>
  <si>
    <t>780  40015</t>
  </si>
  <si>
    <t>8294  38182  16880  2821</t>
  </si>
  <si>
    <t>6  29973  30821  36239  38452</t>
  </si>
  <si>
    <t>279 -28192</t>
  </si>
  <si>
    <t>-87     70      0</t>
  </si>
  <si>
    <t>0    -53      0    -40      0</t>
  </si>
  <si>
    <t>-60   1175      0</t>
  </si>
  <si>
    <t>-272   -153      0</t>
  </si>
  <si>
    <t>0   -195 -38492     97    165</t>
  </si>
  <si>
    <t>52     -1</t>
  </si>
  <si>
    <t>8      0      0      0   -134</t>
  </si>
  <si>
    <t>0   -229 -51329</t>
  </si>
  <si>
    <t>937    126      0</t>
  </si>
  <si>
    <t>0  -1551    664      0   -240</t>
  </si>
  <si>
    <t>844   -601</t>
  </si>
  <si>
    <t>2735  -1379  -1265    -3</t>
  </si>
  <si>
    <t>620    694</t>
  </si>
  <si>
    <t>6    -42   -101      0    312</t>
  </si>
  <si>
    <t>222     36</t>
  </si>
  <si>
    <t>90    -87     14   -49</t>
  </si>
  <si>
    <t>7     82      0      0    -22</t>
  </si>
  <si>
    <t>120    116     71</t>
  </si>
  <si>
    <t>-55    199</t>
  </si>
  <si>
    <t>0   -555 -50503     -</t>
  </si>
  <si>
    <t>4    -79    -51    105    181</t>
  </si>
  <si>
    <t>134      0      0   -51</t>
  </si>
  <si>
    <t>9     30      0     17      0</t>
  </si>
  <si>
    <t>0      6</t>
  </si>
  <si>
    <t>0     68     64    -1</t>
  </si>
  <si>
    <t>-14    224</t>
  </si>
  <si>
    <t>0    113 -50212    97</t>
  </si>
  <si>
    <t>2      0      0      0   -138</t>
  </si>
  <si>
    <t>649  -1315</t>
  </si>
  <si>
    <t>-439   1567      0    24</t>
  </si>
  <si>
    <t>8      0      0   1643      0</t>
  </si>
  <si>
    <t>667      0</t>
  </si>
  <si>
    <t>9930      0      0</t>
  </si>
  <si>
    <t>277   -694</t>
  </si>
  <si>
    <t>0   1066 -52690</t>
  </si>
  <si>
    <t>974   -943</t>
  </si>
  <si>
    <t>1002   -294    277  -181</t>
  </si>
  <si>
    <t>3   1296      0      0      0</t>
  </si>
  <si>
    <t>065      0</t>
  </si>
  <si>
    <t>1159      0      0   -44</t>
  </si>
  <si>
    <t>069  -1160</t>
  </si>
  <si>
    <t>596      3    -57    12</t>
  </si>
  <si>
    <t>4    -28   -112    805      0</t>
  </si>
  <si>
    <t>0   -432     99    252     42</t>
  </si>
  <si>
    <t>884    -13</t>
  </si>
  <si>
    <t>0      0    188</t>
  </si>
  <si>
    <t>0    -84    253      0      0</t>
  </si>
  <si>
    <t>0   -654   -402</t>
  </si>
  <si>
    <t>7   -125      0    194   -281</t>
  </si>
  <si>
    <t>022  -7241</t>
  </si>
  <si>
    <t>2892    284      0</t>
  </si>
  <si>
    <t>0    309   4107    683    439</t>
  </si>
  <si>
    <t>189    468</t>
  </si>
  <si>
    <t>0   1437   2292   128</t>
  </si>
  <si>
    <t>5 -14849   3690    349    777</t>
  </si>
  <si>
    <t>895   3152</t>
  </si>
  <si>
    <t>705    429   2020   140</t>
  </si>
  <si>
    <t>6    459    586    839   2106</t>
  </si>
  <si>
    <t>776    788</t>
  </si>
  <si>
    <t>1984   -130    577   -46</t>
  </si>
  <si>
    <t>0   -437    -24   -619   -289</t>
  </si>
  <si>
    <t>584   -410</t>
  </si>
  <si>
    <t>-3    432   -444   -28</t>
  </si>
  <si>
    <t>1   1925    659    337     99</t>
  </si>
  <si>
    <t>357    158</t>
  </si>
  <si>
    <t>269  25745  34436  3558</t>
  </si>
  <si>
    <t>0  37540  35754   9504  26287</t>
  </si>
  <si>
    <t>655  31506</t>
  </si>
  <si>
    <t>3624  35985  41017    -7</t>
  </si>
  <si>
    <t>6 -28082    117     70      0</t>
  </si>
  <si>
    <t>0   -138      0</t>
  </si>
  <si>
    <t>0      0   -156   -493      0</t>
  </si>
  <si>
    <t>0      0   -214    -69      0</t>
  </si>
  <si>
    <t>0   -146</t>
  </si>
  <si>
    <t>8744     85    301    16</t>
  </si>
  <si>
    <t>5    -63      0      0      0</t>
  </si>
  <si>
    <t>0      0   -168</t>
  </si>
  <si>
    <t>0      0      0  -1828 -52573</t>
  </si>
  <si>
    <t>0     47</t>
  </si>
  <si>
    <t>0  -1107   1746    910      0</t>
  </si>
  <si>
    <t>312      0   -472    21</t>
  </si>
  <si>
    <t>1   -509   2009    134     63</t>
  </si>
  <si>
    <t>0      0      0  -157</t>
  </si>
  <si>
    <t>2   1123    558   -430 -49564</t>
  </si>
  <si>
    <t>131    100</t>
  </si>
  <si>
    <t>121      0    525    28</t>
  </si>
  <si>
    <t>0    -18     30    -14    182</t>
  </si>
  <si>
    <t>669      6</t>
  </si>
  <si>
    <t>0      0   -116   -88</t>
  </si>
  <si>
    <t>5      0   -690    121     75</t>
  </si>
  <si>
    <t>121      0</t>
  </si>
  <si>
    <t>1    209      0   -448 -50668</t>
  </si>
  <si>
    <t>-69     27    342    29</t>
  </si>
  <si>
    <t>6      0    -16      0      0</t>
  </si>
  <si>
    <t>641    -61</t>
  </si>
  <si>
    <t>0    261      0</t>
  </si>
  <si>
    <t>0    -91      0    143    198</t>
  </si>
  <si>
    <t>6    190      0   -498 -48187</t>
  </si>
  <si>
    <t>0      0    265    82</t>
  </si>
  <si>
    <t>2    529  -1354   -797      0</t>
  </si>
  <si>
    <t>0    -79      0   -65</t>
  </si>
  <si>
    <t>3      0  -1450      0      0</t>
  </si>
  <si>
    <t>0      0      0   127</t>
  </si>
  <si>
    <t>7     67      0   3762 -55680</t>
  </si>
  <si>
    <t>0      0      0  -296</t>
  </si>
  <si>
    <t>9  -3569  -1435    208  -1484</t>
  </si>
  <si>
    <t>941   3774</t>
  </si>
  <si>
    <t>0      0      0 -1244</t>
  </si>
  <si>
    <t>7      0  -9329      0      0</t>
  </si>
  <si>
    <t>0      0      0   195</t>
  </si>
  <si>
    <t>8  -2709  -3061   -988   -970</t>
  </si>
  <si>
    <t>023  -1160</t>
  </si>
  <si>
    <t>-668    -66      0</t>
  </si>
  <si>
    <t>0   -538</t>
  </si>
  <si>
    <t>184   4665     52   331</t>
  </si>
  <si>
    <t>2   -183      0      0     85</t>
  </si>
  <si>
    <t>0      0      0  -1537  -3672</t>
  </si>
  <si>
    <t>444   -154</t>
  </si>
  <si>
    <t>0   2877   1043    72</t>
  </si>
  <si>
    <t>2   -551   1311   -281      0</t>
  </si>
  <si>
    <t>2879   1216   1140     3</t>
  </si>
  <si>
    <t>0     22      0   3370   1976</t>
  </si>
  <si>
    <t>731    672</t>
  </si>
  <si>
    <t>2743   1086   1644     9</t>
  </si>
  <si>
    <t>1   2647   1766   1144    144</t>
  </si>
  <si>
    <t>001   1363</t>
  </si>
  <si>
    <t>1349    244   5093   139</t>
  </si>
  <si>
    <t>8   1520   -574    -94  -1497</t>
  </si>
  <si>
    <t>751   -965</t>
  </si>
  <si>
    <t>-849    523   -171   -13</t>
  </si>
  <si>
    <t>0     60    134    440   -269</t>
  </si>
  <si>
    <t>517    -60</t>
  </si>
  <si>
    <t>2591    423    368    30</t>
  </si>
  <si>
    <t>9    338    414  31162  34414</t>
  </si>
  <si>
    <t>586  35548</t>
  </si>
  <si>
    <t>7054  14981  27051  2624</t>
  </si>
  <si>
    <t>5  28731  37601  38506  40987</t>
  </si>
  <si>
    <t>751    121</t>
  </si>
  <si>
    <t>3594   -653    -84</t>
  </si>
  <si>
    <t>0      0    -29      0    233</t>
  </si>
  <si>
    <t>0     62   -210</t>
  </si>
  <si>
    <t>0    254    538</t>
  </si>
  <si>
    <t>0      0   -192 -46334    156</t>
  </si>
  <si>
    <t>166   -198</t>
  </si>
  <si>
    <t>-68      0      0</t>
  </si>
  <si>
    <t>0    441      0      0      0</t>
  </si>
  <si>
    <t>0   -145      0      0      0</t>
  </si>
  <si>
    <t>0      0     62 -5765</t>
  </si>
  <si>
    <t>1      0   -129      0      0</t>
  </si>
  <si>
    <t>182     76     16</t>
  </si>
  <si>
    <t>0      0   -140      4      0</t>
  </si>
  <si>
    <t>31   -112</t>
  </si>
  <si>
    <t>50    -85     21    -5</t>
  </si>
  <si>
    <t>2    -83      0      0      0</t>
  </si>
  <si>
    <t>0     30</t>
  </si>
  <si>
    <t>-383     65    638 -6822</t>
  </si>
  <si>
    <t>9  -1047    -90   -609      0</t>
  </si>
  <si>
    <t>897   1974</t>
  </si>
  <si>
    <t>458    173    211   -20</t>
  </si>
  <si>
    <t>4    407  -1847      0      0</t>
  </si>
  <si>
    <t>228   -350</t>
  </si>
  <si>
    <t>0    208   1914    58</t>
  </si>
  <si>
    <t>8   -333      0      0      0</t>
  </si>
  <si>
    <t>-804      0    789 -6821</t>
  </si>
  <si>
    <t>1  -1588  -1005   -629     68</t>
  </si>
  <si>
    <t>368    532</t>
  </si>
  <si>
    <t>0     26      0</t>
  </si>
  <si>
    <t>0    -13  -1154      0   -141</t>
  </si>
  <si>
    <t>58      0   1417   111</t>
  </si>
  <si>
    <t>3   -590      0      0      0</t>
  </si>
  <si>
    <t>0    660</t>
  </si>
  <si>
    <t>-779      0   -332 -6065</t>
  </si>
  <si>
    <t>4    353      0      0      0</t>
  </si>
  <si>
    <t>264    200</t>
  </si>
  <si>
    <t>658  -1474   -862</t>
  </si>
  <si>
    <t>0   1479      0      0   -171</t>
  </si>
  <si>
    <t>0  -1665      0</t>
  </si>
  <si>
    <t>0   1552</t>
  </si>
  <si>
    <t>-753      0   2317 -6554</t>
  </si>
  <si>
    <t>0  -3204</t>
  </si>
  <si>
    <t>1552  -1287   -257    58</t>
  </si>
  <si>
    <t>3  -1996   2007      0      0</t>
  </si>
  <si>
    <t>0  -2008</t>
  </si>
  <si>
    <t>0  -1566      0</t>
  </si>
  <si>
    <t>0   -580      0      0      0</t>
  </si>
  <si>
    <t>0   1867</t>
  </si>
  <si>
    <t>2778   2592   1310    72</t>
  </si>
  <si>
    <t>5    938    415   -613    395</t>
  </si>
  <si>
    <t>0      0   -175   -267    738</t>
  </si>
  <si>
    <t>227    630</t>
  </si>
  <si>
    <t>-855      0      0    10</t>
  </si>
  <si>
    <t>7      0    907    -54      0</t>
  </si>
  <si>
    <t>0      0   -649  -133</t>
  </si>
  <si>
    <t>0  -2127</t>
  </si>
  <si>
    <t>0    704    -42      0   2568</t>
  </si>
  <si>
    <t>331   8798</t>
  </si>
  <si>
    <t>1636  -6993  -1485</t>
  </si>
  <si>
    <t>0      0    319   2432   8214</t>
  </si>
  <si>
    <t>022   1714</t>
  </si>
  <si>
    <t>9148      0    741    92</t>
  </si>
  <si>
    <t>0   -578   -650    902   1095</t>
  </si>
  <si>
    <t>923   -398</t>
  </si>
  <si>
    <t>767    524   -707   -57</t>
  </si>
  <si>
    <t>0    417   1731     85   -471</t>
  </si>
  <si>
    <t>912   1086</t>
  </si>
  <si>
    <t>1315  -1573    996   -38</t>
  </si>
  <si>
    <t>4   -235   -590   -178  -1308</t>
  </si>
  <si>
    <t>298  -1636</t>
  </si>
  <si>
    <t>-942     28   1015    -4</t>
  </si>
  <si>
    <t>8   -127    -19    367    102</t>
  </si>
  <si>
    <t>63     97</t>
  </si>
  <si>
    <t>32    -39  35713  4239</t>
  </si>
  <si>
    <t>0  42828  42785  44295  17975</t>
  </si>
  <si>
    <t>721  32050</t>
  </si>
  <si>
    <t>5305  42943  49517  5138</t>
  </si>
  <si>
    <t>4  46877  47337   -155 -32887</t>
  </si>
  <si>
    <t>0    291      0      0      0</t>
  </si>
  <si>
    <t>-20     61</t>
  </si>
  <si>
    <t>45     18</t>
  </si>
  <si>
    <t>0      0   -253 -4474</t>
  </si>
  <si>
    <t>5    -16    269     42    -38</t>
  </si>
  <si>
    <t>0    259      0</t>
  </si>
  <si>
    <t>0      0    -38      0      0</t>
  </si>
  <si>
    <t>0    -49      0</t>
  </si>
  <si>
    <t>5218      0   -101</t>
  </si>
  <si>
    <t>0      0      0      0     25</t>
  </si>
  <si>
    <t>39     43</t>
  </si>
  <si>
    <t>0      0   -109     1</t>
  </si>
  <si>
    <t>7      0     -1   -220      2</t>
  </si>
  <si>
    <t>166    -42</t>
  </si>
  <si>
    <t>-56   -109      0</t>
  </si>
  <si>
    <t>0      0      0    -69   -372</t>
  </si>
  <si>
    <t>47   -959</t>
  </si>
  <si>
    <t>3712    695    692    31</t>
  </si>
  <si>
    <t>9      0   2181   3041   1455</t>
  </si>
  <si>
    <t>577    376</t>
  </si>
  <si>
    <t>-383   2006  -1004</t>
  </si>
  <si>
    <t>0      0   -210   1968      0</t>
  </si>
  <si>
    <t>587   -405</t>
  </si>
  <si>
    <t>-460    483      0</t>
  </si>
  <si>
    <t>0      0      0  -1474   -125</t>
  </si>
  <si>
    <t>1354    -88    101     7</t>
  </si>
  <si>
    <t>0     58    246    205      0</t>
  </si>
  <si>
    <t>0    436     52</t>
  </si>
  <si>
    <t>0    129      0      0     -5</t>
  </si>
  <si>
    <t>165     37      0</t>
  </si>
  <si>
    <t>0      0      0     93   -473</t>
  </si>
  <si>
    <t>0    245</t>
  </si>
  <si>
    <t>4350   -807      0</t>
  </si>
  <si>
    <t>0      0    211    671    636</t>
  </si>
  <si>
    <t>232  -2975</t>
  </si>
  <si>
    <t>0    890      0</t>
  </si>
  <si>
    <t>0   -630      0     58      0</t>
  </si>
  <si>
    <t>0      0      0   2618   -518</t>
  </si>
  <si>
    <t>0   2253</t>
  </si>
  <si>
    <t>3134      0      0</t>
  </si>
  <si>
    <t>0      0      0  -3200  -1679</t>
  </si>
  <si>
    <t>175   -178</t>
  </si>
  <si>
    <t>401  -1397   1512</t>
  </si>
  <si>
    <t>0      0      0  -1843      0</t>
  </si>
  <si>
    <t>0   -654      0</t>
  </si>
  <si>
    <t>0      0      0   1535  -2397</t>
  </si>
  <si>
    <t>517    434</t>
  </si>
  <si>
    <t>52    309    197   -70</t>
  </si>
  <si>
    <t>7    248      0      0      0</t>
  </si>
  <si>
    <t>0      0    -64    -2</t>
  </si>
  <si>
    <t>0    222    -78    288    -86</t>
  </si>
  <si>
    <t>121      0    566     2</t>
  </si>
  <si>
    <t>0  -1010</t>
  </si>
  <si>
    <t>-863      0      0</t>
  </si>
  <si>
    <t>0      0      0  -1796      0</t>
  </si>
  <si>
    <t>0    261    -55</t>
  </si>
  <si>
    <t>0   1048   1592   2044   5944</t>
  </si>
  <si>
    <t>116   -516</t>
  </si>
  <si>
    <t>0      0    164   133</t>
  </si>
  <si>
    <t>8   3054   1995   5471  -3686</t>
  </si>
  <si>
    <t>0    553</t>
  </si>
  <si>
    <t>1025    905  -2130    44</t>
  </si>
  <si>
    <t>0   3808    729  -3692    503</t>
  </si>
  <si>
    <t>640    760</t>
  </si>
  <si>
    <t>1622    280    799    75</t>
  </si>
  <si>
    <t>6   -550    834    964    723</t>
  </si>
  <si>
    <t>142    -76</t>
  </si>
  <si>
    <t>-147    645    -19   -59</t>
  </si>
  <si>
    <t>7  -1128   -115  -1023   -267</t>
  </si>
  <si>
    <t>348    793</t>
  </si>
  <si>
    <t>-227     29     -1    51</t>
  </si>
  <si>
    <t>7      4    461    281    248</t>
  </si>
  <si>
    <t>180  34924</t>
  </si>
  <si>
    <t>7148  41827  41741  4281</t>
  </si>
  <si>
    <t>9  17467  25239  31094  34319</t>
  </si>
  <si>
    <t>853  46310</t>
  </si>
  <si>
    <t>8021  44940  44696  5996</t>
  </si>
  <si>
    <t>5    395 -34219   -434    -86</t>
  </si>
  <si>
    <t>-38      0    294</t>
  </si>
  <si>
    <t>0      0      0     46   -162</t>
  </si>
  <si>
    <t>0      0      0      3    360</t>
  </si>
  <si>
    <t>-296 -46974     26    26</t>
  </si>
  <si>
    <t>2    196    -14      0      0</t>
  </si>
  <si>
    <t>0    137</t>
  </si>
  <si>
    <t>0      0      0      0   -979</t>
  </si>
  <si>
    <t>0      0   -104     75     45</t>
  </si>
  <si>
    <t>-9    -21      0     5</t>
  </si>
  <si>
    <t>5   -143     26    -64    -24</t>
  </si>
  <si>
    <t>0     11    540    211   -748</t>
  </si>
  <si>
    <t>654   -714</t>
  </si>
  <si>
    <t>-231   -483      0    97</t>
  </si>
  <si>
    <t>4    639   -412   1241    441</t>
  </si>
  <si>
    <t>823  -1188</t>
  </si>
  <si>
    <t>108      0      0   -25</t>
  </si>
  <si>
    <t>3    368      0   1211    -57</t>
  </si>
  <si>
    <t>35    543</t>
  </si>
  <si>
    <t>0   -956    456      0   -799</t>
  </si>
  <si>
    <t>714   -183</t>
  </si>
  <si>
    <t>-1     94     16    26</t>
  </si>
  <si>
    <t>9    344      0     97      0</t>
  </si>
  <si>
    <t>114      0     91</t>
  </si>
  <si>
    <t>0      0    -58      0     97</t>
  </si>
  <si>
    <t>131    -19</t>
  </si>
  <si>
    <t>0    135    217      0   -851</t>
  </si>
  <si>
    <t>908    345</t>
  </si>
  <si>
    <t>1    676    663  -1446   -793</t>
  </si>
  <si>
    <t>0   1300</t>
  </si>
  <si>
    <t>0      0   -144</t>
  </si>
  <si>
    <t>0   -529      0  -1602      0</t>
  </si>
  <si>
    <t>0   1463     46      0   1503</t>
  </si>
  <si>
    <t>0  -1460  -1259  -2894  -2198</t>
  </si>
  <si>
    <t>318  -2997</t>
  </si>
  <si>
    <t>1207      0      0</t>
  </si>
  <si>
    <t>0  -2050      0   -746      0</t>
  </si>
  <si>
    <t>0  -2154</t>
  </si>
  <si>
    <t>0   2468  -1567   5607   1741</t>
  </si>
  <si>
    <t>038   1404</t>
  </si>
  <si>
    <t>810    -87    561</t>
  </si>
  <si>
    <t>-331   -201    614   -18</t>
  </si>
  <si>
    <t>8    200   -147      0      0</t>
  </si>
  <si>
    <t>83   -394      0</t>
  </si>
  <si>
    <t>0      0      0      0  -1382</t>
  </si>
  <si>
    <t>0     -7      0      0      0</t>
  </si>
  <si>
    <t>75      0    392   186</t>
  </si>
  <si>
    <t>4    562  -1165    675   -893</t>
  </si>
  <si>
    <t>163    421   1032     5</t>
  </si>
  <si>
    <t>1  -1066   1035      0    606</t>
  </si>
  <si>
    <t>022    681</t>
  </si>
  <si>
    <t>-906    717   1076    66</t>
  </si>
  <si>
    <t>2   -607    570   2124    519</t>
  </si>
  <si>
    <t>768    386</t>
  </si>
  <si>
    <t>1696    565   -319    76</t>
  </si>
  <si>
    <t>5   2974    712  -1369   -100</t>
  </si>
  <si>
    <t>35    199</t>
  </si>
  <si>
    <t>148    -18  -2274   -26</t>
  </si>
  <si>
    <t>9   -596   -299   -244    379</t>
  </si>
  <si>
    <t>313    270</t>
  </si>
  <si>
    <t>263    660    298    34</t>
  </si>
  <si>
    <t>1    797    361    564  35980</t>
  </si>
  <si>
    <t>566  43209</t>
  </si>
  <si>
    <t>3186  45472  18335  3300</t>
  </si>
  <si>
    <t>8  32677  35633  44361  44052</t>
  </si>
  <si>
    <t>385  44191</t>
  </si>
  <si>
    <t>5092  58189  52554    -1</t>
  </si>
  <si>
    <t>4 -32883     51    -31      0</t>
  </si>
  <si>
    <t>0    234      0</t>
  </si>
  <si>
    <t>0      0      2    -26      0</t>
  </si>
  <si>
    <t>0      0     18    -36      0</t>
  </si>
  <si>
    <t>0   -178</t>
  </si>
  <si>
    <t>4781    -30     53    -1</t>
  </si>
  <si>
    <t>7    -52      0      0      0</t>
  </si>
  <si>
    <t>0      0      0    188 -55399</t>
  </si>
  <si>
    <t>0     -3     46     40      0</t>
  </si>
  <si>
    <t>0   -233</t>
  </si>
  <si>
    <t>51      0    -14   -12</t>
  </si>
  <si>
    <t>5     36   -112   -113   -126</t>
  </si>
  <si>
    <t>4   -376     -6    -14 -59800</t>
  </si>
  <si>
    <t>-62    125</t>
  </si>
  <si>
    <t>15      0    277    38</t>
  </si>
  <si>
    <t>3     -6    141    139    -10</t>
  </si>
  <si>
    <t>408    -22</t>
  </si>
  <si>
    <t>0      0     -9    -3</t>
  </si>
  <si>
    <t>6      0    -11    153    108</t>
  </si>
  <si>
    <t>1   -560      0   -545 -64195</t>
  </si>
  <si>
    <t>264   -367</t>
  </si>
  <si>
    <t>-195   -788   1034   228</t>
  </si>
  <si>
    <t>6      0   1613      0      0</t>
  </si>
  <si>
    <t>083  -1105</t>
  </si>
  <si>
    <t>0   -161      0   -394   -897</t>
  </si>
  <si>
    <t>0      0      0  -180</t>
  </si>
  <si>
    <t>7    -46      0     51 -65028</t>
  </si>
  <si>
    <t>0      0   1220   217</t>
  </si>
  <si>
    <t>8   1291  -2844  -1258      0</t>
  </si>
  <si>
    <t>0  -1998      0   -95</t>
  </si>
  <si>
    <t>7      0  -1375      0      0</t>
  </si>
  <si>
    <t>0      0      0   148</t>
  </si>
  <si>
    <t>3   -452      0   2426 -63113</t>
  </si>
  <si>
    <t>0      0      0  -316</t>
  </si>
  <si>
    <t>0  -1683  -1301   -324    264</t>
  </si>
  <si>
    <t>402   1478</t>
  </si>
  <si>
    <t>0      0      0  -193</t>
  </si>
  <si>
    <t>5      0  -1571      0      0</t>
  </si>
  <si>
    <t>0      0      0   156</t>
  </si>
  <si>
    <t>6  -2292   1227    248     45</t>
  </si>
  <si>
    <t>250    253</t>
  </si>
  <si>
    <t>-529    276      0</t>
  </si>
  <si>
    <t>0    207</t>
  </si>
  <si>
    <t>-77    746    -77    71</t>
  </si>
  <si>
    <t>4   -139      0      0    152</t>
  </si>
  <si>
    <t>0    666</t>
  </si>
  <si>
    <t>-176      0      0</t>
  </si>
  <si>
    <t>0      0      0   -965   -610</t>
  </si>
  <si>
    <t>0      0      0  -177</t>
  </si>
  <si>
    <t>77    -96</t>
  </si>
  <si>
    <t>0    865   1274   139</t>
  </si>
  <si>
    <t>4   5213  -1395    -74      0</t>
  </si>
  <si>
    <t>1555   1756   2963   571</t>
  </si>
  <si>
    <t>0  -3343      0    595   1146</t>
  </si>
  <si>
    <t>192   -689</t>
  </si>
  <si>
    <t>618    836   3036    13</t>
  </si>
  <si>
    <t>4    541    991   2575   -872</t>
  </si>
  <si>
    <t>363    848</t>
  </si>
  <si>
    <t>934   1079    999   125</t>
  </si>
  <si>
    <t>4    941   -567   -119   -166</t>
  </si>
  <si>
    <t>34    195</t>
  </si>
  <si>
    <t>3   -518   -702    792     19</t>
  </si>
  <si>
    <t>-75     40</t>
  </si>
  <si>
    <t>482     30    277    24</t>
  </si>
  <si>
    <t>6    397    167  35066  40931</t>
  </si>
  <si>
    <t>861  42934</t>
  </si>
  <si>
    <t>2915  17311  31865  2530</t>
  </si>
  <si>
    <t>8  35629  40911  46301  49061</t>
  </si>
  <si>
    <t>289  45027</t>
  </si>
  <si>
    <t>8223  54520  54868    32</t>
  </si>
  <si>
    <t>6 -33487   -347    -68      0</t>
  </si>
  <si>
    <t>0    169      0</t>
  </si>
  <si>
    <t>0      0     58   -187      0</t>
  </si>
  <si>
    <t>0      0     20    261      0</t>
  </si>
  <si>
    <t>6085     -5    -10    18</t>
  </si>
  <si>
    <t>7     -3      0      0      0</t>
  </si>
  <si>
    <t>0      0    -14</t>
  </si>
  <si>
    <t>-25      0</t>
  </si>
  <si>
    <t>0      0      0   -774 -54039</t>
  </si>
  <si>
    <t>0    -50     70     41      0</t>
  </si>
  <si>
    <t>-19      0     40   -11</t>
  </si>
  <si>
    <t>5     44    -30     11     24</t>
  </si>
  <si>
    <t>-15      0</t>
  </si>
  <si>
    <t>1    450    216   -610 -58276</t>
  </si>
  <si>
    <t>185    -22</t>
  </si>
  <si>
    <t>-28      0   -174    24</t>
  </si>
  <si>
    <t>5     11    114    108     46</t>
  </si>
  <si>
    <t>151     -2</t>
  </si>
  <si>
    <t>0      0    -20   -14</t>
  </si>
  <si>
    <t>0      0    -51     67     71</t>
  </si>
  <si>
    <t>6      0</t>
  </si>
  <si>
    <t>1    266      0   -657 -62582</t>
  </si>
  <si>
    <t>612   -201</t>
  </si>
  <si>
    <t>-367   -439    171    47</t>
  </si>
  <si>
    <t>3      0   1362      0      0</t>
  </si>
  <si>
    <t>191    573</t>
  </si>
  <si>
    <t>0    -29      0</t>
  </si>
  <si>
    <t>0     25      0    157     62</t>
  </si>
  <si>
    <t>0      0      0  -111</t>
  </si>
  <si>
    <t>6    431      0   -606 -56585</t>
  </si>
  <si>
    <t>0      0   -593    26</t>
  </si>
  <si>
    <t>8    657  -1546   -853      0</t>
  </si>
  <si>
    <t>0   -182      0   -52</t>
  </si>
  <si>
    <t>2      0  -1587      0      0</t>
  </si>
  <si>
    <t>6     42      0    718 -68457</t>
  </si>
  <si>
    <t>0      0      0   -24</t>
  </si>
  <si>
    <t>2   -714  -2226   -703      5</t>
  </si>
  <si>
    <t>707    746</t>
  </si>
  <si>
    <t>0      0      0  -263</t>
  </si>
  <si>
    <t>7      0  -1478      0      0</t>
  </si>
  <si>
    <t>935      0</t>
  </si>
  <si>
    <t>0      0      0   183</t>
  </si>
  <si>
    <t>5   -889   4272   1402    867</t>
  </si>
  <si>
    <t>189    824</t>
  </si>
  <si>
    <t>320    295      0</t>
  </si>
  <si>
    <t>-182    967   -159    70</t>
  </si>
  <si>
    <t>7   -112      0      0     22</t>
  </si>
  <si>
    <t>-460      0      0</t>
  </si>
  <si>
    <t>0      0      0    291  -1045</t>
  </si>
  <si>
    <t>399     95</t>
  </si>
  <si>
    <t>0    139    146   130</t>
  </si>
  <si>
    <t>9  -1770    407   -618      0</t>
  </si>
  <si>
    <t>-14   -336    312  -163</t>
  </si>
  <si>
    <t>8   1117      0    313    290</t>
  </si>
  <si>
    <t>367  -1457</t>
  </si>
  <si>
    <t>327     85   1314  -134</t>
  </si>
  <si>
    <t>8    349    177    667  -1285</t>
  </si>
  <si>
    <t>127    126</t>
  </si>
  <si>
    <t>1085   -846    486    32</t>
  </si>
  <si>
    <t>0   1816  -1965    -75    -21</t>
  </si>
  <si>
    <t>155    284</t>
  </si>
  <si>
    <t>6   -199   -106     78    155</t>
  </si>
  <si>
    <t>176    153</t>
  </si>
  <si>
    <t>585    211    261    50</t>
  </si>
  <si>
    <t>2    277    515  35354  41109</t>
  </si>
  <si>
    <t>224  42489</t>
  </si>
  <si>
    <t>5548  17850  32848  3196</t>
  </si>
  <si>
    <t>6  35253  45590  45264  46093</t>
  </si>
  <si>
    <t>932  45695</t>
  </si>
  <si>
    <t>7950  54364  50803  5296</t>
  </si>
  <si>
    <t>8  -1947 -53009   -966   -235</t>
  </si>
  <si>
    <t>-29      0   1491</t>
  </si>
  <si>
    <t>0      0      0    -11   -552</t>
  </si>
  <si>
    <t>0      0      0   -359   1471</t>
  </si>
  <si>
    <t>1318 -72790    367   -16</t>
  </si>
  <si>
    <t>1  -1227   -155      0      0</t>
  </si>
  <si>
    <t>0   2142</t>
  </si>
  <si>
    <t>0   -234</t>
  </si>
  <si>
    <t>0      0      0      0  -2109</t>
  </si>
  <si>
    <t>092      0</t>
  </si>
  <si>
    <t>319      0      0</t>
  </si>
  <si>
    <t>0      0   -280   -952   -491</t>
  </si>
  <si>
    <t>1192   -320      0    22</t>
  </si>
  <si>
    <t>3   -220    100   -131   -131</t>
  </si>
  <si>
    <t>187    189</t>
  </si>
  <si>
    <t>0    346    767    636  -3869</t>
  </si>
  <si>
    <t>509   -355</t>
  </si>
  <si>
    <t>-363    -90      0     8</t>
  </si>
  <si>
    <t>3  -1443  -1178    -83      9</t>
  </si>
  <si>
    <t>455   4703</t>
  </si>
  <si>
    <t>804      0      0   -11</t>
  </si>
  <si>
    <t>7   -764      0   -681    369</t>
  </si>
  <si>
    <t>670   -428</t>
  </si>
  <si>
    <t>0    754   1591      0  -4204</t>
  </si>
  <si>
    <t>712   -287</t>
  </si>
  <si>
    <t>70    152    292     8</t>
  </si>
  <si>
    <t>1   -968      0   -369      0</t>
  </si>
  <si>
    <t>0   5525</t>
  </si>
  <si>
    <t>1268      0    391</t>
  </si>
  <si>
    <t>0      0   -323      0    677</t>
  </si>
  <si>
    <t>287   -227</t>
  </si>
  <si>
    <t>0   1363   1215      0  -3609</t>
  </si>
  <si>
    <t>842     81</t>
  </si>
  <si>
    <t>5  -1629   -471  -1874  -1171</t>
  </si>
  <si>
    <t>0   6733</t>
  </si>
  <si>
    <t>0      0    -88</t>
  </si>
  <si>
    <t>0  -1195      0  -2699      0</t>
  </si>
  <si>
    <t>0   2727    360      0   -840</t>
  </si>
  <si>
    <t>0  -5205  -2179  -1874   -736</t>
  </si>
  <si>
    <t>199   1743</t>
  </si>
  <si>
    <t>2139      0      0</t>
  </si>
  <si>
    <t>0  -2881      0  -2454      0</t>
  </si>
  <si>
    <t>0  -1237</t>
  </si>
  <si>
    <t>0   2241  -1481   2391   1104</t>
  </si>
  <si>
    <t>611   1037</t>
  </si>
  <si>
    <t>237    352   2296</t>
  </si>
  <si>
    <t>-482   -329   1410     1</t>
  </si>
  <si>
    <t>1   1595    -80      0      0</t>
  </si>
  <si>
    <t>97   1638      0</t>
  </si>
  <si>
    <t>0      0      0      0   -887</t>
  </si>
  <si>
    <t>0   -882      0      0      0</t>
  </si>
  <si>
    <t>0   3757</t>
  </si>
  <si>
    <t>81      0   1033   277</t>
  </si>
  <si>
    <t>5   3758   -611    417  -6076</t>
  </si>
  <si>
    <t>615    733   2548   285</t>
  </si>
  <si>
    <t>1    378  -4435      0    304</t>
  </si>
  <si>
    <t>767   1027</t>
  </si>
  <si>
    <t>1476   -124   1947    48</t>
  </si>
  <si>
    <t>8  -1968   -103    505   3119</t>
  </si>
  <si>
    <t>852    131</t>
  </si>
  <si>
    <t>831   1096    315    49</t>
  </si>
  <si>
    <t>1    956   1110  -2129    659</t>
  </si>
  <si>
    <t>104      6</t>
  </si>
  <si>
    <t>38   -270   -997   -83</t>
  </si>
  <si>
    <t>2   -631   -338     83    778</t>
  </si>
  <si>
    <t>601    485</t>
  </si>
  <si>
    <t>431   1177   1143    81</t>
  </si>
  <si>
    <t>1   1195    867   1127  50703</t>
  </si>
  <si>
    <t>550  61074</t>
  </si>
  <si>
    <t>1409  60422  25480  4599</t>
  </si>
  <si>
    <t>7  45230  50837  56436  52557</t>
  </si>
  <si>
    <t>672  50738</t>
  </si>
  <si>
    <t>1242  64871  61203  6222</t>
  </si>
  <si>
    <t>5  61101  61095  -1326 -53535</t>
  </si>
  <si>
    <t>734   -178</t>
  </si>
  <si>
    <t>329   1093</t>
  </si>
  <si>
    <t>0      0  -1070 -7328</t>
  </si>
  <si>
    <t>3    279     48   -682   -125</t>
  </si>
  <si>
    <t>0   1586      0</t>
  </si>
  <si>
    <t>0      0   -110      0      0</t>
  </si>
  <si>
    <t>0   -176      0</t>
  </si>
  <si>
    <t>0  -1777</t>
  </si>
  <si>
    <t>0097      0    174</t>
  </si>
  <si>
    <t>0      0      0      0   -535</t>
  </si>
  <si>
    <t>746   -356</t>
  </si>
  <si>
    <t>0      0    835   -20</t>
  </si>
  <si>
    <t>4      0    149   -307     36</t>
  </si>
  <si>
    <t>190   -254</t>
  </si>
  <si>
    <t>37     79      0</t>
  </si>
  <si>
    <t>0      0      0    201    901</t>
  </si>
  <si>
    <t>461  -3229</t>
  </si>
  <si>
    <t>7360   -285   -359   -12</t>
  </si>
  <si>
    <t>6      0    371   -697  -1009</t>
  </si>
  <si>
    <t>-22     26</t>
  </si>
  <si>
    <t>360   3601    649</t>
  </si>
  <si>
    <t>0      0    -67   -665      0</t>
  </si>
  <si>
    <t>622    229</t>
  </si>
  <si>
    <t>504   -359      0</t>
  </si>
  <si>
    <t>0      0      0    601   1559</t>
  </si>
  <si>
    <t>0  -3529</t>
  </si>
  <si>
    <t>9294   -201    -47     7</t>
  </si>
  <si>
    <t>1    269    278   -269      0</t>
  </si>
  <si>
    <t>0   4243   1039</t>
  </si>
  <si>
    <t>0    345      0      0   -264</t>
  </si>
  <si>
    <t>0    509</t>
  </si>
  <si>
    <t>1006   -175      0</t>
  </si>
  <si>
    <t>0      0      0   1068   1286</t>
  </si>
  <si>
    <t>0  -2903</t>
  </si>
  <si>
    <t>6301    236      0</t>
  </si>
  <si>
    <t>0      0   -172   -561   -195</t>
  </si>
  <si>
    <t>889  -1124</t>
  </si>
  <si>
    <t>0   5618      0</t>
  </si>
  <si>
    <t>0   -116      0  -1064      0</t>
  </si>
  <si>
    <t>0      0      0   2524    443</t>
  </si>
  <si>
    <t>4401      0      0</t>
  </si>
  <si>
    <t>0      0      0  -4448  -2080</t>
  </si>
  <si>
    <t>774   -624</t>
  </si>
  <si>
    <t>212    870   1925</t>
  </si>
  <si>
    <t>0      0      0  -2785      0</t>
  </si>
  <si>
    <t>0  -1103      0</t>
  </si>
  <si>
    <t>0      0      0   2046  -1225</t>
  </si>
  <si>
    <t>850    837</t>
  </si>
  <si>
    <t>536    851    150     5</t>
  </si>
  <si>
    <t>7   1650      0      0      0</t>
  </si>
  <si>
    <t>0      0   -417   -27</t>
  </si>
  <si>
    <t>3   1373      9   1543    -30</t>
  </si>
  <si>
    <t>392      0     83    78</t>
  </si>
  <si>
    <t>0  -1540</t>
  </si>
  <si>
    <t>2384      0      0</t>
  </si>
  <si>
    <t>0      0      0  -1227      0</t>
  </si>
  <si>
    <t>0   2921     14</t>
  </si>
  <si>
    <t>0    320   1530   1936  -1316</t>
  </si>
  <si>
    <t>206  -4661</t>
  </si>
  <si>
    <t>0      0    674    60</t>
  </si>
  <si>
    <t>2   1773   1709   -131  -1758</t>
  </si>
  <si>
    <t>0    228</t>
  </si>
  <si>
    <t>905   1006  -1368    -3</t>
  </si>
  <si>
    <t>6   1856    653  -1701     -2</t>
  </si>
  <si>
    <t>893   2620</t>
  </si>
  <si>
    <t>1565    158    991   106</t>
  </si>
  <si>
    <t>5    348    569   1176   1102</t>
  </si>
  <si>
    <t>788    278</t>
  </si>
  <si>
    <t>9  -1012   -742   -718   -415</t>
  </si>
  <si>
    <t>-86    720</t>
  </si>
  <si>
    <t>494    381    366   108</t>
  </si>
  <si>
    <t>7    947    698   1019    748</t>
  </si>
  <si>
    <t>965  49167</t>
  </si>
  <si>
    <t>6873  58786  59131  5870</t>
  </si>
  <si>
    <t>4  24711  44488  43523  48179</t>
  </si>
  <si>
    <t>672  52308</t>
  </si>
  <si>
    <t>3133  51112  51106  6289</t>
  </si>
  <si>
    <t>9  61129  62023  60841  60392</t>
  </si>
  <si>
    <t>589  -1056</t>
  </si>
  <si>
    <t>2331   -618   -150</t>
  </si>
  <si>
    <t>0      0    -11      0    927</t>
  </si>
  <si>
    <t>0     -7   -370</t>
  </si>
  <si>
    <t>0   -287    911</t>
  </si>
  <si>
    <t>0      0   -904 -71489    230</t>
  </si>
  <si>
    <t>70   -540</t>
  </si>
  <si>
    <t>-107      0      0</t>
  </si>
  <si>
    <t>0   1319      0      0      0</t>
  </si>
  <si>
    <t>-98      0</t>
  </si>
  <si>
    <t>0   -144      0      0      0</t>
  </si>
  <si>
    <t>0      0  -1521 -7930</t>
  </si>
  <si>
    <t>7      0    131      0      0</t>
  </si>
  <si>
    <t>0      0    684   -156      0</t>
  </si>
  <si>
    <t>119   -293</t>
  </si>
  <si>
    <t>15   -168   -243</t>
  </si>
  <si>
    <t>7     55      0      0      0</t>
  </si>
  <si>
    <t>0    143</t>
  </si>
  <si>
    <t>814    388  -2740 -8625</t>
  </si>
  <si>
    <t>2   -251   -332   -123      0</t>
  </si>
  <si>
    <t>353   -572</t>
  </si>
  <si>
    <t>-870     14     26    29</t>
  </si>
  <si>
    <t>8   2997    548      0      0</t>
  </si>
  <si>
    <t>0   -575    158    41</t>
  </si>
  <si>
    <t>7   -319      0      0      0</t>
  </si>
  <si>
    <t>0    519</t>
  </si>
  <si>
    <t>1366      0  -3010 -8812</t>
  </si>
  <si>
    <t>6   -168    -66     53    255</t>
  </si>
  <si>
    <t>264   -188</t>
  </si>
  <si>
    <t>0   3537    878      0    309</t>
  </si>
  <si>
    <t>-219      0    408    84</t>
  </si>
  <si>
    <t>4   -145      0      0      0</t>
  </si>
  <si>
    <t>0    909</t>
  </si>
  <si>
    <t>1143      0  -2451 -8581</t>
  </si>
  <si>
    <t>8    282      0      0      0</t>
  </si>
  <si>
    <t>124   -392</t>
  </si>
  <si>
    <t>0   4835      0      0   -116</t>
  </si>
  <si>
    <t>0   -955</t>
  </si>
  <si>
    <t>0  -2399      0</t>
  </si>
  <si>
    <t>0   2260</t>
  </si>
  <si>
    <t>396      0   -120 -9380</t>
  </si>
  <si>
    <t>0  -3957</t>
  </si>
  <si>
    <t>1867  -1639   -560    18</t>
  </si>
  <si>
    <t>8    526   1745      0      0</t>
  </si>
  <si>
    <t>0  -2562</t>
  </si>
  <si>
    <t>0  -2236      0</t>
  </si>
  <si>
    <t>0   -980      0      0      0</t>
  </si>
  <si>
    <t>0   1853</t>
  </si>
  <si>
    <t>1113   1659    727    48</t>
  </si>
  <si>
    <t>9    754    132     25   1430</t>
  </si>
  <si>
    <t>0      0   -371   -240   1271</t>
  </si>
  <si>
    <t>-12      0      0    35</t>
  </si>
  <si>
    <t>5      0     89    536      0</t>
  </si>
  <si>
    <t>0      0  -1404  -227</t>
  </si>
  <si>
    <t>0  -1243</t>
  </si>
  <si>
    <t>0   2457     -1      0    245</t>
  </si>
  <si>
    <t>145   1434</t>
  </si>
  <si>
    <t>1129   2206  -3902</t>
  </si>
  <si>
    <t>0      0    605    599   1482</t>
  </si>
  <si>
    <t>362    -26</t>
  </si>
  <si>
    <t>1211      0    214    78</t>
  </si>
  <si>
    <t>7    861  -1104      4   1626</t>
  </si>
  <si>
    <t>587  -1423</t>
  </si>
  <si>
    <t>40    862   2225  -128</t>
  </si>
  <si>
    <t>7    159    903    920    364</t>
  </si>
  <si>
    <t>557   1070</t>
  </si>
  <si>
    <t>954  -1473    176   -27</t>
  </si>
  <si>
    <t>3   -196   -198   -378   -944</t>
  </si>
  <si>
    <t>683   -665</t>
  </si>
  <si>
    <t>-396   -106    637    43</t>
  </si>
  <si>
    <t>0    322    323    979    792</t>
  </si>
  <si>
    <t>600    878</t>
  </si>
  <si>
    <t>645    830  44854  5181</t>
  </si>
  <si>
    <t>2  53399  53668  53631  22547</t>
  </si>
  <si>
    <t>415  39522</t>
  </si>
  <si>
    <t>3413  49660  48154  4888</t>
  </si>
  <si>
    <t>4  47482  47337  57756  56062</t>
  </si>
  <si>
    <t>087  55797</t>
  </si>
  <si>
    <t>5532  95926  98469   -30</t>
  </si>
  <si>
    <t>6 -52422  -1015   -214      0</t>
  </si>
  <si>
    <t>0    -11</t>
  </si>
  <si>
    <t>0   1525      0</t>
  </si>
  <si>
    <t>0      0    -41   -628      0</t>
  </si>
  <si>
    <t>0      0    -66   1632      0</t>
  </si>
  <si>
    <t>1930    407   -216  -111</t>
  </si>
  <si>
    <t>3   -165      0      0      0</t>
  </si>
  <si>
    <t>0      0   -138</t>
  </si>
  <si>
    <t>0      0      0  -2166 -73853</t>
  </si>
  <si>
    <t>0   -673  -1124   -563      0</t>
  </si>
  <si>
    <t>0   1267</t>
  </si>
  <si>
    <t>-319      0    295   -10</t>
  </si>
  <si>
    <t>5    178    -23   -216    180</t>
  </si>
  <si>
    <t>3   1451    698  -4520 -80946</t>
  </si>
  <si>
    <t>393   -219</t>
  </si>
  <si>
    <t>-38      0    162  -106</t>
  </si>
  <si>
    <t>5  -1313   -123    -46    307</t>
  </si>
  <si>
    <t>176    678</t>
  </si>
  <si>
    <t>0      0   -186   -78</t>
  </si>
  <si>
    <t>0      0   -650    478    708</t>
  </si>
  <si>
    <t>411      0</t>
  </si>
  <si>
    <t>1   3109      0  -4904 -82727</t>
  </si>
  <si>
    <t>366    116</t>
  </si>
  <si>
    <t>154    354     64   -50</t>
  </si>
  <si>
    <t>7      0   -301      0      0</t>
  </si>
  <si>
    <t>869   1212</t>
  </si>
  <si>
    <t>0    476      0</t>
  </si>
  <si>
    <t>0   -359      0    752   1298</t>
  </si>
  <si>
    <t>0      0      0   126</t>
  </si>
  <si>
    <t>7   2786      0  -3132 -78847</t>
  </si>
  <si>
    <t>0      0   -566  -135</t>
  </si>
  <si>
    <t>6   -640  -1961  -1207      0</t>
  </si>
  <si>
    <t>005      0</t>
  </si>
  <si>
    <t>0    -71      0  -121</t>
  </si>
  <si>
    <t>4      0  -2652      0      0</t>
  </si>
  <si>
    <t>0      0      0   260</t>
  </si>
  <si>
    <t>9   1499      0  -2425 -91159</t>
  </si>
  <si>
    <t>0      0      0  -402</t>
  </si>
  <si>
    <t>1  -1625  -1085    299   1503</t>
  </si>
  <si>
    <t>816   2741</t>
  </si>
  <si>
    <t>0      0      0  -277</t>
  </si>
  <si>
    <t>8      0  -2414      0      0</t>
  </si>
  <si>
    <t>0      0      0   230</t>
  </si>
  <si>
    <t>0    550   3603   1360    508</t>
  </si>
  <si>
    <t>034     46</t>
  </si>
  <si>
    <t>397   1450      0</t>
  </si>
  <si>
    <t>0   -785</t>
  </si>
  <si>
    <t>-465   1128   -242   146</t>
  </si>
  <si>
    <t>6   -157      0      0    437</t>
  </si>
  <si>
    <t>0   1653</t>
  </si>
  <si>
    <t>4652      0      0</t>
  </si>
  <si>
    <t>0      0      0   -844  -1167</t>
  </si>
  <si>
    <t>555    142</t>
  </si>
  <si>
    <t>0  -3827  -4161  -402</t>
  </si>
  <si>
    <t>8  -7471     86  -6047      0</t>
  </si>
  <si>
    <t>0    622</t>
  </si>
  <si>
    <t>3218  -3182  -3356  -517</t>
  </si>
  <si>
    <t>6  -4019      0  -4752  -6096</t>
  </si>
  <si>
    <t>583  -7199</t>
  </si>
  <si>
    <t>4388  -4420  -8709  -887</t>
  </si>
  <si>
    <t>4  -4600  -7956  -4585  -9114</t>
  </si>
  <si>
    <t>571  -5903</t>
  </si>
  <si>
    <t>6348  -5507  -5657  -830</t>
  </si>
  <si>
    <t>8  -9662 -11091    545   1031</t>
  </si>
  <si>
    <t>131   1216</t>
  </si>
  <si>
    <t>694   -223   -319    -5</t>
  </si>
  <si>
    <t>9    353    419   1627   1952</t>
  </si>
  <si>
    <t>874   1508</t>
  </si>
  <si>
    <t>2822   2553   1901   273</t>
  </si>
  <si>
    <t>9   2016   2712  49765  57420</t>
  </si>
  <si>
    <t>952  60359</t>
  </si>
  <si>
    <t>9485  25005  45208  4445</t>
  </si>
  <si>
    <t>5  49987  55944  51504  52447</t>
  </si>
  <si>
    <t>482  49741</t>
  </si>
  <si>
    <t>3620  59848  60794  5957</t>
  </si>
  <si>
    <t>7  59730  97126  96452  93864</t>
  </si>
  <si>
    <t>176 -53021</t>
  </si>
  <si>
    <t>-811   -155      0</t>
  </si>
  <si>
    <t>0     -3      0   1131      0</t>
  </si>
  <si>
    <t>-19   -480      0</t>
  </si>
  <si>
    <t>-141   1211      0</t>
  </si>
  <si>
    <t>0   -482 -72579    321    -42</t>
  </si>
  <si>
    <t>601   -128</t>
  </si>
  <si>
    <t>0      0      0   164</t>
  </si>
  <si>
    <t>7      0      0      0   -125</t>
  </si>
  <si>
    <t>0  -1700 -75478</t>
  </si>
  <si>
    <t>0    168      0      0      0</t>
  </si>
  <si>
    <t>0   -697</t>
  </si>
  <si>
    <t>-859   -407      0</t>
  </si>
  <si>
    <t>0    887   -203      0    214</t>
  </si>
  <si>
    <t>207     90</t>
  </si>
  <si>
    <t>-125   -332     30     6</t>
  </si>
  <si>
    <t>111   1218</t>
  </si>
  <si>
    <t>550  -3560 -82290   -33</t>
  </si>
  <si>
    <t>5   -241    -89      0    277</t>
  </si>
  <si>
    <t>480  -1085</t>
  </si>
  <si>
    <t>-53    -39    196   412</t>
  </si>
  <si>
    <t>2    545      0      0   -111</t>
  </si>
  <si>
    <t>-605    247    518   -33</t>
  </si>
  <si>
    <t>543   2447</t>
  </si>
  <si>
    <t>0  -3897 -84140   -25</t>
  </si>
  <si>
    <t>5     54    111    301    194</t>
  </si>
  <si>
    <t>-201      0      0   468</t>
  </si>
  <si>
    <t>7    977      0    392      0</t>
  </si>
  <si>
    <t>0   -284</t>
  </si>
  <si>
    <t>0    519   1000   -18</t>
  </si>
  <si>
    <t>968   2199</t>
  </si>
  <si>
    <t>0  -2555 -80547    21</t>
  </si>
  <si>
    <t>6      0      0      0   -255</t>
  </si>
  <si>
    <t>371   -319</t>
  </si>
  <si>
    <t>1950  -1170      0   588</t>
  </si>
  <si>
    <t>5      0      0    -98      0</t>
  </si>
  <si>
    <t>2542      0      0</t>
  </si>
  <si>
    <t>373   1111</t>
  </si>
  <si>
    <t>0  -1732 -94178</t>
  </si>
  <si>
    <t>359  -1364</t>
  </si>
  <si>
    <t>-811    556   1753   310</t>
  </si>
  <si>
    <t>8   2854      0      0      0</t>
  </si>
  <si>
    <t>2408      0      0   -71</t>
  </si>
  <si>
    <t>156     30</t>
  </si>
  <si>
    <t>3411   1209    620   103</t>
  </si>
  <si>
    <t>1     54    410   1317      0</t>
  </si>
  <si>
    <t>0   -594   -414   1128   -179</t>
  </si>
  <si>
    <t>542      9</t>
  </si>
  <si>
    <t>0      0    527</t>
  </si>
  <si>
    <t>0   1030  -2888      0      0</t>
  </si>
  <si>
    <t>0  -1332  -2737</t>
  </si>
  <si>
    <t>5     16      0  -5425  -6806</t>
  </si>
  <si>
    <t>703  -9921</t>
  </si>
  <si>
    <t>1810  -4638      0</t>
  </si>
  <si>
    <t>0    725  -4027  -4946  -4998</t>
  </si>
  <si>
    <t>002  -1637</t>
  </si>
  <si>
    <t>0  -5732  -7474  -774</t>
  </si>
  <si>
    <t>2  -8656  -5151  -5706  -9637</t>
  </si>
  <si>
    <t>333  -5390</t>
  </si>
  <si>
    <t>9271  -5847 -10612  -417</t>
  </si>
  <si>
    <t>1  -6987  -7179  -6837  -6646</t>
  </si>
  <si>
    <t>909 -10719</t>
  </si>
  <si>
    <t>2901   -250    230    26</t>
  </si>
  <si>
    <t>9    294    -34  -1123   -680</t>
  </si>
  <si>
    <t>799   -424</t>
  </si>
  <si>
    <t>-318    679   1333   125</t>
  </si>
  <si>
    <t>2   1054   2110   1780   1346</t>
  </si>
  <si>
    <t>927   1426</t>
  </si>
  <si>
    <t>1885  48296  55740  5777</t>
  </si>
  <si>
    <t>5  58206  57929  24173  43645</t>
  </si>
  <si>
    <t>801  47492</t>
  </si>
  <si>
    <t>4467  51235  51985  4990</t>
  </si>
  <si>
    <t>8  49667  61678  59820  60691</t>
  </si>
  <si>
    <t>463  59306</t>
  </si>
  <si>
    <t>6624  97642  96547  9791</t>
  </si>
  <si>
    <t>7    -47 -51937   -730   -129</t>
  </si>
  <si>
    <t>2      0    961</t>
  </si>
  <si>
    <t>0      0      0     -9   -418</t>
  </si>
  <si>
    <t>0      0      0   -140   1044</t>
  </si>
  <si>
    <t>-402 -71029    284    -1</t>
  </si>
  <si>
    <t>4   -450   -108      0      0</t>
  </si>
  <si>
    <t>0   1377</t>
  </si>
  <si>
    <t>0   -147</t>
  </si>
  <si>
    <t>0      0      0      0  -1326</t>
  </si>
  <si>
    <t>166      0      0</t>
  </si>
  <si>
    <t>0      0   -622   -732   -335</t>
  </si>
  <si>
    <t>774   -168      0    19</t>
  </si>
  <si>
    <t>4   -233     54   -168   -352</t>
  </si>
  <si>
    <t>-5     82</t>
  </si>
  <si>
    <t>0     68   1043    492  -3010</t>
  </si>
  <si>
    <t>579   -355</t>
  </si>
  <si>
    <t>-328   -155      0    20</t>
  </si>
  <si>
    <t>7   -430   -981    -66    -70</t>
  </si>
  <si>
    <t>129   3660</t>
  </si>
  <si>
    <t>447      0      0    -3</t>
  </si>
  <si>
    <t>6   -594      0   -574    150</t>
  </si>
  <si>
    <t>421   -327</t>
  </si>
  <si>
    <t>0    477   2138      0  -3335</t>
  </si>
  <si>
    <t>497   -232</t>
  </si>
  <si>
    <t>-19     84    312    16</t>
  </si>
  <si>
    <t>8     42      0   -180      0</t>
  </si>
  <si>
    <t>0   4158</t>
  </si>
  <si>
    <t>819      0    337</t>
  </si>
  <si>
    <t>0      0   -230      0    403</t>
  </si>
  <si>
    <t>852   -187</t>
  </si>
  <si>
    <t>0    839   1926      0  -2189</t>
  </si>
  <si>
    <t>949    244</t>
  </si>
  <si>
    <t>5   -208   -178  -1835  -1089</t>
  </si>
  <si>
    <t>0   5288</t>
  </si>
  <si>
    <t>0   -945      0  -2398      0</t>
  </si>
  <si>
    <t>0   2151    958      0  -1583</t>
  </si>
  <si>
    <t>617      0</t>
  </si>
  <si>
    <t>0  -2952  -1055   -506    814</t>
  </si>
  <si>
    <t>042   3114</t>
  </si>
  <si>
    <t>3016      0      0</t>
  </si>
  <si>
    <t>0  -2460      0  -2314      0</t>
  </si>
  <si>
    <t>0   -514</t>
  </si>
  <si>
    <t>0   2033    -73   3524   1197</t>
  </si>
  <si>
    <t>789   1098</t>
  </si>
  <si>
    <t>69    456   1259</t>
  </si>
  <si>
    <t>-510   -400   1097   -13</t>
  </si>
  <si>
    <t>6   1592     98      0      0</t>
  </si>
  <si>
    <t>669      0</t>
  </si>
  <si>
    <t>848  -2292      0</t>
  </si>
  <si>
    <t>0      0      0      0  -1227</t>
  </si>
  <si>
    <t>0  -1188      0      0      0</t>
  </si>
  <si>
    <t>0   2411</t>
  </si>
  <si>
    <t>-18      0  -6608  -832</t>
  </si>
  <si>
    <t>2  -8136 -11603   1900  -3995</t>
  </si>
  <si>
    <t>686  -4931  -6117  -605</t>
  </si>
  <si>
    <t>1  -8389  -1065      0  -6855</t>
  </si>
  <si>
    <t>870  -8992</t>
  </si>
  <si>
    <t>0277  -6179  -6852 -1074</t>
  </si>
  <si>
    <t>6 -11948  -6391 -10544  -7033</t>
  </si>
  <si>
    <t>216  -4945</t>
  </si>
  <si>
    <t>8085  -8168  -8127  -791</t>
  </si>
  <si>
    <t>2 -11485 -12069 -14673   -544</t>
  </si>
  <si>
    <t>7  -1081   -733   -584    249</t>
  </si>
  <si>
    <t>023    938</t>
  </si>
  <si>
    <t>833   1732   1415   107</t>
  </si>
  <si>
    <t>1   1528   1131   1477  44785</t>
  </si>
  <si>
    <t>619  53450</t>
  </si>
  <si>
    <t>3834  54000  22382  4044</t>
  </si>
  <si>
    <t>4  39713  43713  50728  47640</t>
  </si>
  <si>
    <t>368  46974</t>
  </si>
  <si>
    <t>6524  57407  55665  5670</t>
  </si>
  <si>
    <t>8  55341  55433  94139  96329</t>
  </si>
  <si>
    <t>826  95671</t>
  </si>
  <si>
    <t>8270    601 -47801  -101</t>
  </si>
  <si>
    <t>7   -241      0      0    -21</t>
  </si>
  <si>
    <t>9   -465      0      0      0</t>
  </si>
  <si>
    <t>8   1258      0      0   -168</t>
  </si>
  <si>
    <t>617    331</t>
  </si>
  <si>
    <t>0      0      0   1596      0</t>
  </si>
  <si>
    <t>0      0      0   -175      0</t>
  </si>
  <si>
    <t>0  -1684 -64353      0   -107</t>
  </si>
  <si>
    <t>0      0    738   -67</t>
  </si>
  <si>
    <t>6   -408      0      0    722</t>
  </si>
  <si>
    <t>3   -183      2   -116      0</t>
  </si>
  <si>
    <t>0     37  -1036    66</t>
  </si>
  <si>
    <t>5  -1671 -70360   -454   -645</t>
  </si>
  <si>
    <t>54   -437   -528   -13</t>
  </si>
  <si>
    <t>8    -50    210   4800    708</t>
  </si>
  <si>
    <t>-218   -849      0   -71</t>
  </si>
  <si>
    <t>1    366    679   -409      0</t>
  </si>
  <si>
    <t>0    655  -2220</t>
  </si>
  <si>
    <t>0  -1852 -71848   -335    -71</t>
  </si>
  <si>
    <t>138    -21</t>
  </si>
  <si>
    <t>20   -714      0   -52</t>
  </si>
  <si>
    <t>5      0      0   5668   1112</t>
  </si>
  <si>
    <t>0      0   -426</t>
  </si>
  <si>
    <t>0    696   1338    -77      0</t>
  </si>
  <si>
    <t>0   1113  -2689</t>
  </si>
  <si>
    <t>0  -4475 -68122   -169      0</t>
  </si>
  <si>
    <t>5  -1071      0   5998      0</t>
  </si>
  <si>
    <t>0   -144</t>
  </si>
  <si>
    <t>0  -1202      0  -244</t>
  </si>
  <si>
    <t>0   2203  -2676</t>
  </si>
  <si>
    <t>0   -622 -83597      0      0</t>
  </si>
  <si>
    <t>0  -3201   -637    -8</t>
  </si>
  <si>
    <t>4    910   2584   3447   4155</t>
  </si>
  <si>
    <t>0  -2520      0  -238</t>
  </si>
  <si>
    <t>7      0      0   -352      0</t>
  </si>
  <si>
    <t>0   2086  -5837   507</t>
  </si>
  <si>
    <t>1   2481   2317   2776   1140</t>
  </si>
  <si>
    <t>100   3631</t>
  </si>
  <si>
    <t>0      0      0      0    117</t>
  </si>
  <si>
    <t>-8   1759</t>
  </si>
  <si>
    <t>219   2231     76</t>
  </si>
  <si>
    <t>0      0    988      0  -2180</t>
  </si>
  <si>
    <t>0   -622  -1183      0      0</t>
  </si>
  <si>
    <t>0   -468      0</t>
  </si>
  <si>
    <t>0      0      0   3229     34</t>
  </si>
  <si>
    <t>0  -7914</t>
  </si>
  <si>
    <t>0785 -11030 -13358   -33</t>
  </si>
  <si>
    <t>7  -5067      0      0    420</t>
  </si>
  <si>
    <t>896  -8777</t>
  </si>
  <si>
    <t>8595 -10135  -3121</t>
  </si>
  <si>
    <t>0  -9195 -12579 -13533 -12367</t>
  </si>
  <si>
    <t>077 -10435</t>
  </si>
  <si>
    <t>6598 -14752  -8458 -1554</t>
  </si>
  <si>
    <t>1 -11508 -15348  -6566 -12028</t>
  </si>
  <si>
    <t>988 -10739</t>
  </si>
  <si>
    <t>0843 -16647 -18195 -1809</t>
  </si>
  <si>
    <t>6  -6487 -10906 -12938 -13844</t>
  </si>
  <si>
    <t>383 -16807</t>
  </si>
  <si>
    <t>8226 -11158 -10640  -798</t>
  </si>
  <si>
    <t>5 -11727  -6888  -7110  -4908</t>
  </si>
  <si>
    <t>289  -7584</t>
  </si>
  <si>
    <t>5472  -7833  -5560  -794</t>
  </si>
  <si>
    <t>5  45170  52044  54368  54823</t>
  </si>
  <si>
    <t>136  22648</t>
  </si>
  <si>
    <t>1051  40417  45464  5130</t>
  </si>
  <si>
    <t>0  46746  47441  44624  44684</t>
  </si>
  <si>
    <t>835  54149</t>
  </si>
  <si>
    <t>4957  53670  53973  8794</t>
  </si>
  <si>
    <t>5  87311  84955  91009  90866</t>
  </si>
  <si>
    <t>174    533</t>
  </si>
  <si>
    <t>9360   -852   -161</t>
  </si>
  <si>
    <t>0      0     -6      0    988</t>
  </si>
  <si>
    <t>0     16   -391</t>
  </si>
  <si>
    <t>0   -396   1019</t>
  </si>
  <si>
    <t>0      0   -216 -67606    303</t>
  </si>
  <si>
    <t>8   -448</t>
  </si>
  <si>
    <t>-88      0      0</t>
  </si>
  <si>
    <t>0   1216      0      0      0</t>
  </si>
  <si>
    <t>0      0  -1082 -6658</t>
  </si>
  <si>
    <t>6      0    -67      0      0</t>
  </si>
  <si>
    <t>174   -574   -302</t>
  </si>
  <si>
    <t>0      0    549   -114      0</t>
  </si>
  <si>
    <t>8    -98      0      0      0</t>
  </si>
  <si>
    <t>-388    517  -1681 -7249</t>
  </si>
  <si>
    <t>3   -333   -488   -302      0</t>
  </si>
  <si>
    <t>112     48</t>
  </si>
  <si>
    <t>-544   -102    -75     8</t>
  </si>
  <si>
    <t>6   4160    592      0      0</t>
  </si>
  <si>
    <t>126   -659</t>
  </si>
  <si>
    <t>0   -593    142    51</t>
  </si>
  <si>
    <t>3   -335      0      0      0</t>
  </si>
  <si>
    <t>0    543</t>
  </si>
  <si>
    <t>-921      0  -1877 -7431</t>
  </si>
  <si>
    <t>2   -203     -7    -15     23</t>
  </si>
  <si>
    <t>125      4</t>
  </si>
  <si>
    <t>0   -373      0</t>
  </si>
  <si>
    <t>0   4840    926      0    209</t>
  </si>
  <si>
    <t>-344      0    474   101</t>
  </si>
  <si>
    <t>9   -106      0      0      0</t>
  </si>
  <si>
    <t>1284      0  -3252 -7046</t>
  </si>
  <si>
    <t>9     58      0      0      0</t>
  </si>
  <si>
    <t>359    -41</t>
  </si>
  <si>
    <t>0   5426      0      0   -146</t>
  </si>
  <si>
    <t>0  -1043</t>
  </si>
  <si>
    <t>0  -2351      0</t>
  </si>
  <si>
    <t>0   2081</t>
  </si>
  <si>
    <t>1524      0  -1014 -8845</t>
  </si>
  <si>
    <t>-374    249   1420   306</t>
  </si>
  <si>
    <t>6   3783   4266      0      0</t>
  </si>
  <si>
    <t>0  -2390</t>
  </si>
  <si>
    <t>0  -2349      0</t>
  </si>
  <si>
    <t>0   -146      0      0      0</t>
  </si>
  <si>
    <t>0   2079</t>
  </si>
  <si>
    <t>3921   5064   2113   197</t>
  </si>
  <si>
    <t>7   2349    776    921   2686</t>
  </si>
  <si>
    <t>0      0      9    -44   1596</t>
  </si>
  <si>
    <t>145   2106</t>
  </si>
  <si>
    <t>46      0      0    94</t>
  </si>
  <si>
    <t>0      0  -1311   6881      0</t>
  </si>
  <si>
    <t>0      0  -1021  -281</t>
  </si>
  <si>
    <t>0   2583    -61      0 -10603</t>
  </si>
  <si>
    <t>726 -14636</t>
  </si>
  <si>
    <t>7341    990  -4054</t>
  </si>
  <si>
    <t>0      0    609  -8479 -11526</t>
  </si>
  <si>
    <t>025 -13094</t>
  </si>
  <si>
    <t>1509      0 -11357 -1585</t>
  </si>
  <si>
    <t>8 -16248 -15533 -10134 -13038</t>
  </si>
  <si>
    <t>192 -18069</t>
  </si>
  <si>
    <t>0593 -18941 -13872 -1875</t>
  </si>
  <si>
    <t>3  -8244 -14766 -15077 -13463</t>
  </si>
  <si>
    <t>399 -20362</t>
  </si>
  <si>
    <t>1166 -21993  -4963  -753</t>
  </si>
  <si>
    <t>5  -8714  -9298  -7789 -12115</t>
  </si>
  <si>
    <t>789  -8011</t>
  </si>
  <si>
    <t>7556  -5898  -8125  -456</t>
  </si>
  <si>
    <t>5  -4719  -3300  -4731  -4655</t>
  </si>
  <si>
    <t>304  -4766</t>
  </si>
  <si>
    <t>3287  -4797  44570  5131</t>
  </si>
  <si>
    <t>0  53357  53878  53807  22212</t>
  </si>
  <si>
    <t>278  39603</t>
  </si>
  <si>
    <t>4036  51076  47310  4795</t>
  </si>
  <si>
    <t>9  45917  45463  57029  55196</t>
  </si>
  <si>
    <t>931  54800</t>
  </si>
  <si>
    <t>4851  89288  90201  8919</t>
  </si>
  <si>
    <t>6  92818  94499  94064  92329</t>
  </si>
  <si>
    <t>657    201</t>
  </si>
  <si>
    <t>-936   -373      0</t>
  </si>
  <si>
    <t>0    302      0  13849      0</t>
  </si>
  <si>
    <t>157   -249      0</t>
  </si>
  <si>
    <t>-857    385      0</t>
  </si>
  <si>
    <t>0  -4740     15     65   -149</t>
  </si>
  <si>
    <t>095    376</t>
  </si>
  <si>
    <t>0      0      0   927</t>
  </si>
  <si>
    <t>7      0      0      0    -78</t>
  </si>
  <si>
    <t>0      0      0    68</t>
  </si>
  <si>
    <t>0 -18472   -882</t>
  </si>
  <si>
    <t>0    875      0      0      0</t>
  </si>
  <si>
    <t>0  -7655</t>
  </si>
  <si>
    <t>2892   1725      0</t>
  </si>
  <si>
    <t>0  -2101    403      0    -62</t>
  </si>
  <si>
    <t>476   -288</t>
  </si>
  <si>
    <t>274   1736   1669    71</t>
  </si>
  <si>
    <t>139  18058</t>
  </si>
  <si>
    <t>415  -1615   4670   -90</t>
  </si>
  <si>
    <t>5  -1587   -895      0   -340</t>
  </si>
  <si>
    <t>038  -2116</t>
  </si>
  <si>
    <t>7   -440      0      0    332</t>
  </si>
  <si>
    <t>577      0</t>
  </si>
  <si>
    <t>664  -1246   -673    -9</t>
  </si>
  <si>
    <t>377   6421</t>
  </si>
  <si>
    <t>0   -473   4678   -72</t>
  </si>
  <si>
    <t>2  -1500   -425    329   -393</t>
  </si>
  <si>
    <t>296      0      0 -3603</t>
  </si>
  <si>
    <t>5   -139      0    452      0</t>
  </si>
  <si>
    <t>0   -853   -211   -58</t>
  </si>
  <si>
    <t>059   5440</t>
  </si>
  <si>
    <t>0   2230   2715    -1</t>
  </si>
  <si>
    <t>3      0      0      0    132</t>
  </si>
  <si>
    <t>955   -449</t>
  </si>
  <si>
    <t>-928   -536      0 -2332</t>
  </si>
  <si>
    <t>6      0      0    203      0</t>
  </si>
  <si>
    <t>217      0      0</t>
  </si>
  <si>
    <t>-91   2978</t>
  </si>
  <si>
    <t>0  -6134   3870</t>
  </si>
  <si>
    <t>733   1796</t>
  </si>
  <si>
    <t>1191   3686   4474 -4296</t>
  </si>
  <si>
    <t>7   1029      0      0      0</t>
  </si>
  <si>
    <t>619      0</t>
  </si>
  <si>
    <t>1660      0      0   219</t>
  </si>
  <si>
    <t>471  10150</t>
  </si>
  <si>
    <t>6470   4806   6174   490</t>
  </si>
  <si>
    <t>1   1456   5037  -3606      0</t>
  </si>
  <si>
    <t>0  -1149   -144   -954    361</t>
  </si>
  <si>
    <t>455   4919</t>
  </si>
  <si>
    <t>0      0    715</t>
  </si>
  <si>
    <t>0   9332  -5874      0      0</t>
  </si>
  <si>
    <t>0   -620   -731</t>
  </si>
  <si>
    <t>4   1303      0    646   2543</t>
  </si>
  <si>
    <t>803   2661</t>
  </si>
  <si>
    <t>765   -270      0</t>
  </si>
  <si>
    <t>0   2130   2093    -78   -770</t>
  </si>
  <si>
    <t>436   3118</t>
  </si>
  <si>
    <t>0   2086   2700   325</t>
  </si>
  <si>
    <t>3   2812   1429 -10287   3463</t>
  </si>
  <si>
    <t>411   1461</t>
  </si>
  <si>
    <t>2922 -11351   3570    93</t>
  </si>
  <si>
    <t>2   1713   2076  -4388   1257</t>
  </si>
  <si>
    <t>542   3738</t>
  </si>
  <si>
    <t>3418    280    774    61</t>
  </si>
  <si>
    <t>0   1123   1219  -1707  -1959</t>
  </si>
  <si>
    <t>832   2270</t>
  </si>
  <si>
    <t>1308   1488   4207   420</t>
  </si>
  <si>
    <t>6   2269   5066   3712   1758</t>
  </si>
  <si>
    <t>900   1784</t>
  </si>
  <si>
    <t>4530  -1694  -1817  -210</t>
  </si>
  <si>
    <t>8  -2223  -1403   -440  -1175</t>
  </si>
  <si>
    <t>311  -1503</t>
  </si>
  <si>
    <t>-640    670   1039    73</t>
  </si>
  <si>
    <t>8   1494    570   -225   1230</t>
  </si>
  <si>
    <t>363    745</t>
  </si>
  <si>
    <t>2935  -2125  -1720  -378</t>
  </si>
  <si>
    <t>5  -3185  -3043  -4445  -4136</t>
  </si>
  <si>
    <t>584     54</t>
  </si>
  <si>
    <t>-741    101      0</t>
  </si>
  <si>
    <t>0    143      0   -210      0</t>
  </si>
  <si>
    <t>-165    -44      0</t>
  </si>
  <si>
    <t>-286    202      0</t>
  </si>
  <si>
    <t>0   -559    -31    444    102</t>
  </si>
  <si>
    <t>270    -14</t>
  </si>
  <si>
    <t>0      0      0      0    -74</t>
  </si>
  <si>
    <t>0   -775    -77</t>
  </si>
  <si>
    <t>0    286      0      0      0</t>
  </si>
  <si>
    <t>167   -138      0</t>
  </si>
  <si>
    <t>0     99     62      0    178</t>
  </si>
  <si>
    <t>514     50</t>
  </si>
  <si>
    <t>281    -80    -66     4</t>
  </si>
  <si>
    <t>57    349</t>
  </si>
  <si>
    <t>1   1971   1698      0    464</t>
  </si>
  <si>
    <t>898   1317</t>
  </si>
  <si>
    <t>8    449      0      0    126</t>
  </si>
  <si>
    <t>366    634    166     4</t>
  </si>
  <si>
    <t>214    426</t>
  </si>
  <si>
    <t>0  -1178   -592   -87</t>
  </si>
  <si>
    <t>0   1775   1935   1650    227</t>
  </si>
  <si>
    <t>688      0</t>
  </si>
  <si>
    <t>-62      0      0    -3</t>
  </si>
  <si>
    <t>2   -400      0   -243      0</t>
  </si>
  <si>
    <t>0    -43</t>
  </si>
  <si>
    <t>0   -265   -407   -35</t>
  </si>
  <si>
    <t>568    193</t>
  </si>
  <si>
    <t>0   -946   -272   -70</t>
  </si>
  <si>
    <t>5      0      0      0     -3</t>
  </si>
  <si>
    <t>18    120</t>
  </si>
  <si>
    <t>328    131      0     4</t>
  </si>
  <si>
    <t>0      0      0    153      0</t>
  </si>
  <si>
    <t>434      0</t>
  </si>
  <si>
    <t>65      0      0</t>
  </si>
  <si>
    <t>299    121</t>
  </si>
  <si>
    <t>0    -72    -14</t>
  </si>
  <si>
    <t>134    -59</t>
  </si>
  <si>
    <t>-80    -57    -39    26</t>
  </si>
  <si>
    <t>7    131      0      0      0</t>
  </si>
  <si>
    <t>39      0      0    -6</t>
  </si>
  <si>
    <t>-34     77</t>
  </si>
  <si>
    <t>287   1073  -1752  -154</t>
  </si>
  <si>
    <t>4  -1164    -64   -268      0</t>
  </si>
  <si>
    <t>0    278    103   -976    132</t>
  </si>
  <si>
    <t>125    692</t>
  </si>
  <si>
    <t>0      0 -42286</t>
  </si>
  <si>
    <t>0   -672   1257      0      0</t>
  </si>
  <si>
    <t>0   -139   -177</t>
  </si>
  <si>
    <t>0     28      0    504   1863</t>
  </si>
  <si>
    <t>855    708</t>
  </si>
  <si>
    <t>891  -2231      0</t>
  </si>
  <si>
    <t>0     74    615    849    716</t>
  </si>
  <si>
    <t>625   -467</t>
  </si>
  <si>
    <t>0    -59    503    50</t>
  </si>
  <si>
    <t>8    157    137   1110    608</t>
  </si>
  <si>
    <t>275    162</t>
  </si>
  <si>
    <t>696   1044    244    12</t>
  </si>
  <si>
    <t>3    703    618    302     88</t>
  </si>
  <si>
    <t>234    219</t>
  </si>
  <si>
    <t>223   -254    369    57</t>
  </si>
  <si>
    <t>9    679     33  -1102   -480</t>
  </si>
  <si>
    <t>87    -23</t>
  </si>
  <si>
    <t>183   -356   1079   111</t>
  </si>
  <si>
    <t>9    762     50   1254   1022</t>
  </si>
  <si>
    <t>146    946</t>
  </si>
  <si>
    <t>216    -77    -16    -5</t>
  </si>
  <si>
    <t>0    -74   -232    192    132</t>
  </si>
  <si>
    <t>65    118</t>
  </si>
  <si>
    <t>8   -102     31     18    149</t>
  </si>
  <si>
    <t>-57    111</t>
  </si>
  <si>
    <t>204    115     91    25</t>
  </si>
  <si>
    <t>2     97     15    113     34</t>
  </si>
  <si>
    <t>029  -1145</t>
  </si>
  <si>
    <t>1   -242    172</t>
  </si>
  <si>
    <t>0      0   2145      0   -330</t>
  </si>
  <si>
    <t>0    -58  -1080</t>
  </si>
  <si>
    <t>0    968   2262</t>
  </si>
  <si>
    <t>0      0    348    362   1571</t>
  </si>
  <si>
    <t>978  -2147</t>
  </si>
  <si>
    <t>0  -1194      0      0      0</t>
  </si>
  <si>
    <t>807      0</t>
  </si>
  <si>
    <t>0    570      0      0      0</t>
  </si>
  <si>
    <t>0      0   -290    25</t>
  </si>
  <si>
    <t>1      0    390      0      0</t>
  </si>
  <si>
    <t>2962  -1099   -566</t>
  </si>
  <si>
    <t>0      0   -699    295      0</t>
  </si>
  <si>
    <t>233    186</t>
  </si>
  <si>
    <t>270   -130   -461   -35</t>
  </si>
  <si>
    <t>0    449      0      0      0</t>
  </si>
  <si>
    <t>0    -18</t>
  </si>
  <si>
    <t>3373     87   4108    70</t>
  </si>
  <si>
    <t>5    227    404    350      0</t>
  </si>
  <si>
    <t>40   1913</t>
  </si>
  <si>
    <t>1909  -2449  -1263    -6</t>
  </si>
  <si>
    <t>1  -1322  -1990      0      0</t>
  </si>
  <si>
    <t>0    -65   -428   -23</t>
  </si>
  <si>
    <t>7    567      0      0      0</t>
  </si>
  <si>
    <t>1347      0    -31    45</t>
  </si>
  <si>
    <t>1    404   1021    785     87</t>
  </si>
  <si>
    <t>2   2016</t>
  </si>
  <si>
    <t>0  -2340      0</t>
  </si>
  <si>
    <t>0  -1216  -2229      0    122</t>
  </si>
  <si>
    <t>203      0   -220   -23</t>
  </si>
  <si>
    <t>5    999      0      0      0</t>
  </si>
  <si>
    <t>2598      0   4975    30</t>
  </si>
  <si>
    <t>5    -21      0      0      0</t>
  </si>
  <si>
    <t>-79   1522</t>
  </si>
  <si>
    <t>0   -903      0      0     22</t>
  </si>
  <si>
    <t>0   -280      0</t>
  </si>
  <si>
    <t>3445      0   3047    69</t>
  </si>
  <si>
    <t>0   3021</t>
  </si>
  <si>
    <t>3171  -1522  -1535    78</t>
  </si>
  <si>
    <t>4  -2270  -3535      0      0</t>
  </si>
  <si>
    <t>0    365</t>
  </si>
  <si>
    <t>0   2016      0      0      0</t>
  </si>
  <si>
    <t>0   -746</t>
  </si>
  <si>
    <t>867   -320    447   -71</t>
  </si>
  <si>
    <t>9   -548   -236   2135   7100</t>
  </si>
  <si>
    <t>0      0   -709   -179    866</t>
  </si>
  <si>
    <t>618   2131</t>
  </si>
  <si>
    <t>1177      0      0     4</t>
  </si>
  <si>
    <t>3      0 -14564   3598      0</t>
  </si>
  <si>
    <t>0      0   -694  -308</t>
  </si>
  <si>
    <t>0    736    362      0   -646</t>
  </si>
  <si>
    <t>368    -84</t>
  </si>
  <si>
    <t>165   2368  -1802</t>
  </si>
  <si>
    <t>0      0    377    775     26</t>
  </si>
  <si>
    <t>491    579</t>
  </si>
  <si>
    <t>801      0   -106   -15</t>
  </si>
  <si>
    <t>7   -161   -167    343   -734</t>
  </si>
  <si>
    <t>253    332</t>
  </si>
  <si>
    <t>455    318   -157    17</t>
  </si>
  <si>
    <t>7    435    337    411    121</t>
  </si>
  <si>
    <t>461    241</t>
  </si>
  <si>
    <t>261     23     26   -36</t>
  </si>
  <si>
    <t>6   -314   -342    604   -496</t>
  </si>
  <si>
    <t>197   -408</t>
  </si>
  <si>
    <t>-210    414   -634  -348</t>
  </si>
  <si>
    <t>7  -3304  -2164  -4512  -3378</t>
  </si>
  <si>
    <t>958  -3890</t>
  </si>
  <si>
    <t>1950  -3806   -381   -41</t>
  </si>
  <si>
    <t>5   -460   -484   -493    -25</t>
  </si>
  <si>
    <t>-667      9    -74   -10</t>
  </si>
  <si>
    <t>3     89    -80   -189   -102</t>
  </si>
  <si>
    <t>2  -1272   -951   -843  -1085</t>
  </si>
  <si>
    <t>814  23212</t>
  </si>
  <si>
    <t>8   -401      0      0   -427</t>
  </si>
  <si>
    <t>0   -277</t>
  </si>
  <si>
    <t>9    274      0      0      0</t>
  </si>
  <si>
    <t>0      0      0   -29</t>
  </si>
  <si>
    <t>5   -381      0      0   -945</t>
  </si>
  <si>
    <t>807  -1106</t>
  </si>
  <si>
    <t>65  14871    -19</t>
  </si>
  <si>
    <t>0      0      0   -674      0</t>
  </si>
  <si>
    <t>382      0      0</t>
  </si>
  <si>
    <t>0      0      0   -218      0</t>
  </si>
  <si>
    <t>0   2779  -1765      0   1709</t>
  </si>
  <si>
    <t>0      0   4323   -13</t>
  </si>
  <si>
    <t>7   -379      0      0   1915</t>
  </si>
  <si>
    <t>532      0</t>
  </si>
  <si>
    <t>860   1568    475   106</t>
  </si>
  <si>
    <t>7   1747   1873   1193      0</t>
  </si>
  <si>
    <t>0   1233  -4032   114</t>
  </si>
  <si>
    <t>7    918  -1005    510   1385</t>
  </si>
  <si>
    <t>1306 -16002    233    25</t>
  </si>
  <si>
    <t>8     98    582   1748    381</t>
  </si>
  <si>
    <t>-106   -397      0   -17</t>
  </si>
  <si>
    <t>2  -1095     12   -304      0</t>
  </si>
  <si>
    <t>0    532   -755</t>
  </si>
  <si>
    <t>0   1261   -742      3    443</t>
  </si>
  <si>
    <t>298  -1583</t>
  </si>
  <si>
    <t>-849 -13444      0    26</t>
  </si>
  <si>
    <t>0      0      0   1116    869</t>
  </si>
  <si>
    <t>0   -413    301   -251      0</t>
  </si>
  <si>
    <t>0    176   -133</t>
  </si>
  <si>
    <t>0    813   -702     18      0</t>
  </si>
  <si>
    <t>-471 -10272    -91    15</t>
  </si>
  <si>
    <t>7    183      0    765      0</t>
  </si>
  <si>
    <t>0   -125</t>
  </si>
  <si>
    <t>0   -170      0    -9</t>
  </si>
  <si>
    <t>0    256   1618</t>
  </si>
  <si>
    <t>0   1898   -708      0      0</t>
  </si>
  <si>
    <t>0 -22838    344    -4</t>
  </si>
  <si>
    <t>3   -177    521   2981   1115</t>
  </si>
  <si>
    <t>0   -741      0   -66</t>
  </si>
  <si>
    <t>0      0      0  -1037      0</t>
  </si>
  <si>
    <t>0    599  -1767   -15</t>
  </si>
  <si>
    <t>1   -726  -2647  -1249   3977</t>
  </si>
  <si>
    <t>875 -42295</t>
  </si>
  <si>
    <t>0      0      0      0    472</t>
  </si>
  <si>
    <t>693  -1150</t>
  </si>
  <si>
    <t>-99   -763   1983</t>
  </si>
  <si>
    <t>0      0   -286      0   1589</t>
  </si>
  <si>
    <t>0    757  14840      0      0</t>
  </si>
  <si>
    <t>0    215      0</t>
  </si>
  <si>
    <t>0      0      0    145    627</t>
  </si>
  <si>
    <t>524    158     64  -140</t>
  </si>
  <si>
    <t>1   -207      0      0  -2216</t>
  </si>
  <si>
    <t>423   2045</t>
  </si>
  <si>
    <t>214  -1388   4096</t>
  </si>
  <si>
    <t>0   2079    248    243    589</t>
  </si>
  <si>
    <t>281    284</t>
  </si>
  <si>
    <t>-20    272    228   -28</t>
  </si>
  <si>
    <t>0   -266    100    182   -153</t>
  </si>
  <si>
    <t>158   -171</t>
  </si>
  <si>
    <t>261    194    325    62</t>
  </si>
  <si>
    <t>7    788   4062   5292   4725</t>
  </si>
  <si>
    <t>500   6736</t>
  </si>
  <si>
    <t>2316    435    172   -81</t>
  </si>
  <si>
    <t>0   1046   2960   2118   1387</t>
  </si>
  <si>
    <t>953   2474</t>
  </si>
  <si>
    <t>1418   4897    666   301</t>
  </si>
  <si>
    <t>5    525    531    602    684</t>
  </si>
  <si>
    <t>180    260</t>
  </si>
  <si>
    <t>176   1302   2367   118</t>
  </si>
  <si>
    <t>7    430    650    669    352</t>
  </si>
  <si>
    <t>471    320</t>
  </si>
  <si>
    <t>253    429    108   145</t>
  </si>
  <si>
    <t>0   1090    946   1589   1196</t>
  </si>
  <si>
    <t>078    518</t>
  </si>
  <si>
    <t>233  -7335    669 -2030</t>
  </si>
  <si>
    <t>1   2838  -1083   -930   -102</t>
  </si>
  <si>
    <t>1432      0  -3249</t>
  </si>
  <si>
    <t>0      0      0    287    821</t>
  </si>
  <si>
    <t>0      0      0   -323  -1473</t>
  </si>
  <si>
    <t>1014  -1890   -394    60</t>
  </si>
  <si>
    <t>4   -695   -328      0      0</t>
  </si>
  <si>
    <t>0  -1444</t>
  </si>
  <si>
    <t>0      0      0      0 -10892</t>
  </si>
  <si>
    <t>786      0</t>
  </si>
  <si>
    <t>2378      0      0</t>
  </si>
  <si>
    <t>0      0   8905   1350    365</t>
  </si>
  <si>
    <t>-809     29      0  -117</t>
  </si>
  <si>
    <t>7  -1119   -569   -635    -43</t>
  </si>
  <si>
    <t>933  -1533</t>
  </si>
  <si>
    <t>0   -971 -15974    455 -10474</t>
  </si>
  <si>
    <t>361   -843</t>
  </si>
  <si>
    <t>2148  -1980      0     2</t>
  </si>
  <si>
    <t>5    608   4589   1656   1026</t>
  </si>
  <si>
    <t>-17   8985</t>
  </si>
  <si>
    <t>1276      0      0     -</t>
  </si>
  <si>
    <t>4    -46      0   -159    166</t>
  </si>
  <si>
    <t>226   -310</t>
  </si>
  <si>
    <t>0    610 -22406      0 -10104</t>
  </si>
  <si>
    <t>417   -705</t>
  </si>
  <si>
    <t>1465  -1637  -1326    20</t>
  </si>
  <si>
    <t>3  -3049      0    781      0</t>
  </si>
  <si>
    <t>0  10335</t>
  </si>
  <si>
    <t>456      0   -268</t>
  </si>
  <si>
    <t>0      0     20      0     38</t>
  </si>
  <si>
    <t>173    139</t>
  </si>
  <si>
    <t>0    138 -24618      0 -28014</t>
  </si>
  <si>
    <t>923    490</t>
  </si>
  <si>
    <t>3    381   2507    215    387</t>
  </si>
  <si>
    <t>0   5674</t>
  </si>
  <si>
    <t>0      0   -349</t>
  </si>
  <si>
    <t>0      8      0    -54      0</t>
  </si>
  <si>
    <t>0    589 -11160      0 -15742</t>
  </si>
  <si>
    <t>090      0</t>
  </si>
  <si>
    <t>0  -3104   2093    379   -658</t>
  </si>
  <si>
    <t>490   6306</t>
  </si>
  <si>
    <t>5025      0      0</t>
  </si>
  <si>
    <t>0  -1235      0   -296      0</t>
  </si>
  <si>
    <t>0   -987</t>
  </si>
  <si>
    <t>0   -120 -27017   1630   4053</t>
  </si>
  <si>
    <t>191   7410</t>
  </si>
  <si>
    <t>3172   -895   5013</t>
  </si>
  <si>
    <t>1312    850    -45    63</t>
  </si>
  <si>
    <t>3    -14  -1971      0      0</t>
  </si>
  <si>
    <t>621      0</t>
  </si>
  <si>
    <t>-230  14784      0</t>
  </si>
  <si>
    <t>0      0      0      0    650</t>
  </si>
  <si>
    <t>0    -30      0      0      0</t>
  </si>
  <si>
    <t>0   -664</t>
  </si>
  <si>
    <t>-606      0    134   -89</t>
  </si>
  <si>
    <t>0   -857   -432    460    917</t>
  </si>
  <si>
    <t>-622  -1757  -1307    62</t>
  </si>
  <si>
    <t>7   -561   1073      0   -503</t>
  </si>
  <si>
    <t>-600    559   3169    36</t>
  </si>
  <si>
    <t>8   -165    586    480   3552</t>
  </si>
  <si>
    <t>257   -694</t>
  </si>
  <si>
    <t>-384    117   1537    77</t>
  </si>
  <si>
    <t>8    141    163     -4  -6363</t>
  </si>
  <si>
    <t>156 -13179</t>
  </si>
  <si>
    <t>3510 -16159 -17340  -469</t>
  </si>
  <si>
    <t>9 -11335 -12338 -12370 -15387</t>
  </si>
  <si>
    <t>641  23341</t>
  </si>
  <si>
    <t>6997  30201  30960  2294</t>
  </si>
  <si>
    <t>0  35595  24013  37914   2180</t>
  </si>
  <si>
    <t>424   2678</t>
  </si>
  <si>
    <t>2795   1929    921   196</t>
  </si>
  <si>
    <t>7   2109   2530   1627    519</t>
  </si>
  <si>
    <t>331    187</t>
  </si>
  <si>
    <t>335    596    774    66</t>
  </si>
  <si>
    <t>7    708    497   2977   2504</t>
  </si>
  <si>
    <t>146   2394</t>
  </si>
  <si>
    <t>2109   1770   7408   504</t>
  </si>
  <si>
    <t>5 -38413    219 -62869   8312</t>
  </si>
  <si>
    <t>483   4466</t>
  </si>
  <si>
    <t>-551    -69      0</t>
  </si>
  <si>
    <t>0   -352      0 -14520      0</t>
  </si>
  <si>
    <t>-129   -201      0</t>
  </si>
  <si>
    <t>2590    732      0</t>
  </si>
  <si>
    <t>0   3324   6531   -170     41</t>
  </si>
  <si>
    <t>828     -2</t>
  </si>
  <si>
    <t>0      0      0  -978</t>
  </si>
  <si>
    <t>8      0      0      0     13</t>
  </si>
  <si>
    <t>0 -12110    604</t>
  </si>
  <si>
    <t>0  -6560</t>
  </si>
  <si>
    <t>4085   2484      0</t>
  </si>
  <si>
    <t>0  -2527    143      0   -923</t>
  </si>
  <si>
    <t>815   -780</t>
  </si>
  <si>
    <t>1018   3886   2875   -12</t>
  </si>
  <si>
    <t>158  12591</t>
  </si>
  <si>
    <t>-909   1650   7488    -7</t>
  </si>
  <si>
    <t>9   -383     53      0    443</t>
  </si>
  <si>
    <t>704  -1648</t>
  </si>
  <si>
    <t>-722   -729     60 -4233</t>
  </si>
  <si>
    <t>1    -37      0      0    123</t>
  </si>
  <si>
    <t>309    409   -197    -1</t>
  </si>
  <si>
    <t>92   5399</t>
  </si>
  <si>
    <t>0   2117   8607     9</t>
  </si>
  <si>
    <t>2   -308    214    245    168</t>
  </si>
  <si>
    <t>-721      0      0 -4881</t>
  </si>
  <si>
    <t>7    -97      0    -13      0</t>
  </si>
  <si>
    <t>0    760    157    -9</t>
  </si>
  <si>
    <t>521   6144</t>
  </si>
  <si>
    <t>0   5619   8205    42</t>
  </si>
  <si>
    <t>6      0      0      0     77</t>
  </si>
  <si>
    <t>584  -1244</t>
  </si>
  <si>
    <t>1855   -866      0 -4107</t>
  </si>
  <si>
    <t>1      0      0    -29      0</t>
  </si>
  <si>
    <t>779   3708</t>
  </si>
  <si>
    <t>0   -580   4693</t>
  </si>
  <si>
    <t>194    779</t>
  </si>
  <si>
    <t>1398   2685   3640 -3161</t>
  </si>
  <si>
    <t>4   3305      0      0      0</t>
  </si>
  <si>
    <t>602      0      0    95</t>
  </si>
  <si>
    <t>487   4322</t>
  </si>
  <si>
    <t>2989    192   1097   -72</t>
  </si>
  <si>
    <t>5    742  -1108  -1757      0</t>
  </si>
  <si>
    <t>0   -167    118    -42    -66</t>
  </si>
  <si>
    <t>359  -1310</t>
  </si>
  <si>
    <t>0      0    419</t>
  </si>
  <si>
    <t>0  -8777   3486      0      0</t>
  </si>
  <si>
    <t>0    808   -583</t>
  </si>
  <si>
    <t>7   -622      0     38   1179</t>
  </si>
  <si>
    <t>995   1086</t>
  </si>
  <si>
    <t>4706  -3179      0</t>
  </si>
  <si>
    <t>0  -3309    637   -960  -1780</t>
  </si>
  <si>
    <t>612   8334</t>
  </si>
  <si>
    <t>0   1171   1654   168</t>
  </si>
  <si>
    <t>0   1264   1326 -12685   2449</t>
  </si>
  <si>
    <t>774   1630</t>
  </si>
  <si>
    <t>2903 -16088   1946   178</t>
  </si>
  <si>
    <t>7   2806   2832  -9767    721</t>
  </si>
  <si>
    <t>085   2018</t>
  </si>
  <si>
    <t>1771  -1124   -820   -74</t>
  </si>
  <si>
    <t>6   -762   -825  -2236  -2586</t>
  </si>
  <si>
    <t>351   -164</t>
  </si>
  <si>
    <t>-454    777   1064   112</t>
  </si>
  <si>
    <t>0    551   1410    767    107</t>
  </si>
  <si>
    <t>640   -192</t>
  </si>
  <si>
    <t>1468  -5292  -5956  -666</t>
  </si>
  <si>
    <t>2  -6900  -5331  -1881  -3738</t>
  </si>
  <si>
    <t>839  -4414</t>
  </si>
  <si>
    <t>3556    673   1379    77</t>
  </si>
  <si>
    <t>1    903     92   -932    187</t>
  </si>
  <si>
    <t>170    168</t>
  </si>
  <si>
    <t>9027  -6993  -5847  -968</t>
  </si>
  <si>
    <t>0  -7713  -6819  -9002  -7647</t>
  </si>
  <si>
    <t>934    289</t>
  </si>
  <si>
    <t>4220    189  -1736   -82</t>
  </si>
  <si>
    <t>6    -48    167     79      0</t>
  </si>
  <si>
    <t>0   -255</t>
  </si>
  <si>
    <t>0   -158      0</t>
  </si>
  <si>
    <t>0      0    121    -44      0</t>
  </si>
  <si>
    <t>0      0    245   -211      0</t>
  </si>
  <si>
    <t>-95   -313     60     6</t>
  </si>
  <si>
    <t>1     18      0      0      0</t>
  </si>
  <si>
    <t>0      0     53</t>
  </si>
  <si>
    <t>0      0      0    339   -251</t>
  </si>
  <si>
    <t>0    269   -113    -99      0</t>
  </si>
  <si>
    <t>-39      0    163   -33</t>
  </si>
  <si>
    <t>1     14    151    120    -66</t>
  </si>
  <si>
    <t>4   -288   -106    -76   -421</t>
  </si>
  <si>
    <t>177    844</t>
  </si>
  <si>
    <t>757      0    320    44</t>
  </si>
  <si>
    <t>5    681   -160   -191    -27</t>
  </si>
  <si>
    <t>204    161</t>
  </si>
  <si>
    <t>0      0    104     4</t>
  </si>
  <si>
    <t>3      0    197    402     58</t>
  </si>
  <si>
    <t>4    -89      0     99   -381</t>
  </si>
  <si>
    <t>312    779</t>
  </si>
  <si>
    <t>792   -171    211    33</t>
  </si>
  <si>
    <t>4      0   -396      0      0</t>
  </si>
  <si>
    <t>214    221</t>
  </si>
  <si>
    <t>0     63      0    527     -6</t>
  </si>
  <si>
    <t>6   -164      0    249   -282</t>
  </si>
  <si>
    <t>0      0    105     8</t>
  </si>
  <si>
    <t>1     83   -106   -125      0</t>
  </si>
  <si>
    <t>0    -18      0    -9</t>
  </si>
  <si>
    <t>8      0     30      0      0</t>
  </si>
  <si>
    <t>9   -144      0     59    -68</t>
  </si>
  <si>
    <t>6    111    133     45     -5</t>
  </si>
  <si>
    <t>282   -152</t>
  </si>
  <si>
    <t>8      0    -63      0      0</t>
  </si>
  <si>
    <t>7   -157   -420   -111    -17</t>
  </si>
  <si>
    <t>-2    882</t>
  </si>
  <si>
    <t>-173   -194      0</t>
  </si>
  <si>
    <t>-183    748    -19     3</t>
  </si>
  <si>
    <t>6   -785      0      0   -267</t>
  </si>
  <si>
    <t>41      0      0</t>
  </si>
  <si>
    <t>0      0      0    -89   -468</t>
  </si>
  <si>
    <t>0      0      0 -4565</t>
  </si>
  <si>
    <t>0   -202   -187   -20</t>
  </si>
  <si>
    <t>4   -424   -215   2383      0</t>
  </si>
  <si>
    <t>0    168</t>
  </si>
  <si>
    <t>-341     34    -74</t>
  </si>
  <si>
    <t>0    351      0    211     55</t>
  </si>
  <si>
    <t>106    214</t>
  </si>
  <si>
    <t>242    349   -126    24</t>
  </si>
  <si>
    <t>7    211   -119    157    198</t>
  </si>
  <si>
    <t>110   -130</t>
  </si>
  <si>
    <t>-216    165    159    43</t>
  </si>
  <si>
    <t>6    759    224    -83   -248</t>
  </si>
  <si>
    <t>175    122</t>
  </si>
  <si>
    <t>-95    125    677    17</t>
  </si>
  <si>
    <t>7    178     57    -34   -279</t>
  </si>
  <si>
    <t>272   -206</t>
  </si>
  <si>
    <t>5   -179     -4    254    257</t>
  </si>
  <si>
    <t>257    296</t>
  </si>
  <si>
    <t>79    239     67     9</t>
  </si>
  <si>
    <t>9    -38   -113    496    481</t>
  </si>
  <si>
    <t>387     27</t>
  </si>
  <si>
    <t>694    560     21    53</t>
  </si>
  <si>
    <t>2     49   -223      5     77</t>
  </si>
  <si>
    <t>358    -28</t>
  </si>
  <si>
    <t>60   -339    -53   -17</t>
  </si>
  <si>
    <t>7 -66147    229   -196     59</t>
  </si>
  <si>
    <t>033   1495</t>
  </si>
  <si>
    <t>1592    477   -300</t>
  </si>
  <si>
    <t>0      0  -1883      0  -1348</t>
  </si>
  <si>
    <t>0     98    810</t>
  </si>
  <si>
    <t>0    269  -1706</t>
  </si>
  <si>
    <t>0      0    -82  -2600  -1369</t>
  </si>
  <si>
    <t>567   1599</t>
  </si>
  <si>
    <t>-298      0      0</t>
  </si>
  <si>
    <t>0    384      0      0      0</t>
  </si>
  <si>
    <t>520      0</t>
  </si>
  <si>
    <t>0   -325      0      0      0</t>
  </si>
  <si>
    <t>0      0  -1463     3</t>
  </si>
  <si>
    <t>8      0   -107      0      0</t>
  </si>
  <si>
    <t>3404  -1113   -929</t>
  </si>
  <si>
    <t>0      0  -2635    560      0</t>
  </si>
  <si>
    <t>48    754</t>
  </si>
  <si>
    <t>-309   1194  -1085  -107</t>
  </si>
  <si>
    <t>6    274      0      0      0</t>
  </si>
  <si>
    <t>0  -1153</t>
  </si>
  <si>
    <t>1836   -872   -264   -74</t>
  </si>
  <si>
    <t>0    748    756    510      0</t>
  </si>
  <si>
    <t>925   3458</t>
  </si>
  <si>
    <t>2556  -2205  -1768    14</t>
  </si>
  <si>
    <t>1  -1560  -3882      0      0</t>
  </si>
  <si>
    <t>228    916</t>
  </si>
  <si>
    <t>0   1248   -890   -73</t>
  </si>
  <si>
    <t>1   1146      0      0      0</t>
  </si>
  <si>
    <t>0   -876</t>
  </si>
  <si>
    <t>565      0   -891   -88</t>
  </si>
  <si>
    <t>4   1220   1352   1218    -73</t>
  </si>
  <si>
    <t>864   4251</t>
  </si>
  <si>
    <t>0  -2566      0</t>
  </si>
  <si>
    <t>0  -1678  -4814      0   -399</t>
  </si>
  <si>
    <t>430      0   -279   -70</t>
  </si>
  <si>
    <t>9   1642      0      0      0</t>
  </si>
  <si>
    <t>0  -1232</t>
  </si>
  <si>
    <t>1036      0    266   -87</t>
  </si>
  <si>
    <t>9   1062      0      0      0</t>
  </si>
  <si>
    <t>047   4296</t>
  </si>
  <si>
    <t>1177  -2064  -2346</t>
  </si>
  <si>
    <t>0  -1602      0      0   -477</t>
  </si>
  <si>
    <t>0    990</t>
  </si>
  <si>
    <t>0   1510      0</t>
  </si>
  <si>
    <t>0   -561</t>
  </si>
  <si>
    <t>189      0   -978  -112</t>
  </si>
  <si>
    <t>0   3533</t>
  </si>
  <si>
    <t>1500   -498   -101    50</t>
  </si>
  <si>
    <t>1   -708  -2463      0      0</t>
  </si>
  <si>
    <t>0    898</t>
  </si>
  <si>
    <t>0   1042      0</t>
  </si>
  <si>
    <t>0    850      0      0      0</t>
  </si>
  <si>
    <t>0   -133</t>
  </si>
  <si>
    <t>749    201  -1011   -56</t>
  </si>
  <si>
    <t>2   -992    200  -1679  -4694</t>
  </si>
  <si>
    <t>0      0    582   -146  -1005</t>
  </si>
  <si>
    <t>253      0      0    -4</t>
  </si>
  <si>
    <t>6      0   1225    272      0</t>
  </si>
  <si>
    <t>0      0    865   140</t>
  </si>
  <si>
    <t>0    264</t>
  </si>
  <si>
    <t>0  -2855   -264      0    133</t>
  </si>
  <si>
    <t>716   1342</t>
  </si>
  <si>
    <t>231  -3397   3515</t>
  </si>
  <si>
    <t>0      0   -666    257     55</t>
  </si>
  <si>
    <t>629  -1942</t>
  </si>
  <si>
    <t>245      0  -1059    22</t>
  </si>
  <si>
    <t>8    417    123   -346  -1114</t>
  </si>
  <si>
    <t>428    -87</t>
  </si>
  <si>
    <t>4   -429   -311   -395   -683</t>
  </si>
  <si>
    <t>423     54</t>
  </si>
  <si>
    <t>-138   -173    124     4</t>
  </si>
  <si>
    <t>2    139    466   -151   -297</t>
  </si>
  <si>
    <t>228    758</t>
  </si>
  <si>
    <t>804   -272    885    51</t>
  </si>
  <si>
    <t>4    544    169    556    761</t>
  </si>
  <si>
    <t>371    619</t>
  </si>
  <si>
    <t>349    543   2413   277</t>
  </si>
  <si>
    <t>1   3097   3207   2674   1317</t>
  </si>
  <si>
    <t>569   2876</t>
  </si>
  <si>
    <t>3341   2444   -470   -41</t>
  </si>
  <si>
    <t>3   -343   -328    161    304</t>
  </si>
  <si>
    <t>340    326</t>
  </si>
  <si>
    <t>283   4485   3482   290</t>
  </si>
  <si>
    <t>3   4461   3460   2965   3976</t>
  </si>
  <si>
    <t>150  -4918</t>
  </si>
  <si>
    <t>205 -24003   2788  1434</t>
  </si>
  <si>
    <t>9  24848   -843  -1134   2183</t>
  </si>
  <si>
    <t>142    220</t>
  </si>
  <si>
    <t>0   1588      0      0      0</t>
  </si>
  <si>
    <t>128   -132</t>
  </si>
  <si>
    <t>660   -155</t>
  </si>
  <si>
    <t>0      0   4994   240</t>
  </si>
  <si>
    <t>3    187   -924 -15603     -4</t>
  </si>
  <si>
    <t>0   3537      0</t>
  </si>
  <si>
    <t>0      0    688      0      0</t>
  </si>
  <si>
    <t>0   3394</t>
  </si>
  <si>
    <t>2710      0   4107</t>
  </si>
  <si>
    <t>0      0      0      0  11439</t>
  </si>
  <si>
    <t>064  -1416</t>
  </si>
  <si>
    <t>0      0   6852  -181</t>
  </si>
  <si>
    <t>6      0   1560   3788   1513</t>
  </si>
  <si>
    <t>929   7355</t>
  </si>
  <si>
    <t>5307   3818      0</t>
  </si>
  <si>
    <t>0      0      0   2826  -7087</t>
  </si>
  <si>
    <t>535   1671</t>
  </si>
  <si>
    <t>340   -135   -794   -33</t>
  </si>
  <si>
    <t>6      0   1063 -30772    395</t>
  </si>
  <si>
    <t>689   -837</t>
  </si>
  <si>
    <t>-471   4320   1555</t>
  </si>
  <si>
    <t>0      0   -609   -744      0</t>
  </si>
  <si>
    <t>678   2450</t>
  </si>
  <si>
    <t>636   -711      0</t>
  </si>
  <si>
    <t>0      0      0   -594  -1418</t>
  </si>
  <si>
    <t>0   2235</t>
  </si>
  <si>
    <t>106    193     78    19</t>
  </si>
  <si>
    <t>5   2247    256 -32980      0</t>
  </si>
  <si>
    <t>13      0</t>
  </si>
  <si>
    <t>0   5193    871</t>
  </si>
  <si>
    <t>0    422      0      0   -266</t>
  </si>
  <si>
    <t>0   1211</t>
  </si>
  <si>
    <t>505   -375      0</t>
  </si>
  <si>
    <t>0      0      0    199  -2738</t>
  </si>
  <si>
    <t>0    356</t>
  </si>
  <si>
    <t>349   -154      0</t>
  </si>
  <si>
    <t>0      0   -839 -27547   -708</t>
  </si>
  <si>
    <t>163    127</t>
  </si>
  <si>
    <t>0   4057      0</t>
  </si>
  <si>
    <t>0    285      0   -819      0</t>
  </si>
  <si>
    <t>0      0      0   -540   -669</t>
  </si>
  <si>
    <t>0   3196</t>
  </si>
  <si>
    <t>534      0      0</t>
  </si>
  <si>
    <t>0      0      0 -29432     94</t>
  </si>
  <si>
    <t>052  -1336</t>
  </si>
  <si>
    <t>-270   3206   3757</t>
  </si>
  <si>
    <t>0      0      0   -658      0</t>
  </si>
  <si>
    <t>0  -1162      0</t>
  </si>
  <si>
    <t>0      0      0   -950  -2736</t>
  </si>
  <si>
    <t>074    -10</t>
  </si>
  <si>
    <t>-774    207  -1689    38</t>
  </si>
  <si>
    <t>4  20918      0      0      0</t>
  </si>
  <si>
    <t>0      0   -466   -15</t>
  </si>
  <si>
    <t>0    134     25    267  -2075</t>
  </si>
  <si>
    <t>72      0   1918   -42</t>
  </si>
  <si>
    <t>0   1459</t>
  </si>
  <si>
    <t>7175      0      0</t>
  </si>
  <si>
    <t>0      0      0   -597      0</t>
  </si>
  <si>
    <t>0    547  -2720</t>
  </si>
  <si>
    <t>0   1170  -1396  -1320   -841</t>
  </si>
  <si>
    <t>295    122</t>
  </si>
  <si>
    <t>0      0   4624  -363</t>
  </si>
  <si>
    <t>8   3936   7399   9593 -22688</t>
  </si>
  <si>
    <t>0   5207</t>
  </si>
  <si>
    <t>503    951   1215    42</t>
  </si>
  <si>
    <t>1   -368    709    304    818</t>
  </si>
  <si>
    <t>084   1504</t>
  </si>
  <si>
    <t>437    775    669    50</t>
  </si>
  <si>
    <t>1    451    141   -138    235</t>
  </si>
  <si>
    <t>525   1858</t>
  </si>
  <si>
    <t>1    229  -5749    994   1119</t>
  </si>
  <si>
    <t>777    -92</t>
  </si>
  <si>
    <t>-89    -25    296   -28</t>
  </si>
  <si>
    <t>7   -296   -256   -205   -283</t>
  </si>
  <si>
    <t>309    406</t>
  </si>
  <si>
    <t>293    423    249   -11</t>
  </si>
  <si>
    <t>2  -2067  -5045  -6215  -7372</t>
  </si>
  <si>
    <t>192   1230</t>
  </si>
  <si>
    <t>524    147   1321   -50</t>
  </si>
  <si>
    <t>3   -681    585  -1834   -405</t>
  </si>
  <si>
    <t>694   -561</t>
  </si>
  <si>
    <t>3  -1095   -916  -2406   -436</t>
  </si>
  <si>
    <t>508   1029</t>
  </si>
  <si>
    <t>-66 -12314    999 -1766</t>
  </si>
  <si>
    <t>0  -1436  16658    895    367</t>
  </si>
  <si>
    <t>1128      0   3594</t>
  </si>
  <si>
    <t>0      0      0     48    104</t>
  </si>
  <si>
    <t>0      0      0    -46   -747</t>
  </si>
  <si>
    <t>-167  23474    227    22</t>
  </si>
  <si>
    <t>1    732    260      0      0</t>
  </si>
  <si>
    <t>0    479</t>
  </si>
  <si>
    <t>0      0      0      0   7762</t>
  </si>
  <si>
    <t>877      0</t>
  </si>
  <si>
    <t>-688      0      0</t>
  </si>
  <si>
    <t>0      0   4432   1115    657</t>
  </si>
  <si>
    <t>-458    236      0   -25</t>
  </si>
  <si>
    <t>6   -361    179   -364   -878</t>
  </si>
  <si>
    <t>060   -716</t>
  </si>
  <si>
    <t>0  -1839  -7500   -375   6409</t>
  </si>
  <si>
    <t>663   -115</t>
  </si>
  <si>
    <t>538     95      0    21</t>
  </si>
  <si>
    <t>4   1939   4235   1940   1326</t>
  </si>
  <si>
    <t>978   7269</t>
  </si>
  <si>
    <t>346      0      0     5</t>
  </si>
  <si>
    <t>5    361      0    100   -133</t>
  </si>
  <si>
    <t>500    207</t>
  </si>
  <si>
    <t>0   -761  -7212      0   6909</t>
  </si>
  <si>
    <t>563   -605</t>
  </si>
  <si>
    <t>8    -29      0   2456      0</t>
  </si>
  <si>
    <t>0   8356</t>
  </si>
  <si>
    <t>130      0   -231</t>
  </si>
  <si>
    <t>0      0    106      0   -994</t>
  </si>
  <si>
    <t>467   -321</t>
  </si>
  <si>
    <t>0  -1639  -6942      0   2563</t>
  </si>
  <si>
    <t>821   -341</t>
  </si>
  <si>
    <t>0      0      0    48</t>
  </si>
  <si>
    <t>3   1861   3281   2165   1977</t>
  </si>
  <si>
    <t>0   6219</t>
  </si>
  <si>
    <t>0    475      0    481      0</t>
  </si>
  <si>
    <t>0  -1681  -3799      0   5576</t>
  </si>
  <si>
    <t>708      0</t>
  </si>
  <si>
    <t>0   2107   1558    477   -217</t>
  </si>
  <si>
    <t>808   4767</t>
  </si>
  <si>
    <t>423      0      0</t>
  </si>
  <si>
    <t>0     81      0    284      0</t>
  </si>
  <si>
    <t>0   -476  -4968    535    127</t>
  </si>
  <si>
    <t>305    109</t>
  </si>
  <si>
    <t>201    379   -411</t>
  </si>
  <si>
    <t>38    320   -190    -7</t>
  </si>
  <si>
    <t>0   -110    310      0      0</t>
  </si>
  <si>
    <t>2878    103      0</t>
  </si>
  <si>
    <t>0      0      0      0  -1304</t>
  </si>
  <si>
    <t>653      0</t>
  </si>
  <si>
    <t>0    585      0      0      0</t>
  </si>
  <si>
    <t>0  -2632</t>
  </si>
  <si>
    <t>317      0   4584   598</t>
  </si>
  <si>
    <t>2   6964   7204 -17570   6367</t>
  </si>
  <si>
    <t>816   4596   5883   720</t>
  </si>
  <si>
    <t>2   6231 -14857      0    398</t>
  </si>
  <si>
    <t>359    360</t>
  </si>
  <si>
    <t>309    863   3456    99</t>
  </si>
  <si>
    <t>2   1085    668    416   3304</t>
  </si>
  <si>
    <t>884     35</t>
  </si>
  <si>
    <t>-597   -580   2611    79</t>
  </si>
  <si>
    <t>1     22     95    484   1648</t>
  </si>
  <si>
    <t>001   1860</t>
  </si>
  <si>
    <t>1673   1840   1652   226</t>
  </si>
  <si>
    <t>7    630    148    513     16</t>
  </si>
  <si>
    <t>699  -1623</t>
  </si>
  <si>
    <t>1063  -2122  -2345  -131</t>
  </si>
  <si>
    <t>4  -2471  -1350  -2526 -22866</t>
  </si>
  <si>
    <t>171 -29428</t>
  </si>
  <si>
    <t>9708 -23063 -11696 -2132</t>
  </si>
  <si>
    <t>0 -21782 -26862 -20235  -3739</t>
  </si>
  <si>
    <t>765  -2279</t>
  </si>
  <si>
    <t>3026   2093    389  -424</t>
  </si>
  <si>
    <t>2   1026  -2851 -30718 -25645</t>
  </si>
  <si>
    <t>832 -30513</t>
  </si>
  <si>
    <t>5335 -22184 -28198 -2349</t>
  </si>
  <si>
    <t>3    975    -52  14672  -2371</t>
  </si>
  <si>
    <t>761 -31013</t>
  </si>
  <si>
    <t>507 -65127  10506</t>
  </si>
  <si>
    <t>Open "IndividualPersonDayPatternModel.F12" in Notepad+</t>
  </si>
  <si>
    <t>Open "WorkbasedSubtourGenerationCoefficients_SACOG-v1.5.F12" in Notepad+</t>
  </si>
  <si>
    <t>flag</t>
  </si>
  <si>
    <t>validate</t>
  </si>
  <si>
    <t>NOTES:</t>
  </si>
  <si>
    <t>"validate" and "flag" are to validate correspondence</t>
  </si>
  <si>
    <t>if sum of "flag"&gt;1 then correspondence is WRONG - look in to it</t>
  </si>
  <si>
    <t>IndividualPersonDayPatternModel.F12</t>
  </si>
  <si>
    <t>Tours by Person Type</t>
  </si>
  <si>
    <t>Cut or Copy the selection (Ctrl-x or Ctrl-c)</t>
  </si>
  <si>
    <t>Paste (Ctrl-v)</t>
  </si>
  <si>
    <t>Notepad ++ Instructions</t>
  </si>
  <si>
    <t>Hold the Alt key and select the lines as columns</t>
  </si>
  <si>
    <t>Open "IndividualPersonDayPatternModel.F12"</t>
  </si>
  <si>
    <t>Hold Alt and using mouse select the 4th column from line line 4 to line 353</t>
  </si>
  <si>
    <t>Make sure that you select Col 21 to Col 31</t>
  </si>
  <si>
    <t>UltraEdit Instructions:</t>
  </si>
  <si>
    <t>Note:</t>
  </si>
  <si>
    <t>"Fixed Width" is used nstead of "Delimited" because  "Delimited" mode messes up the columns (first columns) after coefficient tokens 1000 due to big range (100 - 1415)</t>
  </si>
  <si>
    <t>Open "IndividualPersonDayPatternModel.F12" in UltraEdit</t>
  </si>
  <si>
    <t>Choose column mode and select 4th columns from line 4 to line 353</t>
  </si>
  <si>
    <t>Paste (Ctrl-v) the copied values</t>
  </si>
  <si>
    <t>Copy (Ctrl-c) cells V3:V384</t>
  </si>
  <si>
    <t>Following instructions as above</t>
  </si>
  <si>
    <t>Here the coeff file will be "WorkbasedSubtourGenerationCoefficients_SACOG-v1.5.F12"</t>
  </si>
  <si>
    <t>Paste in an empty document in Notepad++</t>
  </si>
  <si>
    <t>line selec tion: line 4 to line 18</t>
  </si>
  <si>
    <t>column selection: Col 21 to Col 31</t>
  </si>
  <si>
    <t>Bellevue</t>
  </si>
  <si>
    <t>Bellevue Downtown</t>
  </si>
  <si>
    <t>Kirkland</t>
  </si>
  <si>
    <t>Redmond</t>
  </si>
  <si>
    <t>Seattle Downtown</t>
  </si>
  <si>
    <t>Rest</t>
  </si>
  <si>
    <t>TABLE 4. TOUR RATES BY PUPROSE (Total tours for purpose/total person)</t>
  </si>
  <si>
    <t>TABLE 8. TRIP RATES BY DESTINATION PURPOSE (Total trips for purpose/total person)</t>
  </si>
  <si>
    <t>TABLE 6. TOUR RATES BY PERSONTYPE (Total tours/total person for person type)</t>
  </si>
  <si>
    <t>TABLE 10. TRIP RATES BY PERSONTYPE  (Total trips/total person for person type)</t>
  </si>
  <si>
    <t>Trip per Tours by Purpose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</si>
</sst>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0.0%"/>
    <numFmt numFmtId="165" formatCode="0.0"/>
    <numFmt numFmtId="166" formatCode="#,##0.0"/>
    <numFmt numFmtId="167" formatCode="0.00000000000"/>
    <numFmt numFmtId="168" formatCode="mm/dd/yyyy\ hh:mm:ss"/>
    <numFmt numFmtId="169" formatCode="0.0000"/>
    <numFmt numFmtId="170" formatCode="#,##0.000000"/>
    <numFmt numFmtId="171" formatCode="0.000000"/>
    <numFmt numFmtId="172" formatCode="0.000000000000"/>
    <numFmt numFmtId="173" formatCode="0.000000000"/>
  </numFmts>
  <fonts count="52" x14ac:knownFonts="1">
    <font>
      <sz val="10"/>
      <name val="Verdana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10"/>
      <name val="Arial"/>
      <family val="2"/>
    </font>
    <font>
      <b/>
      <sz val="9"/>
      <name val="Verdana"/>
      <family val="2"/>
    </font>
    <font>
      <sz val="10"/>
      <name val="Verdana"/>
      <family val="2"/>
    </font>
    <font>
      <sz val="10"/>
      <name val="Verdana"/>
      <family val="2"/>
    </font>
    <font>
      <sz val="10"/>
      <name val="Verdan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name val="Verdana"/>
      <family val="2"/>
    </font>
    <font>
      <sz val="10"/>
      <color theme="0"/>
      <name val="Arial"/>
      <family val="2"/>
    </font>
  </fonts>
  <fills count="55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9"/>
      </patternFill>
    </fill>
    <fill>
      <patternFill patternType="solid">
        <fgColor indexed="19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4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59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2" borderId="0" applyNumberFormat="0" applyBorder="0" applyAlignment="0" applyProtection="0"/>
    <xf numFmtId="0" fontId="8" fillId="5" borderId="0" applyNumberFormat="0" applyBorder="0" applyAlignment="0" applyProtection="0"/>
    <xf numFmtId="0" fontId="8" fillId="3" borderId="0" applyNumberFormat="0" applyBorder="0" applyAlignment="0" applyProtection="0"/>
    <xf numFmtId="0" fontId="8" fillId="6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3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4" borderId="0" applyNumberFormat="0" applyBorder="0" applyAlignment="0" applyProtection="0"/>
    <xf numFmtId="0" fontId="9" fillId="6" borderId="0" applyNumberFormat="0" applyBorder="0" applyAlignment="0" applyProtection="0"/>
    <xf numFmtId="0" fontId="9" fillId="8" borderId="0" applyNumberFormat="0" applyBorder="0" applyAlignment="0" applyProtection="0"/>
    <xf numFmtId="0" fontId="9" fillId="3" borderId="0" applyNumberFormat="0" applyBorder="0" applyAlignment="0" applyProtection="0"/>
    <xf numFmtId="0" fontId="9" fillId="8" borderId="0" applyNumberFormat="0" applyBorder="0" applyAlignment="0" applyProtection="0"/>
    <xf numFmtId="0" fontId="9" fillId="10" borderId="0" applyNumberFormat="0" applyBorder="0" applyAlignment="0" applyProtection="0"/>
    <xf numFmtId="0" fontId="9" fillId="4" borderId="0" applyNumberFormat="0" applyBorder="0" applyAlignment="0" applyProtection="0"/>
    <xf numFmtId="0" fontId="9" fillId="11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10" fillId="12" borderId="0" applyNumberFormat="0" applyBorder="0" applyAlignment="0" applyProtection="0"/>
    <xf numFmtId="0" fontId="11" fillId="2" borderId="1" applyNumberFormat="0" applyAlignment="0" applyProtection="0"/>
    <xf numFmtId="0" fontId="12" fillId="13" borderId="2" applyNumberFormat="0" applyAlignment="0" applyProtection="0"/>
    <xf numFmtId="0" fontId="13" fillId="0" borderId="0" applyNumberFormat="0" applyFill="0" applyBorder="0" applyAlignment="0" applyProtection="0"/>
    <xf numFmtId="0" fontId="14" fillId="14" borderId="0" applyNumberFormat="0" applyBorder="0" applyAlignment="0" applyProtection="0"/>
    <xf numFmtId="0" fontId="15" fillId="0" borderId="3" applyNumberFormat="0" applyFill="0" applyAlignment="0" applyProtection="0"/>
    <xf numFmtId="0" fontId="16" fillId="0" borderId="4" applyNumberFormat="0" applyFill="0" applyAlignment="0" applyProtection="0"/>
    <xf numFmtId="0" fontId="17" fillId="0" borderId="5" applyNumberFormat="0" applyFill="0" applyAlignment="0" applyProtection="0"/>
    <xf numFmtId="0" fontId="17" fillId="0" borderId="0" applyNumberFormat="0" applyFill="0" applyBorder="0" applyAlignment="0" applyProtection="0"/>
    <xf numFmtId="0" fontId="18" fillId="3" borderId="1" applyNumberFormat="0" applyAlignment="0" applyProtection="0"/>
    <xf numFmtId="0" fontId="19" fillId="0" borderId="6" applyNumberFormat="0" applyFill="0" applyAlignment="0" applyProtection="0"/>
    <xf numFmtId="0" fontId="20" fillId="15" borderId="0" applyNumberFormat="0" applyBorder="0" applyAlignment="0" applyProtection="0"/>
    <xf numFmtId="0" fontId="4" fillId="16" borderId="7" applyNumberFormat="0" applyFont="0" applyAlignment="0" applyProtection="0"/>
    <xf numFmtId="0" fontId="21" fillId="2" borderId="8" applyNumberFormat="0" applyAlignment="0" applyProtection="0"/>
    <xf numFmtId="0" fontId="22" fillId="0" borderId="0" applyNumberFormat="0" applyFill="0" applyBorder="0" applyAlignment="0" applyProtection="0"/>
    <xf numFmtId="0" fontId="23" fillId="0" borderId="9" applyNumberFormat="0" applyFill="0" applyAlignment="0" applyProtection="0"/>
    <xf numFmtId="0" fontId="24" fillId="0" borderId="0" applyNumberFormat="0" applyFill="0" applyBorder="0" applyAlignment="0" applyProtection="0"/>
    <xf numFmtId="0" fontId="28" fillId="6" borderId="0">
      <alignment wrapText="1"/>
    </xf>
    <xf numFmtId="0" fontId="28" fillId="0" borderId="0">
      <alignment wrapText="1"/>
    </xf>
    <xf numFmtId="168" fontId="28" fillId="0" borderId="0">
      <alignment wrapText="1"/>
    </xf>
    <xf numFmtId="0" fontId="29" fillId="0" borderId="0">
      <alignment wrapText="1"/>
    </xf>
    <xf numFmtId="0" fontId="29" fillId="0" borderId="0">
      <alignment wrapText="1"/>
    </xf>
    <xf numFmtId="0" fontId="29" fillId="0" borderId="0">
      <alignment wrapText="1"/>
    </xf>
    <xf numFmtId="168" fontId="29" fillId="0" borderId="0">
      <alignment wrapText="1"/>
    </xf>
    <xf numFmtId="0" fontId="2" fillId="0" borderId="0"/>
    <xf numFmtId="0" fontId="30" fillId="0" borderId="0" applyNumberFormat="0" applyFill="0" applyBorder="0" applyAlignment="0" applyProtection="0"/>
    <xf numFmtId="0" fontId="31" fillId="0" borderId="14" applyNumberFormat="0" applyFill="0" applyAlignment="0" applyProtection="0"/>
    <xf numFmtId="0" fontId="32" fillId="0" borderId="15" applyNumberFormat="0" applyFill="0" applyAlignment="0" applyProtection="0"/>
    <xf numFmtId="0" fontId="33" fillId="0" borderId="16" applyNumberFormat="0" applyFill="0" applyAlignment="0" applyProtection="0"/>
    <xf numFmtId="0" fontId="33" fillId="0" borderId="0" applyNumberFormat="0" applyFill="0" applyBorder="0" applyAlignment="0" applyProtection="0"/>
    <xf numFmtId="0" fontId="34" fillId="18" borderId="0" applyNumberFormat="0" applyBorder="0" applyAlignment="0" applyProtection="0"/>
    <xf numFmtId="0" fontId="35" fillId="19" borderId="0" applyNumberFormat="0" applyBorder="0" applyAlignment="0" applyProtection="0"/>
    <xf numFmtId="0" fontId="36" fillId="20" borderId="0" applyNumberFormat="0" applyBorder="0" applyAlignment="0" applyProtection="0"/>
    <xf numFmtId="0" fontId="37" fillId="21" borderId="17" applyNumberFormat="0" applyAlignment="0" applyProtection="0"/>
    <xf numFmtId="0" fontId="38" fillId="22" borderId="18" applyNumberFormat="0" applyAlignment="0" applyProtection="0"/>
    <xf numFmtId="0" fontId="39" fillId="22" borderId="17" applyNumberFormat="0" applyAlignment="0" applyProtection="0"/>
    <xf numFmtId="0" fontId="40" fillId="0" borderId="19" applyNumberFormat="0" applyFill="0" applyAlignment="0" applyProtection="0"/>
    <xf numFmtId="0" fontId="41" fillId="23" borderId="20" applyNumberFormat="0" applyAlignment="0" applyProtection="0"/>
    <xf numFmtId="0" fontId="42" fillId="0" borderId="0" applyNumberFormat="0" applyFill="0" applyBorder="0" applyAlignment="0" applyProtection="0"/>
    <xf numFmtId="0" fontId="2" fillId="24" borderId="21" applyNumberFormat="0" applyFont="0" applyAlignment="0" applyProtection="0"/>
    <xf numFmtId="0" fontId="43" fillId="0" borderId="0" applyNumberFormat="0" applyFill="0" applyBorder="0" applyAlignment="0" applyProtection="0"/>
    <xf numFmtId="0" fontId="44" fillId="0" borderId="22" applyNumberFormat="0" applyFill="0" applyAlignment="0" applyProtection="0"/>
    <xf numFmtId="0" fontId="45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45" fillId="28" borderId="0" applyNumberFormat="0" applyBorder="0" applyAlignment="0" applyProtection="0"/>
    <xf numFmtId="0" fontId="45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45" fillId="32" borderId="0" applyNumberFormat="0" applyBorder="0" applyAlignment="0" applyProtection="0"/>
    <xf numFmtId="0" fontId="45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45" fillId="36" borderId="0" applyNumberFormat="0" applyBorder="0" applyAlignment="0" applyProtection="0"/>
    <xf numFmtId="0" fontId="45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45" fillId="40" borderId="0" applyNumberFormat="0" applyBorder="0" applyAlignment="0" applyProtection="0"/>
    <xf numFmtId="0" fontId="45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45" fillId="44" borderId="0" applyNumberFormat="0" applyBorder="0" applyAlignment="0" applyProtection="0"/>
    <xf numFmtId="0" fontId="45" fillId="45" borderId="0" applyNumberFormat="0" applyBorder="0" applyAlignment="0" applyProtection="0"/>
    <xf numFmtId="0" fontId="2" fillId="46" borderId="0" applyNumberFormat="0" applyBorder="0" applyAlignment="0" applyProtection="0"/>
    <xf numFmtId="0" fontId="2" fillId="47" borderId="0" applyNumberFormat="0" applyBorder="0" applyAlignment="0" applyProtection="0"/>
    <xf numFmtId="0" fontId="45" fillId="48" borderId="0" applyNumberFormat="0" applyBorder="0" applyAlignment="0" applyProtection="0"/>
    <xf numFmtId="43" fontId="2" fillId="0" borderId="0" applyFont="0" applyFill="0" applyBorder="0" applyAlignment="0" applyProtection="0"/>
    <xf numFmtId="9" fontId="50" fillId="0" borderId="0" applyFont="0" applyFill="0" applyBorder="0" applyAlignment="0" applyProtection="0"/>
    <xf numFmtId="0" fontId="1" fillId="0" borderId="0"/>
    <xf numFmtId="0" fontId="4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2" borderId="0" applyNumberFormat="0" applyBorder="0" applyAlignment="0" applyProtection="0"/>
    <xf numFmtId="0" fontId="8" fillId="5" borderId="0" applyNumberFormat="0" applyBorder="0" applyAlignment="0" applyProtection="0"/>
    <xf numFmtId="0" fontId="8" fillId="3" borderId="0" applyNumberFormat="0" applyBorder="0" applyAlignment="0" applyProtection="0"/>
    <xf numFmtId="0" fontId="8" fillId="6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3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4" borderId="0" applyNumberFormat="0" applyBorder="0" applyAlignment="0" applyProtection="0"/>
    <xf numFmtId="0" fontId="9" fillId="6" borderId="0" applyNumberFormat="0" applyBorder="0" applyAlignment="0" applyProtection="0"/>
    <xf numFmtId="0" fontId="9" fillId="8" borderId="0" applyNumberFormat="0" applyBorder="0" applyAlignment="0" applyProtection="0"/>
    <xf numFmtId="0" fontId="9" fillId="3" borderId="0" applyNumberFormat="0" applyBorder="0" applyAlignment="0" applyProtection="0"/>
    <xf numFmtId="0" fontId="9" fillId="8" borderId="0" applyNumberFormat="0" applyBorder="0" applyAlignment="0" applyProtection="0"/>
    <xf numFmtId="0" fontId="9" fillId="10" borderId="0" applyNumberFormat="0" applyBorder="0" applyAlignment="0" applyProtection="0"/>
    <xf numFmtId="0" fontId="9" fillId="4" borderId="0" applyNumberFormat="0" applyBorder="0" applyAlignment="0" applyProtection="0"/>
    <xf numFmtId="0" fontId="9" fillId="11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10" fillId="12" borderId="0" applyNumberFormat="0" applyBorder="0" applyAlignment="0" applyProtection="0"/>
    <xf numFmtId="0" fontId="11" fillId="2" borderId="1" applyNumberFormat="0" applyAlignment="0" applyProtection="0"/>
    <xf numFmtId="0" fontId="12" fillId="13" borderId="2" applyNumberFormat="0" applyAlignment="0" applyProtection="0"/>
    <xf numFmtId="0" fontId="13" fillId="0" borderId="0" applyNumberFormat="0" applyFill="0" applyBorder="0" applyAlignment="0" applyProtection="0"/>
    <xf numFmtId="0" fontId="14" fillId="14" borderId="0" applyNumberFormat="0" applyBorder="0" applyAlignment="0" applyProtection="0"/>
    <xf numFmtId="0" fontId="15" fillId="0" borderId="3" applyNumberFormat="0" applyFill="0" applyAlignment="0" applyProtection="0"/>
    <xf numFmtId="0" fontId="16" fillId="0" borderId="4" applyNumberFormat="0" applyFill="0" applyAlignment="0" applyProtection="0"/>
    <xf numFmtId="0" fontId="17" fillId="0" borderId="5" applyNumberFormat="0" applyFill="0" applyAlignment="0" applyProtection="0"/>
    <xf numFmtId="0" fontId="17" fillId="0" borderId="0" applyNumberFormat="0" applyFill="0" applyBorder="0" applyAlignment="0" applyProtection="0"/>
    <xf numFmtId="0" fontId="18" fillId="3" borderId="1" applyNumberFormat="0" applyAlignment="0" applyProtection="0"/>
    <xf numFmtId="0" fontId="19" fillId="0" borderId="6" applyNumberFormat="0" applyFill="0" applyAlignment="0" applyProtection="0"/>
    <xf numFmtId="0" fontId="20" fillId="15" borderId="0" applyNumberFormat="0" applyBorder="0" applyAlignment="0" applyProtection="0"/>
    <xf numFmtId="0" fontId="4" fillId="16" borderId="7" applyNumberFormat="0" applyFont="0" applyAlignment="0" applyProtection="0"/>
    <xf numFmtId="0" fontId="21" fillId="2" borderId="8" applyNumberFormat="0" applyAlignment="0" applyProtection="0"/>
    <xf numFmtId="0" fontId="22" fillId="0" borderId="0" applyNumberFormat="0" applyFill="0" applyBorder="0" applyAlignment="0" applyProtection="0"/>
    <xf numFmtId="0" fontId="23" fillId="0" borderId="9" applyNumberFormat="0" applyFill="0" applyAlignment="0" applyProtection="0"/>
    <xf numFmtId="0" fontId="24" fillId="0" borderId="0" applyNumberFormat="0" applyFill="0" applyBorder="0" applyAlignment="0" applyProtection="0"/>
    <xf numFmtId="0" fontId="4" fillId="6" borderId="0">
      <alignment wrapText="1"/>
    </xf>
    <xf numFmtId="0" fontId="4" fillId="0" borderId="0">
      <alignment wrapText="1"/>
    </xf>
    <xf numFmtId="168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168" fontId="4" fillId="0" borderId="0">
      <alignment wrapText="1"/>
    </xf>
    <xf numFmtId="0" fontId="1" fillId="0" borderId="0"/>
    <xf numFmtId="0" fontId="1" fillId="24" borderId="21" applyNumberFormat="0" applyFont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  <xf numFmtId="43" fontId="1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219">
    <xf numFmtId="0" fontId="0" fillId="0" borderId="0" xfId="0"/>
    <xf numFmtId="0" fontId="0" fillId="0" borderId="10" xfId="0" applyBorder="1"/>
    <xf numFmtId="0" fontId="6" fillId="0" borderId="0" xfId="0" applyFont="1"/>
    <xf numFmtId="0" fontId="7" fillId="0" borderId="0" xfId="0" applyFont="1"/>
    <xf numFmtId="0" fontId="6" fillId="0" borderId="10" xfId="0" applyFont="1" applyBorder="1"/>
    <xf numFmtId="0" fontId="6" fillId="0" borderId="11" xfId="0" applyFont="1" applyBorder="1" applyAlignment="1">
      <alignment horizontal="left"/>
    </xf>
    <xf numFmtId="0" fontId="6" fillId="0" borderId="11" xfId="0" applyFont="1" applyBorder="1" applyAlignment="1">
      <alignment horizontal="center"/>
    </xf>
    <xf numFmtId="3" fontId="7" fillId="0" borderId="0" xfId="0" applyNumberFormat="1" applyFont="1"/>
    <xf numFmtId="0" fontId="7" fillId="0" borderId="12" xfId="0" applyFont="1" applyBorder="1"/>
    <xf numFmtId="3" fontId="7" fillId="0" borderId="12" xfId="0" applyNumberFormat="1" applyFont="1" applyBorder="1"/>
    <xf numFmtId="0" fontId="7" fillId="0" borderId="13" xfId="0" applyFont="1" applyBorder="1"/>
    <xf numFmtId="3" fontId="7" fillId="0" borderId="13" xfId="0" applyNumberFormat="1" applyFont="1" applyBorder="1"/>
    <xf numFmtId="164" fontId="7" fillId="0" borderId="0" xfId="0" applyNumberFormat="1" applyFont="1"/>
    <xf numFmtId="164" fontId="7" fillId="0" borderId="12" xfId="0" applyNumberFormat="1" applyFont="1" applyBorder="1"/>
    <xf numFmtId="164" fontId="7" fillId="0" borderId="13" xfId="0" applyNumberFormat="1" applyFont="1" applyBorder="1"/>
    <xf numFmtId="0" fontId="7" fillId="0" borderId="10" xfId="0" applyFont="1" applyBorder="1"/>
    <xf numFmtId="0" fontId="6" fillId="0" borderId="11" xfId="0" applyFont="1" applyBorder="1"/>
    <xf numFmtId="164" fontId="7" fillId="0" borderId="10" xfId="0" applyNumberFormat="1" applyFont="1" applyBorder="1"/>
    <xf numFmtId="0" fontId="7" fillId="0" borderId="0" xfId="0" applyFont="1" applyAlignment="1">
      <alignment horizontal="left"/>
    </xf>
    <xf numFmtId="0" fontId="7" fillId="0" borderId="0" xfId="0" applyFont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7" fillId="0" borderId="13" xfId="0" applyFont="1" applyBorder="1" applyAlignment="1">
      <alignment horizontal="left"/>
    </xf>
    <xf numFmtId="3" fontId="7" fillId="0" borderId="10" xfId="0" applyNumberFormat="1" applyFont="1" applyBorder="1"/>
    <xf numFmtId="0" fontId="7" fillId="0" borderId="12" xfId="0" applyFont="1" applyBorder="1" applyAlignment="1">
      <alignment horizontal="left"/>
    </xf>
    <xf numFmtId="164" fontId="6" fillId="0" borderId="11" xfId="0" applyNumberFormat="1" applyFont="1" applyBorder="1" applyAlignment="1">
      <alignment horizontal="center"/>
    </xf>
    <xf numFmtId="0" fontId="7" fillId="0" borderId="0" xfId="0" applyFont="1" applyBorder="1"/>
    <xf numFmtId="10" fontId="7" fillId="0" borderId="0" xfId="0" applyNumberFormat="1" applyFont="1" applyBorder="1"/>
    <xf numFmtId="49" fontId="7" fillId="0" borderId="0" xfId="0" applyNumberFormat="1" applyFont="1" applyAlignment="1">
      <alignment horizontal="left"/>
    </xf>
    <xf numFmtId="164" fontId="7" fillId="0" borderId="0" xfId="0" applyNumberFormat="1" applyFont="1" applyAlignment="1">
      <alignment horizontal="right"/>
    </xf>
    <xf numFmtId="49" fontId="7" fillId="0" borderId="12" xfId="0" applyNumberFormat="1" applyFont="1" applyBorder="1" applyAlignment="1">
      <alignment horizontal="left"/>
    </xf>
    <xf numFmtId="164" fontId="7" fillId="0" borderId="12" xfId="0" applyNumberFormat="1" applyFont="1" applyBorder="1" applyAlignment="1">
      <alignment horizontal="right"/>
    </xf>
    <xf numFmtId="164" fontId="7" fillId="0" borderId="10" xfId="0" applyNumberFormat="1" applyFont="1" applyBorder="1" applyAlignment="1">
      <alignment horizontal="right"/>
    </xf>
    <xf numFmtId="0" fontId="6" fillId="0" borderId="12" xfId="0" applyFont="1" applyBorder="1" applyAlignment="1">
      <alignment horizontal="center"/>
    </xf>
    <xf numFmtId="3" fontId="7" fillId="0" borderId="0" xfId="0" applyNumberFormat="1" applyFont="1" applyBorder="1"/>
    <xf numFmtId="164" fontId="7" fillId="0" borderId="0" xfId="0" applyNumberFormat="1" applyFont="1" applyBorder="1"/>
    <xf numFmtId="0" fontId="25" fillId="0" borderId="0" xfId="0" applyFont="1"/>
    <xf numFmtId="10" fontId="7" fillId="0" borderId="0" xfId="0" applyNumberFormat="1" applyFont="1"/>
    <xf numFmtId="166" fontId="7" fillId="0" borderId="0" xfId="0" applyNumberFormat="1" applyFont="1" applyBorder="1"/>
    <xf numFmtId="165" fontId="7" fillId="0" borderId="0" xfId="0" applyNumberFormat="1" applyFont="1"/>
    <xf numFmtId="0" fontId="7" fillId="0" borderId="0" xfId="0" applyFont="1" applyFill="1"/>
    <xf numFmtId="0" fontId="6" fillId="0" borderId="10" xfId="0" applyFont="1" applyFill="1" applyBorder="1"/>
    <xf numFmtId="0" fontId="6" fillId="0" borderId="11" xfId="0" applyFont="1" applyFill="1" applyBorder="1" applyAlignment="1">
      <alignment horizontal="center"/>
    </xf>
    <xf numFmtId="164" fontId="7" fillId="0" borderId="0" xfId="0" applyNumberFormat="1" applyFont="1" applyFill="1"/>
    <xf numFmtId="164" fontId="7" fillId="0" borderId="12" xfId="0" applyNumberFormat="1" applyFont="1" applyFill="1" applyBorder="1"/>
    <xf numFmtId="164" fontId="7" fillId="0" borderId="10" xfId="0" applyNumberFormat="1" applyFont="1" applyFill="1" applyBorder="1"/>
    <xf numFmtId="10" fontId="7" fillId="0" borderId="0" xfId="0" applyNumberFormat="1" applyFont="1" applyFill="1" applyBorder="1"/>
    <xf numFmtId="0" fontId="6" fillId="0" borderId="0" xfId="0" applyFont="1" applyFill="1"/>
    <xf numFmtId="0" fontId="6" fillId="0" borderId="11" xfId="0" applyFont="1" applyFill="1" applyBorder="1" applyAlignment="1">
      <alignment horizontal="left"/>
    </xf>
    <xf numFmtId="0" fontId="7" fillId="0" borderId="0" xfId="0" applyFont="1" applyFill="1" applyAlignment="1">
      <alignment horizontal="left"/>
    </xf>
    <xf numFmtId="0" fontId="7" fillId="0" borderId="12" xfId="0" applyFont="1" applyFill="1" applyBorder="1" applyAlignment="1">
      <alignment horizontal="left"/>
    </xf>
    <xf numFmtId="0" fontId="7" fillId="0" borderId="13" xfId="0" applyFont="1" applyFill="1" applyBorder="1" applyAlignment="1">
      <alignment horizontal="left"/>
    </xf>
    <xf numFmtId="164" fontId="7" fillId="0" borderId="13" xfId="0" applyNumberFormat="1" applyFont="1" applyFill="1" applyBorder="1"/>
    <xf numFmtId="164" fontId="6" fillId="0" borderId="11" xfId="0" applyNumberFormat="1" applyFont="1" applyFill="1" applyBorder="1" applyAlignment="1">
      <alignment horizontal="center"/>
    </xf>
    <xf numFmtId="3" fontId="7" fillId="0" borderId="0" xfId="0" applyNumberFormat="1" applyFont="1" applyFill="1"/>
    <xf numFmtId="3" fontId="7" fillId="0" borderId="0" xfId="0" applyNumberFormat="1" applyFont="1" applyFill="1" applyBorder="1"/>
    <xf numFmtId="3" fontId="7" fillId="0" borderId="13" xfId="0" applyNumberFormat="1" applyFont="1" applyFill="1" applyBorder="1"/>
    <xf numFmtId="164" fontId="7" fillId="0" borderId="0" xfId="0" applyNumberFormat="1" applyFont="1" applyFill="1" applyBorder="1"/>
    <xf numFmtId="0" fontId="0" fillId="0" borderId="0" xfId="0" applyFill="1"/>
    <xf numFmtId="0" fontId="0" fillId="0" borderId="10" xfId="0" applyFill="1" applyBorder="1"/>
    <xf numFmtId="3" fontId="7" fillId="0" borderId="12" xfId="0" applyNumberFormat="1" applyFont="1" applyFill="1" applyBorder="1"/>
    <xf numFmtId="3" fontId="7" fillId="0" borderId="10" xfId="0" applyNumberFormat="1" applyFont="1" applyFill="1" applyBorder="1"/>
    <xf numFmtId="0" fontId="7" fillId="0" borderId="10" xfId="0" applyFont="1" applyFill="1" applyBorder="1"/>
    <xf numFmtId="0" fontId="3" fillId="0" borderId="0" xfId="0" applyFont="1"/>
    <xf numFmtId="0" fontId="26" fillId="0" borderId="12" xfId="0" applyFont="1" applyBorder="1" applyAlignment="1">
      <alignment horizontal="center"/>
    </xf>
    <xf numFmtId="0" fontId="3" fillId="0" borderId="0" xfId="0" applyFont="1" applyFill="1" applyBorder="1"/>
    <xf numFmtId="0" fontId="4" fillId="0" borderId="0" xfId="0" applyFont="1"/>
    <xf numFmtId="0" fontId="4" fillId="0" borderId="10" xfId="0" applyFont="1" applyBorder="1"/>
    <xf numFmtId="0" fontId="3" fillId="0" borderId="11" xfId="0" applyFont="1" applyBorder="1" applyAlignment="1">
      <alignment horizontal="left"/>
    </xf>
    <xf numFmtId="0" fontId="27" fillId="0" borderId="0" xfId="0" applyFont="1"/>
    <xf numFmtId="3" fontId="27" fillId="0" borderId="0" xfId="0" applyNumberFormat="1" applyFont="1"/>
    <xf numFmtId="0" fontId="27" fillId="0" borderId="13" xfId="0" applyFont="1" applyBorder="1"/>
    <xf numFmtId="3" fontId="27" fillId="0" borderId="13" xfId="0" applyNumberFormat="1" applyFont="1" applyBorder="1"/>
    <xf numFmtId="9" fontId="27" fillId="0" borderId="0" xfId="0" applyNumberFormat="1" applyFont="1"/>
    <xf numFmtId="0" fontId="27" fillId="0" borderId="0" xfId="0" applyFont="1" applyBorder="1"/>
    <xf numFmtId="3" fontId="27" fillId="0" borderId="12" xfId="0" applyNumberFormat="1" applyFont="1" applyBorder="1"/>
    <xf numFmtId="9" fontId="27" fillId="0" borderId="12" xfId="0" applyNumberFormat="1" applyFont="1" applyBorder="1"/>
    <xf numFmtId="3" fontId="27" fillId="0" borderId="10" xfId="0" applyNumberFormat="1" applyFont="1" applyBorder="1"/>
    <xf numFmtId="9" fontId="27" fillId="0" borderId="10" xfId="0" applyNumberFormat="1" applyFont="1" applyBorder="1"/>
    <xf numFmtId="2" fontId="27" fillId="0" borderId="0" xfId="0" applyNumberFormat="1" applyFont="1"/>
    <xf numFmtId="2" fontId="27" fillId="0" borderId="12" xfId="0" applyNumberFormat="1" applyFont="1" applyBorder="1"/>
    <xf numFmtId="2" fontId="27" fillId="0" borderId="10" xfId="0" applyNumberFormat="1" applyFont="1" applyBorder="1"/>
    <xf numFmtId="0" fontId="27" fillId="0" borderId="12" xfId="0" applyFont="1" applyBorder="1"/>
    <xf numFmtId="9" fontId="27" fillId="0" borderId="13" xfId="0" applyNumberFormat="1" applyFont="1" applyBorder="1"/>
    <xf numFmtId="0" fontId="27" fillId="0" borderId="10" xfId="0" applyFont="1" applyBorder="1"/>
    <xf numFmtId="3" fontId="4" fillId="0" borderId="0" xfId="0" applyNumberFormat="1" applyFont="1"/>
    <xf numFmtId="0" fontId="4" fillId="0" borderId="13" xfId="0" applyFont="1" applyBorder="1"/>
    <xf numFmtId="3" fontId="4" fillId="0" borderId="13" xfId="0" applyNumberFormat="1" applyFont="1" applyBorder="1"/>
    <xf numFmtId="167" fontId="7" fillId="0" borderId="0" xfId="0" applyNumberFormat="1" applyFont="1"/>
    <xf numFmtId="0" fontId="6" fillId="0" borderId="0" xfId="0" applyFont="1" applyBorder="1"/>
    <xf numFmtId="0" fontId="6" fillId="0" borderId="0" xfId="0" applyFont="1" applyBorder="1" applyAlignment="1">
      <alignment horizontal="center"/>
    </xf>
    <xf numFmtId="164" fontId="7" fillId="17" borderId="12" xfId="0" applyNumberFormat="1" applyFont="1" applyFill="1" applyBorder="1"/>
    <xf numFmtId="164" fontId="7" fillId="17" borderId="10" xfId="0" applyNumberFormat="1" applyFont="1" applyFill="1" applyBorder="1"/>
    <xf numFmtId="164" fontId="7" fillId="17" borderId="0" xfId="0" applyNumberFormat="1" applyFont="1" applyFill="1"/>
    <xf numFmtId="16" fontId="0" fillId="0" borderId="0" xfId="0" applyNumberFormat="1"/>
    <xf numFmtId="0" fontId="6" fillId="17" borderId="11" xfId="0" applyFont="1" applyFill="1" applyBorder="1" applyAlignment="1">
      <alignment horizontal="center"/>
    </xf>
    <xf numFmtId="17" fontId="0" fillId="0" borderId="0" xfId="0" applyNumberFormat="1"/>
    <xf numFmtId="167" fontId="7" fillId="0" borderId="0" xfId="0" applyNumberFormat="1" applyFont="1" applyBorder="1"/>
    <xf numFmtId="0" fontId="25" fillId="0" borderId="0" xfId="0" applyFont="1" applyBorder="1"/>
    <xf numFmtId="0" fontId="6" fillId="0" borderId="0" xfId="0" applyFont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6" fillId="0" borderId="0" xfId="0" applyFont="1" applyFill="1" applyBorder="1" applyAlignment="1">
      <alignment horizontal="center"/>
    </xf>
    <xf numFmtId="0" fontId="7" fillId="0" borderId="0" xfId="0" applyFont="1" applyFill="1" applyBorder="1"/>
    <xf numFmtId="165" fontId="7" fillId="0" borderId="0" xfId="0" applyNumberFormat="1" applyFont="1" applyBorder="1"/>
    <xf numFmtId="165" fontId="0" fillId="0" borderId="0" xfId="0" applyNumberFormat="1"/>
    <xf numFmtId="0" fontId="28" fillId="0" borderId="0" xfId="43" applyAlignment="1"/>
    <xf numFmtId="0" fontId="6" fillId="0" borderId="0" xfId="0" applyFont="1"/>
    <xf numFmtId="0" fontId="2" fillId="0" borderId="0" xfId="49"/>
    <xf numFmtId="0" fontId="2" fillId="0" borderId="0" xfId="49" applyAlignment="1">
      <alignment horizontal="center"/>
    </xf>
    <xf numFmtId="11" fontId="2" fillId="0" borderId="0" xfId="49" applyNumberFormat="1" applyAlignment="1">
      <alignment horizontal="center"/>
    </xf>
    <xf numFmtId="0" fontId="44" fillId="0" borderId="0" xfId="49" applyFont="1" applyAlignment="1">
      <alignment horizontal="center"/>
    </xf>
    <xf numFmtId="11" fontId="44" fillId="0" borderId="0" xfId="49" applyNumberFormat="1" applyFont="1" applyAlignment="1">
      <alignment horizontal="center"/>
    </xf>
    <xf numFmtId="0" fontId="44" fillId="0" borderId="0" xfId="49" applyFont="1" applyAlignment="1">
      <alignment horizontal="left"/>
    </xf>
    <xf numFmtId="11" fontId="2" fillId="49" borderId="0" xfId="49" applyNumberFormat="1" applyFill="1" applyAlignment="1">
      <alignment horizontal="center"/>
    </xf>
    <xf numFmtId="0" fontId="46" fillId="0" borderId="0" xfId="0" applyFont="1"/>
    <xf numFmtId="0" fontId="47" fillId="0" borderId="0" xfId="0" applyFont="1"/>
    <xf numFmtId="21" fontId="47" fillId="0" borderId="0" xfId="0" applyNumberFormat="1" applyFont="1"/>
    <xf numFmtId="11" fontId="47" fillId="0" borderId="0" xfId="0" applyNumberFormat="1" applyFont="1"/>
    <xf numFmtId="2" fontId="47" fillId="0" borderId="0" xfId="0" applyNumberFormat="1" applyFont="1"/>
    <xf numFmtId="0" fontId="48" fillId="0" borderId="0" xfId="0" applyFont="1"/>
    <xf numFmtId="0" fontId="48" fillId="0" borderId="12" xfId="0" applyFont="1" applyBorder="1"/>
    <xf numFmtId="0" fontId="47" fillId="0" borderId="12" xfId="0" applyFont="1" applyBorder="1"/>
    <xf numFmtId="2" fontId="47" fillId="0" borderId="12" xfId="0" applyNumberFormat="1" applyFont="1" applyBorder="1"/>
    <xf numFmtId="0" fontId="47" fillId="0" borderId="0" xfId="0" applyFont="1" applyBorder="1"/>
    <xf numFmtId="0" fontId="47" fillId="0" borderId="10" xfId="0" applyFont="1" applyBorder="1"/>
    <xf numFmtId="3" fontId="47" fillId="0" borderId="0" xfId="0" applyNumberFormat="1" applyFont="1"/>
    <xf numFmtId="17" fontId="47" fillId="0" borderId="0" xfId="0" applyNumberFormat="1" applyFont="1"/>
    <xf numFmtId="16" fontId="47" fillId="0" borderId="0" xfId="0" applyNumberFormat="1" applyFont="1"/>
    <xf numFmtId="0" fontId="49" fillId="0" borderId="0" xfId="0" applyFont="1"/>
    <xf numFmtId="167" fontId="47" fillId="0" borderId="0" xfId="0" applyNumberFormat="1" applyFont="1"/>
    <xf numFmtId="0" fontId="48" fillId="0" borderId="0" xfId="0" applyFont="1" applyBorder="1"/>
    <xf numFmtId="1" fontId="47" fillId="0" borderId="0" xfId="0" quotePrefix="1" applyNumberFormat="1" applyFont="1" applyBorder="1" applyAlignment="1">
      <alignment horizontal="right"/>
    </xf>
    <xf numFmtId="167" fontId="47" fillId="0" borderId="10" xfId="0" applyNumberFormat="1" applyFont="1" applyBorder="1"/>
    <xf numFmtId="0" fontId="47" fillId="0" borderId="0" xfId="0" applyNumberFormat="1" applyFont="1"/>
    <xf numFmtId="0" fontId="47" fillId="0" borderId="10" xfId="0" applyNumberFormat="1" applyFont="1" applyBorder="1"/>
    <xf numFmtId="169" fontId="47" fillId="0" borderId="0" xfId="0" applyNumberFormat="1" applyFont="1"/>
    <xf numFmtId="169" fontId="47" fillId="0" borderId="10" xfId="0" applyNumberFormat="1" applyFont="1" applyBorder="1"/>
    <xf numFmtId="0" fontId="47" fillId="51" borderId="0" xfId="0" applyFont="1" applyFill="1"/>
    <xf numFmtId="167" fontId="47" fillId="51" borderId="0" xfId="0" applyNumberFormat="1" applyFont="1" applyFill="1"/>
    <xf numFmtId="3" fontId="47" fillId="0" borderId="10" xfId="0" applyNumberFormat="1" applyFont="1" applyBorder="1"/>
    <xf numFmtId="2" fontId="47" fillId="0" borderId="10" xfId="0" applyNumberFormat="1" applyFont="1" applyBorder="1"/>
    <xf numFmtId="3" fontId="47" fillId="0" borderId="12" xfId="0" applyNumberFormat="1" applyFont="1" applyBorder="1"/>
    <xf numFmtId="1" fontId="47" fillId="0" borderId="12" xfId="0" quotePrefix="1" applyNumberFormat="1" applyFont="1" applyBorder="1" applyAlignment="1">
      <alignment horizontal="right"/>
    </xf>
    <xf numFmtId="0" fontId="48" fillId="0" borderId="10" xfId="0" applyFont="1" applyBorder="1"/>
    <xf numFmtId="170" fontId="7" fillId="0" borderId="0" xfId="0" applyNumberFormat="1" applyFont="1"/>
    <xf numFmtId="170" fontId="7" fillId="0" borderId="10" xfId="0" applyNumberFormat="1" applyFont="1" applyBorder="1"/>
    <xf numFmtId="0" fontId="47" fillId="52" borderId="0" xfId="0" applyFont="1" applyFill="1"/>
    <xf numFmtId="0" fontId="6" fillId="0" borderId="0" xfId="0" applyFont="1"/>
    <xf numFmtId="0" fontId="6" fillId="0" borderId="0" xfId="0" applyNumberFormat="1" applyFont="1" applyFill="1" applyBorder="1"/>
    <xf numFmtId="0" fontId="7" fillId="0" borderId="0" xfId="0" applyNumberFormat="1" applyFont="1" applyFill="1" applyBorder="1"/>
    <xf numFmtId="0" fontId="6" fillId="0" borderId="0" xfId="0" applyNumberFormat="1" applyFont="1" applyFill="1" applyBorder="1" applyAlignment="1">
      <alignment horizontal="center"/>
    </xf>
    <xf numFmtId="0" fontId="47" fillId="0" borderId="0" xfId="0" applyNumberFormat="1" applyFont="1" applyFill="1" applyBorder="1"/>
    <xf numFmtId="0" fontId="6" fillId="0" borderId="12" xfId="0" applyFont="1" applyBorder="1"/>
    <xf numFmtId="2" fontId="7" fillId="0" borderId="0" xfId="0" applyNumberFormat="1" applyFont="1"/>
    <xf numFmtId="171" fontId="7" fillId="0" borderId="0" xfId="0" applyNumberFormat="1" applyFont="1"/>
    <xf numFmtId="2" fontId="7" fillId="0" borderId="10" xfId="0" applyNumberFormat="1" applyFont="1" applyBorder="1"/>
    <xf numFmtId="172" fontId="47" fillId="0" borderId="0" xfId="0" applyNumberFormat="1" applyFont="1" applyFill="1"/>
    <xf numFmtId="167" fontId="47" fillId="0" borderId="0" xfId="0" applyNumberFormat="1" applyFont="1" applyFill="1"/>
    <xf numFmtId="172" fontId="47" fillId="51" borderId="0" xfId="0" applyNumberFormat="1" applyFont="1" applyFill="1"/>
    <xf numFmtId="0" fontId="26" fillId="0" borderId="0" xfId="0" applyFont="1" applyBorder="1" applyAlignment="1">
      <alignment horizontal="center"/>
    </xf>
    <xf numFmtId="14" fontId="47" fillId="0" borderId="0" xfId="0" applyNumberFormat="1" applyFont="1"/>
    <xf numFmtId="0" fontId="3" fillId="0" borderId="11" xfId="0" applyFont="1" applyBorder="1" applyAlignment="1">
      <alignment horizontal="right"/>
    </xf>
    <xf numFmtId="0" fontId="6" fillId="0" borderId="0" xfId="0" applyFont="1"/>
    <xf numFmtId="0" fontId="47" fillId="0" borderId="0" xfId="0" applyFont="1" applyFill="1"/>
    <xf numFmtId="0" fontId="47" fillId="49" borderId="0" xfId="0" applyFont="1" applyFill="1"/>
    <xf numFmtId="0" fontId="48" fillId="0" borderId="12" xfId="0" applyFont="1" applyBorder="1" applyAlignment="1">
      <alignment horizontal="right"/>
    </xf>
    <xf numFmtId="3" fontId="7" fillId="0" borderId="0" xfId="94" applyNumberFormat="1" applyFont="1" applyBorder="1"/>
    <xf numFmtId="0" fontId="48" fillId="51" borderId="12" xfId="0" applyFont="1" applyFill="1" applyBorder="1" applyAlignment="1">
      <alignment horizontal="right"/>
    </xf>
    <xf numFmtId="0" fontId="47" fillId="54" borderId="0" xfId="0" applyFont="1" applyFill="1"/>
    <xf numFmtId="167" fontId="47" fillId="51" borderId="10" xfId="0" applyNumberFormat="1" applyFont="1" applyFill="1" applyBorder="1"/>
    <xf numFmtId="3" fontId="7" fillId="0" borderId="10" xfId="94" applyNumberFormat="1" applyFont="1" applyBorder="1"/>
    <xf numFmtId="0" fontId="47" fillId="54" borderId="10" xfId="0" applyFont="1" applyFill="1" applyBorder="1"/>
    <xf numFmtId="0" fontId="48" fillId="54" borderId="12" xfId="0" applyFont="1" applyFill="1" applyBorder="1" applyAlignment="1">
      <alignment horizontal="right"/>
    </xf>
    <xf numFmtId="0" fontId="48" fillId="0" borderId="0" xfId="0" applyFont="1" applyAlignment="1">
      <alignment horizontal="right"/>
    </xf>
    <xf numFmtId="0" fontId="47" fillId="54" borderId="0" xfId="0" applyFont="1" applyFill="1" applyBorder="1"/>
    <xf numFmtId="0" fontId="48" fillId="54" borderId="11" xfId="0" applyFont="1" applyFill="1" applyBorder="1" applyAlignment="1">
      <alignment horizontal="right"/>
    </xf>
    <xf numFmtId="0" fontId="7" fillId="49" borderId="0" xfId="0" applyFont="1" applyFill="1"/>
    <xf numFmtId="172" fontId="45" fillId="50" borderId="0" xfId="0" applyNumberFormat="1" applyFont="1" applyFill="1"/>
    <xf numFmtId="167" fontId="45" fillId="50" borderId="0" xfId="0" applyNumberFormat="1" applyFont="1" applyFill="1"/>
    <xf numFmtId="0" fontId="41" fillId="50" borderId="12" xfId="0" applyFont="1" applyFill="1" applyBorder="1"/>
    <xf numFmtId="0" fontId="41" fillId="50" borderId="12" xfId="0" applyFont="1" applyFill="1" applyBorder="1" applyAlignment="1">
      <alignment horizontal="right"/>
    </xf>
    <xf numFmtId="171" fontId="45" fillId="50" borderId="0" xfId="0" applyNumberFormat="1" applyFont="1" applyFill="1"/>
    <xf numFmtId="170" fontId="45" fillId="50" borderId="0" xfId="0" applyNumberFormat="1" applyFont="1" applyFill="1"/>
    <xf numFmtId="170" fontId="51" fillId="50" borderId="0" xfId="0" applyNumberFormat="1" applyFont="1" applyFill="1" applyBorder="1"/>
    <xf numFmtId="170" fontId="51" fillId="50" borderId="10" xfId="0" applyNumberFormat="1" applyFont="1" applyFill="1" applyBorder="1"/>
    <xf numFmtId="0" fontId="47" fillId="0" borderId="10" xfId="0" applyNumberFormat="1" applyFont="1" applyFill="1" applyBorder="1"/>
    <xf numFmtId="0" fontId="48" fillId="54" borderId="12" xfId="0" applyNumberFormat="1" applyFont="1" applyFill="1" applyBorder="1" applyAlignment="1">
      <alignment horizontal="right"/>
    </xf>
    <xf numFmtId="171" fontId="51" fillId="50" borderId="0" xfId="0" applyNumberFormat="1" applyFont="1" applyFill="1"/>
    <xf numFmtId="171" fontId="51" fillId="50" borderId="10" xfId="0" applyNumberFormat="1" applyFont="1" applyFill="1" applyBorder="1"/>
    <xf numFmtId="171" fontId="7" fillId="51" borderId="0" xfId="0" applyNumberFormat="1" applyFont="1" applyFill="1"/>
    <xf numFmtId="171" fontId="7" fillId="51" borderId="10" xfId="0" applyNumberFormat="1" applyFont="1" applyFill="1" applyBorder="1"/>
    <xf numFmtId="171" fontId="47" fillId="54" borderId="0" xfId="0" applyNumberFormat="1" applyFont="1" applyFill="1"/>
    <xf numFmtId="171" fontId="47" fillId="54" borderId="10" xfId="0" applyNumberFormat="1" applyFont="1" applyFill="1" applyBorder="1"/>
    <xf numFmtId="171" fontId="47" fillId="54" borderId="0" xfId="0" applyNumberFormat="1" applyFont="1" applyFill="1" applyBorder="1"/>
    <xf numFmtId="173" fontId="45" fillId="50" borderId="0" xfId="0" applyNumberFormat="1" applyFont="1" applyFill="1"/>
    <xf numFmtId="173" fontId="45" fillId="50" borderId="10" xfId="0" applyNumberFormat="1" applyFont="1" applyFill="1" applyBorder="1"/>
    <xf numFmtId="173" fontId="47" fillId="54" borderId="0" xfId="0" applyNumberFormat="1" applyFont="1" applyFill="1"/>
    <xf numFmtId="173" fontId="47" fillId="54" borderId="10" xfId="0" applyNumberFormat="1" applyFont="1" applyFill="1" applyBorder="1"/>
    <xf numFmtId="0" fontId="46" fillId="53" borderId="23" xfId="0" applyFont="1" applyFill="1" applyBorder="1"/>
    <xf numFmtId="0" fontId="47" fillId="53" borderId="24" xfId="0" applyFont="1" applyFill="1" applyBorder="1"/>
    <xf numFmtId="0" fontId="47" fillId="53" borderId="25" xfId="0" applyFont="1" applyFill="1" applyBorder="1"/>
    <xf numFmtId="0" fontId="47" fillId="53" borderId="26" xfId="0" applyFont="1" applyFill="1" applyBorder="1"/>
    <xf numFmtId="0" fontId="47" fillId="53" borderId="0" xfId="0" applyFont="1" applyFill="1" applyBorder="1"/>
    <xf numFmtId="0" fontId="47" fillId="53" borderId="27" xfId="0" applyFont="1" applyFill="1" applyBorder="1"/>
    <xf numFmtId="0" fontId="47" fillId="53" borderId="12" xfId="0" applyFont="1" applyFill="1" applyBorder="1"/>
    <xf numFmtId="0" fontId="47" fillId="53" borderId="29" xfId="0" applyFont="1" applyFill="1" applyBorder="1"/>
    <xf numFmtId="0" fontId="48" fillId="53" borderId="28" xfId="0" applyFont="1" applyFill="1" applyBorder="1" applyAlignment="1">
      <alignment horizontal="right"/>
    </xf>
    <xf numFmtId="0" fontId="0" fillId="53" borderId="25" xfId="0" applyFill="1" applyBorder="1"/>
    <xf numFmtId="0" fontId="0" fillId="53" borderId="27" xfId="0" applyFill="1" applyBorder="1"/>
    <xf numFmtId="0" fontId="47" fillId="53" borderId="28" xfId="0" applyFont="1" applyFill="1" applyBorder="1"/>
    <xf numFmtId="3" fontId="7" fillId="0" borderId="0" xfId="0" quotePrefix="1" applyNumberFormat="1" applyFont="1" applyAlignment="1">
      <alignment horizontal="right"/>
    </xf>
    <xf numFmtId="2" fontId="27" fillId="0" borderId="13" xfId="0" applyNumberFormat="1" applyFont="1" applyBorder="1"/>
    <xf numFmtId="0" fontId="4" fillId="0" borderId="0" xfId="0" applyFont="1" applyBorder="1"/>
    <xf numFmtId="3" fontId="27" fillId="0" borderId="0" xfId="0" applyNumberFormat="1" applyFont="1" applyBorder="1"/>
    <xf numFmtId="9" fontId="0" fillId="0" borderId="0" xfId="92" applyFont="1" applyBorder="1"/>
    <xf numFmtId="9" fontId="27" fillId="0" borderId="0" xfId="0" applyNumberFormat="1" applyFont="1" applyBorder="1"/>
    <xf numFmtId="9" fontId="27" fillId="0" borderId="0" xfId="92" applyFont="1"/>
    <xf numFmtId="164" fontId="27" fillId="0" borderId="0" xfId="92" applyNumberFormat="1" applyFont="1"/>
    <xf numFmtId="0" fontId="6" fillId="0" borderId="0" xfId="0" applyFont="1"/>
  </cellXfs>
  <cellStyles count="159">
    <cellStyle name="20% - Accent1" xfId="1" builtinId="30" customBuiltin="1"/>
    <cellStyle name="20% - Accent1 2" xfId="68" xr:uid="{00000000-0005-0000-0000-000001000000}"/>
    <cellStyle name="20% - Accent1 2 2" xfId="145" xr:uid="{00000000-0005-0000-0000-000002000000}"/>
    <cellStyle name="20% - Accent1 3" xfId="95" xr:uid="{00000000-0005-0000-0000-000003000000}"/>
    <cellStyle name="20% - Accent2" xfId="2" builtinId="34" customBuiltin="1"/>
    <cellStyle name="20% - Accent2 2" xfId="72" xr:uid="{00000000-0005-0000-0000-000005000000}"/>
    <cellStyle name="20% - Accent2 2 2" xfId="147" xr:uid="{00000000-0005-0000-0000-000006000000}"/>
    <cellStyle name="20% - Accent2 3" xfId="96" xr:uid="{00000000-0005-0000-0000-000007000000}"/>
    <cellStyle name="20% - Accent3" xfId="3" builtinId="38" customBuiltin="1"/>
    <cellStyle name="20% - Accent3 2" xfId="76" xr:uid="{00000000-0005-0000-0000-000009000000}"/>
    <cellStyle name="20% - Accent3 2 2" xfId="149" xr:uid="{00000000-0005-0000-0000-00000A000000}"/>
    <cellStyle name="20% - Accent3 3" xfId="97" xr:uid="{00000000-0005-0000-0000-00000B000000}"/>
    <cellStyle name="20% - Accent4" xfId="4" builtinId="42" customBuiltin="1"/>
    <cellStyle name="20% - Accent4 2" xfId="80" xr:uid="{00000000-0005-0000-0000-00000D000000}"/>
    <cellStyle name="20% - Accent4 2 2" xfId="151" xr:uid="{00000000-0005-0000-0000-00000E000000}"/>
    <cellStyle name="20% - Accent4 3" xfId="98" xr:uid="{00000000-0005-0000-0000-00000F000000}"/>
    <cellStyle name="20% - Accent5" xfId="5" builtinId="46" customBuiltin="1"/>
    <cellStyle name="20% - Accent5 2" xfId="84" xr:uid="{00000000-0005-0000-0000-000011000000}"/>
    <cellStyle name="20% - Accent5 2 2" xfId="153" xr:uid="{00000000-0005-0000-0000-000012000000}"/>
    <cellStyle name="20% - Accent5 3" xfId="99" xr:uid="{00000000-0005-0000-0000-000013000000}"/>
    <cellStyle name="20% - Accent6" xfId="6" builtinId="50" customBuiltin="1"/>
    <cellStyle name="20% - Accent6 2" xfId="88" xr:uid="{00000000-0005-0000-0000-000015000000}"/>
    <cellStyle name="20% - Accent6 2 2" xfId="155" xr:uid="{00000000-0005-0000-0000-000016000000}"/>
    <cellStyle name="20% - Accent6 3" xfId="100" xr:uid="{00000000-0005-0000-0000-000017000000}"/>
    <cellStyle name="40% - Accent1" xfId="7" builtinId="31" customBuiltin="1"/>
    <cellStyle name="40% - Accent1 2" xfId="69" xr:uid="{00000000-0005-0000-0000-000019000000}"/>
    <cellStyle name="40% - Accent1 2 2" xfId="146" xr:uid="{00000000-0005-0000-0000-00001A000000}"/>
    <cellStyle name="40% - Accent1 3" xfId="101" xr:uid="{00000000-0005-0000-0000-00001B000000}"/>
    <cellStyle name="40% - Accent2" xfId="8" builtinId="35" customBuiltin="1"/>
    <cellStyle name="40% - Accent2 2" xfId="73" xr:uid="{00000000-0005-0000-0000-00001D000000}"/>
    <cellStyle name="40% - Accent2 2 2" xfId="148" xr:uid="{00000000-0005-0000-0000-00001E000000}"/>
    <cellStyle name="40% - Accent2 3" xfId="102" xr:uid="{00000000-0005-0000-0000-00001F000000}"/>
    <cellStyle name="40% - Accent3" xfId="9" builtinId="39" customBuiltin="1"/>
    <cellStyle name="40% - Accent3 2" xfId="77" xr:uid="{00000000-0005-0000-0000-000021000000}"/>
    <cellStyle name="40% - Accent3 2 2" xfId="150" xr:uid="{00000000-0005-0000-0000-000022000000}"/>
    <cellStyle name="40% - Accent3 3" xfId="103" xr:uid="{00000000-0005-0000-0000-000023000000}"/>
    <cellStyle name="40% - Accent4" xfId="10" builtinId="43" customBuiltin="1"/>
    <cellStyle name="40% - Accent4 2" xfId="81" xr:uid="{00000000-0005-0000-0000-000025000000}"/>
    <cellStyle name="40% - Accent4 2 2" xfId="152" xr:uid="{00000000-0005-0000-0000-000026000000}"/>
    <cellStyle name="40% - Accent4 3" xfId="104" xr:uid="{00000000-0005-0000-0000-000027000000}"/>
    <cellStyle name="40% - Accent5" xfId="11" builtinId="47" customBuiltin="1"/>
    <cellStyle name="40% - Accent5 2" xfId="85" xr:uid="{00000000-0005-0000-0000-000029000000}"/>
    <cellStyle name="40% - Accent5 2 2" xfId="154" xr:uid="{00000000-0005-0000-0000-00002A000000}"/>
    <cellStyle name="40% - Accent5 3" xfId="105" xr:uid="{00000000-0005-0000-0000-00002B000000}"/>
    <cellStyle name="40% - Accent6" xfId="12" builtinId="51" customBuiltin="1"/>
    <cellStyle name="40% - Accent6 2" xfId="89" xr:uid="{00000000-0005-0000-0000-00002D000000}"/>
    <cellStyle name="40% - Accent6 2 2" xfId="156" xr:uid="{00000000-0005-0000-0000-00002E000000}"/>
    <cellStyle name="40% - Accent6 3" xfId="106" xr:uid="{00000000-0005-0000-0000-00002F000000}"/>
    <cellStyle name="60% - Accent1" xfId="13" builtinId="32" customBuiltin="1"/>
    <cellStyle name="60% - Accent1 2" xfId="70" xr:uid="{00000000-0005-0000-0000-000031000000}"/>
    <cellStyle name="60% - Accent1 3" xfId="107" xr:uid="{00000000-0005-0000-0000-000032000000}"/>
    <cellStyle name="60% - Accent2" xfId="14" builtinId="36" customBuiltin="1"/>
    <cellStyle name="60% - Accent2 2" xfId="74" xr:uid="{00000000-0005-0000-0000-000034000000}"/>
    <cellStyle name="60% - Accent2 3" xfId="108" xr:uid="{00000000-0005-0000-0000-000035000000}"/>
    <cellStyle name="60% - Accent3" xfId="15" builtinId="40" customBuiltin="1"/>
    <cellStyle name="60% - Accent3 2" xfId="78" xr:uid="{00000000-0005-0000-0000-000037000000}"/>
    <cellStyle name="60% - Accent3 3" xfId="109" xr:uid="{00000000-0005-0000-0000-000038000000}"/>
    <cellStyle name="60% - Accent4" xfId="16" builtinId="44" customBuiltin="1"/>
    <cellStyle name="60% - Accent4 2" xfId="82" xr:uid="{00000000-0005-0000-0000-00003A000000}"/>
    <cellStyle name="60% - Accent4 3" xfId="110" xr:uid="{00000000-0005-0000-0000-00003B000000}"/>
    <cellStyle name="60% - Accent5" xfId="17" builtinId="48" customBuiltin="1"/>
    <cellStyle name="60% - Accent5 2" xfId="86" xr:uid="{00000000-0005-0000-0000-00003D000000}"/>
    <cellStyle name="60% - Accent5 3" xfId="111" xr:uid="{00000000-0005-0000-0000-00003E000000}"/>
    <cellStyle name="60% - Accent6" xfId="18" builtinId="52" customBuiltin="1"/>
    <cellStyle name="60% - Accent6 2" xfId="90" xr:uid="{00000000-0005-0000-0000-000040000000}"/>
    <cellStyle name="60% - Accent6 3" xfId="112" xr:uid="{00000000-0005-0000-0000-000041000000}"/>
    <cellStyle name="Accent1" xfId="19" builtinId="29" customBuiltin="1"/>
    <cellStyle name="Accent1 2" xfId="67" xr:uid="{00000000-0005-0000-0000-000043000000}"/>
    <cellStyle name="Accent1 3" xfId="113" xr:uid="{00000000-0005-0000-0000-000044000000}"/>
    <cellStyle name="Accent2" xfId="20" builtinId="33" customBuiltin="1"/>
    <cellStyle name="Accent2 2" xfId="71" xr:uid="{00000000-0005-0000-0000-000046000000}"/>
    <cellStyle name="Accent2 3" xfId="114" xr:uid="{00000000-0005-0000-0000-000047000000}"/>
    <cellStyle name="Accent3" xfId="21" builtinId="37" customBuiltin="1"/>
    <cellStyle name="Accent3 2" xfId="75" xr:uid="{00000000-0005-0000-0000-000049000000}"/>
    <cellStyle name="Accent3 3" xfId="115" xr:uid="{00000000-0005-0000-0000-00004A000000}"/>
    <cellStyle name="Accent4" xfId="22" builtinId="41" customBuiltin="1"/>
    <cellStyle name="Accent4 2" xfId="79" xr:uid="{00000000-0005-0000-0000-00004C000000}"/>
    <cellStyle name="Accent4 3" xfId="116" xr:uid="{00000000-0005-0000-0000-00004D000000}"/>
    <cellStyle name="Accent5" xfId="23" builtinId="45" customBuiltin="1"/>
    <cellStyle name="Accent5 2" xfId="83" xr:uid="{00000000-0005-0000-0000-00004F000000}"/>
    <cellStyle name="Accent5 3" xfId="117" xr:uid="{00000000-0005-0000-0000-000050000000}"/>
    <cellStyle name="Accent6" xfId="24" builtinId="49" customBuiltin="1"/>
    <cellStyle name="Accent6 2" xfId="87" xr:uid="{00000000-0005-0000-0000-000052000000}"/>
    <cellStyle name="Accent6 3" xfId="118" xr:uid="{00000000-0005-0000-0000-000053000000}"/>
    <cellStyle name="Bad" xfId="25" builtinId="27" customBuiltin="1"/>
    <cellStyle name="Bad 2" xfId="56" xr:uid="{00000000-0005-0000-0000-000055000000}"/>
    <cellStyle name="Bad 3" xfId="119" xr:uid="{00000000-0005-0000-0000-000056000000}"/>
    <cellStyle name="Calculation" xfId="26" builtinId="22" customBuiltin="1"/>
    <cellStyle name="Calculation 2" xfId="60" xr:uid="{00000000-0005-0000-0000-000058000000}"/>
    <cellStyle name="Calculation 3" xfId="120" xr:uid="{00000000-0005-0000-0000-000059000000}"/>
    <cellStyle name="Check Cell" xfId="27" builtinId="23" customBuiltin="1"/>
    <cellStyle name="Check Cell 2" xfId="62" xr:uid="{00000000-0005-0000-0000-00005B000000}"/>
    <cellStyle name="Check Cell 3" xfId="121" xr:uid="{00000000-0005-0000-0000-00005C000000}"/>
    <cellStyle name="Comma 2" xfId="91" xr:uid="{00000000-0005-0000-0000-00005D000000}"/>
    <cellStyle name="Comma 2 2" xfId="157" xr:uid="{00000000-0005-0000-0000-00005E000000}"/>
    <cellStyle name="Explanatory Text" xfId="28" builtinId="53" customBuiltin="1"/>
    <cellStyle name="Explanatory Text 2" xfId="65" xr:uid="{00000000-0005-0000-0000-000060000000}"/>
    <cellStyle name="Explanatory Text 3" xfId="122" xr:uid="{00000000-0005-0000-0000-000061000000}"/>
    <cellStyle name="Good" xfId="29" builtinId="26" customBuiltin="1"/>
    <cellStyle name="Good 2" xfId="55" xr:uid="{00000000-0005-0000-0000-000063000000}"/>
    <cellStyle name="Good 3" xfId="123" xr:uid="{00000000-0005-0000-0000-000064000000}"/>
    <cellStyle name="Heading 1" xfId="30" builtinId="16" customBuiltin="1"/>
    <cellStyle name="Heading 1 2" xfId="51" xr:uid="{00000000-0005-0000-0000-000066000000}"/>
    <cellStyle name="Heading 1 3" xfId="124" xr:uid="{00000000-0005-0000-0000-000067000000}"/>
    <cellStyle name="Heading 2" xfId="31" builtinId="17" customBuiltin="1"/>
    <cellStyle name="Heading 2 2" xfId="52" xr:uid="{00000000-0005-0000-0000-000069000000}"/>
    <cellStyle name="Heading 2 3" xfId="125" xr:uid="{00000000-0005-0000-0000-00006A000000}"/>
    <cellStyle name="Heading 3" xfId="32" builtinId="18" customBuiltin="1"/>
    <cellStyle name="Heading 3 2" xfId="53" xr:uid="{00000000-0005-0000-0000-00006C000000}"/>
    <cellStyle name="Heading 3 3" xfId="126" xr:uid="{00000000-0005-0000-0000-00006D000000}"/>
    <cellStyle name="Heading 4" xfId="33" builtinId="19" customBuiltin="1"/>
    <cellStyle name="Heading 4 2" xfId="54" xr:uid="{00000000-0005-0000-0000-00006F000000}"/>
    <cellStyle name="Heading 4 3" xfId="127" xr:uid="{00000000-0005-0000-0000-000070000000}"/>
    <cellStyle name="Input" xfId="34" builtinId="20" customBuiltin="1"/>
    <cellStyle name="Input 2" xfId="58" xr:uid="{00000000-0005-0000-0000-000072000000}"/>
    <cellStyle name="Input 3" xfId="128" xr:uid="{00000000-0005-0000-0000-000073000000}"/>
    <cellStyle name="Linked Cell" xfId="35" builtinId="24" customBuiltin="1"/>
    <cellStyle name="Linked Cell 2" xfId="61" xr:uid="{00000000-0005-0000-0000-000075000000}"/>
    <cellStyle name="Linked Cell 3" xfId="129" xr:uid="{00000000-0005-0000-0000-000076000000}"/>
    <cellStyle name="Neutral" xfId="36" builtinId="28" customBuiltin="1"/>
    <cellStyle name="Neutral 2" xfId="57" xr:uid="{00000000-0005-0000-0000-000078000000}"/>
    <cellStyle name="Neutral 3" xfId="130" xr:uid="{00000000-0005-0000-0000-000079000000}"/>
    <cellStyle name="Normal" xfId="0" builtinId="0"/>
    <cellStyle name="Normal 2" xfId="49" xr:uid="{00000000-0005-0000-0000-00007B000000}"/>
    <cellStyle name="Normal 2 2" xfId="143" xr:uid="{00000000-0005-0000-0000-00007C000000}"/>
    <cellStyle name="Normal 3" xfId="94" xr:uid="{00000000-0005-0000-0000-00007D000000}"/>
    <cellStyle name="Normal 4" xfId="93" xr:uid="{00000000-0005-0000-0000-00007E000000}"/>
    <cellStyle name="Note" xfId="37" builtinId="10" customBuiltin="1"/>
    <cellStyle name="Note 2" xfId="64" xr:uid="{00000000-0005-0000-0000-000080000000}"/>
    <cellStyle name="Note 2 2" xfId="144" xr:uid="{00000000-0005-0000-0000-000081000000}"/>
    <cellStyle name="Note 3" xfId="131" xr:uid="{00000000-0005-0000-0000-000082000000}"/>
    <cellStyle name="Output" xfId="38" builtinId="21" customBuiltin="1"/>
    <cellStyle name="Output 2" xfId="59" xr:uid="{00000000-0005-0000-0000-000084000000}"/>
    <cellStyle name="Output 3" xfId="132" xr:uid="{00000000-0005-0000-0000-000085000000}"/>
    <cellStyle name="Percent" xfId="92" builtinId="5"/>
    <cellStyle name="Percent 2" xfId="158" xr:uid="{00000000-0005-0000-0000-000087000000}"/>
    <cellStyle name="Title" xfId="39" builtinId="15" customBuiltin="1"/>
    <cellStyle name="Title 2" xfId="50" xr:uid="{00000000-0005-0000-0000-000089000000}"/>
    <cellStyle name="Title 3" xfId="133" xr:uid="{00000000-0005-0000-0000-00008A000000}"/>
    <cellStyle name="Total" xfId="40" builtinId="25" customBuiltin="1"/>
    <cellStyle name="Total 2" xfId="66" xr:uid="{00000000-0005-0000-0000-00008C000000}"/>
    <cellStyle name="Total 3" xfId="134" xr:uid="{00000000-0005-0000-0000-00008D000000}"/>
    <cellStyle name="Warning Text" xfId="41" builtinId="11" customBuiltin="1"/>
    <cellStyle name="Warning Text 2" xfId="63" xr:uid="{00000000-0005-0000-0000-00008F000000}"/>
    <cellStyle name="Warning Text 3" xfId="135" xr:uid="{00000000-0005-0000-0000-000090000000}"/>
    <cellStyle name="XLConnect.Boolean" xfId="47" xr:uid="{00000000-0005-0000-0000-000091000000}"/>
    <cellStyle name="XLConnect.Boolean 2" xfId="141" xr:uid="{00000000-0005-0000-0000-000092000000}"/>
    <cellStyle name="XLConnect.Date" xfId="44" xr:uid="{00000000-0005-0000-0000-000093000000}"/>
    <cellStyle name="XLConnect.Date 2" xfId="138" xr:uid="{00000000-0005-0000-0000-000094000000}"/>
    <cellStyle name="XLConnect.DateTime" xfId="48" xr:uid="{00000000-0005-0000-0000-000095000000}"/>
    <cellStyle name="XLConnect.DateTime 2" xfId="142" xr:uid="{00000000-0005-0000-0000-000096000000}"/>
    <cellStyle name="XLConnect.General" xfId="43" xr:uid="{00000000-0005-0000-0000-000097000000}"/>
    <cellStyle name="XLConnect.General 2" xfId="137" xr:uid="{00000000-0005-0000-0000-000098000000}"/>
    <cellStyle name="XLConnect.Header" xfId="42" xr:uid="{00000000-0005-0000-0000-000099000000}"/>
    <cellStyle name="XLConnect.Header 2" xfId="136" xr:uid="{00000000-0005-0000-0000-00009A000000}"/>
    <cellStyle name="XLConnect.Numeric" xfId="46" xr:uid="{00000000-0005-0000-0000-00009B000000}"/>
    <cellStyle name="XLConnect.Numeric 2" xfId="140" xr:uid="{00000000-0005-0000-0000-00009C000000}"/>
    <cellStyle name="XLConnect.String" xfId="45" xr:uid="{00000000-0005-0000-0000-00009D000000}"/>
    <cellStyle name="XLConnect.String 2" xfId="139" xr:uid="{00000000-0005-0000-0000-00009E000000}"/>
  </cellStyles>
  <dxfs count="39"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16"/>
  <sheetViews>
    <sheetView tabSelected="1" topLeftCell="A66" zoomScale="85" zoomScaleNormal="85" workbookViewId="0">
      <selection activeCell="L87" sqref="L87"/>
    </sheetView>
  </sheetViews>
  <sheetFormatPr defaultColWidth="10.75" defaultRowHeight="12.75" x14ac:dyDescent="0.2"/>
  <cols>
    <col min="1" max="1" width="17.75" style="65" customWidth="1" collapsed="1"/>
    <col min="2" max="5" width="12.625" style="65" customWidth="1" collapsed="1"/>
    <col min="6" max="6" width="4.875" style="65" customWidth="1" collapsed="1"/>
    <col min="7" max="16384" width="10.75" style="65" collapsed="1"/>
  </cols>
  <sheetData>
    <row r="1" spans="1:11" ht="18" customHeight="1" x14ac:dyDescent="0.2">
      <c r="A1" s="62" t="s">
        <v>185</v>
      </c>
    </row>
    <row r="2" spans="1:11" ht="18" customHeight="1" thickBot="1" x14ac:dyDescent="0.25">
      <c r="B2" s="66"/>
      <c r="C2" s="66"/>
      <c r="D2"/>
      <c r="E2" s="68"/>
      <c r="F2" s="68"/>
      <c r="G2" s="68"/>
    </row>
    <row r="3" spans="1:11" s="68" customFormat="1" ht="18" customHeight="1" x14ac:dyDescent="0.2">
      <c r="A3" s="67" t="s">
        <v>217</v>
      </c>
      <c r="B3" s="63" t="s">
        <v>260</v>
      </c>
      <c r="C3" s="63" t="s">
        <v>261</v>
      </c>
      <c r="D3"/>
    </row>
    <row r="4" spans="1:11" s="68" customFormat="1" ht="18" customHeight="1" x14ac:dyDescent="0.2">
      <c r="A4" s="65" t="s">
        <v>10862</v>
      </c>
      <c r="B4" s="84">
        <f>SUM(ToursByTourPurpose!B118)</f>
        <v>0</v>
      </c>
      <c r="C4" s="84">
        <f>SUM(ToursByTourPurpose!N118)</f>
        <v>620</v>
      </c>
      <c r="D4"/>
    </row>
    <row r="5" spans="1:11" s="68" customFormat="1" ht="18" customHeight="1" x14ac:dyDescent="0.2">
      <c r="A5" t="s">
        <v>10863</v>
      </c>
      <c r="B5" s="84">
        <f>SUM(ToursByTourPurpose!C118)</f>
        <v>0</v>
      </c>
      <c r="C5" s="84">
        <f>ToursByTourPurpose!O118</f>
        <v>168</v>
      </c>
      <c r="D5"/>
    </row>
    <row r="6" spans="1:11" s="68" customFormat="1" ht="18" customHeight="1" x14ac:dyDescent="0.2">
      <c r="A6" t="s">
        <v>10864</v>
      </c>
      <c r="B6" s="84">
        <f>SUM(ToursByTourPurpose!D118)</f>
        <v>0</v>
      </c>
      <c r="C6" s="84">
        <f>ToursByTourPurpose!P118</f>
        <v>756</v>
      </c>
      <c r="D6"/>
    </row>
    <row r="7" spans="1:11" s="68" customFormat="1" ht="18" customHeight="1" x14ac:dyDescent="0.2">
      <c r="A7" t="s">
        <v>10865</v>
      </c>
      <c r="B7" s="84">
        <f>SUM(ToursByTourPurpose!E118)</f>
        <v>0</v>
      </c>
      <c r="C7" s="84">
        <f>ToursByTourPurpose!Q118</f>
        <v>502</v>
      </c>
      <c r="D7"/>
    </row>
    <row r="8" spans="1:11" s="68" customFormat="1" ht="18" customHeight="1" x14ac:dyDescent="0.2">
      <c r="A8" t="s">
        <v>1689</v>
      </c>
      <c r="B8" s="84">
        <f>SUM(ToursByTourPurpose!F118)</f>
        <v>636827.67330000002</v>
      </c>
      <c r="C8" s="84">
        <f>ToursByTourPurpose!R118</f>
        <v>525803</v>
      </c>
      <c r="D8"/>
    </row>
    <row r="9" spans="1:11" s="68" customFormat="1" ht="18" customHeight="1" x14ac:dyDescent="0.2">
      <c r="A9" t="s">
        <v>10866</v>
      </c>
      <c r="B9" s="84">
        <f>SUM(ToursByTourPurpose!G118)</f>
        <v>54534.662199999999</v>
      </c>
      <c r="C9" s="84">
        <f>ToursByTourPurpose!S118</f>
        <v>63262</v>
      </c>
      <c r="D9"/>
    </row>
    <row r="10" spans="1:11" s="68" customFormat="1" ht="18" customHeight="1" x14ac:dyDescent="0.2">
      <c r="A10" t="s">
        <v>10867</v>
      </c>
      <c r="B10" s="84">
        <f>SUM(ToursByTourPurpose!H118)</f>
        <v>2601551.0852999999</v>
      </c>
      <c r="C10" s="84">
        <f>ToursByTourPurpose!T118</f>
        <v>2180627</v>
      </c>
      <c r="D10"/>
    </row>
    <row r="11" spans="1:11" s="68" customFormat="1" ht="18" customHeight="1" thickBot="1" x14ac:dyDescent="0.25">
      <c r="A11" s="85" t="s">
        <v>221</v>
      </c>
      <c r="B11" s="86">
        <f>SUM(B4:B10)</f>
        <v>3292913.4208</v>
      </c>
      <c r="C11" s="86">
        <f>SUM(C4:C10)</f>
        <v>2771738</v>
      </c>
      <c r="D11"/>
    </row>
    <row r="12" spans="1:11" s="68" customFormat="1" ht="18" customHeight="1" x14ac:dyDescent="0.2"/>
    <row r="13" spans="1:11" s="68" customFormat="1" ht="18" customHeight="1" x14ac:dyDescent="0.2"/>
    <row r="14" spans="1:11" s="68" customFormat="1" ht="18" customHeight="1" x14ac:dyDescent="0.2">
      <c r="I14" s="159"/>
    </row>
    <row r="15" spans="1:11" ht="18" customHeight="1" x14ac:dyDescent="0.2">
      <c r="A15" s="62" t="s">
        <v>291</v>
      </c>
    </row>
    <row r="16" spans="1:11" ht="18" customHeight="1" thickBot="1" x14ac:dyDescent="0.25">
      <c r="B16" s="66"/>
      <c r="C16" s="66"/>
      <c r="D16" s="66"/>
      <c r="E16" s="66"/>
      <c r="G16" s="212"/>
      <c r="H16" s="212"/>
      <c r="I16" s="68"/>
      <c r="J16" s="212"/>
      <c r="K16" s="212"/>
    </row>
    <row r="17" spans="1:11" s="68" customFormat="1" ht="18" customHeight="1" x14ac:dyDescent="0.2">
      <c r="A17" s="67" t="s">
        <v>155</v>
      </c>
      <c r="B17" s="63" t="s">
        <v>260</v>
      </c>
      <c r="C17" s="63" t="s">
        <v>261</v>
      </c>
      <c r="D17" s="63" t="s">
        <v>154</v>
      </c>
      <c r="E17" s="63" t="s">
        <v>262</v>
      </c>
      <c r="G17" s="159"/>
      <c r="H17" s="159"/>
      <c r="I17" s="73"/>
      <c r="J17" s="159"/>
      <c r="K17" s="159"/>
    </row>
    <row r="18" spans="1:11" s="68" customFormat="1" ht="18" customHeight="1" x14ac:dyDescent="0.2">
      <c r="A18" s="68" t="s">
        <v>146</v>
      </c>
      <c r="B18" s="69">
        <f>ToursByTourPurpose!B15</f>
        <v>1238555.2527999999</v>
      </c>
      <c r="C18" s="69">
        <f>ToursByTourPurpose!N15</f>
        <v>1101733</v>
      </c>
      <c r="D18" s="69">
        <f t="shared" ref="D18:D26" si="0">C18-B18</f>
        <v>-136822.2527999999</v>
      </c>
      <c r="E18" s="72">
        <f>D18/B18</f>
        <v>-0.11046923622558304</v>
      </c>
      <c r="G18" s="213"/>
      <c r="H18" s="214"/>
      <c r="I18" s="73"/>
      <c r="J18" s="213"/>
      <c r="K18" s="214"/>
    </row>
    <row r="19" spans="1:11" s="68" customFormat="1" ht="18" customHeight="1" x14ac:dyDescent="0.2">
      <c r="A19" s="68" t="s">
        <v>147</v>
      </c>
      <c r="B19" s="69">
        <f>ToursByTourPurpose!C15</f>
        <v>305232.84169999999</v>
      </c>
      <c r="C19" s="69">
        <f>ToursByTourPurpose!O15</f>
        <v>274554</v>
      </c>
      <c r="D19" s="69">
        <f t="shared" si="0"/>
        <v>-30678.84169999999</v>
      </c>
      <c r="E19" s="72">
        <f t="shared" ref="E19:E26" si="1">D19/B19</f>
        <v>-0.10050963562483516</v>
      </c>
      <c r="G19" s="213"/>
      <c r="H19" s="214"/>
      <c r="I19" s="73"/>
      <c r="J19" s="213"/>
      <c r="K19" s="214"/>
    </row>
    <row r="20" spans="1:11" s="68" customFormat="1" ht="18" customHeight="1" x14ac:dyDescent="0.2">
      <c r="A20" s="68" t="s">
        <v>148</v>
      </c>
      <c r="B20" s="69">
        <f>ToursByTourPurpose!D15</f>
        <v>342741.66269999999</v>
      </c>
      <c r="C20" s="69">
        <f>ToursByTourPurpose!P15</f>
        <v>313576</v>
      </c>
      <c r="D20" s="69">
        <f t="shared" si="0"/>
        <v>-29165.662699999986</v>
      </c>
      <c r="E20" s="72">
        <f t="shared" si="1"/>
        <v>-8.5095177721444801E-2</v>
      </c>
      <c r="G20" s="213"/>
      <c r="H20" s="214"/>
      <c r="I20" s="73"/>
      <c r="J20" s="213"/>
      <c r="K20" s="214"/>
    </row>
    <row r="21" spans="1:11" s="68" customFormat="1" ht="18" customHeight="1" x14ac:dyDescent="0.2">
      <c r="A21" s="68" t="s">
        <v>243</v>
      </c>
      <c r="B21" s="69">
        <f>ToursByTourPurpose!E15</f>
        <v>533826.13100000005</v>
      </c>
      <c r="C21" s="69">
        <f>ToursByTourPurpose!Q15</f>
        <v>306209</v>
      </c>
      <c r="D21" s="69">
        <f t="shared" si="0"/>
        <v>-227617.13100000005</v>
      </c>
      <c r="E21" s="72">
        <f t="shared" si="1"/>
        <v>-0.42638813984922747</v>
      </c>
      <c r="G21" s="213"/>
      <c r="H21" s="214"/>
      <c r="I21" s="73"/>
      <c r="J21" s="213"/>
      <c r="K21" s="214"/>
    </row>
    <row r="22" spans="1:11" s="68" customFormat="1" ht="18" customHeight="1" x14ac:dyDescent="0.2">
      <c r="A22" s="68" t="s">
        <v>244</v>
      </c>
      <c r="B22" s="69">
        <f>ToursByTourPurpose!F15</f>
        <v>104133.0724</v>
      </c>
      <c r="C22" s="69">
        <f>ToursByTourPurpose!R15</f>
        <v>153455</v>
      </c>
      <c r="D22" s="69">
        <f t="shared" si="0"/>
        <v>49321.927599999995</v>
      </c>
      <c r="E22" s="72">
        <f t="shared" si="1"/>
        <v>0.47364325725973677</v>
      </c>
      <c r="G22" s="213"/>
      <c r="H22" s="214"/>
      <c r="I22" s="73"/>
      <c r="J22" s="213"/>
      <c r="K22" s="214"/>
    </row>
    <row r="23" spans="1:11" s="68" customFormat="1" ht="18" customHeight="1" x14ac:dyDescent="0.2">
      <c r="A23" s="68" t="s">
        <v>245</v>
      </c>
      <c r="B23" s="69">
        <f>ToursByTourPurpose!G15</f>
        <v>70487.777700000006</v>
      </c>
      <c r="C23" s="69">
        <f>ToursByTourPurpose!S15</f>
        <v>63692</v>
      </c>
      <c r="D23" s="69">
        <f t="shared" si="0"/>
        <v>-6795.777700000006</v>
      </c>
      <c r="E23" s="72">
        <f t="shared" si="1"/>
        <v>-9.6410724266598705E-2</v>
      </c>
      <c r="G23" s="213"/>
      <c r="H23" s="214"/>
      <c r="I23" s="73"/>
      <c r="J23" s="213"/>
      <c r="K23" s="214"/>
    </row>
    <row r="24" spans="1:11" s="68" customFormat="1" ht="18" customHeight="1" x14ac:dyDescent="0.2">
      <c r="A24" s="73" t="s">
        <v>246</v>
      </c>
      <c r="B24" s="69">
        <f>ToursByTourPurpose!I15</f>
        <v>455659.5257</v>
      </c>
      <c r="C24" s="69">
        <f>ToursByTourPurpose!U15</f>
        <v>377036</v>
      </c>
      <c r="D24" s="69">
        <f t="shared" si="0"/>
        <v>-78623.525699999998</v>
      </c>
      <c r="E24" s="72">
        <f t="shared" si="1"/>
        <v>-0.17254884681542826</v>
      </c>
      <c r="G24" s="213"/>
      <c r="H24" s="214"/>
      <c r="I24" s="73"/>
      <c r="J24" s="213"/>
      <c r="K24" s="214"/>
    </row>
    <row r="25" spans="1:11" s="68" customFormat="1" ht="18" customHeight="1" x14ac:dyDescent="0.2">
      <c r="A25" s="73" t="s">
        <v>170</v>
      </c>
      <c r="B25" s="74">
        <f>ToursByTourPurpose!J15</f>
        <v>242277.1568</v>
      </c>
      <c r="C25" s="74">
        <f>ToursByTourPurpose!V15</f>
        <v>181483</v>
      </c>
      <c r="D25" s="74">
        <f t="shared" si="0"/>
        <v>-60794.156799999997</v>
      </c>
      <c r="E25" s="75">
        <f t="shared" si="1"/>
        <v>-0.25092814197991281</v>
      </c>
      <c r="G25" s="213"/>
      <c r="H25" s="215"/>
      <c r="I25" s="73"/>
      <c r="J25" s="213"/>
      <c r="K25" s="215"/>
    </row>
    <row r="26" spans="1:11" s="68" customFormat="1" ht="18" customHeight="1" thickBot="1" x14ac:dyDescent="0.25">
      <c r="A26" s="70" t="s">
        <v>221</v>
      </c>
      <c r="B26" s="76">
        <f>SUM(B18:B25)</f>
        <v>3292913.4208</v>
      </c>
      <c r="C26" s="76">
        <f>SUM(C18:C25)</f>
        <v>2771738</v>
      </c>
      <c r="D26" s="76">
        <f t="shared" si="0"/>
        <v>-521175.42079999996</v>
      </c>
      <c r="E26" s="77">
        <f t="shared" si="1"/>
        <v>-0.15827182625208</v>
      </c>
      <c r="G26" s="213"/>
      <c r="H26" s="215"/>
      <c r="I26" s="73"/>
      <c r="J26" s="213"/>
      <c r="K26" s="215"/>
    </row>
    <row r="27" spans="1:11" s="68" customFormat="1" ht="18" customHeight="1" x14ac:dyDescent="0.2"/>
    <row r="28" spans="1:11" s="68" customFormat="1" ht="18" customHeight="1" x14ac:dyDescent="0.2"/>
    <row r="29" spans="1:11" s="68" customFormat="1" ht="18" customHeight="1" x14ac:dyDescent="0.2"/>
    <row r="30" spans="1:11" ht="18" customHeight="1" x14ac:dyDescent="0.2">
      <c r="A30" s="62" t="s">
        <v>263</v>
      </c>
      <c r="G30" s="62" t="s">
        <v>10868</v>
      </c>
    </row>
    <row r="31" spans="1:11" ht="18" customHeight="1" thickBot="1" x14ac:dyDescent="0.25">
      <c r="B31" s="66"/>
      <c r="C31" s="66"/>
      <c r="D31" s="66"/>
      <c r="E31" s="66"/>
      <c r="G31" s="66"/>
      <c r="H31" s="66"/>
      <c r="I31" s="66"/>
      <c r="J31" s="66"/>
    </row>
    <row r="32" spans="1:11" s="68" customFormat="1" ht="18" customHeight="1" x14ac:dyDescent="0.2">
      <c r="A32" s="67" t="s">
        <v>159</v>
      </c>
      <c r="B32" s="63" t="s">
        <v>260</v>
      </c>
      <c r="C32" s="63" t="s">
        <v>261</v>
      </c>
      <c r="D32" s="63" t="s">
        <v>154</v>
      </c>
      <c r="E32" s="63" t="s">
        <v>262</v>
      </c>
      <c r="G32" s="63" t="s">
        <v>260</v>
      </c>
      <c r="H32" s="63" t="s">
        <v>261</v>
      </c>
      <c r="I32" s="63" t="s">
        <v>154</v>
      </c>
      <c r="J32" s="63" t="s">
        <v>262</v>
      </c>
    </row>
    <row r="33" spans="1:13" s="68" customFormat="1" ht="18" customHeight="1" x14ac:dyDescent="0.2">
      <c r="A33" s="68" t="s">
        <v>210</v>
      </c>
      <c r="B33" s="69">
        <f>ToursByTourPurpose!F74</f>
        <v>1521221.4851286472</v>
      </c>
      <c r="C33" s="69">
        <f>ToursByTourPurpose!W5</f>
        <v>1384063</v>
      </c>
      <c r="D33" s="69">
        <f t="shared" ref="D33:D41" si="2">C33-B33</f>
        <v>-137158.48512864718</v>
      </c>
      <c r="E33" s="72">
        <f>D33/B33</f>
        <v>-9.0163389400885252E-2</v>
      </c>
      <c r="G33" s="78">
        <f>B33/B$26</f>
        <v>0.46196826054390239</v>
      </c>
      <c r="H33" s="78">
        <f>C33/C$26</f>
        <v>0.49934842326367068</v>
      </c>
      <c r="I33" s="78">
        <f>H33-G33</f>
        <v>3.7380162719768295E-2</v>
      </c>
      <c r="J33" s="72">
        <f>I33/G33</f>
        <v>8.0915001986843066E-2</v>
      </c>
      <c r="L33" s="217"/>
      <c r="M33" s="217"/>
    </row>
    <row r="34" spans="1:13" s="68" customFormat="1" ht="18" customHeight="1" x14ac:dyDescent="0.2">
      <c r="A34" s="68" t="s">
        <v>211</v>
      </c>
      <c r="B34" s="69">
        <f>ToursByTourPurpose!F75</f>
        <v>706170.74976834306</v>
      </c>
      <c r="C34" s="69">
        <f>ToursByTourPurpose!W6</f>
        <v>461103</v>
      </c>
      <c r="D34" s="69">
        <f t="shared" si="2"/>
        <v>-245067.74976834306</v>
      </c>
      <c r="E34" s="72">
        <f t="shared" ref="E34:E41" si="3">D34/B34</f>
        <v>-0.34703752576658931</v>
      </c>
      <c r="G34" s="78">
        <f t="shared" ref="G34:G41" si="4">B34/B$26</f>
        <v>0.21445166013407718</v>
      </c>
      <c r="H34" s="78">
        <f t="shared" ref="H34:H41" si="5">C34/C$26</f>
        <v>0.16635879726005848</v>
      </c>
      <c r="I34" s="78">
        <f t="shared" ref="I34:I41" si="6">H34-G34</f>
        <v>-4.8092862874018705E-2</v>
      </c>
      <c r="J34" s="72">
        <f t="shared" ref="J34:J41" si="7">I34/G34</f>
        <v>-0.22425969024418183</v>
      </c>
      <c r="L34" s="217"/>
      <c r="M34" s="217"/>
    </row>
    <row r="35" spans="1:13" s="68" customFormat="1" ht="18" customHeight="1" x14ac:dyDescent="0.2">
      <c r="A35" s="68" t="s">
        <v>212</v>
      </c>
      <c r="B35" s="69">
        <f>ToursByTourPurpose!F76</f>
        <v>547824.6158597942</v>
      </c>
      <c r="C35" s="69">
        <f>ToursByTourPurpose!W7</f>
        <v>471330</v>
      </c>
      <c r="D35" s="69">
        <f t="shared" si="2"/>
        <v>-76494.615859794198</v>
      </c>
      <c r="E35" s="72">
        <f t="shared" si="3"/>
        <v>-0.13963340391292606</v>
      </c>
      <c r="G35" s="78">
        <f t="shared" si="4"/>
        <v>0.16636471897481667</v>
      </c>
      <c r="H35" s="78">
        <f t="shared" si="5"/>
        <v>0.17004853994136532</v>
      </c>
      <c r="I35" s="78">
        <f t="shared" si="6"/>
        <v>3.683820966548651E-3</v>
      </c>
      <c r="J35" s="72">
        <f t="shared" si="7"/>
        <v>2.2143042041902445E-2</v>
      </c>
      <c r="L35" s="217"/>
      <c r="M35" s="217"/>
    </row>
    <row r="36" spans="1:13" s="68" customFormat="1" ht="18" customHeight="1" x14ac:dyDescent="0.2">
      <c r="A36" s="68" t="s">
        <v>213</v>
      </c>
      <c r="B36" s="69">
        <f>ToursByTourPurpose!F77</f>
        <v>637794.96573057375</v>
      </c>
      <c r="C36" s="69">
        <f>ToursByTourPurpose!W8</f>
        <v>523626</v>
      </c>
      <c r="D36" s="69">
        <f t="shared" si="2"/>
        <v>-114168.96573057375</v>
      </c>
      <c r="E36" s="72">
        <f t="shared" si="3"/>
        <v>-0.17900574928464172</v>
      </c>
      <c r="G36" s="78">
        <f t="shared" si="4"/>
        <v>0.19368713483381658</v>
      </c>
      <c r="H36" s="78">
        <f t="shared" si="5"/>
        <v>0.18891612410696826</v>
      </c>
      <c r="I36" s="78">
        <f t="shared" si="6"/>
        <v>-4.7710107268483237E-3</v>
      </c>
      <c r="J36" s="72">
        <f t="shared" si="7"/>
        <v>-2.4632563907467823E-2</v>
      </c>
      <c r="L36" s="217"/>
      <c r="M36" s="217"/>
    </row>
    <row r="37" spans="1:13" s="68" customFormat="1" ht="18" customHeight="1" x14ac:dyDescent="0.2">
      <c r="A37" s="68" t="s">
        <v>214</v>
      </c>
      <c r="B37" s="69">
        <f>ToursByTourPurpose!F78</f>
        <v>642232.42719629034</v>
      </c>
      <c r="C37" s="69">
        <f>ToursByTourPurpose!W9</f>
        <v>559649</v>
      </c>
      <c r="D37" s="69">
        <f t="shared" si="2"/>
        <v>-82583.427196290344</v>
      </c>
      <c r="E37" s="72">
        <f t="shared" si="3"/>
        <v>-0.12858806827430677</v>
      </c>
      <c r="G37" s="78">
        <f t="shared" si="4"/>
        <v>0.19503471398293326</v>
      </c>
      <c r="H37" s="78">
        <f t="shared" si="5"/>
        <v>0.20191266274085068</v>
      </c>
      <c r="I37" s="78">
        <f t="shared" si="6"/>
        <v>6.8779487579174181E-3</v>
      </c>
      <c r="J37" s="72">
        <f t="shared" si="7"/>
        <v>3.5265254156341012E-2</v>
      </c>
      <c r="L37" s="217"/>
      <c r="M37" s="217"/>
    </row>
    <row r="38" spans="1:13" s="68" customFormat="1" ht="18" customHeight="1" x14ac:dyDescent="0.2">
      <c r="A38" s="68" t="s">
        <v>129</v>
      </c>
      <c r="B38" s="69">
        <f>ToursByTourPurpose!F79</f>
        <v>196589.10236167419</v>
      </c>
      <c r="C38" s="69">
        <f>ToursByTourPurpose!W10</f>
        <v>160374</v>
      </c>
      <c r="D38" s="69">
        <f t="shared" si="2"/>
        <v>-36215.102361674188</v>
      </c>
      <c r="E38" s="72">
        <f t="shared" si="3"/>
        <v>-0.18421724259693484</v>
      </c>
      <c r="G38" s="78">
        <f t="shared" si="4"/>
        <v>5.9700659337078368E-2</v>
      </c>
      <c r="H38" s="78">
        <f t="shared" si="5"/>
        <v>5.7860447127398046E-2</v>
      </c>
      <c r="I38" s="78">
        <f t="shared" si="6"/>
        <v>-1.8402122096803225E-3</v>
      </c>
      <c r="J38" s="72">
        <f t="shared" si="7"/>
        <v>-3.0823984694879566E-2</v>
      </c>
      <c r="L38" s="217"/>
      <c r="M38" s="217"/>
    </row>
    <row r="39" spans="1:13" s="68" customFormat="1" ht="18" customHeight="1" x14ac:dyDescent="0.2">
      <c r="A39" s="73" t="s">
        <v>130</v>
      </c>
      <c r="B39" s="69">
        <f>ToursByTourPurpose!F80</f>
        <v>970001.03879933222</v>
      </c>
      <c r="C39" s="69">
        <f>ToursByTourPurpose!W11</f>
        <v>779167</v>
      </c>
      <c r="D39" s="69">
        <f t="shared" si="2"/>
        <v>-190834.03879933222</v>
      </c>
      <c r="E39" s="72">
        <f t="shared" si="3"/>
        <v>-0.19673591178370972</v>
      </c>
      <c r="G39" s="78">
        <f t="shared" si="4"/>
        <v>0.29457228746806052</v>
      </c>
      <c r="H39" s="78">
        <f t="shared" si="5"/>
        <v>0.28111134602188231</v>
      </c>
      <c r="I39" s="78">
        <f t="shared" si="6"/>
        <v>-1.346094144617821E-2</v>
      </c>
      <c r="J39" s="72">
        <f t="shared" si="7"/>
        <v>-4.5696564201198775E-2</v>
      </c>
      <c r="L39" s="217"/>
      <c r="M39" s="217"/>
    </row>
    <row r="40" spans="1:13" s="68" customFormat="1" ht="18" customHeight="1" x14ac:dyDescent="0.2">
      <c r="A40" s="73" t="s">
        <v>247</v>
      </c>
      <c r="B40" s="74">
        <f>ToursByTourPurpose!F81</f>
        <v>161680.67599294573</v>
      </c>
      <c r="C40" s="74">
        <f>ToursByTourPurpose!W12</f>
        <v>145765</v>
      </c>
      <c r="D40" s="74">
        <f t="shared" si="2"/>
        <v>-15915.675992945733</v>
      </c>
      <c r="E40" s="75">
        <f t="shared" si="3"/>
        <v>-9.8438950079848431E-2</v>
      </c>
      <c r="G40" s="78">
        <f t="shared" si="4"/>
        <v>4.9099583053618841E-2</v>
      </c>
      <c r="H40" s="78">
        <f t="shared" si="5"/>
        <v>5.2589746938563456E-2</v>
      </c>
      <c r="I40" s="79">
        <f t="shared" si="6"/>
        <v>3.4901638849446151E-3</v>
      </c>
      <c r="J40" s="75">
        <f t="shared" si="7"/>
        <v>7.1083371138471935E-2</v>
      </c>
      <c r="L40" s="217"/>
      <c r="M40" s="217"/>
    </row>
    <row r="41" spans="1:13" s="68" customFormat="1" ht="18" customHeight="1" thickBot="1" x14ac:dyDescent="0.25">
      <c r="A41" s="70" t="s">
        <v>221</v>
      </c>
      <c r="B41" s="76">
        <f>ToursByTourPurpose!F82</f>
        <v>5383515.0608376022</v>
      </c>
      <c r="C41" s="76">
        <f>ToursByTourPurpose!W13</f>
        <v>4485077</v>
      </c>
      <c r="D41" s="76">
        <f t="shared" si="2"/>
        <v>-898438.06083760224</v>
      </c>
      <c r="E41" s="77">
        <f t="shared" si="3"/>
        <v>-0.16688688536850074</v>
      </c>
      <c r="G41" s="211">
        <f t="shared" si="4"/>
        <v>1.6348790183283042</v>
      </c>
      <c r="H41" s="211">
        <f t="shared" si="5"/>
        <v>1.6181460874007572</v>
      </c>
      <c r="I41" s="80">
        <f t="shared" si="6"/>
        <v>-1.6732930927547018E-2</v>
      </c>
      <c r="J41" s="77">
        <f t="shared" si="7"/>
        <v>-1.0234965853716055E-2</v>
      </c>
    </row>
    <row r="42" spans="1:13" s="68" customFormat="1" ht="18" customHeight="1" x14ac:dyDescent="0.2">
      <c r="A42" s="73"/>
      <c r="B42" s="69"/>
      <c r="C42" s="69"/>
      <c r="D42" s="69"/>
    </row>
    <row r="43" spans="1:13" s="68" customFormat="1" ht="18" customHeight="1" x14ac:dyDescent="0.2">
      <c r="A43" s="73"/>
      <c r="B43" s="69"/>
      <c r="C43" s="69"/>
      <c r="D43" s="69"/>
    </row>
    <row r="44" spans="1:13" s="68" customFormat="1" ht="18" customHeight="1" x14ac:dyDescent="0.2">
      <c r="A44" s="73"/>
      <c r="B44" s="69"/>
      <c r="C44" s="69"/>
      <c r="D44" s="69"/>
    </row>
    <row r="45" spans="1:13" ht="18" customHeight="1" x14ac:dyDescent="0.2">
      <c r="A45" s="62" t="s">
        <v>288</v>
      </c>
      <c r="G45" s="62" t="s">
        <v>10870</v>
      </c>
    </row>
    <row r="46" spans="1:13" ht="18" customHeight="1" thickBot="1" x14ac:dyDescent="0.25">
      <c r="B46" s="66"/>
      <c r="C46" s="66"/>
      <c r="D46" s="66"/>
      <c r="E46" s="66"/>
      <c r="G46" s="66"/>
      <c r="H46" s="66"/>
      <c r="I46" s="66"/>
      <c r="J46" s="66"/>
    </row>
    <row r="47" spans="1:13" s="68" customFormat="1" ht="18" customHeight="1" x14ac:dyDescent="0.2">
      <c r="A47" s="67" t="s">
        <v>155</v>
      </c>
      <c r="B47" s="63" t="s">
        <v>260</v>
      </c>
      <c r="C47" s="63" t="s">
        <v>261</v>
      </c>
      <c r="D47" s="63" t="s">
        <v>154</v>
      </c>
      <c r="E47" s="63" t="s">
        <v>262</v>
      </c>
      <c r="G47" s="63" t="s">
        <v>260</v>
      </c>
      <c r="H47" s="63" t="s">
        <v>261</v>
      </c>
      <c r="I47" s="63" t="s">
        <v>154</v>
      </c>
      <c r="J47" s="63" t="s">
        <v>262</v>
      </c>
    </row>
    <row r="48" spans="1:13" s="68" customFormat="1" ht="18" customHeight="1" x14ac:dyDescent="0.2">
      <c r="A48" s="68" t="s">
        <v>146</v>
      </c>
      <c r="B48" s="69">
        <f>ToursByTourPurpose!B13</f>
        <v>2136576.7649791865</v>
      </c>
      <c r="C48" s="69">
        <f>ToursByTourPurpose!N13</f>
        <v>1893814</v>
      </c>
      <c r="D48" s="69">
        <f t="shared" ref="D48:D56" si="8">C48-B48</f>
        <v>-242762.76497918647</v>
      </c>
      <c r="E48" s="72">
        <f>D48/B48</f>
        <v>-0.11362229944569829</v>
      </c>
      <c r="G48" s="78">
        <f>B48/B18</f>
        <v>1.7250556728486928</v>
      </c>
      <c r="H48" s="78">
        <f t="shared" ref="H48:H55" si="9">C48/C18</f>
        <v>1.7189409775326689</v>
      </c>
      <c r="I48" s="78">
        <f t="shared" ref="I48:I56" si="10">H48-G48</f>
        <v>-6.1146953160238215E-3</v>
      </c>
      <c r="J48" s="72">
        <f>I48/G48</f>
        <v>-3.5446365078329566E-3</v>
      </c>
      <c r="L48" s="216"/>
      <c r="M48" s="216"/>
    </row>
    <row r="49" spans="1:13" s="68" customFormat="1" ht="18" customHeight="1" x14ac:dyDescent="0.2">
      <c r="A49" s="68" t="s">
        <v>147</v>
      </c>
      <c r="B49" s="69">
        <f>ToursByTourPurpose!C13</f>
        <v>564029.43088390469</v>
      </c>
      <c r="C49" s="69">
        <f>ToursByTourPurpose!O13</f>
        <v>473646</v>
      </c>
      <c r="D49" s="69">
        <f t="shared" si="8"/>
        <v>-90383.430883904686</v>
      </c>
      <c r="E49" s="72">
        <f t="shared" ref="E49:E56" si="11">D49/B49</f>
        <v>-0.16024594805675751</v>
      </c>
      <c r="G49" s="78">
        <f t="shared" ref="G49:G55" si="12">B49/B19</f>
        <v>1.847866133088865</v>
      </c>
      <c r="H49" s="78">
        <f t="shared" si="9"/>
        <v>1.7251469656242489</v>
      </c>
      <c r="I49" s="78">
        <f t="shared" si="10"/>
        <v>-0.1227191674646162</v>
      </c>
      <c r="J49" s="72">
        <f t="shared" ref="J49:J56" si="13">I49/G49</f>
        <v>-6.6411286654991991E-2</v>
      </c>
      <c r="L49" s="216"/>
      <c r="M49" s="216"/>
    </row>
    <row r="50" spans="1:13" s="68" customFormat="1" ht="18" customHeight="1" x14ac:dyDescent="0.2">
      <c r="A50" s="68" t="s">
        <v>148</v>
      </c>
      <c r="B50" s="69">
        <f>ToursByTourPurpose!D13</f>
        <v>489770.22737111652</v>
      </c>
      <c r="C50" s="69">
        <f>ToursByTourPurpose!P13</f>
        <v>427535</v>
      </c>
      <c r="D50" s="69">
        <f t="shared" si="8"/>
        <v>-62235.227371116518</v>
      </c>
      <c r="E50" s="72">
        <f t="shared" si="11"/>
        <v>-0.12707025436227393</v>
      </c>
      <c r="G50" s="78">
        <f t="shared" si="12"/>
        <v>1.4289778006936082</v>
      </c>
      <c r="H50" s="78">
        <f t="shared" si="9"/>
        <v>1.3634174809296631</v>
      </c>
      <c r="I50" s="78">
        <f t="shared" si="10"/>
        <v>-6.5560319763945163E-2</v>
      </c>
      <c r="J50" s="72">
        <f t="shared" si="13"/>
        <v>-4.5879173022927988E-2</v>
      </c>
      <c r="L50" s="216"/>
      <c r="M50" s="216"/>
    </row>
    <row r="51" spans="1:13" s="68" customFormat="1" ht="18" customHeight="1" x14ac:dyDescent="0.2">
      <c r="A51" s="68" t="s">
        <v>243</v>
      </c>
      <c r="B51" s="69">
        <f>ToursByTourPurpose!E13</f>
        <v>922884.20704643917</v>
      </c>
      <c r="C51" s="69">
        <f>ToursByTourPurpose!Q13</f>
        <v>507358</v>
      </c>
      <c r="D51" s="69">
        <f t="shared" si="8"/>
        <v>-415526.20704643917</v>
      </c>
      <c r="E51" s="72">
        <f t="shared" si="11"/>
        <v>-0.45024739168120803</v>
      </c>
      <c r="G51" s="78">
        <f t="shared" si="12"/>
        <v>1.7288104748968145</v>
      </c>
      <c r="H51" s="78">
        <f t="shared" si="9"/>
        <v>1.6569010055223721</v>
      </c>
      <c r="I51" s="78">
        <f t="shared" si="10"/>
        <v>-7.1909469374442425E-2</v>
      </c>
      <c r="J51" s="72">
        <f t="shared" si="13"/>
        <v>-4.1594767279932408E-2</v>
      </c>
      <c r="L51" s="216"/>
      <c r="M51" s="216"/>
    </row>
    <row r="52" spans="1:13" s="68" customFormat="1" ht="18" customHeight="1" x14ac:dyDescent="0.2">
      <c r="A52" s="68" t="s">
        <v>244</v>
      </c>
      <c r="B52" s="69">
        <f>ToursByTourPurpose!F13</f>
        <v>187341.0666683618</v>
      </c>
      <c r="C52" s="69">
        <f>ToursByTourPurpose!R13</f>
        <v>275701</v>
      </c>
      <c r="D52" s="69">
        <f t="shared" si="8"/>
        <v>88359.933331638196</v>
      </c>
      <c r="E52" s="72">
        <f t="shared" si="11"/>
        <v>0.47165277161604013</v>
      </c>
      <c r="G52" s="78">
        <f t="shared" si="12"/>
        <v>1.7990544439977725</v>
      </c>
      <c r="H52" s="78">
        <f t="shared" si="9"/>
        <v>1.7966244175817014</v>
      </c>
      <c r="I52" s="78">
        <f t="shared" si="10"/>
        <v>-2.4300264160710405E-3</v>
      </c>
      <c r="J52" s="72">
        <f t="shared" si="13"/>
        <v>-1.3507242230374932E-3</v>
      </c>
      <c r="L52" s="216"/>
      <c r="M52" s="216"/>
    </row>
    <row r="53" spans="1:13" s="68" customFormat="1" ht="18" customHeight="1" x14ac:dyDescent="0.2">
      <c r="A53" s="68" t="s">
        <v>245</v>
      </c>
      <c r="B53" s="69">
        <f>ToursByTourPurpose!G13</f>
        <v>95673.334388592004</v>
      </c>
      <c r="C53" s="69">
        <f>ToursByTourPurpose!S13</f>
        <v>82308</v>
      </c>
      <c r="D53" s="69">
        <f t="shared" si="8"/>
        <v>-13365.334388592004</v>
      </c>
      <c r="E53" s="72">
        <f t="shared" si="11"/>
        <v>-0.1396975915390033</v>
      </c>
      <c r="G53" s="78">
        <f t="shared" si="12"/>
        <v>1.3573038831750825</v>
      </c>
      <c r="H53" s="78">
        <f t="shared" si="9"/>
        <v>1.292281605225146</v>
      </c>
      <c r="I53" s="78">
        <f t="shared" si="10"/>
        <v>-6.5022277949936536E-2</v>
      </c>
      <c r="J53" s="72">
        <f t="shared" si="13"/>
        <v>-4.7905468153404761E-2</v>
      </c>
      <c r="L53" s="216"/>
      <c r="M53" s="216"/>
    </row>
    <row r="54" spans="1:13" s="68" customFormat="1" ht="18" customHeight="1" x14ac:dyDescent="0.2">
      <c r="A54" s="73" t="s">
        <v>246</v>
      </c>
      <c r="B54" s="69">
        <f>ToursByTourPurpose!I13</f>
        <v>668994.93662499986</v>
      </c>
      <c r="C54" s="69">
        <f>ToursByTourPurpose!U13</f>
        <v>536423</v>
      </c>
      <c r="D54" s="69">
        <f t="shared" si="8"/>
        <v>-132571.93662499986</v>
      </c>
      <c r="E54" s="72">
        <f t="shared" si="11"/>
        <v>-0.19816582961570614</v>
      </c>
      <c r="G54" s="78">
        <f t="shared" si="12"/>
        <v>1.4681903897373079</v>
      </c>
      <c r="H54" s="78">
        <f t="shared" si="9"/>
        <v>1.42273682088713</v>
      </c>
      <c r="I54" s="78">
        <f t="shared" si="10"/>
        <v>-4.5453568850177817E-2</v>
      </c>
      <c r="J54" s="72">
        <f t="shared" si="13"/>
        <v>-3.0958906397902847E-2</v>
      </c>
      <c r="L54" s="216"/>
      <c r="M54" s="216"/>
    </row>
    <row r="55" spans="1:13" s="68" customFormat="1" ht="18" customHeight="1" x14ac:dyDescent="0.2">
      <c r="A55" s="73" t="s">
        <v>170</v>
      </c>
      <c r="B55" s="74">
        <f>ToursByTourPurpose!J13</f>
        <v>318245.09287500003</v>
      </c>
      <c r="C55" s="74">
        <f>ToursByTourPurpose!V13</f>
        <v>288292</v>
      </c>
      <c r="D55" s="74">
        <f t="shared" si="8"/>
        <v>-29953.092875000031</v>
      </c>
      <c r="E55" s="75">
        <f t="shared" si="11"/>
        <v>-9.4119574961568933E-2</v>
      </c>
      <c r="G55" s="79">
        <f t="shared" si="12"/>
        <v>1.3135579807786486</v>
      </c>
      <c r="H55" s="79">
        <f t="shared" si="9"/>
        <v>1.5885344632830622</v>
      </c>
      <c r="I55" s="79">
        <f t="shared" si="10"/>
        <v>0.27497648250441364</v>
      </c>
      <c r="J55" s="75">
        <f t="shared" si="13"/>
        <v>0.20933714881882379</v>
      </c>
      <c r="L55" s="216"/>
      <c r="M55" s="216"/>
    </row>
    <row r="56" spans="1:13" s="68" customFormat="1" ht="18" customHeight="1" thickBot="1" x14ac:dyDescent="0.25">
      <c r="A56" s="70" t="s">
        <v>221</v>
      </c>
      <c r="B56" s="76">
        <f>SUM(B48:B55)</f>
        <v>5383515.0608376013</v>
      </c>
      <c r="C56" s="76">
        <f>ToursByTourPurpose!W13</f>
        <v>4485077</v>
      </c>
      <c r="D56" s="76">
        <f t="shared" si="8"/>
        <v>-898438.06083760131</v>
      </c>
      <c r="E56" s="77">
        <f t="shared" si="11"/>
        <v>-0.1668868853685006</v>
      </c>
      <c r="G56" s="80">
        <f>B56/B26</f>
        <v>1.634879018328304</v>
      </c>
      <c r="H56" s="80">
        <f>C56/C26</f>
        <v>1.6181460874007572</v>
      </c>
      <c r="I56" s="80">
        <f t="shared" si="10"/>
        <v>-1.6732930927546796E-2</v>
      </c>
      <c r="J56" s="77">
        <f t="shared" si="13"/>
        <v>-1.0234965853715921E-2</v>
      </c>
    </row>
    <row r="57" spans="1:13" s="68" customFormat="1" ht="18" customHeight="1" x14ac:dyDescent="0.2"/>
    <row r="58" spans="1:13" s="68" customFormat="1" ht="18" customHeight="1" x14ac:dyDescent="0.2"/>
    <row r="59" spans="1:13" s="68" customFormat="1" ht="18" customHeight="1" x14ac:dyDescent="0.2"/>
    <row r="60" spans="1:13" ht="18" customHeight="1" x14ac:dyDescent="0.2">
      <c r="A60" s="64" t="s">
        <v>219</v>
      </c>
      <c r="G60" s="62" t="s">
        <v>10869</v>
      </c>
      <c r="L60" s="62" t="s">
        <v>10872</v>
      </c>
    </row>
    <row r="61" spans="1:13" ht="18" customHeight="1" thickBot="1" x14ac:dyDescent="0.25">
      <c r="B61" s="66"/>
      <c r="C61" s="66"/>
      <c r="D61" s="66"/>
      <c r="E61" s="66"/>
      <c r="G61" s="66"/>
      <c r="H61" s="66"/>
      <c r="I61" s="66"/>
      <c r="J61" s="66"/>
    </row>
    <row r="62" spans="1:13" s="68" customFormat="1" ht="18" customHeight="1" x14ac:dyDescent="0.2">
      <c r="A62" s="67" t="s">
        <v>144</v>
      </c>
      <c r="B62" s="63" t="s">
        <v>260</v>
      </c>
      <c r="C62" s="63" t="s">
        <v>261</v>
      </c>
      <c r="D62" s="63" t="s">
        <v>154</v>
      </c>
      <c r="E62" s="63" t="s">
        <v>262</v>
      </c>
      <c r="G62" s="63" t="s">
        <v>260</v>
      </c>
      <c r="H62" s="63" t="s">
        <v>261</v>
      </c>
      <c r="I62" s="63" t="s">
        <v>154</v>
      </c>
      <c r="J62" s="63" t="s">
        <v>262</v>
      </c>
      <c r="L62" s="63" t="s">
        <v>260</v>
      </c>
      <c r="M62" s="63" t="s">
        <v>261</v>
      </c>
    </row>
    <row r="63" spans="1:13" s="68" customFormat="1" ht="18" customHeight="1" x14ac:dyDescent="0.2">
      <c r="A63" s="68" t="s">
        <v>210</v>
      </c>
      <c r="B63" s="69">
        <f>TripsByDestinationPurpose!F73</f>
        <v>2039663.2088094312</v>
      </c>
      <c r="C63" s="69">
        <f>TripsByDestinationPurpose!W5</f>
        <v>1804209</v>
      </c>
      <c r="D63" s="69">
        <f t="shared" ref="D63:D71" si="14">C63-B63</f>
        <v>-235454.20880943118</v>
      </c>
      <c r="E63" s="72">
        <f t="shared" ref="E63:E71" si="15">D63/B63</f>
        <v>-0.11543778786247158</v>
      </c>
      <c r="G63" s="78">
        <f>B63/B$26</f>
        <v>0.6194099109699347</v>
      </c>
      <c r="H63" s="78">
        <f>C63/C$26</f>
        <v>0.65093057135991927</v>
      </c>
      <c r="I63" s="78">
        <f t="shared" ref="I63:I71" si="16">H63-G63</f>
        <v>3.1520660389984578E-2</v>
      </c>
      <c r="J63" s="72">
        <f t="shared" ref="J63:J71" si="17">I63/G63</f>
        <v>5.0888208005303533E-2</v>
      </c>
      <c r="L63" s="78">
        <f>B63/B33</f>
        <v>1.3408062065577127</v>
      </c>
      <c r="M63" s="78">
        <f>C63/C33</f>
        <v>1.303559881305981</v>
      </c>
    </row>
    <row r="64" spans="1:13" s="68" customFormat="1" ht="18" customHeight="1" x14ac:dyDescent="0.2">
      <c r="A64" s="68" t="s">
        <v>211</v>
      </c>
      <c r="B64" s="69">
        <f>TripsByDestinationPurpose!F74</f>
        <v>770546.09160775214</v>
      </c>
      <c r="C64" s="69">
        <f>TripsByDestinationPurpose!W6</f>
        <v>503110</v>
      </c>
      <c r="D64" s="69">
        <f t="shared" si="14"/>
        <v>-267436.09160775214</v>
      </c>
      <c r="E64" s="72">
        <f t="shared" si="15"/>
        <v>-0.34707345156957975</v>
      </c>
      <c r="G64" s="78">
        <f t="shared" ref="G64:G71" si="18">B64/B$26</f>
        <v>0.23400132136500298</v>
      </c>
      <c r="H64" s="78">
        <f t="shared" ref="H64:H71" si="19">C64/C$26</f>
        <v>0.18151427010778076</v>
      </c>
      <c r="I64" s="78">
        <f t="shared" si="16"/>
        <v>-5.2487051257222223E-2</v>
      </c>
      <c r="J64" s="72">
        <f t="shared" si="17"/>
        <v>-0.22430237124751612</v>
      </c>
      <c r="L64" s="78">
        <f t="shared" ref="L64:M64" si="20">B64/B34</f>
        <v>1.0911611559393068</v>
      </c>
      <c r="M64" s="78">
        <f t="shared" si="20"/>
        <v>1.0911011205739283</v>
      </c>
    </row>
    <row r="65" spans="1:13" s="68" customFormat="1" ht="18" customHeight="1" x14ac:dyDescent="0.2">
      <c r="A65" s="68" t="s">
        <v>212</v>
      </c>
      <c r="B65" s="69">
        <f>TripsByDestinationPurpose!F75</f>
        <v>1060262.538818683</v>
      </c>
      <c r="C65" s="69">
        <f>TripsByDestinationPurpose!W7</f>
        <v>931823</v>
      </c>
      <c r="D65" s="69">
        <f t="shared" si="14"/>
        <v>-128439.53881868301</v>
      </c>
      <c r="E65" s="72">
        <f t="shared" si="15"/>
        <v>-0.12113937267064723</v>
      </c>
      <c r="G65" s="78">
        <f t="shared" si="18"/>
        <v>0.32198312051614664</v>
      </c>
      <c r="H65" s="78">
        <f t="shared" si="19"/>
        <v>0.33618725868029375</v>
      </c>
      <c r="I65" s="78">
        <f t="shared" si="16"/>
        <v>1.4204138164147118E-2</v>
      </c>
      <c r="J65" s="72">
        <f t="shared" si="17"/>
        <v>4.4114542841182311E-2</v>
      </c>
      <c r="L65" s="78">
        <f t="shared" ref="L65:M65" si="21">B65/B35</f>
        <v>1.9354050696583485</v>
      </c>
      <c r="M65" s="78">
        <f t="shared" si="21"/>
        <v>1.9770076167441071</v>
      </c>
    </row>
    <row r="66" spans="1:13" s="68" customFormat="1" ht="18" customHeight="1" x14ac:dyDescent="0.2">
      <c r="A66" s="68" t="s">
        <v>213</v>
      </c>
      <c r="B66" s="69">
        <f>TripsByDestinationPurpose!F76</f>
        <v>1673107.6261510288</v>
      </c>
      <c r="C66" s="69">
        <f>TripsByDestinationPurpose!W8</f>
        <v>1367477</v>
      </c>
      <c r="D66" s="69">
        <f t="shared" si="14"/>
        <v>-305630.62615102879</v>
      </c>
      <c r="E66" s="72">
        <f t="shared" si="15"/>
        <v>-0.18267242428039712</v>
      </c>
      <c r="G66" s="78">
        <f t="shared" si="18"/>
        <v>0.50809341526645846</v>
      </c>
      <c r="H66" s="78">
        <f t="shared" si="19"/>
        <v>0.49336445219569813</v>
      </c>
      <c r="I66" s="78">
        <f t="shared" si="16"/>
        <v>-1.4728963070760326E-2</v>
      </c>
      <c r="J66" s="72">
        <f t="shared" si="17"/>
        <v>-2.8988691111133655E-2</v>
      </c>
      <c r="L66" s="78">
        <f t="shared" ref="L66:M66" si="22">B66/B36</f>
        <v>2.6232687870694269</v>
      </c>
      <c r="M66" s="78">
        <f t="shared" si="22"/>
        <v>2.6115529022623019</v>
      </c>
    </row>
    <row r="67" spans="1:13" s="68" customFormat="1" ht="18" customHeight="1" x14ac:dyDescent="0.2">
      <c r="A67" s="68" t="s">
        <v>214</v>
      </c>
      <c r="B67" s="69">
        <f>TripsByDestinationPurpose!F77</f>
        <v>1847853.2094600217</v>
      </c>
      <c r="C67" s="69">
        <f>TripsByDestinationPurpose!W9</f>
        <v>1546164</v>
      </c>
      <c r="D67" s="69">
        <f t="shared" si="14"/>
        <v>-301689.2094600217</v>
      </c>
      <c r="E67" s="72">
        <f t="shared" si="15"/>
        <v>-0.16326470518087369</v>
      </c>
      <c r="G67" s="78">
        <f t="shared" si="18"/>
        <v>0.56116058132226665</v>
      </c>
      <c r="H67" s="78">
        <f t="shared" si="19"/>
        <v>0.55783194515498935</v>
      </c>
      <c r="I67" s="78">
        <f t="shared" si="16"/>
        <v>-3.3286361672772991E-3</v>
      </c>
      <c r="J67" s="72">
        <f t="shared" si="17"/>
        <v>-5.9316999056384361E-3</v>
      </c>
      <c r="L67" s="78">
        <f t="shared" ref="L67:M67" si="23">B67/B37</f>
        <v>2.8772343643981846</v>
      </c>
      <c r="M67" s="78">
        <f t="shared" si="23"/>
        <v>2.7627387880618031</v>
      </c>
    </row>
    <row r="68" spans="1:13" s="68" customFormat="1" ht="18" customHeight="1" x14ac:dyDescent="0.2">
      <c r="A68" s="68" t="s">
        <v>129</v>
      </c>
      <c r="B68" s="69">
        <f>TripsByDestinationPurpose!F78</f>
        <v>734639.3844145016</v>
      </c>
      <c r="C68" s="69">
        <f>TripsByDestinationPurpose!W10</f>
        <v>591464</v>
      </c>
      <c r="D68" s="69">
        <f t="shared" si="14"/>
        <v>-143175.3844145016</v>
      </c>
      <c r="E68" s="72">
        <f t="shared" si="15"/>
        <v>-0.19489206194493724</v>
      </c>
      <c r="G68" s="78">
        <f t="shared" si="18"/>
        <v>0.22309708471959278</v>
      </c>
      <c r="H68" s="78">
        <f t="shared" si="19"/>
        <v>0.21339102036339655</v>
      </c>
      <c r="I68" s="78">
        <f t="shared" si="16"/>
        <v>-9.7060643561962257E-3</v>
      </c>
      <c r="J68" s="72">
        <f t="shared" si="17"/>
        <v>-4.3506011602059372E-2</v>
      </c>
      <c r="L68" s="78">
        <f t="shared" ref="L68:M68" si="24">B68/B38</f>
        <v>3.736928322013247</v>
      </c>
      <c r="M68" s="78">
        <f t="shared" si="24"/>
        <v>3.6880292316709693</v>
      </c>
    </row>
    <row r="69" spans="1:13" s="68" customFormat="1" ht="18" customHeight="1" x14ac:dyDescent="0.2">
      <c r="A69" s="68" t="s">
        <v>130</v>
      </c>
      <c r="B69" s="69">
        <f>TripsByDestinationPurpose!F79</f>
        <v>1517428.3124374114</v>
      </c>
      <c r="C69" s="69">
        <f>TripsByDestinationPurpose!W11</f>
        <v>1225974</v>
      </c>
      <c r="D69" s="69">
        <f t="shared" si="14"/>
        <v>-291454.3124374114</v>
      </c>
      <c r="E69" s="72">
        <f t="shared" si="15"/>
        <v>-0.19207122343015651</v>
      </c>
      <c r="G69" s="78">
        <f t="shared" si="18"/>
        <v>0.46081634058534049</v>
      </c>
      <c r="H69" s="78">
        <f t="shared" si="19"/>
        <v>0.44231236862935819</v>
      </c>
      <c r="I69" s="78">
        <f t="shared" si="16"/>
        <v>-1.8503971955982301E-2</v>
      </c>
      <c r="J69" s="72">
        <f t="shared" si="17"/>
        <v>-4.0154765198816715E-2</v>
      </c>
      <c r="L69" s="78">
        <f t="shared" ref="L69:M69" si="25">B69/B39</f>
        <v>1.564357409674205</v>
      </c>
      <c r="M69" s="78">
        <f t="shared" si="25"/>
        <v>1.5734418937146979</v>
      </c>
    </row>
    <row r="70" spans="1:13" s="68" customFormat="1" ht="18" customHeight="1" x14ac:dyDescent="0.2">
      <c r="A70" s="81" t="s">
        <v>145</v>
      </c>
      <c r="B70" s="74">
        <f>TripsByDestinationPurpose!F80</f>
        <v>5203557.9702181648</v>
      </c>
      <c r="C70" s="74">
        <f>TripsByDestinationPurpose!W12</f>
        <v>4310427</v>
      </c>
      <c r="D70" s="74">
        <f t="shared" si="14"/>
        <v>-893130.97021816485</v>
      </c>
      <c r="E70" s="75">
        <f t="shared" si="15"/>
        <v>-0.17163851644007327</v>
      </c>
      <c r="G70" s="78">
        <f t="shared" si="18"/>
        <v>1.5802292089884287</v>
      </c>
      <c r="H70" s="78">
        <f t="shared" si="19"/>
        <v>1.555135081309994</v>
      </c>
      <c r="I70" s="79">
        <f t="shared" si="16"/>
        <v>-2.5094127678434663E-2</v>
      </c>
      <c r="J70" s="75">
        <f t="shared" si="17"/>
        <v>-1.5880055586681929E-2</v>
      </c>
      <c r="L70" s="78"/>
      <c r="M70" s="78"/>
    </row>
    <row r="71" spans="1:13" s="68" customFormat="1" ht="18" customHeight="1" thickBot="1" x14ac:dyDescent="0.25">
      <c r="A71" s="70" t="s">
        <v>221</v>
      </c>
      <c r="B71" s="71">
        <f>SUM(B63:B70)</f>
        <v>14847058.341916995</v>
      </c>
      <c r="C71" s="71">
        <f>TripsByDestinationPurpose!W13</f>
        <v>12280648</v>
      </c>
      <c r="D71" s="71">
        <f t="shared" si="14"/>
        <v>-2566410.3419169951</v>
      </c>
      <c r="E71" s="82">
        <f t="shared" si="15"/>
        <v>-0.17285648663960393</v>
      </c>
      <c r="G71" s="211">
        <f t="shared" si="18"/>
        <v>4.5087909837331717</v>
      </c>
      <c r="H71" s="211">
        <f t="shared" si="19"/>
        <v>4.4306669678014297</v>
      </c>
      <c r="I71" s="80">
        <f t="shared" si="16"/>
        <v>-7.8124015931742008E-2</v>
      </c>
      <c r="J71" s="77">
        <f t="shared" si="17"/>
        <v>-1.7327043150502663E-2</v>
      </c>
      <c r="L71" s="211">
        <f>B71/B41</f>
        <v>2.7578743950995825</v>
      </c>
      <c r="M71" s="211">
        <f>C71/C41</f>
        <v>2.7381130803328459</v>
      </c>
    </row>
    <row r="72" spans="1:13" s="68" customFormat="1" ht="18" customHeight="1" x14ac:dyDescent="0.2"/>
    <row r="73" spans="1:13" s="68" customFormat="1" ht="18" customHeight="1" x14ac:dyDescent="0.2"/>
    <row r="74" spans="1:13" s="68" customFormat="1" ht="18" customHeight="1" x14ac:dyDescent="0.2"/>
    <row r="75" spans="1:13" s="68" customFormat="1" ht="18" customHeight="1" x14ac:dyDescent="0.2">
      <c r="A75" s="62" t="s">
        <v>220</v>
      </c>
      <c r="G75" s="62" t="s">
        <v>10871</v>
      </c>
    </row>
    <row r="76" spans="1:13" s="68" customFormat="1" ht="18" customHeight="1" thickBot="1" x14ac:dyDescent="0.25">
      <c r="A76" s="65"/>
      <c r="B76" s="83"/>
      <c r="C76" s="83"/>
      <c r="D76" s="83"/>
      <c r="E76" s="83"/>
      <c r="G76" s="83"/>
      <c r="H76" s="83"/>
      <c r="I76" s="83"/>
      <c r="J76" s="83"/>
    </row>
    <row r="77" spans="1:13" s="68" customFormat="1" ht="18" customHeight="1" x14ac:dyDescent="0.2">
      <c r="A77" s="67" t="s">
        <v>155</v>
      </c>
      <c r="B77" s="63" t="s">
        <v>260</v>
      </c>
      <c r="C77" s="63" t="s">
        <v>261</v>
      </c>
      <c r="D77" s="63" t="s">
        <v>154</v>
      </c>
      <c r="E77" s="63" t="s">
        <v>262</v>
      </c>
      <c r="G77" s="63" t="s">
        <v>260</v>
      </c>
      <c r="H77" s="63" t="s">
        <v>261</v>
      </c>
      <c r="I77" s="63" t="s">
        <v>154</v>
      </c>
      <c r="J77" s="63" t="s">
        <v>262</v>
      </c>
    </row>
    <row r="78" spans="1:13" s="68" customFormat="1" ht="18" customHeight="1" x14ac:dyDescent="0.2">
      <c r="A78" s="68" t="s">
        <v>146</v>
      </c>
      <c r="B78" s="69">
        <f>TripsByDestinationPurpose!B13</f>
        <v>5891744.9155727811</v>
      </c>
      <c r="C78" s="69">
        <f>TripsByDestinationPurpose!N13</f>
        <v>5411660</v>
      </c>
      <c r="D78" s="69">
        <f t="shared" ref="D78:D85" si="26">C78-B78</f>
        <v>-480084.91557278112</v>
      </c>
      <c r="E78" s="72">
        <f>D78/B78</f>
        <v>-8.1484334853643009E-2</v>
      </c>
      <c r="G78" s="78">
        <f t="shared" ref="G78:H78" si="27">B78/B18</f>
        <v>4.7569496009591195</v>
      </c>
      <c r="H78" s="78">
        <f t="shared" si="27"/>
        <v>4.9119523514317898</v>
      </c>
      <c r="I78" s="78">
        <f t="shared" ref="I78:I86" si="28">H78-G78</f>
        <v>0.15500275047267031</v>
      </c>
      <c r="J78" s="72">
        <f>I78/G78</f>
        <v>3.2584484485902038E-2</v>
      </c>
    </row>
    <row r="79" spans="1:13" s="68" customFormat="1" ht="18" customHeight="1" x14ac:dyDescent="0.2">
      <c r="A79" s="68" t="s">
        <v>147</v>
      </c>
      <c r="B79" s="69">
        <f>TripsByDestinationPurpose!C13</f>
        <v>1591815.5687474979</v>
      </c>
      <c r="C79" s="69">
        <f>TripsByDestinationPurpose!O13</f>
        <v>1282210</v>
      </c>
      <c r="D79" s="69">
        <f t="shared" si="26"/>
        <v>-309605.56874749786</v>
      </c>
      <c r="E79" s="72">
        <f t="shared" ref="E79:E86" si="29">D79/B79</f>
        <v>-0.19449839216681836</v>
      </c>
      <c r="G79" s="78">
        <f t="shared" ref="G79:G85" si="30">B79/B19</f>
        <v>5.2150861613771688</v>
      </c>
      <c r="H79" s="78">
        <f t="shared" ref="H79:H85" si="31">C79/C19</f>
        <v>4.67015596203297</v>
      </c>
      <c r="I79" s="78">
        <f t="shared" si="28"/>
        <v>-0.54493019934419884</v>
      </c>
      <c r="J79" s="72">
        <f t="shared" ref="J79:J86" si="32">I79/G79</f>
        <v>-0.10449112104416255</v>
      </c>
    </row>
    <row r="80" spans="1:13" s="68" customFormat="1" ht="18" customHeight="1" x14ac:dyDescent="0.2">
      <c r="A80" s="68" t="s">
        <v>148</v>
      </c>
      <c r="B80" s="69">
        <f>TripsByDestinationPurpose!D13</f>
        <v>1452179.4640660828</v>
      </c>
      <c r="C80" s="69">
        <f>TripsByDestinationPurpose!P13</f>
        <v>1174130</v>
      </c>
      <c r="D80" s="69">
        <f t="shared" si="26"/>
        <v>-278049.46406608284</v>
      </c>
      <c r="E80" s="72">
        <f t="shared" si="29"/>
        <v>-0.19147045592254011</v>
      </c>
      <c r="G80" s="78">
        <f t="shared" si="30"/>
        <v>4.2369505143504194</v>
      </c>
      <c r="H80" s="78">
        <f t="shared" si="31"/>
        <v>3.7443235451692733</v>
      </c>
      <c r="I80" s="78">
        <f t="shared" si="28"/>
        <v>-0.49262696918114601</v>
      </c>
      <c r="J80" s="72">
        <f t="shared" si="32"/>
        <v>-0.1162692288976786</v>
      </c>
    </row>
    <row r="81" spans="1:12" s="68" customFormat="1" ht="18" customHeight="1" x14ac:dyDescent="0.2">
      <c r="A81" s="68" t="s">
        <v>243</v>
      </c>
      <c r="B81" s="69">
        <f>TripsByDestinationPurpose!E13</f>
        <v>2577280.8134685503</v>
      </c>
      <c r="C81" s="69">
        <f>TripsByDestinationPurpose!Q13</f>
        <v>1369483</v>
      </c>
      <c r="D81" s="69">
        <f t="shared" si="26"/>
        <v>-1207797.8134685503</v>
      </c>
      <c r="E81" s="72">
        <f t="shared" si="29"/>
        <v>-0.46863260191002415</v>
      </c>
      <c r="G81" s="78">
        <f t="shared" si="30"/>
        <v>4.8279405293266731</v>
      </c>
      <c r="H81" s="78">
        <f t="shared" si="31"/>
        <v>4.4723799757681846</v>
      </c>
      <c r="I81" s="78">
        <f t="shared" si="28"/>
        <v>-0.35556055355848848</v>
      </c>
      <c r="J81" s="72">
        <f t="shared" si="32"/>
        <v>-7.3646423645586337E-2</v>
      </c>
    </row>
    <row r="82" spans="1:12" s="68" customFormat="1" ht="18" customHeight="1" x14ac:dyDescent="0.2">
      <c r="A82" s="68" t="s">
        <v>244</v>
      </c>
      <c r="B82" s="69">
        <f>TripsByDestinationPurpose!F13</f>
        <v>566227.00490990002</v>
      </c>
      <c r="C82" s="69">
        <f>TripsByDestinationPurpose!R13</f>
        <v>770961</v>
      </c>
      <c r="D82" s="69">
        <f t="shared" si="26"/>
        <v>204733.99509009998</v>
      </c>
      <c r="E82" s="72">
        <f t="shared" si="29"/>
        <v>0.36157582262025451</v>
      </c>
      <c r="G82" s="78">
        <f t="shared" si="30"/>
        <v>5.437532878458506</v>
      </c>
      <c r="H82" s="78">
        <f t="shared" si="31"/>
        <v>5.0240200710305949</v>
      </c>
      <c r="I82" s="78">
        <f t="shared" si="28"/>
        <v>-0.41351280742791108</v>
      </c>
      <c r="J82" s="72">
        <f t="shared" si="32"/>
        <v>-7.6047872568476019E-2</v>
      </c>
    </row>
    <row r="83" spans="1:12" s="68" customFormat="1" ht="18" customHeight="1" x14ac:dyDescent="0.2">
      <c r="A83" s="68" t="s">
        <v>245</v>
      </c>
      <c r="B83" s="69">
        <f>TripsByDestinationPurpose!G13</f>
        <v>220749.55815218401</v>
      </c>
      <c r="C83" s="69">
        <f>TripsByDestinationPurpose!S13</f>
        <v>206355</v>
      </c>
      <c r="D83" s="69">
        <f t="shared" si="26"/>
        <v>-14394.558152184007</v>
      </c>
      <c r="E83" s="72">
        <f t="shared" si="29"/>
        <v>-6.5207641966197938E-2</v>
      </c>
      <c r="G83" s="78">
        <f t="shared" si="30"/>
        <v>3.1317423439238885</v>
      </c>
      <c r="H83" s="78">
        <f t="shared" si="31"/>
        <v>3.2398888400427057</v>
      </c>
      <c r="I83" s="78">
        <f t="shared" si="28"/>
        <v>0.10814649611881721</v>
      </c>
      <c r="J83" s="72">
        <f t="shared" si="32"/>
        <v>3.4532373433797885E-2</v>
      </c>
    </row>
    <row r="84" spans="1:12" s="68" customFormat="1" ht="18" customHeight="1" x14ac:dyDescent="0.2">
      <c r="A84" s="73" t="s">
        <v>246</v>
      </c>
      <c r="B84" s="69">
        <f>TripsByDestinationPurpose!I13</f>
        <v>1658410.3871249999</v>
      </c>
      <c r="C84" s="69">
        <f>TripsByDestinationPurpose!U13</f>
        <v>1308735</v>
      </c>
      <c r="D84" s="69">
        <f t="shared" si="26"/>
        <v>-349675.38712499989</v>
      </c>
      <c r="E84" s="72">
        <f t="shared" si="29"/>
        <v>-0.21084973287654868</v>
      </c>
      <c r="G84" s="78">
        <f t="shared" si="30"/>
        <v>3.6395823934050151</v>
      </c>
      <c r="H84" s="78">
        <f t="shared" si="31"/>
        <v>3.4711141641646952</v>
      </c>
      <c r="I84" s="78">
        <f t="shared" si="28"/>
        <v>-0.1684682292403199</v>
      </c>
      <c r="J84" s="72">
        <f t="shared" si="32"/>
        <v>-4.6287791023933732E-2</v>
      </c>
    </row>
    <row r="85" spans="1:12" s="68" customFormat="1" ht="18" customHeight="1" x14ac:dyDescent="0.2">
      <c r="A85" s="73" t="s">
        <v>170</v>
      </c>
      <c r="B85" s="74">
        <f>TripsByDestinationPurpose!J13</f>
        <v>888650.6298750001</v>
      </c>
      <c r="C85" s="74">
        <f>TripsByDestinationPurpose!V13</f>
        <v>757114</v>
      </c>
      <c r="D85" s="74">
        <f t="shared" si="26"/>
        <v>-131536.6298750001</v>
      </c>
      <c r="E85" s="75">
        <f t="shared" si="29"/>
        <v>-0.14801838366277012</v>
      </c>
      <c r="G85" s="78">
        <f t="shared" si="30"/>
        <v>3.6679092722248758</v>
      </c>
      <c r="H85" s="78">
        <f t="shared" si="31"/>
        <v>4.1718177460147778</v>
      </c>
      <c r="I85" s="79">
        <f t="shared" si="28"/>
        <v>0.503908473789902</v>
      </c>
      <c r="J85" s="75">
        <f t="shared" si="32"/>
        <v>0.1373830256941557</v>
      </c>
    </row>
    <row r="86" spans="1:12" s="68" customFormat="1" ht="18" customHeight="1" thickBot="1" x14ac:dyDescent="0.25">
      <c r="A86" s="70" t="s">
        <v>221</v>
      </c>
      <c r="B86" s="76">
        <f>SUM(B78:B85)</f>
        <v>14847058.341916997</v>
      </c>
      <c r="C86" s="76">
        <f>SUM(C78:C85)</f>
        <v>12280648</v>
      </c>
      <c r="D86" s="76">
        <f>SUM(D78:D85)</f>
        <v>-2566410.3419169961</v>
      </c>
      <c r="E86" s="77">
        <f t="shared" si="29"/>
        <v>-0.17285648663960396</v>
      </c>
      <c r="G86" s="211">
        <f t="shared" ref="G86" si="33">B86/B26</f>
        <v>4.5087909837331726</v>
      </c>
      <c r="H86" s="211">
        <f t="shared" ref="H86" si="34">C86/C26</f>
        <v>4.4306669678014297</v>
      </c>
      <c r="I86" s="80">
        <f t="shared" si="28"/>
        <v>-7.8124015931742896E-2</v>
      </c>
      <c r="J86" s="77">
        <f t="shared" si="32"/>
        <v>-1.7327043150502854E-2</v>
      </c>
      <c r="K86" s="78"/>
      <c r="L86" s="78"/>
    </row>
    <row r="87" spans="1:12" s="68" customFormat="1" ht="18" customHeight="1" x14ac:dyDescent="0.2"/>
    <row r="88" spans="1:12" s="68" customFormat="1" ht="18" customHeight="1" x14ac:dyDescent="0.2">
      <c r="A88"/>
      <c r="B88"/>
      <c r="C88"/>
      <c r="D88"/>
      <c r="E88"/>
    </row>
    <row r="89" spans="1:12" s="68" customFormat="1" ht="18" customHeight="1" x14ac:dyDescent="0.2">
      <c r="A89"/>
      <c r="B89"/>
      <c r="C89"/>
      <c r="D89"/>
      <c r="E89"/>
    </row>
    <row r="90" spans="1:12" s="68" customFormat="1" ht="18" customHeight="1" x14ac:dyDescent="0.2">
      <c r="A90"/>
      <c r="B90"/>
      <c r="C90"/>
      <c r="D90"/>
      <c r="E90"/>
    </row>
    <row r="91" spans="1:12" s="68" customFormat="1" ht="18" customHeight="1" x14ac:dyDescent="0.2">
      <c r="A91"/>
      <c r="B91"/>
      <c r="C91"/>
      <c r="D91"/>
      <c r="E91"/>
    </row>
    <row r="92" spans="1:12" s="68" customFormat="1" ht="18" customHeight="1" x14ac:dyDescent="0.2">
      <c r="A92"/>
      <c r="B92"/>
      <c r="C92"/>
      <c r="D92"/>
      <c r="E92"/>
    </row>
    <row r="93" spans="1:12" s="68" customFormat="1" ht="18" customHeight="1" x14ac:dyDescent="0.2">
      <c r="A93"/>
      <c r="B93"/>
      <c r="C93"/>
      <c r="D93"/>
      <c r="E93"/>
    </row>
    <row r="94" spans="1:12" s="68" customFormat="1" ht="18" customHeight="1" x14ac:dyDescent="0.2">
      <c r="A94"/>
      <c r="B94"/>
      <c r="C94"/>
      <c r="D94"/>
      <c r="E94"/>
    </row>
    <row r="95" spans="1:12" s="68" customFormat="1" ht="18" customHeight="1" x14ac:dyDescent="0.2">
      <c r="A95"/>
      <c r="B95"/>
      <c r="C95"/>
      <c r="D95"/>
      <c r="E95"/>
    </row>
    <row r="96" spans="1:12" ht="18" customHeight="1" x14ac:dyDescent="0.2">
      <c r="A96"/>
      <c r="B96"/>
      <c r="C96"/>
      <c r="D96"/>
      <c r="E96"/>
    </row>
    <row r="97" spans="1:5" ht="18" customHeight="1" x14ac:dyDescent="0.2">
      <c r="A97"/>
      <c r="B97"/>
      <c r="C97"/>
      <c r="D97"/>
      <c r="E97"/>
    </row>
    <row r="98" spans="1:5" ht="18" customHeight="1" x14ac:dyDescent="0.2">
      <c r="A98"/>
      <c r="B98"/>
      <c r="C98"/>
      <c r="D98"/>
      <c r="E98"/>
    </row>
    <row r="99" spans="1:5" ht="18" customHeight="1" x14ac:dyDescent="0.2">
      <c r="A99"/>
      <c r="B99"/>
      <c r="C99"/>
      <c r="D99"/>
      <c r="E99"/>
    </row>
    <row r="100" spans="1:5" ht="18" customHeight="1" x14ac:dyDescent="0.2">
      <c r="A100"/>
      <c r="B100"/>
      <c r="C100"/>
      <c r="D100"/>
      <c r="E100"/>
    </row>
    <row r="101" spans="1:5" ht="18" customHeight="1" x14ac:dyDescent="0.2">
      <c r="A101"/>
      <c r="B101"/>
      <c r="C101"/>
      <c r="D101"/>
      <c r="E101"/>
    </row>
    <row r="102" spans="1:5" x14ac:dyDescent="0.2">
      <c r="A102"/>
      <c r="B102"/>
      <c r="C102"/>
      <c r="D102"/>
      <c r="E102"/>
    </row>
    <row r="103" spans="1:5" x14ac:dyDescent="0.2">
      <c r="A103"/>
      <c r="B103"/>
      <c r="C103"/>
      <c r="D103"/>
      <c r="E103"/>
    </row>
    <row r="104" spans="1:5" x14ac:dyDescent="0.2">
      <c r="A104"/>
      <c r="B104"/>
      <c r="C104"/>
      <c r="D104"/>
      <c r="E104"/>
    </row>
    <row r="105" spans="1:5" x14ac:dyDescent="0.2">
      <c r="A105"/>
      <c r="B105"/>
      <c r="C105"/>
      <c r="D105"/>
      <c r="E105"/>
    </row>
    <row r="106" spans="1:5" x14ac:dyDescent="0.2">
      <c r="A106"/>
      <c r="B106"/>
      <c r="C106"/>
      <c r="D106"/>
      <c r="E106"/>
    </row>
    <row r="107" spans="1:5" x14ac:dyDescent="0.2">
      <c r="A107"/>
      <c r="B107"/>
      <c r="C107"/>
      <c r="D107"/>
      <c r="E107"/>
    </row>
    <row r="108" spans="1:5" x14ac:dyDescent="0.2">
      <c r="A108"/>
      <c r="B108"/>
      <c r="C108"/>
      <c r="D108"/>
      <c r="E108"/>
    </row>
    <row r="109" spans="1:5" x14ac:dyDescent="0.2">
      <c r="A109"/>
      <c r="B109"/>
      <c r="C109"/>
      <c r="D109"/>
      <c r="E109"/>
    </row>
    <row r="110" spans="1:5" x14ac:dyDescent="0.2">
      <c r="A110"/>
      <c r="B110"/>
      <c r="C110"/>
      <c r="D110"/>
      <c r="E110"/>
    </row>
    <row r="111" spans="1:5" x14ac:dyDescent="0.2">
      <c r="A111"/>
      <c r="B111"/>
      <c r="C111"/>
      <c r="D111"/>
      <c r="E111"/>
    </row>
    <row r="112" spans="1:5" x14ac:dyDescent="0.2">
      <c r="A112"/>
      <c r="B112"/>
      <c r="C112"/>
      <c r="D112"/>
      <c r="E112"/>
    </row>
    <row r="113" spans="1:5" x14ac:dyDescent="0.2">
      <c r="A113"/>
      <c r="B113"/>
      <c r="C113"/>
      <c r="D113"/>
      <c r="E113"/>
    </row>
    <row r="114" spans="1:5" x14ac:dyDescent="0.2">
      <c r="A114"/>
      <c r="B114"/>
      <c r="C114"/>
      <c r="D114"/>
      <c r="E114"/>
    </row>
    <row r="115" spans="1:5" x14ac:dyDescent="0.2">
      <c r="A115"/>
      <c r="B115"/>
      <c r="C115"/>
      <c r="D115"/>
      <c r="E115"/>
    </row>
    <row r="116" spans="1:5" x14ac:dyDescent="0.2">
      <c r="A116"/>
      <c r="B116"/>
      <c r="C116"/>
      <c r="D116"/>
      <c r="E116"/>
    </row>
  </sheetData>
  <phoneticPr fontId="5"/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54"/>
  <sheetViews>
    <sheetView workbookViewId="0"/>
  </sheetViews>
  <sheetFormatPr defaultColWidth="10.75" defaultRowHeight="12.75" x14ac:dyDescent="0.2"/>
  <cols>
    <col min="1" max="1" width="15.75" style="3" customWidth="1" collapsed="1"/>
    <col min="2" max="16384" width="10.75" style="3" collapsed="1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272</v>
      </c>
      <c r="L2" s="2" t="s">
        <v>95</v>
      </c>
      <c r="W2" s="2" t="s">
        <v>96</v>
      </c>
    </row>
    <row r="3" spans="1:32" ht="13.5" thickBo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x14ac:dyDescent="0.2">
      <c r="A4" s="16" t="s">
        <v>115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16" t="s">
        <v>115</v>
      </c>
      <c r="M4" s="6" t="s">
        <v>146</v>
      </c>
      <c r="N4" s="6" t="s">
        <v>147</v>
      </c>
      <c r="O4" s="6" t="s">
        <v>148</v>
      </c>
      <c r="P4" s="6" t="s">
        <v>243</v>
      </c>
      <c r="Q4" s="6" t="s">
        <v>244</v>
      </c>
      <c r="R4" s="6" t="s">
        <v>245</v>
      </c>
      <c r="S4" s="6" t="s">
        <v>246</v>
      </c>
      <c r="T4" s="6" t="s">
        <v>170</v>
      </c>
      <c r="U4" s="6" t="s">
        <v>221</v>
      </c>
      <c r="W4" s="16" t="s">
        <v>115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2">
      <c r="A5" s="3" t="s">
        <v>222</v>
      </c>
      <c r="B5" s="12">
        <f>output_NHTS!B4/SUM(output_NHTS!B$4:B$7)</f>
        <v>9.7899349767304938E-2</v>
      </c>
      <c r="C5" s="12">
        <f>output_NHTS!C4/SUM(output_NHTS!C$4:C$7)</f>
        <v>0.15293566884876925</v>
      </c>
      <c r="D5" s="12">
        <f>output_NHTS!D4/SUM(output_NHTS!D$4:D$7)</f>
        <v>0.25471097360116768</v>
      </c>
      <c r="E5" s="12">
        <f>output_NHTS!E4/SUM(output_NHTS!E$4:E$7)</f>
        <v>0.2473159604470542</v>
      </c>
      <c r="F5" s="12">
        <f>output_NHTS!F4/SUM(output_NHTS!F$4:F$7)</f>
        <v>0.12875766642606043</v>
      </c>
      <c r="G5" s="12">
        <f>output_NHTS!G4/SUM(output_NHTS!G$4:G$7)</f>
        <v>0.15519369253713894</v>
      </c>
      <c r="H5" s="12">
        <f>output_NHTS!H4/SUM(output_NHTS!H$4:H$7)</f>
        <v>0.14914997243960831</v>
      </c>
      <c r="I5" s="12">
        <f>output_NHTS!I4/SUM(output_NHTS!I$4:I$7)</f>
        <v>0.28738235176449783</v>
      </c>
      <c r="J5" s="12">
        <f>output_NHTS!J4/SUM(output_NHTS!J$4:J$7)</f>
        <v>0.16678042575640381</v>
      </c>
      <c r="L5" s="3" t="s">
        <v>222</v>
      </c>
      <c r="M5" s="12">
        <f>output!B4/SUM(output!B$4:B$7)</f>
        <v>3.7804077757496598E-3</v>
      </c>
      <c r="N5" s="12">
        <f>output!C4/SUM(output!C$4:C$7)</f>
        <v>5.4320825775621556E-2</v>
      </c>
      <c r="O5" s="12">
        <f>output!D4/SUM(output!D$4:D$7)</f>
        <v>0.15713893920453095</v>
      </c>
      <c r="P5" s="12">
        <f>output!E4/SUM(output!E$4:E$7)</f>
        <v>0.10337710517979549</v>
      </c>
      <c r="Q5" s="12">
        <f>output!F4/SUM(output!F$4:F$7)</f>
        <v>9.3577921866345188E-3</v>
      </c>
      <c r="R5" s="12">
        <f>output!G4/SUM(output!G$4:G$7)</f>
        <v>4.8530427683225526E-2</v>
      </c>
      <c r="S5" s="12">
        <f>output!H4/SUM(output!H$4:H$7)</f>
        <v>7.4743525817163342E-2</v>
      </c>
      <c r="T5" s="12">
        <f>output!I4/SUM(output!I$4:I$7)</f>
        <v>0.13894414352859497</v>
      </c>
      <c r="U5" s="12">
        <f>output!J4/SUM(output!J$4:J$7)</f>
        <v>5.6979772258416918E-2</v>
      </c>
      <c r="W5" s="3" t="s">
        <v>222</v>
      </c>
      <c r="X5" s="12">
        <f t="shared" ref="X5:AF9" si="0">M5-B5</f>
        <v>-9.411894199155528E-2</v>
      </c>
      <c r="Y5" s="12">
        <f t="shared" si="0"/>
        <v>-9.861484307314769E-2</v>
      </c>
      <c r="Z5" s="12">
        <f t="shared" si="0"/>
        <v>-9.7572034396636725E-2</v>
      </c>
      <c r="AA5" s="12">
        <f t="shared" si="0"/>
        <v>-0.14393885526725869</v>
      </c>
      <c r="AB5" s="12">
        <f t="shared" si="0"/>
        <v>-0.11939987423942591</v>
      </c>
      <c r="AC5" s="12">
        <f t="shared" si="0"/>
        <v>-0.10666326485391342</v>
      </c>
      <c r="AD5" s="12">
        <f t="shared" si="0"/>
        <v>-7.4406446622444972E-2</v>
      </c>
      <c r="AE5" s="12">
        <f t="shared" si="0"/>
        <v>-0.14843820823590287</v>
      </c>
      <c r="AF5" s="12">
        <f t="shared" si="0"/>
        <v>-0.1098006534979869</v>
      </c>
    </row>
    <row r="6" spans="1:32" x14ac:dyDescent="0.2">
      <c r="A6" s="3" t="s">
        <v>223</v>
      </c>
      <c r="B6" s="12">
        <f>output_NHTS!B5/SUM(output_NHTS!B$4:B$7)</f>
        <v>0.58693465467655392</v>
      </c>
      <c r="C6" s="12">
        <f>output_NHTS!C5/SUM(output_NHTS!C$4:C$7)</f>
        <v>0.44038362435492795</v>
      </c>
      <c r="D6" s="12">
        <f>output_NHTS!D5/SUM(output_NHTS!D$4:D$7)</f>
        <v>0.44368852126712871</v>
      </c>
      <c r="E6" s="12">
        <f>output_NHTS!E5/SUM(output_NHTS!E$4:E$7)</f>
        <v>0.38800938914696925</v>
      </c>
      <c r="F6" s="12">
        <f>output_NHTS!F5/SUM(output_NHTS!F$4:F$7)</f>
        <v>0.54423842006989509</v>
      </c>
      <c r="G6" s="12">
        <f>output_NHTS!G5/SUM(output_NHTS!G$4:G$7)</f>
        <v>0.65604901174235764</v>
      </c>
      <c r="H6" s="12">
        <f>output_NHTS!H5/SUM(output_NHTS!H$4:H$7)</f>
        <v>0.58108320240478184</v>
      </c>
      <c r="I6" s="12">
        <f>output_NHTS!I5/SUM(output_NHTS!I$4:I$7)</f>
        <v>0.43898285089995742</v>
      </c>
      <c r="J6" s="12">
        <f>output_NHTS!J5/SUM(output_NHTS!J$4:J$7)</f>
        <v>0.51462601342500502</v>
      </c>
      <c r="L6" s="3" t="s">
        <v>223</v>
      </c>
      <c r="M6" s="12">
        <f>output!B5/SUM(output!B$4:B$7)</f>
        <v>0.52497837497832955</v>
      </c>
      <c r="N6" s="12">
        <f>output!C5/SUM(output!C$4:C$7)</f>
        <v>0.43803040567611473</v>
      </c>
      <c r="O6" s="12">
        <f>output!D5/SUM(output!D$4:D$7)</f>
        <v>0.47167831721815445</v>
      </c>
      <c r="P6" s="12">
        <f>output!E5/SUM(output!E$4:E$7)</f>
        <v>0.41646718417812673</v>
      </c>
      <c r="Q6" s="12">
        <f>output!F5/SUM(output!F$4:F$7)</f>
        <v>0.41916522759115049</v>
      </c>
      <c r="R6" s="12">
        <f>output!G5/SUM(output!G$4:G$7)</f>
        <v>0.66860830245556746</v>
      </c>
      <c r="S6" s="12">
        <f>output!H5/SUM(output!H$4:H$7)</f>
        <v>0.5477885400863578</v>
      </c>
      <c r="T6" s="12">
        <f>output!I5/SUM(output!I$4:I$7)</f>
        <v>0.4129036879487335</v>
      </c>
      <c r="U6" s="12">
        <f>output!J5/SUM(output!J$4:J$7)</f>
        <v>0.49155475733997944</v>
      </c>
      <c r="W6" s="3" t="s">
        <v>223</v>
      </c>
      <c r="X6" s="12">
        <f t="shared" si="0"/>
        <v>-6.195627969822437E-2</v>
      </c>
      <c r="Y6" s="12">
        <f t="shared" si="0"/>
        <v>-2.3532186788132181E-3</v>
      </c>
      <c r="Z6" s="12">
        <f t="shared" si="0"/>
        <v>2.7989795951025742E-2</v>
      </c>
      <c r="AA6" s="12">
        <f t="shared" si="0"/>
        <v>2.8457795031157473E-2</v>
      </c>
      <c r="AB6" s="12">
        <f t="shared" si="0"/>
        <v>-0.1250731924787446</v>
      </c>
      <c r="AC6" s="12">
        <f t="shared" si="0"/>
        <v>1.2559290713209825E-2</v>
      </c>
      <c r="AD6" s="12">
        <f t="shared" si="0"/>
        <v>-3.329466231842404E-2</v>
      </c>
      <c r="AE6" s="12">
        <f t="shared" si="0"/>
        <v>-2.6079162951223922E-2</v>
      </c>
      <c r="AF6" s="12">
        <f t="shared" si="0"/>
        <v>-2.3071256085025582E-2</v>
      </c>
    </row>
    <row r="7" spans="1:32" x14ac:dyDescent="0.2">
      <c r="A7" s="3" t="s">
        <v>224</v>
      </c>
      <c r="B7" s="12">
        <f>output_NHTS!B6/SUM(output_NHTS!B$4:B$7)</f>
        <v>0.24685546785967333</v>
      </c>
      <c r="C7" s="12">
        <f>output_NHTS!C6/SUM(output_NHTS!C$4:C$7)</f>
        <v>0.26440004768333553</v>
      </c>
      <c r="D7" s="12">
        <f>output_NHTS!D6/SUM(output_NHTS!D$4:D$7)</f>
        <v>0.22441995581764446</v>
      </c>
      <c r="E7" s="12">
        <f>output_NHTS!E6/SUM(output_NHTS!E$4:E$7)</f>
        <v>0.22357558195291866</v>
      </c>
      <c r="F7" s="12">
        <f>output_NHTS!F6/SUM(output_NHTS!F$4:F$7)</f>
        <v>0.22086241450415517</v>
      </c>
      <c r="G7" s="12">
        <f>output_NHTS!G6/SUM(output_NHTS!G$4:G$7)</f>
        <v>0.15598560713313564</v>
      </c>
      <c r="H7" s="12">
        <f>output_NHTS!H6/SUM(output_NHTS!H$4:H$7)</f>
        <v>0.22893438590962395</v>
      </c>
      <c r="I7" s="12">
        <f>output_NHTS!I6/SUM(output_NHTS!I$4:I$7)</f>
        <v>0.21777710576137982</v>
      </c>
      <c r="J7" s="12">
        <f>output_NHTS!J6/SUM(output_NHTS!J$4:J$7)</f>
        <v>0.23498613064415497</v>
      </c>
      <c r="L7" s="3" t="s">
        <v>224</v>
      </c>
      <c r="M7" s="12">
        <f>output!B6/SUM(output!B$4:B$7)</f>
        <v>0.36039766440689353</v>
      </c>
      <c r="N7" s="12">
        <f>output!C6/SUM(output!C$4:C$7)</f>
        <v>0.34000233105327188</v>
      </c>
      <c r="O7" s="12">
        <f>output!D6/SUM(output!D$4:D$7)</f>
        <v>0.25208242977778911</v>
      </c>
      <c r="P7" s="12">
        <f>output!E6/SUM(output!E$4:E$7)</f>
        <v>0.28069717088655133</v>
      </c>
      <c r="Q7" s="12">
        <f>output!F6/SUM(output!F$4:F$7)</f>
        <v>0.4441953667198853</v>
      </c>
      <c r="R7" s="12">
        <f>output!G6/SUM(output!G$4:G$7)</f>
        <v>0.23550838409847391</v>
      </c>
      <c r="S7" s="12">
        <f>output!H6/SUM(output!H$4:H$7)</f>
        <v>0.28697524904783628</v>
      </c>
      <c r="T7" s="12">
        <f>output!I6/SUM(output!I$4:I$7)</f>
        <v>0.25749519238716573</v>
      </c>
      <c r="U7" s="12">
        <f>output!J6/SUM(output!J$4:J$7)</f>
        <v>0.32236271970871705</v>
      </c>
      <c r="W7" s="3" t="s">
        <v>224</v>
      </c>
      <c r="X7" s="12">
        <f t="shared" si="0"/>
        <v>0.1135421965472202</v>
      </c>
      <c r="Y7" s="12">
        <f t="shared" si="0"/>
        <v>7.5602283369936352E-2</v>
      </c>
      <c r="Z7" s="12">
        <f t="shared" si="0"/>
        <v>2.7662473960144651E-2</v>
      </c>
      <c r="AA7" s="12">
        <f t="shared" si="0"/>
        <v>5.7121588933632672E-2</v>
      </c>
      <c r="AB7" s="12">
        <f t="shared" si="0"/>
        <v>0.22333295221573013</v>
      </c>
      <c r="AC7" s="12">
        <f t="shared" si="0"/>
        <v>7.9522776965338271E-2</v>
      </c>
      <c r="AD7" s="12">
        <f t="shared" si="0"/>
        <v>5.8040863138212329E-2</v>
      </c>
      <c r="AE7" s="12">
        <f t="shared" si="0"/>
        <v>3.9718086625785909E-2</v>
      </c>
      <c r="AF7" s="12">
        <f t="shared" si="0"/>
        <v>8.7376589064562082E-2</v>
      </c>
    </row>
    <row r="8" spans="1:32" x14ac:dyDescent="0.2">
      <c r="A8" s="8" t="s">
        <v>225</v>
      </c>
      <c r="B8" s="13">
        <f>output_NHTS!B7/SUM(output_NHTS!B$4:B$7)</f>
        <v>6.8310527696467727E-2</v>
      </c>
      <c r="C8" s="13">
        <f>output_NHTS!C7/SUM(output_NHTS!C$4:C$7)</f>
        <v>0.14228065911296728</v>
      </c>
      <c r="D8" s="13">
        <f>output_NHTS!D7/SUM(output_NHTS!D$4:D$7)</f>
        <v>7.718054931405921E-2</v>
      </c>
      <c r="E8" s="13">
        <f>output_NHTS!E7/SUM(output_NHTS!E$4:E$7)</f>
        <v>0.14109906845305778</v>
      </c>
      <c r="F8" s="13">
        <f>output_NHTS!F7/SUM(output_NHTS!F$4:F$7)</f>
        <v>0.10614149899988928</v>
      </c>
      <c r="G8" s="13">
        <f>output_NHTS!G7/SUM(output_NHTS!G$4:G$7)</f>
        <v>3.2771688587367676E-2</v>
      </c>
      <c r="H8" s="13">
        <f>output_NHTS!H7/SUM(output_NHTS!H$4:H$7)</f>
        <v>4.0832439245985903E-2</v>
      </c>
      <c r="I8" s="13">
        <f>output_NHTS!I7/SUM(output_NHTS!I$4:I$7)</f>
        <v>5.5857691574164946E-2</v>
      </c>
      <c r="J8" s="13">
        <f>output_NHTS!J7/SUM(output_NHTS!J$4:J$7)</f>
        <v>8.3607430174436254E-2</v>
      </c>
      <c r="L8" s="8" t="s">
        <v>225</v>
      </c>
      <c r="M8" s="13">
        <f>output!B7/SUM(output!B$4:B$7)</f>
        <v>0.11084355283902725</v>
      </c>
      <c r="N8" s="13">
        <f>output!C7/SUM(output!C$4:C$7)</f>
        <v>0.16764643749499189</v>
      </c>
      <c r="O8" s="13">
        <f>output!D7/SUM(output!D$4:D$7)</f>
        <v>0.11910031379952547</v>
      </c>
      <c r="P8" s="13">
        <f>output!E7/SUM(output!E$4:E$7)</f>
        <v>0.19945853975552646</v>
      </c>
      <c r="Q8" s="13">
        <f>output!F7/SUM(output!F$4:F$7)</f>
        <v>0.12728161350232967</v>
      </c>
      <c r="R8" s="13">
        <f>output!G7/SUM(output!G$4:G$7)</f>
        <v>4.7352885762733152E-2</v>
      </c>
      <c r="S8" s="13">
        <f>output!H7/SUM(output!H$4:H$7)</f>
        <v>9.0492685048642565E-2</v>
      </c>
      <c r="T8" s="13">
        <f>output!I7/SUM(output!I$4:I$7)</f>
        <v>0.19065697613550581</v>
      </c>
      <c r="U8" s="13">
        <f>output!J7/SUM(output!J$4:J$7)</f>
        <v>0.12910275069288657</v>
      </c>
      <c r="W8" s="8" t="s">
        <v>225</v>
      </c>
      <c r="X8" s="13">
        <f t="shared" si="0"/>
        <v>4.2533025142559522E-2</v>
      </c>
      <c r="Y8" s="13">
        <f t="shared" si="0"/>
        <v>2.5365778382024612E-2</v>
      </c>
      <c r="Z8" s="13">
        <f t="shared" si="0"/>
        <v>4.1919764485466263E-2</v>
      </c>
      <c r="AA8" s="13">
        <f t="shared" si="0"/>
        <v>5.8359471302468685E-2</v>
      </c>
      <c r="AB8" s="13">
        <f t="shared" si="0"/>
        <v>2.1140114502440382E-2</v>
      </c>
      <c r="AC8" s="13">
        <f t="shared" si="0"/>
        <v>1.4581197175365476E-2</v>
      </c>
      <c r="AD8" s="13">
        <f t="shared" si="0"/>
        <v>4.9660245802656662E-2</v>
      </c>
      <c r="AE8" s="13">
        <f t="shared" si="0"/>
        <v>0.13479928456134085</v>
      </c>
      <c r="AF8" s="13">
        <f t="shared" si="0"/>
        <v>4.5495320518450316E-2</v>
      </c>
    </row>
    <row r="9" spans="1:32" ht="13.5" thickBot="1" x14ac:dyDescent="0.25">
      <c r="A9" s="15" t="s">
        <v>221</v>
      </c>
      <c r="B9" s="17">
        <f>SUM(B5:B8)</f>
        <v>1</v>
      </c>
      <c r="C9" s="17">
        <f t="shared" ref="C9:J9" si="1">SUM(C5:C8)</f>
        <v>1</v>
      </c>
      <c r="D9" s="17">
        <f t="shared" si="1"/>
        <v>1</v>
      </c>
      <c r="E9" s="17">
        <f t="shared" si="1"/>
        <v>0.99999999999999978</v>
      </c>
      <c r="F9" s="17">
        <f t="shared" si="1"/>
        <v>1</v>
      </c>
      <c r="G9" s="17">
        <f t="shared" si="1"/>
        <v>0.99999999999999978</v>
      </c>
      <c r="H9" s="17">
        <f t="shared" si="1"/>
        <v>1.0000000000000002</v>
      </c>
      <c r="I9" s="17">
        <f t="shared" si="1"/>
        <v>1</v>
      </c>
      <c r="J9" s="17">
        <f t="shared" si="1"/>
        <v>1</v>
      </c>
      <c r="L9" s="15" t="s">
        <v>221</v>
      </c>
      <c r="M9" s="17">
        <f>SUM(M5:M8)</f>
        <v>1</v>
      </c>
      <c r="N9" s="17">
        <f t="shared" ref="N9:U9" si="2">SUM(N5:N8)</f>
        <v>1.0000000000000002</v>
      </c>
      <c r="O9" s="17">
        <f t="shared" si="2"/>
        <v>1</v>
      </c>
      <c r="P9" s="17">
        <f t="shared" si="2"/>
        <v>1</v>
      </c>
      <c r="Q9" s="17">
        <f t="shared" si="2"/>
        <v>1</v>
      </c>
      <c r="R9" s="17">
        <f t="shared" si="2"/>
        <v>1.0000000000000002</v>
      </c>
      <c r="S9" s="17">
        <f t="shared" si="2"/>
        <v>1</v>
      </c>
      <c r="T9" s="17">
        <f t="shared" si="2"/>
        <v>1</v>
      </c>
      <c r="U9" s="17">
        <f t="shared" si="2"/>
        <v>1</v>
      </c>
      <c r="W9" s="15" t="s">
        <v>221</v>
      </c>
      <c r="X9" s="14">
        <f t="shared" si="0"/>
        <v>0</v>
      </c>
      <c r="Y9" s="14">
        <f t="shared" si="0"/>
        <v>0</v>
      </c>
      <c r="Z9" s="14">
        <f t="shared" si="0"/>
        <v>0</v>
      </c>
      <c r="AA9" s="14">
        <f t="shared" si="0"/>
        <v>0</v>
      </c>
      <c r="AB9" s="14">
        <f t="shared" si="0"/>
        <v>0</v>
      </c>
      <c r="AC9" s="14">
        <f t="shared" si="0"/>
        <v>0</v>
      </c>
      <c r="AD9" s="14">
        <f t="shared" si="0"/>
        <v>0</v>
      </c>
      <c r="AE9" s="14">
        <f t="shared" si="0"/>
        <v>0</v>
      </c>
      <c r="AF9" s="14">
        <f t="shared" si="0"/>
        <v>0</v>
      </c>
    </row>
    <row r="17" spans="11:23" x14ac:dyDescent="0.2">
      <c r="K17"/>
      <c r="L17"/>
      <c r="M17"/>
      <c r="N17"/>
      <c r="O17"/>
      <c r="P17"/>
      <c r="Q17"/>
      <c r="R17"/>
      <c r="S17"/>
      <c r="T17"/>
      <c r="U17"/>
      <c r="V17"/>
    </row>
    <row r="18" spans="11:23" x14ac:dyDescent="0.2">
      <c r="K18"/>
      <c r="L18"/>
      <c r="M18"/>
      <c r="N18"/>
      <c r="O18"/>
      <c r="P18"/>
      <c r="Q18"/>
      <c r="R18"/>
      <c r="S18"/>
      <c r="T18"/>
      <c r="U18"/>
      <c r="V18"/>
      <c r="W18"/>
    </row>
    <row r="19" spans="11:23" x14ac:dyDescent="0.2">
      <c r="K19"/>
      <c r="L19"/>
      <c r="M19"/>
      <c r="N19"/>
      <c r="O19"/>
      <c r="P19"/>
      <c r="Q19"/>
      <c r="R19"/>
      <c r="S19"/>
      <c r="T19"/>
      <c r="U19"/>
      <c r="V19"/>
      <c r="W19"/>
    </row>
    <row r="20" spans="11:23" x14ac:dyDescent="0.2">
      <c r="K20"/>
      <c r="L20"/>
      <c r="M20"/>
      <c r="N20"/>
      <c r="O20"/>
      <c r="P20"/>
      <c r="Q20"/>
      <c r="R20"/>
      <c r="S20"/>
      <c r="T20"/>
      <c r="U20"/>
      <c r="V20"/>
      <c r="W20"/>
    </row>
    <row r="21" spans="11:23" x14ac:dyDescent="0.2">
      <c r="K21"/>
      <c r="L21"/>
      <c r="M21"/>
      <c r="N21"/>
      <c r="O21"/>
      <c r="P21"/>
      <c r="Q21"/>
      <c r="R21"/>
      <c r="S21"/>
      <c r="T21"/>
      <c r="U21"/>
      <c r="V21"/>
      <c r="W21"/>
    </row>
    <row r="22" spans="11:23" x14ac:dyDescent="0.2">
      <c r="K22"/>
      <c r="L22"/>
      <c r="M22"/>
      <c r="N22"/>
      <c r="O22"/>
      <c r="P22"/>
      <c r="Q22"/>
      <c r="R22"/>
      <c r="S22"/>
      <c r="T22"/>
      <c r="U22"/>
      <c r="V22"/>
      <c r="W22"/>
    </row>
    <row r="23" spans="11:23" x14ac:dyDescent="0.2">
      <c r="K23"/>
      <c r="L23"/>
      <c r="M23"/>
      <c r="N23"/>
      <c r="O23"/>
      <c r="P23"/>
      <c r="Q23"/>
      <c r="R23"/>
      <c r="S23"/>
      <c r="T23"/>
      <c r="U23"/>
      <c r="V23"/>
      <c r="W23"/>
    </row>
    <row r="24" spans="11:23" x14ac:dyDescent="0.2">
      <c r="K24"/>
      <c r="L24"/>
      <c r="M24"/>
      <c r="N24"/>
      <c r="O24"/>
      <c r="P24"/>
      <c r="Q24"/>
      <c r="R24"/>
      <c r="S24"/>
      <c r="T24"/>
      <c r="U24"/>
      <c r="V24"/>
      <c r="W24"/>
    </row>
    <row r="25" spans="11:23" x14ac:dyDescent="0.2">
      <c r="K25"/>
      <c r="L25"/>
      <c r="M25"/>
      <c r="N25"/>
      <c r="O25"/>
      <c r="P25"/>
      <c r="Q25"/>
      <c r="R25"/>
      <c r="S25"/>
      <c r="T25"/>
      <c r="U25"/>
      <c r="V25"/>
      <c r="W25"/>
    </row>
    <row r="26" spans="11:23" x14ac:dyDescent="0.2">
      <c r="K26"/>
      <c r="L26"/>
      <c r="M26"/>
      <c r="N26"/>
      <c r="O26"/>
      <c r="P26"/>
      <c r="Q26"/>
      <c r="R26"/>
      <c r="S26"/>
      <c r="T26"/>
      <c r="U26"/>
      <c r="V26"/>
      <c r="W26"/>
    </row>
    <row r="27" spans="11:23" x14ac:dyDescent="0.2">
      <c r="K27"/>
      <c r="L27"/>
      <c r="M27"/>
      <c r="N27"/>
      <c r="O27"/>
      <c r="P27"/>
      <c r="Q27"/>
      <c r="R27"/>
      <c r="S27"/>
      <c r="T27"/>
      <c r="U27"/>
      <c r="V27"/>
      <c r="W27"/>
    </row>
    <row r="28" spans="11:23" x14ac:dyDescent="0.2">
      <c r="K28"/>
      <c r="L28"/>
      <c r="M28"/>
      <c r="N28"/>
      <c r="O28"/>
      <c r="P28"/>
      <c r="Q28"/>
      <c r="R28"/>
      <c r="S28"/>
      <c r="T28"/>
      <c r="U28"/>
      <c r="V28"/>
      <c r="W28"/>
    </row>
    <row r="29" spans="11:23" x14ac:dyDescent="0.2">
      <c r="K29"/>
      <c r="L29"/>
      <c r="M29"/>
      <c r="N29"/>
      <c r="O29"/>
      <c r="P29"/>
      <c r="Q29"/>
      <c r="R29"/>
      <c r="S29"/>
      <c r="T29"/>
      <c r="U29"/>
      <c r="V29"/>
      <c r="W29"/>
    </row>
    <row r="30" spans="11:23" x14ac:dyDescent="0.2"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1:23" x14ac:dyDescent="0.2">
      <c r="K31"/>
      <c r="L31"/>
      <c r="M31"/>
      <c r="N31"/>
      <c r="O31"/>
      <c r="P31"/>
      <c r="Q31"/>
      <c r="R31"/>
      <c r="S31"/>
      <c r="T31"/>
      <c r="U31"/>
      <c r="V31"/>
      <c r="W31"/>
    </row>
    <row r="32" spans="11:23" x14ac:dyDescent="0.2">
      <c r="K32"/>
      <c r="L32"/>
      <c r="M32"/>
      <c r="N32"/>
      <c r="O32"/>
      <c r="P32"/>
      <c r="Q32"/>
      <c r="R32"/>
      <c r="S32"/>
      <c r="T32"/>
      <c r="U32"/>
      <c r="V32"/>
    </row>
    <row r="33" spans="1:22" x14ac:dyDescent="0.2">
      <c r="K33"/>
      <c r="L33"/>
      <c r="M33"/>
      <c r="N33"/>
      <c r="O33"/>
      <c r="P33"/>
      <c r="Q33"/>
      <c r="R33"/>
      <c r="S33"/>
      <c r="T33"/>
      <c r="U33"/>
      <c r="V33"/>
    </row>
    <row r="34" spans="1:22" x14ac:dyDescent="0.2">
      <c r="K34"/>
      <c r="L34"/>
      <c r="M34"/>
      <c r="N34"/>
      <c r="O34"/>
      <c r="P34"/>
      <c r="Q34"/>
      <c r="R34"/>
      <c r="S34"/>
      <c r="T34"/>
      <c r="U34"/>
      <c r="V34"/>
    </row>
    <row r="35" spans="1:22" x14ac:dyDescent="0.2">
      <c r="K35"/>
      <c r="L35"/>
      <c r="M35"/>
      <c r="N35"/>
      <c r="O35"/>
      <c r="P35"/>
      <c r="Q35"/>
      <c r="R35"/>
      <c r="S35"/>
      <c r="T35"/>
      <c r="U35"/>
      <c r="V35"/>
    </row>
    <row r="36" spans="1:22" x14ac:dyDescent="0.2">
      <c r="K36"/>
      <c r="L36"/>
      <c r="M36"/>
      <c r="N36"/>
      <c r="O36"/>
      <c r="P36"/>
      <c r="Q36"/>
      <c r="R36"/>
      <c r="S36"/>
      <c r="T36"/>
      <c r="U36"/>
      <c r="V36"/>
    </row>
    <row r="37" spans="1:22" x14ac:dyDescent="0.2">
      <c r="K37"/>
      <c r="L37"/>
      <c r="M37"/>
      <c r="N37"/>
      <c r="O37"/>
      <c r="P37"/>
      <c r="Q37"/>
      <c r="R37"/>
      <c r="S37"/>
      <c r="T37"/>
      <c r="U37"/>
      <c r="V37"/>
    </row>
    <row r="38" spans="1:22" x14ac:dyDescent="0.2">
      <c r="K38"/>
      <c r="L38"/>
      <c r="M38"/>
      <c r="N38"/>
      <c r="O38"/>
      <c r="P38"/>
      <c r="Q38"/>
      <c r="R38"/>
      <c r="S38"/>
      <c r="T38"/>
      <c r="U38"/>
      <c r="V38"/>
    </row>
    <row r="44" spans="1:22" x14ac:dyDescent="0.2">
      <c r="A44"/>
      <c r="B44"/>
      <c r="C44"/>
      <c r="D44"/>
      <c r="E44"/>
      <c r="F44"/>
      <c r="G44"/>
      <c r="H44"/>
      <c r="I44"/>
      <c r="J44"/>
      <c r="K44"/>
    </row>
    <row r="45" spans="1:22" x14ac:dyDescent="0.2">
      <c r="A45"/>
      <c r="B45"/>
      <c r="C45"/>
      <c r="D45"/>
      <c r="E45"/>
      <c r="F45"/>
      <c r="G45"/>
      <c r="H45"/>
      <c r="I45"/>
      <c r="J45"/>
      <c r="K45"/>
    </row>
    <row r="46" spans="1:22" x14ac:dyDescent="0.2">
      <c r="A46"/>
      <c r="B46"/>
      <c r="C46"/>
      <c r="D46"/>
      <c r="E46"/>
      <c r="F46"/>
      <c r="G46"/>
      <c r="H46"/>
      <c r="I46"/>
      <c r="J46"/>
      <c r="K46"/>
    </row>
    <row r="47" spans="1:22" x14ac:dyDescent="0.2">
      <c r="A47"/>
      <c r="B47"/>
      <c r="C47"/>
      <c r="D47"/>
      <c r="E47"/>
      <c r="F47"/>
      <c r="G47"/>
      <c r="H47"/>
      <c r="I47"/>
      <c r="J47"/>
      <c r="K47"/>
    </row>
    <row r="48" spans="1:22" x14ac:dyDescent="0.2">
      <c r="A48"/>
      <c r="B48"/>
      <c r="C48"/>
      <c r="D48"/>
      <c r="E48"/>
      <c r="F48"/>
      <c r="G48"/>
      <c r="H48"/>
      <c r="I48"/>
      <c r="J48"/>
      <c r="K48"/>
    </row>
    <row r="49" spans="1:11" x14ac:dyDescent="0.2">
      <c r="A49"/>
      <c r="B49"/>
      <c r="C49"/>
      <c r="D49"/>
      <c r="E49"/>
      <c r="F49"/>
      <c r="G49"/>
      <c r="H49"/>
      <c r="I49"/>
      <c r="J49"/>
      <c r="K49"/>
    </row>
    <row r="50" spans="1:11" x14ac:dyDescent="0.2">
      <c r="A50"/>
      <c r="B50"/>
      <c r="C50"/>
      <c r="D50"/>
      <c r="E50"/>
      <c r="F50"/>
      <c r="G50"/>
      <c r="H50"/>
      <c r="I50"/>
      <c r="J50"/>
      <c r="K50"/>
    </row>
    <row r="51" spans="1:11" x14ac:dyDescent="0.2">
      <c r="A51"/>
      <c r="B51"/>
      <c r="C51"/>
      <c r="D51"/>
      <c r="E51"/>
      <c r="F51"/>
      <c r="G51"/>
      <c r="H51"/>
      <c r="I51"/>
      <c r="J51"/>
      <c r="K51"/>
    </row>
    <row r="52" spans="1:11" x14ac:dyDescent="0.2">
      <c r="A52"/>
      <c r="B52"/>
      <c r="C52"/>
      <c r="D52"/>
      <c r="E52"/>
      <c r="F52"/>
      <c r="G52"/>
      <c r="H52"/>
      <c r="I52"/>
      <c r="J52"/>
      <c r="K52"/>
    </row>
    <row r="53" spans="1:11" x14ac:dyDescent="0.2">
      <c r="A53"/>
      <c r="B53"/>
      <c r="C53"/>
      <c r="D53"/>
      <c r="E53"/>
      <c r="F53"/>
      <c r="G53"/>
      <c r="H53"/>
      <c r="I53"/>
      <c r="J53"/>
      <c r="K53"/>
    </row>
    <row r="54" spans="1:11" x14ac:dyDescent="0.2">
      <c r="A54"/>
      <c r="B54"/>
      <c r="C54"/>
      <c r="D54"/>
      <c r="E54"/>
      <c r="F54"/>
      <c r="G54"/>
      <c r="H54"/>
      <c r="I54"/>
      <c r="J54"/>
      <c r="K54"/>
    </row>
  </sheetData>
  <phoneticPr fontId="5" type="noConversion"/>
  <conditionalFormatting sqref="X5:AF9">
    <cfRule type="cellIs" dxfId="38" priority="1" stopIfTrue="1" operator="notBetween">
      <formula>-0.15</formula>
      <formula>0.15</formula>
    </cfRule>
    <cfRule type="cellIs" dxfId="37" priority="2" stopIfTrue="1" operator="notBetween">
      <formula>-0.1</formula>
      <formula>0.1</formula>
    </cfRule>
    <cfRule type="cellIs" dxfId="36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F53"/>
  <sheetViews>
    <sheetView workbookViewId="0"/>
  </sheetViews>
  <sheetFormatPr defaultColWidth="10.75" defaultRowHeight="12.75" x14ac:dyDescent="0.2"/>
  <cols>
    <col min="1" max="1" width="15.75" style="3" customWidth="1" collapsed="1"/>
    <col min="2" max="16384" width="10.75" style="3" collapsed="1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104</v>
      </c>
      <c r="L2" s="2" t="s">
        <v>179</v>
      </c>
      <c r="W2" s="2" t="s">
        <v>194</v>
      </c>
    </row>
    <row r="3" spans="1:32" ht="13.5" thickBo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x14ac:dyDescent="0.2">
      <c r="A4" s="16" t="s">
        <v>174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16" t="s">
        <v>174</v>
      </c>
      <c r="M4" s="6" t="s">
        <v>146</v>
      </c>
      <c r="N4" s="6" t="s">
        <v>147</v>
      </c>
      <c r="O4" s="6" t="s">
        <v>148</v>
      </c>
      <c r="P4" s="6" t="s">
        <v>243</v>
      </c>
      <c r="Q4" s="6" t="s">
        <v>244</v>
      </c>
      <c r="R4" s="6" t="s">
        <v>245</v>
      </c>
      <c r="S4" s="6" t="s">
        <v>246</v>
      </c>
      <c r="T4" s="6" t="s">
        <v>170</v>
      </c>
      <c r="U4" s="6" t="s">
        <v>221</v>
      </c>
      <c r="W4" s="16" t="s">
        <v>174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2">
      <c r="A5" s="27" t="s">
        <v>226</v>
      </c>
      <c r="B5" s="28">
        <f>output_NHTS!B11/SUM(output_NHTS!B$11:B$23)</f>
        <v>9.7899349767304952E-2</v>
      </c>
      <c r="C5" s="28">
        <f>output_NHTS!C11/SUM(output_NHTS!C$11:C$23)</f>
        <v>0.15293566884876919</v>
      </c>
      <c r="D5" s="28">
        <f>output_NHTS!D11/SUM(output_NHTS!D$11:D$23)</f>
        <v>0.25471097360116768</v>
      </c>
      <c r="E5" s="28">
        <f>output_NHTS!E11/SUM(output_NHTS!E$11:E$23)</f>
        <v>0.24731596044705426</v>
      </c>
      <c r="F5" s="28">
        <f>output_NHTS!F11/SUM(output_NHTS!F$11:F$23)</f>
        <v>0.12875766642606043</v>
      </c>
      <c r="G5" s="28">
        <f>output_NHTS!G11/SUM(output_NHTS!G$11:G$23)</f>
        <v>0.15519369253713897</v>
      </c>
      <c r="H5" s="28">
        <f>output_NHTS!H11/SUM(output_NHTS!H$11:H$23)</f>
        <v>0.14914997243960834</v>
      </c>
      <c r="I5" s="28">
        <f>output_NHTS!I11/SUM(output_NHTS!I$11:I$23)</f>
        <v>0.28738235176449783</v>
      </c>
      <c r="J5" s="28">
        <f>output_NHTS!J11/SUM(output_NHTS!J$11:J$23)</f>
        <v>0.16678042575640381</v>
      </c>
      <c r="L5" s="27" t="s">
        <v>226</v>
      </c>
      <c r="M5" s="28">
        <f>output!B11/SUM(output!B$11:B$23)</f>
        <v>3.7804077757496598E-3</v>
      </c>
      <c r="N5" s="28">
        <f>output!C11/SUM(output!C$11:C$23)</f>
        <v>5.4320825775621556E-2</v>
      </c>
      <c r="O5" s="28">
        <f>output!D11/SUM(output!D$11:D$23)</f>
        <v>0.15713893920453095</v>
      </c>
      <c r="P5" s="28">
        <f>output!E11/SUM(output!E$11:E$23)</f>
        <v>0.10337710517979549</v>
      </c>
      <c r="Q5" s="28">
        <f>output!F11/SUM(output!F$11:F$23)</f>
        <v>9.3577921866345188E-3</v>
      </c>
      <c r="R5" s="28">
        <f>output!G11/SUM(output!G$11:G$23)</f>
        <v>4.8530427683225526E-2</v>
      </c>
      <c r="S5" s="28">
        <f>output!H11/SUM(output!H$11:H$23)</f>
        <v>7.4743525817163342E-2</v>
      </c>
      <c r="T5" s="28">
        <f>output!I11/SUM(output!I$11:I$23)</f>
        <v>0.13894414352859497</v>
      </c>
      <c r="U5" s="28">
        <f>output!J11/SUM(output!J$11:J$23)</f>
        <v>5.6979772258416918E-2</v>
      </c>
      <c r="W5" s="27" t="s">
        <v>226</v>
      </c>
      <c r="X5" s="12">
        <f t="shared" ref="X5:X18" si="0">M5-B5</f>
        <v>-9.4118941991555294E-2</v>
      </c>
      <c r="Y5" s="12">
        <f t="shared" ref="Y5:Y18" si="1">N5-C5</f>
        <v>-9.8614843073147634E-2</v>
      </c>
      <c r="Z5" s="12">
        <f t="shared" ref="Z5:Z18" si="2">O5-D5</f>
        <v>-9.7572034396636725E-2</v>
      </c>
      <c r="AA5" s="12">
        <f t="shared" ref="AA5:AA18" si="3">P5-E5</f>
        <v>-0.14393885526725875</v>
      </c>
      <c r="AB5" s="12">
        <f t="shared" ref="AB5:AB18" si="4">Q5-F5</f>
        <v>-0.11939987423942591</v>
      </c>
      <c r="AC5" s="12">
        <f t="shared" ref="AC5:AC18" si="5">R5-G5</f>
        <v>-0.10666326485391345</v>
      </c>
      <c r="AD5" s="12">
        <f t="shared" ref="AD5:AD18" si="6">S5-H5</f>
        <v>-7.4406446622444999E-2</v>
      </c>
      <c r="AE5" s="12">
        <f t="shared" ref="AE5:AE18" si="7">T5-I5</f>
        <v>-0.14843820823590287</v>
      </c>
      <c r="AF5" s="12">
        <f t="shared" ref="AF5:AF18" si="8">U5-J5</f>
        <v>-0.1098006534979869</v>
      </c>
    </row>
    <row r="6" spans="1:32" x14ac:dyDescent="0.2">
      <c r="A6" s="27" t="s">
        <v>231</v>
      </c>
      <c r="B6" s="28">
        <f>output_NHTS!B12/SUM(output_NHTS!B$11:B$23)</f>
        <v>0.26569393981904077</v>
      </c>
      <c r="C6" s="28">
        <f>output_NHTS!C12/SUM(output_NHTS!C$11:C$23)</f>
        <v>0.16258899901989149</v>
      </c>
      <c r="D6" s="28">
        <f>output_NHTS!D12/SUM(output_NHTS!D$11:D$23)</f>
        <v>0.17182215297691036</v>
      </c>
      <c r="E6" s="28">
        <f>output_NHTS!E12/SUM(output_NHTS!E$11:E$23)</f>
        <v>0.18372021189048915</v>
      </c>
      <c r="F6" s="28">
        <f>output_NHTS!F12/SUM(output_NHTS!F$11:F$23)</f>
        <v>0.18585726180878534</v>
      </c>
      <c r="G6" s="28">
        <f>output_NHTS!G12/SUM(output_NHTS!G$11:G$23)</f>
        <v>0.55102080768252115</v>
      </c>
      <c r="H6" s="28">
        <f>output_NHTS!H12/SUM(output_NHTS!H$11:H$23)</f>
        <v>0.39424617410121671</v>
      </c>
      <c r="I6" s="28">
        <f>output_NHTS!I12/SUM(output_NHTS!I$11:I$23)</f>
        <v>0.24216141205764721</v>
      </c>
      <c r="J6" s="28">
        <f>output_NHTS!J12/SUM(output_NHTS!J$11:J$23)</f>
        <v>0.25271715467630673</v>
      </c>
      <c r="L6" s="27" t="s">
        <v>231</v>
      </c>
      <c r="M6" s="28">
        <f>output!B12/SUM(output!B$11:B$23)</f>
        <v>6.1978718981822271E-2</v>
      </c>
      <c r="N6" s="28">
        <f>output!C12/SUM(output!C$11:C$23)</f>
        <v>9.8355878989197024E-2</v>
      </c>
      <c r="O6" s="28">
        <f>output!D12/SUM(output!D$11:D$23)</f>
        <v>9.9896037962088929E-2</v>
      </c>
      <c r="P6" s="28">
        <f>output!E12/SUM(output!E$11:E$23)</f>
        <v>7.6549023706030853E-2</v>
      </c>
      <c r="Q6" s="28">
        <f>output!F12/SUM(output!F$11:F$23)</f>
        <v>7.2607604835293729E-2</v>
      </c>
      <c r="R6" s="28">
        <f>output!G12/SUM(output!G$11:G$23)</f>
        <v>0.3039942221943101</v>
      </c>
      <c r="S6" s="28">
        <f>output!H12/SUM(output!H$11:H$23)</f>
        <v>0.25800719294709257</v>
      </c>
      <c r="T6" s="28">
        <f>output!I12/SUM(output!I$11:I$23)</f>
        <v>0.10103425665213822</v>
      </c>
      <c r="U6" s="28">
        <f>output!J12/SUM(output!J$11:J$23)</f>
        <v>0.10685389456001974</v>
      </c>
      <c r="W6" s="27" t="s">
        <v>231</v>
      </c>
      <c r="X6" s="12">
        <f t="shared" si="0"/>
        <v>-0.20371522083721849</v>
      </c>
      <c r="Y6" s="12">
        <f t="shared" si="1"/>
        <v>-6.4233120030694466E-2</v>
      </c>
      <c r="Z6" s="12">
        <f t="shared" si="2"/>
        <v>-7.1926115014821435E-2</v>
      </c>
      <c r="AA6" s="12">
        <f t="shared" si="3"/>
        <v>-0.1071711881844583</v>
      </c>
      <c r="AB6" s="12">
        <f t="shared" si="4"/>
        <v>-0.11324965697349161</v>
      </c>
      <c r="AC6" s="12">
        <f t="shared" si="5"/>
        <v>-0.24702658548821105</v>
      </c>
      <c r="AD6" s="12">
        <f t="shared" si="6"/>
        <v>-0.13623898115412414</v>
      </c>
      <c r="AE6" s="12">
        <f t="shared" si="7"/>
        <v>-0.14112715540550899</v>
      </c>
      <c r="AF6" s="12">
        <f t="shared" si="8"/>
        <v>-0.14586326011628697</v>
      </c>
    </row>
    <row r="7" spans="1:32" x14ac:dyDescent="0.2">
      <c r="A7" s="27" t="s">
        <v>232</v>
      </c>
      <c r="B7" s="28">
        <f>output_NHTS!B13/SUM(output_NHTS!B$11:B$23)</f>
        <v>0.13405327919335921</v>
      </c>
      <c r="C7" s="28">
        <f>output_NHTS!C13/SUM(output_NHTS!C$11:C$23)</f>
        <v>0.1258005144077522</v>
      </c>
      <c r="D7" s="28">
        <f>output_NHTS!D13/SUM(output_NHTS!D$11:D$23)</f>
        <v>9.4278054921742682E-2</v>
      </c>
      <c r="E7" s="28">
        <f>output_NHTS!E13/SUM(output_NHTS!E$11:E$23)</f>
        <v>0.10547800534702564</v>
      </c>
      <c r="F7" s="28">
        <f>output_NHTS!F13/SUM(output_NHTS!F$11:F$23)</f>
        <v>0.14704969369558329</v>
      </c>
      <c r="G7" s="28">
        <f>output_NHTS!G13/SUM(output_NHTS!G$11:G$23)</f>
        <v>6.0553543313084199E-2</v>
      </c>
      <c r="H7" s="28">
        <f>output_NHTS!H13/SUM(output_NHTS!H$11:H$23)</f>
        <v>7.813330983327231E-2</v>
      </c>
      <c r="I7" s="28">
        <f>output_NHTS!I13/SUM(output_NHTS!I$11:I$23)</f>
        <v>0.10647167046497223</v>
      </c>
      <c r="J7" s="28">
        <f>output_NHTS!J13/SUM(output_NHTS!J$11:J$23)</f>
        <v>0.11358623449903249</v>
      </c>
      <c r="L7" s="27" t="s">
        <v>232</v>
      </c>
      <c r="M7" s="28">
        <f>output!B13/SUM(output!B$11:B$23)</f>
        <v>0.14974226967876972</v>
      </c>
      <c r="N7" s="28">
        <f>output!C13/SUM(output!C$11:C$23)</f>
        <v>0.15885035366448857</v>
      </c>
      <c r="O7" s="28">
        <f>output!D13/SUM(output!D$11:D$23)</f>
        <v>0.18503329336428809</v>
      </c>
      <c r="P7" s="28">
        <f>output!E13/SUM(output!E$11:E$23)</f>
        <v>0.15671649102410445</v>
      </c>
      <c r="Q7" s="28">
        <f>output!F13/SUM(output!F$11:F$23)</f>
        <v>0.1295233130233619</v>
      </c>
      <c r="R7" s="28">
        <f>output!G13/SUM(output!G$11:G$23)</f>
        <v>0.24255793506248821</v>
      </c>
      <c r="S7" s="28">
        <f>output!H13/SUM(output!H$11:H$23)</f>
        <v>0.19327332138045172</v>
      </c>
      <c r="T7" s="28">
        <f>output!I13/SUM(output!I$11:I$23)</f>
        <v>0.15766766033182172</v>
      </c>
      <c r="U7" s="28">
        <f>output!J13/SUM(output!J$11:J$23)</f>
        <v>0.16286135269639482</v>
      </c>
      <c r="W7" s="27" t="s">
        <v>232</v>
      </c>
      <c r="X7" s="12">
        <f t="shared" si="0"/>
        <v>1.5688990485410503E-2</v>
      </c>
      <c r="Y7" s="12">
        <f t="shared" si="1"/>
        <v>3.304983925673638E-2</v>
      </c>
      <c r="Z7" s="12">
        <f t="shared" si="2"/>
        <v>9.0755238442545405E-2</v>
      </c>
      <c r="AA7" s="12">
        <f t="shared" si="3"/>
        <v>5.123848567707881E-2</v>
      </c>
      <c r="AB7" s="12">
        <f t="shared" si="4"/>
        <v>-1.7526380672221398E-2</v>
      </c>
      <c r="AC7" s="12">
        <f t="shared" si="5"/>
        <v>0.18200439174940403</v>
      </c>
      <c r="AD7" s="12">
        <f t="shared" si="6"/>
        <v>0.11514001154717941</v>
      </c>
      <c r="AE7" s="12">
        <f t="shared" si="7"/>
        <v>5.1195989866849492E-2</v>
      </c>
      <c r="AF7" s="12">
        <f t="shared" si="8"/>
        <v>4.9275118197362328E-2</v>
      </c>
    </row>
    <row r="8" spans="1:32" x14ac:dyDescent="0.2">
      <c r="A8" s="27" t="s">
        <v>207</v>
      </c>
      <c r="B8" s="28">
        <f>output_NHTS!B14/SUM(output_NHTS!B$11:B$23)</f>
        <v>0.10229034612189246</v>
      </c>
      <c r="C8" s="28">
        <f>output_NHTS!C14/SUM(output_NHTS!C$11:C$23)</f>
        <v>7.6508453251411687E-2</v>
      </c>
      <c r="D8" s="28">
        <f>output_NHTS!D14/SUM(output_NHTS!D$11:D$23)</f>
        <v>8.2507222428783542E-2</v>
      </c>
      <c r="E8" s="28">
        <f>output_NHTS!E14/SUM(output_NHTS!E$11:E$23)</f>
        <v>4.6759181221123103E-2</v>
      </c>
      <c r="F8" s="28">
        <f>output_NHTS!F14/SUM(output_NHTS!F$11:F$23)</f>
        <v>9.7454727553011294E-2</v>
      </c>
      <c r="G8" s="28">
        <f>output_NHTS!G14/SUM(output_NHTS!G$11:G$23)</f>
        <v>2.2768710439852614E-2</v>
      </c>
      <c r="H8" s="28">
        <f>output_NHTS!H14/SUM(output_NHTS!H$11:H$23)</f>
        <v>7.7550728574618283E-2</v>
      </c>
      <c r="I8" s="28">
        <f>output_NHTS!I14/SUM(output_NHTS!I$11:I$23)</f>
        <v>4.8586857941862731E-2</v>
      </c>
      <c r="J8" s="28">
        <f>output_NHTS!J14/SUM(output_NHTS!J$11:J$23)</f>
        <v>7.9609279079166512E-2</v>
      </c>
      <c r="L8" s="27" t="s">
        <v>207</v>
      </c>
      <c r="M8" s="28">
        <f>output!B14/SUM(output!B$11:B$23)</f>
        <v>0.16738084454218943</v>
      </c>
      <c r="N8" s="28">
        <f>output!C14/SUM(output!C$11:C$23)</f>
        <v>0.12130582690472548</v>
      </c>
      <c r="O8" s="28">
        <f>output!D14/SUM(output!D$11:D$23)</f>
        <v>0.13709595122075668</v>
      </c>
      <c r="P8" s="28">
        <f>output!E14/SUM(output!E$11:E$23)</f>
        <v>0.12647897351155582</v>
      </c>
      <c r="Q8" s="28">
        <f>output!F14/SUM(output!F$11:F$23)</f>
        <v>0.12669512234857125</v>
      </c>
      <c r="R8" s="28">
        <f>output!G14/SUM(output!G$11:G$23)</f>
        <v>9.5019782704264269E-2</v>
      </c>
      <c r="S8" s="28">
        <f>output!H14/SUM(output!H$11:H$23)</f>
        <v>7.4136156759566724E-2</v>
      </c>
      <c r="T8" s="28">
        <f>output!I14/SUM(output!I$11:I$23)</f>
        <v>0.10969622499077049</v>
      </c>
      <c r="U8" s="28">
        <f>output!J14/SUM(output!J$11:J$23)</f>
        <v>0.13449575681395573</v>
      </c>
      <c r="W8" s="27" t="s">
        <v>207</v>
      </c>
      <c r="X8" s="12">
        <f t="shared" si="0"/>
        <v>6.5090498420296974E-2</v>
      </c>
      <c r="Y8" s="12">
        <f t="shared" si="1"/>
        <v>4.4797373653313793E-2</v>
      </c>
      <c r="Z8" s="12">
        <f t="shared" si="2"/>
        <v>5.4588728791973143E-2</v>
      </c>
      <c r="AA8" s="12">
        <f t="shared" si="3"/>
        <v>7.9719792290432717E-2</v>
      </c>
      <c r="AB8" s="12">
        <f t="shared" si="4"/>
        <v>2.9240394795559954E-2</v>
      </c>
      <c r="AC8" s="12">
        <f t="shared" si="5"/>
        <v>7.2251072264411659E-2</v>
      </c>
      <c r="AD8" s="12">
        <f t="shared" si="6"/>
        <v>-3.4145718150515592E-3</v>
      </c>
      <c r="AE8" s="12">
        <f t="shared" si="7"/>
        <v>6.1109367048907758E-2</v>
      </c>
      <c r="AF8" s="12">
        <f t="shared" si="8"/>
        <v>5.4886477734789219E-2</v>
      </c>
    </row>
    <row r="9" spans="1:32" x14ac:dyDescent="0.2">
      <c r="A9" s="27" t="s">
        <v>9</v>
      </c>
      <c r="B9" s="28">
        <f>output_NHTS!B15/SUM(output_NHTS!B$11:B$23)</f>
        <v>8.4897089542261564E-2</v>
      </c>
      <c r="C9" s="28">
        <f>output_NHTS!C15/SUM(output_NHTS!C$11:C$23)</f>
        <v>7.548565767587255E-2</v>
      </c>
      <c r="D9" s="28">
        <f>output_NHTS!D15/SUM(output_NHTS!D$11:D$23)</f>
        <v>9.5081090939692192E-2</v>
      </c>
      <c r="E9" s="28">
        <f>output_NHTS!E15/SUM(output_NHTS!E$11:E$23)</f>
        <v>5.2051990688331447E-2</v>
      </c>
      <c r="F9" s="28">
        <f>output_NHTS!F15/SUM(output_NHTS!F$11:F$23)</f>
        <v>0.11387673701251516</v>
      </c>
      <c r="G9" s="28">
        <f>output_NHTS!G15/SUM(output_NHTS!G$11:G$23)</f>
        <v>2.1705950306899806E-2</v>
      </c>
      <c r="H9" s="28">
        <f>output_NHTS!H15/SUM(output_NHTS!H$11:H$23)</f>
        <v>3.1152989895674648E-2</v>
      </c>
      <c r="I9" s="28">
        <f>output_NHTS!I15/SUM(output_NHTS!I$11:I$23)</f>
        <v>4.1762910435475288E-2</v>
      </c>
      <c r="J9" s="28">
        <f>output_NHTS!J15/SUM(output_NHTS!J$11:J$23)</f>
        <v>6.8713345170499304E-2</v>
      </c>
      <c r="L9" s="27" t="s">
        <v>9</v>
      </c>
      <c r="M9" s="28">
        <f>output!B15/SUM(output!B$11:B$23)</f>
        <v>0.14587654177554815</v>
      </c>
      <c r="N9" s="28">
        <f>output!C15/SUM(output!C$11:C$23)</f>
        <v>5.9518346117703624E-2</v>
      </c>
      <c r="O9" s="28">
        <f>output!D15/SUM(output!D$11:D$23)</f>
        <v>4.9653034671020745E-2</v>
      </c>
      <c r="P9" s="28">
        <f>output!E15/SUM(output!E$11:E$23)</f>
        <v>5.6722695936435572E-2</v>
      </c>
      <c r="Q9" s="28">
        <f>output!F15/SUM(output!F$11:F$23)</f>
        <v>9.033918738392363E-2</v>
      </c>
      <c r="R9" s="28">
        <f>output!G15/SUM(output!G$11:G$23)</f>
        <v>2.7036362494504803E-2</v>
      </c>
      <c r="S9" s="28">
        <f>output!H15/SUM(output!H$11:H$23)</f>
        <v>2.2371868999246758E-2</v>
      </c>
      <c r="T9" s="28">
        <f>output!I15/SUM(output!I$11:I$23)</f>
        <v>4.4505545974003073E-2</v>
      </c>
      <c r="U9" s="28">
        <f>output!J15/SUM(output!J$11:J$23)</f>
        <v>8.7343753269609178E-2</v>
      </c>
      <c r="W9" s="27" t="s">
        <v>9</v>
      </c>
      <c r="X9" s="12">
        <f t="shared" si="0"/>
        <v>6.0979452233286588E-2</v>
      </c>
      <c r="Y9" s="12">
        <f t="shared" si="1"/>
        <v>-1.5967311558168926E-2</v>
      </c>
      <c r="Z9" s="12">
        <f t="shared" si="2"/>
        <v>-4.5428056268671448E-2</v>
      </c>
      <c r="AA9" s="12">
        <f t="shared" si="3"/>
        <v>4.6707052481041247E-3</v>
      </c>
      <c r="AB9" s="12">
        <f t="shared" si="4"/>
        <v>-2.3537549628591531E-2</v>
      </c>
      <c r="AC9" s="12">
        <f t="shared" si="5"/>
        <v>5.3304121876049972E-3</v>
      </c>
      <c r="AD9" s="12">
        <f t="shared" si="6"/>
        <v>-8.7811208964278901E-3</v>
      </c>
      <c r="AE9" s="12">
        <f t="shared" si="7"/>
        <v>2.7426355385277851E-3</v>
      </c>
      <c r="AF9" s="12">
        <f t="shared" si="8"/>
        <v>1.8630408099109874E-2</v>
      </c>
    </row>
    <row r="10" spans="1:32" x14ac:dyDescent="0.2">
      <c r="A10" s="27" t="s">
        <v>233</v>
      </c>
      <c r="B10" s="28">
        <f>output_NHTS!B16/SUM(output_NHTS!B$11:B$23)</f>
        <v>8.7877008921438418E-2</v>
      </c>
      <c r="C10" s="28">
        <f>output_NHTS!C16/SUM(output_NHTS!C$11:C$23)</f>
        <v>9.795675502502782E-2</v>
      </c>
      <c r="D10" s="28">
        <f>output_NHTS!D16/SUM(output_NHTS!D$11:D$23)</f>
        <v>8.5081934219139815E-2</v>
      </c>
      <c r="E10" s="28">
        <f>output_NHTS!E16/SUM(output_NHTS!E$11:E$23)</f>
        <v>6.9328221401735779E-2</v>
      </c>
      <c r="F10" s="28">
        <f>output_NHTS!F16/SUM(output_NHTS!F$11:F$23)</f>
        <v>6.8291738984549544E-2</v>
      </c>
      <c r="G10" s="28">
        <f>output_NHTS!G16/SUM(output_NHTS!G$11:G$23)</f>
        <v>7.8572468599758402E-2</v>
      </c>
      <c r="H10" s="28">
        <f>output_NHTS!H16/SUM(output_NHTS!H$11:H$23)</f>
        <v>0.12297915294081606</v>
      </c>
      <c r="I10" s="28">
        <f>output_NHTS!I16/SUM(output_NHTS!I$11:I$23)</f>
        <v>6.541766012667688E-2</v>
      </c>
      <c r="J10" s="28">
        <f>output_NHTS!J16/SUM(output_NHTS!J$11:J$23)</f>
        <v>8.7899712811058434E-2</v>
      </c>
      <c r="L10" s="27" t="s">
        <v>233</v>
      </c>
      <c r="M10" s="28">
        <f>output!B16/SUM(output!B$11:B$23)</f>
        <v>3.8575589548465919E-2</v>
      </c>
      <c r="N10" s="28">
        <f>output!C16/SUM(output!C$11:C$23)</f>
        <v>6.3397364452894511E-2</v>
      </c>
      <c r="O10" s="28">
        <f>output!D16/SUM(output!D$11:D$23)</f>
        <v>4.2238564175829781E-2</v>
      </c>
      <c r="P10" s="28">
        <f>output!E16/SUM(output!E$11:E$23)</f>
        <v>4.2255452974928887E-2</v>
      </c>
      <c r="Q10" s="28">
        <f>output!F16/SUM(output!F$11:F$23)</f>
        <v>6.2128962888143104E-2</v>
      </c>
      <c r="R10" s="28">
        <f>output!G16/SUM(output!G$11:G$23)</f>
        <v>8.7499214972052999E-2</v>
      </c>
      <c r="S10" s="28">
        <f>output!H16/SUM(output!H$11:H$23)</f>
        <v>0.12436743440944631</v>
      </c>
      <c r="T10" s="28">
        <f>output!I16/SUM(output!I$11:I$23)</f>
        <v>5.1238959020955134E-2</v>
      </c>
      <c r="U10" s="28">
        <f>output!J16/SUM(output!J$11:J$23)</f>
        <v>5.6782783942782473E-2</v>
      </c>
      <c r="W10" s="27" t="s">
        <v>233</v>
      </c>
      <c r="X10" s="12">
        <f t="shared" si="0"/>
        <v>-4.9301419372972499E-2</v>
      </c>
      <c r="Y10" s="12">
        <f t="shared" si="1"/>
        <v>-3.4559390572133308E-2</v>
      </c>
      <c r="Z10" s="12">
        <f t="shared" si="2"/>
        <v>-4.2843370043310035E-2</v>
      </c>
      <c r="AA10" s="12">
        <f t="shared" si="3"/>
        <v>-2.7072768426806892E-2</v>
      </c>
      <c r="AB10" s="12">
        <f t="shared" si="4"/>
        <v>-6.1627760964064401E-3</v>
      </c>
      <c r="AC10" s="12">
        <f t="shared" si="5"/>
        <v>8.9267463722945972E-3</v>
      </c>
      <c r="AD10" s="12">
        <f t="shared" si="6"/>
        <v>1.3882814686302508E-3</v>
      </c>
      <c r="AE10" s="12">
        <f t="shared" si="7"/>
        <v>-1.4178701105721746E-2</v>
      </c>
      <c r="AF10" s="12">
        <f t="shared" si="8"/>
        <v>-3.111692886827596E-2</v>
      </c>
    </row>
    <row r="11" spans="1:32" x14ac:dyDescent="0.2">
      <c r="A11" s="27" t="s">
        <v>234</v>
      </c>
      <c r="B11" s="28">
        <f>output_NHTS!B17/SUM(output_NHTS!B$11:B$23)</f>
        <v>6.1196743890633155E-2</v>
      </c>
      <c r="C11" s="28">
        <f>output_NHTS!C17/SUM(output_NHTS!C$11:C$23)</f>
        <v>6.4021734002026293E-2</v>
      </c>
      <c r="D11" s="28">
        <f>output_NHTS!D17/SUM(output_NHTS!D$11:D$23)</f>
        <v>4.8841781498424185E-2</v>
      </c>
      <c r="E11" s="28">
        <f>output_NHTS!E17/SUM(output_NHTS!E$11:E$23)</f>
        <v>5.7338386082115569E-2</v>
      </c>
      <c r="F11" s="28">
        <f>output_NHTS!F17/SUM(output_NHTS!F$11:F$23)</f>
        <v>6.247136908638834E-2</v>
      </c>
      <c r="G11" s="28">
        <f>output_NHTS!G17/SUM(output_NHTS!G$11:G$23)</f>
        <v>5.2081748351104573E-2</v>
      </c>
      <c r="H11" s="28">
        <f>output_NHTS!H17/SUM(output_NHTS!H$11:H$23)</f>
        <v>6.0655165405664208E-2</v>
      </c>
      <c r="I11" s="28">
        <f>output_NHTS!I17/SUM(output_NHTS!I$11:I$23)</f>
        <v>6.4223592126948725E-2</v>
      </c>
      <c r="J11" s="28">
        <f>output_NHTS!J17/SUM(output_NHTS!J$11:J$23)</f>
        <v>5.9540102348748646E-2</v>
      </c>
      <c r="L11" s="27" t="s">
        <v>234</v>
      </c>
      <c r="M11" s="28">
        <f>output!B17/SUM(output!B$11:B$23)</f>
        <v>0.10757415816717844</v>
      </c>
      <c r="N11" s="28">
        <f>output!C17/SUM(output!C$11:C$23)</f>
        <v>0.12471863458554601</v>
      </c>
      <c r="O11" s="28">
        <f>output!D17/SUM(output!D$11:D$23)</f>
        <v>9.6786743883460466E-2</v>
      </c>
      <c r="P11" s="28">
        <f>output!E17/SUM(output!E$11:E$23)</f>
        <v>0.10226348670352603</v>
      </c>
      <c r="Q11" s="28">
        <f>output!F17/SUM(output!F$11:F$23)</f>
        <v>0.13397412922355087</v>
      </c>
      <c r="R11" s="28">
        <f>output!G17/SUM(output!G$11:G$23)</f>
        <v>9.3873641901651705E-2</v>
      </c>
      <c r="S11" s="28">
        <f>output!H17/SUM(output!H$11:H$23)</f>
        <v>0.10478840216849319</v>
      </c>
      <c r="T11" s="28">
        <f>output!I17/SUM(output!I$11:I$23)</f>
        <v>0.10031793611522842</v>
      </c>
      <c r="U11" s="28">
        <f>output!J17/SUM(output!J$11:J$23)</f>
        <v>0.10775802041895735</v>
      </c>
      <c r="W11" s="27" t="s">
        <v>234</v>
      </c>
      <c r="X11" s="12">
        <f t="shared" si="0"/>
        <v>4.6377414276545285E-2</v>
      </c>
      <c r="Y11" s="12">
        <f t="shared" si="1"/>
        <v>6.0696900583519717E-2</v>
      </c>
      <c r="Z11" s="12">
        <f t="shared" si="2"/>
        <v>4.7944962385036281E-2</v>
      </c>
      <c r="AA11" s="12">
        <f t="shared" si="3"/>
        <v>4.492510062141046E-2</v>
      </c>
      <c r="AB11" s="12">
        <f t="shared" si="4"/>
        <v>7.150276013716253E-2</v>
      </c>
      <c r="AC11" s="12">
        <f t="shared" si="5"/>
        <v>4.1791893550547132E-2</v>
      </c>
      <c r="AD11" s="12">
        <f t="shared" si="6"/>
        <v>4.4133236762828987E-2</v>
      </c>
      <c r="AE11" s="12">
        <f t="shared" si="7"/>
        <v>3.6094343988279695E-2</v>
      </c>
      <c r="AF11" s="12">
        <f t="shared" si="8"/>
        <v>4.8217918070208705E-2</v>
      </c>
    </row>
    <row r="12" spans="1:32" x14ac:dyDescent="0.2">
      <c r="A12" s="27" t="s">
        <v>208</v>
      </c>
      <c r="B12" s="28">
        <f>output_NHTS!B18/SUM(output_NHTS!B$11:B$23)</f>
        <v>4.5039062063553993E-2</v>
      </c>
      <c r="C12" s="28">
        <f>output_NHTS!C18/SUM(output_NHTS!C$11:C$23)</f>
        <v>4.255417774724992E-2</v>
      </c>
      <c r="D12" s="28">
        <f>output_NHTS!D18/SUM(output_NHTS!D$11:D$23)</f>
        <v>4.1540926153650251E-2</v>
      </c>
      <c r="E12" s="28">
        <f>output_NHTS!E18/SUM(output_NHTS!E$11:E$23)</f>
        <v>3.8389194739513417E-2</v>
      </c>
      <c r="F12" s="28">
        <f>output_NHTS!F18/SUM(output_NHTS!F$11:F$23)</f>
        <v>3.6005075175329214E-2</v>
      </c>
      <c r="G12" s="28">
        <f>output_NHTS!G18/SUM(output_NHTS!G$11:G$23)</f>
        <v>1.0170288004412432E-2</v>
      </c>
      <c r="H12" s="28">
        <f>output_NHTS!H18/SUM(output_NHTS!H$11:H$23)</f>
        <v>3.1054424854307403E-2</v>
      </c>
      <c r="I12" s="28">
        <f>output_NHTS!I18/SUM(output_NHTS!I$11:I$23)</f>
        <v>3.1300433355589061E-2</v>
      </c>
      <c r="J12" s="28">
        <f>output_NHTS!J18/SUM(output_NHTS!J$11:J$23)</f>
        <v>3.9388550175877134E-2</v>
      </c>
      <c r="L12" s="27" t="s">
        <v>208</v>
      </c>
      <c r="M12" s="28">
        <f>output!B18/SUM(output!B$11:B$23)</f>
        <v>0.13139844227231098</v>
      </c>
      <c r="N12" s="28">
        <f>output!C18/SUM(output!C$11:C$23)</f>
        <v>0.10623775286464593</v>
      </c>
      <c r="O12" s="28">
        <f>output!D18/SUM(output!D$11:D$23)</f>
        <v>8.3351404444217667E-2</v>
      </c>
      <c r="P12" s="28">
        <f>output!E18/SUM(output!E$11:E$23)</f>
        <v>9.4696759402891489E-2</v>
      </c>
      <c r="Q12" s="28">
        <f>output!F18/SUM(output!F$11:F$23)</f>
        <v>0.15474894920334953</v>
      </c>
      <c r="R12" s="28">
        <f>output!G18/SUM(output!G$11:G$23)</f>
        <v>4.2108899076807135E-2</v>
      </c>
      <c r="S12" s="28">
        <f>output!H18/SUM(output!H$11:H$23)</f>
        <v>4.5520852120221944E-2</v>
      </c>
      <c r="T12" s="28">
        <f>output!I18/SUM(output!I$11:I$23)</f>
        <v>7.6877724084349494E-2</v>
      </c>
      <c r="U12" s="28">
        <f>output!J18/SUM(output!J$11:J$23)</f>
        <v>0.10340515589857338</v>
      </c>
      <c r="W12" s="27" t="s">
        <v>208</v>
      </c>
      <c r="X12" s="12">
        <f t="shared" si="0"/>
        <v>8.6359380208756997E-2</v>
      </c>
      <c r="Y12" s="12">
        <f t="shared" si="1"/>
        <v>6.3683575117396002E-2</v>
      </c>
      <c r="Z12" s="12">
        <f t="shared" si="2"/>
        <v>4.1810478290567415E-2</v>
      </c>
      <c r="AA12" s="12">
        <f t="shared" si="3"/>
        <v>5.6307564663378072E-2</v>
      </c>
      <c r="AB12" s="12">
        <f t="shared" si="4"/>
        <v>0.11874387402802031</v>
      </c>
      <c r="AC12" s="12">
        <f t="shared" si="5"/>
        <v>3.1938611072394707E-2</v>
      </c>
      <c r="AD12" s="12">
        <f t="shared" si="6"/>
        <v>1.4466427265914541E-2</v>
      </c>
      <c r="AE12" s="12">
        <f t="shared" si="7"/>
        <v>4.5577290728760433E-2</v>
      </c>
      <c r="AF12" s="12">
        <f t="shared" si="8"/>
        <v>6.401660572269624E-2</v>
      </c>
    </row>
    <row r="13" spans="1:32" x14ac:dyDescent="0.2">
      <c r="A13" s="27" t="s">
        <v>10</v>
      </c>
      <c r="B13" s="28">
        <f>output_NHTS!B19/SUM(output_NHTS!B$11:B$23)</f>
        <v>5.2742652984047803E-2</v>
      </c>
      <c r="C13" s="28">
        <f>output_NHTS!C19/SUM(output_NHTS!C$11:C$23)</f>
        <v>5.9867380909031445E-2</v>
      </c>
      <c r="D13" s="28">
        <f>output_NHTS!D19/SUM(output_NHTS!D$11:D$23)</f>
        <v>4.8955313946430247E-2</v>
      </c>
      <c r="E13" s="28">
        <f>output_NHTS!E19/SUM(output_NHTS!E$11:E$23)</f>
        <v>5.8519779729553939E-2</v>
      </c>
      <c r="F13" s="28">
        <f>output_NHTS!F19/SUM(output_NHTS!F$11:F$23)</f>
        <v>5.4094231257888051E-2</v>
      </c>
      <c r="G13" s="28">
        <f>output_NHTS!G19/SUM(output_NHTS!G$11:G$23)</f>
        <v>1.5161102177860262E-2</v>
      </c>
      <c r="H13" s="28">
        <f>output_NHTS!H19/SUM(output_NHTS!H$11:H$23)</f>
        <v>1.4245642708836277E-2</v>
      </c>
      <c r="I13" s="28">
        <f>output_NHTS!I19/SUM(output_NHTS!I$11:I$23)</f>
        <v>5.6835420152165181E-2</v>
      </c>
      <c r="J13" s="28">
        <f>output_NHTS!J19/SUM(output_NHTS!J$11:J$23)</f>
        <v>4.8157765308470754E-2</v>
      </c>
      <c r="L13" s="27" t="s">
        <v>10</v>
      </c>
      <c r="M13" s="28">
        <f>output!B19/SUM(output!B$11:B$23)</f>
        <v>8.2849474418938168E-2</v>
      </c>
      <c r="N13" s="28">
        <f>output!C19/SUM(output!C$11:C$23)</f>
        <v>4.5648579150185394E-2</v>
      </c>
      <c r="O13" s="28">
        <f>output!D19/SUM(output!D$11:D$23)</f>
        <v>2.9705717274281195E-2</v>
      </c>
      <c r="P13" s="28">
        <f>output!E19/SUM(output!E$11:E$23)</f>
        <v>4.1481471805204943E-2</v>
      </c>
      <c r="Q13" s="28">
        <f>output!F19/SUM(output!F$11:F$23)</f>
        <v>9.3343325404841804E-2</v>
      </c>
      <c r="R13" s="28">
        <f>output!G19/SUM(output!G$11:G$23)</f>
        <v>1.2026628147962067E-2</v>
      </c>
      <c r="S13" s="28">
        <f>output!H19/SUM(output!H$11:H$23)</f>
        <v>1.2298560349674833E-2</v>
      </c>
      <c r="T13" s="28">
        <f>output!I19/SUM(output!I$11:I$23)</f>
        <v>2.9060573166632686E-2</v>
      </c>
      <c r="U13" s="28">
        <f>output!J19/SUM(output!J$11:J$23)</f>
        <v>5.4416759448403851E-2</v>
      </c>
      <c r="W13" s="27" t="s">
        <v>10</v>
      </c>
      <c r="X13" s="12">
        <f t="shared" si="0"/>
        <v>3.0106821434890366E-2</v>
      </c>
      <c r="Y13" s="12">
        <f t="shared" si="1"/>
        <v>-1.4218801758846052E-2</v>
      </c>
      <c r="Z13" s="12">
        <f t="shared" si="2"/>
        <v>-1.9249596672149052E-2</v>
      </c>
      <c r="AA13" s="12">
        <f t="shared" si="3"/>
        <v>-1.7038307924348996E-2</v>
      </c>
      <c r="AB13" s="12">
        <f t="shared" si="4"/>
        <v>3.9249094146953753E-2</v>
      </c>
      <c r="AC13" s="12">
        <f t="shared" si="5"/>
        <v>-3.134474029898195E-3</v>
      </c>
      <c r="AD13" s="12">
        <f t="shared" si="6"/>
        <v>-1.9470823591614447E-3</v>
      </c>
      <c r="AE13" s="12">
        <f t="shared" si="7"/>
        <v>-2.7774846985532495E-2</v>
      </c>
      <c r="AF13" s="12">
        <f t="shared" si="8"/>
        <v>6.2589941399330967E-3</v>
      </c>
    </row>
    <row r="14" spans="1:32" x14ac:dyDescent="0.2">
      <c r="A14" s="27" t="s">
        <v>227</v>
      </c>
      <c r="B14" s="28">
        <f>output_NHTS!B20/SUM(output_NHTS!B$11:B$23)</f>
        <v>2.1233217929153333E-2</v>
      </c>
      <c r="C14" s="28">
        <f>output_NHTS!C20/SUM(output_NHTS!C$11:C$23)</f>
        <v>4.1505385952051693E-2</v>
      </c>
      <c r="D14" s="28">
        <f>output_NHTS!D20/SUM(output_NHTS!D$11:D$23)</f>
        <v>2.9578209489149455E-2</v>
      </c>
      <c r="E14" s="28">
        <f>output_NHTS!E20/SUM(output_NHTS!E$11:E$23)</f>
        <v>5.1102674290030223E-2</v>
      </c>
      <c r="F14" s="28">
        <f>output_NHTS!F20/SUM(output_NHTS!F$11:F$23)</f>
        <v>2.8033304239662476E-2</v>
      </c>
      <c r="G14" s="28">
        <f>output_NHTS!G20/SUM(output_NHTS!G$11:G$23)</f>
        <v>1.8105707707678238E-2</v>
      </c>
      <c r="H14" s="28">
        <f>output_NHTS!H20/SUM(output_NHTS!H$11:H$23)</f>
        <v>1.4792738700337897E-2</v>
      </c>
      <c r="I14" s="28">
        <f>output_NHTS!I20/SUM(output_NHTS!I$11:I$23)</f>
        <v>1.0949002105839474E-2</v>
      </c>
      <c r="J14" s="28">
        <f>output_NHTS!J20/SUM(output_NHTS!J$11:J$23)</f>
        <v>2.732337817680652E-2</v>
      </c>
      <c r="L14" s="27" t="s">
        <v>227</v>
      </c>
      <c r="M14" s="28">
        <f>output!B20/SUM(output!B$11:B$23)</f>
        <v>1.4095066590544171E-2</v>
      </c>
      <c r="N14" s="28">
        <f>output!C20/SUM(output!C$11:C$23)</f>
        <v>2.9841124150440351E-2</v>
      </c>
      <c r="O14" s="28">
        <f>output!D20/SUM(output!D$11:D$23)</f>
        <v>2.4545883613541854E-2</v>
      </c>
      <c r="P14" s="28">
        <f>output!E20/SUM(output!E$11:E$23)</f>
        <v>3.7961000493127242E-2</v>
      </c>
      <c r="Q14" s="28">
        <f>output!F20/SUM(output!F$11:F$23)</f>
        <v>2.1289628881431037E-2</v>
      </c>
      <c r="R14" s="28">
        <f>output!G20/SUM(output!G$11:G$23)</f>
        <v>1.7003705331909817E-2</v>
      </c>
      <c r="S14" s="28">
        <f>output!H20/SUM(output!H$11:H$23)</f>
        <v>3.6832026649975071E-2</v>
      </c>
      <c r="T14" s="28">
        <f>output!I20/SUM(output!I$11:I$23)</f>
        <v>4.5855534678179224E-2</v>
      </c>
      <c r="U14" s="28">
        <f>output!J20/SUM(output!J$11:J$23)</f>
        <v>2.5111320045401116E-2</v>
      </c>
      <c r="W14" s="27" t="s">
        <v>227</v>
      </c>
      <c r="X14" s="12">
        <f t="shared" si="0"/>
        <v>-7.1381513386091621E-3</v>
      </c>
      <c r="Y14" s="12">
        <f t="shared" si="1"/>
        <v>-1.1664261801611342E-2</v>
      </c>
      <c r="Z14" s="12">
        <f t="shared" si="2"/>
        <v>-5.032325875607601E-3</v>
      </c>
      <c r="AA14" s="12">
        <f t="shared" si="3"/>
        <v>-1.3141673796902981E-2</v>
      </c>
      <c r="AB14" s="12">
        <f t="shared" si="4"/>
        <v>-6.7436753582314386E-3</v>
      </c>
      <c r="AC14" s="12">
        <f t="shared" si="5"/>
        <v>-1.1020023757684211E-3</v>
      </c>
      <c r="AD14" s="12">
        <f t="shared" si="6"/>
        <v>2.2039287949637172E-2</v>
      </c>
      <c r="AE14" s="12">
        <f t="shared" si="7"/>
        <v>3.4906532572339749E-2</v>
      </c>
      <c r="AF14" s="12">
        <f t="shared" si="8"/>
        <v>-2.2120581314054033E-3</v>
      </c>
    </row>
    <row r="15" spans="1:32" x14ac:dyDescent="0.2">
      <c r="A15" s="27" t="s">
        <v>230</v>
      </c>
      <c r="B15" s="28">
        <f>output_NHTS!B21/SUM(output_NHTS!B$11:B$23)</f>
        <v>1.9234763040359051E-2</v>
      </c>
      <c r="C15" s="28">
        <f>output_NHTS!C21/SUM(output_NHTS!C$11:C$23)</f>
        <v>4.0759213624291982E-2</v>
      </c>
      <c r="D15" s="28">
        <f>output_NHTS!D21/SUM(output_NHTS!D$11:D$23)</f>
        <v>1.7121938587129348E-2</v>
      </c>
      <c r="E15" s="28">
        <f>output_NHTS!E21/SUM(output_NHTS!E$11:E$23)</f>
        <v>3.167489697127622E-2</v>
      </c>
      <c r="F15" s="28">
        <f>output_NHTS!F21/SUM(output_NHTS!F$11:F$23)</f>
        <v>1.5399501455600959E-2</v>
      </c>
      <c r="G15" s="28">
        <f>output_NHTS!G21/SUM(output_NHTS!G$11:G$23)</f>
        <v>8.8615930361498705E-3</v>
      </c>
      <c r="H15" s="28">
        <f>output_NHTS!H21/SUM(output_NHTS!H$11:H$23)</f>
        <v>1.630204940539445E-2</v>
      </c>
      <c r="I15" s="28">
        <f>output_NHTS!I21/SUM(output_NHTS!I$11:I$23)</f>
        <v>1.2229313894606512E-2</v>
      </c>
      <c r="J15" s="28">
        <f>output_NHTS!J21/SUM(output_NHTS!J$11:J$23)</f>
        <v>2.1762174264086869E-2</v>
      </c>
      <c r="L15" s="27" t="s">
        <v>230</v>
      </c>
      <c r="M15" s="28">
        <f>output!B21/SUM(output!B$11:B$23)</f>
        <v>4.0828403978096325E-2</v>
      </c>
      <c r="N15" s="28">
        <f>output!C21/SUM(output!C$11:C$23)</f>
        <v>6.6223766545014828E-2</v>
      </c>
      <c r="O15" s="28">
        <f>output!D21/SUM(output!D$11:D$23)</f>
        <v>4.5657193152537183E-2</v>
      </c>
      <c r="P15" s="28">
        <f>output!E21/SUM(output!E$11:E$23)</f>
        <v>7.2757495697383157E-2</v>
      </c>
      <c r="Q15" s="28">
        <f>output!F21/SUM(output!F$11:F$23)</f>
        <v>4.4918705809520704E-2</v>
      </c>
      <c r="R15" s="28">
        <f>output!G21/SUM(output!G$11:G$23)</f>
        <v>2.0175218237769264E-2</v>
      </c>
      <c r="S15" s="28">
        <f>output!H21/SUM(output!H$11:H$23)</f>
        <v>3.5749901866134796E-2</v>
      </c>
      <c r="T15" s="28">
        <f>output!I21/SUM(output!I$11:I$23)</f>
        <v>7.2673473548486633E-2</v>
      </c>
      <c r="U15" s="28">
        <f>output!J21/SUM(output!J$11:J$23)</f>
        <v>4.8563753139726773E-2</v>
      </c>
      <c r="W15" s="27" t="s">
        <v>230</v>
      </c>
      <c r="X15" s="12">
        <f t="shared" si="0"/>
        <v>2.1593640937737274E-2</v>
      </c>
      <c r="Y15" s="12">
        <f t="shared" si="1"/>
        <v>2.5464552920722847E-2</v>
      </c>
      <c r="Z15" s="12">
        <f t="shared" si="2"/>
        <v>2.8535254565407835E-2</v>
      </c>
      <c r="AA15" s="12">
        <f t="shared" si="3"/>
        <v>4.1082598726106936E-2</v>
      </c>
      <c r="AB15" s="12">
        <f t="shared" si="4"/>
        <v>2.9519204353919744E-2</v>
      </c>
      <c r="AC15" s="12">
        <f t="shared" si="5"/>
        <v>1.1313625201619394E-2</v>
      </c>
      <c r="AD15" s="12">
        <f t="shared" si="6"/>
        <v>1.9447852460740347E-2</v>
      </c>
      <c r="AE15" s="12">
        <f t="shared" si="7"/>
        <v>6.0444159653880121E-2</v>
      </c>
      <c r="AF15" s="12">
        <f t="shared" si="8"/>
        <v>2.6801578875639904E-2</v>
      </c>
    </row>
    <row r="16" spans="1:32" x14ac:dyDescent="0.2">
      <c r="A16" s="27" t="s">
        <v>11</v>
      </c>
      <c r="B16" s="28">
        <f>output_NHTS!B22/SUM(output_NHTS!B$11:B$23)</f>
        <v>9.0718467945607034E-3</v>
      </c>
      <c r="C16" s="28">
        <f>output_NHTS!C22/SUM(output_NHTS!C$11:C$23)</f>
        <v>1.5103495332691126E-2</v>
      </c>
      <c r="D16" s="28">
        <f>output_NHTS!D22/SUM(output_NHTS!D$11:D$23)</f>
        <v>1.0885530433064566E-2</v>
      </c>
      <c r="E16" s="28">
        <f>output_NHTS!E22/SUM(output_NHTS!E$11:E$23)</f>
        <v>1.9031019858411543E-2</v>
      </c>
      <c r="F16" s="28">
        <f>output_NHTS!F22/SUM(output_NHTS!F$11:F$23)</f>
        <v>2.6964229857871745E-2</v>
      </c>
      <c r="G16" s="28">
        <f>output_NHTS!G22/SUM(output_NHTS!G$11:G$23)</f>
        <v>5.8043878435395761E-3</v>
      </c>
      <c r="H16" s="28">
        <f>output_NHTS!H22/SUM(output_NHTS!H$11:H$23)</f>
        <v>2.9337580465290825E-3</v>
      </c>
      <c r="I16" s="28">
        <f>output_NHTS!I22/SUM(output_NHTS!I$11:I$23)</f>
        <v>1.4087800703462772E-2</v>
      </c>
      <c r="J16" s="28">
        <f>output_NHTS!J22/SUM(output_NHTS!J$11:J$23)</f>
        <v>1.144980009551547E-2</v>
      </c>
      <c r="L16" s="27" t="s">
        <v>11</v>
      </c>
      <c r="M16" s="28">
        <f>output!B22/SUM(output!B$11:B$23)</f>
        <v>4.5767894762161067E-2</v>
      </c>
      <c r="N16" s="28">
        <f>output!C22/SUM(output!C$11:C$23)</f>
        <v>5.8483941228319382E-2</v>
      </c>
      <c r="O16" s="28">
        <f>output!D22/SUM(output!D$11:D$23)</f>
        <v>3.9763884991198303E-2</v>
      </c>
      <c r="P16" s="28">
        <f>output!E22/SUM(output!E$11:E$23)</f>
        <v>6.9465626418557261E-2</v>
      </c>
      <c r="Q16" s="28">
        <f>output!F22/SUM(output!F$11:F$23)</f>
        <v>4.7961943240689454E-2</v>
      </c>
      <c r="R16" s="28">
        <f>output!G22/SUM(output!G$11:G$23)</f>
        <v>8.8551152421026194E-3</v>
      </c>
      <c r="S16" s="28">
        <f>output!H22/SUM(output!H$11:H$23)</f>
        <v>1.5810161363901589E-2</v>
      </c>
      <c r="T16" s="28">
        <f>output!I22/SUM(output!I$11:I$23)</f>
        <v>5.9074403663153023E-2</v>
      </c>
      <c r="U16" s="28">
        <f>output!J22/SUM(output!J$11:J$23)</f>
        <v>4.5035641896889245E-2</v>
      </c>
      <c r="W16" s="27" t="s">
        <v>11</v>
      </c>
      <c r="X16" s="12">
        <f t="shared" si="0"/>
        <v>3.6696047967600363E-2</v>
      </c>
      <c r="Y16" s="12">
        <f t="shared" si="1"/>
        <v>4.3380445895628256E-2</v>
      </c>
      <c r="Z16" s="12">
        <f t="shared" si="2"/>
        <v>2.8878354558133736E-2</v>
      </c>
      <c r="AA16" s="12">
        <f t="shared" si="3"/>
        <v>5.0434606560145714E-2</v>
      </c>
      <c r="AB16" s="12">
        <f t="shared" si="4"/>
        <v>2.0997713382817709E-2</v>
      </c>
      <c r="AC16" s="12">
        <f t="shared" si="5"/>
        <v>3.0507273985630433E-3</v>
      </c>
      <c r="AD16" s="12">
        <f t="shared" si="6"/>
        <v>1.2876403317372507E-2</v>
      </c>
      <c r="AE16" s="12">
        <f t="shared" si="7"/>
        <v>4.4986602959690251E-2</v>
      </c>
      <c r="AF16" s="12">
        <f t="shared" si="8"/>
        <v>3.3585841801373778E-2</v>
      </c>
    </row>
    <row r="17" spans="1:32" x14ac:dyDescent="0.2">
      <c r="A17" s="29" t="s">
        <v>206</v>
      </c>
      <c r="B17" s="30">
        <f>output_NHTS!B23/SUM(output_NHTS!B$11:B$23)</f>
        <v>1.8770699932394653E-2</v>
      </c>
      <c r="C17" s="30">
        <f>output_NHTS!C23/SUM(output_NHTS!C$11:C$23)</f>
        <v>4.4912564203932442E-2</v>
      </c>
      <c r="D17" s="30">
        <f>output_NHTS!D23/SUM(output_NHTS!D$11:D$23)</f>
        <v>1.9594870804715864E-2</v>
      </c>
      <c r="E17" s="30">
        <f>output_NHTS!E23/SUM(output_NHTS!E$11:E$23)</f>
        <v>3.9290477333339839E-2</v>
      </c>
      <c r="F17" s="30">
        <f>output_NHTS!F23/SUM(output_NHTS!F$11:F$23)</f>
        <v>3.5744463446754117E-2</v>
      </c>
      <c r="G17" s="30">
        <f>output_NHTS!G23/SUM(output_NHTS!G$11:G$23)</f>
        <v>0</v>
      </c>
      <c r="H17" s="30">
        <f>output_NHTS!H23/SUM(output_NHTS!H$11:H$23)</f>
        <v>6.8038930937244762E-3</v>
      </c>
      <c r="I17" s="30">
        <f>output_NHTS!I23/SUM(output_NHTS!I$11:I$23)</f>
        <v>1.85915748702562E-2</v>
      </c>
      <c r="J17" s="30">
        <f>output_NHTS!J23/SUM(output_NHTS!J$11:J$23)</f>
        <v>2.3072077638027409E-2</v>
      </c>
      <c r="L17" s="29" t="s">
        <v>206</v>
      </c>
      <c r="M17" s="30">
        <f>output!B23/SUM(output!B$11:B$23)</f>
        <v>1.0152187508225677E-2</v>
      </c>
      <c r="N17" s="30">
        <f>output!C23/SUM(output!C$11:C$23)</f>
        <v>1.309760557121732E-2</v>
      </c>
      <c r="O17" s="30">
        <f>output!D23/SUM(output!D$11:D$23)</f>
        <v>9.1333520422481312E-3</v>
      </c>
      <c r="P17" s="30">
        <f>output!E23/SUM(output!E$11:E$23)</f>
        <v>1.9274417146458792E-2</v>
      </c>
      <c r="Q17" s="30">
        <f>output!F23/SUM(output!F$11:F$23)</f>
        <v>1.3111335570688476E-2</v>
      </c>
      <c r="R17" s="30">
        <f>output!G23/SUM(output!G$11:G$23)</f>
        <v>1.3188469509514539E-3</v>
      </c>
      <c r="S17" s="30">
        <f>output!H23/SUM(output!H$11:H$23)</f>
        <v>2.1005951686311124E-3</v>
      </c>
      <c r="T17" s="30">
        <f>output!I23/SUM(output!I$11:I$23)</f>
        <v>1.3053564245686924E-2</v>
      </c>
      <c r="U17" s="30">
        <f>output!J23/SUM(output!J$11:J$23)</f>
        <v>1.0392035610869425E-2</v>
      </c>
      <c r="W17" s="29" t="s">
        <v>206</v>
      </c>
      <c r="X17" s="12">
        <f t="shared" si="0"/>
        <v>-8.618512424168976E-3</v>
      </c>
      <c r="Y17" s="12">
        <f t="shared" si="1"/>
        <v>-3.1814958632715121E-2</v>
      </c>
      <c r="Z17" s="12">
        <f t="shared" si="2"/>
        <v>-1.0461518762467733E-2</v>
      </c>
      <c r="AA17" s="12">
        <f t="shared" si="3"/>
        <v>-2.0016060186881048E-2</v>
      </c>
      <c r="AB17" s="12">
        <f t="shared" si="4"/>
        <v>-2.263312787606564E-2</v>
      </c>
      <c r="AC17" s="12">
        <f t="shared" si="5"/>
        <v>1.3188469509514539E-3</v>
      </c>
      <c r="AD17" s="12">
        <f t="shared" si="6"/>
        <v>-4.7032979250933634E-3</v>
      </c>
      <c r="AE17" s="12">
        <f t="shared" si="7"/>
        <v>-5.538010624569276E-3</v>
      </c>
      <c r="AF17" s="12">
        <f t="shared" si="8"/>
        <v>-1.2680042027157983E-2</v>
      </c>
    </row>
    <row r="18" spans="1:32" ht="13.5" thickBot="1" x14ac:dyDescent="0.25">
      <c r="A18" s="15" t="s">
        <v>221</v>
      </c>
      <c r="B18" s="31">
        <f>SUM(B5:B17)</f>
        <v>1.0000000000000002</v>
      </c>
      <c r="C18" s="31">
        <f t="shared" ref="C18:J18" si="9">SUM(C5:C17)</f>
        <v>0.99999999999999989</v>
      </c>
      <c r="D18" s="31">
        <f t="shared" si="9"/>
        <v>1.0000000000000002</v>
      </c>
      <c r="E18" s="31">
        <f t="shared" si="9"/>
        <v>1.0000000000000002</v>
      </c>
      <c r="F18" s="31">
        <f t="shared" si="9"/>
        <v>0.99999999999999989</v>
      </c>
      <c r="G18" s="31">
        <f t="shared" si="9"/>
        <v>1.0000000000000002</v>
      </c>
      <c r="H18" s="31">
        <f t="shared" si="9"/>
        <v>1.0000000000000002</v>
      </c>
      <c r="I18" s="31">
        <f t="shared" si="9"/>
        <v>0.99999999999999989</v>
      </c>
      <c r="J18" s="31">
        <f t="shared" si="9"/>
        <v>1</v>
      </c>
      <c r="L18" s="15" t="s">
        <v>221</v>
      </c>
      <c r="M18" s="31">
        <f>SUM(M5:M17)</f>
        <v>0.99999999999999989</v>
      </c>
      <c r="N18" s="31">
        <f t="shared" ref="N18:U18" si="10">SUM(N5:N17)</f>
        <v>1</v>
      </c>
      <c r="O18" s="31">
        <f t="shared" si="10"/>
        <v>0.99999999999999978</v>
      </c>
      <c r="P18" s="31">
        <f t="shared" si="10"/>
        <v>1</v>
      </c>
      <c r="Q18" s="31">
        <f t="shared" si="10"/>
        <v>1</v>
      </c>
      <c r="R18" s="31">
        <f t="shared" si="10"/>
        <v>1</v>
      </c>
      <c r="S18" s="31">
        <f t="shared" si="10"/>
        <v>1</v>
      </c>
      <c r="T18" s="31">
        <f t="shared" si="10"/>
        <v>0.99999999999999989</v>
      </c>
      <c r="U18" s="31">
        <f t="shared" si="10"/>
        <v>1</v>
      </c>
      <c r="W18" s="15" t="s">
        <v>221</v>
      </c>
      <c r="X18" s="14">
        <f t="shared" si="0"/>
        <v>0</v>
      </c>
      <c r="Y18" s="14">
        <f t="shared" si="1"/>
        <v>0</v>
      </c>
      <c r="Z18" s="14">
        <f t="shared" si="2"/>
        <v>0</v>
      </c>
      <c r="AA18" s="14">
        <f t="shared" si="3"/>
        <v>0</v>
      </c>
      <c r="AB18" s="14">
        <f t="shared" si="4"/>
        <v>0</v>
      </c>
      <c r="AC18" s="14">
        <f t="shared" si="5"/>
        <v>0</v>
      </c>
      <c r="AD18" s="14">
        <f t="shared" si="6"/>
        <v>0</v>
      </c>
      <c r="AE18" s="14">
        <f t="shared" si="7"/>
        <v>0</v>
      </c>
      <c r="AF18" s="14">
        <f t="shared" si="8"/>
        <v>0</v>
      </c>
    </row>
    <row r="22" spans="1:32" x14ac:dyDescent="0.2">
      <c r="L22"/>
      <c r="M22"/>
      <c r="N22"/>
      <c r="O22"/>
      <c r="P22"/>
      <c r="Q22"/>
      <c r="R22"/>
      <c r="S22"/>
      <c r="T22"/>
      <c r="U22"/>
      <c r="V22"/>
      <c r="W22"/>
    </row>
    <row r="23" spans="1:32" x14ac:dyDescent="0.2">
      <c r="L23"/>
      <c r="M23"/>
      <c r="N23"/>
      <c r="O23"/>
      <c r="P23"/>
      <c r="Q23"/>
      <c r="R23"/>
      <c r="S23"/>
      <c r="T23"/>
      <c r="U23"/>
      <c r="V23"/>
      <c r="W23"/>
    </row>
    <row r="24" spans="1:32" x14ac:dyDescent="0.2">
      <c r="L24"/>
      <c r="M24"/>
      <c r="N24"/>
      <c r="O24"/>
      <c r="P24"/>
      <c r="Q24"/>
      <c r="R24"/>
      <c r="S24"/>
      <c r="T24"/>
      <c r="U24"/>
      <c r="V24"/>
      <c r="W24"/>
    </row>
    <row r="25" spans="1:32" x14ac:dyDescent="0.2">
      <c r="L25"/>
      <c r="M25"/>
      <c r="N25"/>
      <c r="O25"/>
      <c r="P25"/>
      <c r="Q25"/>
      <c r="R25"/>
      <c r="S25"/>
      <c r="T25"/>
      <c r="U25"/>
      <c r="V25"/>
      <c r="W25"/>
    </row>
    <row r="26" spans="1:32" x14ac:dyDescent="0.2">
      <c r="L26"/>
      <c r="M26"/>
      <c r="N26"/>
      <c r="O26"/>
      <c r="P26"/>
      <c r="Q26"/>
      <c r="R26"/>
      <c r="S26"/>
      <c r="T26"/>
      <c r="U26"/>
      <c r="V26"/>
      <c r="W26"/>
    </row>
    <row r="27" spans="1:32" x14ac:dyDescent="0.2">
      <c r="L27"/>
      <c r="M27"/>
      <c r="N27"/>
      <c r="O27"/>
      <c r="P27"/>
      <c r="Q27"/>
      <c r="R27"/>
      <c r="S27"/>
      <c r="T27"/>
      <c r="U27"/>
      <c r="V27"/>
      <c r="W27"/>
    </row>
    <row r="28" spans="1:32" x14ac:dyDescent="0.2">
      <c r="L28"/>
      <c r="M28"/>
      <c r="N28"/>
      <c r="O28"/>
      <c r="P28"/>
      <c r="Q28"/>
      <c r="R28"/>
      <c r="S28"/>
      <c r="T28"/>
      <c r="U28"/>
      <c r="V28"/>
      <c r="W28"/>
    </row>
    <row r="29" spans="1:32" x14ac:dyDescent="0.2">
      <c r="L29"/>
      <c r="M29"/>
      <c r="N29"/>
      <c r="O29"/>
      <c r="P29"/>
      <c r="Q29"/>
      <c r="R29"/>
      <c r="S29"/>
      <c r="T29"/>
      <c r="U29"/>
      <c r="V29"/>
      <c r="W29"/>
    </row>
    <row r="30" spans="1:32" x14ac:dyDescent="0.2">
      <c r="L30"/>
      <c r="M30"/>
      <c r="N30"/>
      <c r="O30"/>
      <c r="P30"/>
      <c r="Q30"/>
      <c r="R30"/>
      <c r="S30"/>
      <c r="T30"/>
      <c r="U30"/>
      <c r="V30"/>
      <c r="W30"/>
    </row>
    <row r="31" spans="1:32" x14ac:dyDescent="0.2">
      <c r="L31"/>
      <c r="M31"/>
      <c r="N31"/>
      <c r="O31"/>
      <c r="P31"/>
      <c r="Q31"/>
      <c r="R31"/>
      <c r="S31"/>
      <c r="T31"/>
      <c r="U31"/>
      <c r="V31"/>
      <c r="W31"/>
    </row>
    <row r="32" spans="1:32" x14ac:dyDescent="0.2">
      <c r="L32"/>
      <c r="M32"/>
      <c r="N32"/>
      <c r="O32"/>
      <c r="P32"/>
      <c r="Q32"/>
      <c r="R32"/>
      <c r="S32"/>
      <c r="T32"/>
      <c r="U32"/>
      <c r="V32"/>
      <c r="W32"/>
    </row>
    <row r="33" spans="12:23" x14ac:dyDescent="0.2">
      <c r="L33"/>
      <c r="M33"/>
      <c r="N33"/>
      <c r="O33"/>
      <c r="P33"/>
      <c r="Q33"/>
      <c r="R33"/>
      <c r="S33"/>
      <c r="T33"/>
      <c r="U33"/>
      <c r="V33"/>
      <c r="W33"/>
    </row>
    <row r="34" spans="12:23" x14ac:dyDescent="0.2">
      <c r="L34"/>
      <c r="M34"/>
      <c r="N34"/>
      <c r="O34"/>
      <c r="P34"/>
      <c r="Q34"/>
      <c r="R34"/>
      <c r="S34"/>
      <c r="T34"/>
      <c r="U34"/>
      <c r="V34"/>
      <c r="W34"/>
    </row>
    <row r="35" spans="12:23" x14ac:dyDescent="0.2">
      <c r="L35"/>
      <c r="M35"/>
      <c r="N35"/>
      <c r="O35"/>
      <c r="P35"/>
      <c r="Q35"/>
      <c r="R35"/>
      <c r="S35"/>
      <c r="T35"/>
      <c r="U35"/>
      <c r="V35"/>
      <c r="W35"/>
    </row>
    <row r="36" spans="12:23" x14ac:dyDescent="0.2">
      <c r="L36"/>
      <c r="M36"/>
      <c r="N36"/>
      <c r="O36"/>
      <c r="P36"/>
      <c r="Q36"/>
      <c r="R36"/>
      <c r="S36"/>
      <c r="T36"/>
      <c r="U36"/>
      <c r="V36"/>
      <c r="W36"/>
    </row>
    <row r="37" spans="12:23" x14ac:dyDescent="0.2">
      <c r="L37"/>
      <c r="M37"/>
      <c r="N37"/>
      <c r="O37"/>
      <c r="P37"/>
      <c r="Q37"/>
      <c r="R37"/>
      <c r="S37"/>
      <c r="T37"/>
      <c r="U37"/>
      <c r="V37"/>
      <c r="W37"/>
    </row>
    <row r="38" spans="12:23" x14ac:dyDescent="0.2">
      <c r="L38"/>
      <c r="M38"/>
      <c r="N38"/>
      <c r="O38"/>
      <c r="P38"/>
      <c r="Q38"/>
      <c r="R38"/>
      <c r="S38"/>
      <c r="T38"/>
      <c r="U38"/>
      <c r="V38"/>
      <c r="W38"/>
    </row>
    <row r="39" spans="12:23" x14ac:dyDescent="0.2">
      <c r="L39"/>
      <c r="M39"/>
      <c r="N39"/>
      <c r="O39"/>
      <c r="P39"/>
      <c r="Q39"/>
      <c r="R39"/>
      <c r="S39"/>
      <c r="T39"/>
      <c r="U39"/>
      <c r="V39"/>
      <c r="W39"/>
    </row>
    <row r="40" spans="12:23" x14ac:dyDescent="0.2">
      <c r="L40"/>
      <c r="M40"/>
      <c r="N40"/>
      <c r="O40"/>
      <c r="P40"/>
      <c r="Q40"/>
      <c r="R40"/>
      <c r="S40"/>
      <c r="T40"/>
      <c r="U40"/>
      <c r="V40"/>
      <c r="W40"/>
    </row>
    <row r="41" spans="12:23" x14ac:dyDescent="0.2">
      <c r="L41"/>
      <c r="M41"/>
      <c r="N41"/>
      <c r="O41"/>
      <c r="P41"/>
      <c r="Q41"/>
      <c r="R41"/>
      <c r="S41"/>
      <c r="T41"/>
      <c r="U41"/>
      <c r="V41"/>
      <c r="W41"/>
    </row>
    <row r="42" spans="12:23" x14ac:dyDescent="0.2">
      <c r="L42"/>
      <c r="M42"/>
      <c r="N42"/>
      <c r="O42"/>
      <c r="P42"/>
      <c r="Q42"/>
      <c r="R42"/>
      <c r="S42"/>
      <c r="T42"/>
      <c r="U42"/>
      <c r="V42"/>
      <c r="W42"/>
    </row>
    <row r="43" spans="12:23" x14ac:dyDescent="0.2">
      <c r="L43"/>
      <c r="M43"/>
      <c r="N43"/>
      <c r="O43"/>
      <c r="P43"/>
      <c r="Q43"/>
      <c r="R43"/>
      <c r="S43"/>
      <c r="T43"/>
      <c r="U43"/>
      <c r="V43"/>
      <c r="W43"/>
    </row>
    <row r="44" spans="12:23" x14ac:dyDescent="0.2">
      <c r="L44"/>
      <c r="M44"/>
      <c r="N44"/>
      <c r="O44"/>
      <c r="P44"/>
      <c r="Q44"/>
      <c r="R44"/>
      <c r="S44"/>
      <c r="T44"/>
      <c r="U44"/>
      <c r="V44"/>
      <c r="W44"/>
    </row>
    <row r="45" spans="12:23" x14ac:dyDescent="0.2">
      <c r="L45"/>
      <c r="M45"/>
      <c r="N45"/>
      <c r="O45"/>
      <c r="P45"/>
      <c r="Q45"/>
      <c r="R45"/>
      <c r="S45"/>
      <c r="T45"/>
      <c r="U45"/>
      <c r="V45"/>
      <c r="W45"/>
    </row>
    <row r="46" spans="12:23" x14ac:dyDescent="0.2">
      <c r="L46"/>
      <c r="M46"/>
      <c r="N46"/>
      <c r="O46"/>
      <c r="P46"/>
      <c r="Q46"/>
      <c r="R46"/>
      <c r="S46"/>
      <c r="T46"/>
      <c r="U46"/>
      <c r="V46"/>
      <c r="W46"/>
    </row>
    <row r="47" spans="12:23" x14ac:dyDescent="0.2">
      <c r="L47"/>
      <c r="M47"/>
      <c r="N47"/>
      <c r="O47"/>
      <c r="P47"/>
      <c r="Q47"/>
      <c r="R47"/>
      <c r="S47"/>
      <c r="T47"/>
      <c r="U47"/>
      <c r="V47"/>
      <c r="W47"/>
    </row>
    <row r="48" spans="12:23" x14ac:dyDescent="0.2">
      <c r="L48"/>
      <c r="M48"/>
      <c r="N48"/>
      <c r="O48"/>
      <c r="P48"/>
      <c r="Q48"/>
      <c r="R48"/>
      <c r="S48"/>
      <c r="T48"/>
      <c r="U48"/>
      <c r="V48"/>
    </row>
    <row r="49" spans="12:22" x14ac:dyDescent="0.2">
      <c r="L49"/>
      <c r="M49"/>
      <c r="N49"/>
      <c r="O49"/>
      <c r="P49"/>
      <c r="Q49"/>
      <c r="R49"/>
      <c r="S49"/>
      <c r="T49"/>
      <c r="U49"/>
      <c r="V49"/>
    </row>
    <row r="50" spans="12:22" x14ac:dyDescent="0.2">
      <c r="L50"/>
      <c r="M50"/>
      <c r="N50"/>
      <c r="O50"/>
      <c r="P50"/>
      <c r="Q50"/>
      <c r="R50"/>
      <c r="S50"/>
      <c r="T50"/>
      <c r="U50"/>
      <c r="V50"/>
    </row>
    <row r="51" spans="12:22" x14ac:dyDescent="0.2">
      <c r="L51"/>
      <c r="M51"/>
      <c r="N51"/>
      <c r="O51"/>
      <c r="P51"/>
      <c r="Q51"/>
      <c r="R51"/>
      <c r="S51"/>
      <c r="T51"/>
      <c r="U51"/>
      <c r="V51"/>
    </row>
    <row r="52" spans="12:22" x14ac:dyDescent="0.2">
      <c r="L52"/>
      <c r="M52"/>
      <c r="N52"/>
      <c r="O52"/>
      <c r="P52"/>
      <c r="Q52"/>
      <c r="R52"/>
      <c r="S52"/>
      <c r="T52"/>
      <c r="U52"/>
      <c r="V52"/>
    </row>
    <row r="53" spans="12:22" x14ac:dyDescent="0.2">
      <c r="L53"/>
      <c r="M53"/>
      <c r="N53"/>
      <c r="O53"/>
      <c r="P53"/>
      <c r="Q53"/>
      <c r="R53"/>
      <c r="S53"/>
      <c r="T53"/>
      <c r="U53"/>
      <c r="V53"/>
    </row>
  </sheetData>
  <phoneticPr fontId="5" type="noConversion"/>
  <conditionalFormatting sqref="X5:AF18">
    <cfRule type="cellIs" dxfId="35" priority="1" stopIfTrue="1" operator="notBetween">
      <formula>-0.15</formula>
      <formula>0.15</formula>
    </cfRule>
    <cfRule type="cellIs" dxfId="34" priority="2" stopIfTrue="1" operator="notBetween">
      <formula>-0.1</formula>
      <formula>0.1</formula>
    </cfRule>
    <cfRule type="cellIs" dxfId="33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F81"/>
  <sheetViews>
    <sheetView workbookViewId="0">
      <selection activeCell="H81" sqref="H81"/>
    </sheetView>
  </sheetViews>
  <sheetFormatPr defaultColWidth="10.75" defaultRowHeight="12.75" x14ac:dyDescent="0.2"/>
  <cols>
    <col min="1" max="1" width="15.75" style="3" customWidth="1" collapsed="1"/>
    <col min="2" max="11" width="10.75" style="3" collapsed="1"/>
    <col min="12" max="12" width="15.75" style="3" customWidth="1" collapsed="1"/>
    <col min="13" max="13" width="11.25" style="39" bestFit="1" customWidth="1" collapsed="1"/>
    <col min="14" max="21" width="10.75" style="39" collapsed="1"/>
    <col min="22" max="22" width="10.75" style="3" collapsed="1"/>
    <col min="23" max="23" width="15.75" style="3" customWidth="1" collapsed="1"/>
    <col min="24" max="16384" width="10.75" style="3" collapsed="1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192</v>
      </c>
      <c r="L2" s="2" t="s">
        <v>121</v>
      </c>
      <c r="W2" s="2" t="s">
        <v>165</v>
      </c>
    </row>
    <row r="3" spans="1:32" ht="13.5" thickBot="1" x14ac:dyDescent="0.25">
      <c r="B3" s="4"/>
      <c r="C3" s="4"/>
      <c r="D3" s="4"/>
      <c r="E3" s="4"/>
      <c r="F3" s="4"/>
      <c r="G3" s="4"/>
      <c r="H3" s="4"/>
      <c r="I3" s="4"/>
      <c r="J3" s="4"/>
      <c r="M3" s="40"/>
      <c r="N3" s="40"/>
      <c r="O3" s="40"/>
      <c r="P3" s="40"/>
      <c r="Q3" s="40"/>
      <c r="R3" s="40"/>
      <c r="S3" s="40"/>
      <c r="T3" s="40"/>
      <c r="U3" s="40"/>
      <c r="X3" s="4"/>
      <c r="Y3" s="4"/>
      <c r="Z3" s="4"/>
      <c r="AA3" s="4"/>
      <c r="AB3" s="4"/>
      <c r="AC3" s="4"/>
      <c r="AD3" s="4"/>
      <c r="AE3" s="4"/>
      <c r="AF3" s="4"/>
    </row>
    <row r="4" spans="1:32" x14ac:dyDescent="0.2">
      <c r="A4" s="5" t="s">
        <v>174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5" t="s">
        <v>174</v>
      </c>
      <c r="M4" s="41" t="s">
        <v>146</v>
      </c>
      <c r="N4" s="41" t="s">
        <v>147</v>
      </c>
      <c r="O4" s="41" t="s">
        <v>148</v>
      </c>
      <c r="P4" s="41" t="s">
        <v>243</v>
      </c>
      <c r="Q4" s="41" t="s">
        <v>244</v>
      </c>
      <c r="R4" s="41" t="s">
        <v>245</v>
      </c>
      <c r="S4" s="41" t="s">
        <v>246</v>
      </c>
      <c r="T4" s="41" t="s">
        <v>170</v>
      </c>
      <c r="U4" s="41" t="s">
        <v>221</v>
      </c>
      <c r="W4" s="5" t="s">
        <v>174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2">
      <c r="A5" s="3" t="s">
        <v>226</v>
      </c>
      <c r="B5" s="12">
        <f>output_NHTS!B29/SUM(output_NHTS!B$29:B$32)</f>
        <v>0.22354894153818572</v>
      </c>
      <c r="C5" s="12">
        <f>output_NHTS!C29/SUM(output_NHTS!C$29:C$32)</f>
        <v>0.56007653943091407</v>
      </c>
      <c r="D5" s="12">
        <f>output_NHTS!D29/SUM(output_NHTS!D$29:D$32)</f>
        <v>0.9663771722141441</v>
      </c>
      <c r="E5" s="12">
        <f>output_NHTS!E29/SUM(output_NHTS!E$29:E$32)</f>
        <v>0.95649072113331957</v>
      </c>
      <c r="F5" s="12">
        <f>output_NHTS!F29/SUM(output_NHTS!F$29:F$32)</f>
        <v>0.52308896534584526</v>
      </c>
      <c r="G5" s="12">
        <f>output_NHTS!G29/SUM(output_NHTS!G$29:G$32)</f>
        <v>0.9711207266504589</v>
      </c>
      <c r="H5" s="12">
        <f>output_NHTS!H29/SUM(output_NHTS!H$29:H$32)</f>
        <v>0.9986714396037919</v>
      </c>
      <c r="I5" s="12">
        <f>output_NHTS!I29/SUM(output_NHTS!I$29:I$32)</f>
        <v>0.99765507731928282</v>
      </c>
      <c r="J5" s="12">
        <f>output_NHTS!J29/SUM(output_NHTS!J$29:J$32)</f>
        <v>0.64056804806229783</v>
      </c>
      <c r="L5" s="3" t="s">
        <v>226</v>
      </c>
      <c r="M5" s="42">
        <f>output!B29/SUM(output!B$29:B$32)</f>
        <v>3.3401922244318726E-2</v>
      </c>
      <c r="N5" s="42">
        <f>output!C29/SUM(output!C$29:C$32)</f>
        <v>0.41261828274219281</v>
      </c>
      <c r="O5" s="42">
        <f>output!D29/SUM(output!D$29:D$32)</f>
        <v>1</v>
      </c>
      <c r="P5" s="42">
        <f>output!E29/SUM(output!E$29:E$32)</f>
        <v>1</v>
      </c>
      <c r="Q5" s="42">
        <f>output!F29/SUM(output!F$29:F$32)</f>
        <v>0.25552767912417323</v>
      </c>
      <c r="R5" s="42">
        <f>output!G29/SUM(output!G$29:G$32)</f>
        <v>0.96594548765936072</v>
      </c>
      <c r="S5" s="42">
        <f>output!H29/SUM(output!H$29:H$32)</f>
        <v>0.99440902195015857</v>
      </c>
      <c r="T5" s="42">
        <f>output!I29/SUM(output!I$29:I$32)</f>
        <v>1</v>
      </c>
      <c r="U5" s="42">
        <f>output!J29/SUM(output!J$29:J$32)</f>
        <v>0.51484555899583584</v>
      </c>
      <c r="W5" s="3" t="s">
        <v>226</v>
      </c>
      <c r="X5" s="12">
        <f t="shared" ref="X5:AF5" si="0">M5-B5</f>
        <v>-0.19014701929386699</v>
      </c>
      <c r="Y5" s="12">
        <f t="shared" si="0"/>
        <v>-0.14745825668872126</v>
      </c>
      <c r="Z5" s="12">
        <f t="shared" si="0"/>
        <v>3.3622827785855902E-2</v>
      </c>
      <c r="AA5" s="12">
        <f t="shared" si="0"/>
        <v>4.3509278866680434E-2</v>
      </c>
      <c r="AB5" s="12">
        <f t="shared" si="0"/>
        <v>-0.26756128622167202</v>
      </c>
      <c r="AC5" s="12">
        <f t="shared" si="0"/>
        <v>-5.1752389910981744E-3</v>
      </c>
      <c r="AD5" s="12">
        <f t="shared" si="0"/>
        <v>-4.2624176536333325E-3</v>
      </c>
      <c r="AE5" s="12">
        <f t="shared" si="0"/>
        <v>2.3449226807171764E-3</v>
      </c>
      <c r="AF5" s="12">
        <f t="shared" si="0"/>
        <v>-0.125722489066462</v>
      </c>
    </row>
    <row r="6" spans="1:32" x14ac:dyDescent="0.2">
      <c r="A6" s="3" t="s">
        <v>235</v>
      </c>
      <c r="B6" s="12">
        <f>output_NHTS!B30/SUM(output_NHTS!B$29:B$32)</f>
        <v>0</v>
      </c>
      <c r="C6" s="12">
        <f>output_NHTS!C30/SUM(output_NHTS!C$29:C$32)</f>
        <v>0</v>
      </c>
      <c r="D6" s="12">
        <f>output_NHTS!D30/SUM(output_NHTS!D$29:D$32)</f>
        <v>0</v>
      </c>
      <c r="E6" s="12">
        <f>output_NHTS!E30/SUM(output_NHTS!E$29:E$32)</f>
        <v>0</v>
      </c>
      <c r="F6" s="12">
        <f>output_NHTS!F30/SUM(output_NHTS!F$29:F$32)</f>
        <v>8.9794340880313822E-2</v>
      </c>
      <c r="G6" s="12">
        <f>output_NHTS!G30/SUM(output_NHTS!G$29:G$32)</f>
        <v>5.5598163651568774E-3</v>
      </c>
      <c r="H6" s="12">
        <f>output_NHTS!H30/SUM(output_NHTS!H$29:H$32)</f>
        <v>6.7971409030503677E-4</v>
      </c>
      <c r="I6" s="12">
        <f>output_NHTS!I30/SUM(output_NHTS!I$29:I$32)</f>
        <v>7.9043688034562565E-4</v>
      </c>
      <c r="J6" s="12">
        <f>output_NHTS!J30/SUM(output_NHTS!J$29:J$32)</f>
        <v>3.1108266118674141E-3</v>
      </c>
      <c r="L6" s="3" t="s">
        <v>235</v>
      </c>
      <c r="M6" s="42">
        <f>output!B30/SUM(output!B$29:B$32)</f>
        <v>0</v>
      </c>
      <c r="N6" s="42">
        <f>output!C30/SUM(output!C$29:C$32)</f>
        <v>0</v>
      </c>
      <c r="O6" s="42">
        <f>output!D30/SUM(output!D$29:D$32)</f>
        <v>0</v>
      </c>
      <c r="P6" s="42">
        <f>output!E30/SUM(output!E$29:E$32)</f>
        <v>0</v>
      </c>
      <c r="Q6" s="42">
        <f>output!F30/SUM(output!F$29:F$32)</f>
        <v>9.5532892378873292E-3</v>
      </c>
      <c r="R6" s="42">
        <f>output!G30/SUM(output!G$29:G$32)</f>
        <v>1.7270614833888087E-4</v>
      </c>
      <c r="S6" s="42">
        <f>output!H30/SUM(output!H$29:H$32)</f>
        <v>5.5697599168249187E-5</v>
      </c>
      <c r="T6" s="42">
        <f>output!I30/SUM(output!I$29:I$32)</f>
        <v>0</v>
      </c>
      <c r="U6" s="42">
        <f>output!J30/SUM(output!J$29:J$32)</f>
        <v>5.4045512238169702E-4</v>
      </c>
      <c r="W6" s="3" t="s">
        <v>235</v>
      </c>
      <c r="X6" s="12"/>
      <c r="Y6" s="12"/>
      <c r="Z6" s="12"/>
      <c r="AA6" s="12"/>
      <c r="AB6" s="12">
        <f t="shared" ref="AB6:AD8" si="1">Q6-F6</f>
        <v>-8.0241051642426495E-2</v>
      </c>
      <c r="AC6" s="12">
        <f t="shared" si="1"/>
        <v>-5.3871102168179964E-3</v>
      </c>
      <c r="AD6" s="12">
        <f t="shared" si="1"/>
        <v>-6.2401649113678762E-4</v>
      </c>
      <c r="AE6" s="12">
        <f t="shared" ref="AE6:AF9" si="2">T6-I6</f>
        <v>-7.9043688034562565E-4</v>
      </c>
      <c r="AF6" s="12">
        <f t="shared" si="2"/>
        <v>-2.5703714894857168E-3</v>
      </c>
    </row>
    <row r="7" spans="1:32" x14ac:dyDescent="0.2">
      <c r="A7" s="3" t="s">
        <v>236</v>
      </c>
      <c r="B7" s="12">
        <f>output_NHTS!B31/SUM(output_NHTS!B$29:B$32)</f>
        <v>0.65566357929058228</v>
      </c>
      <c r="C7" s="12">
        <f>output_NHTS!C31/SUM(output_NHTS!C$29:C$32)</f>
        <v>0.38464351753928583</v>
      </c>
      <c r="D7" s="12">
        <f>output_NHTS!D31/SUM(output_NHTS!D$29:D$32)</f>
        <v>2.83878327582146E-2</v>
      </c>
      <c r="E7" s="12">
        <f>output_NHTS!E31/SUM(output_NHTS!E$29:E$32)</f>
        <v>3.3523906494566109E-2</v>
      </c>
      <c r="F7" s="12">
        <f>output_NHTS!F31/SUM(output_NHTS!F$29:F$32)</f>
        <v>0.29926296883179254</v>
      </c>
      <c r="G7" s="12">
        <f>output_NHTS!G31/SUM(output_NHTS!G$29:G$32)</f>
        <v>2.3319456984384403E-2</v>
      </c>
      <c r="H7" s="12">
        <f>output_NHTS!H31/SUM(output_NHTS!H$29:H$32)</f>
        <v>6.4884630590309204E-4</v>
      </c>
      <c r="I7" s="12">
        <f>output_NHTS!I31/SUM(output_NHTS!I$29:I$32)</f>
        <v>1.554485800371585E-3</v>
      </c>
      <c r="J7" s="12">
        <f>output_NHTS!J31/SUM(output_NHTS!J$29:J$32)</f>
        <v>0.30082364347719209</v>
      </c>
      <c r="L7" s="3" t="s">
        <v>236</v>
      </c>
      <c r="M7" s="42">
        <f>output!B31/SUM(output!B$29:B$32)</f>
        <v>0.8095981512762167</v>
      </c>
      <c r="N7" s="42">
        <f>output!C31/SUM(output!C$29:C$32)</f>
        <v>0.49967948017512037</v>
      </c>
      <c r="O7" s="42">
        <f>output!D31/SUM(output!D$29:D$32)</f>
        <v>0</v>
      </c>
      <c r="P7" s="42">
        <f>output!E31/SUM(output!E$29:E$32)</f>
        <v>0</v>
      </c>
      <c r="Q7" s="42">
        <f>output!F31/SUM(output!F$29:F$32)</f>
        <v>0.63181388680720729</v>
      </c>
      <c r="R7" s="42">
        <f>output!G31/SUM(output!G$29:G$32)</f>
        <v>3.0914400552659673E-2</v>
      </c>
      <c r="S7" s="42">
        <f>output!H31/SUM(output!H$29:H$32)</f>
        <v>5.0552201911753785E-3</v>
      </c>
      <c r="T7" s="42">
        <f>output!I31/SUM(output!I$29:I$32)</f>
        <v>0</v>
      </c>
      <c r="U7" s="42">
        <f>output!J31/SUM(output!J$29:J$32)</f>
        <v>0.40767922509270355</v>
      </c>
      <c r="W7" s="3" t="s">
        <v>236</v>
      </c>
      <c r="X7" s="12">
        <f t="shared" ref="X7:AA9" si="3">M7-B7</f>
        <v>0.15393457198563443</v>
      </c>
      <c r="Y7" s="12">
        <f t="shared" si="3"/>
        <v>0.11503596263583454</v>
      </c>
      <c r="Z7" s="12">
        <f t="shared" si="3"/>
        <v>-2.83878327582146E-2</v>
      </c>
      <c r="AA7" s="12">
        <f t="shared" si="3"/>
        <v>-3.3523906494566109E-2</v>
      </c>
      <c r="AB7" s="12">
        <f t="shared" si="1"/>
        <v>0.33255091797541475</v>
      </c>
      <c r="AC7" s="12">
        <f t="shared" si="1"/>
        <v>7.5949435682752704E-3</v>
      </c>
      <c r="AD7" s="12">
        <f t="shared" si="1"/>
        <v>4.4063738852722868E-3</v>
      </c>
      <c r="AE7" s="12">
        <f t="shared" si="2"/>
        <v>-1.554485800371585E-3</v>
      </c>
      <c r="AF7" s="12">
        <f t="shared" si="2"/>
        <v>0.10685558161551145</v>
      </c>
    </row>
    <row r="8" spans="1:32" x14ac:dyDescent="0.2">
      <c r="A8" s="8" t="s">
        <v>173</v>
      </c>
      <c r="B8" s="13">
        <f>output_NHTS!B32/SUM(output_NHTS!B$29:B$32)</f>
        <v>0.12078747917123202</v>
      </c>
      <c r="C8" s="13">
        <f>output_NHTS!C32/SUM(output_NHTS!C$29:C$32)</f>
        <v>5.5279943029800119E-2</v>
      </c>
      <c r="D8" s="13">
        <f>output_NHTS!D32/SUM(output_NHTS!D$29:D$32)</f>
        <v>5.2349950276412661E-3</v>
      </c>
      <c r="E8" s="13">
        <f>output_NHTS!E32/SUM(output_NHTS!E$29:E$32)</f>
        <v>9.9853723721141686E-3</v>
      </c>
      <c r="F8" s="13">
        <f>output_NHTS!F32/SUM(output_NHTS!F$29:F$32)</f>
        <v>8.7853724942048295E-2</v>
      </c>
      <c r="G8" s="13">
        <f>output_NHTS!G32/SUM(output_NHTS!G$29:G$32)</f>
        <v>0</v>
      </c>
      <c r="H8" s="13">
        <f>output_NHTS!H32/SUM(output_NHTS!H$29:H$32)</f>
        <v>0</v>
      </c>
      <c r="I8" s="13">
        <f>output_NHTS!I32/SUM(output_NHTS!I$29:I$32)</f>
        <v>0</v>
      </c>
      <c r="J8" s="13">
        <f>output_NHTS!J32/SUM(output_NHTS!J$29:J$32)</f>
        <v>5.549748184864272E-2</v>
      </c>
      <c r="L8" s="8" t="s">
        <v>173</v>
      </c>
      <c r="M8" s="43">
        <f>output!B32/SUM(output!B$29:B$32)</f>
        <v>0.15699992647946462</v>
      </c>
      <c r="N8" s="43">
        <f>output!C32/SUM(output!C$29:C$32)</f>
        <v>8.7702237082686832E-2</v>
      </c>
      <c r="O8" s="43">
        <f>output!D32/SUM(output!D$29:D$32)</f>
        <v>0</v>
      </c>
      <c r="P8" s="43">
        <f>output!E32/SUM(output!E$29:E$32)</f>
        <v>0</v>
      </c>
      <c r="Q8" s="43">
        <f>output!F32/SUM(output!F$29:F$32)</f>
        <v>0.10310514483073213</v>
      </c>
      <c r="R8" s="43">
        <f>output!G32/SUM(output!G$29:G$32)</f>
        <v>2.9674056396407711E-3</v>
      </c>
      <c r="S8" s="43">
        <f>output!H32/SUM(output!H$29:H$32)</f>
        <v>4.8006025949776679E-4</v>
      </c>
      <c r="T8" s="43">
        <f>output!I32/SUM(output!I$29:I$32)</f>
        <v>0</v>
      </c>
      <c r="U8" s="43">
        <f>output!J32/SUM(output!J$29:J$32)</f>
        <v>7.6934760789078904E-2</v>
      </c>
      <c r="W8" s="8" t="s">
        <v>173</v>
      </c>
      <c r="X8" s="12">
        <f t="shared" si="3"/>
        <v>3.6212447308232601E-2</v>
      </c>
      <c r="Y8" s="12">
        <f t="shared" si="3"/>
        <v>3.2422294052886713E-2</v>
      </c>
      <c r="Z8" s="12">
        <f t="shared" si="3"/>
        <v>-5.2349950276412661E-3</v>
      </c>
      <c r="AA8" s="12">
        <f t="shared" si="3"/>
        <v>-9.9853723721141686E-3</v>
      </c>
      <c r="AB8" s="12">
        <f>Q8-F8</f>
        <v>1.5251419888683837E-2</v>
      </c>
      <c r="AC8" s="12">
        <f t="shared" si="1"/>
        <v>2.9674056396407711E-3</v>
      </c>
      <c r="AD8" s="12">
        <f t="shared" si="1"/>
        <v>4.8006025949776679E-4</v>
      </c>
      <c r="AE8" s="12">
        <f t="shared" si="2"/>
        <v>0</v>
      </c>
      <c r="AF8" s="12">
        <f t="shared" si="2"/>
        <v>2.1437278940436184E-2</v>
      </c>
    </row>
    <row r="9" spans="1:32" ht="13.5" thickBot="1" x14ac:dyDescent="0.25">
      <c r="A9" s="15" t="s">
        <v>221</v>
      </c>
      <c r="B9" s="44">
        <f>SUM(B5:B8)</f>
        <v>1</v>
      </c>
      <c r="C9" s="44">
        <f t="shared" ref="C9:J9" si="4">SUM(C5:C8)</f>
        <v>1</v>
      </c>
      <c r="D9" s="44">
        <f t="shared" si="4"/>
        <v>0.99999999999999989</v>
      </c>
      <c r="E9" s="44">
        <f t="shared" si="4"/>
        <v>0.99999999999999989</v>
      </c>
      <c r="F9" s="44">
        <f t="shared" si="4"/>
        <v>1</v>
      </c>
      <c r="G9" s="44">
        <f t="shared" si="4"/>
        <v>1.0000000000000002</v>
      </c>
      <c r="H9" s="44">
        <f t="shared" si="4"/>
        <v>1</v>
      </c>
      <c r="I9" s="44">
        <f t="shared" si="4"/>
        <v>1</v>
      </c>
      <c r="J9" s="44">
        <f t="shared" si="4"/>
        <v>1</v>
      </c>
      <c r="L9" s="15" t="s">
        <v>221</v>
      </c>
      <c r="M9" s="44">
        <f>SUM(M5:M8)</f>
        <v>1</v>
      </c>
      <c r="N9" s="44">
        <f t="shared" ref="N9:U9" si="5">SUM(N5:N8)</f>
        <v>1</v>
      </c>
      <c r="O9" s="44">
        <f t="shared" si="5"/>
        <v>1</v>
      </c>
      <c r="P9" s="44">
        <f t="shared" si="5"/>
        <v>1</v>
      </c>
      <c r="Q9" s="44">
        <f t="shared" si="5"/>
        <v>1</v>
      </c>
      <c r="R9" s="44">
        <f t="shared" si="5"/>
        <v>1</v>
      </c>
      <c r="S9" s="44">
        <f t="shared" si="5"/>
        <v>0.99999999999999989</v>
      </c>
      <c r="T9" s="44">
        <f t="shared" si="5"/>
        <v>1</v>
      </c>
      <c r="U9" s="44">
        <f t="shared" si="5"/>
        <v>1</v>
      </c>
      <c r="W9" s="15" t="s">
        <v>221</v>
      </c>
      <c r="X9" s="14">
        <f t="shared" si="3"/>
        <v>0</v>
      </c>
      <c r="Y9" s="14">
        <f t="shared" si="3"/>
        <v>0</v>
      </c>
      <c r="Z9" s="14">
        <f t="shared" si="3"/>
        <v>0</v>
      </c>
      <c r="AA9" s="14">
        <f t="shared" si="3"/>
        <v>0</v>
      </c>
      <c r="AB9" s="14">
        <f>Q9-F9</f>
        <v>0</v>
      </c>
      <c r="AC9" s="14">
        <f>R9-G9</f>
        <v>0</v>
      </c>
      <c r="AD9" s="14">
        <f>S9-H9</f>
        <v>0</v>
      </c>
      <c r="AE9" s="14">
        <f t="shared" si="2"/>
        <v>0</v>
      </c>
      <c r="AF9" s="14">
        <f t="shared" si="2"/>
        <v>0</v>
      </c>
    </row>
    <row r="10" spans="1:32" x14ac:dyDescent="0.2">
      <c r="A10" s="25"/>
      <c r="B10" s="26"/>
      <c r="C10" s="26"/>
      <c r="D10" s="26"/>
      <c r="E10" s="26"/>
      <c r="F10" s="26"/>
      <c r="G10" s="26"/>
      <c r="H10" s="26"/>
      <c r="I10" s="26"/>
      <c r="J10" s="26"/>
      <c r="L10" s="25"/>
      <c r="M10" s="45"/>
      <c r="N10" s="45"/>
      <c r="O10" s="45"/>
      <c r="P10" s="45"/>
      <c r="Q10" s="45"/>
      <c r="R10" s="45"/>
      <c r="S10" s="45"/>
      <c r="T10" s="45"/>
      <c r="U10" s="45"/>
      <c r="W10" s="25"/>
      <c r="X10" s="26"/>
      <c r="Y10" s="26"/>
      <c r="Z10" s="26"/>
      <c r="AA10" s="26"/>
      <c r="AB10" s="26"/>
      <c r="AC10" s="26"/>
      <c r="AD10" s="26"/>
      <c r="AE10" s="26"/>
      <c r="AF10" s="26"/>
    </row>
    <row r="13" spans="1:32" x14ac:dyDescent="0.2">
      <c r="A13" s="2" t="s">
        <v>175</v>
      </c>
      <c r="L13" s="2" t="s">
        <v>175</v>
      </c>
      <c r="W13" s="2" t="s">
        <v>175</v>
      </c>
    </row>
    <row r="14" spans="1:32" x14ac:dyDescent="0.2">
      <c r="A14" s="2" t="s">
        <v>112</v>
      </c>
      <c r="L14" s="2" t="s">
        <v>167</v>
      </c>
      <c r="W14" s="2" t="s">
        <v>85</v>
      </c>
    </row>
    <row r="15" spans="1:32" ht="13.5" thickBot="1" x14ac:dyDescent="0.25"/>
    <row r="16" spans="1:32" x14ac:dyDescent="0.2">
      <c r="A16" s="5" t="s">
        <v>174</v>
      </c>
      <c r="B16" s="6" t="s">
        <v>146</v>
      </c>
      <c r="C16" s="6" t="s">
        <v>147</v>
      </c>
      <c r="D16" s="6" t="s">
        <v>148</v>
      </c>
      <c r="E16" s="6" t="s">
        <v>243</v>
      </c>
      <c r="F16" s="6" t="s">
        <v>244</v>
      </c>
      <c r="G16" s="6" t="s">
        <v>245</v>
      </c>
      <c r="H16" s="6" t="s">
        <v>246</v>
      </c>
      <c r="I16" s="6" t="s">
        <v>170</v>
      </c>
      <c r="J16" s="6" t="s">
        <v>221</v>
      </c>
      <c r="L16" s="5" t="s">
        <v>174</v>
      </c>
      <c r="M16" s="41" t="s">
        <v>146</v>
      </c>
      <c r="N16" s="41" t="s">
        <v>147</v>
      </c>
      <c r="O16" s="41" t="s">
        <v>148</v>
      </c>
      <c r="P16" s="41" t="s">
        <v>243</v>
      </c>
      <c r="Q16" s="41" t="s">
        <v>244</v>
      </c>
      <c r="R16" s="41" t="s">
        <v>245</v>
      </c>
      <c r="S16" s="41" t="s">
        <v>246</v>
      </c>
      <c r="T16" s="41" t="s">
        <v>170</v>
      </c>
      <c r="U16" s="41" t="s">
        <v>221</v>
      </c>
      <c r="W16" s="5" t="s">
        <v>174</v>
      </c>
      <c r="X16" s="6" t="s">
        <v>146</v>
      </c>
      <c r="Y16" s="6" t="s">
        <v>147</v>
      </c>
      <c r="Z16" s="6" t="s">
        <v>148</v>
      </c>
      <c r="AA16" s="6" t="s">
        <v>243</v>
      </c>
      <c r="AB16" s="6" t="s">
        <v>244</v>
      </c>
      <c r="AC16" s="6" t="s">
        <v>245</v>
      </c>
      <c r="AD16" s="6" t="s">
        <v>246</v>
      </c>
      <c r="AE16" s="6" t="s">
        <v>170</v>
      </c>
      <c r="AF16" s="6" t="s">
        <v>221</v>
      </c>
    </row>
    <row r="17" spans="1:32" x14ac:dyDescent="0.2">
      <c r="A17" s="3" t="s">
        <v>226</v>
      </c>
      <c r="B17" s="12">
        <f>output_NHTS!B36/SUM(output_NHTS!B$36:B$39)</f>
        <v>0.99471173362254695</v>
      </c>
      <c r="C17" s="12">
        <f>output_NHTS!C36/SUM(output_NHTS!C$36:C$39)</f>
        <v>0.91468104233162528</v>
      </c>
      <c r="D17" s="12">
        <f>output_NHTS!D36/SUM(output_NHTS!D$36:D$39)</f>
        <v>0.9979487463109632</v>
      </c>
      <c r="E17" s="12">
        <f>output_NHTS!E36/SUM(output_NHTS!E$36:E$39)</f>
        <v>0.91928667894303595</v>
      </c>
      <c r="F17" s="12">
        <f>output_NHTS!F36/SUM(output_NHTS!F$36:F$39)</f>
        <v>0.66413947275409502</v>
      </c>
      <c r="G17" s="12">
        <f>output_NHTS!G36/SUM(output_NHTS!G$36:G$39)</f>
        <v>0.25583187877974484</v>
      </c>
      <c r="H17" s="12">
        <f>output_NHTS!H36/SUM(output_NHTS!H$36:H$39)</f>
        <v>0.25239734322095397</v>
      </c>
      <c r="I17" s="12">
        <f>output_NHTS!I36/SUM(output_NHTS!I$36:I$39)</f>
        <v>0.83162244745312286</v>
      </c>
      <c r="J17" s="12">
        <f>output_NHTS!J36/SUM(output_NHTS!J$36:J$39)</f>
        <v>0.83441497825122535</v>
      </c>
      <c r="L17" s="3" t="s">
        <v>226</v>
      </c>
      <c r="M17" s="42">
        <f>output!B36/SUM(output!B$36:B$39)</f>
        <v>1</v>
      </c>
      <c r="N17" s="42">
        <f>output!C36/SUM(output!C$36:C$39)</f>
        <v>1</v>
      </c>
      <c r="O17" s="42">
        <f>output!D36/SUM(output!D$36:D$39)</f>
        <v>1</v>
      </c>
      <c r="P17" s="42">
        <f>output!E36/SUM(output!E$36:E$39)</f>
        <v>1</v>
      </c>
      <c r="Q17" s="42">
        <f>output!F36/SUM(output!F$36:F$39)</f>
        <v>0.44004431266495064</v>
      </c>
      <c r="R17" s="42">
        <f>output!G36/SUM(output!G$36:G$39)</f>
        <v>0.10307416944043207</v>
      </c>
      <c r="S17" s="42">
        <f>output!H36/SUM(output!H$36:H$39)</f>
        <v>0.19656478426463256</v>
      </c>
      <c r="T17" s="42">
        <f>output!I36/SUM(output!I$36:I$39)</f>
        <v>1</v>
      </c>
      <c r="U17" s="42">
        <f>output!J36/SUM(output!J$36:J$39)</f>
        <v>0.83909770692612362</v>
      </c>
      <c r="W17" s="3" t="s">
        <v>226</v>
      </c>
      <c r="X17" s="12">
        <f t="shared" ref="X17:AF18" si="6">M17-B17</f>
        <v>5.2882663774530547E-3</v>
      </c>
      <c r="Y17" s="12">
        <f t="shared" si="6"/>
        <v>8.5318957668374718E-2</v>
      </c>
      <c r="Z17" s="12">
        <f t="shared" si="6"/>
        <v>2.0512536890368027E-3</v>
      </c>
      <c r="AA17" s="12">
        <f t="shared" si="6"/>
        <v>8.0713321056964049E-2</v>
      </c>
      <c r="AB17" s="12">
        <f t="shared" si="6"/>
        <v>-0.22409516008914437</v>
      </c>
      <c r="AC17" s="12">
        <f t="shared" si="6"/>
        <v>-0.15275770933931276</v>
      </c>
      <c r="AD17" s="12">
        <f t="shared" si="6"/>
        <v>-5.5832558956321415E-2</v>
      </c>
      <c r="AE17" s="12">
        <f t="shared" si="6"/>
        <v>0.16837755254687714</v>
      </c>
      <c r="AF17" s="12">
        <f t="shared" si="6"/>
        <v>4.6827286748982733E-3</v>
      </c>
    </row>
    <row r="18" spans="1:32" x14ac:dyDescent="0.2">
      <c r="A18" s="3" t="s">
        <v>235</v>
      </c>
      <c r="B18" s="12">
        <f>output_NHTS!B37/SUM(output_NHTS!B$36:B$39)</f>
        <v>2.9270417220420993E-3</v>
      </c>
      <c r="C18" s="12">
        <f>output_NHTS!C37/SUM(output_NHTS!C$36:C$39)</f>
        <v>5.003305317653175E-3</v>
      </c>
      <c r="D18" s="12">
        <f>output_NHTS!D37/SUM(output_NHTS!D$36:D$39)</f>
        <v>0</v>
      </c>
      <c r="E18" s="12">
        <f>output_NHTS!E37/SUM(output_NHTS!E$36:E$39)</f>
        <v>1.703841657762535E-3</v>
      </c>
      <c r="F18" s="12">
        <f>output_NHTS!F37/SUM(output_NHTS!F$36:F$39)</f>
        <v>1.0772412396429015E-2</v>
      </c>
      <c r="G18" s="12">
        <f>output_NHTS!G37/SUM(output_NHTS!G$36:G$39)</f>
        <v>0</v>
      </c>
      <c r="H18" s="12">
        <f>output_NHTS!H37/SUM(output_NHTS!H$36:H$39)</f>
        <v>0</v>
      </c>
      <c r="I18" s="12">
        <f>output_NHTS!I37/SUM(output_NHTS!I$36:I$39)</f>
        <v>0</v>
      </c>
      <c r="J18" s="12">
        <f>output_NHTS!J37/SUM(output_NHTS!J$36:J$39)</f>
        <v>2.1815926148021003E-3</v>
      </c>
      <c r="L18" s="3" t="s">
        <v>235</v>
      </c>
      <c r="M18" s="42">
        <f>output!B37/SUM(output!B$36:B$39)</f>
        <v>0</v>
      </c>
      <c r="N18" s="42">
        <f>output!C37/SUM(output!C$36:C$39)</f>
        <v>0</v>
      </c>
      <c r="O18" s="42">
        <f>output!D37/SUM(output!D$36:D$39)</f>
        <v>0</v>
      </c>
      <c r="P18" s="42">
        <f>output!E37/SUM(output!E$36:E$39)</f>
        <v>0</v>
      </c>
      <c r="Q18" s="42">
        <f>output!F37/SUM(output!F$36:F$39)</f>
        <v>1.2120817177674237E-2</v>
      </c>
      <c r="R18" s="42">
        <f>output!G37/SUM(output!G$36:G$39)</f>
        <v>4.5531620925704956E-4</v>
      </c>
      <c r="S18" s="42">
        <f>output!H37/SUM(output!H$36:H$39)</f>
        <v>6.8958932303546605E-5</v>
      </c>
      <c r="T18" s="42">
        <f>output!I37/SUM(output!I$36:I$39)</f>
        <v>0</v>
      </c>
      <c r="U18" s="42">
        <f>output!J37/SUM(output!J$36:J$39)</f>
        <v>6.9090224256405182E-4</v>
      </c>
      <c r="W18" s="3" t="s">
        <v>235</v>
      </c>
      <c r="X18" s="12">
        <f t="shared" ref="X18:Y21" si="7">M18-B18</f>
        <v>-2.9270417220420993E-3</v>
      </c>
      <c r="Y18" s="12">
        <f t="shared" si="7"/>
        <v>-5.003305317653175E-3</v>
      </c>
      <c r="Z18" s="12"/>
      <c r="AA18" s="12">
        <f>P18-E18</f>
        <v>-1.703841657762535E-3</v>
      </c>
      <c r="AB18" s="12">
        <f t="shared" si="6"/>
        <v>1.3484047812452223E-3</v>
      </c>
      <c r="AC18" s="12">
        <f t="shared" si="6"/>
        <v>4.5531620925704956E-4</v>
      </c>
      <c r="AD18" s="12">
        <f t="shared" si="6"/>
        <v>6.8958932303546605E-5</v>
      </c>
      <c r="AE18" s="12">
        <f t="shared" si="6"/>
        <v>0</v>
      </c>
      <c r="AF18" s="12">
        <f>U18-J18</f>
        <v>-1.4906903722380484E-3</v>
      </c>
    </row>
    <row r="19" spans="1:32" x14ac:dyDescent="0.2">
      <c r="A19" s="3" t="s">
        <v>236</v>
      </c>
      <c r="B19" s="12">
        <f>output_NHTS!B38/SUM(output_NHTS!B$36:B$39)</f>
        <v>2.3612246554108674E-3</v>
      </c>
      <c r="C19" s="12">
        <f>output_NHTS!C38/SUM(output_NHTS!C$36:C$39)</f>
        <v>6.5388045037487838E-2</v>
      </c>
      <c r="D19" s="12">
        <f>output_NHTS!D38/SUM(output_NHTS!D$36:D$39)</f>
        <v>2.0512536890368535E-3</v>
      </c>
      <c r="E19" s="12">
        <f>output_NHTS!E38/SUM(output_NHTS!E$36:E$39)</f>
        <v>7.4819676258972803E-2</v>
      </c>
      <c r="F19" s="12">
        <f>output_NHTS!F38/SUM(output_NHTS!F$36:F$39)</f>
        <v>0.25845866428118569</v>
      </c>
      <c r="G19" s="12">
        <f>output_NHTS!G38/SUM(output_NHTS!G$36:G$39)</f>
        <v>0.71757285093128997</v>
      </c>
      <c r="H19" s="12">
        <f>output_NHTS!H38/SUM(output_NHTS!H$36:H$39)</f>
        <v>0.71095593865250784</v>
      </c>
      <c r="I19" s="12">
        <f>output_NHTS!I38/SUM(output_NHTS!I$36:I$39)</f>
        <v>0.16837755254687717</v>
      </c>
      <c r="J19" s="12">
        <f>output_NHTS!J38/SUM(output_NHTS!J$36:J$39)</f>
        <v>0.15359314402415281</v>
      </c>
      <c r="L19" s="3" t="s">
        <v>236</v>
      </c>
      <c r="M19" s="42">
        <f>output!B38/SUM(output!B$36:B$39)</f>
        <v>0</v>
      </c>
      <c r="N19" s="42">
        <f>output!C38/SUM(output!C$36:C$39)</f>
        <v>0</v>
      </c>
      <c r="O19" s="42">
        <f>output!D38/SUM(output!D$36:D$39)</f>
        <v>0</v>
      </c>
      <c r="P19" s="42">
        <f>output!E38/SUM(output!E$36:E$39)</f>
        <v>0</v>
      </c>
      <c r="Q19" s="42">
        <f>output!F38/SUM(output!F$36:F$39)</f>
        <v>0.46528949855006352</v>
      </c>
      <c r="R19" s="42">
        <f>output!G38/SUM(output!G$36:G$39)</f>
        <v>0.76975130314639206</v>
      </c>
      <c r="S19" s="42">
        <f>output!H38/SUM(output!H$36:H$39)</f>
        <v>0.699707720217698</v>
      </c>
      <c r="T19" s="42">
        <f>output!I38/SUM(output!I$36:I$39)</f>
        <v>0</v>
      </c>
      <c r="U19" s="42">
        <f>output!J38/SUM(output!J$36:J$39)</f>
        <v>0.13862890359767049</v>
      </c>
      <c r="W19" s="3" t="s">
        <v>236</v>
      </c>
      <c r="X19" s="12">
        <f t="shared" si="7"/>
        <v>-2.3612246554108674E-3</v>
      </c>
      <c r="Y19" s="12">
        <f t="shared" si="7"/>
        <v>-6.5388045037487838E-2</v>
      </c>
      <c r="Z19" s="12">
        <f>O19-D19</f>
        <v>-2.0512536890368535E-3</v>
      </c>
      <c r="AA19" s="12">
        <f>P19-E19</f>
        <v>-7.4819676258972803E-2</v>
      </c>
      <c r="AB19" s="12">
        <f t="shared" ref="AB19:AE21" si="8">Q19-F19</f>
        <v>0.20683083426887783</v>
      </c>
      <c r="AC19" s="12">
        <f t="shared" si="8"/>
        <v>5.2178452215102089E-2</v>
      </c>
      <c r="AD19" s="12">
        <f t="shared" si="8"/>
        <v>-1.1248218434809831E-2</v>
      </c>
      <c r="AE19" s="12">
        <f t="shared" si="8"/>
        <v>-0.16837755254687717</v>
      </c>
      <c r="AF19" s="12">
        <f>U19-J19</f>
        <v>-1.4964240426482311E-2</v>
      </c>
    </row>
    <row r="20" spans="1:32" x14ac:dyDescent="0.2">
      <c r="A20" s="8" t="s">
        <v>173</v>
      </c>
      <c r="B20" s="13">
        <f>output_NHTS!B39/SUM(output_NHTS!B$36:B$39)</f>
        <v>0</v>
      </c>
      <c r="C20" s="13">
        <f>output_NHTS!C39/SUM(output_NHTS!C$36:C$39)</f>
        <v>1.4927607313233617E-2</v>
      </c>
      <c r="D20" s="13">
        <f>output_NHTS!D39/SUM(output_NHTS!D$36:D$39)</f>
        <v>0</v>
      </c>
      <c r="E20" s="13">
        <f>output_NHTS!E39/SUM(output_NHTS!E$36:E$39)</f>
        <v>4.1898031402288179E-3</v>
      </c>
      <c r="F20" s="13">
        <f>output_NHTS!F39/SUM(output_NHTS!F$36:F$39)</f>
        <v>6.6629450568290352E-2</v>
      </c>
      <c r="G20" s="13">
        <f>output_NHTS!G39/SUM(output_NHTS!G$36:G$39)</f>
        <v>2.659527028896529E-2</v>
      </c>
      <c r="H20" s="13">
        <f>output_NHTS!H39/SUM(output_NHTS!H$36:H$39)</f>
        <v>3.6646718126538226E-2</v>
      </c>
      <c r="I20" s="13">
        <f>output_NHTS!I39/SUM(output_NHTS!I$36:I$39)</f>
        <v>0</v>
      </c>
      <c r="J20" s="13">
        <f>output_NHTS!J39/SUM(output_NHTS!J$36:J$39)</f>
        <v>9.8102851098197941E-3</v>
      </c>
      <c r="L20" s="8" t="s">
        <v>173</v>
      </c>
      <c r="M20" s="43">
        <f>output!B39/SUM(output!B$36:B$39)</f>
        <v>0</v>
      </c>
      <c r="N20" s="43">
        <f>output!C39/SUM(output!C$36:C$39)</f>
        <v>0</v>
      </c>
      <c r="O20" s="43">
        <f>output!D39/SUM(output!D$36:D$39)</f>
        <v>0</v>
      </c>
      <c r="P20" s="43">
        <f>output!E39/SUM(output!E$36:E$39)</f>
        <v>0</v>
      </c>
      <c r="Q20" s="43">
        <f>output!F39/SUM(output!F$36:F$39)</f>
        <v>8.2545371607311596E-2</v>
      </c>
      <c r="R20" s="43">
        <f>output!G39/SUM(output!G$36:G$39)</f>
        <v>0.12671921120391885</v>
      </c>
      <c r="S20" s="43">
        <f>output!H39/SUM(output!H$36:H$39)</f>
        <v>0.10365853658536585</v>
      </c>
      <c r="T20" s="43">
        <f>output!I39/SUM(output!I$36:I$39)</f>
        <v>0</v>
      </c>
      <c r="U20" s="43">
        <f>output!J39/SUM(output!J$36:J$39)</f>
        <v>2.1582487233641853E-2</v>
      </c>
      <c r="W20" s="8" t="s">
        <v>173</v>
      </c>
      <c r="X20" s="12">
        <f t="shared" si="7"/>
        <v>0</v>
      </c>
      <c r="Y20" s="12">
        <f t="shared" si="7"/>
        <v>-1.4927607313233617E-2</v>
      </c>
      <c r="Z20" s="12"/>
      <c r="AA20" s="12">
        <f>P20-E20</f>
        <v>-4.1898031402288179E-3</v>
      </c>
      <c r="AB20" s="12">
        <f t="shared" si="8"/>
        <v>1.5915921039021244E-2</v>
      </c>
      <c r="AC20" s="12">
        <f t="shared" si="8"/>
        <v>0.10012394091495357</v>
      </c>
      <c r="AD20" s="12">
        <f t="shared" si="8"/>
        <v>6.7011818458827616E-2</v>
      </c>
      <c r="AE20" s="12">
        <f t="shared" si="8"/>
        <v>0</v>
      </c>
      <c r="AF20" s="12">
        <f>U20-J20</f>
        <v>1.1772202123822059E-2</v>
      </c>
    </row>
    <row r="21" spans="1:32" ht="13.5" thickBot="1" x14ac:dyDescent="0.25">
      <c r="A21" s="15" t="s">
        <v>221</v>
      </c>
      <c r="B21" s="44">
        <f>SUM(B17:B20)</f>
        <v>0.99999999999999989</v>
      </c>
      <c r="C21" s="44">
        <f t="shared" ref="C21:J21" si="9">SUM(C17:C20)</f>
        <v>0.99999999999999989</v>
      </c>
      <c r="D21" s="44">
        <f t="shared" si="9"/>
        <v>1</v>
      </c>
      <c r="E21" s="44">
        <f t="shared" si="9"/>
        <v>1</v>
      </c>
      <c r="F21" s="44">
        <f t="shared" si="9"/>
        <v>1</v>
      </c>
      <c r="G21" s="44">
        <f t="shared" si="9"/>
        <v>1.0000000000000002</v>
      </c>
      <c r="H21" s="44">
        <f t="shared" si="9"/>
        <v>1</v>
      </c>
      <c r="I21" s="44">
        <f t="shared" si="9"/>
        <v>1</v>
      </c>
      <c r="J21" s="44">
        <f t="shared" si="9"/>
        <v>1</v>
      </c>
      <c r="L21" s="15" t="s">
        <v>221</v>
      </c>
      <c r="M21" s="44">
        <f>SUM(M17:M20)</f>
        <v>1</v>
      </c>
      <c r="N21" s="44">
        <f t="shared" ref="N21:U21" si="10">SUM(N17:N20)</f>
        <v>1</v>
      </c>
      <c r="O21" s="44">
        <f t="shared" si="10"/>
        <v>1</v>
      </c>
      <c r="P21" s="44">
        <f t="shared" si="10"/>
        <v>1</v>
      </c>
      <c r="Q21" s="44">
        <f t="shared" si="10"/>
        <v>0.99999999999999989</v>
      </c>
      <c r="R21" s="44">
        <f t="shared" si="10"/>
        <v>1</v>
      </c>
      <c r="S21" s="44">
        <f t="shared" si="10"/>
        <v>0.99999999999999989</v>
      </c>
      <c r="T21" s="44">
        <f t="shared" si="10"/>
        <v>1</v>
      </c>
      <c r="U21" s="44">
        <f t="shared" si="10"/>
        <v>1</v>
      </c>
      <c r="W21" s="15" t="s">
        <v>221</v>
      </c>
      <c r="X21" s="14">
        <f t="shared" si="7"/>
        <v>0</v>
      </c>
      <c r="Y21" s="14">
        <f t="shared" si="7"/>
        <v>0</v>
      </c>
      <c r="Z21" s="14">
        <f>O21-D21</f>
        <v>0</v>
      </c>
      <c r="AA21" s="14">
        <f>P21-E21</f>
        <v>0</v>
      </c>
      <c r="AB21" s="14">
        <f t="shared" si="8"/>
        <v>0</v>
      </c>
      <c r="AC21" s="14">
        <f t="shared" si="8"/>
        <v>0</v>
      </c>
      <c r="AD21" s="14">
        <f t="shared" si="8"/>
        <v>0</v>
      </c>
      <c r="AE21" s="14">
        <f t="shared" si="8"/>
        <v>0</v>
      </c>
      <c r="AF21" s="14">
        <f>U21-J21</f>
        <v>0</v>
      </c>
    </row>
    <row r="25" spans="1:32" x14ac:dyDescent="0.2">
      <c r="A25" s="2" t="s">
        <v>175</v>
      </c>
      <c r="L25" s="2" t="s">
        <v>175</v>
      </c>
      <c r="W25" s="2" t="s">
        <v>175</v>
      </c>
    </row>
    <row r="26" spans="1:32" x14ac:dyDescent="0.2">
      <c r="A26" s="2" t="s">
        <v>189</v>
      </c>
      <c r="L26" s="2" t="s">
        <v>82</v>
      </c>
      <c r="W26" s="2" t="s">
        <v>12</v>
      </c>
    </row>
    <row r="27" spans="1:32" ht="13.5" thickBot="1" x14ac:dyDescent="0.25"/>
    <row r="28" spans="1:32" x14ac:dyDescent="0.2">
      <c r="A28" s="5" t="s">
        <v>174</v>
      </c>
      <c r="B28" s="6" t="s">
        <v>146</v>
      </c>
      <c r="C28" s="6" t="s">
        <v>147</v>
      </c>
      <c r="D28" s="6" t="s">
        <v>148</v>
      </c>
      <c r="E28" s="6" t="s">
        <v>243</v>
      </c>
      <c r="F28" s="6" t="s">
        <v>244</v>
      </c>
      <c r="G28" s="6" t="s">
        <v>245</v>
      </c>
      <c r="H28" s="6" t="s">
        <v>246</v>
      </c>
      <c r="I28" s="6" t="s">
        <v>170</v>
      </c>
      <c r="J28" s="6" t="s">
        <v>221</v>
      </c>
      <c r="L28" s="5" t="s">
        <v>174</v>
      </c>
      <c r="M28" s="41" t="s">
        <v>146</v>
      </c>
      <c r="N28" s="41" t="s">
        <v>147</v>
      </c>
      <c r="O28" s="41" t="s">
        <v>148</v>
      </c>
      <c r="P28" s="41" t="s">
        <v>243</v>
      </c>
      <c r="Q28" s="41" t="s">
        <v>244</v>
      </c>
      <c r="R28" s="41" t="s">
        <v>245</v>
      </c>
      <c r="S28" s="41" t="s">
        <v>246</v>
      </c>
      <c r="T28" s="41" t="s">
        <v>170</v>
      </c>
      <c r="U28" s="41" t="s">
        <v>221</v>
      </c>
      <c r="W28" s="5" t="s">
        <v>174</v>
      </c>
      <c r="X28" s="6" t="s">
        <v>146</v>
      </c>
      <c r="Y28" s="6" t="s">
        <v>147</v>
      </c>
      <c r="Z28" s="6" t="s">
        <v>148</v>
      </c>
      <c r="AA28" s="6" t="s">
        <v>243</v>
      </c>
      <c r="AB28" s="6" t="s">
        <v>244</v>
      </c>
      <c r="AC28" s="6" t="s">
        <v>245</v>
      </c>
      <c r="AD28" s="6" t="s">
        <v>246</v>
      </c>
      <c r="AE28" s="6" t="s">
        <v>170</v>
      </c>
      <c r="AF28" s="6" t="s">
        <v>221</v>
      </c>
    </row>
    <row r="29" spans="1:32" x14ac:dyDescent="0.2">
      <c r="A29" s="3" t="s">
        <v>226</v>
      </c>
      <c r="B29" s="12">
        <f>output_NHTS!B43/SUM(output_NHTS!B$43:B$46)</f>
        <v>0.83463974591606527</v>
      </c>
      <c r="C29" s="12">
        <f>output_NHTS!C43/SUM(output_NHTS!C$43:C$46)</f>
        <v>0.79334885607756678</v>
      </c>
      <c r="D29" s="12">
        <f>output_NHTS!D43/SUM(output_NHTS!D$43:D$46)</f>
        <v>0.89739907333419133</v>
      </c>
      <c r="E29" s="12">
        <f>output_NHTS!E43/SUM(output_NHTS!E$43:E$46)</f>
        <v>0.81425149249578421</v>
      </c>
      <c r="F29" s="12">
        <f>output_NHTS!F43/SUM(output_NHTS!F$43:F$46)</f>
        <v>0.87853111208116041</v>
      </c>
      <c r="G29" s="12">
        <f>output_NHTS!G43/SUM(output_NHTS!G$43:G$46)</f>
        <v>0.90835119064904213</v>
      </c>
      <c r="H29" s="12">
        <f>output_NHTS!H43/SUM(output_NHTS!H$43:H$46)</f>
        <v>0.8730011808463769</v>
      </c>
      <c r="I29" s="12">
        <f>output_NHTS!I43/SUM(output_NHTS!I$43:I$46)</f>
        <v>0.84678849054414862</v>
      </c>
      <c r="J29" s="12">
        <f>output_NHTS!J43/SUM(output_NHTS!J$43:J$46)</f>
        <v>0.84320739706099945</v>
      </c>
      <c r="L29" s="3" t="s">
        <v>226</v>
      </c>
      <c r="M29" s="42">
        <f>output!B43/SUM(output!B$43:B$46)</f>
        <v>0.68617169495694508</v>
      </c>
      <c r="N29" s="42">
        <f>output!C43/SUM(output!C$43:C$46)</f>
        <v>0.76763405377448513</v>
      </c>
      <c r="O29" s="42">
        <f>output!D43/SUM(output!D$43:D$46)</f>
        <v>0.88450008929254786</v>
      </c>
      <c r="P29" s="42">
        <f>output!E43/SUM(output!E$43:E$46)</f>
        <v>0.72465211669154073</v>
      </c>
      <c r="Q29" s="42">
        <f>output!F43/SUM(output!F$43:F$46)</f>
        <v>0.80735068912710561</v>
      </c>
      <c r="R29" s="42">
        <f>output!G43/SUM(output!G$43:G$46)</f>
        <v>0.90763361175657853</v>
      </c>
      <c r="S29" s="42">
        <f>output!H43/SUM(output!H$43:H$46)</f>
        <v>0.91733150150118292</v>
      </c>
      <c r="T29" s="42">
        <f>output!I43/SUM(output!I$43:I$46)</f>
        <v>0.71439749177608924</v>
      </c>
      <c r="U29" s="42">
        <f>output!J43/SUM(output!J$43:J$46)</f>
        <v>0.76602009280819472</v>
      </c>
      <c r="W29" s="3" t="s">
        <v>226</v>
      </c>
      <c r="X29" s="12">
        <f t="shared" ref="X29:AD33" si="11">M29-B29</f>
        <v>-0.14846805095912019</v>
      </c>
      <c r="Y29" s="12">
        <f t="shared" si="11"/>
        <v>-2.5714802303081652E-2</v>
      </c>
      <c r="Z29" s="12">
        <f t="shared" si="11"/>
        <v>-1.2898984041643469E-2</v>
      </c>
      <c r="AA29" s="12">
        <f t="shared" si="11"/>
        <v>-8.9599375804243486E-2</v>
      </c>
      <c r="AB29" s="12">
        <f t="shared" si="11"/>
        <v>-7.1180422954054801E-2</v>
      </c>
      <c r="AC29" s="12">
        <f t="shared" si="11"/>
        <v>-7.1757889246359952E-4</v>
      </c>
      <c r="AD29" s="12">
        <f t="shared" si="11"/>
        <v>4.4330320654806021E-2</v>
      </c>
      <c r="AE29" s="12">
        <f t="shared" ref="AE29:AF33" si="12">T29-I29</f>
        <v>-0.13239099876805938</v>
      </c>
      <c r="AF29" s="12">
        <f t="shared" si="12"/>
        <v>-7.7187304252804734E-2</v>
      </c>
    </row>
    <row r="30" spans="1:32" x14ac:dyDescent="0.2">
      <c r="A30" s="3" t="s">
        <v>235</v>
      </c>
      <c r="B30" s="12">
        <f>output_NHTS!B44/SUM(output_NHTS!B$43:B$46)</f>
        <v>8.7547228559135951E-2</v>
      </c>
      <c r="C30" s="12">
        <f>output_NHTS!C44/SUM(output_NHTS!C$43:C$46)</f>
        <v>6.0905930687077836E-2</v>
      </c>
      <c r="D30" s="12">
        <f>output_NHTS!D44/SUM(output_NHTS!D$43:D$46)</f>
        <v>2.5110483890991519E-3</v>
      </c>
      <c r="E30" s="12">
        <f>output_NHTS!E44/SUM(output_NHTS!E$43:E$46)</f>
        <v>1.5148734448145627E-2</v>
      </c>
      <c r="F30" s="12">
        <f>output_NHTS!F44/SUM(output_NHTS!F$43:F$46)</f>
        <v>5.747909441304451E-2</v>
      </c>
      <c r="G30" s="12">
        <f>output_NHTS!G44/SUM(output_NHTS!G$43:G$46)</f>
        <v>2.3905503265710133E-2</v>
      </c>
      <c r="H30" s="12">
        <f>output_NHTS!H44/SUM(output_NHTS!H$43:H$46)</f>
        <v>8.1647748377138785E-2</v>
      </c>
      <c r="I30" s="12">
        <f>output_NHTS!I44/SUM(output_NHTS!I$43:I$46)</f>
        <v>3.6120327296163816E-2</v>
      </c>
      <c r="J30" s="12">
        <f>output_NHTS!J44/SUM(output_NHTS!J$43:J$46)</f>
        <v>5.7576741952097402E-2</v>
      </c>
      <c r="L30" s="3" t="s">
        <v>235</v>
      </c>
      <c r="M30" s="42">
        <f>output!B44/SUM(output!B$43:B$46)</f>
        <v>0.19474772925926698</v>
      </c>
      <c r="N30" s="42">
        <f>output!C44/SUM(output!C$43:C$46)</f>
        <v>7.2335496842151265E-2</v>
      </c>
      <c r="O30" s="42">
        <f>output!D44/SUM(output!D$43:D$46)</f>
        <v>7.1880501058754495E-3</v>
      </c>
      <c r="P30" s="42">
        <f>output!E44/SUM(output!E$43:E$46)</f>
        <v>1.6896956000640086E-2</v>
      </c>
      <c r="Q30" s="42">
        <f>output!F44/SUM(output!F$43:F$46)</f>
        <v>0.15242253429344108</v>
      </c>
      <c r="R30" s="42">
        <f>output!G44/SUM(output!G$43:G$46)</f>
        <v>4.9064246687182067E-2</v>
      </c>
      <c r="S30" s="42">
        <f>output!H44/SUM(output!H$43:H$46)</f>
        <v>2.8607347839463605E-2</v>
      </c>
      <c r="T30" s="42">
        <f>output!I44/SUM(output!I$43:I$46)</f>
        <v>1.709251004226291E-2</v>
      </c>
      <c r="U30" s="42">
        <f>output!J44/SUM(output!J$43:J$46)</f>
        <v>0.10183177486472386</v>
      </c>
      <c r="W30" s="3" t="s">
        <v>235</v>
      </c>
      <c r="X30" s="12">
        <f t="shared" si="11"/>
        <v>0.10720050070013103</v>
      </c>
      <c r="Y30" s="12">
        <f t="shared" si="11"/>
        <v>1.1429566155073428E-2</v>
      </c>
      <c r="Z30" s="12">
        <f t="shared" si="11"/>
        <v>4.6770017167762981E-3</v>
      </c>
      <c r="AA30" s="12">
        <f t="shared" si="11"/>
        <v>1.7482215524944594E-3</v>
      </c>
      <c r="AB30" s="12">
        <f t="shared" si="11"/>
        <v>9.4943439880396566E-2</v>
      </c>
      <c r="AC30" s="12">
        <f t="shared" si="11"/>
        <v>2.5158743421471935E-2</v>
      </c>
      <c r="AD30" s="12">
        <f t="shared" si="11"/>
        <v>-5.3040400537675184E-2</v>
      </c>
      <c r="AE30" s="12">
        <f t="shared" si="12"/>
        <v>-1.9027817253900906E-2</v>
      </c>
      <c r="AF30" s="12">
        <f t="shared" si="12"/>
        <v>4.425503291262646E-2</v>
      </c>
    </row>
    <row r="31" spans="1:32" x14ac:dyDescent="0.2">
      <c r="A31" s="3" t="s">
        <v>236</v>
      </c>
      <c r="B31" s="12">
        <f>output_NHTS!B45/SUM(output_NHTS!B$43:B$46)</f>
        <v>5.315713340293865E-2</v>
      </c>
      <c r="C31" s="12">
        <f>output_NHTS!C45/SUM(output_NHTS!C$43:C$46)</f>
        <v>0.10140507727678112</v>
      </c>
      <c r="D31" s="12">
        <f>output_NHTS!D45/SUM(output_NHTS!D$43:D$46)</f>
        <v>7.3489567628219357E-2</v>
      </c>
      <c r="E31" s="12">
        <f>output_NHTS!E45/SUM(output_NHTS!E$43:E$46)</f>
        <v>0.12388195623941836</v>
      </c>
      <c r="F31" s="12">
        <f>output_NHTS!F45/SUM(output_NHTS!F$43:F$46)</f>
        <v>4.6273223183992025E-2</v>
      </c>
      <c r="G31" s="12">
        <f>output_NHTS!G45/SUM(output_NHTS!G$43:G$46)</f>
        <v>5.4950862779150997E-2</v>
      </c>
      <c r="H31" s="12">
        <f>output_NHTS!H45/SUM(output_NHTS!H$43:H$46)</f>
        <v>3.831461302861993E-2</v>
      </c>
      <c r="I31" s="12">
        <f>output_NHTS!I45/SUM(output_NHTS!I$43:I$46)</f>
        <v>6.9153718498648001E-2</v>
      </c>
      <c r="J31" s="12">
        <f>output_NHTS!J45/SUM(output_NHTS!J$43:J$46)</f>
        <v>7.0154984653035893E-2</v>
      </c>
      <c r="L31" s="3" t="s">
        <v>236</v>
      </c>
      <c r="M31" s="42">
        <f>output!B45/SUM(output!B$43:B$46)</f>
        <v>6.7833131983883577E-2</v>
      </c>
      <c r="N31" s="42">
        <f>output!C45/SUM(output!C$43:C$46)</f>
        <v>0.11567487634490847</v>
      </c>
      <c r="O31" s="42">
        <f>output!D45/SUM(output!D$43:D$46)</f>
        <v>8.6396918131489656E-2</v>
      </c>
      <c r="P31" s="42">
        <f>output!E45/SUM(output!E$43:E$46)</f>
        <v>0.20531401755010467</v>
      </c>
      <c r="Q31" s="42">
        <f>output!F45/SUM(output!F$43:F$46)</f>
        <v>2.2136782770193215E-2</v>
      </c>
      <c r="R31" s="42">
        <f>output!G45/SUM(output!G$43:G$46)</f>
        <v>2.6204232870690198E-2</v>
      </c>
      <c r="S31" s="42">
        <f>output!H45/SUM(output!H$43:H$46)</f>
        <v>3.7357175442132844E-2</v>
      </c>
      <c r="T31" s="42">
        <f>output!I45/SUM(output!I$43:I$46)</f>
        <v>0.21402004595471752</v>
      </c>
      <c r="U31" s="42">
        <f>output!J45/SUM(output!J$43:J$46)</f>
        <v>9.1800162930262524E-2</v>
      </c>
      <c r="W31" s="3" t="s">
        <v>236</v>
      </c>
      <c r="X31" s="12">
        <f t="shared" si="11"/>
        <v>1.4675998580944927E-2</v>
      </c>
      <c r="Y31" s="12">
        <f t="shared" si="11"/>
        <v>1.4269799068127351E-2</v>
      </c>
      <c r="Z31" s="12">
        <f t="shared" si="11"/>
        <v>1.2907350503270298E-2</v>
      </c>
      <c r="AA31" s="12">
        <f t="shared" si="11"/>
        <v>8.143206131068631E-2</v>
      </c>
      <c r="AB31" s="12">
        <f t="shared" si="11"/>
        <v>-2.413644041379881E-2</v>
      </c>
      <c r="AC31" s="12">
        <f t="shared" si="11"/>
        <v>-2.8746629908460799E-2</v>
      </c>
      <c r="AD31" s="12">
        <f t="shared" si="11"/>
        <v>-9.5743758648708654E-4</v>
      </c>
      <c r="AE31" s="12">
        <f t="shared" si="12"/>
        <v>0.14486632745606953</v>
      </c>
      <c r="AF31" s="12">
        <f t="shared" si="12"/>
        <v>2.1645178277226632E-2</v>
      </c>
    </row>
    <row r="32" spans="1:32" x14ac:dyDescent="0.2">
      <c r="A32" s="8" t="s">
        <v>173</v>
      </c>
      <c r="B32" s="13">
        <f>output_NHTS!B46/SUM(output_NHTS!B$43:B$46)</f>
        <v>2.4655892121860132E-2</v>
      </c>
      <c r="C32" s="13">
        <f>output_NHTS!C46/SUM(output_NHTS!C$43:C$46)</f>
        <v>4.4340135958574341E-2</v>
      </c>
      <c r="D32" s="13">
        <f>output_NHTS!D46/SUM(output_NHTS!D$43:D$46)</f>
        <v>2.6600310648490062E-2</v>
      </c>
      <c r="E32" s="13">
        <f>output_NHTS!E46/SUM(output_NHTS!E$43:E$46)</f>
        <v>4.6717816816651866E-2</v>
      </c>
      <c r="F32" s="13">
        <f>output_NHTS!F46/SUM(output_NHTS!F$43:F$46)</f>
        <v>1.7716570321802971E-2</v>
      </c>
      <c r="G32" s="13">
        <f>output_NHTS!G46/SUM(output_NHTS!G$43:G$46)</f>
        <v>1.2792443306096739E-2</v>
      </c>
      <c r="H32" s="13">
        <f>output_NHTS!H46/SUM(output_NHTS!H$43:H$46)</f>
        <v>7.0364577478644382E-3</v>
      </c>
      <c r="I32" s="13">
        <f>output_NHTS!I46/SUM(output_NHTS!I$43:I$46)</f>
        <v>4.7937463661039632E-2</v>
      </c>
      <c r="J32" s="13">
        <f>output_NHTS!J46/SUM(output_NHTS!J$43:J$46)</f>
        <v>2.9060876333867076E-2</v>
      </c>
      <c r="L32" s="8" t="s">
        <v>173</v>
      </c>
      <c r="M32" s="43">
        <f>output!B46/SUM(output!B$43:B$46)</f>
        <v>5.1247443799904334E-2</v>
      </c>
      <c r="N32" s="43">
        <f>output!C46/SUM(output!C$43:C$46)</f>
        <v>4.4355573038455096E-2</v>
      </c>
      <c r="O32" s="43">
        <f>output!D46/SUM(output!D$43:D$46)</f>
        <v>2.1914942470086997E-2</v>
      </c>
      <c r="P32" s="43">
        <f>output!E46/SUM(output!E$43:E$46)</f>
        <v>5.3136909757714505E-2</v>
      </c>
      <c r="Q32" s="43">
        <f>output!F46/SUM(output!F$43:F$46)</f>
        <v>1.8089993809260043E-2</v>
      </c>
      <c r="R32" s="43">
        <f>output!G46/SUM(output!G$43:G$46)</f>
        <v>1.7097908685549206E-2</v>
      </c>
      <c r="S32" s="43">
        <f>output!H46/SUM(output!H$43:H$46)</f>
        <v>1.6703975217220637E-2</v>
      </c>
      <c r="T32" s="43">
        <f>output!I46/SUM(output!I$43:I$46)</f>
        <v>5.4489952226930344E-2</v>
      </c>
      <c r="U32" s="43">
        <f>output!J46/SUM(output!J$43:J$46)</f>
        <v>4.0347969396818895E-2</v>
      </c>
      <c r="W32" s="8" t="s">
        <v>173</v>
      </c>
      <c r="X32" s="12">
        <f t="shared" si="11"/>
        <v>2.6591551678044202E-2</v>
      </c>
      <c r="Y32" s="12">
        <f t="shared" si="11"/>
        <v>1.5437079880754878E-5</v>
      </c>
      <c r="Z32" s="12">
        <f t="shared" si="11"/>
        <v>-4.6853681784030654E-3</v>
      </c>
      <c r="AA32" s="12">
        <f t="shared" si="11"/>
        <v>6.4190929410626388E-3</v>
      </c>
      <c r="AB32" s="12">
        <f t="shared" si="11"/>
        <v>3.7342348745707243E-4</v>
      </c>
      <c r="AC32" s="12">
        <f t="shared" si="11"/>
        <v>4.3054653794524674E-3</v>
      </c>
      <c r="AD32" s="12">
        <f t="shared" si="11"/>
        <v>9.6675174693561985E-3</v>
      </c>
      <c r="AE32" s="12">
        <f t="shared" si="12"/>
        <v>6.5524885658907114E-3</v>
      </c>
      <c r="AF32" s="12">
        <f t="shared" si="12"/>
        <v>1.1287093062951819E-2</v>
      </c>
    </row>
    <row r="33" spans="1:32" ht="13.5" thickBot="1" x14ac:dyDescent="0.25">
      <c r="A33" s="15" t="s">
        <v>221</v>
      </c>
      <c r="B33" s="44">
        <f>SUM(B29:B32)</f>
        <v>1</v>
      </c>
      <c r="C33" s="44">
        <f t="shared" ref="C33:J33" si="13">SUM(C29:C32)</f>
        <v>1.0000000000000002</v>
      </c>
      <c r="D33" s="44">
        <f t="shared" si="13"/>
        <v>0.99999999999999989</v>
      </c>
      <c r="E33" s="44">
        <f t="shared" si="13"/>
        <v>1</v>
      </c>
      <c r="F33" s="44">
        <f t="shared" si="13"/>
        <v>1</v>
      </c>
      <c r="G33" s="44">
        <f t="shared" si="13"/>
        <v>1</v>
      </c>
      <c r="H33" s="44">
        <f t="shared" si="13"/>
        <v>1</v>
      </c>
      <c r="I33" s="44">
        <f t="shared" si="13"/>
        <v>1</v>
      </c>
      <c r="J33" s="44">
        <f t="shared" si="13"/>
        <v>0.99999999999999989</v>
      </c>
      <c r="L33" s="15" t="s">
        <v>221</v>
      </c>
      <c r="M33" s="44">
        <f>SUM(M29:M32)</f>
        <v>0.99999999999999989</v>
      </c>
      <c r="N33" s="44">
        <f t="shared" ref="N33:U33" si="14">SUM(N29:N32)</f>
        <v>0.99999999999999989</v>
      </c>
      <c r="O33" s="44">
        <f t="shared" si="14"/>
        <v>0.99999999999999989</v>
      </c>
      <c r="P33" s="44">
        <f t="shared" si="14"/>
        <v>1</v>
      </c>
      <c r="Q33" s="44">
        <f t="shared" si="14"/>
        <v>1</v>
      </c>
      <c r="R33" s="44">
        <f t="shared" si="14"/>
        <v>1</v>
      </c>
      <c r="S33" s="44">
        <f t="shared" si="14"/>
        <v>1</v>
      </c>
      <c r="T33" s="44">
        <f t="shared" si="14"/>
        <v>0.99999999999999989</v>
      </c>
      <c r="U33" s="44">
        <f t="shared" si="14"/>
        <v>1</v>
      </c>
      <c r="W33" s="15" t="s">
        <v>221</v>
      </c>
      <c r="X33" s="14">
        <f t="shared" si="11"/>
        <v>0</v>
      </c>
      <c r="Y33" s="14">
        <f t="shared" si="11"/>
        <v>0</v>
      </c>
      <c r="Z33" s="14">
        <f t="shared" si="11"/>
        <v>0</v>
      </c>
      <c r="AA33" s="14">
        <f t="shared" si="11"/>
        <v>0</v>
      </c>
      <c r="AB33" s="14">
        <f t="shared" si="11"/>
        <v>0</v>
      </c>
      <c r="AC33" s="14">
        <f t="shared" si="11"/>
        <v>0</v>
      </c>
      <c r="AD33" s="14">
        <f t="shared" si="11"/>
        <v>0</v>
      </c>
      <c r="AE33" s="14">
        <f t="shared" si="12"/>
        <v>0</v>
      </c>
      <c r="AF33" s="14">
        <f t="shared" si="12"/>
        <v>0</v>
      </c>
    </row>
    <row r="34" spans="1:32" x14ac:dyDescent="0.2">
      <c r="A34" s="25"/>
      <c r="B34" s="26"/>
      <c r="C34" s="26"/>
      <c r="D34" s="26"/>
      <c r="E34" s="26"/>
      <c r="F34" s="26"/>
      <c r="G34" s="26"/>
      <c r="H34" s="26"/>
      <c r="I34" s="26"/>
      <c r="J34" s="26"/>
      <c r="L34" s="25"/>
      <c r="M34" s="45"/>
      <c r="N34" s="45"/>
      <c r="O34" s="45"/>
      <c r="P34" s="45"/>
      <c r="Q34" s="45"/>
      <c r="R34" s="45"/>
      <c r="S34" s="45"/>
      <c r="T34" s="45"/>
      <c r="U34" s="45"/>
      <c r="W34" s="25"/>
      <c r="X34" s="26"/>
      <c r="Y34" s="26"/>
      <c r="Z34" s="26"/>
      <c r="AA34" s="26"/>
      <c r="AB34" s="26"/>
      <c r="AC34" s="26"/>
      <c r="AD34" s="26"/>
      <c r="AE34" s="26"/>
      <c r="AF34" s="26"/>
    </row>
    <row r="37" spans="1:32" x14ac:dyDescent="0.2">
      <c r="A37" s="2" t="s">
        <v>175</v>
      </c>
      <c r="L37" s="2" t="s">
        <v>175</v>
      </c>
      <c r="W37" s="2" t="s">
        <v>175</v>
      </c>
    </row>
    <row r="38" spans="1:32" x14ac:dyDescent="0.2">
      <c r="A38" s="2" t="s">
        <v>190</v>
      </c>
      <c r="L38" s="2" t="s">
        <v>201</v>
      </c>
      <c r="W38" s="2" t="s">
        <v>13</v>
      </c>
    </row>
    <row r="39" spans="1:32" ht="13.5" thickBot="1" x14ac:dyDescent="0.25"/>
    <row r="40" spans="1:32" x14ac:dyDescent="0.2">
      <c r="A40" s="5" t="s">
        <v>174</v>
      </c>
      <c r="B40" s="6" t="s">
        <v>146</v>
      </c>
      <c r="C40" s="6" t="s">
        <v>147</v>
      </c>
      <c r="D40" s="6" t="s">
        <v>148</v>
      </c>
      <c r="E40" s="6" t="s">
        <v>243</v>
      </c>
      <c r="F40" s="6" t="s">
        <v>244</v>
      </c>
      <c r="G40" s="6" t="s">
        <v>245</v>
      </c>
      <c r="H40" s="6" t="s">
        <v>246</v>
      </c>
      <c r="I40" s="6" t="s">
        <v>170</v>
      </c>
      <c r="J40" s="6" t="s">
        <v>221</v>
      </c>
      <c r="L40" s="5" t="s">
        <v>174</v>
      </c>
      <c r="M40" s="41" t="s">
        <v>146</v>
      </c>
      <c r="N40" s="41" t="s">
        <v>147</v>
      </c>
      <c r="O40" s="41" t="s">
        <v>148</v>
      </c>
      <c r="P40" s="41" t="s">
        <v>243</v>
      </c>
      <c r="Q40" s="41" t="s">
        <v>244</v>
      </c>
      <c r="R40" s="41" t="s">
        <v>245</v>
      </c>
      <c r="S40" s="41" t="s">
        <v>246</v>
      </c>
      <c r="T40" s="41" t="s">
        <v>170</v>
      </c>
      <c r="U40" s="41" t="s">
        <v>221</v>
      </c>
      <c r="W40" s="5" t="s">
        <v>174</v>
      </c>
      <c r="X40" s="6" t="s">
        <v>146</v>
      </c>
      <c r="Y40" s="6" t="s">
        <v>147</v>
      </c>
      <c r="Z40" s="6" t="s">
        <v>148</v>
      </c>
      <c r="AA40" s="6" t="s">
        <v>243</v>
      </c>
      <c r="AB40" s="6" t="s">
        <v>244</v>
      </c>
      <c r="AC40" s="6" t="s">
        <v>245</v>
      </c>
      <c r="AD40" s="6" t="s">
        <v>246</v>
      </c>
      <c r="AE40" s="6" t="s">
        <v>170</v>
      </c>
      <c r="AF40" s="6" t="s">
        <v>221</v>
      </c>
    </row>
    <row r="41" spans="1:32" x14ac:dyDescent="0.2">
      <c r="A41" s="3" t="s">
        <v>226</v>
      </c>
      <c r="B41" s="12">
        <f>output_NHTS!B50/SUM(output_NHTS!B$50:B$53)</f>
        <v>0.78419181139013616</v>
      </c>
      <c r="C41" s="12">
        <f>output_NHTS!C50/SUM(output_NHTS!C$50:C$53)</f>
        <v>0.67906865409889472</v>
      </c>
      <c r="D41" s="12">
        <f>output_NHTS!D50/SUM(output_NHTS!D$50:D$53)</f>
        <v>0.56311384813737719</v>
      </c>
      <c r="E41" s="12">
        <f>output_NHTS!E50/SUM(output_NHTS!E$50:E$53)</f>
        <v>0.64850408980822261</v>
      </c>
      <c r="F41" s="12">
        <f>output_NHTS!F50/SUM(output_NHTS!F$50:F$53)</f>
        <v>0.73114273635894367</v>
      </c>
      <c r="G41" s="12">
        <f>output_NHTS!G50/SUM(output_NHTS!G$50:G$53)</f>
        <v>0.88395943145190126</v>
      </c>
      <c r="H41" s="12">
        <f>output_NHTS!H50/SUM(output_NHTS!H$50:H$53)</f>
        <v>0.81366805254522523</v>
      </c>
      <c r="I41" s="12">
        <f>output_NHTS!I50/SUM(output_NHTS!I$50:I$53)</f>
        <v>0.72517323432615088</v>
      </c>
      <c r="J41" s="12">
        <f>output_NHTS!J50/SUM(output_NHTS!J$50:J$53)</f>
        <v>0.72963440718592976</v>
      </c>
      <c r="L41" s="3" t="s">
        <v>226</v>
      </c>
      <c r="M41" s="42">
        <f>output!B50/SUM(output!B$50:B$53)</f>
        <v>0.61159191927626744</v>
      </c>
      <c r="N41" s="42">
        <f>output!C50/SUM(output!C$50:C$53)</f>
        <v>0.5681468854942926</v>
      </c>
      <c r="O41" s="42">
        <f>output!D50/SUM(output!D$50:D$53)</f>
        <v>0.4641075847641401</v>
      </c>
      <c r="P41" s="42">
        <f>output!E50/SUM(output!E$50:E$53)</f>
        <v>0.51318543870363054</v>
      </c>
      <c r="Q41" s="42">
        <f>output!F50/SUM(output!F$50:F$53)</f>
        <v>0.69744876348115081</v>
      </c>
      <c r="R41" s="42">
        <f>output!G50/SUM(output!G$50:G$53)</f>
        <v>0.86076744332098221</v>
      </c>
      <c r="S41" s="42">
        <f>output!H50/SUM(output!H$50:H$53)</f>
        <v>0.75184862983906042</v>
      </c>
      <c r="T41" s="42">
        <f>output!I50/SUM(output!I$50:I$53)</f>
        <v>0.51702914322553628</v>
      </c>
      <c r="U41" s="42">
        <f>output!J50/SUM(output!J$50:J$53)</f>
        <v>0.60309812832237386</v>
      </c>
      <c r="W41" s="3" t="s">
        <v>226</v>
      </c>
      <c r="X41" s="12">
        <f t="shared" ref="X41:AD45" si="15">M41-B41</f>
        <v>-0.17259989211386872</v>
      </c>
      <c r="Y41" s="12">
        <f t="shared" si="15"/>
        <v>-0.11092176860460212</v>
      </c>
      <c r="Z41" s="12">
        <f t="shared" si="15"/>
        <v>-9.9006263373237091E-2</v>
      </c>
      <c r="AA41" s="12">
        <f t="shared" si="15"/>
        <v>-0.13531865110459207</v>
      </c>
      <c r="AB41" s="12">
        <f t="shared" si="15"/>
        <v>-3.3693972877792855E-2</v>
      </c>
      <c r="AC41" s="12">
        <f t="shared" si="15"/>
        <v>-2.319198813091905E-2</v>
      </c>
      <c r="AD41" s="12">
        <f t="shared" si="15"/>
        <v>-6.1819422706164806E-2</v>
      </c>
      <c r="AE41" s="12">
        <f t="shared" ref="AE41:AF45" si="16">T41-I41</f>
        <v>-0.2081440911006146</v>
      </c>
      <c r="AF41" s="12">
        <f t="shared" si="16"/>
        <v>-0.1265362788635559</v>
      </c>
    </row>
    <row r="42" spans="1:32" x14ac:dyDescent="0.2">
      <c r="A42" s="3" t="s">
        <v>235</v>
      </c>
      <c r="B42" s="12">
        <f>output_NHTS!B51/SUM(output_NHTS!B$50:B$53)</f>
        <v>0.1411224438351516</v>
      </c>
      <c r="C42" s="12">
        <f>output_NHTS!C51/SUM(output_NHTS!C$50:C$53)</f>
        <v>0.16329613786772276</v>
      </c>
      <c r="D42" s="12">
        <f>output_NHTS!D51/SUM(output_NHTS!D$50:D$53)</f>
        <v>0.14694051958335205</v>
      </c>
      <c r="E42" s="12">
        <f>output_NHTS!E51/SUM(output_NHTS!E$50:E$53)</f>
        <v>0.13823899133929807</v>
      </c>
      <c r="F42" s="12">
        <f>output_NHTS!F51/SUM(output_NHTS!F$50:F$53)</f>
        <v>0.16121710915734008</v>
      </c>
      <c r="G42" s="12">
        <f>output_NHTS!G51/SUM(output_NHTS!G$50:G$53)</f>
        <v>6.8272539680308303E-2</v>
      </c>
      <c r="H42" s="12">
        <f>output_NHTS!H51/SUM(output_NHTS!H$50:H$53)</f>
        <v>0.1085428551592771</v>
      </c>
      <c r="I42" s="12">
        <f>output_NHTS!I51/SUM(output_NHTS!I$50:I$53)</f>
        <v>0.12520293906635444</v>
      </c>
      <c r="J42" s="12">
        <f>output_NHTS!J51/SUM(output_NHTS!J$50:J$53)</f>
        <v>0.13671246861711597</v>
      </c>
      <c r="L42" s="3" t="s">
        <v>235</v>
      </c>
      <c r="M42" s="42">
        <f>output!B51/SUM(output!B$50:B$53)</f>
        <v>0.29738965792982508</v>
      </c>
      <c r="N42" s="42">
        <f>output!C51/SUM(output!C$50:C$53)</f>
        <v>0.23353147286144074</v>
      </c>
      <c r="O42" s="42">
        <f>output!D51/SUM(output!D$50:D$53)</f>
        <v>0.18769931372298901</v>
      </c>
      <c r="P42" s="42">
        <f>output!E51/SUM(output!E$50:E$53)</f>
        <v>0.19716598793634413</v>
      </c>
      <c r="Q42" s="42">
        <f>output!F51/SUM(output!F$50:F$53)</f>
        <v>0.24880258056107654</v>
      </c>
      <c r="R42" s="42">
        <f>output!G51/SUM(output!G$50:G$53)</f>
        <v>8.7562017207812592E-2</v>
      </c>
      <c r="S42" s="42">
        <f>output!H51/SUM(output!H$50:H$53)</f>
        <v>0.13047295218493724</v>
      </c>
      <c r="T42" s="42">
        <f>output!I51/SUM(output!I$50:I$53)</f>
        <v>0.19918670068270858</v>
      </c>
      <c r="U42" s="42">
        <f>output!J51/SUM(output!J$50:J$53)</f>
        <v>0.23093524712653216</v>
      </c>
      <c r="W42" s="3" t="s">
        <v>235</v>
      </c>
      <c r="X42" s="12">
        <f t="shared" si="15"/>
        <v>0.15626721409467348</v>
      </c>
      <c r="Y42" s="12">
        <f t="shared" si="15"/>
        <v>7.0235334993717979E-2</v>
      </c>
      <c r="Z42" s="12">
        <f t="shared" si="15"/>
        <v>4.0758794139636956E-2</v>
      </c>
      <c r="AA42" s="12">
        <f t="shared" si="15"/>
        <v>5.8926996597046061E-2</v>
      </c>
      <c r="AB42" s="12">
        <f t="shared" si="15"/>
        <v>8.7585471403736459E-2</v>
      </c>
      <c r="AC42" s="12">
        <f t="shared" si="15"/>
        <v>1.928947752750429E-2</v>
      </c>
      <c r="AD42" s="12">
        <f t="shared" si="15"/>
        <v>2.1930097025660136E-2</v>
      </c>
      <c r="AE42" s="12">
        <f t="shared" si="16"/>
        <v>7.3983761616354143E-2</v>
      </c>
      <c r="AF42" s="12">
        <f t="shared" si="16"/>
        <v>9.4222778509416183E-2</v>
      </c>
    </row>
    <row r="43" spans="1:32" x14ac:dyDescent="0.2">
      <c r="A43" s="3" t="s">
        <v>236</v>
      </c>
      <c r="B43" s="12">
        <f>output_NHTS!B52/SUM(output_NHTS!B$50:B$53)</f>
        <v>5.0789012971194279E-2</v>
      </c>
      <c r="C43" s="12">
        <f>output_NHTS!C52/SUM(output_NHTS!C$50:C$53)</f>
        <v>9.4112249324185354E-2</v>
      </c>
      <c r="D43" s="12">
        <f>output_NHTS!D52/SUM(output_NHTS!D$50:D$53)</f>
        <v>0.1809874379185008</v>
      </c>
      <c r="E43" s="12">
        <f>output_NHTS!E52/SUM(output_NHTS!E$50:E$53)</f>
        <v>0.14075931400967703</v>
      </c>
      <c r="F43" s="12">
        <f>output_NHTS!F52/SUM(output_NHTS!F$50:F$53)</f>
        <v>7.5474344690515421E-2</v>
      </c>
      <c r="G43" s="12">
        <f>output_NHTS!G52/SUM(output_NHTS!G$50:G$53)</f>
        <v>3.6156177470182897E-2</v>
      </c>
      <c r="H43" s="12">
        <f>output_NHTS!H52/SUM(output_NHTS!H$50:H$53)</f>
        <v>5.6260959892405031E-2</v>
      </c>
      <c r="I43" s="12">
        <f>output_NHTS!I52/SUM(output_NHTS!I$50:I$53)</f>
        <v>9.5741180911860527E-2</v>
      </c>
      <c r="J43" s="12">
        <f>output_NHTS!J52/SUM(output_NHTS!J$50:J$53)</f>
        <v>8.7473836718737957E-2</v>
      </c>
      <c r="L43" s="3" t="s">
        <v>236</v>
      </c>
      <c r="M43" s="42">
        <f>output!B52/SUM(output!B$50:B$53)</f>
        <v>5.1006913653308013E-2</v>
      </c>
      <c r="N43" s="42">
        <f>output!C52/SUM(output!C$50:C$53)</f>
        <v>0.10039555060206735</v>
      </c>
      <c r="O43" s="42">
        <f>output!D52/SUM(output!D$50:D$53)</f>
        <v>0.17412365742276195</v>
      </c>
      <c r="P43" s="42">
        <f>output!E52/SUM(output!E$50:E$53)</f>
        <v>0.14066209680316386</v>
      </c>
      <c r="Q43" s="42">
        <f>output!F52/SUM(output!F$50:F$53)</f>
        <v>3.0829884982568178E-2</v>
      </c>
      <c r="R43" s="42">
        <f>output!G52/SUM(output!G$50:G$53)</f>
        <v>3.2861269861207056E-2</v>
      </c>
      <c r="S43" s="42">
        <f>output!H52/SUM(output!H$50:H$53)</f>
        <v>7.3152165840927652E-2</v>
      </c>
      <c r="T43" s="42">
        <f>output!I52/SUM(output!I$50:I$53)</f>
        <v>0.14095535118991862</v>
      </c>
      <c r="U43" s="42">
        <f>output!J52/SUM(output!J$50:J$53)</f>
        <v>8.7100223758522624E-2</v>
      </c>
      <c r="W43" s="3" t="s">
        <v>236</v>
      </c>
      <c r="X43" s="12">
        <f t="shared" si="15"/>
        <v>2.1790068211373359E-4</v>
      </c>
      <c r="Y43" s="12">
        <f t="shared" si="15"/>
        <v>6.2833012778820002E-3</v>
      </c>
      <c r="Z43" s="12">
        <f t="shared" si="15"/>
        <v>-6.8637804957388526E-3</v>
      </c>
      <c r="AA43" s="12">
        <f t="shared" si="15"/>
        <v>-9.7217206513178223E-5</v>
      </c>
      <c r="AB43" s="12">
        <f t="shared" si="15"/>
        <v>-4.464445970794724E-2</v>
      </c>
      <c r="AC43" s="12">
        <f t="shared" si="15"/>
        <v>-3.2949076089758417E-3</v>
      </c>
      <c r="AD43" s="12">
        <f t="shared" si="15"/>
        <v>1.6891205948522621E-2</v>
      </c>
      <c r="AE43" s="12">
        <f t="shared" si="16"/>
        <v>4.5214170278058088E-2</v>
      </c>
      <c r="AF43" s="12">
        <f t="shared" si="16"/>
        <v>-3.7361296021533319E-4</v>
      </c>
    </row>
    <row r="44" spans="1:32" x14ac:dyDescent="0.2">
      <c r="A44" s="8" t="s">
        <v>173</v>
      </c>
      <c r="B44" s="13">
        <f>output_NHTS!B53/SUM(output_NHTS!B$50:B$53)</f>
        <v>2.3896731803517972E-2</v>
      </c>
      <c r="C44" s="13">
        <f>output_NHTS!C53/SUM(output_NHTS!C$50:C$53)</f>
        <v>6.3522958709197122E-2</v>
      </c>
      <c r="D44" s="13">
        <f>output_NHTS!D53/SUM(output_NHTS!D$50:D$53)</f>
        <v>0.10895819436076977</v>
      </c>
      <c r="E44" s="13">
        <f>output_NHTS!E53/SUM(output_NHTS!E$50:E$53)</f>
        <v>7.2497604842802266E-2</v>
      </c>
      <c r="F44" s="13">
        <f>output_NHTS!F53/SUM(output_NHTS!F$50:F$53)</f>
        <v>3.2165809793200717E-2</v>
      </c>
      <c r="G44" s="13">
        <f>output_NHTS!G53/SUM(output_NHTS!G$50:G$53)</f>
        <v>1.1611851397607618E-2</v>
      </c>
      <c r="H44" s="13">
        <f>output_NHTS!H53/SUM(output_NHTS!H$50:H$53)</f>
        <v>2.1528132403092651E-2</v>
      </c>
      <c r="I44" s="13">
        <f>output_NHTS!I53/SUM(output_NHTS!I$50:I$53)</f>
        <v>5.3882645695634147E-2</v>
      </c>
      <c r="J44" s="13">
        <f>output_NHTS!J53/SUM(output_NHTS!J$50:J$53)</f>
        <v>4.6179287478216362E-2</v>
      </c>
      <c r="L44" s="8" t="s">
        <v>173</v>
      </c>
      <c r="M44" s="43">
        <f>output!B53/SUM(output!B$50:B$53)</f>
        <v>4.0011509140599401E-2</v>
      </c>
      <c r="N44" s="43">
        <f>output!C53/SUM(output!C$50:C$53)</f>
        <v>9.7926091042199348E-2</v>
      </c>
      <c r="O44" s="43">
        <f>output!D53/SUM(output!D$50:D$53)</f>
        <v>0.17406944409010894</v>
      </c>
      <c r="P44" s="43">
        <f>output!E53/SUM(output!E$50:E$53)</f>
        <v>0.14898647655686148</v>
      </c>
      <c r="Q44" s="43">
        <f>output!F53/SUM(output!F$50:F$53)</f>
        <v>2.2918770975204457E-2</v>
      </c>
      <c r="R44" s="43">
        <f>output!G53/SUM(output!G$50:G$53)</f>
        <v>1.8809269609998115E-2</v>
      </c>
      <c r="S44" s="43">
        <f>output!H53/SUM(output!H$50:H$53)</f>
        <v>4.4526252135074634E-2</v>
      </c>
      <c r="T44" s="43">
        <f>output!I53/SUM(output!I$50:I$53)</f>
        <v>0.14282880490183653</v>
      </c>
      <c r="U44" s="43">
        <f>output!J53/SUM(output!J$50:J$53)</f>
        <v>7.8866400792571303E-2</v>
      </c>
      <c r="W44" s="8" t="s">
        <v>173</v>
      </c>
      <c r="X44" s="12">
        <f t="shared" si="15"/>
        <v>1.6114777337081429E-2</v>
      </c>
      <c r="Y44" s="12">
        <f t="shared" si="15"/>
        <v>3.4403132333002226E-2</v>
      </c>
      <c r="Z44" s="12">
        <f t="shared" si="15"/>
        <v>6.5111249729339168E-2</v>
      </c>
      <c r="AA44" s="12">
        <f t="shared" si="15"/>
        <v>7.6488871714059214E-2</v>
      </c>
      <c r="AB44" s="12">
        <f t="shared" si="15"/>
        <v>-9.2470388179962601E-3</v>
      </c>
      <c r="AC44" s="12">
        <f t="shared" si="15"/>
        <v>7.1974182123904964E-3</v>
      </c>
      <c r="AD44" s="12">
        <f t="shared" si="15"/>
        <v>2.2998119731981983E-2</v>
      </c>
      <c r="AE44" s="12">
        <f t="shared" si="16"/>
        <v>8.8946159206202385E-2</v>
      </c>
      <c r="AF44" s="12">
        <f t="shared" si="16"/>
        <v>3.2687113314354942E-2</v>
      </c>
    </row>
    <row r="45" spans="1:32" ht="13.5" thickBot="1" x14ac:dyDescent="0.25">
      <c r="A45" s="15" t="s">
        <v>221</v>
      </c>
      <c r="B45" s="44">
        <f>SUM(B41:B44)</f>
        <v>1</v>
      </c>
      <c r="C45" s="44">
        <f t="shared" ref="C45:J45" si="17">SUM(C41:C44)</f>
        <v>1</v>
      </c>
      <c r="D45" s="44">
        <f t="shared" si="17"/>
        <v>0.99999999999999989</v>
      </c>
      <c r="E45" s="44">
        <f t="shared" si="17"/>
        <v>1</v>
      </c>
      <c r="F45" s="44">
        <f t="shared" si="17"/>
        <v>0.99999999999999989</v>
      </c>
      <c r="G45" s="44">
        <f t="shared" si="17"/>
        <v>1</v>
      </c>
      <c r="H45" s="44">
        <f t="shared" si="17"/>
        <v>1</v>
      </c>
      <c r="I45" s="44">
        <f t="shared" si="17"/>
        <v>1</v>
      </c>
      <c r="J45" s="44">
        <f t="shared" si="17"/>
        <v>1</v>
      </c>
      <c r="L45" s="15" t="s">
        <v>221</v>
      </c>
      <c r="M45" s="44">
        <f>SUM(M41:M44)</f>
        <v>0.99999999999999989</v>
      </c>
      <c r="N45" s="44">
        <f t="shared" ref="N45:U45" si="18">SUM(N41:N44)</f>
        <v>1</v>
      </c>
      <c r="O45" s="44">
        <f t="shared" si="18"/>
        <v>1</v>
      </c>
      <c r="P45" s="44">
        <f t="shared" si="18"/>
        <v>1</v>
      </c>
      <c r="Q45" s="44">
        <f t="shared" si="18"/>
        <v>1</v>
      </c>
      <c r="R45" s="44">
        <f t="shared" si="18"/>
        <v>1</v>
      </c>
      <c r="S45" s="44">
        <f t="shared" si="18"/>
        <v>1</v>
      </c>
      <c r="T45" s="44">
        <f t="shared" si="18"/>
        <v>1</v>
      </c>
      <c r="U45" s="44">
        <f t="shared" si="18"/>
        <v>1</v>
      </c>
      <c r="W45" s="15" t="s">
        <v>221</v>
      </c>
      <c r="X45" s="14">
        <f t="shared" si="15"/>
        <v>0</v>
      </c>
      <c r="Y45" s="14">
        <f t="shared" si="15"/>
        <v>0</v>
      </c>
      <c r="Z45" s="14">
        <f t="shared" si="15"/>
        <v>0</v>
      </c>
      <c r="AA45" s="14">
        <f t="shared" si="15"/>
        <v>0</v>
      </c>
      <c r="AB45" s="14">
        <f t="shared" si="15"/>
        <v>0</v>
      </c>
      <c r="AC45" s="14">
        <f t="shared" si="15"/>
        <v>0</v>
      </c>
      <c r="AD45" s="14">
        <f t="shared" si="15"/>
        <v>0</v>
      </c>
      <c r="AE45" s="14">
        <f t="shared" si="16"/>
        <v>0</v>
      </c>
      <c r="AF45" s="14">
        <f t="shared" si="16"/>
        <v>0</v>
      </c>
    </row>
    <row r="49" spans="1:32" x14ac:dyDescent="0.2">
      <c r="A49" s="2" t="s">
        <v>175</v>
      </c>
      <c r="L49" s="2" t="s">
        <v>175</v>
      </c>
      <c r="W49" s="2" t="s">
        <v>175</v>
      </c>
    </row>
    <row r="50" spans="1:32" x14ac:dyDescent="0.2">
      <c r="A50" s="2" t="s">
        <v>162</v>
      </c>
      <c r="L50" s="2" t="s">
        <v>294</v>
      </c>
      <c r="W50" s="2" t="s">
        <v>14</v>
      </c>
    </row>
    <row r="51" spans="1:32" ht="13.5" thickBot="1" x14ac:dyDescent="0.25"/>
    <row r="52" spans="1:32" x14ac:dyDescent="0.2">
      <c r="A52" s="5" t="s">
        <v>174</v>
      </c>
      <c r="B52" s="6" t="s">
        <v>146</v>
      </c>
      <c r="C52" s="6" t="s">
        <v>147</v>
      </c>
      <c r="D52" s="6" t="s">
        <v>148</v>
      </c>
      <c r="E52" s="6" t="s">
        <v>243</v>
      </c>
      <c r="F52" s="6" t="s">
        <v>244</v>
      </c>
      <c r="G52" s="6" t="s">
        <v>245</v>
      </c>
      <c r="H52" s="6" t="s">
        <v>246</v>
      </c>
      <c r="I52" s="6" t="s">
        <v>170</v>
      </c>
      <c r="J52" s="6" t="s">
        <v>221</v>
      </c>
      <c r="L52" s="5" t="s">
        <v>174</v>
      </c>
      <c r="M52" s="41" t="s">
        <v>146</v>
      </c>
      <c r="N52" s="41" t="s">
        <v>147</v>
      </c>
      <c r="O52" s="41" t="s">
        <v>148</v>
      </c>
      <c r="P52" s="41" t="s">
        <v>243</v>
      </c>
      <c r="Q52" s="41" t="s">
        <v>244</v>
      </c>
      <c r="R52" s="41" t="s">
        <v>245</v>
      </c>
      <c r="S52" s="41" t="s">
        <v>246</v>
      </c>
      <c r="T52" s="41" t="s">
        <v>170</v>
      </c>
      <c r="U52" s="41" t="s">
        <v>221</v>
      </c>
      <c r="W52" s="5" t="s">
        <v>174</v>
      </c>
      <c r="X52" s="6" t="s">
        <v>146</v>
      </c>
      <c r="Y52" s="6" t="s">
        <v>147</v>
      </c>
      <c r="Z52" s="6" t="s">
        <v>148</v>
      </c>
      <c r="AA52" s="6" t="s">
        <v>243</v>
      </c>
      <c r="AB52" s="6" t="s">
        <v>244</v>
      </c>
      <c r="AC52" s="6" t="s">
        <v>245</v>
      </c>
      <c r="AD52" s="6" t="s">
        <v>246</v>
      </c>
      <c r="AE52" s="6" t="s">
        <v>170</v>
      </c>
      <c r="AF52" s="6" t="s">
        <v>221</v>
      </c>
    </row>
    <row r="53" spans="1:32" x14ac:dyDescent="0.2">
      <c r="A53" s="3" t="s">
        <v>226</v>
      </c>
      <c r="B53" s="12">
        <f>output_NHTS!B57/SUM(output_NHTS!B$57:B$60)</f>
        <v>0.72417379513131397</v>
      </c>
      <c r="C53" s="12">
        <f>output_NHTS!C57/SUM(output_NHTS!C$57:C$60)</f>
        <v>0.64741531579430944</v>
      </c>
      <c r="D53" s="12">
        <f>output_NHTS!D57/SUM(output_NHTS!D$57:D$60)</f>
        <v>0.5799606240866847</v>
      </c>
      <c r="E53" s="12">
        <f>output_NHTS!E57/SUM(output_NHTS!E$57:E$60)</f>
        <v>0.57564227948968649</v>
      </c>
      <c r="F53" s="12">
        <f>output_NHTS!F57/SUM(output_NHTS!F$57:F$60)</f>
        <v>0.68827999643271831</v>
      </c>
      <c r="G53" s="12">
        <f>output_NHTS!G57/SUM(output_NHTS!G$57:G$60)</f>
        <v>0.95250274857225337</v>
      </c>
      <c r="H53" s="12">
        <f>output_NHTS!H57/SUM(output_NHTS!H$57:H$60)</f>
        <v>0.85876379474096443</v>
      </c>
      <c r="I53" s="12">
        <f>output_NHTS!I57/SUM(output_NHTS!I$57:I$60)</f>
        <v>0.65857433654677922</v>
      </c>
      <c r="J53" s="12">
        <f>output_NHTS!J57/SUM(output_NHTS!J$57:J$60)</f>
        <v>0.69551940036843851</v>
      </c>
      <c r="L53" s="3" t="s">
        <v>226</v>
      </c>
      <c r="M53" s="42">
        <f>output!B57/SUM(output!B$57:B$60)</f>
        <v>0.40298965357305261</v>
      </c>
      <c r="N53" s="42">
        <f>output!C57/SUM(output!C$57:C$60)</f>
        <v>0.5316221945409646</v>
      </c>
      <c r="O53" s="42">
        <f>output!D57/SUM(output!D$57:D$60)</f>
        <v>0.42223256881904225</v>
      </c>
      <c r="P53" s="42">
        <f>output!E57/SUM(output!E$57:E$60)</f>
        <v>0.33066957535539454</v>
      </c>
      <c r="Q53" s="42">
        <f>output!F57/SUM(output!F$57:F$60)</f>
        <v>0.52674073832719692</v>
      </c>
      <c r="R53" s="42">
        <f>output!G57/SUM(output!G$57:G$60)</f>
        <v>0.93763737989072415</v>
      </c>
      <c r="S53" s="42">
        <f>output!H57/SUM(output!H$57:H$60)</f>
        <v>0.92888477492865407</v>
      </c>
      <c r="T53" s="42">
        <f>output!I57/SUM(output!I$57:I$60)</f>
        <v>0.49775461062468662</v>
      </c>
      <c r="U53" s="42">
        <f>output!J57/SUM(output!J$57:J$60)</f>
        <v>0.50679754002723199</v>
      </c>
      <c r="W53" s="3" t="s">
        <v>226</v>
      </c>
      <c r="X53" s="12">
        <f t="shared" ref="X53:AD57" si="19">M53-B53</f>
        <v>-0.32118414155826136</v>
      </c>
      <c r="Y53" s="12">
        <f t="shared" si="19"/>
        <v>-0.11579312125334484</v>
      </c>
      <c r="Z53" s="12">
        <f t="shared" si="19"/>
        <v>-0.15772805526764244</v>
      </c>
      <c r="AA53" s="12">
        <f t="shared" si="19"/>
        <v>-0.24497270413429195</v>
      </c>
      <c r="AB53" s="12">
        <f t="shared" si="19"/>
        <v>-0.16153925810552139</v>
      </c>
      <c r="AC53" s="12">
        <f t="shared" si="19"/>
        <v>-1.4865368681529212E-2</v>
      </c>
      <c r="AD53" s="12">
        <f t="shared" si="19"/>
        <v>7.0120980187689641E-2</v>
      </c>
      <c r="AE53" s="12">
        <f t="shared" ref="AE53:AF57" si="20">T53-I53</f>
        <v>-0.16081972592209259</v>
      </c>
      <c r="AF53" s="12">
        <f t="shared" si="20"/>
        <v>-0.18872186034120653</v>
      </c>
    </row>
    <row r="54" spans="1:32" x14ac:dyDescent="0.2">
      <c r="A54" s="3" t="s">
        <v>235</v>
      </c>
      <c r="B54" s="12">
        <f>output_NHTS!B58/SUM(output_NHTS!B$57:B$60)</f>
        <v>0.18652380907329999</v>
      </c>
      <c r="C54" s="12">
        <f>output_NHTS!C58/SUM(output_NHTS!C$57:C$60)</f>
        <v>0.20339956131267112</v>
      </c>
      <c r="D54" s="12">
        <f>output_NHTS!D58/SUM(output_NHTS!D$57:D$60)</f>
        <v>0.16765918548483483</v>
      </c>
      <c r="E54" s="12">
        <f>output_NHTS!E58/SUM(output_NHTS!E$57:E$60)</f>
        <v>0.16249823203203217</v>
      </c>
      <c r="F54" s="12">
        <f>output_NHTS!F58/SUM(output_NHTS!F$57:F$60)</f>
        <v>0.18657778794203714</v>
      </c>
      <c r="G54" s="12">
        <f>output_NHTS!G58/SUM(output_NHTS!G$57:G$60)</f>
        <v>3.7025245867554138E-2</v>
      </c>
      <c r="H54" s="12">
        <f>output_NHTS!H58/SUM(output_NHTS!H$57:H$60)</f>
        <v>8.9442526933657826E-2</v>
      </c>
      <c r="I54" s="12">
        <f>output_NHTS!I58/SUM(output_NHTS!I$57:I$60)</f>
        <v>0.13062134052581881</v>
      </c>
      <c r="J54" s="12">
        <f>output_NHTS!J58/SUM(output_NHTS!J$57:J$60)</f>
        <v>0.16148451056779151</v>
      </c>
      <c r="L54" s="3" t="s">
        <v>235</v>
      </c>
      <c r="M54" s="42">
        <f>output!B58/SUM(output!B$57:B$60)</f>
        <v>0.48674588126161239</v>
      </c>
      <c r="N54" s="42">
        <f>output!C58/SUM(output!C$57:C$60)</f>
        <v>0.29912148429817087</v>
      </c>
      <c r="O54" s="42">
        <f>output!D58/SUM(output!D$57:D$60)</f>
        <v>0.27662193535219531</v>
      </c>
      <c r="P54" s="42">
        <f>output!E58/SUM(output!E$57:E$60)</f>
        <v>0.33789666534948354</v>
      </c>
      <c r="Q54" s="42">
        <f>output!F58/SUM(output!F$57:F$60)</f>
        <v>0.40954677266951223</v>
      </c>
      <c r="R54" s="42">
        <f>output!G58/SUM(output!G$57:G$60)</f>
        <v>4.6803366199836716E-2</v>
      </c>
      <c r="S54" s="42">
        <f>output!H58/SUM(output!H$57:H$60)</f>
        <v>3.2667968045491678E-2</v>
      </c>
      <c r="T54" s="42">
        <f>output!I58/SUM(output!I$57:I$60)</f>
        <v>0.2287431880672019</v>
      </c>
      <c r="U54" s="42">
        <f>output!J58/SUM(output!J$57:J$60)</f>
        <v>0.33490034050837419</v>
      </c>
      <c r="W54" s="3" t="s">
        <v>235</v>
      </c>
      <c r="X54" s="12">
        <f t="shared" si="19"/>
        <v>0.30022207218831243</v>
      </c>
      <c r="Y54" s="12">
        <f t="shared" si="19"/>
        <v>9.5721922985499752E-2</v>
      </c>
      <c r="Z54" s="12">
        <f t="shared" si="19"/>
        <v>0.10896274986736049</v>
      </c>
      <c r="AA54" s="12">
        <f t="shared" si="19"/>
        <v>0.17539843331745136</v>
      </c>
      <c r="AB54" s="12">
        <f t="shared" si="19"/>
        <v>0.22296898472747509</v>
      </c>
      <c r="AC54" s="12">
        <f t="shared" si="19"/>
        <v>9.7781203322825777E-3</v>
      </c>
      <c r="AD54" s="12">
        <f t="shared" si="19"/>
        <v>-5.6774558888166148E-2</v>
      </c>
      <c r="AE54" s="12">
        <f t="shared" si="20"/>
        <v>9.8121847541383089E-2</v>
      </c>
      <c r="AF54" s="12">
        <f t="shared" si="20"/>
        <v>0.17341582994058269</v>
      </c>
    </row>
    <row r="55" spans="1:32" x14ac:dyDescent="0.2">
      <c r="A55" s="3" t="s">
        <v>236</v>
      </c>
      <c r="B55" s="12">
        <f>output_NHTS!B59/SUM(output_NHTS!B$57:B$60)</f>
        <v>5.9601111725227356E-2</v>
      </c>
      <c r="C55" s="12">
        <f>output_NHTS!C59/SUM(output_NHTS!C$57:C$60)</f>
        <v>7.7550050211389152E-2</v>
      </c>
      <c r="D55" s="12">
        <f>output_NHTS!D59/SUM(output_NHTS!D$57:D$60)</f>
        <v>0.15156264893733912</v>
      </c>
      <c r="E55" s="12">
        <f>output_NHTS!E59/SUM(output_NHTS!E$57:E$60)</f>
        <v>0.17507256384195249</v>
      </c>
      <c r="F55" s="12">
        <f>output_NHTS!F59/SUM(output_NHTS!F$57:F$60)</f>
        <v>7.0530861432645101E-2</v>
      </c>
      <c r="G55" s="12">
        <f>output_NHTS!G59/SUM(output_NHTS!G$57:G$60)</f>
        <v>1.0472005560192316E-2</v>
      </c>
      <c r="H55" s="12">
        <f>output_NHTS!H59/SUM(output_NHTS!H$57:H$60)</f>
        <v>4.0910219908961293E-2</v>
      </c>
      <c r="I55" s="12">
        <f>output_NHTS!I59/SUM(output_NHTS!I$57:I$60)</f>
        <v>0.12418713673793616</v>
      </c>
      <c r="J55" s="12">
        <f>output_NHTS!J59/SUM(output_NHTS!J$57:J$60)</f>
        <v>9.1015699200250294E-2</v>
      </c>
      <c r="L55" s="3" t="s">
        <v>236</v>
      </c>
      <c r="M55" s="42">
        <f>output!B59/SUM(output!B$57:B$60)</f>
        <v>6.1412338561157742E-2</v>
      </c>
      <c r="N55" s="42">
        <f>output!C59/SUM(output!C$57:C$60)</f>
        <v>8.0264720237184672E-2</v>
      </c>
      <c r="O55" s="42">
        <f>output!D59/SUM(output!D$57:D$60)</f>
        <v>0.13561305712171851</v>
      </c>
      <c r="P55" s="42">
        <f>output!E59/SUM(output!E$57:E$60)</f>
        <v>0.15174929541587609</v>
      </c>
      <c r="Q55" s="42">
        <f>output!F59/SUM(output!F$57:F$60)</f>
        <v>3.5235085204131503E-2</v>
      </c>
      <c r="R55" s="42">
        <f>output!G59/SUM(output!G$57:G$60)</f>
        <v>9.0906236262010935E-3</v>
      </c>
      <c r="S55" s="42">
        <f>output!H59/SUM(output!H$57:H$60)</f>
        <v>2.318611485375402E-2</v>
      </c>
      <c r="T55" s="42">
        <f>output!I59/SUM(output!I$57:I$60)</f>
        <v>0.12850239416364068</v>
      </c>
      <c r="U55" s="42">
        <f>output!J59/SUM(output!J$57:J$60)</f>
        <v>7.8195702479815915E-2</v>
      </c>
      <c r="W55" s="3" t="s">
        <v>236</v>
      </c>
      <c r="X55" s="12">
        <f t="shared" si="19"/>
        <v>1.8112268359303865E-3</v>
      </c>
      <c r="Y55" s="12">
        <f t="shared" si="19"/>
        <v>2.7146700257955209E-3</v>
      </c>
      <c r="Z55" s="12">
        <f t="shared" si="19"/>
        <v>-1.5949591815620612E-2</v>
      </c>
      <c r="AA55" s="12">
        <f t="shared" si="19"/>
        <v>-2.3323268426076404E-2</v>
      </c>
      <c r="AB55" s="12">
        <f t="shared" si="19"/>
        <v>-3.5295776228513598E-2</v>
      </c>
      <c r="AC55" s="12">
        <f t="shared" si="19"/>
        <v>-1.3813819339912221E-3</v>
      </c>
      <c r="AD55" s="12">
        <f t="shared" si="19"/>
        <v>-1.7724105055207273E-2</v>
      </c>
      <c r="AE55" s="12">
        <f t="shared" si="20"/>
        <v>4.3152574257045162E-3</v>
      </c>
      <c r="AF55" s="12">
        <f t="shared" si="20"/>
        <v>-1.2819996720434379E-2</v>
      </c>
    </row>
    <row r="56" spans="1:32" x14ac:dyDescent="0.2">
      <c r="A56" s="8" t="s">
        <v>173</v>
      </c>
      <c r="B56" s="13">
        <f>output_NHTS!B60/SUM(output_NHTS!B$57:B$60)</f>
        <v>2.9701284070158686E-2</v>
      </c>
      <c r="C56" s="13">
        <f>output_NHTS!C60/SUM(output_NHTS!C$57:C$60)</f>
        <v>7.1635072681630108E-2</v>
      </c>
      <c r="D56" s="13">
        <f>output_NHTS!D60/SUM(output_NHTS!D$57:D$60)</f>
        <v>0.10081754149114128</v>
      </c>
      <c r="E56" s="13">
        <f>output_NHTS!E60/SUM(output_NHTS!E$57:E$60)</f>
        <v>8.6786924636328824E-2</v>
      </c>
      <c r="F56" s="13">
        <f>output_NHTS!F60/SUM(output_NHTS!F$57:F$60)</f>
        <v>5.461135419259943E-2</v>
      </c>
      <c r="G56" s="13">
        <f>output_NHTS!G60/SUM(output_NHTS!G$57:G$60)</f>
        <v>0</v>
      </c>
      <c r="H56" s="13">
        <f>output_NHTS!H60/SUM(output_NHTS!H$57:H$60)</f>
        <v>1.0883458416416466E-2</v>
      </c>
      <c r="I56" s="13">
        <f>output_NHTS!I60/SUM(output_NHTS!I$57:I$60)</f>
        <v>8.6617186189465803E-2</v>
      </c>
      <c r="J56" s="13">
        <f>output_NHTS!J60/SUM(output_NHTS!J$57:J$60)</f>
        <v>5.1980389863519612E-2</v>
      </c>
      <c r="L56" s="8" t="s">
        <v>173</v>
      </c>
      <c r="M56" s="43">
        <f>output!B60/SUM(output!B$57:B$60)</f>
        <v>4.8852126604177239E-2</v>
      </c>
      <c r="N56" s="43">
        <f>output!C60/SUM(output!C$57:C$60)</f>
        <v>8.8991600923679859E-2</v>
      </c>
      <c r="O56" s="43">
        <f>output!D60/SUM(output!D$57:D$60)</f>
        <v>0.1655324387070439</v>
      </c>
      <c r="P56" s="43">
        <f>output!E60/SUM(output!E$57:E$60)</f>
        <v>0.17968446387924589</v>
      </c>
      <c r="Q56" s="43">
        <f>output!F60/SUM(output!F$57:F$60)</f>
        <v>2.8477403799159362E-2</v>
      </c>
      <c r="R56" s="43">
        <f>output!G60/SUM(output!G$57:G$60)</f>
        <v>6.4686302832380835E-3</v>
      </c>
      <c r="S56" s="43">
        <f>output!H60/SUM(output!H$57:H$60)</f>
        <v>1.5261142172100277E-2</v>
      </c>
      <c r="T56" s="43">
        <f>output!I60/SUM(output!I$57:I$60)</f>
        <v>0.14499980714447083</v>
      </c>
      <c r="U56" s="43">
        <f>output!J60/SUM(output!J$57:J$60)</f>
        <v>8.0106416984577905E-2</v>
      </c>
      <c r="W56" s="8" t="s">
        <v>173</v>
      </c>
      <c r="X56" s="12">
        <f t="shared" si="19"/>
        <v>1.9150842534018553E-2</v>
      </c>
      <c r="Y56" s="12">
        <f t="shared" si="19"/>
        <v>1.7356528242049751E-2</v>
      </c>
      <c r="Z56" s="12">
        <f t="shared" si="19"/>
        <v>6.4714897215902623E-2</v>
      </c>
      <c r="AA56" s="12">
        <f t="shared" si="19"/>
        <v>9.2897539242917063E-2</v>
      </c>
      <c r="AB56" s="12">
        <f t="shared" si="19"/>
        <v>-2.6133950393440068E-2</v>
      </c>
      <c r="AC56" s="12">
        <f t="shared" si="19"/>
        <v>6.4686302832380835E-3</v>
      </c>
      <c r="AD56" s="12">
        <f t="shared" si="19"/>
        <v>4.3776837556838109E-3</v>
      </c>
      <c r="AE56" s="12">
        <f t="shared" si="20"/>
        <v>5.838262095500503E-2</v>
      </c>
      <c r="AF56" s="12">
        <f t="shared" si="20"/>
        <v>2.8126027121058293E-2</v>
      </c>
    </row>
    <row r="57" spans="1:32" ht="13.5" thickBot="1" x14ac:dyDescent="0.25">
      <c r="A57" s="15" t="s">
        <v>221</v>
      </c>
      <c r="B57" s="44">
        <f>SUM(B53:B56)</f>
        <v>1</v>
      </c>
      <c r="C57" s="44">
        <f t="shared" ref="C57:J57" si="21">SUM(C53:C56)</f>
        <v>0.99999999999999978</v>
      </c>
      <c r="D57" s="44">
        <f t="shared" si="21"/>
        <v>0.99999999999999989</v>
      </c>
      <c r="E57" s="44">
        <f t="shared" si="21"/>
        <v>1</v>
      </c>
      <c r="F57" s="44">
        <f t="shared" si="21"/>
        <v>1</v>
      </c>
      <c r="G57" s="44">
        <f t="shared" si="21"/>
        <v>0.99999999999999989</v>
      </c>
      <c r="H57" s="44">
        <f t="shared" si="21"/>
        <v>1</v>
      </c>
      <c r="I57" s="44">
        <f t="shared" si="21"/>
        <v>1</v>
      </c>
      <c r="J57" s="44">
        <f t="shared" si="21"/>
        <v>0.99999999999999989</v>
      </c>
      <c r="L57" s="15" t="s">
        <v>221</v>
      </c>
      <c r="M57" s="44">
        <f>SUM(M53:M56)</f>
        <v>1</v>
      </c>
      <c r="N57" s="44">
        <f t="shared" ref="N57:U57" si="22">SUM(N53:N56)</f>
        <v>1</v>
      </c>
      <c r="O57" s="44">
        <f t="shared" si="22"/>
        <v>0.99999999999999989</v>
      </c>
      <c r="P57" s="44">
        <f t="shared" si="22"/>
        <v>1</v>
      </c>
      <c r="Q57" s="44">
        <f t="shared" si="22"/>
        <v>1</v>
      </c>
      <c r="R57" s="44">
        <f t="shared" si="22"/>
        <v>1</v>
      </c>
      <c r="S57" s="44">
        <f t="shared" si="22"/>
        <v>1</v>
      </c>
      <c r="T57" s="44">
        <f t="shared" si="22"/>
        <v>1.0000000000000002</v>
      </c>
      <c r="U57" s="44">
        <f t="shared" si="22"/>
        <v>0.99999999999999989</v>
      </c>
      <c r="W57" s="15" t="s">
        <v>221</v>
      </c>
      <c r="X57" s="14">
        <f t="shared" si="19"/>
        <v>0</v>
      </c>
      <c r="Y57" s="14">
        <f t="shared" si="19"/>
        <v>0</v>
      </c>
      <c r="Z57" s="14">
        <f t="shared" si="19"/>
        <v>0</v>
      </c>
      <c r="AA57" s="14">
        <f t="shared" si="19"/>
        <v>0</v>
      </c>
      <c r="AB57" s="14">
        <f t="shared" si="19"/>
        <v>0</v>
      </c>
      <c r="AC57" s="14">
        <f t="shared" si="19"/>
        <v>0</v>
      </c>
      <c r="AD57" s="14">
        <f t="shared" si="19"/>
        <v>0</v>
      </c>
      <c r="AE57" s="14">
        <f t="shared" si="20"/>
        <v>0</v>
      </c>
      <c r="AF57" s="14">
        <f t="shared" si="20"/>
        <v>0</v>
      </c>
    </row>
    <row r="61" spans="1:32" x14ac:dyDescent="0.2">
      <c r="A61" s="2" t="s">
        <v>175</v>
      </c>
      <c r="L61" s="2" t="s">
        <v>175</v>
      </c>
      <c r="W61" s="2" t="s">
        <v>175</v>
      </c>
    </row>
    <row r="62" spans="1:32" x14ac:dyDescent="0.2">
      <c r="A62" s="2" t="s">
        <v>256</v>
      </c>
      <c r="L62" s="2" t="s">
        <v>295</v>
      </c>
      <c r="W62" s="2" t="s">
        <v>92</v>
      </c>
    </row>
    <row r="63" spans="1:32" ht="13.5" thickBot="1" x14ac:dyDescent="0.25"/>
    <row r="64" spans="1:32" x14ac:dyDescent="0.2">
      <c r="A64" s="5" t="s">
        <v>174</v>
      </c>
      <c r="B64" s="6" t="s">
        <v>146</v>
      </c>
      <c r="C64" s="6" t="s">
        <v>147</v>
      </c>
      <c r="D64" s="6" t="s">
        <v>148</v>
      </c>
      <c r="E64" s="6" t="s">
        <v>243</v>
      </c>
      <c r="F64" s="6" t="s">
        <v>244</v>
      </c>
      <c r="G64" s="6" t="s">
        <v>245</v>
      </c>
      <c r="H64" s="6" t="s">
        <v>246</v>
      </c>
      <c r="I64" s="6" t="s">
        <v>170</v>
      </c>
      <c r="J64" s="6" t="s">
        <v>221</v>
      </c>
      <c r="L64" s="5" t="s">
        <v>174</v>
      </c>
      <c r="M64" s="41" t="s">
        <v>146</v>
      </c>
      <c r="N64" s="41" t="s">
        <v>147</v>
      </c>
      <c r="O64" s="41" t="s">
        <v>148</v>
      </c>
      <c r="P64" s="41" t="s">
        <v>243</v>
      </c>
      <c r="Q64" s="41" t="s">
        <v>244</v>
      </c>
      <c r="R64" s="41" t="s">
        <v>245</v>
      </c>
      <c r="S64" s="41" t="s">
        <v>246</v>
      </c>
      <c r="T64" s="41" t="s">
        <v>170</v>
      </c>
      <c r="U64" s="41" t="s">
        <v>221</v>
      </c>
      <c r="W64" s="5" t="s">
        <v>174</v>
      </c>
      <c r="X64" s="6" t="s">
        <v>146</v>
      </c>
      <c r="Y64" s="6" t="s">
        <v>147</v>
      </c>
      <c r="Z64" s="6" t="s">
        <v>148</v>
      </c>
      <c r="AA64" s="6" t="s">
        <v>243</v>
      </c>
      <c r="AB64" s="6" t="s">
        <v>244</v>
      </c>
      <c r="AC64" s="6" t="s">
        <v>245</v>
      </c>
      <c r="AD64" s="6" t="s">
        <v>246</v>
      </c>
      <c r="AE64" s="6" t="s">
        <v>170</v>
      </c>
      <c r="AF64" s="6" t="s">
        <v>221</v>
      </c>
    </row>
    <row r="65" spans="1:32" x14ac:dyDescent="0.2">
      <c r="A65" s="3" t="s">
        <v>226</v>
      </c>
      <c r="B65" s="12">
        <f>output_NHTS!B64/SUM(output_NHTS!B$64:B$67)</f>
        <v>0.81533580009213136</v>
      </c>
      <c r="C65" s="12">
        <f>output_NHTS!C64/SUM(output_NHTS!C$64:C$67)</f>
        <v>0.8409297887816376</v>
      </c>
      <c r="D65" s="12">
        <f>output_NHTS!D64/SUM(output_NHTS!D$64:D$67)</f>
        <v>0.82347954222024033</v>
      </c>
      <c r="E65" s="12">
        <f>output_NHTS!E64/SUM(output_NHTS!E$64:E$67)</f>
        <v>0.82621410228417602</v>
      </c>
      <c r="F65" s="12">
        <f>output_NHTS!F64/SUM(output_NHTS!F$64:F$67)</f>
        <v>0.80506812166237407</v>
      </c>
      <c r="G65" s="12">
        <f>output_NHTS!G64/SUM(output_NHTS!G$64:G$67)</f>
        <v>0.95415157768550274</v>
      </c>
      <c r="H65" s="12">
        <f>output_NHTS!H64/SUM(output_NHTS!H$64:H$67)</f>
        <v>0.93825327198684749</v>
      </c>
      <c r="I65" s="12">
        <f>output_NHTS!I64/SUM(output_NHTS!I$64:I$67)</f>
        <v>0.90094358123984719</v>
      </c>
      <c r="J65" s="12">
        <f>output_NHTS!J64/SUM(output_NHTS!J$64:J$67)</f>
        <v>0.84627356616712412</v>
      </c>
      <c r="L65" s="3" t="s">
        <v>226</v>
      </c>
      <c r="M65" s="42">
        <f>output!B64/SUM(output!B$64:B$67)</f>
        <v>0.70997964116532775</v>
      </c>
      <c r="N65" s="42">
        <f>output!C64/SUM(output!C$64:C$67)</f>
        <v>0.8043590696183629</v>
      </c>
      <c r="O65" s="42">
        <f>output!D64/SUM(output!D$64:D$67)</f>
        <v>0.80401242442023624</v>
      </c>
      <c r="P65" s="42">
        <f>output!E64/SUM(output!E$64:E$67)</f>
        <v>0.76047405530209755</v>
      </c>
      <c r="Q65" s="42">
        <f>output!F64/SUM(output!F$64:F$67)</f>
        <v>0.72017855397347752</v>
      </c>
      <c r="R65" s="42">
        <f>output!G64/SUM(output!G$64:G$67)</f>
        <v>0.70927275010990387</v>
      </c>
      <c r="S65" s="42">
        <f>output!H64/SUM(output!H$64:H$67)</f>
        <v>0.86753519557814107</v>
      </c>
      <c r="T65" s="42">
        <f>output!I64/SUM(output!I$64:I$67)</f>
        <v>0.87957549742951135</v>
      </c>
      <c r="U65" s="42">
        <f>output!J64/SUM(output!J$64:J$67)</f>
        <v>0.76863000759812072</v>
      </c>
      <c r="W65" s="3" t="s">
        <v>226</v>
      </c>
      <c r="X65" s="12">
        <f t="shared" ref="X65:AD69" si="23">M65-B65</f>
        <v>-0.10535615892680361</v>
      </c>
      <c r="Y65" s="12">
        <f t="shared" si="23"/>
        <v>-3.6570719163274701E-2</v>
      </c>
      <c r="Z65" s="12">
        <f t="shared" si="23"/>
        <v>-1.9467117800004097E-2</v>
      </c>
      <c r="AA65" s="12">
        <f t="shared" si="23"/>
        <v>-6.5740046982078471E-2</v>
      </c>
      <c r="AB65" s="12">
        <f t="shared" si="23"/>
        <v>-8.488956768889655E-2</v>
      </c>
      <c r="AC65" s="12">
        <f t="shared" si="23"/>
        <v>-0.24487882757559887</v>
      </c>
      <c r="AD65" s="12">
        <f t="shared" si="23"/>
        <v>-7.0718076408706421E-2</v>
      </c>
      <c r="AE65" s="12">
        <f t="shared" ref="AE65:AF69" si="24">T65-I65</f>
        <v>-2.1368083810335836E-2</v>
      </c>
      <c r="AF65" s="12">
        <f t="shared" si="24"/>
        <v>-7.7643558569003401E-2</v>
      </c>
    </row>
    <row r="66" spans="1:32" x14ac:dyDescent="0.2">
      <c r="A66" s="3" t="s">
        <v>235</v>
      </c>
      <c r="B66" s="12">
        <f>output_NHTS!B65/SUM(output_NHTS!B$64:B$67)</f>
        <v>0.14339253553565812</v>
      </c>
      <c r="C66" s="12">
        <f>output_NHTS!C65/SUM(output_NHTS!C$64:C$67)</f>
        <v>0.11437832248180391</v>
      </c>
      <c r="D66" s="12">
        <f>output_NHTS!D65/SUM(output_NHTS!D$64:D$67)</f>
        <v>9.8774291789651178E-2</v>
      </c>
      <c r="E66" s="12">
        <f>output_NHTS!E65/SUM(output_NHTS!E$64:E$67)</f>
        <v>9.9211091822704336E-2</v>
      </c>
      <c r="F66" s="12">
        <f>output_NHTS!F65/SUM(output_NHTS!F$64:F$67)</f>
        <v>0.14778230340584861</v>
      </c>
      <c r="G66" s="12">
        <f>output_NHTS!G65/SUM(output_NHTS!G$64:G$67)</f>
        <v>4.5848422314497227E-2</v>
      </c>
      <c r="H66" s="12">
        <f>output_NHTS!H65/SUM(output_NHTS!H$64:H$67)</f>
        <v>4.3161150795184615E-2</v>
      </c>
      <c r="I66" s="12">
        <f>output_NHTS!I65/SUM(output_NHTS!I$64:I$67)</f>
        <v>7.7956417969653163E-2</v>
      </c>
      <c r="J66" s="12">
        <f>output_NHTS!J65/SUM(output_NHTS!J$64:J$67)</f>
        <v>0.10826332755915258</v>
      </c>
      <c r="L66" s="3" t="s">
        <v>235</v>
      </c>
      <c r="M66" s="42">
        <f>output!B65/SUM(output!B$64:B$67)</f>
        <v>0.24222293423179664</v>
      </c>
      <c r="N66" s="42">
        <f>output!C65/SUM(output!C$64:C$67)</f>
        <v>0.13903640085374827</v>
      </c>
      <c r="O66" s="42">
        <f>output!D65/SUM(output!D$64:D$67)</f>
        <v>0.10970865117228359</v>
      </c>
      <c r="P66" s="42">
        <f>output!E65/SUM(output!E$64:E$67)</f>
        <v>0.13988484989010774</v>
      </c>
      <c r="Q66" s="42">
        <f>output!F65/SUM(output!F$64:F$67)</f>
        <v>0.25288846893226025</v>
      </c>
      <c r="R66" s="42">
        <f>output!G65/SUM(output!G$64:G$67)</f>
        <v>0.23012309238208881</v>
      </c>
      <c r="S66" s="42">
        <f>output!H65/SUM(output!H$64:H$67)</f>
        <v>9.9170901452381208E-2</v>
      </c>
      <c r="T66" s="42">
        <f>output!I65/SUM(output!I$64:I$67)</f>
        <v>7.392427940909066E-2</v>
      </c>
      <c r="U66" s="42">
        <f>output!J65/SUM(output!J$64:J$67)</f>
        <v>0.17553787551348649</v>
      </c>
      <c r="W66" s="3" t="s">
        <v>235</v>
      </c>
      <c r="X66" s="12">
        <f t="shared" si="23"/>
        <v>9.8830398696138522E-2</v>
      </c>
      <c r="Y66" s="12">
        <f t="shared" si="23"/>
        <v>2.4658078371944364E-2</v>
      </c>
      <c r="Z66" s="12">
        <f t="shared" si="23"/>
        <v>1.0934359382632416E-2</v>
      </c>
      <c r="AA66" s="12">
        <f t="shared" si="23"/>
        <v>4.0673758067403407E-2</v>
      </c>
      <c r="AB66" s="12">
        <f t="shared" si="23"/>
        <v>0.10510616552641164</v>
      </c>
      <c r="AC66" s="12">
        <f t="shared" si="23"/>
        <v>0.18427467006759157</v>
      </c>
      <c r="AD66" s="12">
        <f t="shared" si="23"/>
        <v>5.6009750657196593E-2</v>
      </c>
      <c r="AE66" s="12">
        <f t="shared" si="24"/>
        <v>-4.0321385605625037E-3</v>
      </c>
      <c r="AF66" s="12">
        <f t="shared" si="24"/>
        <v>6.7274547954333908E-2</v>
      </c>
    </row>
    <row r="67" spans="1:32" x14ac:dyDescent="0.2">
      <c r="A67" s="3" t="s">
        <v>236</v>
      </c>
      <c r="B67" s="12">
        <f>output_NHTS!B66/SUM(output_NHTS!B$64:B$67)</f>
        <v>3.3941786533110252E-2</v>
      </c>
      <c r="C67" s="12">
        <f>output_NHTS!C66/SUM(output_NHTS!C$64:C$67)</f>
        <v>3.9278572820756856E-2</v>
      </c>
      <c r="D67" s="12">
        <f>output_NHTS!D66/SUM(output_NHTS!D$64:D$67)</f>
        <v>7.2763115530045538E-2</v>
      </c>
      <c r="E67" s="12">
        <f>output_NHTS!E66/SUM(output_NHTS!E$64:E$67)</f>
        <v>6.225159498608359E-2</v>
      </c>
      <c r="F67" s="12">
        <f>output_NHTS!F66/SUM(output_NHTS!F$64:F$67)</f>
        <v>3.2929134049059332E-2</v>
      </c>
      <c r="G67" s="12">
        <f>output_NHTS!G66/SUM(output_NHTS!G$64:G$67)</f>
        <v>0</v>
      </c>
      <c r="H67" s="12">
        <f>output_NHTS!H66/SUM(output_NHTS!H$64:H$67)</f>
        <v>1.64208400746268E-2</v>
      </c>
      <c r="I67" s="12">
        <f>output_NHTS!I66/SUM(output_NHTS!I$64:I$67)</f>
        <v>2.0147707544832801E-2</v>
      </c>
      <c r="J67" s="12">
        <f>output_NHTS!J66/SUM(output_NHTS!J$64:J$67)</f>
        <v>3.8868626272264728E-2</v>
      </c>
      <c r="L67" s="3" t="s">
        <v>236</v>
      </c>
      <c r="M67" s="42">
        <f>output!B66/SUM(output!B$64:B$67)</f>
        <v>3.5090171575145705E-2</v>
      </c>
      <c r="N67" s="42">
        <f>output!C66/SUM(output!C$64:C$67)</f>
        <v>4.0939123086897296E-2</v>
      </c>
      <c r="O67" s="42">
        <f>output!D66/SUM(output!D$64:D$67)</f>
        <v>6.4670127815904282E-2</v>
      </c>
      <c r="P67" s="42">
        <f>output!E66/SUM(output!E$64:E$67)</f>
        <v>7.4873697376628384E-2</v>
      </c>
      <c r="Q67" s="42">
        <f>output!F66/SUM(output!F$64:F$67)</f>
        <v>1.9197810433025968E-2</v>
      </c>
      <c r="R67" s="42">
        <f>output!G66/SUM(output!G$64:G$67)</f>
        <v>4.361615273503737E-2</v>
      </c>
      <c r="S67" s="42">
        <f>output!H66/SUM(output!H$64:H$67)</f>
        <v>2.4408809768828442E-2</v>
      </c>
      <c r="T67" s="42">
        <f>output!I66/SUM(output!I$64:I$67)</f>
        <v>3.4256652138216805E-2</v>
      </c>
      <c r="U67" s="42">
        <f>output!J66/SUM(output!J$64:J$67)</f>
        <v>4.1219624654278288E-2</v>
      </c>
      <c r="W67" s="3" t="s">
        <v>236</v>
      </c>
      <c r="X67" s="12">
        <f t="shared" si="23"/>
        <v>1.1483850420354533E-3</v>
      </c>
      <c r="Y67" s="12">
        <f t="shared" si="23"/>
        <v>1.6605502661404398E-3</v>
      </c>
      <c r="Z67" s="12">
        <f t="shared" si="23"/>
        <v>-8.092987714141256E-3</v>
      </c>
      <c r="AA67" s="12">
        <f t="shared" si="23"/>
        <v>1.2622102390544794E-2</v>
      </c>
      <c r="AB67" s="12">
        <f t="shared" si="23"/>
        <v>-1.3731323616033363E-2</v>
      </c>
      <c r="AC67" s="12">
        <f t="shared" si="23"/>
        <v>4.361615273503737E-2</v>
      </c>
      <c r="AD67" s="12">
        <f t="shared" si="23"/>
        <v>7.9879696942016416E-3</v>
      </c>
      <c r="AE67" s="12">
        <f t="shared" si="24"/>
        <v>1.4108944593384003E-2</v>
      </c>
      <c r="AF67" s="12">
        <f t="shared" si="24"/>
        <v>2.3509983820135597E-3</v>
      </c>
    </row>
    <row r="68" spans="1:32" x14ac:dyDescent="0.2">
      <c r="A68" s="8" t="s">
        <v>173</v>
      </c>
      <c r="B68" s="13">
        <f>output_NHTS!B67/SUM(output_NHTS!B$64:B$67)</f>
        <v>7.3298778391003086E-3</v>
      </c>
      <c r="C68" s="13">
        <f>output_NHTS!C67/SUM(output_NHTS!C$64:C$67)</f>
        <v>5.4133159158017297E-3</v>
      </c>
      <c r="D68" s="13">
        <f>output_NHTS!D67/SUM(output_NHTS!D$64:D$67)</f>
        <v>4.9830504600630217E-3</v>
      </c>
      <c r="E68" s="13">
        <f>output_NHTS!E67/SUM(output_NHTS!E$64:E$67)</f>
        <v>1.2323210907035946E-2</v>
      </c>
      <c r="F68" s="13">
        <f>output_NHTS!F67/SUM(output_NHTS!F$64:F$67)</f>
        <v>1.4220440882718064E-2</v>
      </c>
      <c r="G68" s="13">
        <f>output_NHTS!G67/SUM(output_NHTS!G$64:G$67)</f>
        <v>0</v>
      </c>
      <c r="H68" s="13">
        <f>output_NHTS!H67/SUM(output_NHTS!H$64:H$67)</f>
        <v>2.164737143341147E-3</v>
      </c>
      <c r="I68" s="13">
        <f>output_NHTS!I67/SUM(output_NHTS!I$64:I$67)</f>
        <v>9.5229324566681545E-4</v>
      </c>
      <c r="J68" s="13">
        <f>output_NHTS!J67/SUM(output_NHTS!J$64:J$67)</f>
        <v>6.594480001458531E-3</v>
      </c>
      <c r="L68" s="8" t="s">
        <v>173</v>
      </c>
      <c r="M68" s="43">
        <f>output!B67/SUM(output!B$64:B$67)</f>
        <v>1.2707253027729948E-2</v>
      </c>
      <c r="N68" s="43">
        <f>output!C67/SUM(output!C$64:C$67)</f>
        <v>1.5665406440991573E-2</v>
      </c>
      <c r="O68" s="43">
        <f>output!D67/SUM(output!D$64:D$67)</f>
        <v>2.1608796591575885E-2</v>
      </c>
      <c r="P68" s="43">
        <f>output!E67/SUM(output!E$64:E$67)</f>
        <v>2.4767397431166294E-2</v>
      </c>
      <c r="Q68" s="43">
        <f>output!F67/SUM(output!F$64:F$67)</f>
        <v>7.7351666612361933E-3</v>
      </c>
      <c r="R68" s="43">
        <f>output!G67/SUM(output!G$64:G$67)</f>
        <v>1.6988004772969918E-2</v>
      </c>
      <c r="S68" s="43">
        <f>output!H67/SUM(output!H$64:H$67)</f>
        <v>8.8850932006492751E-3</v>
      </c>
      <c r="T68" s="43">
        <f>output!I67/SUM(output!I$64:I$67)</f>
        <v>1.2243571023181235E-2</v>
      </c>
      <c r="U68" s="43">
        <f>output!J67/SUM(output!J$64:J$67)</f>
        <v>1.4612492234114479E-2</v>
      </c>
      <c r="W68" s="8" t="s">
        <v>173</v>
      </c>
      <c r="X68" s="12">
        <f t="shared" si="23"/>
        <v>5.3773751886296399E-3</v>
      </c>
      <c r="Y68" s="12">
        <f t="shared" si="23"/>
        <v>1.0252090525189843E-2</v>
      </c>
      <c r="Z68" s="12">
        <f t="shared" si="23"/>
        <v>1.6625746131512863E-2</v>
      </c>
      <c r="AA68" s="12">
        <f t="shared" si="23"/>
        <v>1.2444186524130348E-2</v>
      </c>
      <c r="AB68" s="12">
        <f t="shared" si="23"/>
        <v>-6.4852742214818711E-3</v>
      </c>
      <c r="AC68" s="12">
        <f t="shared" si="23"/>
        <v>1.6988004772969918E-2</v>
      </c>
      <c r="AD68" s="12">
        <f t="shared" si="23"/>
        <v>6.7203560573081281E-3</v>
      </c>
      <c r="AE68" s="12">
        <f t="shared" si="24"/>
        <v>1.129127777751442E-2</v>
      </c>
      <c r="AF68" s="12">
        <f t="shared" si="24"/>
        <v>8.018012232655948E-3</v>
      </c>
    </row>
    <row r="69" spans="1:32" ht="13.5" thickBot="1" x14ac:dyDescent="0.25">
      <c r="A69" s="15" t="s">
        <v>221</v>
      </c>
      <c r="B69" s="44">
        <f>SUM(B65:B68)</f>
        <v>1</v>
      </c>
      <c r="C69" s="44">
        <f t="shared" ref="C69:J69" si="25">SUM(C65:C68)</f>
        <v>1</v>
      </c>
      <c r="D69" s="44">
        <f t="shared" si="25"/>
        <v>1</v>
      </c>
      <c r="E69" s="44">
        <f t="shared" si="25"/>
        <v>0.99999999999999989</v>
      </c>
      <c r="F69" s="44">
        <f t="shared" si="25"/>
        <v>1</v>
      </c>
      <c r="G69" s="44">
        <f t="shared" si="25"/>
        <v>1</v>
      </c>
      <c r="H69" s="44">
        <f t="shared" si="25"/>
        <v>1</v>
      </c>
      <c r="I69" s="44">
        <f t="shared" si="25"/>
        <v>0.99999999999999989</v>
      </c>
      <c r="J69" s="44">
        <f t="shared" si="25"/>
        <v>1</v>
      </c>
      <c r="L69" s="15" t="s">
        <v>221</v>
      </c>
      <c r="M69" s="44">
        <f>SUM(M65:M68)</f>
        <v>1</v>
      </c>
      <c r="N69" s="44">
        <f t="shared" ref="N69:U69" si="26">SUM(N65:N68)</f>
        <v>1</v>
      </c>
      <c r="O69" s="44">
        <f t="shared" si="26"/>
        <v>1</v>
      </c>
      <c r="P69" s="44">
        <f t="shared" si="26"/>
        <v>1</v>
      </c>
      <c r="Q69" s="44">
        <f t="shared" si="26"/>
        <v>0.99999999999999989</v>
      </c>
      <c r="R69" s="44">
        <f t="shared" si="26"/>
        <v>1</v>
      </c>
      <c r="S69" s="44">
        <f t="shared" si="26"/>
        <v>0.99999999999999989</v>
      </c>
      <c r="T69" s="44">
        <f t="shared" si="26"/>
        <v>1</v>
      </c>
      <c r="U69" s="44">
        <f t="shared" si="26"/>
        <v>0.99999999999999989</v>
      </c>
      <c r="W69" s="15" t="s">
        <v>221</v>
      </c>
      <c r="X69" s="14">
        <f t="shared" si="23"/>
        <v>0</v>
      </c>
      <c r="Y69" s="14">
        <f t="shared" si="23"/>
        <v>0</v>
      </c>
      <c r="Z69" s="14">
        <f t="shared" si="23"/>
        <v>0</v>
      </c>
      <c r="AA69" s="14">
        <f t="shared" si="23"/>
        <v>0</v>
      </c>
      <c r="AB69" s="14">
        <f t="shared" si="23"/>
        <v>0</v>
      </c>
      <c r="AC69" s="14">
        <f t="shared" si="23"/>
        <v>0</v>
      </c>
      <c r="AD69" s="14">
        <f t="shared" si="23"/>
        <v>0</v>
      </c>
      <c r="AE69" s="14">
        <f t="shared" si="24"/>
        <v>0</v>
      </c>
      <c r="AF69" s="14">
        <f t="shared" si="24"/>
        <v>0</v>
      </c>
    </row>
    <row r="73" spans="1:32" x14ac:dyDescent="0.2">
      <c r="A73" s="2" t="s">
        <v>175</v>
      </c>
      <c r="L73" s="2" t="s">
        <v>175</v>
      </c>
      <c r="W73" s="2" t="s">
        <v>175</v>
      </c>
    </row>
    <row r="74" spans="1:32" x14ac:dyDescent="0.2">
      <c r="A74" s="2" t="s">
        <v>120</v>
      </c>
      <c r="L74" s="2" t="s">
        <v>171</v>
      </c>
      <c r="W74" s="2" t="s">
        <v>93</v>
      </c>
    </row>
    <row r="75" spans="1:32" ht="13.5" thickBot="1" x14ac:dyDescent="0.25"/>
    <row r="76" spans="1:32" x14ac:dyDescent="0.2">
      <c r="A76" s="5" t="s">
        <v>174</v>
      </c>
      <c r="B76" s="6" t="s">
        <v>146</v>
      </c>
      <c r="C76" s="6" t="s">
        <v>147</v>
      </c>
      <c r="D76" s="6" t="s">
        <v>148</v>
      </c>
      <c r="E76" s="6" t="s">
        <v>243</v>
      </c>
      <c r="F76" s="6" t="s">
        <v>244</v>
      </c>
      <c r="G76" s="6" t="s">
        <v>245</v>
      </c>
      <c r="H76" s="6" t="s">
        <v>246</v>
      </c>
      <c r="I76" s="6" t="s">
        <v>170</v>
      </c>
      <c r="J76" s="6" t="s">
        <v>221</v>
      </c>
      <c r="L76" s="5" t="s">
        <v>174</v>
      </c>
      <c r="M76" s="41" t="s">
        <v>146</v>
      </c>
      <c r="N76" s="41" t="s">
        <v>147</v>
      </c>
      <c r="O76" s="41" t="s">
        <v>148</v>
      </c>
      <c r="P76" s="41" t="s">
        <v>243</v>
      </c>
      <c r="Q76" s="41" t="s">
        <v>244</v>
      </c>
      <c r="R76" s="41" t="s">
        <v>245</v>
      </c>
      <c r="S76" s="41" t="s">
        <v>246</v>
      </c>
      <c r="T76" s="41" t="s">
        <v>170</v>
      </c>
      <c r="U76" s="41" t="s">
        <v>221</v>
      </c>
      <c r="W76" s="5" t="s">
        <v>174</v>
      </c>
      <c r="X76" s="6" t="s">
        <v>146</v>
      </c>
      <c r="Y76" s="6" t="s">
        <v>147</v>
      </c>
      <c r="Z76" s="6" t="s">
        <v>148</v>
      </c>
      <c r="AA76" s="6" t="s">
        <v>243</v>
      </c>
      <c r="AB76" s="6" t="s">
        <v>244</v>
      </c>
      <c r="AC76" s="6" t="s">
        <v>245</v>
      </c>
      <c r="AD76" s="6" t="s">
        <v>246</v>
      </c>
      <c r="AE76" s="6" t="s">
        <v>170</v>
      </c>
      <c r="AF76" s="6" t="s">
        <v>221</v>
      </c>
    </row>
    <row r="77" spans="1:32" x14ac:dyDescent="0.2">
      <c r="A77" s="3" t="s">
        <v>226</v>
      </c>
      <c r="B77" s="12">
        <f>output_NHTS!B71/SUM(output_NHTS!B$71:B$74)</f>
        <v>0.75236209405546195</v>
      </c>
      <c r="C77" s="12">
        <f>output_NHTS!C71/SUM(output_NHTS!C$71:C$74)</f>
        <v>0.68656786121976465</v>
      </c>
      <c r="D77" s="12">
        <f>output_NHTS!D71/SUM(output_NHTS!D$71:D$74)</f>
        <v>0.67658786671340954</v>
      </c>
      <c r="E77" s="12">
        <f>output_NHTS!E71/SUM(output_NHTS!E$71:E$74)</f>
        <v>0.67680235776993092</v>
      </c>
      <c r="F77" s="12">
        <f>output_NHTS!F71/SUM(output_NHTS!F$71:F$74)</f>
        <v>0.7611182717777949</v>
      </c>
      <c r="G77" s="12">
        <f>output_NHTS!G71/SUM(output_NHTS!G$71:G$74)</f>
        <v>0.82838701836389428</v>
      </c>
      <c r="H77" s="12">
        <f>output_NHTS!H71/SUM(output_NHTS!H$71:H$74)</f>
        <v>0.73582691437191217</v>
      </c>
      <c r="I77" s="12">
        <f>output_NHTS!I71/SUM(output_NHTS!I$71:I$74)</f>
        <v>0.67650801736666255</v>
      </c>
      <c r="J77" s="12">
        <f>output_NHTS!J71/SUM(output_NHTS!J$71:J$74)</f>
        <v>0.72016240339652482</v>
      </c>
      <c r="L77" s="3" t="s">
        <v>226</v>
      </c>
      <c r="M77" s="42">
        <f>output!B71/SUM(output!B$71:B$74)</f>
        <v>0.63099498698868051</v>
      </c>
      <c r="N77" s="42">
        <f>output!C71/SUM(output!C$71:C$74)</f>
        <v>0.54940740255104648</v>
      </c>
      <c r="O77" s="42">
        <f>output!D71/SUM(output!D$71:D$74)</f>
        <v>0.5823022170064035</v>
      </c>
      <c r="P77" s="42">
        <f>output!E71/SUM(output!E$71:E$74)</f>
        <v>0.5373813310516673</v>
      </c>
      <c r="Q77" s="42">
        <f>output!F71/SUM(output!F$71:F$74)</f>
        <v>0.67250333974129228</v>
      </c>
      <c r="R77" s="42">
        <f>output!G71/SUM(output!G$71:G$74)</f>
        <v>0.71522326194812536</v>
      </c>
      <c r="S77" s="42">
        <f>output!H71/SUM(output!H$71:H$74)</f>
        <v>0.555464199705068</v>
      </c>
      <c r="T77" s="42">
        <f>output!I71/SUM(output!I$71:I$74)</f>
        <v>0.4639277508086157</v>
      </c>
      <c r="U77" s="42">
        <f>output!J71/SUM(output!J$71:J$74)</f>
        <v>0.5900828288965263</v>
      </c>
      <c r="W77" s="3" t="s">
        <v>226</v>
      </c>
      <c r="X77" s="12">
        <f t="shared" ref="X77:AD81" si="27">M77-B77</f>
        <v>-0.12136710706678144</v>
      </c>
      <c r="Y77" s="12">
        <f t="shared" si="27"/>
        <v>-0.13716045866871818</v>
      </c>
      <c r="Z77" s="12">
        <f t="shared" si="27"/>
        <v>-9.4285649707006036E-2</v>
      </c>
      <c r="AA77" s="12">
        <f t="shared" si="27"/>
        <v>-0.13942102671826362</v>
      </c>
      <c r="AB77" s="12">
        <f t="shared" si="27"/>
        <v>-8.8614932036502614E-2</v>
      </c>
      <c r="AC77" s="12">
        <f t="shared" si="27"/>
        <v>-0.11316375641576892</v>
      </c>
      <c r="AD77" s="12">
        <f t="shared" si="27"/>
        <v>-0.18036271466684417</v>
      </c>
      <c r="AE77" s="12">
        <f t="shared" ref="AE77:AF81" si="28">T77-I77</f>
        <v>-0.21258026655804685</v>
      </c>
      <c r="AF77" s="12">
        <f t="shared" si="28"/>
        <v>-0.13007957449999852</v>
      </c>
    </row>
    <row r="78" spans="1:32" x14ac:dyDescent="0.2">
      <c r="A78" s="3" t="s">
        <v>235</v>
      </c>
      <c r="B78" s="12">
        <f>output_NHTS!B72/SUM(output_NHTS!B$71:B$74)</f>
        <v>9.7246734150704339E-2</v>
      </c>
      <c r="C78" s="12">
        <f>output_NHTS!C72/SUM(output_NHTS!C$71:C$74)</f>
        <v>8.2745784691228397E-2</v>
      </c>
      <c r="D78" s="12">
        <f>output_NHTS!D72/SUM(output_NHTS!D$71:D$74)</f>
        <v>5.4653811131202164E-2</v>
      </c>
      <c r="E78" s="12">
        <f>output_NHTS!E72/SUM(output_NHTS!E$71:E$74)</f>
        <v>6.1072924697273774E-2</v>
      </c>
      <c r="F78" s="12">
        <f>output_NHTS!F72/SUM(output_NHTS!F$71:F$74)</f>
        <v>9.6952561441949733E-2</v>
      </c>
      <c r="G78" s="12">
        <f>output_NHTS!G72/SUM(output_NHTS!G$71:G$74)</f>
        <v>3.7341780176451775E-2</v>
      </c>
      <c r="H78" s="12">
        <f>output_NHTS!H72/SUM(output_NHTS!H$71:H$74)</f>
        <v>8.3700799278604882E-2</v>
      </c>
      <c r="I78" s="12">
        <f>output_NHTS!I72/SUM(output_NHTS!I$71:I$74)</f>
        <v>3.3378352325125191E-2</v>
      </c>
      <c r="J78" s="12">
        <f>output_NHTS!J72/SUM(output_NHTS!J$71:J$74)</f>
        <v>7.7739860994525664E-2</v>
      </c>
      <c r="L78" s="3" t="s">
        <v>235</v>
      </c>
      <c r="M78" s="42">
        <f>output!B72/SUM(output!B$71:B$74)</f>
        <v>0.18737843016411418</v>
      </c>
      <c r="N78" s="42">
        <f>output!C72/SUM(output!C$71:C$74)</f>
        <v>0.15209758371759288</v>
      </c>
      <c r="O78" s="42">
        <f>output!D72/SUM(output!D$71:D$74)</f>
        <v>9.2666530601831776E-2</v>
      </c>
      <c r="P78" s="42">
        <f>output!E72/SUM(output!E$71:E$74)</f>
        <v>0.11012086516072356</v>
      </c>
      <c r="Q78" s="42">
        <f>output!F72/SUM(output!F$71:F$74)</f>
        <v>0.21715812453162164</v>
      </c>
      <c r="R78" s="42">
        <f>output!G72/SUM(output!G$71:G$74)</f>
        <v>0.14274948188155498</v>
      </c>
      <c r="S78" s="42">
        <f>output!H72/SUM(output!H$71:H$74)</f>
        <v>0.19003225156218503</v>
      </c>
      <c r="T78" s="42">
        <f>output!I72/SUM(output!I$71:I$74)</f>
        <v>0.13738476882132211</v>
      </c>
      <c r="U78" s="42">
        <f>output!J72/SUM(output!J$71:J$74)</f>
        <v>0.16234434856396962</v>
      </c>
      <c r="W78" s="3" t="s">
        <v>235</v>
      </c>
      <c r="X78" s="12">
        <f t="shared" si="27"/>
        <v>9.013169601340984E-2</v>
      </c>
      <c r="Y78" s="12">
        <f t="shared" si="27"/>
        <v>6.9351799026364486E-2</v>
      </c>
      <c r="Z78" s="12">
        <f t="shared" si="27"/>
        <v>3.8012719470629612E-2</v>
      </c>
      <c r="AA78" s="12">
        <f t="shared" si="27"/>
        <v>4.9047940463449784E-2</v>
      </c>
      <c r="AB78" s="12">
        <f t="shared" si="27"/>
        <v>0.12020556308967191</v>
      </c>
      <c r="AC78" s="12">
        <f t="shared" si="27"/>
        <v>0.1054077017051032</v>
      </c>
      <c r="AD78" s="12">
        <f t="shared" si="27"/>
        <v>0.10633145228358015</v>
      </c>
      <c r="AE78" s="12">
        <f t="shared" si="28"/>
        <v>0.10400641649619692</v>
      </c>
      <c r="AF78" s="12">
        <f t="shared" si="28"/>
        <v>8.4604487569443956E-2</v>
      </c>
    </row>
    <row r="79" spans="1:32" x14ac:dyDescent="0.2">
      <c r="A79" s="3" t="s">
        <v>236</v>
      </c>
      <c r="B79" s="12">
        <f>output_NHTS!B73/SUM(output_NHTS!B$71:B$74)</f>
        <v>0.13249276512212133</v>
      </c>
      <c r="C79" s="12">
        <f>output_NHTS!C73/SUM(output_NHTS!C$71:C$74)</f>
        <v>0.19585886291606086</v>
      </c>
      <c r="D79" s="12">
        <f>output_NHTS!D73/SUM(output_NHTS!D$71:D$74)</f>
        <v>0.21998434828740182</v>
      </c>
      <c r="E79" s="12">
        <f>output_NHTS!E73/SUM(output_NHTS!E$71:E$74)</f>
        <v>0.2217542709613067</v>
      </c>
      <c r="F79" s="12">
        <f>output_NHTS!F73/SUM(output_NHTS!F$71:F$74)</f>
        <v>0.1141376262705949</v>
      </c>
      <c r="G79" s="12">
        <f>output_NHTS!G73/SUM(output_NHTS!G$71:G$74)</f>
        <v>0.1342712014596539</v>
      </c>
      <c r="H79" s="12">
        <f>output_NHTS!H73/SUM(output_NHTS!H$71:H$74)</f>
        <v>0.16166580076831255</v>
      </c>
      <c r="I79" s="12">
        <f>output_NHTS!I73/SUM(output_NHTS!I$71:I$74)</f>
        <v>0.24633534662645504</v>
      </c>
      <c r="J79" s="12">
        <f>output_NHTS!J73/SUM(output_NHTS!J$71:J$74)</f>
        <v>0.17381391186439052</v>
      </c>
      <c r="L79" s="3" t="s">
        <v>236</v>
      </c>
      <c r="M79" s="42">
        <f>output!B73/SUM(output!B$71:B$74)</f>
        <v>0.14689039903497489</v>
      </c>
      <c r="N79" s="42">
        <f>output!C73/SUM(output!C$71:C$74)</f>
        <v>0.23714460543281105</v>
      </c>
      <c r="O79" s="42">
        <f>output!D73/SUM(output!D$71:D$74)</f>
        <v>0.25897071204428912</v>
      </c>
      <c r="P79" s="42">
        <f>output!E73/SUM(output!E$71:E$74)</f>
        <v>0.28097149332645349</v>
      </c>
      <c r="Q79" s="42">
        <f>output!F73/SUM(output!F$71:F$74)</f>
        <v>8.8371183734645337E-2</v>
      </c>
      <c r="R79" s="42">
        <f>output!G73/SUM(output!G$71:G$74)</f>
        <v>0.11439427243609873</v>
      </c>
      <c r="S79" s="42">
        <f>output!H73/SUM(output!H$71:H$74)</f>
        <v>0.20658504758166329</v>
      </c>
      <c r="T79" s="42">
        <f>output!I73/SUM(output!I$71:I$74)</f>
        <v>0.31867998655521451</v>
      </c>
      <c r="U79" s="42">
        <f>output!J73/SUM(output!J$71:J$74)</f>
        <v>0.19870492809926479</v>
      </c>
      <c r="W79" s="3" t="s">
        <v>236</v>
      </c>
      <c r="X79" s="12">
        <f t="shared" si="27"/>
        <v>1.4397633912853564E-2</v>
      </c>
      <c r="Y79" s="12">
        <f t="shared" si="27"/>
        <v>4.1285742516750185E-2</v>
      </c>
      <c r="Z79" s="12">
        <f t="shared" si="27"/>
        <v>3.8986363756887299E-2</v>
      </c>
      <c r="AA79" s="12">
        <f t="shared" si="27"/>
        <v>5.9217222365146788E-2</v>
      </c>
      <c r="AB79" s="12">
        <f t="shared" si="27"/>
        <v>-2.5766442535949563E-2</v>
      </c>
      <c r="AC79" s="12">
        <f t="shared" si="27"/>
        <v>-1.9876929023555173E-2</v>
      </c>
      <c r="AD79" s="12">
        <f t="shared" si="27"/>
        <v>4.4919246813350744E-2</v>
      </c>
      <c r="AE79" s="12">
        <f t="shared" si="28"/>
        <v>7.2344639928759474E-2</v>
      </c>
      <c r="AF79" s="12">
        <f t="shared" si="28"/>
        <v>2.4891016234874275E-2</v>
      </c>
    </row>
    <row r="80" spans="1:32" x14ac:dyDescent="0.2">
      <c r="A80" s="8" t="s">
        <v>173</v>
      </c>
      <c r="B80" s="13">
        <f>output_NHTS!B74/SUM(output_NHTS!B$71:B$74)</f>
        <v>1.7898406671712434E-2</v>
      </c>
      <c r="C80" s="13">
        <f>output_NHTS!C74/SUM(output_NHTS!C$71:C$74)</f>
        <v>3.482749117294609E-2</v>
      </c>
      <c r="D80" s="13">
        <f>output_NHTS!D74/SUM(output_NHTS!D$71:D$74)</f>
        <v>4.8773973867986362E-2</v>
      </c>
      <c r="E80" s="13">
        <f>output_NHTS!E74/SUM(output_NHTS!E$71:E$74)</f>
        <v>4.0370446571488652E-2</v>
      </c>
      <c r="F80" s="13">
        <f>output_NHTS!F74/SUM(output_NHTS!F$71:F$74)</f>
        <v>2.7791540509660408E-2</v>
      </c>
      <c r="G80" s="13">
        <f>output_NHTS!G74/SUM(output_NHTS!G$71:G$74)</f>
        <v>0</v>
      </c>
      <c r="H80" s="13">
        <f>output_NHTS!H74/SUM(output_NHTS!H$71:H$74)</f>
        <v>1.8806485581170415E-2</v>
      </c>
      <c r="I80" s="13">
        <f>output_NHTS!I74/SUM(output_NHTS!I$71:I$74)</f>
        <v>4.3778283681757325E-2</v>
      </c>
      <c r="J80" s="13">
        <f>output_NHTS!J74/SUM(output_NHTS!J$71:J$74)</f>
        <v>2.8283823744558987E-2</v>
      </c>
      <c r="L80" s="8" t="s">
        <v>173</v>
      </c>
      <c r="M80" s="43">
        <f>output!B74/SUM(output!B$71:B$74)</f>
        <v>3.473618381223037E-2</v>
      </c>
      <c r="N80" s="43">
        <f>output!C74/SUM(output!C$71:C$74)</f>
        <v>6.1350408298549645E-2</v>
      </c>
      <c r="O80" s="43">
        <f>output!D74/SUM(output!D$71:D$74)</f>
        <v>6.6060540347475577E-2</v>
      </c>
      <c r="P80" s="43">
        <f>output!E74/SUM(output!E$71:E$74)</f>
        <v>7.1526310461155609E-2</v>
      </c>
      <c r="Q80" s="43">
        <f>output!F74/SUM(output!F$71:F$74)</f>
        <v>2.1967351992440782E-2</v>
      </c>
      <c r="R80" s="43">
        <f>output!G74/SUM(output!G$71:G$74)</f>
        <v>2.7632983734220937E-2</v>
      </c>
      <c r="S80" s="43">
        <f>output!H74/SUM(output!H$71:H$74)</f>
        <v>4.7918501151083717E-2</v>
      </c>
      <c r="T80" s="43">
        <f>output!I74/SUM(output!I$71:I$74)</f>
        <v>8.0007493814847674E-2</v>
      </c>
      <c r="U80" s="43">
        <f>output!J74/SUM(output!J$71:J$74)</f>
        <v>4.8867894440239298E-2</v>
      </c>
      <c r="W80" s="8" t="s">
        <v>173</v>
      </c>
      <c r="X80" s="12">
        <f t="shared" si="27"/>
        <v>1.6837777140517936E-2</v>
      </c>
      <c r="Y80" s="12">
        <f t="shared" si="27"/>
        <v>2.6522917125603555E-2</v>
      </c>
      <c r="Z80" s="12">
        <f t="shared" si="27"/>
        <v>1.7286566479489215E-2</v>
      </c>
      <c r="AA80" s="12">
        <f t="shared" si="27"/>
        <v>3.1155863889666957E-2</v>
      </c>
      <c r="AB80" s="12">
        <f t="shared" si="27"/>
        <v>-5.8241885172196257E-3</v>
      </c>
      <c r="AC80" s="12">
        <f t="shared" si="27"/>
        <v>2.7632983734220937E-2</v>
      </c>
      <c r="AD80" s="12">
        <f t="shared" si="27"/>
        <v>2.9112015569913302E-2</v>
      </c>
      <c r="AE80" s="12">
        <f t="shared" si="28"/>
        <v>3.6229210133090349E-2</v>
      </c>
      <c r="AF80" s="12">
        <f t="shared" si="28"/>
        <v>2.0584070695680311E-2</v>
      </c>
    </row>
    <row r="81" spans="1:32" ht="13.5" thickBot="1" x14ac:dyDescent="0.25">
      <c r="A81" s="15" t="s">
        <v>221</v>
      </c>
      <c r="B81" s="44">
        <f>SUM(B77:B80)</f>
        <v>0.99999999999999989</v>
      </c>
      <c r="C81" s="44">
        <f t="shared" ref="C81:J81" si="29">SUM(C77:C80)</f>
        <v>1</v>
      </c>
      <c r="D81" s="44">
        <f t="shared" si="29"/>
        <v>0.99999999999999989</v>
      </c>
      <c r="E81" s="44">
        <f t="shared" si="29"/>
        <v>1</v>
      </c>
      <c r="F81" s="44">
        <f t="shared" si="29"/>
        <v>0.99999999999999989</v>
      </c>
      <c r="G81" s="44">
        <f t="shared" si="29"/>
        <v>0.99999999999999989</v>
      </c>
      <c r="H81" s="44">
        <f t="shared" si="29"/>
        <v>0.99999999999999989</v>
      </c>
      <c r="I81" s="44">
        <f t="shared" si="29"/>
        <v>1.0000000000000002</v>
      </c>
      <c r="J81" s="44">
        <f t="shared" si="29"/>
        <v>1</v>
      </c>
      <c r="L81" s="15" t="s">
        <v>221</v>
      </c>
      <c r="M81" s="51">
        <f>SUM(M77:M80)</f>
        <v>1</v>
      </c>
      <c r="N81" s="51">
        <f t="shared" ref="N81:U81" si="30">SUM(N77:N80)</f>
        <v>1</v>
      </c>
      <c r="O81" s="51">
        <f t="shared" si="30"/>
        <v>1</v>
      </c>
      <c r="P81" s="51">
        <f t="shared" si="30"/>
        <v>1</v>
      </c>
      <c r="Q81" s="51">
        <f t="shared" si="30"/>
        <v>1</v>
      </c>
      <c r="R81" s="51">
        <f t="shared" si="30"/>
        <v>1</v>
      </c>
      <c r="S81" s="51">
        <f t="shared" si="30"/>
        <v>1</v>
      </c>
      <c r="T81" s="51">
        <f t="shared" si="30"/>
        <v>1</v>
      </c>
      <c r="U81" s="51">
        <f t="shared" si="30"/>
        <v>1</v>
      </c>
      <c r="W81" s="15" t="s">
        <v>221</v>
      </c>
      <c r="X81" s="14">
        <f t="shared" si="27"/>
        <v>0</v>
      </c>
      <c r="Y81" s="14">
        <f t="shared" si="27"/>
        <v>0</v>
      </c>
      <c r="Z81" s="14">
        <f t="shared" si="27"/>
        <v>0</v>
      </c>
      <c r="AA81" s="14">
        <f t="shared" si="27"/>
        <v>0</v>
      </c>
      <c r="AB81" s="14">
        <f t="shared" si="27"/>
        <v>0</v>
      </c>
      <c r="AC81" s="14">
        <f t="shared" si="27"/>
        <v>0</v>
      </c>
      <c r="AD81" s="14">
        <f t="shared" si="27"/>
        <v>0</v>
      </c>
      <c r="AE81" s="14">
        <f t="shared" si="28"/>
        <v>0</v>
      </c>
      <c r="AF81" s="14">
        <f t="shared" si="28"/>
        <v>0</v>
      </c>
    </row>
  </sheetData>
  <phoneticPr fontId="5"/>
  <conditionalFormatting sqref="X29:AF33 X41:AF45 X53:AF57 X65:AF69 X77:AF81 X5:AF9 X17:AF21">
    <cfRule type="cellIs" dxfId="32" priority="1" stopIfTrue="1" operator="notBetween">
      <formula>-0.15</formula>
      <formula>0.15</formula>
    </cfRule>
    <cfRule type="cellIs" dxfId="31" priority="2" stopIfTrue="1" operator="notBetween">
      <formula>-0.1</formula>
      <formula>0.1</formula>
    </cfRule>
    <cfRule type="cellIs" dxfId="30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F74"/>
  <sheetViews>
    <sheetView topLeftCell="A7" workbookViewId="0">
      <selection activeCell="J79" sqref="J79"/>
    </sheetView>
  </sheetViews>
  <sheetFormatPr defaultColWidth="10.75" defaultRowHeight="12.75" x14ac:dyDescent="0.2"/>
  <cols>
    <col min="1" max="11" width="10.75" style="3" collapsed="1"/>
    <col min="12" max="21" width="10.75" style="39" collapsed="1"/>
    <col min="22" max="23" width="10.75" style="3" collapsed="1"/>
    <col min="24" max="32" width="10.75" style="39" collapsed="1"/>
    <col min="33" max="16384" width="10.75" style="3" collapsed="1"/>
  </cols>
  <sheetData>
    <row r="1" spans="1:32" x14ac:dyDescent="0.2">
      <c r="A1" s="2" t="s">
        <v>175</v>
      </c>
      <c r="L1" s="46" t="s">
        <v>175</v>
      </c>
      <c r="W1" s="2" t="s">
        <v>175</v>
      </c>
    </row>
    <row r="2" spans="1:32" x14ac:dyDescent="0.2">
      <c r="A2" s="2" t="s">
        <v>123</v>
      </c>
      <c r="L2" s="46" t="s">
        <v>202</v>
      </c>
      <c r="W2" s="2" t="s">
        <v>242</v>
      </c>
    </row>
    <row r="3" spans="1:32" ht="13.5" thickBot="1" x14ac:dyDescent="0.25">
      <c r="A3" s="2"/>
      <c r="B3" s="4"/>
      <c r="C3" s="4"/>
      <c r="D3" s="4"/>
      <c r="E3" s="4"/>
      <c r="F3" s="4"/>
      <c r="G3" s="4"/>
      <c r="H3" s="4"/>
      <c r="I3" s="4"/>
      <c r="J3" s="4"/>
      <c r="L3" s="46"/>
      <c r="M3" s="40"/>
      <c r="N3" s="40"/>
      <c r="O3" s="40"/>
      <c r="P3" s="40"/>
      <c r="Q3" s="40"/>
      <c r="R3" s="40"/>
      <c r="S3" s="40"/>
      <c r="T3" s="40"/>
      <c r="U3" s="40"/>
      <c r="W3" s="2"/>
      <c r="X3" s="40"/>
      <c r="Y3" s="40"/>
      <c r="Z3" s="40"/>
      <c r="AA3" s="40"/>
      <c r="AB3" s="40"/>
      <c r="AC3" s="40"/>
      <c r="AD3" s="40"/>
      <c r="AE3" s="40"/>
      <c r="AF3" s="40"/>
    </row>
    <row r="4" spans="1:32" x14ac:dyDescent="0.2">
      <c r="A4" s="5" t="s">
        <v>115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47" t="s">
        <v>115</v>
      </c>
      <c r="M4" s="41" t="s">
        <v>146</v>
      </c>
      <c r="N4" s="41" t="s">
        <v>147</v>
      </c>
      <c r="O4" s="41" t="s">
        <v>148</v>
      </c>
      <c r="P4" s="41" t="s">
        <v>243</v>
      </c>
      <c r="Q4" s="41" t="s">
        <v>244</v>
      </c>
      <c r="R4" s="41" t="s">
        <v>245</v>
      </c>
      <c r="S4" s="41" t="s">
        <v>246</v>
      </c>
      <c r="T4" s="41" t="s">
        <v>170</v>
      </c>
      <c r="U4" s="41" t="s">
        <v>221</v>
      </c>
      <c r="W4" s="5" t="s">
        <v>115</v>
      </c>
      <c r="X4" s="41" t="s">
        <v>146</v>
      </c>
      <c r="Y4" s="41" t="s">
        <v>147</v>
      </c>
      <c r="Z4" s="41" t="s">
        <v>148</v>
      </c>
      <c r="AA4" s="41" t="s">
        <v>243</v>
      </c>
      <c r="AB4" s="41" t="s">
        <v>244</v>
      </c>
      <c r="AC4" s="41" t="s">
        <v>245</v>
      </c>
      <c r="AD4" s="41" t="s">
        <v>246</v>
      </c>
      <c r="AE4" s="41" t="s">
        <v>170</v>
      </c>
      <c r="AF4" s="41" t="s">
        <v>221</v>
      </c>
    </row>
    <row r="5" spans="1:32" x14ac:dyDescent="0.2">
      <c r="A5" s="18">
        <v>1</v>
      </c>
      <c r="B5" s="12">
        <f>output_NHTS!B81/SUM(output_NHTS!B$81:B$83)</f>
        <v>0.96105011237254268</v>
      </c>
      <c r="C5" s="12">
        <f>output_NHTS!C81/SUM(output_NHTS!C$81:C$83)</f>
        <v>0.93721753680662478</v>
      </c>
      <c r="D5" s="12">
        <f>output_NHTS!D81/SUM(output_NHTS!D$81:D$83)</f>
        <v>1</v>
      </c>
      <c r="E5" s="12">
        <f>output_NHTS!E81/SUM(output_NHTS!E$81:E$83)</f>
        <v>0.96448400289498282</v>
      </c>
      <c r="F5" s="12">
        <f>output_NHTS!F81/SUM(output_NHTS!F$81:F$83)</f>
        <v>0.89438502700659672</v>
      </c>
      <c r="G5" s="12">
        <f>output_NHTS!G81/SUM(output_NHTS!G$81:G$83)</f>
        <v>1</v>
      </c>
      <c r="H5" s="12">
        <f>output_NHTS!H81/SUM(output_NHTS!H$81:H$83)</f>
        <v>1</v>
      </c>
      <c r="I5" s="12">
        <f>output_NHTS!I81/SUM(output_NHTS!I$81:I$83)</f>
        <v>1</v>
      </c>
      <c r="J5" s="12">
        <f>output_NHTS!J81/SUM(output_NHTS!J$81:J$83)</f>
        <v>0.95655968423842008</v>
      </c>
      <c r="L5" s="48">
        <v>1</v>
      </c>
      <c r="M5" s="42">
        <f>output!B81/SUM(output!B$81:B$83)</f>
        <v>0.97594590457803454</v>
      </c>
      <c r="N5" s="42">
        <f>output!C81/SUM(output!C$81:C$83)</f>
        <v>0.95185033608651437</v>
      </c>
      <c r="O5" s="42" t="e">
        <f>output!D81/SUM(output!D$81:D$83)</f>
        <v>#DIV/0!</v>
      </c>
      <c r="P5" s="42" t="e">
        <f>output!E81/SUM(output!E$81:E$83)</f>
        <v>#DIV/0!</v>
      </c>
      <c r="Q5" s="42">
        <f>output!F81/SUM(output!F$81:F$83)</f>
        <v>0.96439876925259582</v>
      </c>
      <c r="R5" s="42">
        <f>output!G81/SUM(output!G$81:G$83)</f>
        <v>0.97126969416126041</v>
      </c>
      <c r="S5" s="42">
        <f>output!H81/SUM(output!H$81:H$83)</f>
        <v>0.99281264973646377</v>
      </c>
      <c r="T5" s="42" t="e">
        <f>output!I81/SUM(output!I$81:I$83)</f>
        <v>#DIV/0!</v>
      </c>
      <c r="U5" s="42">
        <f>output!J81/SUM(output!J$81:J$83)</f>
        <v>0.97210217514143216</v>
      </c>
      <c r="W5" s="18">
        <v>1</v>
      </c>
      <c r="X5" s="12">
        <f t="shared" ref="X5:AD8" si="0">M5-B5</f>
        <v>1.4895792205491865E-2</v>
      </c>
      <c r="Y5" s="12">
        <f t="shared" si="0"/>
        <v>1.4632799279889586E-2</v>
      </c>
      <c r="Z5" s="12" t="e">
        <f t="shared" si="0"/>
        <v>#DIV/0!</v>
      </c>
      <c r="AA5" s="12" t="e">
        <f t="shared" si="0"/>
        <v>#DIV/0!</v>
      </c>
      <c r="AB5" s="12">
        <f t="shared" si="0"/>
        <v>7.00137422459991E-2</v>
      </c>
      <c r="AC5" s="12">
        <f t="shared" si="0"/>
        <v>-2.8730305838739589E-2</v>
      </c>
      <c r="AD5" s="12">
        <f t="shared" si="0"/>
        <v>-7.1873502635362296E-3</v>
      </c>
      <c r="AE5" s="12" t="e">
        <f t="shared" ref="AE5:AF8" si="1">T5-I5</f>
        <v>#DIV/0!</v>
      </c>
      <c r="AF5" s="12">
        <f t="shared" si="1"/>
        <v>1.5542490903012074E-2</v>
      </c>
    </row>
    <row r="6" spans="1:32" x14ac:dyDescent="0.2">
      <c r="A6" s="18">
        <v>2</v>
      </c>
      <c r="B6" s="12">
        <f>output_NHTS!B82/SUM(output_NHTS!B$81:B$83)</f>
        <v>3.7668199168927871E-2</v>
      </c>
      <c r="C6" s="12">
        <f>output_NHTS!C82/SUM(output_NHTS!C$81:C$83)</f>
        <v>6.2090406065313769E-2</v>
      </c>
      <c r="D6" s="12">
        <f>output_NHTS!D82/SUM(output_NHTS!D$81:D$83)</f>
        <v>0</v>
      </c>
      <c r="E6" s="12">
        <f>output_NHTS!E82/SUM(output_NHTS!E$81:E$83)</f>
        <v>2.4375850056767324E-2</v>
      </c>
      <c r="F6" s="12">
        <f>output_NHTS!F82/SUM(output_NHTS!F$81:F$83)</f>
        <v>7.6313711956231045E-2</v>
      </c>
      <c r="G6" s="12">
        <f>output_NHTS!G82/SUM(output_NHTS!G$81:G$83)</f>
        <v>0</v>
      </c>
      <c r="H6" s="12">
        <f>output_NHTS!H82/SUM(output_NHTS!H$81:H$83)</f>
        <v>0</v>
      </c>
      <c r="I6" s="12">
        <f>output_NHTS!I82/SUM(output_NHTS!I$81:I$83)</f>
        <v>0</v>
      </c>
      <c r="J6" s="12">
        <f>output_NHTS!J82/SUM(output_NHTS!J$81:J$83)</f>
        <v>4.1083419985220165E-2</v>
      </c>
      <c r="L6" s="48">
        <v>2</v>
      </c>
      <c r="M6" s="42">
        <f>output!B82/SUM(output!B$81:B$83)</f>
        <v>2.3191130334021013E-2</v>
      </c>
      <c r="N6" s="42">
        <f>output!C82/SUM(output!C$81:C$83)</f>
        <v>4.6183991864474042E-2</v>
      </c>
      <c r="O6" s="42" t="e">
        <f>output!D82/SUM(output!D$81:D$83)</f>
        <v>#DIV/0!</v>
      </c>
      <c r="P6" s="42" t="e">
        <f>output!E82/SUM(output!E$81:E$83)</f>
        <v>#DIV/0!</v>
      </c>
      <c r="Q6" s="42">
        <f>output!F82/SUM(output!F$81:F$83)</f>
        <v>3.4253438201051631E-2</v>
      </c>
      <c r="R6" s="42">
        <f>output!G82/SUM(output!G$81:G$83)</f>
        <v>2.6876737720111215E-2</v>
      </c>
      <c r="S6" s="42">
        <f>output!H82/SUM(output!H$81:H$83)</f>
        <v>7.1873502635361767E-3</v>
      </c>
      <c r="T6" s="42" t="e">
        <f>output!I82/SUM(output!I$81:I$83)</f>
        <v>#DIV/0!</v>
      </c>
      <c r="U6" s="42">
        <f>output!J82/SUM(output!J$81:J$83)</f>
        <v>2.6861511454166584E-2</v>
      </c>
      <c r="W6" s="18">
        <v>2</v>
      </c>
      <c r="X6" s="12">
        <f t="shared" si="0"/>
        <v>-1.4477068834906858E-2</v>
      </c>
      <c r="Y6" s="12">
        <f t="shared" si="0"/>
        <v>-1.5906414200839727E-2</v>
      </c>
      <c r="Z6" s="12" t="e">
        <f t="shared" si="0"/>
        <v>#DIV/0!</v>
      </c>
      <c r="AA6" s="12" t="e">
        <f t="shared" si="0"/>
        <v>#DIV/0!</v>
      </c>
      <c r="AB6" s="12">
        <f t="shared" si="0"/>
        <v>-4.2060273755179414E-2</v>
      </c>
      <c r="AC6" s="12">
        <f t="shared" si="0"/>
        <v>2.6876737720111215E-2</v>
      </c>
      <c r="AD6" s="12">
        <f t="shared" si="0"/>
        <v>7.1873502635361767E-3</v>
      </c>
      <c r="AE6" s="12" t="e">
        <f t="shared" si="1"/>
        <v>#DIV/0!</v>
      </c>
      <c r="AF6" s="12">
        <f t="shared" si="1"/>
        <v>-1.4221908531053581E-2</v>
      </c>
    </row>
    <row r="7" spans="1:32" x14ac:dyDescent="0.2">
      <c r="A7" s="23" t="s">
        <v>116</v>
      </c>
      <c r="B7" s="12">
        <f>output_NHTS!B83/SUM(output_NHTS!B$81:B$83)</f>
        <v>1.2816884585295247E-3</v>
      </c>
      <c r="C7" s="12">
        <f>output_NHTS!C83/SUM(output_NHTS!C$81:C$83)</f>
        <v>6.9205712806151923E-4</v>
      </c>
      <c r="D7" s="12">
        <f>output_NHTS!D83/SUM(output_NHTS!D$81:D$83)</f>
        <v>0</v>
      </c>
      <c r="E7" s="12">
        <f>output_NHTS!E83/SUM(output_NHTS!E$81:E$83)</f>
        <v>1.1140147048249859E-2</v>
      </c>
      <c r="F7" s="12">
        <f>output_NHTS!F83/SUM(output_NHTS!F$81:F$83)</f>
        <v>2.9301261037172059E-2</v>
      </c>
      <c r="G7" s="12">
        <f>output_NHTS!G83/SUM(output_NHTS!G$81:G$83)</f>
        <v>0</v>
      </c>
      <c r="H7" s="12">
        <f>output_NHTS!H83/SUM(output_NHTS!H$81:H$83)</f>
        <v>0</v>
      </c>
      <c r="I7" s="12">
        <f>output_NHTS!I83/SUM(output_NHTS!I$81:I$83)</f>
        <v>0</v>
      </c>
      <c r="J7" s="12">
        <f>output_NHTS!J83/SUM(output_NHTS!J$81:J$83)</f>
        <v>2.3568957763597325E-3</v>
      </c>
      <c r="L7" s="49" t="s">
        <v>116</v>
      </c>
      <c r="M7" s="43">
        <f>output!B83/SUM(output!B$81:B$83)</f>
        <v>8.6296508794449982E-4</v>
      </c>
      <c r="N7" s="43">
        <f>output!C83/SUM(output!C$81:C$83)</f>
        <v>1.9656720490115833E-3</v>
      </c>
      <c r="O7" s="43" t="e">
        <f>output!D83/SUM(output!D$81:D$83)</f>
        <v>#DIV/0!</v>
      </c>
      <c r="P7" s="43" t="e">
        <f>output!E83/SUM(output!E$81:E$83)</f>
        <v>#DIV/0!</v>
      </c>
      <c r="Q7" s="43">
        <f>output!F83/SUM(output!F$81:F$83)</f>
        <v>1.3477925463525363E-3</v>
      </c>
      <c r="R7" s="43">
        <f>output!G83/SUM(output!G$81:G$83)</f>
        <v>1.8535681186283596E-3</v>
      </c>
      <c r="S7" s="43">
        <f>output!H83/SUM(output!H$81:H$83)</f>
        <v>0</v>
      </c>
      <c r="T7" s="43" t="e">
        <f>output!I83/SUM(output!I$81:I$83)</f>
        <v>#DIV/0!</v>
      </c>
      <c r="U7" s="43">
        <f>output!J83/SUM(output!J$81:J$83)</f>
        <v>1.0363134044012051E-3</v>
      </c>
      <c r="W7" s="23" t="s">
        <v>116</v>
      </c>
      <c r="X7" s="12">
        <f t="shared" si="0"/>
        <v>-4.1872337058502488E-4</v>
      </c>
      <c r="Y7" s="12">
        <f t="shared" si="0"/>
        <v>1.2736149209500642E-3</v>
      </c>
      <c r="Z7" s="12" t="e">
        <f t="shared" si="0"/>
        <v>#DIV/0!</v>
      </c>
      <c r="AA7" s="12" t="e">
        <f t="shared" si="0"/>
        <v>#DIV/0!</v>
      </c>
      <c r="AB7" s="12">
        <f t="shared" si="0"/>
        <v>-2.7953468490819523E-2</v>
      </c>
      <c r="AC7" s="12">
        <f t="shared" si="0"/>
        <v>1.8535681186283596E-3</v>
      </c>
      <c r="AD7" s="12">
        <f t="shared" si="0"/>
        <v>0</v>
      </c>
      <c r="AE7" s="12" t="e">
        <f t="shared" si="1"/>
        <v>#DIV/0!</v>
      </c>
      <c r="AF7" s="12">
        <f t="shared" si="1"/>
        <v>-1.3205823719585274E-3</v>
      </c>
    </row>
    <row r="8" spans="1:32" ht="13.5" thickBot="1" x14ac:dyDescent="0.25">
      <c r="A8" s="21" t="s">
        <v>221</v>
      </c>
      <c r="B8" s="51">
        <f>SUM(B5:B7)</f>
        <v>1</v>
      </c>
      <c r="C8" s="51">
        <f t="shared" ref="C8:J8" si="2">SUM(C5:C7)</f>
        <v>1</v>
      </c>
      <c r="D8" s="51">
        <f t="shared" si="2"/>
        <v>1</v>
      </c>
      <c r="E8" s="51">
        <f t="shared" si="2"/>
        <v>1</v>
      </c>
      <c r="F8" s="51">
        <f t="shared" si="2"/>
        <v>0.99999999999999978</v>
      </c>
      <c r="G8" s="51">
        <f t="shared" si="2"/>
        <v>1</v>
      </c>
      <c r="H8" s="51">
        <f t="shared" si="2"/>
        <v>1</v>
      </c>
      <c r="I8" s="51">
        <f t="shared" si="2"/>
        <v>1</v>
      </c>
      <c r="J8" s="51">
        <f t="shared" si="2"/>
        <v>1</v>
      </c>
      <c r="L8" s="50" t="s">
        <v>221</v>
      </c>
      <c r="M8" s="51">
        <f>SUM(M5:M7)</f>
        <v>1</v>
      </c>
      <c r="N8" s="51">
        <f t="shared" ref="N8:U8" si="3">SUM(N5:N7)</f>
        <v>1</v>
      </c>
      <c r="O8" s="51" t="e">
        <f t="shared" si="3"/>
        <v>#DIV/0!</v>
      </c>
      <c r="P8" s="51" t="e">
        <f t="shared" si="3"/>
        <v>#DIV/0!</v>
      </c>
      <c r="Q8" s="51">
        <f t="shared" si="3"/>
        <v>1</v>
      </c>
      <c r="R8" s="51">
        <f t="shared" si="3"/>
        <v>1</v>
      </c>
      <c r="S8" s="51">
        <f t="shared" si="3"/>
        <v>1</v>
      </c>
      <c r="T8" s="51" t="e">
        <f t="shared" si="3"/>
        <v>#DIV/0!</v>
      </c>
      <c r="U8" s="51">
        <f t="shared" si="3"/>
        <v>1</v>
      </c>
      <c r="W8" s="21" t="s">
        <v>221</v>
      </c>
      <c r="X8" s="14">
        <f t="shared" si="0"/>
        <v>0</v>
      </c>
      <c r="Y8" s="14">
        <f t="shared" si="0"/>
        <v>0</v>
      </c>
      <c r="Z8" s="14" t="e">
        <f t="shared" si="0"/>
        <v>#DIV/0!</v>
      </c>
      <c r="AA8" s="14" t="e">
        <f t="shared" si="0"/>
        <v>#DIV/0!</v>
      </c>
      <c r="AB8" s="14">
        <f t="shared" si="0"/>
        <v>0</v>
      </c>
      <c r="AC8" s="14">
        <f t="shared" si="0"/>
        <v>0</v>
      </c>
      <c r="AD8" s="14">
        <f t="shared" si="0"/>
        <v>0</v>
      </c>
      <c r="AE8" s="14" t="e">
        <f t="shared" si="1"/>
        <v>#DIV/0!</v>
      </c>
      <c r="AF8" s="14">
        <f t="shared" si="1"/>
        <v>0</v>
      </c>
    </row>
    <row r="9" spans="1:32" x14ac:dyDescent="0.2">
      <c r="B9" s="12"/>
      <c r="C9" s="12"/>
      <c r="D9" s="12"/>
      <c r="E9" s="12"/>
      <c r="F9" s="12"/>
      <c r="G9" s="12"/>
      <c r="H9" s="12"/>
      <c r="I9" s="12"/>
      <c r="J9" s="12"/>
      <c r="M9" s="42"/>
      <c r="N9" s="42"/>
      <c r="O9" s="42"/>
      <c r="P9" s="42"/>
      <c r="Q9" s="42"/>
      <c r="R9" s="42"/>
      <c r="S9" s="42"/>
      <c r="T9" s="42"/>
      <c r="U9" s="42"/>
      <c r="X9" s="42"/>
      <c r="Y9" s="42"/>
      <c r="Z9" s="42"/>
      <c r="AA9" s="42"/>
      <c r="AB9" s="42"/>
      <c r="AC9" s="42"/>
      <c r="AD9" s="42"/>
      <c r="AE9" s="42"/>
      <c r="AF9" s="42"/>
    </row>
    <row r="10" spans="1:32" x14ac:dyDescent="0.2">
      <c r="B10" s="12"/>
      <c r="C10" s="12"/>
      <c r="D10" s="12"/>
      <c r="E10" s="12"/>
      <c r="F10" s="12"/>
      <c r="G10" s="12"/>
      <c r="H10" s="12"/>
      <c r="I10" s="12"/>
      <c r="J10" s="12"/>
      <c r="M10" s="42"/>
      <c r="N10" s="42"/>
      <c r="O10" s="42"/>
      <c r="P10" s="42"/>
      <c r="Q10" s="42"/>
      <c r="R10" s="42"/>
      <c r="S10" s="42"/>
      <c r="T10" s="42"/>
      <c r="U10" s="42"/>
      <c r="X10" s="42"/>
      <c r="Y10" s="42"/>
      <c r="Z10" s="42"/>
      <c r="AA10" s="42"/>
      <c r="AB10" s="42"/>
      <c r="AC10" s="42"/>
      <c r="AD10" s="42"/>
      <c r="AE10" s="42"/>
      <c r="AF10" s="42"/>
    </row>
    <row r="11" spans="1:32" x14ac:dyDescent="0.2">
      <c r="B11" s="12"/>
      <c r="C11" s="12"/>
      <c r="D11" s="12"/>
      <c r="E11" s="12"/>
      <c r="F11" s="12"/>
      <c r="G11" s="12"/>
      <c r="H11" s="12"/>
      <c r="I11" s="12"/>
      <c r="J11" s="12"/>
      <c r="M11" s="42"/>
      <c r="N11" s="42"/>
      <c r="O11" s="42"/>
      <c r="P11" s="42"/>
      <c r="Q11" s="42"/>
      <c r="R11" s="42"/>
      <c r="S11" s="42"/>
      <c r="T11" s="42"/>
      <c r="U11" s="42"/>
      <c r="X11" s="42"/>
      <c r="Y11" s="42"/>
      <c r="Z11" s="42"/>
      <c r="AA11" s="42"/>
      <c r="AB11" s="42"/>
      <c r="AC11" s="42"/>
      <c r="AD11" s="42"/>
      <c r="AE11" s="42"/>
      <c r="AF11" s="42"/>
    </row>
    <row r="12" spans="1:32" x14ac:dyDescent="0.2">
      <c r="A12" s="2" t="s">
        <v>175</v>
      </c>
      <c r="B12" s="12"/>
      <c r="C12" s="12"/>
      <c r="D12" s="12"/>
      <c r="E12" s="12"/>
      <c r="F12" s="12"/>
      <c r="G12" s="12"/>
      <c r="H12" s="12"/>
      <c r="I12" s="12"/>
      <c r="J12" s="12"/>
      <c r="L12" s="46" t="s">
        <v>175</v>
      </c>
      <c r="M12" s="42"/>
      <c r="N12" s="42"/>
      <c r="O12" s="42"/>
      <c r="P12" s="42"/>
      <c r="Q12" s="42"/>
      <c r="R12" s="42"/>
      <c r="S12" s="42"/>
      <c r="T12" s="42"/>
      <c r="U12" s="42"/>
      <c r="W12" s="2" t="s">
        <v>175</v>
      </c>
      <c r="X12" s="42"/>
      <c r="Y12" s="42"/>
      <c r="Z12" s="42"/>
      <c r="AA12" s="42"/>
      <c r="AB12" s="42"/>
      <c r="AC12" s="42"/>
      <c r="AD12" s="42"/>
      <c r="AE12" s="42"/>
      <c r="AF12" s="42"/>
    </row>
    <row r="13" spans="1:32" x14ac:dyDescent="0.2">
      <c r="A13" s="2" t="s">
        <v>124</v>
      </c>
      <c r="B13" s="12"/>
      <c r="C13" s="12"/>
      <c r="D13" s="12"/>
      <c r="E13" s="12"/>
      <c r="F13" s="12"/>
      <c r="G13" s="12"/>
      <c r="H13" s="12"/>
      <c r="I13" s="12"/>
      <c r="J13" s="12"/>
      <c r="L13" s="46" t="s">
        <v>199</v>
      </c>
      <c r="M13" s="42"/>
      <c r="N13" s="42"/>
      <c r="O13" s="42"/>
      <c r="P13" s="42"/>
      <c r="Q13" s="42"/>
      <c r="R13" s="42"/>
      <c r="S13" s="42"/>
      <c r="T13" s="42"/>
      <c r="U13" s="42"/>
      <c r="W13" s="2" t="s">
        <v>253</v>
      </c>
      <c r="X13" s="42"/>
      <c r="Y13" s="42"/>
      <c r="Z13" s="42"/>
      <c r="AA13" s="42"/>
      <c r="AB13" s="42"/>
      <c r="AC13" s="42"/>
      <c r="AD13" s="42"/>
      <c r="AE13" s="42"/>
      <c r="AF13" s="42"/>
    </row>
    <row r="14" spans="1:32" ht="13.5" thickBot="1" x14ac:dyDescent="0.25">
      <c r="A14" s="2"/>
      <c r="B14" s="4"/>
      <c r="C14" s="4"/>
      <c r="D14" s="4"/>
      <c r="E14" s="4"/>
      <c r="F14" s="4"/>
      <c r="G14" s="4"/>
      <c r="H14" s="4"/>
      <c r="I14" s="4"/>
      <c r="J14" s="4"/>
      <c r="L14" s="46"/>
      <c r="M14" s="40"/>
      <c r="N14" s="40"/>
      <c r="O14" s="40"/>
      <c r="P14" s="40"/>
      <c r="Q14" s="40"/>
      <c r="R14" s="40"/>
      <c r="S14" s="40"/>
      <c r="T14" s="40"/>
      <c r="U14" s="40"/>
      <c r="W14" s="2"/>
      <c r="X14" s="40"/>
      <c r="Y14" s="40"/>
      <c r="Z14" s="40"/>
      <c r="AA14" s="40"/>
      <c r="AB14" s="40"/>
      <c r="AC14" s="40"/>
      <c r="AD14" s="40"/>
      <c r="AE14" s="40"/>
      <c r="AF14" s="40"/>
    </row>
    <row r="15" spans="1:32" x14ac:dyDescent="0.2">
      <c r="A15" s="5" t="s">
        <v>115</v>
      </c>
      <c r="B15" s="6" t="s">
        <v>146</v>
      </c>
      <c r="C15" s="6" t="s">
        <v>147</v>
      </c>
      <c r="D15" s="6" t="s">
        <v>148</v>
      </c>
      <c r="E15" s="6" t="s">
        <v>243</v>
      </c>
      <c r="F15" s="6" t="s">
        <v>244</v>
      </c>
      <c r="G15" s="6" t="s">
        <v>245</v>
      </c>
      <c r="H15" s="6" t="s">
        <v>246</v>
      </c>
      <c r="I15" s="6" t="s">
        <v>170</v>
      </c>
      <c r="J15" s="6" t="s">
        <v>221</v>
      </c>
      <c r="L15" s="47" t="s">
        <v>115</v>
      </c>
      <c r="M15" s="41" t="s">
        <v>146</v>
      </c>
      <c r="N15" s="41" t="s">
        <v>147</v>
      </c>
      <c r="O15" s="41" t="s">
        <v>148</v>
      </c>
      <c r="P15" s="41" t="s">
        <v>243</v>
      </c>
      <c r="Q15" s="41" t="s">
        <v>244</v>
      </c>
      <c r="R15" s="41" t="s">
        <v>245</v>
      </c>
      <c r="S15" s="41" t="s">
        <v>246</v>
      </c>
      <c r="T15" s="41" t="s">
        <v>170</v>
      </c>
      <c r="U15" s="41" t="s">
        <v>221</v>
      </c>
      <c r="W15" s="5" t="s">
        <v>115</v>
      </c>
      <c r="X15" s="41" t="s">
        <v>146</v>
      </c>
      <c r="Y15" s="41" t="s">
        <v>147</v>
      </c>
      <c r="Z15" s="41" t="s">
        <v>148</v>
      </c>
      <c r="AA15" s="41" t="s">
        <v>243</v>
      </c>
      <c r="AB15" s="41" t="s">
        <v>244</v>
      </c>
      <c r="AC15" s="41" t="s">
        <v>245</v>
      </c>
      <c r="AD15" s="41" t="s">
        <v>246</v>
      </c>
      <c r="AE15" s="41" t="s">
        <v>170</v>
      </c>
      <c r="AF15" s="41" t="s">
        <v>221</v>
      </c>
    </row>
    <row r="16" spans="1:32" x14ac:dyDescent="0.2">
      <c r="A16" s="18">
        <v>1</v>
      </c>
      <c r="B16" s="12">
        <f>output_NHTS!B88/SUM(output_NHTS!B$88:B$90)</f>
        <v>1</v>
      </c>
      <c r="C16" s="12">
        <f>output_NHTS!C88/SUM(output_NHTS!C$88:C$90)</f>
        <v>0.96196913488159075</v>
      </c>
      <c r="D16" s="12">
        <f>output_NHTS!D88/SUM(output_NHTS!D$88:D$90)</f>
        <v>1</v>
      </c>
      <c r="E16" s="12">
        <f>output_NHTS!E88/SUM(output_NHTS!E$88:E$90)</f>
        <v>0.93600353224869182</v>
      </c>
      <c r="F16" s="12">
        <f>output_NHTS!F88/SUM(output_NHTS!F$88:F$90)</f>
        <v>0.89539252258336066</v>
      </c>
      <c r="G16" s="12">
        <f>output_NHTS!G88/SUM(output_NHTS!G$88:G$90)</f>
        <v>0.98459617688325929</v>
      </c>
      <c r="H16" s="12">
        <f>output_NHTS!H88/SUM(output_NHTS!H$88:H$90)</f>
        <v>0.99098058562192715</v>
      </c>
      <c r="I16" s="12">
        <f>output_NHTS!I88/SUM(output_NHTS!I$88:I$90)</f>
        <v>0.99213107989046256</v>
      </c>
      <c r="J16" s="12">
        <f>output_NHTS!J88/SUM(output_NHTS!J$88:J$90)</f>
        <v>0.97886118108261289</v>
      </c>
      <c r="L16" s="48">
        <v>1</v>
      </c>
      <c r="M16" s="42" t="e">
        <f>output!B88/SUM(output!B$88:B$90)</f>
        <v>#DIV/0!</v>
      </c>
      <c r="N16" s="42" t="e">
        <f>output!C88/SUM(output!C$88:C$90)</f>
        <v>#DIV/0!</v>
      </c>
      <c r="O16" s="42" t="e">
        <f>output!D88/SUM(output!D$88:D$90)</f>
        <v>#DIV/0!</v>
      </c>
      <c r="P16" s="42" t="e">
        <f>output!E88/SUM(output!E$88:E$90)</f>
        <v>#DIV/0!</v>
      </c>
      <c r="Q16" s="42">
        <f>output!F88/SUM(output!F$88:F$90)</f>
        <v>0.88973212161583481</v>
      </c>
      <c r="R16" s="42">
        <f>output!G88/SUM(output!G$88:G$90)</f>
        <v>0.98844092612700973</v>
      </c>
      <c r="S16" s="42">
        <f>output!H88/SUM(output!H$88:H$90)</f>
        <v>0.98438748357532901</v>
      </c>
      <c r="T16" s="42" t="e">
        <f>output!I88/SUM(output!I$88:I$90)</f>
        <v>#DIV/0!</v>
      </c>
      <c r="U16" s="42">
        <f>output!J88/SUM(output!J$88:J$90)</f>
        <v>0.96698899257764648</v>
      </c>
      <c r="W16" s="18">
        <v>1</v>
      </c>
      <c r="X16" s="12" t="e">
        <f t="shared" ref="X16:AF19" si="4">M16-B16</f>
        <v>#DIV/0!</v>
      </c>
      <c r="Y16" s="12" t="e">
        <f t="shared" si="4"/>
        <v>#DIV/0!</v>
      </c>
      <c r="Z16" s="12" t="e">
        <f t="shared" si="4"/>
        <v>#DIV/0!</v>
      </c>
      <c r="AA16" s="12" t="e">
        <f t="shared" si="4"/>
        <v>#DIV/0!</v>
      </c>
      <c r="AB16" s="12">
        <f t="shared" si="4"/>
        <v>-5.6604009675258471E-3</v>
      </c>
      <c r="AC16" s="12">
        <f t="shared" si="4"/>
        <v>3.8447492437504449E-3</v>
      </c>
      <c r="AD16" s="12">
        <f t="shared" si="4"/>
        <v>-6.5931020465981316E-3</v>
      </c>
      <c r="AE16" s="12" t="e">
        <f t="shared" si="4"/>
        <v>#DIV/0!</v>
      </c>
      <c r="AF16" s="12">
        <f t="shared" si="4"/>
        <v>-1.1872188504966408E-2</v>
      </c>
    </row>
    <row r="17" spans="1:32" x14ac:dyDescent="0.2">
      <c r="A17" s="18">
        <v>2</v>
      </c>
      <c r="B17" s="12">
        <f>output_NHTS!B89/SUM(output_NHTS!B$88:B$90)</f>
        <v>0</v>
      </c>
      <c r="C17" s="12">
        <f>output_NHTS!C89/SUM(output_NHTS!C$88:C$90)</f>
        <v>3.8030865118409175E-2</v>
      </c>
      <c r="D17" s="12">
        <f>output_NHTS!D89/SUM(output_NHTS!D$88:D$90)</f>
        <v>0</v>
      </c>
      <c r="E17" s="12">
        <f>output_NHTS!E89/SUM(output_NHTS!E$88:E$90)</f>
        <v>6.3996467751308073E-2</v>
      </c>
      <c r="F17" s="12">
        <f>output_NHTS!F89/SUM(output_NHTS!F$88:F$90)</f>
        <v>8.4100881023463026E-2</v>
      </c>
      <c r="G17" s="12">
        <f>output_NHTS!G89/SUM(output_NHTS!G$88:G$90)</f>
        <v>1.540382311674073E-2</v>
      </c>
      <c r="H17" s="12">
        <f>output_NHTS!H89/SUM(output_NHTS!H$88:H$90)</f>
        <v>9.0194143780728993E-3</v>
      </c>
      <c r="I17" s="12">
        <f>output_NHTS!I89/SUM(output_NHTS!I$88:I$90)</f>
        <v>0</v>
      </c>
      <c r="J17" s="12">
        <f>output_NHTS!J89/SUM(output_NHTS!J$88:J$90)</f>
        <v>1.9252081709883656E-2</v>
      </c>
      <c r="L17" s="48">
        <v>2</v>
      </c>
      <c r="M17" s="42" t="e">
        <f>output!B89/SUM(output!B$88:B$90)</f>
        <v>#DIV/0!</v>
      </c>
      <c r="N17" s="42" t="e">
        <f>output!C89/SUM(output!C$88:C$90)</f>
        <v>#DIV/0!</v>
      </c>
      <c r="O17" s="42" t="e">
        <f>output!D89/SUM(output!D$88:D$90)</f>
        <v>#DIV/0!</v>
      </c>
      <c r="P17" s="42" t="e">
        <f>output!E89/SUM(output!E$88:E$90)</f>
        <v>#DIV/0!</v>
      </c>
      <c r="Q17" s="42">
        <f>output!F89/SUM(output!F$88:F$90)</f>
        <v>9.5922348574963123E-2</v>
      </c>
      <c r="R17" s="42">
        <f>output!G89/SUM(output!G$88:G$90)</f>
        <v>9.9653227783810285E-3</v>
      </c>
      <c r="S17" s="42">
        <f>output!H89/SUM(output!H$88:H$90)</f>
        <v>1.3030789242583312E-2</v>
      </c>
      <c r="T17" s="42" t="e">
        <f>output!I89/SUM(output!I$88:I$90)</f>
        <v>#DIV/0!</v>
      </c>
      <c r="U17" s="42">
        <f>output!J89/SUM(output!J$88:J$90)</f>
        <v>2.8329249837861208E-2</v>
      </c>
      <c r="W17" s="18">
        <v>2</v>
      </c>
      <c r="X17" s="12" t="e">
        <f t="shared" si="4"/>
        <v>#DIV/0!</v>
      </c>
      <c r="Y17" s="12" t="e">
        <f t="shared" si="4"/>
        <v>#DIV/0!</v>
      </c>
      <c r="Z17" s="12" t="e">
        <f t="shared" si="4"/>
        <v>#DIV/0!</v>
      </c>
      <c r="AA17" s="12" t="e">
        <f t="shared" si="4"/>
        <v>#DIV/0!</v>
      </c>
      <c r="AB17" s="12">
        <f t="shared" si="4"/>
        <v>1.1821467551500098E-2</v>
      </c>
      <c r="AC17" s="12">
        <f t="shared" si="4"/>
        <v>-5.438500338359702E-3</v>
      </c>
      <c r="AD17" s="12">
        <f t="shared" si="4"/>
        <v>4.0113748645104128E-3</v>
      </c>
      <c r="AE17" s="12" t="e">
        <f t="shared" si="4"/>
        <v>#DIV/0!</v>
      </c>
      <c r="AF17" s="12">
        <f t="shared" si="4"/>
        <v>9.0771681279775522E-3</v>
      </c>
    </row>
    <row r="18" spans="1:32" x14ac:dyDescent="0.2">
      <c r="A18" s="23" t="s">
        <v>116</v>
      </c>
      <c r="B18" s="12">
        <f>output_NHTS!B90/SUM(output_NHTS!B$88:B$90)</f>
        <v>0</v>
      </c>
      <c r="C18" s="12">
        <f>output_NHTS!C90/SUM(output_NHTS!C$88:C$90)</f>
        <v>0</v>
      </c>
      <c r="D18" s="12">
        <f>output_NHTS!D90/SUM(output_NHTS!D$88:D$90)</f>
        <v>0</v>
      </c>
      <c r="E18" s="12">
        <f>output_NHTS!E90/SUM(output_NHTS!E$88:E$90)</f>
        <v>0</v>
      </c>
      <c r="F18" s="12">
        <f>output_NHTS!F90/SUM(output_NHTS!F$88:F$90)</f>
        <v>2.0506596393176476E-2</v>
      </c>
      <c r="G18" s="12">
        <f>output_NHTS!G90/SUM(output_NHTS!G$88:G$90)</f>
        <v>0</v>
      </c>
      <c r="H18" s="12">
        <f>output_NHTS!H90/SUM(output_NHTS!H$88:H$90)</f>
        <v>0</v>
      </c>
      <c r="I18" s="12">
        <f>output_NHTS!I90/SUM(output_NHTS!I$88:I$90)</f>
        <v>7.8689201095374865E-3</v>
      </c>
      <c r="J18" s="12">
        <f>output_NHTS!J90/SUM(output_NHTS!J$88:J$90)</f>
        <v>1.8867372075034631E-3</v>
      </c>
      <c r="L18" s="49" t="s">
        <v>116</v>
      </c>
      <c r="M18" s="43" t="e">
        <f>output!B90/SUM(output!B$88:B$90)</f>
        <v>#DIV/0!</v>
      </c>
      <c r="N18" s="43" t="e">
        <f>output!C90/SUM(output!C$88:C$90)</f>
        <v>#DIV/0!</v>
      </c>
      <c r="O18" s="43" t="e">
        <f>output!D90/SUM(output!D$88:D$90)</f>
        <v>#DIV/0!</v>
      </c>
      <c r="P18" s="43" t="e">
        <f>output!E90/SUM(output!E$88:E$90)</f>
        <v>#DIV/0!</v>
      </c>
      <c r="Q18" s="43">
        <f>output!F90/SUM(output!F$88:F$90)</f>
        <v>1.4345529809202074E-2</v>
      </c>
      <c r="R18" s="43">
        <f>output!G90/SUM(output!G$88:G$90)</f>
        <v>1.5937510946092684E-3</v>
      </c>
      <c r="S18" s="43">
        <f>output!H90/SUM(output!H$88:H$90)</f>
        <v>2.5817271820876993E-3</v>
      </c>
      <c r="T18" s="43" t="e">
        <f>output!I90/SUM(output!I$88:I$90)</f>
        <v>#DIV/0!</v>
      </c>
      <c r="U18" s="43">
        <f>output!J90/SUM(output!J$88:J$90)</f>
        <v>4.6817575844923251E-3</v>
      </c>
      <c r="W18" s="23" t="s">
        <v>116</v>
      </c>
      <c r="X18" s="12" t="e">
        <f t="shared" si="4"/>
        <v>#DIV/0!</v>
      </c>
      <c r="Y18" s="12" t="e">
        <f t="shared" si="4"/>
        <v>#DIV/0!</v>
      </c>
      <c r="Z18" s="12" t="e">
        <f t="shared" si="4"/>
        <v>#DIV/0!</v>
      </c>
      <c r="AA18" s="12" t="e">
        <f t="shared" si="4"/>
        <v>#DIV/0!</v>
      </c>
      <c r="AB18" s="12">
        <f t="shared" si="4"/>
        <v>-6.1610665839744016E-3</v>
      </c>
      <c r="AC18" s="12">
        <f t="shared" si="4"/>
        <v>1.5937510946092684E-3</v>
      </c>
      <c r="AD18" s="12">
        <f t="shared" si="4"/>
        <v>2.5817271820876993E-3</v>
      </c>
      <c r="AE18" s="12" t="e">
        <f t="shared" si="4"/>
        <v>#DIV/0!</v>
      </c>
      <c r="AF18" s="12">
        <f t="shared" si="4"/>
        <v>2.7950203769888621E-3</v>
      </c>
    </row>
    <row r="19" spans="1:32" ht="13.5" thickBot="1" x14ac:dyDescent="0.25">
      <c r="A19" s="21" t="s">
        <v>221</v>
      </c>
      <c r="B19" s="51">
        <f>SUM(B16:B18)</f>
        <v>1</v>
      </c>
      <c r="C19" s="51">
        <f t="shared" ref="C19:J19" si="5">SUM(C16:C18)</f>
        <v>0.99999999999999989</v>
      </c>
      <c r="D19" s="51">
        <f t="shared" si="5"/>
        <v>1</v>
      </c>
      <c r="E19" s="51">
        <f t="shared" si="5"/>
        <v>0.99999999999999989</v>
      </c>
      <c r="F19" s="51">
        <f t="shared" si="5"/>
        <v>1.0000000000000002</v>
      </c>
      <c r="G19" s="51">
        <f t="shared" si="5"/>
        <v>1</v>
      </c>
      <c r="H19" s="51">
        <f t="shared" si="5"/>
        <v>1</v>
      </c>
      <c r="I19" s="51">
        <f t="shared" si="5"/>
        <v>1</v>
      </c>
      <c r="J19" s="51">
        <f t="shared" si="5"/>
        <v>1</v>
      </c>
      <c r="L19" s="50" t="s">
        <v>221</v>
      </c>
      <c r="M19" s="51" t="e">
        <f t="shared" ref="M19:U19" si="6">SUM(M16:M18)</f>
        <v>#DIV/0!</v>
      </c>
      <c r="N19" s="51" t="e">
        <f t="shared" si="6"/>
        <v>#DIV/0!</v>
      </c>
      <c r="O19" s="51" t="e">
        <f t="shared" si="6"/>
        <v>#DIV/0!</v>
      </c>
      <c r="P19" s="51" t="e">
        <f t="shared" si="6"/>
        <v>#DIV/0!</v>
      </c>
      <c r="Q19" s="51">
        <f t="shared" si="6"/>
        <v>1</v>
      </c>
      <c r="R19" s="51">
        <f t="shared" si="6"/>
        <v>1</v>
      </c>
      <c r="S19" s="51">
        <f t="shared" si="6"/>
        <v>1</v>
      </c>
      <c r="T19" s="51" t="e">
        <f t="shared" si="6"/>
        <v>#DIV/0!</v>
      </c>
      <c r="U19" s="51">
        <f t="shared" si="6"/>
        <v>1</v>
      </c>
      <c r="W19" s="21" t="s">
        <v>221</v>
      </c>
      <c r="X19" s="14" t="e">
        <f t="shared" si="4"/>
        <v>#DIV/0!</v>
      </c>
      <c r="Y19" s="14" t="e">
        <f t="shared" si="4"/>
        <v>#DIV/0!</v>
      </c>
      <c r="Z19" s="14" t="e">
        <f t="shared" si="4"/>
        <v>#DIV/0!</v>
      </c>
      <c r="AA19" s="14" t="e">
        <f t="shared" si="4"/>
        <v>#DIV/0!</v>
      </c>
      <c r="AB19" s="14">
        <f t="shared" si="4"/>
        <v>0</v>
      </c>
      <c r="AC19" s="14">
        <f t="shared" si="4"/>
        <v>0</v>
      </c>
      <c r="AD19" s="14">
        <f t="shared" si="4"/>
        <v>0</v>
      </c>
      <c r="AE19" s="14" t="e">
        <f t="shared" si="4"/>
        <v>#DIV/0!</v>
      </c>
      <c r="AF19" s="14">
        <f t="shared" si="4"/>
        <v>0</v>
      </c>
    </row>
    <row r="20" spans="1:32" x14ac:dyDescent="0.2">
      <c r="B20" s="12"/>
      <c r="C20" s="12"/>
      <c r="D20" s="12"/>
      <c r="E20" s="12"/>
      <c r="F20" s="12"/>
      <c r="G20" s="12"/>
      <c r="H20" s="12"/>
      <c r="I20" s="12"/>
      <c r="J20" s="12"/>
      <c r="M20" s="42"/>
      <c r="N20" s="42"/>
      <c r="O20" s="42"/>
      <c r="P20" s="42"/>
      <c r="Q20" s="42"/>
      <c r="R20" s="42"/>
      <c r="S20" s="42"/>
      <c r="T20" s="42"/>
      <c r="U20" s="42"/>
      <c r="X20" s="42"/>
      <c r="Y20" s="42"/>
      <c r="Z20" s="42"/>
      <c r="AA20" s="42"/>
      <c r="AB20" s="42"/>
      <c r="AC20" s="42"/>
      <c r="AD20" s="42"/>
      <c r="AE20" s="42"/>
      <c r="AF20" s="42"/>
    </row>
    <row r="21" spans="1:32" x14ac:dyDescent="0.2">
      <c r="B21" s="12"/>
      <c r="C21" s="12"/>
      <c r="D21" s="12"/>
      <c r="E21" s="12"/>
      <c r="F21" s="12"/>
      <c r="G21" s="12"/>
      <c r="H21" s="12"/>
      <c r="I21" s="12"/>
      <c r="J21" s="12"/>
      <c r="M21" s="42"/>
      <c r="N21" s="42"/>
      <c r="O21" s="42"/>
      <c r="P21" s="42"/>
      <c r="Q21" s="42"/>
      <c r="R21" s="42"/>
      <c r="S21" s="42"/>
      <c r="T21" s="42"/>
      <c r="U21" s="42"/>
      <c r="X21" s="42"/>
      <c r="Y21" s="42"/>
      <c r="Z21" s="42"/>
      <c r="AA21" s="42"/>
      <c r="AB21" s="42"/>
      <c r="AC21" s="42"/>
      <c r="AD21" s="42"/>
      <c r="AE21" s="42"/>
      <c r="AF21" s="42"/>
    </row>
    <row r="22" spans="1:32" x14ac:dyDescent="0.2">
      <c r="B22" s="12"/>
      <c r="C22" s="12"/>
      <c r="D22" s="12"/>
      <c r="E22" s="12"/>
      <c r="F22" s="12"/>
      <c r="G22" s="12"/>
      <c r="H22" s="12"/>
      <c r="I22" s="12"/>
      <c r="J22" s="12"/>
      <c r="M22" s="42"/>
      <c r="N22" s="42"/>
      <c r="O22" s="42"/>
      <c r="P22" s="42"/>
      <c r="Q22" s="42"/>
      <c r="R22" s="42"/>
      <c r="S22" s="42"/>
      <c r="T22" s="42"/>
      <c r="U22" s="42"/>
      <c r="X22" s="42"/>
      <c r="Y22" s="42"/>
      <c r="Z22" s="42"/>
      <c r="AA22" s="42"/>
      <c r="AB22" s="42"/>
      <c r="AC22" s="42"/>
      <c r="AD22" s="42"/>
      <c r="AE22" s="42"/>
      <c r="AF22" s="42"/>
    </row>
    <row r="23" spans="1:32" x14ac:dyDescent="0.2">
      <c r="A23" s="2" t="s">
        <v>175</v>
      </c>
      <c r="B23" s="12"/>
      <c r="C23" s="12"/>
      <c r="D23" s="12"/>
      <c r="E23" s="12"/>
      <c r="F23" s="12"/>
      <c r="G23" s="12"/>
      <c r="H23" s="12"/>
      <c r="I23" s="12"/>
      <c r="J23" s="12"/>
      <c r="L23" s="46" t="s">
        <v>175</v>
      </c>
      <c r="M23" s="42"/>
      <c r="N23" s="42"/>
      <c r="O23" s="42"/>
      <c r="P23" s="42"/>
      <c r="Q23" s="42"/>
      <c r="R23" s="42"/>
      <c r="S23" s="42"/>
      <c r="T23" s="42"/>
      <c r="U23" s="42"/>
      <c r="W23" s="2" t="s">
        <v>175</v>
      </c>
      <c r="X23" s="42"/>
      <c r="Y23" s="42"/>
      <c r="Z23" s="42"/>
      <c r="AA23" s="42"/>
      <c r="AB23" s="42"/>
      <c r="AC23" s="42"/>
      <c r="AD23" s="42"/>
      <c r="AE23" s="42"/>
      <c r="AF23" s="42"/>
    </row>
    <row r="24" spans="1:32" x14ac:dyDescent="0.2">
      <c r="A24" s="2" t="s">
        <v>125</v>
      </c>
      <c r="B24" s="12"/>
      <c r="C24" s="12"/>
      <c r="D24" s="12"/>
      <c r="E24" s="12"/>
      <c r="F24" s="12"/>
      <c r="G24" s="12"/>
      <c r="H24" s="12"/>
      <c r="I24" s="12"/>
      <c r="J24" s="12"/>
      <c r="L24" s="46" t="s">
        <v>200</v>
      </c>
      <c r="M24" s="42"/>
      <c r="N24" s="42"/>
      <c r="O24" s="42"/>
      <c r="P24" s="42"/>
      <c r="Q24" s="42"/>
      <c r="R24" s="42"/>
      <c r="S24" s="42"/>
      <c r="T24" s="42"/>
      <c r="U24" s="42"/>
      <c r="W24" s="2" t="s">
        <v>204</v>
      </c>
      <c r="X24" s="42"/>
      <c r="Y24" s="42"/>
      <c r="Z24" s="42"/>
      <c r="AA24" s="42"/>
      <c r="AB24" s="42"/>
      <c r="AC24" s="42"/>
      <c r="AD24" s="42"/>
      <c r="AE24" s="42"/>
      <c r="AF24" s="42"/>
    </row>
    <row r="25" spans="1:32" ht="13.5" thickBot="1" x14ac:dyDescent="0.25">
      <c r="A25" s="2"/>
      <c r="B25" s="17"/>
      <c r="C25" s="17"/>
      <c r="D25" s="17"/>
      <c r="E25" s="17"/>
      <c r="F25" s="17"/>
      <c r="G25" s="17"/>
      <c r="H25" s="17"/>
      <c r="I25" s="17"/>
      <c r="J25" s="17"/>
      <c r="L25" s="46"/>
      <c r="M25" s="44"/>
      <c r="N25" s="44"/>
      <c r="O25" s="44"/>
      <c r="P25" s="44"/>
      <c r="Q25" s="44"/>
      <c r="R25" s="44"/>
      <c r="S25" s="44"/>
      <c r="T25" s="44"/>
      <c r="U25" s="44"/>
      <c r="W25" s="2"/>
      <c r="X25" s="44"/>
      <c r="Y25" s="44"/>
      <c r="Z25" s="44"/>
      <c r="AA25" s="44"/>
      <c r="AB25" s="44"/>
      <c r="AC25" s="44"/>
      <c r="AD25" s="44"/>
      <c r="AE25" s="44"/>
      <c r="AF25" s="44"/>
    </row>
    <row r="26" spans="1:32" x14ac:dyDescent="0.2">
      <c r="A26" s="5" t="s">
        <v>115</v>
      </c>
      <c r="B26" s="24" t="s">
        <v>146</v>
      </c>
      <c r="C26" s="24" t="s">
        <v>147</v>
      </c>
      <c r="D26" s="24" t="s">
        <v>148</v>
      </c>
      <c r="E26" s="24" t="s">
        <v>243</v>
      </c>
      <c r="F26" s="24" t="s">
        <v>244</v>
      </c>
      <c r="G26" s="24" t="s">
        <v>245</v>
      </c>
      <c r="H26" s="24" t="s">
        <v>246</v>
      </c>
      <c r="I26" s="24" t="s">
        <v>170</v>
      </c>
      <c r="J26" s="24" t="s">
        <v>221</v>
      </c>
      <c r="L26" s="47" t="s">
        <v>115</v>
      </c>
      <c r="M26" s="52" t="s">
        <v>146</v>
      </c>
      <c r="N26" s="52" t="s">
        <v>147</v>
      </c>
      <c r="O26" s="52" t="s">
        <v>148</v>
      </c>
      <c r="P26" s="52" t="s">
        <v>243</v>
      </c>
      <c r="Q26" s="52" t="s">
        <v>244</v>
      </c>
      <c r="R26" s="52" t="s">
        <v>245</v>
      </c>
      <c r="S26" s="52" t="s">
        <v>246</v>
      </c>
      <c r="T26" s="52" t="s">
        <v>170</v>
      </c>
      <c r="U26" s="52" t="s">
        <v>221</v>
      </c>
      <c r="W26" s="5" t="s">
        <v>115</v>
      </c>
      <c r="X26" s="52" t="s">
        <v>146</v>
      </c>
      <c r="Y26" s="52" t="s">
        <v>147</v>
      </c>
      <c r="Z26" s="52" t="s">
        <v>148</v>
      </c>
      <c r="AA26" s="52" t="s">
        <v>243</v>
      </c>
      <c r="AB26" s="52" t="s">
        <v>244</v>
      </c>
      <c r="AC26" s="52" t="s">
        <v>245</v>
      </c>
      <c r="AD26" s="52" t="s">
        <v>246</v>
      </c>
      <c r="AE26" s="52" t="s">
        <v>170</v>
      </c>
      <c r="AF26" s="52" t="s">
        <v>221</v>
      </c>
    </row>
    <row r="27" spans="1:32" x14ac:dyDescent="0.2">
      <c r="A27" s="18">
        <v>1</v>
      </c>
      <c r="B27" s="12">
        <f>output_NHTS!B95/SUM(output_NHTS!B$95:B$97)</f>
        <v>0.69636438193986638</v>
      </c>
      <c r="C27" s="12">
        <f>output_NHTS!C95/SUM(output_NHTS!C$95:C$97)</f>
        <v>0.57011876053607025</v>
      </c>
      <c r="D27" s="12">
        <f>output_NHTS!D95/SUM(output_NHTS!D$95:D$97)</f>
        <v>0.88660036570268164</v>
      </c>
      <c r="E27" s="12">
        <f>output_NHTS!E95/SUM(output_NHTS!E$95:E$97)</f>
        <v>0.56242768962996637</v>
      </c>
      <c r="F27" s="12">
        <f>output_NHTS!F95/SUM(output_NHTS!F$95:F$97)</f>
        <v>0.82472838635123424</v>
      </c>
      <c r="G27" s="12">
        <f>output_NHTS!G95/SUM(output_NHTS!G$95:G$97)</f>
        <v>0.91431791303135734</v>
      </c>
      <c r="H27" s="12">
        <f>output_NHTS!H95/SUM(output_NHTS!H$95:H$97)</f>
        <v>0.95366163857216357</v>
      </c>
      <c r="I27" s="12">
        <f>output_NHTS!I95/SUM(output_NHTS!I$95:I$97)</f>
        <v>0.94855859357929739</v>
      </c>
      <c r="J27" s="12">
        <f>output_NHTS!J95/SUM(output_NHTS!J$95:J$97)</f>
        <v>0.70579042992124097</v>
      </c>
      <c r="L27" s="48">
        <v>1</v>
      </c>
      <c r="M27" s="42">
        <f>output!B95/SUM(output!B$95:B$97)</f>
        <v>0.86263196005945353</v>
      </c>
      <c r="N27" s="42">
        <f>output!C95/SUM(output!C$95:C$97)</f>
        <v>0.59960853039579398</v>
      </c>
      <c r="O27" s="42">
        <f>output!D95/SUM(output!D$95:D$97)</f>
        <v>0.75223766340831466</v>
      </c>
      <c r="P27" s="42">
        <f>output!E95/SUM(output!E$95:E$97)</f>
        <v>0.54110437199898909</v>
      </c>
      <c r="Q27" s="42">
        <f>output!F95/SUM(output!F$95:F$97)</f>
        <v>0.80949295318321723</v>
      </c>
      <c r="R27" s="42">
        <f>output!G95/SUM(output!G$95:G$97)</f>
        <v>0.87128353879622911</v>
      </c>
      <c r="S27" s="42">
        <f>output!H95/SUM(output!H$95:H$97)</f>
        <v>0.82092920571064121</v>
      </c>
      <c r="T27" s="42">
        <f>output!I95/SUM(output!I$95:I$97)</f>
        <v>0.90385799302277858</v>
      </c>
      <c r="U27" s="42">
        <f>output!J95/SUM(output!J$95:J$97)</f>
        <v>0.75370754613956537</v>
      </c>
      <c r="W27" s="18">
        <v>1</v>
      </c>
      <c r="X27" s="12">
        <f t="shared" ref="X27:AD30" si="7">M27-B27</f>
        <v>0.16626757811958714</v>
      </c>
      <c r="Y27" s="12">
        <f t="shared" si="7"/>
        <v>2.9489769859723736E-2</v>
      </c>
      <c r="Z27" s="12">
        <f t="shared" si="7"/>
        <v>-0.13436270229436698</v>
      </c>
      <c r="AA27" s="12">
        <f t="shared" si="7"/>
        <v>-2.1323317630977279E-2</v>
      </c>
      <c r="AB27" s="12">
        <f t="shared" si="7"/>
        <v>-1.523543316801701E-2</v>
      </c>
      <c r="AC27" s="12">
        <f t="shared" si="7"/>
        <v>-4.3034374235128237E-2</v>
      </c>
      <c r="AD27" s="12">
        <f t="shared" si="7"/>
        <v>-0.13273243286152236</v>
      </c>
      <c r="AE27" s="12">
        <f t="shared" ref="AE27:AF30" si="8">T27-I27</f>
        <v>-4.470060055651881E-2</v>
      </c>
      <c r="AF27" s="12">
        <f t="shared" si="8"/>
        <v>4.7917116218324396E-2</v>
      </c>
    </row>
    <row r="28" spans="1:32" x14ac:dyDescent="0.2">
      <c r="A28" s="18">
        <v>2</v>
      </c>
      <c r="B28" s="12">
        <f>output_NHTS!B96/SUM(output_NHTS!B$95:B$97)</f>
        <v>0.2876145723469814</v>
      </c>
      <c r="C28" s="12">
        <f>output_NHTS!C96/SUM(output_NHTS!C$95:C$97)</f>
        <v>0.36615439903717073</v>
      </c>
      <c r="D28" s="12">
        <f>output_NHTS!D96/SUM(output_NHTS!D$95:D$97)</f>
        <v>0.10568945148774982</v>
      </c>
      <c r="E28" s="12">
        <f>output_NHTS!E96/SUM(output_NHTS!E$95:E$97)</f>
        <v>0.32378228056538211</v>
      </c>
      <c r="F28" s="12">
        <f>output_NHTS!F96/SUM(output_NHTS!F$95:F$97)</f>
        <v>0.13531445209389761</v>
      </c>
      <c r="G28" s="12">
        <f>output_NHTS!G96/SUM(output_NHTS!G$95:G$97)</f>
        <v>8.5682086968642643E-2</v>
      </c>
      <c r="H28" s="12">
        <f>output_NHTS!H96/SUM(output_NHTS!H$95:H$97)</f>
        <v>4.6338361427836414E-2</v>
      </c>
      <c r="I28" s="12">
        <f>output_NHTS!I96/SUM(output_NHTS!I$95:I$97)</f>
        <v>5.144140642070253E-2</v>
      </c>
      <c r="J28" s="12">
        <f>output_NHTS!J96/SUM(output_NHTS!J$95:J$97)</f>
        <v>0.24746254483193525</v>
      </c>
      <c r="L28" s="48">
        <v>2</v>
      </c>
      <c r="M28" s="42">
        <f>output!B96/SUM(output!B$95:B$97)</f>
        <v>0.11437935896947292</v>
      </c>
      <c r="N28" s="42">
        <f>output!C96/SUM(output!C$95:C$97)</f>
        <v>0.33919020415595058</v>
      </c>
      <c r="O28" s="42">
        <f>output!D96/SUM(output!D$95:D$97)</f>
        <v>0.21310799670239078</v>
      </c>
      <c r="P28" s="42">
        <f>output!E96/SUM(output!E$95:E$97)</f>
        <v>0.38893100833965127</v>
      </c>
      <c r="Q28" s="42">
        <f>output!F96/SUM(output!F$95:F$97)</f>
        <v>0.1572979102543334</v>
      </c>
      <c r="R28" s="42">
        <f>output!G96/SUM(output!G$95:G$97)</f>
        <v>0.10986221899927484</v>
      </c>
      <c r="S28" s="42">
        <f>output!H96/SUM(output!H$95:H$97)</f>
        <v>0.13246332728253937</v>
      </c>
      <c r="T28" s="42">
        <f>output!I96/SUM(output!I$95:I$97)</f>
        <v>7.6236404678842601E-2</v>
      </c>
      <c r="U28" s="42">
        <f>output!J96/SUM(output!J$95:J$97)</f>
        <v>0.20644315823959813</v>
      </c>
      <c r="W28" s="18">
        <v>2</v>
      </c>
      <c r="X28" s="12">
        <f t="shared" si="7"/>
        <v>-0.17323521337750847</v>
      </c>
      <c r="Y28" s="12">
        <f t="shared" si="7"/>
        <v>-2.6964194881220149E-2</v>
      </c>
      <c r="Z28" s="12">
        <f t="shared" si="7"/>
        <v>0.10741854521464096</v>
      </c>
      <c r="AA28" s="12">
        <f t="shared" si="7"/>
        <v>6.5148727774269166E-2</v>
      </c>
      <c r="AB28" s="12">
        <f t="shared" si="7"/>
        <v>2.1983458160435787E-2</v>
      </c>
      <c r="AC28" s="12">
        <f t="shared" si="7"/>
        <v>2.4180132030632198E-2</v>
      </c>
      <c r="AD28" s="12">
        <f t="shared" si="7"/>
        <v>8.6124965854702959E-2</v>
      </c>
      <c r="AE28" s="12">
        <f t="shared" si="8"/>
        <v>2.479499825814007E-2</v>
      </c>
      <c r="AF28" s="12">
        <f t="shared" si="8"/>
        <v>-4.1019386592337115E-2</v>
      </c>
    </row>
    <row r="29" spans="1:32" x14ac:dyDescent="0.2">
      <c r="A29" s="18" t="s">
        <v>116</v>
      </c>
      <c r="B29" s="12">
        <f>output_NHTS!B97/SUM(output_NHTS!B$95:B$97)</f>
        <v>1.6021045713152385E-2</v>
      </c>
      <c r="C29" s="12">
        <f>output_NHTS!C97/SUM(output_NHTS!C$95:C$97)</f>
        <v>6.3726840426758982E-2</v>
      </c>
      <c r="D29" s="12">
        <f>output_NHTS!D97/SUM(output_NHTS!D$95:D$97)</f>
        <v>7.7101828095684777E-3</v>
      </c>
      <c r="E29" s="12">
        <f>output_NHTS!E97/SUM(output_NHTS!E$95:E$97)</f>
        <v>0.11379002980465157</v>
      </c>
      <c r="F29" s="12">
        <f>output_NHTS!F97/SUM(output_NHTS!F$95:F$97)</f>
        <v>3.9957161554868136E-2</v>
      </c>
      <c r="G29" s="12">
        <f>output_NHTS!G97/SUM(output_NHTS!G$95:G$97)</f>
        <v>0</v>
      </c>
      <c r="H29" s="12">
        <f>output_NHTS!H97/SUM(output_NHTS!H$95:H$97)</f>
        <v>0</v>
      </c>
      <c r="I29" s="12">
        <f>output_NHTS!I97/SUM(output_NHTS!I$95:I$97)</f>
        <v>0</v>
      </c>
      <c r="J29" s="12">
        <f>output_NHTS!J97/SUM(output_NHTS!J$95:J$97)</f>
        <v>4.674702524682374E-2</v>
      </c>
      <c r="L29" s="48">
        <v>3</v>
      </c>
      <c r="M29" s="43">
        <f>output!B97/SUM(output!B$95:B$97)</f>
        <v>2.2988680971073594E-2</v>
      </c>
      <c r="N29" s="43">
        <f>output!C97/SUM(output!C$95:C$97)</f>
        <v>6.1201265448255458E-2</v>
      </c>
      <c r="O29" s="43">
        <f>output!D97/SUM(output!D$95:D$97)</f>
        <v>3.4654339889294547E-2</v>
      </c>
      <c r="P29" s="43">
        <f>output!E97/SUM(output!E$95:E$97)</f>
        <v>6.9964619661359612E-2</v>
      </c>
      <c r="Q29" s="43">
        <f>output!F97/SUM(output!F$95:F$97)</f>
        <v>3.3209136562449379E-2</v>
      </c>
      <c r="R29" s="43">
        <f>output!G97/SUM(output!G$95:G$97)</f>
        <v>1.8854242204496011E-2</v>
      </c>
      <c r="S29" s="43">
        <f>output!H97/SUM(output!H$95:H$97)</f>
        <v>4.6607467006819406E-2</v>
      </c>
      <c r="T29" s="43">
        <f>output!I97/SUM(output!I$95:I$97)</f>
        <v>1.9905602298378823E-2</v>
      </c>
      <c r="U29" s="43">
        <f>output!J97/SUM(output!J$95:J$97)</f>
        <v>3.9849295620836521E-2</v>
      </c>
      <c r="W29" s="18">
        <v>3</v>
      </c>
      <c r="X29" s="12">
        <f t="shared" si="7"/>
        <v>6.9676352579212085E-3</v>
      </c>
      <c r="Y29" s="12">
        <f t="shared" si="7"/>
        <v>-2.5255749785035239E-3</v>
      </c>
      <c r="Z29" s="12">
        <f t="shared" si="7"/>
        <v>2.6944157079726069E-2</v>
      </c>
      <c r="AA29" s="12">
        <f t="shared" si="7"/>
        <v>-4.3825410143291957E-2</v>
      </c>
      <c r="AB29" s="12">
        <f t="shared" si="7"/>
        <v>-6.7480249924187566E-3</v>
      </c>
      <c r="AC29" s="12">
        <f t="shared" si="7"/>
        <v>1.8854242204496011E-2</v>
      </c>
      <c r="AD29" s="12">
        <f t="shared" si="7"/>
        <v>4.6607467006819406E-2</v>
      </c>
      <c r="AE29" s="12">
        <f t="shared" si="8"/>
        <v>1.9905602298378823E-2</v>
      </c>
      <c r="AF29" s="12">
        <f t="shared" si="8"/>
        <v>-6.8977296259872187E-3</v>
      </c>
    </row>
    <row r="30" spans="1:32" ht="13.5" thickBot="1" x14ac:dyDescent="0.25">
      <c r="A30" s="21" t="s">
        <v>221</v>
      </c>
      <c r="B30" s="51">
        <f>SUM(B27:B29)</f>
        <v>1.0000000000000002</v>
      </c>
      <c r="C30" s="51">
        <f t="shared" ref="C30:J30" si="9">SUM(C27:C29)</f>
        <v>1</v>
      </c>
      <c r="D30" s="51">
        <f t="shared" si="9"/>
        <v>0.99999999999999989</v>
      </c>
      <c r="E30" s="51">
        <f t="shared" si="9"/>
        <v>1</v>
      </c>
      <c r="F30" s="51">
        <f t="shared" si="9"/>
        <v>1</v>
      </c>
      <c r="G30" s="51">
        <f t="shared" si="9"/>
        <v>1</v>
      </c>
      <c r="H30" s="51">
        <f t="shared" si="9"/>
        <v>1</v>
      </c>
      <c r="I30" s="51">
        <f t="shared" si="9"/>
        <v>0.99999999999999989</v>
      </c>
      <c r="J30" s="51">
        <f t="shared" si="9"/>
        <v>0.99999999999999989</v>
      </c>
      <c r="L30" s="50" t="s">
        <v>221</v>
      </c>
      <c r="M30" s="44">
        <f>SUM(M27:M29)</f>
        <v>1</v>
      </c>
      <c r="N30" s="44">
        <f t="shared" ref="N30:U30" si="10">SUM(N27:N29)</f>
        <v>1</v>
      </c>
      <c r="O30" s="44">
        <f t="shared" si="10"/>
        <v>1</v>
      </c>
      <c r="P30" s="44">
        <f t="shared" si="10"/>
        <v>0.99999999999999989</v>
      </c>
      <c r="Q30" s="44">
        <f t="shared" si="10"/>
        <v>1</v>
      </c>
      <c r="R30" s="44">
        <f t="shared" si="10"/>
        <v>1</v>
      </c>
      <c r="S30" s="44">
        <f t="shared" si="10"/>
        <v>1</v>
      </c>
      <c r="T30" s="44">
        <f t="shared" si="10"/>
        <v>1</v>
      </c>
      <c r="U30" s="44">
        <f t="shared" si="10"/>
        <v>1</v>
      </c>
      <c r="W30" s="21" t="s">
        <v>221</v>
      </c>
      <c r="X30" s="14">
        <f t="shared" si="7"/>
        <v>0</v>
      </c>
      <c r="Y30" s="14">
        <f t="shared" si="7"/>
        <v>0</v>
      </c>
      <c r="Z30" s="14">
        <f t="shared" si="7"/>
        <v>0</v>
      </c>
      <c r="AA30" s="14">
        <f t="shared" si="7"/>
        <v>0</v>
      </c>
      <c r="AB30" s="14">
        <f t="shared" si="7"/>
        <v>0</v>
      </c>
      <c r="AC30" s="14">
        <f t="shared" si="7"/>
        <v>0</v>
      </c>
      <c r="AD30" s="14">
        <f t="shared" si="7"/>
        <v>0</v>
      </c>
      <c r="AE30" s="14">
        <f t="shared" si="8"/>
        <v>0</v>
      </c>
      <c r="AF30" s="14">
        <f t="shared" si="8"/>
        <v>0</v>
      </c>
    </row>
    <row r="31" spans="1:32" x14ac:dyDescent="0.2">
      <c r="B31" s="12"/>
      <c r="C31" s="12"/>
      <c r="D31" s="12"/>
      <c r="E31" s="12"/>
      <c r="F31" s="12"/>
      <c r="G31" s="12"/>
      <c r="H31" s="12"/>
      <c r="I31" s="12"/>
      <c r="J31" s="12"/>
      <c r="M31" s="42"/>
      <c r="N31" s="42"/>
      <c r="O31" s="42"/>
      <c r="P31" s="42"/>
      <c r="Q31" s="42"/>
      <c r="R31" s="42"/>
      <c r="S31" s="42"/>
      <c r="T31" s="42"/>
      <c r="U31" s="42"/>
      <c r="X31" s="42"/>
      <c r="Y31" s="42"/>
      <c r="Z31" s="42"/>
      <c r="AA31" s="42"/>
      <c r="AB31" s="42"/>
      <c r="AC31" s="42"/>
      <c r="AD31" s="42"/>
      <c r="AE31" s="42"/>
      <c r="AF31" s="42"/>
    </row>
    <row r="32" spans="1:32" x14ac:dyDescent="0.2">
      <c r="B32" s="12"/>
      <c r="C32" s="12"/>
      <c r="D32" s="12"/>
      <c r="E32" s="12"/>
      <c r="F32" s="12"/>
      <c r="G32" s="12"/>
      <c r="H32" s="12"/>
      <c r="I32" s="12"/>
      <c r="J32" s="12"/>
      <c r="M32" s="42"/>
      <c r="N32" s="42"/>
      <c r="O32" s="42"/>
      <c r="P32" s="42"/>
      <c r="Q32" s="42"/>
      <c r="R32" s="42"/>
      <c r="S32" s="42"/>
      <c r="T32" s="42"/>
      <c r="U32" s="42"/>
      <c r="X32" s="42"/>
      <c r="Y32" s="42"/>
      <c r="Z32" s="42"/>
      <c r="AA32" s="42"/>
      <c r="AB32" s="42"/>
      <c r="AC32" s="42"/>
      <c r="AD32" s="42"/>
      <c r="AE32" s="42"/>
      <c r="AF32" s="42"/>
    </row>
    <row r="33" spans="1:32" x14ac:dyDescent="0.2">
      <c r="B33" s="12"/>
      <c r="C33" s="12"/>
      <c r="D33" s="12"/>
      <c r="E33" s="12"/>
      <c r="F33" s="12"/>
      <c r="G33" s="12"/>
      <c r="H33" s="12"/>
      <c r="I33" s="12"/>
      <c r="J33" s="12"/>
      <c r="M33" s="42"/>
      <c r="N33" s="42"/>
      <c r="O33" s="42"/>
      <c r="P33" s="42"/>
      <c r="Q33" s="42"/>
      <c r="R33" s="42"/>
      <c r="S33" s="42"/>
      <c r="T33" s="42"/>
      <c r="U33" s="42"/>
      <c r="X33" s="42"/>
      <c r="Y33" s="42"/>
      <c r="Z33" s="42"/>
      <c r="AA33" s="42"/>
      <c r="AB33" s="42"/>
      <c r="AC33" s="42"/>
      <c r="AD33" s="42"/>
      <c r="AE33" s="42"/>
      <c r="AF33" s="42"/>
    </row>
    <row r="34" spans="1:32" x14ac:dyDescent="0.2">
      <c r="A34" s="2" t="s">
        <v>175</v>
      </c>
      <c r="B34" s="12"/>
      <c r="C34" s="12"/>
      <c r="D34" s="12"/>
      <c r="E34" s="12"/>
      <c r="F34" s="12"/>
      <c r="G34" s="12"/>
      <c r="H34" s="12"/>
      <c r="I34" s="12"/>
      <c r="J34" s="12"/>
      <c r="L34" s="46" t="s">
        <v>175</v>
      </c>
      <c r="M34" s="42"/>
      <c r="N34" s="42"/>
      <c r="O34" s="42"/>
      <c r="P34" s="42"/>
      <c r="Q34" s="42"/>
      <c r="R34" s="42"/>
      <c r="S34" s="42"/>
      <c r="T34" s="42"/>
      <c r="U34" s="42"/>
      <c r="W34" s="2" t="s">
        <v>175</v>
      </c>
      <c r="X34" s="42"/>
      <c r="Y34" s="42"/>
      <c r="Z34" s="42"/>
      <c r="AA34" s="42"/>
      <c r="AB34" s="42"/>
      <c r="AC34" s="42"/>
      <c r="AD34" s="42"/>
      <c r="AE34" s="42"/>
      <c r="AF34" s="42"/>
    </row>
    <row r="35" spans="1:32" x14ac:dyDescent="0.2">
      <c r="A35" s="2" t="s">
        <v>203</v>
      </c>
      <c r="B35" s="12"/>
      <c r="C35" s="12"/>
      <c r="D35" s="12"/>
      <c r="E35" s="12"/>
      <c r="F35" s="12"/>
      <c r="G35" s="12"/>
      <c r="H35" s="12"/>
      <c r="I35" s="12"/>
      <c r="J35" s="12"/>
      <c r="L35" s="46" t="s">
        <v>264</v>
      </c>
      <c r="M35" s="42"/>
      <c r="N35" s="42"/>
      <c r="O35" s="42"/>
      <c r="P35" s="42"/>
      <c r="Q35" s="42"/>
      <c r="R35" s="42"/>
      <c r="S35" s="42"/>
      <c r="T35" s="42"/>
      <c r="U35" s="42"/>
      <c r="W35" s="2" t="s">
        <v>205</v>
      </c>
      <c r="X35" s="42"/>
      <c r="Y35" s="42"/>
      <c r="Z35" s="42"/>
      <c r="AA35" s="42"/>
      <c r="AB35" s="42"/>
      <c r="AC35" s="42"/>
      <c r="AD35" s="42"/>
      <c r="AE35" s="42"/>
      <c r="AF35" s="42"/>
    </row>
    <row r="36" spans="1:32" ht="13.5" thickBot="1" x14ac:dyDescent="0.25">
      <c r="A36" s="2"/>
      <c r="B36" s="4"/>
      <c r="C36" s="4"/>
      <c r="D36" s="4"/>
      <c r="E36" s="4"/>
      <c r="F36" s="4"/>
      <c r="G36" s="4"/>
      <c r="H36" s="4"/>
      <c r="I36" s="4"/>
      <c r="J36" s="4"/>
      <c r="L36" s="46"/>
      <c r="M36" s="40"/>
      <c r="N36" s="40"/>
      <c r="O36" s="40"/>
      <c r="P36" s="40"/>
      <c r="Q36" s="40"/>
      <c r="R36" s="40"/>
      <c r="S36" s="40"/>
      <c r="T36" s="40"/>
      <c r="U36" s="40"/>
      <c r="W36" s="2"/>
      <c r="X36" s="40"/>
      <c r="Y36" s="40"/>
      <c r="Z36" s="40"/>
      <c r="AA36" s="40"/>
      <c r="AB36" s="40"/>
      <c r="AC36" s="40"/>
      <c r="AD36" s="40"/>
      <c r="AE36" s="40"/>
      <c r="AF36" s="40"/>
    </row>
    <row r="37" spans="1:32" x14ac:dyDescent="0.2">
      <c r="A37" s="5" t="s">
        <v>115</v>
      </c>
      <c r="B37" s="6" t="s">
        <v>146</v>
      </c>
      <c r="C37" s="6" t="s">
        <v>147</v>
      </c>
      <c r="D37" s="6" t="s">
        <v>148</v>
      </c>
      <c r="E37" s="6" t="s">
        <v>243</v>
      </c>
      <c r="F37" s="6" t="s">
        <v>244</v>
      </c>
      <c r="G37" s="6" t="s">
        <v>245</v>
      </c>
      <c r="H37" s="6" t="s">
        <v>246</v>
      </c>
      <c r="I37" s="6" t="s">
        <v>170</v>
      </c>
      <c r="J37" s="6" t="s">
        <v>221</v>
      </c>
      <c r="L37" s="47" t="s">
        <v>115</v>
      </c>
      <c r="M37" s="41" t="s">
        <v>146</v>
      </c>
      <c r="N37" s="41" t="s">
        <v>147</v>
      </c>
      <c r="O37" s="41" t="s">
        <v>148</v>
      </c>
      <c r="P37" s="41" t="s">
        <v>243</v>
      </c>
      <c r="Q37" s="41" t="s">
        <v>244</v>
      </c>
      <c r="R37" s="41" t="s">
        <v>245</v>
      </c>
      <c r="S37" s="41" t="s">
        <v>246</v>
      </c>
      <c r="T37" s="41" t="s">
        <v>170</v>
      </c>
      <c r="U37" s="41" t="s">
        <v>221</v>
      </c>
      <c r="W37" s="5" t="s">
        <v>115</v>
      </c>
      <c r="X37" s="41" t="s">
        <v>146</v>
      </c>
      <c r="Y37" s="41" t="s">
        <v>147</v>
      </c>
      <c r="Z37" s="41" t="s">
        <v>148</v>
      </c>
      <c r="AA37" s="41" t="s">
        <v>243</v>
      </c>
      <c r="AB37" s="41" t="s">
        <v>244</v>
      </c>
      <c r="AC37" s="41" t="s">
        <v>245</v>
      </c>
      <c r="AD37" s="41" t="s">
        <v>246</v>
      </c>
      <c r="AE37" s="41" t="s">
        <v>170</v>
      </c>
      <c r="AF37" s="41" t="s">
        <v>221</v>
      </c>
    </row>
    <row r="38" spans="1:32" x14ac:dyDescent="0.2">
      <c r="A38" s="18">
        <v>1</v>
      </c>
      <c r="B38" s="12">
        <f>output_NHTS!B102/SUM(output_NHTS!B$102:B$104)</f>
        <v>0.93221645554435573</v>
      </c>
      <c r="C38" s="12">
        <f>output_NHTS!C102/SUM(output_NHTS!C$102:C$104)</f>
        <v>0.82453174155054265</v>
      </c>
      <c r="D38" s="12">
        <f>output_NHTS!D102/SUM(output_NHTS!D$102:D$104)</f>
        <v>0.83889916468044912</v>
      </c>
      <c r="E38" s="12">
        <f>output_NHTS!E102/SUM(output_NHTS!E$102:E$104)</f>
        <v>0.88866673814167918</v>
      </c>
      <c r="F38" s="12">
        <f>output_NHTS!F102/SUM(output_NHTS!F$102:F$104)</f>
        <v>0.94123053109582566</v>
      </c>
      <c r="G38" s="12">
        <f>output_NHTS!G102/SUM(output_NHTS!G$102:G$104)</f>
        <v>0.99046002179585513</v>
      </c>
      <c r="H38" s="12">
        <f>output_NHTS!H102/SUM(output_NHTS!H$102:H$104)</f>
        <v>0.86227085489816813</v>
      </c>
      <c r="I38" s="12">
        <f>output_NHTS!I102/SUM(output_NHTS!I$102:I$104)</f>
        <v>0.80257486177000481</v>
      </c>
      <c r="J38" s="12">
        <f>output_NHTS!J102/SUM(output_NHTS!J$102:J$104)</f>
        <v>0.87247138638870758</v>
      </c>
      <c r="L38" s="48">
        <v>1</v>
      </c>
      <c r="M38" s="42">
        <f>output!B102/SUM(output!B$102:B$104)</f>
        <v>0.94052533955603423</v>
      </c>
      <c r="N38" s="42">
        <f>output!C102/SUM(output!C$102:C$104)</f>
        <v>0.86440771349862255</v>
      </c>
      <c r="O38" s="42">
        <f>output!D102/SUM(output!D$102:D$104)</f>
        <v>0.85091358703118558</v>
      </c>
      <c r="P38" s="42">
        <f>output!E102/SUM(output!E$102:E$104)</f>
        <v>0.84598559074560564</v>
      </c>
      <c r="Q38" s="42">
        <f>output!F102/SUM(output!F$102:F$104)</f>
        <v>0.90761396702230845</v>
      </c>
      <c r="R38" s="42">
        <f>output!G102/SUM(output!G$102:G$104)</f>
        <v>0.92160437556973562</v>
      </c>
      <c r="S38" s="42">
        <f>output!H102/SUM(output!H$102:H$104)</f>
        <v>0.89981744010457754</v>
      </c>
      <c r="T38" s="42">
        <f>output!I102/SUM(output!I$102:I$104)</f>
        <v>0.85377266902256221</v>
      </c>
      <c r="U38" s="42">
        <f>output!J102/SUM(output!J$102:J$104)</f>
        <v>0.87765425550415632</v>
      </c>
      <c r="W38" s="18">
        <v>1</v>
      </c>
      <c r="X38" s="12">
        <f t="shared" ref="X38:AF41" si="11">M38-B38</f>
        <v>8.3088840116785079E-3</v>
      </c>
      <c r="Y38" s="12">
        <f t="shared" si="11"/>
        <v>3.9875971948079902E-2</v>
      </c>
      <c r="Z38" s="12">
        <f t="shared" si="11"/>
        <v>1.2014422350736464E-2</v>
      </c>
      <c r="AA38" s="12">
        <f t="shared" si="11"/>
        <v>-4.2681147396073538E-2</v>
      </c>
      <c r="AB38" s="12">
        <f t="shared" si="11"/>
        <v>-3.3616564073517208E-2</v>
      </c>
      <c r="AC38" s="12">
        <f t="shared" si="11"/>
        <v>-6.8855646226119505E-2</v>
      </c>
      <c r="AD38" s="12">
        <f t="shared" si="11"/>
        <v>3.7546585206409411E-2</v>
      </c>
      <c r="AE38" s="12">
        <f t="shared" si="11"/>
        <v>5.1197807252557404E-2</v>
      </c>
      <c r="AF38" s="12">
        <f t="shared" si="11"/>
        <v>5.1828691154487405E-3</v>
      </c>
    </row>
    <row r="39" spans="1:32" x14ac:dyDescent="0.2">
      <c r="A39" s="18">
        <v>2</v>
      </c>
      <c r="B39" s="12">
        <f>output_NHTS!B103/SUM(output_NHTS!B$102:B$104)</f>
        <v>5.9211823984521315E-2</v>
      </c>
      <c r="C39" s="12">
        <f>output_NHTS!C103/SUM(output_NHTS!C$102:C$104)</f>
        <v>0.11103738264487538</v>
      </c>
      <c r="D39" s="12">
        <f>output_NHTS!D103/SUM(output_NHTS!D$102:D$104)</f>
        <v>0.13886455859353661</v>
      </c>
      <c r="E39" s="12">
        <f>output_NHTS!E103/SUM(output_NHTS!E$102:E$104)</f>
        <v>9.2969993717412963E-2</v>
      </c>
      <c r="F39" s="12">
        <f>output_NHTS!F103/SUM(output_NHTS!F$102:F$104)</f>
        <v>4.7939271471776894E-2</v>
      </c>
      <c r="G39" s="12">
        <f>output_NHTS!G103/SUM(output_NHTS!G$102:G$104)</f>
        <v>9.5399782041448462E-3</v>
      </c>
      <c r="H39" s="12">
        <f>output_NHTS!H103/SUM(output_NHTS!H$102:H$104)</f>
        <v>7.57531351602828E-2</v>
      </c>
      <c r="I39" s="12">
        <f>output_NHTS!I103/SUM(output_NHTS!I$102:I$104)</f>
        <v>0.17365879189870032</v>
      </c>
      <c r="J39" s="12">
        <f>output_NHTS!J103/SUM(output_NHTS!J$102:J$104)</f>
        <v>0.10168724740118795</v>
      </c>
      <c r="L39" s="48">
        <v>2</v>
      </c>
      <c r="M39" s="42">
        <f>output!B103/SUM(output!B$102:B$104)</f>
        <v>5.2543927880492232E-2</v>
      </c>
      <c r="N39" s="42">
        <f>output!C103/SUM(output!C$102:C$104)</f>
        <v>0.11849403122130395</v>
      </c>
      <c r="O39" s="42">
        <f>output!D103/SUM(output!D$102:D$104)</f>
        <v>0.1299995420616385</v>
      </c>
      <c r="P39" s="42">
        <f>output!E103/SUM(output!E$102:E$104)</f>
        <v>0.13356183689806411</v>
      </c>
      <c r="Q39" s="42">
        <f>output!F103/SUM(output!F$102:F$104)</f>
        <v>8.0504364694471392E-2</v>
      </c>
      <c r="R39" s="42">
        <f>output!G103/SUM(output!G$102:G$104)</f>
        <v>7.0191431175934363E-2</v>
      </c>
      <c r="S39" s="42">
        <f>output!H103/SUM(output!H$102:H$104)</f>
        <v>8.776397935495503E-2</v>
      </c>
      <c r="T39" s="42">
        <f>output!I103/SUM(output!I$102:I$104)</f>
        <v>0.1276066948856355</v>
      </c>
      <c r="U39" s="42">
        <f>output!J103/SUM(output!J$102:J$104)</f>
        <v>0.10678324232200619</v>
      </c>
      <c r="W39" s="18">
        <v>2</v>
      </c>
      <c r="X39" s="12">
        <f t="shared" si="11"/>
        <v>-6.6678961040290835E-3</v>
      </c>
      <c r="Y39" s="12">
        <f t="shared" si="11"/>
        <v>7.4566485764285678E-3</v>
      </c>
      <c r="Z39" s="12">
        <f t="shared" si="11"/>
        <v>-8.8650165318981122E-3</v>
      </c>
      <c r="AA39" s="12">
        <f t="shared" si="11"/>
        <v>4.0591843180651149E-2</v>
      </c>
      <c r="AB39" s="12">
        <f t="shared" si="11"/>
        <v>3.2565093222694498E-2</v>
      </c>
      <c r="AC39" s="12">
        <f t="shared" si="11"/>
        <v>6.0651452971789518E-2</v>
      </c>
      <c r="AD39" s="12">
        <f t="shared" si="11"/>
        <v>1.2010844194672229E-2</v>
      </c>
      <c r="AE39" s="12">
        <f t="shared" si="11"/>
        <v>-4.6052097013064813E-2</v>
      </c>
      <c r="AF39" s="12">
        <f t="shared" si="11"/>
        <v>5.0959949208182337E-3</v>
      </c>
    </row>
    <row r="40" spans="1:32" x14ac:dyDescent="0.2">
      <c r="A40" s="23" t="s">
        <v>116</v>
      </c>
      <c r="B40" s="12">
        <f>output_NHTS!B104/SUM(output_NHTS!B$102:B$104)</f>
        <v>8.5717204711230188E-3</v>
      </c>
      <c r="C40" s="12">
        <f>output_NHTS!C104/SUM(output_NHTS!C$102:C$104)</f>
        <v>6.4430875804581858E-2</v>
      </c>
      <c r="D40" s="12">
        <f>output_NHTS!D104/SUM(output_NHTS!D$102:D$104)</f>
        <v>2.2236276726014324E-2</v>
      </c>
      <c r="E40" s="12">
        <f>output_NHTS!E104/SUM(output_NHTS!E$102:E$104)</f>
        <v>1.836326814090777E-2</v>
      </c>
      <c r="F40" s="12">
        <f>output_NHTS!F104/SUM(output_NHTS!F$102:F$104)</f>
        <v>1.083019743239747E-2</v>
      </c>
      <c r="G40" s="12">
        <f>output_NHTS!G104/SUM(output_NHTS!G$102:G$104)</f>
        <v>0</v>
      </c>
      <c r="H40" s="12">
        <f>output_NHTS!H104/SUM(output_NHTS!H$102:H$104)</f>
        <v>6.1976009941549198E-2</v>
      </c>
      <c r="I40" s="12">
        <f>output_NHTS!I104/SUM(output_NHTS!I$102:I$104)</f>
        <v>2.3766346331294954E-2</v>
      </c>
      <c r="J40" s="12">
        <f>output_NHTS!J104/SUM(output_NHTS!J$102:J$104)</f>
        <v>2.584136621010448E-2</v>
      </c>
      <c r="L40" s="49" t="s">
        <v>116</v>
      </c>
      <c r="M40" s="43">
        <f>output!B104/SUM(output!B$102:B$104)</f>
        <v>6.9307325634735432E-3</v>
      </c>
      <c r="N40" s="43">
        <f>output!C104/SUM(output!C$102:C$104)</f>
        <v>1.7098255280073461E-2</v>
      </c>
      <c r="O40" s="43">
        <f>output!D104/SUM(output!D$102:D$104)</f>
        <v>1.9086870907175896E-2</v>
      </c>
      <c r="P40" s="43">
        <f>output!E104/SUM(output!E$102:E$104)</f>
        <v>2.0452572356330263E-2</v>
      </c>
      <c r="Q40" s="43">
        <f>output!F104/SUM(output!F$102:F$104)</f>
        <v>1.1881668283220174E-2</v>
      </c>
      <c r="R40" s="43">
        <f>output!G104/SUM(output!G$102:G$104)</f>
        <v>8.2041932543299913E-3</v>
      </c>
      <c r="S40" s="43">
        <f>output!H104/SUM(output!H$102:H$104)</f>
        <v>1.2418580540467444E-2</v>
      </c>
      <c r="T40" s="43">
        <f>output!I104/SUM(output!I$102:I$104)</f>
        <v>1.862063609180226E-2</v>
      </c>
      <c r="U40" s="43">
        <f>output!J104/SUM(output!J$102:J$104)</f>
        <v>1.5562502173837431E-2</v>
      </c>
      <c r="W40" s="23" t="s">
        <v>116</v>
      </c>
      <c r="X40" s="12">
        <f t="shared" si="11"/>
        <v>-1.6409879076494755E-3</v>
      </c>
      <c r="Y40" s="12">
        <f t="shared" si="11"/>
        <v>-4.7332620524508401E-2</v>
      </c>
      <c r="Z40" s="12">
        <f t="shared" si="11"/>
        <v>-3.1494058188384286E-3</v>
      </c>
      <c r="AA40" s="12">
        <f t="shared" si="11"/>
        <v>2.0893042154224925E-3</v>
      </c>
      <c r="AB40" s="12">
        <f t="shared" si="11"/>
        <v>1.0514708508227045E-3</v>
      </c>
      <c r="AC40" s="12">
        <f t="shared" si="11"/>
        <v>8.2041932543299913E-3</v>
      </c>
      <c r="AD40" s="12">
        <f t="shared" si="11"/>
        <v>-4.9557429401081751E-2</v>
      </c>
      <c r="AE40" s="12">
        <f t="shared" si="11"/>
        <v>-5.1457102394926943E-3</v>
      </c>
      <c r="AF40" s="12">
        <f t="shared" si="11"/>
        <v>-1.0278864036267049E-2</v>
      </c>
    </row>
    <row r="41" spans="1:32" ht="13.5" thickBot="1" x14ac:dyDescent="0.25">
      <c r="A41" s="21" t="s">
        <v>221</v>
      </c>
      <c r="B41" s="51">
        <f>SUM(B38:B40)</f>
        <v>1</v>
      </c>
      <c r="C41" s="51">
        <f t="shared" ref="C41:J41" si="12">SUM(C38:C40)</f>
        <v>0.99999999999999989</v>
      </c>
      <c r="D41" s="51">
        <f t="shared" si="12"/>
        <v>1</v>
      </c>
      <c r="E41" s="51">
        <f t="shared" si="12"/>
        <v>0.99999999999999989</v>
      </c>
      <c r="F41" s="51">
        <f t="shared" si="12"/>
        <v>1</v>
      </c>
      <c r="G41" s="51">
        <f t="shared" si="12"/>
        <v>1</v>
      </c>
      <c r="H41" s="51">
        <f t="shared" si="12"/>
        <v>1.0000000000000002</v>
      </c>
      <c r="I41" s="51">
        <f t="shared" si="12"/>
        <v>1</v>
      </c>
      <c r="J41" s="51">
        <f t="shared" si="12"/>
        <v>1</v>
      </c>
      <c r="L41" s="50" t="s">
        <v>221</v>
      </c>
      <c r="M41" s="51">
        <f>SUM(M38:M40)</f>
        <v>1</v>
      </c>
      <c r="N41" s="51">
        <f t="shared" ref="N41:U41" si="13">SUM(N38:N40)</f>
        <v>1</v>
      </c>
      <c r="O41" s="51">
        <f t="shared" si="13"/>
        <v>1</v>
      </c>
      <c r="P41" s="51">
        <f t="shared" si="13"/>
        <v>1</v>
      </c>
      <c r="Q41" s="51">
        <f t="shared" si="13"/>
        <v>1</v>
      </c>
      <c r="R41" s="51">
        <f t="shared" si="13"/>
        <v>1</v>
      </c>
      <c r="S41" s="51">
        <f t="shared" si="13"/>
        <v>1</v>
      </c>
      <c r="T41" s="51">
        <f t="shared" si="13"/>
        <v>1</v>
      </c>
      <c r="U41" s="51">
        <f t="shared" si="13"/>
        <v>1</v>
      </c>
      <c r="W41" s="21" t="s">
        <v>221</v>
      </c>
      <c r="X41" s="14">
        <f t="shared" si="11"/>
        <v>0</v>
      </c>
      <c r="Y41" s="14">
        <f t="shared" si="11"/>
        <v>0</v>
      </c>
      <c r="Z41" s="14">
        <f t="shared" si="11"/>
        <v>0</v>
      </c>
      <c r="AA41" s="14">
        <f t="shared" si="11"/>
        <v>0</v>
      </c>
      <c r="AB41" s="14">
        <f t="shared" si="11"/>
        <v>0</v>
      </c>
      <c r="AC41" s="14">
        <f t="shared" si="11"/>
        <v>0</v>
      </c>
      <c r="AD41" s="14">
        <f t="shared" si="11"/>
        <v>0</v>
      </c>
      <c r="AE41" s="14">
        <f t="shared" si="11"/>
        <v>0</v>
      </c>
      <c r="AF41" s="14">
        <f t="shared" si="11"/>
        <v>0</v>
      </c>
    </row>
    <row r="42" spans="1:32" x14ac:dyDescent="0.2">
      <c r="B42" s="12"/>
      <c r="C42" s="12"/>
      <c r="D42" s="12"/>
      <c r="E42" s="12"/>
      <c r="F42" s="12"/>
      <c r="G42" s="12"/>
      <c r="H42" s="12"/>
      <c r="I42" s="12"/>
      <c r="J42" s="12"/>
      <c r="M42" s="42"/>
      <c r="N42" s="42"/>
      <c r="O42" s="42"/>
      <c r="P42" s="42"/>
      <c r="Q42" s="42"/>
      <c r="R42" s="42"/>
      <c r="S42" s="42"/>
      <c r="T42" s="42"/>
      <c r="U42" s="42"/>
      <c r="X42" s="42"/>
      <c r="Y42" s="42"/>
      <c r="Z42" s="42"/>
      <c r="AA42" s="42"/>
      <c r="AB42" s="42"/>
      <c r="AC42" s="42"/>
      <c r="AD42" s="42"/>
      <c r="AE42" s="42"/>
      <c r="AF42" s="42"/>
    </row>
    <row r="43" spans="1:32" x14ac:dyDescent="0.2">
      <c r="B43" s="12"/>
      <c r="C43" s="12"/>
      <c r="D43" s="12"/>
      <c r="E43" s="12"/>
      <c r="F43" s="12"/>
      <c r="G43" s="12"/>
      <c r="H43" s="12"/>
      <c r="I43" s="12"/>
      <c r="J43" s="12"/>
      <c r="M43" s="42"/>
      <c r="N43" s="42"/>
      <c r="O43" s="42"/>
      <c r="P43" s="42"/>
      <c r="Q43" s="42"/>
      <c r="R43" s="42"/>
      <c r="S43" s="42"/>
      <c r="T43" s="42"/>
      <c r="U43" s="42"/>
      <c r="X43" s="42"/>
      <c r="Y43" s="42"/>
      <c r="Z43" s="42"/>
      <c r="AA43" s="42"/>
      <c r="AB43" s="42"/>
      <c r="AC43" s="42"/>
      <c r="AD43" s="42"/>
      <c r="AE43" s="42"/>
      <c r="AF43" s="42"/>
    </row>
    <row r="44" spans="1:32" x14ac:dyDescent="0.2">
      <c r="B44" s="12"/>
      <c r="C44" s="12"/>
      <c r="D44" s="12"/>
      <c r="E44" s="12"/>
      <c r="F44" s="12"/>
      <c r="G44" s="12"/>
      <c r="H44" s="12"/>
      <c r="I44" s="12"/>
      <c r="J44" s="12"/>
      <c r="M44" s="42"/>
      <c r="N44" s="42"/>
      <c r="O44" s="42"/>
      <c r="P44" s="42"/>
      <c r="Q44" s="42"/>
      <c r="R44" s="42"/>
      <c r="S44" s="42"/>
      <c r="T44" s="42"/>
      <c r="U44" s="42"/>
      <c r="X44" s="42"/>
      <c r="Y44" s="42"/>
      <c r="Z44" s="42"/>
      <c r="AA44" s="42"/>
      <c r="AB44" s="42"/>
      <c r="AC44" s="42"/>
      <c r="AD44" s="42"/>
      <c r="AE44" s="42"/>
      <c r="AF44" s="42"/>
    </row>
    <row r="45" spans="1:32" x14ac:dyDescent="0.2">
      <c r="A45" s="2" t="s">
        <v>175</v>
      </c>
      <c r="B45" s="12"/>
      <c r="C45" s="12"/>
      <c r="D45" s="12"/>
      <c r="E45" s="12"/>
      <c r="F45" s="12"/>
      <c r="G45" s="12"/>
      <c r="H45" s="12"/>
      <c r="I45" s="12"/>
      <c r="J45" s="12"/>
      <c r="L45" s="46" t="s">
        <v>175</v>
      </c>
      <c r="M45" s="42"/>
      <c r="N45" s="42"/>
      <c r="O45" s="42"/>
      <c r="P45" s="42"/>
      <c r="Q45" s="42"/>
      <c r="R45" s="42"/>
      <c r="S45" s="42"/>
      <c r="T45" s="42"/>
      <c r="U45" s="42"/>
      <c r="W45" s="2" t="s">
        <v>175</v>
      </c>
      <c r="X45" s="42"/>
      <c r="Y45" s="42"/>
      <c r="Z45" s="42"/>
      <c r="AA45" s="42"/>
      <c r="AB45" s="42"/>
      <c r="AC45" s="42"/>
      <c r="AD45" s="42"/>
      <c r="AE45" s="42"/>
      <c r="AF45" s="42"/>
    </row>
    <row r="46" spans="1:32" x14ac:dyDescent="0.2">
      <c r="A46" s="2" t="s">
        <v>266</v>
      </c>
      <c r="B46" s="12"/>
      <c r="C46" s="12"/>
      <c r="D46" s="12"/>
      <c r="E46" s="12"/>
      <c r="F46" s="12"/>
      <c r="G46" s="12"/>
      <c r="H46" s="12"/>
      <c r="I46" s="12"/>
      <c r="J46" s="12"/>
      <c r="L46" s="46" t="s">
        <v>1</v>
      </c>
      <c r="M46" s="42"/>
      <c r="N46" s="42"/>
      <c r="O46" s="42"/>
      <c r="P46" s="42"/>
      <c r="Q46" s="42"/>
      <c r="R46" s="42"/>
      <c r="S46" s="42"/>
      <c r="T46" s="42"/>
      <c r="U46" s="42"/>
      <c r="W46" s="2" t="s">
        <v>254</v>
      </c>
      <c r="X46" s="42"/>
      <c r="Y46" s="42"/>
      <c r="Z46" s="42"/>
      <c r="AA46" s="42"/>
      <c r="AB46" s="42"/>
      <c r="AC46" s="42"/>
      <c r="AD46" s="42"/>
      <c r="AE46" s="42"/>
      <c r="AF46" s="42"/>
    </row>
    <row r="47" spans="1:32" ht="13.5" thickBot="1" x14ac:dyDescent="0.25">
      <c r="A47" s="2"/>
      <c r="B47" s="4"/>
      <c r="C47" s="4"/>
      <c r="D47" s="4"/>
      <c r="E47" s="4"/>
      <c r="F47" s="4"/>
      <c r="G47" s="4"/>
      <c r="H47" s="4"/>
      <c r="I47" s="4"/>
      <c r="J47" s="4"/>
      <c r="L47" s="46"/>
      <c r="M47" s="40"/>
      <c r="N47" s="40"/>
      <c r="O47" s="40"/>
      <c r="P47" s="40"/>
      <c r="Q47" s="40"/>
      <c r="R47" s="40"/>
      <c r="S47" s="40"/>
      <c r="T47" s="40"/>
      <c r="U47" s="40"/>
      <c r="W47" s="2"/>
      <c r="X47" s="40"/>
      <c r="Y47" s="40"/>
      <c r="Z47" s="40"/>
      <c r="AA47" s="40"/>
      <c r="AB47" s="40"/>
      <c r="AC47" s="40"/>
      <c r="AD47" s="40"/>
      <c r="AE47" s="40"/>
      <c r="AF47" s="40"/>
    </row>
    <row r="48" spans="1:32" x14ac:dyDescent="0.2">
      <c r="A48" s="5" t="s">
        <v>115</v>
      </c>
      <c r="B48" s="6" t="s">
        <v>146</v>
      </c>
      <c r="C48" s="6" t="s">
        <v>147</v>
      </c>
      <c r="D48" s="6" t="s">
        <v>148</v>
      </c>
      <c r="E48" s="6" t="s">
        <v>243</v>
      </c>
      <c r="F48" s="6" t="s">
        <v>244</v>
      </c>
      <c r="G48" s="6" t="s">
        <v>245</v>
      </c>
      <c r="H48" s="6" t="s">
        <v>246</v>
      </c>
      <c r="I48" s="6" t="s">
        <v>170</v>
      </c>
      <c r="J48" s="6" t="s">
        <v>221</v>
      </c>
      <c r="L48" s="47" t="s">
        <v>115</v>
      </c>
      <c r="M48" s="41" t="s">
        <v>146</v>
      </c>
      <c r="N48" s="41" t="s">
        <v>147</v>
      </c>
      <c r="O48" s="41" t="s">
        <v>148</v>
      </c>
      <c r="P48" s="41" t="s">
        <v>243</v>
      </c>
      <c r="Q48" s="41" t="s">
        <v>244</v>
      </c>
      <c r="R48" s="41" t="s">
        <v>245</v>
      </c>
      <c r="S48" s="41" t="s">
        <v>246</v>
      </c>
      <c r="T48" s="41" t="s">
        <v>170</v>
      </c>
      <c r="U48" s="41" t="s">
        <v>221</v>
      </c>
      <c r="W48" s="5" t="s">
        <v>115</v>
      </c>
      <c r="X48" s="41" t="s">
        <v>146</v>
      </c>
      <c r="Y48" s="41" t="s">
        <v>147</v>
      </c>
      <c r="Z48" s="41" t="s">
        <v>148</v>
      </c>
      <c r="AA48" s="41" t="s">
        <v>243</v>
      </c>
      <c r="AB48" s="41" t="s">
        <v>244</v>
      </c>
      <c r="AC48" s="41" t="s">
        <v>245</v>
      </c>
      <c r="AD48" s="41" t="s">
        <v>246</v>
      </c>
      <c r="AE48" s="41" t="s">
        <v>170</v>
      </c>
      <c r="AF48" s="41" t="s">
        <v>221</v>
      </c>
    </row>
    <row r="49" spans="1:32" x14ac:dyDescent="0.2">
      <c r="A49" s="18">
        <v>1</v>
      </c>
      <c r="B49" s="12">
        <f>output_NHTS!B109/SUM(output_NHTS!B$109:B$111)</f>
        <v>0.9329411934338282</v>
      </c>
      <c r="C49" s="12">
        <f>output_NHTS!C109/SUM(output_NHTS!C$109:C$111)</f>
        <v>0.93248688367687438</v>
      </c>
      <c r="D49" s="12">
        <f>output_NHTS!D109/SUM(output_NHTS!D$109:D$111)</f>
        <v>0.89391080062639727</v>
      </c>
      <c r="E49" s="12">
        <f>output_NHTS!E109/SUM(output_NHTS!E$109:E$111)</f>
        <v>0.9115570790032137</v>
      </c>
      <c r="F49" s="12">
        <f>output_NHTS!F109/SUM(output_NHTS!F$109:F$111)</f>
        <v>0.87819875732261543</v>
      </c>
      <c r="G49" s="12">
        <f>output_NHTS!G109/SUM(output_NHTS!G$109:G$111)</f>
        <v>1</v>
      </c>
      <c r="H49" s="12">
        <f>output_NHTS!H109/SUM(output_NHTS!H$109:H$111)</f>
        <v>0.97634633015352545</v>
      </c>
      <c r="I49" s="12">
        <f>output_NHTS!I109/SUM(output_NHTS!I$109:I$111)</f>
        <v>0.97071296984054534</v>
      </c>
      <c r="J49" s="12">
        <f>output_NHTS!J109/SUM(output_NHTS!J$109:J$111)</f>
        <v>0.92424146515498362</v>
      </c>
      <c r="L49" s="48">
        <v>1</v>
      </c>
      <c r="M49" s="42">
        <f>output!B109/SUM(output!B$109:B$111)</f>
        <v>0.88255050130883583</v>
      </c>
      <c r="N49" s="42">
        <f>output!C109/SUM(output!C$109:C$111)</f>
        <v>0.88235420701527867</v>
      </c>
      <c r="O49" s="42">
        <f>output!D109/SUM(output!D$109:D$111)</f>
        <v>0.8968569976279227</v>
      </c>
      <c r="P49" s="42">
        <f>output!E109/SUM(output!E$109:E$111)</f>
        <v>0.84451363708024596</v>
      </c>
      <c r="Q49" s="42">
        <f>output!F109/SUM(output!F$109:F$111)</f>
        <v>0.8149739183798711</v>
      </c>
      <c r="R49" s="42">
        <f>output!G109/SUM(output!G$109:G$111)</f>
        <v>0.80625630676084759</v>
      </c>
      <c r="S49" s="42">
        <f>output!H109/SUM(output!H$109:H$111)</f>
        <v>0.34375</v>
      </c>
      <c r="T49" s="42">
        <f>output!I109/SUM(output!I$109:I$111)</f>
        <v>0.6586953017970828</v>
      </c>
      <c r="U49" s="42">
        <f>output!J109/SUM(output!J$109:J$111)</f>
        <v>0.83200842350924853</v>
      </c>
      <c r="W49" s="18">
        <v>1</v>
      </c>
      <c r="X49" s="12">
        <f t="shared" ref="X49:AF52" si="14">M49-B49</f>
        <v>-5.0390692124992364E-2</v>
      </c>
      <c r="Y49" s="12">
        <f t="shared" si="14"/>
        <v>-5.013267666159571E-2</v>
      </c>
      <c r="Z49" s="12">
        <f t="shared" si="14"/>
        <v>2.9461970015254302E-3</v>
      </c>
      <c r="AA49" s="12">
        <f t="shared" si="14"/>
        <v>-6.7043441922967739E-2</v>
      </c>
      <c r="AB49" s="12">
        <f t="shared" si="14"/>
        <v>-6.3224838942744332E-2</v>
      </c>
      <c r="AC49" s="12">
        <f t="shared" si="14"/>
        <v>-0.19374369323915241</v>
      </c>
      <c r="AD49" s="12">
        <f t="shared" si="14"/>
        <v>-0.63259633015352545</v>
      </c>
      <c r="AE49" s="12">
        <f t="shared" si="14"/>
        <v>-0.31201766804346254</v>
      </c>
      <c r="AF49" s="12">
        <f t="shared" si="14"/>
        <v>-9.2233041645735092E-2</v>
      </c>
    </row>
    <row r="50" spans="1:32" x14ac:dyDescent="0.2">
      <c r="A50" s="18">
        <v>2</v>
      </c>
      <c r="B50" s="12">
        <f>output_NHTS!B110/SUM(output_NHTS!B$109:B$111)</f>
        <v>6.2520954003565499E-2</v>
      </c>
      <c r="C50" s="12">
        <f>output_NHTS!C110/SUM(output_NHTS!C$109:C$111)</f>
        <v>6.7513116323125691E-2</v>
      </c>
      <c r="D50" s="12">
        <f>output_NHTS!D110/SUM(output_NHTS!D$109:D$111)</f>
        <v>0.10608919937360273</v>
      </c>
      <c r="E50" s="12">
        <f>output_NHTS!E110/SUM(output_NHTS!E$109:E$111)</f>
        <v>8.5674192227986001E-2</v>
      </c>
      <c r="F50" s="12">
        <f>output_NHTS!F110/SUM(output_NHTS!F$109:F$111)</f>
        <v>0.12180124267738446</v>
      </c>
      <c r="G50" s="12">
        <f>output_NHTS!G110/SUM(output_NHTS!G$109:G$111)</f>
        <v>0</v>
      </c>
      <c r="H50" s="12">
        <f>output_NHTS!H110/SUM(output_NHTS!H$109:H$111)</f>
        <v>1.3197536712578985E-2</v>
      </c>
      <c r="I50" s="12">
        <f>output_NHTS!I110/SUM(output_NHTS!I$109:I$111)</f>
        <v>2.9287030159454674E-2</v>
      </c>
      <c r="J50" s="12">
        <f>output_NHTS!J110/SUM(output_NHTS!J$109:J$111)</f>
        <v>7.3346604423773359E-2</v>
      </c>
      <c r="L50" s="48">
        <v>2</v>
      </c>
      <c r="M50" s="42">
        <f>output!B110/SUM(output!B$109:B$111)</f>
        <v>4.5545842182380926E-2</v>
      </c>
      <c r="N50" s="42">
        <f>output!C110/SUM(output!C$109:C$111)</f>
        <v>6.1372928771250272E-2</v>
      </c>
      <c r="O50" s="42">
        <f>output!D110/SUM(output!D$109:D$111)</f>
        <v>7.0950525245679436E-2</v>
      </c>
      <c r="P50" s="42">
        <f>output!E110/SUM(output!E$109:E$111)</f>
        <v>8.5645593567712439E-2</v>
      </c>
      <c r="Q50" s="42">
        <f>output!F110/SUM(output!F$109:F$111)</f>
        <v>4.6844635368722513E-2</v>
      </c>
      <c r="R50" s="42">
        <f>output!G110/SUM(output!G$109:G$111)</f>
        <v>4.843592330978809E-2</v>
      </c>
      <c r="S50" s="42">
        <f>output!H110/SUM(output!H$109:H$111)</f>
        <v>2.4420529801324503E-2</v>
      </c>
      <c r="T50" s="42">
        <f>output!I110/SUM(output!I$109:I$111)</f>
        <v>4.6256749133693285E-2</v>
      </c>
      <c r="U50" s="42">
        <f>output!J110/SUM(output!J$109:J$111)</f>
        <v>6.1382677107928489E-2</v>
      </c>
      <c r="W50" s="18">
        <v>2</v>
      </c>
      <c r="X50" s="12">
        <f t="shared" si="14"/>
        <v>-1.6975111821184573E-2</v>
      </c>
      <c r="Y50" s="12">
        <f t="shared" si="14"/>
        <v>-6.1401875518754187E-3</v>
      </c>
      <c r="Z50" s="12">
        <f t="shared" si="14"/>
        <v>-3.5138674127923292E-2</v>
      </c>
      <c r="AA50" s="12">
        <f t="shared" si="14"/>
        <v>-2.8598660273562726E-5</v>
      </c>
      <c r="AB50" s="12">
        <f t="shared" si="14"/>
        <v>-7.4956607308661938E-2</v>
      </c>
      <c r="AC50" s="12">
        <f t="shared" si="14"/>
        <v>4.843592330978809E-2</v>
      </c>
      <c r="AD50" s="12">
        <f t="shared" si="14"/>
        <v>1.1222993088745518E-2</v>
      </c>
      <c r="AE50" s="12">
        <f t="shared" si="14"/>
        <v>1.6969718974238612E-2</v>
      </c>
      <c r="AF50" s="12">
        <f t="shared" si="14"/>
        <v>-1.196392731584487E-2</v>
      </c>
    </row>
    <row r="51" spans="1:32" x14ac:dyDescent="0.2">
      <c r="A51" s="23" t="s">
        <v>116</v>
      </c>
      <c r="B51" s="12">
        <f>output_NHTS!B111/SUM(output_NHTS!B$109:B$111)</f>
        <v>4.5378525626063194E-3</v>
      </c>
      <c r="C51" s="12">
        <f>output_NHTS!C111/SUM(output_NHTS!C$109:C$111)</f>
        <v>0</v>
      </c>
      <c r="D51" s="12">
        <f>output_NHTS!D111/SUM(output_NHTS!D$109:D$111)</f>
        <v>0</v>
      </c>
      <c r="E51" s="12">
        <f>output_NHTS!E111/SUM(output_NHTS!E$109:E$111)</f>
        <v>2.7687287688003231E-3</v>
      </c>
      <c r="F51" s="12">
        <f>output_NHTS!F111/SUM(output_NHTS!F$109:F$111)</f>
        <v>0</v>
      </c>
      <c r="G51" s="12">
        <f>output_NHTS!G111/SUM(output_NHTS!G$109:G$111)</f>
        <v>0</v>
      </c>
      <c r="H51" s="12">
        <f>output_NHTS!H111/SUM(output_NHTS!H$109:H$111)</f>
        <v>1.0456133133895611E-2</v>
      </c>
      <c r="I51" s="12">
        <f>output_NHTS!I111/SUM(output_NHTS!I$109:I$111)</f>
        <v>0</v>
      </c>
      <c r="J51" s="12">
        <f>output_NHTS!J111/SUM(output_NHTS!J$109:J$111)</f>
        <v>2.4119304212429759E-3</v>
      </c>
      <c r="L51" s="49" t="s">
        <v>116</v>
      </c>
      <c r="M51" s="43">
        <f>output!B111/SUM(output!B$109:B$111)</f>
        <v>7.1903656508783192E-2</v>
      </c>
      <c r="N51" s="43">
        <f>output!C111/SUM(output!C$109:C$111)</f>
        <v>5.6272864213471059E-2</v>
      </c>
      <c r="O51" s="43">
        <f>output!D111/SUM(output!D$109:D$111)</f>
        <v>3.2192477126397834E-2</v>
      </c>
      <c r="P51" s="43">
        <f>output!E111/SUM(output!E$109:E$111)</f>
        <v>6.9840769352041615E-2</v>
      </c>
      <c r="Q51" s="43">
        <f>output!F111/SUM(output!F$109:F$111)</f>
        <v>0.13818144625140635</v>
      </c>
      <c r="R51" s="43">
        <f>output!G111/SUM(output!G$109:G$111)</f>
        <v>0.14530776992936428</v>
      </c>
      <c r="S51" s="43">
        <f>output!H111/SUM(output!H$109:H$111)</f>
        <v>0.63182947019867552</v>
      </c>
      <c r="T51" s="43">
        <f>output!I111/SUM(output!I$109:I$111)</f>
        <v>0.29504794906922394</v>
      </c>
      <c r="U51" s="43">
        <f>output!J111/SUM(output!J$109:J$111)</f>
        <v>0.10660889938282297</v>
      </c>
      <c r="W51" s="23" t="s">
        <v>116</v>
      </c>
      <c r="X51" s="12">
        <f t="shared" si="14"/>
        <v>6.7365803946176875E-2</v>
      </c>
      <c r="Y51" s="12">
        <f t="shared" si="14"/>
        <v>5.6272864213471059E-2</v>
      </c>
      <c r="Z51" s="12">
        <f t="shared" si="14"/>
        <v>3.2192477126397834E-2</v>
      </c>
      <c r="AA51" s="12">
        <f t="shared" si="14"/>
        <v>6.7072040583241288E-2</v>
      </c>
      <c r="AB51" s="12">
        <f t="shared" si="14"/>
        <v>0.13818144625140635</v>
      </c>
      <c r="AC51" s="12">
        <f t="shared" si="14"/>
        <v>0.14530776992936428</v>
      </c>
      <c r="AD51" s="12">
        <f t="shared" si="14"/>
        <v>0.62137333706477993</v>
      </c>
      <c r="AE51" s="12">
        <f t="shared" si="14"/>
        <v>0.29504794906922394</v>
      </c>
      <c r="AF51" s="12">
        <f t="shared" si="14"/>
        <v>0.10419696896158</v>
      </c>
    </row>
    <row r="52" spans="1:32" ht="13.5" thickBot="1" x14ac:dyDescent="0.25">
      <c r="A52" s="21" t="s">
        <v>221</v>
      </c>
      <c r="B52" s="51">
        <f>SUM(B49:B51)</f>
        <v>1</v>
      </c>
      <c r="C52" s="51">
        <f t="shared" ref="C52:J52" si="15">SUM(C49:C51)</f>
        <v>1</v>
      </c>
      <c r="D52" s="51">
        <f t="shared" si="15"/>
        <v>1</v>
      </c>
      <c r="E52" s="51">
        <f t="shared" si="15"/>
        <v>1</v>
      </c>
      <c r="F52" s="51">
        <f t="shared" si="15"/>
        <v>0.99999999999999989</v>
      </c>
      <c r="G52" s="51">
        <f t="shared" si="15"/>
        <v>1</v>
      </c>
      <c r="H52" s="51">
        <f t="shared" si="15"/>
        <v>1</v>
      </c>
      <c r="I52" s="51">
        <f t="shared" si="15"/>
        <v>1</v>
      </c>
      <c r="J52" s="51">
        <f t="shared" si="15"/>
        <v>1</v>
      </c>
      <c r="L52" s="50" t="s">
        <v>221</v>
      </c>
      <c r="M52" s="51">
        <f>SUM(M49:M51)</f>
        <v>0.99999999999999989</v>
      </c>
      <c r="N52" s="51">
        <f t="shared" ref="N52:U52" si="16">SUM(N49:N51)</f>
        <v>1</v>
      </c>
      <c r="O52" s="51">
        <f t="shared" si="16"/>
        <v>1</v>
      </c>
      <c r="P52" s="51">
        <f t="shared" si="16"/>
        <v>1</v>
      </c>
      <c r="Q52" s="51">
        <f t="shared" si="16"/>
        <v>1</v>
      </c>
      <c r="R52" s="51">
        <f t="shared" si="16"/>
        <v>1</v>
      </c>
      <c r="S52" s="51">
        <f t="shared" si="16"/>
        <v>1</v>
      </c>
      <c r="T52" s="51">
        <f t="shared" si="16"/>
        <v>1</v>
      </c>
      <c r="U52" s="51">
        <f t="shared" si="16"/>
        <v>1</v>
      </c>
      <c r="W52" s="21" t="s">
        <v>221</v>
      </c>
      <c r="X52" s="14">
        <f t="shared" si="14"/>
        <v>0</v>
      </c>
      <c r="Y52" s="14">
        <f t="shared" si="14"/>
        <v>0</v>
      </c>
      <c r="Z52" s="14">
        <f t="shared" si="14"/>
        <v>0</v>
      </c>
      <c r="AA52" s="14">
        <f t="shared" si="14"/>
        <v>0</v>
      </c>
      <c r="AB52" s="14">
        <f t="shared" si="14"/>
        <v>0</v>
      </c>
      <c r="AC52" s="14">
        <f t="shared" si="14"/>
        <v>0</v>
      </c>
      <c r="AD52" s="14">
        <f t="shared" si="14"/>
        <v>0</v>
      </c>
      <c r="AE52" s="14">
        <f t="shared" si="14"/>
        <v>0</v>
      </c>
      <c r="AF52" s="14">
        <f t="shared" si="14"/>
        <v>0</v>
      </c>
    </row>
    <row r="53" spans="1:32" x14ac:dyDescent="0.2">
      <c r="B53" s="12"/>
      <c r="C53" s="12"/>
      <c r="D53" s="12"/>
      <c r="E53" s="12"/>
      <c r="F53" s="12"/>
      <c r="G53" s="12"/>
      <c r="H53" s="12"/>
      <c r="I53" s="12"/>
      <c r="J53" s="12"/>
      <c r="M53" s="42"/>
      <c r="N53" s="42"/>
      <c r="O53" s="42"/>
      <c r="P53" s="42"/>
      <c r="Q53" s="42"/>
      <c r="R53" s="42"/>
      <c r="S53" s="42"/>
      <c r="T53" s="42"/>
      <c r="U53" s="42"/>
      <c r="X53" s="42"/>
      <c r="Y53" s="42"/>
      <c r="Z53" s="42"/>
      <c r="AA53" s="42"/>
      <c r="AB53" s="42"/>
      <c r="AC53" s="42"/>
      <c r="AD53" s="42"/>
      <c r="AE53" s="42"/>
      <c r="AF53" s="42"/>
    </row>
    <row r="54" spans="1:32" x14ac:dyDescent="0.2">
      <c r="B54" s="12"/>
      <c r="C54" s="12"/>
      <c r="D54" s="12"/>
      <c r="E54" s="12"/>
      <c r="F54" s="12"/>
      <c r="G54" s="12"/>
      <c r="H54" s="12"/>
      <c r="I54" s="12"/>
      <c r="J54" s="12"/>
      <c r="M54" s="42"/>
      <c r="N54" s="42"/>
      <c r="O54" s="42"/>
      <c r="P54" s="42"/>
      <c r="Q54" s="42"/>
      <c r="R54" s="42"/>
      <c r="S54" s="42"/>
      <c r="T54" s="42"/>
      <c r="U54" s="42"/>
      <c r="X54" s="42"/>
      <c r="Y54" s="42"/>
      <c r="Z54" s="42"/>
      <c r="AA54" s="42"/>
      <c r="AB54" s="42"/>
      <c r="AC54" s="42"/>
      <c r="AD54" s="42"/>
      <c r="AE54" s="42"/>
      <c r="AF54" s="42"/>
    </row>
    <row r="55" spans="1:32" x14ac:dyDescent="0.2">
      <c r="B55" s="12"/>
      <c r="C55" s="12"/>
      <c r="D55" s="12"/>
      <c r="E55" s="12"/>
      <c r="F55" s="12"/>
      <c r="G55" s="12"/>
      <c r="H55" s="12"/>
      <c r="I55" s="12"/>
      <c r="J55" s="12"/>
      <c r="M55" s="42"/>
      <c r="N55" s="42"/>
      <c r="O55" s="42"/>
      <c r="P55" s="42"/>
      <c r="Q55" s="42"/>
      <c r="R55" s="42"/>
      <c r="S55" s="42"/>
      <c r="T55" s="42"/>
      <c r="U55" s="42"/>
      <c r="X55" s="42"/>
      <c r="Y55" s="42"/>
      <c r="Z55" s="42"/>
      <c r="AA55" s="42"/>
      <c r="AB55" s="42"/>
      <c r="AC55" s="42"/>
      <c r="AD55" s="42"/>
      <c r="AE55" s="42"/>
      <c r="AF55" s="42"/>
    </row>
    <row r="56" spans="1:32" x14ac:dyDescent="0.2">
      <c r="A56" s="2" t="s">
        <v>175</v>
      </c>
      <c r="B56" s="12"/>
      <c r="C56" s="12"/>
      <c r="D56" s="12"/>
      <c r="E56" s="12"/>
      <c r="F56" s="12"/>
      <c r="G56" s="12"/>
      <c r="H56" s="12"/>
      <c r="I56" s="12"/>
      <c r="J56" s="12"/>
      <c r="L56" s="46" t="s">
        <v>175</v>
      </c>
      <c r="M56" s="42"/>
      <c r="N56" s="42"/>
      <c r="O56" s="42"/>
      <c r="P56" s="42"/>
      <c r="Q56" s="42"/>
      <c r="R56" s="42"/>
      <c r="S56" s="42"/>
      <c r="T56" s="42"/>
      <c r="U56" s="42"/>
      <c r="W56" s="2" t="s">
        <v>175</v>
      </c>
      <c r="X56" s="42"/>
      <c r="Y56" s="42"/>
      <c r="Z56" s="42"/>
      <c r="AA56" s="42"/>
      <c r="AB56" s="42"/>
      <c r="AC56" s="42"/>
      <c r="AD56" s="42"/>
      <c r="AE56" s="42"/>
      <c r="AF56" s="42"/>
    </row>
    <row r="57" spans="1:32" x14ac:dyDescent="0.2">
      <c r="A57" s="2" t="s">
        <v>122</v>
      </c>
      <c r="B57" s="12"/>
      <c r="C57" s="12"/>
      <c r="D57" s="12"/>
      <c r="E57" s="12"/>
      <c r="F57" s="12"/>
      <c r="G57" s="12"/>
      <c r="H57" s="12"/>
      <c r="I57" s="12"/>
      <c r="J57" s="12"/>
      <c r="L57" s="46" t="s">
        <v>2</v>
      </c>
      <c r="M57" s="42"/>
      <c r="N57" s="42"/>
      <c r="O57" s="42"/>
      <c r="P57" s="42"/>
      <c r="Q57" s="42"/>
      <c r="R57" s="42"/>
      <c r="S57" s="42"/>
      <c r="T57" s="42"/>
      <c r="U57" s="42"/>
      <c r="W57" s="2" t="s">
        <v>255</v>
      </c>
      <c r="X57" s="42"/>
      <c r="Y57" s="42"/>
      <c r="Z57" s="42"/>
      <c r="AA57" s="42"/>
      <c r="AB57" s="42"/>
      <c r="AC57" s="42"/>
      <c r="AD57" s="42"/>
      <c r="AE57" s="42"/>
      <c r="AF57" s="42"/>
    </row>
    <row r="58" spans="1:32" ht="13.5" thickBot="1" x14ac:dyDescent="0.25">
      <c r="A58" s="2"/>
      <c r="B58" s="4"/>
      <c r="C58" s="4"/>
      <c r="D58" s="4"/>
      <c r="E58" s="4"/>
      <c r="F58" s="4"/>
      <c r="G58" s="4"/>
      <c r="H58" s="4"/>
      <c r="I58" s="4"/>
      <c r="J58" s="4"/>
      <c r="L58" s="46"/>
      <c r="M58" s="40"/>
      <c r="N58" s="40"/>
      <c r="O58" s="40"/>
      <c r="P58" s="40"/>
      <c r="Q58" s="40"/>
      <c r="R58" s="40"/>
      <c r="S58" s="40"/>
      <c r="T58" s="40"/>
      <c r="U58" s="40"/>
      <c r="W58" s="2"/>
      <c r="X58" s="40"/>
      <c r="Y58" s="40"/>
      <c r="Z58" s="40"/>
      <c r="AA58" s="40"/>
      <c r="AB58" s="40"/>
      <c r="AC58" s="40"/>
      <c r="AD58" s="40"/>
      <c r="AE58" s="40"/>
      <c r="AF58" s="40"/>
    </row>
    <row r="59" spans="1:32" x14ac:dyDescent="0.2">
      <c r="A59" s="5" t="s">
        <v>115</v>
      </c>
      <c r="B59" s="6" t="s">
        <v>146</v>
      </c>
      <c r="C59" s="6" t="s">
        <v>147</v>
      </c>
      <c r="D59" s="6" t="s">
        <v>148</v>
      </c>
      <c r="E59" s="6" t="s">
        <v>243</v>
      </c>
      <c r="F59" s="6" t="s">
        <v>244</v>
      </c>
      <c r="G59" s="6" t="s">
        <v>245</v>
      </c>
      <c r="H59" s="6" t="s">
        <v>246</v>
      </c>
      <c r="I59" s="6" t="s">
        <v>170</v>
      </c>
      <c r="J59" s="6" t="s">
        <v>221</v>
      </c>
      <c r="L59" s="47" t="s">
        <v>115</v>
      </c>
      <c r="M59" s="41" t="s">
        <v>146</v>
      </c>
      <c r="N59" s="41" t="s">
        <v>147</v>
      </c>
      <c r="O59" s="41" t="s">
        <v>148</v>
      </c>
      <c r="P59" s="41" t="s">
        <v>243</v>
      </c>
      <c r="Q59" s="41" t="s">
        <v>244</v>
      </c>
      <c r="R59" s="41" t="s">
        <v>245</v>
      </c>
      <c r="S59" s="41" t="s">
        <v>246</v>
      </c>
      <c r="T59" s="41" t="s">
        <v>170</v>
      </c>
      <c r="U59" s="41" t="s">
        <v>221</v>
      </c>
      <c r="W59" s="5" t="s">
        <v>115</v>
      </c>
      <c r="X59" s="41" t="s">
        <v>146</v>
      </c>
      <c r="Y59" s="41" t="s">
        <v>147</v>
      </c>
      <c r="Z59" s="41" t="s">
        <v>148</v>
      </c>
      <c r="AA59" s="41" t="s">
        <v>243</v>
      </c>
      <c r="AB59" s="41" t="s">
        <v>244</v>
      </c>
      <c r="AC59" s="41" t="s">
        <v>245</v>
      </c>
      <c r="AD59" s="41" t="s">
        <v>246</v>
      </c>
      <c r="AE59" s="41" t="s">
        <v>170</v>
      </c>
      <c r="AF59" s="41" t="s">
        <v>221</v>
      </c>
    </row>
    <row r="60" spans="1:32" x14ac:dyDescent="0.2">
      <c r="A60" s="18">
        <v>1</v>
      </c>
      <c r="B60" s="12">
        <f>output_NHTS!B116/SUM(output_NHTS!B$116:B$118)</f>
        <v>0.97987821982560341</v>
      </c>
      <c r="C60" s="12">
        <f>output_NHTS!C116/SUM(output_NHTS!C$116:C$118)</f>
        <v>0.90701029177860071</v>
      </c>
      <c r="D60" s="12">
        <f>output_NHTS!D116/SUM(output_NHTS!D$116:D$118)</f>
        <v>0.97214127769592817</v>
      </c>
      <c r="E60" s="12">
        <f>output_NHTS!E116/SUM(output_NHTS!E$116:E$118)</f>
        <v>0.93761918258281174</v>
      </c>
      <c r="F60" s="12">
        <f>output_NHTS!F116/SUM(output_NHTS!F$116:F$118)</f>
        <v>0.97764281089889438</v>
      </c>
      <c r="G60" s="12" t="e">
        <f>output_NHTS!G116/SUM(output_NHTS!G$116:G$118)</f>
        <v>#DIV/0!</v>
      </c>
      <c r="H60" s="12">
        <f>output_NHTS!H116/SUM(output_NHTS!H$116:H$118)</f>
        <v>1</v>
      </c>
      <c r="I60" s="12">
        <f>output_NHTS!I116/SUM(output_NHTS!I$116:I$118)</f>
        <v>1</v>
      </c>
      <c r="J60" s="12">
        <f>output_NHTS!J116/SUM(output_NHTS!J$116:J$118)</f>
        <v>0.96237574872780984</v>
      </c>
      <c r="L60" s="48">
        <v>1</v>
      </c>
      <c r="M60" s="42">
        <f>output!B116/SUM(output!B$116:B$118)</f>
        <v>0.98851120394986702</v>
      </c>
      <c r="N60" s="42">
        <f>output!C116/SUM(output!C$116:C$118)</f>
        <v>0.93739141625378031</v>
      </c>
      <c r="O60" s="42">
        <f>output!D116/SUM(output!D$116:D$118)</f>
        <v>0.89876178155608943</v>
      </c>
      <c r="P60" s="42">
        <f>output!E116/SUM(output!E$116:E$118)</f>
        <v>0.96440627970240245</v>
      </c>
      <c r="Q60" s="42">
        <f>output!F116/SUM(output!F$116:F$118)</f>
        <v>0.98161142027582871</v>
      </c>
      <c r="R60" s="42">
        <f>output!G116/SUM(output!G$116:G$118)</f>
        <v>0.98808290155440415</v>
      </c>
      <c r="S60" s="42">
        <f>output!H116/SUM(output!H$116:H$118)</f>
        <v>0.99904405321437106</v>
      </c>
      <c r="T60" s="42">
        <f>output!I116/SUM(output!I$116:I$118)</f>
        <v>0.9950231070031994</v>
      </c>
      <c r="U60" s="42">
        <f>output!J116/SUM(output!J$116:J$118)</f>
        <v>0.96394876964433418</v>
      </c>
      <c r="W60" s="18">
        <v>1</v>
      </c>
      <c r="X60" s="12">
        <f t="shared" ref="X60:AF63" si="17">M60-B60</f>
        <v>8.6329841242636096E-3</v>
      </c>
      <c r="Y60" s="12">
        <f t="shared" si="17"/>
        <v>3.0381124475179599E-2</v>
      </c>
      <c r="Z60" s="12">
        <f t="shared" si="17"/>
        <v>-7.337949613983874E-2</v>
      </c>
      <c r="AA60" s="12">
        <f t="shared" si="17"/>
        <v>2.6787097119590708E-2</v>
      </c>
      <c r="AB60" s="12">
        <f t="shared" si="17"/>
        <v>3.9686093769343289E-3</v>
      </c>
      <c r="AC60" s="12" t="e">
        <f t="shared" si="17"/>
        <v>#DIV/0!</v>
      </c>
      <c r="AD60" s="12">
        <f t="shared" si="17"/>
        <v>-9.5594678562893609E-4</v>
      </c>
      <c r="AE60" s="12">
        <f t="shared" si="17"/>
        <v>-4.976892996800597E-3</v>
      </c>
      <c r="AF60" s="12">
        <f t="shared" si="17"/>
        <v>1.573020916524337E-3</v>
      </c>
    </row>
    <row r="61" spans="1:32" x14ac:dyDescent="0.2">
      <c r="A61" s="18">
        <v>2</v>
      </c>
      <c r="B61" s="12">
        <f>output_NHTS!B117/SUM(output_NHTS!B$116:B$118)</f>
        <v>2.0121780174396635E-2</v>
      </c>
      <c r="C61" s="12">
        <f>output_NHTS!C117/SUM(output_NHTS!C$116:C$118)</f>
        <v>9.2989708221399209E-2</v>
      </c>
      <c r="D61" s="12">
        <f>output_NHTS!D117/SUM(output_NHTS!D$116:D$118)</f>
        <v>2.7858722304071791E-2</v>
      </c>
      <c r="E61" s="12">
        <f>output_NHTS!E117/SUM(output_NHTS!E$116:E$118)</f>
        <v>6.238081741718831E-2</v>
      </c>
      <c r="F61" s="12">
        <f>output_NHTS!F117/SUM(output_NHTS!F$116:F$118)</f>
        <v>2.2357189101105554E-2</v>
      </c>
      <c r="G61" s="12" t="e">
        <f>output_NHTS!G117/SUM(output_NHTS!G$116:G$118)</f>
        <v>#DIV/0!</v>
      </c>
      <c r="H61" s="12">
        <f>output_NHTS!H117/SUM(output_NHTS!H$116:H$118)</f>
        <v>0</v>
      </c>
      <c r="I61" s="12">
        <f>output_NHTS!I117/SUM(output_NHTS!I$116:I$118)</f>
        <v>0</v>
      </c>
      <c r="J61" s="12">
        <f>output_NHTS!J117/SUM(output_NHTS!J$116:J$118)</f>
        <v>3.7624251272190219E-2</v>
      </c>
      <c r="L61" s="48">
        <v>2</v>
      </c>
      <c r="M61" s="42">
        <f>output!B117/SUM(output!B$116:B$118)</f>
        <v>1.1488796050132928E-2</v>
      </c>
      <c r="N61" s="42">
        <f>output!C117/SUM(output!C$116:C$118)</f>
        <v>6.2608583746219679E-2</v>
      </c>
      <c r="O61" s="42">
        <f>output!D117/SUM(output!D$116:D$118)</f>
        <v>0.10123821844391055</v>
      </c>
      <c r="P61" s="42">
        <f>output!E117/SUM(output!E$116:E$118)</f>
        <v>3.5593720297597588E-2</v>
      </c>
      <c r="Q61" s="42">
        <f>output!F117/SUM(output!F$116:F$118)</f>
        <v>1.8388579724171305E-2</v>
      </c>
      <c r="R61" s="42">
        <f>output!G117/SUM(output!G$116:G$118)</f>
        <v>1.1917098445595855E-2</v>
      </c>
      <c r="S61" s="42">
        <f>output!H117/SUM(output!H$116:H$118)</f>
        <v>9.5594678562893327E-4</v>
      </c>
      <c r="T61" s="42">
        <f>output!I117/SUM(output!I$116:I$118)</f>
        <v>4.9768929968005684E-3</v>
      </c>
      <c r="U61" s="42">
        <f>output!J117/SUM(output!J$116:J$118)</f>
        <v>3.6051230355665841E-2</v>
      </c>
      <c r="W61" s="18">
        <v>2</v>
      </c>
      <c r="X61" s="12">
        <f t="shared" si="17"/>
        <v>-8.6329841242637068E-3</v>
      </c>
      <c r="Y61" s="12">
        <f t="shared" si="17"/>
        <v>-3.038112447517953E-2</v>
      </c>
      <c r="Z61" s="12">
        <f t="shared" si="17"/>
        <v>7.3379496139838768E-2</v>
      </c>
      <c r="AA61" s="12">
        <f t="shared" si="17"/>
        <v>-2.6787097119590722E-2</v>
      </c>
      <c r="AB61" s="12">
        <f t="shared" si="17"/>
        <v>-3.9686093769342491E-3</v>
      </c>
      <c r="AC61" s="12" t="e">
        <f t="shared" si="17"/>
        <v>#DIV/0!</v>
      </c>
      <c r="AD61" s="12">
        <f t="shared" si="17"/>
        <v>9.5594678562893327E-4</v>
      </c>
      <c r="AE61" s="12">
        <f t="shared" si="17"/>
        <v>4.9768929968005684E-3</v>
      </c>
      <c r="AF61" s="12">
        <f t="shared" si="17"/>
        <v>-1.5730209165243786E-3</v>
      </c>
    </row>
    <row r="62" spans="1:32" x14ac:dyDescent="0.2">
      <c r="A62" s="23" t="s">
        <v>116</v>
      </c>
      <c r="B62" s="12">
        <f>output_NHTS!B118/SUM(output_NHTS!B$116:B$118)</f>
        <v>0</v>
      </c>
      <c r="C62" s="12">
        <f>output_NHTS!C118/SUM(output_NHTS!C$116:C$118)</f>
        <v>0</v>
      </c>
      <c r="D62" s="12">
        <f>output_NHTS!D118/SUM(output_NHTS!D$116:D$118)</f>
        <v>0</v>
      </c>
      <c r="E62" s="12">
        <f>output_NHTS!E118/SUM(output_NHTS!E$116:E$118)</f>
        <v>0</v>
      </c>
      <c r="F62" s="12">
        <f>output_NHTS!F118/SUM(output_NHTS!F$116:F$118)</f>
        <v>0</v>
      </c>
      <c r="G62" s="12" t="e">
        <f>output_NHTS!G118/SUM(output_NHTS!G$116:G$118)</f>
        <v>#DIV/0!</v>
      </c>
      <c r="H62" s="12">
        <f>output_NHTS!H118/SUM(output_NHTS!H$116:H$118)</f>
        <v>0</v>
      </c>
      <c r="I62" s="12">
        <f>output_NHTS!I118/SUM(output_NHTS!I$116:I$118)</f>
        <v>0</v>
      </c>
      <c r="J62" s="12">
        <f>output_NHTS!J118/SUM(output_NHTS!J$116:J$118)</f>
        <v>0</v>
      </c>
      <c r="L62" s="49" t="s">
        <v>116</v>
      </c>
      <c r="M62" s="43">
        <f>output!B118/SUM(output!B$116:B$118)</f>
        <v>0</v>
      </c>
      <c r="N62" s="43">
        <f>output!C118/SUM(output!C$116:C$118)</f>
        <v>0</v>
      </c>
      <c r="O62" s="43">
        <f>output!D118/SUM(output!D$116:D$118)</f>
        <v>0</v>
      </c>
      <c r="P62" s="43">
        <f>output!E118/SUM(output!E$116:E$118)</f>
        <v>0</v>
      </c>
      <c r="Q62" s="43">
        <f>output!F118/SUM(output!F$116:F$118)</f>
        <v>0</v>
      </c>
      <c r="R62" s="43">
        <f>output!G118/SUM(output!G$116:G$118)</f>
        <v>0</v>
      </c>
      <c r="S62" s="43">
        <f>output!H118/SUM(output!H$116:H$118)</f>
        <v>0</v>
      </c>
      <c r="T62" s="43">
        <f>output!I118/SUM(output!I$116:I$118)</f>
        <v>0</v>
      </c>
      <c r="U62" s="43">
        <f>output!J118/SUM(output!J$116:J$118)</f>
        <v>0</v>
      </c>
      <c r="W62" s="23" t="s">
        <v>116</v>
      </c>
      <c r="X62" s="12">
        <f t="shared" si="17"/>
        <v>0</v>
      </c>
      <c r="Y62" s="12">
        <f t="shared" si="17"/>
        <v>0</v>
      </c>
      <c r="Z62" s="12">
        <f t="shared" si="17"/>
        <v>0</v>
      </c>
      <c r="AA62" s="12">
        <f t="shared" si="17"/>
        <v>0</v>
      </c>
      <c r="AB62" s="12">
        <f t="shared" si="17"/>
        <v>0</v>
      </c>
      <c r="AC62" s="12" t="e">
        <f t="shared" si="17"/>
        <v>#DIV/0!</v>
      </c>
      <c r="AD62" s="12">
        <f t="shared" si="17"/>
        <v>0</v>
      </c>
      <c r="AE62" s="12">
        <f t="shared" si="17"/>
        <v>0</v>
      </c>
      <c r="AF62" s="12">
        <f t="shared" si="17"/>
        <v>0</v>
      </c>
    </row>
    <row r="63" spans="1:32" ht="13.5" thickBot="1" x14ac:dyDescent="0.25">
      <c r="A63" s="21" t="s">
        <v>221</v>
      </c>
      <c r="B63" s="51">
        <f>SUM(B60:B62)</f>
        <v>1</v>
      </c>
      <c r="C63" s="51">
        <f t="shared" ref="C63:J63" si="18">SUM(C60:C62)</f>
        <v>0.99999999999999989</v>
      </c>
      <c r="D63" s="51">
        <f t="shared" si="18"/>
        <v>1</v>
      </c>
      <c r="E63" s="51">
        <f t="shared" si="18"/>
        <v>1</v>
      </c>
      <c r="F63" s="51">
        <f t="shared" si="18"/>
        <v>0.99999999999999989</v>
      </c>
      <c r="G63" s="51" t="e">
        <f t="shared" si="18"/>
        <v>#DIV/0!</v>
      </c>
      <c r="H63" s="51">
        <f t="shared" si="18"/>
        <v>1</v>
      </c>
      <c r="I63" s="51">
        <f t="shared" si="18"/>
        <v>1</v>
      </c>
      <c r="J63" s="51">
        <f t="shared" si="18"/>
        <v>1</v>
      </c>
      <c r="L63" s="50" t="s">
        <v>221</v>
      </c>
      <c r="M63" s="51">
        <f>SUM(M60:M62)</f>
        <v>1</v>
      </c>
      <c r="N63" s="51">
        <f t="shared" ref="N63:U63" si="19">SUM(N60:N62)</f>
        <v>1</v>
      </c>
      <c r="O63" s="51">
        <f t="shared" si="19"/>
        <v>1</v>
      </c>
      <c r="P63" s="51">
        <f t="shared" si="19"/>
        <v>1</v>
      </c>
      <c r="Q63" s="51">
        <f t="shared" si="19"/>
        <v>1</v>
      </c>
      <c r="R63" s="51">
        <f t="shared" si="19"/>
        <v>1</v>
      </c>
      <c r="S63" s="51">
        <f t="shared" si="19"/>
        <v>1</v>
      </c>
      <c r="T63" s="51">
        <f t="shared" si="19"/>
        <v>1</v>
      </c>
      <c r="U63" s="51">
        <f t="shared" si="19"/>
        <v>1</v>
      </c>
      <c r="W63" s="21" t="s">
        <v>221</v>
      </c>
      <c r="X63" s="14">
        <f t="shared" si="17"/>
        <v>0</v>
      </c>
      <c r="Y63" s="14">
        <f t="shared" si="17"/>
        <v>0</v>
      </c>
      <c r="Z63" s="14">
        <f t="shared" si="17"/>
        <v>0</v>
      </c>
      <c r="AA63" s="14">
        <f t="shared" si="17"/>
        <v>0</v>
      </c>
      <c r="AB63" s="14">
        <f t="shared" si="17"/>
        <v>0</v>
      </c>
      <c r="AC63" s="14" t="e">
        <f t="shared" si="17"/>
        <v>#DIV/0!</v>
      </c>
      <c r="AD63" s="14">
        <f t="shared" si="17"/>
        <v>0</v>
      </c>
      <c r="AE63" s="14">
        <f t="shared" si="17"/>
        <v>0</v>
      </c>
      <c r="AF63" s="14">
        <f t="shared" si="17"/>
        <v>0</v>
      </c>
    </row>
    <row r="64" spans="1:32" x14ac:dyDescent="0.2">
      <c r="B64" s="12"/>
      <c r="C64" s="12"/>
      <c r="D64" s="12"/>
      <c r="E64" s="12"/>
      <c r="F64" s="12"/>
      <c r="G64" s="12"/>
      <c r="H64" s="12"/>
      <c r="I64" s="12"/>
      <c r="J64" s="12"/>
      <c r="M64" s="42"/>
      <c r="N64" s="42"/>
      <c r="O64" s="42"/>
      <c r="P64" s="42"/>
      <c r="Q64" s="42"/>
      <c r="R64" s="42"/>
      <c r="S64" s="42"/>
      <c r="T64" s="42"/>
      <c r="U64" s="42"/>
      <c r="X64" s="42"/>
      <c r="Y64" s="42"/>
      <c r="Z64" s="42"/>
      <c r="AA64" s="42"/>
      <c r="AB64" s="42"/>
      <c r="AC64" s="42"/>
      <c r="AD64" s="42"/>
      <c r="AE64" s="42"/>
      <c r="AF64" s="42"/>
    </row>
    <row r="65" spans="1:32" x14ac:dyDescent="0.2">
      <c r="B65" s="12"/>
      <c r="C65" s="12"/>
      <c r="D65" s="12"/>
      <c r="E65" s="12"/>
      <c r="F65" s="12"/>
      <c r="G65" s="12"/>
      <c r="H65" s="12"/>
      <c r="I65" s="12"/>
      <c r="J65" s="12"/>
      <c r="M65" s="42"/>
      <c r="N65" s="42"/>
      <c r="O65" s="42"/>
      <c r="P65" s="42"/>
      <c r="Q65" s="42"/>
      <c r="R65" s="42"/>
      <c r="S65" s="42"/>
      <c r="T65" s="42"/>
      <c r="U65" s="42"/>
      <c r="X65" s="42"/>
      <c r="Y65" s="42"/>
      <c r="Z65" s="42"/>
      <c r="AA65" s="42"/>
      <c r="AB65" s="42"/>
      <c r="AC65" s="42"/>
      <c r="AD65" s="42"/>
      <c r="AE65" s="42"/>
      <c r="AF65" s="42"/>
    </row>
    <row r="66" spans="1:32" x14ac:dyDescent="0.2">
      <c r="B66" s="12"/>
      <c r="C66" s="12"/>
      <c r="D66" s="12"/>
      <c r="E66" s="12"/>
      <c r="F66" s="12"/>
      <c r="G66" s="12"/>
      <c r="H66" s="12"/>
      <c r="I66" s="12"/>
      <c r="J66" s="12"/>
      <c r="M66" s="42"/>
      <c r="N66" s="42"/>
      <c r="O66" s="42"/>
      <c r="P66" s="42"/>
      <c r="Q66" s="42"/>
      <c r="R66" s="42"/>
      <c r="S66" s="42"/>
      <c r="T66" s="42"/>
      <c r="U66" s="42"/>
      <c r="X66" s="42"/>
      <c r="Y66" s="42"/>
      <c r="Z66" s="42"/>
      <c r="AA66" s="42"/>
      <c r="AB66" s="42"/>
      <c r="AC66" s="42"/>
      <c r="AD66" s="42"/>
      <c r="AE66" s="42"/>
      <c r="AF66" s="42"/>
    </row>
    <row r="67" spans="1:32" x14ac:dyDescent="0.2">
      <c r="A67" s="2" t="s">
        <v>175</v>
      </c>
      <c r="B67" s="12"/>
      <c r="C67" s="12"/>
      <c r="D67" s="12"/>
      <c r="E67" s="12"/>
      <c r="F67" s="12"/>
      <c r="G67" s="12"/>
      <c r="H67" s="12"/>
      <c r="I67" s="12"/>
      <c r="J67" s="12"/>
      <c r="L67" s="46" t="s">
        <v>175</v>
      </c>
      <c r="M67" s="42"/>
      <c r="N67" s="42"/>
      <c r="O67" s="42"/>
      <c r="P67" s="42"/>
      <c r="Q67" s="42"/>
      <c r="R67" s="42"/>
      <c r="S67" s="42"/>
      <c r="T67" s="42"/>
      <c r="U67" s="42"/>
      <c r="W67" s="2" t="s">
        <v>175</v>
      </c>
      <c r="X67" s="42"/>
      <c r="Y67" s="42"/>
      <c r="Z67" s="42"/>
      <c r="AA67" s="42"/>
      <c r="AB67" s="42"/>
      <c r="AC67" s="42"/>
      <c r="AD67" s="42"/>
      <c r="AE67" s="42"/>
      <c r="AF67" s="42"/>
    </row>
    <row r="68" spans="1:32" x14ac:dyDescent="0.2">
      <c r="A68" s="2" t="s">
        <v>241</v>
      </c>
      <c r="B68" s="12"/>
      <c r="C68" s="12"/>
      <c r="D68" s="12"/>
      <c r="E68" s="12"/>
      <c r="F68" s="12"/>
      <c r="G68" s="12"/>
      <c r="H68" s="12"/>
      <c r="I68" s="12"/>
      <c r="J68" s="12"/>
      <c r="L68" s="46" t="s">
        <v>3</v>
      </c>
      <c r="M68" s="42"/>
      <c r="N68" s="42"/>
      <c r="O68" s="42"/>
      <c r="P68" s="42"/>
      <c r="Q68" s="42"/>
      <c r="R68" s="42"/>
      <c r="S68" s="42"/>
      <c r="T68" s="42"/>
      <c r="U68" s="42"/>
      <c r="W68" s="2" t="s">
        <v>133</v>
      </c>
      <c r="X68" s="42"/>
      <c r="Y68" s="42"/>
      <c r="Z68" s="42"/>
      <c r="AA68" s="42"/>
      <c r="AB68" s="42"/>
      <c r="AC68" s="42"/>
      <c r="AD68" s="42"/>
      <c r="AE68" s="42"/>
      <c r="AF68" s="42"/>
    </row>
    <row r="69" spans="1:32" ht="13.5" thickBot="1" x14ac:dyDescent="0.25">
      <c r="A69" s="2"/>
      <c r="B69" s="4"/>
      <c r="C69" s="4"/>
      <c r="D69" s="4"/>
      <c r="E69" s="4"/>
      <c r="F69" s="4"/>
      <c r="G69" s="4"/>
      <c r="H69" s="4"/>
      <c r="I69" s="4"/>
      <c r="J69" s="4"/>
      <c r="L69" s="46"/>
      <c r="M69" s="40"/>
      <c r="N69" s="40"/>
      <c r="O69" s="40"/>
      <c r="P69" s="40"/>
      <c r="Q69" s="40"/>
      <c r="R69" s="40"/>
      <c r="S69" s="40"/>
      <c r="T69" s="40"/>
      <c r="U69" s="40"/>
      <c r="W69" s="2"/>
      <c r="X69" s="40"/>
      <c r="Y69" s="40"/>
      <c r="Z69" s="40"/>
      <c r="AA69" s="40"/>
      <c r="AB69" s="40"/>
      <c r="AC69" s="40"/>
      <c r="AD69" s="40"/>
      <c r="AE69" s="40"/>
      <c r="AF69" s="40"/>
    </row>
    <row r="70" spans="1:32" x14ac:dyDescent="0.2">
      <c r="A70" s="5" t="s">
        <v>115</v>
      </c>
      <c r="B70" s="6" t="s">
        <v>146</v>
      </c>
      <c r="C70" s="6" t="s">
        <v>147</v>
      </c>
      <c r="D70" s="6" t="s">
        <v>148</v>
      </c>
      <c r="E70" s="6" t="s">
        <v>243</v>
      </c>
      <c r="F70" s="6" t="s">
        <v>244</v>
      </c>
      <c r="G70" s="6" t="s">
        <v>245</v>
      </c>
      <c r="H70" s="6" t="s">
        <v>246</v>
      </c>
      <c r="I70" s="6" t="s">
        <v>170</v>
      </c>
      <c r="J70" s="6" t="s">
        <v>221</v>
      </c>
      <c r="L70" s="47" t="s">
        <v>115</v>
      </c>
      <c r="M70" s="41" t="s">
        <v>146</v>
      </c>
      <c r="N70" s="41" t="s">
        <v>147</v>
      </c>
      <c r="O70" s="41" t="s">
        <v>148</v>
      </c>
      <c r="P70" s="41" t="s">
        <v>243</v>
      </c>
      <c r="Q70" s="41" t="s">
        <v>244</v>
      </c>
      <c r="R70" s="41" t="s">
        <v>245</v>
      </c>
      <c r="S70" s="41" t="s">
        <v>246</v>
      </c>
      <c r="T70" s="41" t="s">
        <v>170</v>
      </c>
      <c r="U70" s="41" t="s">
        <v>221</v>
      </c>
      <c r="W70" s="5" t="s">
        <v>115</v>
      </c>
      <c r="X70" s="41" t="s">
        <v>146</v>
      </c>
      <c r="Y70" s="41" t="s">
        <v>147</v>
      </c>
      <c r="Z70" s="41" t="s">
        <v>148</v>
      </c>
      <c r="AA70" s="41" t="s">
        <v>243</v>
      </c>
      <c r="AB70" s="41" t="s">
        <v>244</v>
      </c>
      <c r="AC70" s="41" t="s">
        <v>245</v>
      </c>
      <c r="AD70" s="41" t="s">
        <v>246</v>
      </c>
      <c r="AE70" s="41" t="s">
        <v>170</v>
      </c>
      <c r="AF70" s="41" t="s">
        <v>221</v>
      </c>
    </row>
    <row r="71" spans="1:32" x14ac:dyDescent="0.2">
      <c r="A71" s="18">
        <v>1</v>
      </c>
      <c r="B71" s="12">
        <f>output_NHTS!B123/SUM(output_NHTS!B$123:B$125)</f>
        <v>0.86645847306026624</v>
      </c>
      <c r="C71" s="12">
        <f>output_NHTS!C123/SUM(output_NHTS!C$123:C$125)</f>
        <v>0.78980803692310941</v>
      </c>
      <c r="D71" s="12">
        <f>output_NHTS!D123/SUM(output_NHTS!D$123:D$125)</f>
        <v>0.90038845949693425</v>
      </c>
      <c r="E71" s="12">
        <f>output_NHTS!E123/SUM(output_NHTS!E$123:E$125)</f>
        <v>0.8447324685759724</v>
      </c>
      <c r="F71" s="12">
        <f>output_NHTS!F123/SUM(output_NHTS!F$123:F$125)</f>
        <v>0.86424702745086412</v>
      </c>
      <c r="G71" s="12">
        <f>output_NHTS!G123/SUM(output_NHTS!G$123:G$125)</f>
        <v>0.77857026376497918</v>
      </c>
      <c r="H71" s="12">
        <f>output_NHTS!H123/SUM(output_NHTS!H$123:H$125)</f>
        <v>0.87981167342286515</v>
      </c>
      <c r="I71" s="12">
        <f>output_NHTS!I123/SUM(output_NHTS!I$123:I$125)</f>
        <v>0.84964670344316917</v>
      </c>
      <c r="J71" s="12">
        <f>output_NHTS!J123/SUM(output_NHTS!J$123:J$125)</f>
        <v>0.85705199799503207</v>
      </c>
      <c r="L71" s="48">
        <v>1</v>
      </c>
      <c r="M71" s="42">
        <f>output!B123/SUM(output!B$123:B$125)</f>
        <v>0.90068164554431696</v>
      </c>
      <c r="N71" s="42">
        <f>output!C123/SUM(output!C$123:C$125)</f>
        <v>0.87359828194208877</v>
      </c>
      <c r="O71" s="42">
        <f>output!D123/SUM(output!D$123:D$125)</f>
        <v>0.84198700967406448</v>
      </c>
      <c r="P71" s="42">
        <f>output!E123/SUM(output!E$123:E$125)</f>
        <v>0.84429950527154474</v>
      </c>
      <c r="Q71" s="42">
        <f>output!F123/SUM(output!F$123:F$125)</f>
        <v>0.91631230805575237</v>
      </c>
      <c r="R71" s="42">
        <f>output!G123/SUM(output!G$123:G$125)</f>
        <v>0.89608666814061466</v>
      </c>
      <c r="S71" s="42">
        <f>output!H123/SUM(output!H$123:H$125)</f>
        <v>0.90775034650937403</v>
      </c>
      <c r="T71" s="42">
        <f>output!I123/SUM(output!I$123:I$125)</f>
        <v>0.84909128602031647</v>
      </c>
      <c r="U71" s="42">
        <f>output!J123/SUM(output!J$123:J$125)</f>
        <v>0.87573429009030801</v>
      </c>
      <c r="W71" s="18">
        <v>1</v>
      </c>
      <c r="X71" s="12">
        <f t="shared" ref="X71:AF74" si="20">M71-B71</f>
        <v>3.4223172484050712E-2</v>
      </c>
      <c r="Y71" s="12">
        <f t="shared" si="20"/>
        <v>8.3790245018979359E-2</v>
      </c>
      <c r="Z71" s="12">
        <f t="shared" si="20"/>
        <v>-5.8401449822869766E-2</v>
      </c>
      <c r="AA71" s="12">
        <f t="shared" si="20"/>
        <v>-4.3296330442765818E-4</v>
      </c>
      <c r="AB71" s="12">
        <f t="shared" si="20"/>
        <v>5.2065280604888242E-2</v>
      </c>
      <c r="AC71" s="12">
        <f t="shared" si="20"/>
        <v>0.11751640437563549</v>
      </c>
      <c r="AD71" s="12">
        <f t="shared" si="20"/>
        <v>2.7938673086508881E-2</v>
      </c>
      <c r="AE71" s="12">
        <f t="shared" si="20"/>
        <v>-5.5541742285269979E-4</v>
      </c>
      <c r="AF71" s="12">
        <f t="shared" si="20"/>
        <v>1.8682292095275943E-2</v>
      </c>
    </row>
    <row r="72" spans="1:32" x14ac:dyDescent="0.2">
      <c r="A72" s="18">
        <v>2</v>
      </c>
      <c r="B72" s="12">
        <f>output_NHTS!B124/SUM(output_NHTS!B$123:B$125)</f>
        <v>0.12339106214849645</v>
      </c>
      <c r="C72" s="12">
        <f>output_NHTS!C124/SUM(output_NHTS!C$123:C$125)</f>
        <v>0.19044345804334792</v>
      </c>
      <c r="D72" s="12">
        <f>output_NHTS!D124/SUM(output_NHTS!D$123:D$125)</f>
        <v>9.7289202592652696E-2</v>
      </c>
      <c r="E72" s="12">
        <f>output_NHTS!E124/SUM(output_NHTS!E$123:E$125)</f>
        <v>0.13332914211326041</v>
      </c>
      <c r="F72" s="12">
        <f>output_NHTS!F124/SUM(output_NHTS!F$123:F$125)</f>
        <v>0.11846982691630273</v>
      </c>
      <c r="G72" s="12">
        <f>output_NHTS!G124/SUM(output_NHTS!G$123:G$125)</f>
        <v>0.22142973623502091</v>
      </c>
      <c r="H72" s="12">
        <f>output_NHTS!H124/SUM(output_NHTS!H$123:H$125)</f>
        <v>9.5406381496382198E-2</v>
      </c>
      <c r="I72" s="12">
        <f>output_NHTS!I124/SUM(output_NHTS!I$123:I$125)</f>
        <v>0.14821875436308174</v>
      </c>
      <c r="J72" s="12">
        <f>output_NHTS!J124/SUM(output_NHTS!J$123:J$125)</f>
        <v>0.12941154523215453</v>
      </c>
      <c r="L72" s="48">
        <v>2</v>
      </c>
      <c r="M72" s="42">
        <f>output!B124/SUM(output!B$123:B$125)</f>
        <v>9.0972694199016518E-2</v>
      </c>
      <c r="N72" s="42">
        <f>output!C124/SUM(output!C$123:C$125)</f>
        <v>0.11522457994216197</v>
      </c>
      <c r="O72" s="42">
        <f>output!D124/SUM(output!D$123:D$125)</f>
        <v>0.14428680755872136</v>
      </c>
      <c r="P72" s="42">
        <f>output!E124/SUM(output!E$123:E$125)</f>
        <v>0.14180362800867163</v>
      </c>
      <c r="Q72" s="42">
        <f>output!F124/SUM(output!F$123:F$125)</f>
        <v>7.789983463264824E-2</v>
      </c>
      <c r="R72" s="42">
        <f>output!G124/SUM(output!G$123:G$125)</f>
        <v>9.6285651116515589E-2</v>
      </c>
      <c r="S72" s="42">
        <f>output!H124/SUM(output!H$123:H$125)</f>
        <v>8.3829215169294577E-2</v>
      </c>
      <c r="T72" s="42">
        <f>output!I124/SUM(output!I$123:I$125)</f>
        <v>0.13794485522769678</v>
      </c>
      <c r="U72" s="42">
        <f>output!J124/SUM(output!J$123:J$125)</f>
        <v>0.11348470650984324</v>
      </c>
      <c r="W72" s="18">
        <v>2</v>
      </c>
      <c r="X72" s="12">
        <f t="shared" si="20"/>
        <v>-3.2418367949479929E-2</v>
      </c>
      <c r="Y72" s="12">
        <f t="shared" si="20"/>
        <v>-7.5218878101185951E-2</v>
      </c>
      <c r="Z72" s="12">
        <f t="shared" si="20"/>
        <v>4.6997604966068668E-2</v>
      </c>
      <c r="AA72" s="12">
        <f t="shared" si="20"/>
        <v>8.4744858954112212E-3</v>
      </c>
      <c r="AB72" s="12">
        <f t="shared" si="20"/>
        <v>-4.0569992283654488E-2</v>
      </c>
      <c r="AC72" s="12">
        <f t="shared" si="20"/>
        <v>-0.12514408511850533</v>
      </c>
      <c r="AD72" s="12">
        <f t="shared" si="20"/>
        <v>-1.1577166327087621E-2</v>
      </c>
      <c r="AE72" s="12">
        <f t="shared" si="20"/>
        <v>-1.0273899135384956E-2</v>
      </c>
      <c r="AF72" s="12">
        <f t="shared" si="20"/>
        <v>-1.5926838722311293E-2</v>
      </c>
    </row>
    <row r="73" spans="1:32" x14ac:dyDescent="0.2">
      <c r="A73" s="23" t="s">
        <v>116</v>
      </c>
      <c r="B73" s="12">
        <f>output_NHTS!B125/SUM(output_NHTS!B$123:B$125)</f>
        <v>1.0150464791237391E-2</v>
      </c>
      <c r="C73" s="12">
        <f>output_NHTS!C125/SUM(output_NHTS!C$123:C$125)</f>
        <v>1.9748505033542689E-2</v>
      </c>
      <c r="D73" s="12">
        <f>output_NHTS!D125/SUM(output_NHTS!D$123:D$125)</f>
        <v>2.3223379104129749E-3</v>
      </c>
      <c r="E73" s="12">
        <f>output_NHTS!E125/SUM(output_NHTS!E$123:E$125)</f>
        <v>2.1938389310767133E-2</v>
      </c>
      <c r="F73" s="12">
        <f>output_NHTS!F125/SUM(output_NHTS!F$123:F$125)</f>
        <v>1.7283145632833195E-2</v>
      </c>
      <c r="G73" s="12">
        <f>output_NHTS!G125/SUM(output_NHTS!G$123:G$125)</f>
        <v>0</v>
      </c>
      <c r="H73" s="12">
        <f>output_NHTS!H125/SUM(output_NHTS!H$123:H$125)</f>
        <v>2.4781945080752592E-2</v>
      </c>
      <c r="I73" s="12">
        <f>output_NHTS!I125/SUM(output_NHTS!I$123:I$125)</f>
        <v>2.1345421937491085E-3</v>
      </c>
      <c r="J73" s="12">
        <f>output_NHTS!J125/SUM(output_NHTS!J$123:J$125)</f>
        <v>1.3536456772813418E-2</v>
      </c>
      <c r="L73" s="49" t="s">
        <v>116</v>
      </c>
      <c r="M73" s="43">
        <f>output!B125/SUM(output!B$123:B$125)</f>
        <v>8.3456602566665331E-3</v>
      </c>
      <c r="N73" s="43">
        <f>output!C125/SUM(output!C$123:C$125)</f>
        <v>1.1177138115749271E-2</v>
      </c>
      <c r="O73" s="43">
        <f>output!D125/SUM(output!D$123:D$125)</f>
        <v>1.3726182767214145E-2</v>
      </c>
      <c r="P73" s="43">
        <f>output!E125/SUM(output!E$123:E$125)</f>
        <v>1.3896866719783579E-2</v>
      </c>
      <c r="Q73" s="43">
        <f>output!F125/SUM(output!F$123:F$125)</f>
        <v>5.7878573115993388E-3</v>
      </c>
      <c r="R73" s="43">
        <f>output!G125/SUM(output!G$123:G$125)</f>
        <v>7.6276807428697765E-3</v>
      </c>
      <c r="S73" s="43">
        <f>output!H125/SUM(output!H$123:H$125)</f>
        <v>8.4204383213314291E-3</v>
      </c>
      <c r="T73" s="43">
        <f>output!I125/SUM(output!I$123:I$125)</f>
        <v>1.2963858751986732E-2</v>
      </c>
      <c r="U73" s="43">
        <f>output!J125/SUM(output!J$123:J$125)</f>
        <v>1.0781003399848733E-2</v>
      </c>
      <c r="W73" s="23" t="s">
        <v>116</v>
      </c>
      <c r="X73" s="12">
        <f t="shared" si="20"/>
        <v>-1.8048045345708582E-3</v>
      </c>
      <c r="Y73" s="12">
        <f t="shared" si="20"/>
        <v>-8.5713669177934181E-3</v>
      </c>
      <c r="Z73" s="12">
        <f t="shared" si="20"/>
        <v>1.140384485680117E-2</v>
      </c>
      <c r="AA73" s="12">
        <f t="shared" si="20"/>
        <v>-8.0415225909835544E-3</v>
      </c>
      <c r="AB73" s="12">
        <f t="shared" si="20"/>
        <v>-1.1495288321233857E-2</v>
      </c>
      <c r="AC73" s="12">
        <f t="shared" si="20"/>
        <v>7.6276807428697765E-3</v>
      </c>
      <c r="AD73" s="12">
        <f t="shared" si="20"/>
        <v>-1.6361506759421163E-2</v>
      </c>
      <c r="AE73" s="12">
        <f t="shared" si="20"/>
        <v>1.0829316558237623E-2</v>
      </c>
      <c r="AF73" s="12">
        <f t="shared" si="20"/>
        <v>-2.7554533729646849E-3</v>
      </c>
    </row>
    <row r="74" spans="1:32" ht="13.5" thickBot="1" x14ac:dyDescent="0.25">
      <c r="A74" s="21" t="s">
        <v>221</v>
      </c>
      <c r="B74" s="51">
        <f>SUM(B71:B73)</f>
        <v>1.0000000000000002</v>
      </c>
      <c r="C74" s="51">
        <f t="shared" ref="C74:J74" si="21">SUM(C71:C73)</f>
        <v>1</v>
      </c>
      <c r="D74" s="51">
        <f t="shared" si="21"/>
        <v>1</v>
      </c>
      <c r="E74" s="51">
        <f t="shared" si="21"/>
        <v>0.99999999999999989</v>
      </c>
      <c r="F74" s="51">
        <f t="shared" si="21"/>
        <v>1</v>
      </c>
      <c r="G74" s="51">
        <f t="shared" si="21"/>
        <v>1</v>
      </c>
      <c r="H74" s="51">
        <f t="shared" si="21"/>
        <v>0.99999999999999989</v>
      </c>
      <c r="I74" s="51">
        <f t="shared" si="21"/>
        <v>1</v>
      </c>
      <c r="J74" s="51">
        <f t="shared" si="21"/>
        <v>1</v>
      </c>
      <c r="L74" s="50" t="s">
        <v>221</v>
      </c>
      <c r="M74" s="51">
        <f>SUM(M71:M73)</f>
        <v>1</v>
      </c>
      <c r="N74" s="51">
        <f t="shared" ref="N74:U74" si="22">SUM(N71:N73)</f>
        <v>1</v>
      </c>
      <c r="O74" s="51">
        <f t="shared" si="22"/>
        <v>1</v>
      </c>
      <c r="P74" s="51">
        <f t="shared" si="22"/>
        <v>1</v>
      </c>
      <c r="Q74" s="51">
        <f t="shared" si="22"/>
        <v>1</v>
      </c>
      <c r="R74" s="51">
        <f t="shared" si="22"/>
        <v>1</v>
      </c>
      <c r="S74" s="51">
        <f t="shared" si="22"/>
        <v>1</v>
      </c>
      <c r="T74" s="51">
        <f t="shared" si="22"/>
        <v>1</v>
      </c>
      <c r="U74" s="51">
        <f t="shared" si="22"/>
        <v>1</v>
      </c>
      <c r="W74" s="21" t="s">
        <v>221</v>
      </c>
      <c r="X74" s="14">
        <f t="shared" si="20"/>
        <v>0</v>
      </c>
      <c r="Y74" s="14">
        <f t="shared" si="20"/>
        <v>0</v>
      </c>
      <c r="Z74" s="14">
        <f t="shared" si="20"/>
        <v>0</v>
      </c>
      <c r="AA74" s="14">
        <f t="shared" si="20"/>
        <v>0</v>
      </c>
      <c r="AB74" s="14">
        <f t="shared" si="20"/>
        <v>0</v>
      </c>
      <c r="AC74" s="14">
        <f t="shared" si="20"/>
        <v>0</v>
      </c>
      <c r="AD74" s="14">
        <f t="shared" si="20"/>
        <v>0</v>
      </c>
      <c r="AE74" s="14">
        <f t="shared" si="20"/>
        <v>0</v>
      </c>
      <c r="AF74" s="14">
        <f t="shared" si="20"/>
        <v>0</v>
      </c>
    </row>
  </sheetData>
  <phoneticPr fontId="5" type="noConversion"/>
  <conditionalFormatting sqref="X5:AF8 X16:AF19 X27:AF30 X38:AF41 X49:AF52 X60:AF63 X71:AF74">
    <cfRule type="cellIs" dxfId="29" priority="1" stopIfTrue="1" operator="notBetween">
      <formula>-0.15</formula>
      <formula>0.15</formula>
    </cfRule>
    <cfRule type="cellIs" dxfId="28" priority="2" stopIfTrue="1" operator="notBetween">
      <formula>-0.1</formula>
      <formula>0.1</formula>
    </cfRule>
    <cfRule type="cellIs" dxfId="27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F81"/>
  <sheetViews>
    <sheetView workbookViewId="0">
      <selection activeCell="K64" sqref="K64"/>
    </sheetView>
  </sheetViews>
  <sheetFormatPr defaultColWidth="10.75" defaultRowHeight="12.75" x14ac:dyDescent="0.2"/>
  <cols>
    <col min="1" max="16384" width="10.75" style="3" collapsed="1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131</v>
      </c>
      <c r="L2" s="2" t="s">
        <v>152</v>
      </c>
      <c r="W2" s="2" t="s">
        <v>132</v>
      </c>
    </row>
    <row r="3" spans="1:32" ht="13.5" thickBot="1" x14ac:dyDescent="0.25">
      <c r="A3" s="2"/>
      <c r="B3" s="4"/>
      <c r="C3" s="4"/>
      <c r="D3" s="4"/>
      <c r="E3" s="4"/>
      <c r="F3" s="4"/>
      <c r="G3" s="4"/>
      <c r="H3" s="4"/>
      <c r="I3" s="4"/>
      <c r="J3" s="4"/>
      <c r="L3" s="2"/>
      <c r="M3" s="4"/>
      <c r="N3" s="4"/>
      <c r="O3" s="4"/>
      <c r="P3" s="4"/>
      <c r="Q3" s="4"/>
      <c r="R3" s="4"/>
      <c r="S3" s="4"/>
      <c r="T3" s="4"/>
      <c r="U3" s="4"/>
      <c r="W3" s="2"/>
      <c r="X3" s="4"/>
      <c r="Y3" s="4"/>
      <c r="Z3" s="4"/>
      <c r="AA3" s="4"/>
      <c r="AB3" s="4"/>
      <c r="AC3" s="4"/>
      <c r="AD3" s="4"/>
      <c r="AE3" s="4"/>
      <c r="AF3" s="4"/>
    </row>
    <row r="4" spans="1:32" x14ac:dyDescent="0.2">
      <c r="A4" s="5" t="s">
        <v>115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5" t="s">
        <v>115</v>
      </c>
      <c r="M4" s="6" t="s">
        <v>146</v>
      </c>
      <c r="N4" s="6" t="s">
        <v>147</v>
      </c>
      <c r="O4" s="6" t="s">
        <v>148</v>
      </c>
      <c r="P4" s="6" t="s">
        <v>243</v>
      </c>
      <c r="Q4" s="6" t="s">
        <v>244</v>
      </c>
      <c r="R4" s="6" t="s">
        <v>245</v>
      </c>
      <c r="S4" s="6" t="s">
        <v>246</v>
      </c>
      <c r="T4" s="6" t="s">
        <v>170</v>
      </c>
      <c r="U4" s="6" t="s">
        <v>221</v>
      </c>
      <c r="W4" s="5" t="s">
        <v>115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2">
      <c r="A5" s="18">
        <v>0</v>
      </c>
      <c r="B5" s="12">
        <f>output_NHTS!B80/SUM(output_NHTS!B$80:B$83)</f>
        <v>0.22354894153818566</v>
      </c>
      <c r="C5" s="12">
        <f>output_NHTS!C80/SUM(output_NHTS!C$80:C$83)</f>
        <v>0.56007653943091407</v>
      </c>
      <c r="D5" s="12">
        <f>output_NHTS!D80/SUM(output_NHTS!D$80:D$83)</f>
        <v>0.9663771722141441</v>
      </c>
      <c r="E5" s="12">
        <f>output_NHTS!E80/SUM(output_NHTS!E$80:E$83)</f>
        <v>0.95649072113331979</v>
      </c>
      <c r="F5" s="12">
        <f>output_NHTS!F80/SUM(output_NHTS!F$80:F$83)</f>
        <v>0.61288330622615916</v>
      </c>
      <c r="G5" s="12">
        <f>output_NHTS!G80/SUM(output_NHTS!G$80:G$83)</f>
        <v>0.97668054301561569</v>
      </c>
      <c r="H5" s="12">
        <f>output_NHTS!H80/SUM(output_NHTS!H$80:H$83)</f>
        <v>0.99935115369409688</v>
      </c>
      <c r="I5" s="12">
        <f>output_NHTS!I80/SUM(output_NHTS!I$80:I$83)</f>
        <v>0.99844551419962846</v>
      </c>
      <c r="J5" s="12">
        <f>output_NHTS!J80/SUM(output_NHTS!J$80:J$83)</f>
        <v>0.64367887467416529</v>
      </c>
      <c r="L5" s="18">
        <v>0</v>
      </c>
      <c r="M5" s="12">
        <f>output!B80/SUM(output!B$80:B$83)</f>
        <v>3.3401922244318726E-2</v>
      </c>
      <c r="N5" s="12">
        <f>output!C80/SUM(output!C$80:C$83)</f>
        <v>0.41261828274219281</v>
      </c>
      <c r="O5" s="12">
        <f>output!D80/SUM(output!D$80:D$83)</f>
        <v>1</v>
      </c>
      <c r="P5" s="12">
        <f>output!E80/SUM(output!E$80:E$83)</f>
        <v>1</v>
      </c>
      <c r="Q5" s="12">
        <f>output!F80/SUM(output!F$80:F$83)</f>
        <v>0.26508096836206052</v>
      </c>
      <c r="R5" s="12">
        <f>output!G80/SUM(output!G$80:G$83)</f>
        <v>0.96611819380769959</v>
      </c>
      <c r="S5" s="28">
        <f>output!H80/SUM(output!H$80:H$83)</f>
        <v>0.9944647195493268</v>
      </c>
      <c r="T5" s="28">
        <f>output!I80/SUM(output!I$80:I$83)</f>
        <v>1</v>
      </c>
      <c r="U5" s="12">
        <f>output!J80/SUM(output!J$80:J$83)</f>
        <v>0.51538601411821749</v>
      </c>
      <c r="W5" s="18">
        <v>0</v>
      </c>
      <c r="X5" s="12">
        <f t="shared" ref="X5:AF9" si="0">M5-B5</f>
        <v>-0.19014701929386693</v>
      </c>
      <c r="Y5" s="12">
        <f t="shared" si="0"/>
        <v>-0.14745825668872126</v>
      </c>
      <c r="Z5" s="12">
        <f t="shared" si="0"/>
        <v>3.3622827785855902E-2</v>
      </c>
      <c r="AA5" s="12">
        <f t="shared" si="0"/>
        <v>4.3509278866680212E-2</v>
      </c>
      <c r="AB5" s="12">
        <f t="shared" si="0"/>
        <v>-0.34780233786409864</v>
      </c>
      <c r="AC5" s="12">
        <f t="shared" si="0"/>
        <v>-1.05623492079161E-2</v>
      </c>
      <c r="AD5" s="12">
        <f t="shared" si="0"/>
        <v>-4.8864341447700799E-3</v>
      </c>
      <c r="AE5" s="12">
        <f t="shared" si="0"/>
        <v>1.5544858003715412E-3</v>
      </c>
      <c r="AF5" s="12">
        <f t="shared" si="0"/>
        <v>-0.1282928605559478</v>
      </c>
    </row>
    <row r="6" spans="1:32" x14ac:dyDescent="0.2">
      <c r="A6" s="18">
        <v>1</v>
      </c>
      <c r="B6" s="12">
        <f>output_NHTS!B81/SUM(output_NHTS!B$80:B$83)</f>
        <v>0.74620837698650622</v>
      </c>
      <c r="C6" s="12">
        <f>output_NHTS!C81/SUM(output_NHTS!C$80:C$83)</f>
        <v>0.41230398209800506</v>
      </c>
      <c r="D6" s="12">
        <f>output_NHTS!D81/SUM(output_NHTS!D$80:D$83)</f>
        <v>3.3622827785855867E-2</v>
      </c>
      <c r="E6" s="12">
        <f>output_NHTS!E81/SUM(output_NHTS!E$80:E$83)</f>
        <v>4.1964003444409884E-2</v>
      </c>
      <c r="F6" s="12">
        <f>output_NHTS!F81/SUM(output_NHTS!F$80:F$83)</f>
        <v>0.3462313746156212</v>
      </c>
      <c r="G6" s="12">
        <f>output_NHTS!G81/SUM(output_NHTS!G$80:G$83)</f>
        <v>2.3319456984384403E-2</v>
      </c>
      <c r="H6" s="12">
        <f>output_NHTS!H81/SUM(output_NHTS!H$80:H$83)</f>
        <v>6.4884630590309204E-4</v>
      </c>
      <c r="I6" s="12">
        <f>output_NHTS!I81/SUM(output_NHTS!I$80:I$83)</f>
        <v>1.554485800371585E-3</v>
      </c>
      <c r="J6" s="12">
        <f>output_NHTS!J81/SUM(output_NHTS!J$80:J$83)</f>
        <v>0.34084242312915902</v>
      </c>
      <c r="L6" s="18">
        <v>1</v>
      </c>
      <c r="M6" s="12">
        <f>output!B81/SUM(output!B$80:B$83)</f>
        <v>0.94334743535865773</v>
      </c>
      <c r="N6" s="12">
        <f>output!C81/SUM(output!C$80:C$83)</f>
        <v>0.55909948498291773</v>
      </c>
      <c r="O6" s="12">
        <f>output!D81/SUM(output!D$80:D$83)</f>
        <v>0</v>
      </c>
      <c r="P6" s="12">
        <f>output!E81/SUM(output!E$80:E$83)</f>
        <v>0</v>
      </c>
      <c r="Q6" s="12">
        <f>output!F81/SUM(output!F$80:F$83)</f>
        <v>0.70875500961193838</v>
      </c>
      <c r="R6" s="12">
        <f>output!G81/SUM(output!G$80:G$83)</f>
        <v>3.2908371538026754E-2</v>
      </c>
      <c r="S6" s="28">
        <f>output!H81/SUM(output!H$80:H$83)</f>
        <v>5.4954964512672526E-3</v>
      </c>
      <c r="T6" s="28">
        <f>output!I81/SUM(output!I$80:I$83)</f>
        <v>0</v>
      </c>
      <c r="U6" s="12">
        <f>output!J81/SUM(output!J$80:J$83)</f>
        <v>0.47109430977964006</v>
      </c>
      <c r="W6" s="18">
        <v>1</v>
      </c>
      <c r="X6" s="12">
        <f t="shared" si="0"/>
        <v>0.19713905837215151</v>
      </c>
      <c r="Y6" s="12">
        <f t="shared" si="0"/>
        <v>0.14679550288491267</v>
      </c>
      <c r="Z6" s="12">
        <f t="shared" si="0"/>
        <v>-3.3622827785855867E-2</v>
      </c>
      <c r="AA6" s="12">
        <f t="shared" si="0"/>
        <v>-4.1964003444409884E-2</v>
      </c>
      <c r="AB6" s="12">
        <f t="shared" si="0"/>
        <v>0.36252363499631718</v>
      </c>
      <c r="AC6" s="12">
        <f t="shared" si="0"/>
        <v>9.5889145536423512E-3</v>
      </c>
      <c r="AD6" s="12">
        <f t="shared" si="0"/>
        <v>4.8466501453641609E-3</v>
      </c>
      <c r="AE6" s="12">
        <f t="shared" si="0"/>
        <v>-1.554485800371585E-3</v>
      </c>
      <c r="AF6" s="12">
        <f t="shared" si="0"/>
        <v>0.13025188665048104</v>
      </c>
    </row>
    <row r="7" spans="1:32" x14ac:dyDescent="0.2">
      <c r="A7" s="18">
        <v>2</v>
      </c>
      <c r="B7" s="12">
        <f>output_NHTS!B82/SUM(output_NHTS!B$80:B$83)</f>
        <v>2.9247513115064475E-2</v>
      </c>
      <c r="C7" s="12">
        <f>output_NHTS!C82/SUM(output_NHTS!C$80:C$83)</f>
        <v>2.7315026304392594E-2</v>
      </c>
      <c r="D7" s="12">
        <f>output_NHTS!D82/SUM(output_NHTS!D$80:D$83)</f>
        <v>0</v>
      </c>
      <c r="E7" s="12">
        <f>output_NHTS!E82/SUM(output_NHTS!E$80:E$83)</f>
        <v>1.060575657732274E-3</v>
      </c>
      <c r="F7" s="12">
        <f>output_NHTS!F82/SUM(output_NHTS!F$80:F$83)</f>
        <v>2.9542311862105399E-2</v>
      </c>
      <c r="G7" s="12">
        <f>output_NHTS!G82/SUM(output_NHTS!G$80:G$83)</f>
        <v>0</v>
      </c>
      <c r="H7" s="12">
        <f>output_NHTS!H82/SUM(output_NHTS!H$80:H$83)</f>
        <v>0</v>
      </c>
      <c r="I7" s="12">
        <f>output_NHTS!I82/SUM(output_NHTS!I$80:I$83)</f>
        <v>0</v>
      </c>
      <c r="J7" s="12">
        <f>output_NHTS!J82/SUM(output_NHTS!J$80:J$83)</f>
        <v>1.4638890441367538E-2</v>
      </c>
      <c r="L7" s="18">
        <v>2</v>
      </c>
      <c r="M7" s="12">
        <f>output!B82/SUM(output!B$80:B$83)</f>
        <v>2.2416502001846181E-2</v>
      </c>
      <c r="N7" s="12">
        <f>output!C82/SUM(output!C$80:C$83)</f>
        <v>2.712763245117536E-2</v>
      </c>
      <c r="O7" s="12">
        <f>output!D82/SUM(output!D$80:D$83)</f>
        <v>0</v>
      </c>
      <c r="P7" s="12">
        <f>output!E82/SUM(output!E$80:E$83)</f>
        <v>0</v>
      </c>
      <c r="Q7" s="12">
        <f>output!F82/SUM(output!F$80:F$83)</f>
        <v>2.5173503632986868E-2</v>
      </c>
      <c r="R7" s="12">
        <f>output!G82/SUM(output!G$80:G$83)</f>
        <v>9.1063241851409911E-4</v>
      </c>
      <c r="S7" s="28">
        <f>output!H82/SUM(output!H$80:H$83)</f>
        <v>3.9783999405892274E-5</v>
      </c>
      <c r="T7" s="28">
        <f>output!I82/SUM(output!I$80:I$83)</f>
        <v>0</v>
      </c>
      <c r="U7" s="12">
        <f>output!J82/SUM(output!J$80:J$83)</f>
        <v>1.3017464132612823E-2</v>
      </c>
      <c r="W7" s="18">
        <v>2</v>
      </c>
      <c r="X7" s="12">
        <f t="shared" si="0"/>
        <v>-6.8310111132182938E-3</v>
      </c>
      <c r="Y7" s="12">
        <f t="shared" si="0"/>
        <v>-1.8739385321723395E-4</v>
      </c>
      <c r="Z7" s="12">
        <f t="shared" si="0"/>
        <v>0</v>
      </c>
      <c r="AA7" s="12">
        <f t="shared" si="0"/>
        <v>-1.060575657732274E-3</v>
      </c>
      <c r="AB7" s="12">
        <f t="shared" si="0"/>
        <v>-4.3688082291185315E-3</v>
      </c>
      <c r="AC7" s="12">
        <f t="shared" si="0"/>
        <v>9.1063241851409911E-4</v>
      </c>
      <c r="AD7" s="12">
        <f t="shared" si="0"/>
        <v>3.9783999405892274E-5</v>
      </c>
      <c r="AE7" s="12">
        <f t="shared" si="0"/>
        <v>0</v>
      </c>
      <c r="AF7" s="12">
        <f t="shared" si="0"/>
        <v>-1.621426308754715E-3</v>
      </c>
    </row>
    <row r="8" spans="1:32" x14ac:dyDescent="0.2">
      <c r="A8" s="23" t="s">
        <v>116</v>
      </c>
      <c r="B8" s="12">
        <f>output_NHTS!B83/SUM(output_NHTS!B$80:B$83)</f>
        <v>9.9516836024354056E-4</v>
      </c>
      <c r="C8" s="12">
        <f>output_NHTS!C83/SUM(output_NHTS!C$80:C$83)</f>
        <v>3.0445216668832659E-4</v>
      </c>
      <c r="D8" s="12">
        <f>output_NHTS!D83/SUM(output_NHTS!D$80:D$83)</f>
        <v>0</v>
      </c>
      <c r="E8" s="12">
        <f>output_NHTS!E83/SUM(output_NHTS!E$80:E$83)</f>
        <v>4.8469976453812834E-4</v>
      </c>
      <c r="F8" s="12">
        <f>output_NHTS!F83/SUM(output_NHTS!F$80:F$83)</f>
        <v>1.1343007296114314E-2</v>
      </c>
      <c r="G8" s="12">
        <f>output_NHTS!G83/SUM(output_NHTS!G$80:G$83)</f>
        <v>0</v>
      </c>
      <c r="H8" s="12">
        <f>output_NHTS!H83/SUM(output_NHTS!H$80:H$83)</f>
        <v>0</v>
      </c>
      <c r="I8" s="12">
        <f>output_NHTS!I83/SUM(output_NHTS!I$80:I$83)</f>
        <v>0</v>
      </c>
      <c r="J8" s="12">
        <f>output_NHTS!J83/SUM(output_NHTS!J$80:J$83)</f>
        <v>8.398117553082067E-4</v>
      </c>
      <c r="L8" s="23" t="s">
        <v>116</v>
      </c>
      <c r="M8" s="13">
        <f>output!B83/SUM(output!B$80:B$83)</f>
        <v>8.34140395177416E-4</v>
      </c>
      <c r="N8" s="13">
        <f>output!C83/SUM(output!C$80:C$83)</f>
        <v>1.1545998237140964E-3</v>
      </c>
      <c r="O8" s="13">
        <f>output!D83/SUM(output!D$80:D$83)</f>
        <v>0</v>
      </c>
      <c r="P8" s="13">
        <f>output!E83/SUM(output!E$80:E$83)</f>
        <v>0</v>
      </c>
      <c r="Q8" s="13">
        <f>output!F83/SUM(output!F$80:F$83)</f>
        <v>9.9051839301423869E-4</v>
      </c>
      <c r="R8" s="13">
        <f>output!G83/SUM(output!G$80:G$83)</f>
        <v>6.280223575959304E-5</v>
      </c>
      <c r="S8" s="30">
        <f>output!H83/SUM(output!H$80:H$83)</f>
        <v>0</v>
      </c>
      <c r="T8" s="30">
        <f>output!I83/SUM(output!I$80:I$83)</f>
        <v>0</v>
      </c>
      <c r="U8" s="13">
        <f>output!J83/SUM(output!J$80:J$83)</f>
        <v>5.022119695295876E-4</v>
      </c>
      <c r="W8" s="23" t="s">
        <v>116</v>
      </c>
      <c r="X8" s="12">
        <f t="shared" si="0"/>
        <v>-1.6102796506612456E-4</v>
      </c>
      <c r="Y8" s="12">
        <f t="shared" si="0"/>
        <v>8.5014765702576983E-4</v>
      </c>
      <c r="Z8" s="12">
        <f t="shared" si="0"/>
        <v>0</v>
      </c>
      <c r="AA8" s="12">
        <f t="shared" si="0"/>
        <v>-4.8469976453812834E-4</v>
      </c>
      <c r="AB8" s="12">
        <f t="shared" si="0"/>
        <v>-1.0352488903100076E-2</v>
      </c>
      <c r="AC8" s="12">
        <f t="shared" si="0"/>
        <v>6.280223575959304E-5</v>
      </c>
      <c r="AD8" s="12">
        <f t="shared" si="0"/>
        <v>0</v>
      </c>
      <c r="AE8" s="12">
        <f t="shared" si="0"/>
        <v>0</v>
      </c>
      <c r="AF8" s="12">
        <f t="shared" si="0"/>
        <v>-3.375997857786191E-4</v>
      </c>
    </row>
    <row r="9" spans="1:32" ht="13.5" thickBot="1" x14ac:dyDescent="0.25">
      <c r="A9" s="21" t="s">
        <v>221</v>
      </c>
      <c r="B9" s="14">
        <f t="shared" ref="B9:J9" si="1">SUM(B5:B8)</f>
        <v>0.99999999999999989</v>
      </c>
      <c r="C9" s="14">
        <f t="shared" si="1"/>
        <v>1.0000000000000002</v>
      </c>
      <c r="D9" s="14">
        <f t="shared" si="1"/>
        <v>1</v>
      </c>
      <c r="E9" s="14">
        <f t="shared" si="1"/>
        <v>1</v>
      </c>
      <c r="F9" s="14">
        <f t="shared" si="1"/>
        <v>1</v>
      </c>
      <c r="G9" s="14">
        <f t="shared" si="1"/>
        <v>1</v>
      </c>
      <c r="H9" s="14">
        <f t="shared" si="1"/>
        <v>1</v>
      </c>
      <c r="I9" s="14">
        <f t="shared" si="1"/>
        <v>1</v>
      </c>
      <c r="J9" s="14">
        <f t="shared" si="1"/>
        <v>1</v>
      </c>
      <c r="L9" s="21" t="s">
        <v>221</v>
      </c>
      <c r="M9" s="14">
        <f>SUM(M5:M8)</f>
        <v>1</v>
      </c>
      <c r="N9" s="14">
        <f t="shared" ref="N9:U9" si="2">SUM(N5:N8)</f>
        <v>1</v>
      </c>
      <c r="O9" s="14">
        <f t="shared" si="2"/>
        <v>1</v>
      </c>
      <c r="P9" s="14">
        <f t="shared" si="2"/>
        <v>1</v>
      </c>
      <c r="Q9" s="14">
        <f t="shared" si="2"/>
        <v>1</v>
      </c>
      <c r="R9" s="14">
        <f t="shared" si="2"/>
        <v>1</v>
      </c>
      <c r="S9" s="14">
        <f t="shared" si="2"/>
        <v>0.99999999999999989</v>
      </c>
      <c r="T9" s="14">
        <f t="shared" si="2"/>
        <v>1</v>
      </c>
      <c r="U9" s="14">
        <f t="shared" si="2"/>
        <v>1</v>
      </c>
      <c r="W9" s="21" t="s">
        <v>221</v>
      </c>
      <c r="X9" s="14">
        <f t="shared" si="0"/>
        <v>0</v>
      </c>
      <c r="Y9" s="14">
        <f t="shared" si="0"/>
        <v>0</v>
      </c>
      <c r="Z9" s="14">
        <f t="shared" si="0"/>
        <v>0</v>
      </c>
      <c r="AA9" s="14">
        <f t="shared" si="0"/>
        <v>0</v>
      </c>
      <c r="AB9" s="14">
        <f t="shared" si="0"/>
        <v>0</v>
      </c>
      <c r="AC9" s="14">
        <f t="shared" si="0"/>
        <v>0</v>
      </c>
      <c r="AD9" s="14">
        <f t="shared" si="0"/>
        <v>0</v>
      </c>
      <c r="AE9" s="14">
        <f t="shared" si="0"/>
        <v>0</v>
      </c>
      <c r="AF9" s="14">
        <f t="shared" si="0"/>
        <v>0</v>
      </c>
    </row>
    <row r="10" spans="1:32" x14ac:dyDescent="0.2">
      <c r="B10" s="12"/>
      <c r="C10" s="12"/>
      <c r="D10" s="12"/>
      <c r="E10" s="12"/>
      <c r="F10" s="12"/>
      <c r="G10" s="12"/>
      <c r="H10" s="12"/>
      <c r="I10" s="12"/>
      <c r="J10" s="12"/>
      <c r="M10" s="12"/>
      <c r="N10" s="12"/>
      <c r="O10" s="12"/>
      <c r="P10" s="12"/>
      <c r="Q10" s="12"/>
      <c r="R10" s="12"/>
      <c r="S10" s="12"/>
      <c r="T10" s="12"/>
      <c r="U10" s="12"/>
      <c r="X10" s="12"/>
      <c r="Y10" s="12"/>
      <c r="Z10" s="12"/>
      <c r="AA10" s="12"/>
      <c r="AB10" s="12"/>
      <c r="AC10" s="12"/>
      <c r="AD10" s="12"/>
      <c r="AE10" s="12"/>
      <c r="AF10" s="12"/>
    </row>
    <row r="11" spans="1:32" x14ac:dyDescent="0.2">
      <c r="B11" s="12"/>
      <c r="C11" s="12"/>
      <c r="D11" s="12"/>
      <c r="E11" s="12"/>
      <c r="F11" s="12"/>
      <c r="G11" s="12"/>
      <c r="H11" s="12"/>
      <c r="I11" s="12"/>
      <c r="J11" s="12"/>
      <c r="M11" s="12"/>
      <c r="N11" s="12"/>
      <c r="O11" s="12"/>
      <c r="P11" s="12"/>
      <c r="Q11" s="12"/>
      <c r="R11" s="12"/>
      <c r="S11" s="12"/>
      <c r="T11" s="12"/>
      <c r="U11" s="12"/>
      <c r="X11" s="12"/>
      <c r="Y11" s="12"/>
      <c r="Z11" s="12"/>
      <c r="AA11" s="12"/>
      <c r="AB11" s="12"/>
      <c r="AC11" s="12"/>
      <c r="AD11" s="12"/>
      <c r="AE11" s="12"/>
      <c r="AF11" s="12"/>
    </row>
    <row r="12" spans="1:32" x14ac:dyDescent="0.2">
      <c r="B12" s="12"/>
      <c r="C12" s="12"/>
      <c r="D12" s="12"/>
      <c r="E12" s="12"/>
      <c r="F12" s="12"/>
      <c r="G12" s="12"/>
      <c r="H12" s="12"/>
      <c r="I12" s="12"/>
      <c r="J12" s="12"/>
      <c r="M12" s="12"/>
      <c r="N12" s="12"/>
      <c r="O12" s="12"/>
      <c r="P12" s="12"/>
      <c r="Q12" s="12"/>
      <c r="R12" s="12"/>
      <c r="S12" s="12"/>
      <c r="T12" s="12"/>
      <c r="U12" s="12"/>
      <c r="X12" s="12"/>
      <c r="Y12" s="12"/>
      <c r="Z12" s="12"/>
      <c r="AA12" s="12"/>
      <c r="AB12" s="12"/>
      <c r="AC12" s="12"/>
      <c r="AD12" s="12"/>
      <c r="AE12" s="12"/>
      <c r="AF12" s="12"/>
    </row>
    <row r="13" spans="1:32" x14ac:dyDescent="0.2">
      <c r="A13" s="2" t="s">
        <v>175</v>
      </c>
      <c r="B13" s="12"/>
      <c r="C13" s="12"/>
      <c r="D13" s="12"/>
      <c r="E13" s="12"/>
      <c r="F13" s="12"/>
      <c r="G13" s="12"/>
      <c r="H13" s="12"/>
      <c r="I13" s="12"/>
      <c r="J13" s="12"/>
      <c r="L13" s="2" t="s">
        <v>175</v>
      </c>
      <c r="M13" s="12"/>
      <c r="N13" s="12"/>
      <c r="O13" s="12"/>
      <c r="P13" s="12"/>
      <c r="Q13" s="12"/>
      <c r="R13" s="12"/>
      <c r="S13" s="12"/>
      <c r="T13" s="12"/>
      <c r="U13" s="12"/>
      <c r="W13" s="2" t="s">
        <v>175</v>
      </c>
      <c r="X13" s="12"/>
      <c r="Y13" s="12"/>
      <c r="Z13" s="12"/>
      <c r="AA13" s="12"/>
      <c r="AB13" s="12"/>
      <c r="AC13" s="12"/>
      <c r="AD13" s="12"/>
      <c r="AE13" s="12"/>
      <c r="AF13" s="12"/>
    </row>
    <row r="14" spans="1:32" x14ac:dyDescent="0.2">
      <c r="A14" s="2" t="s">
        <v>15</v>
      </c>
      <c r="B14" s="12"/>
      <c r="C14" s="12"/>
      <c r="D14" s="12"/>
      <c r="E14" s="12"/>
      <c r="F14" s="12"/>
      <c r="G14" s="12"/>
      <c r="H14" s="12"/>
      <c r="I14" s="12"/>
      <c r="J14" s="12"/>
      <c r="L14" s="2" t="s">
        <v>153</v>
      </c>
      <c r="M14" s="12"/>
      <c r="N14" s="12"/>
      <c r="O14" s="12"/>
      <c r="P14" s="12"/>
      <c r="Q14" s="12"/>
      <c r="R14" s="12"/>
      <c r="S14" s="12"/>
      <c r="T14" s="12"/>
      <c r="U14" s="12"/>
      <c r="W14" s="2" t="s">
        <v>16</v>
      </c>
      <c r="X14" s="12"/>
      <c r="Y14" s="12"/>
      <c r="Z14" s="12"/>
      <c r="AA14" s="12"/>
      <c r="AB14" s="12"/>
      <c r="AC14" s="12"/>
      <c r="AD14" s="12"/>
      <c r="AE14" s="12"/>
      <c r="AF14" s="12"/>
    </row>
    <row r="15" spans="1:32" ht="13.5" thickBot="1" x14ac:dyDescent="0.25">
      <c r="A15" s="2"/>
      <c r="B15" s="4"/>
      <c r="C15" s="4"/>
      <c r="D15" s="4"/>
      <c r="E15" s="4"/>
      <c r="F15" s="4"/>
      <c r="G15" s="4"/>
      <c r="H15" s="4"/>
      <c r="I15" s="4"/>
      <c r="J15" s="4"/>
      <c r="L15" s="2"/>
      <c r="M15" s="4"/>
      <c r="N15" s="4"/>
      <c r="O15" s="4"/>
      <c r="P15" s="4"/>
      <c r="Q15" s="4"/>
      <c r="R15" s="4"/>
      <c r="S15" s="4"/>
      <c r="T15" s="4"/>
      <c r="U15" s="4"/>
      <c r="W15" s="2"/>
      <c r="X15" s="4"/>
      <c r="Y15" s="4"/>
      <c r="Z15" s="4"/>
      <c r="AA15" s="4"/>
      <c r="AB15" s="4"/>
      <c r="AC15" s="4"/>
      <c r="AD15" s="4"/>
      <c r="AE15" s="4"/>
      <c r="AF15" s="4"/>
    </row>
    <row r="16" spans="1:32" x14ac:dyDescent="0.2">
      <c r="A16" s="5" t="s">
        <v>115</v>
      </c>
      <c r="B16" s="6" t="s">
        <v>146</v>
      </c>
      <c r="C16" s="6" t="s">
        <v>147</v>
      </c>
      <c r="D16" s="6" t="s">
        <v>148</v>
      </c>
      <c r="E16" s="6" t="s">
        <v>243</v>
      </c>
      <c r="F16" s="6" t="s">
        <v>244</v>
      </c>
      <c r="G16" s="6" t="s">
        <v>245</v>
      </c>
      <c r="H16" s="6" t="s">
        <v>246</v>
      </c>
      <c r="I16" s="6" t="s">
        <v>170</v>
      </c>
      <c r="J16" s="6" t="s">
        <v>221</v>
      </c>
      <c r="L16" s="5" t="s">
        <v>115</v>
      </c>
      <c r="M16" s="6" t="s">
        <v>146</v>
      </c>
      <c r="N16" s="6" t="s">
        <v>147</v>
      </c>
      <c r="O16" s="6" t="s">
        <v>148</v>
      </c>
      <c r="P16" s="6" t="s">
        <v>243</v>
      </c>
      <c r="Q16" s="6" t="s">
        <v>244</v>
      </c>
      <c r="R16" s="6" t="s">
        <v>245</v>
      </c>
      <c r="S16" s="6" t="s">
        <v>246</v>
      </c>
      <c r="T16" s="6" t="s">
        <v>170</v>
      </c>
      <c r="U16" s="6" t="s">
        <v>221</v>
      </c>
      <c r="W16" s="5" t="s">
        <v>115</v>
      </c>
      <c r="X16" s="6" t="s">
        <v>146</v>
      </c>
      <c r="Y16" s="6" t="s">
        <v>147</v>
      </c>
      <c r="Z16" s="6" t="s">
        <v>148</v>
      </c>
      <c r="AA16" s="6" t="s">
        <v>243</v>
      </c>
      <c r="AB16" s="6" t="s">
        <v>244</v>
      </c>
      <c r="AC16" s="6" t="s">
        <v>245</v>
      </c>
      <c r="AD16" s="6" t="s">
        <v>246</v>
      </c>
      <c r="AE16" s="6" t="s">
        <v>170</v>
      </c>
      <c r="AF16" s="6" t="s">
        <v>221</v>
      </c>
    </row>
    <row r="17" spans="1:32" x14ac:dyDescent="0.2">
      <c r="A17" s="18">
        <v>0</v>
      </c>
      <c r="B17" s="12">
        <f>output_NHTS!B87/SUM(output_NHTS!B$87:B$90)</f>
        <v>0.997638775344589</v>
      </c>
      <c r="C17" s="12">
        <f>output_NHTS!C87/SUM(output_NHTS!C$87:C$90)</f>
        <v>0.91968434764927864</v>
      </c>
      <c r="D17" s="12">
        <f>output_NHTS!D87/SUM(output_NHTS!D$87:D$90)</f>
        <v>0.9979487463109632</v>
      </c>
      <c r="E17" s="12">
        <f>output_NHTS!E87/SUM(output_NHTS!E$87:E$90)</f>
        <v>0.92099052060079845</v>
      </c>
      <c r="F17" s="12">
        <f>output_NHTS!F87/SUM(output_NHTS!F$87:F$90)</f>
        <v>0.67491188515052392</v>
      </c>
      <c r="G17" s="12">
        <f>output_NHTS!G87/SUM(output_NHTS!G$87:G$90)</f>
        <v>0.25583187877974478</v>
      </c>
      <c r="H17" s="12">
        <f>output_NHTS!H87/SUM(output_NHTS!H$87:H$90)</f>
        <v>0.25239734322095397</v>
      </c>
      <c r="I17" s="12">
        <f>output_NHTS!I87/SUM(output_NHTS!I$87:I$90)</f>
        <v>0.83162244745312286</v>
      </c>
      <c r="J17" s="12">
        <f>output_NHTS!J87/SUM(output_NHTS!J$87:J$90)</f>
        <v>0.83659657086602723</v>
      </c>
      <c r="L17" s="18">
        <v>0</v>
      </c>
      <c r="M17" s="12">
        <f>output!B87/SUM(output!B$87:B$90)</f>
        <v>1</v>
      </c>
      <c r="N17" s="12">
        <f>output!C87/SUM(output!C$87:C$90)</f>
        <v>1</v>
      </c>
      <c r="O17" s="12">
        <f>output!D87/SUM(output!D$87:D$90)</f>
        <v>1</v>
      </c>
      <c r="P17" s="12">
        <f>output!E87/SUM(output!E$87:E$90)</f>
        <v>1</v>
      </c>
      <c r="Q17" s="12">
        <f>output!F87/SUM(output!F$87:F$90)</f>
        <v>0.45216512984262486</v>
      </c>
      <c r="R17" s="12">
        <f>output!G87/SUM(output!G$87:G$90)</f>
        <v>0.10352948564968913</v>
      </c>
      <c r="S17" s="28">
        <f>output!H87/SUM(output!H$87:H$90)</f>
        <v>0.19663374319693611</v>
      </c>
      <c r="T17" s="28">
        <f>output!I87/SUM(output!I$87:I$90)</f>
        <v>1</v>
      </c>
      <c r="U17" s="12">
        <f>output!J87/SUM(output!J$87:J$90)</f>
        <v>0.83978860916868769</v>
      </c>
      <c r="W17" s="18">
        <v>0</v>
      </c>
      <c r="X17" s="12">
        <f t="shared" ref="X17:AF21" si="3">M17-B17</f>
        <v>2.3612246554109984E-3</v>
      </c>
      <c r="Y17" s="12">
        <f t="shared" si="3"/>
        <v>8.0315652350721356E-2</v>
      </c>
      <c r="Z17" s="12">
        <f t="shared" si="3"/>
        <v>2.0512536890368027E-3</v>
      </c>
      <c r="AA17" s="12">
        <f t="shared" si="3"/>
        <v>7.9009479399201554E-2</v>
      </c>
      <c r="AB17" s="12">
        <f t="shared" si="3"/>
        <v>-0.22274675530789906</v>
      </c>
      <c r="AC17" s="12">
        <f t="shared" si="3"/>
        <v>-0.15230239313005567</v>
      </c>
      <c r="AD17" s="12">
        <f t="shared" si="3"/>
        <v>-5.5763600024017868E-2</v>
      </c>
      <c r="AE17" s="12">
        <f t="shared" si="3"/>
        <v>0.16837755254687714</v>
      </c>
      <c r="AF17" s="12">
        <f t="shared" si="3"/>
        <v>3.1920383026604604E-3</v>
      </c>
    </row>
    <row r="18" spans="1:32" x14ac:dyDescent="0.2">
      <c r="A18" s="18">
        <v>1</v>
      </c>
      <c r="B18" s="12">
        <f>output_NHTS!B88/SUM(output_NHTS!B$87:B$90)</f>
        <v>2.3612246554108674E-3</v>
      </c>
      <c r="C18" s="12">
        <f>output_NHTS!C88/SUM(output_NHTS!C$87:C$90)</f>
        <v>7.7261178609274145E-2</v>
      </c>
      <c r="D18" s="12">
        <f>output_NHTS!D88/SUM(output_NHTS!D$87:D$90)</f>
        <v>2.0512536890368535E-3</v>
      </c>
      <c r="E18" s="12">
        <f>output_NHTS!E88/SUM(output_NHTS!E$87:E$90)</f>
        <v>7.3953151798782979E-2</v>
      </c>
      <c r="F18" s="12">
        <f>output_NHTS!F88/SUM(output_NHTS!F$87:F$90)</f>
        <v>0.29108146721694156</v>
      </c>
      <c r="G18" s="12">
        <f>output_NHTS!G88/SUM(output_NHTS!G$87:G$90)</f>
        <v>0.73270508711186111</v>
      </c>
      <c r="H18" s="12">
        <f>output_NHTS!H88/SUM(output_NHTS!H$87:H$90)</f>
        <v>0.74085971862740763</v>
      </c>
      <c r="I18" s="12">
        <f>output_NHTS!I88/SUM(output_NHTS!I$87:I$90)</f>
        <v>0.16705260303764635</v>
      </c>
      <c r="J18" s="12">
        <f>output_NHTS!J88/SUM(output_NHTS!J$87:J$90)</f>
        <v>0.15994927363502939</v>
      </c>
      <c r="L18" s="18">
        <v>1</v>
      </c>
      <c r="M18" s="12">
        <f>output!B88/SUM(output!B$87:B$90)</f>
        <v>0</v>
      </c>
      <c r="N18" s="12">
        <f>output!C88/SUM(output!C$87:C$90)</f>
        <v>0</v>
      </c>
      <c r="O18" s="12">
        <f>output!D88/SUM(output!D$87:D$90)</f>
        <v>0</v>
      </c>
      <c r="P18" s="12">
        <f>output!E88/SUM(output!E$87:E$90)</f>
        <v>0</v>
      </c>
      <c r="Q18" s="12">
        <f>output!F88/SUM(output!F$87:F$90)</f>
        <v>0.48742628132025673</v>
      </c>
      <c r="R18" s="12">
        <f>output!G88/SUM(output!G$87:G$90)</f>
        <v>0.88610814544997807</v>
      </c>
      <c r="S18" s="28">
        <f>output!H88/SUM(output!H$87:H$90)</f>
        <v>0.79082368792369961</v>
      </c>
      <c r="T18" s="28">
        <f>output!I88/SUM(output!I$87:I$90)</f>
        <v>0</v>
      </c>
      <c r="U18" s="12">
        <f>output!J88/SUM(output!J$87:J$90)</f>
        <v>0.15492265141943432</v>
      </c>
      <c r="W18" s="18">
        <v>1</v>
      </c>
      <c r="X18" s="12">
        <f t="shared" si="3"/>
        <v>-2.3612246554108674E-3</v>
      </c>
      <c r="Y18" s="12">
        <f t="shared" si="3"/>
        <v>-7.7261178609274145E-2</v>
      </c>
      <c r="Z18" s="12">
        <f t="shared" si="3"/>
        <v>-2.0512536890368535E-3</v>
      </c>
      <c r="AA18" s="12">
        <f t="shared" si="3"/>
        <v>-7.3953151798782979E-2</v>
      </c>
      <c r="AB18" s="12">
        <f t="shared" si="3"/>
        <v>0.19634481410331517</v>
      </c>
      <c r="AC18" s="12">
        <f t="shared" si="3"/>
        <v>0.15340305833811696</v>
      </c>
      <c r="AD18" s="12">
        <f t="shared" si="3"/>
        <v>4.9963969296291988E-2</v>
      </c>
      <c r="AE18" s="12">
        <f t="shared" si="3"/>
        <v>-0.16705260303764635</v>
      </c>
      <c r="AF18" s="12">
        <f t="shared" si="3"/>
        <v>-5.0266222155950779E-3</v>
      </c>
    </row>
    <row r="19" spans="1:32" x14ac:dyDescent="0.2">
      <c r="A19" s="18">
        <v>2</v>
      </c>
      <c r="B19" s="12">
        <f>output_NHTS!B89/SUM(output_NHTS!B$87:B$90)</f>
        <v>0</v>
      </c>
      <c r="C19" s="12">
        <f>output_NHTS!C89/SUM(output_NHTS!C$87:C$90)</f>
        <v>3.0544737414473313E-3</v>
      </c>
      <c r="D19" s="12">
        <f>output_NHTS!D89/SUM(output_NHTS!D$87:D$90)</f>
        <v>0</v>
      </c>
      <c r="E19" s="12">
        <f>output_NHTS!E89/SUM(output_NHTS!E$87:E$90)</f>
        <v>5.0563276004186464E-3</v>
      </c>
      <c r="F19" s="12">
        <f>output_NHTS!F89/SUM(output_NHTS!F$87:F$90)</f>
        <v>2.7340196869097659E-2</v>
      </c>
      <c r="G19" s="12">
        <f>output_NHTS!G89/SUM(output_NHTS!G$87:G$90)</f>
        <v>1.1463034108394084E-2</v>
      </c>
      <c r="H19" s="12">
        <f>output_NHTS!H89/SUM(output_NHTS!H$87:H$90)</f>
        <v>6.7429381516384262E-3</v>
      </c>
      <c r="I19" s="12">
        <f>output_NHTS!I89/SUM(output_NHTS!I$87:I$90)</f>
        <v>0</v>
      </c>
      <c r="J19" s="12">
        <f>output_NHTS!J89/SUM(output_NHTS!J$87:J$90)</f>
        <v>3.1458561693624228E-3</v>
      </c>
      <c r="L19" s="18">
        <v>2</v>
      </c>
      <c r="M19" s="12">
        <f>output!B89/SUM(output!B$87:B$90)</f>
        <v>0</v>
      </c>
      <c r="N19" s="12">
        <f>output!C89/SUM(output!C$87:C$90)</f>
        <v>0</v>
      </c>
      <c r="O19" s="12">
        <f>output!D89/SUM(output!D$87:D$90)</f>
        <v>0</v>
      </c>
      <c r="P19" s="12">
        <f>output!E89/SUM(output!E$87:E$90)</f>
        <v>0</v>
      </c>
      <c r="Q19" s="12">
        <f>output!F89/SUM(output!F$87:F$90)</f>
        <v>5.2549607376755403E-2</v>
      </c>
      <c r="R19" s="12">
        <f>output!G89/SUM(output!G$87:G$90)</f>
        <v>8.9336180368021108E-3</v>
      </c>
      <c r="S19" s="28">
        <f>output!H89/SUM(output!H$87:H$90)</f>
        <v>1.0468496377003787E-2</v>
      </c>
      <c r="T19" s="28">
        <f>output!I89/SUM(output!I$87:I$90)</f>
        <v>0</v>
      </c>
      <c r="U19" s="12">
        <f>output!J89/SUM(output!J$87:J$90)</f>
        <v>4.5386685177314741E-3</v>
      </c>
      <c r="W19" s="18">
        <v>2</v>
      </c>
      <c r="X19" s="12">
        <f t="shared" si="3"/>
        <v>0</v>
      </c>
      <c r="Y19" s="12">
        <f t="shared" si="3"/>
        <v>-3.0544737414473313E-3</v>
      </c>
      <c r="Z19" s="12">
        <f t="shared" si="3"/>
        <v>0</v>
      </c>
      <c r="AA19" s="12">
        <f t="shared" si="3"/>
        <v>-5.0563276004186464E-3</v>
      </c>
      <c r="AB19" s="12">
        <f t="shared" si="3"/>
        <v>2.5209410507657744E-2</v>
      </c>
      <c r="AC19" s="12">
        <f t="shared" si="3"/>
        <v>-2.5294160715919733E-3</v>
      </c>
      <c r="AD19" s="12">
        <f t="shared" si="3"/>
        <v>3.7255582253653604E-3</v>
      </c>
      <c r="AE19" s="12">
        <f t="shared" si="3"/>
        <v>0</v>
      </c>
      <c r="AF19" s="12">
        <f t="shared" si="3"/>
        <v>1.3928123483690513E-3</v>
      </c>
    </row>
    <row r="20" spans="1:32" x14ac:dyDescent="0.2">
      <c r="A20" s="23" t="s">
        <v>116</v>
      </c>
      <c r="B20" s="12">
        <f>output_NHTS!B90/SUM(output_NHTS!B$87:B$90)</f>
        <v>0</v>
      </c>
      <c r="C20" s="12">
        <f>output_NHTS!C90/SUM(output_NHTS!C$87:C$90)</f>
        <v>0</v>
      </c>
      <c r="D20" s="12">
        <f>output_NHTS!D90/SUM(output_NHTS!D$87:D$90)</f>
        <v>0</v>
      </c>
      <c r="E20" s="12">
        <f>output_NHTS!E90/SUM(output_NHTS!E$87:E$90)</f>
        <v>0</v>
      </c>
      <c r="F20" s="12">
        <f>output_NHTS!F90/SUM(output_NHTS!F$87:F$90)</f>
        <v>6.6664507634368033E-3</v>
      </c>
      <c r="G20" s="12">
        <f>output_NHTS!G90/SUM(output_NHTS!G$87:G$90)</f>
        <v>0</v>
      </c>
      <c r="H20" s="12">
        <f>output_NHTS!H90/SUM(output_NHTS!H$87:H$90)</f>
        <v>0</v>
      </c>
      <c r="I20" s="12">
        <f>output_NHTS!I90/SUM(output_NHTS!I$87:I$90)</f>
        <v>1.3249495092308265E-3</v>
      </c>
      <c r="J20" s="12">
        <f>output_NHTS!J90/SUM(output_NHTS!J$87:J$90)</f>
        <v>3.0829932958072138E-4</v>
      </c>
      <c r="L20" s="23" t="s">
        <v>116</v>
      </c>
      <c r="M20" s="13">
        <f>output!B90/SUM(output!B$87:B$90)</f>
        <v>0</v>
      </c>
      <c r="N20" s="13">
        <f>output!C90/SUM(output!C$87:C$90)</f>
        <v>0</v>
      </c>
      <c r="O20" s="13">
        <f>output!D90/SUM(output!D$87:D$90)</f>
        <v>0</v>
      </c>
      <c r="P20" s="13">
        <f>output!E90/SUM(output!E$87:E$90)</f>
        <v>0</v>
      </c>
      <c r="Q20" s="13">
        <f>output!F90/SUM(output!F$87:F$90)</f>
        <v>7.8589814603629727E-3</v>
      </c>
      <c r="R20" s="13">
        <f>output!G90/SUM(output!G$87:G$90)</f>
        <v>1.4287508635307416E-3</v>
      </c>
      <c r="S20" s="30">
        <f>output!H90/SUM(output!H$87:H$90)</f>
        <v>2.0740725023605175E-3</v>
      </c>
      <c r="T20" s="30">
        <f>output!I90/SUM(output!I$87:I$90)</f>
        <v>0</v>
      </c>
      <c r="U20" s="13">
        <f>output!J90/SUM(output!J$87:J$90)</f>
        <v>7.5007089414656075E-4</v>
      </c>
      <c r="W20" s="23" t="s">
        <v>116</v>
      </c>
      <c r="X20" s="12">
        <f t="shared" si="3"/>
        <v>0</v>
      </c>
      <c r="Y20" s="12">
        <f t="shared" si="3"/>
        <v>0</v>
      </c>
      <c r="Z20" s="12">
        <f t="shared" si="3"/>
        <v>0</v>
      </c>
      <c r="AA20" s="12">
        <f t="shared" si="3"/>
        <v>0</v>
      </c>
      <c r="AB20" s="12">
        <f t="shared" si="3"/>
        <v>1.1925306969261694E-3</v>
      </c>
      <c r="AC20" s="12">
        <f t="shared" si="3"/>
        <v>1.4287508635307416E-3</v>
      </c>
      <c r="AD20" s="12">
        <f t="shared" si="3"/>
        <v>2.0740725023605175E-3</v>
      </c>
      <c r="AE20" s="12">
        <f t="shared" si="3"/>
        <v>-1.3249495092308265E-3</v>
      </c>
      <c r="AF20" s="12">
        <f t="shared" si="3"/>
        <v>4.4177156456583937E-4</v>
      </c>
    </row>
    <row r="21" spans="1:32" ht="13.5" thickBot="1" x14ac:dyDescent="0.25">
      <c r="A21" s="21" t="s">
        <v>221</v>
      </c>
      <c r="B21" s="14">
        <f t="shared" ref="B21:J21" si="4">SUM(B17:B20)</f>
        <v>0.99999999999999989</v>
      </c>
      <c r="C21" s="14">
        <f t="shared" si="4"/>
        <v>1.0000000000000002</v>
      </c>
      <c r="D21" s="14">
        <f t="shared" si="4"/>
        <v>1</v>
      </c>
      <c r="E21" s="14">
        <f t="shared" si="4"/>
        <v>1.0000000000000002</v>
      </c>
      <c r="F21" s="14">
        <f t="shared" si="4"/>
        <v>0.99999999999999989</v>
      </c>
      <c r="G21" s="14">
        <f t="shared" si="4"/>
        <v>1</v>
      </c>
      <c r="H21" s="14">
        <f t="shared" si="4"/>
        <v>1</v>
      </c>
      <c r="I21" s="14">
        <f t="shared" si="4"/>
        <v>1</v>
      </c>
      <c r="J21" s="14">
        <f t="shared" si="4"/>
        <v>0.99999999999999989</v>
      </c>
      <c r="L21" s="21" t="s">
        <v>221</v>
      </c>
      <c r="M21" s="14">
        <f>SUM(M17:M20)</f>
        <v>1</v>
      </c>
      <c r="N21" s="14">
        <f t="shared" ref="N21:U21" si="5">SUM(N17:N20)</f>
        <v>1</v>
      </c>
      <c r="O21" s="14">
        <f t="shared" si="5"/>
        <v>1</v>
      </c>
      <c r="P21" s="14">
        <f t="shared" si="5"/>
        <v>1</v>
      </c>
      <c r="Q21" s="14">
        <f t="shared" si="5"/>
        <v>1</v>
      </c>
      <c r="R21" s="14">
        <f t="shared" si="5"/>
        <v>1</v>
      </c>
      <c r="S21" s="14">
        <f t="shared" si="5"/>
        <v>0.99999999999999989</v>
      </c>
      <c r="T21" s="14">
        <f t="shared" si="5"/>
        <v>1</v>
      </c>
      <c r="U21" s="14">
        <f t="shared" si="5"/>
        <v>1</v>
      </c>
      <c r="W21" s="21" t="s">
        <v>221</v>
      </c>
      <c r="X21" s="14">
        <f t="shared" si="3"/>
        <v>0</v>
      </c>
      <c r="Y21" s="14">
        <f t="shared" si="3"/>
        <v>0</v>
      </c>
      <c r="Z21" s="14">
        <f t="shared" si="3"/>
        <v>0</v>
      </c>
      <c r="AA21" s="14">
        <f t="shared" si="3"/>
        <v>0</v>
      </c>
      <c r="AB21" s="14">
        <f t="shared" si="3"/>
        <v>0</v>
      </c>
      <c r="AC21" s="14">
        <f t="shared" si="3"/>
        <v>0</v>
      </c>
      <c r="AD21" s="14">
        <f t="shared" si="3"/>
        <v>0</v>
      </c>
      <c r="AE21" s="14">
        <f t="shared" si="3"/>
        <v>0</v>
      </c>
      <c r="AF21" s="14">
        <f t="shared" si="3"/>
        <v>0</v>
      </c>
    </row>
    <row r="22" spans="1:32" x14ac:dyDescent="0.2">
      <c r="B22" s="12"/>
      <c r="C22" s="12"/>
      <c r="D22" s="12"/>
      <c r="E22" s="12"/>
      <c r="F22" s="12"/>
      <c r="G22" s="12"/>
      <c r="H22" s="12"/>
      <c r="I22" s="12"/>
      <c r="J22" s="12"/>
      <c r="M22" s="12"/>
      <c r="N22" s="12"/>
      <c r="O22" s="12"/>
      <c r="P22" s="12"/>
      <c r="Q22" s="12"/>
      <c r="R22" s="12"/>
      <c r="S22" s="12"/>
      <c r="T22" s="12"/>
      <c r="U22" s="12"/>
      <c r="X22" s="12"/>
      <c r="Y22" s="12"/>
      <c r="Z22" s="12"/>
      <c r="AA22" s="12"/>
      <c r="AB22" s="12"/>
      <c r="AC22" s="12"/>
      <c r="AD22" s="12"/>
      <c r="AE22" s="12"/>
      <c r="AF22" s="12"/>
    </row>
    <row r="23" spans="1:32" x14ac:dyDescent="0.2">
      <c r="B23" s="12"/>
      <c r="C23" s="12"/>
      <c r="D23" s="12"/>
      <c r="E23" s="12"/>
      <c r="F23" s="12"/>
      <c r="G23" s="12"/>
      <c r="H23" s="12"/>
      <c r="I23" s="12"/>
      <c r="J23" s="12"/>
      <c r="M23" s="12"/>
      <c r="N23" s="12"/>
      <c r="O23" s="12"/>
      <c r="P23" s="12"/>
      <c r="Q23" s="12"/>
      <c r="R23" s="12"/>
      <c r="S23" s="12"/>
      <c r="T23" s="12"/>
      <c r="U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 x14ac:dyDescent="0.2">
      <c r="B24" s="12"/>
      <c r="C24" s="12"/>
      <c r="D24" s="12"/>
      <c r="E24" s="12"/>
      <c r="F24" s="12"/>
      <c r="G24" s="12"/>
      <c r="H24" s="12"/>
      <c r="I24" s="12"/>
      <c r="J24" s="12"/>
      <c r="M24" s="12"/>
      <c r="N24" s="12"/>
      <c r="O24" s="12"/>
      <c r="P24" s="12"/>
      <c r="Q24" s="12"/>
      <c r="R24" s="12"/>
      <c r="S24" s="12"/>
      <c r="T24" s="12"/>
      <c r="U24" s="12"/>
      <c r="X24" s="12"/>
      <c r="Y24" s="12"/>
      <c r="Z24" s="12"/>
      <c r="AA24" s="12"/>
      <c r="AB24" s="12"/>
      <c r="AC24" s="12"/>
      <c r="AD24" s="12"/>
      <c r="AE24" s="12"/>
      <c r="AF24" s="12"/>
    </row>
    <row r="25" spans="1:32" x14ac:dyDescent="0.2">
      <c r="A25" s="2" t="s">
        <v>175</v>
      </c>
      <c r="B25" s="12"/>
      <c r="C25" s="12"/>
      <c r="D25" s="12"/>
      <c r="E25" s="12"/>
      <c r="F25" s="12"/>
      <c r="G25" s="12"/>
      <c r="H25" s="12"/>
      <c r="I25" s="12"/>
      <c r="J25" s="12"/>
      <c r="L25" s="2" t="s">
        <v>175</v>
      </c>
      <c r="M25" s="12"/>
      <c r="N25" s="12"/>
      <c r="O25" s="12"/>
      <c r="P25" s="12"/>
      <c r="Q25" s="12"/>
      <c r="R25" s="12"/>
      <c r="S25" s="12"/>
      <c r="T25" s="12"/>
      <c r="U25" s="12"/>
      <c r="W25" s="2" t="s">
        <v>175</v>
      </c>
      <c r="X25" s="12"/>
      <c r="Y25" s="12"/>
      <c r="Z25" s="12"/>
      <c r="AA25" s="12"/>
      <c r="AB25" s="12"/>
      <c r="AC25" s="12"/>
      <c r="AD25" s="12"/>
      <c r="AE25" s="12"/>
      <c r="AF25" s="12"/>
    </row>
    <row r="26" spans="1:32" x14ac:dyDescent="0.2">
      <c r="A26" s="2" t="s">
        <v>126</v>
      </c>
      <c r="B26" s="12"/>
      <c r="C26" s="12"/>
      <c r="D26" s="12"/>
      <c r="E26" s="12"/>
      <c r="F26" s="12"/>
      <c r="G26" s="12"/>
      <c r="H26" s="12"/>
      <c r="I26" s="12"/>
      <c r="J26" s="12"/>
      <c r="L26" s="2" t="s">
        <v>142</v>
      </c>
      <c r="M26" s="12"/>
      <c r="N26" s="12"/>
      <c r="O26" s="12"/>
      <c r="P26" s="12"/>
      <c r="Q26" s="12"/>
      <c r="R26" s="12"/>
      <c r="S26" s="12"/>
      <c r="T26" s="12"/>
      <c r="U26" s="12"/>
      <c r="W26" s="2" t="s">
        <v>181</v>
      </c>
      <c r="X26" s="12"/>
      <c r="Y26" s="12"/>
      <c r="Z26" s="12"/>
      <c r="AA26" s="12"/>
      <c r="AB26" s="12"/>
      <c r="AC26" s="12"/>
      <c r="AD26" s="12"/>
      <c r="AE26" s="12"/>
      <c r="AF26" s="12"/>
    </row>
    <row r="27" spans="1:32" ht="13.5" thickBot="1" x14ac:dyDescent="0.25">
      <c r="A27" s="2"/>
      <c r="B27" s="17"/>
      <c r="C27" s="17"/>
      <c r="D27" s="17"/>
      <c r="E27" s="17"/>
      <c r="F27" s="17"/>
      <c r="G27" s="17"/>
      <c r="H27" s="17"/>
      <c r="I27" s="17"/>
      <c r="J27" s="17"/>
      <c r="L27" s="2"/>
      <c r="M27" s="17"/>
      <c r="N27" s="17"/>
      <c r="O27" s="17"/>
      <c r="P27" s="17"/>
      <c r="Q27" s="17"/>
      <c r="R27" s="17"/>
      <c r="S27" s="17"/>
      <c r="T27" s="17"/>
      <c r="U27" s="17"/>
      <c r="W27" s="2"/>
      <c r="X27" s="17"/>
      <c r="Y27" s="17"/>
      <c r="Z27" s="17"/>
      <c r="AA27" s="17"/>
      <c r="AB27" s="17"/>
      <c r="AC27" s="17"/>
      <c r="AD27" s="17"/>
      <c r="AE27" s="17"/>
      <c r="AF27" s="17"/>
    </row>
    <row r="28" spans="1:32" x14ac:dyDescent="0.2">
      <c r="A28" s="5" t="s">
        <v>115</v>
      </c>
      <c r="B28" s="24" t="s">
        <v>146</v>
      </c>
      <c r="C28" s="24" t="s">
        <v>147</v>
      </c>
      <c r="D28" s="24" t="s">
        <v>148</v>
      </c>
      <c r="E28" s="24" t="s">
        <v>243</v>
      </c>
      <c r="F28" s="24" t="s">
        <v>244</v>
      </c>
      <c r="G28" s="24" t="s">
        <v>245</v>
      </c>
      <c r="H28" s="24" t="s">
        <v>246</v>
      </c>
      <c r="I28" s="24" t="s">
        <v>170</v>
      </c>
      <c r="J28" s="24" t="s">
        <v>221</v>
      </c>
      <c r="L28" s="5" t="s">
        <v>115</v>
      </c>
      <c r="M28" s="24" t="s">
        <v>146</v>
      </c>
      <c r="N28" s="24" t="s">
        <v>147</v>
      </c>
      <c r="O28" s="24" t="s">
        <v>148</v>
      </c>
      <c r="P28" s="24" t="s">
        <v>243</v>
      </c>
      <c r="Q28" s="24" t="s">
        <v>244</v>
      </c>
      <c r="R28" s="24" t="s">
        <v>245</v>
      </c>
      <c r="S28" s="24" t="s">
        <v>246</v>
      </c>
      <c r="T28" s="24" t="s">
        <v>170</v>
      </c>
      <c r="U28" s="24" t="s">
        <v>221</v>
      </c>
      <c r="W28" s="5" t="s">
        <v>115</v>
      </c>
      <c r="X28" s="24" t="s">
        <v>146</v>
      </c>
      <c r="Y28" s="24" t="s">
        <v>147</v>
      </c>
      <c r="Z28" s="24" t="s">
        <v>148</v>
      </c>
      <c r="AA28" s="24" t="s">
        <v>243</v>
      </c>
      <c r="AB28" s="24" t="s">
        <v>244</v>
      </c>
      <c r="AC28" s="24" t="s">
        <v>245</v>
      </c>
      <c r="AD28" s="24" t="s">
        <v>246</v>
      </c>
      <c r="AE28" s="24" t="s">
        <v>170</v>
      </c>
      <c r="AF28" s="24" t="s">
        <v>221</v>
      </c>
    </row>
    <row r="29" spans="1:32" x14ac:dyDescent="0.2">
      <c r="A29" s="18">
        <v>0</v>
      </c>
      <c r="B29" s="12">
        <f>output_NHTS!B94/SUM(output_NHTS!B$94:B$97)</f>
        <v>0.92218697447520126</v>
      </c>
      <c r="C29" s="12">
        <f>output_NHTS!C94/SUM(output_NHTS!C$94:C$97)</f>
        <v>0.85425478676464461</v>
      </c>
      <c r="D29" s="12">
        <f>output_NHTS!D94/SUM(output_NHTS!D$94:D$97)</f>
        <v>0.89991012172329066</v>
      </c>
      <c r="E29" s="12">
        <f>output_NHTS!E94/SUM(output_NHTS!E$94:E$97)</f>
        <v>0.8294002269439299</v>
      </c>
      <c r="F29" s="12">
        <f>output_NHTS!F94/SUM(output_NHTS!F$94:F$97)</f>
        <v>0.93601020649420497</v>
      </c>
      <c r="G29" s="12">
        <f>output_NHTS!G94/SUM(output_NHTS!G$94:G$97)</f>
        <v>0.93225669391475219</v>
      </c>
      <c r="H29" s="12">
        <f>output_NHTS!H94/SUM(output_NHTS!H$94:H$97)</f>
        <v>0.95464892922351574</v>
      </c>
      <c r="I29" s="12">
        <f>output_NHTS!I94/SUM(output_NHTS!I$94:I$97)</f>
        <v>0.88290881784031239</v>
      </c>
      <c r="J29" s="12">
        <f>output_NHTS!J94/SUM(output_NHTS!J$94:J$97)</f>
        <v>0.90078413901309706</v>
      </c>
      <c r="L29" s="18">
        <v>0</v>
      </c>
      <c r="M29" s="12">
        <f>output!B94/SUM(output!B$94:B$97)</f>
        <v>0.88091942421621205</v>
      </c>
      <c r="N29" s="12">
        <f>output!C94/SUM(output!C$94:C$97)</f>
        <v>0.83996955061663647</v>
      </c>
      <c r="O29" s="12">
        <f>output!D94/SUM(output!D$94:D$97)</f>
        <v>0.8916881393984234</v>
      </c>
      <c r="P29" s="12">
        <f>output!E94/SUM(output!E$94:E$97)</f>
        <v>0.74154907269218084</v>
      </c>
      <c r="Q29" s="12">
        <f>output!F94/SUM(output!F$94:F$97)</f>
        <v>0.95977322342054672</v>
      </c>
      <c r="R29" s="12">
        <f>output!G94/SUM(output!G$94:G$97)</f>
        <v>0.95669785844376065</v>
      </c>
      <c r="S29" s="28">
        <f>output!H94/SUM(output!H$94:H$97)</f>
        <v>0.94593884934064654</v>
      </c>
      <c r="T29" s="28">
        <f>output!I94/SUM(output!I$94:I$97)</f>
        <v>0.73149000181835211</v>
      </c>
      <c r="U29" s="12">
        <f>output!J94/SUM(output!J$94:J$97)</f>
        <v>0.86785186767291855</v>
      </c>
      <c r="W29" s="18">
        <v>0</v>
      </c>
      <c r="X29" s="12">
        <f t="shared" ref="X29:AF33" si="6">M29-B29</f>
        <v>-4.1267550258989205E-2</v>
      </c>
      <c r="Y29" s="12">
        <f t="shared" si="6"/>
        <v>-1.428523614800814E-2</v>
      </c>
      <c r="Z29" s="12">
        <f t="shared" si="6"/>
        <v>-8.2219823248672608E-3</v>
      </c>
      <c r="AA29" s="12">
        <f t="shared" si="6"/>
        <v>-8.7851154251749053E-2</v>
      </c>
      <c r="AB29" s="12">
        <f t="shared" si="6"/>
        <v>2.3763016926341751E-2</v>
      </c>
      <c r="AC29" s="12">
        <f t="shared" si="6"/>
        <v>2.4441164529008463E-2</v>
      </c>
      <c r="AD29" s="12">
        <f t="shared" si="6"/>
        <v>-8.7100798828692039E-3</v>
      </c>
      <c r="AE29" s="12">
        <f t="shared" si="6"/>
        <v>-0.15141881602196028</v>
      </c>
      <c r="AF29" s="12">
        <f t="shared" si="6"/>
        <v>-3.2932271340178509E-2</v>
      </c>
    </row>
    <row r="30" spans="1:32" x14ac:dyDescent="0.2">
      <c r="A30" s="18">
        <v>1</v>
      </c>
      <c r="B30" s="12">
        <f>output_NHTS!B95/SUM(output_NHTS!B$94:B$97)</f>
        <v>5.4186219426447538E-2</v>
      </c>
      <c r="C30" s="12">
        <f>output_NHTS!C95/SUM(output_NHTS!C$94:C$97)</f>
        <v>8.309208032380612E-2</v>
      </c>
      <c r="D30" s="12">
        <f>output_NHTS!D95/SUM(output_NHTS!D$94:D$97)</f>
        <v>8.8739722683267477E-2</v>
      </c>
      <c r="E30" s="12">
        <f>output_NHTS!E95/SUM(output_NHTS!E$94:E$97)</f>
        <v>9.5950036211322157E-2</v>
      </c>
      <c r="F30" s="12">
        <f>output_NHTS!F95/SUM(output_NHTS!F$94:F$97)</f>
        <v>5.277419914098299E-2</v>
      </c>
      <c r="G30" s="12">
        <f>output_NHTS!G95/SUM(output_NHTS!G$94:G$97)</f>
        <v>6.1938918241708163E-2</v>
      </c>
      <c r="H30" s="12">
        <f>output_NHTS!H95/SUM(output_NHTS!H$94:H$97)</f>
        <v>4.3249576467704255E-2</v>
      </c>
      <c r="I30" s="12">
        <f>output_NHTS!I95/SUM(output_NHTS!I$94:I$97)</f>
        <v>0.11106784706993061</v>
      </c>
      <c r="J30" s="12">
        <f>output_NHTS!J95/SUM(output_NHTS!J$94:J$97)</f>
        <v>7.0025605180952341E-2</v>
      </c>
      <c r="L30" s="18">
        <v>1</v>
      </c>
      <c r="M30" s="12">
        <f>output!B95/SUM(output!B$94:B$97)</f>
        <v>0.10272271049337725</v>
      </c>
      <c r="N30" s="12">
        <f>output!C95/SUM(output!C$94:C$97)</f>
        <v>9.5955622573337118E-2</v>
      </c>
      <c r="O30" s="12">
        <f>output!D95/SUM(output!D$94:D$97)</f>
        <v>8.1476260938337111E-2</v>
      </c>
      <c r="P30" s="12">
        <f>output!E95/SUM(output!E$94:E$97)</f>
        <v>0.13984892671345389</v>
      </c>
      <c r="Q30" s="12">
        <f>output!F95/SUM(output!F$94:F$97)</f>
        <v>3.2563292170343094E-2</v>
      </c>
      <c r="R30" s="12">
        <f>output!G95/SUM(output!G$94:G$97)</f>
        <v>3.772844313257552E-2</v>
      </c>
      <c r="S30" s="28">
        <f>output!H95/SUM(output!H$94:H$97)</f>
        <v>4.438037747058636E-2</v>
      </c>
      <c r="T30" s="28">
        <f>output!I95/SUM(output!I$94:I$97)</f>
        <v>0.24269490806301416</v>
      </c>
      <c r="U30" s="12">
        <f>output!J95/SUM(output!J$94:J$97)</f>
        <v>9.9601044543171105E-2</v>
      </c>
      <c r="W30" s="18">
        <v>1</v>
      </c>
      <c r="X30" s="12">
        <f t="shared" si="6"/>
        <v>4.8536491066929713E-2</v>
      </c>
      <c r="Y30" s="12">
        <f t="shared" si="6"/>
        <v>1.2863542249530999E-2</v>
      </c>
      <c r="Z30" s="12">
        <f t="shared" si="6"/>
        <v>-7.2634617449303662E-3</v>
      </c>
      <c r="AA30" s="12">
        <f t="shared" si="6"/>
        <v>4.3898890502131735E-2</v>
      </c>
      <c r="AB30" s="12">
        <f t="shared" si="6"/>
        <v>-2.0210906970639896E-2</v>
      </c>
      <c r="AC30" s="12">
        <f t="shared" si="6"/>
        <v>-2.4210475109132643E-2</v>
      </c>
      <c r="AD30" s="12">
        <f t="shared" si="6"/>
        <v>1.130801002882105E-3</v>
      </c>
      <c r="AE30" s="12">
        <f t="shared" si="6"/>
        <v>0.13162706099308355</v>
      </c>
      <c r="AF30" s="12">
        <f t="shared" si="6"/>
        <v>2.9575439362218764E-2</v>
      </c>
    </row>
    <row r="31" spans="1:32" x14ac:dyDescent="0.2">
      <c r="A31" s="18">
        <v>2</v>
      </c>
      <c r="B31" s="12">
        <f>output_NHTS!B96/SUM(output_NHTS!B$94:B$97)</f>
        <v>2.2380160059339745E-2</v>
      </c>
      <c r="C31" s="12">
        <f>output_NHTS!C96/SUM(output_NHTS!C$94:C$97)</f>
        <v>5.3365250964735884E-2</v>
      </c>
      <c r="D31" s="12">
        <f>output_NHTS!D96/SUM(output_NHTS!D$94:D$97)</f>
        <v>1.0578444334541066E-2</v>
      </c>
      <c r="E31" s="12">
        <f>output_NHTS!E96/SUM(output_NHTS!E$94:E$97)</f>
        <v>5.5237183584031041E-2</v>
      </c>
      <c r="F31" s="12">
        <f>output_NHTS!F96/SUM(output_NHTS!F$94:F$97)</f>
        <v>8.6587438478382978E-3</v>
      </c>
      <c r="G31" s="12">
        <f>output_NHTS!G96/SUM(output_NHTS!G$94:G$97)</f>
        <v>5.8043878435395753E-3</v>
      </c>
      <c r="H31" s="12">
        <f>output_NHTS!H96/SUM(output_NHTS!H$94:H$97)</f>
        <v>2.1014943087801232E-3</v>
      </c>
      <c r="I31" s="12">
        <f>output_NHTS!I96/SUM(output_NHTS!I$94:I$97)</f>
        <v>6.0233350897570051E-3</v>
      </c>
      <c r="J31" s="12">
        <f>output_NHTS!J96/SUM(output_NHTS!J$94:J$97)</f>
        <v>2.4552209447510537E-2</v>
      </c>
      <c r="L31" s="18">
        <v>2</v>
      </c>
      <c r="M31" s="12">
        <f>output!B96/SUM(output!B$94:B$97)</f>
        <v>1.3620359923865401E-2</v>
      </c>
      <c r="N31" s="12">
        <f>output!C96/SUM(output!C$94:C$97)</f>
        <v>5.4280760797511603E-2</v>
      </c>
      <c r="O31" s="12">
        <f>output!D96/SUM(output!D$94:D$97)</f>
        <v>2.3082123631910607E-2</v>
      </c>
      <c r="P31" s="12">
        <f>output!E96/SUM(output!E$94:E$97)</f>
        <v>0.10051957976414802</v>
      </c>
      <c r="Q31" s="12">
        <f>output!F96/SUM(output!F$94:F$97)</f>
        <v>6.3275878922159591E-3</v>
      </c>
      <c r="R31" s="12">
        <f>output!G96/SUM(output!G$94:G$97)</f>
        <v>4.7572693587891726E-3</v>
      </c>
      <c r="S31" s="28">
        <f>output!H96/SUM(output!H$94:H$97)</f>
        <v>7.1611198930606095E-3</v>
      </c>
      <c r="T31" s="28">
        <f>output!I96/SUM(output!I$94:I$97)</f>
        <v>2.04702368816914E-2</v>
      </c>
      <c r="U31" s="12">
        <f>output!J96/SUM(output!J$94:J$97)</f>
        <v>2.7281077793067023E-2</v>
      </c>
      <c r="W31" s="18">
        <v>2</v>
      </c>
      <c r="X31" s="12">
        <f t="shared" si="6"/>
        <v>-8.7598001354743434E-3</v>
      </c>
      <c r="Y31" s="12">
        <f t="shared" si="6"/>
        <v>9.1550983277571829E-4</v>
      </c>
      <c r="Z31" s="12">
        <f t="shared" si="6"/>
        <v>1.2503679297369541E-2</v>
      </c>
      <c r="AA31" s="12">
        <f t="shared" si="6"/>
        <v>4.5282396180116979E-2</v>
      </c>
      <c r="AB31" s="12">
        <f t="shared" si="6"/>
        <v>-2.3311559556223388E-3</v>
      </c>
      <c r="AC31" s="12">
        <f t="shared" si="6"/>
        <v>-1.0471184847504027E-3</v>
      </c>
      <c r="AD31" s="12">
        <f t="shared" si="6"/>
        <v>5.0596255842804867E-3</v>
      </c>
      <c r="AE31" s="12">
        <f t="shared" si="6"/>
        <v>1.4446901791934395E-2</v>
      </c>
      <c r="AF31" s="12">
        <f t="shared" si="6"/>
        <v>2.7288683455564851E-3</v>
      </c>
    </row>
    <row r="32" spans="1:32" x14ac:dyDescent="0.2">
      <c r="A32" s="18" t="s">
        <v>116</v>
      </c>
      <c r="B32" s="12">
        <f>output_NHTS!B97/SUM(output_NHTS!B$94:B$97)</f>
        <v>1.2466460390114945E-3</v>
      </c>
      <c r="C32" s="12">
        <f>output_NHTS!C97/SUM(output_NHTS!C$94:C$97)</f>
        <v>9.2878819468134588E-3</v>
      </c>
      <c r="D32" s="12">
        <f>output_NHTS!D97/SUM(output_NHTS!D$94:D$97)</f>
        <v>7.7171125890088664E-4</v>
      </c>
      <c r="E32" s="12">
        <f>output_NHTS!E97/SUM(output_NHTS!E$94:E$97)</f>
        <v>1.941255326071702E-2</v>
      </c>
      <c r="F32" s="12">
        <f>output_NHTS!F97/SUM(output_NHTS!F$94:F$97)</f>
        <v>2.5568505169737024E-3</v>
      </c>
      <c r="G32" s="12">
        <f>output_NHTS!G97/SUM(output_NHTS!G$94:G$97)</f>
        <v>0</v>
      </c>
      <c r="H32" s="12">
        <f>output_NHTS!H97/SUM(output_NHTS!H$94:H$97)</f>
        <v>0</v>
      </c>
      <c r="I32" s="12">
        <f>output_NHTS!I97/SUM(output_NHTS!I$94:I$97)</f>
        <v>0</v>
      </c>
      <c r="J32" s="12">
        <f>output_NHTS!J97/SUM(output_NHTS!J$94:J$97)</f>
        <v>4.638046358440109E-3</v>
      </c>
      <c r="L32" s="18" t="s">
        <v>116</v>
      </c>
      <c r="M32" s="13">
        <f>output!B97/SUM(output!B$94:B$97)</f>
        <v>2.7375053665452519E-3</v>
      </c>
      <c r="N32" s="13">
        <f>output!C97/SUM(output!C$94:C$97)</f>
        <v>9.7940660125148422E-3</v>
      </c>
      <c r="O32" s="13">
        <f>output!D97/SUM(output!D$94:D$97)</f>
        <v>3.7534760313289281E-3</v>
      </c>
      <c r="P32" s="13">
        <f>output!E97/SUM(output!E$94:E$97)</f>
        <v>1.8082420830217268E-2</v>
      </c>
      <c r="Q32" s="13">
        <f>output!F97/SUM(output!F$94:F$97)</f>
        <v>1.3358965168942035E-3</v>
      </c>
      <c r="R32" s="13">
        <f>output!G97/SUM(output!G$94:G$97)</f>
        <v>8.1642906487470958E-4</v>
      </c>
      <c r="S32" s="30">
        <f>output!H97/SUM(output!H$94:H$97)</f>
        <v>2.5196532957065107E-3</v>
      </c>
      <c r="T32" s="30">
        <f>output!I97/SUM(output!I$94:I$97)</f>
        <v>5.3448532369423036E-3</v>
      </c>
      <c r="U32" s="13">
        <f>output!J97/SUM(output!J$94:J$97)</f>
        <v>5.2660099908432905E-3</v>
      </c>
      <c r="W32" s="18" t="s">
        <v>116</v>
      </c>
      <c r="X32" s="12">
        <f t="shared" si="6"/>
        <v>1.4908593275337575E-3</v>
      </c>
      <c r="Y32" s="12">
        <f t="shared" si="6"/>
        <v>5.0618406570138337E-4</v>
      </c>
      <c r="Z32" s="12">
        <f t="shared" si="6"/>
        <v>2.9817647724280413E-3</v>
      </c>
      <c r="AA32" s="12">
        <f t="shared" si="6"/>
        <v>-1.3301324304997517E-3</v>
      </c>
      <c r="AB32" s="12">
        <f t="shared" si="6"/>
        <v>-1.2209540000794989E-3</v>
      </c>
      <c r="AC32" s="12">
        <f t="shared" si="6"/>
        <v>8.1642906487470958E-4</v>
      </c>
      <c r="AD32" s="12">
        <f t="shared" si="6"/>
        <v>2.5196532957065107E-3</v>
      </c>
      <c r="AE32" s="12">
        <f t="shared" si="6"/>
        <v>5.3448532369423036E-3</v>
      </c>
      <c r="AF32" s="12">
        <f t="shared" si="6"/>
        <v>6.2796363240318152E-4</v>
      </c>
    </row>
    <row r="33" spans="1:32" ht="13.5" thickBot="1" x14ac:dyDescent="0.25">
      <c r="A33" s="21" t="s">
        <v>221</v>
      </c>
      <c r="B33" s="14">
        <f t="shared" ref="B33:J33" si="7">SUM(B29:B32)</f>
        <v>1</v>
      </c>
      <c r="C33" s="14">
        <f t="shared" si="7"/>
        <v>1</v>
      </c>
      <c r="D33" s="14">
        <f t="shared" si="7"/>
        <v>1</v>
      </c>
      <c r="E33" s="14">
        <f t="shared" si="7"/>
        <v>1.0000000000000002</v>
      </c>
      <c r="F33" s="14">
        <f t="shared" si="7"/>
        <v>1</v>
      </c>
      <c r="G33" s="14">
        <f t="shared" si="7"/>
        <v>0.99999999999999989</v>
      </c>
      <c r="H33" s="14">
        <f t="shared" si="7"/>
        <v>1</v>
      </c>
      <c r="I33" s="14">
        <f t="shared" si="7"/>
        <v>1</v>
      </c>
      <c r="J33" s="14">
        <f t="shared" si="7"/>
        <v>1</v>
      </c>
      <c r="L33" s="21" t="s">
        <v>221</v>
      </c>
      <c r="M33" s="14">
        <f>SUM(M29:M32)</f>
        <v>1</v>
      </c>
      <c r="N33" s="14">
        <f t="shared" ref="N33:U33" si="8">SUM(N29:N32)</f>
        <v>1</v>
      </c>
      <c r="O33" s="14">
        <f t="shared" si="8"/>
        <v>1.0000000000000002</v>
      </c>
      <c r="P33" s="14">
        <f t="shared" si="8"/>
        <v>1</v>
      </c>
      <c r="Q33" s="14">
        <f t="shared" si="8"/>
        <v>1</v>
      </c>
      <c r="R33" s="14">
        <f t="shared" si="8"/>
        <v>1</v>
      </c>
      <c r="S33" s="14">
        <f t="shared" si="8"/>
        <v>0.99999999999999989</v>
      </c>
      <c r="T33" s="14">
        <f t="shared" si="8"/>
        <v>1</v>
      </c>
      <c r="U33" s="14">
        <f t="shared" si="8"/>
        <v>0.99999999999999989</v>
      </c>
      <c r="W33" s="21" t="s">
        <v>221</v>
      </c>
      <c r="X33" s="14">
        <f t="shared" si="6"/>
        <v>0</v>
      </c>
      <c r="Y33" s="14">
        <f t="shared" si="6"/>
        <v>0</v>
      </c>
      <c r="Z33" s="14">
        <f t="shared" si="6"/>
        <v>0</v>
      </c>
      <c r="AA33" s="14">
        <f t="shared" si="6"/>
        <v>0</v>
      </c>
      <c r="AB33" s="14">
        <f t="shared" si="6"/>
        <v>0</v>
      </c>
      <c r="AC33" s="14">
        <f t="shared" si="6"/>
        <v>0</v>
      </c>
      <c r="AD33" s="14">
        <f t="shared" si="6"/>
        <v>0</v>
      </c>
      <c r="AE33" s="14">
        <f t="shared" si="6"/>
        <v>0</v>
      </c>
      <c r="AF33" s="14">
        <f t="shared" si="6"/>
        <v>0</v>
      </c>
    </row>
    <row r="34" spans="1:32" x14ac:dyDescent="0.2">
      <c r="B34" s="12"/>
      <c r="C34" s="12"/>
      <c r="D34" s="12"/>
      <c r="E34" s="12"/>
      <c r="F34" s="12"/>
      <c r="G34" s="12"/>
      <c r="H34" s="12"/>
      <c r="I34" s="12"/>
      <c r="J34" s="12"/>
      <c r="M34" s="12"/>
      <c r="N34" s="12"/>
      <c r="O34" s="12"/>
      <c r="P34" s="12"/>
      <c r="Q34" s="12"/>
      <c r="R34" s="12"/>
      <c r="S34" s="12"/>
      <c r="T34" s="12"/>
      <c r="U34" s="12"/>
      <c r="X34" s="12"/>
      <c r="Y34" s="12"/>
      <c r="Z34" s="12"/>
      <c r="AA34" s="12"/>
      <c r="AB34" s="12"/>
      <c r="AC34" s="12"/>
      <c r="AD34" s="12"/>
      <c r="AE34" s="12"/>
      <c r="AF34" s="12"/>
    </row>
    <row r="35" spans="1:32" x14ac:dyDescent="0.2">
      <c r="B35" s="12"/>
      <c r="C35" s="12"/>
      <c r="D35" s="12"/>
      <c r="E35" s="12"/>
      <c r="F35" s="12"/>
      <c r="G35" s="12"/>
      <c r="H35" s="12"/>
      <c r="I35" s="12"/>
      <c r="J35" s="12"/>
      <c r="M35" s="12"/>
      <c r="N35" s="12"/>
      <c r="O35" s="12"/>
      <c r="P35" s="12"/>
      <c r="Q35" s="12"/>
      <c r="R35" s="12"/>
      <c r="S35" s="12"/>
      <c r="T35" s="12"/>
      <c r="U35" s="12"/>
      <c r="X35" s="12"/>
      <c r="Y35" s="12"/>
      <c r="Z35" s="12"/>
      <c r="AA35" s="12"/>
      <c r="AB35" s="12"/>
      <c r="AC35" s="12"/>
      <c r="AD35" s="12"/>
      <c r="AE35" s="12"/>
      <c r="AF35" s="12"/>
    </row>
    <row r="36" spans="1:32" x14ac:dyDescent="0.2">
      <c r="B36" s="12"/>
      <c r="C36" s="12"/>
      <c r="D36" s="12"/>
      <c r="E36" s="12"/>
      <c r="F36" s="12"/>
      <c r="G36" s="12"/>
      <c r="H36" s="12"/>
      <c r="I36" s="12"/>
      <c r="J36" s="12"/>
      <c r="M36" s="12"/>
      <c r="N36" s="12"/>
      <c r="O36" s="12"/>
      <c r="P36" s="12"/>
      <c r="Q36" s="12"/>
      <c r="R36" s="12"/>
      <c r="S36" s="12"/>
      <c r="T36" s="12"/>
      <c r="U36" s="12"/>
      <c r="X36" s="12"/>
      <c r="Y36" s="12"/>
      <c r="Z36" s="12"/>
      <c r="AA36" s="12"/>
      <c r="AB36" s="12"/>
      <c r="AC36" s="12"/>
      <c r="AD36" s="12"/>
      <c r="AE36" s="12"/>
      <c r="AF36" s="12"/>
    </row>
    <row r="37" spans="1:32" x14ac:dyDescent="0.2">
      <c r="A37" s="2" t="s">
        <v>175</v>
      </c>
      <c r="B37" s="12"/>
      <c r="C37" s="12"/>
      <c r="D37" s="12"/>
      <c r="E37" s="12"/>
      <c r="F37" s="12"/>
      <c r="G37" s="12"/>
      <c r="H37" s="12"/>
      <c r="I37" s="12"/>
      <c r="J37" s="12"/>
      <c r="L37" s="2" t="s">
        <v>175</v>
      </c>
      <c r="M37" s="12"/>
      <c r="N37" s="12"/>
      <c r="O37" s="12"/>
      <c r="P37" s="12"/>
      <c r="Q37" s="12"/>
      <c r="R37" s="12"/>
      <c r="S37" s="12"/>
      <c r="T37" s="12"/>
      <c r="U37" s="12"/>
      <c r="W37" s="2" t="s">
        <v>175</v>
      </c>
      <c r="X37" s="12"/>
      <c r="Y37" s="12"/>
      <c r="Z37" s="12"/>
      <c r="AA37" s="12"/>
      <c r="AB37" s="12"/>
      <c r="AC37" s="12"/>
      <c r="AD37" s="12"/>
      <c r="AE37" s="12"/>
      <c r="AF37" s="12"/>
    </row>
    <row r="38" spans="1:32" x14ac:dyDescent="0.2">
      <c r="A38" s="2" t="s">
        <v>182</v>
      </c>
      <c r="B38" s="12"/>
      <c r="C38" s="12"/>
      <c r="D38" s="12"/>
      <c r="E38" s="12"/>
      <c r="F38" s="12"/>
      <c r="G38" s="12"/>
      <c r="H38" s="12"/>
      <c r="I38" s="12"/>
      <c r="J38" s="12"/>
      <c r="L38" s="2" t="s">
        <v>143</v>
      </c>
      <c r="M38" s="12"/>
      <c r="N38" s="12"/>
      <c r="O38" s="12"/>
      <c r="P38" s="12"/>
      <c r="Q38" s="12"/>
      <c r="R38" s="12"/>
      <c r="S38" s="12"/>
      <c r="T38" s="12"/>
      <c r="U38" s="12"/>
      <c r="W38" s="2" t="s">
        <v>183</v>
      </c>
      <c r="X38" s="12"/>
      <c r="Y38" s="12"/>
      <c r="Z38" s="12"/>
      <c r="AA38" s="12"/>
      <c r="AB38" s="12"/>
      <c r="AC38" s="12"/>
      <c r="AD38" s="12"/>
      <c r="AE38" s="12"/>
      <c r="AF38" s="12"/>
    </row>
    <row r="39" spans="1:32" ht="13.5" thickBot="1" x14ac:dyDescent="0.25">
      <c r="A39" s="2"/>
      <c r="B39" s="4"/>
      <c r="C39" s="4"/>
      <c r="D39" s="4"/>
      <c r="E39" s="4"/>
      <c r="F39" s="4"/>
      <c r="G39" s="4"/>
      <c r="H39" s="4"/>
      <c r="I39" s="4"/>
      <c r="J39" s="4"/>
      <c r="L39" s="2"/>
      <c r="M39" s="4"/>
      <c r="N39" s="4"/>
      <c r="O39" s="4"/>
      <c r="P39" s="4"/>
      <c r="Q39" s="4"/>
      <c r="R39" s="4"/>
      <c r="S39" s="4"/>
      <c r="T39" s="4"/>
      <c r="U39" s="4"/>
      <c r="W39" s="2"/>
      <c r="X39" s="4"/>
      <c r="Y39" s="4"/>
      <c r="Z39" s="4"/>
      <c r="AA39" s="4"/>
      <c r="AB39" s="4"/>
      <c r="AC39" s="4"/>
      <c r="AD39" s="4"/>
      <c r="AE39" s="4"/>
      <c r="AF39" s="4"/>
    </row>
    <row r="40" spans="1:32" x14ac:dyDescent="0.2">
      <c r="A40" s="5" t="s">
        <v>115</v>
      </c>
      <c r="B40" s="6" t="s">
        <v>146</v>
      </c>
      <c r="C40" s="6" t="s">
        <v>147</v>
      </c>
      <c r="D40" s="6" t="s">
        <v>148</v>
      </c>
      <c r="E40" s="6" t="s">
        <v>243</v>
      </c>
      <c r="F40" s="6" t="s">
        <v>244</v>
      </c>
      <c r="G40" s="6" t="s">
        <v>245</v>
      </c>
      <c r="H40" s="6" t="s">
        <v>246</v>
      </c>
      <c r="I40" s="6" t="s">
        <v>170</v>
      </c>
      <c r="J40" s="6" t="s">
        <v>221</v>
      </c>
      <c r="L40" s="5" t="s">
        <v>115</v>
      </c>
      <c r="M40" s="6" t="s">
        <v>146</v>
      </c>
      <c r="N40" s="6" t="s">
        <v>147</v>
      </c>
      <c r="O40" s="6" t="s">
        <v>148</v>
      </c>
      <c r="P40" s="6" t="s">
        <v>243</v>
      </c>
      <c r="Q40" s="6" t="s">
        <v>244</v>
      </c>
      <c r="R40" s="6" t="s">
        <v>245</v>
      </c>
      <c r="S40" s="6" t="s">
        <v>246</v>
      </c>
      <c r="T40" s="6" t="s">
        <v>170</v>
      </c>
      <c r="U40" s="6" t="s">
        <v>221</v>
      </c>
      <c r="W40" s="5" t="s">
        <v>115</v>
      </c>
      <c r="X40" s="6" t="s">
        <v>146</v>
      </c>
      <c r="Y40" s="6" t="s">
        <v>147</v>
      </c>
      <c r="Z40" s="6" t="s">
        <v>148</v>
      </c>
      <c r="AA40" s="6" t="s">
        <v>243</v>
      </c>
      <c r="AB40" s="6" t="s">
        <v>244</v>
      </c>
      <c r="AC40" s="6" t="s">
        <v>245</v>
      </c>
      <c r="AD40" s="6" t="s">
        <v>246</v>
      </c>
      <c r="AE40" s="6" t="s">
        <v>170</v>
      </c>
      <c r="AF40" s="6" t="s">
        <v>221</v>
      </c>
    </row>
    <row r="41" spans="1:32" x14ac:dyDescent="0.2">
      <c r="A41" s="18">
        <v>0</v>
      </c>
      <c r="B41" s="12">
        <f>output_NHTS!B101/SUM(output_NHTS!B$101:B$104)</f>
        <v>0.92531425522528776</v>
      </c>
      <c r="C41" s="12">
        <f>output_NHTS!C101/SUM(output_NHTS!C$101:C$104)</f>
        <v>0.8423647919666174</v>
      </c>
      <c r="D41" s="12">
        <f>output_NHTS!D101/SUM(output_NHTS!D$101:D$104)</f>
        <v>0.71005436772072927</v>
      </c>
      <c r="E41" s="12">
        <f>output_NHTS!E101/SUM(output_NHTS!E$101:E$104)</f>
        <v>0.78674308114752078</v>
      </c>
      <c r="F41" s="12">
        <f>output_NHTS!F101/SUM(output_NHTS!F$101:F$104)</f>
        <v>0.89235984551628389</v>
      </c>
      <c r="G41" s="12">
        <f>output_NHTS!G101/SUM(output_NHTS!G$101:G$104)</f>
        <v>0.95223197113220948</v>
      </c>
      <c r="H41" s="12">
        <f>output_NHTS!H101/SUM(output_NHTS!H$101:H$104)</f>
        <v>0.92221090770450231</v>
      </c>
      <c r="I41" s="12">
        <f>output_NHTS!I101/SUM(output_NHTS!I$101:I$104)</f>
        <v>0.85037617339250537</v>
      </c>
      <c r="J41" s="12">
        <f>output_NHTS!J101/SUM(output_NHTS!J$101:J$104)</f>
        <v>0.8663468758030457</v>
      </c>
      <c r="L41" s="18">
        <v>0</v>
      </c>
      <c r="M41" s="12">
        <f>output!B101/SUM(output!B$101:B$104)</f>
        <v>0.90898157720609263</v>
      </c>
      <c r="N41" s="12">
        <f>output!C101/SUM(output!C$101:C$104)</f>
        <v>0.80167835835573331</v>
      </c>
      <c r="O41" s="12">
        <f>output!D101/SUM(output!D$101:D$104)</f>
        <v>0.65180689848712914</v>
      </c>
      <c r="P41" s="12">
        <f>output!E101/SUM(output!E$101:E$104)</f>
        <v>0.71035142663997464</v>
      </c>
      <c r="Q41" s="12">
        <f>output!F101/SUM(output!F$101:F$104)</f>
        <v>0.94625134404222733</v>
      </c>
      <c r="R41" s="12">
        <f>output!G101/SUM(output!G$101:G$104)</f>
        <v>0.94832946052879485</v>
      </c>
      <c r="S41" s="28">
        <f>output!H101/SUM(output!H$101:H$104)</f>
        <v>0.88232158202399769</v>
      </c>
      <c r="T41" s="28">
        <f>output!I101/SUM(output!I$101:I$104)</f>
        <v>0.71621584390824489</v>
      </c>
      <c r="U41" s="12">
        <f>output!J101/SUM(output!J$101:J$104)</f>
        <v>0.8340333754489061</v>
      </c>
      <c r="W41" s="18">
        <v>0</v>
      </c>
      <c r="X41" s="12">
        <f t="shared" ref="X41:AF45" si="9">M41-B41</f>
        <v>-1.6332678019195135E-2</v>
      </c>
      <c r="Y41" s="12">
        <f t="shared" si="9"/>
        <v>-4.0686433610884087E-2</v>
      </c>
      <c r="Z41" s="12">
        <f t="shared" si="9"/>
        <v>-5.8247469233600135E-2</v>
      </c>
      <c r="AA41" s="12">
        <f t="shared" si="9"/>
        <v>-7.6391654507546147E-2</v>
      </c>
      <c r="AB41" s="12">
        <f t="shared" si="9"/>
        <v>5.3891498525943438E-2</v>
      </c>
      <c r="AC41" s="12">
        <f t="shared" si="9"/>
        <v>-3.9025106034146217E-3</v>
      </c>
      <c r="AD41" s="12">
        <f t="shared" si="9"/>
        <v>-3.9889325680504628E-2</v>
      </c>
      <c r="AE41" s="12">
        <f t="shared" si="9"/>
        <v>-0.13416032948426049</v>
      </c>
      <c r="AF41" s="12">
        <f t="shared" si="9"/>
        <v>-3.2313500354139602E-2</v>
      </c>
    </row>
    <row r="42" spans="1:32" x14ac:dyDescent="0.2">
      <c r="A42" s="18">
        <v>1</v>
      </c>
      <c r="B42" s="12">
        <f>output_NHTS!B102/SUM(output_NHTS!B$101:B$104)</f>
        <v>6.9623280273572632E-2</v>
      </c>
      <c r="C42" s="12">
        <f>output_NHTS!C102/SUM(output_NHTS!C$101:C$104)</f>
        <v>0.12997523260944693</v>
      </c>
      <c r="D42" s="12">
        <f>output_NHTS!D102/SUM(output_NHTS!D$101:D$104)</f>
        <v>0.24323514872182475</v>
      </c>
      <c r="E42" s="12">
        <f>output_NHTS!E102/SUM(output_NHTS!E$101:E$104)</f>
        <v>0.1895143304627776</v>
      </c>
      <c r="F42" s="12">
        <f>output_NHTS!F102/SUM(output_NHTS!F$101:F$104)</f>
        <v>0.10131419977194489</v>
      </c>
      <c r="G42" s="12">
        <f>output_NHTS!G102/SUM(output_NHTS!G$101:G$104)</f>
        <v>4.731232291353682E-2</v>
      </c>
      <c r="H42" s="12">
        <f>output_NHTS!H102/SUM(output_NHTS!H$101:H$104)</f>
        <v>6.7075267115391288E-2</v>
      </c>
      <c r="I42" s="12">
        <f>output_NHTS!I102/SUM(output_NHTS!I$101:I$104)</f>
        <v>0.1200843219570092</v>
      </c>
      <c r="J42" s="12">
        <f>output_NHTS!J102/SUM(output_NHTS!J$101:J$104)</f>
        <v>0.11660852656329884</v>
      </c>
      <c r="L42" s="18">
        <v>1</v>
      </c>
      <c r="M42" s="12">
        <f>output!B102/SUM(output!B$101:B$104)</f>
        <v>8.5605133004094461E-2</v>
      </c>
      <c r="N42" s="12">
        <f>output!C102/SUM(output!C$101:C$104)</f>
        <v>0.1714307567910138</v>
      </c>
      <c r="O42" s="12">
        <f>output!D102/SUM(output!D$101:D$104)</f>
        <v>0.29628224098783068</v>
      </c>
      <c r="P42" s="12">
        <f>output!E102/SUM(output!E$101:E$104)</f>
        <v>0.24503851944260294</v>
      </c>
      <c r="Q42" s="12">
        <f>output!F102/SUM(output!F$101:F$104)</f>
        <v>4.8783030855951259E-2</v>
      </c>
      <c r="R42" s="12">
        <f>output!G102/SUM(output!G$101:G$104)</f>
        <v>4.7619795264711426E-2</v>
      </c>
      <c r="S42" s="28">
        <f>output!H102/SUM(output!H$101:H$104)</f>
        <v>0.10588909281872289</v>
      </c>
      <c r="T42" s="28">
        <f>output!I102/SUM(output!I$101:I$104)</f>
        <v>0.2422871563727732</v>
      </c>
      <c r="U42" s="12">
        <f>output!J102/SUM(output!J$101:J$104)</f>
        <v>0.1456613143089282</v>
      </c>
      <c r="W42" s="18">
        <v>1</v>
      </c>
      <c r="X42" s="12">
        <f t="shared" si="9"/>
        <v>1.5981852730521828E-2</v>
      </c>
      <c r="Y42" s="12">
        <f t="shared" si="9"/>
        <v>4.1455524181566866E-2</v>
      </c>
      <c r="Z42" s="12">
        <f t="shared" si="9"/>
        <v>5.304709226600593E-2</v>
      </c>
      <c r="AA42" s="12">
        <f t="shared" si="9"/>
        <v>5.5524188979825334E-2</v>
      </c>
      <c r="AB42" s="12">
        <f t="shared" si="9"/>
        <v>-5.2531168915993631E-2</v>
      </c>
      <c r="AC42" s="12">
        <f t="shared" si="9"/>
        <v>3.0747235117460636E-4</v>
      </c>
      <c r="AD42" s="12">
        <f t="shared" si="9"/>
        <v>3.8813825703331598E-2</v>
      </c>
      <c r="AE42" s="12">
        <f t="shared" si="9"/>
        <v>0.122202834415764</v>
      </c>
      <c r="AF42" s="12">
        <f t="shared" si="9"/>
        <v>2.905278774562936E-2</v>
      </c>
    </row>
    <row r="43" spans="1:32" x14ac:dyDescent="0.2">
      <c r="A43" s="18">
        <v>2</v>
      </c>
      <c r="B43" s="12">
        <f>output_NHTS!B103/SUM(output_NHTS!B$101:B$104)</f>
        <v>4.4222791737531441E-3</v>
      </c>
      <c r="C43" s="12">
        <f>output_NHTS!C103/SUM(output_NHTS!C$101:C$104)</f>
        <v>1.7503400912707221E-2</v>
      </c>
      <c r="D43" s="12">
        <f>output_NHTS!D103/SUM(output_NHTS!D$101:D$104)</f>
        <v>4.0263172242584785E-2</v>
      </c>
      <c r="E43" s="12">
        <f>output_NHTS!E103/SUM(output_NHTS!E$101:E$104)</f>
        <v>1.9826494405909854E-2</v>
      </c>
      <c r="F43" s="12">
        <f>output_NHTS!F103/SUM(output_NHTS!F$101:F$104)</f>
        <v>5.1601905870588723E-3</v>
      </c>
      <c r="G43" s="12">
        <f>output_NHTS!G103/SUM(output_NHTS!G$101:G$104)</f>
        <v>4.5570595425368328E-4</v>
      </c>
      <c r="H43" s="12">
        <f>output_NHTS!H103/SUM(output_NHTS!H$101:H$104)</f>
        <v>5.8927676226565497E-3</v>
      </c>
      <c r="I43" s="12">
        <f>output_NHTS!I103/SUM(output_NHTS!I$101:I$104)</f>
        <v>2.5983492967918138E-2</v>
      </c>
      <c r="J43" s="12">
        <f>output_NHTS!J103/SUM(output_NHTS!J$101:J$104)</f>
        <v>1.3590818306157392E-2</v>
      </c>
      <c r="L43" s="18">
        <v>2</v>
      </c>
      <c r="M43" s="12">
        <f>output!B103/SUM(output!B$101:B$104)</f>
        <v>4.7824654430792214E-3</v>
      </c>
      <c r="N43" s="12">
        <f>output!C103/SUM(output!C$101:C$104)</f>
        <v>2.3499930796855993E-2</v>
      </c>
      <c r="O43" s="12">
        <f>output!D103/SUM(output!D$101:D$104)</f>
        <v>4.526494374569482E-2</v>
      </c>
      <c r="P43" s="12">
        <f>output!E103/SUM(output!E$101:E$104)</f>
        <v>3.8685995512868665E-2</v>
      </c>
      <c r="Q43" s="12">
        <f>output!F103/SUM(output!F$101:F$104)</f>
        <v>4.3270014010622004E-3</v>
      </c>
      <c r="R43" s="12">
        <f>output!G103/SUM(output!G$101:G$104)</f>
        <v>3.6268291151164982E-3</v>
      </c>
      <c r="S43" s="28">
        <f>output!H103/SUM(output!H$101:H$104)</f>
        <v>1.0327926245769635E-2</v>
      </c>
      <c r="T43" s="28">
        <f>output!I103/SUM(output!I$101:I$104)</f>
        <v>3.6212758219778159E-2</v>
      </c>
      <c r="U43" s="12">
        <f>output!J103/SUM(output!J$101:J$104)</f>
        <v>1.7722454286804884E-2</v>
      </c>
      <c r="W43" s="18">
        <v>2</v>
      </c>
      <c r="X43" s="12">
        <f t="shared" si="9"/>
        <v>3.6018626932607725E-4</v>
      </c>
      <c r="Y43" s="12">
        <f t="shared" si="9"/>
        <v>5.996529884148772E-3</v>
      </c>
      <c r="Z43" s="12">
        <f t="shared" si="9"/>
        <v>5.0017715031100349E-3</v>
      </c>
      <c r="AA43" s="12">
        <f t="shared" si="9"/>
        <v>1.8859501106958811E-2</v>
      </c>
      <c r="AB43" s="12">
        <f t="shared" si="9"/>
        <v>-8.3318918599667186E-4</v>
      </c>
      <c r="AC43" s="12">
        <f t="shared" si="9"/>
        <v>3.1711231608628149E-3</v>
      </c>
      <c r="AD43" s="12">
        <f t="shared" si="9"/>
        <v>4.4351586231130852E-3</v>
      </c>
      <c r="AE43" s="12">
        <f t="shared" si="9"/>
        <v>1.022926525186002E-2</v>
      </c>
      <c r="AF43" s="12">
        <f t="shared" si="9"/>
        <v>4.1316359806474919E-3</v>
      </c>
    </row>
    <row r="44" spans="1:32" x14ac:dyDescent="0.2">
      <c r="A44" s="23" t="s">
        <v>116</v>
      </c>
      <c r="B44" s="12">
        <f>output_NHTS!B104/SUM(output_NHTS!B$101:B$104)</f>
        <v>6.4018532738646997E-4</v>
      </c>
      <c r="C44" s="12">
        <f>output_NHTS!C104/SUM(output_NHTS!C$101:C$104)</f>
        <v>1.015657451122829E-2</v>
      </c>
      <c r="D44" s="12">
        <f>output_NHTS!D104/SUM(output_NHTS!D$101:D$104)</f>
        <v>6.4473113148610511E-3</v>
      </c>
      <c r="E44" s="12">
        <f>output_NHTS!E104/SUM(output_NHTS!E$101:E$104)</f>
        <v>3.9160939837918881E-3</v>
      </c>
      <c r="F44" s="12">
        <f>output_NHTS!F104/SUM(output_NHTS!F$101:F$104)</f>
        <v>1.1657641247124098E-3</v>
      </c>
      <c r="G44" s="12">
        <f>output_NHTS!G104/SUM(output_NHTS!G$101:G$104)</f>
        <v>0</v>
      </c>
      <c r="H44" s="12">
        <f>output_NHTS!H104/SUM(output_NHTS!H$101:H$104)</f>
        <v>4.821057557449852E-3</v>
      </c>
      <c r="I44" s="12">
        <f>output_NHTS!I104/SUM(output_NHTS!I$101:I$104)</f>
        <v>3.5560116825673429E-3</v>
      </c>
      <c r="J44" s="12">
        <f>output_NHTS!J104/SUM(output_NHTS!J$101:J$104)</f>
        <v>3.4537793274980722E-3</v>
      </c>
      <c r="L44" s="23" t="s">
        <v>116</v>
      </c>
      <c r="M44" s="13">
        <f>output!B104/SUM(output!B$101:B$104)</f>
        <v>6.3082434673373676E-4</v>
      </c>
      <c r="N44" s="13">
        <f>output!C104/SUM(output!C$101:C$104)</f>
        <v>3.39095405639692E-3</v>
      </c>
      <c r="O44" s="13">
        <f>output!D104/SUM(output!D$101:D$104)</f>
        <v>6.6459167793453582E-3</v>
      </c>
      <c r="P44" s="13">
        <f>output!E104/SUM(output!E$101:E$104)</f>
        <v>5.9240584045537528E-3</v>
      </c>
      <c r="Q44" s="13">
        <f>output!F104/SUM(output!F$101:F$104)</f>
        <v>6.3862370075918023E-4</v>
      </c>
      <c r="R44" s="13">
        <f>output!G104/SUM(output!G$101:G$104)</f>
        <v>4.2391509137725301E-4</v>
      </c>
      <c r="S44" s="30">
        <f>output!H104/SUM(output!H$101:H$104)</f>
        <v>1.4613989115097763E-3</v>
      </c>
      <c r="T44" s="30">
        <f>output!I104/SUM(output!I$101:I$104)</f>
        <v>5.2842414992037819E-3</v>
      </c>
      <c r="U44" s="13">
        <f>output!J104/SUM(output!J$101:J$104)</f>
        <v>2.5828559553608601E-3</v>
      </c>
      <c r="W44" s="23" t="s">
        <v>116</v>
      </c>
      <c r="X44" s="12">
        <f t="shared" si="9"/>
        <v>-9.3609806527332039E-6</v>
      </c>
      <c r="Y44" s="12">
        <f t="shared" si="9"/>
        <v>-6.7656204548313705E-3</v>
      </c>
      <c r="Z44" s="12">
        <f t="shared" si="9"/>
        <v>1.9860546448430706E-4</v>
      </c>
      <c r="AA44" s="12">
        <f t="shared" si="9"/>
        <v>2.0079644207618647E-3</v>
      </c>
      <c r="AB44" s="12">
        <f t="shared" si="9"/>
        <v>-5.2714042395322956E-4</v>
      </c>
      <c r="AC44" s="12">
        <f t="shared" si="9"/>
        <v>4.2391509137725301E-4</v>
      </c>
      <c r="AD44" s="12">
        <f t="shared" si="9"/>
        <v>-3.3596586459400755E-3</v>
      </c>
      <c r="AE44" s="12">
        <f t="shared" si="9"/>
        <v>1.728229816636439E-3</v>
      </c>
      <c r="AF44" s="12">
        <f t="shared" si="9"/>
        <v>-8.7092337213721211E-4</v>
      </c>
    </row>
    <row r="45" spans="1:32" ht="13.5" thickBot="1" x14ac:dyDescent="0.25">
      <c r="A45" s="21" t="s">
        <v>221</v>
      </c>
      <c r="B45" s="14">
        <f t="shared" ref="B45:J45" si="10">SUM(B41:B44)</f>
        <v>1</v>
      </c>
      <c r="C45" s="14">
        <f t="shared" si="10"/>
        <v>0.99999999999999978</v>
      </c>
      <c r="D45" s="14">
        <f t="shared" si="10"/>
        <v>0.99999999999999989</v>
      </c>
      <c r="E45" s="14">
        <f t="shared" si="10"/>
        <v>1.0000000000000002</v>
      </c>
      <c r="F45" s="14">
        <f t="shared" si="10"/>
        <v>1</v>
      </c>
      <c r="G45" s="14">
        <f t="shared" si="10"/>
        <v>1</v>
      </c>
      <c r="H45" s="14">
        <f t="shared" si="10"/>
        <v>1</v>
      </c>
      <c r="I45" s="14">
        <f t="shared" si="10"/>
        <v>1</v>
      </c>
      <c r="J45" s="14">
        <f t="shared" si="10"/>
        <v>0.99999999999999989</v>
      </c>
      <c r="L45" s="21" t="s">
        <v>221</v>
      </c>
      <c r="M45" s="14">
        <f>SUM(M41:M44)</f>
        <v>1</v>
      </c>
      <c r="N45" s="14">
        <f t="shared" ref="N45:U45" si="11">SUM(N41:N44)</f>
        <v>1</v>
      </c>
      <c r="O45" s="14">
        <f t="shared" si="11"/>
        <v>0.99999999999999989</v>
      </c>
      <c r="P45" s="14">
        <f t="shared" si="11"/>
        <v>1</v>
      </c>
      <c r="Q45" s="14">
        <f t="shared" si="11"/>
        <v>1</v>
      </c>
      <c r="R45" s="14">
        <f t="shared" si="11"/>
        <v>1</v>
      </c>
      <c r="S45" s="14">
        <f t="shared" si="11"/>
        <v>1</v>
      </c>
      <c r="T45" s="14">
        <f t="shared" si="11"/>
        <v>1</v>
      </c>
      <c r="U45" s="14">
        <f t="shared" si="11"/>
        <v>1</v>
      </c>
      <c r="W45" s="21" t="s">
        <v>221</v>
      </c>
      <c r="X45" s="14">
        <f t="shared" si="9"/>
        <v>0</v>
      </c>
      <c r="Y45" s="14">
        <f t="shared" si="9"/>
        <v>0</v>
      </c>
      <c r="Z45" s="14">
        <f t="shared" si="9"/>
        <v>0</v>
      </c>
      <c r="AA45" s="14">
        <f t="shared" si="9"/>
        <v>0</v>
      </c>
      <c r="AB45" s="14">
        <f t="shared" si="9"/>
        <v>0</v>
      </c>
      <c r="AC45" s="14">
        <f t="shared" si="9"/>
        <v>0</v>
      </c>
      <c r="AD45" s="14">
        <f t="shared" si="9"/>
        <v>0</v>
      </c>
      <c r="AE45" s="14">
        <f t="shared" si="9"/>
        <v>0</v>
      </c>
      <c r="AF45" s="14">
        <f t="shared" si="9"/>
        <v>0</v>
      </c>
    </row>
    <row r="46" spans="1:32" x14ac:dyDescent="0.2">
      <c r="B46" s="12"/>
      <c r="C46" s="12"/>
      <c r="D46" s="12"/>
      <c r="E46" s="12"/>
      <c r="F46" s="12"/>
      <c r="G46" s="12"/>
      <c r="H46" s="12"/>
      <c r="I46" s="12"/>
      <c r="J46" s="12"/>
      <c r="M46" s="12"/>
      <c r="N46" s="12"/>
      <c r="O46" s="12"/>
      <c r="P46" s="12"/>
      <c r="Q46" s="12"/>
      <c r="R46" s="12"/>
      <c r="S46" s="12"/>
      <c r="T46" s="12"/>
      <c r="U46" s="12"/>
      <c r="X46" s="12"/>
      <c r="Y46" s="12"/>
      <c r="Z46" s="12"/>
      <c r="AA46" s="12"/>
      <c r="AB46" s="12"/>
      <c r="AC46" s="12"/>
      <c r="AD46" s="12"/>
      <c r="AE46" s="12"/>
      <c r="AF46" s="12"/>
    </row>
    <row r="47" spans="1:32" x14ac:dyDescent="0.2">
      <c r="B47" s="12"/>
      <c r="C47" s="12"/>
      <c r="D47" s="12"/>
      <c r="E47" s="12"/>
      <c r="F47" s="12"/>
      <c r="G47" s="12"/>
      <c r="H47" s="12"/>
      <c r="I47" s="12"/>
      <c r="J47" s="12"/>
      <c r="M47" s="12"/>
      <c r="N47" s="12"/>
      <c r="O47" s="12"/>
      <c r="P47" s="12"/>
      <c r="Q47" s="12"/>
      <c r="R47" s="12"/>
      <c r="S47" s="12"/>
      <c r="T47" s="12"/>
      <c r="U47" s="12"/>
      <c r="X47" s="12"/>
      <c r="Y47" s="12"/>
      <c r="Z47" s="12"/>
      <c r="AA47" s="12"/>
      <c r="AB47" s="12"/>
      <c r="AC47" s="12"/>
      <c r="AD47" s="12"/>
      <c r="AE47" s="12"/>
      <c r="AF47" s="12"/>
    </row>
    <row r="48" spans="1:32" x14ac:dyDescent="0.2">
      <c r="B48" s="12"/>
      <c r="C48" s="12"/>
      <c r="D48" s="12"/>
      <c r="E48" s="12"/>
      <c r="F48" s="12"/>
      <c r="G48" s="12"/>
      <c r="H48" s="12"/>
      <c r="I48" s="12"/>
      <c r="J48" s="12"/>
      <c r="M48" s="12"/>
      <c r="N48" s="12"/>
      <c r="O48" s="12"/>
      <c r="P48" s="12"/>
      <c r="Q48" s="12"/>
      <c r="R48" s="12"/>
      <c r="S48" s="12"/>
      <c r="T48" s="12"/>
      <c r="U48" s="12"/>
      <c r="X48" s="12"/>
      <c r="Y48" s="12"/>
      <c r="Z48" s="12"/>
      <c r="AA48" s="12"/>
      <c r="AB48" s="12"/>
      <c r="AC48" s="12"/>
      <c r="AD48" s="12"/>
      <c r="AE48" s="12"/>
      <c r="AF48" s="12"/>
    </row>
    <row r="49" spans="1:32" x14ac:dyDescent="0.2">
      <c r="A49" s="2" t="s">
        <v>175</v>
      </c>
      <c r="B49" s="12"/>
      <c r="C49" s="12"/>
      <c r="D49" s="12"/>
      <c r="E49" s="12"/>
      <c r="F49" s="12"/>
      <c r="G49" s="12"/>
      <c r="H49" s="12"/>
      <c r="I49" s="12"/>
      <c r="J49" s="12"/>
      <c r="L49" s="2" t="s">
        <v>175</v>
      </c>
      <c r="M49" s="12"/>
      <c r="N49" s="12"/>
      <c r="O49" s="12"/>
      <c r="P49" s="12"/>
      <c r="Q49" s="12"/>
      <c r="R49" s="12"/>
      <c r="S49" s="12"/>
      <c r="T49" s="12"/>
      <c r="U49" s="12"/>
      <c r="W49" s="2" t="s">
        <v>175</v>
      </c>
      <c r="X49" s="12"/>
      <c r="Y49" s="12"/>
      <c r="Z49" s="12"/>
      <c r="AA49" s="12"/>
      <c r="AB49" s="12"/>
      <c r="AC49" s="12"/>
      <c r="AD49" s="12"/>
      <c r="AE49" s="12"/>
      <c r="AF49" s="12"/>
    </row>
    <row r="50" spans="1:32" x14ac:dyDescent="0.2">
      <c r="A50" s="2" t="s">
        <v>184</v>
      </c>
      <c r="B50" s="12"/>
      <c r="C50" s="12"/>
      <c r="D50" s="12"/>
      <c r="E50" s="12"/>
      <c r="F50" s="12"/>
      <c r="G50" s="12"/>
      <c r="H50" s="12"/>
      <c r="I50" s="12"/>
      <c r="J50" s="12"/>
      <c r="L50" s="2" t="s">
        <v>228</v>
      </c>
      <c r="M50" s="12"/>
      <c r="N50" s="12"/>
      <c r="O50" s="12"/>
      <c r="P50" s="12"/>
      <c r="Q50" s="12"/>
      <c r="R50" s="12"/>
      <c r="S50" s="12"/>
      <c r="T50" s="12"/>
      <c r="U50" s="12"/>
      <c r="W50" s="2" t="s">
        <v>156</v>
      </c>
      <c r="X50" s="12"/>
      <c r="Y50" s="12"/>
      <c r="Z50" s="12"/>
      <c r="AA50" s="12"/>
      <c r="AB50" s="12"/>
      <c r="AC50" s="12"/>
      <c r="AD50" s="12"/>
      <c r="AE50" s="12"/>
      <c r="AF50" s="12"/>
    </row>
    <row r="51" spans="1:32" ht="13.5" thickBot="1" x14ac:dyDescent="0.25">
      <c r="A51" s="2"/>
      <c r="B51" s="4"/>
      <c r="C51" s="4"/>
      <c r="D51" s="4"/>
      <c r="E51" s="4"/>
      <c r="F51" s="4"/>
      <c r="G51" s="4"/>
      <c r="H51" s="4"/>
      <c r="I51" s="4"/>
      <c r="J51" s="4"/>
      <c r="L51" s="2"/>
      <c r="M51" s="4"/>
      <c r="N51" s="4"/>
      <c r="O51" s="4"/>
      <c r="P51" s="4"/>
      <c r="Q51" s="4"/>
      <c r="R51" s="4"/>
      <c r="S51" s="4"/>
      <c r="T51" s="4"/>
      <c r="U51" s="4"/>
      <c r="W51" s="2"/>
      <c r="X51" s="4"/>
      <c r="Y51" s="4"/>
      <c r="Z51" s="4"/>
      <c r="AA51" s="4"/>
      <c r="AB51" s="4"/>
      <c r="AC51" s="4"/>
      <c r="AD51" s="4"/>
      <c r="AE51" s="4"/>
      <c r="AF51" s="4"/>
    </row>
    <row r="52" spans="1:32" x14ac:dyDescent="0.2">
      <c r="A52" s="5" t="s">
        <v>115</v>
      </c>
      <c r="B52" s="6" t="s">
        <v>146</v>
      </c>
      <c r="C52" s="6" t="s">
        <v>147</v>
      </c>
      <c r="D52" s="6" t="s">
        <v>148</v>
      </c>
      <c r="E52" s="6" t="s">
        <v>243</v>
      </c>
      <c r="F52" s="6" t="s">
        <v>244</v>
      </c>
      <c r="G52" s="6" t="s">
        <v>245</v>
      </c>
      <c r="H52" s="6" t="s">
        <v>246</v>
      </c>
      <c r="I52" s="6" t="s">
        <v>170</v>
      </c>
      <c r="J52" s="6" t="s">
        <v>221</v>
      </c>
      <c r="L52" s="5" t="s">
        <v>115</v>
      </c>
      <c r="M52" s="6" t="s">
        <v>146</v>
      </c>
      <c r="N52" s="6" t="s">
        <v>147</v>
      </c>
      <c r="O52" s="6" t="s">
        <v>148</v>
      </c>
      <c r="P52" s="6" t="s">
        <v>243</v>
      </c>
      <c r="Q52" s="6" t="s">
        <v>244</v>
      </c>
      <c r="R52" s="6" t="s">
        <v>245</v>
      </c>
      <c r="S52" s="6" t="s">
        <v>246</v>
      </c>
      <c r="T52" s="6" t="s">
        <v>170</v>
      </c>
      <c r="U52" s="6" t="s">
        <v>221</v>
      </c>
      <c r="W52" s="5" t="s">
        <v>115</v>
      </c>
      <c r="X52" s="6" t="s">
        <v>146</v>
      </c>
      <c r="Y52" s="6" t="s">
        <v>147</v>
      </c>
      <c r="Z52" s="6" t="s">
        <v>148</v>
      </c>
      <c r="AA52" s="6" t="s">
        <v>243</v>
      </c>
      <c r="AB52" s="6" t="s">
        <v>244</v>
      </c>
      <c r="AC52" s="6" t="s">
        <v>245</v>
      </c>
      <c r="AD52" s="6" t="s">
        <v>246</v>
      </c>
      <c r="AE52" s="6" t="s">
        <v>170</v>
      </c>
      <c r="AF52" s="6" t="s">
        <v>221</v>
      </c>
    </row>
    <row r="53" spans="1:32" x14ac:dyDescent="0.2">
      <c r="A53" s="18">
        <v>0</v>
      </c>
      <c r="B53" s="12">
        <f>output_NHTS!B108/SUM(output_NHTS!B$108:B$111)</f>
        <v>0.9106976042046141</v>
      </c>
      <c r="C53" s="12">
        <f>output_NHTS!C108/SUM(output_NHTS!C$108:C$111)</f>
        <v>0.85081487710698078</v>
      </c>
      <c r="D53" s="12">
        <f>output_NHTS!D108/SUM(output_NHTS!D$108:D$111)</f>
        <v>0.74761980957151952</v>
      </c>
      <c r="E53" s="12">
        <f>output_NHTS!E108/SUM(output_NHTS!E$108:E$111)</f>
        <v>0.73814051152171856</v>
      </c>
      <c r="F53" s="12">
        <f>output_NHTS!F108/SUM(output_NHTS!F$108:F$111)</f>
        <v>0.87485778437475548</v>
      </c>
      <c r="G53" s="12">
        <f>output_NHTS!G108/SUM(output_NHTS!G$108:G$111)</f>
        <v>0.98952799443980766</v>
      </c>
      <c r="H53" s="12">
        <f>output_NHTS!H108/SUM(output_NHTS!H$108:H$111)</f>
        <v>0.94820632167462215</v>
      </c>
      <c r="I53" s="12">
        <f>output_NHTS!I108/SUM(output_NHTS!I$108:I$111)</f>
        <v>0.78919567707259808</v>
      </c>
      <c r="J53" s="12">
        <f>output_NHTS!J108/SUM(output_NHTS!J$108:J$111)</f>
        <v>0.85700391093623007</v>
      </c>
      <c r="L53" s="18">
        <v>0</v>
      </c>
      <c r="M53" s="12">
        <f>output!B108/SUM(output!B$108:B$111)</f>
        <v>0.88973553483466505</v>
      </c>
      <c r="N53" s="12">
        <f>output!C108/SUM(output!C$108:C$111)</f>
        <v>0.83074367883913547</v>
      </c>
      <c r="O53" s="12">
        <f>output!D108/SUM(output!D$108:D$111)</f>
        <v>0.69885450417123762</v>
      </c>
      <c r="P53" s="12">
        <f>output!E108/SUM(output!E$108:E$111)</f>
        <v>0.66856624070487802</v>
      </c>
      <c r="Q53" s="12">
        <f>output!F108/SUM(output!F$108:F$111)</f>
        <v>0.93628751099670915</v>
      </c>
      <c r="R53" s="12">
        <f>output!G108/SUM(output!G$108:G$111)</f>
        <v>0.98444074609056087</v>
      </c>
      <c r="S53" s="28">
        <f>output!H108/SUM(output!H$108:H$111)</f>
        <v>0.96155274297414572</v>
      </c>
      <c r="T53" s="28">
        <f>output!I108/SUM(output!I$108:I$111)</f>
        <v>0.72649779869188846</v>
      </c>
      <c r="U53" s="12">
        <f>output!J108/SUM(output!J$108:J$111)</f>
        <v>0.84169788053560612</v>
      </c>
      <c r="W53" s="18">
        <v>0</v>
      </c>
      <c r="X53" s="12">
        <f t="shared" ref="X53:AF57" si="12">M53-B53</f>
        <v>-2.0962069369949043E-2</v>
      </c>
      <c r="Y53" s="12">
        <f t="shared" si="12"/>
        <v>-2.0071198267845314E-2</v>
      </c>
      <c r="Z53" s="12">
        <f t="shared" si="12"/>
        <v>-4.87653054002819E-2</v>
      </c>
      <c r="AA53" s="12">
        <f t="shared" si="12"/>
        <v>-6.9574270816840533E-2</v>
      </c>
      <c r="AB53" s="12">
        <f t="shared" si="12"/>
        <v>6.1429726621953673E-2</v>
      </c>
      <c r="AC53" s="12">
        <f t="shared" si="12"/>
        <v>-5.0872483492467868E-3</v>
      </c>
      <c r="AD53" s="12">
        <f t="shared" si="12"/>
        <v>1.334642129952357E-2</v>
      </c>
      <c r="AE53" s="12">
        <f t="shared" si="12"/>
        <v>-6.2697878380709615E-2</v>
      </c>
      <c r="AF53" s="12">
        <f t="shared" si="12"/>
        <v>-1.5306030400623949E-2</v>
      </c>
    </row>
    <row r="54" spans="1:32" x14ac:dyDescent="0.2">
      <c r="A54" s="18">
        <v>1</v>
      </c>
      <c r="B54" s="12">
        <f>output_NHTS!B109/SUM(output_NHTS!B$108:B$111)</f>
        <v>8.3313883709847533E-2</v>
      </c>
      <c r="C54" s="12">
        <f>output_NHTS!C109/SUM(output_NHTS!C$108:C$111)</f>
        <v>0.13911317033746309</v>
      </c>
      <c r="D54" s="12">
        <f>output_NHTS!D109/SUM(output_NHTS!D$108:D$111)</f>
        <v>0.2256053780881655</v>
      </c>
      <c r="E54" s="12">
        <f>output_NHTS!E109/SUM(output_NHTS!E$108:E$111)</f>
        <v>0.23869987042653779</v>
      </c>
      <c r="F54" s="12">
        <f>output_NHTS!F109/SUM(output_NHTS!F$108:F$111)</f>
        <v>0.10989973825068854</v>
      </c>
      <c r="G54" s="12">
        <f>output_NHTS!G109/SUM(output_NHTS!G$108:G$111)</f>
        <v>1.0472005560192316E-2</v>
      </c>
      <c r="H54" s="12">
        <f>output_NHTS!H109/SUM(output_NHTS!H$108:H$111)</f>
        <v>5.0568567758134758E-2</v>
      </c>
      <c r="I54" s="12">
        <f>output_NHTS!I109/SUM(output_NHTS!I$108:I$111)</f>
        <v>0.20463049036408373</v>
      </c>
      <c r="J54" s="12">
        <f>output_NHTS!J109/SUM(output_NHTS!J$108:J$111)</f>
        <v>0.13216291486773124</v>
      </c>
      <c r="L54" s="18">
        <v>1</v>
      </c>
      <c r="M54" s="12">
        <f>output!B109/SUM(output!B$108:B$111)</f>
        <v>9.7313959008217057E-2</v>
      </c>
      <c r="N54" s="12">
        <f>output!C109/SUM(output!C$108:C$111)</f>
        <v>0.14934402704021796</v>
      </c>
      <c r="O54" s="12">
        <f>output!D109/SUM(output!D$108:D$111)</f>
        <v>0.270084445238156</v>
      </c>
      <c r="P54" s="12">
        <f>output!E109/SUM(output!E$108:E$111)</f>
        <v>0.27990032951350219</v>
      </c>
      <c r="Q54" s="12">
        <f>output!F109/SUM(output!F$108:F$111)</f>
        <v>5.1924016812746408E-2</v>
      </c>
      <c r="R54" s="12">
        <f>output!G109/SUM(output!G$108:G$111)</f>
        <v>1.254474659297871E-2</v>
      </c>
      <c r="S54" s="28">
        <f>output!H109/SUM(output!H$108:H$111)</f>
        <v>1.3216244602637414E-2</v>
      </c>
      <c r="T54" s="28">
        <f>output!I109/SUM(output!I$108:I$111)</f>
        <v>0.18015461503281299</v>
      </c>
      <c r="U54" s="12">
        <f>output!J109/SUM(output!J$108:J$111)</f>
        <v>0.13170869685374303</v>
      </c>
      <c r="W54" s="18">
        <v>1</v>
      </c>
      <c r="X54" s="12">
        <f t="shared" si="12"/>
        <v>1.4000075298369524E-2</v>
      </c>
      <c r="Y54" s="12">
        <f t="shared" si="12"/>
        <v>1.0230856702754865E-2</v>
      </c>
      <c r="Z54" s="12">
        <f t="shared" si="12"/>
        <v>4.4479067149990503E-2</v>
      </c>
      <c r="AA54" s="12">
        <f t="shared" si="12"/>
        <v>4.1200459086964403E-2</v>
      </c>
      <c r="AB54" s="12">
        <f t="shared" si="12"/>
        <v>-5.7975721437942128E-2</v>
      </c>
      <c r="AC54" s="12">
        <f t="shared" si="12"/>
        <v>2.0727410327863946E-3</v>
      </c>
      <c r="AD54" s="12">
        <f t="shared" si="12"/>
        <v>-3.7352323155497344E-2</v>
      </c>
      <c r="AE54" s="12">
        <f t="shared" si="12"/>
        <v>-2.4475875331270741E-2</v>
      </c>
      <c r="AF54" s="12">
        <f t="shared" si="12"/>
        <v>-4.5421801398820572E-4</v>
      </c>
    </row>
    <row r="55" spans="1:32" x14ac:dyDescent="0.2">
      <c r="A55" s="18">
        <v>2</v>
      </c>
      <c r="B55" s="12">
        <f>output_NHTS!B110/SUM(output_NHTS!B$108:B$111)</f>
        <v>5.5832709799315304E-3</v>
      </c>
      <c r="C55" s="12">
        <f>output_NHTS!C110/SUM(output_NHTS!C$108:C$111)</f>
        <v>1.0071952555556212E-2</v>
      </c>
      <c r="D55" s="12">
        <f>output_NHTS!D110/SUM(output_NHTS!D$108:D$111)</f>
        <v>2.6774812340314876E-2</v>
      </c>
      <c r="E55" s="12">
        <f>output_NHTS!E110/SUM(output_NHTS!E$108:E$111)</f>
        <v>2.2434600152610361E-2</v>
      </c>
      <c r="F55" s="12">
        <f>output_NHTS!F110/SUM(output_NHTS!F$108:F$111)</f>
        <v>1.5242477374555983E-2</v>
      </c>
      <c r="G55" s="12">
        <f>output_NHTS!G110/SUM(output_NHTS!G$108:G$111)</f>
        <v>0</v>
      </c>
      <c r="H55" s="12">
        <f>output_NHTS!H110/SUM(output_NHTS!H$108:H$111)</f>
        <v>6.8354897117867922E-4</v>
      </c>
      <c r="I55" s="12">
        <f>output_NHTS!I110/SUM(output_NHTS!I$108:I$111)</f>
        <v>6.1738325633182442E-3</v>
      </c>
      <c r="J55" s="12">
        <f>output_NHTS!J110/SUM(output_NHTS!J$108:J$111)</f>
        <v>1.0488277578706996E-2</v>
      </c>
      <c r="L55" s="18">
        <v>2</v>
      </c>
      <c r="M55" s="12">
        <f>output!B110/SUM(output!B$108:B$111)</f>
        <v>5.022087928744986E-3</v>
      </c>
      <c r="N55" s="12">
        <f>output!C110/SUM(output!C$108:C$111)</f>
        <v>1.0387756142689598E-2</v>
      </c>
      <c r="O55" s="12">
        <f>output!D110/SUM(output!D$108:D$111)</f>
        <v>2.1366431104421258E-2</v>
      </c>
      <c r="P55" s="12">
        <f>output!E110/SUM(output!E$108:E$111)</f>
        <v>2.8385841043209049E-2</v>
      </c>
      <c r="Q55" s="12">
        <f>output!F110/SUM(output!F$108:F$111)</f>
        <v>2.9845883157929034E-3</v>
      </c>
      <c r="R55" s="12">
        <f>output!G110/SUM(output!G$108:G$111)</f>
        <v>7.5362682911511649E-4</v>
      </c>
      <c r="S55" s="28">
        <f>output!H110/SUM(output!H$108:H$111)</f>
        <v>9.3890238597905767E-4</v>
      </c>
      <c r="T55" s="28">
        <f>output!I110/SUM(output!I$108:I$111)</f>
        <v>1.2651322713422194E-2</v>
      </c>
      <c r="U55" s="12">
        <f>output!J110/SUM(output!J$108:J$111)</f>
        <v>9.7170078845836075E-3</v>
      </c>
      <c r="W55" s="18">
        <v>2</v>
      </c>
      <c r="X55" s="12">
        <f t="shared" si="12"/>
        <v>-5.6118305118654441E-4</v>
      </c>
      <c r="Y55" s="12">
        <f t="shared" si="12"/>
        <v>3.1580358713338523E-4</v>
      </c>
      <c r="Z55" s="12">
        <f t="shared" si="12"/>
        <v>-5.4083812358936174E-3</v>
      </c>
      <c r="AA55" s="12">
        <f t="shared" si="12"/>
        <v>5.9512408905986885E-3</v>
      </c>
      <c r="AB55" s="12">
        <f t="shared" si="12"/>
        <v>-1.2257889058763079E-2</v>
      </c>
      <c r="AC55" s="12">
        <f t="shared" si="12"/>
        <v>7.5362682911511649E-4</v>
      </c>
      <c r="AD55" s="12">
        <f t="shared" si="12"/>
        <v>2.5535341480037845E-4</v>
      </c>
      <c r="AE55" s="12">
        <f t="shared" si="12"/>
        <v>6.4774901501039499E-3</v>
      </c>
      <c r="AF55" s="12">
        <f t="shared" si="12"/>
        <v>-7.7126969412338875E-4</v>
      </c>
    </row>
    <row r="56" spans="1:32" x14ac:dyDescent="0.2">
      <c r="A56" s="23" t="s">
        <v>116</v>
      </c>
      <c r="B56" s="12">
        <f>output_NHTS!B111/SUM(output_NHTS!B$108:B$111)</f>
        <v>4.0524110560697632E-4</v>
      </c>
      <c r="C56" s="12">
        <f>output_NHTS!C111/SUM(output_NHTS!C$108:C$111)</f>
        <v>0</v>
      </c>
      <c r="D56" s="12">
        <f>output_NHTS!D111/SUM(output_NHTS!D$108:D$111)</f>
        <v>0</v>
      </c>
      <c r="E56" s="12">
        <f>output_NHTS!E111/SUM(output_NHTS!E$108:E$111)</f>
        <v>7.2501789913315422E-4</v>
      </c>
      <c r="F56" s="12">
        <f>output_NHTS!F111/SUM(output_NHTS!F$108:F$111)</f>
        <v>0</v>
      </c>
      <c r="G56" s="12">
        <f>output_NHTS!G111/SUM(output_NHTS!G$108:G$111)</f>
        <v>0</v>
      </c>
      <c r="H56" s="12">
        <f>output_NHTS!H111/SUM(output_NHTS!H$108:H$111)</f>
        <v>5.4156159606431322E-4</v>
      </c>
      <c r="I56" s="12">
        <f>output_NHTS!I111/SUM(output_NHTS!I$108:I$111)</f>
        <v>0</v>
      </c>
      <c r="J56" s="12">
        <f>output_NHTS!J111/SUM(output_NHTS!J$108:J$111)</f>
        <v>3.4489661733167664E-4</v>
      </c>
      <c r="L56" s="23" t="s">
        <v>116</v>
      </c>
      <c r="M56" s="13">
        <f>output!B111/SUM(output!B$108:B$111)</f>
        <v>7.9284182283729365E-3</v>
      </c>
      <c r="N56" s="13">
        <f>output!C111/SUM(output!C$108:C$111)</f>
        <v>9.5245379779569771E-3</v>
      </c>
      <c r="O56" s="13">
        <f>output!D111/SUM(output!D$108:D$111)</f>
        <v>9.6946194861851666E-3</v>
      </c>
      <c r="P56" s="13">
        <f>output!E111/SUM(output!E$108:E$111)</f>
        <v>2.3147588738410694E-2</v>
      </c>
      <c r="Q56" s="13">
        <f>output!F111/SUM(output!F$108:F$111)</f>
        <v>8.8038838747515561E-3</v>
      </c>
      <c r="R56" s="13">
        <f>output!G111/SUM(output!G$108:G$111)</f>
        <v>2.2608804873453497E-3</v>
      </c>
      <c r="S56" s="30">
        <f>output!H111/SUM(output!H$108:H$111)</f>
        <v>2.4292110037237823E-2</v>
      </c>
      <c r="T56" s="30">
        <f>output!I111/SUM(output!I$108:I$111)</f>
        <v>8.0696263561876314E-2</v>
      </c>
      <c r="U56" s="13">
        <f>output!J111/SUM(output!J$108:J$111)</f>
        <v>1.6876414726067181E-2</v>
      </c>
      <c r="W56" s="23" t="s">
        <v>116</v>
      </c>
      <c r="X56" s="12">
        <f t="shared" si="12"/>
        <v>7.5231771227659604E-3</v>
      </c>
      <c r="Y56" s="12">
        <f t="shared" si="12"/>
        <v>9.5245379779569771E-3</v>
      </c>
      <c r="Z56" s="12">
        <f t="shared" si="12"/>
        <v>9.6946194861851666E-3</v>
      </c>
      <c r="AA56" s="12">
        <f t="shared" si="12"/>
        <v>2.2422570839277539E-2</v>
      </c>
      <c r="AB56" s="12">
        <f t="shared" si="12"/>
        <v>8.8038838747515561E-3</v>
      </c>
      <c r="AC56" s="12">
        <f t="shared" si="12"/>
        <v>2.2608804873453497E-3</v>
      </c>
      <c r="AD56" s="12">
        <f t="shared" si="12"/>
        <v>2.3750548441173511E-2</v>
      </c>
      <c r="AE56" s="12">
        <f t="shared" si="12"/>
        <v>8.0696263561876314E-2</v>
      </c>
      <c r="AF56" s="12">
        <f t="shared" si="12"/>
        <v>1.6531518108735505E-2</v>
      </c>
    </row>
    <row r="57" spans="1:32" ht="13.5" thickBot="1" x14ac:dyDescent="0.25">
      <c r="A57" s="21" t="s">
        <v>221</v>
      </c>
      <c r="B57" s="14">
        <f t="shared" ref="B57:J57" si="13">SUM(B53:B56)</f>
        <v>1</v>
      </c>
      <c r="C57" s="14">
        <f t="shared" si="13"/>
        <v>1</v>
      </c>
      <c r="D57" s="14">
        <f t="shared" si="13"/>
        <v>0.99999999999999989</v>
      </c>
      <c r="E57" s="14">
        <f t="shared" si="13"/>
        <v>0.99999999999999978</v>
      </c>
      <c r="F57" s="14">
        <f t="shared" si="13"/>
        <v>1</v>
      </c>
      <c r="G57" s="14">
        <f t="shared" si="13"/>
        <v>1</v>
      </c>
      <c r="H57" s="14">
        <f t="shared" si="13"/>
        <v>1</v>
      </c>
      <c r="I57" s="14">
        <f t="shared" si="13"/>
        <v>1</v>
      </c>
      <c r="J57" s="14">
        <f t="shared" si="13"/>
        <v>1</v>
      </c>
      <c r="L57" s="21" t="s">
        <v>221</v>
      </c>
      <c r="M57" s="14">
        <f>SUM(M53:M56)</f>
        <v>1</v>
      </c>
      <c r="N57" s="14">
        <f t="shared" ref="N57:U57" si="14">SUM(N53:N56)</f>
        <v>1</v>
      </c>
      <c r="O57" s="14">
        <f t="shared" si="14"/>
        <v>1</v>
      </c>
      <c r="P57" s="14">
        <f t="shared" si="14"/>
        <v>1</v>
      </c>
      <c r="Q57" s="14">
        <f t="shared" si="14"/>
        <v>1</v>
      </c>
      <c r="R57" s="14">
        <f t="shared" si="14"/>
        <v>0.99999999999999989</v>
      </c>
      <c r="S57" s="14">
        <f t="shared" si="14"/>
        <v>1</v>
      </c>
      <c r="T57" s="14">
        <f t="shared" si="14"/>
        <v>0.99999999999999989</v>
      </c>
      <c r="U57" s="14">
        <f t="shared" si="14"/>
        <v>1</v>
      </c>
      <c r="W57" s="21" t="s">
        <v>221</v>
      </c>
      <c r="X57" s="14">
        <f t="shared" si="12"/>
        <v>0</v>
      </c>
      <c r="Y57" s="14">
        <f t="shared" si="12"/>
        <v>0</v>
      </c>
      <c r="Z57" s="14">
        <f t="shared" si="12"/>
        <v>0</v>
      </c>
      <c r="AA57" s="14">
        <f t="shared" si="12"/>
        <v>0</v>
      </c>
      <c r="AB57" s="14">
        <f t="shared" si="12"/>
        <v>0</v>
      </c>
      <c r="AC57" s="14">
        <f t="shared" si="12"/>
        <v>0</v>
      </c>
      <c r="AD57" s="14">
        <f t="shared" si="12"/>
        <v>0</v>
      </c>
      <c r="AE57" s="14">
        <f t="shared" si="12"/>
        <v>0</v>
      </c>
      <c r="AF57" s="14">
        <f t="shared" si="12"/>
        <v>0</v>
      </c>
    </row>
    <row r="58" spans="1:32" x14ac:dyDescent="0.2">
      <c r="B58" s="12"/>
      <c r="C58" s="12"/>
      <c r="D58" s="12"/>
      <c r="E58" s="12"/>
      <c r="F58" s="12"/>
      <c r="G58" s="12"/>
      <c r="H58" s="12"/>
      <c r="I58" s="12"/>
      <c r="J58" s="12"/>
      <c r="M58" s="12"/>
      <c r="N58" s="12"/>
      <c r="O58" s="12"/>
      <c r="P58" s="12"/>
      <c r="Q58" s="12"/>
      <c r="R58" s="12"/>
      <c r="S58" s="12"/>
      <c r="T58" s="12"/>
      <c r="U58" s="12"/>
      <c r="X58" s="12"/>
      <c r="Y58" s="12"/>
      <c r="Z58" s="12"/>
      <c r="AA58" s="12"/>
      <c r="AB58" s="12"/>
      <c r="AC58" s="12"/>
      <c r="AD58" s="12"/>
      <c r="AE58" s="12"/>
      <c r="AF58" s="12"/>
    </row>
    <row r="59" spans="1:32" x14ac:dyDescent="0.2">
      <c r="B59" s="12"/>
      <c r="C59" s="12"/>
      <c r="D59" s="12"/>
      <c r="E59" s="12"/>
      <c r="F59" s="12"/>
      <c r="G59" s="12"/>
      <c r="H59" s="12"/>
      <c r="I59" s="12"/>
      <c r="J59" s="12"/>
      <c r="M59" s="12"/>
      <c r="N59" s="12"/>
      <c r="O59" s="12"/>
      <c r="P59" s="12"/>
      <c r="Q59" s="12"/>
      <c r="R59" s="12"/>
      <c r="S59" s="12"/>
      <c r="T59" s="12"/>
      <c r="U59" s="12"/>
      <c r="X59" s="12"/>
      <c r="Y59" s="12"/>
      <c r="Z59" s="12"/>
      <c r="AA59" s="12"/>
      <c r="AB59" s="12"/>
      <c r="AC59" s="12"/>
      <c r="AD59" s="12"/>
      <c r="AE59" s="12"/>
      <c r="AF59" s="12"/>
    </row>
    <row r="60" spans="1:32" x14ac:dyDescent="0.2">
      <c r="B60" s="12"/>
      <c r="C60" s="12"/>
      <c r="D60" s="12"/>
      <c r="E60" s="12"/>
      <c r="F60" s="12"/>
      <c r="G60" s="12"/>
      <c r="H60" s="12"/>
      <c r="I60" s="12"/>
      <c r="J60" s="12"/>
      <c r="M60" s="12"/>
      <c r="N60" s="12"/>
      <c r="O60" s="12"/>
      <c r="P60" s="12"/>
      <c r="Q60" s="12"/>
      <c r="R60" s="12"/>
      <c r="S60" s="12"/>
      <c r="T60" s="12"/>
      <c r="U60" s="12"/>
      <c r="X60" s="12"/>
      <c r="Y60" s="12"/>
      <c r="Z60" s="12"/>
      <c r="AA60" s="12"/>
      <c r="AB60" s="12"/>
      <c r="AC60" s="12"/>
      <c r="AD60" s="12"/>
      <c r="AE60" s="12"/>
      <c r="AF60" s="12"/>
    </row>
    <row r="61" spans="1:32" x14ac:dyDescent="0.2">
      <c r="A61" s="2" t="s">
        <v>175</v>
      </c>
      <c r="B61" s="12"/>
      <c r="C61" s="12"/>
      <c r="D61" s="12"/>
      <c r="E61" s="12"/>
      <c r="F61" s="12"/>
      <c r="G61" s="12"/>
      <c r="H61" s="12"/>
      <c r="I61" s="12"/>
      <c r="J61" s="12"/>
      <c r="L61" s="2" t="s">
        <v>175</v>
      </c>
      <c r="M61" s="12"/>
      <c r="N61" s="12"/>
      <c r="O61" s="12"/>
      <c r="P61" s="12"/>
      <c r="Q61" s="12"/>
      <c r="R61" s="12"/>
      <c r="S61" s="12"/>
      <c r="T61" s="12"/>
      <c r="U61" s="12"/>
      <c r="W61" s="2" t="s">
        <v>175</v>
      </c>
      <c r="X61" s="12"/>
      <c r="Y61" s="12"/>
      <c r="Z61" s="12"/>
      <c r="AA61" s="12"/>
      <c r="AB61" s="12"/>
      <c r="AC61" s="12"/>
      <c r="AD61" s="12"/>
      <c r="AE61" s="12"/>
      <c r="AF61" s="12"/>
    </row>
    <row r="62" spans="1:32" x14ac:dyDescent="0.2">
      <c r="A62" s="2" t="s">
        <v>149</v>
      </c>
      <c r="B62" s="12"/>
      <c r="C62" s="12"/>
      <c r="D62" s="12"/>
      <c r="E62" s="12"/>
      <c r="F62" s="12"/>
      <c r="G62" s="12"/>
      <c r="H62" s="12"/>
      <c r="I62" s="12"/>
      <c r="J62" s="12"/>
      <c r="L62" s="2" t="s">
        <v>229</v>
      </c>
      <c r="M62" s="12"/>
      <c r="N62" s="12"/>
      <c r="O62" s="12"/>
      <c r="P62" s="12"/>
      <c r="Q62" s="12"/>
      <c r="R62" s="12"/>
      <c r="S62" s="12"/>
      <c r="T62" s="12"/>
      <c r="U62" s="12"/>
      <c r="W62" s="2" t="s">
        <v>150</v>
      </c>
      <c r="X62" s="12"/>
      <c r="Y62" s="12"/>
      <c r="Z62" s="12"/>
      <c r="AA62" s="12"/>
      <c r="AB62" s="12"/>
      <c r="AC62" s="12"/>
      <c r="AD62" s="12"/>
      <c r="AE62" s="12"/>
      <c r="AF62" s="12"/>
    </row>
    <row r="63" spans="1:32" ht="13.5" thickBot="1" x14ac:dyDescent="0.25">
      <c r="A63" s="2"/>
      <c r="B63" s="4"/>
      <c r="C63" s="4"/>
      <c r="D63" s="4"/>
      <c r="E63" s="4"/>
      <c r="F63" s="4"/>
      <c r="G63" s="4"/>
      <c r="H63" s="4"/>
      <c r="I63" s="4"/>
      <c r="J63" s="4"/>
      <c r="L63" s="2"/>
      <c r="M63" s="4"/>
      <c r="N63" s="4"/>
      <c r="O63" s="4"/>
      <c r="P63" s="4"/>
      <c r="Q63" s="4"/>
      <c r="R63" s="4"/>
      <c r="S63" s="4"/>
      <c r="T63" s="4"/>
      <c r="U63" s="4"/>
      <c r="W63" s="2"/>
      <c r="X63" s="4"/>
      <c r="Y63" s="4"/>
      <c r="Z63" s="4"/>
      <c r="AA63" s="4"/>
      <c r="AB63" s="4"/>
      <c r="AC63" s="4"/>
      <c r="AD63" s="4"/>
      <c r="AE63" s="4"/>
      <c r="AF63" s="4"/>
    </row>
    <row r="64" spans="1:32" x14ac:dyDescent="0.2">
      <c r="A64" s="5" t="s">
        <v>115</v>
      </c>
      <c r="B64" s="6" t="s">
        <v>146</v>
      </c>
      <c r="C64" s="6" t="s">
        <v>147</v>
      </c>
      <c r="D64" s="6" t="s">
        <v>148</v>
      </c>
      <c r="E64" s="6" t="s">
        <v>243</v>
      </c>
      <c r="F64" s="6" t="s">
        <v>244</v>
      </c>
      <c r="G64" s="6" t="s">
        <v>245</v>
      </c>
      <c r="H64" s="6" t="s">
        <v>246</v>
      </c>
      <c r="I64" s="6" t="s">
        <v>170</v>
      </c>
      <c r="J64" s="6" t="s">
        <v>221</v>
      </c>
      <c r="L64" s="5" t="s">
        <v>115</v>
      </c>
      <c r="M64" s="6" t="s">
        <v>146</v>
      </c>
      <c r="N64" s="6" t="s">
        <v>147</v>
      </c>
      <c r="O64" s="6" t="s">
        <v>148</v>
      </c>
      <c r="P64" s="6" t="s">
        <v>243</v>
      </c>
      <c r="Q64" s="6" t="s">
        <v>244</v>
      </c>
      <c r="R64" s="6" t="s">
        <v>245</v>
      </c>
      <c r="S64" s="6" t="s">
        <v>246</v>
      </c>
      <c r="T64" s="6" t="s">
        <v>170</v>
      </c>
      <c r="U64" s="6" t="s">
        <v>221</v>
      </c>
      <c r="W64" s="5" t="s">
        <v>115</v>
      </c>
      <c r="X64" s="6" t="s">
        <v>146</v>
      </c>
      <c r="Y64" s="6" t="s">
        <v>147</v>
      </c>
      <c r="Z64" s="6" t="s">
        <v>148</v>
      </c>
      <c r="AA64" s="6" t="s">
        <v>243</v>
      </c>
      <c r="AB64" s="6" t="s">
        <v>244</v>
      </c>
      <c r="AC64" s="6" t="s">
        <v>245</v>
      </c>
      <c r="AD64" s="6" t="s">
        <v>246</v>
      </c>
      <c r="AE64" s="6" t="s">
        <v>170</v>
      </c>
      <c r="AF64" s="6" t="s">
        <v>221</v>
      </c>
    </row>
    <row r="65" spans="1:32" x14ac:dyDescent="0.2">
      <c r="A65" s="18">
        <v>0</v>
      </c>
      <c r="B65" s="12">
        <f>output_NHTS!B115/SUM(output_NHTS!B$115:B$118)</f>
        <v>0.95872833562778947</v>
      </c>
      <c r="C65" s="12">
        <f>output_NHTS!C115/SUM(output_NHTS!C$115:C$118)</f>
        <v>0.95530811126344128</v>
      </c>
      <c r="D65" s="12">
        <f>output_NHTS!D115/SUM(output_NHTS!D$115:D$118)</f>
        <v>0.92225383400989136</v>
      </c>
      <c r="E65" s="12">
        <f>output_NHTS!E115/SUM(output_NHTS!E$115:E$118)</f>
        <v>0.9254251941068804</v>
      </c>
      <c r="F65" s="12">
        <f>output_NHTS!F115/SUM(output_NHTS!F$115:F$118)</f>
        <v>0.9528504250682226</v>
      </c>
      <c r="G65" s="12">
        <f>output_NHTS!G115/SUM(output_NHTS!G$115:G$118)</f>
        <v>1</v>
      </c>
      <c r="H65" s="12">
        <f>output_NHTS!H115/SUM(output_NHTS!H$115:H$118)</f>
        <v>0.98141442278203206</v>
      </c>
      <c r="I65" s="12">
        <f>output_NHTS!I115/SUM(output_NHTS!I$115:I$118)</f>
        <v>0.97889999920950044</v>
      </c>
      <c r="J65" s="12">
        <f>output_NHTS!J115/SUM(output_NHTS!J$115:J$118)</f>
        <v>0.9545368937262767</v>
      </c>
      <c r="L65" s="18">
        <v>0</v>
      </c>
      <c r="M65" s="12">
        <f>output!B115/SUM(output!B$115:B$118)</f>
        <v>0.95220257539712438</v>
      </c>
      <c r="N65" s="12">
        <f>output!C115/SUM(output!C$115:C$118)</f>
        <v>0.94339547047211114</v>
      </c>
      <c r="O65" s="12">
        <f>output!D115/SUM(output!D$115:D$118)</f>
        <v>0.9137210755925198</v>
      </c>
      <c r="P65" s="12">
        <f>output!E115/SUM(output!E$115:E$118)</f>
        <v>0.90035890519220529</v>
      </c>
      <c r="Q65" s="12">
        <f>output!F115/SUM(output!F$115:F$118)</f>
        <v>0.97306702290573788</v>
      </c>
      <c r="R65" s="12">
        <f>output!G115/SUM(output!G$115:G$118)</f>
        <v>0.93939584249199271</v>
      </c>
      <c r="S65" s="28">
        <f>output!H115/SUM(output!H$115:H$118)</f>
        <v>0.96670609703052224</v>
      </c>
      <c r="T65" s="28">
        <f>output!I115/SUM(output!I$115:I$118)</f>
        <v>0.95349977683860199</v>
      </c>
      <c r="U65" s="12">
        <f>output!J115/SUM(output!J$115:J$118)</f>
        <v>0.94416788311160726</v>
      </c>
      <c r="W65" s="18">
        <v>0</v>
      </c>
      <c r="X65" s="12">
        <f t="shared" ref="X65:AF69" si="15">M65-B65</f>
        <v>-6.5257602306650897E-3</v>
      </c>
      <c r="Y65" s="12">
        <f t="shared" si="15"/>
        <v>-1.1912640791330142E-2</v>
      </c>
      <c r="Z65" s="12">
        <f t="shared" si="15"/>
        <v>-8.5327584173715554E-3</v>
      </c>
      <c r="AA65" s="12">
        <f t="shared" si="15"/>
        <v>-2.5066288914675106E-2</v>
      </c>
      <c r="AB65" s="12">
        <f t="shared" si="15"/>
        <v>2.0216597837515282E-2</v>
      </c>
      <c r="AC65" s="12">
        <f t="shared" si="15"/>
        <v>-6.0604157508007295E-2</v>
      </c>
      <c r="AD65" s="12">
        <f t="shared" si="15"/>
        <v>-1.4708325751509821E-2</v>
      </c>
      <c r="AE65" s="12">
        <f t="shared" si="15"/>
        <v>-2.5400222370898451E-2</v>
      </c>
      <c r="AF65" s="12">
        <f t="shared" si="15"/>
        <v>-1.0369010614669438E-2</v>
      </c>
    </row>
    <row r="66" spans="1:32" x14ac:dyDescent="0.2">
      <c r="A66" s="18">
        <v>1</v>
      </c>
      <c r="B66" s="12">
        <f>output_NHTS!B116/SUM(output_NHTS!B$115:B$118)</f>
        <v>4.0441205014281459E-2</v>
      </c>
      <c r="C66" s="12">
        <f>output_NHTS!C116/SUM(output_NHTS!C$115:C$118)</f>
        <v>4.0536003043082761E-2</v>
      </c>
      <c r="D66" s="12">
        <f>output_NHTS!D116/SUM(output_NHTS!D$115:D$118)</f>
        <v>7.5580257141583854E-2</v>
      </c>
      <c r="E66" s="12">
        <f>output_NHTS!E116/SUM(output_NHTS!E$115:E$118)</f>
        <v>6.9922768542778582E-2</v>
      </c>
      <c r="F66" s="12">
        <f>output_NHTS!F116/SUM(output_NHTS!F$115:F$118)</f>
        <v>4.6095442968990895E-2</v>
      </c>
      <c r="G66" s="12">
        <f>output_NHTS!G116/SUM(output_NHTS!G$115:G$118)</f>
        <v>0</v>
      </c>
      <c r="H66" s="12">
        <f>output_NHTS!H116/SUM(output_NHTS!H$115:H$118)</f>
        <v>1.8585577217967945E-2</v>
      </c>
      <c r="I66" s="12">
        <f>output_NHTS!I116/SUM(output_NHTS!I$115:I$118)</f>
        <v>2.1100000790499618E-2</v>
      </c>
      <c r="J66" s="12">
        <f>output_NHTS!J116/SUM(output_NHTS!J$115:J$118)</f>
        <v>4.3752590939666401E-2</v>
      </c>
      <c r="L66" s="18">
        <v>1</v>
      </c>
      <c r="M66" s="12">
        <f>output!B116/SUM(output!B$115:B$118)</f>
        <v>4.7248289739891605E-2</v>
      </c>
      <c r="N66" s="12">
        <f>output!C116/SUM(output!C$115:C$118)</f>
        <v>5.306060010052667E-2</v>
      </c>
      <c r="O66" s="12">
        <f>output!D116/SUM(output!D$115:D$118)</f>
        <v>7.7544199811210038E-2</v>
      </c>
      <c r="P66" s="12">
        <f>output!E116/SUM(output!E$115:E$118)</f>
        <v>9.6094497549059632E-2</v>
      </c>
      <c r="Q66" s="12">
        <f>output!F116/SUM(output!F$115:F$118)</f>
        <v>2.6437717897755043E-2</v>
      </c>
      <c r="R66" s="12">
        <f>output!G116/SUM(output!G$115:G$118)</f>
        <v>5.9881931796771967E-2</v>
      </c>
      <c r="S66" s="28">
        <f>output!H116/SUM(output!H$115:H$118)</f>
        <v>3.3262075769952999E-2</v>
      </c>
      <c r="T66" s="28">
        <f>output!I116/SUM(output!I$115:I$118)</f>
        <v>4.6268796526396413E-2</v>
      </c>
      <c r="U66" s="12">
        <f>output!J116/SUM(output!J$115:J$118)</f>
        <v>5.381930038120486E-2</v>
      </c>
      <c r="W66" s="18">
        <v>1</v>
      </c>
      <c r="X66" s="12">
        <f t="shared" si="15"/>
        <v>6.8070847256101463E-3</v>
      </c>
      <c r="Y66" s="12">
        <f t="shared" si="15"/>
        <v>1.2524597057443909E-2</v>
      </c>
      <c r="Z66" s="12">
        <f t="shared" si="15"/>
        <v>1.9639426696261841E-3</v>
      </c>
      <c r="AA66" s="12">
        <f t="shared" si="15"/>
        <v>2.617172900628105E-2</v>
      </c>
      <c r="AB66" s="12">
        <f t="shared" si="15"/>
        <v>-1.9657725071235851E-2</v>
      </c>
      <c r="AC66" s="12">
        <f t="shared" si="15"/>
        <v>5.9881931796771967E-2</v>
      </c>
      <c r="AD66" s="12">
        <f t="shared" si="15"/>
        <v>1.4676498551985055E-2</v>
      </c>
      <c r="AE66" s="12">
        <f t="shared" si="15"/>
        <v>2.5168795735896796E-2</v>
      </c>
      <c r="AF66" s="12">
        <f t="shared" si="15"/>
        <v>1.0066709441538459E-2</v>
      </c>
    </row>
    <row r="67" spans="1:32" x14ac:dyDescent="0.2">
      <c r="A67" s="18">
        <v>2</v>
      </c>
      <c r="B67" s="12">
        <f>output_NHTS!B117/SUM(output_NHTS!B$115:B$118)</f>
        <v>8.3045935792909833E-4</v>
      </c>
      <c r="C67" s="12">
        <f>output_NHTS!C117/SUM(output_NHTS!C$115:C$118)</f>
        <v>4.15588569347582E-3</v>
      </c>
      <c r="D67" s="12">
        <f>output_NHTS!D117/SUM(output_NHTS!D$115:D$118)</f>
        <v>2.1659088485247052E-3</v>
      </c>
      <c r="E67" s="12">
        <f>output_NHTS!E117/SUM(output_NHTS!E$115:E$118)</f>
        <v>4.6520373503409485E-3</v>
      </c>
      <c r="F67" s="12">
        <f>output_NHTS!F117/SUM(output_NHTS!F$115:F$118)</f>
        <v>1.0541319627864931E-3</v>
      </c>
      <c r="G67" s="12">
        <f>output_NHTS!G117/SUM(output_NHTS!G$115:G$118)</f>
        <v>0</v>
      </c>
      <c r="H67" s="12">
        <f>output_NHTS!H117/SUM(output_NHTS!H$115:H$118)</f>
        <v>0</v>
      </c>
      <c r="I67" s="12">
        <f>output_NHTS!I117/SUM(output_NHTS!I$115:I$118)</f>
        <v>0</v>
      </c>
      <c r="J67" s="12">
        <f>output_NHTS!J117/SUM(output_NHTS!J$115:J$118)</f>
        <v>1.7105153340568511E-3</v>
      </c>
      <c r="L67" s="18">
        <v>2</v>
      </c>
      <c r="M67" s="12">
        <f>output!B117/SUM(output!B$115:B$118)</f>
        <v>5.491348629840442E-4</v>
      </c>
      <c r="N67" s="12">
        <f>output!C117/SUM(output!C$115:C$118)</f>
        <v>3.5439294273621946E-3</v>
      </c>
      <c r="O67" s="12">
        <f>output!D117/SUM(output!D$115:D$118)</f>
        <v>8.7347245962701228E-3</v>
      </c>
      <c r="P67" s="12">
        <f>output!E117/SUM(output!E$115:E$118)</f>
        <v>3.5465972587350471E-3</v>
      </c>
      <c r="Q67" s="12">
        <f>output!F117/SUM(output!F$115:F$118)</f>
        <v>4.9525919650711934E-4</v>
      </c>
      <c r="R67" s="12">
        <f>output!G117/SUM(output!G$115:G$118)</f>
        <v>7.2222571123531994E-4</v>
      </c>
      <c r="S67" s="28">
        <f>output!H117/SUM(output!H$115:H$118)</f>
        <v>3.182719952471382E-5</v>
      </c>
      <c r="T67" s="28">
        <f>output!I117/SUM(output!I$115:I$118)</f>
        <v>2.3142663500162549E-4</v>
      </c>
      <c r="U67" s="12">
        <f>output!J117/SUM(output!J$115:J$118)</f>
        <v>2.012816507187909E-3</v>
      </c>
      <c r="W67" s="18">
        <v>2</v>
      </c>
      <c r="X67" s="12">
        <f t="shared" si="15"/>
        <v>-2.8132449494505413E-4</v>
      </c>
      <c r="Y67" s="12">
        <f t="shared" si="15"/>
        <v>-6.1195626611362536E-4</v>
      </c>
      <c r="Z67" s="12">
        <f t="shared" si="15"/>
        <v>6.5688157477454181E-3</v>
      </c>
      <c r="AA67" s="12">
        <f t="shared" si="15"/>
        <v>-1.1054400916059013E-3</v>
      </c>
      <c r="AB67" s="12">
        <f t="shared" si="15"/>
        <v>-5.588727662793738E-4</v>
      </c>
      <c r="AC67" s="12">
        <f t="shared" si="15"/>
        <v>7.2222571123531994E-4</v>
      </c>
      <c r="AD67" s="12">
        <f t="shared" si="15"/>
        <v>3.182719952471382E-5</v>
      </c>
      <c r="AE67" s="12">
        <f t="shared" si="15"/>
        <v>2.3142663500162549E-4</v>
      </c>
      <c r="AF67" s="12">
        <f t="shared" si="15"/>
        <v>3.0230117313105793E-4</v>
      </c>
    </row>
    <row r="68" spans="1:32" x14ac:dyDescent="0.2">
      <c r="A68" s="23" t="s">
        <v>116</v>
      </c>
      <c r="B68" s="12">
        <f>output_NHTS!B118/SUM(output_NHTS!B$115:B$118)</f>
        <v>0</v>
      </c>
      <c r="C68" s="12">
        <f>output_NHTS!C118/SUM(output_NHTS!C$115:C$118)</f>
        <v>0</v>
      </c>
      <c r="D68" s="12">
        <f>output_NHTS!D118/SUM(output_NHTS!D$115:D$118)</f>
        <v>0</v>
      </c>
      <c r="E68" s="12">
        <f>output_NHTS!E118/SUM(output_NHTS!E$115:E$118)</f>
        <v>0</v>
      </c>
      <c r="F68" s="12">
        <f>output_NHTS!F118/SUM(output_NHTS!F$115:F$118)</f>
        <v>0</v>
      </c>
      <c r="G68" s="12">
        <f>output_NHTS!G118/SUM(output_NHTS!G$115:G$118)</f>
        <v>0</v>
      </c>
      <c r="H68" s="12">
        <f>output_NHTS!H118/SUM(output_NHTS!H$115:H$118)</f>
        <v>0</v>
      </c>
      <c r="I68" s="12">
        <f>output_NHTS!I118/SUM(output_NHTS!I$115:I$118)</f>
        <v>0</v>
      </c>
      <c r="J68" s="12">
        <f>output_NHTS!J118/SUM(output_NHTS!J$115:J$118)</f>
        <v>0</v>
      </c>
      <c r="L68" s="23" t="s">
        <v>116</v>
      </c>
      <c r="M68" s="13">
        <f>output!B118/SUM(output!B$115:B$118)</f>
        <v>0</v>
      </c>
      <c r="N68" s="13">
        <f>output!C118/SUM(output!C$115:C$118)</f>
        <v>0</v>
      </c>
      <c r="O68" s="13">
        <f>output!D118/SUM(output!D$115:D$118)</f>
        <v>0</v>
      </c>
      <c r="P68" s="13">
        <f>output!E118/SUM(output!E$115:E$118)</f>
        <v>0</v>
      </c>
      <c r="Q68" s="13">
        <f>output!F118/SUM(output!F$115:F$118)</f>
        <v>0</v>
      </c>
      <c r="R68" s="13">
        <f>output!G118/SUM(output!G$115:G$118)</f>
        <v>0</v>
      </c>
      <c r="S68" s="30">
        <f>output!H118/SUM(output!H$115:H$118)</f>
        <v>0</v>
      </c>
      <c r="T68" s="30">
        <f>output!I118/SUM(output!I$115:I$118)</f>
        <v>0</v>
      </c>
      <c r="U68" s="13">
        <f>output!J118/SUM(output!J$115:J$118)</f>
        <v>0</v>
      </c>
      <c r="W68" s="23" t="s">
        <v>116</v>
      </c>
      <c r="X68" s="12">
        <f t="shared" si="15"/>
        <v>0</v>
      </c>
      <c r="Y68" s="12">
        <f t="shared" si="15"/>
        <v>0</v>
      </c>
      <c r="Z68" s="12">
        <f t="shared" si="15"/>
        <v>0</v>
      </c>
      <c r="AA68" s="12">
        <f t="shared" si="15"/>
        <v>0</v>
      </c>
      <c r="AB68" s="12">
        <f t="shared" si="15"/>
        <v>0</v>
      </c>
      <c r="AC68" s="12">
        <f t="shared" si="15"/>
        <v>0</v>
      </c>
      <c r="AD68" s="12">
        <f t="shared" si="15"/>
        <v>0</v>
      </c>
      <c r="AE68" s="12">
        <f t="shared" si="15"/>
        <v>0</v>
      </c>
      <c r="AF68" s="12">
        <f t="shared" si="15"/>
        <v>0</v>
      </c>
    </row>
    <row r="69" spans="1:32" ht="13.5" thickBot="1" x14ac:dyDescent="0.25">
      <c r="A69" s="21" t="s">
        <v>221</v>
      </c>
      <c r="B69" s="14">
        <f t="shared" ref="B69:J69" si="16">SUM(B65:B68)</f>
        <v>1</v>
      </c>
      <c r="C69" s="14">
        <f t="shared" si="16"/>
        <v>0.99999999999999989</v>
      </c>
      <c r="D69" s="14">
        <f t="shared" si="16"/>
        <v>1</v>
      </c>
      <c r="E69" s="14">
        <f t="shared" si="16"/>
        <v>0.99999999999999989</v>
      </c>
      <c r="F69" s="14">
        <f t="shared" si="16"/>
        <v>1</v>
      </c>
      <c r="G69" s="14">
        <f t="shared" si="16"/>
        <v>1</v>
      </c>
      <c r="H69" s="14">
        <f t="shared" si="16"/>
        <v>1</v>
      </c>
      <c r="I69" s="14">
        <f t="shared" si="16"/>
        <v>1</v>
      </c>
      <c r="J69" s="14">
        <f t="shared" si="16"/>
        <v>1</v>
      </c>
      <c r="L69" s="21" t="s">
        <v>221</v>
      </c>
      <c r="M69" s="14">
        <f>SUM(M65:M68)</f>
        <v>1</v>
      </c>
      <c r="N69" s="14">
        <f t="shared" ref="N69:U69" si="17">SUM(N65:N68)</f>
        <v>1</v>
      </c>
      <c r="O69" s="14">
        <f t="shared" si="17"/>
        <v>1</v>
      </c>
      <c r="P69" s="14">
        <f t="shared" si="17"/>
        <v>1</v>
      </c>
      <c r="Q69" s="14">
        <f t="shared" si="17"/>
        <v>1</v>
      </c>
      <c r="R69" s="14">
        <f t="shared" si="17"/>
        <v>1</v>
      </c>
      <c r="S69" s="14">
        <f t="shared" si="17"/>
        <v>0.99999999999999989</v>
      </c>
      <c r="T69" s="14">
        <f t="shared" si="17"/>
        <v>1</v>
      </c>
      <c r="U69" s="14">
        <f t="shared" si="17"/>
        <v>1</v>
      </c>
      <c r="W69" s="21" t="s">
        <v>221</v>
      </c>
      <c r="X69" s="14">
        <f t="shared" si="15"/>
        <v>0</v>
      </c>
      <c r="Y69" s="14">
        <f t="shared" si="15"/>
        <v>0</v>
      </c>
      <c r="Z69" s="14">
        <f t="shared" si="15"/>
        <v>0</v>
      </c>
      <c r="AA69" s="14">
        <f t="shared" si="15"/>
        <v>0</v>
      </c>
      <c r="AB69" s="14">
        <f t="shared" si="15"/>
        <v>0</v>
      </c>
      <c r="AC69" s="14">
        <f t="shared" si="15"/>
        <v>0</v>
      </c>
      <c r="AD69" s="14">
        <f t="shared" si="15"/>
        <v>0</v>
      </c>
      <c r="AE69" s="14">
        <f t="shared" si="15"/>
        <v>0</v>
      </c>
      <c r="AF69" s="14">
        <f t="shared" si="15"/>
        <v>0</v>
      </c>
    </row>
    <row r="70" spans="1:32" x14ac:dyDescent="0.2">
      <c r="B70" s="12"/>
      <c r="C70" s="12"/>
      <c r="D70" s="12"/>
      <c r="E70" s="12"/>
      <c r="F70" s="12"/>
      <c r="G70" s="12"/>
      <c r="H70" s="12"/>
      <c r="I70" s="12"/>
      <c r="J70" s="12"/>
      <c r="M70" s="12"/>
      <c r="N70" s="12"/>
      <c r="O70" s="12"/>
      <c r="P70" s="12"/>
      <c r="Q70" s="12"/>
      <c r="R70" s="12"/>
      <c r="S70" s="12"/>
      <c r="T70" s="12"/>
      <c r="U70" s="12"/>
      <c r="X70" s="12"/>
      <c r="Y70" s="12"/>
      <c r="Z70" s="12"/>
      <c r="AA70" s="12"/>
      <c r="AB70" s="12"/>
      <c r="AC70" s="12"/>
      <c r="AD70" s="12"/>
      <c r="AE70" s="12"/>
      <c r="AF70" s="12"/>
    </row>
    <row r="71" spans="1:32" x14ac:dyDescent="0.2">
      <c r="B71" s="12"/>
      <c r="C71" s="12"/>
      <c r="D71" s="12"/>
      <c r="E71" s="12"/>
      <c r="F71" s="12"/>
      <c r="G71" s="12"/>
      <c r="H71" s="12"/>
      <c r="I71" s="12"/>
      <c r="J71" s="12"/>
      <c r="M71" s="12"/>
      <c r="N71" s="12"/>
      <c r="O71" s="12"/>
      <c r="P71" s="12"/>
      <c r="Q71" s="12"/>
      <c r="R71" s="12"/>
      <c r="S71" s="12"/>
      <c r="T71" s="12"/>
      <c r="U71" s="12"/>
      <c r="X71" s="12"/>
      <c r="Y71" s="12"/>
      <c r="Z71" s="12"/>
      <c r="AA71" s="12"/>
      <c r="AB71" s="12"/>
      <c r="AC71" s="12"/>
      <c r="AD71" s="12"/>
      <c r="AE71" s="12"/>
      <c r="AF71" s="12"/>
    </row>
    <row r="72" spans="1:32" x14ac:dyDescent="0.2">
      <c r="B72" s="12"/>
      <c r="C72" s="12"/>
      <c r="D72" s="12"/>
      <c r="E72" s="12"/>
      <c r="F72" s="12"/>
      <c r="G72" s="12"/>
      <c r="H72" s="12"/>
      <c r="I72" s="12"/>
      <c r="J72" s="12"/>
      <c r="M72" s="12"/>
      <c r="N72" s="12"/>
      <c r="O72" s="12"/>
      <c r="P72" s="12"/>
      <c r="Q72" s="12"/>
      <c r="R72" s="12"/>
      <c r="S72" s="12"/>
      <c r="T72" s="12"/>
      <c r="U72" s="12"/>
      <c r="X72" s="12"/>
      <c r="Y72" s="12"/>
      <c r="Z72" s="12"/>
      <c r="AA72" s="12"/>
      <c r="AB72" s="12"/>
      <c r="AC72" s="12"/>
      <c r="AD72" s="12"/>
      <c r="AE72" s="12"/>
      <c r="AF72" s="12"/>
    </row>
    <row r="73" spans="1:32" x14ac:dyDescent="0.2">
      <c r="A73" s="2" t="s">
        <v>175</v>
      </c>
      <c r="B73" s="12"/>
      <c r="C73" s="12"/>
      <c r="D73" s="12"/>
      <c r="E73" s="12"/>
      <c r="F73" s="12"/>
      <c r="G73" s="12"/>
      <c r="H73" s="12"/>
      <c r="I73" s="12"/>
      <c r="J73" s="12"/>
      <c r="L73" s="2" t="s">
        <v>175</v>
      </c>
      <c r="M73" s="12"/>
      <c r="N73" s="12"/>
      <c r="O73" s="12"/>
      <c r="P73" s="12"/>
      <c r="Q73" s="12"/>
      <c r="R73" s="12"/>
      <c r="S73" s="12"/>
      <c r="T73" s="12"/>
      <c r="U73" s="12"/>
      <c r="W73" s="2" t="s">
        <v>175</v>
      </c>
      <c r="X73" s="12"/>
      <c r="Y73" s="12"/>
      <c r="Z73" s="12"/>
      <c r="AA73" s="12"/>
      <c r="AB73" s="12"/>
      <c r="AC73" s="12"/>
      <c r="AD73" s="12"/>
      <c r="AE73" s="12"/>
      <c r="AF73" s="12"/>
    </row>
    <row r="74" spans="1:32" x14ac:dyDescent="0.2">
      <c r="A74" s="2" t="s">
        <v>77</v>
      </c>
      <c r="B74" s="12"/>
      <c r="C74" s="12"/>
      <c r="D74" s="12"/>
      <c r="E74" s="12"/>
      <c r="F74" s="12"/>
      <c r="G74" s="12"/>
      <c r="H74" s="12"/>
      <c r="I74" s="12"/>
      <c r="J74" s="12"/>
      <c r="L74" s="2" t="s">
        <v>86</v>
      </c>
      <c r="M74" s="12"/>
      <c r="N74" s="12"/>
      <c r="O74" s="12"/>
      <c r="P74" s="12"/>
      <c r="Q74" s="12"/>
      <c r="R74" s="12"/>
      <c r="S74" s="12"/>
      <c r="T74" s="12"/>
      <c r="U74" s="12"/>
      <c r="W74" s="2" t="s">
        <v>151</v>
      </c>
      <c r="X74" s="12"/>
      <c r="Y74" s="12"/>
      <c r="Z74" s="12"/>
      <c r="AA74" s="12"/>
      <c r="AB74" s="12"/>
      <c r="AC74" s="12"/>
      <c r="AD74" s="12"/>
      <c r="AE74" s="12"/>
      <c r="AF74" s="12"/>
    </row>
    <row r="75" spans="1:32" ht="13.5" thickBot="1" x14ac:dyDescent="0.25">
      <c r="A75" s="2"/>
      <c r="B75" s="4"/>
      <c r="C75" s="4"/>
      <c r="D75" s="4"/>
      <c r="E75" s="4"/>
      <c r="F75" s="4"/>
      <c r="G75" s="4"/>
      <c r="H75" s="4"/>
      <c r="I75" s="4"/>
      <c r="J75" s="4"/>
      <c r="L75" s="2"/>
      <c r="M75" s="4"/>
      <c r="N75" s="4"/>
      <c r="O75" s="4"/>
      <c r="P75" s="4"/>
      <c r="Q75" s="4"/>
      <c r="R75" s="4"/>
      <c r="S75" s="4"/>
      <c r="T75" s="4"/>
      <c r="U75" s="4"/>
      <c r="W75" s="2"/>
      <c r="X75" s="4"/>
      <c r="Y75" s="4"/>
      <c r="Z75" s="4"/>
      <c r="AA75" s="4"/>
      <c r="AB75" s="4"/>
      <c r="AC75" s="4"/>
      <c r="AD75" s="4"/>
      <c r="AE75" s="4"/>
      <c r="AF75" s="4"/>
    </row>
    <row r="76" spans="1:32" x14ac:dyDescent="0.2">
      <c r="A76" s="5" t="s">
        <v>115</v>
      </c>
      <c r="B76" s="6" t="s">
        <v>146</v>
      </c>
      <c r="C76" s="6" t="s">
        <v>147</v>
      </c>
      <c r="D76" s="6" t="s">
        <v>148</v>
      </c>
      <c r="E76" s="6" t="s">
        <v>243</v>
      </c>
      <c r="F76" s="6" t="s">
        <v>244</v>
      </c>
      <c r="G76" s="6" t="s">
        <v>245</v>
      </c>
      <c r="H76" s="6" t="s">
        <v>246</v>
      </c>
      <c r="I76" s="6" t="s">
        <v>170</v>
      </c>
      <c r="J76" s="6" t="s">
        <v>221</v>
      </c>
      <c r="L76" s="5" t="s">
        <v>115</v>
      </c>
      <c r="M76" s="6" t="s">
        <v>146</v>
      </c>
      <c r="N76" s="6" t="s">
        <v>147</v>
      </c>
      <c r="O76" s="6" t="s">
        <v>148</v>
      </c>
      <c r="P76" s="6" t="s">
        <v>243</v>
      </c>
      <c r="Q76" s="6" t="s">
        <v>244</v>
      </c>
      <c r="R76" s="6" t="s">
        <v>245</v>
      </c>
      <c r="S76" s="6" t="s">
        <v>246</v>
      </c>
      <c r="T76" s="6" t="s">
        <v>170</v>
      </c>
      <c r="U76" s="6" t="s">
        <v>221</v>
      </c>
      <c r="W76" s="5" t="s">
        <v>115</v>
      </c>
      <c r="X76" s="6" t="s">
        <v>146</v>
      </c>
      <c r="Y76" s="6" t="s">
        <v>147</v>
      </c>
      <c r="Z76" s="6" t="s">
        <v>148</v>
      </c>
      <c r="AA76" s="6" t="s">
        <v>243</v>
      </c>
      <c r="AB76" s="6" t="s">
        <v>244</v>
      </c>
      <c r="AC76" s="6" t="s">
        <v>245</v>
      </c>
      <c r="AD76" s="6" t="s">
        <v>246</v>
      </c>
      <c r="AE76" s="6" t="s">
        <v>170</v>
      </c>
      <c r="AF76" s="6" t="s">
        <v>221</v>
      </c>
    </row>
    <row r="77" spans="1:32" x14ac:dyDescent="0.2">
      <c r="A77" s="18">
        <v>0</v>
      </c>
      <c r="B77" s="12">
        <f>output_NHTS!B122/SUM(output_NHTS!B$122:B$125)</f>
        <v>0.84960882820616623</v>
      </c>
      <c r="C77" s="12">
        <f>output_NHTS!C122/SUM(output_NHTS!C$122:C$125)</f>
        <v>0.76931364591099305</v>
      </c>
      <c r="D77" s="12">
        <f>output_NHTS!D122/SUM(output_NHTS!D$122:D$125)</f>
        <v>0.7312416778446118</v>
      </c>
      <c r="E77" s="12">
        <f>output_NHTS!E122/SUM(output_NHTS!E$122:E$125)</f>
        <v>0.73787528246720469</v>
      </c>
      <c r="F77" s="12">
        <f>output_NHTS!F122/SUM(output_NHTS!F$122:F$125)</f>
        <v>0.85807083321974464</v>
      </c>
      <c r="G77" s="12">
        <f>output_NHTS!G122/SUM(output_NHTS!G$122:G$125)</f>
        <v>0.86572879854034612</v>
      </c>
      <c r="H77" s="12">
        <f>output_NHTS!H122/SUM(output_NHTS!H$122:H$125)</f>
        <v>0.81952771365051713</v>
      </c>
      <c r="I77" s="12">
        <f>output_NHTS!I122/SUM(output_NHTS!I$122:I$125)</f>
        <v>0.70988636969178764</v>
      </c>
      <c r="J77" s="12">
        <f>output_NHTS!J122/SUM(output_NHTS!J$122:J$125)</f>
        <v>0.79790226439105039</v>
      </c>
      <c r="L77" s="18">
        <v>0</v>
      </c>
      <c r="M77" s="12">
        <f>output!B122/SUM(output!B$122:B$125)</f>
        <v>0.81837341715279477</v>
      </c>
      <c r="N77" s="12">
        <f>output!C122/SUM(output!C$122:C$125)</f>
        <v>0.70150498626863933</v>
      </c>
      <c r="O77" s="12">
        <f>output!D122/SUM(output!D$122:D$125)</f>
        <v>0.67496874760823533</v>
      </c>
      <c r="P77" s="12">
        <f>output!E122/SUM(output!E$122:E$125)</f>
        <v>0.64750219621239091</v>
      </c>
      <c r="Q77" s="12">
        <f>output!F122/SUM(output!F$122:F$125)</f>
        <v>0.88966146427291393</v>
      </c>
      <c r="R77" s="12">
        <f>output!G122/SUM(output!G$122:G$125)</f>
        <v>0.85797274382968036</v>
      </c>
      <c r="S77" s="28">
        <f>output!H122/SUM(output!H$122:H$125)</f>
        <v>0.74549645126725295</v>
      </c>
      <c r="T77" s="28">
        <f>output!I122/SUM(output!I$122:I$125)</f>
        <v>0.60131251962993781</v>
      </c>
      <c r="U77" s="12">
        <f>output!J122/SUM(output!J$122:J$125)</f>
        <v>0.75242717746049592</v>
      </c>
      <c r="W77" s="18">
        <v>0</v>
      </c>
      <c r="X77" s="12">
        <f t="shared" ref="X77:AF81" si="18">M77-B77</f>
        <v>-3.1235411053371465E-2</v>
      </c>
      <c r="Y77" s="12">
        <f t="shared" si="18"/>
        <v>-6.7808659642353719E-2</v>
      </c>
      <c r="Z77" s="12">
        <f t="shared" si="18"/>
        <v>-5.6272930236376473E-2</v>
      </c>
      <c r="AA77" s="12">
        <f t="shared" si="18"/>
        <v>-9.0373086254813773E-2</v>
      </c>
      <c r="AB77" s="12">
        <f t="shared" si="18"/>
        <v>3.1590631053169282E-2</v>
      </c>
      <c r="AC77" s="12">
        <f t="shared" si="18"/>
        <v>-7.7560547106657607E-3</v>
      </c>
      <c r="AD77" s="12">
        <f t="shared" si="18"/>
        <v>-7.4031262383264185E-2</v>
      </c>
      <c r="AE77" s="12">
        <f t="shared" si="18"/>
        <v>-0.10857385006184983</v>
      </c>
      <c r="AF77" s="12">
        <f t="shared" si="18"/>
        <v>-4.5475086930554465E-2</v>
      </c>
    </row>
    <row r="78" spans="1:32" x14ac:dyDescent="0.2">
      <c r="A78" s="18">
        <v>1</v>
      </c>
      <c r="B78" s="12">
        <f>output_NHTS!B123/SUM(output_NHTS!B$122:B$125)</f>
        <v>0.13030770507422937</v>
      </c>
      <c r="C78" s="12">
        <f>output_NHTS!C123/SUM(output_NHTS!C$122:C$125)</f>
        <v>0.18219793646798788</v>
      </c>
      <c r="D78" s="12">
        <f>output_NHTS!D123/SUM(output_NHTS!D$122:D$125)</f>
        <v>0.24198689166247078</v>
      </c>
      <c r="E78" s="12">
        <f>output_NHTS!E123/SUM(output_NHTS!E$122:E$125)</f>
        <v>0.22142525971625765</v>
      </c>
      <c r="F78" s="12">
        <f>output_NHTS!F123/SUM(output_NHTS!F$122:F$125)</f>
        <v>0.12266186049841354</v>
      </c>
      <c r="G78" s="12">
        <f>output_NHTS!G123/SUM(output_NHTS!G$122:G$125)</f>
        <v>0.10453956473648339</v>
      </c>
      <c r="H78" s="12">
        <f>output_NHTS!H123/SUM(output_NHTS!H$122:H$125)</f>
        <v>0.15878162425958914</v>
      </c>
      <c r="I78" s="12">
        <f>output_NHTS!I123/SUM(output_NHTS!I$122:I$125)</f>
        <v>0.24649408961530292</v>
      </c>
      <c r="J78" s="12">
        <f>output_NHTS!J123/SUM(output_NHTS!J$122:J$125)</f>
        <v>0.17320826809392195</v>
      </c>
      <c r="L78" s="18">
        <v>1</v>
      </c>
      <c r="M78" s="12">
        <f>output!B123/SUM(output!B$122:B$125)</f>
        <v>0.16358772951341205</v>
      </c>
      <c r="N78" s="12">
        <f>output!C123/SUM(output!C$122:C$125)</f>
        <v>0.2607647311639969</v>
      </c>
      <c r="O78" s="12">
        <f>output!D123/SUM(output!D$122:D$125)</f>
        <v>0.27367209225195804</v>
      </c>
      <c r="P78" s="12">
        <f>output!E123/SUM(output!E$122:E$125)</f>
        <v>0.29761372134718445</v>
      </c>
      <c r="Q78" s="12">
        <f>output!F123/SUM(output!F$122:F$125)</f>
        <v>0.10110455833957838</v>
      </c>
      <c r="R78" s="12">
        <f>output!G123/SUM(output!G$122:G$125)</f>
        <v>0.1272687307668153</v>
      </c>
      <c r="S78" s="28">
        <f>output!H123/SUM(output!H$122:H$125)</f>
        <v>0.23102568455001643</v>
      </c>
      <c r="T78" s="28">
        <f>output!I123/SUM(output!I$122:I$125)</f>
        <v>0.33852206542761581</v>
      </c>
      <c r="U78" s="12">
        <f>output!J123/SUM(output!J$122:J$125)</f>
        <v>0.21680800999228642</v>
      </c>
      <c r="W78" s="18">
        <v>1</v>
      </c>
      <c r="X78" s="12">
        <f t="shared" si="18"/>
        <v>3.3280024439182682E-2</v>
      </c>
      <c r="Y78" s="12">
        <f t="shared" si="18"/>
        <v>7.8566794696009024E-2</v>
      </c>
      <c r="Z78" s="12">
        <f t="shared" si="18"/>
        <v>3.1685200589487261E-2</v>
      </c>
      <c r="AA78" s="12">
        <f t="shared" si="18"/>
        <v>7.6188461630926796E-2</v>
      </c>
      <c r="AB78" s="12">
        <f t="shared" si="18"/>
        <v>-2.1557302158835168E-2</v>
      </c>
      <c r="AC78" s="12">
        <f t="shared" si="18"/>
        <v>2.2729166030331913E-2</v>
      </c>
      <c r="AD78" s="12">
        <f t="shared" si="18"/>
        <v>7.2244060290427292E-2</v>
      </c>
      <c r="AE78" s="12">
        <f t="shared" si="18"/>
        <v>9.2027975812312895E-2</v>
      </c>
      <c r="AF78" s="12">
        <f t="shared" si="18"/>
        <v>4.3599741898364464E-2</v>
      </c>
    </row>
    <row r="79" spans="1:32" x14ac:dyDescent="0.2">
      <c r="A79" s="18">
        <v>2</v>
      </c>
      <c r="B79" s="12">
        <f>output_NHTS!B124/SUM(output_NHTS!B$122:B$125)</f>
        <v>1.8556926425398145E-2</v>
      </c>
      <c r="C79" s="12">
        <f>output_NHTS!C124/SUM(output_NHTS!C$122:C$125)</f>
        <v>4.3932706996122693E-2</v>
      </c>
      <c r="D79" s="12">
        <f>output_NHTS!D124/SUM(output_NHTS!D$122:D$125)</f>
        <v>2.6147282852636986E-2</v>
      </c>
      <c r="E79" s="12">
        <f>output_NHTS!E124/SUM(output_NHTS!E$122:E$125)</f>
        <v>3.4948863715328307E-2</v>
      </c>
      <c r="F79" s="12">
        <f>output_NHTS!F124/SUM(output_NHTS!F$122:F$125)</f>
        <v>1.6814323822831906E-2</v>
      </c>
      <c r="G79" s="12">
        <f>output_NHTS!G124/SUM(output_NHTS!G$122:G$125)</f>
        <v>2.9731636723170519E-2</v>
      </c>
      <c r="H79" s="12">
        <f>output_NHTS!H124/SUM(output_NHTS!H$122:H$125)</f>
        <v>1.7218207800983105E-2</v>
      </c>
      <c r="I79" s="12">
        <f>output_NHTS!I124/SUM(output_NHTS!I$122:I$125)</f>
        <v>4.300028090803483E-2</v>
      </c>
      <c r="J79" s="12">
        <f>output_NHTS!J124/SUM(output_NHTS!J$122:J$125)</f>
        <v>2.6153780253073577E-2</v>
      </c>
      <c r="L79" s="18">
        <v>2</v>
      </c>
      <c r="M79" s="12">
        <f>output!B124/SUM(output!B$122:B$125)</f>
        <v>1.6523059579771144E-2</v>
      </c>
      <c r="N79" s="12">
        <f>output!C124/SUM(output!C$122:C$125)</f>
        <v>3.4393962572025906E-2</v>
      </c>
      <c r="O79" s="12">
        <f>output!D124/SUM(output!D$122:D$125)</f>
        <v>4.6897721764420745E-2</v>
      </c>
      <c r="P79" s="12">
        <f>output!E124/SUM(output!E$122:E$125)</f>
        <v>4.9985467442171853E-2</v>
      </c>
      <c r="Q79" s="12">
        <f>output!F124/SUM(output!F$122:F$125)</f>
        <v>8.5953536867485573E-3</v>
      </c>
      <c r="R79" s="12">
        <f>output!G124/SUM(output!G$122:G$125)</f>
        <v>1.3675186836651384E-2</v>
      </c>
      <c r="S79" s="28">
        <f>output!H124/SUM(output!H$122:H$125)</f>
        <v>2.1334832748066499E-2</v>
      </c>
      <c r="T79" s="28">
        <f>output!I124/SUM(output!I$122:I$125)</f>
        <v>5.4996886760743428E-2</v>
      </c>
      <c r="U79" s="12">
        <f>output!J124/SUM(output!J$122:J$125)</f>
        <v>2.8095729105709125E-2</v>
      </c>
      <c r="W79" s="18">
        <v>2</v>
      </c>
      <c r="X79" s="12">
        <f t="shared" si="18"/>
        <v>-2.0338668456270012E-3</v>
      </c>
      <c r="Y79" s="12">
        <f t="shared" si="18"/>
        <v>-9.5387444240967872E-3</v>
      </c>
      <c r="Z79" s="12">
        <f t="shared" si="18"/>
        <v>2.0750438911783759E-2</v>
      </c>
      <c r="AA79" s="12">
        <f t="shared" si="18"/>
        <v>1.5036603726843546E-2</v>
      </c>
      <c r="AB79" s="12">
        <f t="shared" si="18"/>
        <v>-8.2189701360833485E-3</v>
      </c>
      <c r="AC79" s="12">
        <f t="shared" si="18"/>
        <v>-1.6056449886519136E-2</v>
      </c>
      <c r="AD79" s="12">
        <f t="shared" si="18"/>
        <v>4.1166249470833936E-3</v>
      </c>
      <c r="AE79" s="12">
        <f t="shared" si="18"/>
        <v>1.1996605852708599E-2</v>
      </c>
      <c r="AF79" s="12">
        <f t="shared" si="18"/>
        <v>1.9419488526355479E-3</v>
      </c>
    </row>
    <row r="80" spans="1:32" x14ac:dyDescent="0.2">
      <c r="A80" s="23" t="s">
        <v>116</v>
      </c>
      <c r="B80" s="12">
        <f>output_NHTS!B125/SUM(output_NHTS!B$122:B$125)</f>
        <v>1.5265402942062434E-3</v>
      </c>
      <c r="C80" s="12">
        <f>output_NHTS!C125/SUM(output_NHTS!C$122:C$125)</f>
        <v>4.555710624896364E-3</v>
      </c>
      <c r="D80" s="12">
        <f>output_NHTS!D125/SUM(output_NHTS!D$122:D$125)</f>
        <v>6.2414764028044154E-4</v>
      </c>
      <c r="E80" s="12">
        <f>output_NHTS!E125/SUM(output_NHTS!E$122:E$125)</f>
        <v>5.7505941012093312E-3</v>
      </c>
      <c r="F80" s="12">
        <f>output_NHTS!F125/SUM(output_NHTS!F$122:F$125)</f>
        <v>2.452982459009823E-3</v>
      </c>
      <c r="G80" s="12">
        <f>output_NHTS!G125/SUM(output_NHTS!G$122:G$125)</f>
        <v>0</v>
      </c>
      <c r="H80" s="12">
        <f>output_NHTS!H125/SUM(output_NHTS!H$122:H$125)</f>
        <v>4.4724542889107441E-3</v>
      </c>
      <c r="I80" s="12">
        <f>output_NHTS!I125/SUM(output_NHTS!I$122:I$125)</f>
        <v>6.1925978487460936E-4</v>
      </c>
      <c r="J80" s="12">
        <f>output_NHTS!J125/SUM(output_NHTS!J$122:J$125)</f>
        <v>2.7356872619540206E-3</v>
      </c>
      <c r="L80" s="23" t="s">
        <v>116</v>
      </c>
      <c r="M80" s="13">
        <f>output!B125/SUM(output!B$122:B$125)</f>
        <v>1.5157937540220725E-3</v>
      </c>
      <c r="N80" s="13">
        <f>output!C125/SUM(output!C$122:C$125)</f>
        <v>3.3363199953378936E-3</v>
      </c>
      <c r="O80" s="13">
        <f>output!D125/SUM(output!D$122:D$125)</f>
        <v>4.4614383753858716E-3</v>
      </c>
      <c r="P80" s="13">
        <f>output!E125/SUM(output!E$122:E$125)</f>
        <v>4.8986149982528275E-3</v>
      </c>
      <c r="Q80" s="13">
        <f>output!F125/SUM(output!F$122:F$125)</f>
        <v>6.3862370075918023E-4</v>
      </c>
      <c r="R80" s="13">
        <f>output!G125/SUM(output!G$122:G$125)</f>
        <v>1.08333856685298E-3</v>
      </c>
      <c r="S80" s="30">
        <f>output!H125/SUM(output!H$122:H$125)</f>
        <v>2.143031434664064E-3</v>
      </c>
      <c r="T80" s="30">
        <f>output!I125/SUM(output!I$122:I$125)</f>
        <v>5.168528181702969E-3</v>
      </c>
      <c r="U80" s="13">
        <f>output!J125/SUM(output!J$122:J$125)</f>
        <v>2.6690834415085407E-3</v>
      </c>
      <c r="W80" s="23" t="s">
        <v>116</v>
      </c>
      <c r="X80" s="12">
        <f t="shared" si="18"/>
        <v>-1.0746540184170894E-5</v>
      </c>
      <c r="Y80" s="12">
        <f t="shared" si="18"/>
        <v>-1.2193906295584703E-3</v>
      </c>
      <c r="Z80" s="12">
        <f t="shared" si="18"/>
        <v>3.8372907351054298E-3</v>
      </c>
      <c r="AA80" s="12">
        <f t="shared" si="18"/>
        <v>-8.5197910295650367E-4</v>
      </c>
      <c r="AB80" s="12">
        <f t="shared" si="18"/>
        <v>-1.8143587582506427E-3</v>
      </c>
      <c r="AC80" s="12">
        <f t="shared" si="18"/>
        <v>1.08333856685298E-3</v>
      </c>
      <c r="AD80" s="12">
        <f t="shared" si="18"/>
        <v>-2.3294228542466802E-3</v>
      </c>
      <c r="AE80" s="12">
        <f t="shared" si="18"/>
        <v>4.5492683968283596E-3</v>
      </c>
      <c r="AF80" s="12">
        <f t="shared" si="18"/>
        <v>-6.6603820445479932E-5</v>
      </c>
    </row>
    <row r="81" spans="1:32" ht="13.5" thickBot="1" x14ac:dyDescent="0.25">
      <c r="A81" s="21" t="s">
        <v>221</v>
      </c>
      <c r="B81" s="14">
        <f t="shared" ref="B81:J81" si="19">SUM(B77:B80)</f>
        <v>1</v>
      </c>
      <c r="C81" s="14">
        <f t="shared" si="19"/>
        <v>1</v>
      </c>
      <c r="D81" s="14">
        <f t="shared" si="19"/>
        <v>1</v>
      </c>
      <c r="E81" s="14">
        <f t="shared" si="19"/>
        <v>1</v>
      </c>
      <c r="F81" s="14">
        <f t="shared" si="19"/>
        <v>0.99999999999999989</v>
      </c>
      <c r="G81" s="14">
        <f t="shared" si="19"/>
        <v>1</v>
      </c>
      <c r="H81" s="14">
        <f t="shared" si="19"/>
        <v>1.0000000000000002</v>
      </c>
      <c r="I81" s="14">
        <f t="shared" si="19"/>
        <v>1</v>
      </c>
      <c r="J81" s="14">
        <f t="shared" si="19"/>
        <v>1</v>
      </c>
      <c r="L81" s="21" t="s">
        <v>221</v>
      </c>
      <c r="M81" s="14">
        <f>SUM(M77:M80)</f>
        <v>1</v>
      </c>
      <c r="N81" s="14">
        <f t="shared" ref="N81:U81" si="20">SUM(N77:N80)</f>
        <v>1</v>
      </c>
      <c r="O81" s="14">
        <f t="shared" si="20"/>
        <v>0.99999999999999989</v>
      </c>
      <c r="P81" s="14">
        <f t="shared" si="20"/>
        <v>1</v>
      </c>
      <c r="Q81" s="14">
        <f t="shared" si="20"/>
        <v>1.0000000000000002</v>
      </c>
      <c r="R81" s="14">
        <f t="shared" si="20"/>
        <v>1</v>
      </c>
      <c r="S81" s="14">
        <f t="shared" si="20"/>
        <v>0.99999999999999989</v>
      </c>
      <c r="T81" s="14">
        <f t="shared" si="20"/>
        <v>1</v>
      </c>
      <c r="U81" s="14">
        <f t="shared" si="20"/>
        <v>1</v>
      </c>
      <c r="W81" s="21" t="s">
        <v>221</v>
      </c>
      <c r="X81" s="14">
        <f t="shared" si="18"/>
        <v>0</v>
      </c>
      <c r="Y81" s="14">
        <f t="shared" si="18"/>
        <v>0</v>
      </c>
      <c r="Z81" s="14">
        <f t="shared" si="18"/>
        <v>0</v>
      </c>
      <c r="AA81" s="14">
        <f t="shared" si="18"/>
        <v>0</v>
      </c>
      <c r="AB81" s="14">
        <f t="shared" si="18"/>
        <v>0</v>
      </c>
      <c r="AC81" s="14">
        <f t="shared" si="18"/>
        <v>0</v>
      </c>
      <c r="AD81" s="14">
        <f t="shared" si="18"/>
        <v>0</v>
      </c>
      <c r="AE81" s="14">
        <f t="shared" si="18"/>
        <v>0</v>
      </c>
      <c r="AF81" s="14">
        <f t="shared" si="18"/>
        <v>0</v>
      </c>
    </row>
  </sheetData>
  <phoneticPr fontId="5"/>
  <conditionalFormatting sqref="X5:AF9 X17:AF21 X29:AF33 X41:AF45 X53:AF57 X65:AF69 X77:AF81">
    <cfRule type="cellIs" dxfId="26" priority="1" stopIfTrue="1" operator="notBetween">
      <formula>-0.15</formula>
      <formula>0.15</formula>
    </cfRule>
    <cfRule type="cellIs" dxfId="25" priority="2" stopIfTrue="1" operator="notBetween">
      <formula>-0.1</formula>
      <formula>0.1</formula>
    </cfRule>
    <cfRule type="cellIs" dxfId="24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Q51"/>
  <sheetViews>
    <sheetView workbookViewId="0"/>
  </sheetViews>
  <sheetFormatPr defaultColWidth="10.75" defaultRowHeight="12.75" x14ac:dyDescent="0.2"/>
  <cols>
    <col min="1" max="1" width="21.375" style="3" customWidth="1" collapsed="1"/>
    <col min="2" max="5" width="10.75" style="3" collapsed="1"/>
    <col min="6" max="6" width="21.375" style="3" customWidth="1" collapsed="1"/>
    <col min="7" max="9" width="12.125" style="3" bestFit="1" customWidth="1" collapsed="1"/>
    <col min="10" max="10" width="10.75" style="3" collapsed="1"/>
    <col min="11" max="11" width="21.375" style="3" customWidth="1" collapsed="1"/>
    <col min="12" max="16384" width="10.75" style="3" collapsed="1"/>
  </cols>
  <sheetData>
    <row r="1" spans="1:17" x14ac:dyDescent="0.2">
      <c r="A1" s="2" t="s">
        <v>175</v>
      </c>
      <c r="F1" s="2" t="s">
        <v>175</v>
      </c>
      <c r="J1"/>
      <c r="K1" s="2" t="s">
        <v>175</v>
      </c>
      <c r="O1"/>
      <c r="P1"/>
      <c r="Q1"/>
    </row>
    <row r="2" spans="1:17" x14ac:dyDescent="0.2">
      <c r="A2" s="2" t="s">
        <v>134</v>
      </c>
      <c r="B2" s="35"/>
      <c r="F2" s="2" t="s">
        <v>178</v>
      </c>
      <c r="G2" s="35"/>
      <c r="J2"/>
      <c r="K2" s="2" t="s">
        <v>139</v>
      </c>
      <c r="L2" s="35"/>
      <c r="O2"/>
      <c r="P2"/>
      <c r="Q2"/>
    </row>
    <row r="3" spans="1:17" ht="13.5" thickBot="1" x14ac:dyDescent="0.25">
      <c r="J3"/>
      <c r="O3"/>
      <c r="P3"/>
      <c r="Q3"/>
    </row>
    <row r="4" spans="1:17" x14ac:dyDescent="0.2">
      <c r="A4" s="5" t="s">
        <v>87</v>
      </c>
      <c r="B4" s="6" t="s">
        <v>249</v>
      </c>
      <c r="C4" s="6" t="s">
        <v>250</v>
      </c>
      <c r="D4" s="6" t="s">
        <v>221</v>
      </c>
      <c r="F4" s="5" t="s">
        <v>87</v>
      </c>
      <c r="G4" s="6" t="s">
        <v>249</v>
      </c>
      <c r="H4" s="94" t="s">
        <v>250</v>
      </c>
      <c r="I4" s="6" t="s">
        <v>221</v>
      </c>
      <c r="J4"/>
      <c r="K4" s="5" t="s">
        <v>87</v>
      </c>
      <c r="L4" s="6" t="s">
        <v>249</v>
      </c>
      <c r="M4" s="6" t="s">
        <v>250</v>
      </c>
      <c r="N4" s="6" t="s">
        <v>221</v>
      </c>
      <c r="O4"/>
      <c r="P4"/>
      <c r="Q4"/>
    </row>
    <row r="5" spans="1:17" x14ac:dyDescent="0.2">
      <c r="A5" s="18">
        <v>0</v>
      </c>
      <c r="B5" s="12">
        <f>output_NHTS!B129/SUM(output_NHTS!B$129:B$132)</f>
        <v>0.89312693774968333</v>
      </c>
      <c r="C5" s="12">
        <f>output_NHTS!C129/SUM(output_NHTS!C$129:C$132)</f>
        <v>0.96237549211802642</v>
      </c>
      <c r="D5" s="12">
        <f>output_NHTS!D129/SUM(output_NHTS!D$129:D$132)</f>
        <v>0.90602995041234002</v>
      </c>
      <c r="F5" s="18">
        <v>0</v>
      </c>
      <c r="G5" s="12">
        <f>output!B129/SUM(output!B$129:B$132)</f>
        <v>0.89859627538612741</v>
      </c>
      <c r="H5" s="92">
        <f>output!C129/SUM(output!C$129:C$132)</f>
        <v>0.92249554922255239</v>
      </c>
      <c r="I5" s="12">
        <f>output!D129/SUM(output!D$129:D$132)</f>
        <v>0.90360193672330802</v>
      </c>
      <c r="J5"/>
      <c r="K5" s="18">
        <v>0</v>
      </c>
      <c r="L5" s="12">
        <f t="shared" ref="L5:N9" si="0">G5-B5</f>
        <v>5.4693376364440827E-3</v>
      </c>
      <c r="M5" s="12">
        <f t="shared" si="0"/>
        <v>-3.987994289547403E-2</v>
      </c>
      <c r="N5" s="12">
        <f t="shared" si="0"/>
        <v>-2.4280136890320048E-3</v>
      </c>
      <c r="O5"/>
      <c r="P5"/>
      <c r="Q5"/>
    </row>
    <row r="6" spans="1:17" x14ac:dyDescent="0.2">
      <c r="A6" s="18">
        <v>1</v>
      </c>
      <c r="B6" s="12">
        <f>output_NHTS!B130/SUM(output_NHTS!B$129:B$132)</f>
        <v>9.6255010750026945E-2</v>
      </c>
      <c r="C6" s="12">
        <f>output_NHTS!C130/SUM(output_NHTS!C$129:C$132)</f>
        <v>3.4064479192985504E-2</v>
      </c>
      <c r="D6" s="12">
        <f>output_NHTS!D130/SUM(output_NHTS!D$129:D$132)</f>
        <v>8.4667112294998625E-2</v>
      </c>
      <c r="F6" s="18">
        <v>1</v>
      </c>
      <c r="G6" s="12">
        <f>output!B130/SUM(output!B$129:B$132)</f>
        <v>9.4670258326936735E-2</v>
      </c>
      <c r="H6" s="92">
        <f>output!C130/SUM(output!C$129:C$132)</f>
        <v>7.2870903761668479E-2</v>
      </c>
      <c r="I6" s="12">
        <f>output!D130/SUM(output!D$129:D$132)</f>
        <v>9.0104421428723339E-2</v>
      </c>
      <c r="J6"/>
      <c r="K6" s="18">
        <v>1</v>
      </c>
      <c r="L6" s="12">
        <f t="shared" si="0"/>
        <v>-1.5847524230902105E-3</v>
      </c>
      <c r="M6" s="12">
        <f t="shared" si="0"/>
        <v>3.8806424568682975E-2</v>
      </c>
      <c r="N6" s="12">
        <f t="shared" si="0"/>
        <v>5.4373091337247131E-3</v>
      </c>
      <c r="O6"/>
      <c r="P6"/>
      <c r="Q6"/>
    </row>
    <row r="7" spans="1:17" x14ac:dyDescent="0.2">
      <c r="A7" s="18">
        <v>2</v>
      </c>
      <c r="B7" s="12">
        <f>output_NHTS!B131/SUM(output_NHTS!B$129:B$132)</f>
        <v>9.8583929438780162E-3</v>
      </c>
      <c r="C7" s="12">
        <f>output_NHTS!C131/SUM(output_NHTS!C$129:C$132)</f>
        <v>3.5600286889880994E-3</v>
      </c>
      <c r="D7" s="12">
        <f>output_NHTS!D131/SUM(output_NHTS!D$129:D$132)</f>
        <v>8.6848251419771368E-3</v>
      </c>
      <c r="F7" s="18">
        <v>2</v>
      </c>
      <c r="G7" s="12">
        <f>output!B131/SUM(output!B$129:B$132)</f>
        <v>6.1479084915744241E-3</v>
      </c>
      <c r="H7" s="92">
        <f>output!C131/SUM(output!C$129:C$132)</f>
        <v>4.2273924198013907E-3</v>
      </c>
      <c r="I7" s="12">
        <f>output!D131/SUM(output!D$129:D$132)</f>
        <v>5.7456597406832406E-3</v>
      </c>
      <c r="J7"/>
      <c r="K7" s="18">
        <v>2</v>
      </c>
      <c r="L7" s="12">
        <f t="shared" si="0"/>
        <v>-3.7104844523035922E-3</v>
      </c>
      <c r="M7" s="12">
        <f t="shared" si="0"/>
        <v>6.673637308132912E-4</v>
      </c>
      <c r="N7" s="12">
        <f t="shared" si="0"/>
        <v>-2.9391654012938962E-3</v>
      </c>
      <c r="O7"/>
      <c r="P7"/>
      <c r="Q7"/>
    </row>
    <row r="8" spans="1:17" x14ac:dyDescent="0.2">
      <c r="A8" s="23" t="s">
        <v>116</v>
      </c>
      <c r="B8" s="13">
        <f>output_NHTS!B132/SUM(output_NHTS!B$129:B$132)</f>
        <v>7.5965855641199533E-4</v>
      </c>
      <c r="C8" s="13">
        <f>output_NHTS!C132/SUM(output_NHTS!C$129:C$132)</f>
        <v>0</v>
      </c>
      <c r="D8" s="13">
        <f>output_NHTS!D132/SUM(output_NHTS!D$129:D$132)</f>
        <v>6.1811215068427483E-4</v>
      </c>
      <c r="F8" s="23" t="s">
        <v>116</v>
      </c>
      <c r="G8" s="13">
        <f>output!B132/SUM(output!B$129:B$132)</f>
        <v>5.8555779536144967E-4</v>
      </c>
      <c r="H8" s="90">
        <f>output!C132/SUM(output!C$129:C$132)</f>
        <v>4.0615459597771563E-4</v>
      </c>
      <c r="I8" s="13">
        <f>output!D132/SUM(output!D$129:D$132)</f>
        <v>5.4798210728539728E-4</v>
      </c>
      <c r="J8"/>
      <c r="K8" s="23" t="s">
        <v>116</v>
      </c>
      <c r="L8" s="12">
        <f t="shared" si="0"/>
        <v>-1.7410076105054567E-4</v>
      </c>
      <c r="M8" s="12">
        <f t="shared" si="0"/>
        <v>4.0615459597771563E-4</v>
      </c>
      <c r="N8" s="12">
        <f t="shared" si="0"/>
        <v>-7.0130043398877544E-5</v>
      </c>
      <c r="O8"/>
      <c r="P8"/>
      <c r="Q8"/>
    </row>
    <row r="9" spans="1:17" ht="13.5" thickBot="1" x14ac:dyDescent="0.25">
      <c r="A9" s="21" t="s">
        <v>221</v>
      </c>
      <c r="B9" s="17">
        <f>SUM(B5:B8)</f>
        <v>1.0000000000000002</v>
      </c>
      <c r="C9" s="91">
        <f>SUM(C5:C8)</f>
        <v>1</v>
      </c>
      <c r="D9" s="17">
        <f>SUM(D5:D8)</f>
        <v>1</v>
      </c>
      <c r="F9" s="21" t="s">
        <v>221</v>
      </c>
      <c r="G9" s="17">
        <f>SUM(G5:G8)</f>
        <v>1</v>
      </c>
      <c r="H9" s="91">
        <f>SUM(H5:H8)</f>
        <v>1</v>
      </c>
      <c r="I9" s="17">
        <f>SUM(I5:I8)</f>
        <v>0.99999999999999989</v>
      </c>
      <c r="K9" s="21" t="s">
        <v>221</v>
      </c>
      <c r="L9" s="14">
        <f t="shared" si="0"/>
        <v>0</v>
      </c>
      <c r="M9" s="14">
        <f t="shared" si="0"/>
        <v>0</v>
      </c>
      <c r="N9" s="14">
        <f t="shared" si="0"/>
        <v>0</v>
      </c>
    </row>
    <row r="10" spans="1:17" x14ac:dyDescent="0.2">
      <c r="A10" s="19"/>
      <c r="B10" s="34"/>
      <c r="C10" s="34"/>
      <c r="D10" s="34"/>
      <c r="F10" s="19"/>
      <c r="G10" s="34"/>
      <c r="H10" s="34"/>
      <c r="I10" s="34"/>
      <c r="K10" s="19"/>
      <c r="L10" s="34"/>
      <c r="M10" s="34"/>
      <c r="N10" s="34"/>
    </row>
    <row r="12" spans="1:17" x14ac:dyDescent="0.2">
      <c r="A12" s="2" t="s">
        <v>175</v>
      </c>
      <c r="F12" s="2" t="s">
        <v>175</v>
      </c>
      <c r="K12" s="2" t="s">
        <v>175</v>
      </c>
    </row>
    <row r="13" spans="1:17" x14ac:dyDescent="0.2">
      <c r="A13" s="2" t="s">
        <v>177</v>
      </c>
      <c r="F13" s="2" t="s">
        <v>138</v>
      </c>
      <c r="K13" s="2" t="s">
        <v>140</v>
      </c>
    </row>
    <row r="14" spans="1:17" ht="13.5" thickBot="1" x14ac:dyDescent="0.25"/>
    <row r="15" spans="1:17" x14ac:dyDescent="0.2">
      <c r="A15" s="5" t="s">
        <v>159</v>
      </c>
      <c r="B15" s="6" t="s">
        <v>249</v>
      </c>
      <c r="C15" s="6" t="s">
        <v>250</v>
      </c>
      <c r="D15" s="6" t="s">
        <v>221</v>
      </c>
      <c r="F15" s="5" t="s">
        <v>159</v>
      </c>
      <c r="G15" s="6" t="s">
        <v>249</v>
      </c>
      <c r="H15" s="6" t="s">
        <v>250</v>
      </c>
      <c r="I15" s="6" t="s">
        <v>221</v>
      </c>
      <c r="K15" s="5" t="s">
        <v>159</v>
      </c>
      <c r="L15" s="6" t="s">
        <v>249</v>
      </c>
      <c r="M15" s="6" t="s">
        <v>250</v>
      </c>
      <c r="N15" s="6" t="s">
        <v>221</v>
      </c>
    </row>
    <row r="16" spans="1:17" x14ac:dyDescent="0.2">
      <c r="A16" s="18" t="s">
        <v>117</v>
      </c>
      <c r="B16" s="12">
        <f>output_NHTS!B136/SUM(output_NHTS!B$136:B$142)</f>
        <v>0.22684000860761608</v>
      </c>
      <c r="C16" s="12">
        <f>output_NHTS!C136/SUM(output_NHTS!C$136:C$142)</f>
        <v>3.9579065935886892E-2</v>
      </c>
      <c r="D16" s="12">
        <f>output_NHTS!D136/SUM(output_NHTS!D$136:D$142)</f>
        <v>0.21301329964446628</v>
      </c>
      <c r="F16" s="18" t="s">
        <v>117</v>
      </c>
      <c r="G16" s="12">
        <f>output!B136/SUM(output!B$136:B$142)</f>
        <v>0.18289335959714176</v>
      </c>
      <c r="H16" s="12">
        <f>output!C136/SUM(output!C$136:C$142)</f>
        <v>0.17910936476751801</v>
      </c>
      <c r="I16" s="12">
        <f>output!D136/SUM(output!D$136:D$142)</f>
        <v>0.18225911569992798</v>
      </c>
      <c r="K16" s="18" t="s">
        <v>117</v>
      </c>
      <c r="L16" s="12">
        <f t="shared" ref="L16:L23" si="1">G16-B16</f>
        <v>-4.394664901047432E-2</v>
      </c>
      <c r="M16" s="12">
        <f t="shared" ref="M16:M23" si="2">H16-C16</f>
        <v>0.13953029883163112</v>
      </c>
      <c r="N16" s="12">
        <f t="shared" ref="N16:N23" si="3">I16-D16</f>
        <v>-3.0754183944538299E-2</v>
      </c>
    </row>
    <row r="17" spans="1:15" x14ac:dyDescent="0.2">
      <c r="A17" s="18" t="s">
        <v>118</v>
      </c>
      <c r="B17" s="12">
        <f>output_NHTS!B137/SUM(output_NHTS!B$136:B$142)</f>
        <v>0</v>
      </c>
      <c r="C17" s="12">
        <f>output_NHTS!C137/SUM(output_NHTS!C$136:C$142)</f>
        <v>4.9508688839676088E-2</v>
      </c>
      <c r="D17" s="12">
        <f>output_NHTS!D137/SUM(output_NHTS!D$136:D$142)</f>
        <v>3.655552631353344E-3</v>
      </c>
      <c r="F17" s="18" t="s">
        <v>118</v>
      </c>
      <c r="G17" s="12">
        <f>output!B137/SUM(output!B$136:B$142)</f>
        <v>0</v>
      </c>
      <c r="H17" s="12">
        <f>output!C137/SUM(output!C$136:C$142)</f>
        <v>2.9878847413228552E-2</v>
      </c>
      <c r="I17" s="12">
        <f>output!D137/SUM(output!D$136:D$142)</f>
        <v>5.0080609199739303E-3</v>
      </c>
      <c r="K17" s="18" t="s">
        <v>118</v>
      </c>
      <c r="L17" s="12"/>
      <c r="M17" s="12"/>
      <c r="N17" s="12"/>
    </row>
    <row r="18" spans="1:15" x14ac:dyDescent="0.2">
      <c r="A18" s="18" t="s">
        <v>4</v>
      </c>
      <c r="B18" s="12">
        <f>output_NHTS!B138/SUM(output_NHTS!B$136:B$142)</f>
        <v>2.5396452802591622E-2</v>
      </c>
      <c r="C18" s="12">
        <f>output_NHTS!C138/SUM(output_NHTS!C$136:C$142)</f>
        <v>9.2636992312484331E-2</v>
      </c>
      <c r="D18" s="12">
        <f>output_NHTS!D138/SUM(output_NHTS!D$136:D$142)</f>
        <v>3.0361264776000676E-2</v>
      </c>
      <c r="F18" s="18" t="s">
        <v>4</v>
      </c>
      <c r="G18" s="12">
        <f>output!B138/SUM(output!B$136:B$142)</f>
        <v>3.5728120132198164E-2</v>
      </c>
      <c r="H18" s="12">
        <f>output!C138/SUM(output!C$136:C$142)</f>
        <v>2.5663064833005893E-2</v>
      </c>
      <c r="I18" s="12">
        <f>output!D138/SUM(output!D$136:D$142)</f>
        <v>3.4041093540973483E-2</v>
      </c>
      <c r="K18" s="18" t="s">
        <v>4</v>
      </c>
      <c r="L18" s="12">
        <f t="shared" si="1"/>
        <v>1.0331667329606543E-2</v>
      </c>
      <c r="M18" s="12">
        <f t="shared" si="2"/>
        <v>-6.6973927479478446E-2</v>
      </c>
      <c r="N18" s="12">
        <f t="shared" si="3"/>
        <v>3.6798287649728069E-3</v>
      </c>
    </row>
    <row r="19" spans="1:15" x14ac:dyDescent="0.2">
      <c r="A19" s="18" t="s">
        <v>5</v>
      </c>
      <c r="B19" s="12">
        <f>output_NHTS!B139/SUM(output_NHTS!B$136:B$142)</f>
        <v>0.10906195784383546</v>
      </c>
      <c r="C19" s="12">
        <f>output_NHTS!C139/SUM(output_NHTS!C$136:C$142)</f>
        <v>0.16374299239831369</v>
      </c>
      <c r="D19" s="12">
        <f>output_NHTS!D139/SUM(output_NHTS!D$136:D$142)</f>
        <v>0.11309941883170467</v>
      </c>
      <c r="F19" s="18" t="s">
        <v>5</v>
      </c>
      <c r="G19" s="12">
        <f>output!B139/SUM(output!B$136:B$142)</f>
        <v>0.11836021527531669</v>
      </c>
      <c r="H19" s="12">
        <f>output!C139/SUM(output!C$136:C$142)</f>
        <v>0.11620006548788474</v>
      </c>
      <c r="I19" s="12">
        <f>output!D139/SUM(output!D$136:D$142)</f>
        <v>0.11799814770349536</v>
      </c>
      <c r="K19" s="18" t="s">
        <v>5</v>
      </c>
      <c r="L19" s="12">
        <f t="shared" si="1"/>
        <v>9.29825743148123E-3</v>
      </c>
      <c r="M19" s="12">
        <f t="shared" si="2"/>
        <v>-4.7542926910428954E-2</v>
      </c>
      <c r="N19" s="12">
        <f t="shared" si="3"/>
        <v>4.8987288717906863E-3</v>
      </c>
    </row>
    <row r="20" spans="1:15" x14ac:dyDescent="0.2">
      <c r="A20" s="18" t="s">
        <v>6</v>
      </c>
      <c r="B20" s="12">
        <f>output_NHTS!B140/SUM(output_NHTS!B$136:B$142)</f>
        <v>8.928198910883739E-2</v>
      </c>
      <c r="C20" s="12">
        <f>output_NHTS!C140/SUM(output_NHTS!C$136:C$142)</f>
        <v>0.15026775226448111</v>
      </c>
      <c r="D20" s="12">
        <f>output_NHTS!D140/SUM(output_NHTS!D$136:D$142)</f>
        <v>9.378496974119957E-2</v>
      </c>
      <c r="F20" s="18" t="s">
        <v>6</v>
      </c>
      <c r="G20" s="12">
        <f>output!B140/SUM(output!B$136:B$142)</f>
        <v>0.11945637213289048</v>
      </c>
      <c r="H20" s="12">
        <f>output!C140/SUM(output!C$136:C$142)</f>
        <v>0.10019646365422397</v>
      </c>
      <c r="I20" s="12">
        <f>output!D140/SUM(output!D$136:D$142)</f>
        <v>0.11622817548794293</v>
      </c>
      <c r="K20" s="18" t="s">
        <v>6</v>
      </c>
      <c r="L20" s="12">
        <f t="shared" si="1"/>
        <v>3.0174383024053092E-2</v>
      </c>
      <c r="M20" s="12">
        <f t="shared" si="2"/>
        <v>-5.0071288610257142E-2</v>
      </c>
      <c r="N20" s="12">
        <f t="shared" si="3"/>
        <v>2.2443205746743355E-2</v>
      </c>
    </row>
    <row r="21" spans="1:15" x14ac:dyDescent="0.2">
      <c r="A21" s="18" t="s">
        <v>7</v>
      </c>
      <c r="B21" s="12">
        <f>output_NHTS!B141/SUM(output_NHTS!B$136:B$142)</f>
        <v>0.4343454898437632</v>
      </c>
      <c r="C21" s="12">
        <f>output_NHTS!C141/SUM(output_NHTS!C$136:C$142)</f>
        <v>0.46118727134026177</v>
      </c>
      <c r="D21" s="12">
        <f>output_NHTS!D141/SUM(output_NHTS!D$136:D$142)</f>
        <v>0.43632739538962589</v>
      </c>
      <c r="F21" s="18" t="s">
        <v>7</v>
      </c>
      <c r="G21" s="12">
        <f>output!B141/SUM(output!B$136:B$142)</f>
        <v>0.43263580394451634</v>
      </c>
      <c r="H21" s="12">
        <f>output!C141/SUM(output!C$136:C$142)</f>
        <v>0.41572527832351014</v>
      </c>
      <c r="I21" s="12">
        <f>output!D141/SUM(output!D$136:D$142)</f>
        <v>0.42980139265255718</v>
      </c>
      <c r="K21" s="18" t="s">
        <v>7</v>
      </c>
      <c r="L21" s="12">
        <f t="shared" si="1"/>
        <v>-1.70968589924686E-3</v>
      </c>
      <c r="M21" s="12">
        <f t="shared" si="2"/>
        <v>-4.5461993016751634E-2</v>
      </c>
      <c r="N21" s="12">
        <f t="shared" si="3"/>
        <v>-6.5260027370687146E-3</v>
      </c>
    </row>
    <row r="22" spans="1:15" x14ac:dyDescent="0.2">
      <c r="A22" s="23" t="s">
        <v>8</v>
      </c>
      <c r="B22" s="13">
        <f>output_NHTS!B142/SUM(output_NHTS!B$136:B$142)</f>
        <v>0.1150741017933561</v>
      </c>
      <c r="C22" s="13">
        <f>output_NHTS!C142/SUM(output_NHTS!C$136:C$142)</f>
        <v>4.3077236908896033E-2</v>
      </c>
      <c r="D22" s="13">
        <f>output_NHTS!D142/SUM(output_NHTS!D$136:D$142)</f>
        <v>0.10975809898564975</v>
      </c>
      <c r="F22" s="23" t="s">
        <v>8</v>
      </c>
      <c r="G22" s="13">
        <f>output!B142/SUM(output!B$136:B$142)</f>
        <v>0.11092612891793659</v>
      </c>
      <c r="H22" s="13">
        <f>output!C142/SUM(output!C$136:C$142)</f>
        <v>0.13322691552062868</v>
      </c>
      <c r="I22" s="13">
        <f>output!D142/SUM(output!D$136:D$142)</f>
        <v>0.11466401399512914</v>
      </c>
      <c r="K22" s="23" t="s">
        <v>8</v>
      </c>
      <c r="L22" s="12">
        <f t="shared" si="1"/>
        <v>-4.1479728754195144E-3</v>
      </c>
      <c r="M22" s="12">
        <f t="shared" si="2"/>
        <v>9.0149678611732648E-2</v>
      </c>
      <c r="N22" s="12">
        <f t="shared" si="3"/>
        <v>4.9059150094793863E-3</v>
      </c>
      <c r="O22" s="36"/>
    </row>
    <row r="23" spans="1:15" ht="13.5" thickBot="1" x14ac:dyDescent="0.25">
      <c r="A23" s="21" t="s">
        <v>221</v>
      </c>
      <c r="B23" s="17">
        <f>SUM(B19:B22)</f>
        <v>0.74776353858979216</v>
      </c>
      <c r="C23" s="91">
        <f>SUM(C19:C22)</f>
        <v>0.81827525291195258</v>
      </c>
      <c r="D23" s="17">
        <f>SUM(D19:D22)</f>
        <v>0.7529698829481799</v>
      </c>
      <c r="F23" s="21" t="s">
        <v>221</v>
      </c>
      <c r="G23" s="14">
        <f>SUM(G16:G22)</f>
        <v>1</v>
      </c>
      <c r="H23" s="14">
        <f>SUM(H16:H22)</f>
        <v>1</v>
      </c>
      <c r="I23" s="14">
        <f>SUM(I16:I22)</f>
        <v>1</v>
      </c>
      <c r="K23" s="21" t="s">
        <v>221</v>
      </c>
      <c r="L23" s="14">
        <f t="shared" si="1"/>
        <v>0.25223646141020784</v>
      </c>
      <c r="M23" s="14">
        <f t="shared" si="2"/>
        <v>0.18172474708804742</v>
      </c>
      <c r="N23" s="14">
        <f t="shared" si="3"/>
        <v>0.2470301170518201</v>
      </c>
      <c r="O23" s="36"/>
    </row>
    <row r="24" spans="1:15" x14ac:dyDescent="0.2">
      <c r="B24" s="34"/>
      <c r="C24" s="34"/>
      <c r="D24" s="34"/>
      <c r="M24" s="36"/>
      <c r="N24" s="36"/>
      <c r="O24" s="36"/>
    </row>
    <row r="25" spans="1:15" x14ac:dyDescent="0.2">
      <c r="M25" s="36"/>
      <c r="N25" s="36"/>
      <c r="O25" s="36"/>
    </row>
    <row r="26" spans="1:15" x14ac:dyDescent="0.2">
      <c r="G26" s="87"/>
      <c r="H26" s="87"/>
      <c r="I26" s="87"/>
      <c r="M26" s="36"/>
      <c r="N26" s="36"/>
      <c r="O26" s="36"/>
    </row>
    <row r="27" spans="1:15" x14ac:dyDescent="0.2">
      <c r="G27" s="87"/>
      <c r="H27" s="87"/>
      <c r="I27" s="87"/>
      <c r="M27" s="36"/>
      <c r="N27" s="36"/>
      <c r="O27" s="36"/>
    </row>
    <row r="28" spans="1:15" x14ac:dyDescent="0.2">
      <c r="F28" s="25"/>
      <c r="G28" s="96"/>
      <c r="H28" s="96"/>
      <c r="I28" s="96"/>
      <c r="M28" s="36"/>
      <c r="N28" s="36"/>
      <c r="O28" s="36"/>
    </row>
    <row r="29" spans="1:15" x14ac:dyDescent="0.2">
      <c r="F29" s="88"/>
      <c r="G29" s="25"/>
      <c r="H29" s="25"/>
      <c r="I29" s="25"/>
    </row>
    <row r="30" spans="1:15" x14ac:dyDescent="0.2">
      <c r="F30" s="88"/>
      <c r="G30" s="97"/>
      <c r="H30" s="25"/>
      <c r="I30" s="25"/>
    </row>
    <row r="31" spans="1:15" x14ac:dyDescent="0.2">
      <c r="F31" s="25"/>
      <c r="G31" s="25"/>
      <c r="H31" s="25"/>
      <c r="I31" s="25"/>
    </row>
    <row r="32" spans="1:15" x14ac:dyDescent="0.2">
      <c r="F32" s="98"/>
      <c r="G32" s="89"/>
      <c r="H32" s="89"/>
      <c r="I32" s="89"/>
    </row>
    <row r="33" spans="6:9" x14ac:dyDescent="0.2">
      <c r="F33" s="19"/>
      <c r="G33" s="34"/>
      <c r="H33" s="34"/>
      <c r="I33" s="34"/>
    </row>
    <row r="34" spans="6:9" x14ac:dyDescent="0.2">
      <c r="F34" s="19"/>
      <c r="G34" s="34"/>
      <c r="H34" s="34"/>
      <c r="I34" s="34"/>
    </row>
    <row r="35" spans="6:9" x14ac:dyDescent="0.2">
      <c r="F35" s="19"/>
      <c r="G35" s="34"/>
      <c r="H35" s="34"/>
      <c r="I35" s="34"/>
    </row>
    <row r="36" spans="6:9" x14ac:dyDescent="0.2">
      <c r="F36" s="19"/>
      <c r="G36" s="34"/>
      <c r="H36" s="34"/>
      <c r="I36" s="34"/>
    </row>
    <row r="37" spans="6:9" x14ac:dyDescent="0.2">
      <c r="F37" s="19"/>
      <c r="G37" s="34"/>
      <c r="H37" s="34"/>
      <c r="I37" s="34"/>
    </row>
    <row r="38" spans="6:9" x14ac:dyDescent="0.2">
      <c r="F38" s="19"/>
      <c r="G38" s="34"/>
      <c r="H38" s="34"/>
      <c r="I38" s="34"/>
    </row>
    <row r="39" spans="6:9" x14ac:dyDescent="0.2">
      <c r="F39" s="25"/>
      <c r="G39" s="25"/>
      <c r="H39" s="25"/>
      <c r="I39" s="25"/>
    </row>
    <row r="40" spans="6:9" x14ac:dyDescent="0.2">
      <c r="F40" s="88"/>
      <c r="G40" s="25"/>
      <c r="H40" s="25"/>
      <c r="I40" s="25"/>
    </row>
    <row r="41" spans="6:9" x14ac:dyDescent="0.2">
      <c r="F41" s="88"/>
      <c r="G41" s="25"/>
      <c r="H41" s="25"/>
      <c r="I41" s="25"/>
    </row>
    <row r="42" spans="6:9" x14ac:dyDescent="0.2">
      <c r="F42" s="25"/>
      <c r="G42" s="25"/>
      <c r="H42" s="25"/>
      <c r="I42" s="25"/>
    </row>
    <row r="43" spans="6:9" x14ac:dyDescent="0.2">
      <c r="F43" s="98"/>
      <c r="G43" s="89"/>
      <c r="H43" s="89"/>
      <c r="I43" s="89"/>
    </row>
    <row r="44" spans="6:9" x14ac:dyDescent="0.2">
      <c r="F44" s="19"/>
      <c r="G44" s="34"/>
      <c r="H44" s="34"/>
      <c r="I44" s="34"/>
    </row>
    <row r="45" spans="6:9" x14ac:dyDescent="0.2">
      <c r="F45" s="19"/>
      <c r="G45" s="34"/>
      <c r="H45" s="34"/>
      <c r="I45" s="34"/>
    </row>
    <row r="46" spans="6:9" x14ac:dyDescent="0.2">
      <c r="F46" s="19"/>
      <c r="G46" s="34"/>
      <c r="H46" s="34"/>
      <c r="I46" s="34"/>
    </row>
    <row r="47" spans="6:9" x14ac:dyDescent="0.2">
      <c r="F47" s="19"/>
      <c r="G47" s="34"/>
      <c r="H47" s="34"/>
      <c r="I47" s="34"/>
    </row>
    <row r="48" spans="6:9" x14ac:dyDescent="0.2">
      <c r="F48" s="19"/>
      <c r="G48" s="34"/>
      <c r="H48" s="34"/>
      <c r="I48" s="34"/>
    </row>
    <row r="49" spans="6:9" x14ac:dyDescent="0.2">
      <c r="F49" s="19"/>
      <c r="G49" s="34"/>
      <c r="H49" s="34"/>
      <c r="I49" s="34"/>
    </row>
    <row r="50" spans="6:9" x14ac:dyDescent="0.2">
      <c r="F50" s="19"/>
      <c r="G50" s="34"/>
      <c r="H50" s="34"/>
      <c r="I50" s="34"/>
    </row>
    <row r="51" spans="6:9" x14ac:dyDescent="0.2">
      <c r="F51" s="25"/>
      <c r="G51" s="25"/>
      <c r="H51" s="25"/>
      <c r="I51" s="25"/>
    </row>
  </sheetData>
  <phoneticPr fontId="5"/>
  <conditionalFormatting sqref="L5:N9 L16:N23">
    <cfRule type="cellIs" dxfId="23" priority="1" stopIfTrue="1" operator="notBetween">
      <formula>-0.15</formula>
      <formula>0.15</formula>
    </cfRule>
    <cfRule type="cellIs" dxfId="22" priority="2" stopIfTrue="1" operator="notBetween">
      <formula>-0.1</formula>
      <formula>0.1</formula>
    </cfRule>
    <cfRule type="cellIs" dxfId="21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C86"/>
  <sheetViews>
    <sheetView workbookViewId="0">
      <selection activeCell="H30" sqref="H30"/>
    </sheetView>
  </sheetViews>
  <sheetFormatPr defaultColWidth="10.75" defaultRowHeight="12.75" x14ac:dyDescent="0.2"/>
  <cols>
    <col min="1" max="16384" width="10.75" style="3" collapsed="1"/>
  </cols>
  <sheetData>
    <row r="1" spans="1:29" x14ac:dyDescent="0.2">
      <c r="A1" s="2" t="s">
        <v>175</v>
      </c>
      <c r="K1" s="2" t="s">
        <v>175</v>
      </c>
      <c r="U1" s="2" t="s">
        <v>175</v>
      </c>
    </row>
    <row r="2" spans="1:29" x14ac:dyDescent="0.2">
      <c r="A2" s="2" t="s">
        <v>176</v>
      </c>
      <c r="K2" s="2" t="s">
        <v>169</v>
      </c>
      <c r="U2" s="2" t="s">
        <v>292</v>
      </c>
    </row>
    <row r="3" spans="1:29" ht="13.5" thickBot="1" x14ac:dyDescent="0.25"/>
    <row r="4" spans="1:29" x14ac:dyDescent="0.2">
      <c r="A4" s="5" t="s">
        <v>248</v>
      </c>
      <c r="B4" s="6" t="s">
        <v>117</v>
      </c>
      <c r="C4" s="6" t="s">
        <v>118</v>
      </c>
      <c r="D4" s="6" t="s">
        <v>4</v>
      </c>
      <c r="E4" s="6" t="s">
        <v>5</v>
      </c>
      <c r="F4" s="6" t="s">
        <v>6</v>
      </c>
      <c r="G4" s="6" t="s">
        <v>7</v>
      </c>
      <c r="H4" s="6" t="s">
        <v>8</v>
      </c>
      <c r="I4" s="6" t="s">
        <v>221</v>
      </c>
      <c r="K4" s="5" t="s">
        <v>248</v>
      </c>
      <c r="L4" s="6" t="s">
        <v>117</v>
      </c>
      <c r="M4" s="6" t="s">
        <v>118</v>
      </c>
      <c r="N4" s="6" t="s">
        <v>4</v>
      </c>
      <c r="O4" s="6" t="s">
        <v>5</v>
      </c>
      <c r="P4" s="6" t="s">
        <v>6</v>
      </c>
      <c r="Q4" s="6" t="s">
        <v>7</v>
      </c>
      <c r="R4" s="6" t="s">
        <v>8</v>
      </c>
      <c r="S4" s="6" t="s">
        <v>221</v>
      </c>
      <c r="U4" s="5" t="s">
        <v>248</v>
      </c>
      <c r="V4" s="6" t="s">
        <v>117</v>
      </c>
      <c r="W4" s="6" t="s">
        <v>118</v>
      </c>
      <c r="X4" s="6" t="s">
        <v>4</v>
      </c>
      <c r="Y4" s="6" t="s">
        <v>5</v>
      </c>
      <c r="Z4" s="6" t="s">
        <v>6</v>
      </c>
      <c r="AA4" s="6" t="s">
        <v>7</v>
      </c>
      <c r="AB4" s="6" t="s">
        <v>8</v>
      </c>
      <c r="AC4" s="6" t="s">
        <v>221</v>
      </c>
    </row>
    <row r="5" spans="1:29" x14ac:dyDescent="0.2">
      <c r="A5" s="18">
        <v>0</v>
      </c>
      <c r="B5" s="7">
        <f>output_NHTS!B148</f>
        <v>0</v>
      </c>
      <c r="C5" s="7">
        <f>output_NHTS!C148</f>
        <v>0</v>
      </c>
      <c r="D5" s="7">
        <f>output_NHTS!D148</f>
        <v>0</v>
      </c>
      <c r="E5" s="7">
        <f>output_NHTS!E148</f>
        <v>0</v>
      </c>
      <c r="F5" s="7">
        <f>output_NHTS!F148</f>
        <v>0</v>
      </c>
      <c r="G5" s="7">
        <f>output_NHTS!G148</f>
        <v>0</v>
      </c>
      <c r="H5" s="7">
        <f>output_NHTS!H148</f>
        <v>0</v>
      </c>
      <c r="I5" s="7">
        <f>output_NHTS!I148</f>
        <v>0</v>
      </c>
      <c r="K5" s="18">
        <v>0</v>
      </c>
      <c r="L5" s="7">
        <f>output!B148</f>
        <v>479335</v>
      </c>
      <c r="M5" s="7">
        <f>output!C148</f>
        <v>267520</v>
      </c>
      <c r="N5" s="7">
        <f>output!D148</f>
        <v>243141</v>
      </c>
      <c r="O5" s="7">
        <f>output!E148</f>
        <v>320944</v>
      </c>
      <c r="P5" s="7">
        <f>output!F148</f>
        <v>373889</v>
      </c>
      <c r="Q5" s="7">
        <f>output!G148</f>
        <v>162586</v>
      </c>
      <c r="R5" s="7">
        <f>output!H148</f>
        <v>576847</v>
      </c>
      <c r="S5" s="7">
        <f>output!I148</f>
        <v>2424262</v>
      </c>
      <c r="U5" s="18">
        <v>0</v>
      </c>
      <c r="V5" s="7">
        <f>L5-B5</f>
        <v>479335</v>
      </c>
      <c r="W5" s="7">
        <f t="shared" ref="W5:W12" si="0">M5-C5</f>
        <v>267520</v>
      </c>
      <c r="X5" s="7">
        <f t="shared" ref="X5:X12" si="1">N5-D5</f>
        <v>243141</v>
      </c>
      <c r="Y5" s="7">
        <f t="shared" ref="Y5:Y12" si="2">O5-E5</f>
        <v>320944</v>
      </c>
      <c r="Z5" s="7">
        <f t="shared" ref="Z5:Z12" si="3">P5-F5</f>
        <v>373889</v>
      </c>
      <c r="AA5" s="7">
        <f t="shared" ref="AA5:AA12" si="4">Q5-G5</f>
        <v>162586</v>
      </c>
      <c r="AB5" s="7">
        <f t="shared" ref="AB5:AB12" si="5">R5-H5</f>
        <v>576847</v>
      </c>
      <c r="AC5" s="7">
        <f t="shared" ref="AC5:AC12" si="6">S5-I5</f>
        <v>2424262</v>
      </c>
    </row>
    <row r="6" spans="1:29" x14ac:dyDescent="0.2">
      <c r="A6" s="18">
        <v>1</v>
      </c>
      <c r="B6" s="7">
        <f>output_NHTS!B149</f>
        <v>0</v>
      </c>
      <c r="C6" s="7">
        <f>output_NHTS!C149</f>
        <v>0</v>
      </c>
      <c r="D6" s="7">
        <f>output_NHTS!D149</f>
        <v>0</v>
      </c>
      <c r="E6" s="7">
        <f>output_NHTS!E149</f>
        <v>0</v>
      </c>
      <c r="F6" s="7">
        <f>output_NHTS!F149</f>
        <v>0</v>
      </c>
      <c r="G6" s="7">
        <f>output_NHTS!G149</f>
        <v>0</v>
      </c>
      <c r="H6" s="7">
        <f>output_NHTS!H149</f>
        <v>0</v>
      </c>
      <c r="I6" s="7">
        <f>output_NHTS!I149</f>
        <v>0</v>
      </c>
      <c r="K6" s="18">
        <v>1</v>
      </c>
      <c r="L6" s="7">
        <f>output!B149</f>
        <v>441447</v>
      </c>
      <c r="M6" s="7">
        <f>output!C149</f>
        <v>125369</v>
      </c>
      <c r="N6" s="7">
        <f>output!D149</f>
        <v>145037</v>
      </c>
      <c r="O6" s="7">
        <f>output!E149</f>
        <v>144824</v>
      </c>
      <c r="P6" s="7">
        <f>output!F149</f>
        <v>135643</v>
      </c>
      <c r="Q6" s="7">
        <f>output!G149</f>
        <v>43832</v>
      </c>
      <c r="R6" s="7">
        <f>output!H149</f>
        <v>166203</v>
      </c>
      <c r="S6" s="7">
        <f>output!I149</f>
        <v>1202355</v>
      </c>
      <c r="U6" s="18">
        <v>1</v>
      </c>
      <c r="V6" s="7">
        <f t="shared" ref="V6:V12" si="7">L6-B6</f>
        <v>441447</v>
      </c>
      <c r="W6" s="7">
        <f t="shared" si="0"/>
        <v>125369</v>
      </c>
      <c r="X6" s="7">
        <f t="shared" si="1"/>
        <v>145037</v>
      </c>
      <c r="Y6" s="7">
        <f t="shared" si="2"/>
        <v>144824</v>
      </c>
      <c r="Z6" s="7">
        <f t="shared" si="3"/>
        <v>135643</v>
      </c>
      <c r="AA6" s="7">
        <f t="shared" si="4"/>
        <v>43832</v>
      </c>
      <c r="AB6" s="7">
        <f t="shared" si="5"/>
        <v>166203</v>
      </c>
      <c r="AC6" s="7">
        <f t="shared" si="6"/>
        <v>1202355</v>
      </c>
    </row>
    <row r="7" spans="1:29" x14ac:dyDescent="0.2">
      <c r="A7" s="19">
        <v>2</v>
      </c>
      <c r="B7" s="7">
        <f>output_NHTS!B150</f>
        <v>746909.14476746914</v>
      </c>
      <c r="C7" s="7">
        <f>output_NHTS!C150</f>
        <v>484129.91088194179</v>
      </c>
      <c r="D7" s="7">
        <f>output_NHTS!D150</f>
        <v>308211.10802103789</v>
      </c>
      <c r="E7" s="7">
        <f>output_NHTS!E150</f>
        <v>422043.49430794211</v>
      </c>
      <c r="F7" s="7">
        <f>output_NHTS!F150</f>
        <v>369238.14491729322</v>
      </c>
      <c r="G7" s="7">
        <f>output_NHTS!G150</f>
        <v>193519.54960233401</v>
      </c>
      <c r="H7" s="7">
        <f>output_NHTS!H150</f>
        <v>719440.25564764335</v>
      </c>
      <c r="I7" s="7">
        <f>output_NHTS!I150</f>
        <v>3243491.6081456612</v>
      </c>
      <c r="K7" s="19">
        <v>2</v>
      </c>
      <c r="L7" s="7">
        <f>output!B150</f>
        <v>275690</v>
      </c>
      <c r="M7" s="7">
        <f>output!C150</f>
        <v>49499</v>
      </c>
      <c r="N7" s="7">
        <f>output!D150</f>
        <v>60486</v>
      </c>
      <c r="O7" s="7">
        <f>output!E150</f>
        <v>53654</v>
      </c>
      <c r="P7" s="7">
        <f>output!F150</f>
        <v>47950</v>
      </c>
      <c r="Q7" s="7">
        <f>output!G150</f>
        <v>12162</v>
      </c>
      <c r="R7" s="7">
        <f>output!H150</f>
        <v>41073</v>
      </c>
      <c r="S7" s="7">
        <f>output!I150</f>
        <v>540514</v>
      </c>
      <c r="U7" s="19">
        <v>2</v>
      </c>
      <c r="V7" s="7">
        <f t="shared" si="7"/>
        <v>-471219.14476746914</v>
      </c>
      <c r="W7" s="7">
        <f t="shared" si="0"/>
        <v>-434630.91088194179</v>
      </c>
      <c r="X7" s="7">
        <f t="shared" si="1"/>
        <v>-247725.10802103789</v>
      </c>
      <c r="Y7" s="7">
        <f t="shared" si="2"/>
        <v>-368389.49430794211</v>
      </c>
      <c r="Z7" s="7">
        <f t="shared" si="3"/>
        <v>-321288.14491729322</v>
      </c>
      <c r="AA7" s="7">
        <f t="shared" si="4"/>
        <v>-181357.54960233401</v>
      </c>
      <c r="AB7" s="7">
        <f t="shared" si="5"/>
        <v>-678367.25564764335</v>
      </c>
      <c r="AC7" s="7">
        <f t="shared" si="6"/>
        <v>-2702977.6081456612</v>
      </c>
    </row>
    <row r="8" spans="1:29" x14ac:dyDescent="0.2">
      <c r="A8" s="20">
        <v>3</v>
      </c>
      <c r="B8" s="7">
        <f>output_NHTS!B151</f>
        <v>0</v>
      </c>
      <c r="C8" s="7">
        <f>output_NHTS!C151</f>
        <v>0</v>
      </c>
      <c r="D8" s="7">
        <f>output_NHTS!D151</f>
        <v>0</v>
      </c>
      <c r="E8" s="7">
        <f>output_NHTS!E151</f>
        <v>0</v>
      </c>
      <c r="F8" s="7">
        <f>output_NHTS!F151</f>
        <v>0</v>
      </c>
      <c r="G8" s="7">
        <f>output_NHTS!G151</f>
        <v>0</v>
      </c>
      <c r="H8" s="7">
        <f>output_NHTS!H151</f>
        <v>0</v>
      </c>
      <c r="I8" s="7">
        <f>output_NHTS!I151</f>
        <v>0</v>
      </c>
      <c r="K8" s="20">
        <v>3</v>
      </c>
      <c r="L8" s="7">
        <f>output!B151</f>
        <v>122107</v>
      </c>
      <c r="M8" s="7">
        <f>output!C151</f>
        <v>14101</v>
      </c>
      <c r="N8" s="7">
        <f>output!D151</f>
        <v>19402</v>
      </c>
      <c r="O8" s="7">
        <f>output!E151</f>
        <v>15820</v>
      </c>
      <c r="P8" s="7">
        <f>output!F151</f>
        <v>13969</v>
      </c>
      <c r="Q8" s="7">
        <f>output!G151</f>
        <v>3223</v>
      </c>
      <c r="R8" s="7">
        <f>output!H151</f>
        <v>9071</v>
      </c>
      <c r="S8" s="7">
        <f>output!I151</f>
        <v>197693</v>
      </c>
      <c r="U8" s="20">
        <v>3</v>
      </c>
      <c r="V8" s="7">
        <f t="shared" si="7"/>
        <v>122107</v>
      </c>
      <c r="W8" s="7">
        <f t="shared" si="0"/>
        <v>14101</v>
      </c>
      <c r="X8" s="7">
        <f t="shared" si="1"/>
        <v>19402</v>
      </c>
      <c r="Y8" s="7">
        <f t="shared" si="2"/>
        <v>15820</v>
      </c>
      <c r="Z8" s="7">
        <f t="shared" si="3"/>
        <v>13969</v>
      </c>
      <c r="AA8" s="7">
        <f t="shared" si="4"/>
        <v>3223</v>
      </c>
      <c r="AB8" s="7">
        <f t="shared" si="5"/>
        <v>9071</v>
      </c>
      <c r="AC8" s="7">
        <f t="shared" si="6"/>
        <v>197693</v>
      </c>
    </row>
    <row r="9" spans="1:29" x14ac:dyDescent="0.2">
      <c r="A9" s="20">
        <v>4</v>
      </c>
      <c r="B9" s="7">
        <f>output_NHTS!B152</f>
        <v>358754.60380391771</v>
      </c>
      <c r="C9" s="7">
        <f>output_NHTS!C152</f>
        <v>104386.88435920489</v>
      </c>
      <c r="D9" s="7">
        <f>output_NHTS!D152</f>
        <v>94914.651101713403</v>
      </c>
      <c r="E9" s="7">
        <f>output_NHTS!E152</f>
        <v>117716.5570572727</v>
      </c>
      <c r="F9" s="7">
        <f>output_NHTS!F152</f>
        <v>155145.3644517161</v>
      </c>
      <c r="G9" s="7">
        <f>output_NHTS!G152</f>
        <v>33464.586624024501</v>
      </c>
      <c r="H9" s="7">
        <f>output_NHTS!H152</f>
        <v>165611.707533329</v>
      </c>
      <c r="I9" s="7">
        <f>output_NHTS!I152</f>
        <v>1029994.3549311783</v>
      </c>
      <c r="K9" s="20">
        <v>4</v>
      </c>
      <c r="L9" s="7">
        <f>output!B152</f>
        <v>51391</v>
      </c>
      <c r="M9" s="7">
        <f>output!C152</f>
        <v>3795</v>
      </c>
      <c r="N9" s="7">
        <f>output!D152</f>
        <v>5850</v>
      </c>
      <c r="O9" s="7">
        <f>output!E152</f>
        <v>4371</v>
      </c>
      <c r="P9" s="7">
        <f>output!F152</f>
        <v>3892</v>
      </c>
      <c r="Q9" s="7">
        <f>output!G152</f>
        <v>928</v>
      </c>
      <c r="R9" s="7">
        <f>output!H152</f>
        <v>2148</v>
      </c>
      <c r="S9" s="7">
        <f>output!I152</f>
        <v>72375</v>
      </c>
      <c r="U9" s="20">
        <v>4</v>
      </c>
      <c r="V9" s="7">
        <f t="shared" si="7"/>
        <v>-307363.60380391771</v>
      </c>
      <c r="W9" s="7">
        <f t="shared" si="0"/>
        <v>-100591.88435920489</v>
      </c>
      <c r="X9" s="7">
        <f t="shared" si="1"/>
        <v>-89064.651101713403</v>
      </c>
      <c r="Y9" s="7">
        <f t="shared" si="2"/>
        <v>-113345.5570572727</v>
      </c>
      <c r="Z9" s="7">
        <f t="shared" si="3"/>
        <v>-151253.3644517161</v>
      </c>
      <c r="AA9" s="7">
        <f t="shared" si="4"/>
        <v>-32536.586624024501</v>
      </c>
      <c r="AB9" s="7">
        <f t="shared" si="5"/>
        <v>-163463.707533329</v>
      </c>
      <c r="AC9" s="7">
        <f t="shared" si="6"/>
        <v>-957619.35493117827</v>
      </c>
    </row>
    <row r="10" spans="1:29" x14ac:dyDescent="0.2">
      <c r="A10" s="20">
        <v>5</v>
      </c>
      <c r="B10" s="7">
        <f>output_NHTS!B153</f>
        <v>0</v>
      </c>
      <c r="C10" s="7">
        <f>output_NHTS!C153</f>
        <v>0</v>
      </c>
      <c r="D10" s="7">
        <f>output_NHTS!D153</f>
        <v>0</v>
      </c>
      <c r="E10" s="7">
        <f>output_NHTS!E153</f>
        <v>0</v>
      </c>
      <c r="F10" s="7">
        <f>output_NHTS!F153</f>
        <v>0</v>
      </c>
      <c r="G10" s="7">
        <f>output_NHTS!G153</f>
        <v>0</v>
      </c>
      <c r="H10" s="7">
        <f>output_NHTS!H153</f>
        <v>0</v>
      </c>
      <c r="I10" s="7">
        <f>output_NHTS!I153</f>
        <v>0</v>
      </c>
      <c r="K10" s="20">
        <v>5</v>
      </c>
      <c r="L10" s="7">
        <f>output!B153</f>
        <v>20148</v>
      </c>
      <c r="M10" s="7">
        <f>output!C153</f>
        <v>1040</v>
      </c>
      <c r="N10" s="7">
        <f>output!D153</f>
        <v>1681</v>
      </c>
      <c r="O10" s="7">
        <f>output!E153</f>
        <v>962</v>
      </c>
      <c r="P10" s="7">
        <f>output!F153</f>
        <v>964</v>
      </c>
      <c r="Q10" s="7">
        <f>output!G153</f>
        <v>222</v>
      </c>
      <c r="R10" s="7">
        <f>output!H153</f>
        <v>440</v>
      </c>
      <c r="S10" s="7">
        <f>output!I153</f>
        <v>25457</v>
      </c>
      <c r="U10" s="20">
        <v>5</v>
      </c>
      <c r="V10" s="7">
        <f t="shared" si="7"/>
        <v>20148</v>
      </c>
      <c r="W10" s="7">
        <f t="shared" si="0"/>
        <v>1040</v>
      </c>
      <c r="X10" s="7">
        <f t="shared" si="1"/>
        <v>1681</v>
      </c>
      <c r="Y10" s="7">
        <f t="shared" si="2"/>
        <v>962</v>
      </c>
      <c r="Z10" s="7">
        <f t="shared" si="3"/>
        <v>964</v>
      </c>
      <c r="AA10" s="7">
        <f t="shared" si="4"/>
        <v>222</v>
      </c>
      <c r="AB10" s="7">
        <f t="shared" si="5"/>
        <v>440</v>
      </c>
      <c r="AC10" s="7">
        <f t="shared" si="6"/>
        <v>25457</v>
      </c>
    </row>
    <row r="11" spans="1:29" x14ac:dyDescent="0.2">
      <c r="A11" s="3" t="s">
        <v>209</v>
      </c>
      <c r="B11" s="9">
        <f>output_NHTS!B154</f>
        <v>449997.87083926552</v>
      </c>
      <c r="C11" s="9">
        <f>output_NHTS!C154</f>
        <v>118244.9867477614</v>
      </c>
      <c r="D11" s="9">
        <f>output_NHTS!D154</f>
        <v>149607.6865500276</v>
      </c>
      <c r="E11" s="9">
        <f>output_NHTS!E154</f>
        <v>116320.9048564782</v>
      </c>
      <c r="F11" s="9">
        <f>output_NHTS!F154</f>
        <v>133012.1351330161</v>
      </c>
      <c r="G11" s="9">
        <f>output_NHTS!G154</f>
        <v>40150.674376151699</v>
      </c>
      <c r="H11" s="9">
        <f>output_NHTS!H154</f>
        <v>102694.8392580604</v>
      </c>
      <c r="I11" s="9">
        <f>output_NHTS!I154</f>
        <v>1110029.0977607609</v>
      </c>
      <c r="K11" s="3" t="s">
        <v>209</v>
      </c>
      <c r="L11" s="9">
        <f>output!B154</f>
        <v>20512</v>
      </c>
      <c r="M11" s="9">
        <f>output!C154</f>
        <v>509</v>
      </c>
      <c r="N11" s="9">
        <f>output!D154</f>
        <v>695</v>
      </c>
      <c r="O11" s="9">
        <f>output!E154</f>
        <v>251</v>
      </c>
      <c r="P11" s="9">
        <f>output!F154</f>
        <v>284</v>
      </c>
      <c r="Q11" s="9">
        <f>output!G154</f>
        <v>71</v>
      </c>
      <c r="R11" s="9">
        <f>output!H154</f>
        <v>99</v>
      </c>
      <c r="S11" s="9">
        <f>output!I154</f>
        <v>22421</v>
      </c>
      <c r="U11" s="3" t="s">
        <v>209</v>
      </c>
      <c r="V11" s="9">
        <f t="shared" si="7"/>
        <v>-429485.87083926552</v>
      </c>
      <c r="W11" s="9">
        <f t="shared" si="0"/>
        <v>-117735.9867477614</v>
      </c>
      <c r="X11" s="9">
        <f t="shared" si="1"/>
        <v>-148912.6865500276</v>
      </c>
      <c r="Y11" s="9">
        <f t="shared" si="2"/>
        <v>-116069.9048564782</v>
      </c>
      <c r="Z11" s="9">
        <f t="shared" si="3"/>
        <v>-132728.1351330161</v>
      </c>
      <c r="AA11" s="9">
        <f t="shared" si="4"/>
        <v>-40079.674376151699</v>
      </c>
      <c r="AB11" s="9">
        <f t="shared" si="5"/>
        <v>-102595.8392580604</v>
      </c>
      <c r="AC11" s="9">
        <f t="shared" si="6"/>
        <v>-1087608.0977607609</v>
      </c>
    </row>
    <row r="12" spans="1:29" ht="13.5" thickBot="1" x14ac:dyDescent="0.25">
      <c r="A12" s="21" t="s">
        <v>221</v>
      </c>
      <c r="B12" s="22">
        <f t="shared" ref="B12:I12" si="8">SUM(B5:B11)</f>
        <v>1555661.6194106522</v>
      </c>
      <c r="C12" s="22">
        <f t="shared" si="8"/>
        <v>706761.78198890807</v>
      </c>
      <c r="D12" s="22">
        <f t="shared" si="8"/>
        <v>552733.44567277888</v>
      </c>
      <c r="E12" s="22">
        <f t="shared" si="8"/>
        <v>656080.95622169308</v>
      </c>
      <c r="F12" s="22">
        <f t="shared" si="8"/>
        <v>657395.64450202533</v>
      </c>
      <c r="G12" s="22">
        <f t="shared" si="8"/>
        <v>267134.81060251023</v>
      </c>
      <c r="H12" s="22">
        <f t="shared" si="8"/>
        <v>987746.80243903282</v>
      </c>
      <c r="I12" s="22">
        <f t="shared" si="8"/>
        <v>5383515.0608376004</v>
      </c>
      <c r="K12" s="21" t="s">
        <v>221</v>
      </c>
      <c r="L12" s="22">
        <f t="shared" ref="L12:S12" si="9">SUM(L5:L11)</f>
        <v>1410630</v>
      </c>
      <c r="M12" s="22">
        <f t="shared" si="9"/>
        <v>461833</v>
      </c>
      <c r="N12" s="22">
        <f t="shared" si="9"/>
        <v>476292</v>
      </c>
      <c r="O12" s="22">
        <f t="shared" si="9"/>
        <v>540826</v>
      </c>
      <c r="P12" s="22">
        <f t="shared" si="9"/>
        <v>576591</v>
      </c>
      <c r="Q12" s="22">
        <f t="shared" si="9"/>
        <v>223024</v>
      </c>
      <c r="R12" s="22">
        <f t="shared" si="9"/>
        <v>795881</v>
      </c>
      <c r="S12" s="22">
        <f t="shared" si="9"/>
        <v>4485077</v>
      </c>
      <c r="U12" s="21" t="s">
        <v>221</v>
      </c>
      <c r="V12" s="22">
        <f t="shared" si="7"/>
        <v>-145031.6194106522</v>
      </c>
      <c r="W12" s="22">
        <f t="shared" si="0"/>
        <v>-244928.78198890807</v>
      </c>
      <c r="X12" s="22">
        <f t="shared" si="1"/>
        <v>-76441.445672778878</v>
      </c>
      <c r="Y12" s="22">
        <f t="shared" si="2"/>
        <v>-115254.95622169308</v>
      </c>
      <c r="Z12" s="22">
        <f t="shared" si="3"/>
        <v>-80804.64450202533</v>
      </c>
      <c r="AA12" s="22">
        <f t="shared" si="4"/>
        <v>-44110.810602510232</v>
      </c>
      <c r="AB12" s="22">
        <f t="shared" si="5"/>
        <v>-191865.80243903282</v>
      </c>
      <c r="AC12" s="22">
        <f t="shared" si="6"/>
        <v>-898438.06083760038</v>
      </c>
    </row>
    <row r="15" spans="1:29" x14ac:dyDescent="0.2">
      <c r="A15" s="2" t="s">
        <v>175</v>
      </c>
      <c r="K15" s="2" t="s">
        <v>175</v>
      </c>
      <c r="U15" s="2" t="s">
        <v>175</v>
      </c>
    </row>
    <row r="16" spans="1:29" x14ac:dyDescent="0.2">
      <c r="A16" s="2" t="s">
        <v>102</v>
      </c>
      <c r="K16" s="2" t="s">
        <v>0</v>
      </c>
      <c r="U16" s="2" t="s">
        <v>293</v>
      </c>
    </row>
    <row r="17" spans="1:29" ht="13.5" thickBot="1" x14ac:dyDescent="0.25"/>
    <row r="18" spans="1:29" x14ac:dyDescent="0.2">
      <c r="A18" s="5" t="s">
        <v>248</v>
      </c>
      <c r="B18" s="6" t="s">
        <v>117</v>
      </c>
      <c r="C18" s="6" t="s">
        <v>118</v>
      </c>
      <c r="D18" s="6" t="s">
        <v>4</v>
      </c>
      <c r="E18" s="6" t="s">
        <v>5</v>
      </c>
      <c r="F18" s="6" t="s">
        <v>6</v>
      </c>
      <c r="G18" s="6" t="s">
        <v>7</v>
      </c>
      <c r="H18" s="6" t="s">
        <v>8</v>
      </c>
      <c r="I18" s="6" t="s">
        <v>221</v>
      </c>
      <c r="K18" s="5" t="s">
        <v>248</v>
      </c>
      <c r="L18" s="6" t="s">
        <v>117</v>
      </c>
      <c r="M18" s="6" t="s">
        <v>118</v>
      </c>
      <c r="N18" s="6" t="s">
        <v>4</v>
      </c>
      <c r="O18" s="6" t="s">
        <v>5</v>
      </c>
      <c r="P18" s="6" t="s">
        <v>6</v>
      </c>
      <c r="Q18" s="6" t="s">
        <v>7</v>
      </c>
      <c r="R18" s="6" t="s">
        <v>8</v>
      </c>
      <c r="S18" s="6" t="s">
        <v>221</v>
      </c>
      <c r="U18" s="5" t="s">
        <v>248</v>
      </c>
      <c r="V18" s="6" t="s">
        <v>117</v>
      </c>
      <c r="W18" s="6" t="s">
        <v>118</v>
      </c>
      <c r="X18" s="6" t="s">
        <v>4</v>
      </c>
      <c r="Y18" s="6" t="s">
        <v>5</v>
      </c>
      <c r="Z18" s="6" t="s">
        <v>6</v>
      </c>
      <c r="AA18" s="6" t="s">
        <v>7</v>
      </c>
      <c r="AB18" s="6" t="s">
        <v>8</v>
      </c>
      <c r="AC18" s="6" t="s">
        <v>221</v>
      </c>
    </row>
    <row r="19" spans="1:29" x14ac:dyDescent="0.2">
      <c r="A19" s="18">
        <v>0</v>
      </c>
      <c r="B19" s="12">
        <f t="shared" ref="B19:I24" si="10">B5/B$12</f>
        <v>0</v>
      </c>
      <c r="C19" s="12">
        <f t="shared" si="10"/>
        <v>0</v>
      </c>
      <c r="D19" s="12">
        <f t="shared" si="10"/>
        <v>0</v>
      </c>
      <c r="E19" s="12">
        <f t="shared" si="10"/>
        <v>0</v>
      </c>
      <c r="F19" s="12">
        <f t="shared" si="10"/>
        <v>0</v>
      </c>
      <c r="G19" s="12">
        <f t="shared" si="10"/>
        <v>0</v>
      </c>
      <c r="H19" s="12">
        <f t="shared" si="10"/>
        <v>0</v>
      </c>
      <c r="I19" s="12">
        <f t="shared" si="10"/>
        <v>0</v>
      </c>
      <c r="K19" s="18">
        <v>0</v>
      </c>
      <c r="L19" s="12">
        <f>L5/L$12</f>
        <v>0.33980207425051218</v>
      </c>
      <c r="M19" s="12">
        <f t="shared" ref="M19:S19" si="11">M5/M$12</f>
        <v>0.57925700415518167</v>
      </c>
      <c r="N19" s="12">
        <f t="shared" si="11"/>
        <v>0.51048726411529066</v>
      </c>
      <c r="O19" s="12">
        <f t="shared" si="11"/>
        <v>0.59343300802846022</v>
      </c>
      <c r="P19" s="12">
        <f t="shared" si="11"/>
        <v>0.64844751305518122</v>
      </c>
      <c r="Q19" s="12">
        <f t="shared" si="11"/>
        <v>0.72900674366884277</v>
      </c>
      <c r="R19" s="12">
        <f t="shared" si="11"/>
        <v>0.72479051516495552</v>
      </c>
      <c r="S19" s="12">
        <f t="shared" si="11"/>
        <v>0.54051736458482202</v>
      </c>
      <c r="U19" s="18">
        <v>0</v>
      </c>
      <c r="V19" s="12">
        <f t="shared" ref="V19:AA26" si="12">L19-B19</f>
        <v>0.33980207425051218</v>
      </c>
      <c r="W19" s="12">
        <f t="shared" si="12"/>
        <v>0.57925700415518167</v>
      </c>
      <c r="X19" s="12">
        <f t="shared" si="12"/>
        <v>0.51048726411529066</v>
      </c>
      <c r="Y19" s="12">
        <f t="shared" si="12"/>
        <v>0.59343300802846022</v>
      </c>
      <c r="Z19" s="12">
        <f t="shared" si="12"/>
        <v>0.64844751305518122</v>
      </c>
      <c r="AA19" s="12">
        <f t="shared" si="12"/>
        <v>0.72900674366884277</v>
      </c>
      <c r="AB19" s="12">
        <f t="shared" ref="AB19:AB26" si="13">R19-H19</f>
        <v>0.72479051516495552</v>
      </c>
      <c r="AC19" s="12">
        <f t="shared" ref="AC19:AC26" si="14">S19-I19</f>
        <v>0.54051736458482202</v>
      </c>
    </row>
    <row r="20" spans="1:29" x14ac:dyDescent="0.2">
      <c r="A20" s="18">
        <v>1</v>
      </c>
      <c r="B20" s="12">
        <f t="shared" si="10"/>
        <v>0</v>
      </c>
      <c r="C20" s="12">
        <f t="shared" si="10"/>
        <v>0</v>
      </c>
      <c r="D20" s="12">
        <f t="shared" si="10"/>
        <v>0</v>
      </c>
      <c r="E20" s="12">
        <f t="shared" si="10"/>
        <v>0</v>
      </c>
      <c r="F20" s="12">
        <f t="shared" si="10"/>
        <v>0</v>
      </c>
      <c r="G20" s="12">
        <f t="shared" si="10"/>
        <v>0</v>
      </c>
      <c r="H20" s="12">
        <f t="shared" si="10"/>
        <v>0</v>
      </c>
      <c r="I20" s="12">
        <f t="shared" si="10"/>
        <v>0</v>
      </c>
      <c r="K20" s="18">
        <v>1</v>
      </c>
      <c r="L20" s="12">
        <f t="shared" ref="L20:S20" si="15">L6/L$12</f>
        <v>0.3129431530592714</v>
      </c>
      <c r="M20" s="12">
        <f t="shared" si="15"/>
        <v>0.2714595968672659</v>
      </c>
      <c r="N20" s="12">
        <f t="shared" si="15"/>
        <v>0.30451277787575687</v>
      </c>
      <c r="O20" s="12">
        <f t="shared" si="15"/>
        <v>0.26778298380625193</v>
      </c>
      <c r="P20" s="12">
        <f t="shared" si="15"/>
        <v>0.23524994320063963</v>
      </c>
      <c r="Q20" s="12">
        <f t="shared" si="15"/>
        <v>0.19653490207331947</v>
      </c>
      <c r="R20" s="12">
        <f t="shared" si="15"/>
        <v>0.20882895809800711</v>
      </c>
      <c r="S20" s="12">
        <f t="shared" si="15"/>
        <v>0.26807900956884351</v>
      </c>
      <c r="U20" s="18">
        <v>1</v>
      </c>
      <c r="V20" s="12">
        <f t="shared" si="12"/>
        <v>0.3129431530592714</v>
      </c>
      <c r="W20" s="12">
        <f t="shared" si="12"/>
        <v>0.2714595968672659</v>
      </c>
      <c r="X20" s="12">
        <f t="shared" si="12"/>
        <v>0.30451277787575687</v>
      </c>
      <c r="Y20" s="12">
        <f t="shared" si="12"/>
        <v>0.26778298380625193</v>
      </c>
      <c r="Z20" s="12">
        <f t="shared" si="12"/>
        <v>0.23524994320063963</v>
      </c>
      <c r="AA20" s="12">
        <f t="shared" si="12"/>
        <v>0.19653490207331947</v>
      </c>
      <c r="AB20" s="12">
        <f t="shared" si="13"/>
        <v>0.20882895809800711</v>
      </c>
      <c r="AC20" s="12">
        <f t="shared" si="14"/>
        <v>0.26807900956884351</v>
      </c>
    </row>
    <row r="21" spans="1:29" x14ac:dyDescent="0.2">
      <c r="A21" s="19">
        <v>2</v>
      </c>
      <c r="B21" s="12">
        <f t="shared" si="10"/>
        <v>0.48012314210749035</v>
      </c>
      <c r="C21" s="12">
        <f t="shared" si="10"/>
        <v>0.68499729784418328</v>
      </c>
      <c r="D21" s="12">
        <f t="shared" si="10"/>
        <v>0.5576125534540215</v>
      </c>
      <c r="E21" s="12">
        <f t="shared" si="10"/>
        <v>0.64327959881422236</v>
      </c>
      <c r="F21" s="12">
        <f t="shared" si="10"/>
        <v>0.56166807310837863</v>
      </c>
      <c r="G21" s="12">
        <f t="shared" si="10"/>
        <v>0.72442655139500389</v>
      </c>
      <c r="H21" s="12">
        <f t="shared" si="10"/>
        <v>0.72836505658245321</v>
      </c>
      <c r="I21" s="12">
        <f t="shared" si="10"/>
        <v>0.60248584270534555</v>
      </c>
      <c r="K21" s="19">
        <v>2</v>
      </c>
      <c r="L21" s="12">
        <f t="shared" ref="L21:S21" si="16">L7/L$12</f>
        <v>0.19543749955693554</v>
      </c>
      <c r="M21" s="12">
        <f t="shared" si="16"/>
        <v>0.10717943499057019</v>
      </c>
      <c r="N21" s="12">
        <f t="shared" si="16"/>
        <v>0.12699352498047417</v>
      </c>
      <c r="O21" s="12">
        <f t="shared" si="16"/>
        <v>9.9207508514753365E-2</v>
      </c>
      <c r="P21" s="12">
        <f t="shared" si="16"/>
        <v>8.3161200920583225E-2</v>
      </c>
      <c r="Q21" s="12">
        <f t="shared" si="16"/>
        <v>5.4532247650477081E-2</v>
      </c>
      <c r="R21" s="12">
        <f t="shared" si="16"/>
        <v>5.1606961342210704E-2</v>
      </c>
      <c r="S21" s="12">
        <f t="shared" si="16"/>
        <v>0.12051387300597069</v>
      </c>
      <c r="U21" s="19">
        <v>2</v>
      </c>
      <c r="V21" s="12">
        <f t="shared" si="12"/>
        <v>-0.28468564255055484</v>
      </c>
      <c r="W21" s="12">
        <f t="shared" si="12"/>
        <v>-0.57781786285361314</v>
      </c>
      <c r="X21" s="12">
        <f t="shared" si="12"/>
        <v>-0.43061902847354733</v>
      </c>
      <c r="Y21" s="12">
        <f t="shared" si="12"/>
        <v>-0.54407209029946901</v>
      </c>
      <c r="Z21" s="12">
        <f t="shared" si="12"/>
        <v>-0.47850687218779542</v>
      </c>
      <c r="AA21" s="12">
        <f t="shared" si="12"/>
        <v>-0.66989430374452685</v>
      </c>
      <c r="AB21" s="12">
        <f t="shared" si="13"/>
        <v>-0.67675809524024255</v>
      </c>
      <c r="AC21" s="12">
        <f t="shared" si="14"/>
        <v>-0.48197196969937484</v>
      </c>
    </row>
    <row r="22" spans="1:29" x14ac:dyDescent="0.2">
      <c r="A22" s="20">
        <v>3</v>
      </c>
      <c r="B22" s="12">
        <f t="shared" si="10"/>
        <v>0</v>
      </c>
      <c r="C22" s="12">
        <f t="shared" si="10"/>
        <v>0</v>
      </c>
      <c r="D22" s="12">
        <f t="shared" si="10"/>
        <v>0</v>
      </c>
      <c r="E22" s="12">
        <f t="shared" si="10"/>
        <v>0</v>
      </c>
      <c r="F22" s="12">
        <f t="shared" si="10"/>
        <v>0</v>
      </c>
      <c r="G22" s="12">
        <f t="shared" si="10"/>
        <v>0</v>
      </c>
      <c r="H22" s="12">
        <f t="shared" si="10"/>
        <v>0</v>
      </c>
      <c r="I22" s="12">
        <f t="shared" si="10"/>
        <v>0</v>
      </c>
      <c r="K22" s="20">
        <v>3</v>
      </c>
      <c r="L22" s="12">
        <f t="shared" ref="L22:S22" si="17">L8/L$12</f>
        <v>8.6562032567009062E-2</v>
      </c>
      <c r="M22" s="12">
        <f t="shared" si="17"/>
        <v>3.0532681726944587E-2</v>
      </c>
      <c r="N22" s="12">
        <f t="shared" si="17"/>
        <v>4.0735515188161882E-2</v>
      </c>
      <c r="O22" s="12">
        <f t="shared" si="17"/>
        <v>2.9251552255254002E-2</v>
      </c>
      <c r="P22" s="12">
        <f t="shared" si="17"/>
        <v>2.4226878324496912E-2</v>
      </c>
      <c r="Q22" s="12">
        <f t="shared" si="17"/>
        <v>1.4451359494942249E-2</v>
      </c>
      <c r="R22" s="12">
        <f t="shared" si="17"/>
        <v>1.1397432530742661E-2</v>
      </c>
      <c r="S22" s="12">
        <f t="shared" si="17"/>
        <v>4.4077950055261036E-2</v>
      </c>
      <c r="U22" s="20">
        <v>3</v>
      </c>
      <c r="V22" s="12">
        <f t="shared" si="12"/>
        <v>8.6562032567009062E-2</v>
      </c>
      <c r="W22" s="12">
        <f t="shared" si="12"/>
        <v>3.0532681726944587E-2</v>
      </c>
      <c r="X22" s="12">
        <f t="shared" si="12"/>
        <v>4.0735515188161882E-2</v>
      </c>
      <c r="Y22" s="12">
        <f t="shared" si="12"/>
        <v>2.9251552255254002E-2</v>
      </c>
      <c r="Z22" s="12">
        <f t="shared" si="12"/>
        <v>2.4226878324496912E-2</v>
      </c>
      <c r="AA22" s="12">
        <f t="shared" si="12"/>
        <v>1.4451359494942249E-2</v>
      </c>
      <c r="AB22" s="12">
        <f t="shared" si="13"/>
        <v>1.1397432530742661E-2</v>
      </c>
      <c r="AC22" s="12">
        <f t="shared" si="14"/>
        <v>4.4077950055261036E-2</v>
      </c>
    </row>
    <row r="23" spans="1:29" x14ac:dyDescent="0.2">
      <c r="A23" s="20">
        <v>4</v>
      </c>
      <c r="B23" s="12">
        <f t="shared" si="10"/>
        <v>0.23061223554504642</v>
      </c>
      <c r="C23" s="12">
        <f t="shared" si="10"/>
        <v>0.1476974095365603</v>
      </c>
      <c r="D23" s="12">
        <f t="shared" si="10"/>
        <v>0.17171866809359565</v>
      </c>
      <c r="E23" s="12">
        <f t="shared" si="10"/>
        <v>0.17942382863113571</v>
      </c>
      <c r="F23" s="12">
        <f t="shared" si="10"/>
        <v>0.23599998836201314</v>
      </c>
      <c r="G23" s="12">
        <f t="shared" si="10"/>
        <v>0.12527227937290042</v>
      </c>
      <c r="H23" s="12">
        <f t="shared" si="10"/>
        <v>0.16766615404310675</v>
      </c>
      <c r="I23" s="12">
        <f t="shared" si="10"/>
        <v>0.19132376213152552</v>
      </c>
      <c r="K23" s="20">
        <v>4</v>
      </c>
      <c r="L23" s="12">
        <f t="shared" ref="L23:S23" si="18">L9/L$12</f>
        <v>3.643123994243707E-2</v>
      </c>
      <c r="M23" s="12">
        <f t="shared" si="18"/>
        <v>8.2172560211158582E-3</v>
      </c>
      <c r="N23" s="12">
        <f t="shared" si="18"/>
        <v>1.2282381396286311E-2</v>
      </c>
      <c r="O23" s="12">
        <f t="shared" si="18"/>
        <v>8.0820818525736554E-3</v>
      </c>
      <c r="P23" s="12">
        <f t="shared" si="18"/>
        <v>6.750018644064857E-3</v>
      </c>
      <c r="Q23" s="12">
        <f t="shared" si="18"/>
        <v>4.1609871583327355E-3</v>
      </c>
      <c r="R23" s="12">
        <f t="shared" si="18"/>
        <v>2.6988959404735131E-3</v>
      </c>
      <c r="S23" s="12">
        <f t="shared" si="18"/>
        <v>1.6136846702966303E-2</v>
      </c>
      <c r="U23" s="20">
        <v>4</v>
      </c>
      <c r="V23" s="12">
        <f t="shared" si="12"/>
        <v>-0.19418099560260935</v>
      </c>
      <c r="W23" s="12">
        <f t="shared" si="12"/>
        <v>-0.13948015351544443</v>
      </c>
      <c r="X23" s="12">
        <f t="shared" si="12"/>
        <v>-0.15943628669730933</v>
      </c>
      <c r="Y23" s="12">
        <f t="shared" si="12"/>
        <v>-0.17134174677856207</v>
      </c>
      <c r="Z23" s="12">
        <f t="shared" si="12"/>
        <v>-0.22924996971794828</v>
      </c>
      <c r="AA23" s="12">
        <f t="shared" si="12"/>
        <v>-0.12111129221456768</v>
      </c>
      <c r="AB23" s="12">
        <f t="shared" si="13"/>
        <v>-0.16496725810263324</v>
      </c>
      <c r="AC23" s="12">
        <f t="shared" si="14"/>
        <v>-0.17518691542855921</v>
      </c>
    </row>
    <row r="24" spans="1:29" x14ac:dyDescent="0.2">
      <c r="A24" s="20">
        <v>5</v>
      </c>
      <c r="B24" s="12">
        <f t="shared" si="10"/>
        <v>0</v>
      </c>
      <c r="C24" s="12">
        <f t="shared" si="10"/>
        <v>0</v>
      </c>
      <c r="D24" s="12">
        <f t="shared" si="10"/>
        <v>0</v>
      </c>
      <c r="E24" s="12">
        <f t="shared" si="10"/>
        <v>0</v>
      </c>
      <c r="F24" s="12">
        <f t="shared" si="10"/>
        <v>0</v>
      </c>
      <c r="G24" s="12">
        <f t="shared" si="10"/>
        <v>0</v>
      </c>
      <c r="H24" s="12">
        <f t="shared" si="10"/>
        <v>0</v>
      </c>
      <c r="I24" s="12">
        <f t="shared" si="10"/>
        <v>0</v>
      </c>
      <c r="K24" s="20">
        <v>5</v>
      </c>
      <c r="L24" s="12">
        <f t="shared" ref="L24:S24" si="19">L10/L$12</f>
        <v>1.4282979945130898E-2</v>
      </c>
      <c r="M24" s="12">
        <f t="shared" si="19"/>
        <v>2.2518962482109333E-3</v>
      </c>
      <c r="N24" s="12">
        <f t="shared" si="19"/>
        <v>3.5293475431038101E-3</v>
      </c>
      <c r="O24" s="12">
        <f t="shared" si="19"/>
        <v>1.7787606365078602E-3</v>
      </c>
      <c r="P24" s="12">
        <f t="shared" si="19"/>
        <v>1.6718956764847179E-3</v>
      </c>
      <c r="Q24" s="12">
        <f t="shared" si="19"/>
        <v>9.9540856589425348E-4</v>
      </c>
      <c r="R24" s="12">
        <f t="shared" si="19"/>
        <v>5.5284646825341983E-4</v>
      </c>
      <c r="S24" s="12">
        <f t="shared" si="19"/>
        <v>5.6759337688070911E-3</v>
      </c>
      <c r="U24" s="20">
        <v>5</v>
      </c>
      <c r="V24" s="12">
        <f t="shared" si="12"/>
        <v>1.4282979945130898E-2</v>
      </c>
      <c r="W24" s="12">
        <f t="shared" si="12"/>
        <v>2.2518962482109333E-3</v>
      </c>
      <c r="X24" s="12">
        <f t="shared" si="12"/>
        <v>3.5293475431038101E-3</v>
      </c>
      <c r="Y24" s="12">
        <f t="shared" si="12"/>
        <v>1.7787606365078602E-3</v>
      </c>
      <c r="Z24" s="12">
        <f t="shared" si="12"/>
        <v>1.6718956764847179E-3</v>
      </c>
      <c r="AA24" s="12">
        <f t="shared" si="12"/>
        <v>9.9540856589425348E-4</v>
      </c>
      <c r="AB24" s="12">
        <f t="shared" si="13"/>
        <v>5.5284646825341983E-4</v>
      </c>
      <c r="AC24" s="12">
        <f t="shared" si="14"/>
        <v>5.6759337688070911E-3</v>
      </c>
    </row>
    <row r="25" spans="1:29" x14ac:dyDescent="0.2">
      <c r="A25" s="3" t="s">
        <v>209</v>
      </c>
      <c r="B25" s="13">
        <f t="shared" ref="B25:I25" si="20">B11/B$12</f>
        <v>0.28926462234746331</v>
      </c>
      <c r="C25" s="13">
        <f t="shared" si="20"/>
        <v>0.16730529261925645</v>
      </c>
      <c r="D25" s="13">
        <f t="shared" si="20"/>
        <v>0.27066877845238291</v>
      </c>
      <c r="E25" s="13">
        <f t="shared" si="20"/>
        <v>0.17729657255464185</v>
      </c>
      <c r="F25" s="13">
        <f t="shared" si="20"/>
        <v>0.20233193852960843</v>
      </c>
      <c r="G25" s="13">
        <f t="shared" si="20"/>
        <v>0.1503011692320956</v>
      </c>
      <c r="H25" s="13">
        <f t="shared" si="20"/>
        <v>0.10396878937444</v>
      </c>
      <c r="I25" s="13">
        <f t="shared" si="20"/>
        <v>0.20619039516312893</v>
      </c>
      <c r="K25" s="3" t="s">
        <v>209</v>
      </c>
      <c r="L25" s="13">
        <f t="shared" ref="L25:S25" si="21">L11/L$12</f>
        <v>1.4541020678703841E-2</v>
      </c>
      <c r="M25" s="13">
        <f t="shared" si="21"/>
        <v>1.1021299907109279E-3</v>
      </c>
      <c r="N25" s="13">
        <f t="shared" si="21"/>
        <v>1.4591889009263224E-3</v>
      </c>
      <c r="O25" s="13">
        <f t="shared" si="21"/>
        <v>4.6410490619903629E-4</v>
      </c>
      <c r="P25" s="13">
        <f t="shared" si="21"/>
        <v>4.9255017854943968E-4</v>
      </c>
      <c r="Q25" s="13">
        <f t="shared" si="21"/>
        <v>3.1835138819140543E-4</v>
      </c>
      <c r="R25" s="13">
        <f t="shared" si="21"/>
        <v>1.2439045535701945E-4</v>
      </c>
      <c r="S25" s="13">
        <f t="shared" si="21"/>
        <v>4.9990223133292919E-3</v>
      </c>
      <c r="U25" s="3" t="s">
        <v>209</v>
      </c>
      <c r="V25" s="12">
        <f t="shared" si="12"/>
        <v>-0.27472360166875948</v>
      </c>
      <c r="W25" s="12">
        <f t="shared" si="12"/>
        <v>-0.16620316262854551</v>
      </c>
      <c r="X25" s="12">
        <f t="shared" si="12"/>
        <v>-0.26920958955145657</v>
      </c>
      <c r="Y25" s="12">
        <f t="shared" si="12"/>
        <v>-0.17683246764844282</v>
      </c>
      <c r="Z25" s="12">
        <f t="shared" si="12"/>
        <v>-0.201839388351059</v>
      </c>
      <c r="AA25" s="12">
        <f t="shared" si="12"/>
        <v>-0.14998281784390419</v>
      </c>
      <c r="AB25" s="12">
        <f t="shared" si="13"/>
        <v>-0.10384439891908298</v>
      </c>
      <c r="AC25" s="12">
        <f t="shared" si="14"/>
        <v>-0.20119137284979963</v>
      </c>
    </row>
    <row r="26" spans="1:29" ht="13.5" thickBot="1" x14ac:dyDescent="0.25">
      <c r="A26" s="21" t="s">
        <v>221</v>
      </c>
      <c r="B26" s="17">
        <f t="shared" ref="B26:I26" si="22">B12/B$12</f>
        <v>1</v>
      </c>
      <c r="C26" s="17">
        <f t="shared" si="22"/>
        <v>1</v>
      </c>
      <c r="D26" s="17">
        <f t="shared" si="22"/>
        <v>1</v>
      </c>
      <c r="E26" s="17">
        <f t="shared" si="22"/>
        <v>1</v>
      </c>
      <c r="F26" s="17">
        <f t="shared" si="22"/>
        <v>1</v>
      </c>
      <c r="G26" s="17">
        <f t="shared" si="22"/>
        <v>1</v>
      </c>
      <c r="H26" s="17">
        <f t="shared" si="22"/>
        <v>1</v>
      </c>
      <c r="I26" s="17">
        <f t="shared" si="22"/>
        <v>1</v>
      </c>
      <c r="K26" s="21" t="s">
        <v>221</v>
      </c>
      <c r="L26" s="17">
        <f t="shared" ref="L26:S26" si="23">L12/L$12</f>
        <v>1</v>
      </c>
      <c r="M26" s="17">
        <f t="shared" si="23"/>
        <v>1</v>
      </c>
      <c r="N26" s="17">
        <f t="shared" si="23"/>
        <v>1</v>
      </c>
      <c r="O26" s="17">
        <f t="shared" si="23"/>
        <v>1</v>
      </c>
      <c r="P26" s="17">
        <f t="shared" si="23"/>
        <v>1</v>
      </c>
      <c r="Q26" s="17">
        <f t="shared" si="23"/>
        <v>1</v>
      </c>
      <c r="R26" s="17">
        <f t="shared" si="23"/>
        <v>1</v>
      </c>
      <c r="S26" s="17">
        <f t="shared" si="23"/>
        <v>1</v>
      </c>
      <c r="U26" s="21" t="s">
        <v>221</v>
      </c>
      <c r="V26" s="14">
        <f t="shared" si="12"/>
        <v>0</v>
      </c>
      <c r="W26" s="14">
        <f t="shared" si="12"/>
        <v>0</v>
      </c>
      <c r="X26" s="14">
        <f t="shared" si="12"/>
        <v>0</v>
      </c>
      <c r="Y26" s="14">
        <f t="shared" si="12"/>
        <v>0</v>
      </c>
      <c r="Z26" s="14">
        <f t="shared" si="12"/>
        <v>0</v>
      </c>
      <c r="AA26" s="14">
        <f t="shared" si="12"/>
        <v>0</v>
      </c>
      <c r="AB26" s="14">
        <f t="shared" si="13"/>
        <v>0</v>
      </c>
      <c r="AC26" s="14">
        <f t="shared" si="14"/>
        <v>0</v>
      </c>
    </row>
    <row r="31" spans="1:29" x14ac:dyDescent="0.2">
      <c r="A31" s="2" t="s">
        <v>175</v>
      </c>
      <c r="K31" s="2" t="s">
        <v>175</v>
      </c>
      <c r="U31" s="2" t="s">
        <v>175</v>
      </c>
    </row>
    <row r="32" spans="1:29" x14ac:dyDescent="0.2">
      <c r="A32" s="2" t="s">
        <v>103</v>
      </c>
      <c r="K32" s="2" t="s">
        <v>187</v>
      </c>
      <c r="U32" s="2" t="s">
        <v>270</v>
      </c>
    </row>
    <row r="33" spans="1:29" ht="13.5" thickBot="1" x14ac:dyDescent="0.25"/>
    <row r="34" spans="1:29" x14ac:dyDescent="0.2">
      <c r="A34" s="5" t="s">
        <v>248</v>
      </c>
      <c r="B34" s="6" t="s">
        <v>117</v>
      </c>
      <c r="C34" s="6" t="s">
        <v>118</v>
      </c>
      <c r="D34" s="6" t="s">
        <v>4</v>
      </c>
      <c r="E34" s="6" t="s">
        <v>5</v>
      </c>
      <c r="F34" s="6" t="s">
        <v>6</v>
      </c>
      <c r="G34" s="6" t="s">
        <v>7</v>
      </c>
      <c r="H34" s="6" t="s">
        <v>8</v>
      </c>
      <c r="I34" s="6" t="s">
        <v>221</v>
      </c>
      <c r="K34" s="5" t="s">
        <v>248</v>
      </c>
      <c r="L34" s="6" t="s">
        <v>117</v>
      </c>
      <c r="M34" s="6" t="s">
        <v>118</v>
      </c>
      <c r="N34" s="6" t="s">
        <v>4</v>
      </c>
      <c r="O34" s="6" t="s">
        <v>5</v>
      </c>
      <c r="P34" s="6" t="s">
        <v>6</v>
      </c>
      <c r="Q34" s="6" t="s">
        <v>7</v>
      </c>
      <c r="R34" s="6" t="s">
        <v>8</v>
      </c>
      <c r="S34" s="6" t="s">
        <v>221</v>
      </c>
      <c r="U34" s="5" t="s">
        <v>248</v>
      </c>
      <c r="V34" s="6" t="s">
        <v>117</v>
      </c>
      <c r="W34" s="6" t="s">
        <v>118</v>
      </c>
      <c r="X34" s="6" t="s">
        <v>4</v>
      </c>
      <c r="Y34" s="6" t="s">
        <v>5</v>
      </c>
      <c r="Z34" s="6" t="s">
        <v>6</v>
      </c>
      <c r="AA34" s="6" t="s">
        <v>7</v>
      </c>
      <c r="AB34" s="6" t="s">
        <v>8</v>
      </c>
      <c r="AC34" s="6" t="s">
        <v>221</v>
      </c>
    </row>
    <row r="35" spans="1:29" x14ac:dyDescent="0.2">
      <c r="A35" s="18">
        <v>0</v>
      </c>
      <c r="B35" s="7">
        <f>output_NHTS!B158</f>
        <v>0</v>
      </c>
      <c r="C35" s="7">
        <f>output_NHTS!C158</f>
        <v>0</v>
      </c>
      <c r="D35" s="7">
        <f>output_NHTS!D158</f>
        <v>0</v>
      </c>
      <c r="E35" s="7">
        <f>output_NHTS!E158</f>
        <v>0</v>
      </c>
      <c r="F35" s="7">
        <f>output_NHTS!F158</f>
        <v>0</v>
      </c>
      <c r="G35" s="7">
        <f>output_NHTS!G158</f>
        <v>0</v>
      </c>
      <c r="H35" s="7">
        <f>output_NHTS!H158</f>
        <v>0</v>
      </c>
      <c r="I35" s="7">
        <f>output_NHTS!I158</f>
        <v>0</v>
      </c>
      <c r="K35" s="18">
        <v>0</v>
      </c>
      <c r="L35" s="7">
        <f>output!B158</f>
        <v>982611</v>
      </c>
      <c r="M35" s="7">
        <f>output!C158</f>
        <v>390504</v>
      </c>
      <c r="N35" s="7">
        <f>output!D158</f>
        <v>358871</v>
      </c>
      <c r="O35" s="7">
        <f>output!E158</f>
        <v>432219</v>
      </c>
      <c r="P35" s="7">
        <f>output!F158</f>
        <v>476435</v>
      </c>
      <c r="Q35" s="7">
        <f>output!G158</f>
        <v>193785</v>
      </c>
      <c r="R35" s="7">
        <f>output!H158</f>
        <v>697742</v>
      </c>
      <c r="S35" s="7">
        <f>output!I158</f>
        <v>3532167</v>
      </c>
      <c r="U35" s="18">
        <v>0</v>
      </c>
      <c r="V35" s="7">
        <f t="shared" ref="V35:AA42" si="24">L35-B35</f>
        <v>982611</v>
      </c>
      <c r="W35" s="7">
        <f t="shared" si="24"/>
        <v>390504</v>
      </c>
      <c r="X35" s="7">
        <f t="shared" si="24"/>
        <v>358871</v>
      </c>
      <c r="Y35" s="7">
        <f t="shared" si="24"/>
        <v>432219</v>
      </c>
      <c r="Z35" s="7">
        <f t="shared" si="24"/>
        <v>476435</v>
      </c>
      <c r="AA35" s="7">
        <f t="shared" si="24"/>
        <v>193785</v>
      </c>
      <c r="AB35" s="7">
        <f t="shared" ref="AB35:AB42" si="25">R35-H35</f>
        <v>697742</v>
      </c>
      <c r="AC35" s="7">
        <f t="shared" ref="AC35:AC42" si="26">S35-I35</f>
        <v>3532167</v>
      </c>
    </row>
    <row r="36" spans="1:29" x14ac:dyDescent="0.2">
      <c r="A36" s="18">
        <v>1</v>
      </c>
      <c r="B36" s="7">
        <f>output_NHTS!B159</f>
        <v>1190345.2036575307</v>
      </c>
      <c r="C36" s="7">
        <f>output_NHTS!C159</f>
        <v>631871.41130328015</v>
      </c>
      <c r="D36" s="7">
        <f>output_NHTS!D159</f>
        <v>449811.72981089953</v>
      </c>
      <c r="E36" s="7">
        <f>output_NHTS!E159</f>
        <v>570619.52319038031</v>
      </c>
      <c r="F36" s="7">
        <f>output_NHTS!F159</f>
        <v>484323.2846708438</v>
      </c>
      <c r="G36" s="7">
        <f>output_NHTS!G159</f>
        <v>220701.75804218149</v>
      </c>
      <c r="H36" s="7">
        <f>output_NHTS!H159</f>
        <v>844025.86434357916</v>
      </c>
      <c r="I36" s="7">
        <f>output_NHTS!I159</f>
        <v>4391698.7750186948</v>
      </c>
      <c r="K36" s="18">
        <v>1</v>
      </c>
      <c r="L36" s="7">
        <f>output!B159</f>
        <v>311707</v>
      </c>
      <c r="M36" s="7">
        <f>output!C159</f>
        <v>58888</v>
      </c>
      <c r="N36" s="7">
        <f>output!D159</f>
        <v>91160</v>
      </c>
      <c r="O36" s="7">
        <f>output!E159</f>
        <v>84746</v>
      </c>
      <c r="P36" s="7">
        <f>output!F159</f>
        <v>78490</v>
      </c>
      <c r="Q36" s="7">
        <f>output!G159</f>
        <v>23693</v>
      </c>
      <c r="R36" s="7">
        <f>output!H159</f>
        <v>83163</v>
      </c>
      <c r="S36" s="7">
        <f>output!I159</f>
        <v>731847</v>
      </c>
      <c r="U36" s="18">
        <v>1</v>
      </c>
      <c r="V36" s="7">
        <f t="shared" si="24"/>
        <v>-878638.20365753071</v>
      </c>
      <c r="W36" s="7">
        <f t="shared" si="24"/>
        <v>-572983.41130328015</v>
      </c>
      <c r="X36" s="7">
        <f t="shared" si="24"/>
        <v>-358651.72981089953</v>
      </c>
      <c r="Y36" s="7">
        <f t="shared" si="24"/>
        <v>-485873.52319038031</v>
      </c>
      <c r="Z36" s="7">
        <f t="shared" si="24"/>
        <v>-405833.2846708438</v>
      </c>
      <c r="AA36" s="7">
        <f t="shared" si="24"/>
        <v>-197008.75804218149</v>
      </c>
      <c r="AB36" s="7">
        <f t="shared" si="25"/>
        <v>-760862.86434357916</v>
      </c>
      <c r="AC36" s="7">
        <f t="shared" si="26"/>
        <v>-3659851.7750186948</v>
      </c>
    </row>
    <row r="37" spans="1:29" x14ac:dyDescent="0.2">
      <c r="A37" s="19">
        <v>2</v>
      </c>
      <c r="B37" s="7">
        <f>output_NHTS!B160</f>
        <v>0</v>
      </c>
      <c r="C37" s="7">
        <f>output_NHTS!C160</f>
        <v>0</v>
      </c>
      <c r="D37" s="7">
        <f>output_NHTS!D160</f>
        <v>0</v>
      </c>
      <c r="E37" s="7">
        <f>output_NHTS!E160</f>
        <v>0</v>
      </c>
      <c r="F37" s="7">
        <f>output_NHTS!F160</f>
        <v>0</v>
      </c>
      <c r="G37" s="7">
        <f>output_NHTS!G160</f>
        <v>0</v>
      </c>
      <c r="H37" s="7">
        <f>output_NHTS!H160</f>
        <v>0</v>
      </c>
      <c r="I37" s="7">
        <f>output_NHTS!I160</f>
        <v>0</v>
      </c>
      <c r="K37" s="19">
        <v>2</v>
      </c>
      <c r="L37" s="7">
        <f>output!B160</f>
        <v>80676</v>
      </c>
      <c r="M37" s="7">
        <f>output!C160</f>
        <v>10076</v>
      </c>
      <c r="N37" s="7">
        <f>output!D160</f>
        <v>20325</v>
      </c>
      <c r="O37" s="7">
        <f>output!E160</f>
        <v>18854</v>
      </c>
      <c r="P37" s="7">
        <f>output!F160</f>
        <v>17038</v>
      </c>
      <c r="Q37" s="7">
        <f>output!G160</f>
        <v>4398</v>
      </c>
      <c r="R37" s="7">
        <f>output!H160</f>
        <v>12404</v>
      </c>
      <c r="S37" s="7">
        <f>output!I160</f>
        <v>163771</v>
      </c>
      <c r="U37" s="19">
        <v>2</v>
      </c>
      <c r="V37" s="7">
        <f t="shared" si="24"/>
        <v>80676</v>
      </c>
      <c r="W37" s="7">
        <f t="shared" si="24"/>
        <v>10076</v>
      </c>
      <c r="X37" s="7">
        <f t="shared" si="24"/>
        <v>20325</v>
      </c>
      <c r="Y37" s="7">
        <f t="shared" si="24"/>
        <v>18854</v>
      </c>
      <c r="Z37" s="7">
        <f t="shared" si="24"/>
        <v>17038</v>
      </c>
      <c r="AA37" s="7">
        <f t="shared" si="24"/>
        <v>4398</v>
      </c>
      <c r="AB37" s="7">
        <f t="shared" si="25"/>
        <v>12404</v>
      </c>
      <c r="AC37" s="7">
        <f t="shared" si="26"/>
        <v>163771</v>
      </c>
    </row>
    <row r="38" spans="1:29" x14ac:dyDescent="0.2">
      <c r="A38" s="20">
        <v>3</v>
      </c>
      <c r="B38" s="7">
        <f>output_NHTS!B161</f>
        <v>277201.25514977478</v>
      </c>
      <c r="C38" s="7">
        <f>output_NHTS!C161</f>
        <v>58115.658396791499</v>
      </c>
      <c r="D38" s="7">
        <f>output_NHTS!D161</f>
        <v>56368.194965032402</v>
      </c>
      <c r="E38" s="7">
        <f>output_NHTS!E161</f>
        <v>56816.935781038199</v>
      </c>
      <c r="F38" s="7">
        <f>output_NHTS!F161</f>
        <v>116193.39258742931</v>
      </c>
      <c r="G38" s="7">
        <f>output_NHTS!G161</f>
        <v>24775.112375684101</v>
      </c>
      <c r="H38" s="7">
        <f>output_NHTS!H161</f>
        <v>107741.82112473559</v>
      </c>
      <c r="I38" s="7">
        <f>output_NHTS!I161</f>
        <v>697212.3703804859</v>
      </c>
      <c r="K38" s="20">
        <v>3</v>
      </c>
      <c r="L38" s="7">
        <f>output!B161</f>
        <v>21234</v>
      </c>
      <c r="M38" s="7">
        <f>output!C161</f>
        <v>1766</v>
      </c>
      <c r="N38" s="7">
        <f>output!D161</f>
        <v>4371</v>
      </c>
      <c r="O38" s="7">
        <f>output!E161</f>
        <v>3865</v>
      </c>
      <c r="P38" s="7">
        <f>output!F161</f>
        <v>3542</v>
      </c>
      <c r="Q38" s="7">
        <f>output!G161</f>
        <v>885</v>
      </c>
      <c r="R38" s="7">
        <f>output!H161</f>
        <v>2039</v>
      </c>
      <c r="S38" s="7">
        <f>output!I161</f>
        <v>37702</v>
      </c>
      <c r="U38" s="20">
        <v>3</v>
      </c>
      <c r="V38" s="7">
        <f t="shared" si="24"/>
        <v>-255967.25514977478</v>
      </c>
      <c r="W38" s="7">
        <f t="shared" si="24"/>
        <v>-56349.658396791499</v>
      </c>
      <c r="X38" s="7">
        <f t="shared" si="24"/>
        <v>-51997.194965032402</v>
      </c>
      <c r="Y38" s="7">
        <f t="shared" si="24"/>
        <v>-52951.935781038199</v>
      </c>
      <c r="Z38" s="7">
        <f t="shared" si="24"/>
        <v>-112651.39258742931</v>
      </c>
      <c r="AA38" s="7">
        <f t="shared" si="24"/>
        <v>-23890.112375684101</v>
      </c>
      <c r="AB38" s="7">
        <f t="shared" si="25"/>
        <v>-105702.82112473559</v>
      </c>
      <c r="AC38" s="7">
        <f t="shared" si="26"/>
        <v>-659510.3703804859</v>
      </c>
    </row>
    <row r="39" spans="1:29" x14ac:dyDescent="0.2">
      <c r="A39" s="20">
        <v>4</v>
      </c>
      <c r="B39" s="7">
        <f>output_NHTS!B162</f>
        <v>0</v>
      </c>
      <c r="C39" s="7">
        <f>output_NHTS!C162</f>
        <v>0</v>
      </c>
      <c r="D39" s="7">
        <f>output_NHTS!D162</f>
        <v>0</v>
      </c>
      <c r="E39" s="7">
        <f>output_NHTS!E162</f>
        <v>0</v>
      </c>
      <c r="F39" s="7">
        <f>output_NHTS!F162</f>
        <v>0</v>
      </c>
      <c r="G39" s="7">
        <f>output_NHTS!G162</f>
        <v>0</v>
      </c>
      <c r="H39" s="7">
        <f>output_NHTS!H162</f>
        <v>0</v>
      </c>
      <c r="I39" s="7">
        <f>output_NHTS!I162</f>
        <v>0</v>
      </c>
      <c r="K39" s="20">
        <v>4</v>
      </c>
      <c r="L39" s="7">
        <f>output!B162</f>
        <v>8705</v>
      </c>
      <c r="M39" s="7">
        <f>output!C162</f>
        <v>435</v>
      </c>
      <c r="N39" s="7">
        <f>output!D162</f>
        <v>1222</v>
      </c>
      <c r="O39" s="7">
        <f>output!E162</f>
        <v>955</v>
      </c>
      <c r="P39" s="7">
        <f>output!F162</f>
        <v>900</v>
      </c>
      <c r="Q39" s="7">
        <f>output!G162</f>
        <v>217</v>
      </c>
      <c r="R39" s="7">
        <f>output!H162</f>
        <v>457</v>
      </c>
      <c r="S39" s="7">
        <f>output!I162</f>
        <v>12891</v>
      </c>
      <c r="U39" s="20">
        <v>4</v>
      </c>
      <c r="V39" s="7">
        <f t="shared" si="24"/>
        <v>8705</v>
      </c>
      <c r="W39" s="7">
        <f t="shared" si="24"/>
        <v>435</v>
      </c>
      <c r="X39" s="7">
        <f t="shared" si="24"/>
        <v>1222</v>
      </c>
      <c r="Y39" s="7">
        <f t="shared" si="24"/>
        <v>955</v>
      </c>
      <c r="Z39" s="7">
        <f t="shared" si="24"/>
        <v>900</v>
      </c>
      <c r="AA39" s="7">
        <f t="shared" si="24"/>
        <v>217</v>
      </c>
      <c r="AB39" s="7">
        <f t="shared" si="25"/>
        <v>457</v>
      </c>
      <c r="AC39" s="7">
        <f t="shared" si="26"/>
        <v>12891</v>
      </c>
    </row>
    <row r="40" spans="1:29" x14ac:dyDescent="0.2">
      <c r="A40" s="20">
        <v>5</v>
      </c>
      <c r="B40" s="7">
        <f>output_NHTS!B163</f>
        <v>58945.868790859902</v>
      </c>
      <c r="C40" s="7">
        <f>output_NHTS!C163</f>
        <v>10118.5781342433</v>
      </c>
      <c r="D40" s="7">
        <f>output_NHTS!D163</f>
        <v>21206.473593949599</v>
      </c>
      <c r="E40" s="7">
        <f>output_NHTS!E163</f>
        <v>18942.629867374399</v>
      </c>
      <c r="F40" s="7">
        <f>output_NHTS!F163</f>
        <v>33233.461093576298</v>
      </c>
      <c r="G40" s="7">
        <f>output_NHTS!G163</f>
        <v>12841.428309009199</v>
      </c>
      <c r="H40" s="7">
        <f>output_NHTS!H163</f>
        <v>23839.2605603136</v>
      </c>
      <c r="I40" s="7">
        <f>output_NHTS!I163</f>
        <v>179127.7003493263</v>
      </c>
      <c r="K40" s="20">
        <v>5</v>
      </c>
      <c r="L40" s="7">
        <f>output!B163</f>
        <v>2590</v>
      </c>
      <c r="M40" s="7">
        <f>output!C163</f>
        <v>105</v>
      </c>
      <c r="N40" s="7">
        <f>output!D163</f>
        <v>227</v>
      </c>
      <c r="O40" s="7">
        <f>output!E163</f>
        <v>145</v>
      </c>
      <c r="P40" s="7">
        <f>output!F163</f>
        <v>137</v>
      </c>
      <c r="Q40" s="7">
        <f>output!G163</f>
        <v>33</v>
      </c>
      <c r="R40" s="7">
        <f>output!H163</f>
        <v>51</v>
      </c>
      <c r="S40" s="7">
        <f>output!I163</f>
        <v>3288</v>
      </c>
      <c r="U40" s="20">
        <v>5</v>
      </c>
      <c r="V40" s="7">
        <f t="shared" si="24"/>
        <v>-56355.868790859902</v>
      </c>
      <c r="W40" s="7">
        <f t="shared" si="24"/>
        <v>-10013.5781342433</v>
      </c>
      <c r="X40" s="7">
        <f t="shared" si="24"/>
        <v>-20979.473593949599</v>
      </c>
      <c r="Y40" s="7">
        <f t="shared" si="24"/>
        <v>-18797.629867374399</v>
      </c>
      <c r="Z40" s="7">
        <f t="shared" si="24"/>
        <v>-33096.461093576298</v>
      </c>
      <c r="AA40" s="7">
        <f t="shared" si="24"/>
        <v>-12808.428309009199</v>
      </c>
      <c r="AB40" s="7">
        <f t="shared" si="25"/>
        <v>-23788.2605603136</v>
      </c>
      <c r="AC40" s="7">
        <f t="shared" si="26"/>
        <v>-175839.7003493263</v>
      </c>
    </row>
    <row r="41" spans="1:29" x14ac:dyDescent="0.2">
      <c r="A41" s="3" t="s">
        <v>209</v>
      </c>
      <c r="B41" s="9">
        <f>output_NHTS!B164</f>
        <v>29169.291812487099</v>
      </c>
      <c r="C41" s="9">
        <f>output_NHTS!C164</f>
        <v>6656.1341545931</v>
      </c>
      <c r="D41" s="9">
        <f>output_NHTS!D164</f>
        <v>25347.047302897401</v>
      </c>
      <c r="E41" s="9">
        <f>output_NHTS!E164</f>
        <v>9701.8673829001</v>
      </c>
      <c r="F41" s="9">
        <f>output_NHTS!F164</f>
        <v>23645.506150175999</v>
      </c>
      <c r="G41" s="9">
        <f>output_NHTS!G164</f>
        <v>8816.5118756354004</v>
      </c>
      <c r="H41" s="9">
        <f>output_NHTS!H164</f>
        <v>12139.8564104043</v>
      </c>
      <c r="I41" s="9">
        <f>output_NHTS!I164</f>
        <v>115476.2150890934</v>
      </c>
      <c r="K41" s="3" t="s">
        <v>209</v>
      </c>
      <c r="L41" s="9">
        <f>output!B164</f>
        <v>3107</v>
      </c>
      <c r="M41" s="9">
        <f>output!C164</f>
        <v>59</v>
      </c>
      <c r="N41" s="9">
        <f>output!D164</f>
        <v>116</v>
      </c>
      <c r="O41" s="9">
        <f>output!E164</f>
        <v>42</v>
      </c>
      <c r="P41" s="9">
        <f>output!F164</f>
        <v>49</v>
      </c>
      <c r="Q41" s="9">
        <f>output!G164</f>
        <v>13</v>
      </c>
      <c r="R41" s="9">
        <f>output!H164</f>
        <v>25</v>
      </c>
      <c r="S41" s="9">
        <f>output!I164</f>
        <v>3411</v>
      </c>
      <c r="U41" s="3" t="s">
        <v>209</v>
      </c>
      <c r="V41" s="9">
        <f t="shared" si="24"/>
        <v>-26062.291812487099</v>
      </c>
      <c r="W41" s="9">
        <f t="shared" si="24"/>
        <v>-6597.1341545931</v>
      </c>
      <c r="X41" s="9">
        <f t="shared" si="24"/>
        <v>-25231.047302897401</v>
      </c>
      <c r="Y41" s="9">
        <f t="shared" si="24"/>
        <v>-9659.8673829001</v>
      </c>
      <c r="Z41" s="9">
        <f t="shared" si="24"/>
        <v>-23596.506150175999</v>
      </c>
      <c r="AA41" s="9">
        <f t="shared" si="24"/>
        <v>-8803.5118756354004</v>
      </c>
      <c r="AB41" s="9">
        <f t="shared" si="25"/>
        <v>-12114.8564104043</v>
      </c>
      <c r="AC41" s="9">
        <f t="shared" si="26"/>
        <v>-112065.2150890934</v>
      </c>
    </row>
    <row r="42" spans="1:29" ht="13.5" thickBot="1" x14ac:dyDescent="0.25">
      <c r="A42" s="21" t="s">
        <v>221</v>
      </c>
      <c r="B42" s="22">
        <f t="shared" ref="B42:I42" si="27">SUM(B35:B41)</f>
        <v>1555661.6194106524</v>
      </c>
      <c r="C42" s="22">
        <f t="shared" si="27"/>
        <v>706761.78198890807</v>
      </c>
      <c r="D42" s="22">
        <f t="shared" si="27"/>
        <v>552733.44567277899</v>
      </c>
      <c r="E42" s="22">
        <f t="shared" si="27"/>
        <v>656080.95622169308</v>
      </c>
      <c r="F42" s="22">
        <f t="shared" si="27"/>
        <v>657395.64450202545</v>
      </c>
      <c r="G42" s="22">
        <f t="shared" si="27"/>
        <v>267134.81060251023</v>
      </c>
      <c r="H42" s="22">
        <f t="shared" si="27"/>
        <v>987746.8024390327</v>
      </c>
      <c r="I42" s="22">
        <f t="shared" si="27"/>
        <v>5383515.0608376004</v>
      </c>
      <c r="K42" s="21" t="s">
        <v>221</v>
      </c>
      <c r="L42" s="22">
        <f>SUM(L35:L41)</f>
        <v>1410630</v>
      </c>
      <c r="M42" s="22">
        <f t="shared" ref="M42:S42" si="28">SUM(M35:M41)</f>
        <v>461833</v>
      </c>
      <c r="N42" s="22">
        <f t="shared" si="28"/>
        <v>476292</v>
      </c>
      <c r="O42" s="22">
        <f t="shared" si="28"/>
        <v>540826</v>
      </c>
      <c r="P42" s="22">
        <f t="shared" si="28"/>
        <v>576591</v>
      </c>
      <c r="Q42" s="22">
        <f t="shared" si="28"/>
        <v>223024</v>
      </c>
      <c r="R42" s="22">
        <f t="shared" si="28"/>
        <v>795881</v>
      </c>
      <c r="S42" s="22">
        <f t="shared" si="28"/>
        <v>4485077</v>
      </c>
      <c r="U42" s="21" t="s">
        <v>221</v>
      </c>
      <c r="V42" s="22">
        <f t="shared" si="24"/>
        <v>-145031.61941065243</v>
      </c>
      <c r="W42" s="22">
        <f t="shared" si="24"/>
        <v>-244928.78198890807</v>
      </c>
      <c r="X42" s="22">
        <f t="shared" si="24"/>
        <v>-76441.445672778995</v>
      </c>
      <c r="Y42" s="22">
        <f t="shared" si="24"/>
        <v>-115254.95622169308</v>
      </c>
      <c r="Z42" s="22">
        <f t="shared" si="24"/>
        <v>-80804.644502025447</v>
      </c>
      <c r="AA42" s="22">
        <f t="shared" si="24"/>
        <v>-44110.810602510232</v>
      </c>
      <c r="AB42" s="22">
        <f t="shared" si="25"/>
        <v>-191865.8024390327</v>
      </c>
      <c r="AC42" s="22">
        <f t="shared" si="26"/>
        <v>-898438.06083760038</v>
      </c>
    </row>
    <row r="45" spans="1:29" x14ac:dyDescent="0.2">
      <c r="A45" s="2" t="s">
        <v>175</v>
      </c>
      <c r="K45" s="2" t="s">
        <v>175</v>
      </c>
      <c r="U45" s="2" t="s">
        <v>175</v>
      </c>
    </row>
    <row r="46" spans="1:29" x14ac:dyDescent="0.2">
      <c r="A46" s="2" t="s">
        <v>186</v>
      </c>
      <c r="K46" s="2" t="s">
        <v>191</v>
      </c>
      <c r="U46" s="2" t="s">
        <v>271</v>
      </c>
    </row>
    <row r="47" spans="1:29" ht="13.5" thickBot="1" x14ac:dyDescent="0.25"/>
    <row r="48" spans="1:29" x14ac:dyDescent="0.2">
      <c r="A48" s="5" t="s">
        <v>248</v>
      </c>
      <c r="B48" s="6" t="s">
        <v>117</v>
      </c>
      <c r="C48" s="6" t="s">
        <v>118</v>
      </c>
      <c r="D48" s="6" t="s">
        <v>4</v>
      </c>
      <c r="E48" s="6" t="s">
        <v>5</v>
      </c>
      <c r="F48" s="6" t="s">
        <v>6</v>
      </c>
      <c r="G48" s="6" t="s">
        <v>7</v>
      </c>
      <c r="H48" s="6" t="s">
        <v>8</v>
      </c>
      <c r="I48" s="6" t="s">
        <v>221</v>
      </c>
      <c r="K48" s="5" t="s">
        <v>248</v>
      </c>
      <c r="L48" s="6" t="s">
        <v>117</v>
      </c>
      <c r="M48" s="6" t="s">
        <v>118</v>
      </c>
      <c r="N48" s="6" t="s">
        <v>4</v>
      </c>
      <c r="O48" s="6" t="s">
        <v>5</v>
      </c>
      <c r="P48" s="6" t="s">
        <v>6</v>
      </c>
      <c r="Q48" s="6" t="s">
        <v>7</v>
      </c>
      <c r="R48" s="6" t="s">
        <v>8</v>
      </c>
      <c r="S48" s="6" t="s">
        <v>221</v>
      </c>
      <c r="U48" s="5" t="s">
        <v>248</v>
      </c>
      <c r="V48" s="6" t="s">
        <v>117</v>
      </c>
      <c r="W48" s="6" t="s">
        <v>118</v>
      </c>
      <c r="X48" s="6" t="s">
        <v>4</v>
      </c>
      <c r="Y48" s="6" t="s">
        <v>5</v>
      </c>
      <c r="Z48" s="6" t="s">
        <v>6</v>
      </c>
      <c r="AA48" s="6" t="s">
        <v>7</v>
      </c>
      <c r="AB48" s="6" t="s">
        <v>8</v>
      </c>
      <c r="AC48" s="6" t="s">
        <v>221</v>
      </c>
    </row>
    <row r="49" spans="1:29" x14ac:dyDescent="0.2">
      <c r="A49" s="18">
        <v>0</v>
      </c>
      <c r="B49" s="12">
        <f t="shared" ref="B49:I49" si="29">B35/B$12</f>
        <v>0</v>
      </c>
      <c r="C49" s="12">
        <f t="shared" si="29"/>
        <v>0</v>
      </c>
      <c r="D49" s="12">
        <f t="shared" si="29"/>
        <v>0</v>
      </c>
      <c r="E49" s="12">
        <f t="shared" si="29"/>
        <v>0</v>
      </c>
      <c r="F49" s="12">
        <f t="shared" si="29"/>
        <v>0</v>
      </c>
      <c r="G49" s="12">
        <f t="shared" si="29"/>
        <v>0</v>
      </c>
      <c r="H49" s="12">
        <f t="shared" si="29"/>
        <v>0</v>
      </c>
      <c r="I49" s="12">
        <f t="shared" si="29"/>
        <v>0</v>
      </c>
      <c r="K49" s="18">
        <v>0</v>
      </c>
      <c r="L49" s="12">
        <f t="shared" ref="L49:S54" si="30">L35/L$42</f>
        <v>0.69657599795835901</v>
      </c>
      <c r="M49" s="12">
        <f t="shared" si="30"/>
        <v>0.84555239664554072</v>
      </c>
      <c r="N49" s="12">
        <f t="shared" si="30"/>
        <v>0.75346846052421623</v>
      </c>
      <c r="O49" s="12">
        <f t="shared" si="30"/>
        <v>0.7991831014041485</v>
      </c>
      <c r="P49" s="12">
        <f t="shared" si="30"/>
        <v>0.82629628280705036</v>
      </c>
      <c r="Q49" s="12">
        <f t="shared" si="30"/>
        <v>0.8688975177559366</v>
      </c>
      <c r="R49" s="12">
        <f t="shared" si="30"/>
        <v>0.87669136466381281</v>
      </c>
      <c r="S49" s="12">
        <f t="shared" si="30"/>
        <v>0.78753764985528674</v>
      </c>
      <c r="U49" s="18">
        <v>0</v>
      </c>
      <c r="V49" s="12">
        <f>L49-B49</f>
        <v>0.69657599795835901</v>
      </c>
      <c r="W49" s="12">
        <f t="shared" ref="V49:AA56" si="31">M49-C49</f>
        <v>0.84555239664554072</v>
      </c>
      <c r="X49" s="12">
        <f t="shared" si="31"/>
        <v>0.75346846052421623</v>
      </c>
      <c r="Y49" s="12">
        <f t="shared" si="31"/>
        <v>0.7991831014041485</v>
      </c>
      <c r="Z49" s="12">
        <f t="shared" si="31"/>
        <v>0.82629628280705036</v>
      </c>
      <c r="AA49" s="12">
        <f t="shared" si="31"/>
        <v>0.8688975177559366</v>
      </c>
      <c r="AB49" s="12">
        <f t="shared" ref="AB49:AB56" si="32">R49-H49</f>
        <v>0.87669136466381281</v>
      </c>
      <c r="AC49" s="12">
        <f t="shared" ref="AC49:AC56" si="33">S49-I49</f>
        <v>0.78753764985528674</v>
      </c>
    </row>
    <row r="50" spans="1:29" x14ac:dyDescent="0.2">
      <c r="A50" s="18">
        <v>1</v>
      </c>
      <c r="B50" s="12">
        <f t="shared" ref="B50:I50" si="34">B36/B$12</f>
        <v>0.76516974437441077</v>
      </c>
      <c r="C50" s="12">
        <f t="shared" si="34"/>
        <v>0.89403732262534363</v>
      </c>
      <c r="D50" s="12">
        <f t="shared" si="34"/>
        <v>0.81379502784275237</v>
      </c>
      <c r="E50" s="12">
        <f t="shared" si="34"/>
        <v>0.86973950055877725</v>
      </c>
      <c r="F50" s="12">
        <f t="shared" si="34"/>
        <v>0.73673029129622059</v>
      </c>
      <c r="G50" s="12">
        <f t="shared" si="34"/>
        <v>0.826181198715356</v>
      </c>
      <c r="H50" s="12">
        <f t="shared" si="34"/>
        <v>0.8544961747883516</v>
      </c>
      <c r="I50" s="12">
        <f t="shared" si="34"/>
        <v>0.81576789985526799</v>
      </c>
      <c r="K50" s="18">
        <v>1</v>
      </c>
      <c r="L50" s="12">
        <f t="shared" si="30"/>
        <v>0.22097006302148686</v>
      </c>
      <c r="M50" s="12">
        <f t="shared" si="30"/>
        <v>0.12750929448523601</v>
      </c>
      <c r="N50" s="12">
        <f t="shared" si="30"/>
        <v>0.19139519454452311</v>
      </c>
      <c r="O50" s="12">
        <f t="shared" si="30"/>
        <v>0.1566973481304523</v>
      </c>
      <c r="P50" s="12">
        <f t="shared" si="30"/>
        <v>0.13612768843079409</v>
      </c>
      <c r="Q50" s="12">
        <f t="shared" si="30"/>
        <v>0.10623520338618266</v>
      </c>
      <c r="R50" s="12">
        <f t="shared" si="30"/>
        <v>0.10449175190763443</v>
      </c>
      <c r="S50" s="12">
        <f t="shared" si="30"/>
        <v>0.16317378720588296</v>
      </c>
      <c r="U50" s="18">
        <v>1</v>
      </c>
      <c r="V50" s="12">
        <f t="shared" si="31"/>
        <v>-0.54419968135292396</v>
      </c>
      <c r="W50" s="12">
        <f t="shared" si="31"/>
        <v>-0.76652802814010768</v>
      </c>
      <c r="X50" s="12">
        <f t="shared" si="31"/>
        <v>-0.62239983329822923</v>
      </c>
      <c r="Y50" s="12">
        <f t="shared" si="31"/>
        <v>-0.71304215242832492</v>
      </c>
      <c r="Z50" s="12">
        <f t="shared" si="31"/>
        <v>-0.60060260286542655</v>
      </c>
      <c r="AA50" s="12">
        <f t="shared" si="31"/>
        <v>-0.71994599532917336</v>
      </c>
      <c r="AB50" s="12">
        <f t="shared" si="32"/>
        <v>-0.75000442288071723</v>
      </c>
      <c r="AC50" s="12">
        <f t="shared" si="33"/>
        <v>-0.65259411264938505</v>
      </c>
    </row>
    <row r="51" spans="1:29" x14ac:dyDescent="0.2">
      <c r="A51" s="19">
        <v>2</v>
      </c>
      <c r="B51" s="12">
        <f t="shared" ref="B51:I51" si="35">B37/B$12</f>
        <v>0</v>
      </c>
      <c r="C51" s="12">
        <f t="shared" si="35"/>
        <v>0</v>
      </c>
      <c r="D51" s="12">
        <f t="shared" si="35"/>
        <v>0</v>
      </c>
      <c r="E51" s="12">
        <f t="shared" si="35"/>
        <v>0</v>
      </c>
      <c r="F51" s="12">
        <f t="shared" si="35"/>
        <v>0</v>
      </c>
      <c r="G51" s="12">
        <f t="shared" si="35"/>
        <v>0</v>
      </c>
      <c r="H51" s="12">
        <f t="shared" si="35"/>
        <v>0</v>
      </c>
      <c r="I51" s="12">
        <f t="shared" si="35"/>
        <v>0</v>
      </c>
      <c r="K51" s="19">
        <v>2</v>
      </c>
      <c r="L51" s="12">
        <f t="shared" si="30"/>
        <v>5.7191467642117355E-2</v>
      </c>
      <c r="M51" s="12">
        <f t="shared" si="30"/>
        <v>2.1817410189397465E-2</v>
      </c>
      <c r="N51" s="12">
        <f t="shared" si="30"/>
        <v>4.2673402030687056E-2</v>
      </c>
      <c r="O51" s="12">
        <f t="shared" si="30"/>
        <v>3.4861489647317251E-2</v>
      </c>
      <c r="P51" s="12">
        <f t="shared" si="30"/>
        <v>2.954954204973716E-2</v>
      </c>
      <c r="Q51" s="12">
        <f t="shared" si="30"/>
        <v>1.9719850778391564E-2</v>
      </c>
      <c r="R51" s="12">
        <f t="shared" si="30"/>
        <v>1.5585244527762316E-2</v>
      </c>
      <c r="S51" s="12">
        <f t="shared" si="30"/>
        <v>3.6514646236842759E-2</v>
      </c>
      <c r="U51" s="19">
        <v>2</v>
      </c>
      <c r="V51" s="12">
        <f t="shared" si="31"/>
        <v>5.7191467642117355E-2</v>
      </c>
      <c r="W51" s="12">
        <f t="shared" si="31"/>
        <v>2.1817410189397465E-2</v>
      </c>
      <c r="X51" s="12">
        <f t="shared" si="31"/>
        <v>4.2673402030687056E-2</v>
      </c>
      <c r="Y51" s="12">
        <f t="shared" si="31"/>
        <v>3.4861489647317251E-2</v>
      </c>
      <c r="Z51" s="12">
        <f t="shared" si="31"/>
        <v>2.954954204973716E-2</v>
      </c>
      <c r="AA51" s="12">
        <f t="shared" si="31"/>
        <v>1.9719850778391564E-2</v>
      </c>
      <c r="AB51" s="12">
        <f t="shared" si="32"/>
        <v>1.5585244527762316E-2</v>
      </c>
      <c r="AC51" s="12">
        <f t="shared" si="33"/>
        <v>3.6514646236842759E-2</v>
      </c>
    </row>
    <row r="52" spans="1:29" x14ac:dyDescent="0.2">
      <c r="A52" s="20">
        <v>3</v>
      </c>
      <c r="B52" s="12">
        <f t="shared" ref="B52:I52" si="36">B38/B$12</f>
        <v>0.17818865728318853</v>
      </c>
      <c r="C52" s="12">
        <f t="shared" si="36"/>
        <v>8.222807157632013E-2</v>
      </c>
      <c r="D52" s="12">
        <f t="shared" si="36"/>
        <v>0.1019807927425522</v>
      </c>
      <c r="E52" s="12">
        <f t="shared" si="36"/>
        <v>8.6600495323384249E-2</v>
      </c>
      <c r="F52" s="12">
        <f t="shared" si="36"/>
        <v>0.17674804139514091</v>
      </c>
      <c r="G52" s="12">
        <f t="shared" si="36"/>
        <v>9.2743855882372564E-2</v>
      </c>
      <c r="H52" s="12">
        <f t="shared" si="36"/>
        <v>0.10907838006530605</v>
      </c>
      <c r="I52" s="12">
        <f t="shared" si="36"/>
        <v>0.1295087619336964</v>
      </c>
      <c r="K52" s="20">
        <v>3</v>
      </c>
      <c r="L52" s="12">
        <f t="shared" si="30"/>
        <v>1.5052848727164458E-2</v>
      </c>
      <c r="M52" s="12">
        <f t="shared" si="30"/>
        <v>3.8238930522504887E-3</v>
      </c>
      <c r="N52" s="12">
        <f t="shared" si="30"/>
        <v>9.1771434330200803E-3</v>
      </c>
      <c r="O52" s="12">
        <f t="shared" si="30"/>
        <v>7.1464759460528899E-3</v>
      </c>
      <c r="P52" s="12">
        <f t="shared" si="30"/>
        <v>6.1430025789511108E-3</v>
      </c>
      <c r="Q52" s="12">
        <f t="shared" si="30"/>
        <v>3.9681827964703348E-3</v>
      </c>
      <c r="R52" s="12">
        <f t="shared" si="30"/>
        <v>2.5619407926561885E-3</v>
      </c>
      <c r="S52" s="12">
        <f t="shared" si="30"/>
        <v>8.4060987135783846E-3</v>
      </c>
      <c r="U52" s="20">
        <v>3</v>
      </c>
      <c r="V52" s="12">
        <f t="shared" si="31"/>
        <v>-0.16313580855602408</v>
      </c>
      <c r="W52" s="12">
        <f t="shared" si="31"/>
        <v>-7.840417852406964E-2</v>
      </c>
      <c r="X52" s="12">
        <f t="shared" si="31"/>
        <v>-9.2803649309532124E-2</v>
      </c>
      <c r="Y52" s="12">
        <f t="shared" si="31"/>
        <v>-7.9454019377331361E-2</v>
      </c>
      <c r="Z52" s="12">
        <f t="shared" si="31"/>
        <v>-0.1706050388161898</v>
      </c>
      <c r="AA52" s="12">
        <f t="shared" si="31"/>
        <v>-8.8775673085902229E-2</v>
      </c>
      <c r="AB52" s="12">
        <f t="shared" si="32"/>
        <v>-0.10651643927264987</v>
      </c>
      <c r="AC52" s="12">
        <f t="shared" si="33"/>
        <v>-0.12110266322011801</v>
      </c>
    </row>
    <row r="53" spans="1:29" x14ac:dyDescent="0.2">
      <c r="A53" s="20">
        <v>4</v>
      </c>
      <c r="B53" s="12">
        <f t="shared" ref="B53:I53" si="37">B39/B$12</f>
        <v>0</v>
      </c>
      <c r="C53" s="12">
        <f t="shared" si="37"/>
        <v>0</v>
      </c>
      <c r="D53" s="12">
        <f t="shared" si="37"/>
        <v>0</v>
      </c>
      <c r="E53" s="12">
        <f t="shared" si="37"/>
        <v>0</v>
      </c>
      <c r="F53" s="12">
        <f t="shared" si="37"/>
        <v>0</v>
      </c>
      <c r="G53" s="12">
        <f t="shared" si="37"/>
        <v>0</v>
      </c>
      <c r="H53" s="12">
        <f t="shared" si="37"/>
        <v>0</v>
      </c>
      <c r="I53" s="12">
        <f t="shared" si="37"/>
        <v>0</v>
      </c>
      <c r="K53" s="20">
        <v>4</v>
      </c>
      <c r="L53" s="12">
        <f t="shared" si="30"/>
        <v>6.1710016092100693E-3</v>
      </c>
      <c r="M53" s="12">
        <f t="shared" si="30"/>
        <v>9.4189891151130387E-4</v>
      </c>
      <c r="N53" s="12">
        <f t="shared" si="30"/>
        <v>2.5656530027798074E-3</v>
      </c>
      <c r="O53" s="12">
        <f t="shared" si="30"/>
        <v>1.765817471793146E-3</v>
      </c>
      <c r="P53" s="12">
        <f t="shared" si="30"/>
        <v>1.5608984531496329E-3</v>
      </c>
      <c r="Q53" s="12">
        <f t="shared" si="30"/>
        <v>9.7298945404978839E-4</v>
      </c>
      <c r="R53" s="12">
        <f t="shared" si="30"/>
        <v>5.7420644543593831E-4</v>
      </c>
      <c r="S53" s="12">
        <f t="shared" si="30"/>
        <v>2.8741981464309309E-3</v>
      </c>
      <c r="U53" s="20">
        <v>4</v>
      </c>
      <c r="V53" s="12">
        <f t="shared" si="31"/>
        <v>6.1710016092100693E-3</v>
      </c>
      <c r="W53" s="12">
        <f t="shared" si="31"/>
        <v>9.4189891151130387E-4</v>
      </c>
      <c r="X53" s="12">
        <f t="shared" si="31"/>
        <v>2.5656530027798074E-3</v>
      </c>
      <c r="Y53" s="12">
        <f t="shared" si="31"/>
        <v>1.765817471793146E-3</v>
      </c>
      <c r="Z53" s="12">
        <f t="shared" si="31"/>
        <v>1.5608984531496329E-3</v>
      </c>
      <c r="AA53" s="12">
        <f t="shared" si="31"/>
        <v>9.7298945404978839E-4</v>
      </c>
      <c r="AB53" s="12">
        <f t="shared" si="32"/>
        <v>5.7420644543593831E-4</v>
      </c>
      <c r="AC53" s="12">
        <f t="shared" si="33"/>
        <v>2.8741981464309309E-3</v>
      </c>
    </row>
    <row r="54" spans="1:29" x14ac:dyDescent="0.2">
      <c r="A54" s="20">
        <v>5</v>
      </c>
      <c r="B54" s="12">
        <f t="shared" ref="B54:I54" si="38">B40/B$12</f>
        <v>3.7891189224807761E-2</v>
      </c>
      <c r="C54" s="12">
        <f t="shared" si="38"/>
        <v>1.4316815640155967E-2</v>
      </c>
      <c r="D54" s="12">
        <f t="shared" si="38"/>
        <v>3.8366546768555679E-2</v>
      </c>
      <c r="E54" s="12">
        <f t="shared" si="38"/>
        <v>2.887239705365505E-2</v>
      </c>
      <c r="F54" s="12">
        <f t="shared" si="38"/>
        <v>5.0553211557631351E-2</v>
      </c>
      <c r="G54" s="12">
        <f t="shared" si="38"/>
        <v>4.8070965667282188E-2</v>
      </c>
      <c r="H54" s="12">
        <f t="shared" si="38"/>
        <v>2.4134991377797999E-2</v>
      </c>
      <c r="I54" s="12">
        <f t="shared" si="38"/>
        <v>3.3273372197356967E-2</v>
      </c>
      <c r="K54" s="20">
        <v>5</v>
      </c>
      <c r="L54" s="12">
        <f t="shared" si="30"/>
        <v>1.8360590658074761E-3</v>
      </c>
      <c r="M54" s="12">
        <f t="shared" si="30"/>
        <v>2.2735490967514232E-4</v>
      </c>
      <c r="N54" s="12">
        <f t="shared" si="30"/>
        <v>4.7659838922341755E-4</v>
      </c>
      <c r="O54" s="12">
        <f t="shared" si="30"/>
        <v>2.6810841194765045E-4</v>
      </c>
      <c r="P54" s="12">
        <f t="shared" si="30"/>
        <v>2.3760343120166635E-4</v>
      </c>
      <c r="Q54" s="12">
        <f t="shared" si="30"/>
        <v>1.4796613817347011E-4</v>
      </c>
      <c r="R54" s="12">
        <f t="shared" si="30"/>
        <v>6.4079931547555478E-5</v>
      </c>
      <c r="S54" s="12">
        <f t="shared" si="30"/>
        <v>7.3309778182180591E-4</v>
      </c>
      <c r="U54" s="20">
        <v>5</v>
      </c>
      <c r="V54" s="12">
        <f t="shared" si="31"/>
        <v>-3.6055130159000283E-2</v>
      </c>
      <c r="W54" s="12">
        <f t="shared" si="31"/>
        <v>-1.4089460730480825E-2</v>
      </c>
      <c r="X54" s="12">
        <f t="shared" si="31"/>
        <v>-3.788994837933226E-2</v>
      </c>
      <c r="Y54" s="12">
        <f t="shared" si="31"/>
        <v>-2.8604288641707401E-2</v>
      </c>
      <c r="Z54" s="12">
        <f t="shared" si="31"/>
        <v>-5.0315608126429684E-2</v>
      </c>
      <c r="AA54" s="12">
        <f t="shared" si="31"/>
        <v>-4.7922999529108716E-2</v>
      </c>
      <c r="AB54" s="12">
        <f t="shared" si="32"/>
        <v>-2.4070911446250443E-2</v>
      </c>
      <c r="AC54" s="12">
        <f t="shared" si="33"/>
        <v>-3.2540274415535163E-2</v>
      </c>
    </row>
    <row r="55" spans="1:29" x14ac:dyDescent="0.2">
      <c r="A55" s="3" t="s">
        <v>209</v>
      </c>
      <c r="B55" s="13">
        <f t="shared" ref="B55:I55" si="39">B41/B$12</f>
        <v>1.8750409117593073E-2</v>
      </c>
      <c r="C55" s="13">
        <f t="shared" si="39"/>
        <v>9.4177901581802871E-3</v>
      </c>
      <c r="D55" s="13">
        <f t="shared" si="39"/>
        <v>4.5857632646139866E-2</v>
      </c>
      <c r="E55" s="13">
        <f t="shared" si="39"/>
        <v>1.4787607064183387E-2</v>
      </c>
      <c r="F55" s="13">
        <f t="shared" si="39"/>
        <v>3.596845575100726E-2</v>
      </c>
      <c r="G55" s="13">
        <f t="shared" si="39"/>
        <v>3.3003979734989107E-2</v>
      </c>
      <c r="H55" s="13">
        <f t="shared" si="39"/>
        <v>1.2290453768544206E-2</v>
      </c>
      <c r="I55" s="13">
        <f t="shared" si="39"/>
        <v>2.1449966013678597E-2</v>
      </c>
      <c r="K55" s="3" t="s">
        <v>209</v>
      </c>
      <c r="L55" s="13">
        <f t="shared" ref="L55:S55" si="40">L41/L$42</f>
        <v>2.2025619758547599E-3</v>
      </c>
      <c r="M55" s="13">
        <f t="shared" si="40"/>
        <v>1.2775180638888948E-4</v>
      </c>
      <c r="N55" s="13">
        <f t="shared" si="40"/>
        <v>2.4354807555029267E-4</v>
      </c>
      <c r="O55" s="13">
        <f t="shared" si="40"/>
        <v>7.7658988288284957E-5</v>
      </c>
      <c r="P55" s="13">
        <f t="shared" si="40"/>
        <v>8.4982249115924456E-5</v>
      </c>
      <c r="Q55" s="13">
        <f t="shared" si="40"/>
        <v>5.8289690795609439E-5</v>
      </c>
      <c r="R55" s="13">
        <f t="shared" si="40"/>
        <v>3.1411731150762487E-5</v>
      </c>
      <c r="S55" s="13">
        <f t="shared" si="40"/>
        <v>7.6052206015638077E-4</v>
      </c>
      <c r="U55" s="3" t="s">
        <v>209</v>
      </c>
      <c r="V55" s="12">
        <f t="shared" si="31"/>
        <v>-1.6547847141738313E-2</v>
      </c>
      <c r="W55" s="12">
        <f t="shared" si="31"/>
        <v>-9.2900383517913968E-3</v>
      </c>
      <c r="X55" s="12">
        <f t="shared" si="31"/>
        <v>-4.5614084570589575E-2</v>
      </c>
      <c r="Y55" s="12">
        <f t="shared" si="31"/>
        <v>-1.4709948075895103E-2</v>
      </c>
      <c r="Z55" s="12">
        <f t="shared" si="31"/>
        <v>-3.5883473501891333E-2</v>
      </c>
      <c r="AA55" s="12">
        <f t="shared" si="31"/>
        <v>-3.2945690044193496E-2</v>
      </c>
      <c r="AB55" s="12">
        <f t="shared" si="32"/>
        <v>-1.2259042037393444E-2</v>
      </c>
      <c r="AC55" s="12">
        <f t="shared" si="33"/>
        <v>-2.0689443953522218E-2</v>
      </c>
    </row>
    <row r="56" spans="1:29" ht="13.5" thickBot="1" x14ac:dyDescent="0.25">
      <c r="A56" s="21" t="s">
        <v>221</v>
      </c>
      <c r="B56" s="17">
        <f t="shared" ref="B56:I56" si="41">B42/B$12</f>
        <v>1.0000000000000002</v>
      </c>
      <c r="C56" s="17">
        <f t="shared" si="41"/>
        <v>1</v>
      </c>
      <c r="D56" s="17">
        <f t="shared" si="41"/>
        <v>1.0000000000000002</v>
      </c>
      <c r="E56" s="17">
        <f t="shared" si="41"/>
        <v>1</v>
      </c>
      <c r="F56" s="17">
        <f t="shared" si="41"/>
        <v>1.0000000000000002</v>
      </c>
      <c r="G56" s="17">
        <f t="shared" si="41"/>
        <v>1</v>
      </c>
      <c r="H56" s="17">
        <f t="shared" si="41"/>
        <v>0.99999999999999989</v>
      </c>
      <c r="I56" s="17">
        <f t="shared" si="41"/>
        <v>1</v>
      </c>
      <c r="K56" s="21" t="s">
        <v>221</v>
      </c>
      <c r="L56" s="17">
        <f t="shared" ref="L56:S56" si="42">L42/L$42</f>
        <v>1</v>
      </c>
      <c r="M56" s="17">
        <f t="shared" si="42"/>
        <v>1</v>
      </c>
      <c r="N56" s="17">
        <f t="shared" si="42"/>
        <v>1</v>
      </c>
      <c r="O56" s="17">
        <f t="shared" si="42"/>
        <v>1</v>
      </c>
      <c r="P56" s="17">
        <f t="shared" si="42"/>
        <v>1</v>
      </c>
      <c r="Q56" s="17">
        <f t="shared" si="42"/>
        <v>1</v>
      </c>
      <c r="R56" s="17">
        <f t="shared" si="42"/>
        <v>1</v>
      </c>
      <c r="S56" s="17">
        <f t="shared" si="42"/>
        <v>1</v>
      </c>
      <c r="U56" s="21" t="s">
        <v>221</v>
      </c>
      <c r="V56" s="14">
        <f t="shared" si="31"/>
        <v>0</v>
      </c>
      <c r="W56" s="14">
        <f t="shared" si="31"/>
        <v>0</v>
      </c>
      <c r="X56" s="14">
        <f t="shared" si="31"/>
        <v>0</v>
      </c>
      <c r="Y56" s="14">
        <f t="shared" si="31"/>
        <v>0</v>
      </c>
      <c r="Z56" s="14">
        <f t="shared" si="31"/>
        <v>0</v>
      </c>
      <c r="AA56" s="14">
        <f t="shared" si="31"/>
        <v>0</v>
      </c>
      <c r="AB56" s="14">
        <f t="shared" si="32"/>
        <v>0</v>
      </c>
      <c r="AC56" s="14">
        <f t="shared" si="33"/>
        <v>0</v>
      </c>
    </row>
    <row r="61" spans="1:29" x14ac:dyDescent="0.2">
      <c r="A61" s="2" t="s">
        <v>175</v>
      </c>
      <c r="K61" s="2" t="s">
        <v>175</v>
      </c>
      <c r="U61" s="2" t="s">
        <v>175</v>
      </c>
    </row>
    <row r="62" spans="1:29" x14ac:dyDescent="0.2">
      <c r="A62" s="2" t="s">
        <v>106</v>
      </c>
      <c r="K62" s="2" t="s">
        <v>289</v>
      </c>
      <c r="U62" s="2" t="s">
        <v>237</v>
      </c>
    </row>
    <row r="63" spans="1:29" ht="13.5" thickBot="1" x14ac:dyDescent="0.25"/>
    <row r="64" spans="1:29" x14ac:dyDescent="0.2">
      <c r="A64" s="5" t="s">
        <v>248</v>
      </c>
      <c r="B64" s="6" t="s">
        <v>117</v>
      </c>
      <c r="C64" s="6" t="s">
        <v>118</v>
      </c>
      <c r="D64" s="6" t="s">
        <v>4</v>
      </c>
      <c r="E64" s="6" t="s">
        <v>5</v>
      </c>
      <c r="F64" s="6" t="s">
        <v>6</v>
      </c>
      <c r="G64" s="6" t="s">
        <v>7</v>
      </c>
      <c r="H64" s="6" t="s">
        <v>8</v>
      </c>
      <c r="I64" s="6" t="s">
        <v>221</v>
      </c>
      <c r="K64" s="5" t="s">
        <v>248</v>
      </c>
      <c r="L64" s="6" t="s">
        <v>117</v>
      </c>
      <c r="M64" s="6" t="s">
        <v>118</v>
      </c>
      <c r="N64" s="6" t="s">
        <v>4</v>
      </c>
      <c r="O64" s="6" t="s">
        <v>5</v>
      </c>
      <c r="P64" s="6" t="s">
        <v>6</v>
      </c>
      <c r="Q64" s="6" t="s">
        <v>7</v>
      </c>
      <c r="R64" s="6" t="s">
        <v>8</v>
      </c>
      <c r="S64" s="6" t="s">
        <v>221</v>
      </c>
      <c r="U64" s="5" t="s">
        <v>248</v>
      </c>
      <c r="V64" s="6" t="s">
        <v>117</v>
      </c>
      <c r="W64" s="6" t="s">
        <v>118</v>
      </c>
      <c r="X64" s="6" t="s">
        <v>4</v>
      </c>
      <c r="Y64" s="6" t="s">
        <v>5</v>
      </c>
      <c r="Z64" s="6" t="s">
        <v>6</v>
      </c>
      <c r="AA64" s="6" t="s">
        <v>7</v>
      </c>
      <c r="AB64" s="6" t="s">
        <v>8</v>
      </c>
      <c r="AC64" s="6" t="s">
        <v>221</v>
      </c>
    </row>
    <row r="65" spans="1:29" x14ac:dyDescent="0.2">
      <c r="A65" s="18">
        <v>0</v>
      </c>
      <c r="B65" s="7">
        <f>output_NHTS!B168</f>
        <v>0</v>
      </c>
      <c r="C65" s="7">
        <f>output_NHTS!C168</f>
        <v>0</v>
      </c>
      <c r="D65" s="7">
        <f>output_NHTS!D168</f>
        <v>0</v>
      </c>
      <c r="E65" s="7">
        <f>output_NHTS!E168</f>
        <v>0</v>
      </c>
      <c r="F65" s="7">
        <f>output_NHTS!F168</f>
        <v>0</v>
      </c>
      <c r="G65" s="7">
        <f>output_NHTS!G168</f>
        <v>0</v>
      </c>
      <c r="H65" s="7">
        <f>output_NHTS!H168</f>
        <v>0</v>
      </c>
      <c r="I65" s="7">
        <f>output_NHTS!I168</f>
        <v>0</v>
      </c>
      <c r="K65" s="18">
        <v>0</v>
      </c>
      <c r="L65" s="7">
        <f>output!B168</f>
        <v>625036</v>
      </c>
      <c r="M65" s="7">
        <f>output!C168</f>
        <v>303931</v>
      </c>
      <c r="N65" s="7">
        <f>output!D168</f>
        <v>308785</v>
      </c>
      <c r="O65" s="7">
        <f>output!E168</f>
        <v>389151</v>
      </c>
      <c r="P65" s="7">
        <f>output!F168</f>
        <v>437441</v>
      </c>
      <c r="Q65" s="7">
        <f>output!G168</f>
        <v>182837</v>
      </c>
      <c r="R65" s="7">
        <f>output!H168</f>
        <v>647009</v>
      </c>
      <c r="S65" s="7">
        <f>output!I168</f>
        <v>2894190</v>
      </c>
      <c r="U65" s="18">
        <v>0</v>
      </c>
      <c r="V65" s="7">
        <f t="shared" ref="V65:AA72" si="43">L65-B65</f>
        <v>625036</v>
      </c>
      <c r="W65" s="7">
        <f t="shared" si="43"/>
        <v>303931</v>
      </c>
      <c r="X65" s="7">
        <f t="shared" si="43"/>
        <v>308785</v>
      </c>
      <c r="Y65" s="7">
        <f t="shared" si="43"/>
        <v>389151</v>
      </c>
      <c r="Z65" s="7">
        <f t="shared" si="43"/>
        <v>437441</v>
      </c>
      <c r="AA65" s="7">
        <f t="shared" si="43"/>
        <v>182837</v>
      </c>
      <c r="AB65" s="7">
        <f t="shared" ref="AB65:AB72" si="44">R65-H65</f>
        <v>647009</v>
      </c>
      <c r="AC65" s="7">
        <f t="shared" ref="AC65:AC72" si="45">S65-I65</f>
        <v>2894190</v>
      </c>
    </row>
    <row r="66" spans="1:29" x14ac:dyDescent="0.2">
      <c r="A66" s="18">
        <v>1</v>
      </c>
      <c r="B66" s="7">
        <f>output_NHTS!B169</f>
        <v>885525.09520640329</v>
      </c>
      <c r="C66" s="7">
        <f>output_NHTS!C169</f>
        <v>515952.45472795912</v>
      </c>
      <c r="D66" s="7">
        <f>output_NHTS!D169</f>
        <v>370805.50168951118</v>
      </c>
      <c r="E66" s="7">
        <f>output_NHTS!E169</f>
        <v>462486.17166626162</v>
      </c>
      <c r="F66" s="7">
        <f>output_NHTS!F169</f>
        <v>480190.198446422</v>
      </c>
      <c r="G66" s="7">
        <f>output_NHTS!G169</f>
        <v>221311.31598176499</v>
      </c>
      <c r="H66" s="7">
        <f>output_NHTS!H169</f>
        <v>814322.16281278979</v>
      </c>
      <c r="I66" s="7">
        <f>output_NHTS!I169</f>
        <v>3750592.9005311118</v>
      </c>
      <c r="K66" s="18">
        <v>1</v>
      </c>
      <c r="L66" s="7">
        <f>output!B169</f>
        <v>499034</v>
      </c>
      <c r="M66" s="7">
        <f>output!C169</f>
        <v>120110</v>
      </c>
      <c r="N66" s="7">
        <f>output!D169</f>
        <v>132421</v>
      </c>
      <c r="O66" s="7">
        <f>output!E169</f>
        <v>123020</v>
      </c>
      <c r="P66" s="7">
        <f>output!F169</f>
        <v>114206</v>
      </c>
      <c r="Q66" s="7">
        <f>output!G169</f>
        <v>34350</v>
      </c>
      <c r="R66" s="7">
        <f>output!H169</f>
        <v>129339</v>
      </c>
      <c r="S66" s="7">
        <f>output!I169</f>
        <v>1152480</v>
      </c>
      <c r="U66" s="18">
        <v>1</v>
      </c>
      <c r="V66" s="7">
        <f t="shared" si="43"/>
        <v>-386491.09520640329</v>
      </c>
      <c r="W66" s="7">
        <f t="shared" si="43"/>
        <v>-395842.45472795912</v>
      </c>
      <c r="X66" s="7">
        <f t="shared" si="43"/>
        <v>-238384.50168951118</v>
      </c>
      <c r="Y66" s="7">
        <f t="shared" si="43"/>
        <v>-339466.17166626162</v>
      </c>
      <c r="Z66" s="7">
        <f t="shared" si="43"/>
        <v>-365984.198446422</v>
      </c>
      <c r="AA66" s="7">
        <f t="shared" si="43"/>
        <v>-186961.31598176499</v>
      </c>
      <c r="AB66" s="7">
        <f t="shared" si="44"/>
        <v>-684983.16281278979</v>
      </c>
      <c r="AC66" s="7">
        <f t="shared" si="45"/>
        <v>-2598112.9005311118</v>
      </c>
    </row>
    <row r="67" spans="1:29" x14ac:dyDescent="0.2">
      <c r="A67" s="19">
        <v>2</v>
      </c>
      <c r="B67" s="7">
        <f>output_NHTS!B170</f>
        <v>0</v>
      </c>
      <c r="C67" s="7">
        <f>output_NHTS!C170</f>
        <v>0</v>
      </c>
      <c r="D67" s="7">
        <f>output_NHTS!D170</f>
        <v>0</v>
      </c>
      <c r="E67" s="7">
        <f>output_NHTS!E170</f>
        <v>0</v>
      </c>
      <c r="F67" s="7">
        <f>output_NHTS!F170</f>
        <v>0</v>
      </c>
      <c r="G67" s="7">
        <f>output_NHTS!G170</f>
        <v>0</v>
      </c>
      <c r="H67" s="7">
        <f>output_NHTS!H170</f>
        <v>0</v>
      </c>
      <c r="I67" s="7">
        <f>output_NHTS!I170</f>
        <v>0</v>
      </c>
      <c r="K67" s="19">
        <v>2</v>
      </c>
      <c r="L67" s="7">
        <f>output!B170</f>
        <v>202614</v>
      </c>
      <c r="M67" s="7">
        <f>output!C170</f>
        <v>31606</v>
      </c>
      <c r="N67" s="7">
        <f>output!D170</f>
        <v>29923</v>
      </c>
      <c r="O67" s="7">
        <f>output!E170</f>
        <v>25003</v>
      </c>
      <c r="P67" s="7">
        <f>output!F170</f>
        <v>21743</v>
      </c>
      <c r="Q67" s="7">
        <f>output!G170</f>
        <v>5143</v>
      </c>
      <c r="R67" s="7">
        <f>output!H170</f>
        <v>17602</v>
      </c>
      <c r="S67" s="7">
        <f>output!I170</f>
        <v>333634</v>
      </c>
      <c r="U67" s="19">
        <v>2</v>
      </c>
      <c r="V67" s="7">
        <f t="shared" si="43"/>
        <v>202614</v>
      </c>
      <c r="W67" s="7">
        <f t="shared" si="43"/>
        <v>31606</v>
      </c>
      <c r="X67" s="7">
        <f t="shared" si="43"/>
        <v>29923</v>
      </c>
      <c r="Y67" s="7">
        <f t="shared" si="43"/>
        <v>25003</v>
      </c>
      <c r="Z67" s="7">
        <f t="shared" si="43"/>
        <v>21743</v>
      </c>
      <c r="AA67" s="7">
        <f t="shared" si="43"/>
        <v>5143</v>
      </c>
      <c r="AB67" s="7">
        <f t="shared" si="44"/>
        <v>17602</v>
      </c>
      <c r="AC67" s="7">
        <f t="shared" si="45"/>
        <v>333634</v>
      </c>
    </row>
    <row r="68" spans="1:29" x14ac:dyDescent="0.2">
      <c r="A68" s="20">
        <v>3</v>
      </c>
      <c r="B68" s="7">
        <f>output_NHTS!B171</f>
        <v>379678.45825911261</v>
      </c>
      <c r="C68" s="7">
        <f>output_NHTS!C171</f>
        <v>109367.80653329</v>
      </c>
      <c r="D68" s="7">
        <f>output_NHTS!D171</f>
        <v>79992.681105284501</v>
      </c>
      <c r="E68" s="7">
        <f>output_NHTS!E171</f>
        <v>122837.09475091931</v>
      </c>
      <c r="F68" s="7">
        <f>output_NHTS!F171</f>
        <v>123662.5494009666</v>
      </c>
      <c r="G68" s="7">
        <f>output_NHTS!G171</f>
        <v>31481.463346006101</v>
      </c>
      <c r="H68" s="7">
        <f>output_NHTS!H171</f>
        <v>129235.2983927114</v>
      </c>
      <c r="I68" s="7">
        <f>output_NHTS!I171</f>
        <v>976255.35178829054</v>
      </c>
      <c r="K68" s="20">
        <v>3</v>
      </c>
      <c r="L68" s="7">
        <f>output!B171</f>
        <v>54758</v>
      </c>
      <c r="M68" s="7">
        <f>output!C171</f>
        <v>5030</v>
      </c>
      <c r="N68" s="7">
        <f>output!D171</f>
        <v>4304</v>
      </c>
      <c r="O68" s="7">
        <f>output!E171</f>
        <v>3123</v>
      </c>
      <c r="P68" s="7">
        <f>output!F171</f>
        <v>2745</v>
      </c>
      <c r="Q68" s="7">
        <f>output!G171</f>
        <v>602</v>
      </c>
      <c r="R68" s="7">
        <f>output!H171</f>
        <v>1674</v>
      </c>
      <c r="S68" s="7">
        <f>output!I171</f>
        <v>72236</v>
      </c>
      <c r="U68" s="20">
        <v>3</v>
      </c>
      <c r="V68" s="7">
        <f t="shared" si="43"/>
        <v>-324920.45825911261</v>
      </c>
      <c r="W68" s="7">
        <f t="shared" si="43"/>
        <v>-104337.80653329</v>
      </c>
      <c r="X68" s="7">
        <f t="shared" si="43"/>
        <v>-75688.681105284501</v>
      </c>
      <c r="Y68" s="7">
        <f t="shared" si="43"/>
        <v>-119714.09475091931</v>
      </c>
      <c r="Z68" s="7">
        <f t="shared" si="43"/>
        <v>-120917.5494009666</v>
      </c>
      <c r="AA68" s="7">
        <f t="shared" si="43"/>
        <v>-30879.463346006101</v>
      </c>
      <c r="AB68" s="7">
        <f t="shared" si="44"/>
        <v>-127561.2983927114</v>
      </c>
      <c r="AC68" s="7">
        <f t="shared" si="45"/>
        <v>-904019.35178829054</v>
      </c>
    </row>
    <row r="69" spans="1:29" x14ac:dyDescent="0.2">
      <c r="A69" s="20">
        <v>4</v>
      </c>
      <c r="B69" s="7">
        <f>output_NHTS!B172</f>
        <v>0</v>
      </c>
      <c r="C69" s="7">
        <f>output_NHTS!C172</f>
        <v>0</v>
      </c>
      <c r="D69" s="7">
        <f>output_NHTS!D172</f>
        <v>0</v>
      </c>
      <c r="E69" s="7">
        <f>output_NHTS!E172</f>
        <v>0</v>
      </c>
      <c r="F69" s="7">
        <f>output_NHTS!F172</f>
        <v>0</v>
      </c>
      <c r="G69" s="7">
        <f>output_NHTS!G172</f>
        <v>0</v>
      </c>
      <c r="H69" s="7">
        <f>output_NHTS!H172</f>
        <v>0</v>
      </c>
      <c r="I69" s="7">
        <f>output_NHTS!I172</f>
        <v>0</v>
      </c>
      <c r="K69" s="20">
        <v>4</v>
      </c>
      <c r="L69" s="7">
        <f>output!B172</f>
        <v>19091</v>
      </c>
      <c r="M69" s="7">
        <f>output!C172</f>
        <v>917</v>
      </c>
      <c r="N69" s="7">
        <f>output!D172</f>
        <v>722</v>
      </c>
      <c r="O69" s="7">
        <f>output!E172</f>
        <v>472</v>
      </c>
      <c r="P69" s="7">
        <f>output!F172</f>
        <v>404</v>
      </c>
      <c r="Q69" s="7">
        <f>output!G172</f>
        <v>77</v>
      </c>
      <c r="R69" s="7">
        <f>output!H172</f>
        <v>216</v>
      </c>
      <c r="S69" s="7">
        <f>output!I172</f>
        <v>21899</v>
      </c>
      <c r="U69" s="20">
        <v>4</v>
      </c>
      <c r="V69" s="7">
        <f t="shared" si="43"/>
        <v>19091</v>
      </c>
      <c r="W69" s="7">
        <f t="shared" si="43"/>
        <v>917</v>
      </c>
      <c r="X69" s="7">
        <f t="shared" si="43"/>
        <v>722</v>
      </c>
      <c r="Y69" s="7">
        <f t="shared" si="43"/>
        <v>472</v>
      </c>
      <c r="Z69" s="7">
        <f t="shared" si="43"/>
        <v>404</v>
      </c>
      <c r="AA69" s="7">
        <f t="shared" si="43"/>
        <v>77</v>
      </c>
      <c r="AB69" s="7">
        <f t="shared" si="44"/>
        <v>216</v>
      </c>
      <c r="AC69" s="7">
        <f t="shared" si="45"/>
        <v>21899</v>
      </c>
    </row>
    <row r="70" spans="1:29" x14ac:dyDescent="0.2">
      <c r="A70" s="20">
        <v>5</v>
      </c>
      <c r="B70" s="7">
        <f>output_NHTS!B173</f>
        <v>198916.8997677578</v>
      </c>
      <c r="C70" s="7">
        <f>output_NHTS!C173</f>
        <v>58055.052466461697</v>
      </c>
      <c r="D70" s="7">
        <f>output_NHTS!D173</f>
        <v>59958.768432662502</v>
      </c>
      <c r="E70" s="7">
        <f>output_NHTS!E173</f>
        <v>42653.678167650898</v>
      </c>
      <c r="F70" s="7">
        <f>output_NHTS!F173</f>
        <v>33598.717869500899</v>
      </c>
      <c r="G70" s="7">
        <f>output_NHTS!G173</f>
        <v>9319.1224883125997</v>
      </c>
      <c r="H70" s="7">
        <f>output_NHTS!H173</f>
        <v>30091.402862245101</v>
      </c>
      <c r="I70" s="7">
        <f>output_NHTS!I173</f>
        <v>432593.6420545915</v>
      </c>
      <c r="K70" s="20">
        <v>5</v>
      </c>
      <c r="L70" s="7">
        <f>output!B173</f>
        <v>2899</v>
      </c>
      <c r="M70" s="7">
        <f>output!C173</f>
        <v>107</v>
      </c>
      <c r="N70" s="7">
        <f>output!D173</f>
        <v>68</v>
      </c>
      <c r="O70" s="7">
        <f>output!E173</f>
        <v>36</v>
      </c>
      <c r="P70" s="7">
        <f>output!F173</f>
        <v>32</v>
      </c>
      <c r="Q70" s="7">
        <f>output!G173</f>
        <v>6</v>
      </c>
      <c r="R70" s="7">
        <f>output!H173</f>
        <v>30</v>
      </c>
      <c r="S70" s="7">
        <f>output!I173</f>
        <v>3178</v>
      </c>
      <c r="U70" s="20">
        <v>5</v>
      </c>
      <c r="V70" s="7">
        <f t="shared" si="43"/>
        <v>-196017.8997677578</v>
      </c>
      <c r="W70" s="7">
        <f t="shared" si="43"/>
        <v>-57948.052466461697</v>
      </c>
      <c r="X70" s="7">
        <f t="shared" si="43"/>
        <v>-59890.768432662502</v>
      </c>
      <c r="Y70" s="7">
        <f t="shared" si="43"/>
        <v>-42617.678167650898</v>
      </c>
      <c r="Z70" s="7">
        <f t="shared" si="43"/>
        <v>-33566.717869500899</v>
      </c>
      <c r="AA70" s="7">
        <f t="shared" si="43"/>
        <v>-9313.1224883125997</v>
      </c>
      <c r="AB70" s="7">
        <f t="shared" si="44"/>
        <v>-30061.402862245101</v>
      </c>
      <c r="AC70" s="7">
        <f t="shared" si="45"/>
        <v>-429415.6420545915</v>
      </c>
    </row>
    <row r="71" spans="1:29" x14ac:dyDescent="0.2">
      <c r="A71" s="3" t="s">
        <v>209</v>
      </c>
      <c r="B71" s="9">
        <f>output_NHTS!B174</f>
        <v>91541.166177378705</v>
      </c>
      <c r="C71" s="9">
        <f>output_NHTS!C174</f>
        <v>23386.4682611973</v>
      </c>
      <c r="D71" s="9">
        <f>output_NHTS!D174</f>
        <v>41976.494445320699</v>
      </c>
      <c r="E71" s="9">
        <f>output_NHTS!E174</f>
        <v>28104.0116368612</v>
      </c>
      <c r="F71" s="9">
        <f>output_NHTS!F174</f>
        <v>19944.1787851359</v>
      </c>
      <c r="G71" s="9">
        <f>output_NHTS!G174</f>
        <v>5022.9087864265002</v>
      </c>
      <c r="H71" s="9">
        <f>output_NHTS!H174</f>
        <v>14097.9383712864</v>
      </c>
      <c r="I71" s="9">
        <f>output_NHTS!I174</f>
        <v>224073.1664636067</v>
      </c>
      <c r="K71" s="3" t="s">
        <v>209</v>
      </c>
      <c r="L71" s="9">
        <f>output!B174</f>
        <v>7198</v>
      </c>
      <c r="M71" s="9">
        <f>output!C174</f>
        <v>132</v>
      </c>
      <c r="N71" s="9">
        <f>output!D174</f>
        <v>69</v>
      </c>
      <c r="O71" s="9">
        <f>output!E174</f>
        <v>21</v>
      </c>
      <c r="P71" s="9">
        <f>output!F174</f>
        <v>20</v>
      </c>
      <c r="Q71" s="9">
        <f>output!G174</f>
        <v>9</v>
      </c>
      <c r="R71" s="9">
        <f>output!H174</f>
        <v>11</v>
      </c>
      <c r="S71" s="9">
        <f>output!I174</f>
        <v>7460</v>
      </c>
      <c r="U71" s="3" t="s">
        <v>209</v>
      </c>
      <c r="V71" s="9">
        <f t="shared" si="43"/>
        <v>-84343.166177378705</v>
      </c>
      <c r="W71" s="9">
        <f t="shared" si="43"/>
        <v>-23254.4682611973</v>
      </c>
      <c r="X71" s="9">
        <f t="shared" si="43"/>
        <v>-41907.494445320699</v>
      </c>
      <c r="Y71" s="9">
        <f t="shared" si="43"/>
        <v>-28083.0116368612</v>
      </c>
      <c r="Z71" s="9">
        <f t="shared" si="43"/>
        <v>-19924.1787851359</v>
      </c>
      <c r="AA71" s="9">
        <f t="shared" si="43"/>
        <v>-5013.9087864265002</v>
      </c>
      <c r="AB71" s="9">
        <f t="shared" si="44"/>
        <v>-14086.9383712864</v>
      </c>
      <c r="AC71" s="9">
        <f t="shared" si="45"/>
        <v>-216613.1664636067</v>
      </c>
    </row>
    <row r="72" spans="1:29" ht="13.5" thickBot="1" x14ac:dyDescent="0.25">
      <c r="A72" s="21" t="s">
        <v>221</v>
      </c>
      <c r="B72" s="22">
        <f t="shared" ref="B72:I72" si="46">SUM(B65:B71)</f>
        <v>1555661.6194106524</v>
      </c>
      <c r="C72" s="22">
        <f t="shared" si="46"/>
        <v>706761.78198890807</v>
      </c>
      <c r="D72" s="22">
        <f t="shared" si="46"/>
        <v>552733.44567277888</v>
      </c>
      <c r="E72" s="22">
        <f t="shared" si="46"/>
        <v>656080.95622169308</v>
      </c>
      <c r="F72" s="22">
        <f t="shared" si="46"/>
        <v>657395.64450202533</v>
      </c>
      <c r="G72" s="22">
        <f t="shared" si="46"/>
        <v>267134.81060251017</v>
      </c>
      <c r="H72" s="22">
        <f t="shared" si="46"/>
        <v>987746.8024390327</v>
      </c>
      <c r="I72" s="22">
        <f t="shared" si="46"/>
        <v>5383515.0608376004</v>
      </c>
      <c r="K72" s="21" t="s">
        <v>221</v>
      </c>
      <c r="L72" s="22">
        <f>SUM(L65:L71)</f>
        <v>1410630</v>
      </c>
      <c r="M72" s="22">
        <f t="shared" ref="M72:S72" si="47">SUM(M65:M71)</f>
        <v>461833</v>
      </c>
      <c r="N72" s="22">
        <f t="shared" si="47"/>
        <v>476292</v>
      </c>
      <c r="O72" s="22">
        <f t="shared" si="47"/>
        <v>540826</v>
      </c>
      <c r="P72" s="22">
        <f t="shared" si="47"/>
        <v>576591</v>
      </c>
      <c r="Q72" s="22">
        <f t="shared" si="47"/>
        <v>223024</v>
      </c>
      <c r="R72" s="22">
        <f t="shared" si="47"/>
        <v>795881</v>
      </c>
      <c r="S72" s="22">
        <f t="shared" si="47"/>
        <v>4485077</v>
      </c>
      <c r="U72" s="21" t="s">
        <v>221</v>
      </c>
      <c r="V72" s="22">
        <f t="shared" si="43"/>
        <v>-145031.61941065243</v>
      </c>
      <c r="W72" s="22">
        <f t="shared" si="43"/>
        <v>-244928.78198890807</v>
      </c>
      <c r="X72" s="22">
        <f t="shared" si="43"/>
        <v>-76441.445672778878</v>
      </c>
      <c r="Y72" s="22">
        <f t="shared" si="43"/>
        <v>-115254.95622169308</v>
      </c>
      <c r="Z72" s="22">
        <f t="shared" si="43"/>
        <v>-80804.64450202533</v>
      </c>
      <c r="AA72" s="22">
        <f t="shared" si="43"/>
        <v>-44110.810602510173</v>
      </c>
      <c r="AB72" s="22">
        <f t="shared" si="44"/>
        <v>-191865.8024390327</v>
      </c>
      <c r="AC72" s="22">
        <f t="shared" si="45"/>
        <v>-898438.06083760038</v>
      </c>
    </row>
    <row r="74" spans="1:29" x14ac:dyDescent="0.2">
      <c r="B74" s="7">
        <f>SUM(B66:B71)</f>
        <v>1555661.6194106524</v>
      </c>
      <c r="C74" s="7">
        <f t="shared" ref="C74:H74" si="48">SUM(C66:C71)</f>
        <v>706761.78198890807</v>
      </c>
      <c r="D74" s="7">
        <f t="shared" si="48"/>
        <v>552733.44567277888</v>
      </c>
      <c r="E74" s="7">
        <f t="shared" si="48"/>
        <v>656080.95622169308</v>
      </c>
      <c r="F74" s="7">
        <f t="shared" si="48"/>
        <v>657395.64450202533</v>
      </c>
      <c r="G74" s="7">
        <f t="shared" si="48"/>
        <v>267134.81060251017</v>
      </c>
      <c r="H74" s="7">
        <f t="shared" si="48"/>
        <v>987746.8024390327</v>
      </c>
    </row>
    <row r="75" spans="1:29" x14ac:dyDescent="0.2">
      <c r="A75" s="2" t="s">
        <v>175</v>
      </c>
      <c r="K75" s="2" t="s">
        <v>175</v>
      </c>
      <c r="U75" s="2" t="s">
        <v>175</v>
      </c>
    </row>
    <row r="76" spans="1:29" x14ac:dyDescent="0.2">
      <c r="A76" s="2" t="s">
        <v>215</v>
      </c>
      <c r="K76" s="2" t="s">
        <v>195</v>
      </c>
      <c r="U76" s="2" t="s">
        <v>265</v>
      </c>
    </row>
    <row r="77" spans="1:29" ht="13.5" thickBot="1" x14ac:dyDescent="0.25"/>
    <row r="78" spans="1:29" x14ac:dyDescent="0.2">
      <c r="A78" s="5" t="s">
        <v>248</v>
      </c>
      <c r="B78" s="6" t="s">
        <v>117</v>
      </c>
      <c r="C78" s="6" t="s">
        <v>118</v>
      </c>
      <c r="D78" s="6" t="s">
        <v>4</v>
      </c>
      <c r="E78" s="6" t="s">
        <v>5</v>
      </c>
      <c r="F78" s="6" t="s">
        <v>6</v>
      </c>
      <c r="G78" s="6" t="s">
        <v>7</v>
      </c>
      <c r="H78" s="6" t="s">
        <v>8</v>
      </c>
      <c r="I78" s="6" t="s">
        <v>221</v>
      </c>
      <c r="K78" s="5" t="s">
        <v>248</v>
      </c>
      <c r="L78" s="6" t="s">
        <v>117</v>
      </c>
      <c r="M78" s="6" t="s">
        <v>118</v>
      </c>
      <c r="N78" s="6" t="s">
        <v>4</v>
      </c>
      <c r="O78" s="6" t="s">
        <v>5</v>
      </c>
      <c r="P78" s="6" t="s">
        <v>6</v>
      </c>
      <c r="Q78" s="6" t="s">
        <v>7</v>
      </c>
      <c r="R78" s="6" t="s">
        <v>8</v>
      </c>
      <c r="S78" s="6" t="s">
        <v>221</v>
      </c>
      <c r="U78" s="5" t="s">
        <v>248</v>
      </c>
      <c r="V78" s="6" t="s">
        <v>117</v>
      </c>
      <c r="W78" s="6" t="s">
        <v>118</v>
      </c>
      <c r="X78" s="6" t="s">
        <v>4</v>
      </c>
      <c r="Y78" s="6" t="s">
        <v>5</v>
      </c>
      <c r="Z78" s="6" t="s">
        <v>6</v>
      </c>
      <c r="AA78" s="6" t="s">
        <v>7</v>
      </c>
      <c r="AB78" s="6" t="s">
        <v>8</v>
      </c>
      <c r="AC78" s="6" t="s">
        <v>221</v>
      </c>
    </row>
    <row r="79" spans="1:29" x14ac:dyDescent="0.2">
      <c r="A79" s="18">
        <v>0</v>
      </c>
      <c r="B79" s="12">
        <f t="shared" ref="B79:I79" si="49">B65/B$12</f>
        <v>0</v>
      </c>
      <c r="C79" s="12">
        <f t="shared" si="49"/>
        <v>0</v>
      </c>
      <c r="D79" s="12">
        <f t="shared" si="49"/>
        <v>0</v>
      </c>
      <c r="E79" s="12">
        <f t="shared" si="49"/>
        <v>0</v>
      </c>
      <c r="F79" s="12">
        <f t="shared" si="49"/>
        <v>0</v>
      </c>
      <c r="G79" s="12">
        <f t="shared" si="49"/>
        <v>0</v>
      </c>
      <c r="H79" s="12">
        <f t="shared" si="49"/>
        <v>0</v>
      </c>
      <c r="I79" s="12">
        <f t="shared" si="49"/>
        <v>0</v>
      </c>
      <c r="K79" s="18">
        <v>0</v>
      </c>
      <c r="L79" s="12">
        <f t="shared" ref="L79:S84" si="50">L65/L$72</f>
        <v>0.44308996689422459</v>
      </c>
      <c r="M79" s="12">
        <f t="shared" si="50"/>
        <v>0.65809719097595887</v>
      </c>
      <c r="N79" s="12">
        <f t="shared" si="50"/>
        <v>0.6483102802482511</v>
      </c>
      <c r="O79" s="12">
        <f t="shared" si="50"/>
        <v>0.71954935598510428</v>
      </c>
      <c r="P79" s="12">
        <f t="shared" si="50"/>
        <v>0.75866775582692059</v>
      </c>
      <c r="Q79" s="12">
        <f t="shared" si="50"/>
        <v>0.8198086304612956</v>
      </c>
      <c r="R79" s="12">
        <f t="shared" si="50"/>
        <v>0.81294691040494749</v>
      </c>
      <c r="S79" s="12">
        <f t="shared" si="50"/>
        <v>0.64529326921254637</v>
      </c>
      <c r="U79" s="18">
        <v>0</v>
      </c>
      <c r="V79" s="12">
        <f t="shared" ref="V79:AA86" si="51">L79-B79</f>
        <v>0.44308996689422459</v>
      </c>
      <c r="W79" s="12">
        <f t="shared" si="51"/>
        <v>0.65809719097595887</v>
      </c>
      <c r="X79" s="12">
        <f t="shared" si="51"/>
        <v>0.6483102802482511</v>
      </c>
      <c r="Y79" s="12">
        <f t="shared" si="51"/>
        <v>0.71954935598510428</v>
      </c>
      <c r="Z79" s="12">
        <f t="shared" si="51"/>
        <v>0.75866775582692059</v>
      </c>
      <c r="AA79" s="12">
        <f t="shared" si="51"/>
        <v>0.8198086304612956</v>
      </c>
      <c r="AB79" s="12">
        <f t="shared" ref="AB79:AB86" si="52">R79-H79</f>
        <v>0.81294691040494749</v>
      </c>
      <c r="AC79" s="12">
        <f t="shared" ref="AC79:AC86" si="53">S79-I79</f>
        <v>0.64529326921254637</v>
      </c>
    </row>
    <row r="80" spans="1:29" x14ac:dyDescent="0.2">
      <c r="A80" s="18">
        <v>1</v>
      </c>
      <c r="B80" s="12">
        <f t="shared" ref="B80:I80" si="54">B66/B$12</f>
        <v>0.56922732049009228</v>
      </c>
      <c r="C80" s="12">
        <f t="shared" si="54"/>
        <v>0.73002313916297257</v>
      </c>
      <c r="D80" s="12">
        <f t="shared" si="54"/>
        <v>0.67085772462741466</v>
      </c>
      <c r="E80" s="12">
        <f t="shared" si="54"/>
        <v>0.70492241434605096</v>
      </c>
      <c r="F80" s="12">
        <f t="shared" si="54"/>
        <v>0.73044323074297857</v>
      </c>
      <c r="G80" s="12">
        <f t="shared" si="54"/>
        <v>0.82846303513423625</v>
      </c>
      <c r="H80" s="12">
        <f t="shared" si="54"/>
        <v>0.82442399287144497</v>
      </c>
      <c r="I80" s="12">
        <f t="shared" si="54"/>
        <v>0.69668104540373876</v>
      </c>
      <c r="K80" s="18">
        <v>1</v>
      </c>
      <c r="L80" s="12">
        <f t="shared" si="50"/>
        <v>0.35376675669736218</v>
      </c>
      <c r="M80" s="12">
        <f t="shared" si="50"/>
        <v>0.26007236381982229</v>
      </c>
      <c r="N80" s="12">
        <f t="shared" si="50"/>
        <v>0.2780248251072871</v>
      </c>
      <c r="O80" s="12">
        <f t="shared" si="50"/>
        <v>0.22746687474344798</v>
      </c>
      <c r="P80" s="12">
        <f t="shared" si="50"/>
        <v>0.19807107637822999</v>
      </c>
      <c r="Q80" s="12">
        <f t="shared" si="50"/>
        <v>0.15401929837147571</v>
      </c>
      <c r="R80" s="12">
        <f t="shared" si="50"/>
        <v>0.16251047581233877</v>
      </c>
      <c r="S80" s="12">
        <f t="shared" si="50"/>
        <v>0.25695879914659214</v>
      </c>
      <c r="U80" s="18">
        <v>1</v>
      </c>
      <c r="V80" s="12">
        <f t="shared" si="51"/>
        <v>-0.2154605637927301</v>
      </c>
      <c r="W80" s="12">
        <f t="shared" si="51"/>
        <v>-0.46995077534315027</v>
      </c>
      <c r="X80" s="12">
        <f t="shared" si="51"/>
        <v>-0.39283289952012757</v>
      </c>
      <c r="Y80" s="12">
        <f t="shared" si="51"/>
        <v>-0.47745553960260301</v>
      </c>
      <c r="Z80" s="12">
        <f t="shared" si="51"/>
        <v>-0.53237215436474861</v>
      </c>
      <c r="AA80" s="12">
        <f t="shared" si="51"/>
        <v>-0.67444373676276048</v>
      </c>
      <c r="AB80" s="12">
        <f t="shared" si="52"/>
        <v>-0.66191351705910617</v>
      </c>
      <c r="AC80" s="12">
        <f t="shared" si="53"/>
        <v>-0.43972224625714662</v>
      </c>
    </row>
    <row r="81" spans="1:29" x14ac:dyDescent="0.2">
      <c r="A81" s="19">
        <v>2</v>
      </c>
      <c r="B81" s="12">
        <f t="shared" ref="B81:I81" si="55">B67/B$12</f>
        <v>0</v>
      </c>
      <c r="C81" s="12">
        <f t="shared" si="55"/>
        <v>0</v>
      </c>
      <c r="D81" s="12">
        <f t="shared" si="55"/>
        <v>0</v>
      </c>
      <c r="E81" s="12">
        <f t="shared" si="55"/>
        <v>0</v>
      </c>
      <c r="F81" s="12">
        <f t="shared" si="55"/>
        <v>0</v>
      </c>
      <c r="G81" s="12">
        <f t="shared" si="55"/>
        <v>0</v>
      </c>
      <c r="H81" s="12">
        <f t="shared" si="55"/>
        <v>0</v>
      </c>
      <c r="I81" s="12">
        <f t="shared" si="55"/>
        <v>0</v>
      </c>
      <c r="K81" s="19">
        <v>2</v>
      </c>
      <c r="L81" s="12">
        <f t="shared" si="50"/>
        <v>0.14363369558282468</v>
      </c>
      <c r="M81" s="12">
        <f t="shared" si="50"/>
        <v>6.8435993097071879E-2</v>
      </c>
      <c r="N81" s="12">
        <f t="shared" si="50"/>
        <v>6.2824905730098343E-2</v>
      </c>
      <c r="O81" s="12">
        <f t="shared" si="50"/>
        <v>4.6231135337428307E-2</v>
      </c>
      <c r="P81" s="12">
        <f t="shared" si="50"/>
        <v>3.7709572296480517E-2</v>
      </c>
      <c r="Q81" s="12">
        <f t="shared" si="50"/>
        <v>2.3060298443216873E-2</v>
      </c>
      <c r="R81" s="12">
        <f t="shared" si="50"/>
        <v>2.2116371668628853E-2</v>
      </c>
      <c r="S81" s="12">
        <f t="shared" si="50"/>
        <v>7.4387574616890634E-2</v>
      </c>
      <c r="U81" s="19">
        <v>2</v>
      </c>
      <c r="V81" s="12">
        <f t="shared" si="51"/>
        <v>0.14363369558282468</v>
      </c>
      <c r="W81" s="12">
        <f t="shared" si="51"/>
        <v>6.8435993097071879E-2</v>
      </c>
      <c r="X81" s="12">
        <f t="shared" si="51"/>
        <v>6.2824905730098343E-2</v>
      </c>
      <c r="Y81" s="12">
        <f t="shared" si="51"/>
        <v>4.6231135337428307E-2</v>
      </c>
      <c r="Z81" s="12">
        <f t="shared" si="51"/>
        <v>3.7709572296480517E-2</v>
      </c>
      <c r="AA81" s="12">
        <f t="shared" si="51"/>
        <v>2.3060298443216873E-2</v>
      </c>
      <c r="AB81" s="12">
        <f t="shared" si="52"/>
        <v>2.2116371668628853E-2</v>
      </c>
      <c r="AC81" s="12">
        <f t="shared" si="53"/>
        <v>7.4387574616890634E-2</v>
      </c>
    </row>
    <row r="82" spans="1:29" x14ac:dyDescent="0.2">
      <c r="A82" s="20">
        <v>3</v>
      </c>
      <c r="B82" s="12">
        <f t="shared" ref="B82:I82" si="56">B68/B$12</f>
        <v>0.24406236775511003</v>
      </c>
      <c r="C82" s="12">
        <f t="shared" si="56"/>
        <v>0.15474493573423925</v>
      </c>
      <c r="D82" s="12">
        <f t="shared" si="56"/>
        <v>0.14472198440591669</v>
      </c>
      <c r="E82" s="12">
        <f t="shared" si="56"/>
        <v>0.18722856316136088</v>
      </c>
      <c r="F82" s="12">
        <f t="shared" si="56"/>
        <v>0.18810977899715248</v>
      </c>
      <c r="G82" s="12">
        <f t="shared" si="56"/>
        <v>0.11784859964525445</v>
      </c>
      <c r="H82" s="12">
        <f t="shared" si="56"/>
        <v>0.13083848823766581</v>
      </c>
      <c r="I82" s="12">
        <f t="shared" si="56"/>
        <v>0.18134162173893847</v>
      </c>
      <c r="K82" s="20">
        <v>3</v>
      </c>
      <c r="L82" s="12">
        <f t="shared" si="50"/>
        <v>3.8818116727986789E-2</v>
      </c>
      <c r="M82" s="12">
        <f t="shared" si="50"/>
        <v>1.0891382815866341E-2</v>
      </c>
      <c r="N82" s="12">
        <f t="shared" si="50"/>
        <v>9.0364734238660323E-3</v>
      </c>
      <c r="O82" s="12">
        <f t="shared" si="50"/>
        <v>5.774500486293189E-3</v>
      </c>
      <c r="P82" s="12">
        <f t="shared" si="50"/>
        <v>4.7607402821063802E-3</v>
      </c>
      <c r="Q82" s="12">
        <f t="shared" si="50"/>
        <v>2.6992610660736063E-3</v>
      </c>
      <c r="R82" s="12">
        <f t="shared" si="50"/>
        <v>2.1033295178550563E-3</v>
      </c>
      <c r="S82" s="12">
        <f t="shared" si="50"/>
        <v>1.610585503883211E-2</v>
      </c>
      <c r="U82" s="20">
        <v>3</v>
      </c>
      <c r="V82" s="12">
        <f t="shared" si="51"/>
        <v>-0.20524425102712324</v>
      </c>
      <c r="W82" s="12">
        <f t="shared" si="51"/>
        <v>-0.1438535529183729</v>
      </c>
      <c r="X82" s="12">
        <f t="shared" si="51"/>
        <v>-0.13568551098205064</v>
      </c>
      <c r="Y82" s="12">
        <f t="shared" si="51"/>
        <v>-0.1814540626750677</v>
      </c>
      <c r="Z82" s="12">
        <f t="shared" si="51"/>
        <v>-0.1833490387150461</v>
      </c>
      <c r="AA82" s="12">
        <f t="shared" si="51"/>
        <v>-0.11514933857918083</v>
      </c>
      <c r="AB82" s="12">
        <f t="shared" si="52"/>
        <v>-0.12873515871981075</v>
      </c>
      <c r="AC82" s="12">
        <f t="shared" si="53"/>
        <v>-0.16523576670010637</v>
      </c>
    </row>
    <row r="83" spans="1:29" x14ac:dyDescent="0.2">
      <c r="A83" s="20">
        <v>4</v>
      </c>
      <c r="B83" s="12">
        <f t="shared" ref="B83:I83" si="57">B69/B$12</f>
        <v>0</v>
      </c>
      <c r="C83" s="12">
        <f t="shared" si="57"/>
        <v>0</v>
      </c>
      <c r="D83" s="12">
        <f t="shared" si="57"/>
        <v>0</v>
      </c>
      <c r="E83" s="12">
        <f t="shared" si="57"/>
        <v>0</v>
      </c>
      <c r="F83" s="12">
        <f t="shared" si="57"/>
        <v>0</v>
      </c>
      <c r="G83" s="12">
        <f t="shared" si="57"/>
        <v>0</v>
      </c>
      <c r="H83" s="12">
        <f t="shared" si="57"/>
        <v>0</v>
      </c>
      <c r="I83" s="12">
        <f t="shared" si="57"/>
        <v>0</v>
      </c>
      <c r="K83" s="20">
        <v>4</v>
      </c>
      <c r="L83" s="12">
        <f t="shared" si="50"/>
        <v>1.353366935340947E-2</v>
      </c>
      <c r="M83" s="12">
        <f t="shared" si="50"/>
        <v>1.9855662111629094E-3</v>
      </c>
      <c r="N83" s="12">
        <f t="shared" si="50"/>
        <v>1.5158768150630286E-3</v>
      </c>
      <c r="O83" s="12">
        <f t="shared" si="50"/>
        <v>8.7273910647786904E-4</v>
      </c>
      <c r="P83" s="12">
        <f t="shared" si="50"/>
        <v>7.0066997230272413E-4</v>
      </c>
      <c r="Q83" s="12">
        <f t="shared" si="50"/>
        <v>3.4525432240476361E-4</v>
      </c>
      <c r="R83" s="12">
        <f t="shared" si="50"/>
        <v>2.713973571425879E-4</v>
      </c>
      <c r="S83" s="12">
        <f t="shared" si="50"/>
        <v>4.8826363516167055E-3</v>
      </c>
      <c r="U83" s="20">
        <v>4</v>
      </c>
      <c r="V83" s="12">
        <f t="shared" si="51"/>
        <v>1.353366935340947E-2</v>
      </c>
      <c r="W83" s="12">
        <f t="shared" si="51"/>
        <v>1.9855662111629094E-3</v>
      </c>
      <c r="X83" s="12">
        <f t="shared" si="51"/>
        <v>1.5158768150630286E-3</v>
      </c>
      <c r="Y83" s="12">
        <f t="shared" si="51"/>
        <v>8.7273910647786904E-4</v>
      </c>
      <c r="Z83" s="12">
        <f t="shared" si="51"/>
        <v>7.0066997230272413E-4</v>
      </c>
      <c r="AA83" s="12">
        <f t="shared" si="51"/>
        <v>3.4525432240476361E-4</v>
      </c>
      <c r="AB83" s="12">
        <f t="shared" si="52"/>
        <v>2.713973571425879E-4</v>
      </c>
      <c r="AC83" s="12">
        <f t="shared" si="53"/>
        <v>4.8826363516167055E-3</v>
      </c>
    </row>
    <row r="84" spans="1:29" x14ac:dyDescent="0.2">
      <c r="A84" s="20">
        <v>5</v>
      </c>
      <c r="B84" s="12">
        <f t="shared" ref="B84:I84" si="58">B70/B$12</f>
        <v>0.12786643141785267</v>
      </c>
      <c r="C84" s="12">
        <f t="shared" si="58"/>
        <v>8.2142320009279748E-2</v>
      </c>
      <c r="D84" s="12">
        <f t="shared" si="58"/>
        <v>0.1084768235070009</v>
      </c>
      <c r="E84" s="12">
        <f t="shared" si="58"/>
        <v>6.5012827705424214E-2</v>
      </c>
      <c r="F84" s="12">
        <f t="shared" si="58"/>
        <v>5.110882335545712E-2</v>
      </c>
      <c r="G84" s="12">
        <f t="shared" si="58"/>
        <v>3.4885466507692309E-2</v>
      </c>
      <c r="H84" s="12">
        <f t="shared" si="58"/>
        <v>3.0464692761283271E-2</v>
      </c>
      <c r="I84" s="12">
        <f t="shared" si="58"/>
        <v>8.0355239497980693E-2</v>
      </c>
      <c r="K84" s="20">
        <v>5</v>
      </c>
      <c r="L84" s="12">
        <f t="shared" si="50"/>
        <v>2.0551101280987926E-3</v>
      </c>
      <c r="M84" s="12">
        <f t="shared" si="50"/>
        <v>2.3168547938324027E-4</v>
      </c>
      <c r="N84" s="12">
        <f t="shared" si="50"/>
        <v>1.427695615294819E-4</v>
      </c>
      <c r="O84" s="12">
        <f t="shared" si="50"/>
        <v>6.6564847104244249E-5</v>
      </c>
      <c r="P84" s="12">
        <f t="shared" si="50"/>
        <v>5.5498611667542506E-5</v>
      </c>
      <c r="Q84" s="12">
        <f t="shared" si="50"/>
        <v>2.6902934213358203E-5</v>
      </c>
      <c r="R84" s="12">
        <f t="shared" si="50"/>
        <v>3.7694077380914985E-5</v>
      </c>
      <c r="S84" s="12">
        <f t="shared" si="50"/>
        <v>7.0857200444942193E-4</v>
      </c>
      <c r="U84" s="20">
        <v>5</v>
      </c>
      <c r="V84" s="12">
        <f t="shared" si="51"/>
        <v>-0.12581132128975389</v>
      </c>
      <c r="W84" s="12">
        <f t="shared" si="51"/>
        <v>-8.1910634529896512E-2</v>
      </c>
      <c r="X84" s="12">
        <f t="shared" si="51"/>
        <v>-0.10833405394547142</v>
      </c>
      <c r="Y84" s="12">
        <f t="shared" si="51"/>
        <v>-6.4946262858319975E-2</v>
      </c>
      <c r="Z84" s="12">
        <f t="shared" si="51"/>
        <v>-5.1053324743789576E-2</v>
      </c>
      <c r="AA84" s="12">
        <f t="shared" si="51"/>
        <v>-3.4858563573478954E-2</v>
      </c>
      <c r="AB84" s="12">
        <f t="shared" si="52"/>
        <v>-3.0426998683902355E-2</v>
      </c>
      <c r="AC84" s="12">
        <f t="shared" si="53"/>
        <v>-7.9646667493531276E-2</v>
      </c>
    </row>
    <row r="85" spans="1:29" x14ac:dyDescent="0.2">
      <c r="A85" s="3" t="s">
        <v>209</v>
      </c>
      <c r="B85" s="13">
        <f t="shared" ref="B85:I85" si="59">B71/B$12</f>
        <v>5.884388033694514E-2</v>
      </c>
      <c r="C85" s="13">
        <f t="shared" si="59"/>
        <v>3.308960509350848E-2</v>
      </c>
      <c r="D85" s="13">
        <f t="shared" si="59"/>
        <v>7.5943467459667721E-2</v>
      </c>
      <c r="E85" s="13">
        <f t="shared" si="59"/>
        <v>4.2836194787163905E-2</v>
      </c>
      <c r="F85" s="13">
        <f t="shared" si="59"/>
        <v>3.0338166904411937E-2</v>
      </c>
      <c r="G85" s="13">
        <f t="shared" si="59"/>
        <v>1.8802898712816804E-2</v>
      </c>
      <c r="H85" s="13">
        <f t="shared" si="59"/>
        <v>1.4272826129605794E-2</v>
      </c>
      <c r="I85" s="13">
        <f t="shared" si="59"/>
        <v>4.1622093359342069E-2</v>
      </c>
      <c r="K85" s="3" t="s">
        <v>209</v>
      </c>
      <c r="L85" s="13">
        <f t="shared" ref="L85:S85" si="60">L71/L$72</f>
        <v>5.1026846160935188E-3</v>
      </c>
      <c r="M85" s="13">
        <f t="shared" si="60"/>
        <v>2.8581760073446462E-4</v>
      </c>
      <c r="N85" s="13">
        <f t="shared" si="60"/>
        <v>1.4486911390491547E-4</v>
      </c>
      <c r="O85" s="13">
        <f t="shared" si="60"/>
        <v>3.8829494144142478E-5</v>
      </c>
      <c r="P85" s="13">
        <f t="shared" si="60"/>
        <v>3.4686632292214063E-5</v>
      </c>
      <c r="Q85" s="13">
        <f t="shared" si="60"/>
        <v>4.0354401320037308E-5</v>
      </c>
      <c r="R85" s="13">
        <f t="shared" si="60"/>
        <v>1.3821161706335495E-5</v>
      </c>
      <c r="S85" s="13">
        <f t="shared" si="60"/>
        <v>1.6632936290725889E-3</v>
      </c>
      <c r="U85" s="3" t="s">
        <v>209</v>
      </c>
      <c r="V85" s="12">
        <f t="shared" si="51"/>
        <v>-5.374119572085162E-2</v>
      </c>
      <c r="W85" s="12">
        <f t="shared" si="51"/>
        <v>-3.2803787492774017E-2</v>
      </c>
      <c r="X85" s="12">
        <f t="shared" si="51"/>
        <v>-7.5798598345762802E-2</v>
      </c>
      <c r="Y85" s="12">
        <f t="shared" si="51"/>
        <v>-4.2797365293019765E-2</v>
      </c>
      <c r="Z85" s="12">
        <f t="shared" si="51"/>
        <v>-3.0303480272119723E-2</v>
      </c>
      <c r="AA85" s="12">
        <f t="shared" si="51"/>
        <v>-1.8762544311496768E-2</v>
      </c>
      <c r="AB85" s="12">
        <f t="shared" si="52"/>
        <v>-1.4259004967899459E-2</v>
      </c>
      <c r="AC85" s="12">
        <f t="shared" si="53"/>
        <v>-3.995879973026948E-2</v>
      </c>
    </row>
    <row r="86" spans="1:29" ht="13.5" thickBot="1" x14ac:dyDescent="0.25">
      <c r="A86" s="21" t="s">
        <v>221</v>
      </c>
      <c r="B86" s="17">
        <f t="shared" ref="B86:I86" si="61">B72/B$12</f>
        <v>1.0000000000000002</v>
      </c>
      <c r="C86" s="17">
        <f t="shared" si="61"/>
        <v>1</v>
      </c>
      <c r="D86" s="17">
        <f t="shared" si="61"/>
        <v>1</v>
      </c>
      <c r="E86" s="17">
        <f t="shared" si="61"/>
        <v>1</v>
      </c>
      <c r="F86" s="17">
        <f t="shared" si="61"/>
        <v>1</v>
      </c>
      <c r="G86" s="17">
        <f t="shared" si="61"/>
        <v>0.99999999999999978</v>
      </c>
      <c r="H86" s="17">
        <f t="shared" si="61"/>
        <v>0.99999999999999989</v>
      </c>
      <c r="I86" s="17">
        <f t="shared" si="61"/>
        <v>1</v>
      </c>
      <c r="K86" s="21" t="s">
        <v>221</v>
      </c>
      <c r="L86" s="17">
        <f t="shared" ref="L86:S86" si="62">L72/L$72</f>
        <v>1</v>
      </c>
      <c r="M86" s="17">
        <f t="shared" si="62"/>
        <v>1</v>
      </c>
      <c r="N86" s="17">
        <f t="shared" si="62"/>
        <v>1</v>
      </c>
      <c r="O86" s="17">
        <f t="shared" si="62"/>
        <v>1</v>
      </c>
      <c r="P86" s="17">
        <f t="shared" si="62"/>
        <v>1</v>
      </c>
      <c r="Q86" s="17">
        <f t="shared" si="62"/>
        <v>1</v>
      </c>
      <c r="R86" s="17">
        <f t="shared" si="62"/>
        <v>1</v>
      </c>
      <c r="S86" s="17">
        <f t="shared" si="62"/>
        <v>1</v>
      </c>
      <c r="U86" s="21" t="s">
        <v>221</v>
      </c>
      <c r="V86" s="14">
        <f t="shared" si="51"/>
        <v>0</v>
      </c>
      <c r="W86" s="14">
        <f t="shared" si="51"/>
        <v>0</v>
      </c>
      <c r="X86" s="14">
        <f t="shared" si="51"/>
        <v>0</v>
      </c>
      <c r="Y86" s="14">
        <f t="shared" si="51"/>
        <v>0</v>
      </c>
      <c r="Z86" s="14">
        <f t="shared" si="51"/>
        <v>0</v>
      </c>
      <c r="AA86" s="14">
        <f t="shared" si="51"/>
        <v>0</v>
      </c>
      <c r="AB86" s="14">
        <f t="shared" si="52"/>
        <v>0</v>
      </c>
      <c r="AC86" s="14">
        <f t="shared" si="53"/>
        <v>0</v>
      </c>
    </row>
  </sheetData>
  <phoneticPr fontId="5" type="noConversion"/>
  <conditionalFormatting sqref="V19:AC26 V49:AC56 V79:AC86">
    <cfRule type="cellIs" dxfId="20" priority="1" stopIfTrue="1" operator="notBetween">
      <formula>-0.15</formula>
      <formula>0.15</formula>
    </cfRule>
    <cfRule type="cellIs" dxfId="19" priority="2" stopIfTrue="1" operator="notBetween">
      <formula>-0.1</formula>
      <formula>0.1</formula>
    </cfRule>
    <cfRule type="cellIs" dxfId="18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O138"/>
  <sheetViews>
    <sheetView workbookViewId="0">
      <selection activeCell="L38" sqref="L38"/>
    </sheetView>
  </sheetViews>
  <sheetFormatPr defaultColWidth="10.75" defaultRowHeight="12.75" x14ac:dyDescent="0.2"/>
  <cols>
    <col min="1" max="13" width="10.75" style="3" collapsed="1"/>
    <col min="14" max="23" width="10.75" style="39" collapsed="1"/>
    <col min="24" max="35" width="10.75" style="3" collapsed="1"/>
    <col min="36" max="36" width="2.125" style="3" customWidth="1" collapsed="1"/>
    <col min="37" max="37" width="10.75" style="3" collapsed="1"/>
    <col min="38" max="38" width="2.25" style="3" customWidth="1" collapsed="1"/>
    <col min="39" max="16384" width="10.75" style="3" collapsed="1"/>
  </cols>
  <sheetData>
    <row r="1" spans="1:39" x14ac:dyDescent="0.2">
      <c r="A1" s="2" t="s">
        <v>175</v>
      </c>
      <c r="L1"/>
      <c r="M1" s="2" t="s">
        <v>175</v>
      </c>
      <c r="Y1" s="2" t="s">
        <v>175</v>
      </c>
    </row>
    <row r="2" spans="1:39" x14ac:dyDescent="0.2">
      <c r="A2" s="2" t="s">
        <v>158</v>
      </c>
      <c r="L2"/>
      <c r="M2" s="2" t="s">
        <v>257</v>
      </c>
      <c r="Y2" s="2" t="s">
        <v>84</v>
      </c>
    </row>
    <row r="3" spans="1:39" ht="13.5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L3"/>
      <c r="N3" s="40"/>
      <c r="O3" s="40"/>
      <c r="P3" s="40"/>
      <c r="Q3" s="40"/>
      <c r="R3" s="40"/>
      <c r="S3" s="40"/>
      <c r="T3" s="40"/>
      <c r="U3" s="40"/>
      <c r="V3" s="40"/>
      <c r="W3" s="40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9" x14ac:dyDescent="0.2">
      <c r="A4" s="5" t="s">
        <v>159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/>
      <c r="I4" s="6" t="s">
        <v>246</v>
      </c>
      <c r="J4" s="6" t="s">
        <v>170</v>
      </c>
      <c r="K4" s="6" t="s">
        <v>221</v>
      </c>
      <c r="L4"/>
      <c r="M4" s="5" t="s">
        <v>159</v>
      </c>
      <c r="N4" s="41" t="s">
        <v>146</v>
      </c>
      <c r="O4" s="41" t="s">
        <v>147</v>
      </c>
      <c r="P4" s="41" t="s">
        <v>148</v>
      </c>
      <c r="Q4" s="41" t="s">
        <v>243</v>
      </c>
      <c r="R4" s="41" t="s">
        <v>244</v>
      </c>
      <c r="S4" s="41" t="s">
        <v>245</v>
      </c>
      <c r="T4" s="41"/>
      <c r="U4" s="41" t="s">
        <v>246</v>
      </c>
      <c r="V4" s="41" t="s">
        <v>170</v>
      </c>
      <c r="W4" s="41" t="s">
        <v>221</v>
      </c>
      <c r="Y4" s="5" t="s">
        <v>159</v>
      </c>
      <c r="Z4" s="6" t="s">
        <v>146</v>
      </c>
      <c r="AA4" s="6" t="s">
        <v>147</v>
      </c>
      <c r="AB4" s="6" t="s">
        <v>148</v>
      </c>
      <c r="AC4" s="6" t="s">
        <v>243</v>
      </c>
      <c r="AD4" s="6" t="s">
        <v>244</v>
      </c>
      <c r="AE4" s="6" t="s">
        <v>245</v>
      </c>
      <c r="AF4" s="6"/>
      <c r="AG4" s="6" t="s">
        <v>246</v>
      </c>
      <c r="AH4" s="6" t="s">
        <v>170</v>
      </c>
      <c r="AI4" s="6" t="s">
        <v>221</v>
      </c>
      <c r="AK4" s="3" t="s">
        <v>221</v>
      </c>
      <c r="AM4" s="3" t="s">
        <v>81</v>
      </c>
    </row>
    <row r="5" spans="1:39" x14ac:dyDescent="0.2">
      <c r="A5" s="3" t="s">
        <v>210</v>
      </c>
      <c r="B5" s="7">
        <f>output_NHTS!B178</f>
        <v>1231829.1316330649</v>
      </c>
      <c r="C5" s="7">
        <f>output_NHTS!C178</f>
        <v>178383.7378181894</v>
      </c>
      <c r="D5" s="7">
        <f>output_NHTS!D178</f>
        <v>14392.9637235555</v>
      </c>
      <c r="E5" s="7">
        <f>output_NHTS!E178</f>
        <v>33923.2678096499</v>
      </c>
      <c r="F5" s="7">
        <f>output_NHTS!F178</f>
        <v>59797.376519187397</v>
      </c>
      <c r="G5" s="7">
        <f>output_NHTS!G178</f>
        <v>2054.6708749999998</v>
      </c>
      <c r="H5" s="7"/>
      <c r="I5" s="7">
        <f>output_NHTS!H178</f>
        <v>369.56625000000003</v>
      </c>
      <c r="J5" s="7">
        <f>output_NHTS!I178</f>
        <v>470.77049999999997</v>
      </c>
      <c r="K5" s="7">
        <f>output_NHTS!J178</f>
        <v>1521221.4851286472</v>
      </c>
      <c r="L5"/>
      <c r="M5" s="3" t="s">
        <v>210</v>
      </c>
      <c r="N5" s="53">
        <f>output!B178</f>
        <v>1092985</v>
      </c>
      <c r="O5" s="53">
        <f>output!C178</f>
        <v>169350</v>
      </c>
      <c r="P5" s="53">
        <f>output!D178</f>
        <v>0</v>
      </c>
      <c r="Q5" s="53">
        <f>output!E178</f>
        <v>0</v>
      </c>
      <c r="R5" s="53">
        <f>output!F178</f>
        <v>117397</v>
      </c>
      <c r="S5" s="53">
        <f>output!G178</f>
        <v>2226</v>
      </c>
      <c r="T5" s="53"/>
      <c r="U5" s="53">
        <f>output!H178</f>
        <v>2105</v>
      </c>
      <c r="V5" s="53">
        <f>output!I178</f>
        <v>0</v>
      </c>
      <c r="W5" s="53">
        <f>output!J178</f>
        <v>1384063</v>
      </c>
      <c r="Y5" s="3" t="s">
        <v>210</v>
      </c>
      <c r="Z5" s="7">
        <f t="shared" ref="Z5:Z13" si="0">N5-B5</f>
        <v>-138844.13163306494</v>
      </c>
      <c r="AA5" s="7">
        <f t="shared" ref="AA5:AA13" si="1">O5-C5</f>
        <v>-9033.7378181894019</v>
      </c>
      <c r="AB5" s="7">
        <f t="shared" ref="AB5:AB13" si="2">P5-D5</f>
        <v>-14392.9637235555</v>
      </c>
      <c r="AC5" s="7">
        <f t="shared" ref="AC5:AC13" si="3">Q5-E5</f>
        <v>-33923.2678096499</v>
      </c>
      <c r="AD5" s="7">
        <f t="shared" ref="AD5:AD13" si="4">R5-F5</f>
        <v>57599.623480812603</v>
      </c>
      <c r="AE5" s="7">
        <f t="shared" ref="AE5:AE13" si="5">S5-G5</f>
        <v>171.3291250000002</v>
      </c>
      <c r="AF5" s="7"/>
      <c r="AG5" s="7">
        <f t="shared" ref="AG5:AG13" si="6">U5-I5</f>
        <v>1735.4337499999999</v>
      </c>
      <c r="AH5" s="7">
        <f t="shared" ref="AH5:AH13" si="7">V5-J5</f>
        <v>-470.77049999999997</v>
      </c>
      <c r="AI5" s="7">
        <f t="shared" ref="AI5:AI13" si="8">W5-K5</f>
        <v>-137158.48512864718</v>
      </c>
      <c r="AK5" s="3">
        <v>1424330</v>
      </c>
      <c r="AM5" s="7">
        <f>W5-AK5</f>
        <v>-40267</v>
      </c>
    </row>
    <row r="6" spans="1:39" x14ac:dyDescent="0.2">
      <c r="A6" s="3" t="s">
        <v>211</v>
      </c>
      <c r="B6" s="7">
        <f>output_NHTS!B179</f>
        <v>3669.9982898235999</v>
      </c>
      <c r="C6" s="7">
        <f>output_NHTS!C179</f>
        <v>36820.328636900202</v>
      </c>
      <c r="D6" s="7">
        <f>output_NHTS!D179</f>
        <v>862.99737015200003</v>
      </c>
      <c r="E6" s="7">
        <f>output_NHTS!E179</f>
        <v>67419.193959124299</v>
      </c>
      <c r="F6" s="7">
        <f>output_NHTS!F179</f>
        <v>49098.900137762997</v>
      </c>
      <c r="G6" s="7">
        <f>output_NHTS!G179</f>
        <v>66848.330499579999</v>
      </c>
      <c r="H6" s="7"/>
      <c r="I6" s="7">
        <f>output_NHTS!H179</f>
        <v>429655.94500000001</v>
      </c>
      <c r="J6" s="7">
        <f>output_NHTS!I179</f>
        <v>51795.055874999998</v>
      </c>
      <c r="K6" s="7">
        <f>output_NHTS!J179</f>
        <v>706170.74976834306</v>
      </c>
      <c r="L6"/>
      <c r="M6" s="3" t="s">
        <v>211</v>
      </c>
      <c r="N6" s="53">
        <f>output!B179</f>
        <v>0</v>
      </c>
      <c r="O6" s="53">
        <f>output!C179</f>
        <v>0</v>
      </c>
      <c r="P6" s="53">
        <f>output!D179</f>
        <v>0</v>
      </c>
      <c r="Q6" s="53">
        <f>output!E179</f>
        <v>0</v>
      </c>
      <c r="R6" s="53">
        <f>output!F179</f>
        <v>94733</v>
      </c>
      <c r="S6" s="53">
        <f>output!G179</f>
        <v>57885</v>
      </c>
      <c r="T6" s="53"/>
      <c r="U6" s="53">
        <f>output!H179</f>
        <v>308485</v>
      </c>
      <c r="V6" s="53">
        <f>output!I179</f>
        <v>0</v>
      </c>
      <c r="W6" s="53">
        <f>output!J179</f>
        <v>461103</v>
      </c>
      <c r="Y6" s="3" t="s">
        <v>211</v>
      </c>
      <c r="Z6" s="7">
        <f t="shared" si="0"/>
        <v>-3669.9982898235999</v>
      </c>
      <c r="AA6" s="7">
        <f t="shared" si="1"/>
        <v>-36820.328636900202</v>
      </c>
      <c r="AB6" s="7">
        <f t="shared" si="2"/>
        <v>-862.99737015200003</v>
      </c>
      <c r="AC6" s="7">
        <f t="shared" si="3"/>
        <v>-67419.193959124299</v>
      </c>
      <c r="AD6" s="7">
        <f t="shared" si="4"/>
        <v>45634.099862237003</v>
      </c>
      <c r="AE6" s="7">
        <f t="shared" si="5"/>
        <v>-8963.330499579999</v>
      </c>
      <c r="AF6" s="7"/>
      <c r="AG6" s="7">
        <f t="shared" si="6"/>
        <v>-121170.94500000001</v>
      </c>
      <c r="AH6" s="7">
        <f t="shared" si="7"/>
        <v>-51795.055874999998</v>
      </c>
      <c r="AI6" s="7">
        <f t="shared" si="8"/>
        <v>-245067.74976834306</v>
      </c>
      <c r="AK6" s="3">
        <v>741310</v>
      </c>
      <c r="AM6" s="7">
        <f t="shared" ref="AM6:AM13" si="9">W6-AK6</f>
        <v>-280207</v>
      </c>
    </row>
    <row r="7" spans="1:39" x14ac:dyDescent="0.2">
      <c r="A7" s="3" t="s">
        <v>212</v>
      </c>
      <c r="B7" s="7">
        <f>output_NHTS!B180</f>
        <v>153471.41636279161</v>
      </c>
      <c r="C7" s="7">
        <f>output_NHTS!C180</f>
        <v>82463.497147033107</v>
      </c>
      <c r="D7" s="7">
        <f>output_NHTS!D180</f>
        <v>48167.527056826802</v>
      </c>
      <c r="E7" s="7">
        <f>output_NHTS!E180</f>
        <v>182539.1092436976</v>
      </c>
      <c r="F7" s="7">
        <f>output_NHTS!F180</f>
        <v>10050.8011274852</v>
      </c>
      <c r="G7" s="7">
        <f>output_NHTS!G180</f>
        <v>6819.7042969599997</v>
      </c>
      <c r="H7" s="7"/>
      <c r="I7" s="7">
        <f>output_NHTS!H180</f>
        <v>27027.766625</v>
      </c>
      <c r="J7" s="7">
        <f>output_NHTS!I180</f>
        <v>37284.794000000002</v>
      </c>
      <c r="K7" s="7">
        <f>output_NHTS!J180</f>
        <v>657389.5390317532</v>
      </c>
      <c r="L7"/>
      <c r="M7" s="3" t="s">
        <v>212</v>
      </c>
      <c r="N7" s="53">
        <f>output!B180</f>
        <v>152446</v>
      </c>
      <c r="O7" s="53">
        <f>output!C180</f>
        <v>64218</v>
      </c>
      <c r="P7" s="53">
        <f>output!D180</f>
        <v>43556</v>
      </c>
      <c r="Q7" s="53">
        <f>output!E180</f>
        <v>120994</v>
      </c>
      <c r="R7" s="53">
        <f>output!F180</f>
        <v>7578</v>
      </c>
      <c r="S7" s="53">
        <f>output!G180</f>
        <v>3165</v>
      </c>
      <c r="T7" s="53"/>
      <c r="U7" s="53">
        <f>output!H180</f>
        <v>24988</v>
      </c>
      <c r="V7" s="53">
        <f>output!I180</f>
        <v>54385</v>
      </c>
      <c r="W7" s="53">
        <f>output!J180</f>
        <v>471330</v>
      </c>
      <c r="Y7" s="3" t="s">
        <v>212</v>
      </c>
      <c r="Z7" s="7">
        <f t="shared" si="0"/>
        <v>-1025.4163627916132</v>
      </c>
      <c r="AA7" s="7">
        <f t="shared" si="1"/>
        <v>-18245.497147033107</v>
      </c>
      <c r="AB7" s="7">
        <f t="shared" si="2"/>
        <v>-4611.5270568268024</v>
      </c>
      <c r="AC7" s="7">
        <f t="shared" si="3"/>
        <v>-61545.109243697603</v>
      </c>
      <c r="AD7" s="7">
        <f t="shared" si="4"/>
        <v>-2472.8011274851997</v>
      </c>
      <c r="AE7" s="7">
        <f t="shared" si="5"/>
        <v>-3654.7042969599997</v>
      </c>
      <c r="AF7" s="7"/>
      <c r="AG7" s="7">
        <f t="shared" si="6"/>
        <v>-2039.7666250000002</v>
      </c>
      <c r="AH7" s="7">
        <f t="shared" si="7"/>
        <v>17100.205999999998</v>
      </c>
      <c r="AI7" s="7">
        <f t="shared" si="8"/>
        <v>-186059.5390317532</v>
      </c>
      <c r="AK7" s="3">
        <v>924620</v>
      </c>
      <c r="AM7" s="7">
        <f t="shared" si="9"/>
        <v>-453290</v>
      </c>
    </row>
    <row r="8" spans="1:39" x14ac:dyDescent="0.2">
      <c r="A8" s="3" t="s">
        <v>213</v>
      </c>
      <c r="B8" s="7">
        <f>output_NHTS!B181</f>
        <v>122173.16416570271</v>
      </c>
      <c r="C8" s="7">
        <f>output_NHTS!C181</f>
        <v>72916.477212112397</v>
      </c>
      <c r="D8" s="7">
        <f>output_NHTS!D181</f>
        <v>146810.24007650471</v>
      </c>
      <c r="E8" s="7">
        <f>output_NHTS!E181</f>
        <v>167782.501203322</v>
      </c>
      <c r="F8" s="7">
        <f>output_NHTS!F181</f>
        <v>15372.751822931899</v>
      </c>
      <c r="G8" s="7">
        <f>output_NHTS!G181</f>
        <v>4248.979875</v>
      </c>
      <c r="H8" s="7"/>
      <c r="I8" s="7">
        <f>output_NHTS!H181</f>
        <v>53154.947749999999</v>
      </c>
      <c r="J8" s="7">
        <f>output_NHTS!I181</f>
        <v>55335.903624999999</v>
      </c>
      <c r="K8" s="7">
        <f>output_NHTS!J181</f>
        <v>765353.9588766885</v>
      </c>
      <c r="L8"/>
      <c r="M8" s="3" t="s">
        <v>213</v>
      </c>
      <c r="N8" s="53">
        <f>output!B181</f>
        <v>107080</v>
      </c>
      <c r="O8" s="53">
        <f>output!C181</f>
        <v>62764</v>
      </c>
      <c r="P8" s="53">
        <f>output!D181</f>
        <v>127547</v>
      </c>
      <c r="Q8" s="53">
        <f>output!E181</f>
        <v>104167</v>
      </c>
      <c r="R8" s="53">
        <f>output!F181</f>
        <v>9130</v>
      </c>
      <c r="S8" s="53">
        <f>output!G181</f>
        <v>3577</v>
      </c>
      <c r="T8" s="53"/>
      <c r="U8" s="53">
        <f>output!H181</f>
        <v>49369</v>
      </c>
      <c r="V8" s="53">
        <f>output!I181</f>
        <v>59992</v>
      </c>
      <c r="W8" s="53">
        <f>output!J181</f>
        <v>523626</v>
      </c>
      <c r="Y8" s="3" t="s">
        <v>213</v>
      </c>
      <c r="Z8" s="7">
        <f t="shared" si="0"/>
        <v>-15093.164165702707</v>
      </c>
      <c r="AA8" s="7">
        <f t="shared" si="1"/>
        <v>-10152.477212112397</v>
      </c>
      <c r="AB8" s="7">
        <f t="shared" si="2"/>
        <v>-19263.240076504706</v>
      </c>
      <c r="AC8" s="7">
        <f t="shared" si="3"/>
        <v>-63615.501203321997</v>
      </c>
      <c r="AD8" s="7">
        <f t="shared" si="4"/>
        <v>-6242.7518229318994</v>
      </c>
      <c r="AE8" s="7">
        <f t="shared" si="5"/>
        <v>-671.97987499999999</v>
      </c>
      <c r="AF8" s="7"/>
      <c r="AG8" s="7">
        <f t="shared" si="6"/>
        <v>-3785.9477499999994</v>
      </c>
      <c r="AH8" s="7">
        <f t="shared" si="7"/>
        <v>4656.096375000001</v>
      </c>
      <c r="AI8" s="7">
        <f t="shared" si="8"/>
        <v>-241727.9588766885</v>
      </c>
      <c r="AK8" s="3">
        <v>541880</v>
      </c>
      <c r="AM8" s="7">
        <f t="shared" si="9"/>
        <v>-18254</v>
      </c>
    </row>
    <row r="9" spans="1:39" x14ac:dyDescent="0.2">
      <c r="A9" s="3" t="s">
        <v>214</v>
      </c>
      <c r="B9" s="7">
        <f>output_NHTS!B182</f>
        <v>145356.1731477431</v>
      </c>
      <c r="C9" s="7">
        <f>output_NHTS!C182</f>
        <v>60688.3982383478</v>
      </c>
      <c r="D9" s="7">
        <f>output_NHTS!D182</f>
        <v>118741.07176251381</v>
      </c>
      <c r="E9" s="7">
        <f>output_NHTS!E182</f>
        <v>201261.09418675231</v>
      </c>
      <c r="F9" s="7">
        <f>output_NHTS!F182</f>
        <v>18924.400913539299</v>
      </c>
      <c r="G9" s="7">
        <f>output_NHTS!G182</f>
        <v>1043.620822394</v>
      </c>
      <c r="H9" s="7"/>
      <c r="I9" s="7">
        <f>output_NHTS!H182</f>
        <v>30506.604875000001</v>
      </c>
      <c r="J9" s="7">
        <f>output_NHTS!I182</f>
        <v>65711.063250000007</v>
      </c>
      <c r="K9" s="7">
        <f>output_NHTS!J182</f>
        <v>770678.91263554839</v>
      </c>
      <c r="L9"/>
      <c r="M9" s="3" t="s">
        <v>214</v>
      </c>
      <c r="N9" s="53">
        <f>output!B182</f>
        <v>144792</v>
      </c>
      <c r="O9" s="53">
        <f>output!C182</f>
        <v>54552</v>
      </c>
      <c r="P9" s="53">
        <f>output!D182</f>
        <v>107212</v>
      </c>
      <c r="Q9" s="53">
        <f>output!E182</f>
        <v>124356</v>
      </c>
      <c r="R9" s="53">
        <f>output!F182</f>
        <v>13001</v>
      </c>
      <c r="S9" s="53">
        <f>output!G182</f>
        <v>1327</v>
      </c>
      <c r="T9" s="53"/>
      <c r="U9" s="53">
        <f>output!H182</f>
        <v>33187</v>
      </c>
      <c r="V9" s="53">
        <f>output!I182</f>
        <v>81222</v>
      </c>
      <c r="W9" s="53">
        <f>output!J182</f>
        <v>559649</v>
      </c>
      <c r="Y9" s="3" t="s">
        <v>214</v>
      </c>
      <c r="Z9" s="7">
        <f t="shared" si="0"/>
        <v>-564.17314774310216</v>
      </c>
      <c r="AA9" s="7">
        <f t="shared" si="1"/>
        <v>-6136.3982383477996</v>
      </c>
      <c r="AB9" s="7">
        <f t="shared" si="2"/>
        <v>-11529.071762513806</v>
      </c>
      <c r="AC9" s="7">
        <f t="shared" si="3"/>
        <v>-76905.094186752307</v>
      </c>
      <c r="AD9" s="7">
        <f t="shared" si="4"/>
        <v>-5923.4009135392989</v>
      </c>
      <c r="AE9" s="7">
        <f t="shared" si="5"/>
        <v>283.37917760599998</v>
      </c>
      <c r="AF9" s="7"/>
      <c r="AG9" s="7">
        <f t="shared" si="6"/>
        <v>2680.3951249999991</v>
      </c>
      <c r="AH9" s="7">
        <f t="shared" si="7"/>
        <v>15510.936749999993</v>
      </c>
      <c r="AI9" s="7">
        <f t="shared" si="8"/>
        <v>-211029.91263554839</v>
      </c>
      <c r="AK9" s="3">
        <v>394190</v>
      </c>
      <c r="AM9" s="7">
        <f t="shared" si="9"/>
        <v>165459</v>
      </c>
    </row>
    <row r="10" spans="1:39" x14ac:dyDescent="0.2">
      <c r="A10" s="3" t="s">
        <v>129</v>
      </c>
      <c r="B10" s="7">
        <f>output_NHTS!B183</f>
        <v>65465.9464893689</v>
      </c>
      <c r="C10" s="7">
        <f>output_NHTS!C183</f>
        <v>18638.991093766501</v>
      </c>
      <c r="D10" s="7">
        <f>output_NHTS!D183</f>
        <v>34260.6682424053</v>
      </c>
      <c r="E10" s="7">
        <f>output_NHTS!E183</f>
        <v>55082.730318585403</v>
      </c>
      <c r="F10" s="7">
        <f>output_NHTS!F183</f>
        <v>6164.8368425481003</v>
      </c>
      <c r="G10" s="7">
        <f>output_NHTS!G183</f>
        <v>0</v>
      </c>
      <c r="H10" s="7"/>
      <c r="I10" s="7">
        <f>output_NHTS!H183</f>
        <v>10585.869124999999</v>
      </c>
      <c r="J10" s="7">
        <f>output_NHTS!I183</f>
        <v>6390.0602499999995</v>
      </c>
      <c r="K10" s="7">
        <f>output_NHTS!J183</f>
        <v>235906.92283400905</v>
      </c>
      <c r="L10"/>
      <c r="M10" s="3" t="s">
        <v>129</v>
      </c>
      <c r="N10" s="53">
        <f>output!B183</f>
        <v>53304</v>
      </c>
      <c r="O10" s="53">
        <f>output!C183</f>
        <v>16514</v>
      </c>
      <c r="P10" s="53">
        <f>output!D183</f>
        <v>29794</v>
      </c>
      <c r="Q10" s="53">
        <f>output!E183</f>
        <v>31597</v>
      </c>
      <c r="R10" s="53">
        <f>output!F183</f>
        <v>4212</v>
      </c>
      <c r="S10" s="53">
        <f>output!G183</f>
        <v>3907</v>
      </c>
      <c r="T10" s="53"/>
      <c r="U10" s="53">
        <f>output!H183</f>
        <v>12565</v>
      </c>
      <c r="V10" s="53">
        <f>output!I183</f>
        <v>8481</v>
      </c>
      <c r="W10" s="53">
        <f>output!J183</f>
        <v>160374</v>
      </c>
      <c r="Y10" s="3" t="s">
        <v>129</v>
      </c>
      <c r="Z10" s="7">
        <f t="shared" si="0"/>
        <v>-12161.9464893689</v>
      </c>
      <c r="AA10" s="7">
        <f t="shared" si="1"/>
        <v>-2124.9910937665009</v>
      </c>
      <c r="AB10" s="7">
        <f t="shared" si="2"/>
        <v>-4466.6682424052997</v>
      </c>
      <c r="AC10" s="7">
        <f t="shared" si="3"/>
        <v>-23485.730318585403</v>
      </c>
      <c r="AD10" s="7">
        <f t="shared" si="4"/>
        <v>-1952.8368425481003</v>
      </c>
      <c r="AE10" s="7">
        <f t="shared" si="5"/>
        <v>3907</v>
      </c>
      <c r="AF10" s="7"/>
      <c r="AG10" s="7">
        <f t="shared" si="6"/>
        <v>1979.1308750000007</v>
      </c>
      <c r="AH10" s="7">
        <f t="shared" si="7"/>
        <v>2090.9397500000005</v>
      </c>
      <c r="AI10" s="7">
        <f t="shared" si="8"/>
        <v>-75532.922834009049</v>
      </c>
      <c r="AK10" s="3">
        <v>166390</v>
      </c>
      <c r="AM10" s="7">
        <f t="shared" si="9"/>
        <v>-6016</v>
      </c>
    </row>
    <row r="11" spans="1:39" x14ac:dyDescent="0.2">
      <c r="A11" s="25" t="s">
        <v>130</v>
      </c>
      <c r="B11" s="7">
        <f>output_NHTS!B184</f>
        <v>264868.2082641478</v>
      </c>
      <c r="C11" s="7">
        <f>output_NHTS!C184</f>
        <v>108053.957775123</v>
      </c>
      <c r="D11" s="7">
        <f>output_NHTS!D184</f>
        <v>126534.7591391584</v>
      </c>
      <c r="E11" s="7">
        <f>output_NHTS!E184</f>
        <v>214876.31032530771</v>
      </c>
      <c r="F11" s="7">
        <f>output_NHTS!F184</f>
        <v>22058.092900937299</v>
      </c>
      <c r="G11" s="7">
        <f>output_NHTS!G184</f>
        <v>14658.028019658001</v>
      </c>
      <c r="H11" s="7"/>
      <c r="I11" s="7">
        <f>output_NHTS!H184</f>
        <v>117694.23700000001</v>
      </c>
      <c r="J11" s="7">
        <f>output_NHTS!I184</f>
        <v>101257.445375</v>
      </c>
      <c r="K11" s="7">
        <f>output_NHTS!J184</f>
        <v>1164001.2465591987</v>
      </c>
      <c r="L11"/>
      <c r="M11" s="25" t="s">
        <v>130</v>
      </c>
      <c r="N11" s="54">
        <f>output!B184</f>
        <v>221874</v>
      </c>
      <c r="O11" s="54">
        <f>output!C184</f>
        <v>93228</v>
      </c>
      <c r="P11" s="54">
        <f>output!D184</f>
        <v>119426</v>
      </c>
      <c r="Q11" s="54">
        <f>output!E184</f>
        <v>126244</v>
      </c>
      <c r="R11" s="54">
        <f>output!F184</f>
        <v>18490</v>
      </c>
      <c r="S11" s="54">
        <f>output!G184</f>
        <v>10062</v>
      </c>
      <c r="T11" s="53"/>
      <c r="U11" s="54">
        <f>output!H184</f>
        <v>105631</v>
      </c>
      <c r="V11" s="54">
        <f>output!I184</f>
        <v>84212</v>
      </c>
      <c r="W11" s="54">
        <f>output!J184</f>
        <v>779167</v>
      </c>
      <c r="Y11" s="25" t="s">
        <v>130</v>
      </c>
      <c r="Z11" s="33">
        <f t="shared" si="0"/>
        <v>-42994.208264147805</v>
      </c>
      <c r="AA11" s="33">
        <f t="shared" si="1"/>
        <v>-14825.957775122995</v>
      </c>
      <c r="AB11" s="33">
        <f t="shared" si="2"/>
        <v>-7108.7591391583992</v>
      </c>
      <c r="AC11" s="33">
        <f t="shared" si="3"/>
        <v>-88632.310325307713</v>
      </c>
      <c r="AD11" s="33">
        <f t="shared" si="4"/>
        <v>-3568.0929009372994</v>
      </c>
      <c r="AE11" s="33">
        <f t="shared" si="5"/>
        <v>-4596.0280196580006</v>
      </c>
      <c r="AF11" s="33"/>
      <c r="AG11" s="33">
        <f t="shared" si="6"/>
        <v>-12063.237000000008</v>
      </c>
      <c r="AH11" s="33">
        <f t="shared" si="7"/>
        <v>-17045.445374999996</v>
      </c>
      <c r="AI11" s="33">
        <f t="shared" si="8"/>
        <v>-384834.24655919871</v>
      </c>
      <c r="AK11" s="3">
        <v>630330</v>
      </c>
      <c r="AM11" s="7">
        <f t="shared" si="9"/>
        <v>148837</v>
      </c>
    </row>
    <row r="12" spans="1:39" x14ac:dyDescent="0.2">
      <c r="A12" s="25" t="s">
        <v>247</v>
      </c>
      <c r="B12" s="7">
        <f>output_NHTS!B185</f>
        <v>149742.72662654379</v>
      </c>
      <c r="C12" s="7">
        <f>output_NHTS!C185</f>
        <v>6064.0429624323006</v>
      </c>
      <c r="D12" s="7">
        <f>output_NHTS!D185</f>
        <v>0</v>
      </c>
      <c r="E12" s="7">
        <f>output_NHTS!E185</f>
        <v>0</v>
      </c>
      <c r="F12" s="7">
        <f>output_NHTS!F185</f>
        <v>5873.9064039696004</v>
      </c>
      <c r="G12" s="7">
        <f>output_NHTS!G185</f>
        <v>0</v>
      </c>
      <c r="H12" s="7"/>
      <c r="I12" s="7">
        <f>output_NHTS!H185</f>
        <v>0</v>
      </c>
      <c r="J12" s="7">
        <f>output_NHTS!I185</f>
        <v>0</v>
      </c>
      <c r="K12" s="7">
        <f>output_NHTS!J185</f>
        <v>161680.6759929457</v>
      </c>
      <c r="L12"/>
      <c r="M12" s="25" t="s">
        <v>247</v>
      </c>
      <c r="N12" s="54">
        <f>output!B185</f>
        <v>121333</v>
      </c>
      <c r="O12" s="54">
        <f>output!C185</f>
        <v>13020</v>
      </c>
      <c r="P12" s="54">
        <f>output!D185</f>
        <v>0</v>
      </c>
      <c r="Q12" s="54">
        <f>output!E185</f>
        <v>0</v>
      </c>
      <c r="R12" s="54">
        <f>output!F185</f>
        <v>11160</v>
      </c>
      <c r="S12" s="54">
        <f>output!G185</f>
        <v>159</v>
      </c>
      <c r="T12" s="53"/>
      <c r="U12" s="54">
        <f>output!H185</f>
        <v>93</v>
      </c>
      <c r="V12" s="54">
        <f>output!I185</f>
        <v>0</v>
      </c>
      <c r="W12" s="54">
        <f>output!J185</f>
        <v>145765</v>
      </c>
      <c r="Y12" s="25" t="s">
        <v>247</v>
      </c>
      <c r="Z12" s="33">
        <f t="shared" si="0"/>
        <v>-28409.726626543794</v>
      </c>
      <c r="AA12" s="33">
        <f t="shared" si="1"/>
        <v>6955.9570375676994</v>
      </c>
      <c r="AB12" s="33">
        <f t="shared" si="2"/>
        <v>0</v>
      </c>
      <c r="AC12" s="33">
        <f t="shared" si="3"/>
        <v>0</v>
      </c>
      <c r="AD12" s="33">
        <f t="shared" si="4"/>
        <v>5286.0935960303996</v>
      </c>
      <c r="AE12" s="33">
        <f t="shared" si="5"/>
        <v>159</v>
      </c>
      <c r="AF12" s="33"/>
      <c r="AG12" s="33">
        <f t="shared" si="6"/>
        <v>93</v>
      </c>
      <c r="AH12" s="33">
        <f t="shared" si="7"/>
        <v>0</v>
      </c>
      <c r="AI12" s="33">
        <f t="shared" si="8"/>
        <v>-15915.675992945704</v>
      </c>
      <c r="AK12" s="3">
        <v>147120</v>
      </c>
      <c r="AM12" s="7">
        <f t="shared" si="9"/>
        <v>-1355</v>
      </c>
    </row>
    <row r="13" spans="1:39" ht="13.5" thickBot="1" x14ac:dyDescent="0.25">
      <c r="A13" s="10" t="s">
        <v>221</v>
      </c>
      <c r="B13" s="55">
        <f>SUM(B5:B12)</f>
        <v>2136576.7649791865</v>
      </c>
      <c r="C13" s="55">
        <f t="shared" ref="C13:K13" si="10">SUM(C5:C12)</f>
        <v>564029.43088390469</v>
      </c>
      <c r="D13" s="55">
        <f t="shared" si="10"/>
        <v>489770.22737111652</v>
      </c>
      <c r="E13" s="55">
        <f t="shared" si="10"/>
        <v>922884.20704643917</v>
      </c>
      <c r="F13" s="55">
        <f t="shared" si="10"/>
        <v>187341.0666683618</v>
      </c>
      <c r="G13" s="55">
        <f t="shared" si="10"/>
        <v>95673.334388592004</v>
      </c>
      <c r="H13" s="55"/>
      <c r="I13" s="55">
        <f t="shared" si="10"/>
        <v>668994.93662499986</v>
      </c>
      <c r="J13" s="55">
        <f t="shared" si="10"/>
        <v>318245.09287500003</v>
      </c>
      <c r="K13" s="55">
        <f t="shared" si="10"/>
        <v>5982403.4908271348</v>
      </c>
      <c r="L13"/>
      <c r="M13" s="10" t="s">
        <v>221</v>
      </c>
      <c r="N13" s="55">
        <f>SUM(N5:N12)</f>
        <v>1893814</v>
      </c>
      <c r="O13" s="55">
        <f t="shared" ref="O13:W13" si="11">SUM(O5:O12)</f>
        <v>473646</v>
      </c>
      <c r="P13" s="55">
        <f t="shared" si="11"/>
        <v>427535</v>
      </c>
      <c r="Q13" s="55">
        <f t="shared" si="11"/>
        <v>507358</v>
      </c>
      <c r="R13" s="55">
        <f t="shared" si="11"/>
        <v>275701</v>
      </c>
      <c r="S13" s="55">
        <f t="shared" si="11"/>
        <v>82308</v>
      </c>
      <c r="T13" s="55"/>
      <c r="U13" s="55">
        <f t="shared" si="11"/>
        <v>536423</v>
      </c>
      <c r="V13" s="55">
        <f t="shared" si="11"/>
        <v>288292</v>
      </c>
      <c r="W13" s="55">
        <f t="shared" si="11"/>
        <v>4485077</v>
      </c>
      <c r="Y13" s="10" t="s">
        <v>221</v>
      </c>
      <c r="Z13" s="11">
        <f t="shared" si="0"/>
        <v>-242762.76497918647</v>
      </c>
      <c r="AA13" s="11">
        <f t="shared" si="1"/>
        <v>-90383.430883904686</v>
      </c>
      <c r="AB13" s="11">
        <f t="shared" si="2"/>
        <v>-62235.227371116518</v>
      </c>
      <c r="AC13" s="11">
        <f t="shared" si="3"/>
        <v>-415526.20704643917</v>
      </c>
      <c r="AD13" s="11">
        <f t="shared" si="4"/>
        <v>88359.933331638196</v>
      </c>
      <c r="AE13" s="11">
        <f t="shared" si="5"/>
        <v>-13365.334388592004</v>
      </c>
      <c r="AF13" s="11"/>
      <c r="AG13" s="11">
        <f t="shared" si="6"/>
        <v>-132571.93662499986</v>
      </c>
      <c r="AH13" s="11">
        <f t="shared" si="7"/>
        <v>-29953.092875000031</v>
      </c>
      <c r="AI13" s="11">
        <f t="shared" si="8"/>
        <v>-1497326.4908271348</v>
      </c>
      <c r="AK13" s="3">
        <v>4970170</v>
      </c>
      <c r="AM13" s="7">
        <f t="shared" si="9"/>
        <v>-485093</v>
      </c>
    </row>
    <row r="14" spans="1:39" x14ac:dyDescent="0.2">
      <c r="A14" s="25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/>
      <c r="M14" s="25"/>
      <c r="N14" s="54"/>
      <c r="O14" s="54"/>
      <c r="P14" s="54"/>
      <c r="Q14" s="54"/>
      <c r="R14" s="54"/>
      <c r="S14" s="54"/>
      <c r="T14" s="54"/>
      <c r="U14" s="54"/>
      <c r="V14" s="54"/>
      <c r="W14" s="54"/>
      <c r="Y14" s="25"/>
      <c r="Z14" s="33"/>
      <c r="AA14" s="33"/>
      <c r="AB14" s="33"/>
      <c r="AC14" s="33"/>
      <c r="AD14" s="33"/>
      <c r="AE14" s="33"/>
      <c r="AF14" s="33"/>
      <c r="AG14" s="33"/>
      <c r="AH14" s="33"/>
      <c r="AI14" s="33"/>
    </row>
    <row r="15" spans="1:39" x14ac:dyDescent="0.2">
      <c r="A15" s="25" t="s">
        <v>88</v>
      </c>
      <c r="B15" s="33">
        <f>output_NHTS!B306</f>
        <v>1238555.2527999999</v>
      </c>
      <c r="C15" s="33">
        <f>output_NHTS!B307</f>
        <v>305232.84169999999</v>
      </c>
      <c r="D15" s="33">
        <f>output_NHTS!B308</f>
        <v>342741.66269999999</v>
      </c>
      <c r="E15" s="33">
        <f>output_NHTS!B309</f>
        <v>533826.13100000005</v>
      </c>
      <c r="F15" s="33">
        <f>output_NHTS!B310</f>
        <v>104133.0724</v>
      </c>
      <c r="G15" s="33">
        <f>output_NHTS!B311</f>
        <v>70487.777700000006</v>
      </c>
      <c r="H15" s="33"/>
      <c r="I15" s="33">
        <f>output_NHTS!B312</f>
        <v>455659.5257</v>
      </c>
      <c r="J15" s="33">
        <f>output_NHTS!B313</f>
        <v>242277.1568</v>
      </c>
      <c r="K15" s="33">
        <f>SUM(B15:J15)</f>
        <v>3292913.4208</v>
      </c>
      <c r="L15"/>
      <c r="M15" s="25" t="s">
        <v>88</v>
      </c>
      <c r="N15" s="33">
        <f>output!B306</f>
        <v>1101733</v>
      </c>
      <c r="O15" s="33">
        <f>output!B307</f>
        <v>274554</v>
      </c>
      <c r="P15" s="33">
        <f>output!B308</f>
        <v>313576</v>
      </c>
      <c r="Q15" s="33">
        <f>output!B309</f>
        <v>306209</v>
      </c>
      <c r="R15" s="33">
        <f>output!B310</f>
        <v>153455</v>
      </c>
      <c r="S15" s="33">
        <f>output!B311</f>
        <v>63692</v>
      </c>
      <c r="T15" s="33"/>
      <c r="U15" s="33">
        <f>output!B312</f>
        <v>377036</v>
      </c>
      <c r="V15" s="33">
        <f>output!B313</f>
        <v>181483</v>
      </c>
      <c r="W15" s="33">
        <f>SUM(N15:V15)</f>
        <v>2771738</v>
      </c>
      <c r="Y15" s="25" t="s">
        <v>88</v>
      </c>
      <c r="Z15" s="33">
        <f t="shared" ref="Z15:AE16" si="12">N15-B15</f>
        <v>-136822.2527999999</v>
      </c>
      <c r="AA15" s="33">
        <f t="shared" si="12"/>
        <v>-30678.84169999999</v>
      </c>
      <c r="AB15" s="33">
        <f t="shared" si="12"/>
        <v>-29165.662699999986</v>
      </c>
      <c r="AC15" s="33">
        <f t="shared" si="12"/>
        <v>-227617.13100000005</v>
      </c>
      <c r="AD15" s="33">
        <f t="shared" si="12"/>
        <v>49321.927599999995</v>
      </c>
      <c r="AE15" s="33">
        <f t="shared" si="12"/>
        <v>-6795.777700000006</v>
      </c>
      <c r="AF15" s="33"/>
      <c r="AG15" s="33">
        <f t="shared" ref="AG15:AI16" si="13">U15-I15</f>
        <v>-78623.525699999998</v>
      </c>
      <c r="AH15" s="33">
        <f t="shared" si="13"/>
        <v>-60794.156799999997</v>
      </c>
      <c r="AI15" s="33">
        <f t="shared" si="13"/>
        <v>-521175.42079999996</v>
      </c>
    </row>
    <row r="16" spans="1:39" x14ac:dyDescent="0.2">
      <c r="A16" s="25" t="s">
        <v>89</v>
      </c>
      <c r="B16" s="37">
        <f>B13/B15</f>
        <v>1.7250556728486928</v>
      </c>
      <c r="C16" s="37">
        <f t="shared" ref="C16:K16" si="14">C13/C15</f>
        <v>1.847866133088865</v>
      </c>
      <c r="D16" s="37">
        <f t="shared" si="14"/>
        <v>1.4289778006936082</v>
      </c>
      <c r="E16" s="37">
        <f t="shared" si="14"/>
        <v>1.7288104748968145</v>
      </c>
      <c r="F16" s="37">
        <f t="shared" si="14"/>
        <v>1.7990544439977725</v>
      </c>
      <c r="G16" s="37">
        <f t="shared" si="14"/>
        <v>1.3573038831750825</v>
      </c>
      <c r="H16" s="37"/>
      <c r="I16" s="37">
        <f t="shared" si="14"/>
        <v>1.4681903897373079</v>
      </c>
      <c r="J16" s="37">
        <f t="shared" si="14"/>
        <v>1.3135579807786486</v>
      </c>
      <c r="K16" s="37">
        <f t="shared" si="14"/>
        <v>1.8167509212476451</v>
      </c>
      <c r="L16"/>
      <c r="M16" s="25" t="s">
        <v>89</v>
      </c>
      <c r="N16" s="37">
        <f t="shared" ref="N16:W16" si="15">N13/N15</f>
        <v>1.7189409775326689</v>
      </c>
      <c r="O16" s="37">
        <f t="shared" si="15"/>
        <v>1.7251469656242489</v>
      </c>
      <c r="P16" s="37">
        <f t="shared" si="15"/>
        <v>1.3634174809296631</v>
      </c>
      <c r="Q16" s="37">
        <f t="shared" si="15"/>
        <v>1.6569010055223721</v>
      </c>
      <c r="R16" s="37">
        <f t="shared" si="15"/>
        <v>1.7966244175817014</v>
      </c>
      <c r="S16" s="37">
        <f t="shared" si="15"/>
        <v>1.292281605225146</v>
      </c>
      <c r="T16" s="37"/>
      <c r="U16" s="37">
        <f t="shared" si="15"/>
        <v>1.42273682088713</v>
      </c>
      <c r="V16" s="37">
        <f t="shared" si="15"/>
        <v>1.5885344632830622</v>
      </c>
      <c r="W16" s="37">
        <f t="shared" si="15"/>
        <v>1.6181460874007572</v>
      </c>
      <c r="Y16" s="25" t="s">
        <v>89</v>
      </c>
      <c r="Z16" s="37">
        <f t="shared" si="12"/>
        <v>-6.1146953160238215E-3</v>
      </c>
      <c r="AA16" s="37">
        <f t="shared" si="12"/>
        <v>-0.1227191674646162</v>
      </c>
      <c r="AB16" s="37">
        <f t="shared" si="12"/>
        <v>-6.5560319763945163E-2</v>
      </c>
      <c r="AC16" s="37">
        <f t="shared" si="12"/>
        <v>-7.1909469374442425E-2</v>
      </c>
      <c r="AD16" s="37">
        <f t="shared" si="12"/>
        <v>-2.4300264160710405E-3</v>
      </c>
      <c r="AE16" s="37">
        <f t="shared" si="12"/>
        <v>-6.5022277949936536E-2</v>
      </c>
      <c r="AF16" s="37"/>
      <c r="AG16" s="37">
        <f t="shared" si="13"/>
        <v>-4.5453568850177817E-2</v>
      </c>
      <c r="AH16" s="37">
        <f t="shared" si="13"/>
        <v>0.27497648250441364</v>
      </c>
      <c r="AI16" s="37">
        <f t="shared" si="13"/>
        <v>-0.19860483384688798</v>
      </c>
    </row>
    <row r="17" spans="1:35" x14ac:dyDescent="0.2">
      <c r="L17"/>
    </row>
    <row r="18" spans="1:35" x14ac:dyDescent="0.2">
      <c r="L18"/>
    </row>
    <row r="19" spans="1:35" x14ac:dyDescent="0.2">
      <c r="A19" s="2" t="s">
        <v>175</v>
      </c>
      <c r="L19"/>
      <c r="M19" s="2" t="s">
        <v>175</v>
      </c>
      <c r="Y19" s="2" t="s">
        <v>175</v>
      </c>
    </row>
    <row r="20" spans="1:35" x14ac:dyDescent="0.2">
      <c r="A20" s="2" t="s">
        <v>216</v>
      </c>
      <c r="L20"/>
      <c r="M20" s="2" t="s">
        <v>267</v>
      </c>
      <c r="Y20" s="2" t="s">
        <v>259</v>
      </c>
    </row>
    <row r="21" spans="1:35" ht="13.5" thickBot="1" x14ac:dyDescent="0.25">
      <c r="B21" s="4"/>
      <c r="C21" s="4"/>
      <c r="D21" s="4"/>
      <c r="E21" s="4"/>
      <c r="F21" s="4"/>
      <c r="G21" s="4"/>
      <c r="H21" s="4"/>
      <c r="I21" s="4"/>
      <c r="J21" s="4"/>
      <c r="K21" s="4"/>
      <c r="L21"/>
      <c r="N21" s="40"/>
      <c r="O21" s="40"/>
      <c r="P21" s="40"/>
      <c r="Q21" s="40"/>
      <c r="R21" s="40"/>
      <c r="S21" s="40"/>
      <c r="T21" s="40"/>
      <c r="U21" s="40"/>
      <c r="V21" s="40"/>
      <c r="W21" s="40"/>
      <c r="Z21" s="4"/>
      <c r="AA21" s="4"/>
      <c r="AB21" s="4"/>
      <c r="AC21" s="4"/>
      <c r="AD21" s="4"/>
      <c r="AE21" s="4"/>
      <c r="AF21" s="4"/>
      <c r="AG21" s="4"/>
      <c r="AH21" s="4"/>
      <c r="AI21" s="4"/>
    </row>
    <row r="22" spans="1:35" x14ac:dyDescent="0.2">
      <c r="A22" s="5" t="s">
        <v>159</v>
      </c>
      <c r="B22" s="6" t="s">
        <v>146</v>
      </c>
      <c r="C22" s="6" t="s">
        <v>147</v>
      </c>
      <c r="D22" s="6" t="s">
        <v>148</v>
      </c>
      <c r="E22" s="6" t="s">
        <v>243</v>
      </c>
      <c r="F22" s="6" t="s">
        <v>244</v>
      </c>
      <c r="G22" s="6" t="s">
        <v>245</v>
      </c>
      <c r="H22" s="6"/>
      <c r="I22" s="6" t="s">
        <v>246</v>
      </c>
      <c r="J22" s="6" t="s">
        <v>170</v>
      </c>
      <c r="K22" s="6" t="s">
        <v>221</v>
      </c>
      <c r="L22"/>
      <c r="M22" s="5" t="s">
        <v>159</v>
      </c>
      <c r="N22" s="41" t="s">
        <v>146</v>
      </c>
      <c r="O22" s="41" t="s">
        <v>147</v>
      </c>
      <c r="P22" s="41" t="s">
        <v>148</v>
      </c>
      <c r="Q22" s="41" t="s">
        <v>243</v>
      </c>
      <c r="R22" s="41" t="s">
        <v>244</v>
      </c>
      <c r="S22" s="41" t="s">
        <v>245</v>
      </c>
      <c r="T22" s="41"/>
      <c r="U22" s="41" t="s">
        <v>246</v>
      </c>
      <c r="V22" s="41" t="s">
        <v>170</v>
      </c>
      <c r="W22" s="41" t="s">
        <v>221</v>
      </c>
      <c r="Y22" s="5" t="s">
        <v>159</v>
      </c>
      <c r="Z22" s="6" t="s">
        <v>146</v>
      </c>
      <c r="AA22" s="6" t="s">
        <v>147</v>
      </c>
      <c r="AB22" s="6" t="s">
        <v>148</v>
      </c>
      <c r="AC22" s="6" t="s">
        <v>243</v>
      </c>
      <c r="AD22" s="6" t="s">
        <v>244</v>
      </c>
      <c r="AE22" s="6" t="s">
        <v>245</v>
      </c>
      <c r="AF22" s="6"/>
      <c r="AG22" s="6" t="s">
        <v>246</v>
      </c>
      <c r="AH22" s="6" t="s">
        <v>170</v>
      </c>
      <c r="AI22" s="6" t="s">
        <v>221</v>
      </c>
    </row>
    <row r="23" spans="1:35" x14ac:dyDescent="0.2">
      <c r="A23" s="3" t="s">
        <v>210</v>
      </c>
      <c r="B23" s="12">
        <f t="shared" ref="B23:J23" si="16">B5/B$13</f>
        <v>0.57654335281749858</v>
      </c>
      <c r="C23" s="12">
        <f t="shared" si="16"/>
        <v>0.31626671951965302</v>
      </c>
      <c r="D23" s="12">
        <f t="shared" si="16"/>
        <v>2.9387175698308492E-2</v>
      </c>
      <c r="E23" s="12">
        <f t="shared" si="16"/>
        <v>3.6757880946101072E-2</v>
      </c>
      <c r="F23" s="12">
        <f t="shared" si="16"/>
        <v>0.31918990097906808</v>
      </c>
      <c r="G23" s="12">
        <f t="shared" si="16"/>
        <v>2.1475899090697907E-2</v>
      </c>
      <c r="H23" s="12"/>
      <c r="I23" s="12">
        <f t="shared" si="16"/>
        <v>5.5242010031408904E-4</v>
      </c>
      <c r="J23" s="12">
        <f t="shared" si="16"/>
        <v>1.4792702559750345E-3</v>
      </c>
      <c r="K23" s="12">
        <f>K5/K$13</f>
        <v>0.2542826620539968</v>
      </c>
      <c r="L23"/>
      <c r="M23" s="3" t="s">
        <v>210</v>
      </c>
      <c r="N23" s="42">
        <f t="shared" ref="N23:V23" si="17">N5/N$13</f>
        <v>0.57713429090713242</v>
      </c>
      <c r="O23" s="42">
        <f t="shared" si="17"/>
        <v>0.3575455086710328</v>
      </c>
      <c r="P23" s="42">
        <f t="shared" si="17"/>
        <v>0</v>
      </c>
      <c r="Q23" s="42">
        <f t="shared" si="17"/>
        <v>0</v>
      </c>
      <c r="R23" s="42">
        <f t="shared" si="17"/>
        <v>0.42581274641731442</v>
      </c>
      <c r="S23" s="42">
        <f t="shared" si="17"/>
        <v>2.7044758711182389E-2</v>
      </c>
      <c r="T23" s="42"/>
      <c r="U23" s="42">
        <f t="shared" si="17"/>
        <v>3.9241419551361515E-3</v>
      </c>
      <c r="V23" s="42">
        <f t="shared" si="17"/>
        <v>0</v>
      </c>
      <c r="W23" s="42">
        <f>W5/W$13</f>
        <v>0.30859291824867219</v>
      </c>
      <c r="Y23" s="3" t="s">
        <v>210</v>
      </c>
      <c r="Z23" s="12">
        <f t="shared" ref="Z23:Z31" si="18">N23-B23</f>
        <v>5.909380896338412E-4</v>
      </c>
      <c r="AA23" s="12">
        <f t="shared" ref="AA23:AA31" si="19">O23-C23</f>
        <v>4.127878915137978E-2</v>
      </c>
      <c r="AB23" s="12">
        <f t="shared" ref="AB23:AB31" si="20">P23-D23</f>
        <v>-2.9387175698308492E-2</v>
      </c>
      <c r="AC23" s="12">
        <f t="shared" ref="AC23:AC31" si="21">Q23-E23</f>
        <v>-3.6757880946101072E-2</v>
      </c>
      <c r="AD23" s="12">
        <f t="shared" ref="AD23:AD31" si="22">R23-F23</f>
        <v>0.10662284543824635</v>
      </c>
      <c r="AE23" s="12">
        <f t="shared" ref="AE23:AE31" si="23">S23-G23</f>
        <v>5.5688596204844822E-3</v>
      </c>
      <c r="AF23" s="12"/>
      <c r="AG23" s="12">
        <f t="shared" ref="AG23:AG31" si="24">U23-I23</f>
        <v>3.3717218548220624E-3</v>
      </c>
      <c r="AH23" s="12">
        <f t="shared" ref="AH23:AH31" si="25">V23-J23</f>
        <v>-1.4792702559750345E-3</v>
      </c>
      <c r="AI23" s="12">
        <f t="shared" ref="AI23:AI31" si="26">W23-K23</f>
        <v>5.4310256194675388E-2</v>
      </c>
    </row>
    <row r="24" spans="1:35" x14ac:dyDescent="0.2">
      <c r="A24" s="3" t="s">
        <v>211</v>
      </c>
      <c r="B24" s="12">
        <f t="shared" ref="B24:K24" si="27">B6/B$13</f>
        <v>1.7177001781442435E-3</v>
      </c>
      <c r="C24" s="12">
        <f t="shared" si="27"/>
        <v>6.5280864119445225E-2</v>
      </c>
      <c r="D24" s="12">
        <f t="shared" si="27"/>
        <v>1.7620453876590499E-3</v>
      </c>
      <c r="E24" s="12">
        <f t="shared" si="27"/>
        <v>7.3052711753395283E-2</v>
      </c>
      <c r="F24" s="12">
        <f t="shared" si="27"/>
        <v>0.26208295389221692</v>
      </c>
      <c r="G24" s="12">
        <f t="shared" si="27"/>
        <v>0.69871433797911964</v>
      </c>
      <c r="H24" s="12"/>
      <c r="I24" s="12">
        <f t="shared" si="27"/>
        <v>0.64224095202807263</v>
      </c>
      <c r="J24" s="12">
        <f t="shared" si="27"/>
        <v>0.16275209589906861</v>
      </c>
      <c r="K24" s="12">
        <f t="shared" si="27"/>
        <v>0.11804131079609058</v>
      </c>
      <c r="L24"/>
      <c r="M24" s="3" t="s">
        <v>211</v>
      </c>
      <c r="N24" s="42">
        <f t="shared" ref="N24:W24" si="28">N6/N$13</f>
        <v>0</v>
      </c>
      <c r="O24" s="42">
        <f t="shared" si="28"/>
        <v>0</v>
      </c>
      <c r="P24" s="42">
        <f t="shared" si="28"/>
        <v>0</v>
      </c>
      <c r="Q24" s="42">
        <f t="shared" si="28"/>
        <v>0</v>
      </c>
      <c r="R24" s="42">
        <f t="shared" si="28"/>
        <v>0.34360774897443247</v>
      </c>
      <c r="S24" s="42">
        <f t="shared" si="28"/>
        <v>0.70327307187636678</v>
      </c>
      <c r="T24" s="42"/>
      <c r="U24" s="42">
        <f t="shared" si="28"/>
        <v>0.57507787697395529</v>
      </c>
      <c r="V24" s="42">
        <f t="shared" si="28"/>
        <v>0</v>
      </c>
      <c r="W24" s="42">
        <f t="shared" si="28"/>
        <v>0.10280826839762171</v>
      </c>
      <c r="Y24" s="3" t="s">
        <v>211</v>
      </c>
      <c r="Z24" s="12">
        <f t="shared" si="18"/>
        <v>-1.7177001781442435E-3</v>
      </c>
      <c r="AA24" s="12">
        <f t="shared" si="19"/>
        <v>-6.5280864119445225E-2</v>
      </c>
      <c r="AB24" s="12">
        <f t="shared" si="20"/>
        <v>-1.7620453876590499E-3</v>
      </c>
      <c r="AC24" s="12">
        <f t="shared" si="21"/>
        <v>-7.3052711753395283E-2</v>
      </c>
      <c r="AD24" s="12">
        <f t="shared" si="22"/>
        <v>8.1524795082215551E-2</v>
      </c>
      <c r="AE24" s="12">
        <f t="shared" si="23"/>
        <v>4.5587338972471469E-3</v>
      </c>
      <c r="AF24" s="12"/>
      <c r="AG24" s="12">
        <f t="shared" si="24"/>
        <v>-6.7163075054117338E-2</v>
      </c>
      <c r="AH24" s="12">
        <f t="shared" si="25"/>
        <v>-0.16275209589906861</v>
      </c>
      <c r="AI24" s="12">
        <f t="shared" si="26"/>
        <v>-1.5233042398468871E-2</v>
      </c>
    </row>
    <row r="25" spans="1:35" x14ac:dyDescent="0.2">
      <c r="A25" s="3" t="s">
        <v>212</v>
      </c>
      <c r="B25" s="12">
        <f t="shared" ref="B25:K25" si="29">B7/B$13</f>
        <v>7.1830518275006444E-2</v>
      </c>
      <c r="C25" s="12">
        <f t="shared" si="29"/>
        <v>0.14620424508310229</v>
      </c>
      <c r="D25" s="12">
        <f t="shared" si="29"/>
        <v>9.8347192958972041E-2</v>
      </c>
      <c r="E25" s="12">
        <f t="shared" si="29"/>
        <v>0.19779199584299778</v>
      </c>
      <c r="F25" s="12">
        <f t="shared" si="29"/>
        <v>5.3649748590774843E-2</v>
      </c>
      <c r="G25" s="12">
        <f t="shared" si="29"/>
        <v>7.1281139520660161E-2</v>
      </c>
      <c r="H25" s="12"/>
      <c r="I25" s="12">
        <f t="shared" si="29"/>
        <v>4.040055484029801E-2</v>
      </c>
      <c r="J25" s="12">
        <f t="shared" si="29"/>
        <v>0.117157482816694</v>
      </c>
      <c r="K25" s="12">
        <f t="shared" si="29"/>
        <v>0.10988719501112448</v>
      </c>
      <c r="L25"/>
      <c r="M25" s="3" t="s">
        <v>212</v>
      </c>
      <c r="N25" s="42">
        <f t="shared" ref="N25:W25" si="30">N7/N$13</f>
        <v>8.049681753329524E-2</v>
      </c>
      <c r="O25" s="42">
        <f t="shared" si="30"/>
        <v>0.1355822703031378</v>
      </c>
      <c r="P25" s="42">
        <f t="shared" si="30"/>
        <v>0.10187703930672343</v>
      </c>
      <c r="Q25" s="42">
        <f t="shared" si="30"/>
        <v>0.23847854966315699</v>
      </c>
      <c r="R25" s="42">
        <f t="shared" si="30"/>
        <v>2.7486298562573223E-2</v>
      </c>
      <c r="S25" s="42">
        <f t="shared" si="30"/>
        <v>3.8453127278028867E-2</v>
      </c>
      <c r="T25" s="42"/>
      <c r="U25" s="42">
        <f t="shared" si="30"/>
        <v>4.6582640938214806E-2</v>
      </c>
      <c r="V25" s="42">
        <f t="shared" si="30"/>
        <v>0.18864553993867328</v>
      </c>
      <c r="W25" s="42">
        <f t="shared" si="30"/>
        <v>0.105088496808416</v>
      </c>
      <c r="Y25" s="3" t="s">
        <v>212</v>
      </c>
      <c r="Z25" s="12">
        <f t="shared" si="18"/>
        <v>8.6662992582887954E-3</v>
      </c>
      <c r="AA25" s="12">
        <f t="shared" si="19"/>
        <v>-1.0621974779964488E-2</v>
      </c>
      <c r="AB25" s="12">
        <f t="shared" si="20"/>
        <v>3.5298463477513864E-3</v>
      </c>
      <c r="AC25" s="12">
        <f t="shared" si="21"/>
        <v>4.0686553820159205E-2</v>
      </c>
      <c r="AD25" s="12">
        <f t="shared" si="22"/>
        <v>-2.6163450028201619E-2</v>
      </c>
      <c r="AE25" s="12">
        <f t="shared" si="23"/>
        <v>-3.2828012242631294E-2</v>
      </c>
      <c r="AF25" s="12"/>
      <c r="AG25" s="12">
        <f t="shared" si="24"/>
        <v>6.182086097916796E-3</v>
      </c>
      <c r="AH25" s="12">
        <f t="shared" si="25"/>
        <v>7.1488057121979282E-2</v>
      </c>
      <c r="AI25" s="12">
        <f t="shared" si="26"/>
        <v>-4.798698202708479E-3</v>
      </c>
    </row>
    <row r="26" spans="1:35" x14ac:dyDescent="0.2">
      <c r="A26" s="3" t="s">
        <v>213</v>
      </c>
      <c r="B26" s="12">
        <f t="shared" ref="B26:K26" si="31">B8/B$13</f>
        <v>5.7181733962595467E-2</v>
      </c>
      <c r="C26" s="12">
        <f t="shared" si="31"/>
        <v>0.12927778803642065</v>
      </c>
      <c r="D26" s="12">
        <f t="shared" si="31"/>
        <v>0.29975329628450714</v>
      </c>
      <c r="E26" s="12">
        <f t="shared" si="31"/>
        <v>0.18180233221271197</v>
      </c>
      <c r="F26" s="12">
        <f t="shared" si="31"/>
        <v>8.2057565360964466E-2</v>
      </c>
      <c r="G26" s="12">
        <f t="shared" si="31"/>
        <v>4.4411328424512862E-2</v>
      </c>
      <c r="H26" s="12"/>
      <c r="I26" s="12">
        <f t="shared" si="31"/>
        <v>7.9454932825292229E-2</v>
      </c>
      <c r="J26" s="12">
        <f t="shared" si="31"/>
        <v>0.17387826195558898</v>
      </c>
      <c r="K26" s="12">
        <f t="shared" si="31"/>
        <v>0.12793419234429967</v>
      </c>
      <c r="L26"/>
      <c r="M26" s="3" t="s">
        <v>213</v>
      </c>
      <c r="N26" s="42">
        <f t="shared" ref="N26:W26" si="32">N8/N$13</f>
        <v>5.6541983531645662E-2</v>
      </c>
      <c r="O26" s="42">
        <f t="shared" si="32"/>
        <v>0.13251246711679188</v>
      </c>
      <c r="P26" s="42">
        <f t="shared" si="32"/>
        <v>0.29833113078461415</v>
      </c>
      <c r="Q26" s="42">
        <f t="shared" si="32"/>
        <v>0.20531261949156218</v>
      </c>
      <c r="R26" s="42">
        <f t="shared" si="32"/>
        <v>3.3115585362403471E-2</v>
      </c>
      <c r="S26" s="42">
        <f t="shared" si="32"/>
        <v>4.3458716042183022E-2</v>
      </c>
      <c r="T26" s="42"/>
      <c r="U26" s="42">
        <f t="shared" si="32"/>
        <v>9.2033712201005549E-2</v>
      </c>
      <c r="V26" s="42">
        <f t="shared" si="32"/>
        <v>0.20809457078240118</v>
      </c>
      <c r="W26" s="42">
        <f t="shared" si="32"/>
        <v>0.11674849729447231</v>
      </c>
      <c r="Y26" s="3" t="s">
        <v>213</v>
      </c>
      <c r="Z26" s="12">
        <f t="shared" si="18"/>
        <v>-6.3975043094980505E-4</v>
      </c>
      <c r="AA26" s="12">
        <f t="shared" si="19"/>
        <v>3.2346790803712278E-3</v>
      </c>
      <c r="AB26" s="12">
        <f t="shared" si="20"/>
        <v>-1.4221654998929911E-3</v>
      </c>
      <c r="AC26" s="12">
        <f t="shared" si="21"/>
        <v>2.3510287278850212E-2</v>
      </c>
      <c r="AD26" s="12">
        <f t="shared" si="22"/>
        <v>-4.8941979998560994E-2</v>
      </c>
      <c r="AE26" s="12">
        <f t="shared" si="23"/>
        <v>-9.5261238232983991E-4</v>
      </c>
      <c r="AF26" s="12"/>
      <c r="AG26" s="12">
        <f t="shared" si="24"/>
        <v>1.257877937571332E-2</v>
      </c>
      <c r="AH26" s="12">
        <f t="shared" si="25"/>
        <v>3.4216308826812203E-2</v>
      </c>
      <c r="AI26" s="12">
        <f t="shared" si="26"/>
        <v>-1.118569504982736E-2</v>
      </c>
    </row>
    <row r="27" spans="1:35" x14ac:dyDescent="0.2">
      <c r="A27" s="3" t="s">
        <v>214</v>
      </c>
      <c r="B27" s="12">
        <f t="shared" ref="B27:K27" si="33">B9/B$13</f>
        <v>6.8032272713196479E-2</v>
      </c>
      <c r="C27" s="12">
        <f t="shared" si="33"/>
        <v>0.10759792825569667</v>
      </c>
      <c r="D27" s="12">
        <f t="shared" si="33"/>
        <v>0.24244240488007335</v>
      </c>
      <c r="E27" s="12">
        <f t="shared" si="33"/>
        <v>0.21807838150233394</v>
      </c>
      <c r="F27" s="12">
        <f t="shared" si="33"/>
        <v>0.10101576365549356</v>
      </c>
      <c r="G27" s="12">
        <f t="shared" si="33"/>
        <v>1.0908168185663657E-2</v>
      </c>
      <c r="H27" s="12"/>
      <c r="I27" s="12">
        <f t="shared" si="33"/>
        <v>4.56006513724935E-2</v>
      </c>
      <c r="J27" s="12">
        <f t="shared" si="33"/>
        <v>0.20647942331607272</v>
      </c>
      <c r="K27" s="12">
        <f t="shared" si="33"/>
        <v>0.12882429508762427</v>
      </c>
      <c r="L27"/>
      <c r="M27" s="3" t="s">
        <v>214</v>
      </c>
      <c r="N27" s="42">
        <f t="shared" ref="N27:W27" si="34">N9/N$13</f>
        <v>7.6455237948394081E-2</v>
      </c>
      <c r="O27" s="42">
        <f t="shared" si="34"/>
        <v>0.11517462408634296</v>
      </c>
      <c r="P27" s="42">
        <f t="shared" si="34"/>
        <v>0.25076777339866912</v>
      </c>
      <c r="Q27" s="42">
        <f t="shared" si="34"/>
        <v>0.24510503431502018</v>
      </c>
      <c r="R27" s="42">
        <f t="shared" si="34"/>
        <v>4.7156158301928541E-2</v>
      </c>
      <c r="S27" s="42">
        <f t="shared" si="34"/>
        <v>1.612236963600136E-2</v>
      </c>
      <c r="T27" s="42"/>
      <c r="U27" s="42">
        <f t="shared" si="34"/>
        <v>6.1867220458481462E-2</v>
      </c>
      <c r="V27" s="42">
        <f t="shared" si="34"/>
        <v>0.28173518515949109</v>
      </c>
      <c r="W27" s="42">
        <f t="shared" si="34"/>
        <v>0.12478024346070313</v>
      </c>
      <c r="Y27" s="3" t="s">
        <v>214</v>
      </c>
      <c r="Z27" s="12">
        <f t="shared" si="18"/>
        <v>8.422965235197602E-3</v>
      </c>
      <c r="AA27" s="12">
        <f t="shared" si="19"/>
        <v>7.5766958306462961E-3</v>
      </c>
      <c r="AB27" s="12">
        <f t="shared" si="20"/>
        <v>8.3253685185957771E-3</v>
      </c>
      <c r="AC27" s="12">
        <f t="shared" si="21"/>
        <v>2.7026652812686236E-2</v>
      </c>
      <c r="AD27" s="12">
        <f t="shared" si="22"/>
        <v>-5.3859605353565015E-2</v>
      </c>
      <c r="AE27" s="12">
        <f t="shared" si="23"/>
        <v>5.2142014503377028E-3</v>
      </c>
      <c r="AF27" s="12"/>
      <c r="AG27" s="12">
        <f t="shared" si="24"/>
        <v>1.6266569085987961E-2</v>
      </c>
      <c r="AH27" s="12">
        <f t="shared" si="25"/>
        <v>7.5255761843418367E-2</v>
      </c>
      <c r="AI27" s="12">
        <f t="shared" si="26"/>
        <v>-4.0440516269211468E-3</v>
      </c>
    </row>
    <row r="28" spans="1:35" x14ac:dyDescent="0.2">
      <c r="A28" s="3" t="s">
        <v>129</v>
      </c>
      <c r="B28" s="12">
        <f t="shared" ref="B28:K28" si="35">B10/B$13</f>
        <v>3.0640577751488672E-2</v>
      </c>
      <c r="C28" s="12">
        <f t="shared" si="35"/>
        <v>3.304613212214276E-2</v>
      </c>
      <c r="D28" s="12">
        <f t="shared" si="35"/>
        <v>6.9952533510055037E-2</v>
      </c>
      <c r="E28" s="12">
        <f t="shared" si="35"/>
        <v>5.9685418710186754E-2</v>
      </c>
      <c r="F28" s="12">
        <f t="shared" si="35"/>
        <v>3.2907023282093967E-2</v>
      </c>
      <c r="G28" s="12">
        <f t="shared" si="35"/>
        <v>0</v>
      </c>
      <c r="H28" s="12"/>
      <c r="I28" s="12">
        <f t="shared" si="35"/>
        <v>1.5823541473130507E-2</v>
      </c>
      <c r="J28" s="12">
        <f t="shared" si="35"/>
        <v>2.0079053512727315E-2</v>
      </c>
      <c r="K28" s="12">
        <f t="shared" si="35"/>
        <v>3.9433469038945124E-2</v>
      </c>
      <c r="L28"/>
      <c r="M28" s="3" t="s">
        <v>129</v>
      </c>
      <c r="N28" s="42">
        <f t="shared" ref="N28:W28" si="36">N10/N$13</f>
        <v>2.8146375515230113E-2</v>
      </c>
      <c r="O28" s="42">
        <f t="shared" si="36"/>
        <v>3.4865701388800921E-2</v>
      </c>
      <c r="P28" s="42">
        <f t="shared" si="36"/>
        <v>6.9687861812483182E-2</v>
      </c>
      <c r="Q28" s="42">
        <f t="shared" si="36"/>
        <v>6.227752395744228E-2</v>
      </c>
      <c r="R28" s="42">
        <f t="shared" si="36"/>
        <v>1.5277420103663026E-2</v>
      </c>
      <c r="S28" s="42">
        <f t="shared" si="36"/>
        <v>4.7468046848422998E-2</v>
      </c>
      <c r="T28" s="42"/>
      <c r="U28" s="42">
        <f t="shared" si="36"/>
        <v>2.3423678701323395E-2</v>
      </c>
      <c r="V28" s="42">
        <f t="shared" si="36"/>
        <v>2.9418089992091351E-2</v>
      </c>
      <c r="W28" s="42">
        <f t="shared" si="36"/>
        <v>3.575724563926104E-2</v>
      </c>
      <c r="Y28" s="3" t="s">
        <v>129</v>
      </c>
      <c r="Z28" s="12">
        <f t="shared" si="18"/>
        <v>-2.4942022362585588E-3</v>
      </c>
      <c r="AA28" s="12">
        <f t="shared" si="19"/>
        <v>1.8195692666581609E-3</v>
      </c>
      <c r="AB28" s="12">
        <f t="shared" si="20"/>
        <v>-2.6467169757185549E-4</v>
      </c>
      <c r="AC28" s="12">
        <f t="shared" si="21"/>
        <v>2.5921052472555259E-3</v>
      </c>
      <c r="AD28" s="12">
        <f t="shared" si="22"/>
        <v>-1.7629603178430941E-2</v>
      </c>
      <c r="AE28" s="12">
        <f t="shared" si="23"/>
        <v>4.7468046848422998E-2</v>
      </c>
      <c r="AF28" s="12"/>
      <c r="AG28" s="12">
        <f t="shared" si="24"/>
        <v>7.6001372281928881E-3</v>
      </c>
      <c r="AH28" s="12">
        <f t="shared" si="25"/>
        <v>9.3390364793640365E-3</v>
      </c>
      <c r="AI28" s="12">
        <f t="shared" si="26"/>
        <v>-3.6762233996840837E-3</v>
      </c>
    </row>
    <row r="29" spans="1:35" x14ac:dyDescent="0.2">
      <c r="A29" s="25" t="s">
        <v>130</v>
      </c>
      <c r="B29" s="34">
        <f t="shared" ref="B29:K30" si="37">B11/B$13</f>
        <v>0.1239684960566947</v>
      </c>
      <c r="C29" s="34">
        <f t="shared" si="37"/>
        <v>0.19157503466758627</v>
      </c>
      <c r="D29" s="34">
        <f t="shared" si="37"/>
        <v>0.25835535128042492</v>
      </c>
      <c r="E29" s="34">
        <f t="shared" si="37"/>
        <v>0.23283127903227324</v>
      </c>
      <c r="F29" s="34">
        <f t="shared" si="37"/>
        <v>0.11774296630853162</v>
      </c>
      <c r="G29" s="34">
        <f t="shared" si="37"/>
        <v>0.15320912679934579</v>
      </c>
      <c r="H29" s="34"/>
      <c r="I29" s="34">
        <f t="shared" si="37"/>
        <v>0.17592694736039929</v>
      </c>
      <c r="J29" s="34">
        <f t="shared" si="37"/>
        <v>0.31817441224387327</v>
      </c>
      <c r="K29" s="34">
        <f t="shared" si="37"/>
        <v>0.19457083567565625</v>
      </c>
      <c r="L29"/>
      <c r="M29" s="25" t="s">
        <v>130</v>
      </c>
      <c r="N29" s="56">
        <f t="shared" ref="N29:W29" si="38">N11/N$13</f>
        <v>0.1171572287458008</v>
      </c>
      <c r="O29" s="56">
        <f t="shared" si="38"/>
        <v>0.19683054433057601</v>
      </c>
      <c r="P29" s="56">
        <f t="shared" si="38"/>
        <v>0.27933619469751014</v>
      </c>
      <c r="Q29" s="56">
        <f t="shared" si="38"/>
        <v>0.24882627257281839</v>
      </c>
      <c r="R29" s="56">
        <f t="shared" si="38"/>
        <v>6.7065407814987973E-2</v>
      </c>
      <c r="S29" s="56">
        <f t="shared" si="38"/>
        <v>0.12224814112844438</v>
      </c>
      <c r="T29" s="56"/>
      <c r="U29" s="56">
        <f t="shared" si="38"/>
        <v>0.19691735812968497</v>
      </c>
      <c r="V29" s="56">
        <f t="shared" si="38"/>
        <v>0.29210661412734312</v>
      </c>
      <c r="W29" s="56">
        <f t="shared" si="38"/>
        <v>0.17372433070825763</v>
      </c>
      <c r="Y29" s="25" t="s">
        <v>130</v>
      </c>
      <c r="Z29" s="12">
        <f t="shared" si="18"/>
        <v>-6.8112673108939037E-3</v>
      </c>
      <c r="AA29" s="12">
        <f t="shared" si="19"/>
        <v>5.255509662989738E-3</v>
      </c>
      <c r="AB29" s="12">
        <f t="shared" si="20"/>
        <v>2.0980843417085226E-2</v>
      </c>
      <c r="AC29" s="12">
        <f t="shared" si="21"/>
        <v>1.5994993540545149E-2</v>
      </c>
      <c r="AD29" s="12">
        <f t="shared" si="22"/>
        <v>-5.0677558493543648E-2</v>
      </c>
      <c r="AE29" s="12">
        <f t="shared" si="23"/>
        <v>-3.09609856709014E-2</v>
      </c>
      <c r="AF29" s="12"/>
      <c r="AG29" s="12">
        <f t="shared" si="24"/>
        <v>2.0990410769285678E-2</v>
      </c>
      <c r="AH29" s="12">
        <f t="shared" si="25"/>
        <v>-2.606779811653015E-2</v>
      </c>
      <c r="AI29" s="12">
        <f t="shared" si="26"/>
        <v>-2.0846504967398621E-2</v>
      </c>
    </row>
    <row r="30" spans="1:35" x14ac:dyDescent="0.2">
      <c r="A30" s="25" t="s">
        <v>247</v>
      </c>
      <c r="B30" s="13">
        <f t="shared" si="37"/>
        <v>7.0085348245375365E-2</v>
      </c>
      <c r="C30" s="13">
        <f t="shared" si="37"/>
        <v>1.0751288195953156E-2</v>
      </c>
      <c r="D30" s="13">
        <f t="shared" si="37"/>
        <v>0</v>
      </c>
      <c r="E30" s="13">
        <f t="shared" si="37"/>
        <v>0</v>
      </c>
      <c r="F30" s="13">
        <f t="shared" si="37"/>
        <v>3.1354077930856504E-2</v>
      </c>
      <c r="G30" s="13">
        <f t="shared" si="37"/>
        <v>0</v>
      </c>
      <c r="H30" s="13"/>
      <c r="I30" s="13">
        <f t="shared" si="37"/>
        <v>0</v>
      </c>
      <c r="J30" s="13">
        <f t="shared" si="37"/>
        <v>0</v>
      </c>
      <c r="K30" s="13">
        <f t="shared" si="37"/>
        <v>2.7026039992262628E-2</v>
      </c>
      <c r="L30"/>
      <c r="M30" s="25" t="s">
        <v>247</v>
      </c>
      <c r="N30" s="43">
        <f t="shared" ref="N30:W30" si="39">N12/N$13</f>
        <v>6.4068065818501718E-2</v>
      </c>
      <c r="O30" s="43">
        <f t="shared" si="39"/>
        <v>2.7488884103317669E-2</v>
      </c>
      <c r="P30" s="43">
        <f t="shared" si="39"/>
        <v>0</v>
      </c>
      <c r="Q30" s="43">
        <f t="shared" si="39"/>
        <v>0</v>
      </c>
      <c r="R30" s="43">
        <f t="shared" si="39"/>
        <v>4.0478634462696908E-2</v>
      </c>
      <c r="S30" s="43">
        <f t="shared" si="39"/>
        <v>1.9317684793701707E-3</v>
      </c>
      <c r="T30" s="43"/>
      <c r="U30" s="43">
        <f t="shared" si="39"/>
        <v>1.7337064219841432E-4</v>
      </c>
      <c r="V30" s="43">
        <f t="shared" si="39"/>
        <v>0</v>
      </c>
      <c r="W30" s="43">
        <f t="shared" si="39"/>
        <v>3.2499999442595968E-2</v>
      </c>
      <c r="Y30" s="25" t="s">
        <v>247</v>
      </c>
      <c r="Z30" s="12">
        <f t="shared" si="18"/>
        <v>-6.0172824268736463E-3</v>
      </c>
      <c r="AA30" s="12">
        <f t="shared" si="19"/>
        <v>1.6737595907364511E-2</v>
      </c>
      <c r="AB30" s="12">
        <f t="shared" si="20"/>
        <v>0</v>
      </c>
      <c r="AC30" s="12">
        <f t="shared" si="21"/>
        <v>0</v>
      </c>
      <c r="AD30" s="12">
        <f t="shared" si="22"/>
        <v>9.124556531840404E-3</v>
      </c>
      <c r="AE30" s="12">
        <f t="shared" si="23"/>
        <v>1.9317684793701707E-3</v>
      </c>
      <c r="AF30" s="12"/>
      <c r="AG30" s="12">
        <f t="shared" si="24"/>
        <v>1.7337064219841432E-4</v>
      </c>
      <c r="AH30" s="12">
        <f t="shared" si="25"/>
        <v>0</v>
      </c>
      <c r="AI30" s="12">
        <f t="shared" si="26"/>
        <v>5.4739594503333405E-3</v>
      </c>
    </row>
    <row r="31" spans="1:35" ht="13.5" thickBot="1" x14ac:dyDescent="0.25">
      <c r="A31" s="10" t="s">
        <v>221</v>
      </c>
      <c r="B31" s="17">
        <f t="shared" ref="B31:K31" si="40">B13/B$13</f>
        <v>1</v>
      </c>
      <c r="C31" s="17">
        <f t="shared" si="40"/>
        <v>1</v>
      </c>
      <c r="D31" s="17">
        <f t="shared" si="40"/>
        <v>1</v>
      </c>
      <c r="E31" s="17">
        <f t="shared" si="40"/>
        <v>1</v>
      </c>
      <c r="F31" s="17">
        <f t="shared" si="40"/>
        <v>1</v>
      </c>
      <c r="G31" s="17">
        <f t="shared" si="40"/>
        <v>1</v>
      </c>
      <c r="H31" s="17"/>
      <c r="I31" s="17">
        <f t="shared" si="40"/>
        <v>1</v>
      </c>
      <c r="J31" s="17">
        <f t="shared" si="40"/>
        <v>1</v>
      </c>
      <c r="K31" s="17">
        <f t="shared" si="40"/>
        <v>1</v>
      </c>
      <c r="L31"/>
      <c r="M31" s="10" t="s">
        <v>221</v>
      </c>
      <c r="N31" s="44">
        <f t="shared" ref="N31:W31" si="41">N13/N$13</f>
        <v>1</v>
      </c>
      <c r="O31" s="44">
        <f t="shared" si="41"/>
        <v>1</v>
      </c>
      <c r="P31" s="44">
        <f t="shared" si="41"/>
        <v>1</v>
      </c>
      <c r="Q31" s="44">
        <f t="shared" si="41"/>
        <v>1</v>
      </c>
      <c r="R31" s="44">
        <f t="shared" si="41"/>
        <v>1</v>
      </c>
      <c r="S31" s="44">
        <f t="shared" si="41"/>
        <v>1</v>
      </c>
      <c r="T31" s="44"/>
      <c r="U31" s="44">
        <f t="shared" si="41"/>
        <v>1</v>
      </c>
      <c r="V31" s="44">
        <f t="shared" si="41"/>
        <v>1</v>
      </c>
      <c r="W31" s="44">
        <f t="shared" si="41"/>
        <v>1</v>
      </c>
      <c r="Y31" s="10" t="s">
        <v>221</v>
      </c>
      <c r="Z31" s="14">
        <f t="shared" si="18"/>
        <v>0</v>
      </c>
      <c r="AA31" s="14">
        <f t="shared" si="19"/>
        <v>0</v>
      </c>
      <c r="AB31" s="14">
        <f t="shared" si="20"/>
        <v>0</v>
      </c>
      <c r="AC31" s="14">
        <f t="shared" si="21"/>
        <v>0</v>
      </c>
      <c r="AD31" s="14">
        <f t="shared" si="22"/>
        <v>0</v>
      </c>
      <c r="AE31" s="14">
        <f t="shared" si="23"/>
        <v>0</v>
      </c>
      <c r="AF31" s="14"/>
      <c r="AG31" s="14">
        <f t="shared" si="24"/>
        <v>0</v>
      </c>
      <c r="AH31" s="14">
        <f t="shared" si="25"/>
        <v>0</v>
      </c>
      <c r="AI31" s="14">
        <f t="shared" si="26"/>
        <v>0</v>
      </c>
    </row>
    <row r="32" spans="1:35" x14ac:dyDescent="0.2">
      <c r="L32"/>
    </row>
    <row r="33" spans="1:35" x14ac:dyDescent="0.2">
      <c r="L33"/>
    </row>
    <row r="34" spans="1:35" x14ac:dyDescent="0.2">
      <c r="L34"/>
    </row>
    <row r="35" spans="1:35" x14ac:dyDescent="0.2">
      <c r="A35"/>
      <c r="B35"/>
      <c r="C35"/>
      <c r="D35"/>
      <c r="E35"/>
      <c r="F35"/>
      <c r="G35"/>
      <c r="H35"/>
      <c r="I35"/>
      <c r="J35"/>
      <c r="L35"/>
      <c r="M35"/>
      <c r="N35" s="57"/>
      <c r="O35" s="57"/>
      <c r="P35" s="57"/>
      <c r="Q35" s="57"/>
      <c r="R35" s="57"/>
      <c r="S35" s="57"/>
      <c r="T35" s="57"/>
      <c r="U35" s="57"/>
      <c r="V35" s="57"/>
      <c r="Y35"/>
      <c r="Z35"/>
      <c r="AA35"/>
      <c r="AB35"/>
      <c r="AC35"/>
      <c r="AD35"/>
      <c r="AE35"/>
      <c r="AF35"/>
      <c r="AG35"/>
      <c r="AH35"/>
    </row>
    <row r="36" spans="1:35" x14ac:dyDescent="0.2">
      <c r="A36" s="2" t="s">
        <v>175</v>
      </c>
      <c r="B36"/>
      <c r="C36"/>
      <c r="D36"/>
      <c r="E36"/>
      <c r="F36"/>
      <c r="G36"/>
      <c r="H36"/>
      <c r="I36"/>
      <c r="J36"/>
      <c r="K36"/>
      <c r="L36"/>
      <c r="M36" s="2" t="s">
        <v>175</v>
      </c>
      <c r="N36" s="57"/>
      <c r="O36" s="57"/>
      <c r="P36" s="57"/>
      <c r="Q36" s="57"/>
      <c r="R36" s="57"/>
      <c r="S36" s="57"/>
      <c r="T36" s="57"/>
      <c r="U36" s="57"/>
      <c r="V36" s="57"/>
      <c r="W36" s="57"/>
      <c r="Y36" s="2" t="s">
        <v>175</v>
      </c>
      <c r="Z36"/>
      <c r="AA36"/>
      <c r="AB36"/>
      <c r="AC36"/>
      <c r="AD36"/>
      <c r="AE36"/>
      <c r="AF36"/>
      <c r="AG36"/>
      <c r="AH36"/>
      <c r="AI36"/>
    </row>
    <row r="37" spans="1:35" x14ac:dyDescent="0.2">
      <c r="A37" s="2" t="s">
        <v>273</v>
      </c>
      <c r="B37"/>
      <c r="C37"/>
      <c r="D37"/>
      <c r="E37"/>
      <c r="F37"/>
      <c r="G37"/>
      <c r="H37"/>
      <c r="I37"/>
      <c r="J37"/>
      <c r="K37"/>
      <c r="L37"/>
      <c r="M37" s="2" t="s">
        <v>268</v>
      </c>
      <c r="N37" s="57"/>
      <c r="O37" s="57"/>
      <c r="P37" s="57"/>
      <c r="Q37" s="57"/>
      <c r="R37" s="57"/>
      <c r="S37" s="57"/>
      <c r="T37" s="57"/>
      <c r="U37" s="57"/>
      <c r="V37" s="57"/>
      <c r="W37" s="57"/>
      <c r="Y37" s="2" t="s">
        <v>238</v>
      </c>
      <c r="Z37"/>
      <c r="AA37"/>
      <c r="AB37"/>
      <c r="AC37"/>
      <c r="AD37"/>
      <c r="AE37"/>
      <c r="AF37"/>
      <c r="AG37"/>
      <c r="AH37"/>
      <c r="AI37"/>
    </row>
    <row r="38" spans="1:35" ht="13.5" thickBot="1" x14ac:dyDescent="0.25">
      <c r="B38" s="1"/>
      <c r="C38" s="1"/>
      <c r="D38" s="1"/>
      <c r="E38" s="1"/>
      <c r="F38" s="1"/>
      <c r="G38" s="1"/>
      <c r="H38" s="99"/>
      <c r="I38"/>
      <c r="J38"/>
      <c r="K38"/>
      <c r="L38"/>
      <c r="N38" s="58"/>
      <c r="O38" s="58"/>
      <c r="P38" s="58"/>
      <c r="Q38" s="58"/>
      <c r="R38" s="58"/>
      <c r="S38" s="58"/>
      <c r="T38" s="100"/>
      <c r="V38" s="57"/>
      <c r="W38" s="57"/>
      <c r="Z38" s="1"/>
      <c r="AA38" s="1"/>
      <c r="AB38" s="1"/>
      <c r="AC38" s="1"/>
      <c r="AD38" s="1"/>
      <c r="AE38" s="1"/>
      <c r="AF38" s="99"/>
      <c r="AG38"/>
      <c r="AH38"/>
    </row>
    <row r="39" spans="1:35" x14ac:dyDescent="0.2">
      <c r="A39" s="5" t="s">
        <v>159</v>
      </c>
      <c r="B39" s="6" t="s">
        <v>296</v>
      </c>
      <c r="C39" s="6" t="s">
        <v>297</v>
      </c>
      <c r="D39" s="6" t="s">
        <v>298</v>
      </c>
      <c r="E39" s="6" t="s">
        <v>301</v>
      </c>
      <c r="F39" s="6" t="s">
        <v>172</v>
      </c>
      <c r="G39" s="6" t="s">
        <v>221</v>
      </c>
      <c r="H39" s="89"/>
      <c r="I39"/>
      <c r="K39"/>
      <c r="L39"/>
      <c r="M39" s="5" t="s">
        <v>159</v>
      </c>
      <c r="N39" s="6" t="s">
        <v>296</v>
      </c>
      <c r="O39" s="6" t="s">
        <v>297</v>
      </c>
      <c r="P39" s="6" t="s">
        <v>298</v>
      </c>
      <c r="Q39" s="6" t="s">
        <v>301</v>
      </c>
      <c r="R39" s="41" t="s">
        <v>172</v>
      </c>
      <c r="S39" s="41" t="s">
        <v>221</v>
      </c>
      <c r="T39" s="101"/>
      <c r="W39" s="57"/>
      <c r="Y39" s="5" t="s">
        <v>159</v>
      </c>
      <c r="Z39" s="6" t="s">
        <v>296</v>
      </c>
      <c r="AA39" s="6" t="s">
        <v>297</v>
      </c>
      <c r="AB39" s="6" t="s">
        <v>298</v>
      </c>
      <c r="AC39" s="6" t="s">
        <v>301</v>
      </c>
      <c r="AD39" s="41" t="s">
        <v>172</v>
      </c>
      <c r="AE39" s="41" t="s">
        <v>221</v>
      </c>
      <c r="AF39" s="101"/>
      <c r="AG39"/>
    </row>
    <row r="40" spans="1:35" x14ac:dyDescent="0.2">
      <c r="A40" s="3" t="s">
        <v>210</v>
      </c>
      <c r="B40" s="7">
        <f>output_NHTS!B189</f>
        <v>20157.094357324699</v>
      </c>
      <c r="C40" s="7">
        <f>output_NHTS!C189</f>
        <v>334276.09968091792</v>
      </c>
      <c r="D40" s="7">
        <f>output_NHTS!D189</f>
        <v>264840.17689024849</v>
      </c>
      <c r="E40" s="7">
        <f>output_NHTS!E189</f>
        <v>804482.02737421379</v>
      </c>
      <c r="F40" s="7"/>
      <c r="G40" s="53">
        <f>SUM(B40:E40)</f>
        <v>1423755.398302705</v>
      </c>
      <c r="H40" s="53"/>
      <c r="I40"/>
      <c r="K40"/>
      <c r="L40"/>
      <c r="M40" s="3" t="s">
        <v>210</v>
      </c>
      <c r="N40" s="53">
        <f>output!B189</f>
        <v>32663</v>
      </c>
      <c r="O40" s="53">
        <f>output!C189</f>
        <v>276991</v>
      </c>
      <c r="P40" s="53">
        <f>output!D189</f>
        <v>256357</v>
      </c>
      <c r="Q40" s="53">
        <f>output!E189</f>
        <v>817774</v>
      </c>
      <c r="R40" s="53"/>
      <c r="S40" s="53">
        <f>SUM(N40:Q40)</f>
        <v>1383785</v>
      </c>
      <c r="T40" s="53"/>
      <c r="W40" s="57"/>
      <c r="Y40" s="3" t="s">
        <v>210</v>
      </c>
      <c r="Z40" s="7">
        <f t="shared" ref="Z40:Z48" si="42">N40-B40</f>
        <v>12505.905642675301</v>
      </c>
      <c r="AA40" s="7">
        <f t="shared" ref="AA40:AA48" si="43">O40-C40</f>
        <v>-57285.09968091792</v>
      </c>
      <c r="AB40" s="7">
        <f t="shared" ref="AB40:AB48" si="44">P40-D40</f>
        <v>-8483.176890248491</v>
      </c>
      <c r="AC40" s="7">
        <f t="shared" ref="AC40:AC48" si="45">Q40-E40</f>
        <v>13291.972625786206</v>
      </c>
      <c r="AD40" s="7">
        <f t="shared" ref="AD40:AD48" si="46">R40-F40</f>
        <v>0</v>
      </c>
      <c r="AE40" s="7">
        <f t="shared" ref="AE40:AE48" si="47">S40-G40</f>
        <v>-39970.398302705027</v>
      </c>
      <c r="AF40" s="7"/>
      <c r="AG40"/>
    </row>
    <row r="41" spans="1:35" x14ac:dyDescent="0.2">
      <c r="A41" s="3" t="s">
        <v>211</v>
      </c>
      <c r="B41" s="7">
        <f>output_NHTS!B190</f>
        <v>31430.332527171002</v>
      </c>
      <c r="C41" s="7">
        <f>output_NHTS!C190</f>
        <v>118673.62083373711</v>
      </c>
      <c r="D41" s="7">
        <f>output_NHTS!D190</f>
        <v>100736.67730856749</v>
      </c>
      <c r="E41" s="7">
        <f>output_NHTS!E190</f>
        <v>392634.72945740831</v>
      </c>
      <c r="F41" s="7"/>
      <c r="G41" s="53">
        <f t="shared" ref="G41:G47" si="48">SUM(B41:E41)</f>
        <v>643475.36012688396</v>
      </c>
      <c r="H41" s="53"/>
      <c r="I41"/>
      <c r="K41"/>
      <c r="L41"/>
      <c r="M41" s="3" t="s">
        <v>211</v>
      </c>
      <c r="N41" s="53">
        <f>output!B190</f>
        <v>37143</v>
      </c>
      <c r="O41" s="53">
        <f>output!C190</f>
        <v>113794</v>
      </c>
      <c r="P41" s="53">
        <f>output!D190</f>
        <v>82970</v>
      </c>
      <c r="Q41" s="53">
        <f>output!E190</f>
        <v>227054</v>
      </c>
      <c r="R41" s="53"/>
      <c r="S41" s="53">
        <f t="shared" ref="S41:S50" si="49">SUM(N41:Q41)</f>
        <v>460961</v>
      </c>
      <c r="T41" s="53"/>
      <c r="W41" s="57"/>
      <c r="Y41" s="3" t="s">
        <v>211</v>
      </c>
      <c r="Z41" s="7">
        <f t="shared" si="42"/>
        <v>5712.6674728289981</v>
      </c>
      <c r="AA41" s="7">
        <f t="shared" si="43"/>
        <v>-4879.6208337371063</v>
      </c>
      <c r="AB41" s="7">
        <f t="shared" si="44"/>
        <v>-17766.677308567494</v>
      </c>
      <c r="AC41" s="7">
        <f t="shared" si="45"/>
        <v>-165580.72945740831</v>
      </c>
      <c r="AD41" s="7">
        <f t="shared" si="46"/>
        <v>0</v>
      </c>
      <c r="AE41" s="7">
        <f t="shared" si="47"/>
        <v>-182514.36012688396</v>
      </c>
      <c r="AF41" s="7"/>
      <c r="AG41"/>
    </row>
    <row r="42" spans="1:35" x14ac:dyDescent="0.2">
      <c r="A42" s="3" t="s">
        <v>212</v>
      </c>
      <c r="B42" s="7">
        <f>output_NHTS!B191</f>
        <v>11258.215442553999</v>
      </c>
      <c r="C42" s="7">
        <f>output_NHTS!C191</f>
        <v>105963.1091252319</v>
      </c>
      <c r="D42" s="7">
        <f>output_NHTS!D191</f>
        <v>88911.348267248395</v>
      </c>
      <c r="E42" s="7">
        <f>output_NHTS!E191</f>
        <v>307957.07108739391</v>
      </c>
      <c r="F42" s="7"/>
      <c r="G42" s="53">
        <f t="shared" si="48"/>
        <v>514089.74392242823</v>
      </c>
      <c r="H42" s="53"/>
      <c r="I42"/>
      <c r="K42"/>
      <c r="L42"/>
      <c r="M42" s="3" t="s">
        <v>212</v>
      </c>
      <c r="N42" s="53">
        <f>output!B191</f>
        <v>31734</v>
      </c>
      <c r="O42" s="53">
        <f>output!C191</f>
        <v>110900</v>
      </c>
      <c r="P42" s="53">
        <f>output!D191</f>
        <v>91742</v>
      </c>
      <c r="Q42" s="53">
        <f>output!E191</f>
        <v>236816</v>
      </c>
      <c r="R42" s="53"/>
      <c r="S42" s="53">
        <f t="shared" si="49"/>
        <v>471192</v>
      </c>
      <c r="T42" s="53"/>
      <c r="W42" s="57"/>
      <c r="Y42" s="3" t="s">
        <v>212</v>
      </c>
      <c r="Z42" s="7">
        <f t="shared" si="42"/>
        <v>20475.784557446001</v>
      </c>
      <c r="AA42" s="7">
        <f t="shared" si="43"/>
        <v>4936.890874768098</v>
      </c>
      <c r="AB42" s="7">
        <f t="shared" si="44"/>
        <v>2830.6517327516049</v>
      </c>
      <c r="AC42" s="7">
        <f t="shared" si="45"/>
        <v>-71141.07108739391</v>
      </c>
      <c r="AD42" s="7">
        <f t="shared" si="46"/>
        <v>0</v>
      </c>
      <c r="AE42" s="7">
        <f t="shared" si="47"/>
        <v>-42897.743922428228</v>
      </c>
      <c r="AF42" s="7"/>
      <c r="AG42"/>
    </row>
    <row r="43" spans="1:35" x14ac:dyDescent="0.2">
      <c r="A43" s="3" t="s">
        <v>213</v>
      </c>
      <c r="B43" s="7">
        <f>output_NHTS!B192</f>
        <v>22855.1635710427</v>
      </c>
      <c r="C43" s="7">
        <f>output_NHTS!C192</f>
        <v>206384.31357358221</v>
      </c>
      <c r="D43" s="7">
        <f>output_NHTS!D192</f>
        <v>104440.27934064021</v>
      </c>
      <c r="E43" s="7">
        <f>output_NHTS!E192</f>
        <v>237833.70361058091</v>
      </c>
      <c r="F43" s="7"/>
      <c r="G43" s="53">
        <f t="shared" si="48"/>
        <v>571513.46009584598</v>
      </c>
      <c r="H43" s="53"/>
      <c r="I43"/>
      <c r="K43"/>
      <c r="L43"/>
      <c r="M43" s="3" t="s">
        <v>213</v>
      </c>
      <c r="N43" s="53">
        <f>output!B192</f>
        <v>60227</v>
      </c>
      <c r="O43" s="53">
        <f>output!C192</f>
        <v>167671</v>
      </c>
      <c r="P43" s="53">
        <f>output!D192</f>
        <v>93280</v>
      </c>
      <c r="Q43" s="53">
        <f>output!E192</f>
        <v>202261</v>
      </c>
      <c r="R43" s="53"/>
      <c r="S43" s="53">
        <f t="shared" si="49"/>
        <v>523439</v>
      </c>
      <c r="T43" s="53"/>
      <c r="W43" s="57"/>
      <c r="Y43" s="3" t="s">
        <v>213</v>
      </c>
      <c r="Z43" s="7">
        <f t="shared" si="42"/>
        <v>37371.8364289573</v>
      </c>
      <c r="AA43" s="7">
        <f t="shared" si="43"/>
        <v>-38713.313573582214</v>
      </c>
      <c r="AB43" s="7">
        <f t="shared" si="44"/>
        <v>-11160.279340640205</v>
      </c>
      <c r="AC43" s="7">
        <f t="shared" si="45"/>
        <v>-35572.703610580909</v>
      </c>
      <c r="AD43" s="7">
        <f t="shared" si="46"/>
        <v>0</v>
      </c>
      <c r="AE43" s="7">
        <f t="shared" si="47"/>
        <v>-48074.460095845978</v>
      </c>
      <c r="AF43" s="7"/>
      <c r="AG43"/>
    </row>
    <row r="44" spans="1:35" x14ac:dyDescent="0.2">
      <c r="A44" s="3" t="s">
        <v>214</v>
      </c>
      <c r="B44" s="7">
        <f>output_NHTS!B193</f>
        <v>44406.360301668603</v>
      </c>
      <c r="C44" s="7">
        <f>output_NHTS!C193</f>
        <v>207078.00641244641</v>
      </c>
      <c r="D44" s="7">
        <f>output_NHTS!D193</f>
        <v>106390.1885634511</v>
      </c>
      <c r="E44" s="7">
        <f>output_NHTS!E193</f>
        <v>220235.9139655628</v>
      </c>
      <c r="F44" s="7"/>
      <c r="G44" s="53">
        <f t="shared" si="48"/>
        <v>578110.4692431289</v>
      </c>
      <c r="H44" s="53"/>
      <c r="I44"/>
      <c r="K44"/>
      <c r="L44"/>
      <c r="M44" s="3" t="s">
        <v>214</v>
      </c>
      <c r="N44" s="53">
        <f>output!B193</f>
        <v>63927</v>
      </c>
      <c r="O44" s="53">
        <f>output!C193</f>
        <v>165395</v>
      </c>
      <c r="P44" s="53">
        <f>output!D193</f>
        <v>101756</v>
      </c>
      <c r="Q44" s="53">
        <f>output!E193</f>
        <v>228336</v>
      </c>
      <c r="R44" s="53"/>
      <c r="S44" s="53">
        <f t="shared" si="49"/>
        <v>559414</v>
      </c>
      <c r="T44" s="53"/>
      <c r="W44" s="57"/>
      <c r="Y44" s="3" t="s">
        <v>214</v>
      </c>
      <c r="Z44" s="7">
        <f t="shared" si="42"/>
        <v>19520.639698331397</v>
      </c>
      <c r="AA44" s="7">
        <f t="shared" si="43"/>
        <v>-41683.006412446412</v>
      </c>
      <c r="AB44" s="7">
        <f t="shared" si="44"/>
        <v>-4634.1885634510982</v>
      </c>
      <c r="AC44" s="7">
        <f t="shared" si="45"/>
        <v>8100.0860344372049</v>
      </c>
      <c r="AD44" s="7">
        <f t="shared" si="46"/>
        <v>0</v>
      </c>
      <c r="AE44" s="7">
        <f t="shared" si="47"/>
        <v>-18696.4692431289</v>
      </c>
      <c r="AF44" s="7"/>
      <c r="AG44"/>
    </row>
    <row r="45" spans="1:35" x14ac:dyDescent="0.2">
      <c r="A45" s="3" t="s">
        <v>129</v>
      </c>
      <c r="B45" s="7">
        <f>output_NHTS!B194</f>
        <v>13143.7339791591</v>
      </c>
      <c r="C45" s="7">
        <f>output_NHTS!C194</f>
        <v>46142.349094928199</v>
      </c>
      <c r="D45" s="7">
        <f>output_NHTS!D194</f>
        <v>38400.617591077302</v>
      </c>
      <c r="E45" s="7">
        <f>output_NHTS!E194</f>
        <v>85779.645771164505</v>
      </c>
      <c r="F45" s="7"/>
      <c r="G45" s="53">
        <f t="shared" si="48"/>
        <v>183466.3464363291</v>
      </c>
      <c r="H45" s="53"/>
      <c r="I45"/>
      <c r="K45"/>
      <c r="L45"/>
      <c r="M45" s="3" t="s">
        <v>129</v>
      </c>
      <c r="N45" s="53">
        <f>output!B194</f>
        <v>12487</v>
      </c>
      <c r="O45" s="53">
        <f>output!C194</f>
        <v>44254</v>
      </c>
      <c r="P45" s="53">
        <f>output!D194</f>
        <v>30489</v>
      </c>
      <c r="Q45" s="53">
        <f>output!E194</f>
        <v>73094</v>
      </c>
      <c r="R45" s="53"/>
      <c r="S45" s="53">
        <f t="shared" si="49"/>
        <v>160324</v>
      </c>
      <c r="T45" s="53"/>
      <c r="W45" s="57"/>
      <c r="Y45" s="3" t="s">
        <v>129</v>
      </c>
      <c r="Z45" s="7">
        <f t="shared" si="42"/>
        <v>-656.73397915910027</v>
      </c>
      <c r="AA45" s="7">
        <f t="shared" si="43"/>
        <v>-1888.3490949281986</v>
      </c>
      <c r="AB45" s="7">
        <f t="shared" si="44"/>
        <v>-7911.6175910773018</v>
      </c>
      <c r="AC45" s="7">
        <f t="shared" si="45"/>
        <v>-12685.645771164505</v>
      </c>
      <c r="AD45" s="7">
        <f t="shared" si="46"/>
        <v>0</v>
      </c>
      <c r="AE45" s="7">
        <f t="shared" si="47"/>
        <v>-23142.346436329099</v>
      </c>
      <c r="AF45" s="7"/>
      <c r="AG45"/>
    </row>
    <row r="46" spans="1:35" x14ac:dyDescent="0.2">
      <c r="A46" s="25" t="s">
        <v>130</v>
      </c>
      <c r="B46" s="7">
        <f>output_NHTS!B195</f>
        <v>28697.392927182998</v>
      </c>
      <c r="C46" s="7">
        <f>output_NHTS!C195</f>
        <v>197525.26415327459</v>
      </c>
      <c r="D46" s="7">
        <f>output_NHTS!D195</f>
        <v>202908.14890917391</v>
      </c>
      <c r="E46" s="7">
        <f>output_NHTS!E195</f>
        <v>475952.36957343708</v>
      </c>
      <c r="F46" s="33"/>
      <c r="G46" s="54">
        <f t="shared" si="48"/>
        <v>905083.17556306859</v>
      </c>
      <c r="H46" s="54"/>
      <c r="I46"/>
      <c r="K46"/>
      <c r="L46"/>
      <c r="M46" s="25" t="s">
        <v>130</v>
      </c>
      <c r="N46" s="54">
        <f>output!B195</f>
        <v>52653</v>
      </c>
      <c r="O46" s="54">
        <f>output!C195</f>
        <v>200383</v>
      </c>
      <c r="P46" s="54">
        <f>output!D195</f>
        <v>145480</v>
      </c>
      <c r="Q46" s="54">
        <f>output!E195</f>
        <v>380379</v>
      </c>
      <c r="R46" s="54"/>
      <c r="S46" s="54">
        <f t="shared" si="49"/>
        <v>778895</v>
      </c>
      <c r="T46" s="54"/>
      <c r="W46" s="57"/>
      <c r="Y46" s="25" t="s">
        <v>130</v>
      </c>
      <c r="Z46" s="33">
        <f t="shared" si="42"/>
        <v>23955.607072817002</v>
      </c>
      <c r="AA46" s="33">
        <f t="shared" si="43"/>
        <v>2857.7358467254089</v>
      </c>
      <c r="AB46" s="33">
        <f t="shared" si="44"/>
        <v>-57428.148909173906</v>
      </c>
      <c r="AC46" s="33">
        <f t="shared" si="45"/>
        <v>-95573.369573437085</v>
      </c>
      <c r="AD46" s="33">
        <f t="shared" si="46"/>
        <v>0</v>
      </c>
      <c r="AE46" s="33">
        <f t="shared" si="47"/>
        <v>-126188.17556306859</v>
      </c>
      <c r="AF46" s="33"/>
      <c r="AG46"/>
    </row>
    <row r="47" spans="1:35" x14ac:dyDescent="0.2">
      <c r="A47" s="25" t="s">
        <v>247</v>
      </c>
      <c r="B47" s="9">
        <f>output_NHTS!B196</f>
        <v>977.46479076899993</v>
      </c>
      <c r="C47" s="9">
        <f>output_NHTS!C196</f>
        <v>27902.066388530202</v>
      </c>
      <c r="D47" s="9">
        <f>output_NHTS!D196</f>
        <v>24409.3258677136</v>
      </c>
      <c r="E47" s="9">
        <f>output_NHTS!E196</f>
        <v>97322.383445320898</v>
      </c>
      <c r="F47" s="9"/>
      <c r="G47" s="59">
        <f t="shared" si="48"/>
        <v>150611.24049233372</v>
      </c>
      <c r="H47" s="54"/>
      <c r="I47"/>
      <c r="K47"/>
      <c r="L47"/>
      <c r="M47" s="25" t="s">
        <v>247</v>
      </c>
      <c r="N47" s="59">
        <f>output!B196</f>
        <v>2626</v>
      </c>
      <c r="O47" s="59">
        <f>output!C196</f>
        <v>27422</v>
      </c>
      <c r="P47" s="59">
        <f>output!D196</f>
        <v>25863</v>
      </c>
      <c r="Q47" s="59">
        <f>output!E196</f>
        <v>89826</v>
      </c>
      <c r="R47" s="59"/>
      <c r="S47" s="59">
        <f t="shared" si="49"/>
        <v>145737</v>
      </c>
      <c r="T47" s="54"/>
      <c r="W47" s="57"/>
      <c r="Y47" s="25" t="s">
        <v>247</v>
      </c>
      <c r="Z47" s="9">
        <f t="shared" si="42"/>
        <v>1648.535209231</v>
      </c>
      <c r="AA47" s="9">
        <f t="shared" si="43"/>
        <v>-480.06638853020195</v>
      </c>
      <c r="AB47" s="9">
        <f t="shared" si="44"/>
        <v>1453.6741322864</v>
      </c>
      <c r="AC47" s="9">
        <f t="shared" si="45"/>
        <v>-7496.3834453208983</v>
      </c>
      <c r="AD47" s="9">
        <f t="shared" si="46"/>
        <v>0</v>
      </c>
      <c r="AE47" s="9">
        <f t="shared" si="47"/>
        <v>-4874.2404923337162</v>
      </c>
      <c r="AF47" s="33"/>
      <c r="AG47"/>
    </row>
    <row r="48" spans="1:35" ht="13.5" thickBot="1" x14ac:dyDescent="0.25">
      <c r="A48" s="10" t="s">
        <v>221</v>
      </c>
      <c r="B48" s="60">
        <f t="shared" ref="B48:G48" si="50">SUM(B40:B47)</f>
        <v>172925.75789687209</v>
      </c>
      <c r="C48" s="60">
        <f t="shared" si="50"/>
        <v>1243944.8292626485</v>
      </c>
      <c r="D48" s="60">
        <f t="shared" si="50"/>
        <v>931036.76273812039</v>
      </c>
      <c r="E48" s="60">
        <f t="shared" si="50"/>
        <v>2622197.8442850825</v>
      </c>
      <c r="F48" s="60">
        <f t="shared" si="50"/>
        <v>0</v>
      </c>
      <c r="G48" s="60">
        <f t="shared" si="50"/>
        <v>4970105.1941827228</v>
      </c>
      <c r="H48" s="54"/>
      <c r="I48"/>
      <c r="K48"/>
      <c r="L48"/>
      <c r="M48" s="10" t="s">
        <v>221</v>
      </c>
      <c r="N48" s="60">
        <f>SUM(N40:N47)</f>
        <v>293460</v>
      </c>
      <c r="O48" s="60">
        <f>SUM(O40:O47)</f>
        <v>1106810</v>
      </c>
      <c r="P48" s="60">
        <f>SUM(P40:P47)</f>
        <v>827937</v>
      </c>
      <c r="Q48" s="60">
        <f>SUM(Q40:Q47)</f>
        <v>2255540</v>
      </c>
      <c r="R48" s="60"/>
      <c r="S48" s="60">
        <f>SUM(S40:S47)</f>
        <v>4483747</v>
      </c>
      <c r="T48" s="54"/>
      <c r="W48" s="57"/>
      <c r="Y48" s="10" t="s">
        <v>221</v>
      </c>
      <c r="Z48" s="22">
        <f t="shared" si="42"/>
        <v>120534.24210312791</v>
      </c>
      <c r="AA48" s="22">
        <f t="shared" si="43"/>
        <v>-137134.82926264848</v>
      </c>
      <c r="AB48" s="22">
        <f t="shared" si="44"/>
        <v>-103099.76273812039</v>
      </c>
      <c r="AC48" s="22">
        <f t="shared" si="45"/>
        <v>-366657.84428508254</v>
      </c>
      <c r="AD48" s="22">
        <f t="shared" si="46"/>
        <v>0</v>
      </c>
      <c r="AE48" s="22">
        <f t="shared" si="47"/>
        <v>-486358.19418272283</v>
      </c>
      <c r="AF48" s="33"/>
      <c r="AG48"/>
    </row>
    <row r="49" spans="1:35" x14ac:dyDescent="0.2">
      <c r="I49"/>
      <c r="K49"/>
      <c r="L49"/>
      <c r="W49" s="57"/>
      <c r="AG49"/>
    </row>
    <row r="50" spans="1:35" x14ac:dyDescent="0.2">
      <c r="A50" s="25" t="s">
        <v>88</v>
      </c>
      <c r="B50" s="7">
        <f>output_NHTS!B317</f>
        <v>109619.83719999999</v>
      </c>
      <c r="C50" s="7">
        <f>output_NHTS!B318</f>
        <v>777862.39379999996</v>
      </c>
      <c r="D50" s="7">
        <f>output_NHTS!B319</f>
        <v>552181.23010000004</v>
      </c>
      <c r="E50" s="7">
        <f>output_NHTS!B320</f>
        <v>1584664.6214999999</v>
      </c>
      <c r="F50" s="7"/>
      <c r="G50" s="54">
        <f>SUM(B50:E50)</f>
        <v>3024328.0825999998</v>
      </c>
      <c r="H50" s="54"/>
      <c r="I50"/>
      <c r="K50"/>
      <c r="L50"/>
      <c r="M50" s="25" t="s">
        <v>88</v>
      </c>
      <c r="N50" s="53">
        <f>output!B317</f>
        <v>186668</v>
      </c>
      <c r="O50" s="53">
        <f>output!B318</f>
        <v>693369</v>
      </c>
      <c r="P50" s="53">
        <f>output!B319</f>
        <v>514282</v>
      </c>
      <c r="Q50" s="53">
        <f>output!B320</f>
        <v>1376608</v>
      </c>
      <c r="R50" s="53"/>
      <c r="S50" s="54">
        <f t="shared" si="49"/>
        <v>2770927</v>
      </c>
      <c r="T50" s="54"/>
      <c r="W50" s="57"/>
      <c r="Y50" s="25" t="s">
        <v>88</v>
      </c>
      <c r="Z50" s="7">
        <f t="shared" ref="Z50:AE51" si="51">N50-B50</f>
        <v>77048.162800000006</v>
      </c>
      <c r="AA50" s="7">
        <f t="shared" si="51"/>
        <v>-84493.393799999962</v>
      </c>
      <c r="AB50" s="7">
        <f t="shared" si="51"/>
        <v>-37899.230100000044</v>
      </c>
      <c r="AC50" s="7">
        <f t="shared" si="51"/>
        <v>-208056.62149999989</v>
      </c>
      <c r="AD50" s="7">
        <f t="shared" si="51"/>
        <v>0</v>
      </c>
      <c r="AE50" s="7">
        <f t="shared" si="51"/>
        <v>-253401.08259999985</v>
      </c>
      <c r="AF50" s="7"/>
      <c r="AG50"/>
    </row>
    <row r="51" spans="1:35" x14ac:dyDescent="0.2">
      <c r="A51" s="25" t="s">
        <v>89</v>
      </c>
      <c r="B51" s="37">
        <f t="shared" ref="B51:G51" si="52">B48/B50</f>
        <v>1.5775042393227721</v>
      </c>
      <c r="C51" s="37">
        <f t="shared" si="52"/>
        <v>1.5991836591890638</v>
      </c>
      <c r="D51" s="37">
        <f t="shared" si="52"/>
        <v>1.6861072270955491</v>
      </c>
      <c r="E51" s="37">
        <f t="shared" si="52"/>
        <v>1.6547336317781753</v>
      </c>
      <c r="F51" s="37" t="e">
        <f t="shared" si="52"/>
        <v>#DIV/0!</v>
      </c>
      <c r="G51" s="37">
        <f t="shared" si="52"/>
        <v>1.6433750103956803</v>
      </c>
      <c r="H51" s="37"/>
      <c r="I51"/>
      <c r="K51"/>
      <c r="L51"/>
      <c r="M51" s="25" t="s">
        <v>89</v>
      </c>
      <c r="N51" s="37">
        <f t="shared" ref="N51:S51" si="53">N48/N50</f>
        <v>1.5720959136006172</v>
      </c>
      <c r="O51" s="37">
        <f t="shared" si="53"/>
        <v>1.5962784606753402</v>
      </c>
      <c r="P51" s="37">
        <f t="shared" si="53"/>
        <v>1.6098891269770281</v>
      </c>
      <c r="Q51" s="37">
        <f t="shared" si="53"/>
        <v>1.6384766033613054</v>
      </c>
      <c r="R51" s="37"/>
      <c r="S51" s="37">
        <f t="shared" si="53"/>
        <v>1.6181397055931102</v>
      </c>
      <c r="T51" s="37"/>
      <c r="W51" s="57"/>
      <c r="Y51" s="25" t="s">
        <v>89</v>
      </c>
      <c r="Z51" s="38">
        <f t="shared" si="51"/>
        <v>-5.4083257221548831E-3</v>
      </c>
      <c r="AA51" s="38">
        <f t="shared" si="51"/>
        <v>-2.9051985137236169E-3</v>
      </c>
      <c r="AB51" s="38">
        <f t="shared" si="51"/>
        <v>-7.6218100118520926E-2</v>
      </c>
      <c r="AC51" s="38">
        <f t="shared" si="51"/>
        <v>-1.6257028416869934E-2</v>
      </c>
      <c r="AD51" s="38" t="e">
        <f t="shared" si="51"/>
        <v>#DIV/0!</v>
      </c>
      <c r="AE51" s="38">
        <f t="shared" si="51"/>
        <v>-2.5235304802570191E-2</v>
      </c>
      <c r="AF51" s="38"/>
      <c r="AG51"/>
    </row>
    <row r="52" spans="1:35" x14ac:dyDescent="0.2">
      <c r="I52"/>
      <c r="K52"/>
      <c r="L52"/>
      <c r="W52" s="57"/>
      <c r="AG52"/>
      <c r="AI52"/>
    </row>
    <row r="53" spans="1:35" x14ac:dyDescent="0.2">
      <c r="A53" s="2" t="s">
        <v>175</v>
      </c>
      <c r="B53"/>
      <c r="C53"/>
      <c r="D53"/>
      <c r="E53"/>
      <c r="F53"/>
      <c r="G53"/>
      <c r="H53"/>
      <c r="I53"/>
      <c r="K53"/>
      <c r="L53"/>
      <c r="M53" s="2" t="s">
        <v>175</v>
      </c>
      <c r="N53" s="57"/>
      <c r="O53" s="57"/>
      <c r="P53" s="57"/>
      <c r="Q53" s="57"/>
      <c r="R53" s="57"/>
      <c r="S53" s="57"/>
      <c r="T53" s="57"/>
      <c r="W53" s="57"/>
      <c r="Y53" s="2" t="s">
        <v>175</v>
      </c>
      <c r="Z53"/>
      <c r="AA53"/>
      <c r="AB53"/>
      <c r="AC53"/>
      <c r="AD53"/>
      <c r="AE53"/>
      <c r="AF53"/>
      <c r="AG53"/>
      <c r="AI53"/>
    </row>
    <row r="54" spans="1:35" x14ac:dyDescent="0.2">
      <c r="A54" s="2" t="s">
        <v>278</v>
      </c>
      <c r="B54"/>
      <c r="C54"/>
      <c r="D54"/>
      <c r="E54"/>
      <c r="F54"/>
      <c r="G54"/>
      <c r="H54"/>
      <c r="I54"/>
      <c r="K54"/>
      <c r="L54"/>
      <c r="M54" s="2" t="s">
        <v>269</v>
      </c>
      <c r="N54" s="57"/>
      <c r="O54" s="57"/>
      <c r="P54" s="57"/>
      <c r="Q54" s="57"/>
      <c r="R54" s="57"/>
      <c r="S54" s="57"/>
      <c r="T54" s="57"/>
      <c r="W54" s="57"/>
      <c r="Y54" s="2" t="s">
        <v>239</v>
      </c>
      <c r="Z54"/>
      <c r="AA54"/>
      <c r="AB54"/>
      <c r="AC54"/>
      <c r="AD54"/>
      <c r="AE54"/>
      <c r="AF54"/>
      <c r="AG54"/>
      <c r="AI54"/>
    </row>
    <row r="55" spans="1:35" ht="13.5" thickBot="1" x14ac:dyDescent="0.25">
      <c r="B55" s="1"/>
      <c r="C55" s="1"/>
      <c r="D55" s="1"/>
      <c r="E55" s="1"/>
      <c r="F55" s="1"/>
      <c r="G55" s="1"/>
      <c r="H55" s="99"/>
      <c r="I55"/>
      <c r="L55"/>
      <c r="N55" s="58"/>
      <c r="O55" s="58"/>
      <c r="P55" s="58"/>
      <c r="Q55" s="58"/>
      <c r="R55" s="58"/>
      <c r="S55" s="58"/>
      <c r="T55" s="100"/>
      <c r="Z55" s="1"/>
      <c r="AA55" s="1"/>
      <c r="AB55" s="1"/>
      <c r="AC55" s="1"/>
      <c r="AD55" s="1"/>
      <c r="AE55" s="1"/>
      <c r="AF55" s="99"/>
      <c r="AG55"/>
    </row>
    <row r="56" spans="1:35" x14ac:dyDescent="0.2">
      <c r="A56" s="5" t="s">
        <v>159</v>
      </c>
      <c r="B56" s="6" t="s">
        <v>296</v>
      </c>
      <c r="C56" s="6" t="s">
        <v>297</v>
      </c>
      <c r="D56" s="6" t="s">
        <v>298</v>
      </c>
      <c r="E56" s="6" t="s">
        <v>301</v>
      </c>
      <c r="F56" s="6" t="s">
        <v>172</v>
      </c>
      <c r="G56" s="6" t="s">
        <v>221</v>
      </c>
      <c r="H56" s="89"/>
      <c r="I56"/>
      <c r="L56"/>
      <c r="M56" s="5" t="s">
        <v>159</v>
      </c>
      <c r="N56" s="6" t="s">
        <v>296</v>
      </c>
      <c r="O56" s="6" t="s">
        <v>297</v>
      </c>
      <c r="P56" s="6" t="s">
        <v>298</v>
      </c>
      <c r="Q56" s="6" t="s">
        <v>301</v>
      </c>
      <c r="R56" s="41" t="s">
        <v>172</v>
      </c>
      <c r="S56" s="41" t="s">
        <v>221</v>
      </c>
      <c r="T56" s="101"/>
      <c r="Y56" s="5" t="s">
        <v>159</v>
      </c>
      <c r="Z56" s="6" t="s">
        <v>296</v>
      </c>
      <c r="AA56" s="6" t="s">
        <v>297</v>
      </c>
      <c r="AB56" s="6" t="s">
        <v>298</v>
      </c>
      <c r="AC56" s="6" t="s">
        <v>301</v>
      </c>
      <c r="AD56" s="41" t="s">
        <v>172</v>
      </c>
      <c r="AE56" s="41" t="s">
        <v>221</v>
      </c>
      <c r="AF56" s="101"/>
      <c r="AG56"/>
    </row>
    <row r="57" spans="1:35" x14ac:dyDescent="0.2">
      <c r="A57" s="3" t="s">
        <v>210</v>
      </c>
      <c r="B57" s="42">
        <f t="shared" ref="B57:F64" si="54">B40/B$48</f>
        <v>0.11656501959266129</v>
      </c>
      <c r="C57" s="42">
        <f t="shared" si="54"/>
        <v>0.26872260876638793</v>
      </c>
      <c r="D57" s="42">
        <f t="shared" si="54"/>
        <v>0.28445727117302033</v>
      </c>
      <c r="E57" s="42">
        <f t="shared" si="54"/>
        <v>0.30679684567948695</v>
      </c>
      <c r="F57" s="42" t="e">
        <f t="shared" si="54"/>
        <v>#DIV/0!</v>
      </c>
      <c r="G57" s="12">
        <v>0.30952398691869515</v>
      </c>
      <c r="H57" s="12"/>
      <c r="I57"/>
      <c r="L57"/>
      <c r="M57" s="3" t="s">
        <v>210</v>
      </c>
      <c r="N57" s="42">
        <f t="shared" ref="N57:R65" si="55">N40/N$48</f>
        <v>0.11130307367273223</v>
      </c>
      <c r="O57" s="42">
        <f t="shared" si="55"/>
        <v>0.25026065901103173</v>
      </c>
      <c r="P57" s="42">
        <f t="shared" si="55"/>
        <v>0.30963346244943757</v>
      </c>
      <c r="Q57" s="42">
        <f t="shared" si="55"/>
        <v>0.3625624019081905</v>
      </c>
      <c r="R57" s="42" t="e">
        <f t="shared" si="55"/>
        <v>#DIV/0!</v>
      </c>
      <c r="S57" s="42">
        <f t="shared" ref="S57:S65" si="56">S40/S$48</f>
        <v>0.30862245349704165</v>
      </c>
      <c r="T57" s="42"/>
      <c r="Y57" s="3" t="s">
        <v>210</v>
      </c>
      <c r="Z57" s="12">
        <f t="shared" ref="Z57:Z65" si="57">N57-B57</f>
        <v>-5.2619459199290536E-3</v>
      </c>
      <c r="AA57" s="12">
        <f t="shared" ref="AA57:AA65" si="58">O57-C57</f>
        <v>-1.84619497553562E-2</v>
      </c>
      <c r="AB57" s="12">
        <f t="shared" ref="AB57:AB65" si="59">P57-D57</f>
        <v>2.5176191276417237E-2</v>
      </c>
      <c r="AC57" s="12">
        <f t="shared" ref="AC57:AC65" si="60">Q57-E57</f>
        <v>5.576555622870355E-2</v>
      </c>
      <c r="AD57" s="12" t="e">
        <f t="shared" ref="AD57:AD65" si="61">R57-F57</f>
        <v>#DIV/0!</v>
      </c>
      <c r="AE57" s="12">
        <f t="shared" ref="AE57:AE65" si="62">S57-G57</f>
        <v>-9.0153342165349981E-4</v>
      </c>
      <c r="AF57" s="12"/>
      <c r="AG57"/>
    </row>
    <row r="58" spans="1:35" x14ac:dyDescent="0.2">
      <c r="A58" s="3" t="s">
        <v>211</v>
      </c>
      <c r="B58" s="42">
        <f t="shared" si="54"/>
        <v>0.18175622249355786</v>
      </c>
      <c r="C58" s="42">
        <f t="shared" si="54"/>
        <v>9.5401032298258123E-2</v>
      </c>
      <c r="D58" s="42">
        <f t="shared" si="54"/>
        <v>0.10819838844204957</v>
      </c>
      <c r="E58" s="42">
        <f t="shared" si="54"/>
        <v>0.14973497530444979</v>
      </c>
      <c r="F58" s="42" t="e">
        <f t="shared" si="54"/>
        <v>#DIV/0!</v>
      </c>
      <c r="G58" s="12">
        <v>0.15602078184518309</v>
      </c>
      <c r="H58" s="12"/>
      <c r="I58"/>
      <c r="L58"/>
      <c r="M58" s="3" t="s">
        <v>211</v>
      </c>
      <c r="N58" s="42">
        <f t="shared" si="55"/>
        <v>0.12656920875076672</v>
      </c>
      <c r="O58" s="42">
        <f t="shared" si="55"/>
        <v>0.10281258752631436</v>
      </c>
      <c r="P58" s="42">
        <f t="shared" si="55"/>
        <v>0.10021293890718738</v>
      </c>
      <c r="Q58" s="42">
        <f t="shared" si="55"/>
        <v>0.10066502921695027</v>
      </c>
      <c r="R58" s="42" t="e">
        <f t="shared" si="55"/>
        <v>#DIV/0!</v>
      </c>
      <c r="S58" s="42">
        <f t="shared" si="56"/>
        <v>0.10280709415584778</v>
      </c>
      <c r="T58" s="42"/>
      <c r="Y58" s="3" t="s">
        <v>211</v>
      </c>
      <c r="Z58" s="12">
        <f t="shared" si="57"/>
        <v>-5.5187013742791141E-2</v>
      </c>
      <c r="AA58" s="12">
        <f t="shared" si="58"/>
        <v>7.4115552280562408E-3</v>
      </c>
      <c r="AB58" s="12">
        <f t="shared" si="59"/>
        <v>-7.9854495348621879E-3</v>
      </c>
      <c r="AC58" s="12">
        <f t="shared" si="60"/>
        <v>-4.9069946087499525E-2</v>
      </c>
      <c r="AD58" s="12" t="e">
        <f t="shared" si="61"/>
        <v>#DIV/0!</v>
      </c>
      <c r="AE58" s="12">
        <f t="shared" si="62"/>
        <v>-5.3213687689335307E-2</v>
      </c>
      <c r="AF58" s="12"/>
      <c r="AG58"/>
    </row>
    <row r="59" spans="1:35" x14ac:dyDescent="0.2">
      <c r="A59" s="3" t="s">
        <v>212</v>
      </c>
      <c r="B59" s="42">
        <f t="shared" si="54"/>
        <v>6.5104329045462803E-2</v>
      </c>
      <c r="C59" s="42">
        <f t="shared" si="54"/>
        <v>8.5183125997671305E-2</v>
      </c>
      <c r="D59" s="42">
        <f t="shared" si="54"/>
        <v>9.5497140205039521E-2</v>
      </c>
      <c r="E59" s="42">
        <f t="shared" si="54"/>
        <v>0.11744234774602047</v>
      </c>
      <c r="F59" s="42" t="e">
        <f t="shared" si="54"/>
        <v>#DIV/0!</v>
      </c>
      <c r="G59" s="12">
        <v>0.17417353182012749</v>
      </c>
      <c r="H59" s="12"/>
      <c r="I59"/>
      <c r="L59"/>
      <c r="M59" s="3" t="s">
        <v>212</v>
      </c>
      <c r="N59" s="42">
        <f t="shared" si="55"/>
        <v>0.10813739521570231</v>
      </c>
      <c r="O59" s="42">
        <f t="shared" si="55"/>
        <v>0.10019786593905006</v>
      </c>
      <c r="P59" s="42">
        <f t="shared" si="55"/>
        <v>0.11080794794773033</v>
      </c>
      <c r="Q59" s="42">
        <f t="shared" si="55"/>
        <v>0.10499303936086259</v>
      </c>
      <c r="R59" s="42" t="e">
        <f t="shared" si="55"/>
        <v>#DIV/0!</v>
      </c>
      <c r="S59" s="42">
        <f t="shared" si="56"/>
        <v>0.10508889105473614</v>
      </c>
      <c r="T59" s="42"/>
      <c r="Y59" s="3" t="s">
        <v>212</v>
      </c>
      <c r="Z59" s="12">
        <f t="shared" si="57"/>
        <v>4.3033066170239512E-2</v>
      </c>
      <c r="AA59" s="12">
        <f t="shared" si="58"/>
        <v>1.5014739941378752E-2</v>
      </c>
      <c r="AB59" s="12">
        <f t="shared" si="59"/>
        <v>1.5310807742690807E-2</v>
      </c>
      <c r="AC59" s="12">
        <f t="shared" si="60"/>
        <v>-1.2449308385157884E-2</v>
      </c>
      <c r="AD59" s="12" t="e">
        <f t="shared" si="61"/>
        <v>#DIV/0!</v>
      </c>
      <c r="AE59" s="12">
        <f t="shared" si="62"/>
        <v>-6.908464076539135E-2</v>
      </c>
      <c r="AF59" s="12"/>
      <c r="AG59"/>
    </row>
    <row r="60" spans="1:35" x14ac:dyDescent="0.2">
      <c r="A60" s="3" t="s">
        <v>213</v>
      </c>
      <c r="B60" s="42">
        <f t="shared" si="54"/>
        <v>0.13216749111877743</v>
      </c>
      <c r="C60" s="42">
        <f t="shared" si="54"/>
        <v>0.16591114711728577</v>
      </c>
      <c r="D60" s="42">
        <f t="shared" si="54"/>
        <v>0.11217632162395814</v>
      </c>
      <c r="E60" s="42">
        <f t="shared" si="54"/>
        <v>9.0700136959125613E-2</v>
      </c>
      <c r="F60" s="42" t="e">
        <f t="shared" si="54"/>
        <v>#DIV/0!</v>
      </c>
      <c r="G60" s="12">
        <v>0.10623428917932284</v>
      </c>
      <c r="H60" s="12"/>
      <c r="I60"/>
      <c r="L60"/>
      <c r="M60" s="3" t="s">
        <v>213</v>
      </c>
      <c r="N60" s="42">
        <f t="shared" si="55"/>
        <v>0.20523069583588904</v>
      </c>
      <c r="O60" s="42">
        <f t="shared" si="55"/>
        <v>0.15149031902494556</v>
      </c>
      <c r="P60" s="42">
        <f t="shared" si="55"/>
        <v>0.11266557721179268</v>
      </c>
      <c r="Q60" s="42">
        <f t="shared" si="55"/>
        <v>8.9672982966384984E-2</v>
      </c>
      <c r="R60" s="42" t="e">
        <f t="shared" si="55"/>
        <v>#DIV/0!</v>
      </c>
      <c r="S60" s="42">
        <f t="shared" si="56"/>
        <v>0.11674142185096527</v>
      </c>
      <c r="T60" s="42"/>
      <c r="Y60" s="3" t="s">
        <v>213</v>
      </c>
      <c r="Z60" s="12">
        <f t="shared" si="57"/>
        <v>7.3063204717111613E-2</v>
      </c>
      <c r="AA60" s="12">
        <f t="shared" si="58"/>
        <v>-1.4420828092340215E-2</v>
      </c>
      <c r="AB60" s="12">
        <f t="shared" si="59"/>
        <v>4.8925558783453893E-4</v>
      </c>
      <c r="AC60" s="12">
        <f t="shared" si="60"/>
        <v>-1.0271539927406287E-3</v>
      </c>
      <c r="AD60" s="12" t="e">
        <f t="shared" si="61"/>
        <v>#DIV/0!</v>
      </c>
      <c r="AE60" s="12">
        <f t="shared" si="62"/>
        <v>1.0507132671642425E-2</v>
      </c>
      <c r="AF60" s="12"/>
      <c r="AG60"/>
    </row>
    <row r="61" spans="1:35" x14ac:dyDescent="0.2">
      <c r="A61" s="3" t="s">
        <v>214</v>
      </c>
      <c r="B61" s="42">
        <f t="shared" si="54"/>
        <v>0.2567943656384104</v>
      </c>
      <c r="C61" s="42">
        <f t="shared" si="54"/>
        <v>0.16646880274842449</v>
      </c>
      <c r="D61" s="42">
        <f t="shared" si="54"/>
        <v>0.11427066343821297</v>
      </c>
      <c r="E61" s="42">
        <f t="shared" si="54"/>
        <v>8.3989053093592198E-2</v>
      </c>
      <c r="F61" s="42" t="e">
        <f t="shared" si="54"/>
        <v>#DIV/0!</v>
      </c>
      <c r="G61" s="12">
        <v>7.6967909848880495E-2</v>
      </c>
      <c r="H61" s="12"/>
      <c r="I61"/>
      <c r="L61"/>
      <c r="M61" s="3" t="s">
        <v>214</v>
      </c>
      <c r="N61" s="42">
        <f t="shared" si="55"/>
        <v>0.21783888775301574</v>
      </c>
      <c r="O61" s="42">
        <f t="shared" si="55"/>
        <v>0.14943395885472666</v>
      </c>
      <c r="P61" s="42">
        <f t="shared" si="55"/>
        <v>0.12290307112739254</v>
      </c>
      <c r="Q61" s="42">
        <f t="shared" si="55"/>
        <v>0.10123340752103709</v>
      </c>
      <c r="R61" s="42" t="e">
        <f t="shared" si="55"/>
        <v>#DIV/0!</v>
      </c>
      <c r="S61" s="42">
        <f t="shared" si="56"/>
        <v>0.12476484511726464</v>
      </c>
      <c r="T61" s="42"/>
      <c r="Y61" s="3" t="s">
        <v>214</v>
      </c>
      <c r="Z61" s="12">
        <f t="shared" si="57"/>
        <v>-3.8955477885394663E-2</v>
      </c>
      <c r="AA61" s="12">
        <f t="shared" si="58"/>
        <v>-1.7034843893697832E-2</v>
      </c>
      <c r="AB61" s="12">
        <f t="shared" si="59"/>
        <v>8.6324076891795692E-3</v>
      </c>
      <c r="AC61" s="12">
        <f t="shared" si="60"/>
        <v>1.7244354427444888E-2</v>
      </c>
      <c r="AD61" s="12" t="e">
        <f t="shared" si="61"/>
        <v>#DIV/0!</v>
      </c>
      <c r="AE61" s="12">
        <f t="shared" si="62"/>
        <v>4.7796935268384147E-2</v>
      </c>
      <c r="AF61" s="12"/>
      <c r="AG61"/>
    </row>
    <row r="62" spans="1:35" x14ac:dyDescent="0.2">
      <c r="A62" s="3" t="s">
        <v>129</v>
      </c>
      <c r="B62" s="42">
        <f t="shared" si="54"/>
        <v>7.6007959363680461E-2</v>
      </c>
      <c r="C62" s="42">
        <f t="shared" si="54"/>
        <v>3.7093565574189649E-2</v>
      </c>
      <c r="D62" s="42">
        <f t="shared" si="54"/>
        <v>4.1245006779478295E-2</v>
      </c>
      <c r="E62" s="42">
        <f t="shared" si="54"/>
        <v>3.2712880898028318E-2</v>
      </c>
      <c r="F62" s="42" t="e">
        <f t="shared" si="54"/>
        <v>#DIV/0!</v>
      </c>
      <c r="G62" s="12">
        <v>3.6801564719027617E-2</v>
      </c>
      <c r="H62" s="12"/>
      <c r="I62"/>
      <c r="L62"/>
      <c r="M62" s="3" t="s">
        <v>129</v>
      </c>
      <c r="N62" s="42">
        <f t="shared" si="55"/>
        <v>4.2550943910584067E-2</v>
      </c>
      <c r="O62" s="42">
        <f t="shared" si="55"/>
        <v>3.9983375647130039E-2</v>
      </c>
      <c r="P62" s="42">
        <f t="shared" si="55"/>
        <v>3.682526569050544E-2</v>
      </c>
      <c r="Q62" s="42">
        <f t="shared" si="55"/>
        <v>3.2406430389175095E-2</v>
      </c>
      <c r="R62" s="42" t="e">
        <f t="shared" si="55"/>
        <v>#DIV/0!</v>
      </c>
      <c r="S62" s="42">
        <f t="shared" si="56"/>
        <v>3.5756700812958446E-2</v>
      </c>
      <c r="T62" s="42"/>
      <c r="Y62" s="3" t="s">
        <v>129</v>
      </c>
      <c r="Z62" s="12">
        <f t="shared" si="57"/>
        <v>-3.3457015453096393E-2</v>
      </c>
      <c r="AA62" s="12">
        <f t="shared" si="58"/>
        <v>2.8898100729403894E-3</v>
      </c>
      <c r="AB62" s="12">
        <f t="shared" si="59"/>
        <v>-4.4197410889728547E-3</v>
      </c>
      <c r="AC62" s="12">
        <f t="shared" si="60"/>
        <v>-3.0645050885322322E-4</v>
      </c>
      <c r="AD62" s="12" t="e">
        <f t="shared" si="61"/>
        <v>#DIV/0!</v>
      </c>
      <c r="AE62" s="12">
        <f t="shared" si="62"/>
        <v>-1.0448639060691711E-3</v>
      </c>
      <c r="AF62" s="12"/>
      <c r="AG62"/>
    </row>
    <row r="63" spans="1:35" x14ac:dyDescent="0.2">
      <c r="A63" s="25" t="s">
        <v>130</v>
      </c>
      <c r="B63" s="42">
        <f t="shared" si="54"/>
        <v>0.16595210150414544</v>
      </c>
      <c r="C63" s="42">
        <f t="shared" si="54"/>
        <v>0.15878940890839846</v>
      </c>
      <c r="D63" s="42">
        <f t="shared" si="54"/>
        <v>0.21793784846092848</v>
      </c>
      <c r="E63" s="42">
        <f t="shared" si="54"/>
        <v>0.18150894701204401</v>
      </c>
      <c r="F63" s="42" t="e">
        <f t="shared" si="54"/>
        <v>#DIV/0!</v>
      </c>
      <c r="G63" s="34">
        <v>0.11596090798118704</v>
      </c>
      <c r="H63" s="34"/>
      <c r="I63"/>
      <c r="L63"/>
      <c r="M63" s="25" t="s">
        <v>130</v>
      </c>
      <c r="N63" s="56">
        <f t="shared" si="55"/>
        <v>0.179421386219587</v>
      </c>
      <c r="O63" s="56">
        <f t="shared" si="55"/>
        <v>0.18104552723593029</v>
      </c>
      <c r="P63" s="56">
        <f t="shared" si="55"/>
        <v>0.17571385262405231</v>
      </c>
      <c r="Q63" s="56">
        <f t="shared" si="55"/>
        <v>0.16864209900954982</v>
      </c>
      <c r="R63" s="56" t="e">
        <f t="shared" si="55"/>
        <v>#DIV/0!</v>
      </c>
      <c r="S63" s="56">
        <f t="shared" si="56"/>
        <v>0.17371519847127859</v>
      </c>
      <c r="T63" s="56"/>
      <c r="Y63" s="25" t="s">
        <v>130</v>
      </c>
      <c r="Z63" s="12">
        <f t="shared" si="57"/>
        <v>1.3469284715441565E-2</v>
      </c>
      <c r="AA63" s="12">
        <f t="shared" si="58"/>
        <v>2.2256118327531826E-2</v>
      </c>
      <c r="AB63" s="12">
        <f t="shared" si="59"/>
        <v>-4.2223995836876166E-2</v>
      </c>
      <c r="AC63" s="12">
        <f t="shared" si="60"/>
        <v>-1.2866848002494186E-2</v>
      </c>
      <c r="AD63" s="12" t="e">
        <f t="shared" si="61"/>
        <v>#DIV/0!</v>
      </c>
      <c r="AE63" s="12">
        <f t="shared" si="62"/>
        <v>5.775429049009155E-2</v>
      </c>
      <c r="AF63" s="12"/>
      <c r="AG63"/>
    </row>
    <row r="64" spans="1:35" x14ac:dyDescent="0.2">
      <c r="A64" s="25" t="s">
        <v>247</v>
      </c>
      <c r="B64" s="42">
        <f t="shared" si="54"/>
        <v>5.6525112433043756E-3</v>
      </c>
      <c r="C64" s="42">
        <f t="shared" si="54"/>
        <v>2.2430308589384326E-2</v>
      </c>
      <c r="D64" s="42">
        <f t="shared" si="54"/>
        <v>2.6217359877312805E-2</v>
      </c>
      <c r="E64" s="42">
        <f t="shared" si="54"/>
        <v>3.7114813307252539E-2</v>
      </c>
      <c r="F64" s="42" t="e">
        <f t="shared" si="54"/>
        <v>#DIV/0!</v>
      </c>
      <c r="G64" s="34">
        <v>2.4317027687576293E-2</v>
      </c>
      <c r="H64" s="34"/>
      <c r="I64"/>
      <c r="L64"/>
      <c r="M64" s="25" t="s">
        <v>247</v>
      </c>
      <c r="N64" s="56">
        <f t="shared" si="55"/>
        <v>8.9484086417228915E-3</v>
      </c>
      <c r="O64" s="56">
        <f t="shared" si="55"/>
        <v>2.4775706760871333E-2</v>
      </c>
      <c r="P64" s="56">
        <f t="shared" si="55"/>
        <v>3.123788404190174E-2</v>
      </c>
      <c r="Q64" s="56">
        <f t="shared" si="55"/>
        <v>3.9824609627849651E-2</v>
      </c>
      <c r="R64" s="56" t="e">
        <f t="shared" si="55"/>
        <v>#DIV/0!</v>
      </c>
      <c r="S64" s="56">
        <f t="shared" si="56"/>
        <v>3.2503395039907471E-2</v>
      </c>
      <c r="T64" s="56"/>
      <c r="Y64" s="25" t="s">
        <v>247</v>
      </c>
      <c r="Z64" s="12">
        <f t="shared" si="57"/>
        <v>3.295897398418516E-3</v>
      </c>
      <c r="AA64" s="12">
        <f t="shared" si="58"/>
        <v>2.3453981714870072E-3</v>
      </c>
      <c r="AB64" s="12">
        <f t="shared" si="59"/>
        <v>5.0205241645889347E-3</v>
      </c>
      <c r="AC64" s="12">
        <f t="shared" si="60"/>
        <v>2.7097963205971118E-3</v>
      </c>
      <c r="AD64" s="12" t="e">
        <f t="shared" si="61"/>
        <v>#DIV/0!</v>
      </c>
      <c r="AE64" s="12">
        <f t="shared" si="62"/>
        <v>8.1863673523311781E-3</v>
      </c>
      <c r="AF64" s="12"/>
      <c r="AG64"/>
    </row>
    <row r="65" spans="1:41" ht="13.5" thickBot="1" x14ac:dyDescent="0.25">
      <c r="A65" s="10" t="s">
        <v>221</v>
      </c>
      <c r="B65" s="14">
        <v>1</v>
      </c>
      <c r="C65" s="14">
        <v>1</v>
      </c>
      <c r="D65" s="14">
        <v>1</v>
      </c>
      <c r="E65" s="14">
        <v>1</v>
      </c>
      <c r="F65" s="14">
        <v>1</v>
      </c>
      <c r="G65" s="14">
        <v>1</v>
      </c>
      <c r="H65" s="34"/>
      <c r="I65"/>
      <c r="L65"/>
      <c r="M65" s="10" t="s">
        <v>221</v>
      </c>
      <c r="N65" s="51">
        <f t="shared" si="55"/>
        <v>1</v>
      </c>
      <c r="O65" s="51">
        <f t="shared" si="55"/>
        <v>1</v>
      </c>
      <c r="P65" s="51">
        <f t="shared" si="55"/>
        <v>1</v>
      </c>
      <c r="Q65" s="51">
        <f t="shared" si="55"/>
        <v>1</v>
      </c>
      <c r="R65" s="51" t="e">
        <f t="shared" si="55"/>
        <v>#DIV/0!</v>
      </c>
      <c r="S65" s="51">
        <f t="shared" si="56"/>
        <v>1</v>
      </c>
      <c r="T65" s="56"/>
      <c r="Y65" s="10" t="s">
        <v>221</v>
      </c>
      <c r="Z65" s="14">
        <f t="shared" si="57"/>
        <v>0</v>
      </c>
      <c r="AA65" s="14">
        <f t="shared" si="58"/>
        <v>0</v>
      </c>
      <c r="AB65" s="14">
        <f t="shared" si="59"/>
        <v>0</v>
      </c>
      <c r="AC65" s="14">
        <f t="shared" si="60"/>
        <v>0</v>
      </c>
      <c r="AD65" s="14" t="e">
        <f t="shared" si="61"/>
        <v>#DIV/0!</v>
      </c>
      <c r="AE65" s="14">
        <f t="shared" si="62"/>
        <v>0</v>
      </c>
      <c r="AF65" s="34"/>
      <c r="AG65"/>
    </row>
    <row r="66" spans="1:41" x14ac:dyDescent="0.2">
      <c r="I66"/>
      <c r="L66"/>
      <c r="AG66"/>
      <c r="AH66"/>
      <c r="AI66"/>
      <c r="AJ66"/>
      <c r="AK66"/>
      <c r="AL66"/>
      <c r="AM66"/>
      <c r="AN66"/>
      <c r="AO66"/>
    </row>
    <row r="67" spans="1:41" x14ac:dyDescent="0.2">
      <c r="I67"/>
      <c r="L67"/>
      <c r="AG67"/>
      <c r="AH67"/>
      <c r="AI67"/>
      <c r="AJ67"/>
      <c r="AK67"/>
      <c r="AL67"/>
      <c r="AM67"/>
      <c r="AN67"/>
      <c r="AO67"/>
    </row>
    <row r="68" spans="1:41" x14ac:dyDescent="0.2">
      <c r="L68"/>
      <c r="AH68"/>
      <c r="AI68"/>
      <c r="AJ68"/>
      <c r="AK68"/>
      <c r="AL68"/>
      <c r="AM68"/>
      <c r="AN68"/>
      <c r="AO68"/>
    </row>
    <row r="69" spans="1:41" x14ac:dyDescent="0.2">
      <c r="L69"/>
      <c r="AH69"/>
      <c r="AI69"/>
      <c r="AJ69"/>
      <c r="AK69"/>
      <c r="AL69"/>
      <c r="AM69"/>
      <c r="AN69"/>
      <c r="AO69"/>
    </row>
    <row r="70" spans="1:41" x14ac:dyDescent="0.2">
      <c r="A70" s="2" t="s">
        <v>175</v>
      </c>
      <c r="L70"/>
      <c r="M70" s="2" t="s">
        <v>175</v>
      </c>
      <c r="Y70" s="2" t="s">
        <v>175</v>
      </c>
      <c r="AH70"/>
      <c r="AI70"/>
      <c r="AJ70"/>
      <c r="AK70"/>
      <c r="AL70"/>
      <c r="AM70"/>
      <c r="AN70"/>
      <c r="AO70"/>
    </row>
    <row r="71" spans="1:41" x14ac:dyDescent="0.2">
      <c r="A71" s="2" t="s">
        <v>218</v>
      </c>
      <c r="L71"/>
      <c r="M71" s="2" t="s">
        <v>166</v>
      </c>
      <c r="Y71" s="2" t="s">
        <v>240</v>
      </c>
      <c r="AH71"/>
      <c r="AI71"/>
      <c r="AJ71"/>
      <c r="AK71"/>
      <c r="AL71"/>
      <c r="AM71"/>
      <c r="AN71"/>
      <c r="AO71"/>
    </row>
    <row r="72" spans="1:41" ht="13.5" thickBot="1" x14ac:dyDescent="0.25">
      <c r="B72" s="15"/>
      <c r="C72" s="15"/>
      <c r="D72" s="15"/>
      <c r="E72" s="15"/>
      <c r="F72" s="15"/>
      <c r="L72"/>
      <c r="N72" s="61"/>
      <c r="O72" s="61"/>
      <c r="P72" s="61"/>
      <c r="Q72" s="61"/>
      <c r="R72" s="61"/>
      <c r="Z72" s="15"/>
      <c r="AA72" s="15"/>
      <c r="AB72" s="15"/>
      <c r="AC72" s="15"/>
      <c r="AD72" s="15"/>
      <c r="AH72"/>
      <c r="AI72"/>
      <c r="AJ72"/>
      <c r="AK72"/>
      <c r="AL72"/>
      <c r="AM72"/>
      <c r="AN72"/>
      <c r="AO72"/>
    </row>
    <row r="73" spans="1:41" x14ac:dyDescent="0.2">
      <c r="A73" s="5" t="s">
        <v>159</v>
      </c>
      <c r="B73" s="6" t="s">
        <v>98</v>
      </c>
      <c r="C73" s="6" t="s">
        <v>99</v>
      </c>
      <c r="D73" s="6" t="s">
        <v>100</v>
      </c>
      <c r="E73" s="6" t="s">
        <v>101</v>
      </c>
      <c r="F73" s="6" t="s">
        <v>221</v>
      </c>
      <c r="L73"/>
      <c r="M73" s="5" t="s">
        <v>159</v>
      </c>
      <c r="N73" s="41" t="s">
        <v>98</v>
      </c>
      <c r="O73" s="41" t="s">
        <v>99</v>
      </c>
      <c r="P73" s="41" t="s">
        <v>100</v>
      </c>
      <c r="Q73" s="41" t="s">
        <v>101</v>
      </c>
      <c r="R73" s="41" t="s">
        <v>221</v>
      </c>
      <c r="Y73" s="5" t="s">
        <v>159</v>
      </c>
      <c r="Z73" s="6" t="s">
        <v>98</v>
      </c>
      <c r="AA73" s="6" t="s">
        <v>99</v>
      </c>
      <c r="AB73" s="6" t="s">
        <v>100</v>
      </c>
      <c r="AC73" s="6" t="s">
        <v>101</v>
      </c>
      <c r="AD73" s="6" t="s">
        <v>221</v>
      </c>
      <c r="AH73"/>
      <c r="AI73"/>
      <c r="AJ73"/>
      <c r="AK73"/>
      <c r="AL73"/>
      <c r="AM73"/>
      <c r="AN73"/>
      <c r="AO73"/>
    </row>
    <row r="74" spans="1:41" x14ac:dyDescent="0.2">
      <c r="A74" s="3" t="s">
        <v>210</v>
      </c>
      <c r="B74" s="7">
        <f>output_NHTS!B200</f>
        <v>52058.958199188397</v>
      </c>
      <c r="C74" s="7">
        <f>output_NHTS!C200</f>
        <v>354792.67096745881</v>
      </c>
      <c r="D74" s="7">
        <f>output_NHTS!D200</f>
        <v>809414.59136691561</v>
      </c>
      <c r="E74" s="7">
        <f>output_NHTS!E200</f>
        <v>304955.26459508442</v>
      </c>
      <c r="F74" s="7">
        <f>output_NHTS!F200</f>
        <v>1521221.4851286472</v>
      </c>
      <c r="L74"/>
      <c r="M74" s="3" t="s">
        <v>210</v>
      </c>
      <c r="N74" s="53">
        <f>output!B200</f>
        <v>45826</v>
      </c>
      <c r="O74" s="53">
        <f>output!C200</f>
        <v>320038</v>
      </c>
      <c r="P74" s="53">
        <f>output!D200</f>
        <v>779301</v>
      </c>
      <c r="Q74" s="53">
        <f>output!E200</f>
        <v>238898</v>
      </c>
      <c r="R74" s="53">
        <f>output!F200</f>
        <v>1384063</v>
      </c>
      <c r="Y74" s="3" t="s">
        <v>210</v>
      </c>
      <c r="Z74" s="7">
        <f t="shared" ref="Z74:Z82" si="63">N74-B74</f>
        <v>-6232.958199188397</v>
      </c>
      <c r="AA74" s="7">
        <f t="shared" ref="AA74:AA82" si="64">O74-C74</f>
        <v>-34754.670967458806</v>
      </c>
      <c r="AB74" s="7">
        <f t="shared" ref="AB74:AB82" si="65">P74-D74</f>
        <v>-30113.591366915614</v>
      </c>
      <c r="AC74" s="7">
        <f t="shared" ref="AC74:AC82" si="66">Q74-E74</f>
        <v>-66057.264595084416</v>
      </c>
      <c r="AD74" s="7">
        <f t="shared" ref="AD74:AD82" si="67">R74-F74</f>
        <v>-137158.48512864718</v>
      </c>
      <c r="AH74"/>
      <c r="AI74"/>
      <c r="AJ74"/>
      <c r="AK74"/>
      <c r="AL74"/>
      <c r="AM74"/>
      <c r="AN74"/>
      <c r="AO74"/>
    </row>
    <row r="75" spans="1:41" x14ac:dyDescent="0.2">
      <c r="A75" s="3" t="s">
        <v>211</v>
      </c>
      <c r="B75" s="7">
        <f>output_NHTS!B201</f>
        <v>28989.2251051817</v>
      </c>
      <c r="C75" s="7">
        <f>output_NHTS!C201</f>
        <v>181565.0900066304</v>
      </c>
      <c r="D75" s="7">
        <f>output_NHTS!D201</f>
        <v>357831.15066027502</v>
      </c>
      <c r="E75" s="7">
        <f>output_NHTS!E201</f>
        <v>137785.28399625601</v>
      </c>
      <c r="F75" s="7">
        <f>output_NHTS!F201</f>
        <v>706170.74976834306</v>
      </c>
      <c r="L75"/>
      <c r="M75" s="3" t="s">
        <v>211</v>
      </c>
      <c r="N75" s="53">
        <f>output!B201</f>
        <v>21263</v>
      </c>
      <c r="O75" s="53">
        <f>output!C201</f>
        <v>159169</v>
      </c>
      <c r="P75" s="53">
        <f>output!D201</f>
        <v>221214</v>
      </c>
      <c r="Q75" s="53">
        <f>output!E201</f>
        <v>59457</v>
      </c>
      <c r="R75" s="53">
        <f>output!F201</f>
        <v>461103</v>
      </c>
      <c r="Y75" s="3" t="s">
        <v>211</v>
      </c>
      <c r="Z75" s="7">
        <f t="shared" si="63"/>
        <v>-7726.2251051817002</v>
      </c>
      <c r="AA75" s="7">
        <f t="shared" si="64"/>
        <v>-22396.090006630402</v>
      </c>
      <c r="AB75" s="7">
        <f t="shared" si="65"/>
        <v>-136617.15066027502</v>
      </c>
      <c r="AC75" s="7">
        <f t="shared" si="66"/>
        <v>-78328.28399625601</v>
      </c>
      <c r="AD75" s="7">
        <f t="shared" si="67"/>
        <v>-245067.74976834306</v>
      </c>
      <c r="AH75"/>
      <c r="AI75"/>
      <c r="AJ75"/>
      <c r="AK75"/>
      <c r="AL75"/>
      <c r="AM75"/>
      <c r="AN75"/>
      <c r="AO75"/>
    </row>
    <row r="76" spans="1:41" x14ac:dyDescent="0.2">
      <c r="A76" s="3" t="s">
        <v>212</v>
      </c>
      <c r="B76" s="7">
        <f>output_NHTS!B202</f>
        <v>2121.520120229</v>
      </c>
      <c r="C76" s="7">
        <f>output_NHTS!C202</f>
        <v>154228.4331636329</v>
      </c>
      <c r="D76" s="7">
        <f>output_NHTS!D202</f>
        <v>314951.98165776639</v>
      </c>
      <c r="E76" s="7">
        <f>output_NHTS!E202</f>
        <v>76522.680918166006</v>
      </c>
      <c r="F76" s="7">
        <f>output_NHTS!F202</f>
        <v>547824.6158597942</v>
      </c>
      <c r="L76"/>
      <c r="M76" s="3" t="s">
        <v>212</v>
      </c>
      <c r="N76" s="53">
        <f>output!B202</f>
        <v>17821</v>
      </c>
      <c r="O76" s="53">
        <f>output!C202</f>
        <v>136599</v>
      </c>
      <c r="P76" s="53">
        <f>output!D202</f>
        <v>249431</v>
      </c>
      <c r="Q76" s="53">
        <f>output!E202</f>
        <v>67479</v>
      </c>
      <c r="R76" s="53">
        <f>output!F202</f>
        <v>471330</v>
      </c>
      <c r="Y76" s="3" t="s">
        <v>212</v>
      </c>
      <c r="Z76" s="7">
        <f t="shared" si="63"/>
        <v>15699.479879770999</v>
      </c>
      <c r="AA76" s="7">
        <f t="shared" si="64"/>
        <v>-17629.433163632901</v>
      </c>
      <c r="AB76" s="7">
        <f t="shared" si="65"/>
        <v>-65520.981657766388</v>
      </c>
      <c r="AC76" s="7">
        <f t="shared" si="66"/>
        <v>-9043.6809181660064</v>
      </c>
      <c r="AD76" s="7">
        <f t="shared" si="67"/>
        <v>-76494.615859794198</v>
      </c>
      <c r="AH76"/>
      <c r="AI76"/>
      <c r="AJ76"/>
      <c r="AK76"/>
      <c r="AL76"/>
      <c r="AM76"/>
      <c r="AN76"/>
      <c r="AO76"/>
    </row>
    <row r="77" spans="1:41" x14ac:dyDescent="0.2">
      <c r="A77" s="3" t="s">
        <v>213</v>
      </c>
      <c r="B77" s="7">
        <f>output_NHTS!B203</f>
        <v>38102.794811216401</v>
      </c>
      <c r="C77" s="7">
        <f>output_NHTS!C203</f>
        <v>145079.79381895511</v>
      </c>
      <c r="D77" s="7">
        <f>output_NHTS!D203</f>
        <v>319539.85703789379</v>
      </c>
      <c r="E77" s="7">
        <f>output_NHTS!E203</f>
        <v>135072.52006250841</v>
      </c>
      <c r="F77" s="7">
        <f>output_NHTS!F203</f>
        <v>637794.96573057375</v>
      </c>
      <c r="L77"/>
      <c r="M77" s="3" t="s">
        <v>213</v>
      </c>
      <c r="N77" s="53">
        <f>output!B203</f>
        <v>40204</v>
      </c>
      <c r="O77" s="53">
        <f>output!C203</f>
        <v>118230</v>
      </c>
      <c r="P77" s="53">
        <f>output!D203</f>
        <v>288029</v>
      </c>
      <c r="Q77" s="53">
        <f>output!E203</f>
        <v>77163</v>
      </c>
      <c r="R77" s="53">
        <f>output!F203</f>
        <v>523626</v>
      </c>
      <c r="Y77" s="3" t="s">
        <v>213</v>
      </c>
      <c r="Z77" s="7">
        <f t="shared" si="63"/>
        <v>2101.2051887835987</v>
      </c>
      <c r="AA77" s="7">
        <f t="shared" si="64"/>
        <v>-26849.793818955106</v>
      </c>
      <c r="AB77" s="7">
        <f t="shared" si="65"/>
        <v>-31510.857037893787</v>
      </c>
      <c r="AC77" s="7">
        <f t="shared" si="66"/>
        <v>-57909.520062508411</v>
      </c>
      <c r="AD77" s="7">
        <f t="shared" si="67"/>
        <v>-114168.96573057375</v>
      </c>
      <c r="AH77"/>
      <c r="AI77"/>
      <c r="AJ77"/>
      <c r="AK77"/>
      <c r="AL77"/>
      <c r="AM77"/>
      <c r="AN77"/>
      <c r="AO77"/>
    </row>
    <row r="78" spans="1:41" x14ac:dyDescent="0.2">
      <c r="A78" s="3" t="s">
        <v>214</v>
      </c>
      <c r="B78" s="7">
        <f>output_NHTS!B204</f>
        <v>67468.015739072696</v>
      </c>
      <c r="C78" s="7">
        <f>output_NHTS!C204</f>
        <v>156386.89741183101</v>
      </c>
      <c r="D78" s="7">
        <f>output_NHTS!D204</f>
        <v>306503.72027927061</v>
      </c>
      <c r="E78" s="7">
        <f>output_NHTS!E204</f>
        <v>111873.793766116</v>
      </c>
      <c r="F78" s="7">
        <f>output_NHTS!F204</f>
        <v>642232.42719629034</v>
      </c>
      <c r="L78"/>
      <c r="M78" s="3" t="s">
        <v>214</v>
      </c>
      <c r="N78" s="53">
        <f>output!B204</f>
        <v>53042</v>
      </c>
      <c r="O78" s="53">
        <f>output!C204</f>
        <v>125003</v>
      </c>
      <c r="P78" s="53">
        <f>output!D204</f>
        <v>301660</v>
      </c>
      <c r="Q78" s="53">
        <f>output!E204</f>
        <v>79944</v>
      </c>
      <c r="R78" s="53">
        <f>output!F204</f>
        <v>559649</v>
      </c>
      <c r="Y78" s="3" t="s">
        <v>214</v>
      </c>
      <c r="Z78" s="7">
        <f t="shared" si="63"/>
        <v>-14426.015739072696</v>
      </c>
      <c r="AA78" s="7">
        <f t="shared" si="64"/>
        <v>-31383.897411831014</v>
      </c>
      <c r="AB78" s="7">
        <f t="shared" si="65"/>
        <v>-4843.7202792706084</v>
      </c>
      <c r="AC78" s="7">
        <f t="shared" si="66"/>
        <v>-31929.793766115996</v>
      </c>
      <c r="AD78" s="7">
        <f t="shared" si="67"/>
        <v>-82583.427196290344</v>
      </c>
      <c r="AH78"/>
      <c r="AI78"/>
      <c r="AJ78"/>
      <c r="AK78"/>
      <c r="AL78"/>
      <c r="AM78"/>
      <c r="AN78"/>
      <c r="AO78"/>
    </row>
    <row r="79" spans="1:41" x14ac:dyDescent="0.2">
      <c r="A79" s="3" t="s">
        <v>129</v>
      </c>
      <c r="B79" s="7">
        <f>output_NHTS!B205</f>
        <v>23442.365245372999</v>
      </c>
      <c r="C79" s="7">
        <f>output_NHTS!C205</f>
        <v>34807.529316077198</v>
      </c>
      <c r="D79" s="7">
        <f>output_NHTS!D205</f>
        <v>105122.7207125813</v>
      </c>
      <c r="E79" s="7">
        <f>output_NHTS!E205</f>
        <v>33216.487087642701</v>
      </c>
      <c r="F79" s="7">
        <f>output_NHTS!F205</f>
        <v>196589.10236167419</v>
      </c>
      <c r="L79"/>
      <c r="M79" s="3" t="s">
        <v>129</v>
      </c>
      <c r="N79" s="53">
        <f>output!B205</f>
        <v>9768</v>
      </c>
      <c r="O79" s="53">
        <f>output!C205</f>
        <v>43520</v>
      </c>
      <c r="P79" s="53">
        <f>output!D205</f>
        <v>83110</v>
      </c>
      <c r="Q79" s="53">
        <f>output!E205</f>
        <v>23976</v>
      </c>
      <c r="R79" s="53">
        <f>output!F205</f>
        <v>160374</v>
      </c>
      <c r="Y79" s="3" t="s">
        <v>129</v>
      </c>
      <c r="Z79" s="7">
        <f t="shared" si="63"/>
        <v>-13674.365245372999</v>
      </c>
      <c r="AA79" s="7">
        <f t="shared" si="64"/>
        <v>8712.470683922802</v>
      </c>
      <c r="AB79" s="7">
        <f t="shared" si="65"/>
        <v>-22012.7207125813</v>
      </c>
      <c r="AC79" s="7">
        <f t="shared" si="66"/>
        <v>-9240.4870876427012</v>
      </c>
      <c r="AD79" s="7">
        <f t="shared" si="67"/>
        <v>-36215.102361674188</v>
      </c>
      <c r="AH79"/>
      <c r="AI79"/>
      <c r="AJ79"/>
      <c r="AK79"/>
      <c r="AL79"/>
      <c r="AM79"/>
      <c r="AN79"/>
      <c r="AO79"/>
    </row>
    <row r="80" spans="1:41" x14ac:dyDescent="0.2">
      <c r="A80" s="25" t="s">
        <v>130</v>
      </c>
      <c r="B80" s="7">
        <f>output_NHTS!B206</f>
        <v>33937.245923396404</v>
      </c>
      <c r="C80" s="7">
        <f>output_NHTS!C206</f>
        <v>202321.9253879298</v>
      </c>
      <c r="D80" s="7">
        <f>output_NHTS!D206</f>
        <v>577706.68403053051</v>
      </c>
      <c r="E80" s="7">
        <f>output_NHTS!E206</f>
        <v>156035.1834574755</v>
      </c>
      <c r="F80" s="7">
        <f>output_NHTS!F206</f>
        <v>970001.03879933222</v>
      </c>
      <c r="L80"/>
      <c r="M80" s="25" t="s">
        <v>130</v>
      </c>
      <c r="N80" s="54">
        <f>output!B206</f>
        <v>33333</v>
      </c>
      <c r="O80" s="54">
        <f>output!C206</f>
        <v>177827</v>
      </c>
      <c r="P80" s="54">
        <f>output!D206</f>
        <v>441244</v>
      </c>
      <c r="Q80" s="54">
        <f>output!E206</f>
        <v>126763</v>
      </c>
      <c r="R80" s="54">
        <f>output!F206</f>
        <v>779167</v>
      </c>
      <c r="Y80" s="25" t="s">
        <v>130</v>
      </c>
      <c r="Z80" s="33">
        <f t="shared" si="63"/>
        <v>-604.24592339640367</v>
      </c>
      <c r="AA80" s="33">
        <f t="shared" si="64"/>
        <v>-24494.925387929805</v>
      </c>
      <c r="AB80" s="33">
        <f t="shared" si="65"/>
        <v>-136462.68403053051</v>
      </c>
      <c r="AC80" s="33">
        <f t="shared" si="66"/>
        <v>-29272.183457475505</v>
      </c>
      <c r="AD80" s="33">
        <f t="shared" si="67"/>
        <v>-190834.03879933222</v>
      </c>
      <c r="AH80"/>
      <c r="AI80"/>
      <c r="AJ80"/>
      <c r="AK80"/>
      <c r="AL80"/>
      <c r="AM80"/>
      <c r="AN80"/>
      <c r="AO80"/>
    </row>
    <row r="81" spans="1:41" x14ac:dyDescent="0.2">
      <c r="A81" s="25" t="s">
        <v>247</v>
      </c>
      <c r="B81" s="9">
        <f>output_NHTS!B207</f>
        <v>7400.4080414011996</v>
      </c>
      <c r="C81" s="9">
        <f>output_NHTS!C207</f>
        <v>42945.1984120657</v>
      </c>
      <c r="D81" s="9">
        <f>output_NHTS!D207</f>
        <v>83501.762527926607</v>
      </c>
      <c r="E81" s="9">
        <f>output_NHTS!E207</f>
        <v>27833.307011552199</v>
      </c>
      <c r="F81" s="9">
        <f>output_NHTS!F207</f>
        <v>161680.67599294573</v>
      </c>
      <c r="L81"/>
      <c r="M81" s="25" t="s">
        <v>247</v>
      </c>
      <c r="N81" s="59">
        <f>output!B207</f>
        <v>5259</v>
      </c>
      <c r="O81" s="59">
        <f>output!C207</f>
        <v>36150</v>
      </c>
      <c r="P81" s="59">
        <f>output!D207</f>
        <v>79498</v>
      </c>
      <c r="Q81" s="59">
        <f>output!E207</f>
        <v>24858</v>
      </c>
      <c r="R81" s="59">
        <f>output!F207</f>
        <v>145765</v>
      </c>
      <c r="Y81" s="25" t="s">
        <v>247</v>
      </c>
      <c r="Z81" s="9">
        <f t="shared" si="63"/>
        <v>-2141.4080414011996</v>
      </c>
      <c r="AA81" s="9">
        <f t="shared" si="64"/>
        <v>-6795.1984120656998</v>
      </c>
      <c r="AB81" s="9">
        <f t="shared" si="65"/>
        <v>-4003.7625279266067</v>
      </c>
      <c r="AC81" s="9">
        <f t="shared" si="66"/>
        <v>-2975.3070115521987</v>
      </c>
      <c r="AD81" s="9">
        <f t="shared" si="67"/>
        <v>-15915.675992945733</v>
      </c>
      <c r="AH81"/>
      <c r="AI81"/>
      <c r="AJ81"/>
      <c r="AK81"/>
      <c r="AL81"/>
      <c r="AM81"/>
      <c r="AN81"/>
      <c r="AO81"/>
    </row>
    <row r="82" spans="1:41" ht="13.5" thickBot="1" x14ac:dyDescent="0.25">
      <c r="A82" s="10" t="s">
        <v>221</v>
      </c>
      <c r="B82" s="60">
        <f>SUM(B74:B81)</f>
        <v>253520.5331850588</v>
      </c>
      <c r="C82" s="60">
        <f>SUM(C74:C81)</f>
        <v>1272127.5384845808</v>
      </c>
      <c r="D82" s="60">
        <f>SUM(D74:D81)</f>
        <v>2874572.4682731596</v>
      </c>
      <c r="E82" s="60">
        <f>SUM(E74:E81)</f>
        <v>983294.52089480124</v>
      </c>
      <c r="F82" s="60">
        <f>SUM(F74:F81)</f>
        <v>5383515.0608376022</v>
      </c>
      <c r="L82"/>
      <c r="M82" s="10" t="s">
        <v>221</v>
      </c>
      <c r="N82" s="60">
        <f>SUM(N74:N81)</f>
        <v>226516</v>
      </c>
      <c r="O82" s="60">
        <f>SUM(O74:O81)</f>
        <v>1116536</v>
      </c>
      <c r="P82" s="60">
        <f>SUM(P74:P81)</f>
        <v>2443487</v>
      </c>
      <c r="Q82" s="60">
        <f>SUM(Q74:Q81)</f>
        <v>698538</v>
      </c>
      <c r="R82" s="60">
        <f>SUM(R74:R81)</f>
        <v>4485077</v>
      </c>
      <c r="Y82" s="10" t="s">
        <v>221</v>
      </c>
      <c r="Z82" s="22">
        <f t="shared" si="63"/>
        <v>-27004.533185058797</v>
      </c>
      <c r="AA82" s="22">
        <f t="shared" si="64"/>
        <v>-155591.53848458081</v>
      </c>
      <c r="AB82" s="22">
        <f t="shared" si="65"/>
        <v>-431085.46827315958</v>
      </c>
      <c r="AC82" s="22">
        <f t="shared" si="66"/>
        <v>-284756.52089480124</v>
      </c>
      <c r="AD82" s="22">
        <f t="shared" si="67"/>
        <v>-898438.06083760224</v>
      </c>
      <c r="AH82"/>
      <c r="AI82"/>
      <c r="AJ82"/>
      <c r="AK82"/>
      <c r="AL82"/>
      <c r="AM82"/>
      <c r="AN82"/>
      <c r="AO82"/>
    </row>
    <row r="83" spans="1:41" x14ac:dyDescent="0.2">
      <c r="L83"/>
      <c r="AH83"/>
      <c r="AI83"/>
      <c r="AJ83"/>
      <c r="AK83"/>
      <c r="AL83"/>
      <c r="AM83"/>
      <c r="AN83"/>
      <c r="AO83"/>
    </row>
    <row r="84" spans="1:41" x14ac:dyDescent="0.2">
      <c r="A84" s="25" t="s">
        <v>88</v>
      </c>
      <c r="B84" s="7">
        <f>output_NHTS!B324</f>
        <v>163786.68119999999</v>
      </c>
      <c r="C84" s="7">
        <f>output_NHTS!B325</f>
        <v>820882.0037</v>
      </c>
      <c r="D84" s="7">
        <f>output_NHTS!B326</f>
        <v>1679045.4517000001</v>
      </c>
      <c r="E84" s="7">
        <f>output_NHTS!B327</f>
        <v>629199.28419999999</v>
      </c>
      <c r="F84" s="53">
        <f>SUM(B84:E84)</f>
        <v>3292913.4208</v>
      </c>
      <c r="L84"/>
      <c r="M84" s="25" t="s">
        <v>88</v>
      </c>
      <c r="N84" s="53">
        <f>output!B324</f>
        <v>141396</v>
      </c>
      <c r="O84" s="53">
        <f>output!B325</f>
        <v>707228</v>
      </c>
      <c r="P84" s="53">
        <f>output!B326</f>
        <v>1493563</v>
      </c>
      <c r="Q84" s="53">
        <f>output!B327</f>
        <v>429551</v>
      </c>
      <c r="R84" s="53">
        <f>SUM(N84:Q84)</f>
        <v>2771738</v>
      </c>
      <c r="Y84" s="25" t="s">
        <v>88</v>
      </c>
      <c r="Z84" s="7">
        <f t="shared" ref="Z84:AD85" si="68">N84-B84</f>
        <v>-22390.681199999992</v>
      </c>
      <c r="AA84" s="7">
        <f t="shared" si="68"/>
        <v>-113654.0037</v>
      </c>
      <c r="AB84" s="7">
        <f t="shared" si="68"/>
        <v>-185482.45170000009</v>
      </c>
      <c r="AC84" s="7">
        <f t="shared" si="68"/>
        <v>-199648.28419999999</v>
      </c>
      <c r="AD84" s="7">
        <f t="shared" si="68"/>
        <v>-521175.42079999996</v>
      </c>
      <c r="AH84"/>
      <c r="AI84"/>
      <c r="AJ84"/>
      <c r="AK84"/>
      <c r="AL84"/>
      <c r="AM84"/>
      <c r="AN84"/>
      <c r="AO84"/>
    </row>
    <row r="85" spans="1:41" x14ac:dyDescent="0.2">
      <c r="A85" s="25" t="s">
        <v>89</v>
      </c>
      <c r="B85" s="37">
        <f>B82/B84</f>
        <v>1.547870262268058</v>
      </c>
      <c r="C85" s="37">
        <f>C82/C84</f>
        <v>1.5497081587252013</v>
      </c>
      <c r="D85" s="37">
        <f>D82/D84</f>
        <v>1.7120277865990539</v>
      </c>
      <c r="E85" s="37">
        <f>E82/E84</f>
        <v>1.5627712007730876</v>
      </c>
      <c r="F85" s="37">
        <f>F82/F84</f>
        <v>1.6348790183283042</v>
      </c>
      <c r="L85"/>
      <c r="M85" s="25" t="s">
        <v>89</v>
      </c>
      <c r="N85" s="37">
        <f>N82/N84</f>
        <v>1.6019972276443464</v>
      </c>
      <c r="O85" s="37">
        <f>O82/O84</f>
        <v>1.5787497101359109</v>
      </c>
      <c r="P85" s="37">
        <f>P82/P84</f>
        <v>1.6360120061892267</v>
      </c>
      <c r="Q85" s="37">
        <f>Q82/Q84</f>
        <v>1.6262050373529569</v>
      </c>
      <c r="R85" s="37">
        <f>R82/R84</f>
        <v>1.6181460874007572</v>
      </c>
      <c r="Y85" s="25" t="s">
        <v>89</v>
      </c>
      <c r="Z85" s="38">
        <f t="shared" si="68"/>
        <v>5.4126965376288361E-2</v>
      </c>
      <c r="AA85" s="38">
        <f t="shared" si="68"/>
        <v>2.9041551410709632E-2</v>
      </c>
      <c r="AB85" s="38">
        <f t="shared" si="68"/>
        <v>-7.6015780409827149E-2</v>
      </c>
      <c r="AC85" s="38">
        <f t="shared" si="68"/>
        <v>6.3433836579869229E-2</v>
      </c>
      <c r="AD85" s="38">
        <f t="shared" si="68"/>
        <v>-1.6732930927547018E-2</v>
      </c>
      <c r="AH85"/>
      <c r="AI85"/>
      <c r="AJ85"/>
      <c r="AK85"/>
      <c r="AL85"/>
      <c r="AM85"/>
      <c r="AN85"/>
      <c r="AO85"/>
    </row>
    <row r="86" spans="1:41" x14ac:dyDescent="0.2">
      <c r="L86"/>
      <c r="AH86"/>
      <c r="AI86"/>
      <c r="AJ86"/>
      <c r="AK86"/>
      <c r="AL86"/>
      <c r="AM86"/>
      <c r="AN86"/>
      <c r="AO86"/>
    </row>
    <row r="87" spans="1:41" x14ac:dyDescent="0.2">
      <c r="A87" s="2" t="s">
        <v>175</v>
      </c>
      <c r="L87"/>
      <c r="M87" s="2" t="s">
        <v>175</v>
      </c>
      <c r="Y87" s="2" t="s">
        <v>175</v>
      </c>
      <c r="AH87"/>
      <c r="AI87"/>
      <c r="AJ87"/>
      <c r="AK87"/>
      <c r="AL87"/>
      <c r="AM87"/>
      <c r="AN87"/>
      <c r="AO87"/>
    </row>
    <row r="88" spans="1:41" x14ac:dyDescent="0.2">
      <c r="A88" s="2" t="s">
        <v>302</v>
      </c>
      <c r="L88"/>
      <c r="M88" s="2" t="s">
        <v>269</v>
      </c>
      <c r="Y88" s="2" t="s">
        <v>239</v>
      </c>
      <c r="AH88"/>
      <c r="AI88"/>
      <c r="AJ88"/>
      <c r="AK88"/>
      <c r="AL88"/>
      <c r="AM88"/>
      <c r="AN88"/>
      <c r="AO88"/>
    </row>
    <row r="89" spans="1:41" ht="13.5" thickBot="1" x14ac:dyDescent="0.25">
      <c r="B89" s="15"/>
      <c r="C89" s="15"/>
      <c r="D89" s="15"/>
      <c r="E89" s="15"/>
      <c r="F89" s="15"/>
      <c r="L89"/>
      <c r="N89" s="61"/>
      <c r="O89" s="61"/>
      <c r="P89" s="61"/>
      <c r="Q89" s="61"/>
      <c r="R89" s="61"/>
      <c r="Z89" s="15"/>
      <c r="AA89" s="15"/>
      <c r="AB89" s="15"/>
      <c r="AC89" s="15"/>
      <c r="AD89" s="15"/>
      <c r="AH89"/>
      <c r="AI89"/>
      <c r="AJ89"/>
      <c r="AK89"/>
      <c r="AL89"/>
      <c r="AM89"/>
      <c r="AN89"/>
      <c r="AO89"/>
    </row>
    <row r="90" spans="1:41" x14ac:dyDescent="0.2">
      <c r="A90" s="5" t="s">
        <v>159</v>
      </c>
      <c r="B90" s="6" t="s">
        <v>98</v>
      </c>
      <c r="C90" s="6" t="s">
        <v>99</v>
      </c>
      <c r="D90" s="6" t="s">
        <v>100</v>
      </c>
      <c r="E90" s="6" t="s">
        <v>101</v>
      </c>
      <c r="F90" s="6" t="s">
        <v>221</v>
      </c>
      <c r="L90"/>
      <c r="M90" s="5" t="s">
        <v>159</v>
      </c>
      <c r="N90" s="41" t="s">
        <v>98</v>
      </c>
      <c r="O90" s="41" t="s">
        <v>99</v>
      </c>
      <c r="P90" s="41" t="s">
        <v>100</v>
      </c>
      <c r="Q90" s="41" t="s">
        <v>101</v>
      </c>
      <c r="R90" s="41" t="s">
        <v>221</v>
      </c>
      <c r="Y90" s="5" t="s">
        <v>159</v>
      </c>
      <c r="Z90" s="6" t="s">
        <v>98</v>
      </c>
      <c r="AA90" s="6" t="s">
        <v>99</v>
      </c>
      <c r="AB90" s="6" t="s">
        <v>100</v>
      </c>
      <c r="AC90" s="6" t="s">
        <v>101</v>
      </c>
      <c r="AD90" s="6" t="s">
        <v>221</v>
      </c>
      <c r="AH90"/>
      <c r="AI90"/>
      <c r="AJ90"/>
      <c r="AK90"/>
      <c r="AL90"/>
      <c r="AM90"/>
      <c r="AN90"/>
      <c r="AO90"/>
    </row>
    <row r="91" spans="1:41" x14ac:dyDescent="0.2">
      <c r="A91" s="3" t="s">
        <v>210</v>
      </c>
      <c r="B91" s="12">
        <f t="shared" ref="B91:F96" si="69">B74/B$82</f>
        <v>0.20534414922986793</v>
      </c>
      <c r="C91" s="12">
        <f t="shared" si="69"/>
        <v>0.27889709186714473</v>
      </c>
      <c r="D91" s="12">
        <f t="shared" si="69"/>
        <v>0.28157738248051711</v>
      </c>
      <c r="E91" s="12">
        <f t="shared" si="69"/>
        <v>0.31013623905640614</v>
      </c>
      <c r="F91" s="12">
        <f t="shared" si="69"/>
        <v>0.28257030359119412</v>
      </c>
      <c r="L91"/>
      <c r="M91" s="3" t="s">
        <v>210</v>
      </c>
      <c r="N91" s="42">
        <f t="shared" ref="N91:R99" si="70">N74/N$82</f>
        <v>0.20230800473255753</v>
      </c>
      <c r="O91" s="42">
        <f t="shared" si="70"/>
        <v>0.28663473457192601</v>
      </c>
      <c r="P91" s="42">
        <f t="shared" si="70"/>
        <v>0.31892987357821018</v>
      </c>
      <c r="Q91" s="42">
        <f t="shared" si="70"/>
        <v>0.34199714260355196</v>
      </c>
      <c r="R91" s="42">
        <f t="shared" si="70"/>
        <v>0.30859291824867219</v>
      </c>
      <c r="Y91" s="3" t="s">
        <v>210</v>
      </c>
      <c r="Z91" s="12">
        <f t="shared" ref="Z91:Z99" si="71">N91-B91</f>
        <v>-3.0361444973104057E-3</v>
      </c>
      <c r="AA91" s="12">
        <f t="shared" ref="AA91:AA99" si="72">O91-C91</f>
        <v>7.7376427047812779E-3</v>
      </c>
      <c r="AB91" s="12">
        <f t="shared" ref="AB91:AB99" si="73">P91-D91</f>
        <v>3.7352491097693064E-2</v>
      </c>
      <c r="AC91" s="12">
        <f t="shared" ref="AC91:AC99" si="74">Q91-E91</f>
        <v>3.1860903547145825E-2</v>
      </c>
      <c r="AD91" s="12">
        <f t="shared" ref="AD91:AD99" si="75">R91-F91</f>
        <v>2.6022614657478071E-2</v>
      </c>
      <c r="AH91"/>
      <c r="AI91"/>
      <c r="AJ91"/>
      <c r="AK91"/>
      <c r="AL91"/>
      <c r="AM91"/>
      <c r="AN91"/>
      <c r="AO91"/>
    </row>
    <row r="92" spans="1:41" x14ac:dyDescent="0.2">
      <c r="A92" s="3" t="s">
        <v>211</v>
      </c>
      <c r="B92" s="12">
        <f t="shared" si="69"/>
        <v>0.11434665563763566</v>
      </c>
      <c r="C92" s="12">
        <f t="shared" si="69"/>
        <v>0.14272554010026339</v>
      </c>
      <c r="D92" s="12">
        <f t="shared" si="69"/>
        <v>0.12448152015984301</v>
      </c>
      <c r="E92" s="12">
        <f t="shared" si="69"/>
        <v>0.14012615861102423</v>
      </c>
      <c r="F92" s="12">
        <f t="shared" si="69"/>
        <v>0.1311728010023385</v>
      </c>
      <c r="L92"/>
      <c r="M92" s="3" t="s">
        <v>211</v>
      </c>
      <c r="N92" s="42">
        <f t="shared" si="70"/>
        <v>9.386974871532254E-2</v>
      </c>
      <c r="O92" s="42">
        <f t="shared" si="70"/>
        <v>0.14255608417462581</v>
      </c>
      <c r="P92" s="42">
        <f t="shared" si="70"/>
        <v>9.0532096139656154E-2</v>
      </c>
      <c r="Q92" s="42">
        <f t="shared" si="70"/>
        <v>8.5116342990646174E-2</v>
      </c>
      <c r="R92" s="42">
        <f t="shared" si="70"/>
        <v>0.10280826839762171</v>
      </c>
      <c r="Y92" s="3" t="s">
        <v>211</v>
      </c>
      <c r="Z92" s="12">
        <f t="shared" si="71"/>
        <v>-2.0476906922313118E-2</v>
      </c>
      <c r="AA92" s="12">
        <f t="shared" si="72"/>
        <v>-1.6945592563757939E-4</v>
      </c>
      <c r="AB92" s="12">
        <f t="shared" si="73"/>
        <v>-3.3949424020186858E-2</v>
      </c>
      <c r="AC92" s="12">
        <f t="shared" si="74"/>
        <v>-5.5009815620378058E-2</v>
      </c>
      <c r="AD92" s="12">
        <f t="shared" si="75"/>
        <v>-2.8364532604716788E-2</v>
      </c>
      <c r="AH92"/>
      <c r="AI92"/>
      <c r="AJ92"/>
      <c r="AK92"/>
      <c r="AL92"/>
      <c r="AM92"/>
      <c r="AN92"/>
      <c r="AO92"/>
    </row>
    <row r="93" spans="1:41" x14ac:dyDescent="0.2">
      <c r="A93" s="3" t="s">
        <v>212</v>
      </c>
      <c r="B93" s="12">
        <f t="shared" si="69"/>
        <v>8.3682378447838927E-3</v>
      </c>
      <c r="C93" s="12">
        <f t="shared" si="69"/>
        <v>0.12123661228759908</v>
      </c>
      <c r="D93" s="12">
        <f t="shared" si="69"/>
        <v>0.10956480837895428</v>
      </c>
      <c r="E93" s="12">
        <f t="shared" si="69"/>
        <v>7.7822747195347042E-2</v>
      </c>
      <c r="F93" s="12">
        <f t="shared" si="69"/>
        <v>0.101759651392999</v>
      </c>
      <c r="L93"/>
      <c r="M93" s="3" t="s">
        <v>212</v>
      </c>
      <c r="N93" s="42">
        <f t="shared" si="70"/>
        <v>7.8674354129509613E-2</v>
      </c>
      <c r="O93" s="42">
        <f t="shared" si="70"/>
        <v>0.12234177850064844</v>
      </c>
      <c r="P93" s="42">
        <f t="shared" si="70"/>
        <v>0.10207993740093563</v>
      </c>
      <c r="Q93" s="42">
        <f t="shared" si="70"/>
        <v>9.660032811386067E-2</v>
      </c>
      <c r="R93" s="42">
        <f t="shared" si="70"/>
        <v>0.105088496808416</v>
      </c>
      <c r="Y93" s="3" t="s">
        <v>212</v>
      </c>
      <c r="Z93" s="12">
        <f t="shared" si="71"/>
        <v>7.0306116284725717E-2</v>
      </c>
      <c r="AA93" s="12">
        <f t="shared" si="72"/>
        <v>1.1051662130493606E-3</v>
      </c>
      <c r="AB93" s="12">
        <f t="shared" si="73"/>
        <v>-7.4848709780186568E-3</v>
      </c>
      <c r="AC93" s="12">
        <f t="shared" si="74"/>
        <v>1.8777580918513628E-2</v>
      </c>
      <c r="AD93" s="12">
        <f t="shared" si="75"/>
        <v>3.3288454154170033E-3</v>
      </c>
      <c r="AH93"/>
      <c r="AI93"/>
      <c r="AJ93"/>
      <c r="AK93"/>
      <c r="AL93"/>
      <c r="AM93"/>
      <c r="AN93"/>
      <c r="AO93"/>
    </row>
    <row r="94" spans="1:41" x14ac:dyDescent="0.2">
      <c r="A94" s="3" t="s">
        <v>213</v>
      </c>
      <c r="B94" s="12">
        <f t="shared" si="69"/>
        <v>0.15029470919975954</v>
      </c>
      <c r="C94" s="12">
        <f t="shared" si="69"/>
        <v>0.11404500683302643</v>
      </c>
      <c r="D94" s="12">
        <f t="shared" si="69"/>
        <v>0.11116082845872757</v>
      </c>
      <c r="E94" s="12">
        <f t="shared" si="69"/>
        <v>0.1373673067349058</v>
      </c>
      <c r="F94" s="12">
        <f t="shared" si="69"/>
        <v>0.11847184572217793</v>
      </c>
      <c r="L94"/>
      <c r="M94" s="3" t="s">
        <v>213</v>
      </c>
      <c r="N94" s="42">
        <f t="shared" si="70"/>
        <v>0.1774885659291176</v>
      </c>
      <c r="O94" s="42">
        <f t="shared" si="70"/>
        <v>0.10589000265105648</v>
      </c>
      <c r="P94" s="42">
        <f t="shared" si="70"/>
        <v>0.11787621542492348</v>
      </c>
      <c r="Q94" s="42">
        <f t="shared" si="70"/>
        <v>0.11046356819528787</v>
      </c>
      <c r="R94" s="42">
        <f t="shared" si="70"/>
        <v>0.11674849729447231</v>
      </c>
      <c r="Y94" s="3" t="s">
        <v>213</v>
      </c>
      <c r="Z94" s="12">
        <f t="shared" si="71"/>
        <v>2.7193856729358062E-2</v>
      </c>
      <c r="AA94" s="12">
        <f t="shared" si="72"/>
        <v>-8.1550041819699465E-3</v>
      </c>
      <c r="AB94" s="12">
        <f t="shared" si="73"/>
        <v>6.7153869661959048E-3</v>
      </c>
      <c r="AC94" s="12">
        <f t="shared" si="74"/>
        <v>-2.690373853961793E-2</v>
      </c>
      <c r="AD94" s="12">
        <f t="shared" si="75"/>
        <v>-1.7233484277056205E-3</v>
      </c>
      <c r="AH94"/>
      <c r="AI94"/>
      <c r="AJ94"/>
      <c r="AK94"/>
      <c r="AL94"/>
      <c r="AM94"/>
      <c r="AN94"/>
      <c r="AO94"/>
    </row>
    <row r="95" spans="1:41" x14ac:dyDescent="0.2">
      <c r="A95" s="3" t="s">
        <v>214</v>
      </c>
      <c r="B95" s="12">
        <f t="shared" si="69"/>
        <v>0.26612446294369391</v>
      </c>
      <c r="C95" s="12">
        <f t="shared" si="69"/>
        <v>0.12293334801801914</v>
      </c>
      <c r="D95" s="12">
        <f t="shared" si="69"/>
        <v>0.10662584563867211</v>
      </c>
      <c r="E95" s="12">
        <f t="shared" si="69"/>
        <v>0.11377445047116756</v>
      </c>
      <c r="F95" s="12">
        <f t="shared" si="69"/>
        <v>0.11929611414449497</v>
      </c>
      <c r="L95"/>
      <c r="M95" s="3" t="s">
        <v>214</v>
      </c>
      <c r="N95" s="42">
        <f t="shared" si="70"/>
        <v>0.23416447403273941</v>
      </c>
      <c r="O95" s="42">
        <f t="shared" si="70"/>
        <v>0.1119560856076293</v>
      </c>
      <c r="P95" s="42">
        <f t="shared" si="70"/>
        <v>0.12345471860500998</v>
      </c>
      <c r="Q95" s="42">
        <f t="shared" si="70"/>
        <v>0.11444474030045609</v>
      </c>
      <c r="R95" s="42">
        <f t="shared" si="70"/>
        <v>0.12478024346070313</v>
      </c>
      <c r="Y95" s="3" t="s">
        <v>214</v>
      </c>
      <c r="Z95" s="12">
        <f t="shared" si="71"/>
        <v>-3.1959988910954501E-2</v>
      </c>
      <c r="AA95" s="12">
        <f t="shared" si="72"/>
        <v>-1.0977262410389835E-2</v>
      </c>
      <c r="AB95" s="12">
        <f t="shared" si="73"/>
        <v>1.6828872966337866E-2</v>
      </c>
      <c r="AC95" s="12">
        <f t="shared" si="74"/>
        <v>6.702898292885312E-4</v>
      </c>
      <c r="AD95" s="12">
        <f t="shared" si="75"/>
        <v>5.4841293162081611E-3</v>
      </c>
      <c r="AH95"/>
      <c r="AI95"/>
      <c r="AJ95"/>
      <c r="AK95"/>
      <c r="AL95"/>
      <c r="AM95"/>
      <c r="AN95"/>
      <c r="AO95"/>
    </row>
    <row r="96" spans="1:41" x14ac:dyDescent="0.2">
      <c r="A96" s="3" t="s">
        <v>129</v>
      </c>
      <c r="B96" s="12">
        <f t="shared" si="69"/>
        <v>9.2467323852861688E-2</v>
      </c>
      <c r="C96" s="12">
        <f t="shared" si="69"/>
        <v>2.7361666391988962E-2</v>
      </c>
      <c r="D96" s="12">
        <f t="shared" si="69"/>
        <v>3.6569862778840161E-2</v>
      </c>
      <c r="E96" s="12">
        <f t="shared" si="69"/>
        <v>3.3780811732191482E-2</v>
      </c>
      <c r="F96" s="12">
        <f t="shared" si="69"/>
        <v>3.6516866794292495E-2</v>
      </c>
      <c r="L96"/>
      <c r="M96" s="3" t="s">
        <v>129</v>
      </c>
      <c r="N96" s="42">
        <f t="shared" si="70"/>
        <v>4.3122781613660843E-2</v>
      </c>
      <c r="O96" s="42">
        <f t="shared" si="70"/>
        <v>3.8977695300465007E-2</v>
      </c>
      <c r="P96" s="42">
        <f t="shared" si="70"/>
        <v>3.4012867676398523E-2</v>
      </c>
      <c r="Q96" s="42">
        <f t="shared" si="70"/>
        <v>3.4323114848440597E-2</v>
      </c>
      <c r="R96" s="42">
        <f t="shared" si="70"/>
        <v>3.575724563926104E-2</v>
      </c>
      <c r="Y96" s="3" t="s">
        <v>129</v>
      </c>
      <c r="Z96" s="12">
        <f t="shared" si="71"/>
        <v>-4.9344542239200845E-2</v>
      </c>
      <c r="AA96" s="12">
        <f t="shared" si="72"/>
        <v>1.1616028908476045E-2</v>
      </c>
      <c r="AB96" s="12">
        <f t="shared" si="73"/>
        <v>-2.5569951024416379E-3</v>
      </c>
      <c r="AC96" s="12">
        <f t="shared" si="74"/>
        <v>5.4230311624911542E-4</v>
      </c>
      <c r="AD96" s="12">
        <f t="shared" si="75"/>
        <v>-7.5962115503145494E-4</v>
      </c>
      <c r="AH96"/>
      <c r="AI96"/>
      <c r="AJ96"/>
      <c r="AK96"/>
      <c r="AL96"/>
      <c r="AM96"/>
      <c r="AN96"/>
      <c r="AO96"/>
    </row>
    <row r="97" spans="1:41" x14ac:dyDescent="0.2">
      <c r="A97" s="25" t="s">
        <v>130</v>
      </c>
      <c r="B97" s="34">
        <f t="shared" ref="B97:F98" si="76">B80/B$82</f>
        <v>0.13386389456124925</v>
      </c>
      <c r="C97" s="34">
        <f t="shared" si="76"/>
        <v>0.15904217090445613</v>
      </c>
      <c r="D97" s="34">
        <f t="shared" si="76"/>
        <v>0.20097134109740358</v>
      </c>
      <c r="E97" s="34">
        <f t="shared" si="76"/>
        <v>0.15868611096854579</v>
      </c>
      <c r="F97" s="34">
        <f t="shared" si="76"/>
        <v>0.18017986907023031</v>
      </c>
      <c r="L97"/>
      <c r="M97" s="25" t="s">
        <v>130</v>
      </c>
      <c r="N97" s="56">
        <f t="shared" si="70"/>
        <v>0.14715516784686292</v>
      </c>
      <c r="O97" s="56">
        <f t="shared" si="70"/>
        <v>0.15926669628207241</v>
      </c>
      <c r="P97" s="56">
        <f t="shared" si="70"/>
        <v>0.18057963885218134</v>
      </c>
      <c r="Q97" s="56">
        <f t="shared" si="70"/>
        <v>0.18146901099152801</v>
      </c>
      <c r="R97" s="56">
        <f t="shared" si="70"/>
        <v>0.17372433070825763</v>
      </c>
      <c r="Y97" s="25" t="s">
        <v>130</v>
      </c>
      <c r="Z97" s="12">
        <f t="shared" si="71"/>
        <v>1.3291273285613664E-2</v>
      </c>
      <c r="AA97" s="12">
        <f t="shared" si="72"/>
        <v>2.2452537761627478E-4</v>
      </c>
      <c r="AB97" s="12">
        <f t="shared" si="73"/>
        <v>-2.0391702245222243E-2</v>
      </c>
      <c r="AC97" s="12">
        <f t="shared" si="74"/>
        <v>2.2782900022982222E-2</v>
      </c>
      <c r="AD97" s="12">
        <f t="shared" si="75"/>
        <v>-6.4555383619726847E-3</v>
      </c>
      <c r="AH97"/>
      <c r="AI97"/>
      <c r="AJ97"/>
      <c r="AK97"/>
      <c r="AL97"/>
      <c r="AM97"/>
      <c r="AN97"/>
      <c r="AO97"/>
    </row>
    <row r="98" spans="1:41" x14ac:dyDescent="0.2">
      <c r="A98" s="25" t="s">
        <v>247</v>
      </c>
      <c r="B98" s="34">
        <f t="shared" si="76"/>
        <v>2.9190566730148158E-2</v>
      </c>
      <c r="C98" s="34">
        <f t="shared" si="76"/>
        <v>3.3758563597502241E-2</v>
      </c>
      <c r="D98" s="34">
        <f t="shared" si="76"/>
        <v>2.9048411007042231E-2</v>
      </c>
      <c r="E98" s="34">
        <f t="shared" si="76"/>
        <v>2.8306175230411939E-2</v>
      </c>
      <c r="F98" s="34">
        <f t="shared" si="76"/>
        <v>3.0032548282272364E-2</v>
      </c>
      <c r="L98"/>
      <c r="M98" s="25" t="s">
        <v>247</v>
      </c>
      <c r="N98" s="56">
        <f t="shared" si="70"/>
        <v>2.3216903000229563E-2</v>
      </c>
      <c r="O98" s="56">
        <f t="shared" si="70"/>
        <v>3.2376922911576518E-2</v>
      </c>
      <c r="P98" s="56">
        <f t="shared" si="70"/>
        <v>3.2534652322684751E-2</v>
      </c>
      <c r="Q98" s="56">
        <f t="shared" si="70"/>
        <v>3.5585751956228581E-2</v>
      </c>
      <c r="R98" s="56">
        <f t="shared" si="70"/>
        <v>3.2499999442595968E-2</v>
      </c>
      <c r="Y98" s="25" t="s">
        <v>247</v>
      </c>
      <c r="Z98" s="12">
        <f t="shared" si="71"/>
        <v>-5.9736637299185949E-3</v>
      </c>
      <c r="AA98" s="12">
        <f t="shared" si="72"/>
        <v>-1.3816406859257224E-3</v>
      </c>
      <c r="AB98" s="12">
        <f t="shared" si="73"/>
        <v>3.4862413156425201E-3</v>
      </c>
      <c r="AC98" s="12">
        <f t="shared" si="74"/>
        <v>7.2795767258166423E-3</v>
      </c>
      <c r="AD98" s="12">
        <f t="shared" si="75"/>
        <v>2.4674511603236041E-3</v>
      </c>
      <c r="AH98"/>
      <c r="AI98"/>
      <c r="AJ98"/>
      <c r="AK98"/>
      <c r="AL98"/>
      <c r="AM98"/>
      <c r="AN98"/>
      <c r="AO98"/>
    </row>
    <row r="99" spans="1:41" ht="13.5" thickBot="1" x14ac:dyDescent="0.25">
      <c r="A99" s="10" t="s">
        <v>221</v>
      </c>
      <c r="B99" s="14">
        <f>B82/B$82</f>
        <v>1</v>
      </c>
      <c r="C99" s="14">
        <f>C82/C$82</f>
        <v>1</v>
      </c>
      <c r="D99" s="14">
        <f>D82/D$82</f>
        <v>1</v>
      </c>
      <c r="E99" s="14">
        <f>E82/E$82</f>
        <v>1</v>
      </c>
      <c r="F99" s="14">
        <f>F82/F$82</f>
        <v>1</v>
      </c>
      <c r="L99"/>
      <c r="M99" s="10" t="s">
        <v>221</v>
      </c>
      <c r="N99" s="51">
        <f t="shared" si="70"/>
        <v>1</v>
      </c>
      <c r="O99" s="51">
        <f t="shared" si="70"/>
        <v>1</v>
      </c>
      <c r="P99" s="51">
        <f t="shared" si="70"/>
        <v>1</v>
      </c>
      <c r="Q99" s="51">
        <f t="shared" si="70"/>
        <v>1</v>
      </c>
      <c r="R99" s="51">
        <f t="shared" si="70"/>
        <v>1</v>
      </c>
      <c r="X99"/>
      <c r="Y99" s="10" t="s">
        <v>221</v>
      </c>
      <c r="Z99" s="14">
        <f t="shared" si="71"/>
        <v>0</v>
      </c>
      <c r="AA99" s="14">
        <f t="shared" si="72"/>
        <v>0</v>
      </c>
      <c r="AB99" s="14">
        <f t="shared" si="73"/>
        <v>0</v>
      </c>
      <c r="AC99" s="14">
        <f t="shared" si="74"/>
        <v>0</v>
      </c>
      <c r="AD99" s="14">
        <f t="shared" si="75"/>
        <v>0</v>
      </c>
    </row>
    <row r="100" spans="1:41" x14ac:dyDescent="0.2">
      <c r="L100"/>
      <c r="X100"/>
    </row>
    <row r="101" spans="1:41" x14ac:dyDescent="0.2">
      <c r="L101"/>
      <c r="X101"/>
    </row>
    <row r="102" spans="1:41" x14ac:dyDescent="0.2">
      <c r="L102"/>
      <c r="X102"/>
    </row>
    <row r="103" spans="1:41" x14ac:dyDescent="0.2">
      <c r="L103"/>
      <c r="X103"/>
    </row>
    <row r="104" spans="1:41" x14ac:dyDescent="0.2">
      <c r="A104" s="2" t="s">
        <v>175</v>
      </c>
      <c r="E104"/>
      <c r="F104"/>
      <c r="G104"/>
      <c r="H104"/>
      <c r="I104"/>
      <c r="J104"/>
      <c r="K104"/>
      <c r="L104"/>
      <c r="M104" s="2" t="s">
        <v>175</v>
      </c>
      <c r="Q104" s="57"/>
      <c r="R104" s="57"/>
      <c r="S104" s="57"/>
      <c r="T104" s="57"/>
      <c r="U104" s="57"/>
      <c r="V104" s="57"/>
      <c r="W104" s="57"/>
      <c r="X104"/>
      <c r="Y104" s="2" t="s">
        <v>175</v>
      </c>
      <c r="AC104"/>
      <c r="AD104"/>
      <c r="AE104"/>
      <c r="AF104"/>
      <c r="AG104"/>
      <c r="AH104"/>
      <c r="AI104"/>
    </row>
    <row r="105" spans="1:41" x14ac:dyDescent="0.2">
      <c r="A105" s="2" t="s">
        <v>303</v>
      </c>
      <c r="E105"/>
      <c r="F105" s="99"/>
      <c r="G105" s="99"/>
      <c r="H105" s="99"/>
      <c r="I105" s="99"/>
      <c r="J105" s="99"/>
      <c r="K105"/>
      <c r="L105"/>
      <c r="M105" s="2" t="s">
        <v>306</v>
      </c>
      <c r="Q105" s="57"/>
      <c r="R105" s="100"/>
      <c r="S105" s="100"/>
      <c r="T105" s="100"/>
      <c r="U105" s="100"/>
      <c r="V105" s="100"/>
      <c r="W105" s="57"/>
      <c r="X105"/>
      <c r="Y105" s="2" t="s">
        <v>168</v>
      </c>
      <c r="AC105"/>
      <c r="AD105"/>
      <c r="AE105"/>
      <c r="AF105"/>
      <c r="AG105"/>
      <c r="AH105"/>
      <c r="AI105"/>
    </row>
    <row r="106" spans="1:41" ht="13.5" thickBot="1" x14ac:dyDescent="0.25">
      <c r="B106" s="15"/>
      <c r="C106" s="15"/>
      <c r="D106" s="15"/>
      <c r="E106" s="1"/>
      <c r="F106" s="1"/>
      <c r="G106" s="1"/>
      <c r="H106" s="99"/>
      <c r="I106" s="99"/>
      <c r="J106" s="99"/>
      <c r="K106"/>
      <c r="L106"/>
      <c r="N106" s="61"/>
      <c r="O106" s="61"/>
      <c r="P106" s="61"/>
      <c r="Q106" s="58"/>
      <c r="R106" s="58"/>
      <c r="S106" s="100"/>
      <c r="T106" s="100"/>
      <c r="U106" s="100"/>
      <c r="V106" s="100"/>
      <c r="W106" s="57"/>
      <c r="X106"/>
      <c r="Z106" s="15"/>
      <c r="AA106" s="15"/>
      <c r="AB106" s="15"/>
      <c r="AC106" s="1"/>
      <c r="AD106" s="1"/>
      <c r="AE106" s="99"/>
      <c r="AF106" s="99"/>
      <c r="AG106" s="99"/>
      <c r="AH106" s="99"/>
      <c r="AI106"/>
    </row>
    <row r="107" spans="1:41" x14ac:dyDescent="0.2">
      <c r="A107" s="5" t="s">
        <v>159</v>
      </c>
      <c r="B107" s="161" t="s">
        <v>10862</v>
      </c>
      <c r="C107" s="161" t="s">
        <v>10863</v>
      </c>
      <c r="D107" s="161" t="s">
        <v>10864</v>
      </c>
      <c r="E107" s="161" t="s">
        <v>10865</v>
      </c>
      <c r="F107" s="161" t="s">
        <v>1689</v>
      </c>
      <c r="G107" s="161" t="s">
        <v>10866</v>
      </c>
      <c r="H107" s="6" t="s">
        <v>10867</v>
      </c>
      <c r="I107" s="6" t="s">
        <v>221</v>
      </c>
      <c r="J107" s="89"/>
      <c r="L107"/>
      <c r="M107" s="5" t="s">
        <v>159</v>
      </c>
      <c r="N107" s="6" t="str">
        <f>B107</f>
        <v>Bellevue</v>
      </c>
      <c r="O107" s="6" t="str">
        <f t="shared" ref="O107:S107" si="77">C107</f>
        <v>Bellevue Downtown</v>
      </c>
      <c r="P107" s="6" t="str">
        <f t="shared" si="77"/>
        <v>Kirkland</v>
      </c>
      <c r="Q107" s="6" t="str">
        <f t="shared" si="77"/>
        <v>Redmond</v>
      </c>
      <c r="R107" s="6" t="str">
        <f t="shared" si="77"/>
        <v>Seattle</v>
      </c>
      <c r="S107" s="6" t="str">
        <f t="shared" si="77"/>
        <v>Seattle Downtown</v>
      </c>
      <c r="T107" s="6" t="str">
        <f>H107</f>
        <v>Rest</v>
      </c>
      <c r="U107" s="6" t="s">
        <v>221</v>
      </c>
      <c r="V107" s="101"/>
      <c r="X107"/>
      <c r="Y107" s="5" t="s">
        <v>159</v>
      </c>
      <c r="Z107" s="6" t="str">
        <f>B107</f>
        <v>Bellevue</v>
      </c>
      <c r="AA107" s="6" t="str">
        <f t="shared" ref="AA107:AF107" si="78">C107</f>
        <v>Bellevue Downtown</v>
      </c>
      <c r="AB107" s="6" t="str">
        <f t="shared" si="78"/>
        <v>Kirkland</v>
      </c>
      <c r="AC107" s="6" t="str">
        <f t="shared" si="78"/>
        <v>Redmond</v>
      </c>
      <c r="AD107" s="6" t="str">
        <f t="shared" si="78"/>
        <v>Seattle</v>
      </c>
      <c r="AE107" s="6" t="str">
        <f t="shared" si="78"/>
        <v>Seattle Downtown</v>
      </c>
      <c r="AF107" s="6" t="str">
        <f t="shared" si="78"/>
        <v>Rest</v>
      </c>
      <c r="AG107" s="6" t="s">
        <v>221</v>
      </c>
      <c r="AH107" s="89"/>
    </row>
    <row r="108" spans="1:41" x14ac:dyDescent="0.2">
      <c r="A108" s="3" t="s">
        <v>210</v>
      </c>
      <c r="B108" s="7">
        <f>output_NHTS!B211</f>
        <v>0</v>
      </c>
      <c r="C108" s="7">
        <f>output_NHTS!C211</f>
        <v>0</v>
      </c>
      <c r="D108" s="7">
        <f>output_NHTS!D211</f>
        <v>0</v>
      </c>
      <c r="E108" s="7">
        <f>output_NHTS!E211</f>
        <v>0</v>
      </c>
      <c r="F108" s="7">
        <f>output_NHTS!F211</f>
        <v>366865.11869293661</v>
      </c>
      <c r="G108" s="7">
        <f>output_NHTS!G211</f>
        <v>40389.307369103197</v>
      </c>
      <c r="H108" s="7">
        <f>output_NHTS!H211</f>
        <v>1113967.0590666074</v>
      </c>
      <c r="I108" s="7">
        <f>SUM(B108:H108)</f>
        <v>1521221.4851286472</v>
      </c>
      <c r="J108" s="33"/>
      <c r="L108"/>
      <c r="M108" s="3" t="s">
        <v>210</v>
      </c>
      <c r="N108" s="53">
        <f>output!B211</f>
        <v>112</v>
      </c>
      <c r="O108" s="53">
        <f>output!C211</f>
        <v>30</v>
      </c>
      <c r="P108" s="53">
        <f>output!D211</f>
        <v>122</v>
      </c>
      <c r="Q108" s="53">
        <f>output!E211</f>
        <v>84</v>
      </c>
      <c r="R108" s="53">
        <f>output!F211</f>
        <v>310010</v>
      </c>
      <c r="S108" s="53">
        <f>output!G211</f>
        <v>43345</v>
      </c>
      <c r="T108" s="53">
        <f>output!H211</f>
        <v>1030360</v>
      </c>
      <c r="U108" s="53">
        <f>SUM(N108:T108)</f>
        <v>1384063</v>
      </c>
      <c r="V108" s="54"/>
      <c r="X108"/>
      <c r="Y108" s="3" t="s">
        <v>210</v>
      </c>
      <c r="Z108" s="7">
        <f t="shared" ref="Z108:Z116" si="79">N108-B108</f>
        <v>112</v>
      </c>
      <c r="AA108" s="7">
        <f t="shared" ref="AA108:AA116" si="80">O108-C108</f>
        <v>30</v>
      </c>
      <c r="AB108" s="7">
        <f t="shared" ref="AB108:AB116" si="81">P108-D108</f>
        <v>122</v>
      </c>
      <c r="AC108" s="7">
        <f t="shared" ref="AC108:AC116" si="82">Q108-E108</f>
        <v>84</v>
      </c>
      <c r="AD108" s="7">
        <f t="shared" ref="AD108:AD116" si="83">R108-F108</f>
        <v>-56855.118692936609</v>
      </c>
      <c r="AE108" s="7">
        <f t="shared" ref="AE108:AF116" si="84">S108-G108</f>
        <v>2955.6926308968032</v>
      </c>
      <c r="AF108" s="7">
        <f t="shared" si="84"/>
        <v>-83607.059066607384</v>
      </c>
      <c r="AG108" s="7">
        <f t="shared" ref="AG108:AG116" si="85">U108-I108</f>
        <v>-137158.48512864718</v>
      </c>
      <c r="AH108" s="33"/>
    </row>
    <row r="109" spans="1:41" x14ac:dyDescent="0.2">
      <c r="A109" s="3" t="s">
        <v>211</v>
      </c>
      <c r="B109" s="7">
        <f>output_NHTS!B212</f>
        <v>0</v>
      </c>
      <c r="C109" s="7">
        <f>output_NHTS!C212</f>
        <v>0</v>
      </c>
      <c r="D109" s="7">
        <f>output_NHTS!D212</f>
        <v>0</v>
      </c>
      <c r="E109" s="7">
        <f>output_NHTS!E212</f>
        <v>0</v>
      </c>
      <c r="F109" s="7">
        <f>output_NHTS!F212</f>
        <v>128049.85788342191</v>
      </c>
      <c r="G109" s="7">
        <f>output_NHTS!G212</f>
        <v>3679.5907776108002</v>
      </c>
      <c r="H109" s="7">
        <f>output_NHTS!H212</f>
        <v>574441.30110731046</v>
      </c>
      <c r="I109" s="7">
        <f t="shared" ref="I109:I115" si="86">SUM(B109:H109)</f>
        <v>706170.74976834317</v>
      </c>
      <c r="J109" s="33"/>
      <c r="L109"/>
      <c r="M109" s="3" t="s">
        <v>211</v>
      </c>
      <c r="N109" s="53">
        <f>output!B212</f>
        <v>0</v>
      </c>
      <c r="O109" s="53">
        <f>output!C212</f>
        <v>0</v>
      </c>
      <c r="P109" s="53">
        <f>output!D212</f>
        <v>0</v>
      </c>
      <c r="Q109" s="53">
        <f>output!E212</f>
        <v>0</v>
      </c>
      <c r="R109" s="53">
        <f>output!F212</f>
        <v>81332</v>
      </c>
      <c r="S109" s="53">
        <f>output!G212</f>
        <v>4427</v>
      </c>
      <c r="T109" s="53">
        <f>output!H212</f>
        <v>375344</v>
      </c>
      <c r="U109" s="53">
        <f t="shared" ref="U109:U115" si="87">SUM(N109:T109)</f>
        <v>461103</v>
      </c>
      <c r="V109" s="54"/>
      <c r="X109"/>
      <c r="Y109" s="3" t="s">
        <v>211</v>
      </c>
      <c r="Z109" s="7">
        <f t="shared" si="79"/>
        <v>0</v>
      </c>
      <c r="AA109" s="7">
        <f t="shared" si="80"/>
        <v>0</v>
      </c>
      <c r="AB109" s="7">
        <f t="shared" si="81"/>
        <v>0</v>
      </c>
      <c r="AC109" s="7">
        <f t="shared" si="82"/>
        <v>0</v>
      </c>
      <c r="AD109" s="7">
        <f t="shared" si="83"/>
        <v>-46717.857883421908</v>
      </c>
      <c r="AE109" s="7">
        <f t="shared" si="84"/>
        <v>747.40922238919984</v>
      </c>
      <c r="AF109" s="7">
        <f t="shared" si="84"/>
        <v>-199097.30110731046</v>
      </c>
      <c r="AG109" s="7">
        <f t="shared" si="85"/>
        <v>-245067.74976834317</v>
      </c>
      <c r="AH109" s="33"/>
    </row>
    <row r="110" spans="1:41" x14ac:dyDescent="0.2">
      <c r="A110" s="3" t="s">
        <v>212</v>
      </c>
      <c r="B110" s="7">
        <f>output_NHTS!B213</f>
        <v>0</v>
      </c>
      <c r="C110" s="7">
        <f>output_NHTS!C213</f>
        <v>0</v>
      </c>
      <c r="D110" s="7">
        <f>output_NHTS!D213</f>
        <v>0</v>
      </c>
      <c r="E110" s="7">
        <f>output_NHTS!E213</f>
        <v>0</v>
      </c>
      <c r="F110" s="7">
        <f>output_NHTS!F213</f>
        <v>92579.880363555902</v>
      </c>
      <c r="G110" s="7">
        <f>output_NHTS!G213</f>
        <v>2611.1811652474998</v>
      </c>
      <c r="H110" s="7">
        <f>output_NHTS!H213</f>
        <v>452633.55433099088</v>
      </c>
      <c r="I110" s="7">
        <f t="shared" si="86"/>
        <v>547824.61585979431</v>
      </c>
      <c r="J110" s="33"/>
      <c r="L110"/>
      <c r="M110" s="3" t="s">
        <v>212</v>
      </c>
      <c r="N110" s="53">
        <f>output!B213</f>
        <v>0</v>
      </c>
      <c r="O110" s="53">
        <f>output!C213</f>
        <v>0</v>
      </c>
      <c r="P110" s="53">
        <f>output!D213</f>
        <v>0</v>
      </c>
      <c r="Q110" s="53">
        <f>output!E213</f>
        <v>0</v>
      </c>
      <c r="R110" s="53">
        <f>output!F213</f>
        <v>75839</v>
      </c>
      <c r="S110" s="53">
        <f>output!G213</f>
        <v>6508</v>
      </c>
      <c r="T110" s="53">
        <f>output!H213</f>
        <v>388983</v>
      </c>
      <c r="U110" s="53">
        <f t="shared" si="87"/>
        <v>471330</v>
      </c>
      <c r="V110" s="54"/>
      <c r="X110"/>
      <c r="Y110" s="3" t="s">
        <v>212</v>
      </c>
      <c r="Z110" s="7">
        <f t="shared" si="79"/>
        <v>0</v>
      </c>
      <c r="AA110" s="7">
        <f t="shared" si="80"/>
        <v>0</v>
      </c>
      <c r="AB110" s="7">
        <f t="shared" si="81"/>
        <v>0</v>
      </c>
      <c r="AC110" s="7">
        <f t="shared" si="82"/>
        <v>0</v>
      </c>
      <c r="AD110" s="7">
        <f t="shared" si="83"/>
        <v>-16740.880363555902</v>
      </c>
      <c r="AE110" s="7">
        <f t="shared" si="84"/>
        <v>3896.8188347525002</v>
      </c>
      <c r="AF110" s="7">
        <f t="shared" si="84"/>
        <v>-63650.554330990883</v>
      </c>
      <c r="AG110" s="7">
        <f t="shared" si="85"/>
        <v>-76494.615859794314</v>
      </c>
      <c r="AH110" s="33"/>
    </row>
    <row r="111" spans="1:41" x14ac:dyDescent="0.2">
      <c r="A111" s="3" t="s">
        <v>213</v>
      </c>
      <c r="B111" s="7">
        <f>output_NHTS!B214</f>
        <v>0</v>
      </c>
      <c r="C111" s="7">
        <f>output_NHTS!C214</f>
        <v>0</v>
      </c>
      <c r="D111" s="7">
        <f>output_NHTS!D214</f>
        <v>0</v>
      </c>
      <c r="E111" s="7">
        <f>output_NHTS!E214</f>
        <v>0</v>
      </c>
      <c r="F111" s="7">
        <f>output_NHTS!F214</f>
        <v>110186.080294496</v>
      </c>
      <c r="G111" s="7">
        <f>output_NHTS!G214</f>
        <v>10687.5900859625</v>
      </c>
      <c r="H111" s="7">
        <f>output_NHTS!H214</f>
        <v>516921.29535011522</v>
      </c>
      <c r="I111" s="7">
        <f t="shared" si="86"/>
        <v>637794.96573057375</v>
      </c>
      <c r="J111" s="33"/>
      <c r="L111"/>
      <c r="M111" s="3" t="s">
        <v>213</v>
      </c>
      <c r="N111" s="53">
        <f>output!B214</f>
        <v>0</v>
      </c>
      <c r="O111" s="53">
        <f>output!C214</f>
        <v>0</v>
      </c>
      <c r="P111" s="53">
        <f>output!D214</f>
        <v>0</v>
      </c>
      <c r="Q111" s="53">
        <f>output!E214</f>
        <v>0</v>
      </c>
      <c r="R111" s="53">
        <f>output!F214</f>
        <v>95302</v>
      </c>
      <c r="S111" s="53">
        <f>output!G214</f>
        <v>13275</v>
      </c>
      <c r="T111" s="53">
        <f>output!H214</f>
        <v>415049</v>
      </c>
      <c r="U111" s="53">
        <f t="shared" si="87"/>
        <v>523626</v>
      </c>
      <c r="V111" s="54"/>
      <c r="X111"/>
      <c r="Y111" s="3" t="s">
        <v>213</v>
      </c>
      <c r="Z111" s="7">
        <f t="shared" si="79"/>
        <v>0</v>
      </c>
      <c r="AA111" s="7">
        <f t="shared" si="80"/>
        <v>0</v>
      </c>
      <c r="AB111" s="7">
        <f t="shared" si="81"/>
        <v>0</v>
      </c>
      <c r="AC111" s="7">
        <f t="shared" si="82"/>
        <v>0</v>
      </c>
      <c r="AD111" s="7">
        <f t="shared" si="83"/>
        <v>-14884.080294496001</v>
      </c>
      <c r="AE111" s="7">
        <f t="shared" si="84"/>
        <v>2587.4099140375001</v>
      </c>
      <c r="AF111" s="7">
        <f t="shared" si="84"/>
        <v>-101872.29535011522</v>
      </c>
      <c r="AG111" s="7">
        <f t="shared" si="85"/>
        <v>-114168.96573057375</v>
      </c>
      <c r="AH111" s="33"/>
    </row>
    <row r="112" spans="1:41" x14ac:dyDescent="0.2">
      <c r="A112" s="3" t="s">
        <v>214</v>
      </c>
      <c r="B112" s="7">
        <f>output_NHTS!B215</f>
        <v>0</v>
      </c>
      <c r="C112" s="7">
        <f>output_NHTS!C215</f>
        <v>0</v>
      </c>
      <c r="D112" s="7">
        <f>output_NHTS!D215</f>
        <v>0</v>
      </c>
      <c r="E112" s="7">
        <f>output_NHTS!E215</f>
        <v>0</v>
      </c>
      <c r="F112" s="7">
        <f>output_NHTS!F215</f>
        <v>105114.46815625941</v>
      </c>
      <c r="G112" s="7">
        <f>output_NHTS!G215</f>
        <v>12804.510940579499</v>
      </c>
      <c r="H112" s="7">
        <f>output_NHTS!H215</f>
        <v>524313.44809945137</v>
      </c>
      <c r="I112" s="7">
        <f t="shared" si="86"/>
        <v>642232.42719629023</v>
      </c>
      <c r="J112" s="33"/>
      <c r="L112"/>
      <c r="M112" s="3" t="s">
        <v>214</v>
      </c>
      <c r="N112" s="53">
        <f>output!B215</f>
        <v>0</v>
      </c>
      <c r="O112" s="53">
        <f>output!C215</f>
        <v>0</v>
      </c>
      <c r="P112" s="53">
        <f>output!D215</f>
        <v>0</v>
      </c>
      <c r="Q112" s="53">
        <f>output!E215</f>
        <v>0</v>
      </c>
      <c r="R112" s="53">
        <f>output!F215</f>
        <v>82672</v>
      </c>
      <c r="S112" s="53">
        <f>output!G215</f>
        <v>12667</v>
      </c>
      <c r="T112" s="53">
        <f>output!H215</f>
        <v>464310</v>
      </c>
      <c r="U112" s="53">
        <f t="shared" si="87"/>
        <v>559649</v>
      </c>
      <c r="V112" s="54"/>
      <c r="X112"/>
      <c r="Y112" s="3" t="s">
        <v>214</v>
      </c>
      <c r="Z112" s="7">
        <f t="shared" si="79"/>
        <v>0</v>
      </c>
      <c r="AA112" s="7">
        <f t="shared" si="80"/>
        <v>0</v>
      </c>
      <c r="AB112" s="7">
        <f t="shared" si="81"/>
        <v>0</v>
      </c>
      <c r="AC112" s="7">
        <f t="shared" si="82"/>
        <v>0</v>
      </c>
      <c r="AD112" s="7">
        <f t="shared" si="83"/>
        <v>-22442.468156259405</v>
      </c>
      <c r="AE112" s="7">
        <f t="shared" si="84"/>
        <v>-137.51094057949922</v>
      </c>
      <c r="AF112" s="7">
        <f t="shared" si="84"/>
        <v>-60003.448099451372</v>
      </c>
      <c r="AG112" s="7">
        <f t="shared" si="85"/>
        <v>-82583.427196290228</v>
      </c>
      <c r="AH112" s="33"/>
    </row>
    <row r="113" spans="1:34" x14ac:dyDescent="0.2">
      <c r="A113" s="3" t="s">
        <v>129</v>
      </c>
      <c r="B113" s="7">
        <f>output_NHTS!B216</f>
        <v>0</v>
      </c>
      <c r="C113" s="7">
        <f>output_NHTS!C216</f>
        <v>0</v>
      </c>
      <c r="D113" s="7">
        <f>output_NHTS!D216</f>
        <v>0</v>
      </c>
      <c r="E113" s="7">
        <f>output_NHTS!E216</f>
        <v>0</v>
      </c>
      <c r="F113" s="7">
        <f>output_NHTS!F216</f>
        <v>51316.740136362801</v>
      </c>
      <c r="G113" s="7">
        <f>output_NHTS!G216</f>
        <v>6574.4430957761997</v>
      </c>
      <c r="H113" s="7">
        <f>output_NHTS!H216</f>
        <v>138697.91912953521</v>
      </c>
      <c r="I113" s="7">
        <f t="shared" si="86"/>
        <v>196589.10236167422</v>
      </c>
      <c r="J113" s="33"/>
      <c r="L113"/>
      <c r="M113" s="3" t="s">
        <v>129</v>
      </c>
      <c r="N113" s="53">
        <f>output!B216</f>
        <v>0</v>
      </c>
      <c r="O113" s="53">
        <f>output!C216</f>
        <v>0</v>
      </c>
      <c r="P113" s="53">
        <f>output!D216</f>
        <v>0</v>
      </c>
      <c r="Q113" s="53">
        <f>output!E216</f>
        <v>0</v>
      </c>
      <c r="R113" s="53">
        <f>output!F216</f>
        <v>37176</v>
      </c>
      <c r="S113" s="53">
        <f>output!G216</f>
        <v>6311</v>
      </c>
      <c r="T113" s="53">
        <f>output!H216</f>
        <v>116887</v>
      </c>
      <c r="U113" s="53">
        <f t="shared" si="87"/>
        <v>160374</v>
      </c>
      <c r="V113" s="54"/>
      <c r="X113"/>
      <c r="Y113" s="3" t="s">
        <v>129</v>
      </c>
      <c r="Z113" s="7">
        <f t="shared" si="79"/>
        <v>0</v>
      </c>
      <c r="AA113" s="7">
        <f t="shared" si="80"/>
        <v>0</v>
      </c>
      <c r="AB113" s="7">
        <f t="shared" si="81"/>
        <v>0</v>
      </c>
      <c r="AC113" s="7">
        <f t="shared" si="82"/>
        <v>0</v>
      </c>
      <c r="AD113" s="7">
        <f t="shared" si="83"/>
        <v>-14140.740136362801</v>
      </c>
      <c r="AE113" s="7">
        <f t="shared" si="84"/>
        <v>-263.4430957761997</v>
      </c>
      <c r="AF113" s="7">
        <f t="shared" si="84"/>
        <v>-21810.919129535207</v>
      </c>
      <c r="AG113" s="7">
        <f t="shared" si="85"/>
        <v>-36215.102361674217</v>
      </c>
      <c r="AH113" s="33"/>
    </row>
    <row r="114" spans="1:34" x14ac:dyDescent="0.2">
      <c r="A114" s="25" t="s">
        <v>130</v>
      </c>
      <c r="B114" s="7">
        <f>output_NHTS!B217</f>
        <v>0</v>
      </c>
      <c r="C114" s="7">
        <f>output_NHTS!C217</f>
        <v>0</v>
      </c>
      <c r="D114" s="7">
        <f>output_NHTS!D217</f>
        <v>0</v>
      </c>
      <c r="E114" s="7">
        <f>output_NHTS!E217</f>
        <v>0</v>
      </c>
      <c r="F114" s="7">
        <f>output_NHTS!F217</f>
        <v>218949.4684907874</v>
      </c>
      <c r="G114" s="7">
        <f>output_NHTS!G217</f>
        <v>20280.583342895599</v>
      </c>
      <c r="H114" s="7">
        <f>output_NHTS!H217</f>
        <v>730770.98696564918</v>
      </c>
      <c r="I114" s="7">
        <f t="shared" si="86"/>
        <v>970001.03879933222</v>
      </c>
      <c r="J114" s="33"/>
      <c r="L114"/>
      <c r="M114" s="25" t="s">
        <v>130</v>
      </c>
      <c r="N114" s="54">
        <f>output!B217</f>
        <v>0</v>
      </c>
      <c r="O114" s="54">
        <f>output!C217</f>
        <v>0</v>
      </c>
      <c r="P114" s="54">
        <f>output!D217</f>
        <v>0</v>
      </c>
      <c r="Q114" s="54">
        <f>output!E217</f>
        <v>0</v>
      </c>
      <c r="R114" s="54">
        <f>output!F217</f>
        <v>159807</v>
      </c>
      <c r="S114" s="54">
        <f>output!G217</f>
        <v>21217</v>
      </c>
      <c r="T114" s="54">
        <f>output!H217</f>
        <v>598143</v>
      </c>
      <c r="U114" s="53">
        <f t="shared" si="87"/>
        <v>779167</v>
      </c>
      <c r="V114" s="54"/>
      <c r="X114"/>
      <c r="Y114" s="25" t="s">
        <v>130</v>
      </c>
      <c r="Z114" s="33">
        <f t="shared" si="79"/>
        <v>0</v>
      </c>
      <c r="AA114" s="33">
        <f t="shared" si="80"/>
        <v>0</v>
      </c>
      <c r="AB114" s="33">
        <f t="shared" si="81"/>
        <v>0</v>
      </c>
      <c r="AC114" s="33">
        <f t="shared" si="82"/>
        <v>0</v>
      </c>
      <c r="AD114" s="33">
        <f t="shared" si="83"/>
        <v>-59142.468490787403</v>
      </c>
      <c r="AE114" s="33">
        <f t="shared" si="84"/>
        <v>936.41665710440066</v>
      </c>
      <c r="AF114" s="7">
        <f t="shared" si="84"/>
        <v>-132627.98696564918</v>
      </c>
      <c r="AG114" s="33">
        <f t="shared" si="85"/>
        <v>-190834.03879933222</v>
      </c>
      <c r="AH114" s="33"/>
    </row>
    <row r="115" spans="1:34" x14ac:dyDescent="0.2">
      <c r="A115" s="25" t="s">
        <v>247</v>
      </c>
      <c r="B115" s="9">
        <f>output_NHTS!B218</f>
        <v>0</v>
      </c>
      <c r="C115" s="9">
        <f>output_NHTS!C218</f>
        <v>0</v>
      </c>
      <c r="D115" s="9">
        <f>output_NHTS!D218</f>
        <v>0</v>
      </c>
      <c r="E115" s="9">
        <f>output_NHTS!E218</f>
        <v>0</v>
      </c>
      <c r="F115" s="9">
        <f>output_NHTS!F218</f>
        <v>49565.2087046374</v>
      </c>
      <c r="G115" s="9">
        <f>output_NHTS!G218</f>
        <v>8562.5809054546007</v>
      </c>
      <c r="H115" s="7">
        <f>output_NHTS!H218</f>
        <v>103552.8863828537</v>
      </c>
      <c r="I115" s="7">
        <f t="shared" si="86"/>
        <v>161680.6759929457</v>
      </c>
      <c r="J115" s="33"/>
      <c r="L115"/>
      <c r="M115" s="25" t="s">
        <v>247</v>
      </c>
      <c r="N115" s="59">
        <f>output!B218</f>
        <v>6</v>
      </c>
      <c r="O115" s="59">
        <f>output!C218</f>
        <v>1</v>
      </c>
      <c r="P115" s="59">
        <f>output!D218</f>
        <v>6</v>
      </c>
      <c r="Q115" s="59">
        <f>output!E218</f>
        <v>3</v>
      </c>
      <c r="R115" s="59">
        <f>output!F218</f>
        <v>38812</v>
      </c>
      <c r="S115" s="59">
        <f>output!G218</f>
        <v>5928</v>
      </c>
      <c r="T115" s="59">
        <f>output!H218</f>
        <v>101009</v>
      </c>
      <c r="U115" s="53">
        <f t="shared" si="87"/>
        <v>145765</v>
      </c>
      <c r="V115" s="54"/>
      <c r="X115"/>
      <c r="Y115" s="25" t="s">
        <v>247</v>
      </c>
      <c r="Z115" s="9">
        <f t="shared" si="79"/>
        <v>6</v>
      </c>
      <c r="AA115" s="9">
        <f t="shared" si="80"/>
        <v>1</v>
      </c>
      <c r="AB115" s="9">
        <f t="shared" si="81"/>
        <v>6</v>
      </c>
      <c r="AC115" s="9">
        <f t="shared" si="82"/>
        <v>3</v>
      </c>
      <c r="AD115" s="9">
        <f t="shared" si="83"/>
        <v>-10753.2087046374</v>
      </c>
      <c r="AE115" s="9">
        <f t="shared" si="84"/>
        <v>-2634.5809054546007</v>
      </c>
      <c r="AF115" s="7">
        <f t="shared" si="84"/>
        <v>-2543.8863828536996</v>
      </c>
      <c r="AG115" s="9">
        <f t="shared" si="85"/>
        <v>-15915.675992945704</v>
      </c>
      <c r="AH115" s="33"/>
    </row>
    <row r="116" spans="1:34" ht="13.5" thickBot="1" x14ac:dyDescent="0.25">
      <c r="A116" s="10" t="s">
        <v>221</v>
      </c>
      <c r="B116" s="60">
        <f>SUM(B108:B115)</f>
        <v>0</v>
      </c>
      <c r="C116" s="60">
        <f>SUM(C108:C115)</f>
        <v>0</v>
      </c>
      <c r="D116" s="60">
        <f>SUM(D108:D115)</f>
        <v>0</v>
      </c>
      <c r="E116" s="60">
        <f>SUM(E108:E115)</f>
        <v>0</v>
      </c>
      <c r="F116" s="60">
        <f t="shared" ref="F116:H116" si="88">SUM(F108:F115)</f>
        <v>1122626.8227224573</v>
      </c>
      <c r="G116" s="60">
        <f t="shared" si="88"/>
        <v>105589.78768262987</v>
      </c>
      <c r="H116" s="60">
        <f t="shared" si="88"/>
        <v>4155298.4504325138</v>
      </c>
      <c r="I116" s="60">
        <f>SUM(I108:I115)</f>
        <v>5383515.0608376022</v>
      </c>
      <c r="J116" s="33"/>
      <c r="L116"/>
      <c r="M116" s="10" t="s">
        <v>221</v>
      </c>
      <c r="N116" s="60">
        <f>SUM(N108:N115)</f>
        <v>118</v>
      </c>
      <c r="O116" s="60">
        <f>SUM(O108:O115)</f>
        <v>31</v>
      </c>
      <c r="P116" s="60">
        <f>SUM(P108:P115)</f>
        <v>128</v>
      </c>
      <c r="Q116" s="60">
        <f>SUM(Q108:Q115)</f>
        <v>87</v>
      </c>
      <c r="R116" s="60">
        <f t="shared" ref="R116:S116" si="89">SUM(R108:R115)</f>
        <v>880950</v>
      </c>
      <c r="S116" s="60">
        <f t="shared" si="89"/>
        <v>113678</v>
      </c>
      <c r="T116" s="60">
        <f t="shared" ref="T116" si="90">SUM(T108:T115)</f>
        <v>3490085</v>
      </c>
      <c r="U116" s="60">
        <f>SUM(U108:U115)</f>
        <v>4485077</v>
      </c>
      <c r="V116" s="54"/>
      <c r="X116"/>
      <c r="Y116" s="10" t="s">
        <v>221</v>
      </c>
      <c r="Z116" s="22">
        <f t="shared" si="79"/>
        <v>118</v>
      </c>
      <c r="AA116" s="22">
        <f t="shared" si="80"/>
        <v>31</v>
      </c>
      <c r="AB116" s="22">
        <f t="shared" si="81"/>
        <v>128</v>
      </c>
      <c r="AC116" s="22">
        <f t="shared" si="82"/>
        <v>87</v>
      </c>
      <c r="AD116" s="22">
        <f t="shared" si="83"/>
        <v>-241676.82272245735</v>
      </c>
      <c r="AE116" s="22">
        <f t="shared" si="84"/>
        <v>8088.2123173701257</v>
      </c>
      <c r="AF116" s="22">
        <f t="shared" si="84"/>
        <v>-665213.45043251384</v>
      </c>
      <c r="AG116" s="22">
        <f t="shared" si="85"/>
        <v>-898438.06083760224</v>
      </c>
      <c r="AH116" s="33"/>
    </row>
    <row r="117" spans="1:34" x14ac:dyDescent="0.2">
      <c r="G117" s="25"/>
      <c r="H117" s="25"/>
      <c r="I117" s="25"/>
      <c r="J117" s="25"/>
      <c r="L117"/>
      <c r="S117" s="102"/>
      <c r="T117" s="102"/>
      <c r="U117" s="102"/>
      <c r="V117" s="102"/>
      <c r="X117"/>
      <c r="AE117" s="25"/>
      <c r="AF117" s="25"/>
      <c r="AG117" s="25"/>
      <c r="AH117" s="25"/>
    </row>
    <row r="118" spans="1:34" x14ac:dyDescent="0.2">
      <c r="A118" s="25" t="s">
        <v>88</v>
      </c>
      <c r="B118" s="7">
        <f>output_NHTS!B331</f>
        <v>0</v>
      </c>
      <c r="C118" s="7">
        <f>output_NHTS!B332</f>
        <v>0</v>
      </c>
      <c r="D118" s="7">
        <f>output_NHTS!B333</f>
        <v>0</v>
      </c>
      <c r="E118" s="7">
        <f>output_NHTS!B334</f>
        <v>0</v>
      </c>
      <c r="F118" s="7">
        <f>output_NHTS!B335</f>
        <v>636827.67330000002</v>
      </c>
      <c r="G118" s="7">
        <f>output_NHTS!B336</f>
        <v>54534.662199999999</v>
      </c>
      <c r="H118" s="7">
        <f>output_NHTS!B337</f>
        <v>2601551.0852999999</v>
      </c>
      <c r="I118" s="7">
        <f>SUM(B118:H118)</f>
        <v>3292913.4208</v>
      </c>
      <c r="J118" s="33"/>
      <c r="L118"/>
      <c r="M118" s="25" t="s">
        <v>88</v>
      </c>
      <c r="N118" s="7">
        <f>output!B331</f>
        <v>620</v>
      </c>
      <c r="O118" s="7">
        <f>output!B332</f>
        <v>168</v>
      </c>
      <c r="P118" s="7">
        <f>output!B333</f>
        <v>756</v>
      </c>
      <c r="Q118" s="7">
        <f>output!B334</f>
        <v>502</v>
      </c>
      <c r="R118" s="7">
        <f>output!B335</f>
        <v>525803</v>
      </c>
      <c r="S118" s="7">
        <f>output!B336</f>
        <v>63262</v>
      </c>
      <c r="T118" s="7">
        <f>output!B337</f>
        <v>2180627</v>
      </c>
      <c r="U118" s="7">
        <f>SUM(N118:T118)</f>
        <v>2771738</v>
      </c>
      <c r="V118" s="54"/>
      <c r="Y118" s="25" t="s">
        <v>88</v>
      </c>
      <c r="Z118" s="7">
        <f t="shared" ref="Z118:AB119" si="91">N118-B118</f>
        <v>620</v>
      </c>
      <c r="AA118" s="7">
        <f t="shared" si="91"/>
        <v>168</v>
      </c>
      <c r="AB118" s="7">
        <f t="shared" si="91"/>
        <v>756</v>
      </c>
      <c r="AC118" s="7">
        <f t="shared" ref="AC118:AC119" si="92">Q118-E118</f>
        <v>502</v>
      </c>
      <c r="AD118" s="7">
        <f t="shared" ref="AD118:AD119" si="93">R118-F118</f>
        <v>-111024.67330000002</v>
      </c>
      <c r="AE118" s="7">
        <f t="shared" ref="AE118:AF119" si="94">S118-G118</f>
        <v>8727.3378000000012</v>
      </c>
      <c r="AF118" s="7">
        <f t="shared" si="94"/>
        <v>-420924.08529999992</v>
      </c>
      <c r="AG118" s="7">
        <f t="shared" ref="AG118:AG119" si="95">U118-I118</f>
        <v>-521175.42079999996</v>
      </c>
      <c r="AH118" s="33"/>
    </row>
    <row r="119" spans="1:34" x14ac:dyDescent="0.2">
      <c r="A119" s="25" t="s">
        <v>89</v>
      </c>
      <c r="B119" s="37" t="e">
        <f>B116/B118</f>
        <v>#DIV/0!</v>
      </c>
      <c r="C119" s="37" t="e">
        <f>C116/C118</f>
        <v>#DIV/0!</v>
      </c>
      <c r="D119" s="37" t="e">
        <f>D116/D118</f>
        <v>#DIV/0!</v>
      </c>
      <c r="E119" s="37" t="e">
        <f>E116/E118</f>
        <v>#DIV/0!</v>
      </c>
      <c r="F119" s="37">
        <f t="shared" ref="F119:I119" si="96">F116/F118</f>
        <v>1.7628423980149566</v>
      </c>
      <c r="G119" s="37">
        <f>G116/G118</f>
        <v>1.936195869250839</v>
      </c>
      <c r="H119" s="37">
        <f>H116/H118</f>
        <v>1.5972388448998465</v>
      </c>
      <c r="I119" s="37">
        <f t="shared" si="96"/>
        <v>1.6348790183283042</v>
      </c>
      <c r="J119" s="37"/>
      <c r="L119"/>
      <c r="M119" s="25" t="s">
        <v>89</v>
      </c>
      <c r="N119" s="37">
        <f>N116/N118</f>
        <v>0.19032258064516128</v>
      </c>
      <c r="O119" s="37">
        <f>O116/O118</f>
        <v>0.18452380952380953</v>
      </c>
      <c r="P119" s="37">
        <f>P116/P118</f>
        <v>0.1693121693121693</v>
      </c>
      <c r="Q119" s="37">
        <f>Q116/Q118</f>
        <v>0.17330677290836655</v>
      </c>
      <c r="R119" s="37">
        <f t="shared" ref="R119:U119" si="97">R116/R118</f>
        <v>1.675437378638007</v>
      </c>
      <c r="S119" s="37">
        <f t="shared" si="97"/>
        <v>1.7969397110429641</v>
      </c>
      <c r="T119" s="37">
        <f t="shared" si="97"/>
        <v>1.6004960958476622</v>
      </c>
      <c r="U119" s="37">
        <f t="shared" si="97"/>
        <v>1.6181460874007572</v>
      </c>
      <c r="V119" s="37"/>
      <c r="Y119" s="25" t="s">
        <v>89</v>
      </c>
      <c r="Z119" s="38" t="e">
        <f t="shared" si="91"/>
        <v>#DIV/0!</v>
      </c>
      <c r="AA119" s="38" t="e">
        <f t="shared" si="91"/>
        <v>#DIV/0!</v>
      </c>
      <c r="AB119" s="38" t="e">
        <f t="shared" si="91"/>
        <v>#DIV/0!</v>
      </c>
      <c r="AC119" s="38" t="e">
        <f t="shared" si="92"/>
        <v>#DIV/0!</v>
      </c>
      <c r="AD119" s="38">
        <f t="shared" si="93"/>
        <v>-8.7405019376949555E-2</v>
      </c>
      <c r="AE119" s="38">
        <f t="shared" si="94"/>
        <v>-0.13925615820787485</v>
      </c>
      <c r="AF119" s="38">
        <f t="shared" si="94"/>
        <v>3.2572509478157041E-3</v>
      </c>
      <c r="AG119" s="38">
        <f t="shared" si="95"/>
        <v>-1.6732930927547018E-2</v>
      </c>
      <c r="AH119" s="103"/>
    </row>
    <row r="120" spans="1:34" x14ac:dyDescent="0.2">
      <c r="G120" s="25"/>
      <c r="H120" s="25"/>
      <c r="I120" s="25"/>
      <c r="J120" s="25"/>
      <c r="L120"/>
      <c r="S120" s="102"/>
      <c r="T120" s="102"/>
      <c r="U120" s="102"/>
      <c r="V120" s="102"/>
      <c r="AE120" s="25"/>
      <c r="AF120" s="25"/>
      <c r="AG120" s="25"/>
      <c r="AH120" s="25"/>
    </row>
    <row r="121" spans="1:34" x14ac:dyDescent="0.2">
      <c r="A121" s="2" t="s">
        <v>175</v>
      </c>
      <c r="E121"/>
      <c r="F121"/>
      <c r="G121" s="99"/>
      <c r="H121" s="99"/>
      <c r="I121" s="99"/>
      <c r="J121" s="99"/>
      <c r="L121"/>
      <c r="M121" s="2" t="s">
        <v>175</v>
      </c>
      <c r="Q121" s="57"/>
      <c r="R121" s="57"/>
      <c r="S121" s="100"/>
      <c r="T121" s="100"/>
      <c r="U121" s="100"/>
      <c r="V121" s="100"/>
      <c r="Y121" s="2" t="s">
        <v>175</v>
      </c>
      <c r="AC121"/>
      <c r="AD121"/>
      <c r="AE121" s="99"/>
      <c r="AF121" s="99"/>
      <c r="AG121" s="99"/>
      <c r="AH121" s="99"/>
    </row>
    <row r="122" spans="1:34" x14ac:dyDescent="0.2">
      <c r="A122" s="2" t="s">
        <v>304</v>
      </c>
      <c r="E122"/>
      <c r="F122"/>
      <c r="G122" s="99"/>
      <c r="H122" s="99"/>
      <c r="I122" s="99"/>
      <c r="J122" s="99"/>
      <c r="L122"/>
      <c r="M122" s="2" t="s">
        <v>305</v>
      </c>
      <c r="Q122" s="57"/>
      <c r="R122" s="57"/>
      <c r="S122" s="100"/>
      <c r="T122" s="100"/>
      <c r="U122" s="100"/>
      <c r="V122" s="100"/>
      <c r="Y122" s="2" t="s">
        <v>83</v>
      </c>
      <c r="AC122"/>
      <c r="AD122"/>
      <c r="AE122" s="99"/>
      <c r="AF122" s="99"/>
      <c r="AG122" s="99"/>
      <c r="AH122" s="99"/>
    </row>
    <row r="123" spans="1:34" ht="13.5" thickBot="1" x14ac:dyDescent="0.25">
      <c r="B123" s="15"/>
      <c r="C123" s="15"/>
      <c r="D123" s="15"/>
      <c r="E123" s="1"/>
      <c r="F123" s="1"/>
      <c r="G123" s="99"/>
      <c r="H123" s="99"/>
      <c r="I123" s="99"/>
      <c r="J123" s="99"/>
      <c r="L123"/>
      <c r="N123" s="61"/>
      <c r="O123" s="61"/>
      <c r="P123" s="61"/>
      <c r="Q123" s="58"/>
      <c r="R123" s="58"/>
      <c r="S123" s="100"/>
      <c r="T123" s="100"/>
      <c r="U123" s="100"/>
      <c r="V123" s="100"/>
      <c r="Z123" s="15"/>
      <c r="AA123" s="15"/>
      <c r="AB123" s="15"/>
      <c r="AC123" s="1"/>
      <c r="AD123" s="1"/>
      <c r="AE123" s="99"/>
      <c r="AF123" s="99"/>
      <c r="AG123" s="99"/>
      <c r="AH123" s="99"/>
    </row>
    <row r="124" spans="1:34" x14ac:dyDescent="0.2">
      <c r="A124" s="5" t="s">
        <v>159</v>
      </c>
      <c r="B124" s="6" t="str">
        <f>B107</f>
        <v>Bellevue</v>
      </c>
      <c r="C124" s="6" t="str">
        <f t="shared" ref="C124:H124" si="98">C107</f>
        <v>Bellevue Downtown</v>
      </c>
      <c r="D124" s="6" t="str">
        <f t="shared" si="98"/>
        <v>Kirkland</v>
      </c>
      <c r="E124" s="6" t="str">
        <f t="shared" si="98"/>
        <v>Redmond</v>
      </c>
      <c r="F124" s="6" t="str">
        <f t="shared" si="98"/>
        <v>Seattle</v>
      </c>
      <c r="G124" s="6" t="str">
        <f t="shared" si="98"/>
        <v>Seattle Downtown</v>
      </c>
      <c r="H124" s="6" t="str">
        <f t="shared" si="98"/>
        <v>Rest</v>
      </c>
      <c r="I124" s="6" t="s">
        <v>221</v>
      </c>
      <c r="J124" s="89"/>
      <c r="L124"/>
      <c r="M124" s="5" t="s">
        <v>159</v>
      </c>
      <c r="N124" s="6" t="str">
        <f>B107</f>
        <v>Bellevue</v>
      </c>
      <c r="O124" s="6" t="str">
        <f t="shared" ref="O124:T124" si="99">C107</f>
        <v>Bellevue Downtown</v>
      </c>
      <c r="P124" s="6" t="str">
        <f t="shared" si="99"/>
        <v>Kirkland</v>
      </c>
      <c r="Q124" s="6" t="str">
        <f t="shared" si="99"/>
        <v>Redmond</v>
      </c>
      <c r="R124" s="6" t="str">
        <f t="shared" si="99"/>
        <v>Seattle</v>
      </c>
      <c r="S124" s="6" t="str">
        <f t="shared" si="99"/>
        <v>Seattle Downtown</v>
      </c>
      <c r="T124" s="6" t="str">
        <f t="shared" si="99"/>
        <v>Rest</v>
      </c>
      <c r="U124" s="6" t="s">
        <v>221</v>
      </c>
      <c r="V124" s="101"/>
      <c r="Y124" s="5" t="s">
        <v>159</v>
      </c>
      <c r="Z124" s="6" t="str">
        <f>B107</f>
        <v>Bellevue</v>
      </c>
      <c r="AA124" s="6" t="str">
        <f t="shared" ref="AA124:AF124" si="100">C107</f>
        <v>Bellevue Downtown</v>
      </c>
      <c r="AB124" s="6" t="str">
        <f t="shared" si="100"/>
        <v>Kirkland</v>
      </c>
      <c r="AC124" s="6" t="str">
        <f t="shared" si="100"/>
        <v>Redmond</v>
      </c>
      <c r="AD124" s="6" t="str">
        <f t="shared" si="100"/>
        <v>Seattle</v>
      </c>
      <c r="AE124" s="6" t="str">
        <f t="shared" si="100"/>
        <v>Seattle Downtown</v>
      </c>
      <c r="AF124" s="6" t="str">
        <f t="shared" si="100"/>
        <v>Rest</v>
      </c>
      <c r="AG124" s="6" t="s">
        <v>221</v>
      </c>
      <c r="AH124" s="89"/>
    </row>
    <row r="125" spans="1:34" x14ac:dyDescent="0.2">
      <c r="A125" s="3" t="s">
        <v>210</v>
      </c>
      <c r="B125" s="12" t="e">
        <f t="shared" ref="B125:E130" si="101">B108/B$116</f>
        <v>#DIV/0!</v>
      </c>
      <c r="C125" s="12" t="e">
        <f t="shared" si="101"/>
        <v>#DIV/0!</v>
      </c>
      <c r="D125" s="12" t="e">
        <f t="shared" si="101"/>
        <v>#DIV/0!</v>
      </c>
      <c r="E125" s="12" t="e">
        <f t="shared" si="101"/>
        <v>#DIV/0!</v>
      </c>
      <c r="F125" s="12">
        <f t="shared" ref="F125:H125" si="102">F108/F$116</f>
        <v>0.32679169183153861</v>
      </c>
      <c r="G125" s="12">
        <f t="shared" si="102"/>
        <v>0.38251149335105133</v>
      </c>
      <c r="H125" s="12">
        <f t="shared" si="102"/>
        <v>0.26808352573343019</v>
      </c>
      <c r="I125" s="12">
        <f t="shared" ref="I125:I133" si="103">I108/I$116</f>
        <v>0.28257030359119412</v>
      </c>
      <c r="J125" s="34"/>
      <c r="L125"/>
      <c r="M125" s="3" t="s">
        <v>210</v>
      </c>
      <c r="N125" s="42">
        <f t="shared" ref="N125:Q133" si="104">N108/N$116</f>
        <v>0.94915254237288138</v>
      </c>
      <c r="O125" s="42">
        <f t="shared" si="104"/>
        <v>0.967741935483871</v>
      </c>
      <c r="P125" s="42">
        <f t="shared" si="104"/>
        <v>0.953125</v>
      </c>
      <c r="Q125" s="42">
        <f t="shared" si="104"/>
        <v>0.96551724137931039</v>
      </c>
      <c r="R125" s="42">
        <f t="shared" ref="R125:T125" si="105">R108/R$116</f>
        <v>0.35190419433566039</v>
      </c>
      <c r="S125" s="42">
        <f t="shared" si="105"/>
        <v>0.38129629303823082</v>
      </c>
      <c r="T125" s="42">
        <f t="shared" si="105"/>
        <v>0.29522490139924956</v>
      </c>
      <c r="U125" s="42">
        <f>U108/U$116</f>
        <v>0.30859291824867219</v>
      </c>
      <c r="V125" s="56"/>
      <c r="Y125" s="3" t="s">
        <v>210</v>
      </c>
      <c r="Z125" s="12" t="e">
        <f t="shared" ref="Z125:Z133" si="106">N125-B125</f>
        <v>#DIV/0!</v>
      </c>
      <c r="AA125" s="12" t="e">
        <f t="shared" ref="AA125:AA133" si="107">O125-C125</f>
        <v>#DIV/0!</v>
      </c>
      <c r="AB125" s="12" t="e">
        <f t="shared" ref="AB125:AB133" si="108">P125-D125</f>
        <v>#DIV/0!</v>
      </c>
      <c r="AC125" s="12" t="e">
        <f t="shared" ref="AC125:AC133" si="109">Q125-E125</f>
        <v>#DIV/0!</v>
      </c>
      <c r="AD125" s="12">
        <f t="shared" ref="AD125:AD133" si="110">R125-F125</f>
        <v>2.5112502504121781E-2</v>
      </c>
      <c r="AE125" s="12">
        <f t="shared" ref="AE125:AF133" si="111">S125-G125</f>
        <v>-1.2152003128205191E-3</v>
      </c>
      <c r="AF125" s="12">
        <f t="shared" si="111"/>
        <v>2.7141375665819367E-2</v>
      </c>
      <c r="AG125" s="12">
        <f t="shared" ref="AG125:AG133" si="112">U125-I125</f>
        <v>2.6022614657478071E-2</v>
      </c>
      <c r="AH125" s="34"/>
    </row>
    <row r="126" spans="1:34" x14ac:dyDescent="0.2">
      <c r="A126" s="3" t="s">
        <v>211</v>
      </c>
      <c r="B126" s="12" t="e">
        <f t="shared" si="101"/>
        <v>#DIV/0!</v>
      </c>
      <c r="C126" s="12" t="e">
        <f t="shared" si="101"/>
        <v>#DIV/0!</v>
      </c>
      <c r="D126" s="12" t="e">
        <f t="shared" si="101"/>
        <v>#DIV/0!</v>
      </c>
      <c r="E126" s="12" t="e">
        <f t="shared" si="101"/>
        <v>#DIV/0!</v>
      </c>
      <c r="F126" s="12">
        <f t="shared" ref="F126:H126" si="113">F109/F$116</f>
        <v>0.11406271014698459</v>
      </c>
      <c r="G126" s="12">
        <f t="shared" si="113"/>
        <v>3.4847979699234817E-2</v>
      </c>
      <c r="H126" s="12">
        <f t="shared" si="113"/>
        <v>0.13824309082961742</v>
      </c>
      <c r="I126" s="12">
        <f t="shared" si="103"/>
        <v>0.13117280100233852</v>
      </c>
      <c r="J126" s="34"/>
      <c r="M126" s="3" t="s">
        <v>211</v>
      </c>
      <c r="N126" s="42">
        <f t="shared" si="104"/>
        <v>0</v>
      </c>
      <c r="O126" s="42">
        <f t="shared" si="104"/>
        <v>0</v>
      </c>
      <c r="P126" s="42">
        <f t="shared" si="104"/>
        <v>0</v>
      </c>
      <c r="Q126" s="42">
        <f t="shared" si="104"/>
        <v>0</v>
      </c>
      <c r="R126" s="42">
        <f t="shared" ref="R126:T126" si="114">R109/R$116</f>
        <v>9.2323060332595491E-2</v>
      </c>
      <c r="S126" s="42">
        <f t="shared" si="114"/>
        <v>3.8943331163461707E-2</v>
      </c>
      <c r="T126" s="42">
        <f t="shared" si="114"/>
        <v>0.10754580475833683</v>
      </c>
      <c r="U126" s="42">
        <f t="shared" ref="U126:U133" si="115">U109/U$116</f>
        <v>0.10280826839762171</v>
      </c>
      <c r="V126" s="56"/>
      <c r="Y126" s="3" t="s">
        <v>211</v>
      </c>
      <c r="Z126" s="12" t="e">
        <f t="shared" si="106"/>
        <v>#DIV/0!</v>
      </c>
      <c r="AA126" s="12" t="e">
        <f t="shared" si="107"/>
        <v>#DIV/0!</v>
      </c>
      <c r="AB126" s="12" t="e">
        <f t="shared" si="108"/>
        <v>#DIV/0!</v>
      </c>
      <c r="AC126" s="12" t="e">
        <f t="shared" si="109"/>
        <v>#DIV/0!</v>
      </c>
      <c r="AD126" s="12">
        <f t="shared" si="110"/>
        <v>-2.1739649814389098E-2</v>
      </c>
      <c r="AE126" s="12">
        <f t="shared" si="111"/>
        <v>4.0953514642268901E-3</v>
      </c>
      <c r="AF126" s="12">
        <f t="shared" si="111"/>
        <v>-3.0697286071280583E-2</v>
      </c>
      <c r="AG126" s="12">
        <f t="shared" si="112"/>
        <v>-2.8364532604716816E-2</v>
      </c>
      <c r="AH126" s="34"/>
    </row>
    <row r="127" spans="1:34" x14ac:dyDescent="0.2">
      <c r="A127" s="3" t="s">
        <v>212</v>
      </c>
      <c r="B127" s="12" t="e">
        <f t="shared" si="101"/>
        <v>#DIV/0!</v>
      </c>
      <c r="C127" s="12" t="e">
        <f t="shared" si="101"/>
        <v>#DIV/0!</v>
      </c>
      <c r="D127" s="12" t="e">
        <f t="shared" si="101"/>
        <v>#DIV/0!</v>
      </c>
      <c r="E127" s="12" t="e">
        <f t="shared" si="101"/>
        <v>#DIV/0!</v>
      </c>
      <c r="F127" s="12">
        <f t="shared" ref="F127:H127" si="116">F110/F$116</f>
        <v>8.2467190779427921E-2</v>
      </c>
      <c r="G127" s="12">
        <f t="shared" si="116"/>
        <v>2.4729485895888907E-2</v>
      </c>
      <c r="H127" s="12">
        <f t="shared" si="116"/>
        <v>0.10892925255077104</v>
      </c>
      <c r="I127" s="12">
        <f t="shared" si="103"/>
        <v>0.10175965139299901</v>
      </c>
      <c r="J127" s="34"/>
      <c r="M127" s="3" t="s">
        <v>212</v>
      </c>
      <c r="N127" s="42">
        <f t="shared" si="104"/>
        <v>0</v>
      </c>
      <c r="O127" s="42">
        <f t="shared" si="104"/>
        <v>0</v>
      </c>
      <c r="P127" s="42">
        <f t="shared" si="104"/>
        <v>0</v>
      </c>
      <c r="Q127" s="42">
        <f t="shared" si="104"/>
        <v>0</v>
      </c>
      <c r="R127" s="42">
        <f t="shared" ref="R127:T127" si="117">R110/R$116</f>
        <v>8.6087746183097794E-2</v>
      </c>
      <c r="S127" s="42">
        <f t="shared" si="117"/>
        <v>5.7249423811115606E-2</v>
      </c>
      <c r="T127" s="42">
        <f t="shared" si="117"/>
        <v>0.11145373250221699</v>
      </c>
      <c r="U127" s="42">
        <f t="shared" si="115"/>
        <v>0.105088496808416</v>
      </c>
      <c r="V127" s="56"/>
      <c r="Y127" s="3" t="s">
        <v>212</v>
      </c>
      <c r="Z127" s="12" t="e">
        <f t="shared" si="106"/>
        <v>#DIV/0!</v>
      </c>
      <c r="AA127" s="12" t="e">
        <f t="shared" si="107"/>
        <v>#DIV/0!</v>
      </c>
      <c r="AB127" s="12" t="e">
        <f t="shared" si="108"/>
        <v>#DIV/0!</v>
      </c>
      <c r="AC127" s="12" t="e">
        <f t="shared" si="109"/>
        <v>#DIV/0!</v>
      </c>
      <c r="AD127" s="12">
        <f t="shared" si="110"/>
        <v>3.6205554036698728E-3</v>
      </c>
      <c r="AE127" s="12">
        <f t="shared" si="111"/>
        <v>3.2519937915226699E-2</v>
      </c>
      <c r="AF127" s="12">
        <f t="shared" si="111"/>
        <v>2.5244799514459459E-3</v>
      </c>
      <c r="AG127" s="12">
        <f t="shared" si="112"/>
        <v>3.3288454154169894E-3</v>
      </c>
      <c r="AH127" s="34"/>
    </row>
    <row r="128" spans="1:34" x14ac:dyDescent="0.2">
      <c r="A128" s="3" t="s">
        <v>213</v>
      </c>
      <c r="B128" s="12" t="e">
        <f t="shared" si="101"/>
        <v>#DIV/0!</v>
      </c>
      <c r="C128" s="12" t="e">
        <f t="shared" si="101"/>
        <v>#DIV/0!</v>
      </c>
      <c r="D128" s="12" t="e">
        <f t="shared" si="101"/>
        <v>#DIV/0!</v>
      </c>
      <c r="E128" s="12" t="e">
        <f t="shared" si="101"/>
        <v>#DIV/0!</v>
      </c>
      <c r="F128" s="12">
        <f t="shared" ref="F128:H128" si="118">F111/F$116</f>
        <v>9.8150229501274694E-2</v>
      </c>
      <c r="G128" s="12">
        <f t="shared" si="118"/>
        <v>0.10121802799799236</v>
      </c>
      <c r="H128" s="12">
        <f t="shared" si="118"/>
        <v>0.12440052177150122</v>
      </c>
      <c r="I128" s="12">
        <f t="shared" si="103"/>
        <v>0.11847184572217793</v>
      </c>
      <c r="J128" s="34"/>
      <c r="M128" s="3" t="s">
        <v>213</v>
      </c>
      <c r="N128" s="42">
        <f t="shared" si="104"/>
        <v>0</v>
      </c>
      <c r="O128" s="42">
        <f t="shared" si="104"/>
        <v>0</v>
      </c>
      <c r="P128" s="42">
        <f t="shared" si="104"/>
        <v>0</v>
      </c>
      <c r="Q128" s="42">
        <f t="shared" si="104"/>
        <v>0</v>
      </c>
      <c r="R128" s="42">
        <f t="shared" ref="R128:T128" si="119">R111/R$116</f>
        <v>0.10818094102957035</v>
      </c>
      <c r="S128" s="42">
        <f t="shared" si="119"/>
        <v>0.11677721282921938</v>
      </c>
      <c r="T128" s="42">
        <f t="shared" si="119"/>
        <v>0.11892231851086721</v>
      </c>
      <c r="U128" s="42">
        <f t="shared" si="115"/>
        <v>0.11674849729447231</v>
      </c>
      <c r="V128" s="56"/>
      <c r="Y128" s="3" t="s">
        <v>213</v>
      </c>
      <c r="Z128" s="12" t="e">
        <f t="shared" si="106"/>
        <v>#DIV/0!</v>
      </c>
      <c r="AA128" s="12" t="e">
        <f t="shared" si="107"/>
        <v>#DIV/0!</v>
      </c>
      <c r="AB128" s="12" t="e">
        <f t="shared" si="108"/>
        <v>#DIV/0!</v>
      </c>
      <c r="AC128" s="12" t="e">
        <f t="shared" si="109"/>
        <v>#DIV/0!</v>
      </c>
      <c r="AD128" s="12">
        <f t="shared" si="110"/>
        <v>1.0030711528295655E-2</v>
      </c>
      <c r="AE128" s="12">
        <f t="shared" si="111"/>
        <v>1.5559184831227021E-2</v>
      </c>
      <c r="AF128" s="12">
        <f t="shared" si="111"/>
        <v>-5.4782032606340153E-3</v>
      </c>
      <c r="AG128" s="12">
        <f t="shared" si="112"/>
        <v>-1.7233484277056205E-3</v>
      </c>
      <c r="AH128" s="34"/>
    </row>
    <row r="129" spans="1:34" x14ac:dyDescent="0.2">
      <c r="A129" s="3" t="s">
        <v>214</v>
      </c>
      <c r="B129" s="12" t="e">
        <f t="shared" si="101"/>
        <v>#DIV/0!</v>
      </c>
      <c r="C129" s="12" t="e">
        <f t="shared" si="101"/>
        <v>#DIV/0!</v>
      </c>
      <c r="D129" s="12" t="e">
        <f t="shared" si="101"/>
        <v>#DIV/0!</v>
      </c>
      <c r="E129" s="12" t="e">
        <f t="shared" si="101"/>
        <v>#DIV/0!</v>
      </c>
      <c r="F129" s="12">
        <f t="shared" ref="F129:H129" si="120">F112/F$116</f>
        <v>9.363259992429955E-2</v>
      </c>
      <c r="G129" s="12">
        <f t="shared" si="120"/>
        <v>0.12126656584504067</v>
      </c>
      <c r="H129" s="12">
        <f t="shared" si="120"/>
        <v>0.12617949212405596</v>
      </c>
      <c r="I129" s="12">
        <f t="shared" si="103"/>
        <v>0.11929611414449494</v>
      </c>
      <c r="J129" s="34"/>
      <c r="M129" s="3" t="s">
        <v>214</v>
      </c>
      <c r="N129" s="42">
        <f t="shared" si="104"/>
        <v>0</v>
      </c>
      <c r="O129" s="42">
        <f t="shared" si="104"/>
        <v>0</v>
      </c>
      <c r="P129" s="42">
        <f t="shared" si="104"/>
        <v>0</v>
      </c>
      <c r="Q129" s="42">
        <f t="shared" si="104"/>
        <v>0</v>
      </c>
      <c r="R129" s="42">
        <f t="shared" ref="R129:T129" si="121">R112/R$116</f>
        <v>9.3844145524717634E-2</v>
      </c>
      <c r="S129" s="42">
        <f t="shared" si="121"/>
        <v>0.11142877249775682</v>
      </c>
      <c r="T129" s="42">
        <f t="shared" si="121"/>
        <v>0.13303687446007761</v>
      </c>
      <c r="U129" s="42">
        <f t="shared" si="115"/>
        <v>0.12478024346070313</v>
      </c>
      <c r="V129" s="56"/>
      <c r="Y129" s="3" t="s">
        <v>214</v>
      </c>
      <c r="Z129" s="12" t="e">
        <f t="shared" si="106"/>
        <v>#DIV/0!</v>
      </c>
      <c r="AA129" s="12" t="e">
        <f t="shared" si="107"/>
        <v>#DIV/0!</v>
      </c>
      <c r="AB129" s="12" t="e">
        <f t="shared" si="108"/>
        <v>#DIV/0!</v>
      </c>
      <c r="AC129" s="12" t="e">
        <f t="shared" si="109"/>
        <v>#DIV/0!</v>
      </c>
      <c r="AD129" s="12">
        <f t="shared" si="110"/>
        <v>2.1154560041808379E-4</v>
      </c>
      <c r="AE129" s="12">
        <f t="shared" si="111"/>
        <v>-9.8377933472838519E-3</v>
      </c>
      <c r="AF129" s="12">
        <f t="shared" si="111"/>
        <v>6.8573823360216501E-3</v>
      </c>
      <c r="AG129" s="12">
        <f t="shared" si="112"/>
        <v>5.4841293162081889E-3</v>
      </c>
      <c r="AH129" s="34"/>
    </row>
    <row r="130" spans="1:34" x14ac:dyDescent="0.2">
      <c r="A130" s="3" t="s">
        <v>129</v>
      </c>
      <c r="B130" s="12" t="e">
        <f t="shared" si="101"/>
        <v>#DIV/0!</v>
      </c>
      <c r="C130" s="12" t="e">
        <f t="shared" si="101"/>
        <v>#DIV/0!</v>
      </c>
      <c r="D130" s="12" t="e">
        <f t="shared" si="101"/>
        <v>#DIV/0!</v>
      </c>
      <c r="E130" s="12" t="e">
        <f t="shared" si="101"/>
        <v>#DIV/0!</v>
      </c>
      <c r="F130" s="12">
        <f t="shared" ref="F130:H130" si="122">F113/F$116</f>
        <v>4.5711307709462808E-2</v>
      </c>
      <c r="G130" s="12">
        <f t="shared" si="122"/>
        <v>6.2264005260972158E-2</v>
      </c>
      <c r="H130" s="12">
        <f t="shared" si="122"/>
        <v>3.3378569742709696E-2</v>
      </c>
      <c r="I130" s="12">
        <f t="shared" si="103"/>
        <v>3.6516866794292502E-2</v>
      </c>
      <c r="J130" s="34"/>
      <c r="M130" s="3" t="s">
        <v>129</v>
      </c>
      <c r="N130" s="42">
        <f t="shared" si="104"/>
        <v>0</v>
      </c>
      <c r="O130" s="42">
        <f t="shared" si="104"/>
        <v>0</v>
      </c>
      <c r="P130" s="42">
        <f t="shared" si="104"/>
        <v>0</v>
      </c>
      <c r="Q130" s="42">
        <f t="shared" si="104"/>
        <v>0</v>
      </c>
      <c r="R130" s="42">
        <f t="shared" ref="R130:T130" si="123">R113/R$116</f>
        <v>4.2199897837561721E-2</v>
      </c>
      <c r="S130" s="42">
        <f t="shared" si="123"/>
        <v>5.5516458769506852E-2</v>
      </c>
      <c r="T130" s="42">
        <f t="shared" si="123"/>
        <v>3.3491161390052107E-2</v>
      </c>
      <c r="U130" s="42">
        <f t="shared" si="115"/>
        <v>3.575724563926104E-2</v>
      </c>
      <c r="V130" s="56"/>
      <c r="Y130" s="3" t="s">
        <v>129</v>
      </c>
      <c r="Z130" s="12" t="e">
        <f t="shared" si="106"/>
        <v>#DIV/0!</v>
      </c>
      <c r="AA130" s="12" t="e">
        <f t="shared" si="107"/>
        <v>#DIV/0!</v>
      </c>
      <c r="AB130" s="12" t="e">
        <f t="shared" si="108"/>
        <v>#DIV/0!</v>
      </c>
      <c r="AC130" s="12" t="e">
        <f t="shared" si="109"/>
        <v>#DIV/0!</v>
      </c>
      <c r="AD130" s="12">
        <f t="shared" si="110"/>
        <v>-3.5114098719010861E-3</v>
      </c>
      <c r="AE130" s="12">
        <f t="shared" si="111"/>
        <v>-6.7475464914653061E-3</v>
      </c>
      <c r="AF130" s="12">
        <f t="shared" si="111"/>
        <v>1.1259164734241101E-4</v>
      </c>
      <c r="AG130" s="12">
        <f t="shared" si="112"/>
        <v>-7.5962115503146188E-4</v>
      </c>
      <c r="AH130" s="34"/>
    </row>
    <row r="131" spans="1:34" x14ac:dyDescent="0.2">
      <c r="A131" s="25" t="s">
        <v>130</v>
      </c>
      <c r="B131" s="34" t="e">
        <f t="shared" ref="B131:E132" si="124">B114/B$116</f>
        <v>#DIV/0!</v>
      </c>
      <c r="C131" s="34" t="e">
        <f t="shared" si="124"/>
        <v>#DIV/0!</v>
      </c>
      <c r="D131" s="34" t="e">
        <f t="shared" si="124"/>
        <v>#DIV/0!</v>
      </c>
      <c r="E131" s="34" t="e">
        <f t="shared" si="124"/>
        <v>#DIV/0!</v>
      </c>
      <c r="F131" s="34">
        <f t="shared" ref="F131:H131" si="125">F114/F$116</f>
        <v>0.19503317047050231</v>
      </c>
      <c r="G131" s="34">
        <f t="shared" si="125"/>
        <v>0.19206955320198899</v>
      </c>
      <c r="H131" s="12">
        <f t="shared" si="125"/>
        <v>0.17586486161772211</v>
      </c>
      <c r="I131" s="34">
        <f t="shared" si="103"/>
        <v>0.18017986907023031</v>
      </c>
      <c r="J131" s="34"/>
      <c r="M131" s="25" t="s">
        <v>130</v>
      </c>
      <c r="N131" s="56">
        <f t="shared" si="104"/>
        <v>0</v>
      </c>
      <c r="O131" s="56">
        <f t="shared" si="104"/>
        <v>0</v>
      </c>
      <c r="P131" s="56">
        <f t="shared" si="104"/>
        <v>0</v>
      </c>
      <c r="Q131" s="56">
        <f t="shared" si="104"/>
        <v>0</v>
      </c>
      <c r="R131" s="56">
        <f t="shared" ref="R131:T131" si="126">R114/R$116</f>
        <v>0.18140303081900222</v>
      </c>
      <c r="S131" s="56">
        <f t="shared" si="126"/>
        <v>0.18664121465894895</v>
      </c>
      <c r="T131" s="42">
        <f t="shared" si="126"/>
        <v>0.17138350498626825</v>
      </c>
      <c r="U131" s="56">
        <f t="shared" si="115"/>
        <v>0.17372433070825763</v>
      </c>
      <c r="V131" s="56"/>
      <c r="Y131" s="25" t="s">
        <v>130</v>
      </c>
      <c r="Z131" s="12" t="e">
        <f t="shared" si="106"/>
        <v>#DIV/0!</v>
      </c>
      <c r="AA131" s="12" t="e">
        <f t="shared" si="107"/>
        <v>#DIV/0!</v>
      </c>
      <c r="AB131" s="12" t="e">
        <f t="shared" si="108"/>
        <v>#DIV/0!</v>
      </c>
      <c r="AC131" s="12" t="e">
        <f t="shared" si="109"/>
        <v>#DIV/0!</v>
      </c>
      <c r="AD131" s="12">
        <f t="shared" si="110"/>
        <v>-1.3630139651500089E-2</v>
      </c>
      <c r="AE131" s="12">
        <f t="shared" si="111"/>
        <v>-5.4283385430400344E-3</v>
      </c>
      <c r="AF131" s="12">
        <f t="shared" si="111"/>
        <v>-4.4813566314538533E-3</v>
      </c>
      <c r="AG131" s="12">
        <f t="shared" si="112"/>
        <v>-6.4555383619726847E-3</v>
      </c>
      <c r="AH131" s="34"/>
    </row>
    <row r="132" spans="1:34" x14ac:dyDescent="0.2">
      <c r="A132" s="25" t="s">
        <v>247</v>
      </c>
      <c r="B132" s="13" t="e">
        <f t="shared" si="124"/>
        <v>#DIV/0!</v>
      </c>
      <c r="C132" s="13" t="e">
        <f t="shared" si="124"/>
        <v>#DIV/0!</v>
      </c>
      <c r="D132" s="13" t="e">
        <f t="shared" si="124"/>
        <v>#DIV/0!</v>
      </c>
      <c r="E132" s="13" t="e">
        <f t="shared" si="124"/>
        <v>#DIV/0!</v>
      </c>
      <c r="F132" s="13">
        <f t="shared" ref="F132:H132" si="127">F115/F$116</f>
        <v>4.4151099636509587E-2</v>
      </c>
      <c r="G132" s="13">
        <f t="shared" si="127"/>
        <v>8.1092888747831007E-2</v>
      </c>
      <c r="H132" s="12">
        <f t="shared" si="127"/>
        <v>2.4920685630192257E-2</v>
      </c>
      <c r="I132" s="13">
        <f t="shared" si="103"/>
        <v>3.0032548282272357E-2</v>
      </c>
      <c r="J132" s="34"/>
      <c r="M132" s="25" t="s">
        <v>247</v>
      </c>
      <c r="N132" s="43">
        <f t="shared" si="104"/>
        <v>5.0847457627118647E-2</v>
      </c>
      <c r="O132" s="43">
        <f t="shared" si="104"/>
        <v>3.2258064516129031E-2</v>
      </c>
      <c r="P132" s="43">
        <f t="shared" si="104"/>
        <v>4.6875E-2</v>
      </c>
      <c r="Q132" s="43">
        <f t="shared" si="104"/>
        <v>3.4482758620689655E-2</v>
      </c>
      <c r="R132" s="43">
        <f t="shared" ref="R132:T132" si="128">R115/R$116</f>
        <v>4.4056983937794426E-2</v>
      </c>
      <c r="S132" s="43">
        <f t="shared" si="128"/>
        <v>5.2147293231759886E-2</v>
      </c>
      <c r="T132" s="42">
        <f t="shared" si="128"/>
        <v>2.8941701992931404E-2</v>
      </c>
      <c r="U132" s="43">
        <f t="shared" si="115"/>
        <v>3.2499999442595968E-2</v>
      </c>
      <c r="V132" s="56"/>
      <c r="Y132" s="25" t="s">
        <v>247</v>
      </c>
      <c r="Z132" s="12" t="e">
        <f t="shared" si="106"/>
        <v>#DIV/0!</v>
      </c>
      <c r="AA132" s="12" t="e">
        <f t="shared" si="107"/>
        <v>#DIV/0!</v>
      </c>
      <c r="AB132" s="12" t="e">
        <f t="shared" si="108"/>
        <v>#DIV/0!</v>
      </c>
      <c r="AC132" s="12" t="e">
        <f t="shared" si="109"/>
        <v>#DIV/0!</v>
      </c>
      <c r="AD132" s="12">
        <f t="shared" si="110"/>
        <v>-9.41156987151609E-5</v>
      </c>
      <c r="AE132" s="12">
        <f t="shared" si="111"/>
        <v>-2.8945595516071121E-2</v>
      </c>
      <c r="AF132" s="12">
        <f t="shared" si="111"/>
        <v>4.0210163627391465E-3</v>
      </c>
      <c r="AG132" s="12">
        <f t="shared" si="112"/>
        <v>2.467451160323611E-3</v>
      </c>
      <c r="AH132" s="34"/>
    </row>
    <row r="133" spans="1:34" ht="13.5" thickBot="1" x14ac:dyDescent="0.25">
      <c r="A133" s="10" t="s">
        <v>221</v>
      </c>
      <c r="B133" s="17" t="e">
        <f>B116/B$116</f>
        <v>#DIV/0!</v>
      </c>
      <c r="C133" s="17" t="e">
        <f>C116/C$116</f>
        <v>#DIV/0!</v>
      </c>
      <c r="D133" s="17" t="e">
        <f>D116/D$116</f>
        <v>#DIV/0!</v>
      </c>
      <c r="E133" s="17" t="e">
        <f>E116/E$116</f>
        <v>#DIV/0!</v>
      </c>
      <c r="F133" s="17">
        <f t="shared" ref="F133:H133" si="129">F116/F$116</f>
        <v>1</v>
      </c>
      <c r="G133" s="17">
        <f t="shared" si="129"/>
        <v>1</v>
      </c>
      <c r="H133" s="17">
        <f t="shared" si="129"/>
        <v>1</v>
      </c>
      <c r="I133" s="17">
        <f t="shared" si="103"/>
        <v>1</v>
      </c>
      <c r="J133" s="34"/>
      <c r="M133" s="10" t="s">
        <v>221</v>
      </c>
      <c r="N133" s="44">
        <f t="shared" si="104"/>
        <v>1</v>
      </c>
      <c r="O133" s="44">
        <f t="shared" si="104"/>
        <v>1</v>
      </c>
      <c r="P133" s="44">
        <f t="shared" si="104"/>
        <v>1</v>
      </c>
      <c r="Q133" s="44">
        <f t="shared" si="104"/>
        <v>1</v>
      </c>
      <c r="R133" s="44">
        <f t="shared" ref="R133:T133" si="130">R116/R$116</f>
        <v>1</v>
      </c>
      <c r="S133" s="44">
        <f t="shared" si="130"/>
        <v>1</v>
      </c>
      <c r="T133" s="44">
        <f t="shared" si="130"/>
        <v>1</v>
      </c>
      <c r="U133" s="44">
        <f t="shared" si="115"/>
        <v>1</v>
      </c>
      <c r="V133" s="56"/>
      <c r="Y133" s="10" t="s">
        <v>221</v>
      </c>
      <c r="Z133" s="14" t="e">
        <f t="shared" si="106"/>
        <v>#DIV/0!</v>
      </c>
      <c r="AA133" s="14" t="e">
        <f t="shared" si="107"/>
        <v>#DIV/0!</v>
      </c>
      <c r="AB133" s="14" t="e">
        <f t="shared" si="108"/>
        <v>#DIV/0!</v>
      </c>
      <c r="AC133" s="14" t="e">
        <f t="shared" si="109"/>
        <v>#DIV/0!</v>
      </c>
      <c r="AD133" s="14">
        <f t="shared" si="110"/>
        <v>0</v>
      </c>
      <c r="AE133" s="14">
        <f t="shared" si="111"/>
        <v>0</v>
      </c>
      <c r="AF133" s="14">
        <f t="shared" si="111"/>
        <v>0</v>
      </c>
      <c r="AG133" s="14">
        <f t="shared" si="112"/>
        <v>0</v>
      </c>
      <c r="AH133" s="34"/>
    </row>
    <row r="134" spans="1:34" x14ac:dyDescent="0.2">
      <c r="G134" s="25"/>
      <c r="H134" s="25"/>
      <c r="I134" s="25"/>
      <c r="J134" s="25"/>
      <c r="S134" s="102"/>
      <c r="T134" s="102"/>
      <c r="U134" s="102"/>
      <c r="V134" s="102"/>
      <c r="AE134" s="25"/>
      <c r="AF134" s="25"/>
      <c r="AG134" s="25"/>
      <c r="AH134" s="25"/>
    </row>
    <row r="135" spans="1:34" x14ac:dyDescent="0.2">
      <c r="F135" s="25"/>
      <c r="G135" s="25"/>
      <c r="H135" s="25"/>
      <c r="I135" s="25"/>
      <c r="J135" s="25"/>
      <c r="R135" s="102"/>
      <c r="S135" s="102"/>
      <c r="T135" s="102"/>
      <c r="U135" s="102"/>
      <c r="V135" s="102"/>
      <c r="AD135" s="25"/>
      <c r="AE135" s="25"/>
      <c r="AF135" s="25"/>
      <c r="AG135" s="25"/>
      <c r="AH135" s="25"/>
    </row>
    <row r="136" spans="1:34" x14ac:dyDescent="0.2">
      <c r="F136" s="25"/>
      <c r="G136" s="25"/>
      <c r="H136" s="25"/>
      <c r="I136" s="25"/>
      <c r="J136" s="25"/>
      <c r="AD136" s="25"/>
      <c r="AE136" s="25"/>
      <c r="AF136" s="25"/>
      <c r="AG136" s="25"/>
      <c r="AH136" s="25"/>
    </row>
    <row r="137" spans="1:34" x14ac:dyDescent="0.2">
      <c r="F137" s="25"/>
      <c r="G137" s="25"/>
      <c r="H137" s="25"/>
      <c r="I137" s="25"/>
      <c r="J137" s="25"/>
      <c r="AD137" s="25"/>
      <c r="AE137" s="25"/>
      <c r="AF137" s="25"/>
      <c r="AG137" s="25"/>
      <c r="AH137" s="25"/>
    </row>
    <row r="138" spans="1:34" x14ac:dyDescent="0.2">
      <c r="F138" s="25"/>
      <c r="G138" s="25"/>
      <c r="H138" s="25"/>
      <c r="I138" s="25"/>
      <c r="J138" s="25"/>
    </row>
  </sheetData>
  <phoneticPr fontId="5" type="noConversion"/>
  <conditionalFormatting sqref="Z23:AI31 Z91:AD99 Z57:AF65 Z125:AC133 AG125:AH133">
    <cfRule type="cellIs" dxfId="17" priority="4" stopIfTrue="1" operator="notBetween">
      <formula>-0.15</formula>
      <formula>0.15</formula>
    </cfRule>
    <cfRule type="cellIs" dxfId="16" priority="5" stopIfTrue="1" operator="notBetween">
      <formula>-0.1</formula>
      <formula>0.1</formula>
    </cfRule>
    <cfRule type="cellIs" dxfId="15" priority="6" stopIfTrue="1" operator="notBetween">
      <formula>-0.05</formula>
      <formula>0.05</formula>
    </cfRule>
  </conditionalFormatting>
  <conditionalFormatting sqref="AD125:AF133">
    <cfRule type="cellIs" dxfId="14" priority="1" stopIfTrue="1" operator="notBetween">
      <formula>-0.15</formula>
      <formula>0.15</formula>
    </cfRule>
    <cfRule type="cellIs" dxfId="13" priority="2" stopIfTrue="1" operator="notBetween">
      <formula>-0.1</formula>
      <formula>0.1</formula>
    </cfRule>
    <cfRule type="cellIs" dxfId="12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O135"/>
  <sheetViews>
    <sheetView workbookViewId="0">
      <selection activeCell="G33" sqref="G33"/>
    </sheetView>
  </sheetViews>
  <sheetFormatPr defaultColWidth="10.75" defaultRowHeight="12.75" x14ac:dyDescent="0.2"/>
  <cols>
    <col min="1" max="13" width="10.75" style="3" collapsed="1"/>
    <col min="14" max="14" width="11.75" style="3" bestFit="1" customWidth="1" collapsed="1"/>
    <col min="15" max="15" width="12.125" style="3" bestFit="1" customWidth="1" collapsed="1"/>
    <col min="16" max="16" width="11.75" style="3" bestFit="1" customWidth="1" collapsed="1"/>
    <col min="17" max="35" width="10.75" style="3" collapsed="1"/>
    <col min="36" max="36" width="3.875" style="3" customWidth="1" collapsed="1"/>
    <col min="37" max="16384" width="10.75" style="3" collapsed="1"/>
  </cols>
  <sheetData>
    <row r="1" spans="1:38" x14ac:dyDescent="0.2">
      <c r="A1" s="2" t="s">
        <v>175</v>
      </c>
      <c r="L1"/>
      <c r="M1" s="2" t="s">
        <v>175</v>
      </c>
      <c r="X1"/>
      <c r="Y1" s="2" t="s">
        <v>175</v>
      </c>
    </row>
    <row r="2" spans="1:38" x14ac:dyDescent="0.2">
      <c r="A2" s="2" t="s">
        <v>180</v>
      </c>
      <c r="L2"/>
      <c r="M2" s="2" t="s">
        <v>109</v>
      </c>
      <c r="X2"/>
      <c r="Y2" s="2" t="s">
        <v>198</v>
      </c>
    </row>
    <row r="3" spans="1:38" ht="13.5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L3"/>
      <c r="N3" s="4"/>
      <c r="O3" s="4"/>
      <c r="P3" s="4"/>
      <c r="Q3" s="4"/>
      <c r="R3" s="4"/>
      <c r="S3" s="4"/>
      <c r="T3" s="4"/>
      <c r="U3" s="4"/>
      <c r="V3" s="4"/>
      <c r="W3" s="4"/>
      <c r="X3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8" x14ac:dyDescent="0.2">
      <c r="A4" s="5" t="s">
        <v>144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/>
      <c r="I4" s="6" t="s">
        <v>246</v>
      </c>
      <c r="J4" s="6" t="s">
        <v>170</v>
      </c>
      <c r="K4" s="6" t="s">
        <v>221</v>
      </c>
      <c r="L4"/>
      <c r="M4" s="5" t="s">
        <v>144</v>
      </c>
      <c r="N4" s="6" t="s">
        <v>146</v>
      </c>
      <c r="O4" s="6" t="s">
        <v>147</v>
      </c>
      <c r="P4" s="6" t="s">
        <v>148</v>
      </c>
      <c r="Q4" s="6" t="s">
        <v>243</v>
      </c>
      <c r="R4" s="6" t="s">
        <v>244</v>
      </c>
      <c r="S4" s="6" t="s">
        <v>245</v>
      </c>
      <c r="T4" s="6"/>
      <c r="U4" s="6" t="s">
        <v>246</v>
      </c>
      <c r="V4" s="6" t="s">
        <v>170</v>
      </c>
      <c r="W4" s="6" t="s">
        <v>221</v>
      </c>
      <c r="X4"/>
      <c r="Y4" s="5" t="s">
        <v>144</v>
      </c>
      <c r="Z4" s="6" t="s">
        <v>146</v>
      </c>
      <c r="AA4" s="6" t="s">
        <v>147</v>
      </c>
      <c r="AB4" s="6" t="s">
        <v>148</v>
      </c>
      <c r="AC4" s="6" t="s">
        <v>243</v>
      </c>
      <c r="AD4" s="6" t="s">
        <v>244</v>
      </c>
      <c r="AE4" s="6" t="s">
        <v>245</v>
      </c>
      <c r="AF4" s="6"/>
      <c r="AG4" s="6" t="s">
        <v>246</v>
      </c>
      <c r="AH4" s="6" t="s">
        <v>170</v>
      </c>
      <c r="AI4" s="6" t="s">
        <v>221</v>
      </c>
      <c r="AK4" s="3" t="s">
        <v>221</v>
      </c>
    </row>
    <row r="5" spans="1:38" x14ac:dyDescent="0.2">
      <c r="A5" s="3" t="s">
        <v>210</v>
      </c>
      <c r="B5" s="7">
        <f>output_NHTS!B222</f>
        <v>229841.55609999999</v>
      </c>
      <c r="C5" s="7">
        <f>output_NHTS!C222</f>
        <v>24563.992699999999</v>
      </c>
      <c r="D5" s="7">
        <f>output_NHTS!D222</f>
        <v>2562.2188000000001</v>
      </c>
      <c r="E5" s="7">
        <f>output_NHTS!E222</f>
        <v>8698.7747999999992</v>
      </c>
      <c r="F5" s="7">
        <f>output_NHTS!F222</f>
        <v>24584.827699999998</v>
      </c>
      <c r="G5" s="7">
        <f>output_NHTS!G222</f>
        <v>391.89909999999998</v>
      </c>
      <c r="H5" s="7"/>
      <c r="I5" s="7">
        <f>output_NHTS!H222</f>
        <v>309.71820000000002</v>
      </c>
      <c r="J5" s="7">
        <f>output_NHTS!I222</f>
        <v>191.50479999999999</v>
      </c>
      <c r="K5" s="7">
        <f>output_NHTS!J222</f>
        <v>291144.49219999998</v>
      </c>
      <c r="L5"/>
      <c r="M5" s="3" t="s">
        <v>210</v>
      </c>
      <c r="N5" s="7">
        <f>output!B222</f>
        <v>172972</v>
      </c>
      <c r="O5" s="7">
        <f>output!C222</f>
        <v>24079</v>
      </c>
      <c r="P5" s="7">
        <f>output!D222</f>
        <v>0</v>
      </c>
      <c r="Q5" s="7">
        <f>output!E222</f>
        <v>0</v>
      </c>
      <c r="R5" s="7">
        <f>output!F222</f>
        <v>17288</v>
      </c>
      <c r="S5" s="7">
        <f>output!G222</f>
        <v>200</v>
      </c>
      <c r="T5" s="7"/>
      <c r="U5" s="7">
        <f>output!H222</f>
        <v>202</v>
      </c>
      <c r="V5" s="7">
        <f>output!I222</f>
        <v>0</v>
      </c>
      <c r="W5" s="7">
        <f>output!J222</f>
        <v>214741</v>
      </c>
      <c r="X5"/>
      <c r="Y5" s="3" t="s">
        <v>210</v>
      </c>
      <c r="Z5" s="7">
        <f t="shared" ref="Z5:AE12" si="0">N5-B5</f>
        <v>-56869.556099999987</v>
      </c>
      <c r="AA5" s="7">
        <f t="shared" si="0"/>
        <v>-484.99269999999888</v>
      </c>
      <c r="AB5" s="7">
        <f t="shared" si="0"/>
        <v>-2562.2188000000001</v>
      </c>
      <c r="AC5" s="7">
        <f t="shared" si="0"/>
        <v>-8698.7747999999992</v>
      </c>
      <c r="AD5" s="7">
        <f t="shared" si="0"/>
        <v>-7296.827699999998</v>
      </c>
      <c r="AE5" s="7">
        <f t="shared" si="0"/>
        <v>-191.89909999999998</v>
      </c>
      <c r="AF5" s="7"/>
      <c r="AG5" s="7">
        <f t="shared" ref="AG5:AG12" si="1">U5-I5</f>
        <v>-107.71820000000002</v>
      </c>
      <c r="AH5" s="7">
        <f t="shared" ref="AH5:AH12" si="2">V5-J5</f>
        <v>-191.50479999999999</v>
      </c>
      <c r="AI5" s="7">
        <f t="shared" ref="AI5:AI12" si="3">W5-K5</f>
        <v>-76403.492199999979</v>
      </c>
      <c r="AK5" s="3">
        <v>318360</v>
      </c>
      <c r="AL5" s="7">
        <f>W5-AK5</f>
        <v>-103619</v>
      </c>
    </row>
    <row r="6" spans="1:38" x14ac:dyDescent="0.2">
      <c r="A6" s="3" t="s">
        <v>211</v>
      </c>
      <c r="B6" s="7">
        <f>output_NHTS!B223</f>
        <v>3758.8959</v>
      </c>
      <c r="C6" s="7">
        <f>output_NHTS!C223</f>
        <v>6530.5041000000001</v>
      </c>
      <c r="D6" s="7">
        <f>output_NHTS!D223</f>
        <v>0</v>
      </c>
      <c r="E6" s="7">
        <f>output_NHTS!E223</f>
        <v>3468.9843000000001</v>
      </c>
      <c r="F6" s="7">
        <f>output_NHTS!F223</f>
        <v>12735.935799999999</v>
      </c>
      <c r="G6" s="7">
        <f>output_NHTS!G223</f>
        <v>2645.8099000000002</v>
      </c>
      <c r="H6" s="7"/>
      <c r="I6" s="7">
        <f>output_NHTS!H223</f>
        <v>17692.893400000001</v>
      </c>
      <c r="J6" s="7">
        <f>output_NHTS!I223</f>
        <v>0</v>
      </c>
      <c r="K6" s="7">
        <f>output_NHTS!J223</f>
        <v>46833.023399999998</v>
      </c>
      <c r="L6"/>
      <c r="M6" s="3" t="s">
        <v>211</v>
      </c>
      <c r="N6" s="7">
        <f>output!B223</f>
        <v>0</v>
      </c>
      <c r="O6" s="7">
        <f>output!C223</f>
        <v>0</v>
      </c>
      <c r="P6" s="7">
        <f>output!D223</f>
        <v>0</v>
      </c>
      <c r="Q6" s="7">
        <f>output!E223</f>
        <v>0</v>
      </c>
      <c r="R6" s="7">
        <f>output!F223</f>
        <v>14527</v>
      </c>
      <c r="S6" s="7">
        <f>output!G223</f>
        <v>8100</v>
      </c>
      <c r="T6" s="7"/>
      <c r="U6" s="7">
        <f>output!H223</f>
        <v>39109</v>
      </c>
      <c r="V6" s="7">
        <f>output!I223</f>
        <v>0</v>
      </c>
      <c r="W6" s="7">
        <f>output!J223</f>
        <v>61736</v>
      </c>
      <c r="X6"/>
      <c r="Y6" s="3" t="s">
        <v>211</v>
      </c>
      <c r="Z6" s="7">
        <f t="shared" si="0"/>
        <v>-3758.8959</v>
      </c>
      <c r="AA6" s="7">
        <f t="shared" si="0"/>
        <v>-6530.5041000000001</v>
      </c>
      <c r="AB6" s="7">
        <f t="shared" si="0"/>
        <v>0</v>
      </c>
      <c r="AC6" s="7">
        <f t="shared" si="0"/>
        <v>-3468.9843000000001</v>
      </c>
      <c r="AD6" s="7">
        <f t="shared" si="0"/>
        <v>1791.0642000000007</v>
      </c>
      <c r="AE6" s="7">
        <f t="shared" si="0"/>
        <v>5454.1900999999998</v>
      </c>
      <c r="AF6" s="7"/>
      <c r="AG6" s="7">
        <f t="shared" si="1"/>
        <v>21416.106599999999</v>
      </c>
      <c r="AH6" s="7">
        <f t="shared" si="2"/>
        <v>0</v>
      </c>
      <c r="AI6" s="7">
        <f t="shared" si="3"/>
        <v>14902.976600000002</v>
      </c>
      <c r="AK6" s="3">
        <v>19520</v>
      </c>
      <c r="AL6" s="7">
        <f t="shared" ref="AL6:AL12" si="4">W6-AK6</f>
        <v>42216</v>
      </c>
    </row>
    <row r="7" spans="1:38" x14ac:dyDescent="0.2">
      <c r="A7" s="3" t="s">
        <v>212</v>
      </c>
      <c r="B7" s="7">
        <f>output_NHTS!B224</f>
        <v>216376.6194</v>
      </c>
      <c r="C7" s="7">
        <f>output_NHTS!C224</f>
        <v>45117.7935</v>
      </c>
      <c r="D7" s="7">
        <f>output_NHTS!D224</f>
        <v>12529.625599999999</v>
      </c>
      <c r="E7" s="7">
        <f>output_NHTS!E224</f>
        <v>47540.908000000003</v>
      </c>
      <c r="F7" s="7">
        <f>output_NHTS!F224</f>
        <v>11272.153399999999</v>
      </c>
      <c r="G7" s="7">
        <f>output_NHTS!G224</f>
        <v>2882.4097000000002</v>
      </c>
      <c r="H7" s="7"/>
      <c r="I7" s="7">
        <f>output_NHTS!H224</f>
        <v>42394.147299999997</v>
      </c>
      <c r="J7" s="7">
        <f>output_NHTS!I224</f>
        <v>33246.580799999996</v>
      </c>
      <c r="K7" s="7">
        <f>output_NHTS!J224</f>
        <v>411360.23770000006</v>
      </c>
      <c r="L7"/>
      <c r="M7" s="3" t="s">
        <v>212</v>
      </c>
      <c r="N7" s="7">
        <f>output!B224</f>
        <v>271021</v>
      </c>
      <c r="O7" s="7">
        <f>output!C224</f>
        <v>32038</v>
      </c>
      <c r="P7" s="7">
        <f>output!D224</f>
        <v>9126</v>
      </c>
      <c r="Q7" s="7">
        <f>output!E224</f>
        <v>21445</v>
      </c>
      <c r="R7" s="7">
        <f>output!F224</f>
        <v>26166</v>
      </c>
      <c r="S7" s="7">
        <f>output!G224</f>
        <v>4214</v>
      </c>
      <c r="T7" s="7"/>
      <c r="U7" s="7">
        <f>output!H224</f>
        <v>17084</v>
      </c>
      <c r="V7" s="7">
        <f>output!I224</f>
        <v>12991</v>
      </c>
      <c r="W7" s="7">
        <f>output!J224</f>
        <v>394085</v>
      </c>
      <c r="X7"/>
      <c r="Y7" s="3" t="s">
        <v>212</v>
      </c>
      <c r="Z7" s="7">
        <f t="shared" si="0"/>
        <v>54644.380600000004</v>
      </c>
      <c r="AA7" s="7">
        <f t="shared" si="0"/>
        <v>-13079.7935</v>
      </c>
      <c r="AB7" s="7">
        <f t="shared" si="0"/>
        <v>-3403.6255999999994</v>
      </c>
      <c r="AC7" s="7">
        <f t="shared" si="0"/>
        <v>-26095.908000000003</v>
      </c>
      <c r="AD7" s="7">
        <f t="shared" si="0"/>
        <v>14893.846600000001</v>
      </c>
      <c r="AE7" s="7">
        <f t="shared" si="0"/>
        <v>1331.5902999999998</v>
      </c>
      <c r="AF7" s="7"/>
      <c r="AG7" s="7">
        <f t="shared" si="1"/>
        <v>-25310.147299999997</v>
      </c>
      <c r="AH7" s="7">
        <f t="shared" si="2"/>
        <v>-20255.580799999996</v>
      </c>
      <c r="AI7" s="7">
        <f t="shared" si="3"/>
        <v>-17275.237700000056</v>
      </c>
      <c r="AK7" s="3">
        <v>946110</v>
      </c>
      <c r="AL7" s="7">
        <f t="shared" si="4"/>
        <v>-552025</v>
      </c>
    </row>
    <row r="8" spans="1:38" x14ac:dyDescent="0.2">
      <c r="A8" s="3" t="s">
        <v>213</v>
      </c>
      <c r="B8" s="7">
        <f>output_NHTS!B225</f>
        <v>268962.63559999998</v>
      </c>
      <c r="C8" s="7">
        <f>output_NHTS!C225</f>
        <v>91652.128500000006</v>
      </c>
      <c r="D8" s="7">
        <f>output_NHTS!D225</f>
        <v>132110.5961</v>
      </c>
      <c r="E8" s="7">
        <f>output_NHTS!E225</f>
        <v>164331.75</v>
      </c>
      <c r="F8" s="7">
        <f>output_NHTS!F225</f>
        <v>31264.0651</v>
      </c>
      <c r="G8" s="7">
        <f>output_NHTS!G225</f>
        <v>7653.2425000000003</v>
      </c>
      <c r="H8" s="7"/>
      <c r="I8" s="7">
        <f>output_NHTS!H225</f>
        <v>70134.527000000002</v>
      </c>
      <c r="J8" s="7">
        <f>output_NHTS!I225</f>
        <v>61637.334800000004</v>
      </c>
      <c r="K8" s="7">
        <f>output_NHTS!J225</f>
        <v>827746.27960000001</v>
      </c>
      <c r="L8"/>
      <c r="M8" s="3" t="s">
        <v>213</v>
      </c>
      <c r="N8" s="7">
        <f>output!B225</f>
        <v>371726</v>
      </c>
      <c r="O8" s="7">
        <f>output!C225</f>
        <v>91003</v>
      </c>
      <c r="P8" s="7">
        <f>output!D225</f>
        <v>113442</v>
      </c>
      <c r="Q8" s="7">
        <f>output!E225</f>
        <v>105995</v>
      </c>
      <c r="R8" s="7">
        <f>output!F225</f>
        <v>41697</v>
      </c>
      <c r="S8" s="7">
        <f>output!G225</f>
        <v>6775</v>
      </c>
      <c r="T8" s="7"/>
      <c r="U8" s="7">
        <f>output!H225</f>
        <v>65981</v>
      </c>
      <c r="V8" s="7">
        <f>output!I225</f>
        <v>62070</v>
      </c>
      <c r="W8" s="7">
        <f>output!J225</f>
        <v>858689</v>
      </c>
      <c r="X8"/>
      <c r="Y8" s="3" t="s">
        <v>213</v>
      </c>
      <c r="Z8" s="7">
        <f t="shared" si="0"/>
        <v>102763.36440000002</v>
      </c>
      <c r="AA8" s="7">
        <f t="shared" si="0"/>
        <v>-649.12850000000617</v>
      </c>
      <c r="AB8" s="7">
        <f t="shared" si="0"/>
        <v>-18668.596099999995</v>
      </c>
      <c r="AC8" s="7">
        <f t="shared" si="0"/>
        <v>-58336.75</v>
      </c>
      <c r="AD8" s="7">
        <f t="shared" si="0"/>
        <v>10432.9349</v>
      </c>
      <c r="AE8" s="7">
        <f t="shared" si="0"/>
        <v>-878.24250000000029</v>
      </c>
      <c r="AF8" s="7"/>
      <c r="AG8" s="7">
        <f t="shared" si="1"/>
        <v>-4153.5270000000019</v>
      </c>
      <c r="AH8" s="7">
        <f t="shared" si="2"/>
        <v>432.66519999999582</v>
      </c>
      <c r="AI8" s="7">
        <f t="shared" si="3"/>
        <v>30942.720399999991</v>
      </c>
      <c r="AK8" s="3">
        <v>895490</v>
      </c>
      <c r="AL8" s="7">
        <f t="shared" si="4"/>
        <v>-36801</v>
      </c>
    </row>
    <row r="9" spans="1:38" x14ac:dyDescent="0.2">
      <c r="A9" s="3" t="s">
        <v>214</v>
      </c>
      <c r="B9" s="7">
        <f>output_NHTS!B226</f>
        <v>342221.22259999998</v>
      </c>
      <c r="C9" s="7">
        <f>output_NHTS!C226</f>
        <v>123062.81389999999</v>
      </c>
      <c r="D9" s="7">
        <f>output_NHTS!D226</f>
        <v>147015.36189999999</v>
      </c>
      <c r="E9" s="7">
        <f>output_NHTS!E226</f>
        <v>192584.6243</v>
      </c>
      <c r="F9" s="7">
        <f>output_NHTS!F226</f>
        <v>38627.607100000001</v>
      </c>
      <c r="G9" s="7">
        <f>output_NHTS!G226</f>
        <v>3945.6044999999999</v>
      </c>
      <c r="H9" s="7"/>
      <c r="I9" s="7">
        <f>output_NHTS!H226</f>
        <v>53970.474199999997</v>
      </c>
      <c r="J9" s="7">
        <f>output_NHTS!I226</f>
        <v>65044.153400000003</v>
      </c>
      <c r="K9" s="7">
        <f>output_NHTS!J226</f>
        <v>966471.8618999999</v>
      </c>
      <c r="L9"/>
      <c r="M9" s="3" t="s">
        <v>214</v>
      </c>
      <c r="N9" s="7">
        <f>output!B226</f>
        <v>590086</v>
      </c>
      <c r="O9" s="7">
        <f>output!C226</f>
        <v>106558</v>
      </c>
      <c r="P9" s="7">
        <f>output!D226</f>
        <v>138649</v>
      </c>
      <c r="Q9" s="7">
        <f>output!E226</f>
        <v>158488</v>
      </c>
      <c r="R9" s="7">
        <f>output!F226</f>
        <v>67217</v>
      </c>
      <c r="S9" s="7">
        <f>output!G226</f>
        <v>3393</v>
      </c>
      <c r="T9" s="7"/>
      <c r="U9" s="7">
        <f>output!H226</f>
        <v>18071</v>
      </c>
      <c r="V9" s="7">
        <f>output!I226</f>
        <v>67828</v>
      </c>
      <c r="W9" s="7">
        <f>output!J226</f>
        <v>1150290</v>
      </c>
      <c r="X9"/>
      <c r="Y9" s="3" t="s">
        <v>214</v>
      </c>
      <c r="Z9" s="7">
        <f t="shared" si="0"/>
        <v>247864.77740000002</v>
      </c>
      <c r="AA9" s="7">
        <f t="shared" si="0"/>
        <v>-16504.813899999994</v>
      </c>
      <c r="AB9" s="7">
        <f t="shared" si="0"/>
        <v>-8366.361899999989</v>
      </c>
      <c r="AC9" s="7">
        <f t="shared" si="0"/>
        <v>-34096.624299999996</v>
      </c>
      <c r="AD9" s="7">
        <f t="shared" si="0"/>
        <v>28589.392899999999</v>
      </c>
      <c r="AE9" s="7">
        <f t="shared" si="0"/>
        <v>-552.60449999999992</v>
      </c>
      <c r="AF9" s="7"/>
      <c r="AG9" s="7">
        <f t="shared" si="1"/>
        <v>-35899.474199999997</v>
      </c>
      <c r="AH9" s="7">
        <f t="shared" si="2"/>
        <v>2783.8465999999971</v>
      </c>
      <c r="AI9" s="7">
        <f t="shared" si="3"/>
        <v>183818.1381000001</v>
      </c>
      <c r="AK9" s="3">
        <v>935110</v>
      </c>
      <c r="AL9" s="7">
        <f t="shared" si="4"/>
        <v>215180</v>
      </c>
    </row>
    <row r="10" spans="1:38" x14ac:dyDescent="0.2">
      <c r="A10" s="3" t="s">
        <v>129</v>
      </c>
      <c r="B10" s="7">
        <f>output_NHTS!B227</f>
        <v>214602.24220000001</v>
      </c>
      <c r="C10" s="7">
        <f>output_NHTS!C227</f>
        <v>41346.764000000003</v>
      </c>
      <c r="D10" s="7">
        <f>output_NHTS!D227</f>
        <v>40994.4424</v>
      </c>
      <c r="E10" s="7">
        <f>output_NHTS!E227</f>
        <v>64925.996599999999</v>
      </c>
      <c r="F10" s="7">
        <f>output_NHTS!F227</f>
        <v>19701.765500000001</v>
      </c>
      <c r="G10" s="7">
        <f>output_NHTS!G227</f>
        <v>3231.7534000000001</v>
      </c>
      <c r="H10" s="7"/>
      <c r="I10" s="7">
        <f>output_NHTS!H227</f>
        <v>21283.564300000002</v>
      </c>
      <c r="J10" s="7">
        <f>output_NHTS!I227</f>
        <v>19348.497100000001</v>
      </c>
      <c r="K10" s="7">
        <f>output_NHTS!J227</f>
        <v>425435.02549999999</v>
      </c>
      <c r="L10"/>
      <c r="M10" s="3" t="s">
        <v>129</v>
      </c>
      <c r="N10" s="7">
        <f>output!B227</f>
        <v>280865</v>
      </c>
      <c r="O10" s="7">
        <f>output!C227</f>
        <v>42474</v>
      </c>
      <c r="P10" s="7">
        <f>output!D227</f>
        <v>41178</v>
      </c>
      <c r="Q10" s="7">
        <f>output!E227</f>
        <v>50418</v>
      </c>
      <c r="R10" s="7">
        <f>output!F227</f>
        <v>39994</v>
      </c>
      <c r="S10" s="7">
        <f>output!G227</f>
        <v>15739</v>
      </c>
      <c r="T10" s="7"/>
      <c r="U10" s="7">
        <f>output!H227</f>
        <v>40741</v>
      </c>
      <c r="V10" s="7">
        <f>output!I227</f>
        <v>15638</v>
      </c>
      <c r="W10" s="7">
        <f>output!J227</f>
        <v>527047</v>
      </c>
      <c r="X10"/>
      <c r="Y10" s="3" t="s">
        <v>129</v>
      </c>
      <c r="Z10" s="7">
        <f t="shared" si="0"/>
        <v>66262.757799999992</v>
      </c>
      <c r="AA10" s="7">
        <f t="shared" si="0"/>
        <v>1127.2359999999971</v>
      </c>
      <c r="AB10" s="7">
        <f t="shared" si="0"/>
        <v>183.55760000000009</v>
      </c>
      <c r="AC10" s="7">
        <f t="shared" si="0"/>
        <v>-14507.996599999999</v>
      </c>
      <c r="AD10" s="7">
        <f t="shared" si="0"/>
        <v>20292.234499999999</v>
      </c>
      <c r="AE10" s="7">
        <f t="shared" si="0"/>
        <v>12507.2466</v>
      </c>
      <c r="AF10" s="7"/>
      <c r="AG10" s="7">
        <f t="shared" si="1"/>
        <v>19457.435699999998</v>
      </c>
      <c r="AH10" s="7">
        <f t="shared" si="2"/>
        <v>-3710.4971000000005</v>
      </c>
      <c r="AI10" s="7">
        <f t="shared" si="3"/>
        <v>101611.97450000001</v>
      </c>
      <c r="AK10" s="3">
        <v>426400</v>
      </c>
      <c r="AL10" s="7">
        <f t="shared" si="4"/>
        <v>100647</v>
      </c>
    </row>
    <row r="11" spans="1:38" x14ac:dyDescent="0.2">
      <c r="A11" s="3" t="s">
        <v>130</v>
      </c>
      <c r="B11" s="7">
        <f>output_NHTS!B228</f>
        <v>171160.9523</v>
      </c>
      <c r="C11" s="7">
        <f>output_NHTS!C228</f>
        <v>44321.445399999997</v>
      </c>
      <c r="D11" s="7">
        <f>output_NHTS!D228</f>
        <v>44897.951800000003</v>
      </c>
      <c r="E11" s="7">
        <f>output_NHTS!E228</f>
        <v>81838.279800000004</v>
      </c>
      <c r="F11" s="7">
        <f>output_NHTS!F228</f>
        <v>15675.0098</v>
      </c>
      <c r="G11" s="7">
        <f>output_NHTS!G228</f>
        <v>2771.5924</v>
      </c>
      <c r="H11" s="7"/>
      <c r="I11" s="7">
        <f>output_NHTS!H228</f>
        <v>50551.0867</v>
      </c>
      <c r="J11" s="7">
        <f>output_NHTS!I228</f>
        <v>22260.2844</v>
      </c>
      <c r="K11" s="7">
        <f>output_NHTS!J228</f>
        <v>433476.60260000004</v>
      </c>
      <c r="L11"/>
      <c r="M11" s="3" t="s">
        <v>130</v>
      </c>
      <c r="N11" s="7">
        <f>output!B228</f>
        <v>244711</v>
      </c>
      <c r="O11" s="7">
        <f>output!C228</f>
        <v>58603</v>
      </c>
      <c r="P11" s="7">
        <f>output!D228</f>
        <v>49773</v>
      </c>
      <c r="Q11" s="7">
        <f>output!E228</f>
        <v>55622</v>
      </c>
      <c r="R11" s="7">
        <f>output!F228</f>
        <v>36695</v>
      </c>
      <c r="S11" s="7">
        <f>output!G228</f>
        <v>10852</v>
      </c>
      <c r="T11" s="7"/>
      <c r="U11" s="7">
        <f>output!H228</f>
        <v>89716</v>
      </c>
      <c r="V11" s="7">
        <f>output!I228</f>
        <v>39453</v>
      </c>
      <c r="W11" s="7">
        <f>output!J228</f>
        <v>585425</v>
      </c>
      <c r="X11"/>
      <c r="Y11" s="3" t="s">
        <v>130</v>
      </c>
      <c r="Z11" s="7">
        <f t="shared" si="0"/>
        <v>73550.047699999996</v>
      </c>
      <c r="AA11" s="7">
        <f t="shared" si="0"/>
        <v>14281.554600000003</v>
      </c>
      <c r="AB11" s="7">
        <f t="shared" si="0"/>
        <v>4875.0481999999975</v>
      </c>
      <c r="AC11" s="7">
        <f t="shared" si="0"/>
        <v>-26216.279800000004</v>
      </c>
      <c r="AD11" s="7">
        <f t="shared" si="0"/>
        <v>21019.9902</v>
      </c>
      <c r="AE11" s="7">
        <f t="shared" si="0"/>
        <v>8080.4076000000005</v>
      </c>
      <c r="AF11" s="7"/>
      <c r="AG11" s="7">
        <f t="shared" si="1"/>
        <v>39164.9133</v>
      </c>
      <c r="AH11" s="7">
        <f t="shared" si="2"/>
        <v>17192.7156</v>
      </c>
      <c r="AI11" s="7">
        <f t="shared" si="3"/>
        <v>151948.39739999996</v>
      </c>
      <c r="AK11" s="3">
        <v>481730</v>
      </c>
      <c r="AL11" s="7">
        <f t="shared" si="4"/>
        <v>103695</v>
      </c>
    </row>
    <row r="12" spans="1:38" ht="13.5" thickBot="1" x14ac:dyDescent="0.25">
      <c r="A12" s="10" t="s">
        <v>221</v>
      </c>
      <c r="B12" s="11">
        <f>SUM(B5:B11)</f>
        <v>1446924.1240999999</v>
      </c>
      <c r="C12" s="11">
        <f t="shared" ref="C12:K12" si="5">SUM(C5:C11)</f>
        <v>376595.44209999999</v>
      </c>
      <c r="D12" s="11">
        <f t="shared" si="5"/>
        <v>380110.19659999997</v>
      </c>
      <c r="E12" s="11">
        <f t="shared" si="5"/>
        <v>563389.31779999996</v>
      </c>
      <c r="F12" s="11">
        <f t="shared" si="5"/>
        <v>153861.36439999999</v>
      </c>
      <c r="G12" s="11">
        <f t="shared" si="5"/>
        <v>23522.311500000003</v>
      </c>
      <c r="H12" s="11"/>
      <c r="I12" s="11">
        <f t="shared" si="5"/>
        <v>256336.41110000003</v>
      </c>
      <c r="J12" s="11">
        <f t="shared" si="5"/>
        <v>201728.35530000002</v>
      </c>
      <c r="K12" s="11">
        <f t="shared" si="5"/>
        <v>3402467.5228999997</v>
      </c>
      <c r="L12"/>
      <c r="M12" s="10" t="s">
        <v>221</v>
      </c>
      <c r="N12" s="11">
        <f>SUM(N5:N11)</f>
        <v>1931381</v>
      </c>
      <c r="O12" s="11">
        <f t="shared" ref="O12:W12" si="6">SUM(O5:O11)</f>
        <v>354755</v>
      </c>
      <c r="P12" s="11">
        <f t="shared" si="6"/>
        <v>352168</v>
      </c>
      <c r="Q12" s="11">
        <f t="shared" si="6"/>
        <v>391968</v>
      </c>
      <c r="R12" s="11">
        <f t="shared" si="6"/>
        <v>243584</v>
      </c>
      <c r="S12" s="11">
        <f t="shared" si="6"/>
        <v>49273</v>
      </c>
      <c r="T12" s="11"/>
      <c r="U12" s="11">
        <f t="shared" si="6"/>
        <v>270904</v>
      </c>
      <c r="V12" s="11">
        <f t="shared" si="6"/>
        <v>197980</v>
      </c>
      <c r="W12" s="11">
        <f t="shared" si="6"/>
        <v>3792013</v>
      </c>
      <c r="X12"/>
      <c r="Y12" s="10" t="s">
        <v>221</v>
      </c>
      <c r="Z12" s="11">
        <f t="shared" si="0"/>
        <v>484456.8759000001</v>
      </c>
      <c r="AA12" s="11">
        <f t="shared" si="0"/>
        <v>-21840.442099999986</v>
      </c>
      <c r="AB12" s="11">
        <f t="shared" si="0"/>
        <v>-27942.196599999967</v>
      </c>
      <c r="AC12" s="11">
        <f t="shared" si="0"/>
        <v>-171421.31779999996</v>
      </c>
      <c r="AD12" s="11">
        <f t="shared" si="0"/>
        <v>89722.635600000009</v>
      </c>
      <c r="AE12" s="11">
        <f t="shared" si="0"/>
        <v>25750.688499999997</v>
      </c>
      <c r="AF12" s="11"/>
      <c r="AG12" s="11">
        <f t="shared" si="1"/>
        <v>14567.588899999973</v>
      </c>
      <c r="AH12" s="11">
        <f t="shared" si="2"/>
        <v>-3748.3553000000247</v>
      </c>
      <c r="AI12" s="11">
        <f t="shared" si="3"/>
        <v>389545.47710000025</v>
      </c>
      <c r="AK12" s="3">
        <v>4022720</v>
      </c>
      <c r="AL12" s="7">
        <f t="shared" si="4"/>
        <v>-230707</v>
      </c>
    </row>
    <row r="13" spans="1:38" x14ac:dyDescent="0.2">
      <c r="L13"/>
      <c r="X13"/>
    </row>
    <row r="14" spans="1:38" x14ac:dyDescent="0.2">
      <c r="A14" s="25" t="s">
        <v>88</v>
      </c>
      <c r="B14" s="33">
        <f>ToursByTourPurpose!B15</f>
        <v>1238555.2527999999</v>
      </c>
      <c r="C14" s="33">
        <f>ToursByTourPurpose!C15</f>
        <v>305232.84169999999</v>
      </c>
      <c r="D14" s="33">
        <f>ToursByTourPurpose!D15</f>
        <v>342741.66269999999</v>
      </c>
      <c r="E14" s="33">
        <f>ToursByTourPurpose!E15</f>
        <v>533826.13100000005</v>
      </c>
      <c r="F14" s="33">
        <f>ToursByTourPurpose!F15</f>
        <v>104133.0724</v>
      </c>
      <c r="G14" s="33">
        <f>ToursByTourPurpose!G15</f>
        <v>70487.777700000006</v>
      </c>
      <c r="H14" s="33"/>
      <c r="I14" s="33">
        <f>ToursByTourPurpose!I15</f>
        <v>455659.5257</v>
      </c>
      <c r="J14" s="33">
        <f>ToursByTourPurpose!J15</f>
        <v>242277.1568</v>
      </c>
      <c r="K14" s="33">
        <f>ToursByTourPurpose!K15</f>
        <v>3292913.4208</v>
      </c>
      <c r="L14"/>
      <c r="M14" s="25" t="s">
        <v>88</v>
      </c>
      <c r="N14" s="33">
        <f>ToursByTourPurpose!N15</f>
        <v>1101733</v>
      </c>
      <c r="O14" s="33">
        <f>ToursByTourPurpose!O15</f>
        <v>274554</v>
      </c>
      <c r="P14" s="33">
        <f>ToursByTourPurpose!P15</f>
        <v>313576</v>
      </c>
      <c r="Q14" s="33">
        <f>ToursByTourPurpose!Q15</f>
        <v>306209</v>
      </c>
      <c r="R14" s="33">
        <f>ToursByTourPurpose!R15</f>
        <v>153455</v>
      </c>
      <c r="S14" s="33">
        <f>ToursByTourPurpose!S15</f>
        <v>63692</v>
      </c>
      <c r="T14" s="33"/>
      <c r="U14" s="33">
        <f>ToursByTourPurpose!U15</f>
        <v>377036</v>
      </c>
      <c r="V14" s="33">
        <f>ToursByTourPurpose!V15</f>
        <v>181483</v>
      </c>
      <c r="W14" s="33">
        <f>ToursByTourPurpose!W15</f>
        <v>2771738</v>
      </c>
      <c r="X14"/>
      <c r="Y14" s="25" t="s">
        <v>88</v>
      </c>
      <c r="Z14" s="33">
        <f t="shared" ref="Z14:AE15" si="7">N14-B14</f>
        <v>-136822.2527999999</v>
      </c>
      <c r="AA14" s="33">
        <f t="shared" si="7"/>
        <v>-30678.84169999999</v>
      </c>
      <c r="AB14" s="33">
        <f t="shared" si="7"/>
        <v>-29165.662699999986</v>
      </c>
      <c r="AC14" s="33">
        <f t="shared" si="7"/>
        <v>-227617.13100000005</v>
      </c>
      <c r="AD14" s="33">
        <f t="shared" si="7"/>
        <v>49321.927599999995</v>
      </c>
      <c r="AE14" s="33">
        <f t="shared" si="7"/>
        <v>-6795.777700000006</v>
      </c>
      <c r="AF14" s="33"/>
      <c r="AG14" s="33">
        <f t="shared" ref="AG14:AI15" si="8">U14-I14</f>
        <v>-78623.525699999998</v>
      </c>
      <c r="AH14" s="33">
        <f t="shared" si="8"/>
        <v>-60794.156799999997</v>
      </c>
      <c r="AI14" s="33">
        <f t="shared" si="8"/>
        <v>-521175.42079999996</v>
      </c>
    </row>
    <row r="15" spans="1:38" x14ac:dyDescent="0.2">
      <c r="A15" s="25" t="s">
        <v>90</v>
      </c>
      <c r="B15" s="38">
        <f>B12/B14</f>
        <v>1.1682354265818509</v>
      </c>
      <c r="C15" s="38">
        <f t="shared" ref="C15:K15" si="9">C12/C14</f>
        <v>1.2337972545894624</v>
      </c>
      <c r="D15" s="38">
        <f t="shared" si="9"/>
        <v>1.1090282798000792</v>
      </c>
      <c r="E15" s="38">
        <f t="shared" si="9"/>
        <v>1.0553798045528795</v>
      </c>
      <c r="F15" s="38">
        <f t="shared" si="9"/>
        <v>1.4775456140291505</v>
      </c>
      <c r="G15" s="38">
        <f t="shared" si="9"/>
        <v>0.3337076620589785</v>
      </c>
      <c r="H15" s="38"/>
      <c r="I15" s="38">
        <f t="shared" si="9"/>
        <v>0.56256129114431908</v>
      </c>
      <c r="J15" s="38">
        <f t="shared" si="9"/>
        <v>0.83263464853406277</v>
      </c>
      <c r="K15" s="38">
        <f t="shared" si="9"/>
        <v>1.0332696576253693</v>
      </c>
      <c r="L15"/>
      <c r="M15" s="25" t="s">
        <v>90</v>
      </c>
      <c r="N15" s="38">
        <f t="shared" ref="N15:W15" si="10">N12/N14</f>
        <v>1.7530390757107213</v>
      </c>
      <c r="O15" s="38">
        <f t="shared" si="10"/>
        <v>1.2921137553996664</v>
      </c>
      <c r="P15" s="38">
        <f t="shared" si="10"/>
        <v>1.1230706431614665</v>
      </c>
      <c r="Q15" s="38">
        <f t="shared" si="10"/>
        <v>1.2800668824234429</v>
      </c>
      <c r="R15" s="38">
        <f t="shared" si="10"/>
        <v>1.5873317910788178</v>
      </c>
      <c r="S15" s="38">
        <f t="shared" si="10"/>
        <v>0.773613640645607</v>
      </c>
      <c r="T15" s="38"/>
      <c r="U15" s="38">
        <f t="shared" si="10"/>
        <v>0.71850963833692272</v>
      </c>
      <c r="V15" s="38">
        <f t="shared" si="10"/>
        <v>1.0909010761338527</v>
      </c>
      <c r="W15" s="38">
        <f t="shared" si="10"/>
        <v>1.3680993658130747</v>
      </c>
      <c r="X15"/>
      <c r="Y15" s="25" t="s">
        <v>90</v>
      </c>
      <c r="Z15" s="38">
        <f t="shared" si="7"/>
        <v>0.5848036491288704</v>
      </c>
      <c r="AA15" s="38">
        <f t="shared" si="7"/>
        <v>5.8316500810204008E-2</v>
      </c>
      <c r="AB15" s="38">
        <f t="shared" si="7"/>
        <v>1.4042363361387311E-2</v>
      </c>
      <c r="AC15" s="38">
        <f t="shared" si="7"/>
        <v>0.22468707787056341</v>
      </c>
      <c r="AD15" s="38">
        <f t="shared" si="7"/>
        <v>0.10978617704966731</v>
      </c>
      <c r="AE15" s="38">
        <f t="shared" si="7"/>
        <v>0.4399059785866285</v>
      </c>
      <c r="AF15" s="38"/>
      <c r="AG15" s="38">
        <f t="shared" si="8"/>
        <v>0.15594834719260364</v>
      </c>
      <c r="AH15" s="38">
        <f t="shared" si="8"/>
        <v>0.25826642759978991</v>
      </c>
      <c r="AI15" s="38">
        <f t="shared" si="8"/>
        <v>0.33482970818770541</v>
      </c>
    </row>
    <row r="16" spans="1:38" x14ac:dyDescent="0.2">
      <c r="L16"/>
      <c r="X16"/>
    </row>
    <row r="17" spans="1:35" x14ac:dyDescent="0.2">
      <c r="A17" s="2" t="s">
        <v>175</v>
      </c>
      <c r="L17"/>
      <c r="M17" s="2" t="s">
        <v>175</v>
      </c>
      <c r="X17"/>
      <c r="Y17" s="2" t="s">
        <v>175</v>
      </c>
    </row>
    <row r="18" spans="1:35" x14ac:dyDescent="0.2">
      <c r="A18" s="2" t="s">
        <v>105</v>
      </c>
      <c r="L18"/>
      <c r="M18" s="2" t="s">
        <v>110</v>
      </c>
      <c r="X18"/>
      <c r="Y18" s="2" t="s">
        <v>160</v>
      </c>
    </row>
    <row r="19" spans="1:35" ht="13.5" thickBot="1" x14ac:dyDescent="0.25">
      <c r="B19" s="4"/>
      <c r="C19" s="4"/>
      <c r="D19" s="4"/>
      <c r="E19" s="4"/>
      <c r="F19" s="4"/>
      <c r="G19" s="4"/>
      <c r="H19" s="4"/>
      <c r="I19" s="4"/>
      <c r="J19" s="4"/>
      <c r="K19" s="4"/>
      <c r="L19"/>
      <c r="N19" s="4"/>
      <c r="O19" s="4"/>
      <c r="P19" s="4"/>
      <c r="Q19" s="4"/>
      <c r="R19" s="4"/>
      <c r="S19" s="4"/>
      <c r="T19" s="4"/>
      <c r="U19" s="4"/>
      <c r="V19" s="4"/>
      <c r="W19" s="4"/>
      <c r="X19"/>
      <c r="Z19" s="4"/>
      <c r="AA19" s="4"/>
      <c r="AB19" s="4"/>
      <c r="AC19" s="4"/>
      <c r="AD19" s="4"/>
      <c r="AE19" s="4"/>
      <c r="AF19" s="4"/>
      <c r="AG19" s="4"/>
      <c r="AH19" s="4"/>
      <c r="AI19" s="4"/>
    </row>
    <row r="20" spans="1:35" x14ac:dyDescent="0.2">
      <c r="A20" s="5" t="s">
        <v>144</v>
      </c>
      <c r="B20" s="6" t="s">
        <v>146</v>
      </c>
      <c r="C20" s="6" t="s">
        <v>147</v>
      </c>
      <c r="D20" s="6" t="s">
        <v>148</v>
      </c>
      <c r="E20" s="6" t="s">
        <v>243</v>
      </c>
      <c r="F20" s="6" t="s">
        <v>244</v>
      </c>
      <c r="G20" s="6" t="s">
        <v>245</v>
      </c>
      <c r="H20" s="6"/>
      <c r="I20" s="6" t="s">
        <v>246</v>
      </c>
      <c r="J20" s="6" t="s">
        <v>170</v>
      </c>
      <c r="K20" s="6" t="s">
        <v>221</v>
      </c>
      <c r="L20"/>
      <c r="M20" s="5" t="s">
        <v>144</v>
      </c>
      <c r="N20" s="6" t="s">
        <v>146</v>
      </c>
      <c r="O20" s="6" t="s">
        <v>147</v>
      </c>
      <c r="P20" s="6" t="s">
        <v>148</v>
      </c>
      <c r="Q20" s="6" t="s">
        <v>243</v>
      </c>
      <c r="R20" s="6" t="s">
        <v>244</v>
      </c>
      <c r="S20" s="6" t="s">
        <v>245</v>
      </c>
      <c r="T20" s="6"/>
      <c r="U20" s="6" t="s">
        <v>246</v>
      </c>
      <c r="V20" s="6" t="s">
        <v>170</v>
      </c>
      <c r="W20" s="6" t="s">
        <v>221</v>
      </c>
      <c r="X20"/>
      <c r="Y20" s="5" t="s">
        <v>144</v>
      </c>
      <c r="Z20" s="6" t="s">
        <v>146</v>
      </c>
      <c r="AA20" s="6" t="s">
        <v>147</v>
      </c>
      <c r="AB20" s="6" t="s">
        <v>148</v>
      </c>
      <c r="AC20" s="6" t="s">
        <v>243</v>
      </c>
      <c r="AD20" s="6" t="s">
        <v>244</v>
      </c>
      <c r="AE20" s="6" t="s">
        <v>245</v>
      </c>
      <c r="AF20" s="6"/>
      <c r="AG20" s="6" t="s">
        <v>246</v>
      </c>
      <c r="AH20" s="6" t="s">
        <v>170</v>
      </c>
      <c r="AI20" s="6" t="s">
        <v>221</v>
      </c>
    </row>
    <row r="21" spans="1:35" x14ac:dyDescent="0.2">
      <c r="A21" s="3" t="s">
        <v>210</v>
      </c>
      <c r="B21" s="12">
        <f t="shared" ref="B21:K21" si="11">B5/B$12</f>
        <v>0.15884838207598725</v>
      </c>
      <c r="C21" s="12">
        <f t="shared" si="11"/>
        <v>6.5226473700861612E-2</v>
      </c>
      <c r="D21" s="12">
        <f t="shared" si="11"/>
        <v>6.7407263023156697E-3</v>
      </c>
      <c r="E21" s="12">
        <f t="shared" si="11"/>
        <v>1.5440077625128163E-2</v>
      </c>
      <c r="F21" s="12">
        <f t="shared" si="11"/>
        <v>0.15978558227318046</v>
      </c>
      <c r="G21" s="12">
        <f t="shared" si="11"/>
        <v>1.6660739315521773E-2</v>
      </c>
      <c r="H21" s="12"/>
      <c r="I21" s="12">
        <f t="shared" si="11"/>
        <v>1.208248951722957E-3</v>
      </c>
      <c r="J21" s="12">
        <f t="shared" si="11"/>
        <v>9.4932018711600512E-4</v>
      </c>
      <c r="K21" s="12">
        <f t="shared" si="11"/>
        <v>8.556863224717895E-2</v>
      </c>
      <c r="L21"/>
      <c r="M21" s="3" t="s">
        <v>210</v>
      </c>
      <c r="N21" s="12">
        <f t="shared" ref="N21:W21" si="12">N5/N$12</f>
        <v>8.9558714722781263E-2</v>
      </c>
      <c r="O21" s="12">
        <f t="shared" si="12"/>
        <v>6.7875012332454798E-2</v>
      </c>
      <c r="P21" s="12">
        <f t="shared" si="12"/>
        <v>0</v>
      </c>
      <c r="Q21" s="12">
        <f t="shared" si="12"/>
        <v>0</v>
      </c>
      <c r="R21" s="12">
        <f t="shared" si="12"/>
        <v>7.0973462953231745E-2</v>
      </c>
      <c r="S21" s="12">
        <f t="shared" si="12"/>
        <v>4.0590181235159216E-3</v>
      </c>
      <c r="T21" s="12"/>
      <c r="U21" s="12">
        <f t="shared" si="12"/>
        <v>7.4565159613737705E-4</v>
      </c>
      <c r="V21" s="12">
        <f t="shared" si="12"/>
        <v>0</v>
      </c>
      <c r="W21" s="12">
        <f t="shared" si="12"/>
        <v>5.6629816406220126E-2</v>
      </c>
      <c r="X21"/>
      <c r="Y21" s="3" t="s">
        <v>210</v>
      </c>
      <c r="Z21" s="12">
        <f t="shared" ref="Z21:AE28" si="13">N21-B21</f>
        <v>-6.9289667353205991E-2</v>
      </c>
      <c r="AA21" s="12">
        <f t="shared" si="13"/>
        <v>2.6485386315931864E-3</v>
      </c>
      <c r="AB21" s="12">
        <f t="shared" si="13"/>
        <v>-6.7407263023156697E-3</v>
      </c>
      <c r="AC21" s="12">
        <f t="shared" si="13"/>
        <v>-1.5440077625128163E-2</v>
      </c>
      <c r="AD21" s="12">
        <f t="shared" si="13"/>
        <v>-8.8812119319948715E-2</v>
      </c>
      <c r="AE21" s="12">
        <f t="shared" si="13"/>
        <v>-1.2601721192005852E-2</v>
      </c>
      <c r="AF21" s="12"/>
      <c r="AG21" s="12">
        <f t="shared" ref="AG21:AG28" si="14">U21-I21</f>
        <v>-4.6259735558558E-4</v>
      </c>
      <c r="AH21" s="12">
        <f t="shared" ref="AH21:AH28" si="15">V21-J21</f>
        <v>-9.4932018711600512E-4</v>
      </c>
      <c r="AI21" s="12">
        <f t="shared" ref="AI21:AI28" si="16">W21-K21</f>
        <v>-2.8938815840958823E-2</v>
      </c>
    </row>
    <row r="22" spans="1:35" x14ac:dyDescent="0.2">
      <c r="A22" s="3" t="s">
        <v>211</v>
      </c>
      <c r="B22" s="12">
        <f t="shared" ref="B22:K22" si="17">B6/B$12</f>
        <v>2.5978528088596684E-3</v>
      </c>
      <c r="C22" s="12">
        <f t="shared" si="17"/>
        <v>1.7340900525997099E-2</v>
      </c>
      <c r="D22" s="12">
        <f t="shared" si="17"/>
        <v>0</v>
      </c>
      <c r="E22" s="12">
        <f t="shared" si="17"/>
        <v>6.157348374204479E-3</v>
      </c>
      <c r="F22" s="12">
        <f t="shared" si="17"/>
        <v>8.2775398812204998E-2</v>
      </c>
      <c r="G22" s="12">
        <f t="shared" si="17"/>
        <v>0.11248086311585491</v>
      </c>
      <c r="H22" s="12"/>
      <c r="I22" s="12">
        <f t="shared" si="17"/>
        <v>6.9022162415692798E-2</v>
      </c>
      <c r="J22" s="12">
        <f t="shared" si="17"/>
        <v>0</v>
      </c>
      <c r="K22" s="12">
        <f t="shared" si="17"/>
        <v>1.3764429222261365E-2</v>
      </c>
      <c r="L22"/>
      <c r="M22" s="3" t="s">
        <v>211</v>
      </c>
      <c r="N22" s="12">
        <f t="shared" ref="N22:W22" si="18">N6/N$12</f>
        <v>0</v>
      </c>
      <c r="O22" s="12">
        <f t="shared" si="18"/>
        <v>0</v>
      </c>
      <c r="P22" s="12">
        <f t="shared" si="18"/>
        <v>0</v>
      </c>
      <c r="Q22" s="12">
        <f t="shared" si="18"/>
        <v>0</v>
      </c>
      <c r="R22" s="12">
        <f t="shared" si="18"/>
        <v>5.9638564109301101E-2</v>
      </c>
      <c r="S22" s="12">
        <f t="shared" si="18"/>
        <v>0.16439023400239483</v>
      </c>
      <c r="T22" s="12"/>
      <c r="U22" s="12">
        <f t="shared" si="18"/>
        <v>0.14436479343235981</v>
      </c>
      <c r="V22" s="12">
        <f t="shared" si="18"/>
        <v>0</v>
      </c>
      <c r="W22" s="12">
        <f t="shared" si="18"/>
        <v>1.6280534903229497E-2</v>
      </c>
      <c r="X22"/>
      <c r="Y22" s="3" t="s">
        <v>211</v>
      </c>
      <c r="Z22" s="12">
        <f t="shared" si="13"/>
        <v>-2.5978528088596684E-3</v>
      </c>
      <c r="AA22" s="12">
        <f t="shared" si="13"/>
        <v>-1.7340900525997099E-2</v>
      </c>
      <c r="AB22" s="12">
        <f t="shared" si="13"/>
        <v>0</v>
      </c>
      <c r="AC22" s="12">
        <f t="shared" si="13"/>
        <v>-6.157348374204479E-3</v>
      </c>
      <c r="AD22" s="12">
        <f t="shared" si="13"/>
        <v>-2.3136834702903897E-2</v>
      </c>
      <c r="AE22" s="12">
        <f t="shared" si="13"/>
        <v>5.1909370886539921E-2</v>
      </c>
      <c r="AF22" s="12"/>
      <c r="AG22" s="12">
        <f t="shared" si="14"/>
        <v>7.5342631016667008E-2</v>
      </c>
      <c r="AH22" s="12">
        <f t="shared" si="15"/>
        <v>0</v>
      </c>
      <c r="AI22" s="12">
        <f t="shared" si="16"/>
        <v>2.516105680968132E-3</v>
      </c>
    </row>
    <row r="23" spans="1:35" x14ac:dyDescent="0.2">
      <c r="A23" s="3" t="s">
        <v>212</v>
      </c>
      <c r="B23" s="12">
        <f t="shared" ref="B23:K23" si="19">B7/B$12</f>
        <v>0.14954247827928657</v>
      </c>
      <c r="C23" s="12">
        <f t="shared" si="19"/>
        <v>0.11980440668216999</v>
      </c>
      <c r="D23" s="12">
        <f t="shared" si="19"/>
        <v>3.2963139931721577E-2</v>
      </c>
      <c r="E23" s="12">
        <f t="shared" si="19"/>
        <v>8.4383758260884803E-2</v>
      </c>
      <c r="F23" s="12">
        <f t="shared" si="19"/>
        <v>7.326175381296697E-2</v>
      </c>
      <c r="G23" s="12">
        <f t="shared" si="19"/>
        <v>0.12253938988946728</v>
      </c>
      <c r="H23" s="12"/>
      <c r="I23" s="12">
        <f t="shared" si="19"/>
        <v>0.16538480474965186</v>
      </c>
      <c r="J23" s="12">
        <f t="shared" si="19"/>
        <v>0.16480866435736014</v>
      </c>
      <c r="K23" s="12">
        <f t="shared" si="19"/>
        <v>0.12090056258623402</v>
      </c>
      <c r="L23"/>
      <c r="M23" s="3" t="s">
        <v>212</v>
      </c>
      <c r="N23" s="12">
        <f t="shared" ref="N23:W23" si="20">N7/N$12</f>
        <v>0.14032497989780371</v>
      </c>
      <c r="O23" s="12">
        <f t="shared" si="20"/>
        <v>9.0310214091415209E-2</v>
      </c>
      <c r="P23" s="12">
        <f t="shared" si="20"/>
        <v>2.5913768428704482E-2</v>
      </c>
      <c r="Q23" s="12">
        <f t="shared" si="20"/>
        <v>5.4711098865213484E-2</v>
      </c>
      <c r="R23" s="12">
        <f t="shared" si="20"/>
        <v>0.1074208486600105</v>
      </c>
      <c r="S23" s="12">
        <f t="shared" si="20"/>
        <v>8.5523511862480472E-2</v>
      </c>
      <c r="T23" s="12"/>
      <c r="U23" s="12">
        <f t="shared" si="20"/>
        <v>6.3062930041638363E-2</v>
      </c>
      <c r="V23" s="12">
        <f t="shared" si="20"/>
        <v>6.5617739165572286E-2</v>
      </c>
      <c r="W23" s="12">
        <f t="shared" si="20"/>
        <v>0.10392501291530383</v>
      </c>
      <c r="X23"/>
      <c r="Y23" s="3" t="s">
        <v>212</v>
      </c>
      <c r="Z23" s="12">
        <f t="shared" si="13"/>
        <v>-9.2174983814828637E-3</v>
      </c>
      <c r="AA23" s="12">
        <f t="shared" si="13"/>
        <v>-2.9494192590754781E-2</v>
      </c>
      <c r="AB23" s="12">
        <f t="shared" si="13"/>
        <v>-7.0493715030170954E-3</v>
      </c>
      <c r="AC23" s="12">
        <f t="shared" si="13"/>
        <v>-2.9672659395671319E-2</v>
      </c>
      <c r="AD23" s="12">
        <f t="shared" si="13"/>
        <v>3.4159094847043533E-2</v>
      </c>
      <c r="AE23" s="12">
        <f t="shared" si="13"/>
        <v>-3.7015878026986804E-2</v>
      </c>
      <c r="AF23" s="12"/>
      <c r="AG23" s="12">
        <f t="shared" si="14"/>
        <v>-0.1023218747080135</v>
      </c>
      <c r="AH23" s="12">
        <f t="shared" si="15"/>
        <v>-9.9190925191787849E-2</v>
      </c>
      <c r="AI23" s="12">
        <f t="shared" si="16"/>
        <v>-1.6975549670930193E-2</v>
      </c>
    </row>
    <row r="24" spans="1:35" x14ac:dyDescent="0.2">
      <c r="A24" s="3" t="s">
        <v>213</v>
      </c>
      <c r="B24" s="12">
        <f t="shared" ref="B24:K24" si="21">B8/B$12</f>
        <v>0.18588579118984364</v>
      </c>
      <c r="C24" s="12">
        <f t="shared" si="21"/>
        <v>0.24337025426787556</v>
      </c>
      <c r="D24" s="12">
        <f t="shared" si="21"/>
        <v>0.34755867451517874</v>
      </c>
      <c r="E24" s="12">
        <f t="shared" si="21"/>
        <v>0.2916841778997607</v>
      </c>
      <c r="F24" s="12">
        <f t="shared" si="21"/>
        <v>0.20319633341299034</v>
      </c>
      <c r="G24" s="12">
        <f t="shared" si="21"/>
        <v>0.32536098758831583</v>
      </c>
      <c r="H24" s="12"/>
      <c r="I24" s="12">
        <f t="shared" si="21"/>
        <v>0.2736034521940765</v>
      </c>
      <c r="J24" s="12">
        <f t="shared" si="21"/>
        <v>0.30554621192611287</v>
      </c>
      <c r="K24" s="12">
        <f t="shared" si="21"/>
        <v>0.24327823088065606</v>
      </c>
      <c r="L24"/>
      <c r="M24" s="3" t="s">
        <v>213</v>
      </c>
      <c r="N24" s="12">
        <f t="shared" ref="N24:W24" si="22">N8/N$12</f>
        <v>0.19246642687279206</v>
      </c>
      <c r="O24" s="12">
        <f t="shared" si="22"/>
        <v>0.25652351622951053</v>
      </c>
      <c r="P24" s="12">
        <f t="shared" si="22"/>
        <v>0.32212466777219961</v>
      </c>
      <c r="Q24" s="12">
        <f t="shared" si="22"/>
        <v>0.27041748305984165</v>
      </c>
      <c r="R24" s="12">
        <f t="shared" si="22"/>
        <v>0.17118119416710456</v>
      </c>
      <c r="S24" s="12">
        <f t="shared" si="22"/>
        <v>0.13749923893410185</v>
      </c>
      <c r="T24" s="12"/>
      <c r="U24" s="12">
        <f t="shared" si="22"/>
        <v>0.24355860378584296</v>
      </c>
      <c r="V24" s="12">
        <f t="shared" si="22"/>
        <v>0.3135165168198808</v>
      </c>
      <c r="W24" s="12">
        <f t="shared" si="22"/>
        <v>0.22644674477645516</v>
      </c>
      <c r="X24"/>
      <c r="Y24" s="3" t="s">
        <v>213</v>
      </c>
      <c r="Z24" s="12">
        <f t="shared" si="13"/>
        <v>6.5806356829484214E-3</v>
      </c>
      <c r="AA24" s="12">
        <f t="shared" si="13"/>
        <v>1.3153261961634966E-2</v>
      </c>
      <c r="AB24" s="12">
        <f t="shared" si="13"/>
        <v>-2.5434006742979132E-2</v>
      </c>
      <c r="AC24" s="12">
        <f t="shared" si="13"/>
        <v>-2.1266694839919054E-2</v>
      </c>
      <c r="AD24" s="12">
        <f t="shared" si="13"/>
        <v>-3.2015139245885782E-2</v>
      </c>
      <c r="AE24" s="12">
        <f t="shared" si="13"/>
        <v>-0.18786174865421398</v>
      </c>
      <c r="AF24" s="12"/>
      <c r="AG24" s="12">
        <f t="shared" si="14"/>
        <v>-3.0044848408233543E-2</v>
      </c>
      <c r="AH24" s="12">
        <f t="shared" si="15"/>
        <v>7.9703048937679322E-3</v>
      </c>
      <c r="AI24" s="12">
        <f t="shared" si="16"/>
        <v>-1.6831486104200905E-2</v>
      </c>
    </row>
    <row r="25" spans="1:35" x14ac:dyDescent="0.2">
      <c r="A25" s="3" t="s">
        <v>214</v>
      </c>
      <c r="B25" s="12">
        <f t="shared" ref="B25:K25" si="23">B9/B$12</f>
        <v>0.2365163569394938</v>
      </c>
      <c r="C25" s="12">
        <f t="shared" si="23"/>
        <v>0.32677722601677767</v>
      </c>
      <c r="D25" s="12">
        <f t="shared" si="23"/>
        <v>0.3867703713686696</v>
      </c>
      <c r="E25" s="12">
        <f t="shared" si="23"/>
        <v>0.34183222545296194</v>
      </c>
      <c r="F25" s="12">
        <f t="shared" si="23"/>
        <v>0.25105462473072937</v>
      </c>
      <c r="G25" s="12">
        <f t="shared" si="23"/>
        <v>0.16773880832247287</v>
      </c>
      <c r="H25" s="12"/>
      <c r="I25" s="12">
        <f t="shared" si="23"/>
        <v>0.21054548578721202</v>
      </c>
      <c r="J25" s="12">
        <f t="shared" si="23"/>
        <v>0.32243436131360753</v>
      </c>
      <c r="K25" s="12">
        <f t="shared" si="23"/>
        <v>0.28405028274193611</v>
      </c>
      <c r="L25"/>
      <c r="M25" s="3" t="s">
        <v>214</v>
      </c>
      <c r="N25" s="12">
        <f t="shared" ref="N25:W25" si="24">N9/N$12</f>
        <v>0.30552542455372605</v>
      </c>
      <c r="O25" s="12">
        <f t="shared" si="24"/>
        <v>0.30037067835548475</v>
      </c>
      <c r="P25" s="12">
        <f t="shared" si="24"/>
        <v>0.39370130165148454</v>
      </c>
      <c r="Q25" s="12">
        <f t="shared" si="24"/>
        <v>0.40433912972487551</v>
      </c>
      <c r="R25" s="12">
        <f t="shared" si="24"/>
        <v>0.2759499802942722</v>
      </c>
      <c r="S25" s="12">
        <f t="shared" si="24"/>
        <v>6.8861242465447614E-2</v>
      </c>
      <c r="T25" s="12"/>
      <c r="U25" s="12">
        <f t="shared" si="24"/>
        <v>6.6706287098012573E-2</v>
      </c>
      <c r="V25" s="12">
        <f t="shared" si="24"/>
        <v>0.3426002626527932</v>
      </c>
      <c r="W25" s="12">
        <f t="shared" si="24"/>
        <v>0.30334547903712356</v>
      </c>
      <c r="X25"/>
      <c r="Y25" s="3" t="s">
        <v>214</v>
      </c>
      <c r="Z25" s="12">
        <f t="shared" si="13"/>
        <v>6.9009067614232256E-2</v>
      </c>
      <c r="AA25" s="12">
        <f t="shared" si="13"/>
        <v>-2.6406547661292912E-2</v>
      </c>
      <c r="AB25" s="12">
        <f t="shared" si="13"/>
        <v>6.9309302828149399E-3</v>
      </c>
      <c r="AC25" s="12">
        <f t="shared" si="13"/>
        <v>6.2506904271913577E-2</v>
      </c>
      <c r="AD25" s="12">
        <f t="shared" si="13"/>
        <v>2.4895355563542831E-2</v>
      </c>
      <c r="AE25" s="12">
        <f t="shared" si="13"/>
        <v>-9.8877565857025257E-2</v>
      </c>
      <c r="AF25" s="12"/>
      <c r="AG25" s="12">
        <f t="shared" si="14"/>
        <v>-0.14383919868919945</v>
      </c>
      <c r="AH25" s="12">
        <f t="shared" si="15"/>
        <v>2.0165901339185666E-2</v>
      </c>
      <c r="AI25" s="12">
        <f t="shared" si="16"/>
        <v>1.9295196295187445E-2</v>
      </c>
    </row>
    <row r="26" spans="1:35" x14ac:dyDescent="0.2">
      <c r="A26" s="3" t="s">
        <v>129</v>
      </c>
      <c r="B26" s="12">
        <f t="shared" ref="B26:K26" si="25">B10/B$12</f>
        <v>0.14831616850225962</v>
      </c>
      <c r="C26" s="12">
        <f t="shared" si="25"/>
        <v>0.10979093047286778</v>
      </c>
      <c r="D26" s="12">
        <f t="shared" si="25"/>
        <v>0.10784883638136006</v>
      </c>
      <c r="E26" s="12">
        <f t="shared" si="25"/>
        <v>0.11524179559089255</v>
      </c>
      <c r="F26" s="12">
        <f t="shared" si="25"/>
        <v>0.12804881574285587</v>
      </c>
      <c r="G26" s="12">
        <f t="shared" si="25"/>
        <v>0.13739097877349341</v>
      </c>
      <c r="H26" s="12"/>
      <c r="I26" s="12">
        <f t="shared" si="25"/>
        <v>8.3029813082999823E-2</v>
      </c>
      <c r="J26" s="12">
        <f t="shared" si="25"/>
        <v>9.5913621420379458E-2</v>
      </c>
      <c r="K26" s="12">
        <f t="shared" si="25"/>
        <v>0.12503720392234402</v>
      </c>
      <c r="L26"/>
      <c r="M26" s="3" t="s">
        <v>129</v>
      </c>
      <c r="N26" s="12">
        <f t="shared" ref="N26:W26" si="26">N10/N$12</f>
        <v>0.14542185099677382</v>
      </c>
      <c r="O26" s="12">
        <f t="shared" si="26"/>
        <v>0.11972769939817621</v>
      </c>
      <c r="P26" s="12">
        <f t="shared" si="26"/>
        <v>0.11692714840644237</v>
      </c>
      <c r="Q26" s="12">
        <f t="shared" si="26"/>
        <v>0.12862784717119766</v>
      </c>
      <c r="R26" s="12">
        <f t="shared" si="26"/>
        <v>0.16418976615869679</v>
      </c>
      <c r="S26" s="12">
        <f t="shared" si="26"/>
        <v>0.31942443123008546</v>
      </c>
      <c r="T26" s="12"/>
      <c r="U26" s="12">
        <f t="shared" si="26"/>
        <v>0.15038906771402416</v>
      </c>
      <c r="V26" s="12">
        <f t="shared" si="26"/>
        <v>7.8987776543085156E-2</v>
      </c>
      <c r="W26" s="12">
        <f t="shared" si="26"/>
        <v>0.13898871127287801</v>
      </c>
      <c r="X26"/>
      <c r="Y26" s="3" t="s">
        <v>129</v>
      </c>
      <c r="Z26" s="12">
        <f t="shared" si="13"/>
        <v>-2.8943175054857995E-3</v>
      </c>
      <c r="AA26" s="12">
        <f t="shared" si="13"/>
        <v>9.9367689253084257E-3</v>
      </c>
      <c r="AB26" s="12">
        <f t="shared" si="13"/>
        <v>9.0783120250823163E-3</v>
      </c>
      <c r="AC26" s="12">
        <f t="shared" si="13"/>
        <v>1.3386051580305106E-2</v>
      </c>
      <c r="AD26" s="12">
        <f t="shared" si="13"/>
        <v>3.6140950415840922E-2</v>
      </c>
      <c r="AE26" s="12">
        <f t="shared" si="13"/>
        <v>0.18203345245659205</v>
      </c>
      <c r="AF26" s="12"/>
      <c r="AG26" s="12">
        <f t="shared" si="14"/>
        <v>6.7359254631024337E-2</v>
      </c>
      <c r="AH26" s="12">
        <f t="shared" si="15"/>
        <v>-1.6925844877294302E-2</v>
      </c>
      <c r="AI26" s="12">
        <f t="shared" si="16"/>
        <v>1.3951507350533993E-2</v>
      </c>
    </row>
    <row r="27" spans="1:35" x14ac:dyDescent="0.2">
      <c r="A27" s="3" t="s">
        <v>130</v>
      </c>
      <c r="B27" s="12">
        <f t="shared" ref="B27:K27" si="27">B11/B$12</f>
        <v>0.11829297020426949</v>
      </c>
      <c r="C27" s="12">
        <f t="shared" si="27"/>
        <v>0.11768980833345034</v>
      </c>
      <c r="D27" s="12">
        <f t="shared" si="27"/>
        <v>0.11811825150075442</v>
      </c>
      <c r="E27" s="12">
        <f t="shared" si="27"/>
        <v>0.14526061679616747</v>
      </c>
      <c r="F27" s="12">
        <f t="shared" si="27"/>
        <v>0.10187749121507206</v>
      </c>
      <c r="G27" s="12">
        <f t="shared" si="27"/>
        <v>0.11782823299487381</v>
      </c>
      <c r="H27" s="12"/>
      <c r="I27" s="12">
        <f t="shared" si="27"/>
        <v>0.19720603281864391</v>
      </c>
      <c r="J27" s="12">
        <f t="shared" si="27"/>
        <v>0.11034782079542388</v>
      </c>
      <c r="K27" s="12">
        <f t="shared" si="27"/>
        <v>0.12740065839938955</v>
      </c>
      <c r="L27"/>
      <c r="M27" s="3" t="s">
        <v>130</v>
      </c>
      <c r="N27" s="12">
        <f t="shared" ref="N27:W27" si="28">N11/N$12</f>
        <v>0.12670260295612309</v>
      </c>
      <c r="O27" s="12">
        <f t="shared" si="28"/>
        <v>0.16519287959295853</v>
      </c>
      <c r="P27" s="12">
        <f t="shared" si="28"/>
        <v>0.141333113741169</v>
      </c>
      <c r="Q27" s="12">
        <f t="shared" si="28"/>
        <v>0.14190444117887174</v>
      </c>
      <c r="R27" s="12">
        <f t="shared" si="28"/>
        <v>0.15064618365738308</v>
      </c>
      <c r="S27" s="12">
        <f t="shared" si="28"/>
        <v>0.22024232338197389</v>
      </c>
      <c r="T27" s="12"/>
      <c r="U27" s="12">
        <f t="shared" si="28"/>
        <v>0.33117266633198478</v>
      </c>
      <c r="V27" s="12">
        <f t="shared" si="28"/>
        <v>0.19927770481866855</v>
      </c>
      <c r="W27" s="12">
        <f t="shared" si="28"/>
        <v>0.15438370068878984</v>
      </c>
      <c r="X27"/>
      <c r="Y27" s="3" t="s">
        <v>130</v>
      </c>
      <c r="Z27" s="12">
        <f t="shared" si="13"/>
        <v>8.4096327518536074E-3</v>
      </c>
      <c r="AA27" s="12">
        <f t="shared" si="13"/>
        <v>4.7503071259508187E-2</v>
      </c>
      <c r="AB27" s="12">
        <f t="shared" si="13"/>
        <v>2.321486224041458E-2</v>
      </c>
      <c r="AC27" s="12">
        <f t="shared" si="13"/>
        <v>-3.3561756172957313E-3</v>
      </c>
      <c r="AD27" s="12">
        <f t="shared" si="13"/>
        <v>4.8768692442311024E-2</v>
      </c>
      <c r="AE27" s="12">
        <f t="shared" si="13"/>
        <v>0.10241409038710007</v>
      </c>
      <c r="AF27" s="12"/>
      <c r="AG27" s="12">
        <f t="shared" si="14"/>
        <v>0.13396663351334087</v>
      </c>
      <c r="AH27" s="12">
        <f t="shared" si="15"/>
        <v>8.8929884023244671E-2</v>
      </c>
      <c r="AI27" s="12">
        <f t="shared" si="16"/>
        <v>2.6983042289400294E-2</v>
      </c>
    </row>
    <row r="28" spans="1:35" ht="13.5" thickBot="1" x14ac:dyDescent="0.25">
      <c r="A28" s="10" t="s">
        <v>221</v>
      </c>
      <c r="B28" s="14">
        <f t="shared" ref="B28:K28" si="29">B12/B$12</f>
        <v>1</v>
      </c>
      <c r="C28" s="14">
        <f t="shared" si="29"/>
        <v>1</v>
      </c>
      <c r="D28" s="14">
        <f t="shared" si="29"/>
        <v>1</v>
      </c>
      <c r="E28" s="14">
        <f t="shared" si="29"/>
        <v>1</v>
      </c>
      <c r="F28" s="14">
        <f t="shared" si="29"/>
        <v>1</v>
      </c>
      <c r="G28" s="14">
        <f t="shared" si="29"/>
        <v>1</v>
      </c>
      <c r="H28" s="14"/>
      <c r="I28" s="14">
        <f t="shared" si="29"/>
        <v>1</v>
      </c>
      <c r="J28" s="14">
        <f t="shared" si="29"/>
        <v>1</v>
      </c>
      <c r="K28" s="14">
        <f t="shared" si="29"/>
        <v>1</v>
      </c>
      <c r="L28"/>
      <c r="M28" s="10" t="s">
        <v>221</v>
      </c>
      <c r="N28" s="14">
        <f t="shared" ref="N28:W28" si="30">N12/N$12</f>
        <v>1</v>
      </c>
      <c r="O28" s="14">
        <f t="shared" si="30"/>
        <v>1</v>
      </c>
      <c r="P28" s="14">
        <f t="shared" si="30"/>
        <v>1</v>
      </c>
      <c r="Q28" s="14">
        <f t="shared" si="30"/>
        <v>1</v>
      </c>
      <c r="R28" s="14">
        <f t="shared" si="30"/>
        <v>1</v>
      </c>
      <c r="S28" s="14">
        <f t="shared" si="30"/>
        <v>1</v>
      </c>
      <c r="T28" s="14"/>
      <c r="U28" s="14">
        <f t="shared" si="30"/>
        <v>1</v>
      </c>
      <c r="V28" s="14">
        <f t="shared" si="30"/>
        <v>1</v>
      </c>
      <c r="W28" s="14">
        <f t="shared" si="30"/>
        <v>1</v>
      </c>
      <c r="X28"/>
      <c r="Y28" s="10" t="s">
        <v>221</v>
      </c>
      <c r="Z28" s="14">
        <f t="shared" si="13"/>
        <v>0</v>
      </c>
      <c r="AA28" s="14">
        <f t="shared" si="13"/>
        <v>0</v>
      </c>
      <c r="AB28" s="14">
        <f t="shared" si="13"/>
        <v>0</v>
      </c>
      <c r="AC28" s="14">
        <f t="shared" si="13"/>
        <v>0</v>
      </c>
      <c r="AD28" s="14">
        <f t="shared" si="13"/>
        <v>0</v>
      </c>
      <c r="AE28" s="14">
        <f t="shared" si="13"/>
        <v>0</v>
      </c>
      <c r="AF28" s="14"/>
      <c r="AG28" s="14">
        <f t="shared" si="14"/>
        <v>0</v>
      </c>
      <c r="AH28" s="14">
        <f t="shared" si="15"/>
        <v>0</v>
      </c>
      <c r="AI28" s="14">
        <f t="shared" si="16"/>
        <v>0</v>
      </c>
    </row>
    <row r="29" spans="1:35" x14ac:dyDescent="0.2">
      <c r="L29"/>
      <c r="X29"/>
    </row>
    <row r="30" spans="1:35" x14ac:dyDescent="0.2">
      <c r="L30"/>
      <c r="X30"/>
    </row>
    <row r="31" spans="1:35" x14ac:dyDescent="0.2">
      <c r="L31"/>
      <c r="X31"/>
    </row>
    <row r="32" spans="1:35" x14ac:dyDescent="0.2">
      <c r="L32"/>
      <c r="X32"/>
    </row>
    <row r="33" spans="1:33" x14ac:dyDescent="0.2">
      <c r="A33" s="2" t="s">
        <v>175</v>
      </c>
      <c r="L33"/>
      <c r="M33" s="2" t="s">
        <v>175</v>
      </c>
      <c r="X33"/>
      <c r="Y33" s="2" t="s">
        <v>175</v>
      </c>
    </row>
    <row r="34" spans="1:33" x14ac:dyDescent="0.2">
      <c r="A34" s="2" t="s">
        <v>274</v>
      </c>
      <c r="L34"/>
      <c r="M34" s="2" t="s">
        <v>197</v>
      </c>
      <c r="X34"/>
      <c r="Y34" s="2" t="s">
        <v>161</v>
      </c>
    </row>
    <row r="35" spans="1:33" ht="13.5" thickBot="1" x14ac:dyDescent="0.25">
      <c r="B35" s="15"/>
      <c r="C35" s="15"/>
      <c r="D35" s="15"/>
      <c r="E35" s="15"/>
      <c r="F35" s="15"/>
      <c r="G35" s="15"/>
      <c r="H35" s="25"/>
      <c r="I35"/>
      <c r="L35"/>
      <c r="N35" s="15"/>
      <c r="O35" s="15"/>
      <c r="P35" s="15"/>
      <c r="Q35" s="15"/>
      <c r="R35" s="15"/>
      <c r="S35" s="15"/>
      <c r="T35" s="25"/>
      <c r="X35"/>
      <c r="Z35" s="15"/>
      <c r="AA35" s="15"/>
      <c r="AB35" s="15"/>
      <c r="AC35" s="15"/>
      <c r="AD35" s="15"/>
      <c r="AE35" s="15"/>
      <c r="AF35" s="25"/>
      <c r="AG35"/>
    </row>
    <row r="36" spans="1:33" x14ac:dyDescent="0.2">
      <c r="A36" s="5" t="s">
        <v>144</v>
      </c>
      <c r="B36" s="6" t="s">
        <v>296</v>
      </c>
      <c r="C36" s="6" t="s">
        <v>297</v>
      </c>
      <c r="D36" s="6" t="s">
        <v>298</v>
      </c>
      <c r="E36" s="6" t="s">
        <v>301</v>
      </c>
      <c r="F36" s="6" t="s">
        <v>172</v>
      </c>
      <c r="G36" s="6" t="s">
        <v>221</v>
      </c>
      <c r="H36" s="89"/>
      <c r="I36"/>
      <c r="L36"/>
      <c r="M36" s="5" t="s">
        <v>144</v>
      </c>
      <c r="N36" s="6" t="s">
        <v>296</v>
      </c>
      <c r="O36" s="6" t="s">
        <v>297</v>
      </c>
      <c r="P36" s="6" t="s">
        <v>298</v>
      </c>
      <c r="Q36" s="6" t="s">
        <v>301</v>
      </c>
      <c r="R36" s="6" t="s">
        <v>172</v>
      </c>
      <c r="S36" s="6" t="s">
        <v>221</v>
      </c>
      <c r="T36" s="89"/>
      <c r="X36"/>
      <c r="Y36" s="5" t="s">
        <v>144</v>
      </c>
      <c r="Z36" s="6" t="s">
        <v>296</v>
      </c>
      <c r="AA36" s="6" t="s">
        <v>297</v>
      </c>
      <c r="AB36" s="6" t="s">
        <v>298</v>
      </c>
      <c r="AC36" s="6" t="s">
        <v>301</v>
      </c>
      <c r="AD36" s="6" t="s">
        <v>172</v>
      </c>
      <c r="AE36" s="6" t="s">
        <v>221</v>
      </c>
      <c r="AF36" s="89"/>
      <c r="AG36"/>
    </row>
    <row r="37" spans="1:33" x14ac:dyDescent="0.2">
      <c r="A37" s="3" t="s">
        <v>210</v>
      </c>
      <c r="B37" s="7">
        <f>output_NHTS!B232</f>
        <v>2485.2287000000001</v>
      </c>
      <c r="C37" s="7">
        <f>output_NHTS!C232</f>
        <v>83013.127299999993</v>
      </c>
      <c r="D37" s="7">
        <f>output_NHTS!D232</f>
        <v>39632.1109</v>
      </c>
      <c r="E37" s="7">
        <f>output_NHTS!E232</f>
        <v>149274.81829999998</v>
      </c>
      <c r="F37" s="7"/>
      <c r="G37" s="7">
        <f>SUM(B37:E37)</f>
        <v>274405.28519999998</v>
      </c>
      <c r="H37" s="7"/>
      <c r="I37"/>
      <c r="L37"/>
      <c r="M37" s="3" t="s">
        <v>210</v>
      </c>
      <c r="N37" s="7">
        <f>output!B232</f>
        <v>4804</v>
      </c>
      <c r="O37" s="7">
        <f>output!C232</f>
        <v>42269</v>
      </c>
      <c r="P37" s="7">
        <f>output!D232</f>
        <v>38602</v>
      </c>
      <c r="Q37" s="7">
        <f>output!E232</f>
        <v>129022</v>
      </c>
      <c r="R37" s="7"/>
      <c r="S37" s="7">
        <f>SUM(N37:Q37)</f>
        <v>214697</v>
      </c>
      <c r="T37" s="7"/>
      <c r="X37"/>
      <c r="Y37" s="3" t="s">
        <v>210</v>
      </c>
      <c r="Z37" s="7">
        <f t="shared" ref="Z37:AD44" si="31">N37-B37</f>
        <v>2318.7712999999999</v>
      </c>
      <c r="AA37" s="7">
        <f t="shared" si="31"/>
        <v>-40744.127299999993</v>
      </c>
      <c r="AB37" s="7">
        <f t="shared" si="31"/>
        <v>-1030.1108999999997</v>
      </c>
      <c r="AC37" s="7">
        <f t="shared" si="31"/>
        <v>-20252.818299999984</v>
      </c>
      <c r="AD37" s="7">
        <f t="shared" si="31"/>
        <v>0</v>
      </c>
      <c r="AE37" s="7">
        <f t="shared" ref="AE37:AE44" si="32">S37-G37</f>
        <v>-59708.285199999984</v>
      </c>
      <c r="AF37" s="7"/>
      <c r="AG37"/>
    </row>
    <row r="38" spans="1:33" x14ac:dyDescent="0.2">
      <c r="A38" s="3" t="s">
        <v>211</v>
      </c>
      <c r="B38" s="7">
        <f>output_NHTS!B233</f>
        <v>2299.152</v>
      </c>
      <c r="C38" s="7">
        <f>output_NHTS!C233</f>
        <v>7657.3189000000002</v>
      </c>
      <c r="D38" s="7">
        <f>output_NHTS!D233</f>
        <v>3941.2957999999999</v>
      </c>
      <c r="E38" s="7">
        <f>output_NHTS!E233</f>
        <v>21447.5085</v>
      </c>
      <c r="F38" s="7"/>
      <c r="G38" s="7">
        <f t="shared" ref="G38:G43" si="33">SUM(B38:E38)</f>
        <v>35345.275200000004</v>
      </c>
      <c r="H38" s="7"/>
      <c r="I38"/>
      <c r="L38"/>
      <c r="M38" s="3" t="s">
        <v>211</v>
      </c>
      <c r="N38" s="7">
        <f>output!B233</f>
        <v>4625</v>
      </c>
      <c r="O38" s="7">
        <f>output!C233</f>
        <v>15094</v>
      </c>
      <c r="P38" s="7">
        <f>output!D233</f>
        <v>10892</v>
      </c>
      <c r="Q38" s="7">
        <f>output!E233</f>
        <v>31107</v>
      </c>
      <c r="R38" s="7"/>
      <c r="S38" s="7">
        <f t="shared" ref="S38:S43" si="34">SUM(N38:Q38)</f>
        <v>61718</v>
      </c>
      <c r="T38" s="7"/>
      <c r="X38"/>
      <c r="Y38" s="3" t="s">
        <v>211</v>
      </c>
      <c r="Z38" s="7">
        <f t="shared" si="31"/>
        <v>2325.848</v>
      </c>
      <c r="AA38" s="7">
        <f t="shared" si="31"/>
        <v>7436.6810999999998</v>
      </c>
      <c r="AB38" s="7">
        <f t="shared" si="31"/>
        <v>6950.7042000000001</v>
      </c>
      <c r="AC38" s="7">
        <f t="shared" si="31"/>
        <v>9659.4915000000001</v>
      </c>
      <c r="AD38" s="7">
        <f t="shared" si="31"/>
        <v>0</v>
      </c>
      <c r="AE38" s="7">
        <f t="shared" si="32"/>
        <v>26372.724799999996</v>
      </c>
      <c r="AF38" s="7"/>
      <c r="AG38"/>
    </row>
    <row r="39" spans="1:33" x14ac:dyDescent="0.2">
      <c r="A39" s="3" t="s">
        <v>212</v>
      </c>
      <c r="B39" s="7">
        <f>output_NHTS!B234</f>
        <v>8479.6836000000003</v>
      </c>
      <c r="C39" s="7">
        <f>output_NHTS!C234</f>
        <v>71705.520799999998</v>
      </c>
      <c r="D39" s="7">
        <f>output_NHTS!D234</f>
        <v>62952.912000000004</v>
      </c>
      <c r="E39" s="7">
        <f>output_NHTS!E234</f>
        <v>239514.28709999999</v>
      </c>
      <c r="F39" s="7"/>
      <c r="G39" s="7">
        <f t="shared" si="33"/>
        <v>382652.40350000001</v>
      </c>
      <c r="H39" s="7"/>
      <c r="I39"/>
      <c r="L39"/>
      <c r="M39" s="3" t="s">
        <v>212</v>
      </c>
      <c r="N39" s="7">
        <f>output!B234</f>
        <v>11002</v>
      </c>
      <c r="O39" s="7">
        <f>output!C234</f>
        <v>66778</v>
      </c>
      <c r="P39" s="7">
        <f>output!D234</f>
        <v>72618</v>
      </c>
      <c r="Q39" s="7">
        <f>output!E234</f>
        <v>243618</v>
      </c>
      <c r="R39" s="7"/>
      <c r="S39" s="7">
        <f t="shared" si="34"/>
        <v>394016</v>
      </c>
      <c r="T39" s="7"/>
      <c r="X39"/>
      <c r="Y39" s="3" t="s">
        <v>212</v>
      </c>
      <c r="Z39" s="7">
        <f t="shared" si="31"/>
        <v>2522.3163999999997</v>
      </c>
      <c r="AA39" s="7">
        <f t="shared" si="31"/>
        <v>-4927.5207999999984</v>
      </c>
      <c r="AB39" s="7">
        <f t="shared" si="31"/>
        <v>9665.0879999999961</v>
      </c>
      <c r="AC39" s="7">
        <f t="shared" si="31"/>
        <v>4103.7129000000132</v>
      </c>
      <c r="AD39" s="7">
        <f t="shared" si="31"/>
        <v>0</v>
      </c>
      <c r="AE39" s="7">
        <f t="shared" si="32"/>
        <v>11363.596499999985</v>
      </c>
      <c r="AF39" s="7"/>
      <c r="AG39"/>
    </row>
    <row r="40" spans="1:33" x14ac:dyDescent="0.2">
      <c r="A40" s="3" t="s">
        <v>213</v>
      </c>
      <c r="B40" s="7">
        <f>output_NHTS!B235</f>
        <v>40436.728000000003</v>
      </c>
      <c r="C40" s="7">
        <f>output_NHTS!C235</f>
        <v>259127.04089999999</v>
      </c>
      <c r="D40" s="7">
        <f>output_NHTS!D235</f>
        <v>129161.0978</v>
      </c>
      <c r="E40" s="7">
        <f>output_NHTS!E235</f>
        <v>307868.239</v>
      </c>
      <c r="F40" s="7"/>
      <c r="G40" s="7">
        <f t="shared" si="33"/>
        <v>736593.10569999996</v>
      </c>
      <c r="H40" s="7"/>
      <c r="I40"/>
      <c r="L40"/>
      <c r="M40" s="3" t="s">
        <v>213</v>
      </c>
      <c r="N40" s="7">
        <f>output!B235</f>
        <v>63237</v>
      </c>
      <c r="O40" s="7">
        <f>output!C235</f>
        <v>231913</v>
      </c>
      <c r="P40" s="7">
        <f>output!D235</f>
        <v>153720</v>
      </c>
      <c r="Q40" s="7">
        <f>output!E235</f>
        <v>409562</v>
      </c>
      <c r="R40" s="7"/>
      <c r="S40" s="7">
        <f t="shared" si="34"/>
        <v>858432</v>
      </c>
      <c r="T40" s="7"/>
      <c r="X40"/>
      <c r="Y40" s="3" t="s">
        <v>213</v>
      </c>
      <c r="Z40" s="7">
        <f t="shared" si="31"/>
        <v>22800.271999999997</v>
      </c>
      <c r="AA40" s="7">
        <f t="shared" si="31"/>
        <v>-27214.040899999993</v>
      </c>
      <c r="AB40" s="7">
        <f t="shared" si="31"/>
        <v>24558.902199999997</v>
      </c>
      <c r="AC40" s="7">
        <f t="shared" si="31"/>
        <v>101693.761</v>
      </c>
      <c r="AD40" s="7">
        <f t="shared" si="31"/>
        <v>0</v>
      </c>
      <c r="AE40" s="7">
        <f t="shared" si="32"/>
        <v>121838.89430000004</v>
      </c>
      <c r="AF40" s="7"/>
      <c r="AG40"/>
    </row>
    <row r="41" spans="1:33" x14ac:dyDescent="0.2">
      <c r="A41" s="3" t="s">
        <v>214</v>
      </c>
      <c r="B41" s="7">
        <f>output_NHTS!B236</f>
        <v>38490.797100000003</v>
      </c>
      <c r="C41" s="7">
        <f>output_NHTS!C236</f>
        <v>307198.04029999999</v>
      </c>
      <c r="D41" s="7">
        <f>output_NHTS!D236</f>
        <v>149699.84419999999</v>
      </c>
      <c r="E41" s="7">
        <f>output_NHTS!E236</f>
        <v>390912.90830000001</v>
      </c>
      <c r="F41" s="7"/>
      <c r="G41" s="7">
        <f t="shared" si="33"/>
        <v>886301.58990000002</v>
      </c>
      <c r="H41" s="7"/>
      <c r="I41"/>
      <c r="L41"/>
      <c r="M41" s="3" t="s">
        <v>214</v>
      </c>
      <c r="N41" s="7">
        <f>output!B236</f>
        <v>78479</v>
      </c>
      <c r="O41" s="7">
        <f>output!C236</f>
        <v>281516</v>
      </c>
      <c r="P41" s="7">
        <f>output!D236</f>
        <v>209228</v>
      </c>
      <c r="Q41" s="7">
        <f>output!E236</f>
        <v>580712</v>
      </c>
      <c r="R41" s="7"/>
      <c r="S41" s="7">
        <f t="shared" si="34"/>
        <v>1149935</v>
      </c>
      <c r="T41" s="7"/>
      <c r="X41"/>
      <c r="Y41" s="3" t="s">
        <v>214</v>
      </c>
      <c r="Z41" s="7">
        <f t="shared" si="31"/>
        <v>39988.202899999997</v>
      </c>
      <c r="AA41" s="7">
        <f t="shared" si="31"/>
        <v>-25682.040299999993</v>
      </c>
      <c r="AB41" s="7">
        <f t="shared" si="31"/>
        <v>59528.155800000008</v>
      </c>
      <c r="AC41" s="7">
        <f t="shared" si="31"/>
        <v>189799.09169999999</v>
      </c>
      <c r="AD41" s="7">
        <f t="shared" si="31"/>
        <v>0</v>
      </c>
      <c r="AE41" s="7">
        <f t="shared" si="32"/>
        <v>263633.41009999998</v>
      </c>
      <c r="AF41" s="7"/>
      <c r="AG41"/>
    </row>
    <row r="42" spans="1:33" x14ac:dyDescent="0.2">
      <c r="A42" s="3" t="s">
        <v>129</v>
      </c>
      <c r="B42" s="7">
        <f>output_NHTS!B237</f>
        <v>14242.1942</v>
      </c>
      <c r="C42" s="7">
        <f>output_NHTS!C237</f>
        <v>106613.62240000001</v>
      </c>
      <c r="D42" s="7">
        <f>output_NHTS!D237</f>
        <v>73212.388999999996</v>
      </c>
      <c r="E42" s="7">
        <f>output_NHTS!E237</f>
        <v>200547.90580000001</v>
      </c>
      <c r="F42" s="7"/>
      <c r="G42" s="7">
        <f t="shared" si="33"/>
        <v>394616.11139999999</v>
      </c>
      <c r="H42" s="7"/>
      <c r="I42"/>
      <c r="L42"/>
      <c r="M42" s="3" t="s">
        <v>129</v>
      </c>
      <c r="N42" s="7">
        <f>output!B237</f>
        <v>24083</v>
      </c>
      <c r="O42" s="7">
        <f>output!C237</f>
        <v>118424</v>
      </c>
      <c r="P42" s="7">
        <f>output!D237</f>
        <v>96321</v>
      </c>
      <c r="Q42" s="7">
        <f>output!E237</f>
        <v>288064</v>
      </c>
      <c r="R42" s="7"/>
      <c r="S42" s="7">
        <f t="shared" si="34"/>
        <v>526892</v>
      </c>
      <c r="T42" s="7"/>
      <c r="X42"/>
      <c r="Y42" s="3" t="s">
        <v>129</v>
      </c>
      <c r="Z42" s="7">
        <f t="shared" si="31"/>
        <v>9840.8058000000001</v>
      </c>
      <c r="AA42" s="7">
        <f t="shared" si="31"/>
        <v>11810.377599999993</v>
      </c>
      <c r="AB42" s="7">
        <f t="shared" si="31"/>
        <v>23108.611000000004</v>
      </c>
      <c r="AC42" s="7">
        <f t="shared" si="31"/>
        <v>87516.094199999992</v>
      </c>
      <c r="AD42" s="7">
        <f t="shared" si="31"/>
        <v>0</v>
      </c>
      <c r="AE42" s="7">
        <f t="shared" si="32"/>
        <v>132275.88860000001</v>
      </c>
      <c r="AF42" s="7"/>
      <c r="AG42"/>
    </row>
    <row r="43" spans="1:33" x14ac:dyDescent="0.2">
      <c r="A43" s="3" t="s">
        <v>130</v>
      </c>
      <c r="B43" s="7">
        <f>output_NHTS!B238</f>
        <v>11926.9622</v>
      </c>
      <c r="C43" s="7">
        <f>output_NHTS!C238</f>
        <v>85623.715599999996</v>
      </c>
      <c r="D43" s="7">
        <f>output_NHTS!D238</f>
        <v>71168.466700000004</v>
      </c>
      <c r="E43" s="7">
        <f>output_NHTS!E238</f>
        <v>214847.2458</v>
      </c>
      <c r="F43" s="9"/>
      <c r="G43" s="7">
        <f t="shared" si="33"/>
        <v>383566.39029999997</v>
      </c>
      <c r="H43" s="7"/>
      <c r="I43"/>
      <c r="L43"/>
      <c r="M43" s="3" t="s">
        <v>130</v>
      </c>
      <c r="N43" s="9">
        <f>output!B238</f>
        <v>28352</v>
      </c>
      <c r="O43" s="9">
        <f>output!C238</f>
        <v>130870</v>
      </c>
      <c r="P43" s="9">
        <f>output!D238</f>
        <v>106312</v>
      </c>
      <c r="Q43" s="9">
        <f>output!E238</f>
        <v>319723</v>
      </c>
      <c r="R43" s="9"/>
      <c r="S43" s="9">
        <f t="shared" si="34"/>
        <v>585257</v>
      </c>
      <c r="T43" s="33"/>
      <c r="X43"/>
      <c r="Y43" s="3" t="s">
        <v>130</v>
      </c>
      <c r="Z43" s="9">
        <f t="shared" si="31"/>
        <v>16425.037799999998</v>
      </c>
      <c r="AA43" s="9">
        <f t="shared" si="31"/>
        <v>45246.284400000004</v>
      </c>
      <c r="AB43" s="9">
        <f t="shared" si="31"/>
        <v>35143.533299999996</v>
      </c>
      <c r="AC43" s="9">
        <f t="shared" si="31"/>
        <v>104875.7542</v>
      </c>
      <c r="AD43" s="9">
        <f t="shared" si="31"/>
        <v>0</v>
      </c>
      <c r="AE43" s="9">
        <f t="shared" si="32"/>
        <v>201690.60970000003</v>
      </c>
      <c r="AF43" s="33"/>
      <c r="AG43"/>
    </row>
    <row r="44" spans="1:33" ht="13.5" thickBot="1" x14ac:dyDescent="0.25">
      <c r="A44" s="10" t="s">
        <v>221</v>
      </c>
      <c r="B44" s="11">
        <f>SUM(B37:B43)</f>
        <v>118360.74579999999</v>
      </c>
      <c r="C44" s="11">
        <f>SUM(C37:C43)</f>
        <v>920938.38619999995</v>
      </c>
      <c r="D44" s="11">
        <f>SUM(D37:D43)</f>
        <v>529768.11639999994</v>
      </c>
      <c r="E44" s="11">
        <f>SUM(E37:E43)</f>
        <v>1524412.9128</v>
      </c>
      <c r="F44" s="11"/>
      <c r="G44" s="11">
        <f>SUM(G37:G43)</f>
        <v>3093480.1612</v>
      </c>
      <c r="H44" s="33"/>
      <c r="I44"/>
      <c r="L44"/>
      <c r="M44" s="10" t="s">
        <v>221</v>
      </c>
      <c r="N44" s="11">
        <f>SUM(N37:N43)</f>
        <v>214582</v>
      </c>
      <c r="O44" s="11">
        <f>SUM(O37:O43)</f>
        <v>886864</v>
      </c>
      <c r="P44" s="11">
        <f>SUM(P37:P43)</f>
        <v>687693</v>
      </c>
      <c r="Q44" s="11">
        <f>SUM(Q37:Q43)</f>
        <v>2001808</v>
      </c>
      <c r="R44" s="11"/>
      <c r="S44" s="11">
        <f>SUM(S37:S43)</f>
        <v>3790947</v>
      </c>
      <c r="T44" s="33"/>
      <c r="X44"/>
      <c r="Y44" s="10" t="s">
        <v>221</v>
      </c>
      <c r="Z44" s="11">
        <f t="shared" si="31"/>
        <v>96221.25420000001</v>
      </c>
      <c r="AA44" s="11">
        <f t="shared" si="31"/>
        <v>-34074.38619999995</v>
      </c>
      <c r="AB44" s="11">
        <f t="shared" si="31"/>
        <v>157924.88360000006</v>
      </c>
      <c r="AC44" s="11">
        <f t="shared" si="31"/>
        <v>477395.08719999995</v>
      </c>
      <c r="AD44" s="11">
        <f t="shared" si="31"/>
        <v>0</v>
      </c>
      <c r="AE44" s="11">
        <f t="shared" si="32"/>
        <v>697466.83880000003</v>
      </c>
      <c r="AF44" s="33"/>
      <c r="AG44"/>
    </row>
    <row r="45" spans="1:33" x14ac:dyDescent="0.2">
      <c r="I45"/>
      <c r="L45"/>
      <c r="X45"/>
      <c r="AG45"/>
    </row>
    <row r="46" spans="1:33" x14ac:dyDescent="0.2">
      <c r="A46" s="25" t="s">
        <v>88</v>
      </c>
      <c r="B46" s="33">
        <f>ToursByTourPurpose!B50</f>
        <v>109619.83719999999</v>
      </c>
      <c r="C46" s="33">
        <f>ToursByTourPurpose!C50</f>
        <v>777862.39379999996</v>
      </c>
      <c r="D46" s="33">
        <f>ToursByTourPurpose!D50</f>
        <v>552181.23010000004</v>
      </c>
      <c r="E46" s="33">
        <f>ToursByTourPurpose!E50</f>
        <v>1584664.6214999999</v>
      </c>
      <c r="F46" s="7"/>
      <c r="G46" s="33">
        <f>ToursByTourPurpose!G50</f>
        <v>3024328.0825999998</v>
      </c>
      <c r="H46" s="33"/>
      <c r="I46"/>
      <c r="L46"/>
      <c r="M46" s="25" t="s">
        <v>88</v>
      </c>
      <c r="N46" s="33">
        <f>ToursByTourPurpose!N50</f>
        <v>186668</v>
      </c>
      <c r="O46" s="33">
        <f>ToursByTourPurpose!O50</f>
        <v>693369</v>
      </c>
      <c r="P46" s="33">
        <f>ToursByTourPurpose!P50</f>
        <v>514282</v>
      </c>
      <c r="Q46" s="33">
        <f>ToursByTourPurpose!Q50</f>
        <v>1376608</v>
      </c>
      <c r="R46" s="33" t="e">
        <f>ToursByTourPurpose!#REF!</f>
        <v>#REF!</v>
      </c>
      <c r="S46" s="33">
        <f>ToursByTourPurpose!S50</f>
        <v>2770927</v>
      </c>
      <c r="T46" s="33"/>
      <c r="X46"/>
      <c r="Y46" s="25" t="s">
        <v>88</v>
      </c>
      <c r="Z46" s="7">
        <f t="shared" ref="Z46:AC47" si="35">N46-B46</f>
        <v>77048.162800000006</v>
      </c>
      <c r="AA46" s="7">
        <f t="shared" si="35"/>
        <v>-84493.393799999962</v>
      </c>
      <c r="AB46" s="7">
        <f t="shared" si="35"/>
        <v>-37899.230100000044</v>
      </c>
      <c r="AC46" s="7">
        <f t="shared" si="35"/>
        <v>-208056.62149999989</v>
      </c>
      <c r="AD46" s="7"/>
      <c r="AE46" s="7">
        <f>S46-G46</f>
        <v>-253401.08259999985</v>
      </c>
      <c r="AF46" s="7"/>
      <c r="AG46"/>
    </row>
    <row r="47" spans="1:33" x14ac:dyDescent="0.2">
      <c r="A47" s="25" t="s">
        <v>90</v>
      </c>
      <c r="B47" s="38">
        <f t="shared" ref="B47:G47" si="36">B44/B46</f>
        <v>1.0797383833370626</v>
      </c>
      <c r="C47" s="38">
        <f t="shared" si="36"/>
        <v>1.1839348367274161</v>
      </c>
      <c r="D47" s="38">
        <f t="shared" si="36"/>
        <v>0.95940985952032254</v>
      </c>
      <c r="E47" s="38">
        <f t="shared" si="36"/>
        <v>0.96197825843870532</v>
      </c>
      <c r="F47" s="38" t="e">
        <f t="shared" si="36"/>
        <v>#DIV/0!</v>
      </c>
      <c r="G47" s="38">
        <f t="shared" si="36"/>
        <v>1.0228652701397893</v>
      </c>
      <c r="H47" s="38"/>
      <c r="I47"/>
      <c r="L47"/>
      <c r="M47" s="25" t="s">
        <v>90</v>
      </c>
      <c r="N47" s="38">
        <f t="shared" ref="N47:S47" si="37">N44/N46</f>
        <v>1.1495382175841602</v>
      </c>
      <c r="O47" s="38">
        <f t="shared" si="37"/>
        <v>1.2790649711769635</v>
      </c>
      <c r="P47" s="38">
        <f t="shared" si="37"/>
        <v>1.3371904908202115</v>
      </c>
      <c r="Q47" s="38">
        <f t="shared" si="37"/>
        <v>1.4541597898602943</v>
      </c>
      <c r="R47" s="38" t="e">
        <f t="shared" si="37"/>
        <v>#REF!</v>
      </c>
      <c r="S47" s="38">
        <f t="shared" si="37"/>
        <v>1.3681150748467932</v>
      </c>
      <c r="T47" s="38"/>
      <c r="X47"/>
      <c r="Y47" s="25" t="s">
        <v>90</v>
      </c>
      <c r="Z47" s="38">
        <f t="shared" si="35"/>
        <v>6.979983424709757E-2</v>
      </c>
      <c r="AA47" s="38">
        <f t="shared" si="35"/>
        <v>9.5130134449547432E-2</v>
      </c>
      <c r="AB47" s="38">
        <f t="shared" si="35"/>
        <v>0.37778063129988892</v>
      </c>
      <c r="AC47" s="38">
        <f t="shared" si="35"/>
        <v>0.49218153142158894</v>
      </c>
      <c r="AD47" s="38"/>
      <c r="AE47" s="38">
        <f>S47-G47</f>
        <v>0.34524980470700384</v>
      </c>
      <c r="AF47" s="38"/>
      <c r="AG47"/>
    </row>
    <row r="48" spans="1:33" x14ac:dyDescent="0.2">
      <c r="I48"/>
      <c r="L48"/>
      <c r="X48"/>
      <c r="AG48"/>
    </row>
    <row r="49" spans="1:41" x14ac:dyDescent="0.2">
      <c r="A49" s="2" t="s">
        <v>175</v>
      </c>
      <c r="I49"/>
      <c r="L49"/>
      <c r="M49" s="2" t="s">
        <v>175</v>
      </c>
      <c r="X49"/>
      <c r="Y49" s="2" t="s">
        <v>175</v>
      </c>
      <c r="AG49"/>
    </row>
    <row r="50" spans="1:41" x14ac:dyDescent="0.2">
      <c r="A50" s="2" t="s">
        <v>275</v>
      </c>
      <c r="I50"/>
      <c r="L50"/>
      <c r="M50" s="2" t="s">
        <v>188</v>
      </c>
      <c r="X50"/>
      <c r="Y50" s="2" t="s">
        <v>196</v>
      </c>
      <c r="AG50"/>
    </row>
    <row r="51" spans="1:41" ht="13.5" thickBot="1" x14ac:dyDescent="0.25">
      <c r="B51" s="15"/>
      <c r="C51" s="15"/>
      <c r="D51" s="15"/>
      <c r="E51" s="15"/>
      <c r="F51" s="15"/>
      <c r="G51" s="15"/>
      <c r="H51" s="25"/>
      <c r="I51"/>
      <c r="L51"/>
      <c r="N51" s="15"/>
      <c r="O51" s="15"/>
      <c r="P51" s="15"/>
      <c r="Q51" s="15"/>
      <c r="R51" s="15"/>
      <c r="S51" s="15"/>
      <c r="T51" s="25"/>
      <c r="X51"/>
      <c r="Z51" s="15"/>
      <c r="AA51" s="15"/>
      <c r="AB51" s="15"/>
      <c r="AC51" s="15"/>
      <c r="AD51" s="15"/>
      <c r="AE51" s="15"/>
      <c r="AF51" s="25"/>
      <c r="AG51"/>
    </row>
    <row r="52" spans="1:41" x14ac:dyDescent="0.2">
      <c r="A52" s="5" t="s">
        <v>144</v>
      </c>
      <c r="B52" s="6" t="s">
        <v>296</v>
      </c>
      <c r="C52" s="6" t="s">
        <v>297</v>
      </c>
      <c r="D52" s="6" t="s">
        <v>298</v>
      </c>
      <c r="E52" s="6" t="s">
        <v>301</v>
      </c>
      <c r="F52" s="6" t="s">
        <v>172</v>
      </c>
      <c r="G52" s="6" t="s">
        <v>221</v>
      </c>
      <c r="H52" s="89"/>
      <c r="I52"/>
      <c r="L52"/>
      <c r="M52" s="5" t="s">
        <v>144</v>
      </c>
      <c r="N52" s="6" t="s">
        <v>296</v>
      </c>
      <c r="O52" s="6" t="s">
        <v>297</v>
      </c>
      <c r="P52" s="6" t="s">
        <v>298</v>
      </c>
      <c r="Q52" s="6" t="s">
        <v>301</v>
      </c>
      <c r="R52" s="6" t="s">
        <v>172</v>
      </c>
      <c r="S52" s="6" t="s">
        <v>221</v>
      </c>
      <c r="T52" s="89"/>
      <c r="X52"/>
      <c r="Y52" s="5" t="s">
        <v>144</v>
      </c>
      <c r="Z52" s="6" t="s">
        <v>296</v>
      </c>
      <c r="AA52" s="6" t="s">
        <v>297</v>
      </c>
      <c r="AB52" s="6" t="s">
        <v>298</v>
      </c>
      <c r="AC52" s="6" t="s">
        <v>301</v>
      </c>
      <c r="AD52" s="6" t="s">
        <v>172</v>
      </c>
      <c r="AE52" s="6" t="s">
        <v>221</v>
      </c>
      <c r="AF52" s="89"/>
      <c r="AG52"/>
    </row>
    <row r="53" spans="1:41" x14ac:dyDescent="0.2">
      <c r="A53" s="3" t="s">
        <v>210</v>
      </c>
      <c r="B53" s="12">
        <f t="shared" ref="B53:G60" si="38">B37/B$44</f>
        <v>2.0997068607521398E-2</v>
      </c>
      <c r="C53" s="12">
        <f t="shared" si="38"/>
        <v>9.0139718947465017E-2</v>
      </c>
      <c r="D53" s="12">
        <f t="shared" si="38"/>
        <v>7.4810298455326232E-2</v>
      </c>
      <c r="E53" s="12">
        <f t="shared" si="38"/>
        <v>9.7922824614373058E-2</v>
      </c>
      <c r="F53" s="12" t="e">
        <f t="shared" si="38"/>
        <v>#DIV/0!</v>
      </c>
      <c r="G53" s="12">
        <f t="shared" si="38"/>
        <v>8.8704394694923375E-2</v>
      </c>
      <c r="H53" s="12"/>
      <c r="I53"/>
      <c r="L53"/>
      <c r="M53" s="3" t="s">
        <v>210</v>
      </c>
      <c r="N53" s="12">
        <f t="shared" ref="N53:Q60" si="39">N37/N$44</f>
        <v>2.2387711923646903E-2</v>
      </c>
      <c r="O53" s="12">
        <f t="shared" si="39"/>
        <v>4.766119720723809E-2</v>
      </c>
      <c r="P53" s="12">
        <f t="shared" si="39"/>
        <v>5.6132605683059153E-2</v>
      </c>
      <c r="Q53" s="12">
        <f t="shared" si="39"/>
        <v>6.4452734727806063E-2</v>
      </c>
      <c r="R53" s="12" t="e">
        <f t="shared" ref="R53:S60" si="40">R37/R$44</f>
        <v>#DIV/0!</v>
      </c>
      <c r="S53" s="12">
        <f t="shared" si="40"/>
        <v>5.663413389846917E-2</v>
      </c>
      <c r="T53" s="12"/>
      <c r="X53"/>
      <c r="Y53" s="3" t="s">
        <v>210</v>
      </c>
      <c r="Z53" s="12">
        <f t="shared" ref="Z53:AC60" si="41">N53-B53</f>
        <v>1.3906433161255047E-3</v>
      </c>
      <c r="AA53" s="12">
        <f t="shared" si="41"/>
        <v>-4.2478521740226927E-2</v>
      </c>
      <c r="AB53" s="12">
        <f t="shared" si="41"/>
        <v>-1.8677692772267079E-2</v>
      </c>
      <c r="AC53" s="12">
        <f t="shared" si="41"/>
        <v>-3.3470089886566995E-2</v>
      </c>
      <c r="AD53" s="12"/>
      <c r="AE53" s="12">
        <f t="shared" ref="AE53:AE60" si="42">S53-G53</f>
        <v>-3.2070260796454204E-2</v>
      </c>
      <c r="AF53" s="12"/>
      <c r="AG53"/>
    </row>
    <row r="54" spans="1:41" x14ac:dyDescent="0.2">
      <c r="A54" s="3" t="s">
        <v>211</v>
      </c>
      <c r="B54" s="12">
        <f t="shared" si="38"/>
        <v>1.9424953640330984E-2</v>
      </c>
      <c r="C54" s="12">
        <f t="shared" si="38"/>
        <v>8.3146918564181369E-3</v>
      </c>
      <c r="D54" s="12">
        <f t="shared" si="38"/>
        <v>7.4396621427178069E-3</v>
      </c>
      <c r="E54" s="12">
        <f t="shared" si="38"/>
        <v>1.4069356353460561E-2</v>
      </c>
      <c r="F54" s="12" t="e">
        <f t="shared" si="38"/>
        <v>#DIV/0!</v>
      </c>
      <c r="G54" s="12">
        <f t="shared" si="38"/>
        <v>1.1425731977634253E-2</v>
      </c>
      <c r="H54" s="12"/>
      <c r="I54"/>
      <c r="L54"/>
      <c r="M54" s="3" t="s">
        <v>211</v>
      </c>
      <c r="N54" s="12">
        <f t="shared" si="39"/>
        <v>2.155353198311135E-2</v>
      </c>
      <c r="O54" s="12">
        <f t="shared" si="39"/>
        <v>1.7019520467625251E-2</v>
      </c>
      <c r="P54" s="12">
        <f t="shared" si="39"/>
        <v>1.5838462802442371E-2</v>
      </c>
      <c r="Q54" s="12">
        <f t="shared" si="39"/>
        <v>1.553945233508908E-2</v>
      </c>
      <c r="R54" s="12" t="e">
        <f t="shared" si="40"/>
        <v>#DIV/0!</v>
      </c>
      <c r="S54" s="12">
        <f t="shared" si="40"/>
        <v>1.6280364774289909E-2</v>
      </c>
      <c r="T54" s="12"/>
      <c r="X54"/>
      <c r="Y54" s="3" t="s">
        <v>211</v>
      </c>
      <c r="Z54" s="12">
        <f t="shared" si="41"/>
        <v>2.1285783427803656E-3</v>
      </c>
      <c r="AA54" s="12">
        <f t="shared" si="41"/>
        <v>8.704828611207114E-3</v>
      </c>
      <c r="AB54" s="12">
        <f t="shared" si="41"/>
        <v>8.3988006597245646E-3</v>
      </c>
      <c r="AC54" s="12">
        <f t="shared" si="41"/>
        <v>1.4700959816285192E-3</v>
      </c>
      <c r="AD54" s="12"/>
      <c r="AE54" s="12">
        <f t="shared" si="42"/>
        <v>4.8546327966556557E-3</v>
      </c>
      <c r="AF54" s="12"/>
      <c r="AG54"/>
    </row>
    <row r="55" spans="1:41" x14ac:dyDescent="0.2">
      <c r="A55" s="3" t="s">
        <v>212</v>
      </c>
      <c r="B55" s="12">
        <f t="shared" si="38"/>
        <v>7.164270166334151E-2</v>
      </c>
      <c r="C55" s="12">
        <f t="shared" si="38"/>
        <v>7.7861366052807496E-2</v>
      </c>
      <c r="D55" s="12">
        <f t="shared" si="38"/>
        <v>0.11883106976650815</v>
      </c>
      <c r="E55" s="12">
        <f t="shared" si="38"/>
        <v>0.15711903585234441</v>
      </c>
      <c r="F55" s="12" t="e">
        <f t="shared" si="38"/>
        <v>#DIV/0!</v>
      </c>
      <c r="G55" s="12">
        <f t="shared" si="38"/>
        <v>0.12369641425195509</v>
      </c>
      <c r="H55" s="12"/>
      <c r="I55"/>
      <c r="L55"/>
      <c r="M55" s="3" t="s">
        <v>212</v>
      </c>
      <c r="N55" s="12">
        <f t="shared" si="39"/>
        <v>5.1271774892581855E-2</v>
      </c>
      <c r="O55" s="12">
        <f t="shared" si="39"/>
        <v>7.5296776055855233E-2</v>
      </c>
      <c r="P55" s="12">
        <f t="shared" si="39"/>
        <v>0.10559653799006243</v>
      </c>
      <c r="Q55" s="12">
        <f t="shared" si="39"/>
        <v>0.121698984118357</v>
      </c>
      <c r="R55" s="12" t="e">
        <f t="shared" si="40"/>
        <v>#DIV/0!</v>
      </c>
      <c r="S55" s="12">
        <f t="shared" si="40"/>
        <v>0.10393603498017778</v>
      </c>
      <c r="T55" s="12"/>
      <c r="X55"/>
      <c r="Y55" s="3" t="s">
        <v>212</v>
      </c>
      <c r="Z55" s="12">
        <f t="shared" si="41"/>
        <v>-2.0370926770759655E-2</v>
      </c>
      <c r="AA55" s="12">
        <f t="shared" si="41"/>
        <v>-2.5645899969522629E-3</v>
      </c>
      <c r="AB55" s="12">
        <f t="shared" si="41"/>
        <v>-1.3234531776445721E-2</v>
      </c>
      <c r="AC55" s="12">
        <f t="shared" si="41"/>
        <v>-3.5420051733987407E-2</v>
      </c>
      <c r="AD55" s="12"/>
      <c r="AE55" s="12">
        <f t="shared" si="42"/>
        <v>-1.9760379271777304E-2</v>
      </c>
      <c r="AF55" s="12"/>
      <c r="AG55"/>
    </row>
    <row r="56" spans="1:41" x14ac:dyDescent="0.2">
      <c r="A56" s="3" t="s">
        <v>213</v>
      </c>
      <c r="B56" s="12">
        <f t="shared" si="38"/>
        <v>0.34163968574790787</v>
      </c>
      <c r="C56" s="12">
        <f t="shared" si="38"/>
        <v>0.28137283099819171</v>
      </c>
      <c r="D56" s="12">
        <f t="shared" si="38"/>
        <v>0.2438068539830307</v>
      </c>
      <c r="E56" s="12">
        <f t="shared" si="38"/>
        <v>0.20195856149926991</v>
      </c>
      <c r="F56" s="12" t="e">
        <f t="shared" si="38"/>
        <v>#DIV/0!</v>
      </c>
      <c r="G56" s="12">
        <f t="shared" si="38"/>
        <v>0.23811146906281314</v>
      </c>
      <c r="H56" s="12"/>
      <c r="I56"/>
      <c r="L56"/>
      <c r="M56" s="3" t="s">
        <v>213</v>
      </c>
      <c r="N56" s="12">
        <f t="shared" si="39"/>
        <v>0.29469853016562431</v>
      </c>
      <c r="O56" s="12">
        <f t="shared" si="39"/>
        <v>0.26149781702718794</v>
      </c>
      <c r="P56" s="12">
        <f t="shared" si="39"/>
        <v>0.22352997631210439</v>
      </c>
      <c r="Q56" s="12">
        <f t="shared" si="39"/>
        <v>0.20459604517516167</v>
      </c>
      <c r="R56" s="12" t="e">
        <f t="shared" si="40"/>
        <v>#DIV/0!</v>
      </c>
      <c r="S56" s="12">
        <f t="shared" si="40"/>
        <v>0.22644262766005432</v>
      </c>
      <c r="T56" s="12"/>
      <c r="X56"/>
      <c r="Y56" s="3" t="s">
        <v>213</v>
      </c>
      <c r="Z56" s="12">
        <f t="shared" si="41"/>
        <v>-4.6941155582283567E-2</v>
      </c>
      <c r="AA56" s="12">
        <f t="shared" si="41"/>
        <v>-1.9875013971003774E-2</v>
      </c>
      <c r="AB56" s="12">
        <f t="shared" si="41"/>
        <v>-2.0276877670926313E-2</v>
      </c>
      <c r="AC56" s="12">
        <f t="shared" si="41"/>
        <v>2.6374836758917553E-3</v>
      </c>
      <c r="AD56" s="12"/>
      <c r="AE56" s="12">
        <f t="shared" si="42"/>
        <v>-1.1668841402758812E-2</v>
      </c>
      <c r="AF56" s="12"/>
      <c r="AG56"/>
    </row>
    <row r="57" spans="1:41" x14ac:dyDescent="0.2">
      <c r="A57" s="3" t="s">
        <v>214</v>
      </c>
      <c r="B57" s="12">
        <f t="shared" si="38"/>
        <v>0.3251990078284891</v>
      </c>
      <c r="C57" s="12">
        <f t="shared" si="38"/>
        <v>0.33357067628331638</v>
      </c>
      <c r="D57" s="12">
        <f t="shared" si="38"/>
        <v>0.28257616788506301</v>
      </c>
      <c r="E57" s="12">
        <f t="shared" si="38"/>
        <v>0.25643505445121284</v>
      </c>
      <c r="F57" s="12" t="e">
        <f t="shared" si="38"/>
        <v>#DIV/0!</v>
      </c>
      <c r="G57" s="12">
        <f t="shared" si="38"/>
        <v>0.2865063112466163</v>
      </c>
      <c r="H57" s="12"/>
      <c r="I57"/>
      <c r="L57"/>
      <c r="M57" s="3" t="s">
        <v>214</v>
      </c>
      <c r="N57" s="12">
        <f t="shared" si="39"/>
        <v>0.36572965113569639</v>
      </c>
      <c r="O57" s="12">
        <f t="shared" si="39"/>
        <v>0.31742860235616732</v>
      </c>
      <c r="P57" s="12">
        <f t="shared" si="39"/>
        <v>0.30424622615033159</v>
      </c>
      <c r="Q57" s="12">
        <f t="shared" si="39"/>
        <v>0.29009375524525827</v>
      </c>
      <c r="R57" s="12" t="e">
        <f t="shared" si="40"/>
        <v>#DIV/0!</v>
      </c>
      <c r="S57" s="12">
        <f t="shared" si="40"/>
        <v>0.3033371344943625</v>
      </c>
      <c r="T57" s="12"/>
      <c r="X57"/>
      <c r="Y57" s="3" t="s">
        <v>214</v>
      </c>
      <c r="Z57" s="12">
        <f t="shared" si="41"/>
        <v>4.0530643307207292E-2</v>
      </c>
      <c r="AA57" s="12">
        <f t="shared" si="41"/>
        <v>-1.6142073927149059E-2</v>
      </c>
      <c r="AB57" s="12">
        <f t="shared" si="41"/>
        <v>2.1670058265268577E-2</v>
      </c>
      <c r="AC57" s="12">
        <f t="shared" si="41"/>
        <v>3.3658700794045426E-2</v>
      </c>
      <c r="AD57" s="12"/>
      <c r="AE57" s="12">
        <f t="shared" si="42"/>
        <v>1.6830823247746207E-2</v>
      </c>
      <c r="AF57" s="12"/>
      <c r="AG57"/>
    </row>
    <row r="58" spans="1:41" x14ac:dyDescent="0.2">
      <c r="A58" s="3" t="s">
        <v>129</v>
      </c>
      <c r="B58" s="12">
        <f t="shared" si="38"/>
        <v>0.12032869600252216</v>
      </c>
      <c r="C58" s="12">
        <f t="shared" si="38"/>
        <v>0.11576629229226933</v>
      </c>
      <c r="D58" s="12">
        <f t="shared" si="38"/>
        <v>0.13819704646914083</v>
      </c>
      <c r="E58" s="12">
        <f t="shared" si="38"/>
        <v>0.13155746984039848</v>
      </c>
      <c r="F58" s="12" t="e">
        <f t="shared" si="38"/>
        <v>#DIV/0!</v>
      </c>
      <c r="G58" s="12">
        <f t="shared" si="38"/>
        <v>0.12756380866749228</v>
      </c>
      <c r="H58" s="12"/>
      <c r="I58"/>
      <c r="L58"/>
      <c r="M58" s="3" t="s">
        <v>129</v>
      </c>
      <c r="N58" s="12">
        <f t="shared" si="39"/>
        <v>0.11223215367551799</v>
      </c>
      <c r="O58" s="12">
        <f t="shared" si="39"/>
        <v>0.13353118403723682</v>
      </c>
      <c r="P58" s="12">
        <f t="shared" si="39"/>
        <v>0.14006395295575205</v>
      </c>
      <c r="Q58" s="12">
        <f t="shared" si="39"/>
        <v>0.14390191267094546</v>
      </c>
      <c r="R58" s="12" t="e">
        <f t="shared" si="40"/>
        <v>#DIV/0!</v>
      </c>
      <c r="S58" s="12">
        <f t="shared" si="40"/>
        <v>0.13898690749303538</v>
      </c>
      <c r="T58" s="12"/>
      <c r="X58"/>
      <c r="Y58" s="3" t="s">
        <v>129</v>
      </c>
      <c r="Z58" s="12">
        <f t="shared" si="41"/>
        <v>-8.096542327004172E-3</v>
      </c>
      <c r="AA58" s="12">
        <f t="shared" si="41"/>
        <v>1.7764891744967495E-2</v>
      </c>
      <c r="AB58" s="12">
        <f t="shared" si="41"/>
        <v>1.866906486611225E-3</v>
      </c>
      <c r="AC58" s="12">
        <f t="shared" si="41"/>
        <v>1.2344442830546976E-2</v>
      </c>
      <c r="AD58" s="12"/>
      <c r="AE58" s="12">
        <f t="shared" si="42"/>
        <v>1.1423098825543099E-2</v>
      </c>
      <c r="AF58" s="12"/>
      <c r="AG58"/>
    </row>
    <row r="59" spans="1:41" x14ac:dyDescent="0.2">
      <c r="A59" s="3" t="s">
        <v>130</v>
      </c>
      <c r="B59" s="13">
        <f t="shared" si="38"/>
        <v>0.10076788650988713</v>
      </c>
      <c r="C59" s="13">
        <f t="shared" si="38"/>
        <v>9.297442356953195E-2</v>
      </c>
      <c r="D59" s="13">
        <f t="shared" si="38"/>
        <v>0.13433890129821338</v>
      </c>
      <c r="E59" s="13">
        <f t="shared" si="38"/>
        <v>0.14093769738894066</v>
      </c>
      <c r="F59" s="13" t="e">
        <f t="shared" si="38"/>
        <v>#DIV/0!</v>
      </c>
      <c r="G59" s="13">
        <f t="shared" si="38"/>
        <v>0.12399187009856553</v>
      </c>
      <c r="H59" s="34"/>
      <c r="I59"/>
      <c r="L59"/>
      <c r="M59" s="3" t="s">
        <v>130</v>
      </c>
      <c r="N59" s="13">
        <f t="shared" si="39"/>
        <v>0.1321266462238212</v>
      </c>
      <c r="O59" s="13">
        <f t="shared" si="39"/>
        <v>0.14756490284868931</v>
      </c>
      <c r="P59" s="13">
        <f t="shared" si="39"/>
        <v>0.154592238106248</v>
      </c>
      <c r="Q59" s="13">
        <f t="shared" si="39"/>
        <v>0.15971711572738245</v>
      </c>
      <c r="R59" s="13" t="e">
        <f t="shared" si="40"/>
        <v>#DIV/0!</v>
      </c>
      <c r="S59" s="13">
        <f t="shared" si="40"/>
        <v>0.15438279669961094</v>
      </c>
      <c r="T59" s="34"/>
      <c r="X59"/>
      <c r="Y59" s="3" t="s">
        <v>130</v>
      </c>
      <c r="Z59" s="12">
        <f t="shared" si="41"/>
        <v>3.1358759713934065E-2</v>
      </c>
      <c r="AA59" s="12">
        <f t="shared" si="41"/>
        <v>5.4590479279157361E-2</v>
      </c>
      <c r="AB59" s="12">
        <f t="shared" si="41"/>
        <v>2.0253336808034622E-2</v>
      </c>
      <c r="AC59" s="12">
        <f t="shared" si="41"/>
        <v>1.8779418338441795E-2</v>
      </c>
      <c r="AD59" s="12"/>
      <c r="AE59" s="12">
        <f t="shared" si="42"/>
        <v>3.0390926601045407E-2</v>
      </c>
      <c r="AF59" s="12"/>
      <c r="AG59"/>
    </row>
    <row r="60" spans="1:41" ht="13.5" thickBot="1" x14ac:dyDescent="0.25">
      <c r="A60" s="10" t="s">
        <v>221</v>
      </c>
      <c r="B60" s="17">
        <f t="shared" si="38"/>
        <v>1</v>
      </c>
      <c r="C60" s="17">
        <f t="shared" si="38"/>
        <v>1</v>
      </c>
      <c r="D60" s="17">
        <f t="shared" si="38"/>
        <v>1</v>
      </c>
      <c r="E60" s="17">
        <f t="shared" si="38"/>
        <v>1</v>
      </c>
      <c r="F60" s="17" t="e">
        <f t="shared" si="38"/>
        <v>#DIV/0!</v>
      </c>
      <c r="G60" s="17">
        <f t="shared" si="38"/>
        <v>1</v>
      </c>
      <c r="H60" s="34"/>
      <c r="I60"/>
      <c r="L60"/>
      <c r="M60" s="10" t="s">
        <v>221</v>
      </c>
      <c r="N60" s="17">
        <f t="shared" si="39"/>
        <v>1</v>
      </c>
      <c r="O60" s="17">
        <f t="shared" si="39"/>
        <v>1</v>
      </c>
      <c r="P60" s="17">
        <f t="shared" si="39"/>
        <v>1</v>
      </c>
      <c r="Q60" s="17">
        <f t="shared" si="39"/>
        <v>1</v>
      </c>
      <c r="R60" s="17" t="e">
        <f t="shared" si="40"/>
        <v>#DIV/0!</v>
      </c>
      <c r="S60" s="17">
        <f t="shared" si="40"/>
        <v>1</v>
      </c>
      <c r="T60" s="34"/>
      <c r="X60"/>
      <c r="Y60" s="10" t="s">
        <v>221</v>
      </c>
      <c r="Z60" s="14">
        <f t="shared" si="41"/>
        <v>0</v>
      </c>
      <c r="AA60" s="14">
        <f t="shared" si="41"/>
        <v>0</v>
      </c>
      <c r="AB60" s="14">
        <f t="shared" si="41"/>
        <v>0</v>
      </c>
      <c r="AC60" s="14">
        <f t="shared" si="41"/>
        <v>0</v>
      </c>
      <c r="AD60" s="14"/>
      <c r="AE60" s="14">
        <f t="shared" si="42"/>
        <v>0</v>
      </c>
      <c r="AF60" s="34"/>
      <c r="AG60"/>
    </row>
    <row r="61" spans="1:41" x14ac:dyDescent="0.2">
      <c r="I61"/>
      <c r="L61"/>
      <c r="X61"/>
      <c r="AG61"/>
    </row>
    <row r="62" spans="1:41" x14ac:dyDescent="0.2">
      <c r="L62"/>
      <c r="X62"/>
      <c r="AG62"/>
    </row>
    <row r="63" spans="1:41" x14ac:dyDescent="0.2">
      <c r="L63"/>
      <c r="X63"/>
      <c r="AG63"/>
      <c r="AH63"/>
      <c r="AI63"/>
      <c r="AJ63"/>
      <c r="AK63"/>
      <c r="AL63"/>
      <c r="AM63"/>
      <c r="AN63"/>
      <c r="AO63"/>
    </row>
    <row r="64" spans="1:41" x14ac:dyDescent="0.2">
      <c r="L64"/>
      <c r="X64"/>
      <c r="AG64"/>
      <c r="AH64"/>
      <c r="AI64"/>
      <c r="AJ64"/>
      <c r="AK64"/>
      <c r="AL64"/>
      <c r="AM64"/>
      <c r="AN64"/>
      <c r="AO64"/>
    </row>
    <row r="65" spans="1:41" x14ac:dyDescent="0.2">
      <c r="A65" s="2" t="s">
        <v>175</v>
      </c>
      <c r="L65"/>
      <c r="M65" s="2" t="s">
        <v>175</v>
      </c>
      <c r="X65"/>
      <c r="Y65" s="2" t="s">
        <v>175</v>
      </c>
      <c r="AG65"/>
      <c r="AH65"/>
      <c r="AI65"/>
      <c r="AJ65"/>
      <c r="AK65"/>
      <c r="AL65"/>
      <c r="AM65"/>
      <c r="AN65"/>
      <c r="AO65"/>
    </row>
    <row r="66" spans="1:41" x14ac:dyDescent="0.2">
      <c r="A66" s="2" t="s">
        <v>107</v>
      </c>
      <c r="L66"/>
      <c r="M66" s="2" t="s">
        <v>141</v>
      </c>
      <c r="X66"/>
      <c r="Y66" s="2" t="s">
        <v>113</v>
      </c>
      <c r="AG66"/>
      <c r="AH66"/>
      <c r="AI66"/>
      <c r="AJ66"/>
      <c r="AK66"/>
      <c r="AL66"/>
      <c r="AM66"/>
      <c r="AN66"/>
      <c r="AO66"/>
    </row>
    <row r="67" spans="1:41" ht="13.5" thickBot="1" x14ac:dyDescent="0.25">
      <c r="B67" s="15"/>
      <c r="C67" s="15"/>
      <c r="D67" s="15"/>
      <c r="E67" s="15"/>
      <c r="F67" s="15"/>
      <c r="L67"/>
      <c r="N67" s="15"/>
      <c r="O67" s="15"/>
      <c r="P67" s="15"/>
      <c r="Q67" s="15"/>
      <c r="R67" s="15"/>
      <c r="X67"/>
      <c r="Z67" s="15"/>
      <c r="AA67" s="15"/>
      <c r="AB67" s="15"/>
      <c r="AC67" s="15"/>
      <c r="AD67" s="15"/>
      <c r="AG67"/>
      <c r="AH67"/>
      <c r="AI67"/>
      <c r="AJ67"/>
      <c r="AK67"/>
      <c r="AL67"/>
      <c r="AM67"/>
      <c r="AN67"/>
      <c r="AO67"/>
    </row>
    <row r="68" spans="1:41" x14ac:dyDescent="0.2">
      <c r="A68" s="5" t="s">
        <v>144</v>
      </c>
      <c r="B68" s="6" t="s">
        <v>98</v>
      </c>
      <c r="C68" s="6" t="s">
        <v>99</v>
      </c>
      <c r="D68" s="6" t="s">
        <v>100</v>
      </c>
      <c r="E68" s="6" t="s">
        <v>101</v>
      </c>
      <c r="F68" s="6" t="s">
        <v>221</v>
      </c>
      <c r="L68"/>
      <c r="M68" s="5" t="s">
        <v>144</v>
      </c>
      <c r="N68" s="6" t="s">
        <v>98</v>
      </c>
      <c r="O68" s="6" t="s">
        <v>99</v>
      </c>
      <c r="P68" s="6" t="s">
        <v>100</v>
      </c>
      <c r="Q68" s="6" t="s">
        <v>101</v>
      </c>
      <c r="R68" s="6" t="s">
        <v>221</v>
      </c>
      <c r="X68"/>
      <c r="Y68" s="5" t="s">
        <v>144</v>
      </c>
      <c r="Z68" s="6" t="s">
        <v>98</v>
      </c>
      <c r="AA68" s="6" t="s">
        <v>99</v>
      </c>
      <c r="AB68" s="6" t="s">
        <v>100</v>
      </c>
      <c r="AC68" s="6" t="s">
        <v>101</v>
      </c>
      <c r="AD68" s="6" t="s">
        <v>221</v>
      </c>
      <c r="AG68"/>
      <c r="AH68"/>
      <c r="AI68"/>
      <c r="AJ68"/>
      <c r="AK68"/>
      <c r="AL68"/>
      <c r="AM68"/>
      <c r="AN68"/>
      <c r="AO68"/>
    </row>
    <row r="69" spans="1:41" x14ac:dyDescent="0.2">
      <c r="A69" s="3" t="s">
        <v>210</v>
      </c>
      <c r="B69" s="7">
        <f>output_NHTS!B242</f>
        <v>7946.3751000000002</v>
      </c>
      <c r="C69" s="7">
        <f>output_NHTS!C242</f>
        <v>48998.1201</v>
      </c>
      <c r="D69" s="7">
        <f>output_NHTS!D242</f>
        <v>168234.5264</v>
      </c>
      <c r="E69" s="7">
        <f>output_NHTS!E242</f>
        <v>65965.470600000001</v>
      </c>
      <c r="F69" s="7">
        <f>output_NHTS!F242</f>
        <v>291144.49219999998</v>
      </c>
      <c r="L69"/>
      <c r="M69" s="3" t="s">
        <v>210</v>
      </c>
      <c r="N69" s="7">
        <f>output!B242</f>
        <v>7990</v>
      </c>
      <c r="O69" s="7">
        <f>output!C242</f>
        <v>49009</v>
      </c>
      <c r="P69" s="7">
        <f>output!D242</f>
        <v>120382</v>
      </c>
      <c r="Q69" s="7">
        <f>output!E242</f>
        <v>37360</v>
      </c>
      <c r="R69" s="7">
        <f>output!F242</f>
        <v>214741</v>
      </c>
      <c r="X69"/>
      <c r="Y69" s="3" t="s">
        <v>210</v>
      </c>
      <c r="Z69" s="7">
        <f t="shared" ref="Z69:AB76" si="43">N69-B69</f>
        <v>43.624899999999798</v>
      </c>
      <c r="AA69" s="7">
        <f t="shared" si="43"/>
        <v>10.879899999999907</v>
      </c>
      <c r="AB69" s="7">
        <f t="shared" si="43"/>
        <v>-47852.526400000002</v>
      </c>
      <c r="AC69" s="7">
        <f t="shared" ref="AC69:AC76" si="44">Q69-E69</f>
        <v>-28605.470600000001</v>
      </c>
      <c r="AD69" s="7">
        <f t="shared" ref="AD69:AD76" si="45">R69-F69</f>
        <v>-76403.492199999979</v>
      </c>
      <c r="AG69"/>
      <c r="AH69"/>
      <c r="AI69"/>
      <c r="AJ69"/>
      <c r="AK69"/>
      <c r="AL69"/>
      <c r="AM69"/>
      <c r="AN69"/>
      <c r="AO69"/>
    </row>
    <row r="70" spans="1:41" x14ac:dyDescent="0.2">
      <c r="A70" s="3" t="s">
        <v>211</v>
      </c>
      <c r="B70" s="7">
        <f>output_NHTS!B243</f>
        <v>10103.864799999999</v>
      </c>
      <c r="C70" s="7">
        <f>output_NHTS!C243</f>
        <v>9551.6623</v>
      </c>
      <c r="D70" s="7">
        <f>output_NHTS!D243</f>
        <v>21767.022199999999</v>
      </c>
      <c r="E70" s="7">
        <f>output_NHTS!E243</f>
        <v>5410.4741000000004</v>
      </c>
      <c r="F70" s="7">
        <f>output_NHTS!F243</f>
        <v>46833.023399999998</v>
      </c>
      <c r="L70"/>
      <c r="M70" s="3" t="s">
        <v>211</v>
      </c>
      <c r="N70" s="7">
        <f>output!B243</f>
        <v>2683</v>
      </c>
      <c r="O70" s="7">
        <f>output!C243</f>
        <v>21581</v>
      </c>
      <c r="P70" s="7">
        <f>output!D243</f>
        <v>29506</v>
      </c>
      <c r="Q70" s="7">
        <f>output!E243</f>
        <v>7966</v>
      </c>
      <c r="R70" s="7">
        <f>output!F243</f>
        <v>61736</v>
      </c>
      <c r="X70"/>
      <c r="Y70" s="3" t="s">
        <v>211</v>
      </c>
      <c r="Z70" s="7">
        <f t="shared" si="43"/>
        <v>-7420.8647999999994</v>
      </c>
      <c r="AA70" s="7">
        <f t="shared" si="43"/>
        <v>12029.3377</v>
      </c>
      <c r="AB70" s="7">
        <f t="shared" si="43"/>
        <v>7738.9778000000006</v>
      </c>
      <c r="AC70" s="7">
        <f t="shared" si="44"/>
        <v>2555.5258999999996</v>
      </c>
      <c r="AD70" s="7">
        <f t="shared" si="45"/>
        <v>14902.976600000002</v>
      </c>
      <c r="AG70"/>
      <c r="AH70"/>
      <c r="AI70"/>
      <c r="AJ70"/>
      <c r="AK70"/>
      <c r="AL70"/>
      <c r="AM70"/>
      <c r="AN70"/>
      <c r="AO70"/>
    </row>
    <row r="71" spans="1:41" x14ac:dyDescent="0.2">
      <c r="A71" s="3" t="s">
        <v>212</v>
      </c>
      <c r="B71" s="7">
        <f>output_NHTS!B244</f>
        <v>1728.5329000000002</v>
      </c>
      <c r="C71" s="7">
        <f>output_NHTS!C244</f>
        <v>83680.403999999995</v>
      </c>
      <c r="D71" s="7">
        <f>output_NHTS!D244</f>
        <v>257076.89980000001</v>
      </c>
      <c r="E71" s="7">
        <f>output_NHTS!E244</f>
        <v>68874.400999999998</v>
      </c>
      <c r="F71" s="7">
        <f>output_NHTS!F244</f>
        <v>411360.2377</v>
      </c>
      <c r="L71"/>
      <c r="M71" s="3" t="s">
        <v>212</v>
      </c>
      <c r="N71" s="7">
        <f>output!B244</f>
        <v>7571</v>
      </c>
      <c r="O71" s="7">
        <f>output!C244</f>
        <v>107106</v>
      </c>
      <c r="P71" s="7">
        <f>output!D244</f>
        <v>215268</v>
      </c>
      <c r="Q71" s="7">
        <f>output!E244</f>
        <v>64140</v>
      </c>
      <c r="R71" s="7">
        <f>output!F244</f>
        <v>394085</v>
      </c>
      <c r="X71"/>
      <c r="Y71" s="3" t="s">
        <v>212</v>
      </c>
      <c r="Z71" s="7">
        <f t="shared" si="43"/>
        <v>5842.4670999999998</v>
      </c>
      <c r="AA71" s="7">
        <f t="shared" si="43"/>
        <v>23425.596000000005</v>
      </c>
      <c r="AB71" s="7">
        <f t="shared" si="43"/>
        <v>-41808.899800000014</v>
      </c>
      <c r="AC71" s="7">
        <f t="shared" si="44"/>
        <v>-4734.400999999998</v>
      </c>
      <c r="AD71" s="7">
        <f t="shared" si="45"/>
        <v>-17275.237699999998</v>
      </c>
      <c r="AG71"/>
      <c r="AH71"/>
      <c r="AI71"/>
      <c r="AJ71"/>
      <c r="AK71"/>
      <c r="AL71"/>
      <c r="AM71"/>
      <c r="AN71"/>
      <c r="AO71"/>
    </row>
    <row r="72" spans="1:41" x14ac:dyDescent="0.2">
      <c r="A72" s="3" t="s">
        <v>213</v>
      </c>
      <c r="B72" s="7">
        <f>output_NHTS!B245</f>
        <v>41173.8076</v>
      </c>
      <c r="C72" s="7">
        <f>output_NHTS!C245</f>
        <v>165326.4987</v>
      </c>
      <c r="D72" s="7">
        <f>output_NHTS!D245</f>
        <v>463960.88010000001</v>
      </c>
      <c r="E72" s="7">
        <f>output_NHTS!E245</f>
        <v>157285.0932</v>
      </c>
      <c r="F72" s="7">
        <f>output_NHTS!F245</f>
        <v>827746.27960000001</v>
      </c>
      <c r="L72"/>
      <c r="M72" s="3" t="s">
        <v>213</v>
      </c>
      <c r="N72" s="7">
        <f>output!B245</f>
        <v>40950</v>
      </c>
      <c r="O72" s="7">
        <f>output!C245</f>
        <v>200788</v>
      </c>
      <c r="P72" s="7">
        <f>output!D245</f>
        <v>480583</v>
      </c>
      <c r="Q72" s="7">
        <f>output!E245</f>
        <v>136368</v>
      </c>
      <c r="R72" s="7">
        <f>output!F245</f>
        <v>858689</v>
      </c>
      <c r="X72"/>
      <c r="Y72" s="3" t="s">
        <v>213</v>
      </c>
      <c r="Z72" s="7">
        <f t="shared" si="43"/>
        <v>-223.80760000000009</v>
      </c>
      <c r="AA72" s="7">
        <f t="shared" si="43"/>
        <v>35461.501300000004</v>
      </c>
      <c r="AB72" s="7">
        <f t="shared" si="43"/>
        <v>16622.119899999991</v>
      </c>
      <c r="AC72" s="7">
        <f t="shared" si="44"/>
        <v>-20917.093200000003</v>
      </c>
      <c r="AD72" s="7">
        <f t="shared" si="45"/>
        <v>30942.720399999991</v>
      </c>
      <c r="AG72"/>
      <c r="AH72"/>
      <c r="AI72"/>
      <c r="AJ72"/>
      <c r="AK72"/>
      <c r="AL72"/>
      <c r="AM72"/>
      <c r="AN72"/>
      <c r="AO72"/>
    </row>
    <row r="73" spans="1:41" x14ac:dyDescent="0.2">
      <c r="A73" s="3" t="s">
        <v>214</v>
      </c>
      <c r="B73" s="7">
        <f>output_NHTS!B246</f>
        <v>51294.273999999998</v>
      </c>
      <c r="C73" s="7">
        <f>output_NHTS!C246</f>
        <v>201597.58199999999</v>
      </c>
      <c r="D73" s="7">
        <f>output_NHTS!D246</f>
        <v>545147.57110000006</v>
      </c>
      <c r="E73" s="7">
        <f>output_NHTS!E246</f>
        <v>168432.43479999999</v>
      </c>
      <c r="F73" s="7">
        <f>output_NHTS!F246</f>
        <v>966471.86190000013</v>
      </c>
      <c r="L73"/>
      <c r="M73" s="3" t="s">
        <v>214</v>
      </c>
      <c r="N73" s="7">
        <f>output!B246</f>
        <v>52877</v>
      </c>
      <c r="O73" s="7">
        <f>output!C246</f>
        <v>271473</v>
      </c>
      <c r="P73" s="7">
        <f>output!D246</f>
        <v>639853</v>
      </c>
      <c r="Q73" s="7">
        <f>output!E246</f>
        <v>186087</v>
      </c>
      <c r="R73" s="7">
        <f>output!F246</f>
        <v>1150290</v>
      </c>
      <c r="X73"/>
      <c r="Y73" s="3" t="s">
        <v>214</v>
      </c>
      <c r="Z73" s="7">
        <f t="shared" si="43"/>
        <v>1582.7260000000024</v>
      </c>
      <c r="AA73" s="7">
        <f t="shared" si="43"/>
        <v>69875.418000000005</v>
      </c>
      <c r="AB73" s="7">
        <f t="shared" si="43"/>
        <v>94705.428899999941</v>
      </c>
      <c r="AC73" s="7">
        <f t="shared" si="44"/>
        <v>17654.565200000012</v>
      </c>
      <c r="AD73" s="7">
        <f t="shared" si="45"/>
        <v>183818.13809999987</v>
      </c>
      <c r="AG73"/>
      <c r="AH73"/>
      <c r="AI73"/>
      <c r="AJ73"/>
      <c r="AK73"/>
      <c r="AL73"/>
      <c r="AM73"/>
      <c r="AN73"/>
      <c r="AO73"/>
    </row>
    <row r="74" spans="1:41" x14ac:dyDescent="0.2">
      <c r="A74" s="3" t="s">
        <v>129</v>
      </c>
      <c r="B74" s="7">
        <f>output_NHTS!B247</f>
        <v>26768.4172</v>
      </c>
      <c r="C74" s="7">
        <f>output_NHTS!C247</f>
        <v>115472.3725</v>
      </c>
      <c r="D74" s="7">
        <f>output_NHTS!D247</f>
        <v>218926.57260000001</v>
      </c>
      <c r="E74" s="7">
        <f>output_NHTS!E247</f>
        <v>64267.663200000003</v>
      </c>
      <c r="F74" s="7">
        <f>output_NHTS!F247</f>
        <v>425435.02550000005</v>
      </c>
      <c r="L74"/>
      <c r="M74" s="3" t="s">
        <v>129</v>
      </c>
      <c r="N74" s="7">
        <f>output!B247</f>
        <v>20328</v>
      </c>
      <c r="O74" s="7">
        <f>output!C247</f>
        <v>143315</v>
      </c>
      <c r="P74" s="7">
        <f>output!D247</f>
        <v>280427</v>
      </c>
      <c r="Q74" s="7">
        <f>output!E247</f>
        <v>82977</v>
      </c>
      <c r="R74" s="7">
        <f>output!F247</f>
        <v>527047</v>
      </c>
      <c r="X74"/>
      <c r="Y74" s="3" t="s">
        <v>129</v>
      </c>
      <c r="Z74" s="7">
        <f t="shared" si="43"/>
        <v>-6440.4171999999999</v>
      </c>
      <c r="AA74" s="7">
        <f t="shared" si="43"/>
        <v>27842.627500000002</v>
      </c>
      <c r="AB74" s="7">
        <f t="shared" si="43"/>
        <v>61500.427399999986</v>
      </c>
      <c r="AC74" s="7">
        <f t="shared" si="44"/>
        <v>18709.336799999997</v>
      </c>
      <c r="AD74" s="7">
        <f t="shared" si="45"/>
        <v>101611.97449999995</v>
      </c>
      <c r="AG74"/>
      <c r="AH74"/>
      <c r="AI74"/>
      <c r="AJ74"/>
      <c r="AK74"/>
      <c r="AL74"/>
      <c r="AM74"/>
      <c r="AN74"/>
      <c r="AO74"/>
    </row>
    <row r="75" spans="1:41" x14ac:dyDescent="0.2">
      <c r="A75" s="3" t="s">
        <v>130</v>
      </c>
      <c r="B75" s="7">
        <f>output_NHTS!B248</f>
        <v>15025.5036</v>
      </c>
      <c r="C75" s="7">
        <f>output_NHTS!C248</f>
        <v>67949.603400000007</v>
      </c>
      <c r="D75" s="7">
        <f>output_NHTS!D248</f>
        <v>283841.24160000001</v>
      </c>
      <c r="E75" s="7">
        <f>output_NHTS!E248</f>
        <v>66660.254000000001</v>
      </c>
      <c r="F75" s="7">
        <f>output_NHTS!F248</f>
        <v>433476.60260000004</v>
      </c>
      <c r="L75"/>
      <c r="M75" s="3" t="s">
        <v>130</v>
      </c>
      <c r="N75" s="9">
        <f>output!B248</f>
        <v>18841</v>
      </c>
      <c r="O75" s="9">
        <f>output!C248</f>
        <v>137916</v>
      </c>
      <c r="P75" s="9">
        <f>output!D248</f>
        <v>331279</v>
      </c>
      <c r="Q75" s="9">
        <f>output!E248</f>
        <v>97389</v>
      </c>
      <c r="R75" s="9">
        <f>output!F248</f>
        <v>585425</v>
      </c>
      <c r="X75"/>
      <c r="Y75" s="3" t="s">
        <v>130</v>
      </c>
      <c r="Z75" s="9">
        <f t="shared" si="43"/>
        <v>3815.4964</v>
      </c>
      <c r="AA75" s="9">
        <f t="shared" si="43"/>
        <v>69966.396599999993</v>
      </c>
      <c r="AB75" s="9">
        <f t="shared" si="43"/>
        <v>47437.758399999992</v>
      </c>
      <c r="AC75" s="9">
        <f t="shared" si="44"/>
        <v>30728.745999999999</v>
      </c>
      <c r="AD75" s="9">
        <f t="shared" si="45"/>
        <v>151948.39739999996</v>
      </c>
      <c r="AG75"/>
      <c r="AH75"/>
      <c r="AI75"/>
      <c r="AJ75"/>
      <c r="AK75"/>
      <c r="AL75"/>
      <c r="AM75"/>
      <c r="AN75"/>
      <c r="AO75"/>
    </row>
    <row r="76" spans="1:41" ht="13.5" thickBot="1" x14ac:dyDescent="0.25">
      <c r="A76" s="10" t="s">
        <v>221</v>
      </c>
      <c r="B76" s="11">
        <f>SUM(B69:B75)</f>
        <v>154040.7752</v>
      </c>
      <c r="C76" s="11">
        <f>SUM(C69:C75)</f>
        <v>692576.24300000002</v>
      </c>
      <c r="D76" s="11">
        <f>SUM(D69:D75)</f>
        <v>1958954.7138000003</v>
      </c>
      <c r="E76" s="11">
        <f>SUM(E69:E75)</f>
        <v>596895.79089999991</v>
      </c>
      <c r="F76" s="11">
        <f>SUM(F69:F75)</f>
        <v>3402467.5228999997</v>
      </c>
      <c r="L76"/>
      <c r="M76" s="10" t="s">
        <v>221</v>
      </c>
      <c r="N76" s="11">
        <f>SUM(N69:N75)</f>
        <v>151240</v>
      </c>
      <c r="O76" s="11">
        <f>SUM(O69:O75)</f>
        <v>931188</v>
      </c>
      <c r="P76" s="11">
        <f>SUM(P69:P75)</f>
        <v>2097298</v>
      </c>
      <c r="Q76" s="11">
        <f>SUM(Q69:Q75)</f>
        <v>612287</v>
      </c>
      <c r="R76" s="11">
        <f>SUM(R69:R75)</f>
        <v>3792013</v>
      </c>
      <c r="X76"/>
      <c r="Y76" s="10" t="s">
        <v>221</v>
      </c>
      <c r="Z76" s="11">
        <f t="shared" si="43"/>
        <v>-2800.7752000000037</v>
      </c>
      <c r="AA76" s="11">
        <f t="shared" si="43"/>
        <v>238611.75699999998</v>
      </c>
      <c r="AB76" s="11">
        <f t="shared" si="43"/>
        <v>138343.28619999974</v>
      </c>
      <c r="AC76" s="11">
        <f t="shared" si="44"/>
        <v>15391.209100000095</v>
      </c>
      <c r="AD76" s="11">
        <f t="shared" si="45"/>
        <v>389545.47710000025</v>
      </c>
      <c r="AG76"/>
      <c r="AH76"/>
      <c r="AI76"/>
      <c r="AJ76"/>
      <c r="AK76"/>
      <c r="AL76"/>
      <c r="AM76"/>
      <c r="AN76"/>
      <c r="AO76"/>
    </row>
    <row r="77" spans="1:41" x14ac:dyDescent="0.2">
      <c r="L77"/>
      <c r="X77"/>
      <c r="AG77"/>
      <c r="AH77"/>
      <c r="AI77"/>
      <c r="AJ77"/>
      <c r="AK77"/>
      <c r="AL77"/>
      <c r="AM77"/>
      <c r="AN77"/>
      <c r="AO77"/>
    </row>
    <row r="78" spans="1:41" x14ac:dyDescent="0.2">
      <c r="A78" s="25" t="s">
        <v>88</v>
      </c>
      <c r="B78" s="7">
        <f>ToursByTourPurpose!B84</f>
        <v>163786.68119999999</v>
      </c>
      <c r="C78" s="7">
        <f>ToursByTourPurpose!C84</f>
        <v>820882.0037</v>
      </c>
      <c r="D78" s="7">
        <f>ToursByTourPurpose!D84</f>
        <v>1679045.4517000001</v>
      </c>
      <c r="E78" s="7">
        <f>ToursByTourPurpose!E84</f>
        <v>629199.28419999999</v>
      </c>
      <c r="F78" s="7">
        <f>ToursByTourPurpose!F84</f>
        <v>3292913.4208</v>
      </c>
      <c r="L78"/>
      <c r="M78" s="25" t="s">
        <v>88</v>
      </c>
      <c r="N78" s="53">
        <f>ToursByTourPurpose!N84</f>
        <v>141396</v>
      </c>
      <c r="O78" s="53">
        <f>ToursByTourPurpose!O84</f>
        <v>707228</v>
      </c>
      <c r="P78" s="53">
        <f>ToursByTourPurpose!P84</f>
        <v>1493563</v>
      </c>
      <c r="Q78" s="53">
        <f>ToursByTourPurpose!Q84</f>
        <v>429551</v>
      </c>
      <c r="R78" s="53">
        <f>ToursByTourPurpose!R84</f>
        <v>2771738</v>
      </c>
      <c r="X78"/>
      <c r="Y78" s="25" t="s">
        <v>88</v>
      </c>
      <c r="Z78" s="7">
        <f t="shared" ref="Z78:AD79" si="46">N78-B78</f>
        <v>-22390.681199999992</v>
      </c>
      <c r="AA78" s="7">
        <f t="shared" si="46"/>
        <v>-113654.0037</v>
      </c>
      <c r="AB78" s="7">
        <f t="shared" si="46"/>
        <v>-185482.45170000009</v>
      </c>
      <c r="AC78" s="7">
        <f t="shared" si="46"/>
        <v>-199648.28419999999</v>
      </c>
      <c r="AD78" s="7">
        <f t="shared" si="46"/>
        <v>-521175.42079999996</v>
      </c>
      <c r="AG78"/>
      <c r="AH78"/>
      <c r="AI78"/>
      <c r="AJ78"/>
      <c r="AK78"/>
      <c r="AL78"/>
      <c r="AM78"/>
      <c r="AN78"/>
      <c r="AO78"/>
    </row>
    <row r="79" spans="1:41" x14ac:dyDescent="0.2">
      <c r="A79" s="25" t="s">
        <v>90</v>
      </c>
      <c r="B79" s="38">
        <f>B76/B78</f>
        <v>0.94049634604843568</v>
      </c>
      <c r="C79" s="38">
        <f>C76/C78</f>
        <v>0.84369768112629906</v>
      </c>
      <c r="D79" s="38">
        <f>D76/D78</f>
        <v>1.1667073763944851</v>
      </c>
      <c r="E79" s="38">
        <f>E76/E78</f>
        <v>0.94865936101457493</v>
      </c>
      <c r="F79" s="38">
        <f>F76/F78</f>
        <v>1.0332696576253693</v>
      </c>
      <c r="L79"/>
      <c r="M79" s="25" t="s">
        <v>90</v>
      </c>
      <c r="N79" s="38">
        <f>N76/N78</f>
        <v>1.0696200741180797</v>
      </c>
      <c r="O79" s="38">
        <f>O76/O78</f>
        <v>1.3166729824045429</v>
      </c>
      <c r="P79" s="38">
        <f>P76/P78</f>
        <v>1.4042246627694981</v>
      </c>
      <c r="Q79" s="38">
        <f>Q76/Q78</f>
        <v>1.4254116507702228</v>
      </c>
      <c r="R79" s="38">
        <f>R76/R78</f>
        <v>1.3680993658130747</v>
      </c>
      <c r="X79"/>
      <c r="Y79" s="25" t="s">
        <v>90</v>
      </c>
      <c r="Z79" s="38">
        <f t="shared" si="46"/>
        <v>0.12912372806964401</v>
      </c>
      <c r="AA79" s="38">
        <f t="shared" si="46"/>
        <v>0.47297530127824383</v>
      </c>
      <c r="AB79" s="38">
        <f t="shared" si="46"/>
        <v>0.23751728637501301</v>
      </c>
      <c r="AC79" s="38">
        <f t="shared" si="46"/>
        <v>0.47675228975564787</v>
      </c>
      <c r="AD79" s="38">
        <f t="shared" si="46"/>
        <v>0.33482970818770541</v>
      </c>
      <c r="AG79"/>
      <c r="AH79"/>
      <c r="AI79"/>
      <c r="AJ79"/>
      <c r="AK79"/>
      <c r="AL79"/>
      <c r="AM79"/>
      <c r="AN79"/>
      <c r="AO79"/>
    </row>
    <row r="80" spans="1:41" x14ac:dyDescent="0.2">
      <c r="L80"/>
      <c r="X80"/>
      <c r="AG80"/>
      <c r="AH80"/>
      <c r="AI80"/>
      <c r="AJ80"/>
      <c r="AK80"/>
      <c r="AL80"/>
      <c r="AM80"/>
      <c r="AN80"/>
      <c r="AO80"/>
    </row>
    <row r="81" spans="1:41" x14ac:dyDescent="0.2">
      <c r="A81" s="2" t="s">
        <v>175</v>
      </c>
      <c r="L81"/>
      <c r="M81" s="2" t="s">
        <v>175</v>
      </c>
      <c r="X81"/>
      <c r="Y81" s="2" t="s">
        <v>175</v>
      </c>
      <c r="AG81"/>
      <c r="AH81"/>
      <c r="AI81"/>
      <c r="AJ81"/>
      <c r="AK81"/>
      <c r="AL81"/>
      <c r="AM81"/>
      <c r="AN81"/>
      <c r="AO81"/>
    </row>
    <row r="82" spans="1:41" x14ac:dyDescent="0.2">
      <c r="A82" s="2" t="s">
        <v>111</v>
      </c>
      <c r="L82"/>
      <c r="M82" s="2" t="s">
        <v>258</v>
      </c>
      <c r="X82"/>
      <c r="Y82" s="2" t="s">
        <v>114</v>
      </c>
      <c r="AG82"/>
      <c r="AH82"/>
      <c r="AI82"/>
      <c r="AJ82"/>
      <c r="AK82"/>
      <c r="AL82"/>
      <c r="AM82"/>
      <c r="AN82"/>
      <c r="AO82"/>
    </row>
    <row r="83" spans="1:41" ht="13.5" thickBot="1" x14ac:dyDescent="0.25">
      <c r="B83" s="15"/>
      <c r="C83" s="15"/>
      <c r="D83" s="15"/>
      <c r="E83" s="15"/>
      <c r="F83" s="15"/>
      <c r="L83"/>
      <c r="N83" s="15"/>
      <c r="O83" s="15"/>
      <c r="P83" s="15"/>
      <c r="Q83" s="15"/>
      <c r="R83" s="15"/>
      <c r="X83"/>
      <c r="Z83" s="15"/>
      <c r="AA83" s="15"/>
      <c r="AB83" s="15"/>
      <c r="AC83" s="15"/>
      <c r="AD83" s="15"/>
      <c r="AG83"/>
      <c r="AH83"/>
      <c r="AI83"/>
      <c r="AJ83"/>
      <c r="AK83"/>
      <c r="AL83"/>
      <c r="AM83"/>
      <c r="AN83"/>
      <c r="AO83"/>
    </row>
    <row r="84" spans="1:41" x14ac:dyDescent="0.2">
      <c r="A84" s="5" t="s">
        <v>144</v>
      </c>
      <c r="B84" s="6" t="s">
        <v>98</v>
      </c>
      <c r="C84" s="6" t="s">
        <v>99</v>
      </c>
      <c r="D84" s="6" t="s">
        <v>100</v>
      </c>
      <c r="E84" s="6" t="s">
        <v>101</v>
      </c>
      <c r="F84" s="6" t="s">
        <v>221</v>
      </c>
      <c r="L84"/>
      <c r="M84" s="5" t="s">
        <v>144</v>
      </c>
      <c r="N84" s="6" t="s">
        <v>98</v>
      </c>
      <c r="O84" s="6" t="s">
        <v>99</v>
      </c>
      <c r="P84" s="6" t="s">
        <v>100</v>
      </c>
      <c r="Q84" s="6" t="s">
        <v>101</v>
      </c>
      <c r="R84" s="6" t="s">
        <v>221</v>
      </c>
      <c r="X84"/>
      <c r="Y84" s="5" t="s">
        <v>144</v>
      </c>
      <c r="Z84" s="6" t="s">
        <v>98</v>
      </c>
      <c r="AA84" s="6" t="s">
        <v>99</v>
      </c>
      <c r="AB84" s="6" t="s">
        <v>100</v>
      </c>
      <c r="AC84" s="6" t="s">
        <v>101</v>
      </c>
      <c r="AD84" s="6" t="s">
        <v>221</v>
      </c>
      <c r="AG84"/>
      <c r="AH84"/>
      <c r="AI84"/>
      <c r="AJ84"/>
      <c r="AK84"/>
      <c r="AL84"/>
      <c r="AM84"/>
      <c r="AN84"/>
      <c r="AO84"/>
    </row>
    <row r="85" spans="1:41" x14ac:dyDescent="0.2">
      <c r="A85" s="3" t="s">
        <v>210</v>
      </c>
      <c r="B85" s="12">
        <f t="shared" ref="B85:F90" si="47">B69/B$76</f>
        <v>5.1586179631222737E-2</v>
      </c>
      <c r="C85" s="12">
        <f t="shared" si="47"/>
        <v>7.0747618901504827E-2</v>
      </c>
      <c r="D85" s="12">
        <f t="shared" si="47"/>
        <v>8.5879742504948953E-2</v>
      </c>
      <c r="E85" s="12">
        <f t="shared" si="47"/>
        <v>0.11051421639368107</v>
      </c>
      <c r="F85" s="12">
        <f t="shared" si="47"/>
        <v>8.556863224717895E-2</v>
      </c>
      <c r="L85"/>
      <c r="M85" s="3" t="s">
        <v>210</v>
      </c>
      <c r="N85" s="12">
        <f t="shared" ref="N85:R92" si="48">N69/N$76</f>
        <v>5.2829939169531867E-2</v>
      </c>
      <c r="O85" s="12">
        <f t="shared" si="48"/>
        <v>5.2630618092157543E-2</v>
      </c>
      <c r="P85" s="12">
        <f t="shared" si="48"/>
        <v>5.7398614789123913E-2</v>
      </c>
      <c r="Q85" s="12">
        <f t="shared" si="48"/>
        <v>6.1017137388185608E-2</v>
      </c>
      <c r="R85" s="12">
        <f t="shared" si="48"/>
        <v>5.6629816406220126E-2</v>
      </c>
      <c r="X85"/>
      <c r="Y85" s="3" t="s">
        <v>210</v>
      </c>
      <c r="Z85" s="12">
        <f t="shared" ref="Z85:AB92" si="49">N85-B85</f>
        <v>1.2437595383091304E-3</v>
      </c>
      <c r="AA85" s="12">
        <f t="shared" si="49"/>
        <v>-1.8117000809347285E-2</v>
      </c>
      <c r="AB85" s="12">
        <f t="shared" si="49"/>
        <v>-2.848112771582504E-2</v>
      </c>
      <c r="AC85" s="12">
        <f t="shared" ref="AC85:AC92" si="50">Q85-E85</f>
        <v>-4.9497079005495465E-2</v>
      </c>
      <c r="AD85" s="12">
        <f t="shared" ref="AD85:AD92" si="51">R85-F85</f>
        <v>-2.8938815840958823E-2</v>
      </c>
      <c r="AG85"/>
      <c r="AH85"/>
      <c r="AI85"/>
      <c r="AJ85"/>
      <c r="AK85"/>
      <c r="AL85"/>
      <c r="AM85"/>
      <c r="AN85"/>
      <c r="AO85"/>
    </row>
    <row r="86" spans="1:41" x14ac:dyDescent="0.2">
      <c r="A86" s="3" t="s">
        <v>211</v>
      </c>
      <c r="B86" s="12">
        <f t="shared" si="47"/>
        <v>6.5592144592115764E-2</v>
      </c>
      <c r="C86" s="12">
        <f t="shared" si="47"/>
        <v>1.3791495732838759E-2</v>
      </c>
      <c r="D86" s="12">
        <f t="shared" si="47"/>
        <v>1.111154946393636E-2</v>
      </c>
      <c r="E86" s="12">
        <f t="shared" si="47"/>
        <v>9.0643529113215611E-3</v>
      </c>
      <c r="F86" s="12">
        <f t="shared" si="47"/>
        <v>1.3764429222261365E-2</v>
      </c>
      <c r="L86"/>
      <c r="M86" s="3" t="s">
        <v>211</v>
      </c>
      <c r="N86" s="12">
        <f t="shared" si="48"/>
        <v>1.7740015868817773E-2</v>
      </c>
      <c r="O86" s="12">
        <f t="shared" si="48"/>
        <v>2.3175771165435982E-2</v>
      </c>
      <c r="P86" s="12">
        <f t="shared" si="48"/>
        <v>1.406857776052807E-2</v>
      </c>
      <c r="Q86" s="12">
        <f t="shared" si="48"/>
        <v>1.3010238662587969E-2</v>
      </c>
      <c r="R86" s="12">
        <f t="shared" si="48"/>
        <v>1.6280534903229497E-2</v>
      </c>
      <c r="X86"/>
      <c r="Y86" s="3" t="s">
        <v>211</v>
      </c>
      <c r="Z86" s="12">
        <f t="shared" si="49"/>
        <v>-4.7852128723297992E-2</v>
      </c>
      <c r="AA86" s="12">
        <f t="shared" si="49"/>
        <v>9.3842754325972229E-3</v>
      </c>
      <c r="AB86" s="12">
        <f t="shared" si="49"/>
        <v>2.95702829659171E-3</v>
      </c>
      <c r="AC86" s="12">
        <f t="shared" si="50"/>
        <v>3.9458857512664081E-3</v>
      </c>
      <c r="AD86" s="12">
        <f t="shared" si="51"/>
        <v>2.516105680968132E-3</v>
      </c>
      <c r="AG86"/>
      <c r="AH86"/>
      <c r="AI86"/>
      <c r="AJ86"/>
      <c r="AK86"/>
      <c r="AL86"/>
      <c r="AM86"/>
      <c r="AN86"/>
      <c r="AO86"/>
    </row>
    <row r="87" spans="1:41" x14ac:dyDescent="0.2">
      <c r="A87" s="3" t="s">
        <v>212</v>
      </c>
      <c r="B87" s="12">
        <f t="shared" si="47"/>
        <v>1.1221268509949697E-2</v>
      </c>
      <c r="C87" s="12">
        <f t="shared" si="47"/>
        <v>0.12082482592461664</v>
      </c>
      <c r="D87" s="12">
        <f t="shared" si="47"/>
        <v>0.13123167063996066</v>
      </c>
      <c r="E87" s="12">
        <f t="shared" si="47"/>
        <v>0.11538764730800183</v>
      </c>
      <c r="F87" s="12">
        <f t="shared" si="47"/>
        <v>0.12090056258623401</v>
      </c>
      <c r="L87"/>
      <c r="M87" s="3" t="s">
        <v>212</v>
      </c>
      <c r="N87" s="12">
        <f t="shared" si="48"/>
        <v>5.0059508066649036E-2</v>
      </c>
      <c r="O87" s="12">
        <f t="shared" si="48"/>
        <v>0.11502081212386757</v>
      </c>
      <c r="P87" s="12">
        <f t="shared" si="48"/>
        <v>0.10264063571318907</v>
      </c>
      <c r="Q87" s="12">
        <f t="shared" si="48"/>
        <v>0.10475479636183685</v>
      </c>
      <c r="R87" s="12">
        <f t="shared" si="48"/>
        <v>0.10392501291530383</v>
      </c>
      <c r="X87"/>
      <c r="Y87" s="3" t="s">
        <v>212</v>
      </c>
      <c r="Z87" s="12">
        <f t="shared" si="49"/>
        <v>3.8838239556699336E-2</v>
      </c>
      <c r="AA87" s="12">
        <f t="shared" si="49"/>
        <v>-5.8040138007490749E-3</v>
      </c>
      <c r="AB87" s="12">
        <f t="shared" si="49"/>
        <v>-2.8591034926771591E-2</v>
      </c>
      <c r="AC87" s="12">
        <f t="shared" si="50"/>
        <v>-1.0632850946164979E-2</v>
      </c>
      <c r="AD87" s="12">
        <f t="shared" si="51"/>
        <v>-1.6975549670930179E-2</v>
      </c>
      <c r="AG87"/>
      <c r="AH87"/>
      <c r="AI87"/>
      <c r="AJ87"/>
      <c r="AK87"/>
      <c r="AL87"/>
      <c r="AM87"/>
      <c r="AN87"/>
      <c r="AO87"/>
    </row>
    <row r="88" spans="1:41" x14ac:dyDescent="0.2">
      <c r="A88" s="3" t="s">
        <v>213</v>
      </c>
      <c r="B88" s="12">
        <f t="shared" si="47"/>
        <v>0.26729161513593835</v>
      </c>
      <c r="C88" s="12">
        <f t="shared" si="47"/>
        <v>0.23871234448334952</v>
      </c>
      <c r="D88" s="12">
        <f t="shared" si="47"/>
        <v>0.23684104427304703</v>
      </c>
      <c r="E88" s="12">
        <f t="shared" si="47"/>
        <v>0.26350511361932277</v>
      </c>
      <c r="F88" s="12">
        <f t="shared" si="47"/>
        <v>0.24327823088065606</v>
      </c>
      <c r="L88"/>
      <c r="M88" s="3" t="s">
        <v>213</v>
      </c>
      <c r="N88" s="12">
        <f t="shared" si="48"/>
        <v>0.27076170325310767</v>
      </c>
      <c r="O88" s="12">
        <f t="shared" si="48"/>
        <v>0.21562563091448772</v>
      </c>
      <c r="P88" s="12">
        <f t="shared" si="48"/>
        <v>0.22914387941055586</v>
      </c>
      <c r="Q88" s="12">
        <f t="shared" si="48"/>
        <v>0.22271908435096613</v>
      </c>
      <c r="R88" s="12">
        <f t="shared" si="48"/>
        <v>0.22644674477645516</v>
      </c>
      <c r="X88"/>
      <c r="Y88" s="3" t="s">
        <v>213</v>
      </c>
      <c r="Z88" s="12">
        <f t="shared" si="49"/>
        <v>3.4700881171693121E-3</v>
      </c>
      <c r="AA88" s="12">
        <f t="shared" si="49"/>
        <v>-2.30867135688618E-2</v>
      </c>
      <c r="AB88" s="12">
        <f t="shared" si="49"/>
        <v>-7.6971648624911682E-3</v>
      </c>
      <c r="AC88" s="12">
        <f t="shared" si="50"/>
        <v>-4.0786029268356644E-2</v>
      </c>
      <c r="AD88" s="12">
        <f t="shared" si="51"/>
        <v>-1.6831486104200905E-2</v>
      </c>
    </row>
    <row r="89" spans="1:41" x14ac:dyDescent="0.2">
      <c r="A89" s="3" t="s">
        <v>214</v>
      </c>
      <c r="B89" s="12">
        <f t="shared" si="47"/>
        <v>0.33299153378968449</v>
      </c>
      <c r="C89" s="12">
        <f t="shared" si="47"/>
        <v>0.29108359409896767</v>
      </c>
      <c r="D89" s="12">
        <f t="shared" si="47"/>
        <v>0.27828492780341885</v>
      </c>
      <c r="E89" s="12">
        <f t="shared" si="47"/>
        <v>0.28218063750464289</v>
      </c>
      <c r="F89" s="12">
        <f t="shared" si="47"/>
        <v>0.28405028274193617</v>
      </c>
      <c r="L89"/>
      <c r="M89" s="3" t="s">
        <v>214</v>
      </c>
      <c r="N89" s="12">
        <f t="shared" si="48"/>
        <v>0.34962311557788944</v>
      </c>
      <c r="O89" s="12">
        <f t="shared" si="48"/>
        <v>0.29153404038711839</v>
      </c>
      <c r="P89" s="12">
        <f t="shared" si="48"/>
        <v>0.30508444675005653</v>
      </c>
      <c r="Q89" s="12">
        <f t="shared" si="48"/>
        <v>0.30392120035212244</v>
      </c>
      <c r="R89" s="12">
        <f t="shared" si="48"/>
        <v>0.30334547903712356</v>
      </c>
      <c r="X89"/>
      <c r="Y89" s="3" t="s">
        <v>214</v>
      </c>
      <c r="Z89" s="12">
        <f t="shared" si="49"/>
        <v>1.6631581788204952E-2</v>
      </c>
      <c r="AA89" s="12">
        <f t="shared" si="49"/>
        <v>4.5044628815071874E-4</v>
      </c>
      <c r="AB89" s="12">
        <f t="shared" si="49"/>
        <v>2.6799518946637679E-2</v>
      </c>
      <c r="AC89" s="12">
        <f t="shared" si="50"/>
        <v>2.174056284747955E-2</v>
      </c>
      <c r="AD89" s="12">
        <f t="shared" si="51"/>
        <v>1.9295196295187389E-2</v>
      </c>
    </row>
    <row r="90" spans="1:41" x14ac:dyDescent="0.2">
      <c r="A90" s="3" t="s">
        <v>129</v>
      </c>
      <c r="B90" s="12">
        <f t="shared" si="47"/>
        <v>0.17377487983454395</v>
      </c>
      <c r="C90" s="12">
        <f t="shared" si="47"/>
        <v>0.16672875176863378</v>
      </c>
      <c r="D90" s="12">
        <f t="shared" si="47"/>
        <v>0.11175683187454805</v>
      </c>
      <c r="E90" s="12">
        <f t="shared" si="47"/>
        <v>0.10766982139897012</v>
      </c>
      <c r="F90" s="12">
        <f t="shared" si="47"/>
        <v>0.12503720392234405</v>
      </c>
      <c r="L90"/>
      <c r="M90" s="3" t="s">
        <v>129</v>
      </c>
      <c r="N90" s="12">
        <f t="shared" si="48"/>
        <v>0.13440888653795291</v>
      </c>
      <c r="O90" s="12">
        <f t="shared" si="48"/>
        <v>0.15390554861102163</v>
      </c>
      <c r="P90" s="12">
        <f t="shared" si="48"/>
        <v>0.13370870520069156</v>
      </c>
      <c r="Q90" s="12">
        <f t="shared" si="48"/>
        <v>0.13551978075641</v>
      </c>
      <c r="R90" s="12">
        <f t="shared" si="48"/>
        <v>0.13898871127287801</v>
      </c>
      <c r="X90"/>
      <c r="Y90" s="3" t="s">
        <v>129</v>
      </c>
      <c r="Z90" s="12">
        <f t="shared" si="49"/>
        <v>-3.9365993296591045E-2</v>
      </c>
      <c r="AA90" s="12">
        <f t="shared" si="49"/>
        <v>-1.2823203157612151E-2</v>
      </c>
      <c r="AB90" s="12">
        <f t="shared" si="49"/>
        <v>2.1951873326143512E-2</v>
      </c>
      <c r="AC90" s="12">
        <f t="shared" si="50"/>
        <v>2.7849959357439877E-2</v>
      </c>
      <c r="AD90" s="12">
        <f t="shared" si="51"/>
        <v>1.3951507350533965E-2</v>
      </c>
    </row>
    <row r="91" spans="1:41" x14ac:dyDescent="0.2">
      <c r="A91" s="3" t="s">
        <v>130</v>
      </c>
      <c r="B91" s="13">
        <f t="shared" ref="B91:F92" si="52">B75/B$76</f>
        <v>9.754237850654493E-2</v>
      </c>
      <c r="C91" s="13">
        <f t="shared" si="52"/>
        <v>9.811136909008876E-2</v>
      </c>
      <c r="D91" s="13">
        <f t="shared" si="52"/>
        <v>0.14489423344014007</v>
      </c>
      <c r="E91" s="13">
        <f t="shared" si="52"/>
        <v>0.11167821086405991</v>
      </c>
      <c r="F91" s="13">
        <f t="shared" si="52"/>
        <v>0.12740065839938955</v>
      </c>
      <c r="L91"/>
      <c r="M91" s="3" t="s">
        <v>130</v>
      </c>
      <c r="N91" s="13">
        <f t="shared" si="48"/>
        <v>0.12457683152605131</v>
      </c>
      <c r="O91" s="13">
        <f t="shared" si="48"/>
        <v>0.14810757870591115</v>
      </c>
      <c r="P91" s="13">
        <f t="shared" si="48"/>
        <v>0.15795514037585504</v>
      </c>
      <c r="Q91" s="13">
        <f t="shared" si="48"/>
        <v>0.15905776212789099</v>
      </c>
      <c r="R91" s="13">
        <f t="shared" si="48"/>
        <v>0.15438370068878984</v>
      </c>
      <c r="X91"/>
      <c r="Y91" s="3" t="s">
        <v>130</v>
      </c>
      <c r="Z91" s="12">
        <f t="shared" si="49"/>
        <v>2.7034453019506383E-2</v>
      </c>
      <c r="AA91" s="12">
        <f t="shared" si="49"/>
        <v>4.9996209615822393E-2</v>
      </c>
      <c r="AB91" s="12">
        <f t="shared" si="49"/>
        <v>1.3060906935714961E-2</v>
      </c>
      <c r="AC91" s="12">
        <f t="shared" si="50"/>
        <v>4.7379551263831088E-2</v>
      </c>
      <c r="AD91" s="12">
        <f t="shared" si="51"/>
        <v>2.6983042289400294E-2</v>
      </c>
    </row>
    <row r="92" spans="1:41" ht="13.5" thickBot="1" x14ac:dyDescent="0.25">
      <c r="A92" s="10" t="s">
        <v>221</v>
      </c>
      <c r="B92" s="17">
        <f t="shared" si="52"/>
        <v>1</v>
      </c>
      <c r="C92" s="17">
        <f t="shared" si="52"/>
        <v>1</v>
      </c>
      <c r="D92" s="17">
        <f t="shared" si="52"/>
        <v>1</v>
      </c>
      <c r="E92" s="17">
        <f t="shared" si="52"/>
        <v>1</v>
      </c>
      <c r="F92" s="17">
        <f t="shared" si="52"/>
        <v>1</v>
      </c>
      <c r="L92"/>
      <c r="M92" s="10" t="s">
        <v>221</v>
      </c>
      <c r="N92" s="17">
        <f t="shared" si="48"/>
        <v>1</v>
      </c>
      <c r="O92" s="17">
        <f t="shared" si="48"/>
        <v>1</v>
      </c>
      <c r="P92" s="17">
        <f t="shared" si="48"/>
        <v>1</v>
      </c>
      <c r="Q92" s="17">
        <f t="shared" si="48"/>
        <v>1</v>
      </c>
      <c r="R92" s="17">
        <f t="shared" si="48"/>
        <v>1</v>
      </c>
      <c r="X92"/>
      <c r="Y92" s="10" t="s">
        <v>221</v>
      </c>
      <c r="Z92" s="14">
        <f t="shared" si="49"/>
        <v>0</v>
      </c>
      <c r="AA92" s="14">
        <f t="shared" si="49"/>
        <v>0</v>
      </c>
      <c r="AB92" s="14">
        <f t="shared" si="49"/>
        <v>0</v>
      </c>
      <c r="AC92" s="14">
        <f t="shared" si="50"/>
        <v>0</v>
      </c>
      <c r="AD92" s="14">
        <f t="shared" si="51"/>
        <v>0</v>
      </c>
    </row>
    <row r="93" spans="1:41" x14ac:dyDescent="0.2">
      <c r="L93"/>
      <c r="X93"/>
    </row>
    <row r="94" spans="1:41" x14ac:dyDescent="0.2">
      <c r="L94"/>
      <c r="X94"/>
    </row>
    <row r="95" spans="1:41" x14ac:dyDescent="0.2">
      <c r="L95"/>
      <c r="X95"/>
      <c r="AD95" s="25"/>
      <c r="AE95" s="25"/>
      <c r="AF95" s="25"/>
      <c r="AG95" s="25"/>
      <c r="AH95" s="25"/>
    </row>
    <row r="96" spans="1:41" x14ac:dyDescent="0.2">
      <c r="L96"/>
      <c r="X96"/>
      <c r="AD96" s="25"/>
      <c r="AE96" s="25"/>
      <c r="AF96" s="25"/>
      <c r="AG96" s="25"/>
      <c r="AH96" s="25"/>
    </row>
    <row r="97" spans="1:34" x14ac:dyDescent="0.2">
      <c r="A97" s="2" t="s">
        <v>175</v>
      </c>
      <c r="F97" s="25"/>
      <c r="G97" s="25"/>
      <c r="H97" s="25"/>
      <c r="I97" s="25"/>
      <c r="J97" s="25"/>
      <c r="K97" s="25"/>
      <c r="L97"/>
      <c r="M97" s="2" t="s">
        <v>175</v>
      </c>
      <c r="X97"/>
      <c r="Y97" s="2" t="s">
        <v>175</v>
      </c>
      <c r="AD97" s="25"/>
      <c r="AE97" s="25"/>
      <c r="AF97" s="25"/>
      <c r="AG97" s="25"/>
      <c r="AH97" s="25"/>
    </row>
    <row r="98" spans="1:34" x14ac:dyDescent="0.2">
      <c r="A98" s="2" t="s">
        <v>307</v>
      </c>
      <c r="F98" s="25"/>
      <c r="G98" s="25"/>
      <c r="H98" s="25"/>
      <c r="I98" s="25"/>
      <c r="J98" s="25"/>
      <c r="K98" s="25"/>
      <c r="L98"/>
      <c r="M98" s="2" t="s">
        <v>308</v>
      </c>
      <c r="R98" s="25"/>
      <c r="S98" s="25"/>
      <c r="T98" s="25"/>
      <c r="U98" s="25"/>
      <c r="V98" s="25"/>
      <c r="W98" s="25"/>
      <c r="X98"/>
      <c r="Y98" s="2" t="s">
        <v>309</v>
      </c>
      <c r="AD98" s="25"/>
      <c r="AE98" s="25"/>
      <c r="AF98" s="25"/>
      <c r="AG98" s="25"/>
      <c r="AH98" s="25"/>
    </row>
    <row r="99" spans="1:34" ht="13.5" thickBot="1" x14ac:dyDescent="0.25">
      <c r="B99" s="15"/>
      <c r="C99" s="15"/>
      <c r="D99" s="15"/>
      <c r="E99" s="15"/>
      <c r="F99" s="15"/>
      <c r="G99" s="25"/>
      <c r="H99" s="25"/>
      <c r="I99" s="25"/>
      <c r="J99" s="25"/>
      <c r="K99" s="25"/>
      <c r="L99"/>
      <c r="N99" s="15"/>
      <c r="O99" s="15"/>
      <c r="P99" s="15"/>
      <c r="Q99" s="15"/>
      <c r="R99" s="15"/>
      <c r="S99" s="25"/>
      <c r="T99" s="25"/>
      <c r="U99" s="25"/>
      <c r="V99" s="25"/>
      <c r="W99" s="25"/>
      <c r="X99"/>
      <c r="Z99" s="15"/>
      <c r="AA99" s="15"/>
      <c r="AB99" s="15"/>
      <c r="AC99" s="15"/>
      <c r="AD99" s="15"/>
      <c r="AE99" s="25"/>
      <c r="AF99" s="25"/>
      <c r="AG99" s="25"/>
      <c r="AH99" s="25"/>
    </row>
    <row r="100" spans="1:34" x14ac:dyDescent="0.2">
      <c r="A100" s="5" t="s">
        <v>144</v>
      </c>
      <c r="B100" s="161" t="s">
        <v>10862</v>
      </c>
      <c r="C100" s="161" t="s">
        <v>10863</v>
      </c>
      <c r="D100" s="161" t="s">
        <v>10864</v>
      </c>
      <c r="E100" s="161" t="s">
        <v>10865</v>
      </c>
      <c r="F100" s="161" t="s">
        <v>1689</v>
      </c>
      <c r="G100" s="161" t="s">
        <v>10866</v>
      </c>
      <c r="H100" s="6" t="s">
        <v>10867</v>
      </c>
      <c r="I100" s="6" t="s">
        <v>221</v>
      </c>
      <c r="J100" s="89"/>
      <c r="K100" s="25"/>
      <c r="L100"/>
      <c r="M100" s="5" t="s">
        <v>144</v>
      </c>
      <c r="N100" s="6" t="str">
        <f>B100</f>
        <v>Bellevue</v>
      </c>
      <c r="O100" s="6" t="str">
        <f t="shared" ref="O100:T100" si="53">C100</f>
        <v>Bellevue Downtown</v>
      </c>
      <c r="P100" s="6" t="str">
        <f t="shared" si="53"/>
        <v>Kirkland</v>
      </c>
      <c r="Q100" s="6" t="str">
        <f t="shared" si="53"/>
        <v>Redmond</v>
      </c>
      <c r="R100" s="6" t="str">
        <f t="shared" si="53"/>
        <v>Seattle</v>
      </c>
      <c r="S100" s="6" t="str">
        <f t="shared" si="53"/>
        <v>Seattle Downtown</v>
      </c>
      <c r="T100" s="6" t="str">
        <f t="shared" si="53"/>
        <v>Rest</v>
      </c>
      <c r="U100" s="6" t="s">
        <v>221</v>
      </c>
      <c r="V100" s="89"/>
      <c r="W100" s="25"/>
      <c r="X100"/>
      <c r="Y100" s="5" t="s">
        <v>144</v>
      </c>
      <c r="Z100" s="6" t="str">
        <f>B100</f>
        <v>Bellevue</v>
      </c>
      <c r="AA100" s="6" t="str">
        <f t="shared" ref="AA100:AF100" si="54">C100</f>
        <v>Bellevue Downtown</v>
      </c>
      <c r="AB100" s="6" t="str">
        <f t="shared" si="54"/>
        <v>Kirkland</v>
      </c>
      <c r="AC100" s="6" t="str">
        <f t="shared" si="54"/>
        <v>Redmond</v>
      </c>
      <c r="AD100" s="6" t="str">
        <f t="shared" si="54"/>
        <v>Seattle</v>
      </c>
      <c r="AE100" s="6" t="str">
        <f t="shared" si="54"/>
        <v>Seattle Downtown</v>
      </c>
      <c r="AF100" s="6" t="str">
        <f t="shared" si="54"/>
        <v>Rest</v>
      </c>
      <c r="AG100" s="6" t="s">
        <v>221</v>
      </c>
      <c r="AH100" s="89"/>
    </row>
    <row r="101" spans="1:34" x14ac:dyDescent="0.2">
      <c r="A101" s="3" t="s">
        <v>210</v>
      </c>
      <c r="B101" s="7">
        <f>output_NHTS!B252</f>
        <v>0</v>
      </c>
      <c r="C101" s="7">
        <f>output_NHTS!C252</f>
        <v>0</v>
      </c>
      <c r="D101" s="7">
        <f>output_NHTS!D252</f>
        <v>0</v>
      </c>
      <c r="E101" s="7">
        <f>output_NHTS!E252</f>
        <v>0</v>
      </c>
      <c r="F101" s="7">
        <f>output_NHTS!F252</f>
        <v>78157.741699999999</v>
      </c>
      <c r="G101" s="7">
        <f>output_NHTS!G252</f>
        <v>6283.9052000000001</v>
      </c>
      <c r="H101" s="7">
        <f>output_NHTS!H252</f>
        <v>206702.84529999999</v>
      </c>
      <c r="I101" s="7">
        <f>SUM(B101:H101)</f>
        <v>291144.49219999998</v>
      </c>
      <c r="J101" s="33"/>
      <c r="K101" s="25"/>
      <c r="L101"/>
      <c r="M101" s="3" t="s">
        <v>210</v>
      </c>
      <c r="N101" s="7">
        <f>output!B252</f>
        <v>13</v>
      </c>
      <c r="O101" s="7">
        <f>output!C252</f>
        <v>1</v>
      </c>
      <c r="P101" s="7">
        <f>output!D252</f>
        <v>9</v>
      </c>
      <c r="Q101" s="7">
        <f>output!E252</f>
        <v>6</v>
      </c>
      <c r="R101" s="7">
        <f>output!F252</f>
        <v>49329</v>
      </c>
      <c r="S101" s="7">
        <f>output!G252</f>
        <v>6833</v>
      </c>
      <c r="T101" s="7">
        <f>output!H252</f>
        <v>158550</v>
      </c>
      <c r="U101" s="7">
        <f>SUM(N101:T101)</f>
        <v>214741</v>
      </c>
      <c r="V101" s="33"/>
      <c r="W101" s="25"/>
      <c r="X101"/>
      <c r="Y101" s="3" t="s">
        <v>210</v>
      </c>
      <c r="Z101" s="7">
        <f t="shared" ref="Z101:AC108" si="55">N101-B101</f>
        <v>13</v>
      </c>
      <c r="AA101" s="7">
        <f t="shared" si="55"/>
        <v>1</v>
      </c>
      <c r="AB101" s="7">
        <f t="shared" si="55"/>
        <v>9</v>
      </c>
      <c r="AC101" s="7">
        <f t="shared" si="55"/>
        <v>6</v>
      </c>
      <c r="AD101" s="7">
        <f t="shared" ref="AD101:AD108" si="56">R101-F101</f>
        <v>-28828.741699999999</v>
      </c>
      <c r="AE101" s="7">
        <f t="shared" ref="AE101:AF108" si="57">S101-G101</f>
        <v>549.09479999999985</v>
      </c>
      <c r="AF101" s="7">
        <f t="shared" si="57"/>
        <v>-48152.845299999986</v>
      </c>
      <c r="AG101" s="7">
        <f t="shared" ref="AG101:AG108" si="58">U101-I101</f>
        <v>-76403.492199999979</v>
      </c>
      <c r="AH101" s="33"/>
    </row>
    <row r="102" spans="1:34" x14ac:dyDescent="0.2">
      <c r="A102" s="3" t="s">
        <v>211</v>
      </c>
      <c r="B102" s="7">
        <f>output_NHTS!B253</f>
        <v>0</v>
      </c>
      <c r="C102" s="7">
        <f>output_NHTS!C253</f>
        <v>0</v>
      </c>
      <c r="D102" s="7">
        <f>output_NHTS!D253</f>
        <v>0</v>
      </c>
      <c r="E102" s="7">
        <f>output_NHTS!E253</f>
        <v>0</v>
      </c>
      <c r="F102" s="7">
        <f>output_NHTS!F253</f>
        <v>22018.809600000001</v>
      </c>
      <c r="G102" s="7">
        <f>output_NHTS!G253</f>
        <v>524.40599999999995</v>
      </c>
      <c r="H102" s="7">
        <f>output_NHTS!H253</f>
        <v>24289.807799999999</v>
      </c>
      <c r="I102" s="7">
        <f t="shared" ref="I102:I107" si="59">SUM(B102:H102)</f>
        <v>46833.023399999998</v>
      </c>
      <c r="J102" s="33"/>
      <c r="K102" s="25"/>
      <c r="L102"/>
      <c r="M102" s="3" t="s">
        <v>211</v>
      </c>
      <c r="N102" s="7">
        <f>output!B253</f>
        <v>0</v>
      </c>
      <c r="O102" s="7">
        <f>output!C253</f>
        <v>0</v>
      </c>
      <c r="P102" s="7">
        <f>output!D253</f>
        <v>0</v>
      </c>
      <c r="Q102" s="7">
        <f>output!E253</f>
        <v>0</v>
      </c>
      <c r="R102" s="7">
        <f>output!F253</f>
        <v>11953</v>
      </c>
      <c r="S102" s="7">
        <f>output!G253</f>
        <v>684</v>
      </c>
      <c r="T102" s="7">
        <f>output!H253</f>
        <v>49099</v>
      </c>
      <c r="U102" s="7">
        <f t="shared" ref="U102:U107" si="60">SUM(N102:T102)</f>
        <v>61736</v>
      </c>
      <c r="V102" s="33"/>
      <c r="W102" s="25"/>
      <c r="X102"/>
      <c r="Y102" s="3" t="s">
        <v>211</v>
      </c>
      <c r="Z102" s="7">
        <f t="shared" si="55"/>
        <v>0</v>
      </c>
      <c r="AA102" s="7">
        <f t="shared" si="55"/>
        <v>0</v>
      </c>
      <c r="AB102" s="7">
        <f t="shared" si="55"/>
        <v>0</v>
      </c>
      <c r="AC102" s="7">
        <f t="shared" si="55"/>
        <v>0</v>
      </c>
      <c r="AD102" s="7">
        <f t="shared" si="56"/>
        <v>-10065.809600000001</v>
      </c>
      <c r="AE102" s="7">
        <f t="shared" si="57"/>
        <v>159.59400000000005</v>
      </c>
      <c r="AF102" s="7">
        <f t="shared" si="57"/>
        <v>24809.192200000001</v>
      </c>
      <c r="AG102" s="7">
        <f t="shared" si="58"/>
        <v>14902.976600000002</v>
      </c>
      <c r="AH102" s="33"/>
    </row>
    <row r="103" spans="1:34" x14ac:dyDescent="0.2">
      <c r="A103" s="3" t="s">
        <v>212</v>
      </c>
      <c r="B103" s="7">
        <f>output_NHTS!B254</f>
        <v>0</v>
      </c>
      <c r="C103" s="7">
        <f>output_NHTS!C254</f>
        <v>0</v>
      </c>
      <c r="D103" s="7">
        <f>output_NHTS!D254</f>
        <v>0</v>
      </c>
      <c r="E103" s="7">
        <f>output_NHTS!E254</f>
        <v>0</v>
      </c>
      <c r="F103" s="7">
        <f>output_NHTS!F254</f>
        <v>82251.821299999996</v>
      </c>
      <c r="G103" s="7">
        <f>output_NHTS!G254</f>
        <v>1801.1107</v>
      </c>
      <c r="H103" s="7">
        <f>output_NHTS!H254</f>
        <v>327307.30570000003</v>
      </c>
      <c r="I103" s="7">
        <f t="shared" si="59"/>
        <v>411360.23770000006</v>
      </c>
      <c r="J103" s="33"/>
      <c r="K103" s="25"/>
      <c r="L103"/>
      <c r="M103" s="3" t="s">
        <v>212</v>
      </c>
      <c r="N103" s="7">
        <f>output!B254</f>
        <v>9</v>
      </c>
      <c r="O103" s="7">
        <f>output!C254</f>
        <v>0</v>
      </c>
      <c r="P103" s="7">
        <f>output!D254</f>
        <v>7</v>
      </c>
      <c r="Q103" s="7">
        <f>output!E254</f>
        <v>8</v>
      </c>
      <c r="R103" s="7">
        <f>output!F254</f>
        <v>76478</v>
      </c>
      <c r="S103" s="7">
        <f>output!G254</f>
        <v>6216</v>
      </c>
      <c r="T103" s="7">
        <f>output!H254</f>
        <v>311367</v>
      </c>
      <c r="U103" s="7">
        <f t="shared" si="60"/>
        <v>394085</v>
      </c>
      <c r="V103" s="33"/>
      <c r="W103" s="25"/>
      <c r="X103"/>
      <c r="Y103" s="3" t="s">
        <v>212</v>
      </c>
      <c r="Z103" s="7">
        <f t="shared" si="55"/>
        <v>9</v>
      </c>
      <c r="AA103" s="7">
        <f t="shared" si="55"/>
        <v>0</v>
      </c>
      <c r="AB103" s="7">
        <f t="shared" si="55"/>
        <v>7</v>
      </c>
      <c r="AC103" s="7">
        <f t="shared" si="55"/>
        <v>8</v>
      </c>
      <c r="AD103" s="7">
        <f t="shared" si="56"/>
        <v>-5773.821299999996</v>
      </c>
      <c r="AE103" s="7">
        <f t="shared" si="57"/>
        <v>4414.8892999999998</v>
      </c>
      <c r="AF103" s="7">
        <f t="shared" si="57"/>
        <v>-15940.305700000026</v>
      </c>
      <c r="AG103" s="7">
        <f t="shared" si="58"/>
        <v>-17275.237700000056</v>
      </c>
      <c r="AH103" s="33"/>
    </row>
    <row r="104" spans="1:34" x14ac:dyDescent="0.2">
      <c r="A104" s="3" t="s">
        <v>213</v>
      </c>
      <c r="B104" s="7">
        <f>output_NHTS!B255</f>
        <v>0</v>
      </c>
      <c r="C104" s="7">
        <f>output_NHTS!C255</f>
        <v>0</v>
      </c>
      <c r="D104" s="7">
        <f>output_NHTS!D255</f>
        <v>0</v>
      </c>
      <c r="E104" s="7">
        <f>output_NHTS!E255</f>
        <v>0</v>
      </c>
      <c r="F104" s="7">
        <f>output_NHTS!F255</f>
        <v>157948.239</v>
      </c>
      <c r="G104" s="7">
        <f>output_NHTS!G255</f>
        <v>12457.092699999999</v>
      </c>
      <c r="H104" s="7">
        <f>output_NHTS!H255</f>
        <v>657340.94790000003</v>
      </c>
      <c r="I104" s="7">
        <f t="shared" si="59"/>
        <v>827746.27960000001</v>
      </c>
      <c r="J104" s="33"/>
      <c r="K104" s="25"/>
      <c r="L104"/>
      <c r="M104" s="3" t="s">
        <v>213</v>
      </c>
      <c r="N104" s="7">
        <f>output!B255</f>
        <v>27</v>
      </c>
      <c r="O104" s="7">
        <f>output!C255</f>
        <v>4</v>
      </c>
      <c r="P104" s="7">
        <f>output!D255</f>
        <v>24</v>
      </c>
      <c r="Q104" s="7">
        <f>output!E255</f>
        <v>17</v>
      </c>
      <c r="R104" s="7">
        <f>output!F255</f>
        <v>175584</v>
      </c>
      <c r="S104" s="7">
        <f>output!G255</f>
        <v>23498</v>
      </c>
      <c r="T104" s="7">
        <f>output!H255</f>
        <v>659535</v>
      </c>
      <c r="U104" s="7">
        <f t="shared" si="60"/>
        <v>858689</v>
      </c>
      <c r="V104" s="33"/>
      <c r="W104" s="25"/>
      <c r="X104"/>
      <c r="Y104" s="3" t="s">
        <v>213</v>
      </c>
      <c r="Z104" s="7">
        <f t="shared" si="55"/>
        <v>27</v>
      </c>
      <c r="AA104" s="7">
        <f t="shared" si="55"/>
        <v>4</v>
      </c>
      <c r="AB104" s="7">
        <f t="shared" si="55"/>
        <v>24</v>
      </c>
      <c r="AC104" s="7">
        <f t="shared" si="55"/>
        <v>17</v>
      </c>
      <c r="AD104" s="7">
        <f t="shared" si="56"/>
        <v>17635.760999999999</v>
      </c>
      <c r="AE104" s="7">
        <f t="shared" si="57"/>
        <v>11040.907300000001</v>
      </c>
      <c r="AF104" s="7">
        <f t="shared" si="57"/>
        <v>2194.0520999999717</v>
      </c>
      <c r="AG104" s="7">
        <f t="shared" si="58"/>
        <v>30942.720399999991</v>
      </c>
      <c r="AH104" s="33"/>
    </row>
    <row r="105" spans="1:34" x14ac:dyDescent="0.2">
      <c r="A105" s="3" t="s">
        <v>214</v>
      </c>
      <c r="B105" s="7">
        <f>output_NHTS!B256</f>
        <v>0</v>
      </c>
      <c r="C105" s="7">
        <f>output_NHTS!C256</f>
        <v>0</v>
      </c>
      <c r="D105" s="7">
        <f>output_NHTS!D256</f>
        <v>0</v>
      </c>
      <c r="E105" s="7">
        <f>output_NHTS!E256</f>
        <v>0</v>
      </c>
      <c r="F105" s="7">
        <f>output_NHTS!F256</f>
        <v>186320.94380000001</v>
      </c>
      <c r="G105" s="7">
        <f>output_NHTS!G256</f>
        <v>16772.111199999999</v>
      </c>
      <c r="H105" s="7">
        <f>output_NHTS!H256</f>
        <v>763378.80689999997</v>
      </c>
      <c r="I105" s="7">
        <f t="shared" si="59"/>
        <v>966471.8618999999</v>
      </c>
      <c r="J105" s="33"/>
      <c r="K105" s="25"/>
      <c r="L105"/>
      <c r="M105" s="3" t="s">
        <v>214</v>
      </c>
      <c r="N105" s="7">
        <f>output!B256</f>
        <v>57</v>
      </c>
      <c r="O105" s="7">
        <f>output!C256</f>
        <v>14</v>
      </c>
      <c r="P105" s="7">
        <f>output!D256</f>
        <v>41</v>
      </c>
      <c r="Q105" s="7">
        <f>output!E256</f>
        <v>41</v>
      </c>
      <c r="R105" s="7">
        <f>output!F256</f>
        <v>241050</v>
      </c>
      <c r="S105" s="7">
        <f>output!G256</f>
        <v>33130</v>
      </c>
      <c r="T105" s="7">
        <f>output!H256</f>
        <v>875957</v>
      </c>
      <c r="U105" s="7">
        <f t="shared" si="60"/>
        <v>1150290</v>
      </c>
      <c r="V105" s="33"/>
      <c r="W105" s="25"/>
      <c r="X105"/>
      <c r="Y105" s="3" t="s">
        <v>214</v>
      </c>
      <c r="Z105" s="7">
        <f t="shared" si="55"/>
        <v>57</v>
      </c>
      <c r="AA105" s="7">
        <f t="shared" si="55"/>
        <v>14</v>
      </c>
      <c r="AB105" s="7">
        <f t="shared" si="55"/>
        <v>41</v>
      </c>
      <c r="AC105" s="7">
        <f t="shared" si="55"/>
        <v>41</v>
      </c>
      <c r="AD105" s="7">
        <f t="shared" si="56"/>
        <v>54729.056199999992</v>
      </c>
      <c r="AE105" s="7">
        <f t="shared" si="57"/>
        <v>16357.888800000001</v>
      </c>
      <c r="AF105" s="7">
        <f t="shared" si="57"/>
        <v>112578.19310000003</v>
      </c>
      <c r="AG105" s="7">
        <f t="shared" si="58"/>
        <v>183818.1381000001</v>
      </c>
      <c r="AH105" s="33"/>
    </row>
    <row r="106" spans="1:34" x14ac:dyDescent="0.2">
      <c r="A106" s="3" t="s">
        <v>129</v>
      </c>
      <c r="B106" s="7">
        <f>output_NHTS!B257</f>
        <v>0</v>
      </c>
      <c r="C106" s="7">
        <f>output_NHTS!C257</f>
        <v>0</v>
      </c>
      <c r="D106" s="7">
        <f>output_NHTS!D257</f>
        <v>0</v>
      </c>
      <c r="E106" s="7">
        <f>output_NHTS!E257</f>
        <v>0</v>
      </c>
      <c r="F106" s="7">
        <f>output_NHTS!F257</f>
        <v>99797.627999999997</v>
      </c>
      <c r="G106" s="7">
        <f>output_NHTS!G257</f>
        <v>15433.157800000001</v>
      </c>
      <c r="H106" s="7">
        <f>output_NHTS!H257</f>
        <v>310204.23969999998</v>
      </c>
      <c r="I106" s="7">
        <f t="shared" si="59"/>
        <v>425435.02549999999</v>
      </c>
      <c r="J106" s="33"/>
      <c r="K106" s="25"/>
      <c r="L106"/>
      <c r="M106" s="3" t="s">
        <v>129</v>
      </c>
      <c r="N106" s="7">
        <f>output!B257</f>
        <v>33</v>
      </c>
      <c r="O106" s="7">
        <f>output!C257</f>
        <v>7</v>
      </c>
      <c r="P106" s="7">
        <f>output!D257</f>
        <v>16</v>
      </c>
      <c r="Q106" s="7">
        <f>output!E257</f>
        <v>10</v>
      </c>
      <c r="R106" s="7">
        <f>output!F257</f>
        <v>133479</v>
      </c>
      <c r="S106" s="7">
        <f>output!G257</f>
        <v>19267</v>
      </c>
      <c r="T106" s="7">
        <f>output!H257</f>
        <v>374235</v>
      </c>
      <c r="U106" s="7">
        <f t="shared" si="60"/>
        <v>527047</v>
      </c>
      <c r="V106" s="33"/>
      <c r="W106" s="25"/>
      <c r="X106"/>
      <c r="Y106" s="3" t="s">
        <v>129</v>
      </c>
      <c r="Z106" s="7">
        <f t="shared" si="55"/>
        <v>33</v>
      </c>
      <c r="AA106" s="7">
        <f t="shared" si="55"/>
        <v>7</v>
      </c>
      <c r="AB106" s="7">
        <f t="shared" si="55"/>
        <v>16</v>
      </c>
      <c r="AC106" s="7">
        <f t="shared" si="55"/>
        <v>10</v>
      </c>
      <c r="AD106" s="7">
        <f t="shared" si="56"/>
        <v>33681.372000000003</v>
      </c>
      <c r="AE106" s="7">
        <f t="shared" si="57"/>
        <v>3833.8421999999991</v>
      </c>
      <c r="AF106" s="7">
        <f t="shared" si="57"/>
        <v>64030.760300000024</v>
      </c>
      <c r="AG106" s="7">
        <f t="shared" si="58"/>
        <v>101611.97450000001</v>
      </c>
      <c r="AH106" s="33"/>
    </row>
    <row r="107" spans="1:34" x14ac:dyDescent="0.2">
      <c r="A107" s="3" t="s">
        <v>130</v>
      </c>
      <c r="B107" s="7">
        <f>output_NHTS!B258</f>
        <v>0</v>
      </c>
      <c r="C107" s="7">
        <f>output_NHTS!C258</f>
        <v>0</v>
      </c>
      <c r="D107" s="7">
        <f>output_NHTS!D258</f>
        <v>0</v>
      </c>
      <c r="E107" s="7">
        <f>output_NHTS!E258</f>
        <v>0</v>
      </c>
      <c r="F107" s="7">
        <f>output_NHTS!F258</f>
        <v>114111.53170000001</v>
      </c>
      <c r="G107" s="7">
        <f>output_NHTS!G258</f>
        <v>8336.0727999999999</v>
      </c>
      <c r="H107" s="7">
        <f>output_NHTS!H258</f>
        <v>311028.99810000003</v>
      </c>
      <c r="I107" s="7">
        <f t="shared" si="59"/>
        <v>433476.60260000004</v>
      </c>
      <c r="J107" s="33"/>
      <c r="K107" s="25"/>
      <c r="L107"/>
      <c r="M107" s="3" t="s">
        <v>130</v>
      </c>
      <c r="N107" s="9">
        <f>output!B258</f>
        <v>13</v>
      </c>
      <c r="O107" s="9">
        <f>output!C258</f>
        <v>3</v>
      </c>
      <c r="P107" s="9">
        <f>output!D258</f>
        <v>20</v>
      </c>
      <c r="Q107" s="7">
        <f>output!E258</f>
        <v>10</v>
      </c>
      <c r="R107" s="7">
        <f>output!F258</f>
        <v>118416</v>
      </c>
      <c r="S107" s="7">
        <f>output!G258</f>
        <v>13573</v>
      </c>
      <c r="T107" s="7">
        <f>output!H258</f>
        <v>453390</v>
      </c>
      <c r="U107" s="7">
        <f t="shared" si="60"/>
        <v>585425</v>
      </c>
      <c r="V107" s="33"/>
      <c r="W107" s="25"/>
      <c r="X107"/>
      <c r="Y107" s="3" t="s">
        <v>130</v>
      </c>
      <c r="Z107" s="9">
        <f t="shared" si="55"/>
        <v>13</v>
      </c>
      <c r="AA107" s="9">
        <f t="shared" si="55"/>
        <v>3</v>
      </c>
      <c r="AB107" s="9">
        <f t="shared" si="55"/>
        <v>20</v>
      </c>
      <c r="AC107" s="9">
        <f t="shared" si="55"/>
        <v>10</v>
      </c>
      <c r="AD107" s="9">
        <f t="shared" si="56"/>
        <v>4304.4682999999932</v>
      </c>
      <c r="AE107" s="9">
        <f t="shared" si="57"/>
        <v>5236.9272000000001</v>
      </c>
      <c r="AF107" s="7">
        <f t="shared" si="57"/>
        <v>142361.00189999997</v>
      </c>
      <c r="AG107" s="9">
        <f t="shared" si="58"/>
        <v>151948.39739999996</v>
      </c>
      <c r="AH107" s="33"/>
    </row>
    <row r="108" spans="1:34" ht="13.5" thickBot="1" x14ac:dyDescent="0.25">
      <c r="A108" s="10" t="s">
        <v>221</v>
      </c>
      <c r="B108" s="11">
        <f>SUM(B101:B107)</f>
        <v>0</v>
      </c>
      <c r="C108" s="11">
        <f>SUM(C101:C107)</f>
        <v>0</v>
      </c>
      <c r="D108" s="11">
        <f>SUM(D101:D107)</f>
        <v>0</v>
      </c>
      <c r="E108" s="11">
        <f>SUM(E101:E107)</f>
        <v>0</v>
      </c>
      <c r="F108" s="11">
        <f t="shared" ref="F108:G108" si="61">SUM(F101:F107)</f>
        <v>740606.71510000003</v>
      </c>
      <c r="G108" s="11">
        <f t="shared" si="61"/>
        <v>61607.856399999997</v>
      </c>
      <c r="H108" s="11">
        <f t="shared" ref="H108" si="62">SUM(H101:H107)</f>
        <v>2600252.9514000001</v>
      </c>
      <c r="I108" s="11">
        <f>SUM(I101:I107)</f>
        <v>3402467.5228999997</v>
      </c>
      <c r="J108" s="33"/>
      <c r="K108" s="25"/>
      <c r="L108"/>
      <c r="M108" s="10" t="s">
        <v>221</v>
      </c>
      <c r="N108" s="11">
        <f>SUM(N101:N107)</f>
        <v>152</v>
      </c>
      <c r="O108" s="11">
        <f>SUM(O101:O107)</f>
        <v>29</v>
      </c>
      <c r="P108" s="11">
        <f>SUM(P101:P107)</f>
        <v>117</v>
      </c>
      <c r="Q108" s="11">
        <f>SUM(Q101:Q107)</f>
        <v>92</v>
      </c>
      <c r="R108" s="11">
        <f t="shared" ref="R108:S108" si="63">SUM(R101:R107)</f>
        <v>806289</v>
      </c>
      <c r="S108" s="11">
        <f t="shared" si="63"/>
        <v>103201</v>
      </c>
      <c r="T108" s="11">
        <f t="shared" ref="T108" si="64">SUM(T101:T107)</f>
        <v>2882133</v>
      </c>
      <c r="U108" s="11">
        <f>SUM(U101:U107)</f>
        <v>3792013</v>
      </c>
      <c r="V108" s="33"/>
      <c r="W108" s="25"/>
      <c r="X108"/>
      <c r="Y108" s="10" t="s">
        <v>221</v>
      </c>
      <c r="Z108" s="11">
        <f t="shared" si="55"/>
        <v>152</v>
      </c>
      <c r="AA108" s="11">
        <f t="shared" si="55"/>
        <v>29</v>
      </c>
      <c r="AB108" s="11">
        <f t="shared" si="55"/>
        <v>117</v>
      </c>
      <c r="AC108" s="11">
        <f t="shared" si="55"/>
        <v>92</v>
      </c>
      <c r="AD108" s="11">
        <f t="shared" si="56"/>
        <v>65682.28489999997</v>
      </c>
      <c r="AE108" s="11">
        <f t="shared" si="57"/>
        <v>41593.143600000003</v>
      </c>
      <c r="AF108" s="11">
        <f t="shared" si="57"/>
        <v>281880.04859999986</v>
      </c>
      <c r="AG108" s="11">
        <f t="shared" si="58"/>
        <v>389545.47710000025</v>
      </c>
      <c r="AH108" s="33"/>
    </row>
    <row r="109" spans="1:34" x14ac:dyDescent="0.2">
      <c r="G109" s="25"/>
      <c r="H109" s="25"/>
      <c r="I109" s="25"/>
      <c r="J109" s="25"/>
      <c r="K109" s="25"/>
      <c r="L109"/>
      <c r="S109" s="25"/>
      <c r="T109" s="25"/>
      <c r="U109" s="25"/>
      <c r="V109" s="25"/>
      <c r="W109" s="25"/>
      <c r="X109"/>
      <c r="AE109" s="25"/>
      <c r="AF109" s="25"/>
      <c r="AG109" s="25"/>
      <c r="AH109" s="25"/>
    </row>
    <row r="110" spans="1:34" x14ac:dyDescent="0.2">
      <c r="A110" s="25" t="s">
        <v>88</v>
      </c>
      <c r="B110" s="53">
        <f>ToursByTourPurpose!B118</f>
        <v>0</v>
      </c>
      <c r="C110" s="53">
        <f>ToursByTourPurpose!C118</f>
        <v>0</v>
      </c>
      <c r="D110" s="53">
        <f>ToursByTourPurpose!D118</f>
        <v>0</v>
      </c>
      <c r="E110" s="53">
        <f>ToursByTourPurpose!E118</f>
        <v>0</v>
      </c>
      <c r="F110" s="53">
        <f>ToursByTourPurpose!F118</f>
        <v>636827.67330000002</v>
      </c>
      <c r="G110" s="53">
        <f>ToursByTourPurpose!G118</f>
        <v>54534.662199999999</v>
      </c>
      <c r="H110" s="53"/>
      <c r="I110" s="53">
        <f>ToursByTourPurpose!I118</f>
        <v>3292913.4208</v>
      </c>
      <c r="J110" s="33"/>
      <c r="K110" s="25"/>
      <c r="L110"/>
      <c r="M110" s="25" t="s">
        <v>88</v>
      </c>
      <c r="N110" s="53">
        <f>ToursByTourPurpose!N118</f>
        <v>620</v>
      </c>
      <c r="O110" s="53">
        <f>ToursByTourPurpose!O118</f>
        <v>168</v>
      </c>
      <c r="P110" s="53">
        <f>ToursByTourPurpose!P118</f>
        <v>756</v>
      </c>
      <c r="Q110" s="53">
        <f>ToursByTourPurpose!Q118</f>
        <v>502</v>
      </c>
      <c r="R110" s="53">
        <f>ToursByTourPurpose!R118</f>
        <v>525803</v>
      </c>
      <c r="S110" s="53">
        <f>ToursByTourPurpose!S118</f>
        <v>63262</v>
      </c>
      <c r="T110" s="53"/>
      <c r="U110" s="53">
        <f>ToursByTourPurpose!U118</f>
        <v>2771738</v>
      </c>
      <c r="V110" s="54"/>
      <c r="W110" s="25"/>
      <c r="X110"/>
      <c r="Y110" s="25" t="s">
        <v>88</v>
      </c>
      <c r="Z110" s="7">
        <f t="shared" ref="Z110:AB111" si="65">N110-B110</f>
        <v>620</v>
      </c>
      <c r="AA110" s="7">
        <f t="shared" si="65"/>
        <v>168</v>
      </c>
      <c r="AB110" s="7">
        <f t="shared" si="65"/>
        <v>756</v>
      </c>
      <c r="AC110" s="7">
        <f t="shared" ref="AC110:AC111" si="66">Q110-E110</f>
        <v>502</v>
      </c>
      <c r="AD110" s="7">
        <f t="shared" ref="AD110:AD111" si="67">R110-F110</f>
        <v>-111024.67330000002</v>
      </c>
      <c r="AE110" s="7">
        <f t="shared" ref="AE110:AE111" si="68">S110-G110</f>
        <v>8727.3378000000012</v>
      </c>
      <c r="AF110" s="7"/>
      <c r="AG110" s="7">
        <f t="shared" ref="AG110:AG111" si="69">U110-I110</f>
        <v>-521175.42079999996</v>
      </c>
      <c r="AH110" s="33"/>
    </row>
    <row r="111" spans="1:34" x14ac:dyDescent="0.2">
      <c r="A111" s="25" t="s">
        <v>90</v>
      </c>
      <c r="B111" s="38" t="e">
        <f>B108/B110</f>
        <v>#DIV/0!</v>
      </c>
      <c r="C111" s="38" t="e">
        <f>C108/C110</f>
        <v>#DIV/0!</v>
      </c>
      <c r="D111" s="38" t="e">
        <f>D108/D110</f>
        <v>#DIV/0!</v>
      </c>
      <c r="E111" s="38" t="e">
        <f>E108/E110</f>
        <v>#DIV/0!</v>
      </c>
      <c r="F111" s="38">
        <f t="shared" ref="F111:I111" si="70">F108/F110</f>
        <v>1.1629625189844903</v>
      </c>
      <c r="G111" s="38">
        <f t="shared" si="70"/>
        <v>1.1297008895747775</v>
      </c>
      <c r="H111" s="38"/>
      <c r="I111" s="38">
        <f t="shared" si="70"/>
        <v>1.0332696576253693</v>
      </c>
      <c r="J111" s="103"/>
      <c r="K111" s="25"/>
      <c r="L111"/>
      <c r="M111" s="25" t="s">
        <v>90</v>
      </c>
      <c r="N111" s="38">
        <f>N108/N110</f>
        <v>0.24516129032258063</v>
      </c>
      <c r="O111" s="38">
        <f>O108/O110</f>
        <v>0.17261904761904762</v>
      </c>
      <c r="P111" s="38">
        <f>P108/P110</f>
        <v>0.15476190476190477</v>
      </c>
      <c r="Q111" s="38">
        <f>Q108/Q110</f>
        <v>0.18326693227091634</v>
      </c>
      <c r="R111" s="38">
        <f t="shared" ref="R111:U111" si="71">R108/R110</f>
        <v>1.5334431336451104</v>
      </c>
      <c r="S111" s="38">
        <f t="shared" si="71"/>
        <v>1.6313268628876736</v>
      </c>
      <c r="T111" s="38"/>
      <c r="U111" s="38">
        <f t="shared" si="71"/>
        <v>1.3680993658130747</v>
      </c>
      <c r="V111" s="103"/>
      <c r="W111" s="25"/>
      <c r="X111"/>
      <c r="Y111" s="25" t="s">
        <v>90</v>
      </c>
      <c r="Z111" s="38" t="e">
        <f t="shared" si="65"/>
        <v>#DIV/0!</v>
      </c>
      <c r="AA111" s="38" t="e">
        <f t="shared" si="65"/>
        <v>#DIV/0!</v>
      </c>
      <c r="AB111" s="38" t="e">
        <f t="shared" si="65"/>
        <v>#DIV/0!</v>
      </c>
      <c r="AC111" s="38" t="e">
        <f t="shared" si="66"/>
        <v>#DIV/0!</v>
      </c>
      <c r="AD111" s="38">
        <f t="shared" si="67"/>
        <v>0.3704806146606201</v>
      </c>
      <c r="AE111" s="38">
        <f t="shared" si="68"/>
        <v>0.50162597331289605</v>
      </c>
      <c r="AF111" s="38"/>
      <c r="AG111" s="38">
        <f t="shared" si="69"/>
        <v>0.33482970818770541</v>
      </c>
      <c r="AH111" s="103"/>
    </row>
    <row r="112" spans="1:34" x14ac:dyDescent="0.2">
      <c r="G112" s="25"/>
      <c r="H112" s="25"/>
      <c r="I112" s="25"/>
      <c r="J112" s="25"/>
      <c r="K112" s="25"/>
      <c r="L112"/>
      <c r="S112" s="25"/>
      <c r="T112" s="25"/>
      <c r="U112" s="25"/>
      <c r="V112" s="25"/>
      <c r="W112" s="25"/>
      <c r="X112"/>
      <c r="AD112" s="25"/>
      <c r="AE112" s="25"/>
      <c r="AF112" s="25"/>
      <c r="AG112" s="25"/>
      <c r="AH112" s="25"/>
    </row>
    <row r="113" spans="1:34" x14ac:dyDescent="0.2">
      <c r="A113" s="2" t="s">
        <v>175</v>
      </c>
      <c r="G113" s="25"/>
      <c r="H113" s="25"/>
      <c r="I113" s="25"/>
      <c r="J113" s="25"/>
      <c r="K113" s="25"/>
      <c r="L113"/>
      <c r="M113" s="2" t="s">
        <v>175</v>
      </c>
      <c r="S113" s="25"/>
      <c r="T113" s="25"/>
      <c r="U113" s="25"/>
      <c r="V113" s="25"/>
      <c r="W113" s="25"/>
      <c r="X113"/>
      <c r="Y113" s="2" t="s">
        <v>175</v>
      </c>
      <c r="AD113" s="25"/>
      <c r="AE113" s="25"/>
      <c r="AF113" s="25"/>
      <c r="AG113" s="25"/>
      <c r="AH113" s="25"/>
    </row>
    <row r="114" spans="1:34" x14ac:dyDescent="0.2">
      <c r="A114" s="2" t="s">
        <v>119</v>
      </c>
      <c r="G114" s="25"/>
      <c r="H114" s="25"/>
      <c r="I114" s="25"/>
      <c r="J114" s="25"/>
      <c r="K114" s="25"/>
      <c r="L114"/>
      <c r="M114" s="2" t="s">
        <v>287</v>
      </c>
      <c r="S114" s="25"/>
      <c r="T114" s="25"/>
      <c r="U114" s="25"/>
      <c r="V114" s="25"/>
      <c r="W114" s="25"/>
      <c r="X114"/>
      <c r="Y114" s="2" t="s">
        <v>94</v>
      </c>
      <c r="AD114" s="25"/>
      <c r="AE114" s="25"/>
      <c r="AF114" s="25"/>
      <c r="AG114" s="25"/>
      <c r="AH114" s="25"/>
    </row>
    <row r="115" spans="1:34" ht="13.5" thickBot="1" x14ac:dyDescent="0.25">
      <c r="B115" s="15"/>
      <c r="C115" s="15"/>
      <c r="D115" s="15"/>
      <c r="E115" s="15"/>
      <c r="F115" s="15"/>
      <c r="G115" s="25"/>
      <c r="H115" s="25"/>
      <c r="I115" s="25"/>
      <c r="J115" s="25"/>
      <c r="K115" s="25"/>
      <c r="L115"/>
      <c r="N115" s="15"/>
      <c r="O115" s="15"/>
      <c r="P115" s="15"/>
      <c r="Q115" s="15"/>
      <c r="R115" s="15"/>
      <c r="S115" s="25"/>
      <c r="T115" s="25"/>
      <c r="U115" s="25"/>
      <c r="V115" s="25"/>
      <c r="W115" s="25"/>
      <c r="X115"/>
      <c r="Z115" s="15"/>
      <c r="AA115" s="15"/>
      <c r="AB115" s="15"/>
      <c r="AC115" s="15"/>
      <c r="AD115" s="15"/>
      <c r="AE115" s="25"/>
      <c r="AF115" s="25"/>
      <c r="AG115" s="25"/>
      <c r="AH115" s="25"/>
    </row>
    <row r="116" spans="1:34" x14ac:dyDescent="0.2">
      <c r="A116" s="5" t="s">
        <v>144</v>
      </c>
      <c r="B116" s="6" t="str">
        <f>B100</f>
        <v>Bellevue</v>
      </c>
      <c r="C116" s="6" t="str">
        <f t="shared" ref="C116:G116" si="72">C100</f>
        <v>Bellevue Downtown</v>
      </c>
      <c r="D116" s="6" t="str">
        <f t="shared" si="72"/>
        <v>Kirkland</v>
      </c>
      <c r="E116" s="6" t="str">
        <f t="shared" si="72"/>
        <v>Redmond</v>
      </c>
      <c r="F116" s="6" t="str">
        <f t="shared" si="72"/>
        <v>Seattle</v>
      </c>
      <c r="G116" s="6" t="str">
        <f t="shared" si="72"/>
        <v>Seattle Downtown</v>
      </c>
      <c r="H116" s="6" t="str">
        <f>H100</f>
        <v>Rest</v>
      </c>
      <c r="I116" s="6" t="s">
        <v>221</v>
      </c>
      <c r="J116" s="89"/>
      <c r="K116" s="25"/>
      <c r="L116"/>
      <c r="M116" s="5" t="s">
        <v>144</v>
      </c>
      <c r="N116" s="6" t="str">
        <f>B100</f>
        <v>Bellevue</v>
      </c>
      <c r="O116" s="6" t="str">
        <f t="shared" ref="O116:S116" si="73">C100</f>
        <v>Bellevue Downtown</v>
      </c>
      <c r="P116" s="6" t="str">
        <f t="shared" si="73"/>
        <v>Kirkland</v>
      </c>
      <c r="Q116" s="6" t="str">
        <f t="shared" si="73"/>
        <v>Redmond</v>
      </c>
      <c r="R116" s="6" t="str">
        <f t="shared" si="73"/>
        <v>Seattle</v>
      </c>
      <c r="S116" s="6" t="str">
        <f t="shared" si="73"/>
        <v>Seattle Downtown</v>
      </c>
      <c r="T116" s="6" t="str">
        <f>H100</f>
        <v>Rest</v>
      </c>
      <c r="U116" s="6" t="s">
        <v>221</v>
      </c>
      <c r="V116" s="89"/>
      <c r="W116" s="25"/>
      <c r="X116"/>
      <c r="Y116" s="5" t="s">
        <v>144</v>
      </c>
      <c r="Z116" s="6" t="str">
        <f>B100</f>
        <v>Bellevue</v>
      </c>
      <c r="AA116" s="6" t="str">
        <f t="shared" ref="AA116:AF116" si="74">C100</f>
        <v>Bellevue Downtown</v>
      </c>
      <c r="AB116" s="6" t="str">
        <f t="shared" si="74"/>
        <v>Kirkland</v>
      </c>
      <c r="AC116" s="6" t="str">
        <f t="shared" si="74"/>
        <v>Redmond</v>
      </c>
      <c r="AD116" s="6" t="str">
        <f t="shared" si="74"/>
        <v>Seattle</v>
      </c>
      <c r="AE116" s="6" t="str">
        <f t="shared" si="74"/>
        <v>Seattle Downtown</v>
      </c>
      <c r="AF116" s="6" t="str">
        <f t="shared" si="74"/>
        <v>Rest</v>
      </c>
      <c r="AG116" s="6" t="s">
        <v>221</v>
      </c>
      <c r="AH116" s="89"/>
    </row>
    <row r="117" spans="1:34" x14ac:dyDescent="0.2">
      <c r="A117" s="3" t="s">
        <v>210</v>
      </c>
      <c r="B117" s="12" t="e">
        <f t="shared" ref="B117:G122" si="75">B101/B$108</f>
        <v>#DIV/0!</v>
      </c>
      <c r="C117" s="12" t="e">
        <f t="shared" si="75"/>
        <v>#DIV/0!</v>
      </c>
      <c r="D117" s="12" t="e">
        <f t="shared" si="75"/>
        <v>#DIV/0!</v>
      </c>
      <c r="E117" s="12" t="e">
        <f t="shared" si="75"/>
        <v>#DIV/0!</v>
      </c>
      <c r="F117" s="12">
        <f t="shared" si="75"/>
        <v>0.10553204569505799</v>
      </c>
      <c r="G117" s="12">
        <f t="shared" si="75"/>
        <v>0.10199843927697508</v>
      </c>
      <c r="H117" s="12"/>
      <c r="I117" s="12">
        <f t="shared" ref="I117:I124" si="76">I101/I$108</f>
        <v>8.556863224717895E-2</v>
      </c>
      <c r="J117" s="34"/>
      <c r="K117" s="25"/>
      <c r="L117"/>
      <c r="M117" s="3" t="s">
        <v>210</v>
      </c>
      <c r="N117" s="12">
        <f t="shared" ref="N117:S124" si="77">N101/N$108</f>
        <v>8.5526315789473686E-2</v>
      </c>
      <c r="O117" s="12">
        <f t="shared" si="77"/>
        <v>3.4482758620689655E-2</v>
      </c>
      <c r="P117" s="12">
        <f t="shared" si="77"/>
        <v>7.6923076923076927E-2</v>
      </c>
      <c r="Q117" s="12">
        <f t="shared" si="77"/>
        <v>6.5217391304347824E-2</v>
      </c>
      <c r="R117" s="12">
        <f t="shared" si="77"/>
        <v>6.1180296394965084E-2</v>
      </c>
      <c r="S117" s="12">
        <f t="shared" si="77"/>
        <v>6.621059873450838E-2</v>
      </c>
      <c r="T117" s="12"/>
      <c r="U117" s="12">
        <f t="shared" ref="U117:U124" si="78">U101/U$108</f>
        <v>5.6629816406220126E-2</v>
      </c>
      <c r="V117" s="34"/>
      <c r="W117" s="25"/>
      <c r="X117"/>
      <c r="Y117" s="3" t="s">
        <v>210</v>
      </c>
      <c r="Z117" s="12" t="e">
        <f t="shared" ref="Z117:AC124" si="79">N117-B117</f>
        <v>#DIV/0!</v>
      </c>
      <c r="AA117" s="12" t="e">
        <f t="shared" si="79"/>
        <v>#DIV/0!</v>
      </c>
      <c r="AB117" s="12" t="e">
        <f t="shared" si="79"/>
        <v>#DIV/0!</v>
      </c>
      <c r="AC117" s="12" t="e">
        <f t="shared" si="79"/>
        <v>#DIV/0!</v>
      </c>
      <c r="AD117" s="12">
        <f t="shared" ref="AD117" si="80">R117-F117</f>
        <v>-4.4351749300092905E-2</v>
      </c>
      <c r="AE117" s="12">
        <f t="shared" ref="AE117:AF123" si="81">S117-G117</f>
        <v>-3.5787840542466698E-2</v>
      </c>
      <c r="AF117" s="12">
        <f t="shared" si="81"/>
        <v>0</v>
      </c>
      <c r="AG117" s="12">
        <f t="shared" ref="AG117:AG124" si="82">U117-I117</f>
        <v>-2.8938815840958823E-2</v>
      </c>
      <c r="AH117" s="34"/>
    </row>
    <row r="118" spans="1:34" x14ac:dyDescent="0.2">
      <c r="A118" s="3" t="s">
        <v>211</v>
      </c>
      <c r="B118" s="12" t="e">
        <f t="shared" si="75"/>
        <v>#DIV/0!</v>
      </c>
      <c r="C118" s="12" t="e">
        <f t="shared" si="75"/>
        <v>#DIV/0!</v>
      </c>
      <c r="D118" s="12" t="e">
        <f t="shared" si="75"/>
        <v>#DIV/0!</v>
      </c>
      <c r="E118" s="12" t="e">
        <f t="shared" ref="E118:G118" si="83">E102/E$108</f>
        <v>#DIV/0!</v>
      </c>
      <c r="F118" s="12">
        <f t="shared" si="83"/>
        <v>2.973077228583719E-2</v>
      </c>
      <c r="G118" s="12">
        <f t="shared" si="83"/>
        <v>8.5119988041005758E-3</v>
      </c>
      <c r="H118" s="12"/>
      <c r="I118" s="12">
        <f t="shared" si="76"/>
        <v>1.3764429222261365E-2</v>
      </c>
      <c r="J118" s="34"/>
      <c r="K118" s="25"/>
      <c r="L118"/>
      <c r="M118" s="3" t="s">
        <v>211</v>
      </c>
      <c r="N118" s="12">
        <f t="shared" si="77"/>
        <v>0</v>
      </c>
      <c r="O118" s="12">
        <f t="shared" si="77"/>
        <v>0</v>
      </c>
      <c r="P118" s="12">
        <f t="shared" si="77"/>
        <v>0</v>
      </c>
      <c r="Q118" s="12">
        <f t="shared" ref="Q118:S118" si="84">Q102/Q$108</f>
        <v>0</v>
      </c>
      <c r="R118" s="12">
        <f t="shared" si="84"/>
        <v>1.4824709254374051E-2</v>
      </c>
      <c r="S118" s="12">
        <f t="shared" si="84"/>
        <v>6.6278427534616916E-3</v>
      </c>
      <c r="T118" s="12"/>
      <c r="U118" s="12">
        <f t="shared" si="78"/>
        <v>1.6280534903229497E-2</v>
      </c>
      <c r="V118" s="34"/>
      <c r="W118" s="25"/>
      <c r="X118"/>
      <c r="Y118" s="3" t="s">
        <v>211</v>
      </c>
      <c r="Z118" s="12" t="e">
        <f t="shared" si="79"/>
        <v>#DIV/0!</v>
      </c>
      <c r="AA118" s="12" t="e">
        <f t="shared" si="79"/>
        <v>#DIV/0!</v>
      </c>
      <c r="AB118" s="12" t="e">
        <f t="shared" si="79"/>
        <v>#DIV/0!</v>
      </c>
      <c r="AC118" s="12" t="e">
        <f t="shared" si="79"/>
        <v>#DIV/0!</v>
      </c>
      <c r="AD118" s="12">
        <f t="shared" ref="AD118:AD124" si="85">R118-F118</f>
        <v>-1.4906063031463138E-2</v>
      </c>
      <c r="AE118" s="12">
        <f t="shared" ref="AE118:AF124" si="86">S118-G118</f>
        <v>-1.8841560506388843E-3</v>
      </c>
      <c r="AF118" s="12">
        <f t="shared" si="81"/>
        <v>0</v>
      </c>
      <c r="AG118" s="12">
        <f t="shared" si="82"/>
        <v>2.516105680968132E-3</v>
      </c>
      <c r="AH118" s="34"/>
    </row>
    <row r="119" spans="1:34" x14ac:dyDescent="0.2">
      <c r="A119" s="3" t="s">
        <v>212</v>
      </c>
      <c r="B119" s="12" t="e">
        <f t="shared" si="75"/>
        <v>#DIV/0!</v>
      </c>
      <c r="C119" s="12" t="e">
        <f t="shared" si="75"/>
        <v>#DIV/0!</v>
      </c>
      <c r="D119" s="12" t="e">
        <f t="shared" si="75"/>
        <v>#DIV/0!</v>
      </c>
      <c r="E119" s="12" t="e">
        <f t="shared" ref="E119:G119" si="87">E103/E$108</f>
        <v>#DIV/0!</v>
      </c>
      <c r="F119" s="12">
        <f t="shared" si="87"/>
        <v>0.1110600533629971</v>
      </c>
      <c r="G119" s="12">
        <f t="shared" si="87"/>
        <v>2.9235081453020659E-2</v>
      </c>
      <c r="H119" s="12"/>
      <c r="I119" s="12">
        <f t="shared" si="76"/>
        <v>0.12090056258623402</v>
      </c>
      <c r="J119" s="34"/>
      <c r="K119" s="25"/>
      <c r="L119"/>
      <c r="M119" s="3" t="s">
        <v>212</v>
      </c>
      <c r="N119" s="12">
        <f t="shared" si="77"/>
        <v>5.921052631578947E-2</v>
      </c>
      <c r="O119" s="12">
        <f t="shared" si="77"/>
        <v>0</v>
      </c>
      <c r="P119" s="12">
        <f t="shared" si="77"/>
        <v>5.9829059829059832E-2</v>
      </c>
      <c r="Q119" s="12">
        <f t="shared" ref="Q119:S119" si="88">Q103/Q$108</f>
        <v>8.6956521739130432E-2</v>
      </c>
      <c r="R119" s="12">
        <f t="shared" si="88"/>
        <v>9.4851845926212555E-2</v>
      </c>
      <c r="S119" s="12">
        <f t="shared" si="88"/>
        <v>6.023197449637116E-2</v>
      </c>
      <c r="T119" s="12"/>
      <c r="U119" s="12">
        <f t="shared" si="78"/>
        <v>0.10392501291530383</v>
      </c>
      <c r="V119" s="34"/>
      <c r="W119" s="25"/>
      <c r="X119"/>
      <c r="Y119" s="3" t="s">
        <v>212</v>
      </c>
      <c r="Z119" s="12" t="e">
        <f t="shared" si="79"/>
        <v>#DIV/0!</v>
      </c>
      <c r="AA119" s="12" t="e">
        <f t="shared" si="79"/>
        <v>#DIV/0!</v>
      </c>
      <c r="AB119" s="12" t="e">
        <f t="shared" si="79"/>
        <v>#DIV/0!</v>
      </c>
      <c r="AC119" s="12" t="e">
        <f t="shared" si="79"/>
        <v>#DIV/0!</v>
      </c>
      <c r="AD119" s="12">
        <f t="shared" si="85"/>
        <v>-1.6208207436784541E-2</v>
      </c>
      <c r="AE119" s="12">
        <f t="shared" si="86"/>
        <v>3.0996893043350501E-2</v>
      </c>
      <c r="AF119" s="12">
        <f t="shared" si="81"/>
        <v>0</v>
      </c>
      <c r="AG119" s="12">
        <f t="shared" si="82"/>
        <v>-1.6975549670930193E-2</v>
      </c>
      <c r="AH119" s="34"/>
    </row>
    <row r="120" spans="1:34" x14ac:dyDescent="0.2">
      <c r="A120" s="3" t="s">
        <v>213</v>
      </c>
      <c r="B120" s="12" t="e">
        <f t="shared" si="75"/>
        <v>#DIV/0!</v>
      </c>
      <c r="C120" s="12" t="e">
        <f t="shared" si="75"/>
        <v>#DIV/0!</v>
      </c>
      <c r="D120" s="12" t="e">
        <f t="shared" si="75"/>
        <v>#DIV/0!</v>
      </c>
      <c r="E120" s="12" t="e">
        <f t="shared" ref="E120:G120" si="89">E104/E$108</f>
        <v>#DIV/0!</v>
      </c>
      <c r="F120" s="12">
        <f t="shared" si="89"/>
        <v>0.21326871034199726</v>
      </c>
      <c r="G120" s="12">
        <f t="shared" si="89"/>
        <v>0.20219974249907516</v>
      </c>
      <c r="H120" s="12"/>
      <c r="I120" s="12">
        <f t="shared" si="76"/>
        <v>0.24327823088065606</v>
      </c>
      <c r="J120" s="34"/>
      <c r="K120" s="25"/>
      <c r="L120"/>
      <c r="M120" s="3" t="s">
        <v>213</v>
      </c>
      <c r="N120" s="12">
        <f t="shared" si="77"/>
        <v>0.17763157894736842</v>
      </c>
      <c r="O120" s="12">
        <f t="shared" si="77"/>
        <v>0.13793103448275862</v>
      </c>
      <c r="P120" s="12">
        <f t="shared" si="77"/>
        <v>0.20512820512820512</v>
      </c>
      <c r="Q120" s="12">
        <f t="shared" ref="Q120:S120" si="90">Q104/Q$108</f>
        <v>0.18478260869565216</v>
      </c>
      <c r="R120" s="12">
        <f t="shared" si="90"/>
        <v>0.21776807075378679</v>
      </c>
      <c r="S120" s="12">
        <f t="shared" si="90"/>
        <v>0.22769159213573512</v>
      </c>
      <c r="T120" s="12"/>
      <c r="U120" s="12">
        <f t="shared" si="78"/>
        <v>0.22644674477645516</v>
      </c>
      <c r="V120" s="34"/>
      <c r="W120" s="25"/>
      <c r="X120"/>
      <c r="Y120" s="3" t="s">
        <v>213</v>
      </c>
      <c r="Z120" s="12" t="e">
        <f t="shared" si="79"/>
        <v>#DIV/0!</v>
      </c>
      <c r="AA120" s="12" t="e">
        <f t="shared" si="79"/>
        <v>#DIV/0!</v>
      </c>
      <c r="AB120" s="12" t="e">
        <f t="shared" si="79"/>
        <v>#DIV/0!</v>
      </c>
      <c r="AC120" s="12" t="e">
        <f t="shared" si="79"/>
        <v>#DIV/0!</v>
      </c>
      <c r="AD120" s="12">
        <f t="shared" si="85"/>
        <v>4.4993604117895269E-3</v>
      </c>
      <c r="AE120" s="12">
        <f t="shared" si="86"/>
        <v>2.5491849636659958E-2</v>
      </c>
      <c r="AF120" s="12">
        <f t="shared" si="81"/>
        <v>0</v>
      </c>
      <c r="AG120" s="12">
        <f t="shared" si="82"/>
        <v>-1.6831486104200905E-2</v>
      </c>
      <c r="AH120" s="34"/>
    </row>
    <row r="121" spans="1:34" x14ac:dyDescent="0.2">
      <c r="A121" s="3" t="s">
        <v>214</v>
      </c>
      <c r="B121" s="12" t="e">
        <f t="shared" si="75"/>
        <v>#DIV/0!</v>
      </c>
      <c r="C121" s="12" t="e">
        <f t="shared" si="75"/>
        <v>#DIV/0!</v>
      </c>
      <c r="D121" s="12" t="e">
        <f t="shared" si="75"/>
        <v>#DIV/0!</v>
      </c>
      <c r="E121" s="12" t="e">
        <f t="shared" ref="E121:G121" si="91">E105/E$108</f>
        <v>#DIV/0!</v>
      </c>
      <c r="F121" s="12">
        <f t="shared" si="91"/>
        <v>0.25157879344213363</v>
      </c>
      <c r="G121" s="12">
        <f t="shared" si="91"/>
        <v>0.27223981128484775</v>
      </c>
      <c r="H121" s="12"/>
      <c r="I121" s="12">
        <f t="shared" si="76"/>
        <v>0.28405028274193611</v>
      </c>
      <c r="J121" s="34"/>
      <c r="K121" s="25"/>
      <c r="L121"/>
      <c r="M121" s="3" t="s">
        <v>214</v>
      </c>
      <c r="N121" s="12">
        <f t="shared" si="77"/>
        <v>0.375</v>
      </c>
      <c r="O121" s="12">
        <f t="shared" si="77"/>
        <v>0.48275862068965519</v>
      </c>
      <c r="P121" s="12">
        <f t="shared" si="77"/>
        <v>0.3504273504273504</v>
      </c>
      <c r="Q121" s="12">
        <f t="shared" ref="Q121:S121" si="92">Q105/Q$108</f>
        <v>0.44565217391304346</v>
      </c>
      <c r="R121" s="12">
        <f t="shared" si="92"/>
        <v>0.29896228275469466</v>
      </c>
      <c r="S121" s="12">
        <f t="shared" si="92"/>
        <v>0.321024021085067</v>
      </c>
      <c r="T121" s="12"/>
      <c r="U121" s="12">
        <f t="shared" si="78"/>
        <v>0.30334547903712356</v>
      </c>
      <c r="V121" s="34"/>
      <c r="W121" s="25"/>
      <c r="X121"/>
      <c r="Y121" s="3" t="s">
        <v>214</v>
      </c>
      <c r="Z121" s="12" t="e">
        <f t="shared" si="79"/>
        <v>#DIV/0!</v>
      </c>
      <c r="AA121" s="12" t="e">
        <f t="shared" si="79"/>
        <v>#DIV/0!</v>
      </c>
      <c r="AB121" s="12" t="e">
        <f t="shared" si="79"/>
        <v>#DIV/0!</v>
      </c>
      <c r="AC121" s="12" t="e">
        <f t="shared" si="79"/>
        <v>#DIV/0!</v>
      </c>
      <c r="AD121" s="12">
        <f t="shared" si="85"/>
        <v>4.7383489312561033E-2</v>
      </c>
      <c r="AE121" s="12">
        <f t="shared" si="86"/>
        <v>4.8784209800219247E-2</v>
      </c>
      <c r="AF121" s="12">
        <f t="shared" si="81"/>
        <v>0</v>
      </c>
      <c r="AG121" s="12">
        <f t="shared" si="82"/>
        <v>1.9295196295187445E-2</v>
      </c>
      <c r="AH121" s="34"/>
    </row>
    <row r="122" spans="1:34" x14ac:dyDescent="0.2">
      <c r="A122" s="3" t="s">
        <v>129</v>
      </c>
      <c r="B122" s="12" t="e">
        <f t="shared" si="75"/>
        <v>#DIV/0!</v>
      </c>
      <c r="C122" s="12" t="e">
        <f t="shared" si="75"/>
        <v>#DIV/0!</v>
      </c>
      <c r="D122" s="12" t="e">
        <f t="shared" si="75"/>
        <v>#DIV/0!</v>
      </c>
      <c r="E122" s="12" t="e">
        <f t="shared" ref="E122:G122" si="93">E106/E$108</f>
        <v>#DIV/0!</v>
      </c>
      <c r="F122" s="12">
        <f t="shared" si="93"/>
        <v>0.1347511789526846</v>
      </c>
      <c r="G122" s="12">
        <f t="shared" si="93"/>
        <v>0.25050632665739042</v>
      </c>
      <c r="H122" s="12"/>
      <c r="I122" s="12">
        <f t="shared" si="76"/>
        <v>0.12503720392234402</v>
      </c>
      <c r="J122" s="34"/>
      <c r="K122" s="25"/>
      <c r="L122"/>
      <c r="M122" s="3" t="s">
        <v>129</v>
      </c>
      <c r="N122" s="12">
        <f t="shared" si="77"/>
        <v>0.21710526315789475</v>
      </c>
      <c r="O122" s="12">
        <f t="shared" si="77"/>
        <v>0.2413793103448276</v>
      </c>
      <c r="P122" s="12">
        <f t="shared" si="77"/>
        <v>0.13675213675213677</v>
      </c>
      <c r="Q122" s="12">
        <f t="shared" ref="Q122:S122" si="94">Q106/Q$108</f>
        <v>0.10869565217391304</v>
      </c>
      <c r="R122" s="12">
        <f t="shared" si="94"/>
        <v>0.16554734096583235</v>
      </c>
      <c r="S122" s="12">
        <f t="shared" si="94"/>
        <v>0.18669392738442456</v>
      </c>
      <c r="T122" s="12"/>
      <c r="U122" s="12">
        <f t="shared" si="78"/>
        <v>0.13898871127287801</v>
      </c>
      <c r="V122" s="34"/>
      <c r="W122" s="25"/>
      <c r="X122"/>
      <c r="Y122" s="3" t="s">
        <v>129</v>
      </c>
      <c r="Z122" s="12" t="e">
        <f t="shared" si="79"/>
        <v>#DIV/0!</v>
      </c>
      <c r="AA122" s="12" t="e">
        <f t="shared" si="79"/>
        <v>#DIV/0!</v>
      </c>
      <c r="AB122" s="12" t="e">
        <f t="shared" si="79"/>
        <v>#DIV/0!</v>
      </c>
      <c r="AC122" s="12" t="e">
        <f t="shared" si="79"/>
        <v>#DIV/0!</v>
      </c>
      <c r="AD122" s="12">
        <f t="shared" si="85"/>
        <v>3.0796162013147749E-2</v>
      </c>
      <c r="AE122" s="12">
        <f t="shared" si="86"/>
        <v>-6.3812399272965864E-2</v>
      </c>
      <c r="AF122" s="12">
        <f t="shared" si="81"/>
        <v>0</v>
      </c>
      <c r="AG122" s="12">
        <f t="shared" si="82"/>
        <v>1.3951507350533993E-2</v>
      </c>
      <c r="AH122" s="34"/>
    </row>
    <row r="123" spans="1:34" x14ac:dyDescent="0.2">
      <c r="A123" s="3" t="s">
        <v>130</v>
      </c>
      <c r="B123" s="13" t="e">
        <f t="shared" ref="B123:G124" si="95">B107/B$108</f>
        <v>#DIV/0!</v>
      </c>
      <c r="C123" s="13" t="e">
        <f t="shared" si="95"/>
        <v>#DIV/0!</v>
      </c>
      <c r="D123" s="13" t="e">
        <f t="shared" si="95"/>
        <v>#DIV/0!</v>
      </c>
      <c r="E123" s="13" t="e">
        <f t="shared" si="95"/>
        <v>#DIV/0!</v>
      </c>
      <c r="F123" s="13">
        <f t="shared" si="95"/>
        <v>0.15407844591929221</v>
      </c>
      <c r="G123" s="13">
        <f t="shared" si="95"/>
        <v>0.13530860002459039</v>
      </c>
      <c r="H123" s="12"/>
      <c r="I123" s="13">
        <f t="shared" si="76"/>
        <v>0.12740065839938955</v>
      </c>
      <c r="J123" s="34"/>
      <c r="K123" s="25"/>
      <c r="L123"/>
      <c r="M123" s="3" t="s">
        <v>130</v>
      </c>
      <c r="N123" s="13">
        <f t="shared" si="77"/>
        <v>8.5526315789473686E-2</v>
      </c>
      <c r="O123" s="13">
        <f t="shared" si="77"/>
        <v>0.10344827586206896</v>
      </c>
      <c r="P123" s="13">
        <f t="shared" si="77"/>
        <v>0.17094017094017094</v>
      </c>
      <c r="Q123" s="13">
        <f t="shared" ref="Q123:S123" si="96">Q107/Q$108</f>
        <v>0.10869565217391304</v>
      </c>
      <c r="R123" s="13">
        <f t="shared" si="96"/>
        <v>0.14686545395013451</v>
      </c>
      <c r="S123" s="13">
        <f t="shared" si="96"/>
        <v>0.13152004341043208</v>
      </c>
      <c r="T123" s="12"/>
      <c r="U123" s="13">
        <f t="shared" si="78"/>
        <v>0.15438370068878984</v>
      </c>
      <c r="V123" s="34"/>
      <c r="W123" s="25"/>
      <c r="X123"/>
      <c r="Y123" s="3" t="s">
        <v>130</v>
      </c>
      <c r="Z123" s="12" t="e">
        <f t="shared" si="79"/>
        <v>#DIV/0!</v>
      </c>
      <c r="AA123" s="12" t="e">
        <f t="shared" si="79"/>
        <v>#DIV/0!</v>
      </c>
      <c r="AB123" s="12" t="e">
        <f t="shared" si="79"/>
        <v>#DIV/0!</v>
      </c>
      <c r="AC123" s="12" t="e">
        <f t="shared" si="79"/>
        <v>#DIV/0!</v>
      </c>
      <c r="AD123" s="12">
        <f t="shared" si="85"/>
        <v>-7.2129919691577005E-3</v>
      </c>
      <c r="AE123" s="12">
        <f t="shared" si="86"/>
        <v>-3.788556614158306E-3</v>
      </c>
      <c r="AF123" s="12">
        <f t="shared" si="81"/>
        <v>0</v>
      </c>
      <c r="AG123" s="12">
        <f t="shared" si="82"/>
        <v>2.6983042289400294E-2</v>
      </c>
      <c r="AH123" s="34"/>
    </row>
    <row r="124" spans="1:34" ht="13.5" thickBot="1" x14ac:dyDescent="0.25">
      <c r="A124" s="10" t="s">
        <v>221</v>
      </c>
      <c r="B124" s="17" t="e">
        <f t="shared" si="95"/>
        <v>#DIV/0!</v>
      </c>
      <c r="C124" s="17" t="e">
        <f t="shared" si="95"/>
        <v>#DIV/0!</v>
      </c>
      <c r="D124" s="17" t="e">
        <f t="shared" si="95"/>
        <v>#DIV/0!</v>
      </c>
      <c r="E124" s="17" t="e">
        <f t="shared" si="95"/>
        <v>#DIV/0!</v>
      </c>
      <c r="F124" s="17">
        <f t="shared" si="95"/>
        <v>1</v>
      </c>
      <c r="G124" s="17">
        <f t="shared" si="95"/>
        <v>1</v>
      </c>
      <c r="H124" s="17"/>
      <c r="I124" s="17">
        <f t="shared" si="76"/>
        <v>1</v>
      </c>
      <c r="J124" s="34"/>
      <c r="K124" s="25"/>
      <c r="L124"/>
      <c r="M124" s="10" t="s">
        <v>221</v>
      </c>
      <c r="N124" s="17">
        <f t="shared" si="77"/>
        <v>1</v>
      </c>
      <c r="O124" s="17">
        <f t="shared" si="77"/>
        <v>1</v>
      </c>
      <c r="P124" s="17">
        <f t="shared" si="77"/>
        <v>1</v>
      </c>
      <c r="Q124" s="17">
        <f t="shared" si="77"/>
        <v>1</v>
      </c>
      <c r="R124" s="17">
        <f t="shared" si="77"/>
        <v>1</v>
      </c>
      <c r="S124" s="17">
        <f t="shared" si="77"/>
        <v>1</v>
      </c>
      <c r="T124" s="17"/>
      <c r="U124" s="17">
        <f t="shared" si="78"/>
        <v>1</v>
      </c>
      <c r="V124" s="34"/>
      <c r="W124" s="25"/>
      <c r="X124"/>
      <c r="Y124" s="10" t="s">
        <v>221</v>
      </c>
      <c r="Z124" s="14" t="e">
        <f t="shared" si="79"/>
        <v>#DIV/0!</v>
      </c>
      <c r="AA124" s="14" t="e">
        <f t="shared" si="79"/>
        <v>#DIV/0!</v>
      </c>
      <c r="AB124" s="14" t="e">
        <f t="shared" si="79"/>
        <v>#DIV/0!</v>
      </c>
      <c r="AC124" s="14" t="e">
        <f t="shared" si="79"/>
        <v>#DIV/0!</v>
      </c>
      <c r="AD124" s="14">
        <f t="shared" si="85"/>
        <v>0</v>
      </c>
      <c r="AE124" s="14">
        <f t="shared" si="86"/>
        <v>0</v>
      </c>
      <c r="AF124" s="14">
        <f t="shared" si="86"/>
        <v>0</v>
      </c>
      <c r="AG124" s="14">
        <f t="shared" si="82"/>
        <v>0</v>
      </c>
      <c r="AH124" s="34"/>
    </row>
    <row r="125" spans="1:34" x14ac:dyDescent="0.2">
      <c r="G125" s="25"/>
      <c r="H125" s="25"/>
      <c r="I125" s="25"/>
      <c r="J125" s="25"/>
      <c r="K125" s="25"/>
      <c r="S125" s="25"/>
      <c r="T125" s="25"/>
      <c r="U125" s="25"/>
      <c r="V125" s="25"/>
      <c r="W125" s="25"/>
      <c r="AE125" s="25"/>
      <c r="AF125" s="25"/>
      <c r="AG125" s="25"/>
      <c r="AH125" s="25"/>
    </row>
    <row r="126" spans="1:34" x14ac:dyDescent="0.2">
      <c r="F126" s="25"/>
      <c r="G126" s="25"/>
      <c r="H126" s="25"/>
      <c r="I126" s="25"/>
      <c r="J126" s="25"/>
      <c r="K126" s="25"/>
      <c r="R126" s="25"/>
      <c r="S126" s="25"/>
      <c r="T126" s="25"/>
      <c r="U126" s="25"/>
      <c r="V126" s="25"/>
      <c r="W126" s="25"/>
      <c r="AD126" s="25"/>
      <c r="AE126" s="25"/>
      <c r="AF126" s="25"/>
      <c r="AG126" s="25"/>
      <c r="AH126" s="25"/>
    </row>
    <row r="127" spans="1:34" x14ac:dyDescent="0.2">
      <c r="F127" s="25"/>
      <c r="G127" s="25"/>
      <c r="H127" s="25"/>
      <c r="I127" s="25"/>
      <c r="J127" s="25"/>
      <c r="K127" s="25"/>
      <c r="AD127" s="25"/>
      <c r="AE127" s="25"/>
      <c r="AF127" s="25"/>
      <c r="AG127" s="25"/>
      <c r="AH127" s="25"/>
    </row>
    <row r="128" spans="1:34" x14ac:dyDescent="0.2">
      <c r="F128" s="25"/>
      <c r="G128" s="25"/>
      <c r="H128" s="25"/>
      <c r="I128" s="25"/>
      <c r="J128" s="25"/>
      <c r="K128" s="25"/>
    </row>
    <row r="129" spans="6:16" x14ac:dyDescent="0.2">
      <c r="F129" s="25"/>
      <c r="G129" s="25"/>
      <c r="H129" s="25"/>
      <c r="I129" s="25"/>
      <c r="J129" s="25"/>
      <c r="K129" s="25"/>
      <c r="N129" s="87"/>
      <c r="O129" s="87"/>
      <c r="P129" s="87"/>
    </row>
    <row r="130" spans="6:16" x14ac:dyDescent="0.2">
      <c r="N130" s="87"/>
      <c r="O130" s="87"/>
      <c r="P130" s="87"/>
    </row>
    <row r="131" spans="6:16" x14ac:dyDescent="0.2">
      <c r="N131" s="87"/>
      <c r="O131" s="87"/>
      <c r="P131" s="87"/>
    </row>
    <row r="132" spans="6:16" x14ac:dyDescent="0.2">
      <c r="N132" s="87"/>
      <c r="O132" s="87"/>
      <c r="P132" s="87"/>
    </row>
    <row r="133" spans="6:16" x14ac:dyDescent="0.2">
      <c r="N133" s="87"/>
      <c r="O133" s="87"/>
      <c r="P133" s="87"/>
    </row>
    <row r="134" spans="6:16" x14ac:dyDescent="0.2">
      <c r="N134" s="87"/>
      <c r="O134" s="87"/>
      <c r="P134" s="87"/>
    </row>
    <row r="135" spans="6:16" x14ac:dyDescent="0.2">
      <c r="N135" s="87"/>
      <c r="O135" s="87"/>
      <c r="P135" s="87"/>
    </row>
  </sheetData>
  <phoneticPr fontId="5"/>
  <conditionalFormatting sqref="Z21:AI28 Z85:AD92 Z53:AF60 Z117:AC124 AG124:AH124 AD117:AH123">
    <cfRule type="cellIs" dxfId="11" priority="4" stopIfTrue="1" operator="notBetween">
      <formula>-0.15</formula>
      <formula>0.15</formula>
    </cfRule>
    <cfRule type="cellIs" dxfId="10" priority="5" stopIfTrue="1" operator="notBetween">
      <formula>-0.1</formula>
      <formula>0.1</formula>
    </cfRule>
    <cfRule type="cellIs" dxfId="9" priority="6" stopIfTrue="1" operator="notBetween">
      <formula>-0.05</formula>
      <formula>0.05</formula>
    </cfRule>
  </conditionalFormatting>
  <conditionalFormatting sqref="AD124:AF124">
    <cfRule type="cellIs" dxfId="8" priority="1" stopIfTrue="1" operator="notBetween">
      <formula>-0.15</formula>
      <formula>0.15</formula>
    </cfRule>
    <cfRule type="cellIs" dxfId="7" priority="2" stopIfTrue="1" operator="notBetween">
      <formula>-0.1</formula>
      <formula>0.1</formula>
    </cfRule>
    <cfRule type="cellIs" dxfId="6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AO138"/>
  <sheetViews>
    <sheetView topLeftCell="A10" workbookViewId="0">
      <selection activeCell="E34" sqref="E34"/>
    </sheetView>
  </sheetViews>
  <sheetFormatPr defaultColWidth="10.75" defaultRowHeight="12.75" x14ac:dyDescent="0.2"/>
  <cols>
    <col min="1" max="16384" width="10.75" style="3" collapsed="1"/>
  </cols>
  <sheetData>
    <row r="1" spans="1:35" ht="12.75" customHeight="1" x14ac:dyDescent="0.2">
      <c r="A1" s="2" t="s">
        <v>175</v>
      </c>
      <c r="M1" s="2" t="s">
        <v>175</v>
      </c>
      <c r="Y1" s="2" t="s">
        <v>175</v>
      </c>
    </row>
    <row r="2" spans="1:35" ht="12.75" customHeight="1" x14ac:dyDescent="0.2">
      <c r="A2" s="2" t="s">
        <v>128</v>
      </c>
      <c r="M2" s="2" t="s">
        <v>163</v>
      </c>
      <c r="Y2" s="218" t="s">
        <v>78</v>
      </c>
      <c r="Z2" s="218"/>
      <c r="AA2" s="218"/>
    </row>
    <row r="3" spans="1:35" ht="12.75" customHeight="1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N3" s="4"/>
      <c r="O3" s="4"/>
      <c r="P3" s="4"/>
      <c r="Q3" s="4"/>
      <c r="R3" s="4"/>
      <c r="S3" s="4"/>
      <c r="T3" s="4"/>
      <c r="U3" s="4"/>
      <c r="V3" s="4"/>
      <c r="W3" s="4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5" ht="12.75" customHeight="1" x14ac:dyDescent="0.2">
      <c r="A4" s="5" t="s">
        <v>144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/>
      <c r="I4" s="6" t="s">
        <v>246</v>
      </c>
      <c r="J4" s="6" t="s">
        <v>170</v>
      </c>
      <c r="K4" s="6" t="s">
        <v>221</v>
      </c>
      <c r="M4" s="5" t="s">
        <v>144</v>
      </c>
      <c r="N4" s="6" t="s">
        <v>146</v>
      </c>
      <c r="O4" s="6" t="s">
        <v>147</v>
      </c>
      <c r="P4" s="6" t="s">
        <v>148</v>
      </c>
      <c r="Q4" s="6" t="s">
        <v>243</v>
      </c>
      <c r="R4" s="6" t="s">
        <v>244</v>
      </c>
      <c r="S4" s="6" t="s">
        <v>245</v>
      </c>
      <c r="T4" s="6"/>
      <c r="U4" s="6" t="s">
        <v>246</v>
      </c>
      <c r="V4" s="6" t="s">
        <v>170</v>
      </c>
      <c r="W4" s="6" t="s">
        <v>221</v>
      </c>
      <c r="Y4" s="5" t="s">
        <v>144</v>
      </c>
      <c r="Z4" s="6" t="s">
        <v>146</v>
      </c>
      <c r="AA4" s="6" t="s">
        <v>147</v>
      </c>
      <c r="AB4" s="6" t="s">
        <v>148</v>
      </c>
      <c r="AC4" s="6" t="s">
        <v>243</v>
      </c>
      <c r="AD4" s="6" t="s">
        <v>244</v>
      </c>
      <c r="AE4" s="6" t="s">
        <v>245</v>
      </c>
      <c r="AF4" s="6"/>
      <c r="AG4" s="6" t="s">
        <v>246</v>
      </c>
      <c r="AH4" s="6" t="s">
        <v>170</v>
      </c>
      <c r="AI4" s="6" t="s">
        <v>221</v>
      </c>
    </row>
    <row r="5" spans="1:35" ht="12.75" customHeight="1" x14ac:dyDescent="0.2">
      <c r="A5" s="3" t="s">
        <v>210</v>
      </c>
      <c r="B5" s="7">
        <f>output_NHTS!B262</f>
        <v>1660177.4502596955</v>
      </c>
      <c r="C5" s="7">
        <f>output_NHTS!C262</f>
        <v>213399.17846500731</v>
      </c>
      <c r="D5" s="7">
        <f>output_NHTS!D262</f>
        <v>17556.8344343914</v>
      </c>
      <c r="E5" s="7">
        <f>output_NHTS!E262</f>
        <v>46087.6663661774</v>
      </c>
      <c r="F5" s="7">
        <f>output_NHTS!F262</f>
        <v>98224.451284159499</v>
      </c>
      <c r="G5" s="7">
        <f>output_NHTS!G262</f>
        <v>2544.54475</v>
      </c>
      <c r="H5" s="7"/>
      <c r="I5" s="7">
        <f>output_NHTS!H262</f>
        <v>756.71400000000006</v>
      </c>
      <c r="J5" s="7">
        <f>output_NHTS!I262</f>
        <v>916.36924999999997</v>
      </c>
      <c r="K5" s="7">
        <f>output_NHTS!J262</f>
        <v>2039663.2088094309</v>
      </c>
      <c r="L5" s="7"/>
      <c r="M5" s="3" t="s">
        <v>210</v>
      </c>
      <c r="N5" s="7">
        <f>output!B262</f>
        <v>1418315</v>
      </c>
      <c r="O5" s="7">
        <f>output!C262</f>
        <v>224294</v>
      </c>
      <c r="P5" s="7">
        <f>output!D262</f>
        <v>0</v>
      </c>
      <c r="Q5" s="7">
        <f>output!E262</f>
        <v>0</v>
      </c>
      <c r="R5" s="7">
        <f>output!F262</f>
        <v>156543</v>
      </c>
      <c r="S5" s="7">
        <f>output!G262</f>
        <v>2769</v>
      </c>
      <c r="T5" s="7"/>
      <c r="U5" s="7">
        <f>output!H262</f>
        <v>2288</v>
      </c>
      <c r="V5" s="7">
        <f>output!I262</f>
        <v>0</v>
      </c>
      <c r="W5" s="7">
        <f>output!J262</f>
        <v>1804209</v>
      </c>
      <c r="Y5" s="3" t="s">
        <v>210</v>
      </c>
      <c r="Z5" s="7">
        <f t="shared" ref="Z5:Z13" si="0">N5-B5</f>
        <v>-241862.45025969553</v>
      </c>
      <c r="AA5" s="7">
        <f t="shared" ref="AA5:AA13" si="1">O5-C5</f>
        <v>10894.82153499269</v>
      </c>
      <c r="AB5" s="7">
        <f t="shared" ref="AB5:AB13" si="2">P5-D5</f>
        <v>-17556.8344343914</v>
      </c>
      <c r="AC5" s="7">
        <f t="shared" ref="AC5:AC13" si="3">Q5-E5</f>
        <v>-46087.6663661774</v>
      </c>
      <c r="AD5" s="7">
        <f t="shared" ref="AD5:AD13" si="4">R5-F5</f>
        <v>58318.548715840501</v>
      </c>
      <c r="AE5" s="7">
        <f t="shared" ref="AE5:AE13" si="5">S5-G5</f>
        <v>224.45524999999998</v>
      </c>
      <c r="AF5" s="7"/>
      <c r="AG5" s="7">
        <f t="shared" ref="AG5:AG13" si="6">U5-I5</f>
        <v>1531.2860000000001</v>
      </c>
      <c r="AH5" s="7">
        <f t="shared" ref="AH5:AH13" si="7">V5-J5</f>
        <v>-916.36924999999997</v>
      </c>
      <c r="AI5" s="7">
        <f t="shared" ref="AI5:AI13" si="8">W5-K5</f>
        <v>-235454.20880943094</v>
      </c>
    </row>
    <row r="6" spans="1:35" ht="12.75" customHeight="1" x14ac:dyDescent="0.2">
      <c r="A6" s="3" t="s">
        <v>211</v>
      </c>
      <c r="B6" s="7">
        <f>output_NHTS!B263</f>
        <v>8454.0885098755007</v>
      </c>
      <c r="C6" s="7">
        <f>output_NHTS!C263</f>
        <v>47429.275711861301</v>
      </c>
      <c r="D6" s="7">
        <f>output_NHTS!D263</f>
        <v>862.99737015200003</v>
      </c>
      <c r="E6" s="7">
        <f>output_NHTS!E263</f>
        <v>72829.727081157194</v>
      </c>
      <c r="F6" s="7">
        <f>output_NHTS!F263</f>
        <v>65211.089185126104</v>
      </c>
      <c r="G6" s="7">
        <f>output_NHTS!G263</f>
        <v>70155.592874580005</v>
      </c>
      <c r="H6" s="7"/>
      <c r="I6" s="7">
        <f>output_NHTS!H263</f>
        <v>453808.26500000001</v>
      </c>
      <c r="J6" s="7">
        <f>output_NHTS!I263</f>
        <v>51795.055874999998</v>
      </c>
      <c r="K6" s="7">
        <f>output_NHTS!J263</f>
        <v>770546.09160775214</v>
      </c>
      <c r="L6" s="7"/>
      <c r="M6" s="3" t="s">
        <v>211</v>
      </c>
      <c r="N6" s="7">
        <f>output!B263</f>
        <v>0</v>
      </c>
      <c r="O6" s="7">
        <f>output!C263</f>
        <v>0</v>
      </c>
      <c r="P6" s="7">
        <f>output!D263</f>
        <v>0</v>
      </c>
      <c r="Q6" s="7">
        <f>output!E263</f>
        <v>0</v>
      </c>
      <c r="R6" s="7">
        <f>output!F263</f>
        <v>106188</v>
      </c>
      <c r="S6" s="7">
        <f>output!G263</f>
        <v>63015</v>
      </c>
      <c r="T6" s="7"/>
      <c r="U6" s="7">
        <f>output!H263</f>
        <v>333907</v>
      </c>
      <c r="V6" s="7">
        <f>output!I263</f>
        <v>0</v>
      </c>
      <c r="W6" s="7">
        <f>output!J263</f>
        <v>503110</v>
      </c>
      <c r="Y6" s="3" t="s">
        <v>211</v>
      </c>
      <c r="Z6" s="7">
        <f t="shared" si="0"/>
        <v>-8454.0885098755007</v>
      </c>
      <c r="AA6" s="7">
        <f t="shared" si="1"/>
        <v>-47429.275711861301</v>
      </c>
      <c r="AB6" s="7">
        <f t="shared" si="2"/>
        <v>-862.99737015200003</v>
      </c>
      <c r="AC6" s="7">
        <f t="shared" si="3"/>
        <v>-72829.727081157194</v>
      </c>
      <c r="AD6" s="7">
        <f t="shared" si="4"/>
        <v>40976.910814873896</v>
      </c>
      <c r="AE6" s="7">
        <f t="shared" si="5"/>
        <v>-7140.5928745800047</v>
      </c>
      <c r="AF6" s="7"/>
      <c r="AG6" s="7">
        <f t="shared" si="6"/>
        <v>-119901.26500000001</v>
      </c>
      <c r="AH6" s="7">
        <f t="shared" si="7"/>
        <v>-51795.055874999998</v>
      </c>
      <c r="AI6" s="7">
        <f t="shared" si="8"/>
        <v>-267436.09160775214</v>
      </c>
    </row>
    <row r="7" spans="1:35" ht="12.75" customHeight="1" x14ac:dyDescent="0.2">
      <c r="A7" s="3" t="s">
        <v>212</v>
      </c>
      <c r="B7" s="7">
        <f>output_NHTS!B264</f>
        <v>418243.39073999063</v>
      </c>
      <c r="C7" s="7">
        <f>output_NHTS!C264</f>
        <v>138827.25526180459</v>
      </c>
      <c r="D7" s="7">
        <f>output_NHTS!D264</f>
        <v>63654.218650200601</v>
      </c>
      <c r="E7" s="7">
        <f>output_NHTS!E264</f>
        <v>244798.16167429439</v>
      </c>
      <c r="F7" s="7">
        <f>output_NHTS!F264</f>
        <v>25453.325320432701</v>
      </c>
      <c r="G7" s="7">
        <f>output_NHTS!G264</f>
        <v>10422.71642196</v>
      </c>
      <c r="H7" s="7"/>
      <c r="I7" s="7">
        <f>output_NHTS!H264</f>
        <v>80020.450750000004</v>
      </c>
      <c r="J7" s="7">
        <f>output_NHTS!I264</f>
        <v>78843.02</v>
      </c>
      <c r="K7" s="7">
        <f>output_NHTS!J264</f>
        <v>1060262.5388186828</v>
      </c>
      <c r="L7" s="7"/>
      <c r="M7" s="3" t="s">
        <v>212</v>
      </c>
      <c r="N7" s="7">
        <f>output!B264</f>
        <v>479602</v>
      </c>
      <c r="O7" s="7">
        <f>output!C264</f>
        <v>102571</v>
      </c>
      <c r="P7" s="7">
        <f>output!D264</f>
        <v>50228</v>
      </c>
      <c r="Q7" s="7">
        <f>output!E264</f>
        <v>138788</v>
      </c>
      <c r="R7" s="7">
        <f>output!F264</f>
        <v>42503</v>
      </c>
      <c r="S7" s="7">
        <f>output!G264</f>
        <v>8426</v>
      </c>
      <c r="T7" s="7"/>
      <c r="U7" s="7">
        <f>output!H264</f>
        <v>46085</v>
      </c>
      <c r="V7" s="7">
        <f>output!I264</f>
        <v>63620</v>
      </c>
      <c r="W7" s="7">
        <f>output!J264</f>
        <v>931823</v>
      </c>
      <c r="Y7" s="3" t="s">
        <v>212</v>
      </c>
      <c r="Z7" s="7">
        <f t="shared" si="0"/>
        <v>61358.609260009369</v>
      </c>
      <c r="AA7" s="7">
        <f t="shared" si="1"/>
        <v>-36256.255261804588</v>
      </c>
      <c r="AB7" s="7">
        <f t="shared" si="2"/>
        <v>-13426.218650200601</v>
      </c>
      <c r="AC7" s="7">
        <f t="shared" si="3"/>
        <v>-106010.16167429439</v>
      </c>
      <c r="AD7" s="7">
        <f t="shared" si="4"/>
        <v>17049.674679567299</v>
      </c>
      <c r="AE7" s="7">
        <f t="shared" si="5"/>
        <v>-1996.7164219599999</v>
      </c>
      <c r="AF7" s="7"/>
      <c r="AG7" s="7">
        <f t="shared" si="6"/>
        <v>-33935.450750000004</v>
      </c>
      <c r="AH7" s="7">
        <f t="shared" si="7"/>
        <v>-15223.020000000004</v>
      </c>
      <c r="AI7" s="7">
        <f t="shared" si="8"/>
        <v>-128439.53881868278</v>
      </c>
    </row>
    <row r="8" spans="1:35" ht="12.75" customHeight="1" x14ac:dyDescent="0.2">
      <c r="A8" s="3" t="s">
        <v>213</v>
      </c>
      <c r="B8" s="7">
        <f>output_NHTS!B265</f>
        <v>450662.7602065411</v>
      </c>
      <c r="C8" s="7">
        <f>output_NHTS!C265</f>
        <v>187884.54801353021</v>
      </c>
      <c r="D8" s="7">
        <f>output_NHTS!D265</f>
        <v>310949.38619047141</v>
      </c>
      <c r="E8" s="7">
        <f>output_NHTS!E265</f>
        <v>381047.6918400671</v>
      </c>
      <c r="F8" s="7">
        <f>output_NHTS!F265</f>
        <v>55340.158025418998</v>
      </c>
      <c r="G8" s="7">
        <f>output_NHTS!G265</f>
        <v>13815.532999999999</v>
      </c>
      <c r="H8" s="7"/>
      <c r="I8" s="7">
        <f>output_NHTS!H265</f>
        <v>140924.04162500001</v>
      </c>
      <c r="J8" s="7">
        <f>output_NHTS!I265</f>
        <v>132483.50725</v>
      </c>
      <c r="K8" s="7">
        <f>output_NHTS!J265</f>
        <v>1673107.626151029</v>
      </c>
      <c r="L8" s="7"/>
      <c r="M8" s="3" t="s">
        <v>213</v>
      </c>
      <c r="N8" s="7">
        <f>output!B265</f>
        <v>448486</v>
      </c>
      <c r="O8" s="7">
        <f>output!C265</f>
        <v>156710</v>
      </c>
      <c r="P8" s="7">
        <f>output!D265</f>
        <v>246321</v>
      </c>
      <c r="Q8" s="7">
        <f>output!E265</f>
        <v>214650</v>
      </c>
      <c r="R8" s="7">
        <f>output!F265</f>
        <v>49806</v>
      </c>
      <c r="S8" s="7">
        <f>output!G265</f>
        <v>10089</v>
      </c>
      <c r="T8" s="7"/>
      <c r="U8" s="7">
        <f>output!H265</f>
        <v>116058</v>
      </c>
      <c r="V8" s="7">
        <f>output!I265</f>
        <v>125357</v>
      </c>
      <c r="W8" s="7">
        <f>output!J265</f>
        <v>1367477</v>
      </c>
      <c r="Y8" s="3" t="s">
        <v>213</v>
      </c>
      <c r="Z8" s="7">
        <f t="shared" si="0"/>
        <v>-2176.7602065411047</v>
      </c>
      <c r="AA8" s="7">
        <f t="shared" si="1"/>
        <v>-31174.548013530206</v>
      </c>
      <c r="AB8" s="7">
        <f t="shared" si="2"/>
        <v>-64628.386190471414</v>
      </c>
      <c r="AC8" s="7">
        <f t="shared" si="3"/>
        <v>-166397.6918400671</v>
      </c>
      <c r="AD8" s="7">
        <f t="shared" si="4"/>
        <v>-5534.1580254189976</v>
      </c>
      <c r="AE8" s="7">
        <f t="shared" si="5"/>
        <v>-3726.5329999999994</v>
      </c>
      <c r="AF8" s="7"/>
      <c r="AG8" s="7">
        <f t="shared" si="6"/>
        <v>-24866.041625000013</v>
      </c>
      <c r="AH8" s="7">
        <f t="shared" si="7"/>
        <v>-7126.5072499999951</v>
      </c>
      <c r="AI8" s="7">
        <f t="shared" si="8"/>
        <v>-305630.62615102902</v>
      </c>
    </row>
    <row r="9" spans="1:35" ht="12.75" customHeight="1" x14ac:dyDescent="0.2">
      <c r="A9" s="3" t="s">
        <v>214</v>
      </c>
      <c r="B9" s="7">
        <f>output_NHTS!B266</f>
        <v>563756.72835173598</v>
      </c>
      <c r="C9" s="7">
        <f>output_NHTS!C266</f>
        <v>212639.20924914369</v>
      </c>
      <c r="D9" s="7">
        <f>output_NHTS!D266</f>
        <v>301659.34705775807</v>
      </c>
      <c r="E9" s="7">
        <f>output_NHTS!E266</f>
        <v>450394.27385918348</v>
      </c>
      <c r="F9" s="7">
        <f>output_NHTS!F266</f>
        <v>68442.071869806401</v>
      </c>
      <c r="G9" s="7">
        <f>output_NHTS!G266</f>
        <v>5975.626447394</v>
      </c>
      <c r="H9" s="7"/>
      <c r="I9" s="7">
        <f>output_NHTS!H266</f>
        <v>97969.697625000001</v>
      </c>
      <c r="J9" s="7">
        <f>output_NHTS!I266</f>
        <v>147016.255</v>
      </c>
      <c r="K9" s="7">
        <f>output_NHTS!J266</f>
        <v>1847853.2094600219</v>
      </c>
      <c r="L9" s="7"/>
      <c r="M9" s="3" t="s">
        <v>214</v>
      </c>
      <c r="N9" s="7">
        <f>output!B266</f>
        <v>626446</v>
      </c>
      <c r="O9" s="7">
        <f>output!C266</f>
        <v>149445</v>
      </c>
      <c r="P9" s="7">
        <f>output!D266</f>
        <v>234145</v>
      </c>
      <c r="Q9" s="7">
        <f>output!E266</f>
        <v>269366</v>
      </c>
      <c r="R9" s="7">
        <f>output!F266</f>
        <v>68923</v>
      </c>
      <c r="S9" s="7">
        <f>output!G266</f>
        <v>4278</v>
      </c>
      <c r="T9" s="7"/>
      <c r="U9" s="7">
        <f>output!H266</f>
        <v>49850</v>
      </c>
      <c r="V9" s="7">
        <f>output!I266</f>
        <v>143711</v>
      </c>
      <c r="W9" s="7">
        <f>output!J266</f>
        <v>1546164</v>
      </c>
      <c r="Y9" s="3" t="s">
        <v>214</v>
      </c>
      <c r="Z9" s="7">
        <f t="shared" si="0"/>
        <v>62689.271648264024</v>
      </c>
      <c r="AA9" s="7">
        <f t="shared" si="1"/>
        <v>-63194.209249143692</v>
      </c>
      <c r="AB9" s="7">
        <f t="shared" si="2"/>
        <v>-67514.347057758074</v>
      </c>
      <c r="AC9" s="7">
        <f t="shared" si="3"/>
        <v>-181028.27385918348</v>
      </c>
      <c r="AD9" s="7">
        <f t="shared" si="4"/>
        <v>480.92813019359892</v>
      </c>
      <c r="AE9" s="7">
        <f t="shared" si="5"/>
        <v>-1697.626447394</v>
      </c>
      <c r="AF9" s="7"/>
      <c r="AG9" s="7">
        <f t="shared" si="6"/>
        <v>-48119.697625000001</v>
      </c>
      <c r="AH9" s="7">
        <f t="shared" si="7"/>
        <v>-3305.2550000000047</v>
      </c>
      <c r="AI9" s="7">
        <f t="shared" si="8"/>
        <v>-301689.20946002193</v>
      </c>
    </row>
    <row r="10" spans="1:35" ht="12.75" customHeight="1" x14ac:dyDescent="0.2">
      <c r="A10" s="3" t="s">
        <v>129</v>
      </c>
      <c r="B10" s="7">
        <f>output_NHTS!B267</f>
        <v>333506.49166748353</v>
      </c>
      <c r="C10" s="7">
        <f>output_NHTS!C267</f>
        <v>71565.897681852599</v>
      </c>
      <c r="D10" s="7">
        <f>output_NHTS!D267</f>
        <v>85602.252423915997</v>
      </c>
      <c r="E10" s="7">
        <f>output_NHTS!E267</f>
        <v>139854.9630981767</v>
      </c>
      <c r="F10" s="7">
        <f>output_NHTS!F267</f>
        <v>32304.081668072798</v>
      </c>
      <c r="G10" s="7">
        <f>output_NHTS!G267</f>
        <v>4039.69175</v>
      </c>
      <c r="H10" s="7"/>
      <c r="I10" s="7">
        <f>output_NHTS!H267</f>
        <v>37190.324500000002</v>
      </c>
      <c r="J10" s="7">
        <f>output_NHTS!I267</f>
        <v>30575.681625000001</v>
      </c>
      <c r="K10" s="7">
        <f>output_NHTS!J267</f>
        <v>734639.3844145016</v>
      </c>
      <c r="L10" s="7"/>
      <c r="M10" s="3" t="s">
        <v>129</v>
      </c>
      <c r="N10" s="7">
        <f>output!B267</f>
        <v>283715</v>
      </c>
      <c r="O10" s="7">
        <f>output!C267</f>
        <v>51937</v>
      </c>
      <c r="P10" s="7">
        <f>output!D267</f>
        <v>60683</v>
      </c>
      <c r="Q10" s="7">
        <f>output!E267</f>
        <v>70627</v>
      </c>
      <c r="R10" s="7">
        <f>output!F267</f>
        <v>38744</v>
      </c>
      <c r="S10" s="7">
        <f>output!G267</f>
        <v>17230</v>
      </c>
      <c r="T10" s="7"/>
      <c r="U10" s="7">
        <f>output!H267</f>
        <v>47326</v>
      </c>
      <c r="V10" s="7">
        <f>output!I267</f>
        <v>21202</v>
      </c>
      <c r="W10" s="7">
        <f>output!J267</f>
        <v>591464</v>
      </c>
      <c r="Y10" s="3" t="s">
        <v>129</v>
      </c>
      <c r="Z10" s="7">
        <f t="shared" si="0"/>
        <v>-49791.491667483526</v>
      </c>
      <c r="AA10" s="7">
        <f t="shared" si="1"/>
        <v>-19628.897681852599</v>
      </c>
      <c r="AB10" s="7">
        <f t="shared" si="2"/>
        <v>-24919.252423915997</v>
      </c>
      <c r="AC10" s="7">
        <f t="shared" si="3"/>
        <v>-69227.963098176697</v>
      </c>
      <c r="AD10" s="7">
        <f t="shared" si="4"/>
        <v>6439.9183319272015</v>
      </c>
      <c r="AE10" s="7">
        <f t="shared" si="5"/>
        <v>13190.30825</v>
      </c>
      <c r="AF10" s="7"/>
      <c r="AG10" s="7">
        <f t="shared" si="6"/>
        <v>10135.675499999998</v>
      </c>
      <c r="AH10" s="7">
        <f t="shared" si="7"/>
        <v>-9373.6816250000011</v>
      </c>
      <c r="AI10" s="7">
        <f t="shared" si="8"/>
        <v>-143175.3844145016</v>
      </c>
    </row>
    <row r="11" spans="1:35" ht="12.75" customHeight="1" x14ac:dyDescent="0.2">
      <c r="A11" s="3" t="s">
        <v>130</v>
      </c>
      <c r="B11" s="7">
        <f>output_NHTS!B268</f>
        <v>477456.7089304261</v>
      </c>
      <c r="C11" s="7">
        <f>output_NHTS!C268</f>
        <v>165130.36292464531</v>
      </c>
      <c r="D11" s="7">
        <f>output_NHTS!D268</f>
        <v>182264.27039855969</v>
      </c>
      <c r="E11" s="7">
        <f>output_NHTS!E268</f>
        <v>321566.82525654498</v>
      </c>
      <c r="F11" s="7">
        <f>output_NHTS!F268</f>
        <v>42757.228657577398</v>
      </c>
      <c r="G11" s="7">
        <f>output_NHTS!G268</f>
        <v>18122.518519657999</v>
      </c>
      <c r="H11" s="7"/>
      <c r="I11" s="7">
        <f>output_NHTS!H268</f>
        <v>180883.095375</v>
      </c>
      <c r="J11" s="7">
        <f>output_NHTS!I268</f>
        <v>129247.302375</v>
      </c>
      <c r="K11" s="7">
        <f>output_NHTS!J268</f>
        <v>1517428.3124374114</v>
      </c>
      <c r="L11" s="7"/>
      <c r="M11" s="3" t="s">
        <v>130</v>
      </c>
      <c r="N11" s="7">
        <f>output!B268</f>
        <v>405292</v>
      </c>
      <c r="O11" s="7">
        <f>output!C268</f>
        <v>139322</v>
      </c>
      <c r="P11" s="7">
        <f>output!D268</f>
        <v>155218</v>
      </c>
      <c r="Q11" s="7">
        <f>output!E268</f>
        <v>168694</v>
      </c>
      <c r="R11" s="7">
        <f>output!F268</f>
        <v>46814</v>
      </c>
      <c r="S11" s="7">
        <f>output!G268</f>
        <v>18508</v>
      </c>
      <c r="T11" s="7"/>
      <c r="U11" s="7">
        <f>output!H268</f>
        <v>177194</v>
      </c>
      <c r="V11" s="7">
        <f>output!I268</f>
        <v>114932</v>
      </c>
      <c r="W11" s="7">
        <f>output!J268</f>
        <v>1225974</v>
      </c>
      <c r="Y11" s="3" t="s">
        <v>130</v>
      </c>
      <c r="Z11" s="7">
        <f t="shared" si="0"/>
        <v>-72164.708930426103</v>
      </c>
      <c r="AA11" s="7">
        <f t="shared" si="1"/>
        <v>-25808.362924645306</v>
      </c>
      <c r="AB11" s="7">
        <f t="shared" si="2"/>
        <v>-27046.270398559689</v>
      </c>
      <c r="AC11" s="7">
        <f t="shared" si="3"/>
        <v>-152872.82525654498</v>
      </c>
      <c r="AD11" s="7">
        <f t="shared" si="4"/>
        <v>4056.7713424226022</v>
      </c>
      <c r="AE11" s="7">
        <f t="shared" si="5"/>
        <v>385.4814803420013</v>
      </c>
      <c r="AF11" s="7"/>
      <c r="AG11" s="7">
        <f t="shared" si="6"/>
        <v>-3689.0953750000044</v>
      </c>
      <c r="AH11" s="7">
        <f t="shared" si="7"/>
        <v>-14315.302374999999</v>
      </c>
      <c r="AI11" s="7">
        <f t="shared" si="8"/>
        <v>-291454.3124374114</v>
      </c>
    </row>
    <row r="12" spans="1:35" ht="12.75" customHeight="1" x14ac:dyDescent="0.2">
      <c r="A12" s="8" t="s">
        <v>145</v>
      </c>
      <c r="B12" s="7">
        <f>output_NHTS!B269</f>
        <v>1979487.2969070319</v>
      </c>
      <c r="C12" s="7">
        <f>output_NHTS!C269</f>
        <v>554939.84143965284</v>
      </c>
      <c r="D12" s="7">
        <f>output_NHTS!D269</f>
        <v>489630.15754063352</v>
      </c>
      <c r="E12" s="7">
        <f>output_NHTS!E269</f>
        <v>920701.50429294934</v>
      </c>
      <c r="F12" s="7">
        <f>output_NHTS!F269</f>
        <v>178494.59889930621</v>
      </c>
      <c r="G12" s="7">
        <f>output_NHTS!G269</f>
        <v>95673.334388592004</v>
      </c>
      <c r="H12" s="7"/>
      <c r="I12" s="7">
        <f>output_NHTS!H269</f>
        <v>666857.79824999999</v>
      </c>
      <c r="J12" s="7">
        <f>output_NHTS!I269</f>
        <v>317773.43849999999</v>
      </c>
      <c r="K12" s="7">
        <f>output_NHTS!J269</f>
        <v>5203557.9702181658</v>
      </c>
      <c r="L12" s="7"/>
      <c r="M12" s="8" t="s">
        <v>145</v>
      </c>
      <c r="N12" s="9">
        <f>output!B269</f>
        <v>1749804</v>
      </c>
      <c r="O12" s="9">
        <f>output!C269</f>
        <v>457931</v>
      </c>
      <c r="P12" s="9">
        <f>output!D269</f>
        <v>427535</v>
      </c>
      <c r="Q12" s="9">
        <f>output!E269</f>
        <v>507358</v>
      </c>
      <c r="R12" s="9">
        <f>output!F269</f>
        <v>261440</v>
      </c>
      <c r="S12" s="9">
        <f>output!G269</f>
        <v>82040</v>
      </c>
      <c r="T12" s="9"/>
      <c r="U12" s="9">
        <f>output!H269</f>
        <v>536027</v>
      </c>
      <c r="V12" s="9">
        <f>output!I269</f>
        <v>288292</v>
      </c>
      <c r="W12" s="9">
        <f>output!J269</f>
        <v>4310427</v>
      </c>
      <c r="Y12" s="8" t="s">
        <v>145</v>
      </c>
      <c r="Z12" s="9">
        <f t="shared" si="0"/>
        <v>-229683.29690703191</v>
      </c>
      <c r="AA12" s="9">
        <f t="shared" si="1"/>
        <v>-97008.841439652839</v>
      </c>
      <c r="AB12" s="9">
        <f t="shared" si="2"/>
        <v>-62095.157540633518</v>
      </c>
      <c r="AC12" s="9">
        <f t="shared" si="3"/>
        <v>-413343.50429294934</v>
      </c>
      <c r="AD12" s="9">
        <f t="shared" si="4"/>
        <v>82945.401100693794</v>
      </c>
      <c r="AE12" s="9">
        <f t="shared" si="5"/>
        <v>-13633.334388592004</v>
      </c>
      <c r="AF12" s="9"/>
      <c r="AG12" s="9">
        <f t="shared" si="6"/>
        <v>-130830.79824999999</v>
      </c>
      <c r="AH12" s="9">
        <f t="shared" si="7"/>
        <v>-29481.438499999989</v>
      </c>
      <c r="AI12" s="9">
        <f t="shared" si="8"/>
        <v>-893130.97021816578</v>
      </c>
    </row>
    <row r="13" spans="1:35" ht="12.75" customHeight="1" thickBot="1" x14ac:dyDescent="0.25">
      <c r="A13" s="10" t="s">
        <v>221</v>
      </c>
      <c r="B13" s="11">
        <f t="shared" ref="B13:K13" si="9">SUM(B5:B12)</f>
        <v>5891744.9155727811</v>
      </c>
      <c r="C13" s="11">
        <f t="shared" si="9"/>
        <v>1591815.5687474979</v>
      </c>
      <c r="D13" s="11">
        <f t="shared" si="9"/>
        <v>1452179.4640660828</v>
      </c>
      <c r="E13" s="11">
        <f t="shared" si="9"/>
        <v>2577280.8134685503</v>
      </c>
      <c r="F13" s="11">
        <f t="shared" si="9"/>
        <v>566227.00490990002</v>
      </c>
      <c r="G13" s="11">
        <f t="shared" si="9"/>
        <v>220749.55815218401</v>
      </c>
      <c r="H13" s="11"/>
      <c r="I13" s="11">
        <f t="shared" si="9"/>
        <v>1658410.3871249999</v>
      </c>
      <c r="J13" s="11">
        <f t="shared" si="9"/>
        <v>888650.6298750001</v>
      </c>
      <c r="K13" s="11">
        <f t="shared" si="9"/>
        <v>14847058.341916997</v>
      </c>
      <c r="L13" s="7"/>
      <c r="M13" s="10" t="s">
        <v>221</v>
      </c>
      <c r="N13" s="11">
        <f t="shared" ref="N13:W13" si="10">SUM(N5:N12)</f>
        <v>5411660</v>
      </c>
      <c r="O13" s="11">
        <f t="shared" si="10"/>
        <v>1282210</v>
      </c>
      <c r="P13" s="11">
        <f t="shared" si="10"/>
        <v>1174130</v>
      </c>
      <c r="Q13" s="11">
        <f t="shared" si="10"/>
        <v>1369483</v>
      </c>
      <c r="R13" s="11">
        <f t="shared" si="10"/>
        <v>770961</v>
      </c>
      <c r="S13" s="11">
        <f t="shared" si="10"/>
        <v>206355</v>
      </c>
      <c r="T13" s="11"/>
      <c r="U13" s="11">
        <f t="shared" si="10"/>
        <v>1308735</v>
      </c>
      <c r="V13" s="11">
        <f t="shared" si="10"/>
        <v>757114</v>
      </c>
      <c r="W13" s="11">
        <f t="shared" si="10"/>
        <v>12280648</v>
      </c>
      <c r="Y13" s="10" t="s">
        <v>221</v>
      </c>
      <c r="Z13" s="11">
        <f t="shared" si="0"/>
        <v>-480084.91557278112</v>
      </c>
      <c r="AA13" s="11">
        <f t="shared" si="1"/>
        <v>-309605.56874749786</v>
      </c>
      <c r="AB13" s="11">
        <f t="shared" si="2"/>
        <v>-278049.46406608284</v>
      </c>
      <c r="AC13" s="11">
        <f t="shared" si="3"/>
        <v>-1207797.8134685503</v>
      </c>
      <c r="AD13" s="11">
        <f t="shared" si="4"/>
        <v>204733.99509009998</v>
      </c>
      <c r="AE13" s="11">
        <f t="shared" si="5"/>
        <v>-14394.558152184007</v>
      </c>
      <c r="AF13" s="11"/>
      <c r="AG13" s="11">
        <f t="shared" si="6"/>
        <v>-349675.38712499989</v>
      </c>
      <c r="AH13" s="11">
        <f t="shared" si="7"/>
        <v>-131536.6298750001</v>
      </c>
      <c r="AI13" s="11">
        <f t="shared" si="8"/>
        <v>-2566410.341916997</v>
      </c>
    </row>
    <row r="14" spans="1:35" ht="12.75" customHeight="1" x14ac:dyDescent="0.2"/>
    <row r="15" spans="1:35" ht="12.75" customHeight="1" x14ac:dyDescent="0.2">
      <c r="A15" s="25" t="s">
        <v>88</v>
      </c>
      <c r="B15" s="33">
        <f>ToursByTourPurpose!B15</f>
        <v>1238555.2527999999</v>
      </c>
      <c r="C15" s="33">
        <f>ToursByTourPurpose!C15</f>
        <v>305232.84169999999</v>
      </c>
      <c r="D15" s="33">
        <f>ToursByTourPurpose!D15</f>
        <v>342741.66269999999</v>
      </c>
      <c r="E15" s="33">
        <f>ToursByTourPurpose!E15</f>
        <v>533826.13100000005</v>
      </c>
      <c r="F15" s="33">
        <f>ToursByTourPurpose!F15</f>
        <v>104133.0724</v>
      </c>
      <c r="G15" s="33">
        <f>ToursByTourPurpose!G15</f>
        <v>70487.777700000006</v>
      </c>
      <c r="H15" s="33"/>
      <c r="I15" s="33">
        <f>ToursByTourPurpose!I15</f>
        <v>455659.5257</v>
      </c>
      <c r="J15" s="33">
        <f>ToursByTourPurpose!J15</f>
        <v>242277.1568</v>
      </c>
      <c r="K15" s="33">
        <f>ToursByTourPurpose!K15</f>
        <v>3292913.4208</v>
      </c>
      <c r="M15" s="25" t="s">
        <v>88</v>
      </c>
      <c r="N15" s="33">
        <f>ToursByTourPurpose!N15</f>
        <v>1101733</v>
      </c>
      <c r="O15" s="33">
        <f>ToursByTourPurpose!O15</f>
        <v>274554</v>
      </c>
      <c r="P15" s="33">
        <f>ToursByTourPurpose!P15</f>
        <v>313576</v>
      </c>
      <c r="Q15" s="33">
        <f>ToursByTourPurpose!Q15</f>
        <v>306209</v>
      </c>
      <c r="R15" s="33">
        <f>ToursByTourPurpose!R15</f>
        <v>153455</v>
      </c>
      <c r="S15" s="33">
        <f>ToursByTourPurpose!S15</f>
        <v>63692</v>
      </c>
      <c r="T15" s="33"/>
      <c r="U15" s="33">
        <f>ToursByTourPurpose!U15</f>
        <v>377036</v>
      </c>
      <c r="V15" s="33">
        <f>ToursByTourPurpose!V15</f>
        <v>181483</v>
      </c>
      <c r="W15" s="33">
        <f>ToursByTourPurpose!W15</f>
        <v>2771738</v>
      </c>
      <c r="Y15" s="3" t="s">
        <v>88</v>
      </c>
      <c r="Z15" s="7">
        <f t="shared" ref="Z15:AE16" si="11">N15-B15</f>
        <v>-136822.2527999999</v>
      </c>
      <c r="AA15" s="7">
        <f t="shared" si="11"/>
        <v>-30678.84169999999</v>
      </c>
      <c r="AB15" s="7">
        <f t="shared" si="11"/>
        <v>-29165.662699999986</v>
      </c>
      <c r="AC15" s="7">
        <f t="shared" si="11"/>
        <v>-227617.13100000005</v>
      </c>
      <c r="AD15" s="7">
        <f t="shared" si="11"/>
        <v>49321.927599999995</v>
      </c>
      <c r="AE15" s="7">
        <f t="shared" si="11"/>
        <v>-6795.777700000006</v>
      </c>
      <c r="AF15" s="7"/>
      <c r="AG15" s="7">
        <f t="shared" ref="AG15:AI16" si="12">U15-I15</f>
        <v>-78623.525699999998</v>
      </c>
      <c r="AH15" s="7">
        <f t="shared" si="12"/>
        <v>-60794.156799999997</v>
      </c>
      <c r="AI15" s="7">
        <f t="shared" si="12"/>
        <v>-521175.42079999996</v>
      </c>
    </row>
    <row r="16" spans="1:35" ht="12.75" customHeight="1" x14ac:dyDescent="0.2">
      <c r="A16" s="25" t="s">
        <v>91</v>
      </c>
      <c r="B16" s="38">
        <f t="shared" ref="B16:K16" si="13">B13/B15</f>
        <v>4.7569496009591195</v>
      </c>
      <c r="C16" s="38">
        <f t="shared" si="13"/>
        <v>5.2150861613771688</v>
      </c>
      <c r="D16" s="38">
        <f t="shared" si="13"/>
        <v>4.2369505143504194</v>
      </c>
      <c r="E16" s="38">
        <f t="shared" si="13"/>
        <v>4.8279405293266731</v>
      </c>
      <c r="F16" s="38">
        <f t="shared" si="13"/>
        <v>5.437532878458506</v>
      </c>
      <c r="G16" s="38">
        <f t="shared" si="13"/>
        <v>3.1317423439238885</v>
      </c>
      <c r="H16" s="38"/>
      <c r="I16" s="38">
        <f t="shared" si="13"/>
        <v>3.6395823934050151</v>
      </c>
      <c r="J16" s="38">
        <f t="shared" si="13"/>
        <v>3.6679092722248758</v>
      </c>
      <c r="K16" s="38">
        <f t="shared" si="13"/>
        <v>4.5087909837331726</v>
      </c>
      <c r="M16" s="25" t="s">
        <v>91</v>
      </c>
      <c r="N16" s="38">
        <f t="shared" ref="N16:W16" si="14">N13/N15</f>
        <v>4.9119523514317898</v>
      </c>
      <c r="O16" s="38">
        <f t="shared" si="14"/>
        <v>4.67015596203297</v>
      </c>
      <c r="P16" s="38">
        <f t="shared" si="14"/>
        <v>3.7443235451692733</v>
      </c>
      <c r="Q16" s="38">
        <f t="shared" si="14"/>
        <v>4.4723799757681846</v>
      </c>
      <c r="R16" s="38">
        <f t="shared" si="14"/>
        <v>5.0240200710305949</v>
      </c>
      <c r="S16" s="38">
        <f t="shared" si="14"/>
        <v>3.2398888400427057</v>
      </c>
      <c r="T16" s="38"/>
      <c r="U16" s="38">
        <f t="shared" si="14"/>
        <v>3.4711141641646952</v>
      </c>
      <c r="V16" s="38">
        <f t="shared" si="14"/>
        <v>4.1718177460147778</v>
      </c>
      <c r="W16" s="38">
        <f t="shared" si="14"/>
        <v>4.4306669678014297</v>
      </c>
      <c r="Y16" s="3" t="s">
        <v>91</v>
      </c>
      <c r="Z16" s="38">
        <f t="shared" si="11"/>
        <v>0.15500275047267031</v>
      </c>
      <c r="AA16" s="38">
        <f t="shared" si="11"/>
        <v>-0.54493019934419884</v>
      </c>
      <c r="AB16" s="38">
        <f t="shared" si="11"/>
        <v>-0.49262696918114601</v>
      </c>
      <c r="AC16" s="38">
        <f t="shared" si="11"/>
        <v>-0.35556055355848848</v>
      </c>
      <c r="AD16" s="38">
        <f t="shared" si="11"/>
        <v>-0.41351280742791108</v>
      </c>
      <c r="AE16" s="38">
        <f t="shared" si="11"/>
        <v>0.10814649611881721</v>
      </c>
      <c r="AF16" s="38"/>
      <c r="AG16" s="38">
        <f t="shared" si="12"/>
        <v>-0.1684682292403199</v>
      </c>
      <c r="AH16" s="38">
        <f t="shared" si="12"/>
        <v>0.503908473789902</v>
      </c>
      <c r="AI16" s="38">
        <f t="shared" si="12"/>
        <v>-7.8124015931742896E-2</v>
      </c>
    </row>
    <row r="17" spans="1:35" ht="12.75" customHeight="1" x14ac:dyDescent="0.2"/>
    <row r="18" spans="1:35" ht="12.75" customHeight="1" x14ac:dyDescent="0.2">
      <c r="A18" s="2" t="s">
        <v>175</v>
      </c>
      <c r="M18" s="2" t="s">
        <v>175</v>
      </c>
      <c r="Y18" s="2" t="s">
        <v>175</v>
      </c>
    </row>
    <row r="19" spans="1:35" ht="12.75" customHeight="1" x14ac:dyDescent="0.2">
      <c r="A19" s="2" t="s">
        <v>157</v>
      </c>
      <c r="M19" s="2" t="s">
        <v>164</v>
      </c>
      <c r="Y19" s="218" t="s">
        <v>79</v>
      </c>
      <c r="Z19" s="218"/>
      <c r="AA19" s="218"/>
    </row>
    <row r="20" spans="1:35" ht="12.75" customHeight="1" thickBot="1" x14ac:dyDescent="0.25">
      <c r="B20" s="4"/>
      <c r="C20" s="4"/>
      <c r="D20" s="4"/>
      <c r="E20" s="4"/>
      <c r="F20" s="4"/>
      <c r="G20" s="4"/>
      <c r="H20" s="4"/>
      <c r="I20" s="4"/>
      <c r="J20" s="4"/>
      <c r="K20" s="4"/>
      <c r="N20" s="4"/>
      <c r="O20" s="4"/>
      <c r="P20" s="4"/>
      <c r="Q20" s="4"/>
      <c r="R20" s="4"/>
      <c r="S20" s="4"/>
      <c r="T20" s="4"/>
      <c r="U20" s="4"/>
      <c r="V20" s="4"/>
      <c r="W20" s="4"/>
      <c r="Z20" s="4"/>
      <c r="AA20" s="4"/>
      <c r="AB20" s="4"/>
      <c r="AC20" s="4"/>
      <c r="AD20" s="4"/>
      <c r="AE20" s="4"/>
      <c r="AF20" s="4"/>
      <c r="AG20" s="4"/>
      <c r="AH20" s="4"/>
      <c r="AI20" s="4"/>
    </row>
    <row r="21" spans="1:35" ht="12.75" customHeight="1" x14ac:dyDescent="0.2">
      <c r="A21" s="5" t="s">
        <v>144</v>
      </c>
      <c r="B21" s="6" t="s">
        <v>146</v>
      </c>
      <c r="C21" s="6" t="s">
        <v>147</v>
      </c>
      <c r="D21" s="6" t="s">
        <v>148</v>
      </c>
      <c r="E21" s="6" t="s">
        <v>243</v>
      </c>
      <c r="F21" s="6" t="s">
        <v>244</v>
      </c>
      <c r="G21" s="6" t="s">
        <v>245</v>
      </c>
      <c r="H21" s="6"/>
      <c r="I21" s="6" t="s">
        <v>246</v>
      </c>
      <c r="J21" s="6" t="s">
        <v>170</v>
      </c>
      <c r="K21" s="6" t="s">
        <v>221</v>
      </c>
      <c r="M21" s="5" t="s">
        <v>144</v>
      </c>
      <c r="N21" s="6" t="s">
        <v>146</v>
      </c>
      <c r="O21" s="6" t="s">
        <v>147</v>
      </c>
      <c r="P21" s="6" t="s">
        <v>148</v>
      </c>
      <c r="Q21" s="6" t="s">
        <v>243</v>
      </c>
      <c r="R21" s="6" t="s">
        <v>244</v>
      </c>
      <c r="S21" s="6" t="s">
        <v>245</v>
      </c>
      <c r="T21" s="6"/>
      <c r="U21" s="6" t="s">
        <v>246</v>
      </c>
      <c r="V21" s="6" t="s">
        <v>170</v>
      </c>
      <c r="W21" s="6" t="s">
        <v>221</v>
      </c>
      <c r="Y21" s="5" t="s">
        <v>144</v>
      </c>
      <c r="Z21" s="6" t="s">
        <v>146</v>
      </c>
      <c r="AA21" s="6" t="s">
        <v>147</v>
      </c>
      <c r="AB21" s="6" t="s">
        <v>148</v>
      </c>
      <c r="AC21" s="6" t="s">
        <v>243</v>
      </c>
      <c r="AD21" s="6" t="s">
        <v>244</v>
      </c>
      <c r="AE21" s="6" t="s">
        <v>245</v>
      </c>
      <c r="AF21" s="6"/>
      <c r="AG21" s="6" t="s">
        <v>246</v>
      </c>
      <c r="AH21" s="6" t="s">
        <v>170</v>
      </c>
      <c r="AI21" s="6" t="s">
        <v>221</v>
      </c>
    </row>
    <row r="22" spans="1:35" ht="12.75" customHeight="1" x14ac:dyDescent="0.2">
      <c r="A22" s="3" t="s">
        <v>210</v>
      </c>
      <c r="B22" s="12">
        <f t="shared" ref="B22:K22" si="15">B5/B$13</f>
        <v>0.28178026612652446</v>
      </c>
      <c r="C22" s="12">
        <f t="shared" si="15"/>
        <v>0.13406024080598611</v>
      </c>
      <c r="D22" s="12">
        <f t="shared" si="15"/>
        <v>1.2089989473637439E-2</v>
      </c>
      <c r="E22" s="12">
        <f t="shared" si="15"/>
        <v>1.7882283577842571E-2</v>
      </c>
      <c r="F22" s="12">
        <f t="shared" si="15"/>
        <v>0.17347185922329739</v>
      </c>
      <c r="G22" s="12">
        <f t="shared" si="15"/>
        <v>1.1526839606382358E-2</v>
      </c>
      <c r="H22" s="12"/>
      <c r="I22" s="12">
        <f t="shared" si="15"/>
        <v>4.5628874847547854E-4</v>
      </c>
      <c r="J22" s="12">
        <f t="shared" si="15"/>
        <v>1.0311918083363075E-3</v>
      </c>
      <c r="K22" s="12">
        <f t="shared" si="15"/>
        <v>0.13737827129371119</v>
      </c>
      <c r="M22" s="3" t="s">
        <v>210</v>
      </c>
      <c r="N22" s="12">
        <f t="shared" ref="N22:W22" si="16">N5/N$13</f>
        <v>0.26208501642749177</v>
      </c>
      <c r="O22" s="12">
        <f t="shared" si="16"/>
        <v>0.17492766395520234</v>
      </c>
      <c r="P22" s="12">
        <f t="shared" si="16"/>
        <v>0</v>
      </c>
      <c r="Q22" s="12">
        <f t="shared" si="16"/>
        <v>0</v>
      </c>
      <c r="R22" s="12">
        <f t="shared" si="16"/>
        <v>0.20304918147610579</v>
      </c>
      <c r="S22" s="12">
        <f t="shared" si="16"/>
        <v>1.3418623246347313E-2</v>
      </c>
      <c r="T22" s="12"/>
      <c r="U22" s="12">
        <f t="shared" si="16"/>
        <v>1.7482530840850134E-3</v>
      </c>
      <c r="V22" s="12">
        <f t="shared" si="16"/>
        <v>0</v>
      </c>
      <c r="W22" s="12">
        <f t="shared" si="16"/>
        <v>0.14691480449565852</v>
      </c>
      <c r="Y22" s="3" t="s">
        <v>210</v>
      </c>
      <c r="Z22" s="12">
        <f t="shared" ref="Z22:Z30" si="17">N22-B22</f>
        <v>-1.9695249699032691E-2</v>
      </c>
      <c r="AA22" s="12">
        <f t="shared" ref="AA22:AA30" si="18">O22-C22</f>
        <v>4.0867423149216237E-2</v>
      </c>
      <c r="AB22" s="12">
        <f t="shared" ref="AB22:AB30" si="19">P22-D22</f>
        <v>-1.2089989473637439E-2</v>
      </c>
      <c r="AC22" s="12">
        <f t="shared" ref="AC22:AC30" si="20">Q22-E22</f>
        <v>-1.7882283577842571E-2</v>
      </c>
      <c r="AD22" s="12">
        <f t="shared" ref="AD22:AD30" si="21">R22-F22</f>
        <v>2.9577322252808402E-2</v>
      </c>
      <c r="AE22" s="12">
        <f t="shared" ref="AE22:AE30" si="22">S22-G22</f>
        <v>1.8917836399649553E-3</v>
      </c>
      <c r="AF22" s="12"/>
      <c r="AG22" s="12">
        <f t="shared" ref="AG22:AG30" si="23">U22-I22</f>
        <v>1.291964335609535E-3</v>
      </c>
      <c r="AH22" s="12">
        <f t="shared" ref="AH22:AH30" si="24">V22-J22</f>
        <v>-1.0311918083363075E-3</v>
      </c>
      <c r="AI22" s="12">
        <f t="shared" ref="AI22:AI30" si="25">W22-K22</f>
        <v>9.5365332019473337E-3</v>
      </c>
    </row>
    <row r="23" spans="1:35" ht="12.75" customHeight="1" x14ac:dyDescent="0.2">
      <c r="A23" s="3" t="s">
        <v>211</v>
      </c>
      <c r="B23" s="12">
        <f t="shared" ref="B23:K23" si="26">B6/B$13</f>
        <v>1.4349040277575587E-3</v>
      </c>
      <c r="C23" s="12">
        <f t="shared" si="26"/>
        <v>2.9795710409579981E-2</v>
      </c>
      <c r="D23" s="12">
        <f t="shared" si="26"/>
        <v>5.9427735449144763E-4</v>
      </c>
      <c r="E23" s="12">
        <f t="shared" si="26"/>
        <v>2.82583592368197E-2</v>
      </c>
      <c r="F23" s="12">
        <f t="shared" si="26"/>
        <v>0.11516774830529801</v>
      </c>
      <c r="G23" s="12">
        <f t="shared" si="26"/>
        <v>0.31780626634919457</v>
      </c>
      <c r="H23" s="12"/>
      <c r="I23" s="12">
        <f t="shared" si="26"/>
        <v>0.27364051052931265</v>
      </c>
      <c r="J23" s="12">
        <f t="shared" si="26"/>
        <v>5.8285060668089125E-2</v>
      </c>
      <c r="K23" s="12">
        <f t="shared" si="26"/>
        <v>5.1898906427295825E-2</v>
      </c>
      <c r="M23" s="3" t="s">
        <v>211</v>
      </c>
      <c r="N23" s="12">
        <f t="shared" ref="N23:W23" si="27">N6/N$13</f>
        <v>0</v>
      </c>
      <c r="O23" s="12">
        <f t="shared" si="27"/>
        <v>0</v>
      </c>
      <c r="P23" s="12">
        <f t="shared" si="27"/>
        <v>0</v>
      </c>
      <c r="Q23" s="12">
        <f t="shared" si="27"/>
        <v>0</v>
      </c>
      <c r="R23" s="12">
        <f t="shared" si="27"/>
        <v>0.13773459357866352</v>
      </c>
      <c r="S23" s="12">
        <f t="shared" si="27"/>
        <v>0.30537181071454533</v>
      </c>
      <c r="T23" s="12"/>
      <c r="U23" s="12">
        <f t="shared" si="27"/>
        <v>0.25513721265191197</v>
      </c>
      <c r="V23" s="12">
        <f t="shared" si="27"/>
        <v>0</v>
      </c>
      <c r="W23" s="12">
        <f t="shared" si="27"/>
        <v>4.0967707892938549E-2</v>
      </c>
      <c r="Y23" s="3" t="s">
        <v>211</v>
      </c>
      <c r="Z23" s="12">
        <f t="shared" si="17"/>
        <v>-1.4349040277575587E-3</v>
      </c>
      <c r="AA23" s="12">
        <f t="shared" si="18"/>
        <v>-2.9795710409579981E-2</v>
      </c>
      <c r="AB23" s="12">
        <f t="shared" si="19"/>
        <v>-5.9427735449144763E-4</v>
      </c>
      <c r="AC23" s="12">
        <f t="shared" si="20"/>
        <v>-2.82583592368197E-2</v>
      </c>
      <c r="AD23" s="12">
        <f t="shared" si="21"/>
        <v>2.2566845273365513E-2</v>
      </c>
      <c r="AE23" s="12">
        <f t="shared" si="22"/>
        <v>-1.2434455634649233E-2</v>
      </c>
      <c r="AF23" s="12"/>
      <c r="AG23" s="12">
        <f t="shared" si="23"/>
        <v>-1.8503297877400682E-2</v>
      </c>
      <c r="AH23" s="12">
        <f t="shared" si="24"/>
        <v>-5.8285060668089125E-2</v>
      </c>
      <c r="AI23" s="12">
        <f t="shared" si="25"/>
        <v>-1.0931198534357277E-2</v>
      </c>
    </row>
    <row r="24" spans="1:35" ht="12.75" customHeight="1" x14ac:dyDescent="0.2">
      <c r="A24" s="3" t="s">
        <v>212</v>
      </c>
      <c r="B24" s="12">
        <f t="shared" ref="B24:K24" si="28">B7/B$13</f>
        <v>7.0988034399539171E-2</v>
      </c>
      <c r="C24" s="12">
        <f t="shared" si="28"/>
        <v>8.7213153324690276E-2</v>
      </c>
      <c r="D24" s="12">
        <f t="shared" si="28"/>
        <v>4.3833575825380187E-2</v>
      </c>
      <c r="E24" s="12">
        <f t="shared" si="28"/>
        <v>9.4983115691161593E-2</v>
      </c>
      <c r="F24" s="12">
        <f t="shared" si="28"/>
        <v>4.49525103884491E-2</v>
      </c>
      <c r="G24" s="12">
        <f t="shared" si="28"/>
        <v>4.7215117933665868E-2</v>
      </c>
      <c r="H24" s="12"/>
      <c r="I24" s="12">
        <f t="shared" si="28"/>
        <v>4.8251296163624786E-2</v>
      </c>
      <c r="J24" s="12">
        <f t="shared" si="28"/>
        <v>8.872217871616235E-2</v>
      </c>
      <c r="K24" s="12">
        <f t="shared" si="28"/>
        <v>7.1412296927890001E-2</v>
      </c>
      <c r="M24" s="3" t="s">
        <v>212</v>
      </c>
      <c r="N24" s="12">
        <f t="shared" ref="N24:W24" si="29">N7/N$13</f>
        <v>8.8623823373973981E-2</v>
      </c>
      <c r="O24" s="12">
        <f t="shared" si="29"/>
        <v>7.9995476560001874E-2</v>
      </c>
      <c r="P24" s="12">
        <f t="shared" si="29"/>
        <v>4.2778908638736769E-2</v>
      </c>
      <c r="Q24" s="12">
        <f t="shared" si="29"/>
        <v>0.10134335365973875</v>
      </c>
      <c r="R24" s="12">
        <f t="shared" si="29"/>
        <v>5.5129896324197979E-2</v>
      </c>
      <c r="S24" s="12">
        <f t="shared" si="29"/>
        <v>4.083254585544329E-2</v>
      </c>
      <c r="T24" s="12"/>
      <c r="U24" s="12">
        <f t="shared" si="29"/>
        <v>3.5213393085689618E-2</v>
      </c>
      <c r="V24" s="12">
        <f t="shared" si="29"/>
        <v>8.402961773260037E-2</v>
      </c>
      <c r="W24" s="12">
        <f t="shared" si="29"/>
        <v>7.5877347840276832E-2</v>
      </c>
      <c r="Y24" s="3" t="s">
        <v>212</v>
      </c>
      <c r="Z24" s="12">
        <f t="shared" si="17"/>
        <v>1.763578897443481E-2</v>
      </c>
      <c r="AA24" s="12">
        <f t="shared" si="18"/>
        <v>-7.2176767646884021E-3</v>
      </c>
      <c r="AB24" s="12">
        <f t="shared" si="19"/>
        <v>-1.0546671866434182E-3</v>
      </c>
      <c r="AC24" s="12">
        <f t="shared" si="20"/>
        <v>6.3602379685771537E-3</v>
      </c>
      <c r="AD24" s="12">
        <f t="shared" si="21"/>
        <v>1.0177385935748878E-2</v>
      </c>
      <c r="AE24" s="12">
        <f t="shared" si="22"/>
        <v>-6.3825720782225773E-3</v>
      </c>
      <c r="AF24" s="12"/>
      <c r="AG24" s="12">
        <f t="shared" si="23"/>
        <v>-1.3037903077935169E-2</v>
      </c>
      <c r="AH24" s="12">
        <f t="shared" si="24"/>
        <v>-4.6925609835619803E-3</v>
      </c>
      <c r="AI24" s="12">
        <f t="shared" si="25"/>
        <v>4.4650509123868309E-3</v>
      </c>
    </row>
    <row r="25" spans="1:35" ht="12.75" customHeight="1" x14ac:dyDescent="0.2">
      <c r="A25" s="3" t="s">
        <v>213</v>
      </c>
      <c r="B25" s="12">
        <f t="shared" ref="B25:K25" si="30">B8/B$13</f>
        <v>7.6490541709531693E-2</v>
      </c>
      <c r="C25" s="12">
        <f t="shared" si="30"/>
        <v>0.11803160598646804</v>
      </c>
      <c r="D25" s="12">
        <f t="shared" si="30"/>
        <v>0.21412600431617271</v>
      </c>
      <c r="E25" s="12">
        <f t="shared" si="30"/>
        <v>0.14784872872554633</v>
      </c>
      <c r="F25" s="12">
        <f t="shared" si="30"/>
        <v>9.7734932360255253E-2</v>
      </c>
      <c r="G25" s="12">
        <f t="shared" si="30"/>
        <v>6.2584646219203829E-2</v>
      </c>
      <c r="H25" s="12"/>
      <c r="I25" s="12">
        <f t="shared" si="30"/>
        <v>8.4975373236358107E-2</v>
      </c>
      <c r="J25" s="12">
        <f t="shared" si="30"/>
        <v>0.14908390631381815</v>
      </c>
      <c r="K25" s="12">
        <f t="shared" si="30"/>
        <v>0.11268950303963064</v>
      </c>
      <c r="M25" s="3" t="s">
        <v>213</v>
      </c>
      <c r="N25" s="12">
        <f t="shared" ref="N25:W25" si="31">N8/N$13</f>
        <v>8.2874016475536161E-2</v>
      </c>
      <c r="O25" s="12">
        <f t="shared" si="31"/>
        <v>0.12221866932873711</v>
      </c>
      <c r="P25" s="12">
        <f t="shared" si="31"/>
        <v>0.20979022765792543</v>
      </c>
      <c r="Q25" s="12">
        <f t="shared" si="31"/>
        <v>0.15673798068322134</v>
      </c>
      <c r="R25" s="12">
        <f t="shared" si="31"/>
        <v>6.4602489620097514E-2</v>
      </c>
      <c r="S25" s="12">
        <f t="shared" si="31"/>
        <v>4.8891473431707494E-2</v>
      </c>
      <c r="T25" s="12"/>
      <c r="U25" s="12">
        <f t="shared" si="31"/>
        <v>8.8679526412910173E-2</v>
      </c>
      <c r="V25" s="12">
        <f t="shared" si="31"/>
        <v>0.16557215954268445</v>
      </c>
      <c r="W25" s="12">
        <f t="shared" si="31"/>
        <v>0.11135218597585404</v>
      </c>
      <c r="Y25" s="3" t="s">
        <v>213</v>
      </c>
      <c r="Z25" s="12">
        <f t="shared" si="17"/>
        <v>6.3834747660044683E-3</v>
      </c>
      <c r="AA25" s="12">
        <f t="shared" si="18"/>
        <v>4.1870633422690651E-3</v>
      </c>
      <c r="AB25" s="12">
        <f t="shared" si="19"/>
        <v>-4.3357766582472757E-3</v>
      </c>
      <c r="AC25" s="12">
        <f t="shared" si="20"/>
        <v>8.8892519576750095E-3</v>
      </c>
      <c r="AD25" s="12">
        <f t="shared" si="21"/>
        <v>-3.3132442740157739E-2</v>
      </c>
      <c r="AE25" s="12">
        <f t="shared" si="22"/>
        <v>-1.3693172787496335E-2</v>
      </c>
      <c r="AF25" s="12"/>
      <c r="AG25" s="12">
        <f t="shared" si="23"/>
        <v>3.7041531765520663E-3</v>
      </c>
      <c r="AH25" s="12">
        <f t="shared" si="24"/>
        <v>1.6488253228866295E-2</v>
      </c>
      <c r="AI25" s="12">
        <f t="shared" si="25"/>
        <v>-1.3373170637765996E-3</v>
      </c>
    </row>
    <row r="26" spans="1:35" ht="12.75" customHeight="1" x14ac:dyDescent="0.2">
      <c r="A26" s="3" t="s">
        <v>214</v>
      </c>
      <c r="B26" s="12">
        <f t="shared" ref="B26:K26" si="32">B9/B$13</f>
        <v>9.5685868351435388E-2</v>
      </c>
      <c r="C26" s="12">
        <f t="shared" si="32"/>
        <v>0.13358281789922211</v>
      </c>
      <c r="D26" s="12">
        <f t="shared" si="32"/>
        <v>0.20772869643337055</v>
      </c>
      <c r="E26" s="12">
        <f t="shared" si="32"/>
        <v>0.17475560734611409</v>
      </c>
      <c r="F26" s="12">
        <f t="shared" si="32"/>
        <v>0.12087390971523362</v>
      </c>
      <c r="G26" s="12">
        <f t="shared" si="32"/>
        <v>2.7069709662904163E-2</v>
      </c>
      <c r="H26" s="12"/>
      <c r="I26" s="12">
        <f t="shared" si="32"/>
        <v>5.9074459726967267E-2</v>
      </c>
      <c r="J26" s="12">
        <f t="shared" si="32"/>
        <v>0.165437631007677</v>
      </c>
      <c r="K26" s="12">
        <f t="shared" si="32"/>
        <v>0.12445921386616131</v>
      </c>
      <c r="M26" s="3" t="s">
        <v>214</v>
      </c>
      <c r="N26" s="12">
        <f t="shared" ref="N26:W26" si="33">N9/N$13</f>
        <v>0.11575856576355499</v>
      </c>
      <c r="O26" s="12">
        <f t="shared" si="33"/>
        <v>0.11655267077935752</v>
      </c>
      <c r="P26" s="12">
        <f t="shared" si="33"/>
        <v>0.19941999608220554</v>
      </c>
      <c r="Q26" s="12">
        <f t="shared" si="33"/>
        <v>0.19669174425677427</v>
      </c>
      <c r="R26" s="12">
        <f t="shared" si="33"/>
        <v>8.9398815244869714E-2</v>
      </c>
      <c r="S26" s="12">
        <f t="shared" si="33"/>
        <v>2.0731264083739188E-2</v>
      </c>
      <c r="T26" s="12"/>
      <c r="U26" s="12">
        <f t="shared" si="33"/>
        <v>3.8090216888827765E-2</v>
      </c>
      <c r="V26" s="12">
        <f t="shared" si="33"/>
        <v>0.18981421556066855</v>
      </c>
      <c r="W26" s="12">
        <f t="shared" si="33"/>
        <v>0.12590247680741276</v>
      </c>
      <c r="Y26" s="3" t="s">
        <v>214</v>
      </c>
      <c r="Z26" s="12">
        <f t="shared" si="17"/>
        <v>2.0072697412119603E-2</v>
      </c>
      <c r="AA26" s="12">
        <f t="shared" si="18"/>
        <v>-1.7030147119864586E-2</v>
      </c>
      <c r="AB26" s="12">
        <f t="shared" si="19"/>
        <v>-8.3087003511650159E-3</v>
      </c>
      <c r="AC26" s="12">
        <f t="shared" si="20"/>
        <v>2.1936136910660181E-2</v>
      </c>
      <c r="AD26" s="12">
        <f t="shared" si="21"/>
        <v>-3.147509447036391E-2</v>
      </c>
      <c r="AE26" s="12">
        <f t="shared" si="22"/>
        <v>-6.3384455791649745E-3</v>
      </c>
      <c r="AF26" s="12"/>
      <c r="AG26" s="12">
        <f t="shared" si="23"/>
        <v>-2.0984242838139502E-2</v>
      </c>
      <c r="AH26" s="12">
        <f t="shared" si="24"/>
        <v>2.4376584552991548E-2</v>
      </c>
      <c r="AI26" s="12">
        <f t="shared" si="25"/>
        <v>1.4432629412514525E-3</v>
      </c>
    </row>
    <row r="27" spans="1:35" ht="12.75" customHeight="1" x14ac:dyDescent="0.2">
      <c r="A27" s="3" t="s">
        <v>129</v>
      </c>
      <c r="B27" s="12">
        <f t="shared" ref="B27:K27" si="34">B10/B$13</f>
        <v>5.6605724865306871E-2</v>
      </c>
      <c r="C27" s="12">
        <f t="shared" si="34"/>
        <v>4.4958661723709249E-2</v>
      </c>
      <c r="D27" s="12">
        <f t="shared" si="34"/>
        <v>5.894743352466289E-2</v>
      </c>
      <c r="E27" s="12">
        <f t="shared" si="34"/>
        <v>5.4264542058169205E-2</v>
      </c>
      <c r="F27" s="12">
        <f t="shared" si="34"/>
        <v>5.7051467676313201E-2</v>
      </c>
      <c r="G27" s="12">
        <f t="shared" si="34"/>
        <v>1.8299886005728943E-2</v>
      </c>
      <c r="H27" s="12"/>
      <c r="I27" s="12">
        <f t="shared" si="34"/>
        <v>2.2425284349836171E-2</v>
      </c>
      <c r="J27" s="12">
        <f t="shared" si="34"/>
        <v>3.4406864291876837E-2</v>
      </c>
      <c r="K27" s="12">
        <f t="shared" si="34"/>
        <v>4.948046727481558E-2</v>
      </c>
      <c r="M27" s="3" t="s">
        <v>129</v>
      </c>
      <c r="N27" s="12">
        <f t="shared" ref="N27:W27" si="35">N10/N$13</f>
        <v>5.2426612167061494E-2</v>
      </c>
      <c r="O27" s="12">
        <f t="shared" si="35"/>
        <v>4.0505845376342407E-2</v>
      </c>
      <c r="P27" s="12">
        <f t="shared" si="35"/>
        <v>5.1683374072717669E-2</v>
      </c>
      <c r="Q27" s="12">
        <f t="shared" si="35"/>
        <v>5.1572016593123098E-2</v>
      </c>
      <c r="R27" s="12">
        <f t="shared" si="35"/>
        <v>5.0254163310465769E-2</v>
      </c>
      <c r="S27" s="12">
        <f t="shared" si="35"/>
        <v>8.3496886433573211E-2</v>
      </c>
      <c r="T27" s="12"/>
      <c r="U27" s="12">
        <f t="shared" si="35"/>
        <v>3.6161637000615095E-2</v>
      </c>
      <c r="V27" s="12">
        <f t="shared" si="35"/>
        <v>2.8003708820600333E-2</v>
      </c>
      <c r="W27" s="12">
        <f t="shared" si="35"/>
        <v>4.8162279384605766E-2</v>
      </c>
      <c r="Y27" s="3" t="s">
        <v>129</v>
      </c>
      <c r="Z27" s="12">
        <f t="shared" si="17"/>
        <v>-4.1791126982453769E-3</v>
      </c>
      <c r="AA27" s="12">
        <f t="shared" si="18"/>
        <v>-4.452816347366842E-3</v>
      </c>
      <c r="AB27" s="12">
        <f t="shared" si="19"/>
        <v>-7.2640594519452206E-3</v>
      </c>
      <c r="AC27" s="12">
        <f t="shared" si="20"/>
        <v>-2.692525465046107E-3</v>
      </c>
      <c r="AD27" s="12">
        <f t="shared" si="21"/>
        <v>-6.7973043658474327E-3</v>
      </c>
      <c r="AE27" s="12">
        <f t="shared" si="22"/>
        <v>6.5197000427844265E-2</v>
      </c>
      <c r="AF27" s="12"/>
      <c r="AG27" s="12">
        <f t="shared" si="23"/>
        <v>1.3736352650778924E-2</v>
      </c>
      <c r="AH27" s="12">
        <f t="shared" si="24"/>
        <v>-6.4031554712765046E-3</v>
      </c>
      <c r="AI27" s="12">
        <f t="shared" si="25"/>
        <v>-1.318187890209814E-3</v>
      </c>
    </row>
    <row r="28" spans="1:35" ht="12.75" customHeight="1" x14ac:dyDescent="0.2">
      <c r="A28" s="3" t="s">
        <v>130</v>
      </c>
      <c r="B28" s="12">
        <f t="shared" ref="B28:K28" si="36">B11/B$13</f>
        <v>8.1038251956298241E-2</v>
      </c>
      <c r="C28" s="12">
        <f t="shared" si="36"/>
        <v>0.10373712015806974</v>
      </c>
      <c r="D28" s="12">
        <f t="shared" si="36"/>
        <v>0.12551084415435967</v>
      </c>
      <c r="E28" s="12">
        <f t="shared" si="36"/>
        <v>0.1247698052831793</v>
      </c>
      <c r="F28" s="12">
        <f t="shared" si="36"/>
        <v>7.5512521103406352E-2</v>
      </c>
      <c r="G28" s="12">
        <f t="shared" si="36"/>
        <v>8.2095378452193293E-2</v>
      </c>
      <c r="H28" s="12"/>
      <c r="I28" s="12">
        <f t="shared" si="36"/>
        <v>0.1090701654905676</v>
      </c>
      <c r="J28" s="12">
        <f t="shared" si="36"/>
        <v>0.14544219970133848</v>
      </c>
      <c r="K28" s="12">
        <f t="shared" si="36"/>
        <v>0.10220397047631502</v>
      </c>
      <c r="M28" s="3" t="s">
        <v>130</v>
      </c>
      <c r="N28" s="12">
        <f t="shared" ref="N28:W28" si="37">N11/N$13</f>
        <v>7.4892362047874403E-2</v>
      </c>
      <c r="O28" s="12">
        <f t="shared" si="37"/>
        <v>0.10865770817572784</v>
      </c>
      <c r="P28" s="12">
        <f t="shared" si="37"/>
        <v>0.13219830853483006</v>
      </c>
      <c r="Q28" s="12">
        <f t="shared" si="37"/>
        <v>0.12318079158339315</v>
      </c>
      <c r="R28" s="12">
        <f t="shared" si="37"/>
        <v>6.0721618862692145E-2</v>
      </c>
      <c r="S28" s="12">
        <f t="shared" si="37"/>
        <v>8.9690097162656593E-2</v>
      </c>
      <c r="T28" s="12"/>
      <c r="U28" s="12">
        <f t="shared" si="37"/>
        <v>0.13539333784150342</v>
      </c>
      <c r="V28" s="12">
        <f t="shared" si="37"/>
        <v>0.1518027668224336</v>
      </c>
      <c r="W28" s="12">
        <f t="shared" si="37"/>
        <v>9.9829748397641555E-2</v>
      </c>
      <c r="Y28" s="3" t="s">
        <v>130</v>
      </c>
      <c r="Z28" s="12">
        <f t="shared" si="17"/>
        <v>-6.1458899084238378E-3</v>
      </c>
      <c r="AA28" s="12">
        <f t="shared" si="18"/>
        <v>4.9205880176581007E-3</v>
      </c>
      <c r="AB28" s="12">
        <f t="shared" si="19"/>
        <v>6.6874643804703815E-3</v>
      </c>
      <c r="AC28" s="12">
        <f t="shared" si="20"/>
        <v>-1.5890136997861459E-3</v>
      </c>
      <c r="AD28" s="12">
        <f t="shared" si="21"/>
        <v>-1.4790902240714207E-2</v>
      </c>
      <c r="AE28" s="12">
        <f t="shared" si="22"/>
        <v>7.5947187104632996E-3</v>
      </c>
      <c r="AF28" s="12"/>
      <c r="AG28" s="12">
        <f t="shared" si="23"/>
        <v>2.6323172350935828E-2</v>
      </c>
      <c r="AH28" s="12">
        <f t="shared" si="24"/>
        <v>6.3605671210951176E-3</v>
      </c>
      <c r="AI28" s="12">
        <f t="shared" si="25"/>
        <v>-2.3742220786734658E-3</v>
      </c>
    </row>
    <row r="29" spans="1:35" ht="12.75" customHeight="1" x14ac:dyDescent="0.2">
      <c r="A29" s="8" t="s">
        <v>145</v>
      </c>
      <c r="B29" s="13">
        <f t="shared" ref="B29:K29" si="38">B12/B$13</f>
        <v>0.3359764085636065</v>
      </c>
      <c r="C29" s="13">
        <f t="shared" si="38"/>
        <v>0.34862068969227444</v>
      </c>
      <c r="D29" s="13">
        <f t="shared" si="38"/>
        <v>0.33716917891792497</v>
      </c>
      <c r="E29" s="13">
        <f t="shared" si="38"/>
        <v>0.35723755808116731</v>
      </c>
      <c r="F29" s="13">
        <f t="shared" si="38"/>
        <v>0.3152350512277472</v>
      </c>
      <c r="G29" s="13">
        <f t="shared" si="38"/>
        <v>0.43340215577072699</v>
      </c>
      <c r="H29" s="13"/>
      <c r="I29" s="13">
        <f t="shared" si="38"/>
        <v>0.40210662175485801</v>
      </c>
      <c r="J29" s="13">
        <f t="shared" si="38"/>
        <v>0.35759096749270164</v>
      </c>
      <c r="K29" s="13">
        <f t="shared" si="38"/>
        <v>0.35047737069418033</v>
      </c>
      <c r="M29" s="8" t="s">
        <v>145</v>
      </c>
      <c r="N29" s="13">
        <f t="shared" ref="N29:W29" si="39">N12/N$13</f>
        <v>0.32333960374450721</v>
      </c>
      <c r="O29" s="13">
        <f t="shared" si="39"/>
        <v>0.35714196582463092</v>
      </c>
      <c r="P29" s="13">
        <f t="shared" si="39"/>
        <v>0.36412918501358454</v>
      </c>
      <c r="Q29" s="13">
        <f t="shared" si="39"/>
        <v>0.3704741132237494</v>
      </c>
      <c r="R29" s="13">
        <f t="shared" si="39"/>
        <v>0.33910924158290756</v>
      </c>
      <c r="S29" s="13">
        <f t="shared" si="39"/>
        <v>0.39756729907198757</v>
      </c>
      <c r="T29" s="13"/>
      <c r="U29" s="13">
        <f t="shared" si="39"/>
        <v>0.40957642303445696</v>
      </c>
      <c r="V29" s="13">
        <f t="shared" si="39"/>
        <v>0.38077753152101268</v>
      </c>
      <c r="W29" s="13">
        <f t="shared" si="39"/>
        <v>0.35099344920561193</v>
      </c>
      <c r="Y29" s="8" t="s">
        <v>145</v>
      </c>
      <c r="Z29" s="12">
        <f t="shared" si="17"/>
        <v>-1.263680481909929E-2</v>
      </c>
      <c r="AA29" s="12">
        <f t="shared" si="18"/>
        <v>8.5212761323564812E-3</v>
      </c>
      <c r="AB29" s="12">
        <f t="shared" si="19"/>
        <v>2.6960006095659572E-2</v>
      </c>
      <c r="AC29" s="12">
        <f t="shared" si="20"/>
        <v>1.3236555142582096E-2</v>
      </c>
      <c r="AD29" s="12">
        <f t="shared" si="21"/>
        <v>2.3874190355160363E-2</v>
      </c>
      <c r="AE29" s="12">
        <f t="shared" si="22"/>
        <v>-3.5834856698739426E-2</v>
      </c>
      <c r="AF29" s="12"/>
      <c r="AG29" s="12">
        <f t="shared" si="23"/>
        <v>7.4698012795989532E-3</v>
      </c>
      <c r="AH29" s="12">
        <f t="shared" si="24"/>
        <v>2.3186564028311041E-2</v>
      </c>
      <c r="AI29" s="12">
        <f t="shared" si="25"/>
        <v>5.1607851143159467E-4</v>
      </c>
    </row>
    <row r="30" spans="1:35" ht="12.75" customHeight="1" thickBot="1" x14ac:dyDescent="0.25">
      <c r="A30" s="10" t="s">
        <v>221</v>
      </c>
      <c r="B30" s="14">
        <f t="shared" ref="B30:K30" si="40">B13/B$13</f>
        <v>1</v>
      </c>
      <c r="C30" s="14">
        <f t="shared" si="40"/>
        <v>1</v>
      </c>
      <c r="D30" s="14">
        <f t="shared" si="40"/>
        <v>1</v>
      </c>
      <c r="E30" s="14">
        <f t="shared" si="40"/>
        <v>1</v>
      </c>
      <c r="F30" s="14">
        <f t="shared" si="40"/>
        <v>1</v>
      </c>
      <c r="G30" s="14">
        <f t="shared" si="40"/>
        <v>1</v>
      </c>
      <c r="H30" s="14"/>
      <c r="I30" s="14">
        <f t="shared" si="40"/>
        <v>1</v>
      </c>
      <c r="J30" s="14">
        <f t="shared" si="40"/>
        <v>1</v>
      </c>
      <c r="K30" s="14">
        <f t="shared" si="40"/>
        <v>1</v>
      </c>
      <c r="M30" s="10" t="s">
        <v>221</v>
      </c>
      <c r="N30" s="14">
        <f t="shared" ref="N30:W30" si="41">N13/N$13</f>
        <v>1</v>
      </c>
      <c r="O30" s="14">
        <f t="shared" si="41"/>
        <v>1</v>
      </c>
      <c r="P30" s="14">
        <f t="shared" si="41"/>
        <v>1</v>
      </c>
      <c r="Q30" s="14">
        <f t="shared" si="41"/>
        <v>1</v>
      </c>
      <c r="R30" s="14">
        <f t="shared" si="41"/>
        <v>1</v>
      </c>
      <c r="S30" s="14">
        <f t="shared" si="41"/>
        <v>1</v>
      </c>
      <c r="T30" s="14"/>
      <c r="U30" s="14">
        <f t="shared" si="41"/>
        <v>1</v>
      </c>
      <c r="V30" s="14">
        <f t="shared" si="41"/>
        <v>1</v>
      </c>
      <c r="W30" s="14">
        <f t="shared" si="41"/>
        <v>1</v>
      </c>
      <c r="Y30" s="10" t="s">
        <v>221</v>
      </c>
      <c r="Z30" s="14">
        <f t="shared" si="17"/>
        <v>0</v>
      </c>
      <c r="AA30" s="14">
        <f t="shared" si="18"/>
        <v>0</v>
      </c>
      <c r="AB30" s="14">
        <f t="shared" si="19"/>
        <v>0</v>
      </c>
      <c r="AC30" s="14">
        <f t="shared" si="20"/>
        <v>0</v>
      </c>
      <c r="AD30" s="14">
        <f t="shared" si="21"/>
        <v>0</v>
      </c>
      <c r="AE30" s="14">
        <f t="shared" si="22"/>
        <v>0</v>
      </c>
      <c r="AF30" s="14"/>
      <c r="AG30" s="14">
        <f t="shared" si="23"/>
        <v>0</v>
      </c>
      <c r="AH30" s="14">
        <f t="shared" si="24"/>
        <v>0</v>
      </c>
      <c r="AI30" s="14">
        <f t="shared" si="25"/>
        <v>0</v>
      </c>
    </row>
    <row r="31" spans="1:35" ht="12.75" customHeight="1" x14ac:dyDescent="0.2"/>
    <row r="32" spans="1:35" ht="12.75" customHeight="1" x14ac:dyDescent="0.2"/>
    <row r="33" spans="1:32" ht="12.75" customHeight="1" x14ac:dyDescent="0.2"/>
    <row r="34" spans="1:32" ht="12.75" customHeight="1" x14ac:dyDescent="0.2"/>
    <row r="35" spans="1:32" ht="12.75" customHeight="1" x14ac:dyDescent="0.2">
      <c r="A35" s="2" t="s">
        <v>175</v>
      </c>
      <c r="I35"/>
      <c r="M35" s="2" t="s">
        <v>175</v>
      </c>
      <c r="Y35" s="2" t="s">
        <v>175</v>
      </c>
    </row>
    <row r="36" spans="1:32" ht="12.75" customHeight="1" x14ac:dyDescent="0.2">
      <c r="A36" s="2" t="s">
        <v>276</v>
      </c>
      <c r="I36"/>
      <c r="M36" s="2" t="s">
        <v>127</v>
      </c>
      <c r="Y36" s="218" t="s">
        <v>80</v>
      </c>
      <c r="Z36" s="218"/>
      <c r="AA36" s="218"/>
    </row>
    <row r="37" spans="1:32" ht="12.75" customHeight="1" thickBot="1" x14ac:dyDescent="0.25">
      <c r="B37" s="15"/>
      <c r="C37" s="15"/>
      <c r="D37" s="15"/>
      <c r="E37" s="15"/>
      <c r="F37" s="15"/>
      <c r="G37" s="15"/>
      <c r="H37" s="25"/>
      <c r="I37"/>
      <c r="N37" s="15"/>
      <c r="O37" s="15"/>
      <c r="P37" s="15"/>
      <c r="Q37" s="15"/>
      <c r="R37" s="15"/>
      <c r="S37" s="15"/>
      <c r="T37" s="25"/>
      <c r="Z37" s="15"/>
      <c r="AA37" s="15"/>
      <c r="AB37" s="15"/>
      <c r="AC37" s="15"/>
      <c r="AD37" s="15"/>
      <c r="AE37" s="15"/>
      <c r="AF37" s="25"/>
    </row>
    <row r="38" spans="1:32" ht="12.75" customHeight="1" x14ac:dyDescent="0.2">
      <c r="A38" s="5" t="s">
        <v>144</v>
      </c>
      <c r="B38" s="32" t="s">
        <v>296</v>
      </c>
      <c r="C38" s="32" t="s">
        <v>297</v>
      </c>
      <c r="D38" s="32" t="s">
        <v>298</v>
      </c>
      <c r="E38" s="32" t="s">
        <v>301</v>
      </c>
      <c r="F38" s="32" t="s">
        <v>172</v>
      </c>
      <c r="G38" s="32" t="s">
        <v>221</v>
      </c>
      <c r="H38" s="89"/>
      <c r="I38"/>
      <c r="M38" s="5" t="s">
        <v>144</v>
      </c>
      <c r="N38" s="32" t="s">
        <v>296</v>
      </c>
      <c r="O38" s="32" t="s">
        <v>297</v>
      </c>
      <c r="P38" s="32" t="s">
        <v>298</v>
      </c>
      <c r="Q38" s="32" t="s">
        <v>301</v>
      </c>
      <c r="R38" s="32" t="s">
        <v>172</v>
      </c>
      <c r="S38" s="32" t="s">
        <v>221</v>
      </c>
      <c r="T38" s="89"/>
      <c r="Y38" s="5" t="s">
        <v>144</v>
      </c>
      <c r="Z38" s="32" t="s">
        <v>296</v>
      </c>
      <c r="AA38" s="32" t="s">
        <v>297</v>
      </c>
      <c r="AB38" s="32" t="s">
        <v>298</v>
      </c>
      <c r="AC38" s="32" t="s">
        <v>301</v>
      </c>
      <c r="AD38" s="32" t="s">
        <v>172</v>
      </c>
      <c r="AE38" s="32" t="s">
        <v>221</v>
      </c>
      <c r="AF38" s="89"/>
    </row>
    <row r="39" spans="1:32" ht="12.75" customHeight="1" x14ac:dyDescent="0.2">
      <c r="A39" s="3" t="s">
        <v>210</v>
      </c>
      <c r="B39" s="7">
        <f>output_NHTS!B273</f>
        <v>24441.527850340499</v>
      </c>
      <c r="C39" s="7">
        <f>output_NHTS!C273</f>
        <v>463402.64472175849</v>
      </c>
      <c r="D39" s="7">
        <f>output_NHTS!D273</f>
        <v>336941.63324355509</v>
      </c>
      <c r="E39" s="7">
        <f>output_NHTS!E273</f>
        <v>1085021.8142721539</v>
      </c>
      <c r="F39" s="7"/>
      <c r="G39" s="7">
        <f>SUM(B39:E39)</f>
        <v>1909807.620087808</v>
      </c>
      <c r="H39" s="7"/>
      <c r="I39"/>
      <c r="M39" s="3" t="s">
        <v>210</v>
      </c>
      <c r="N39" s="7">
        <f>output!B273</f>
        <v>42910</v>
      </c>
      <c r="O39" s="7">
        <f>output!C273</f>
        <v>361440</v>
      </c>
      <c r="P39" s="7">
        <f>output!D273</f>
        <v>331893</v>
      </c>
      <c r="Q39" s="7">
        <f>output!E273</f>
        <v>1067570</v>
      </c>
      <c r="R39" s="7"/>
      <c r="S39" s="7">
        <f>SUM(N39:Q39)</f>
        <v>1803813</v>
      </c>
      <c r="T39" s="7"/>
      <c r="Y39" s="3" t="s">
        <v>210</v>
      </c>
      <c r="Z39" s="7">
        <f t="shared" ref="Z39:Z47" si="42">N39-B39</f>
        <v>18468.472149659501</v>
      </c>
      <c r="AA39" s="7">
        <f t="shared" ref="AA39:AA47" si="43">O39-C39</f>
        <v>-101962.64472175849</v>
      </c>
      <c r="AB39" s="7">
        <f t="shared" ref="AB39:AB47" si="44">P39-D39</f>
        <v>-5048.6332435550867</v>
      </c>
      <c r="AC39" s="7">
        <f t="shared" ref="AC39:AC47" si="45">Q39-E39</f>
        <v>-17451.81427215389</v>
      </c>
      <c r="AD39" s="7">
        <f t="shared" ref="AD39:AD47" si="46">R39-F39</f>
        <v>0</v>
      </c>
      <c r="AE39" s="7">
        <f t="shared" ref="AE39:AE47" si="47">S39-G39</f>
        <v>-105994.620087808</v>
      </c>
      <c r="AF39" s="7"/>
    </row>
    <row r="40" spans="1:32" ht="12.75" customHeight="1" x14ac:dyDescent="0.2">
      <c r="A40" s="3" t="s">
        <v>211</v>
      </c>
      <c r="B40" s="7">
        <f>output_NHTS!B274</f>
        <v>35198.674674611997</v>
      </c>
      <c r="C40" s="7">
        <f>output_NHTS!C274</f>
        <v>131492.3174612383</v>
      </c>
      <c r="D40" s="7">
        <f>output_NHTS!D274</f>
        <v>105976.9441172216</v>
      </c>
      <c r="E40" s="7">
        <f>output_NHTS!E274</f>
        <v>420631.46317895502</v>
      </c>
      <c r="F40" s="7"/>
      <c r="G40" s="7">
        <f t="shared" ref="G40:G47" si="48">SUM(B40:E40)</f>
        <v>693299.3994320269</v>
      </c>
      <c r="H40" s="7"/>
      <c r="I40"/>
      <c r="M40" s="3" t="s">
        <v>211</v>
      </c>
      <c r="N40" s="7">
        <f>output!B274</f>
        <v>40362</v>
      </c>
      <c r="O40" s="7">
        <f>output!C274</f>
        <v>124232</v>
      </c>
      <c r="P40" s="7">
        <f>output!D274</f>
        <v>90437</v>
      </c>
      <c r="Q40" s="7">
        <f>output!E274</f>
        <v>247925</v>
      </c>
      <c r="R40" s="7"/>
      <c r="S40" s="7">
        <f t="shared" ref="S40:S47" si="49">SUM(N40:Q40)</f>
        <v>502956</v>
      </c>
      <c r="T40" s="7"/>
      <c r="Y40" s="3" t="s">
        <v>211</v>
      </c>
      <c r="Z40" s="7">
        <f t="shared" si="42"/>
        <v>5163.325325388003</v>
      </c>
      <c r="AA40" s="7">
        <f t="shared" si="43"/>
        <v>-7260.3174612383009</v>
      </c>
      <c r="AB40" s="7">
        <f t="shared" si="44"/>
        <v>-15539.944117221603</v>
      </c>
      <c r="AC40" s="7">
        <f t="shared" si="45"/>
        <v>-172706.46317895502</v>
      </c>
      <c r="AD40" s="7">
        <f t="shared" si="46"/>
        <v>0</v>
      </c>
      <c r="AE40" s="7">
        <f t="shared" si="47"/>
        <v>-190343.3994320269</v>
      </c>
      <c r="AF40" s="7"/>
    </row>
    <row r="41" spans="1:32" ht="12.75" customHeight="1" x14ac:dyDescent="0.2">
      <c r="A41" s="3" t="s">
        <v>212</v>
      </c>
      <c r="B41" s="7">
        <f>output_NHTS!B275</f>
        <v>22744.875177341</v>
      </c>
      <c r="C41" s="7">
        <f>output_NHTS!C275</f>
        <v>197849.29208689419</v>
      </c>
      <c r="D41" s="7">
        <f>output_NHTS!D275</f>
        <v>167691.02174487259</v>
      </c>
      <c r="E41" s="7">
        <f>output_NHTS!E275</f>
        <v>602556.93647489953</v>
      </c>
      <c r="F41" s="7"/>
      <c r="G41" s="7">
        <f t="shared" si="48"/>
        <v>990842.12548400729</v>
      </c>
      <c r="H41" s="7"/>
      <c r="I41"/>
      <c r="M41" s="3" t="s">
        <v>212</v>
      </c>
      <c r="N41" s="7">
        <f>output!B275</f>
        <v>43295</v>
      </c>
      <c r="O41" s="7">
        <f>output!C275</f>
        <v>186746</v>
      </c>
      <c r="P41" s="7">
        <f>output!D275</f>
        <v>176784</v>
      </c>
      <c r="Q41" s="7">
        <f>output!E275</f>
        <v>524791</v>
      </c>
      <c r="R41" s="7"/>
      <c r="S41" s="7">
        <f t="shared" si="49"/>
        <v>931616</v>
      </c>
      <c r="T41" s="7"/>
      <c r="Y41" s="3" t="s">
        <v>212</v>
      </c>
      <c r="Z41" s="7">
        <f t="shared" si="42"/>
        <v>20550.124822659</v>
      </c>
      <c r="AA41" s="7">
        <f t="shared" si="43"/>
        <v>-11103.292086894187</v>
      </c>
      <c r="AB41" s="7">
        <f t="shared" si="44"/>
        <v>9092.9782551274111</v>
      </c>
      <c r="AC41" s="7">
        <f t="shared" si="45"/>
        <v>-77765.936474899529</v>
      </c>
      <c r="AD41" s="7">
        <f t="shared" si="46"/>
        <v>0</v>
      </c>
      <c r="AE41" s="7">
        <f t="shared" si="47"/>
        <v>-59226.125484007294</v>
      </c>
      <c r="AF41" s="7"/>
    </row>
    <row r="42" spans="1:32" ht="12.75" customHeight="1" x14ac:dyDescent="0.2">
      <c r="A42" s="3" t="s">
        <v>213</v>
      </c>
      <c r="B42" s="7">
        <f>output_NHTS!B276</f>
        <v>74841.892746743004</v>
      </c>
      <c r="C42" s="7">
        <f>output_NHTS!C276</f>
        <v>531678.27625737188</v>
      </c>
      <c r="D42" s="7">
        <f>output_NHTS!D276</f>
        <v>266684.16394236672</v>
      </c>
      <c r="E42" s="7">
        <f>output_NHTS!E276</f>
        <v>619809.94295713305</v>
      </c>
      <c r="F42" s="7"/>
      <c r="G42" s="7">
        <f t="shared" si="48"/>
        <v>1493014.2759036147</v>
      </c>
      <c r="H42" s="7"/>
      <c r="I42"/>
      <c r="M42" s="3" t="s">
        <v>213</v>
      </c>
      <c r="N42" s="7">
        <f>output!B276</f>
        <v>126648</v>
      </c>
      <c r="O42" s="7">
        <f>output!C276</f>
        <v>402299</v>
      </c>
      <c r="P42" s="7">
        <f>output!D276</f>
        <v>244016</v>
      </c>
      <c r="Q42" s="7">
        <f>output!E276</f>
        <v>594061</v>
      </c>
      <c r="R42" s="7"/>
      <c r="S42" s="7">
        <f t="shared" si="49"/>
        <v>1367024</v>
      </c>
      <c r="T42" s="7"/>
      <c r="Y42" s="3" t="s">
        <v>213</v>
      </c>
      <c r="Z42" s="7">
        <f t="shared" si="42"/>
        <v>51806.107253256996</v>
      </c>
      <c r="AA42" s="7">
        <f t="shared" si="43"/>
        <v>-129379.27625737188</v>
      </c>
      <c r="AB42" s="7">
        <f t="shared" si="44"/>
        <v>-22668.163942366722</v>
      </c>
      <c r="AC42" s="7">
        <f t="shared" si="45"/>
        <v>-25748.942957133055</v>
      </c>
      <c r="AD42" s="7">
        <f t="shared" si="46"/>
        <v>0</v>
      </c>
      <c r="AE42" s="7">
        <f t="shared" si="47"/>
        <v>-125990.2759036147</v>
      </c>
      <c r="AF42" s="7"/>
    </row>
    <row r="43" spans="1:32" ht="12.75" customHeight="1" x14ac:dyDescent="0.2">
      <c r="A43" s="3" t="s">
        <v>214</v>
      </c>
      <c r="B43" s="7">
        <f>output_NHTS!B277</f>
        <v>95195.978612688705</v>
      </c>
      <c r="C43" s="7">
        <f>output_NHTS!C277</f>
        <v>593723.97342853504</v>
      </c>
      <c r="D43" s="7">
        <f>output_NHTS!D277</f>
        <v>292269.81754428771</v>
      </c>
      <c r="E43" s="7">
        <f>output_NHTS!E277</f>
        <v>703407.01388201083</v>
      </c>
      <c r="F43" s="7"/>
      <c r="G43" s="7">
        <f t="shared" si="48"/>
        <v>1684596.7834675224</v>
      </c>
      <c r="H43" s="7"/>
      <c r="I43"/>
      <c r="M43" s="3" t="s">
        <v>214</v>
      </c>
      <c r="N43" s="7">
        <f>output!B277</f>
        <v>133658</v>
      </c>
      <c r="O43" s="7">
        <f>output!C277</f>
        <v>410377</v>
      </c>
      <c r="P43" s="7">
        <f>output!D277</f>
        <v>281970</v>
      </c>
      <c r="Q43" s="7">
        <f>output!E277</f>
        <v>719603</v>
      </c>
      <c r="R43" s="7"/>
      <c r="S43" s="7">
        <f t="shared" si="49"/>
        <v>1545608</v>
      </c>
      <c r="T43" s="7"/>
      <c r="Y43" s="3" t="s">
        <v>214</v>
      </c>
      <c r="Z43" s="7">
        <f t="shared" si="42"/>
        <v>38462.021387311295</v>
      </c>
      <c r="AA43" s="7">
        <f t="shared" si="43"/>
        <v>-183346.97342853504</v>
      </c>
      <c r="AB43" s="7">
        <f t="shared" si="44"/>
        <v>-10299.817544287711</v>
      </c>
      <c r="AC43" s="7">
        <f t="shared" si="45"/>
        <v>16195.986117989174</v>
      </c>
      <c r="AD43" s="7">
        <f t="shared" si="46"/>
        <v>0</v>
      </c>
      <c r="AE43" s="7">
        <f t="shared" si="47"/>
        <v>-138988.78346752236</v>
      </c>
      <c r="AF43" s="7"/>
    </row>
    <row r="44" spans="1:32" ht="12.75" customHeight="1" x14ac:dyDescent="0.2">
      <c r="A44" s="3" t="s">
        <v>129</v>
      </c>
      <c r="B44" s="7">
        <f>output_NHTS!B278</f>
        <v>33265.050017771697</v>
      </c>
      <c r="C44" s="7">
        <f>output_NHTS!C278</f>
        <v>183110.98485347239</v>
      </c>
      <c r="D44" s="7">
        <f>output_NHTS!D278</f>
        <v>130622.12953769461</v>
      </c>
      <c r="E44" s="7">
        <f>output_NHTS!E278</f>
        <v>335235.45814702113</v>
      </c>
      <c r="F44" s="7"/>
      <c r="G44" s="7">
        <f t="shared" si="48"/>
        <v>682233.62255595974</v>
      </c>
      <c r="H44" s="7"/>
      <c r="I44"/>
      <c r="M44" s="3" t="s">
        <v>129</v>
      </c>
      <c r="N44" s="7">
        <f>output!B278</f>
        <v>31746</v>
      </c>
      <c r="O44" s="7">
        <f>output!C278</f>
        <v>141393</v>
      </c>
      <c r="P44" s="7">
        <f>output!D278</f>
        <v>109439</v>
      </c>
      <c r="Q44" s="7">
        <f>output!E278</f>
        <v>308692</v>
      </c>
      <c r="R44" s="7"/>
      <c r="S44" s="7">
        <f t="shared" si="49"/>
        <v>591270</v>
      </c>
      <c r="T44" s="7"/>
      <c r="Y44" s="3" t="s">
        <v>129</v>
      </c>
      <c r="Z44" s="7">
        <f t="shared" si="42"/>
        <v>-1519.0500177716967</v>
      </c>
      <c r="AA44" s="7">
        <f t="shared" si="43"/>
        <v>-41717.984853472386</v>
      </c>
      <c r="AB44" s="7">
        <f t="shared" si="44"/>
        <v>-21183.129537694607</v>
      </c>
      <c r="AC44" s="7">
        <f t="shared" si="45"/>
        <v>-26543.458147021127</v>
      </c>
      <c r="AD44" s="7">
        <f t="shared" si="46"/>
        <v>0</v>
      </c>
      <c r="AE44" s="7">
        <f t="shared" si="47"/>
        <v>-90963.622555959737</v>
      </c>
      <c r="AF44" s="7"/>
    </row>
    <row r="45" spans="1:32" ht="12.75" customHeight="1" x14ac:dyDescent="0.2">
      <c r="A45" s="3" t="s">
        <v>130</v>
      </c>
      <c r="B45" s="7">
        <f>output_NHTS!B279</f>
        <v>45376.215729651798</v>
      </c>
      <c r="C45" s="7">
        <f>output_NHTS!C279</f>
        <v>307818.18251446879</v>
      </c>
      <c r="D45" s="7">
        <f>output_NHTS!D279</f>
        <v>292264.27189932333</v>
      </c>
      <c r="E45" s="7">
        <f>output_NHTS!E279</f>
        <v>744805.6503262691</v>
      </c>
      <c r="F45" s="7"/>
      <c r="G45" s="7">
        <f t="shared" si="48"/>
        <v>1390264.3204697128</v>
      </c>
      <c r="H45" s="7"/>
      <c r="I45"/>
      <c r="M45" s="3" t="s">
        <v>130</v>
      </c>
      <c r="N45" s="7">
        <f>output!B279</f>
        <v>73805</v>
      </c>
      <c r="O45" s="7">
        <f>output!C279</f>
        <v>299703</v>
      </c>
      <c r="P45" s="7">
        <f>output!D279</f>
        <v>226773</v>
      </c>
      <c r="Q45" s="7">
        <f>output!E279</f>
        <v>625289</v>
      </c>
      <c r="R45" s="7"/>
      <c r="S45" s="7">
        <f t="shared" si="49"/>
        <v>1225570</v>
      </c>
      <c r="T45" s="7"/>
      <c r="Y45" s="3" t="s">
        <v>130</v>
      </c>
      <c r="Z45" s="7">
        <f t="shared" si="42"/>
        <v>28428.784270348202</v>
      </c>
      <c r="AA45" s="7">
        <f t="shared" si="43"/>
        <v>-8115.18251446879</v>
      </c>
      <c r="AB45" s="7">
        <f t="shared" si="44"/>
        <v>-65491.271899323328</v>
      </c>
      <c r="AC45" s="7">
        <f t="shared" si="45"/>
        <v>-119516.6503262691</v>
      </c>
      <c r="AD45" s="7">
        <f t="shared" si="46"/>
        <v>0</v>
      </c>
      <c r="AE45" s="7">
        <f t="shared" si="47"/>
        <v>-164694.32046971284</v>
      </c>
      <c r="AF45" s="7"/>
    </row>
    <row r="46" spans="1:32" ht="12.75" customHeight="1" x14ac:dyDescent="0.2">
      <c r="A46" s="8" t="s">
        <v>145</v>
      </c>
      <c r="B46" s="7">
        <f>output_NHTS!B280</f>
        <v>170815.21336043009</v>
      </c>
      <c r="C46" s="7">
        <f>output_NHTS!C280</f>
        <v>1207930.8674529435</v>
      </c>
      <c r="D46" s="7">
        <f>output_NHTS!D280</f>
        <v>904055.37830845686</v>
      </c>
      <c r="E46" s="7">
        <f>output_NHTS!E280</f>
        <v>2520544.370368056</v>
      </c>
      <c r="F46" s="9"/>
      <c r="G46" s="9">
        <f t="shared" si="48"/>
        <v>4803345.8294898868</v>
      </c>
      <c r="H46" s="33"/>
      <c r="I46"/>
      <c r="M46" s="8" t="s">
        <v>145</v>
      </c>
      <c r="N46" s="9">
        <f>output!B280</f>
        <v>290049</v>
      </c>
      <c r="O46" s="9">
        <f>output!C280</f>
        <v>1073940</v>
      </c>
      <c r="P46" s="9">
        <f>output!D280</f>
        <v>797005</v>
      </c>
      <c r="Q46" s="9">
        <f>output!E280</f>
        <v>2148140</v>
      </c>
      <c r="R46" s="9"/>
      <c r="S46" s="9">
        <f t="shared" si="49"/>
        <v>4309134</v>
      </c>
      <c r="T46" s="33"/>
      <c r="Y46" s="8" t="s">
        <v>145</v>
      </c>
      <c r="Z46" s="9">
        <f t="shared" si="42"/>
        <v>119233.78663956991</v>
      </c>
      <c r="AA46" s="9">
        <f t="shared" si="43"/>
        <v>-133990.86745294346</v>
      </c>
      <c r="AB46" s="9">
        <f t="shared" si="44"/>
        <v>-107050.37830845686</v>
      </c>
      <c r="AC46" s="9">
        <f t="shared" si="45"/>
        <v>-372404.370368056</v>
      </c>
      <c r="AD46" s="9">
        <f t="shared" si="46"/>
        <v>0</v>
      </c>
      <c r="AE46" s="9">
        <f t="shared" si="47"/>
        <v>-494211.82948988676</v>
      </c>
      <c r="AF46" s="33"/>
    </row>
    <row r="47" spans="1:32" ht="13.5" thickBot="1" x14ac:dyDescent="0.25">
      <c r="A47" s="10" t="s">
        <v>221</v>
      </c>
      <c r="B47" s="11">
        <f>SUM(B39:B46)</f>
        <v>501879.42816957884</v>
      </c>
      <c r="C47" s="11">
        <f>SUM(C39:C46)</f>
        <v>3617006.5387766827</v>
      </c>
      <c r="D47" s="11">
        <f>SUM(D39:D46)</f>
        <v>2496505.3603377785</v>
      </c>
      <c r="E47" s="11">
        <f>SUM(E39:E46)</f>
        <v>7032012.649606498</v>
      </c>
      <c r="F47" s="11"/>
      <c r="G47" s="11">
        <f t="shared" si="48"/>
        <v>13647403.976890538</v>
      </c>
      <c r="H47" s="33"/>
      <c r="I47"/>
      <c r="M47" s="10" t="s">
        <v>221</v>
      </c>
      <c r="N47" s="11">
        <f>SUM(N39:N46)</f>
        <v>782473</v>
      </c>
      <c r="O47" s="11">
        <f>SUM(O39:O46)</f>
        <v>3000130</v>
      </c>
      <c r="P47" s="11">
        <f>SUM(P39:P46)</f>
        <v>2258317</v>
      </c>
      <c r="Q47" s="11">
        <f>SUM(Q39:Q46)</f>
        <v>6236071</v>
      </c>
      <c r="R47" s="11"/>
      <c r="S47" s="11">
        <f t="shared" si="49"/>
        <v>12276991</v>
      </c>
      <c r="T47" s="33"/>
      <c r="Y47" s="10" t="s">
        <v>221</v>
      </c>
      <c r="Z47" s="11">
        <f t="shared" si="42"/>
        <v>280593.57183042116</v>
      </c>
      <c r="AA47" s="11">
        <f t="shared" si="43"/>
        <v>-616876.53877668269</v>
      </c>
      <c r="AB47" s="11">
        <f t="shared" si="44"/>
        <v>-238188.36033777846</v>
      </c>
      <c r="AC47" s="11">
        <f t="shared" si="45"/>
        <v>-795941.64960649796</v>
      </c>
      <c r="AD47" s="11">
        <f t="shared" si="46"/>
        <v>0</v>
      </c>
      <c r="AE47" s="11">
        <f t="shared" si="47"/>
        <v>-1370412.9768905379</v>
      </c>
      <c r="AF47" s="33"/>
    </row>
    <row r="48" spans="1:32" x14ac:dyDescent="0.2">
      <c r="I48"/>
    </row>
    <row r="49" spans="1:32" x14ac:dyDescent="0.2">
      <c r="A49" s="25" t="s">
        <v>88</v>
      </c>
      <c r="B49" s="53">
        <f>ToursByTourPurpose!B50</f>
        <v>109619.83719999999</v>
      </c>
      <c r="C49" s="53">
        <f>ToursByTourPurpose!C50</f>
        <v>777862.39379999996</v>
      </c>
      <c r="D49" s="53">
        <f>ToursByTourPurpose!D50</f>
        <v>552181.23010000004</v>
      </c>
      <c r="E49" s="53">
        <f>ToursByTourPurpose!E50</f>
        <v>1584664.6214999999</v>
      </c>
      <c r="F49" s="7"/>
      <c r="G49" s="53">
        <f>ToursByTourPurpose!G50</f>
        <v>3024328.0825999998</v>
      </c>
      <c r="H49" s="53"/>
      <c r="I49"/>
      <c r="M49" s="25" t="s">
        <v>88</v>
      </c>
      <c r="N49" s="53">
        <f>ToursByTourPurpose!N50</f>
        <v>186668</v>
      </c>
      <c r="O49" s="53">
        <f>ToursByTourPurpose!O50</f>
        <v>693369</v>
      </c>
      <c r="P49" s="53">
        <f>ToursByTourPurpose!P50</f>
        <v>514282</v>
      </c>
      <c r="Q49" s="53">
        <f>ToursByTourPurpose!Q50</f>
        <v>1376608</v>
      </c>
      <c r="R49" s="53" t="e">
        <f>ToursByTourPurpose!#REF!</f>
        <v>#REF!</v>
      </c>
      <c r="S49" s="53">
        <f>ToursByTourPurpose!S50</f>
        <v>2770927</v>
      </c>
      <c r="T49" s="53"/>
      <c r="Y49" s="3" t="s">
        <v>88</v>
      </c>
      <c r="Z49" s="7">
        <f t="shared" ref="Z49:AC50" si="50">N49-B49</f>
        <v>77048.162800000006</v>
      </c>
      <c r="AA49" s="7">
        <f t="shared" si="50"/>
        <v>-84493.393799999962</v>
      </c>
      <c r="AB49" s="7">
        <f t="shared" si="50"/>
        <v>-37899.230100000044</v>
      </c>
      <c r="AC49" s="7">
        <f t="shared" si="50"/>
        <v>-208056.62149999989</v>
      </c>
      <c r="AD49" s="7"/>
      <c r="AE49" s="7">
        <f>S49-G49</f>
        <v>-253401.08259999985</v>
      </c>
      <c r="AF49" s="7"/>
    </row>
    <row r="50" spans="1:32" x14ac:dyDescent="0.2">
      <c r="A50" s="25" t="s">
        <v>91</v>
      </c>
      <c r="B50" s="38">
        <f t="shared" ref="B50:G50" si="51">B47/B49</f>
        <v>4.5783631958320301</v>
      </c>
      <c r="C50" s="38">
        <f t="shared" si="51"/>
        <v>4.6499311029897523</v>
      </c>
      <c r="D50" s="38">
        <f t="shared" si="51"/>
        <v>4.5211702684744663</v>
      </c>
      <c r="E50" s="38">
        <f t="shared" si="51"/>
        <v>4.4375400032280572</v>
      </c>
      <c r="F50" s="38" t="e">
        <f t="shared" si="51"/>
        <v>#DIV/0!</v>
      </c>
      <c r="G50" s="38">
        <f t="shared" si="51"/>
        <v>4.5125408368915894</v>
      </c>
      <c r="H50" s="38"/>
      <c r="I50"/>
      <c r="M50" s="25" t="s">
        <v>91</v>
      </c>
      <c r="N50" s="38">
        <f t="shared" ref="N50:S50" si="52">N47/N49</f>
        <v>4.1917897015021319</v>
      </c>
      <c r="O50" s="38">
        <f t="shared" si="52"/>
        <v>4.3268879918196514</v>
      </c>
      <c r="P50" s="38">
        <f t="shared" si="52"/>
        <v>4.3912036586930903</v>
      </c>
      <c r="Q50" s="38">
        <f t="shared" si="52"/>
        <v>4.5300267033171391</v>
      </c>
      <c r="R50" s="38" t="e">
        <f t="shared" si="52"/>
        <v>#REF!</v>
      </c>
      <c r="S50" s="38">
        <f t="shared" si="52"/>
        <v>4.4306439686068959</v>
      </c>
      <c r="T50" s="38"/>
      <c r="Y50" s="3" t="s">
        <v>91</v>
      </c>
      <c r="Z50" s="38">
        <f t="shared" si="50"/>
        <v>-0.38657349432989818</v>
      </c>
      <c r="AA50" s="38">
        <f t="shared" si="50"/>
        <v>-0.32304311117010087</v>
      </c>
      <c r="AB50" s="38">
        <f t="shared" si="50"/>
        <v>-0.12996660978137609</v>
      </c>
      <c r="AC50" s="38">
        <f t="shared" si="50"/>
        <v>9.2486700089081886E-2</v>
      </c>
      <c r="AD50" s="38"/>
      <c r="AE50" s="38">
        <f>S50-G50</f>
        <v>-8.1896868284693447E-2</v>
      </c>
      <c r="AF50" s="38"/>
    </row>
    <row r="51" spans="1:32" x14ac:dyDescent="0.2">
      <c r="I51"/>
    </row>
    <row r="52" spans="1:32" x14ac:dyDescent="0.2">
      <c r="A52" s="2" t="s">
        <v>175</v>
      </c>
      <c r="I52"/>
      <c r="M52" s="2" t="s">
        <v>175</v>
      </c>
      <c r="Y52" s="2" t="s">
        <v>175</v>
      </c>
    </row>
    <row r="53" spans="1:32" x14ac:dyDescent="0.2">
      <c r="A53" s="2" t="s">
        <v>277</v>
      </c>
      <c r="I53"/>
      <c r="M53" s="2" t="s">
        <v>135</v>
      </c>
      <c r="Y53" s="218" t="s">
        <v>108</v>
      </c>
      <c r="Z53" s="218"/>
      <c r="AA53" s="218"/>
    </row>
    <row r="54" spans="1:32" ht="13.5" thickBot="1" x14ac:dyDescent="0.25">
      <c r="B54" s="15"/>
      <c r="C54" s="15"/>
      <c r="D54" s="15"/>
      <c r="E54" s="15"/>
      <c r="F54" s="15"/>
      <c r="G54" s="15"/>
      <c r="H54" s="25"/>
      <c r="I54"/>
      <c r="N54" s="15"/>
      <c r="O54" s="15"/>
      <c r="P54" s="15"/>
      <c r="Q54" s="15"/>
      <c r="R54" s="15"/>
      <c r="S54" s="15"/>
      <c r="T54" s="25"/>
      <c r="Z54" s="15"/>
      <c r="AA54" s="15"/>
      <c r="AB54" s="15"/>
      <c r="AC54" s="15"/>
      <c r="AD54" s="15"/>
      <c r="AE54" s="15"/>
      <c r="AF54" s="25"/>
    </row>
    <row r="55" spans="1:32" x14ac:dyDescent="0.2">
      <c r="A55" s="5" t="s">
        <v>144</v>
      </c>
      <c r="B55" s="32" t="s">
        <v>296</v>
      </c>
      <c r="C55" s="32" t="s">
        <v>297</v>
      </c>
      <c r="D55" s="32" t="s">
        <v>298</v>
      </c>
      <c r="E55" s="32" t="s">
        <v>301</v>
      </c>
      <c r="F55" s="32" t="s">
        <v>172</v>
      </c>
      <c r="G55" s="32" t="s">
        <v>221</v>
      </c>
      <c r="H55" s="89"/>
      <c r="I55"/>
      <c r="M55" s="5" t="s">
        <v>144</v>
      </c>
      <c r="N55" s="32" t="s">
        <v>296</v>
      </c>
      <c r="O55" s="32" t="s">
        <v>297</v>
      </c>
      <c r="P55" s="32" t="s">
        <v>298</v>
      </c>
      <c r="Q55" s="32" t="s">
        <v>301</v>
      </c>
      <c r="R55" s="32" t="s">
        <v>172</v>
      </c>
      <c r="S55" s="32" t="s">
        <v>221</v>
      </c>
      <c r="T55" s="89"/>
      <c r="Y55" s="5" t="s">
        <v>144</v>
      </c>
      <c r="Z55" s="32" t="s">
        <v>296</v>
      </c>
      <c r="AA55" s="32" t="s">
        <v>297</v>
      </c>
      <c r="AB55" s="32" t="s">
        <v>298</v>
      </c>
      <c r="AC55" s="32" t="s">
        <v>301</v>
      </c>
      <c r="AD55" s="32" t="s">
        <v>172</v>
      </c>
      <c r="AE55" s="32" t="s">
        <v>221</v>
      </c>
      <c r="AF55" s="89"/>
    </row>
    <row r="56" spans="1:32" x14ac:dyDescent="0.2">
      <c r="A56" s="3" t="s">
        <v>210</v>
      </c>
      <c r="B56" s="12">
        <f t="shared" ref="B56:G56" si="53">B39/B$47</f>
        <v>4.8699999399222253E-2</v>
      </c>
      <c r="C56" s="12">
        <f t="shared" si="53"/>
        <v>0.12811772380109857</v>
      </c>
      <c r="D56" s="12">
        <f t="shared" si="53"/>
        <v>0.13496531535504763</v>
      </c>
      <c r="E56" s="12">
        <f t="shared" si="53"/>
        <v>0.1542974775980914</v>
      </c>
      <c r="F56" s="12" t="e">
        <f t="shared" si="53"/>
        <v>#DIV/0!</v>
      </c>
      <c r="G56" s="12">
        <f t="shared" si="53"/>
        <v>0.13993926048658992</v>
      </c>
      <c r="H56" s="12"/>
      <c r="I56"/>
      <c r="M56" s="3" t="s">
        <v>210</v>
      </c>
      <c r="N56" s="12">
        <f t="shared" ref="N56:Q64" si="54">N39/N$47</f>
        <v>5.4838952909557266E-2</v>
      </c>
      <c r="O56" s="12">
        <f t="shared" si="54"/>
        <v>0.12047477942622487</v>
      </c>
      <c r="P56" s="12">
        <f t="shared" si="54"/>
        <v>0.14696475295540884</v>
      </c>
      <c r="Q56" s="12">
        <f t="shared" si="54"/>
        <v>0.17119272695900992</v>
      </c>
      <c r="R56" s="12" t="e">
        <f t="shared" ref="R56:S64" si="55">R39/R$47</f>
        <v>#DIV/0!</v>
      </c>
      <c r="S56" s="12">
        <f t="shared" si="55"/>
        <v>0.1469263111783661</v>
      </c>
      <c r="T56" s="12"/>
      <c r="Y56" s="3" t="s">
        <v>210</v>
      </c>
      <c r="Z56" s="12">
        <f t="shared" ref="Z56:Z64" si="56">N56-B56</f>
        <v>6.1389535103350129E-3</v>
      </c>
      <c r="AA56" s="12">
        <f t="shared" ref="AA56:AA64" si="57">O56-C56</f>
        <v>-7.6429443748737003E-3</v>
      </c>
      <c r="AB56" s="12">
        <f t="shared" ref="AB56:AB64" si="58">P56-D56</f>
        <v>1.1999437600361207E-2</v>
      </c>
      <c r="AC56" s="12">
        <f t="shared" ref="AC56:AC64" si="59">Q56-E56</f>
        <v>1.6895249360918518E-2</v>
      </c>
      <c r="AD56" s="12"/>
      <c r="AE56" s="12">
        <f t="shared" ref="AE56:AE64" si="60">S56-G56</f>
        <v>6.9870506917761865E-3</v>
      </c>
      <c r="AF56" s="12"/>
    </row>
    <row r="57" spans="1:32" x14ac:dyDescent="0.2">
      <c r="A57" s="3" t="s">
        <v>211</v>
      </c>
      <c r="B57" s="12">
        <f t="shared" ref="B57:G57" si="61">B40/B$47</f>
        <v>7.0133726745856578E-2</v>
      </c>
      <c r="C57" s="12">
        <f t="shared" si="61"/>
        <v>3.6353906483594767E-2</v>
      </c>
      <c r="D57" s="12">
        <f t="shared" si="61"/>
        <v>4.2450116791611002E-2</v>
      </c>
      <c r="E57" s="12">
        <f t="shared" si="61"/>
        <v>5.9816653373411237E-2</v>
      </c>
      <c r="F57" s="12" t="e">
        <f t="shared" si="61"/>
        <v>#DIV/0!</v>
      </c>
      <c r="G57" s="12">
        <f t="shared" si="61"/>
        <v>5.080082634074632E-2</v>
      </c>
      <c r="H57" s="12"/>
      <c r="I57"/>
      <c r="M57" s="3" t="s">
        <v>211</v>
      </c>
      <c r="N57" s="12">
        <f t="shared" si="54"/>
        <v>5.1582610518190401E-2</v>
      </c>
      <c r="O57" s="12">
        <f t="shared" si="54"/>
        <v>4.1408872282201102E-2</v>
      </c>
      <c r="P57" s="12">
        <f t="shared" si="54"/>
        <v>4.0046193692028179E-2</v>
      </c>
      <c r="Q57" s="12">
        <f t="shared" si="54"/>
        <v>3.9756603156057717E-2</v>
      </c>
      <c r="R57" s="12" t="e">
        <f t="shared" si="55"/>
        <v>#DIV/0!</v>
      </c>
      <c r="S57" s="12">
        <f t="shared" si="55"/>
        <v>4.0967367329665716E-2</v>
      </c>
      <c r="T57" s="12"/>
      <c r="Y57" s="3" t="s">
        <v>211</v>
      </c>
      <c r="Z57" s="12">
        <f t="shared" si="56"/>
        <v>-1.8551116227666177E-2</v>
      </c>
      <c r="AA57" s="12">
        <f t="shared" si="57"/>
        <v>5.0549657986063354E-3</v>
      </c>
      <c r="AB57" s="12">
        <f t="shared" si="58"/>
        <v>-2.4039230995828234E-3</v>
      </c>
      <c r="AC57" s="12">
        <f t="shared" si="59"/>
        <v>-2.006005021735352E-2</v>
      </c>
      <c r="AD57" s="12"/>
      <c r="AE57" s="12">
        <f t="shared" si="60"/>
        <v>-9.8334590110806044E-3</v>
      </c>
      <c r="AF57" s="12"/>
    </row>
    <row r="58" spans="1:32" x14ac:dyDescent="0.2">
      <c r="A58" s="3" t="s">
        <v>212</v>
      </c>
      <c r="B58" s="12">
        <f t="shared" ref="B58:G58" si="62">B41/B$47</f>
        <v>4.5319401236059008E-2</v>
      </c>
      <c r="C58" s="12">
        <f t="shared" si="62"/>
        <v>5.4699733043283169E-2</v>
      </c>
      <c r="D58" s="12">
        <f t="shared" si="62"/>
        <v>6.7170303100083831E-2</v>
      </c>
      <c r="E58" s="12">
        <f t="shared" si="62"/>
        <v>8.5687692343474064E-2</v>
      </c>
      <c r="F58" s="12" t="e">
        <f t="shared" si="62"/>
        <v>#DIV/0!</v>
      </c>
      <c r="G58" s="12">
        <f t="shared" si="62"/>
        <v>7.2602974687480712E-2</v>
      </c>
      <c r="H58" s="12"/>
      <c r="I58"/>
      <c r="M58" s="3" t="s">
        <v>212</v>
      </c>
      <c r="N58" s="12">
        <f t="shared" si="54"/>
        <v>5.5330982666494562E-2</v>
      </c>
      <c r="O58" s="12">
        <f t="shared" si="54"/>
        <v>6.224596934132854E-2</v>
      </c>
      <c r="P58" s="12">
        <f t="shared" si="54"/>
        <v>7.8281304174746061E-2</v>
      </c>
      <c r="Q58" s="12">
        <f t="shared" si="54"/>
        <v>8.4154109213958592E-2</v>
      </c>
      <c r="R58" s="12" t="e">
        <f t="shared" si="55"/>
        <v>#DIV/0!</v>
      </c>
      <c r="S58" s="12">
        <f t="shared" si="55"/>
        <v>7.5883088942559296E-2</v>
      </c>
      <c r="T58" s="12"/>
      <c r="Y58" s="3" t="s">
        <v>212</v>
      </c>
      <c r="Z58" s="12">
        <f t="shared" si="56"/>
        <v>1.0011581430435554E-2</v>
      </c>
      <c r="AA58" s="12">
        <f t="shared" si="57"/>
        <v>7.5462362980453709E-3</v>
      </c>
      <c r="AB58" s="12">
        <f t="shared" si="58"/>
        <v>1.111100107466223E-2</v>
      </c>
      <c r="AC58" s="12">
        <f t="shared" si="59"/>
        <v>-1.5335831295154728E-3</v>
      </c>
      <c r="AD58" s="12"/>
      <c r="AE58" s="12">
        <f t="shared" si="60"/>
        <v>3.2801142550785839E-3</v>
      </c>
      <c r="AF58" s="12"/>
    </row>
    <row r="59" spans="1:32" x14ac:dyDescent="0.2">
      <c r="A59" s="3" t="s">
        <v>213</v>
      </c>
      <c r="B59" s="12">
        <f t="shared" ref="B59:G59" si="63">B42/B$47</f>
        <v>0.14912325261009673</v>
      </c>
      <c r="C59" s="12">
        <f t="shared" si="63"/>
        <v>0.14699400472667992</v>
      </c>
      <c r="D59" s="12">
        <f t="shared" si="63"/>
        <v>0.1068229887182314</v>
      </c>
      <c r="E59" s="12">
        <f t="shared" si="63"/>
        <v>8.8141187145307082E-2</v>
      </c>
      <c r="F59" s="12" t="e">
        <f t="shared" si="63"/>
        <v>#DIV/0!</v>
      </c>
      <c r="G59" s="12">
        <f t="shared" si="63"/>
        <v>0.10939914128956467</v>
      </c>
      <c r="H59" s="12"/>
      <c r="I59"/>
      <c r="M59" s="3" t="s">
        <v>213</v>
      </c>
      <c r="N59" s="12">
        <f t="shared" si="54"/>
        <v>0.16185606404310438</v>
      </c>
      <c r="O59" s="12">
        <f t="shared" si="54"/>
        <v>0.13409385593290957</v>
      </c>
      <c r="P59" s="12">
        <f t="shared" si="54"/>
        <v>0.10805214679781448</v>
      </c>
      <c r="Q59" s="12">
        <f t="shared" si="54"/>
        <v>9.5262064848203307E-2</v>
      </c>
      <c r="R59" s="12" t="e">
        <f t="shared" si="55"/>
        <v>#DIV/0!</v>
      </c>
      <c r="S59" s="12">
        <f t="shared" si="55"/>
        <v>0.11134845663729818</v>
      </c>
      <c r="T59" s="12"/>
      <c r="Y59" s="3" t="s">
        <v>213</v>
      </c>
      <c r="Z59" s="12">
        <f t="shared" si="56"/>
        <v>1.273281143300764E-2</v>
      </c>
      <c r="AA59" s="12">
        <f t="shared" si="57"/>
        <v>-1.2900148793770355E-2</v>
      </c>
      <c r="AB59" s="12">
        <f t="shared" si="58"/>
        <v>1.2291580795830842E-3</v>
      </c>
      <c r="AC59" s="12">
        <f t="shared" si="59"/>
        <v>7.120877702896225E-3</v>
      </c>
      <c r="AD59" s="12"/>
      <c r="AE59" s="12">
        <f t="shared" si="60"/>
        <v>1.9493153477335157E-3</v>
      </c>
      <c r="AF59" s="12"/>
    </row>
    <row r="60" spans="1:32" x14ac:dyDescent="0.2">
      <c r="A60" s="3" t="s">
        <v>214</v>
      </c>
      <c r="B60" s="12">
        <f t="shared" ref="B60:G60" si="64">B43/B$47</f>
        <v>0.1896789811845469</v>
      </c>
      <c r="C60" s="12">
        <f t="shared" si="64"/>
        <v>0.16414788501580646</v>
      </c>
      <c r="D60" s="12">
        <f t="shared" si="64"/>
        <v>0.11707157620712798</v>
      </c>
      <c r="E60" s="12">
        <f t="shared" si="64"/>
        <v>0.1000292588952286</v>
      </c>
      <c r="F60" s="12" t="e">
        <f t="shared" si="64"/>
        <v>#DIV/0!</v>
      </c>
      <c r="G60" s="12">
        <f t="shared" si="64"/>
        <v>0.12343715964736507</v>
      </c>
      <c r="H60" s="12"/>
      <c r="I60"/>
      <c r="M60" s="3" t="s">
        <v>214</v>
      </c>
      <c r="N60" s="12">
        <f t="shared" si="54"/>
        <v>0.17081483961746924</v>
      </c>
      <c r="O60" s="12">
        <f t="shared" si="54"/>
        <v>0.13678640592241004</v>
      </c>
      <c r="P60" s="12">
        <f t="shared" si="54"/>
        <v>0.12485846761105726</v>
      </c>
      <c r="Q60" s="12">
        <f t="shared" si="54"/>
        <v>0.1153936509061555</v>
      </c>
      <c r="R60" s="12" t="e">
        <f t="shared" si="55"/>
        <v>#DIV/0!</v>
      </c>
      <c r="S60" s="12">
        <f t="shared" si="55"/>
        <v>0.12589469194854017</v>
      </c>
      <c r="T60" s="12"/>
      <c r="Y60" s="3" t="s">
        <v>214</v>
      </c>
      <c r="Z60" s="12">
        <f t="shared" si="56"/>
        <v>-1.8864141567077664E-2</v>
      </c>
      <c r="AA60" s="12">
        <f t="shared" si="57"/>
        <v>-2.7361479093396424E-2</v>
      </c>
      <c r="AB60" s="12">
        <f t="shared" si="58"/>
        <v>7.786891403929283E-3</v>
      </c>
      <c r="AC60" s="12">
        <f t="shared" si="59"/>
        <v>1.5364392010926903E-2</v>
      </c>
      <c r="AD60" s="12"/>
      <c r="AE60" s="12">
        <f t="shared" si="60"/>
        <v>2.4575323011750971E-3</v>
      </c>
      <c r="AF60" s="12"/>
    </row>
    <row r="61" spans="1:32" x14ac:dyDescent="0.2">
      <c r="A61" s="3" t="s">
        <v>129</v>
      </c>
      <c r="B61" s="12">
        <f t="shared" ref="B61:G61" si="65">B44/B$47</f>
        <v>6.628095943102065E-2</v>
      </c>
      <c r="C61" s="12">
        <f t="shared" si="65"/>
        <v>5.0625007970099729E-2</v>
      </c>
      <c r="D61" s="12">
        <f t="shared" si="65"/>
        <v>5.2321990416243837E-2</v>
      </c>
      <c r="E61" s="12">
        <f t="shared" si="65"/>
        <v>4.7672760964925232E-2</v>
      </c>
      <c r="F61" s="12" t="e">
        <f t="shared" si="65"/>
        <v>#DIV/0!</v>
      </c>
      <c r="G61" s="12">
        <f t="shared" si="65"/>
        <v>4.9989992507820651E-2</v>
      </c>
      <c r="H61" s="12"/>
      <c r="I61"/>
      <c r="M61" s="3" t="s">
        <v>129</v>
      </c>
      <c r="N61" s="12">
        <f t="shared" si="54"/>
        <v>4.0571367957744228E-2</v>
      </c>
      <c r="O61" s="12">
        <f t="shared" si="54"/>
        <v>4.7128957745164374E-2</v>
      </c>
      <c r="P61" s="12">
        <f t="shared" si="54"/>
        <v>4.8460424289415528E-2</v>
      </c>
      <c r="Q61" s="12">
        <f t="shared" si="54"/>
        <v>4.9501039997780653E-2</v>
      </c>
      <c r="R61" s="12" t="e">
        <f t="shared" si="55"/>
        <v>#DIV/0!</v>
      </c>
      <c r="S61" s="12">
        <f t="shared" si="55"/>
        <v>4.8160823771883521E-2</v>
      </c>
      <c r="T61" s="12"/>
      <c r="Y61" s="3" t="s">
        <v>129</v>
      </c>
      <c r="Z61" s="12">
        <f t="shared" si="56"/>
        <v>-2.5709591473276422E-2</v>
      </c>
      <c r="AA61" s="12">
        <f t="shared" si="57"/>
        <v>-3.4960502249353556E-3</v>
      </c>
      <c r="AB61" s="12">
        <f t="shared" si="58"/>
        <v>-3.8615661268283086E-3</v>
      </c>
      <c r="AC61" s="12">
        <f t="shared" si="59"/>
        <v>1.8282790328554219E-3</v>
      </c>
      <c r="AD61" s="12"/>
      <c r="AE61" s="12">
        <f t="shared" si="60"/>
        <v>-1.8291687359371298E-3</v>
      </c>
      <c r="AF61" s="12"/>
    </row>
    <row r="62" spans="1:32" x14ac:dyDescent="0.2">
      <c r="A62" s="3" t="s">
        <v>130</v>
      </c>
      <c r="B62" s="12">
        <f t="shared" ref="B62:G62" si="66">B45/B$47</f>
        <v>9.0412583546500211E-2</v>
      </c>
      <c r="C62" s="12">
        <f t="shared" si="66"/>
        <v>8.5103020747807873E-2</v>
      </c>
      <c r="D62" s="12">
        <f t="shared" si="66"/>
        <v>0.11706935484399673</v>
      </c>
      <c r="E62" s="12">
        <f t="shared" si="66"/>
        <v>0.1059164264114268</v>
      </c>
      <c r="F62" s="12" t="e">
        <f t="shared" si="66"/>
        <v>#DIV/0!</v>
      </c>
      <c r="G62" s="12">
        <f t="shared" si="66"/>
        <v>0.10187024014412406</v>
      </c>
      <c r="H62" s="12"/>
      <c r="I62"/>
      <c r="M62" s="3" t="s">
        <v>130</v>
      </c>
      <c r="N62" s="12">
        <f t="shared" si="54"/>
        <v>9.4322743404564757E-2</v>
      </c>
      <c r="O62" s="12">
        <f t="shared" si="54"/>
        <v>9.989667114425041E-2</v>
      </c>
      <c r="P62" s="12">
        <f t="shared" si="54"/>
        <v>0.10041681482271975</v>
      </c>
      <c r="Q62" s="12">
        <f t="shared" si="54"/>
        <v>0.10026970507551951</v>
      </c>
      <c r="R62" s="12" t="e">
        <f t="shared" si="55"/>
        <v>#DIV/0!</v>
      </c>
      <c r="S62" s="12">
        <f t="shared" si="55"/>
        <v>9.9826578027140359E-2</v>
      </c>
      <c r="T62" s="12"/>
      <c r="Y62" s="3" t="s">
        <v>130</v>
      </c>
      <c r="Z62" s="12">
        <f t="shared" si="56"/>
        <v>3.9101598580645464E-3</v>
      </c>
      <c r="AA62" s="12">
        <f t="shared" si="57"/>
        <v>1.4793650396442537E-2</v>
      </c>
      <c r="AB62" s="12">
        <f t="shared" si="58"/>
        <v>-1.6652540021276988E-2</v>
      </c>
      <c r="AC62" s="12">
        <f t="shared" si="59"/>
        <v>-5.6467213359072954E-3</v>
      </c>
      <c r="AD62" s="12"/>
      <c r="AE62" s="12">
        <f t="shared" si="60"/>
        <v>-2.0436621169837021E-3</v>
      </c>
      <c r="AF62" s="12"/>
    </row>
    <row r="63" spans="1:32" x14ac:dyDescent="0.2">
      <c r="A63" s="8" t="s">
        <v>145</v>
      </c>
      <c r="B63" s="13">
        <f t="shared" ref="B63:G63" si="67">B46/B$47</f>
        <v>0.34035109584669754</v>
      </c>
      <c r="C63" s="13">
        <f t="shared" si="67"/>
        <v>0.33395871821162948</v>
      </c>
      <c r="D63" s="13">
        <f t="shared" si="67"/>
        <v>0.36212835456765763</v>
      </c>
      <c r="E63" s="13">
        <f t="shared" si="67"/>
        <v>0.35843854326813568</v>
      </c>
      <c r="F63" s="13" t="e">
        <f t="shared" si="67"/>
        <v>#DIV/0!</v>
      </c>
      <c r="G63" s="13">
        <f t="shared" si="67"/>
        <v>0.35196040489630864</v>
      </c>
      <c r="H63" s="34"/>
      <c r="I63"/>
      <c r="M63" s="8" t="s">
        <v>145</v>
      </c>
      <c r="N63" s="13">
        <f t="shared" si="54"/>
        <v>0.37068243888287516</v>
      </c>
      <c r="O63" s="13">
        <f t="shared" si="54"/>
        <v>0.35796448820551108</v>
      </c>
      <c r="P63" s="13">
        <f t="shared" si="54"/>
        <v>0.35291989565680992</v>
      </c>
      <c r="Q63" s="13">
        <f t="shared" si="54"/>
        <v>0.34447009984331478</v>
      </c>
      <c r="R63" s="13" t="e">
        <f t="shared" si="55"/>
        <v>#DIV/0!</v>
      </c>
      <c r="S63" s="13">
        <f t="shared" si="55"/>
        <v>0.35099268216454665</v>
      </c>
      <c r="T63" s="34"/>
      <c r="Y63" s="8" t="s">
        <v>145</v>
      </c>
      <c r="Z63" s="12">
        <f t="shared" si="56"/>
        <v>3.0331343036177627E-2</v>
      </c>
      <c r="AA63" s="12">
        <f t="shared" si="57"/>
        <v>2.4005769993881598E-2</v>
      </c>
      <c r="AB63" s="12">
        <f t="shared" si="58"/>
        <v>-9.2084589108477055E-3</v>
      </c>
      <c r="AC63" s="12">
        <f t="shared" si="59"/>
        <v>-1.3968443424820898E-2</v>
      </c>
      <c r="AD63" s="12"/>
      <c r="AE63" s="12">
        <f t="shared" si="60"/>
        <v>-9.6772273176198853E-4</v>
      </c>
      <c r="AF63" s="12"/>
    </row>
    <row r="64" spans="1:32" ht="13.5" thickBot="1" x14ac:dyDescent="0.25">
      <c r="A64" s="10" t="s">
        <v>221</v>
      </c>
      <c r="B64" s="17">
        <f t="shared" ref="B64:G64" si="68">B47/B$47</f>
        <v>1</v>
      </c>
      <c r="C64" s="17">
        <f t="shared" si="68"/>
        <v>1</v>
      </c>
      <c r="D64" s="17">
        <f t="shared" si="68"/>
        <v>1</v>
      </c>
      <c r="E64" s="17">
        <f t="shared" si="68"/>
        <v>1</v>
      </c>
      <c r="F64" s="17" t="e">
        <f t="shared" si="68"/>
        <v>#DIV/0!</v>
      </c>
      <c r="G64" s="17">
        <f t="shared" si="68"/>
        <v>1</v>
      </c>
      <c r="H64" s="34"/>
      <c r="I64"/>
      <c r="M64" s="10" t="s">
        <v>221</v>
      </c>
      <c r="N64" s="17">
        <f t="shared" si="54"/>
        <v>1</v>
      </c>
      <c r="O64" s="17">
        <f t="shared" si="54"/>
        <v>1</v>
      </c>
      <c r="P64" s="17">
        <f t="shared" si="54"/>
        <v>1</v>
      </c>
      <c r="Q64" s="17">
        <f t="shared" si="54"/>
        <v>1</v>
      </c>
      <c r="R64" s="17" t="e">
        <f t="shared" si="55"/>
        <v>#DIV/0!</v>
      </c>
      <c r="S64" s="17">
        <f t="shared" si="55"/>
        <v>1</v>
      </c>
      <c r="T64" s="34"/>
      <c r="Y64" s="10" t="s">
        <v>221</v>
      </c>
      <c r="Z64" s="14">
        <f t="shared" si="56"/>
        <v>0</v>
      </c>
      <c r="AA64" s="14">
        <f t="shared" si="57"/>
        <v>0</v>
      </c>
      <c r="AB64" s="14">
        <f t="shared" si="58"/>
        <v>0</v>
      </c>
      <c r="AC64" s="14">
        <f t="shared" si="59"/>
        <v>0</v>
      </c>
      <c r="AD64" s="14"/>
      <c r="AE64" s="14">
        <f t="shared" si="60"/>
        <v>0</v>
      </c>
      <c r="AF64" s="34"/>
    </row>
    <row r="65" spans="1:41" x14ac:dyDescent="0.2">
      <c r="I65"/>
    </row>
    <row r="66" spans="1:41" x14ac:dyDescent="0.2">
      <c r="I66"/>
    </row>
    <row r="67" spans="1:41" x14ac:dyDescent="0.2">
      <c r="I67"/>
    </row>
    <row r="68" spans="1:41" x14ac:dyDescent="0.2">
      <c r="I68"/>
      <c r="AG68"/>
      <c r="AH68"/>
      <c r="AI68"/>
      <c r="AJ68"/>
      <c r="AK68"/>
      <c r="AL68"/>
      <c r="AM68"/>
      <c r="AN68"/>
      <c r="AO68"/>
    </row>
    <row r="69" spans="1:41" x14ac:dyDescent="0.2">
      <c r="A69" s="2" t="s">
        <v>175</v>
      </c>
      <c r="I69"/>
      <c r="M69" s="2" t="s">
        <v>175</v>
      </c>
      <c r="Y69" s="2" t="s">
        <v>175</v>
      </c>
      <c r="AG69"/>
      <c r="AH69"/>
      <c r="AI69"/>
      <c r="AJ69"/>
      <c r="AK69"/>
      <c r="AL69"/>
      <c r="AM69"/>
      <c r="AN69"/>
      <c r="AO69"/>
    </row>
    <row r="70" spans="1:41" x14ac:dyDescent="0.2">
      <c r="A70" s="2" t="s">
        <v>193</v>
      </c>
      <c r="I70"/>
      <c r="M70" s="2" t="s">
        <v>136</v>
      </c>
      <c r="Y70" s="218" t="s">
        <v>251</v>
      </c>
      <c r="Z70" s="218"/>
      <c r="AA70" s="218"/>
      <c r="AB70" s="218"/>
      <c r="AG70"/>
      <c r="AH70"/>
      <c r="AI70"/>
      <c r="AJ70"/>
      <c r="AK70"/>
      <c r="AL70"/>
      <c r="AM70"/>
      <c r="AN70"/>
      <c r="AO70"/>
    </row>
    <row r="71" spans="1:41" ht="13.5" thickBot="1" x14ac:dyDescent="0.25">
      <c r="B71" s="15"/>
      <c r="C71" s="15"/>
      <c r="D71" s="15"/>
      <c r="E71" s="15"/>
      <c r="F71" s="15"/>
      <c r="N71" s="15"/>
      <c r="O71" s="15"/>
      <c r="P71" s="15"/>
      <c r="Q71" s="15"/>
      <c r="R71" s="15"/>
      <c r="Z71" s="15"/>
      <c r="AA71" s="15"/>
      <c r="AB71" s="15"/>
      <c r="AC71" s="15"/>
      <c r="AD71" s="15"/>
      <c r="AG71"/>
      <c r="AH71"/>
      <c r="AI71"/>
      <c r="AJ71"/>
      <c r="AK71"/>
      <c r="AL71"/>
      <c r="AM71"/>
      <c r="AN71"/>
      <c r="AO71"/>
    </row>
    <row r="72" spans="1:41" x14ac:dyDescent="0.2">
      <c r="A72" s="5" t="s">
        <v>144</v>
      </c>
      <c r="B72" s="6" t="s">
        <v>98</v>
      </c>
      <c r="C72" s="6" t="s">
        <v>99</v>
      </c>
      <c r="D72" s="6" t="s">
        <v>100</v>
      </c>
      <c r="E72" s="6" t="s">
        <v>101</v>
      </c>
      <c r="F72" s="6" t="s">
        <v>221</v>
      </c>
      <c r="M72" s="5" t="s">
        <v>144</v>
      </c>
      <c r="N72" s="6" t="s">
        <v>98</v>
      </c>
      <c r="O72" s="6" t="s">
        <v>99</v>
      </c>
      <c r="P72" s="6" t="s">
        <v>100</v>
      </c>
      <c r="Q72" s="6" t="s">
        <v>101</v>
      </c>
      <c r="R72" s="6" t="s">
        <v>221</v>
      </c>
      <c r="Y72" s="5" t="s">
        <v>144</v>
      </c>
      <c r="Z72" s="6" t="s">
        <v>98</v>
      </c>
      <c r="AA72" s="6" t="s">
        <v>99</v>
      </c>
      <c r="AB72" s="6" t="s">
        <v>100</v>
      </c>
      <c r="AC72" s="6" t="s">
        <v>101</v>
      </c>
      <c r="AD72" s="6" t="s">
        <v>221</v>
      </c>
      <c r="AG72"/>
      <c r="AH72"/>
      <c r="AI72"/>
      <c r="AJ72"/>
      <c r="AK72"/>
      <c r="AL72"/>
      <c r="AM72"/>
      <c r="AN72"/>
      <c r="AO72"/>
    </row>
    <row r="73" spans="1:41" x14ac:dyDescent="0.2">
      <c r="A73" s="3" t="s">
        <v>210</v>
      </c>
      <c r="B73" s="7">
        <f>output_NHTS!B284</f>
        <v>69710.642980502103</v>
      </c>
      <c r="C73" s="7">
        <f>output_NHTS!C284</f>
        <v>459403.7797654898</v>
      </c>
      <c r="D73" s="7">
        <f>output_NHTS!D284</f>
        <v>1097125.4103799304</v>
      </c>
      <c r="E73" s="7">
        <f>output_NHTS!E284</f>
        <v>413423.37568350881</v>
      </c>
      <c r="F73" s="7">
        <f>output_NHTS!F284</f>
        <v>2039663.2088094312</v>
      </c>
      <c r="M73" s="3" t="s">
        <v>210</v>
      </c>
      <c r="N73" s="7">
        <f>output!B284</f>
        <v>60287</v>
      </c>
      <c r="O73" s="7">
        <f>output!C284</f>
        <v>421364</v>
      </c>
      <c r="P73" s="7">
        <f>output!D284</f>
        <v>1011927</v>
      </c>
      <c r="Q73" s="7">
        <f>output!E284</f>
        <v>310631</v>
      </c>
      <c r="R73" s="7">
        <f>output!F284</f>
        <v>1804209</v>
      </c>
      <c r="Y73" s="3" t="s">
        <v>210</v>
      </c>
      <c r="Z73" s="7">
        <f t="shared" ref="Z73:Z81" si="69">N73-B73</f>
        <v>-9423.6429805021035</v>
      </c>
      <c r="AA73" s="7">
        <f t="shared" ref="AA73:AA81" si="70">O73-C73</f>
        <v>-38039.779765489802</v>
      </c>
      <c r="AB73" s="7">
        <f t="shared" ref="AB73:AB81" si="71">P73-D73</f>
        <v>-85198.410379930399</v>
      </c>
      <c r="AC73" s="7">
        <f t="shared" ref="AC73:AC81" si="72">Q73-E73</f>
        <v>-102792.37568350881</v>
      </c>
      <c r="AD73" s="7">
        <f t="shared" ref="AD73:AD81" si="73">R73-F73</f>
        <v>-235454.20880943118</v>
      </c>
      <c r="AG73"/>
      <c r="AH73"/>
      <c r="AI73"/>
      <c r="AJ73"/>
      <c r="AK73"/>
      <c r="AL73"/>
      <c r="AM73"/>
      <c r="AN73"/>
      <c r="AO73"/>
    </row>
    <row r="74" spans="1:41" x14ac:dyDescent="0.2">
      <c r="A74" s="3" t="s">
        <v>211</v>
      </c>
      <c r="B74" s="7">
        <f>output_NHTS!B285</f>
        <v>42064.185383719203</v>
      </c>
      <c r="C74" s="7">
        <f>output_NHTS!C285</f>
        <v>195692.6687640514</v>
      </c>
      <c r="D74" s="7">
        <f>output_NHTS!D285</f>
        <v>388079.2838600105</v>
      </c>
      <c r="E74" s="7">
        <f>output_NHTS!E285</f>
        <v>144709.95359997099</v>
      </c>
      <c r="F74" s="7">
        <f>output_NHTS!F285</f>
        <v>770546.09160775214</v>
      </c>
      <c r="M74" s="3" t="s">
        <v>211</v>
      </c>
      <c r="N74" s="7">
        <f>output!B285</f>
        <v>23150</v>
      </c>
      <c r="O74" s="7">
        <f>output!C285</f>
        <v>173905</v>
      </c>
      <c r="P74" s="7">
        <f>output!D285</f>
        <v>241266</v>
      </c>
      <c r="Q74" s="7">
        <f>output!E285</f>
        <v>64789</v>
      </c>
      <c r="R74" s="7">
        <f>output!F285</f>
        <v>503110</v>
      </c>
      <c r="Y74" s="3" t="s">
        <v>211</v>
      </c>
      <c r="Z74" s="7">
        <f t="shared" si="69"/>
        <v>-18914.185383719203</v>
      </c>
      <c r="AA74" s="7">
        <f t="shared" si="70"/>
        <v>-21787.668764051399</v>
      </c>
      <c r="AB74" s="7">
        <f t="shared" si="71"/>
        <v>-146813.2838600105</v>
      </c>
      <c r="AC74" s="7">
        <f t="shared" si="72"/>
        <v>-79920.953599970991</v>
      </c>
      <c r="AD74" s="7">
        <f t="shared" si="73"/>
        <v>-267436.09160775214</v>
      </c>
      <c r="AG74"/>
      <c r="AH74"/>
      <c r="AI74"/>
      <c r="AJ74"/>
      <c r="AK74"/>
      <c r="AL74"/>
      <c r="AM74"/>
      <c r="AN74"/>
      <c r="AO74"/>
    </row>
    <row r="75" spans="1:41" x14ac:dyDescent="0.2">
      <c r="A75" s="3" t="s">
        <v>212</v>
      </c>
      <c r="B75" s="7">
        <f>output_NHTS!B286</f>
        <v>4474.8467739469997</v>
      </c>
      <c r="C75" s="7">
        <f>output_NHTS!C286</f>
        <v>261579.80422150681</v>
      </c>
      <c r="D75" s="7">
        <f>output_NHTS!D286</f>
        <v>632055.72079324198</v>
      </c>
      <c r="E75" s="7">
        <f>output_NHTS!E286</f>
        <v>162152.16702998709</v>
      </c>
      <c r="F75" s="7">
        <f>output_NHTS!F286</f>
        <v>1060262.538818683</v>
      </c>
      <c r="M75" s="3" t="s">
        <v>212</v>
      </c>
      <c r="N75" s="7">
        <f>output!B286</f>
        <v>25387</v>
      </c>
      <c r="O75" s="7">
        <f>output!C286</f>
        <v>266788</v>
      </c>
      <c r="P75" s="7">
        <f>output!D286</f>
        <v>498156</v>
      </c>
      <c r="Q75" s="7">
        <f>output!E286</f>
        <v>141492</v>
      </c>
      <c r="R75" s="7">
        <f>output!F286</f>
        <v>931823</v>
      </c>
      <c r="Y75" s="3" t="s">
        <v>212</v>
      </c>
      <c r="Z75" s="7">
        <f t="shared" si="69"/>
        <v>20912.153226053</v>
      </c>
      <c r="AA75" s="7">
        <f t="shared" si="70"/>
        <v>5208.1957784931874</v>
      </c>
      <c r="AB75" s="7">
        <f t="shared" si="71"/>
        <v>-133899.72079324198</v>
      </c>
      <c r="AC75" s="7">
        <f t="shared" si="72"/>
        <v>-20660.167029987089</v>
      </c>
      <c r="AD75" s="7">
        <f t="shared" si="73"/>
        <v>-128439.53881868301</v>
      </c>
      <c r="AG75"/>
      <c r="AH75"/>
      <c r="AI75"/>
      <c r="AJ75"/>
      <c r="AK75"/>
      <c r="AL75"/>
      <c r="AM75"/>
      <c r="AN75"/>
      <c r="AO75"/>
    </row>
    <row r="76" spans="1:41" x14ac:dyDescent="0.2">
      <c r="A76" s="3" t="s">
        <v>213</v>
      </c>
      <c r="B76" s="7">
        <f>output_NHTS!B287</f>
        <v>90981.475301159298</v>
      </c>
      <c r="C76" s="7">
        <f>output_NHTS!C287</f>
        <v>359447.39577493642</v>
      </c>
      <c r="D76" s="7">
        <f>output_NHTS!D287</f>
        <v>895153.09796767507</v>
      </c>
      <c r="E76" s="7">
        <f>output_NHTS!E287</f>
        <v>327525.65710725798</v>
      </c>
      <c r="F76" s="7">
        <f>output_NHTS!F287</f>
        <v>1673107.6261510288</v>
      </c>
      <c r="M76" s="3" t="s">
        <v>213</v>
      </c>
      <c r="N76" s="7">
        <f>output!B287</f>
        <v>81494</v>
      </c>
      <c r="O76" s="7">
        <f>output!C287</f>
        <v>316017</v>
      </c>
      <c r="P76" s="7">
        <f>output!D287</f>
        <v>760959</v>
      </c>
      <c r="Q76" s="7">
        <f>output!E287</f>
        <v>209007</v>
      </c>
      <c r="R76" s="7">
        <f>output!F287</f>
        <v>1367477</v>
      </c>
      <c r="Y76" s="3" t="s">
        <v>213</v>
      </c>
      <c r="Z76" s="7">
        <f t="shared" si="69"/>
        <v>-9487.4753011592984</v>
      </c>
      <c r="AA76" s="7">
        <f t="shared" si="70"/>
        <v>-43430.39577493642</v>
      </c>
      <c r="AB76" s="7">
        <f t="shared" si="71"/>
        <v>-134194.09796767507</v>
      </c>
      <c r="AC76" s="7">
        <f t="shared" si="72"/>
        <v>-118518.65710725798</v>
      </c>
      <c r="AD76" s="7">
        <f t="shared" si="73"/>
        <v>-305630.62615102879</v>
      </c>
      <c r="AG76"/>
      <c r="AH76"/>
      <c r="AI76"/>
      <c r="AJ76"/>
      <c r="AK76"/>
      <c r="AL76"/>
      <c r="AM76"/>
      <c r="AN76"/>
      <c r="AO76"/>
    </row>
    <row r="77" spans="1:41" x14ac:dyDescent="0.2">
      <c r="A77" s="3" t="s">
        <v>214</v>
      </c>
      <c r="B77" s="7">
        <f>output_NHTS!B288</f>
        <v>134546.87599288599</v>
      </c>
      <c r="C77" s="7">
        <f>output_NHTS!C288</f>
        <v>414654.51983550051</v>
      </c>
      <c r="D77" s="7">
        <f>output_NHTS!D288</f>
        <v>980129.28183632134</v>
      </c>
      <c r="E77" s="7">
        <f>output_NHTS!E288</f>
        <v>318522.53179531387</v>
      </c>
      <c r="F77" s="7">
        <f>output_NHTS!F288</f>
        <v>1847853.2094600217</v>
      </c>
      <c r="M77" s="3" t="s">
        <v>214</v>
      </c>
      <c r="N77" s="7">
        <f>output!B288</f>
        <v>97726</v>
      </c>
      <c r="O77" s="7">
        <f>output!C288</f>
        <v>359908</v>
      </c>
      <c r="P77" s="7">
        <f>output!D288</f>
        <v>849325</v>
      </c>
      <c r="Q77" s="7">
        <f>output!E288</f>
        <v>239205</v>
      </c>
      <c r="R77" s="7">
        <f>output!F288</f>
        <v>1546164</v>
      </c>
      <c r="Y77" s="3" t="s">
        <v>214</v>
      </c>
      <c r="Z77" s="7">
        <f t="shared" si="69"/>
        <v>-36820.875992885994</v>
      </c>
      <c r="AA77" s="7">
        <f t="shared" si="70"/>
        <v>-54746.519835500512</v>
      </c>
      <c r="AB77" s="7">
        <f t="shared" si="71"/>
        <v>-130804.28183632134</v>
      </c>
      <c r="AC77" s="7">
        <f t="shared" si="72"/>
        <v>-79317.531795313873</v>
      </c>
      <c r="AD77" s="7">
        <f t="shared" si="73"/>
        <v>-301689.2094600217</v>
      </c>
      <c r="AG77"/>
      <c r="AH77"/>
      <c r="AI77"/>
      <c r="AJ77"/>
      <c r="AK77"/>
      <c r="AL77"/>
      <c r="AM77"/>
      <c r="AN77"/>
      <c r="AO77"/>
    </row>
    <row r="78" spans="1:41" x14ac:dyDescent="0.2">
      <c r="A78" s="3" t="s">
        <v>129</v>
      </c>
      <c r="B78" s="7">
        <f>output_NHTS!B289</f>
        <v>60133.956797160201</v>
      </c>
      <c r="C78" s="7">
        <f>output_NHTS!C289</f>
        <v>186032.51502084109</v>
      </c>
      <c r="D78" s="7">
        <f>output_NHTS!D289</f>
        <v>376109.7576702119</v>
      </c>
      <c r="E78" s="7">
        <f>output_NHTS!E289</f>
        <v>112363.15492628841</v>
      </c>
      <c r="F78" s="7">
        <f>output_NHTS!F289</f>
        <v>734639.3844145016</v>
      </c>
      <c r="M78" s="3" t="s">
        <v>129</v>
      </c>
      <c r="N78" s="7">
        <f>output!B289</f>
        <v>26341</v>
      </c>
      <c r="O78" s="7">
        <f>output!C289</f>
        <v>162404</v>
      </c>
      <c r="P78" s="7">
        <f>output!D289</f>
        <v>311766</v>
      </c>
      <c r="Q78" s="7">
        <f>output!E289</f>
        <v>90953</v>
      </c>
      <c r="R78" s="7">
        <f>output!F289</f>
        <v>591464</v>
      </c>
      <c r="Y78" s="3" t="s">
        <v>129</v>
      </c>
      <c r="Z78" s="7">
        <f t="shared" si="69"/>
        <v>-33792.956797160201</v>
      </c>
      <c r="AA78" s="7">
        <f t="shared" si="70"/>
        <v>-23628.515020841092</v>
      </c>
      <c r="AB78" s="7">
        <f t="shared" si="71"/>
        <v>-64343.757670211897</v>
      </c>
      <c r="AC78" s="7">
        <f t="shared" si="72"/>
        <v>-21410.154926288407</v>
      </c>
      <c r="AD78" s="7">
        <f t="shared" si="73"/>
        <v>-143175.3844145016</v>
      </c>
      <c r="AG78"/>
      <c r="AH78"/>
      <c r="AI78"/>
      <c r="AJ78"/>
      <c r="AK78"/>
      <c r="AL78"/>
      <c r="AM78"/>
      <c r="AN78"/>
      <c r="AO78"/>
    </row>
    <row r="79" spans="1:41" x14ac:dyDescent="0.2">
      <c r="A79" s="3" t="s">
        <v>130</v>
      </c>
      <c r="B79" s="7">
        <f>output_NHTS!B290</f>
        <v>54164.302708334799</v>
      </c>
      <c r="C79" s="7">
        <f>output_NHTS!C290</f>
        <v>291463.14528154279</v>
      </c>
      <c r="D79" s="7">
        <f>output_NHTS!D290</f>
        <v>933199.15985498601</v>
      </c>
      <c r="E79" s="7">
        <f>output_NHTS!E290</f>
        <v>238601.7045925479</v>
      </c>
      <c r="F79" s="7">
        <f>output_NHTS!F290</f>
        <v>1517428.3124374114</v>
      </c>
      <c r="M79" s="3" t="s">
        <v>130</v>
      </c>
      <c r="N79" s="7">
        <f>output!B290</f>
        <v>46914</v>
      </c>
      <c r="O79" s="7">
        <f>output!C290</f>
        <v>284472</v>
      </c>
      <c r="P79" s="7">
        <f>output!D290</f>
        <v>694165</v>
      </c>
      <c r="Q79" s="7">
        <f>output!E290</f>
        <v>200423</v>
      </c>
      <c r="R79" s="7">
        <f>output!F290</f>
        <v>1225974</v>
      </c>
      <c r="Y79" s="3" t="s">
        <v>130</v>
      </c>
      <c r="Z79" s="7">
        <f t="shared" si="69"/>
        <v>-7250.3027083347988</v>
      </c>
      <c r="AA79" s="7">
        <f t="shared" si="70"/>
        <v>-6991.1452815427911</v>
      </c>
      <c r="AB79" s="7">
        <f t="shared" si="71"/>
        <v>-239034.15985498601</v>
      </c>
      <c r="AC79" s="7">
        <f t="shared" si="72"/>
        <v>-38178.704592547903</v>
      </c>
      <c r="AD79" s="7">
        <f t="shared" si="73"/>
        <v>-291454.3124374114</v>
      </c>
      <c r="AG79"/>
      <c r="AH79"/>
      <c r="AI79"/>
      <c r="AJ79"/>
      <c r="AK79"/>
      <c r="AL79"/>
      <c r="AM79"/>
      <c r="AN79"/>
      <c r="AO79"/>
    </row>
    <row r="80" spans="1:41" x14ac:dyDescent="0.2">
      <c r="A80" s="8" t="s">
        <v>145</v>
      </c>
      <c r="B80" s="7">
        <f>output_NHTS!B291</f>
        <v>243684.34360284891</v>
      </c>
      <c r="C80" s="7">
        <f>output_NHTS!C291</f>
        <v>1227753.0438911165</v>
      </c>
      <c r="D80" s="7">
        <f>output_NHTS!D291</f>
        <v>2778859.3833208419</v>
      </c>
      <c r="E80" s="7">
        <f>output_NHTS!E291</f>
        <v>953261.19940335816</v>
      </c>
      <c r="F80" s="7">
        <f>output_NHTS!F291</f>
        <v>5203557.9702181648</v>
      </c>
      <c r="M80" s="8" t="s">
        <v>145</v>
      </c>
      <c r="N80" s="7">
        <f>output!B291</f>
        <v>219187</v>
      </c>
      <c r="O80" s="7">
        <f>output!C291</f>
        <v>1074601</v>
      </c>
      <c r="P80" s="7">
        <f>output!D291</f>
        <v>2347952</v>
      </c>
      <c r="Q80" s="7">
        <f>output!E291</f>
        <v>668687</v>
      </c>
      <c r="R80" s="7">
        <f>output!F291</f>
        <v>4310427</v>
      </c>
      <c r="Y80" s="8" t="s">
        <v>145</v>
      </c>
      <c r="Z80" s="7">
        <f t="shared" si="69"/>
        <v>-24497.343602848909</v>
      </c>
      <c r="AA80" s="7">
        <f t="shared" si="70"/>
        <v>-153152.04389111651</v>
      </c>
      <c r="AB80" s="7">
        <f t="shared" si="71"/>
        <v>-430907.38332084194</v>
      </c>
      <c r="AC80" s="7">
        <f t="shared" si="72"/>
        <v>-284574.19940335816</v>
      </c>
      <c r="AD80" s="7">
        <f t="shared" si="73"/>
        <v>-893130.97021816485</v>
      </c>
      <c r="AG80"/>
      <c r="AH80"/>
      <c r="AI80"/>
      <c r="AJ80"/>
      <c r="AK80"/>
      <c r="AL80"/>
      <c r="AM80"/>
      <c r="AN80"/>
      <c r="AO80"/>
    </row>
    <row r="81" spans="1:41" ht="13.5" thickBot="1" x14ac:dyDescent="0.25">
      <c r="A81" s="10" t="s">
        <v>221</v>
      </c>
      <c r="B81" s="11">
        <f>SUM(B73:B80)</f>
        <v>699760.62954055751</v>
      </c>
      <c r="C81" s="11">
        <f>SUM(C73:C80)</f>
        <v>3396026.8725549853</v>
      </c>
      <c r="D81" s="11">
        <f>SUM(D73:D80)</f>
        <v>8080711.0956832189</v>
      </c>
      <c r="E81" s="11">
        <f>SUM(E73:E80)</f>
        <v>2670559.7441382334</v>
      </c>
      <c r="F81" s="11">
        <f>SUM(F73:F80)</f>
        <v>14847058.341916995</v>
      </c>
      <c r="M81" s="10" t="s">
        <v>221</v>
      </c>
      <c r="N81" s="11">
        <f>SUM(N73:N80)</f>
        <v>580486</v>
      </c>
      <c r="O81" s="11">
        <f>SUM(O73:O80)</f>
        <v>3059459</v>
      </c>
      <c r="P81" s="11">
        <f>SUM(P73:P80)</f>
        <v>6715516</v>
      </c>
      <c r="Q81" s="11">
        <f>SUM(Q73:Q80)</f>
        <v>1925187</v>
      </c>
      <c r="R81" s="11">
        <f>SUM(R73:R80)</f>
        <v>12280648</v>
      </c>
      <c r="Y81" s="10" t="s">
        <v>221</v>
      </c>
      <c r="Z81" s="11">
        <f t="shared" si="69"/>
        <v>-119274.62954055751</v>
      </c>
      <c r="AA81" s="11">
        <f t="shared" si="70"/>
        <v>-336567.87255498534</v>
      </c>
      <c r="AB81" s="11">
        <f t="shared" si="71"/>
        <v>-1365195.0956832189</v>
      </c>
      <c r="AC81" s="11">
        <f t="shared" si="72"/>
        <v>-745372.74413823336</v>
      </c>
      <c r="AD81" s="11">
        <f t="shared" si="73"/>
        <v>-2566410.3419169951</v>
      </c>
      <c r="AG81"/>
      <c r="AH81"/>
      <c r="AI81"/>
      <c r="AJ81"/>
      <c r="AK81"/>
      <c r="AL81"/>
      <c r="AM81"/>
      <c r="AN81"/>
      <c r="AO81"/>
    </row>
    <row r="82" spans="1:41" x14ac:dyDescent="0.2">
      <c r="AG82"/>
      <c r="AH82"/>
      <c r="AI82"/>
      <c r="AJ82"/>
      <c r="AK82"/>
      <c r="AL82"/>
      <c r="AM82"/>
      <c r="AN82"/>
      <c r="AO82"/>
    </row>
    <row r="83" spans="1:41" x14ac:dyDescent="0.2">
      <c r="A83" s="25" t="s">
        <v>88</v>
      </c>
      <c r="B83" s="53">
        <f>ToursByTourPurpose!B84</f>
        <v>163786.68119999999</v>
      </c>
      <c r="C83" s="53">
        <f>ToursByTourPurpose!C84</f>
        <v>820882.0037</v>
      </c>
      <c r="D83" s="53">
        <f>ToursByTourPurpose!D84</f>
        <v>1679045.4517000001</v>
      </c>
      <c r="E83" s="53">
        <f>ToursByTourPurpose!E84</f>
        <v>629199.28419999999</v>
      </c>
      <c r="F83" s="53">
        <f>ToursByTourPurpose!F84</f>
        <v>3292913.4208</v>
      </c>
      <c r="M83" s="25" t="s">
        <v>88</v>
      </c>
      <c r="N83" s="53">
        <f>ToursByTourPurpose!N84</f>
        <v>141396</v>
      </c>
      <c r="O83" s="53">
        <f>ToursByTourPurpose!O84</f>
        <v>707228</v>
      </c>
      <c r="P83" s="53">
        <f>ToursByTourPurpose!P84</f>
        <v>1493563</v>
      </c>
      <c r="Q83" s="53">
        <f>ToursByTourPurpose!Q84</f>
        <v>429551</v>
      </c>
      <c r="R83" s="53">
        <f>ToursByTourPurpose!R84</f>
        <v>2771738</v>
      </c>
      <c r="Y83" s="3" t="s">
        <v>88</v>
      </c>
      <c r="Z83" s="7">
        <f t="shared" ref="Z83:AD84" si="74">N83-B83</f>
        <v>-22390.681199999992</v>
      </c>
      <c r="AA83" s="7">
        <f t="shared" si="74"/>
        <v>-113654.0037</v>
      </c>
      <c r="AB83" s="7">
        <f t="shared" si="74"/>
        <v>-185482.45170000009</v>
      </c>
      <c r="AC83" s="7">
        <f t="shared" si="74"/>
        <v>-199648.28419999999</v>
      </c>
      <c r="AD83" s="7">
        <f t="shared" si="74"/>
        <v>-521175.42079999996</v>
      </c>
      <c r="AG83"/>
      <c r="AH83"/>
      <c r="AI83"/>
      <c r="AJ83"/>
      <c r="AK83"/>
      <c r="AL83"/>
      <c r="AM83"/>
      <c r="AN83"/>
      <c r="AO83"/>
    </row>
    <row r="84" spans="1:41" x14ac:dyDescent="0.2">
      <c r="A84" s="25" t="s">
        <v>91</v>
      </c>
      <c r="B84" s="38">
        <f>B81/B83</f>
        <v>4.2723903092344822</v>
      </c>
      <c r="C84" s="38">
        <f>C81/C83</f>
        <v>4.1370463199922938</v>
      </c>
      <c r="D84" s="38">
        <f>D81/D83</f>
        <v>4.8126815670782825</v>
      </c>
      <c r="E84" s="38">
        <f>E81/E83</f>
        <v>4.2443782299176265</v>
      </c>
      <c r="F84" s="38">
        <f>F81/F83</f>
        <v>4.5087909837331717</v>
      </c>
      <c r="M84" s="25" t="s">
        <v>91</v>
      </c>
      <c r="N84" s="38">
        <f>N81/N83</f>
        <v>4.1053919488528674</v>
      </c>
      <c r="O84" s="38">
        <f>O81/O83</f>
        <v>4.3259868104769605</v>
      </c>
      <c r="P84" s="38">
        <f>P81/P83</f>
        <v>4.4963058136817802</v>
      </c>
      <c r="Q84" s="38">
        <f>Q81/Q83</f>
        <v>4.4818589643604598</v>
      </c>
      <c r="R84" s="38">
        <f>R81/R83</f>
        <v>4.4306669678014297</v>
      </c>
      <c r="Y84" s="3" t="s">
        <v>91</v>
      </c>
      <c r="Z84" s="38">
        <f t="shared" si="74"/>
        <v>-0.16699836038161475</v>
      </c>
      <c r="AA84" s="38">
        <f t="shared" si="74"/>
        <v>0.18894049048466677</v>
      </c>
      <c r="AB84" s="38">
        <f t="shared" si="74"/>
        <v>-0.31637575339650237</v>
      </c>
      <c r="AC84" s="38">
        <f t="shared" si="74"/>
        <v>0.23748073444283335</v>
      </c>
      <c r="AD84" s="38">
        <f t="shared" si="74"/>
        <v>-7.8124015931742008E-2</v>
      </c>
      <c r="AG84"/>
      <c r="AH84"/>
      <c r="AI84"/>
      <c r="AJ84"/>
      <c r="AK84"/>
      <c r="AL84"/>
      <c r="AM84"/>
      <c r="AN84"/>
      <c r="AO84"/>
    </row>
    <row r="85" spans="1:41" x14ac:dyDescent="0.2">
      <c r="AG85"/>
      <c r="AH85"/>
      <c r="AI85"/>
      <c r="AJ85"/>
      <c r="AK85"/>
      <c r="AL85"/>
      <c r="AM85"/>
      <c r="AN85"/>
      <c r="AO85"/>
    </row>
    <row r="86" spans="1:41" x14ac:dyDescent="0.2">
      <c r="A86" s="2" t="s">
        <v>175</v>
      </c>
      <c r="M86" s="2" t="s">
        <v>175</v>
      </c>
      <c r="Y86" s="2" t="s">
        <v>175</v>
      </c>
      <c r="AG86"/>
      <c r="AH86"/>
      <c r="AI86"/>
      <c r="AJ86"/>
      <c r="AK86"/>
      <c r="AL86"/>
      <c r="AM86"/>
      <c r="AN86"/>
      <c r="AO86"/>
    </row>
    <row r="87" spans="1:41" x14ac:dyDescent="0.2">
      <c r="A87" s="2" t="s">
        <v>97</v>
      </c>
      <c r="M87" s="2" t="s">
        <v>137</v>
      </c>
      <c r="Y87" s="218" t="s">
        <v>252</v>
      </c>
      <c r="Z87" s="218"/>
      <c r="AA87" s="218"/>
      <c r="AB87" s="218"/>
      <c r="AG87"/>
      <c r="AH87"/>
      <c r="AI87"/>
      <c r="AJ87"/>
      <c r="AK87"/>
      <c r="AL87"/>
      <c r="AM87"/>
      <c r="AN87"/>
      <c r="AO87"/>
    </row>
    <row r="88" spans="1:41" ht="13.5" thickBot="1" x14ac:dyDescent="0.25">
      <c r="B88" s="15"/>
      <c r="C88" s="15"/>
      <c r="D88" s="15"/>
      <c r="E88" s="15"/>
      <c r="F88" s="15"/>
      <c r="N88" s="15"/>
      <c r="O88" s="15"/>
      <c r="P88" s="15"/>
      <c r="Q88" s="15"/>
      <c r="R88" s="15"/>
      <c r="Z88" s="15"/>
      <c r="AA88" s="15"/>
      <c r="AB88" s="15"/>
      <c r="AC88" s="15"/>
      <c r="AD88" s="15"/>
      <c r="AG88"/>
      <c r="AH88"/>
      <c r="AI88"/>
      <c r="AJ88"/>
      <c r="AK88"/>
      <c r="AL88"/>
      <c r="AM88"/>
      <c r="AN88"/>
      <c r="AO88"/>
    </row>
    <row r="89" spans="1:41" x14ac:dyDescent="0.2">
      <c r="A89" s="5" t="s">
        <v>144</v>
      </c>
      <c r="B89" s="6" t="s">
        <v>98</v>
      </c>
      <c r="C89" s="6" t="s">
        <v>99</v>
      </c>
      <c r="D89" s="6" t="s">
        <v>100</v>
      </c>
      <c r="E89" s="6" t="s">
        <v>101</v>
      </c>
      <c r="F89" s="6" t="s">
        <v>221</v>
      </c>
      <c r="M89" s="5" t="s">
        <v>144</v>
      </c>
      <c r="N89" s="6" t="s">
        <v>98</v>
      </c>
      <c r="O89" s="6" t="s">
        <v>99</v>
      </c>
      <c r="P89" s="6" t="s">
        <v>100</v>
      </c>
      <c r="Q89" s="6" t="s">
        <v>101</v>
      </c>
      <c r="R89" s="6" t="s">
        <v>221</v>
      </c>
      <c r="Y89" s="5" t="s">
        <v>144</v>
      </c>
      <c r="Z89" s="6" t="s">
        <v>98</v>
      </c>
      <c r="AA89" s="6" t="s">
        <v>99</v>
      </c>
      <c r="AB89" s="6" t="s">
        <v>100</v>
      </c>
      <c r="AC89" s="6" t="s">
        <v>101</v>
      </c>
      <c r="AD89" s="6" t="s">
        <v>221</v>
      </c>
    </row>
    <row r="90" spans="1:41" x14ac:dyDescent="0.2">
      <c r="A90" s="3" t="s">
        <v>210</v>
      </c>
      <c r="B90" s="12">
        <f t="shared" ref="B90:F96" si="75">B73/B$81</f>
        <v>9.9620698904241134E-2</v>
      </c>
      <c r="C90" s="12">
        <f t="shared" si="75"/>
        <v>0.13527683879010635</v>
      </c>
      <c r="D90" s="12">
        <f t="shared" si="75"/>
        <v>0.13577089904451894</v>
      </c>
      <c r="E90" s="12">
        <f t="shared" si="75"/>
        <v>0.15480776140318739</v>
      </c>
      <c r="F90" s="12">
        <f t="shared" si="75"/>
        <v>0.13737827129371122</v>
      </c>
      <c r="M90" s="3" t="s">
        <v>210</v>
      </c>
      <c r="N90" s="12">
        <f t="shared" ref="N90:R98" si="76">N73/N$81</f>
        <v>0.10385607921638075</v>
      </c>
      <c r="O90" s="12">
        <f t="shared" si="76"/>
        <v>0.13772500301523896</v>
      </c>
      <c r="P90" s="12">
        <f t="shared" si="76"/>
        <v>0.1506849213076106</v>
      </c>
      <c r="Q90" s="12">
        <f t="shared" si="76"/>
        <v>0.16135107914192232</v>
      </c>
      <c r="R90" s="12">
        <f t="shared" si="76"/>
        <v>0.14691480449565852</v>
      </c>
      <c r="Y90" s="3" t="s">
        <v>210</v>
      </c>
      <c r="Z90" s="12">
        <f t="shared" ref="Z90:Z98" si="77">N90-B90</f>
        <v>4.2353803121396166E-3</v>
      </c>
      <c r="AA90" s="12">
        <f t="shared" ref="AA90:AA98" si="78">O90-C90</f>
        <v>2.4481642251326097E-3</v>
      </c>
      <c r="AB90" s="12">
        <f t="shared" ref="AB90:AB98" si="79">P90-D90</f>
        <v>1.4914022263091659E-2</v>
      </c>
      <c r="AC90" s="12">
        <f t="shared" ref="AC90:AC98" si="80">Q90-E90</f>
        <v>6.5433177387349273E-3</v>
      </c>
      <c r="AD90" s="12">
        <f t="shared" ref="AD90:AD98" si="81">R90-F90</f>
        <v>9.5365332019473059E-3</v>
      </c>
    </row>
    <row r="91" spans="1:41" x14ac:dyDescent="0.2">
      <c r="A91" s="3" t="s">
        <v>211</v>
      </c>
      <c r="B91" s="12">
        <f t="shared" si="75"/>
        <v>6.011224925777451E-2</v>
      </c>
      <c r="C91" s="12">
        <f t="shared" si="75"/>
        <v>5.7624004787931171E-2</v>
      </c>
      <c r="D91" s="12">
        <f t="shared" si="75"/>
        <v>4.802538777401974E-2</v>
      </c>
      <c r="E91" s="12">
        <f t="shared" si="75"/>
        <v>5.4187124597232197E-2</v>
      </c>
      <c r="F91" s="12">
        <f t="shared" si="75"/>
        <v>5.1898906427295832E-2</v>
      </c>
      <c r="M91" s="3" t="s">
        <v>211</v>
      </c>
      <c r="N91" s="12">
        <f t="shared" si="76"/>
        <v>3.9880376098648376E-2</v>
      </c>
      <c r="O91" s="12">
        <f t="shared" si="76"/>
        <v>5.6841748818990546E-2</v>
      </c>
      <c r="P91" s="12">
        <f t="shared" si="76"/>
        <v>3.5926651057044609E-2</v>
      </c>
      <c r="Q91" s="12">
        <f t="shared" si="76"/>
        <v>3.3653354193644562E-2</v>
      </c>
      <c r="R91" s="12">
        <f t="shared" si="76"/>
        <v>4.0967707892938549E-2</v>
      </c>
      <c r="Y91" s="3" t="s">
        <v>211</v>
      </c>
      <c r="Z91" s="12">
        <f t="shared" si="77"/>
        <v>-2.0231873159126133E-2</v>
      </c>
      <c r="AA91" s="12">
        <f t="shared" si="78"/>
        <v>-7.8225596894062471E-4</v>
      </c>
      <c r="AB91" s="12">
        <f t="shared" si="79"/>
        <v>-1.2098736716975131E-2</v>
      </c>
      <c r="AC91" s="12">
        <f t="shared" si="80"/>
        <v>-2.0533770403587635E-2</v>
      </c>
      <c r="AD91" s="12">
        <f t="shared" si="81"/>
        <v>-1.0931198534357284E-2</v>
      </c>
    </row>
    <row r="92" spans="1:41" x14ac:dyDescent="0.2">
      <c r="A92" s="3" t="s">
        <v>212</v>
      </c>
      <c r="B92" s="12">
        <f t="shared" si="75"/>
        <v>6.3948250087820088E-3</v>
      </c>
      <c r="C92" s="12">
        <f t="shared" si="75"/>
        <v>7.7025245687973143E-2</v>
      </c>
      <c r="D92" s="12">
        <f t="shared" si="75"/>
        <v>7.8217834211507853E-2</v>
      </c>
      <c r="E92" s="12">
        <f t="shared" si="75"/>
        <v>6.0718419569494482E-2</v>
      </c>
      <c r="F92" s="12">
        <f t="shared" si="75"/>
        <v>7.1412296927890029E-2</v>
      </c>
      <c r="M92" s="3" t="s">
        <v>212</v>
      </c>
      <c r="N92" s="12">
        <f t="shared" si="76"/>
        <v>4.3734043542824459E-2</v>
      </c>
      <c r="O92" s="12">
        <f t="shared" si="76"/>
        <v>8.7201037830544545E-2</v>
      </c>
      <c r="P92" s="12">
        <f t="shared" si="76"/>
        <v>7.4179854533888381E-2</v>
      </c>
      <c r="Q92" s="12">
        <f t="shared" si="76"/>
        <v>7.3495198128805145E-2</v>
      </c>
      <c r="R92" s="12">
        <f t="shared" si="76"/>
        <v>7.5877347840276832E-2</v>
      </c>
      <c r="Y92" s="3" t="s">
        <v>212</v>
      </c>
      <c r="Z92" s="12">
        <f t="shared" si="77"/>
        <v>3.733921853404245E-2</v>
      </c>
      <c r="AA92" s="12">
        <f t="shared" si="78"/>
        <v>1.0175792142571402E-2</v>
      </c>
      <c r="AB92" s="12">
        <f t="shared" si="79"/>
        <v>-4.0379796776194715E-3</v>
      </c>
      <c r="AC92" s="12">
        <f t="shared" si="80"/>
        <v>1.2776778559310663E-2</v>
      </c>
      <c r="AD92" s="12">
        <f t="shared" si="81"/>
        <v>4.4650509123868032E-3</v>
      </c>
    </row>
    <row r="93" spans="1:41" x14ac:dyDescent="0.2">
      <c r="A93" s="3" t="s">
        <v>213</v>
      </c>
      <c r="B93" s="12">
        <f t="shared" si="75"/>
        <v>0.13001799681256015</v>
      </c>
      <c r="C93" s="12">
        <f t="shared" si="75"/>
        <v>0.1058435075057306</v>
      </c>
      <c r="D93" s="12">
        <f t="shared" si="75"/>
        <v>0.11077652540329935</v>
      </c>
      <c r="E93" s="12">
        <f t="shared" si="75"/>
        <v>0.12264307429412993</v>
      </c>
      <c r="F93" s="12">
        <f t="shared" si="75"/>
        <v>0.11268950303963064</v>
      </c>
      <c r="M93" s="3" t="s">
        <v>213</v>
      </c>
      <c r="N93" s="12">
        <f t="shared" si="76"/>
        <v>0.14038926003383373</v>
      </c>
      <c r="O93" s="12">
        <f t="shared" si="76"/>
        <v>0.10329179113039266</v>
      </c>
      <c r="P93" s="12">
        <f t="shared" si="76"/>
        <v>0.11331355624794878</v>
      </c>
      <c r="Q93" s="12">
        <f t="shared" si="76"/>
        <v>0.10856451866753723</v>
      </c>
      <c r="R93" s="12">
        <f t="shared" si="76"/>
        <v>0.11135218597585404</v>
      </c>
      <c r="Y93" s="3" t="s">
        <v>213</v>
      </c>
      <c r="Z93" s="12">
        <f t="shared" si="77"/>
        <v>1.0371263221273574E-2</v>
      </c>
      <c r="AA93" s="12">
        <f t="shared" si="78"/>
        <v>-2.5517163753379368E-3</v>
      </c>
      <c r="AB93" s="12">
        <f t="shared" si="79"/>
        <v>2.5370308446494294E-3</v>
      </c>
      <c r="AC93" s="12">
        <f t="shared" si="80"/>
        <v>-1.4078555626592701E-2</v>
      </c>
      <c r="AD93" s="12">
        <f t="shared" si="81"/>
        <v>-1.3373170637765996E-3</v>
      </c>
    </row>
    <row r="94" spans="1:41" x14ac:dyDescent="0.2">
      <c r="A94" s="3" t="s">
        <v>214</v>
      </c>
      <c r="B94" s="12">
        <f t="shared" si="75"/>
        <v>0.19227557297875641</v>
      </c>
      <c r="C94" s="12">
        <f t="shared" si="75"/>
        <v>0.12209989360995165</v>
      </c>
      <c r="D94" s="12">
        <f t="shared" si="75"/>
        <v>0.12129245436826894</v>
      </c>
      <c r="E94" s="12">
        <f t="shared" si="75"/>
        <v>0.11927182400410906</v>
      </c>
      <c r="F94" s="12">
        <f t="shared" si="75"/>
        <v>0.12445921386616131</v>
      </c>
      <c r="M94" s="3" t="s">
        <v>214</v>
      </c>
      <c r="N94" s="12">
        <f t="shared" si="76"/>
        <v>0.16835203605254906</v>
      </c>
      <c r="O94" s="12">
        <f t="shared" si="76"/>
        <v>0.11763779151804289</v>
      </c>
      <c r="P94" s="12">
        <f t="shared" si="76"/>
        <v>0.1264720387830213</v>
      </c>
      <c r="Q94" s="12">
        <f t="shared" si="76"/>
        <v>0.1242502676363387</v>
      </c>
      <c r="R94" s="12">
        <f t="shared" si="76"/>
        <v>0.12590247680741276</v>
      </c>
      <c r="Y94" s="3" t="s">
        <v>214</v>
      </c>
      <c r="Z94" s="12">
        <f t="shared" si="77"/>
        <v>-2.3923536926207356E-2</v>
      </c>
      <c r="AA94" s="12">
        <f t="shared" si="78"/>
        <v>-4.462102091908754E-3</v>
      </c>
      <c r="AB94" s="12">
        <f t="shared" si="79"/>
        <v>5.1795844147523584E-3</v>
      </c>
      <c r="AC94" s="12">
        <f t="shared" si="80"/>
        <v>4.9784436322296427E-3</v>
      </c>
      <c r="AD94" s="12">
        <f t="shared" si="81"/>
        <v>1.4432629412514525E-3</v>
      </c>
    </row>
    <row r="95" spans="1:41" x14ac:dyDescent="0.2">
      <c r="A95" s="3" t="s">
        <v>129</v>
      </c>
      <c r="B95" s="12">
        <f t="shared" si="75"/>
        <v>8.5935038724088281E-2</v>
      </c>
      <c r="C95" s="12">
        <f t="shared" si="75"/>
        <v>5.4779459056777245E-2</v>
      </c>
      <c r="D95" s="12">
        <f t="shared" si="75"/>
        <v>4.6544141130244437E-2</v>
      </c>
      <c r="E95" s="12">
        <f t="shared" si="75"/>
        <v>4.2074757987691835E-2</v>
      </c>
      <c r="F95" s="12">
        <f t="shared" si="75"/>
        <v>4.9480467274815587E-2</v>
      </c>
      <c r="M95" s="3" t="s">
        <v>129</v>
      </c>
      <c r="N95" s="12">
        <f t="shared" si="76"/>
        <v>4.5377494030863795E-2</v>
      </c>
      <c r="O95" s="12">
        <f t="shared" si="76"/>
        <v>5.3082587477067025E-2</v>
      </c>
      <c r="P95" s="12">
        <f t="shared" si="76"/>
        <v>4.6424727452067716E-2</v>
      </c>
      <c r="Q95" s="12">
        <f t="shared" si="76"/>
        <v>4.724372229814558E-2</v>
      </c>
      <c r="R95" s="12">
        <f t="shared" si="76"/>
        <v>4.8162279384605766E-2</v>
      </c>
      <c r="Y95" s="3" t="s">
        <v>129</v>
      </c>
      <c r="Z95" s="12">
        <f t="shared" si="77"/>
        <v>-4.0557544693224486E-2</v>
      </c>
      <c r="AA95" s="12">
        <f t="shared" si="78"/>
        <v>-1.6968715797102199E-3</v>
      </c>
      <c r="AB95" s="12">
        <f t="shared" si="79"/>
        <v>-1.1941367817672188E-4</v>
      </c>
      <c r="AC95" s="12">
        <f t="shared" si="80"/>
        <v>5.1689643104537442E-3</v>
      </c>
      <c r="AD95" s="12">
        <f t="shared" si="81"/>
        <v>-1.318187890209821E-3</v>
      </c>
    </row>
    <row r="96" spans="1:41" x14ac:dyDescent="0.2">
      <c r="A96" s="3" t="s">
        <v>130</v>
      </c>
      <c r="B96" s="12">
        <f t="shared" si="75"/>
        <v>7.7404044214230097E-2</v>
      </c>
      <c r="C96" s="12">
        <f t="shared" si="75"/>
        <v>8.582474645209795E-2</v>
      </c>
      <c r="D96" s="12">
        <f t="shared" si="75"/>
        <v>0.11548478206992309</v>
      </c>
      <c r="E96" s="12">
        <f t="shared" si="75"/>
        <v>8.9345203797169731E-2</v>
      </c>
      <c r="F96" s="12">
        <f t="shared" si="75"/>
        <v>0.10220397047631503</v>
      </c>
      <c r="M96" s="3" t="s">
        <v>130</v>
      </c>
      <c r="N96" s="12">
        <f t="shared" si="76"/>
        <v>8.0818486578487683E-2</v>
      </c>
      <c r="O96" s="12">
        <f t="shared" si="76"/>
        <v>9.2981144705648944E-2</v>
      </c>
      <c r="P96" s="12">
        <f t="shared" si="76"/>
        <v>0.10336733618086831</v>
      </c>
      <c r="Q96" s="12">
        <f t="shared" si="76"/>
        <v>0.10410573102768718</v>
      </c>
      <c r="R96" s="12">
        <f t="shared" si="76"/>
        <v>9.9829748397641555E-2</v>
      </c>
      <c r="Y96" s="3" t="s">
        <v>130</v>
      </c>
      <c r="Z96" s="12">
        <f t="shared" si="77"/>
        <v>3.4144423642575861E-3</v>
      </c>
      <c r="AA96" s="12">
        <f t="shared" si="78"/>
        <v>7.156398253550994E-3</v>
      </c>
      <c r="AB96" s="12">
        <f t="shared" si="79"/>
        <v>-1.2117445889054779E-2</v>
      </c>
      <c r="AC96" s="12">
        <f t="shared" si="80"/>
        <v>1.4760527230517448E-2</v>
      </c>
      <c r="AD96" s="12">
        <f t="shared" si="81"/>
        <v>-2.3742220786734797E-3</v>
      </c>
    </row>
    <row r="97" spans="1:34" x14ac:dyDescent="0.2">
      <c r="A97" s="8" t="s">
        <v>145</v>
      </c>
      <c r="B97" s="13">
        <f t="shared" ref="B97:F98" si="82">B80/B$81</f>
        <v>0.34823957409956741</v>
      </c>
      <c r="C97" s="13">
        <f t="shared" si="82"/>
        <v>0.36152630410943187</v>
      </c>
      <c r="D97" s="13">
        <f t="shared" si="82"/>
        <v>0.34388797599821769</v>
      </c>
      <c r="E97" s="13">
        <f t="shared" si="82"/>
        <v>0.3569518343469853</v>
      </c>
      <c r="F97" s="13">
        <f t="shared" si="82"/>
        <v>0.35047737069418033</v>
      </c>
      <c r="M97" s="8" t="s">
        <v>145</v>
      </c>
      <c r="N97" s="13">
        <f t="shared" si="76"/>
        <v>0.37759222444641216</v>
      </c>
      <c r="O97" s="13">
        <f t="shared" si="76"/>
        <v>0.35123889550407439</v>
      </c>
      <c r="P97" s="13">
        <f t="shared" si="76"/>
        <v>0.34963091443755029</v>
      </c>
      <c r="Q97" s="13">
        <f t="shared" si="76"/>
        <v>0.34733612890591925</v>
      </c>
      <c r="R97" s="13">
        <f t="shared" si="76"/>
        <v>0.35099344920561193</v>
      </c>
      <c r="Y97" s="8" t="s">
        <v>145</v>
      </c>
      <c r="Z97" s="12">
        <f t="shared" si="77"/>
        <v>2.9352650346844755E-2</v>
      </c>
      <c r="AA97" s="12">
        <f t="shared" si="78"/>
        <v>-1.0287408605357484E-2</v>
      </c>
      <c r="AB97" s="12">
        <f t="shared" si="79"/>
        <v>5.7429384393326011E-3</v>
      </c>
      <c r="AC97" s="12">
        <f t="shared" si="80"/>
        <v>-9.615705441066047E-3</v>
      </c>
      <c r="AD97" s="12">
        <f t="shared" si="81"/>
        <v>5.1607851143159467E-4</v>
      </c>
    </row>
    <row r="98" spans="1:34" ht="13.5" thickBot="1" x14ac:dyDescent="0.25">
      <c r="A98" s="10" t="s">
        <v>221</v>
      </c>
      <c r="B98" s="14">
        <f t="shared" si="82"/>
        <v>1</v>
      </c>
      <c r="C98" s="14">
        <f t="shared" si="82"/>
        <v>1</v>
      </c>
      <c r="D98" s="14">
        <f t="shared" si="82"/>
        <v>1</v>
      </c>
      <c r="E98" s="14">
        <f t="shared" si="82"/>
        <v>1</v>
      </c>
      <c r="F98" s="14">
        <f t="shared" si="82"/>
        <v>1</v>
      </c>
      <c r="M98" s="10" t="s">
        <v>221</v>
      </c>
      <c r="N98" s="14">
        <f t="shared" si="76"/>
        <v>1</v>
      </c>
      <c r="O98" s="14">
        <f t="shared" si="76"/>
        <v>1</v>
      </c>
      <c r="P98" s="14">
        <f t="shared" si="76"/>
        <v>1</v>
      </c>
      <c r="Q98" s="14">
        <f t="shared" si="76"/>
        <v>1</v>
      </c>
      <c r="R98" s="14">
        <f t="shared" si="76"/>
        <v>1</v>
      </c>
      <c r="Y98" s="10" t="s">
        <v>221</v>
      </c>
      <c r="Z98" s="14">
        <f t="shared" si="77"/>
        <v>0</v>
      </c>
      <c r="AA98" s="14">
        <f t="shared" si="78"/>
        <v>0</v>
      </c>
      <c r="AB98" s="14">
        <f t="shared" si="79"/>
        <v>0</v>
      </c>
      <c r="AC98" s="14">
        <f t="shared" si="80"/>
        <v>0</v>
      </c>
      <c r="AD98" s="14">
        <f t="shared" si="81"/>
        <v>0</v>
      </c>
    </row>
    <row r="100" spans="1:34" x14ac:dyDescent="0.2">
      <c r="A100" s="25"/>
      <c r="M100" s="25"/>
    </row>
    <row r="101" spans="1:34" x14ac:dyDescent="0.2">
      <c r="A101" s="25"/>
      <c r="M101" s="25"/>
    </row>
    <row r="102" spans="1:34" x14ac:dyDescent="0.2">
      <c r="R102" s="25"/>
      <c r="S102" s="25"/>
      <c r="T102" s="25"/>
      <c r="U102" s="25"/>
      <c r="V102" s="25"/>
      <c r="W102" s="25"/>
    </row>
    <row r="103" spans="1:34" x14ac:dyDescent="0.2">
      <c r="A103" s="2" t="s">
        <v>175</v>
      </c>
      <c r="M103" s="2" t="s">
        <v>175</v>
      </c>
      <c r="R103" s="25"/>
      <c r="S103" s="25"/>
      <c r="T103" s="25"/>
      <c r="U103" s="25"/>
      <c r="V103" s="25"/>
      <c r="W103" s="25"/>
      <c r="Y103" s="2" t="s">
        <v>175</v>
      </c>
      <c r="AD103" s="25"/>
      <c r="AE103" s="25"/>
      <c r="AF103" s="25"/>
      <c r="AG103" s="25"/>
      <c r="AH103" s="25"/>
    </row>
    <row r="104" spans="1:34" x14ac:dyDescent="0.2">
      <c r="A104" s="2" t="s">
        <v>310</v>
      </c>
      <c r="F104" s="25"/>
      <c r="G104" s="25"/>
      <c r="H104" s="25"/>
      <c r="I104" s="25"/>
      <c r="J104" s="25"/>
      <c r="M104" s="2" t="s">
        <v>311</v>
      </c>
      <c r="R104" s="25"/>
      <c r="S104" s="25"/>
      <c r="T104" s="25"/>
      <c r="U104" s="25"/>
      <c r="V104" s="25"/>
      <c r="W104" s="25"/>
      <c r="Y104" s="218" t="s">
        <v>312</v>
      </c>
      <c r="Z104" s="218"/>
      <c r="AA104" s="218"/>
      <c r="AD104" s="25"/>
      <c r="AE104" s="25"/>
      <c r="AF104" s="25"/>
      <c r="AG104" s="25"/>
      <c r="AH104" s="25"/>
    </row>
    <row r="105" spans="1:34" ht="13.5" thickBot="1" x14ac:dyDescent="0.25">
      <c r="B105" s="15"/>
      <c r="C105" s="15"/>
      <c r="D105" s="15"/>
      <c r="E105" s="15"/>
      <c r="F105" s="15"/>
      <c r="G105" s="25"/>
      <c r="H105" s="25"/>
      <c r="I105" s="25"/>
      <c r="J105" s="25"/>
      <c r="N105" s="15"/>
      <c r="O105" s="15"/>
      <c r="P105" s="15"/>
      <c r="Q105" s="15"/>
      <c r="R105" s="15"/>
      <c r="S105" s="25"/>
      <c r="T105" s="25"/>
      <c r="U105" s="25"/>
      <c r="V105" s="25"/>
      <c r="W105" s="25"/>
      <c r="Z105" s="15"/>
      <c r="AA105" s="15"/>
      <c r="AB105" s="15"/>
      <c r="AC105" s="15"/>
      <c r="AD105" s="15"/>
      <c r="AE105" s="25"/>
      <c r="AF105" s="25"/>
      <c r="AG105" s="25"/>
      <c r="AH105" s="25"/>
    </row>
    <row r="106" spans="1:34" x14ac:dyDescent="0.2">
      <c r="A106" s="5" t="s">
        <v>144</v>
      </c>
      <c r="B106" s="161" t="s">
        <v>10862</v>
      </c>
      <c r="C106" s="161" t="s">
        <v>10863</v>
      </c>
      <c r="D106" s="161" t="s">
        <v>10864</v>
      </c>
      <c r="E106" s="161" t="s">
        <v>10865</v>
      </c>
      <c r="F106" s="161" t="s">
        <v>1689</v>
      </c>
      <c r="G106" s="161" t="s">
        <v>10866</v>
      </c>
      <c r="H106" s="6" t="s">
        <v>10867</v>
      </c>
      <c r="I106" s="6" t="s">
        <v>221</v>
      </c>
      <c r="J106" s="89"/>
      <c r="M106" s="5" t="s">
        <v>144</v>
      </c>
      <c r="N106" s="6" t="str">
        <f>B106</f>
        <v>Bellevue</v>
      </c>
      <c r="O106" s="6" t="str">
        <f t="shared" ref="O106:S106" si="83">C106</f>
        <v>Bellevue Downtown</v>
      </c>
      <c r="P106" s="6" t="str">
        <f t="shared" si="83"/>
        <v>Kirkland</v>
      </c>
      <c r="Q106" s="6" t="str">
        <f t="shared" si="83"/>
        <v>Redmond</v>
      </c>
      <c r="R106" s="6" t="str">
        <f t="shared" si="83"/>
        <v>Seattle</v>
      </c>
      <c r="S106" s="6" t="str">
        <f t="shared" si="83"/>
        <v>Seattle Downtown</v>
      </c>
      <c r="T106" s="6" t="str">
        <f>H106</f>
        <v>Rest</v>
      </c>
      <c r="U106" s="6" t="s">
        <v>221</v>
      </c>
      <c r="V106" s="89"/>
      <c r="W106" s="25"/>
      <c r="Y106" s="5" t="s">
        <v>144</v>
      </c>
      <c r="Z106" s="6" t="str">
        <f>B106</f>
        <v>Bellevue</v>
      </c>
      <c r="AA106" s="6" t="str">
        <f t="shared" ref="AA106:AF106" si="84">C106</f>
        <v>Bellevue Downtown</v>
      </c>
      <c r="AB106" s="6" t="str">
        <f t="shared" si="84"/>
        <v>Kirkland</v>
      </c>
      <c r="AC106" s="6" t="str">
        <f t="shared" si="84"/>
        <v>Redmond</v>
      </c>
      <c r="AD106" s="6" t="str">
        <f t="shared" si="84"/>
        <v>Seattle</v>
      </c>
      <c r="AE106" s="6" t="str">
        <f t="shared" si="84"/>
        <v>Seattle Downtown</v>
      </c>
      <c r="AF106" s="6" t="str">
        <f t="shared" si="84"/>
        <v>Rest</v>
      </c>
      <c r="AG106" s="6" t="s">
        <v>221</v>
      </c>
      <c r="AH106" s="89"/>
    </row>
    <row r="107" spans="1:34" x14ac:dyDescent="0.2">
      <c r="A107" s="3" t="s">
        <v>210</v>
      </c>
      <c r="B107" s="7">
        <f>output_NHTS!B295</f>
        <v>21752.4707631565</v>
      </c>
      <c r="C107" s="7">
        <f>output_NHTS!C295</f>
        <v>12992.8145610633</v>
      </c>
      <c r="D107" s="7">
        <f>output_NHTS!D295</f>
        <v>16397.612045899299</v>
      </c>
      <c r="E107" s="7">
        <f>output_NHTS!E295</f>
        <v>20134.3276559142</v>
      </c>
      <c r="F107" s="7">
        <f>output_NHTS!F295</f>
        <v>518392.5958899082</v>
      </c>
      <c r="G107" s="7">
        <f>output_NHTS!G295</f>
        <v>129164.4074526172</v>
      </c>
      <c r="H107" s="7">
        <f>output_NHTS!H295</f>
        <v>1320828.9804408725</v>
      </c>
      <c r="I107" s="7">
        <f>SUM(B107:H107)</f>
        <v>2039663.2088094312</v>
      </c>
      <c r="J107" s="33"/>
      <c r="M107" s="3" t="s">
        <v>210</v>
      </c>
      <c r="N107" s="7">
        <f>output!B295</f>
        <v>0</v>
      </c>
      <c r="O107" s="7">
        <f>output!C295</f>
        <v>0</v>
      </c>
      <c r="P107" s="7">
        <f>output!D295</f>
        <v>0</v>
      </c>
      <c r="Q107" s="7">
        <f>output!E295</f>
        <v>0</v>
      </c>
      <c r="R107" s="7">
        <f>output!F295</f>
        <v>505672</v>
      </c>
      <c r="S107" s="7">
        <f>output!G295</f>
        <v>116870</v>
      </c>
      <c r="T107" s="7">
        <f>output!H295</f>
        <v>1547480</v>
      </c>
      <c r="U107" s="7">
        <f>SUM(N107:T107)</f>
        <v>2170022</v>
      </c>
      <c r="V107" s="33"/>
      <c r="W107" s="25"/>
      <c r="Y107" s="3" t="s">
        <v>210</v>
      </c>
      <c r="Z107" s="7">
        <f t="shared" ref="Z107:Z115" si="85">N107-B107</f>
        <v>-21752.4707631565</v>
      </c>
      <c r="AA107" s="7">
        <f t="shared" ref="AA107:AA115" si="86">O107-C107</f>
        <v>-12992.8145610633</v>
      </c>
      <c r="AB107" s="7">
        <f t="shared" ref="AB107:AB115" si="87">P107-D107</f>
        <v>-16397.612045899299</v>
      </c>
      <c r="AC107" s="7">
        <f t="shared" ref="AC107:AC115" si="88">Q107-E107</f>
        <v>-20134.3276559142</v>
      </c>
      <c r="AD107" s="7">
        <f t="shared" ref="AD107" si="89">R107-F107</f>
        <v>-12720.595889908203</v>
      </c>
      <c r="AE107" s="7">
        <f t="shared" ref="AE107:AF114" si="90">S107-G107</f>
        <v>-12294.407452617204</v>
      </c>
      <c r="AF107" s="7">
        <f t="shared" si="90"/>
        <v>226651.01955912751</v>
      </c>
      <c r="AG107" s="7">
        <f t="shared" ref="AG107:AG115" si="91">U107-I107</f>
        <v>130358.79119056882</v>
      </c>
      <c r="AH107" s="33"/>
    </row>
    <row r="108" spans="1:34" x14ac:dyDescent="0.2">
      <c r="A108" s="3" t="s">
        <v>211</v>
      </c>
      <c r="B108" s="7">
        <f>output_NHTS!B296</f>
        <v>576.5972756717</v>
      </c>
      <c r="C108" s="7">
        <f>output_NHTS!C296</f>
        <v>288.88262341289999</v>
      </c>
      <c r="D108" s="7">
        <f>output_NHTS!D296</f>
        <v>2781.1665910800002</v>
      </c>
      <c r="E108" s="7">
        <f>output_NHTS!E296</f>
        <v>628.82178072800002</v>
      </c>
      <c r="F108" s="7">
        <f>output_NHTS!F296</f>
        <v>168318.44194933481</v>
      </c>
      <c r="G108" s="7">
        <f>output_NHTS!G296</f>
        <v>5968.3407979757003</v>
      </c>
      <c r="H108" s="7">
        <f>output_NHTS!H296</f>
        <v>591983.84058954904</v>
      </c>
      <c r="I108" s="7">
        <f t="shared" ref="I108:I114" si="92">SUM(B108:H108)</f>
        <v>770546.09160775214</v>
      </c>
      <c r="J108" s="33"/>
      <c r="M108" s="3" t="s">
        <v>211</v>
      </c>
      <c r="N108" s="7">
        <f>output!B296</f>
        <v>0</v>
      </c>
      <c r="O108" s="7">
        <f>output!C296</f>
        <v>0</v>
      </c>
      <c r="P108" s="7">
        <f>output!D296</f>
        <v>0</v>
      </c>
      <c r="Q108" s="7">
        <f>output!E296</f>
        <v>0</v>
      </c>
      <c r="R108" s="7">
        <f>output!F296</f>
        <v>120611</v>
      </c>
      <c r="S108" s="7">
        <f>output!G296</f>
        <v>6700</v>
      </c>
      <c r="T108" s="7">
        <f>output!H296</f>
        <v>514635</v>
      </c>
      <c r="U108" s="7">
        <f t="shared" ref="U108:U114" si="93">SUM(N108:T108)</f>
        <v>641946</v>
      </c>
      <c r="V108" s="33"/>
      <c r="W108" s="25"/>
      <c r="Y108" s="3" t="s">
        <v>211</v>
      </c>
      <c r="Z108" s="7">
        <f t="shared" si="85"/>
        <v>-576.5972756717</v>
      </c>
      <c r="AA108" s="7">
        <f t="shared" si="86"/>
        <v>-288.88262341289999</v>
      </c>
      <c r="AB108" s="7">
        <f t="shared" si="87"/>
        <v>-2781.1665910800002</v>
      </c>
      <c r="AC108" s="7">
        <f t="shared" ref="AC108:AC114" si="94">Q108-E108</f>
        <v>-628.82178072800002</v>
      </c>
      <c r="AD108" s="7">
        <f t="shared" ref="AD108:AD115" si="95">R108-F108</f>
        <v>-47707.44194933481</v>
      </c>
      <c r="AE108" s="7">
        <f t="shared" ref="AE108:AF115" si="96">S108-G108</f>
        <v>731.6592020242997</v>
      </c>
      <c r="AF108" s="7">
        <f t="shared" si="90"/>
        <v>-77348.840589549043</v>
      </c>
      <c r="AG108" s="7">
        <f t="shared" si="91"/>
        <v>-128600.09160775214</v>
      </c>
      <c r="AH108" s="33"/>
    </row>
    <row r="109" spans="1:34" x14ac:dyDescent="0.2">
      <c r="A109" s="3" t="s">
        <v>212</v>
      </c>
      <c r="B109" s="7">
        <f>output_NHTS!B297</f>
        <v>7773.3202774525998</v>
      </c>
      <c r="C109" s="7">
        <f>output_NHTS!C297</f>
        <v>3531.3441460960003</v>
      </c>
      <c r="D109" s="7">
        <f>output_NHTS!D297</f>
        <v>9472.9019194639004</v>
      </c>
      <c r="E109" s="7">
        <f>output_NHTS!E297</f>
        <v>11242.8852523923</v>
      </c>
      <c r="F109" s="7">
        <f>output_NHTS!F297</f>
        <v>197186.31919485371</v>
      </c>
      <c r="G109" s="7">
        <f>output_NHTS!G297</f>
        <v>18842.429725858201</v>
      </c>
      <c r="H109" s="7">
        <f>output_NHTS!H297</f>
        <v>812213.3383025662</v>
      </c>
      <c r="I109" s="7">
        <f t="shared" si="92"/>
        <v>1060262.538818683</v>
      </c>
      <c r="J109" s="33"/>
      <c r="M109" s="3" t="s">
        <v>212</v>
      </c>
      <c r="N109" s="7">
        <f>output!B297</f>
        <v>0</v>
      </c>
      <c r="O109" s="7">
        <f>output!C297</f>
        <v>0</v>
      </c>
      <c r="P109" s="7">
        <f>output!D297</f>
        <v>0</v>
      </c>
      <c r="Q109" s="7">
        <f>output!E297</f>
        <v>0</v>
      </c>
      <c r="R109" s="7">
        <f>output!F297</f>
        <v>219525</v>
      </c>
      <c r="S109" s="7">
        <f>output!G297</f>
        <v>36199</v>
      </c>
      <c r="T109" s="7">
        <f>output!H297</f>
        <v>921849</v>
      </c>
      <c r="U109" s="7">
        <f t="shared" si="93"/>
        <v>1177573</v>
      </c>
      <c r="V109" s="33"/>
      <c r="W109" s="25"/>
      <c r="Y109" s="3" t="s">
        <v>212</v>
      </c>
      <c r="Z109" s="7">
        <f t="shared" si="85"/>
        <v>-7773.3202774525998</v>
      </c>
      <c r="AA109" s="7">
        <f t="shared" si="86"/>
        <v>-3531.3441460960003</v>
      </c>
      <c r="AB109" s="7">
        <f t="shared" si="87"/>
        <v>-9472.9019194639004</v>
      </c>
      <c r="AC109" s="7">
        <f t="shared" si="94"/>
        <v>-11242.8852523923</v>
      </c>
      <c r="AD109" s="7">
        <f t="shared" si="95"/>
        <v>22338.680805146287</v>
      </c>
      <c r="AE109" s="7">
        <f t="shared" si="96"/>
        <v>17356.570274141799</v>
      </c>
      <c r="AF109" s="7">
        <f t="shared" si="90"/>
        <v>109635.6616974338</v>
      </c>
      <c r="AG109" s="7">
        <f t="shared" si="91"/>
        <v>117310.46118131699</v>
      </c>
      <c r="AH109" s="33"/>
    </row>
    <row r="110" spans="1:34" x14ac:dyDescent="0.2">
      <c r="A110" s="3" t="s">
        <v>213</v>
      </c>
      <c r="B110" s="7">
        <f>output_NHTS!B298</f>
        <v>7741.5868231114</v>
      </c>
      <c r="C110" s="7">
        <f>output_NHTS!C298</f>
        <v>4929.6006193481999</v>
      </c>
      <c r="D110" s="7">
        <f>output_NHTS!D298</f>
        <v>9292.2988034429</v>
      </c>
      <c r="E110" s="7">
        <f>output_NHTS!E298</f>
        <v>11206.624978321201</v>
      </c>
      <c r="F110" s="7">
        <f>output_NHTS!F298</f>
        <v>308344.4441172381</v>
      </c>
      <c r="G110" s="7">
        <f>output_NHTS!G298</f>
        <v>51091.383328445801</v>
      </c>
      <c r="H110" s="7">
        <f>output_NHTS!H298</f>
        <v>1280501.6874811212</v>
      </c>
      <c r="I110" s="7">
        <f t="shared" si="92"/>
        <v>1673107.6261510288</v>
      </c>
      <c r="J110" s="33"/>
      <c r="M110" s="3" t="s">
        <v>213</v>
      </c>
      <c r="N110" s="7">
        <f>output!B298</f>
        <v>0</v>
      </c>
      <c r="O110" s="7">
        <f>output!C298</f>
        <v>0</v>
      </c>
      <c r="P110" s="7">
        <f>output!D298</f>
        <v>0</v>
      </c>
      <c r="Q110" s="7">
        <f>output!E298</f>
        <v>0</v>
      </c>
      <c r="R110" s="7">
        <f>output!F298</f>
        <v>327460</v>
      </c>
      <c r="S110" s="7">
        <f>output!G298</f>
        <v>66179</v>
      </c>
      <c r="T110" s="7">
        <f>output!H298</f>
        <v>1244225</v>
      </c>
      <c r="U110" s="7">
        <f t="shared" si="93"/>
        <v>1637864</v>
      </c>
      <c r="V110" s="33"/>
      <c r="W110" s="25"/>
      <c r="Y110" s="3" t="s">
        <v>213</v>
      </c>
      <c r="Z110" s="7">
        <f t="shared" si="85"/>
        <v>-7741.5868231114</v>
      </c>
      <c r="AA110" s="7">
        <f t="shared" si="86"/>
        <v>-4929.6006193481999</v>
      </c>
      <c r="AB110" s="7">
        <f t="shared" si="87"/>
        <v>-9292.2988034429</v>
      </c>
      <c r="AC110" s="7">
        <f t="shared" si="94"/>
        <v>-11206.624978321201</v>
      </c>
      <c r="AD110" s="7">
        <f t="shared" si="95"/>
        <v>19115.555882761895</v>
      </c>
      <c r="AE110" s="7">
        <f t="shared" si="96"/>
        <v>15087.616671554199</v>
      </c>
      <c r="AF110" s="7">
        <f t="shared" si="90"/>
        <v>-36276.68748112116</v>
      </c>
      <c r="AG110" s="7">
        <f t="shared" si="91"/>
        <v>-35243.626151028788</v>
      </c>
      <c r="AH110" s="33"/>
    </row>
    <row r="111" spans="1:34" x14ac:dyDescent="0.2">
      <c r="A111" s="3" t="s">
        <v>214</v>
      </c>
      <c r="B111" s="7">
        <f>output_NHTS!B299</f>
        <v>22924.487973251398</v>
      </c>
      <c r="C111" s="7">
        <f>output_NHTS!C299</f>
        <v>8486.642462080601</v>
      </c>
      <c r="D111" s="7">
        <f>output_NHTS!D299</f>
        <v>16687.0051890453</v>
      </c>
      <c r="E111" s="7">
        <f>output_NHTS!E299</f>
        <v>16825.613457015501</v>
      </c>
      <c r="F111" s="7">
        <f>output_NHTS!F299</f>
        <v>331099.53829178849</v>
      </c>
      <c r="G111" s="7">
        <f>output_NHTS!G299</f>
        <v>76484.525358306899</v>
      </c>
      <c r="H111" s="7">
        <f>output_NHTS!H299</f>
        <v>1375345.3967285336</v>
      </c>
      <c r="I111" s="7">
        <f t="shared" si="92"/>
        <v>1847853.2094600217</v>
      </c>
      <c r="J111" s="33"/>
      <c r="M111" s="3" t="s">
        <v>214</v>
      </c>
      <c r="N111" s="7">
        <f>output!B299</f>
        <v>0</v>
      </c>
      <c r="O111" s="7">
        <f>output!C299</f>
        <v>0</v>
      </c>
      <c r="P111" s="7">
        <f>output!D299</f>
        <v>0</v>
      </c>
      <c r="Q111" s="7">
        <f>output!E299</f>
        <v>0</v>
      </c>
      <c r="R111" s="7">
        <f>output!F299</f>
        <v>345120</v>
      </c>
      <c r="S111" s="7">
        <f>output!G299</f>
        <v>89922</v>
      </c>
      <c r="T111" s="7">
        <f>output!H299</f>
        <v>1387895</v>
      </c>
      <c r="U111" s="7">
        <f t="shared" si="93"/>
        <v>1822937</v>
      </c>
      <c r="V111" s="33"/>
      <c r="W111" s="25"/>
      <c r="Y111" s="3" t="s">
        <v>214</v>
      </c>
      <c r="Z111" s="7">
        <f t="shared" si="85"/>
        <v>-22924.487973251398</v>
      </c>
      <c r="AA111" s="7">
        <f t="shared" si="86"/>
        <v>-8486.642462080601</v>
      </c>
      <c r="AB111" s="7">
        <f t="shared" si="87"/>
        <v>-16687.0051890453</v>
      </c>
      <c r="AC111" s="7">
        <f t="shared" si="94"/>
        <v>-16825.613457015501</v>
      </c>
      <c r="AD111" s="7">
        <f t="shared" si="95"/>
        <v>14020.461708211515</v>
      </c>
      <c r="AE111" s="7">
        <f t="shared" si="96"/>
        <v>13437.474641693101</v>
      </c>
      <c r="AF111" s="7">
        <f t="shared" si="90"/>
        <v>12549.603271466447</v>
      </c>
      <c r="AG111" s="7">
        <f t="shared" si="91"/>
        <v>-24916.209460021695</v>
      </c>
      <c r="AH111" s="33"/>
    </row>
    <row r="112" spans="1:34" x14ac:dyDescent="0.2">
      <c r="A112" s="3" t="s">
        <v>129</v>
      </c>
      <c r="B112" s="7">
        <f>output_NHTS!B300</f>
        <v>14374.419176408401</v>
      </c>
      <c r="C112" s="7">
        <f>output_NHTS!C300</f>
        <v>5331.079768818</v>
      </c>
      <c r="D112" s="7">
        <f>output_NHTS!D300</f>
        <v>4268.3133874406003</v>
      </c>
      <c r="E112" s="7">
        <f>output_NHTS!E300</f>
        <v>10325.5802015395</v>
      </c>
      <c r="F112" s="7">
        <f>output_NHTS!F300</f>
        <v>164223.54165720049</v>
      </c>
      <c r="G112" s="7">
        <f>output_NHTS!G300</f>
        <v>69275.099663829402</v>
      </c>
      <c r="H112" s="7">
        <f>output_NHTS!H300</f>
        <v>466841.35055926518</v>
      </c>
      <c r="I112" s="7">
        <f t="shared" si="92"/>
        <v>734639.38441450149</v>
      </c>
      <c r="J112" s="33"/>
      <c r="M112" s="3" t="s">
        <v>129</v>
      </c>
      <c r="N112" s="7">
        <f>output!B300</f>
        <v>0</v>
      </c>
      <c r="O112" s="7">
        <f>output!C300</f>
        <v>0</v>
      </c>
      <c r="P112" s="7">
        <f>output!D300</f>
        <v>0</v>
      </c>
      <c r="Q112" s="7">
        <f>output!E300</f>
        <v>0</v>
      </c>
      <c r="R112" s="7">
        <f>output!F300</f>
        <v>177280</v>
      </c>
      <c r="S112" s="7">
        <f>output!G300</f>
        <v>52770</v>
      </c>
      <c r="T112" s="7">
        <f>output!H300</f>
        <v>497074</v>
      </c>
      <c r="U112" s="7">
        <f t="shared" si="93"/>
        <v>727124</v>
      </c>
      <c r="V112" s="33"/>
      <c r="W112" s="25"/>
      <c r="Y112" s="3" t="s">
        <v>129</v>
      </c>
      <c r="Z112" s="7">
        <f t="shared" si="85"/>
        <v>-14374.419176408401</v>
      </c>
      <c r="AA112" s="7">
        <f t="shared" si="86"/>
        <v>-5331.079768818</v>
      </c>
      <c r="AB112" s="7">
        <f t="shared" si="87"/>
        <v>-4268.3133874406003</v>
      </c>
      <c r="AC112" s="7">
        <f t="shared" si="94"/>
        <v>-10325.5802015395</v>
      </c>
      <c r="AD112" s="7">
        <f t="shared" si="95"/>
        <v>13056.458342799509</v>
      </c>
      <c r="AE112" s="7">
        <f t="shared" si="96"/>
        <v>-16505.099663829402</v>
      </c>
      <c r="AF112" s="7">
        <f t="shared" si="90"/>
        <v>30232.649440734822</v>
      </c>
      <c r="AG112" s="7">
        <f t="shared" si="91"/>
        <v>-7515.3844145014882</v>
      </c>
      <c r="AH112" s="33"/>
    </row>
    <row r="113" spans="1:34" x14ac:dyDescent="0.2">
      <c r="A113" s="3" t="s">
        <v>130</v>
      </c>
      <c r="B113" s="7">
        <f>output_NHTS!B301</f>
        <v>12809.1590803612</v>
      </c>
      <c r="C113" s="7">
        <f>output_NHTS!C301</f>
        <v>2226.9290697013998</v>
      </c>
      <c r="D113" s="7">
        <f>output_NHTS!D301</f>
        <v>6352.6620840768001</v>
      </c>
      <c r="E113" s="7">
        <f>output_NHTS!E301</f>
        <v>2707.5866659713001</v>
      </c>
      <c r="F113" s="7">
        <f>output_NHTS!F301</f>
        <v>360851.12634814228</v>
      </c>
      <c r="G113" s="7">
        <f>output_NHTS!G301</f>
        <v>59048.497195055097</v>
      </c>
      <c r="H113" s="7">
        <f>output_NHTS!H301</f>
        <v>1073432.3519941035</v>
      </c>
      <c r="I113" s="7">
        <f t="shared" si="92"/>
        <v>1517428.3124374116</v>
      </c>
      <c r="J113" s="33"/>
      <c r="M113" s="3" t="s">
        <v>130</v>
      </c>
      <c r="N113" s="7">
        <f>output!B301</f>
        <v>0</v>
      </c>
      <c r="O113" s="7">
        <f>output!C301</f>
        <v>0</v>
      </c>
      <c r="P113" s="7">
        <f>output!D301</f>
        <v>0</v>
      </c>
      <c r="Q113" s="7">
        <f>output!E301</f>
        <v>0</v>
      </c>
      <c r="R113" s="7">
        <f>output!F301</f>
        <v>311419</v>
      </c>
      <c r="S113" s="7">
        <f>output!G301</f>
        <v>51567</v>
      </c>
      <c r="T113" s="7">
        <f>output!H301</f>
        <v>1150352</v>
      </c>
      <c r="U113" s="7">
        <f t="shared" si="93"/>
        <v>1513338</v>
      </c>
      <c r="V113" s="33"/>
      <c r="W113" s="25"/>
      <c r="Y113" s="3" t="s">
        <v>130</v>
      </c>
      <c r="Z113" s="7">
        <f t="shared" si="85"/>
        <v>-12809.1590803612</v>
      </c>
      <c r="AA113" s="7">
        <f t="shared" si="86"/>
        <v>-2226.9290697013998</v>
      </c>
      <c r="AB113" s="7">
        <f t="shared" si="87"/>
        <v>-6352.6620840768001</v>
      </c>
      <c r="AC113" s="7">
        <f t="shared" si="94"/>
        <v>-2707.5866659713001</v>
      </c>
      <c r="AD113" s="7">
        <f t="shared" si="95"/>
        <v>-49432.126348142279</v>
      </c>
      <c r="AE113" s="7">
        <f t="shared" si="96"/>
        <v>-7481.4971950550971</v>
      </c>
      <c r="AF113" s="7">
        <f t="shared" si="90"/>
        <v>76919.648005896481</v>
      </c>
      <c r="AG113" s="7">
        <f t="shared" si="91"/>
        <v>-4090.3124374116305</v>
      </c>
      <c r="AH113" s="33"/>
    </row>
    <row r="114" spans="1:34" x14ac:dyDescent="0.2">
      <c r="A114" s="8" t="s">
        <v>145</v>
      </c>
      <c r="B114" s="7">
        <f>output_NHTS!B302</f>
        <v>60333.023526005003</v>
      </c>
      <c r="C114" s="7">
        <f>output_NHTS!C302</f>
        <v>23981.0489552701</v>
      </c>
      <c r="D114" s="7">
        <f>output_NHTS!D302</f>
        <v>85128.931212627896</v>
      </c>
      <c r="E114" s="7">
        <f>output_NHTS!E302</f>
        <v>44939.104143110802</v>
      </c>
      <c r="F114" s="7">
        <f>output_NHTS!F302</f>
        <v>1016181.2412276367</v>
      </c>
      <c r="G114" s="7">
        <f>output_NHTS!G302</f>
        <v>270813.39192327787</v>
      </c>
      <c r="H114" s="7">
        <f>output_NHTS!H302</f>
        <v>3702181.2292302372</v>
      </c>
      <c r="I114" s="7">
        <f t="shared" si="92"/>
        <v>5203557.9702181658</v>
      </c>
      <c r="J114" s="33"/>
      <c r="M114" s="8" t="s">
        <v>145</v>
      </c>
      <c r="N114" s="7">
        <f>output!B302</f>
        <v>0</v>
      </c>
      <c r="O114" s="7">
        <f>output!C302</f>
        <v>0</v>
      </c>
      <c r="P114" s="7">
        <f>output!D302</f>
        <v>0</v>
      </c>
      <c r="Q114" s="7">
        <f>output!E302</f>
        <v>0</v>
      </c>
      <c r="R114" s="7">
        <f>output!F302</f>
        <v>1028583</v>
      </c>
      <c r="S114" s="7">
        <f>output!G302</f>
        <v>230956</v>
      </c>
      <c r="T114" s="7">
        <f>output!H302</f>
        <v>3963252</v>
      </c>
      <c r="U114" s="7">
        <f t="shared" si="93"/>
        <v>5222791</v>
      </c>
      <c r="V114" s="33"/>
      <c r="W114" s="25"/>
      <c r="Y114" s="8" t="s">
        <v>145</v>
      </c>
      <c r="Z114" s="7">
        <f t="shared" si="85"/>
        <v>-60333.023526005003</v>
      </c>
      <c r="AA114" s="7">
        <f t="shared" si="86"/>
        <v>-23981.0489552701</v>
      </c>
      <c r="AB114" s="7">
        <f t="shared" si="87"/>
        <v>-85128.931212627896</v>
      </c>
      <c r="AC114" s="7">
        <f t="shared" si="94"/>
        <v>-44939.104143110802</v>
      </c>
      <c r="AD114" s="7">
        <f t="shared" si="95"/>
        <v>12401.758772363304</v>
      </c>
      <c r="AE114" s="7">
        <f t="shared" si="96"/>
        <v>-39857.391923277872</v>
      </c>
      <c r="AF114" s="7">
        <f t="shared" si="90"/>
        <v>261070.77076976281</v>
      </c>
      <c r="AG114" s="7">
        <f t="shared" si="91"/>
        <v>19233.029781834222</v>
      </c>
      <c r="AH114" s="33"/>
    </row>
    <row r="115" spans="1:34" ht="13.5" thickBot="1" x14ac:dyDescent="0.25">
      <c r="A115" s="10" t="s">
        <v>221</v>
      </c>
      <c r="B115" s="11">
        <f>SUM(B107:B114)</f>
        <v>148285.06489541821</v>
      </c>
      <c r="C115" s="11">
        <f>SUM(C107:C114)</f>
        <v>61768.342205790497</v>
      </c>
      <c r="D115" s="11">
        <f>SUM(D107:D114)</f>
        <v>150380.89123307669</v>
      </c>
      <c r="E115" s="11">
        <f>SUM(E107:E114)</f>
        <v>118010.54413499282</v>
      </c>
      <c r="F115" s="11">
        <f t="shared" ref="F115:G115" si="97">SUM(F107:F114)</f>
        <v>3064597.2486761026</v>
      </c>
      <c r="G115" s="11">
        <f t="shared" si="97"/>
        <v>680688.07544536621</v>
      </c>
      <c r="H115" s="11">
        <f t="shared" ref="H115" si="98">SUM(H107:H114)</f>
        <v>10623328.175326249</v>
      </c>
      <c r="I115" s="11">
        <f>SUM(I107:I114)</f>
        <v>14847058.341916997</v>
      </c>
      <c r="J115" s="33"/>
      <c r="M115" s="10" t="s">
        <v>221</v>
      </c>
      <c r="N115" s="11">
        <f>SUM(N107:N114)</f>
        <v>0</v>
      </c>
      <c r="O115" s="11">
        <f>SUM(O107:O114)</f>
        <v>0</v>
      </c>
      <c r="P115" s="11">
        <f>SUM(P107:P114)</f>
        <v>0</v>
      </c>
      <c r="Q115" s="11">
        <f>SUM(Q107:Q114)</f>
        <v>0</v>
      </c>
      <c r="R115" s="11">
        <f t="shared" ref="R115:S115" si="99">SUM(R107:R114)</f>
        <v>3035670</v>
      </c>
      <c r="S115" s="11">
        <f t="shared" si="99"/>
        <v>651163</v>
      </c>
      <c r="T115" s="11">
        <f t="shared" ref="T115" si="100">SUM(T107:T114)</f>
        <v>11226762</v>
      </c>
      <c r="U115" s="11">
        <f>SUM(U107:U114)</f>
        <v>14913595</v>
      </c>
      <c r="V115" s="33"/>
      <c r="W115" s="25"/>
      <c r="Y115" s="10" t="s">
        <v>221</v>
      </c>
      <c r="Z115" s="11">
        <f t="shared" si="85"/>
        <v>-148285.06489541821</v>
      </c>
      <c r="AA115" s="11">
        <f t="shared" si="86"/>
        <v>-61768.342205790497</v>
      </c>
      <c r="AB115" s="11">
        <f t="shared" si="87"/>
        <v>-150380.89123307669</v>
      </c>
      <c r="AC115" s="11">
        <f t="shared" si="88"/>
        <v>-118010.54413499282</v>
      </c>
      <c r="AD115" s="11">
        <f t="shared" si="95"/>
        <v>-28927.248676102608</v>
      </c>
      <c r="AE115" s="11">
        <f t="shared" si="96"/>
        <v>-29525.075445366208</v>
      </c>
      <c r="AF115" s="11">
        <f t="shared" si="96"/>
        <v>603433.82467375137</v>
      </c>
      <c r="AG115" s="11">
        <f t="shared" si="91"/>
        <v>66536.658083003014</v>
      </c>
      <c r="AH115" s="33"/>
    </row>
    <row r="116" spans="1:34" x14ac:dyDescent="0.2">
      <c r="G116" s="25"/>
      <c r="H116" s="25"/>
      <c r="I116" s="25"/>
      <c r="J116" s="25"/>
      <c r="S116" s="25"/>
      <c r="T116" s="25"/>
      <c r="U116" s="25"/>
      <c r="V116" s="25"/>
      <c r="W116" s="25"/>
      <c r="AE116" s="25"/>
      <c r="AF116" s="25"/>
      <c r="AG116" s="25"/>
      <c r="AH116" s="25"/>
    </row>
    <row r="117" spans="1:34" x14ac:dyDescent="0.2">
      <c r="A117" s="25" t="s">
        <v>88</v>
      </c>
      <c r="B117" s="7">
        <f>ToursByTourPurpose!B118</f>
        <v>0</v>
      </c>
      <c r="C117" s="7">
        <f>ToursByTourPurpose!C118</f>
        <v>0</v>
      </c>
      <c r="D117" s="7">
        <f>ToursByTourPurpose!D118</f>
        <v>0</v>
      </c>
      <c r="E117" s="7">
        <f>ToursByTourPurpose!E118</f>
        <v>0</v>
      </c>
      <c r="F117" s="7">
        <f>ToursByTourPurpose!F118</f>
        <v>636827.67330000002</v>
      </c>
      <c r="G117" s="7">
        <f>ToursByTourPurpose!G118</f>
        <v>54534.662199999999</v>
      </c>
      <c r="H117" s="7">
        <f>ToursByTourPurpose!H118</f>
        <v>2601551.0852999999</v>
      </c>
      <c r="I117" s="7">
        <f>ToursByTourPurpose!I118</f>
        <v>3292913.4208</v>
      </c>
      <c r="J117" s="33"/>
      <c r="M117" s="25" t="s">
        <v>88</v>
      </c>
      <c r="N117" s="7">
        <f>ToursByTourPurpose!N118</f>
        <v>620</v>
      </c>
      <c r="O117" s="7">
        <f>ToursByTourPurpose!O118</f>
        <v>168</v>
      </c>
      <c r="P117" s="7">
        <f>ToursByTourPurpose!P118</f>
        <v>756</v>
      </c>
      <c r="Q117" s="7">
        <f>ToursByTourPurpose!Q118</f>
        <v>502</v>
      </c>
      <c r="R117" s="7">
        <f>ToursByTourPurpose!R118</f>
        <v>525803</v>
      </c>
      <c r="S117" s="7">
        <f>ToursByTourPurpose!S118</f>
        <v>63262</v>
      </c>
      <c r="T117" s="7">
        <f>ToursByTourPurpose!T118</f>
        <v>2180627</v>
      </c>
      <c r="U117" s="7">
        <f>ToursByTourPurpose!U118</f>
        <v>2771738</v>
      </c>
      <c r="V117" s="33"/>
      <c r="W117" s="25"/>
      <c r="Y117" s="3" t="s">
        <v>88</v>
      </c>
      <c r="Z117" s="7">
        <f t="shared" ref="Z117:AC118" si="101">N117-B117</f>
        <v>620</v>
      </c>
      <c r="AA117" s="7">
        <f t="shared" si="101"/>
        <v>168</v>
      </c>
      <c r="AB117" s="7">
        <f t="shared" si="101"/>
        <v>756</v>
      </c>
      <c r="AC117" s="7">
        <f t="shared" si="101"/>
        <v>502</v>
      </c>
      <c r="AD117" s="7">
        <f t="shared" ref="AD117:AD118" si="102">R117-F117</f>
        <v>-111024.67330000002</v>
      </c>
      <c r="AE117" s="7">
        <f t="shared" ref="AE117:AF118" si="103">S117-G117</f>
        <v>8727.3378000000012</v>
      </c>
      <c r="AF117" s="7">
        <f t="shared" si="103"/>
        <v>-420924.08529999992</v>
      </c>
      <c r="AG117" s="7">
        <f t="shared" ref="AG117:AG118" si="104">U117-I117</f>
        <v>-521175.42079999996</v>
      </c>
      <c r="AH117" s="33"/>
    </row>
    <row r="118" spans="1:34" x14ac:dyDescent="0.2">
      <c r="A118" s="25" t="s">
        <v>91</v>
      </c>
      <c r="B118" s="38" t="e">
        <f>B115/B117</f>
        <v>#DIV/0!</v>
      </c>
      <c r="C118" s="38" t="e">
        <f>C115/C117</f>
        <v>#DIV/0!</v>
      </c>
      <c r="D118" s="38" t="e">
        <f>D115/D117</f>
        <v>#DIV/0!</v>
      </c>
      <c r="E118" s="38" t="e">
        <f>E115/E117</f>
        <v>#DIV/0!</v>
      </c>
      <c r="F118" s="38">
        <f t="shared" ref="F118:I118" si="105">F115/F117</f>
        <v>4.812286552805654</v>
      </c>
      <c r="G118" s="38">
        <f t="shared" si="105"/>
        <v>12.481751018260937</v>
      </c>
      <c r="H118" s="38">
        <f t="shared" si="105"/>
        <v>4.0834593775048669</v>
      </c>
      <c r="I118" s="38">
        <f t="shared" si="105"/>
        <v>4.5087909837331726</v>
      </c>
      <c r="J118" s="103"/>
      <c r="M118" s="25" t="s">
        <v>91</v>
      </c>
      <c r="N118" s="38">
        <f>N115/N117</f>
        <v>0</v>
      </c>
      <c r="O118" s="38">
        <f>O115/O117</f>
        <v>0</v>
      </c>
      <c r="P118" s="38">
        <f>P115/P117</f>
        <v>0</v>
      </c>
      <c r="Q118" s="38">
        <f>Q115/Q117</f>
        <v>0</v>
      </c>
      <c r="R118" s="38">
        <f t="shared" ref="R118:U118" si="106">R115/R117</f>
        <v>5.7733980216925351</v>
      </c>
      <c r="S118" s="38">
        <f t="shared" si="106"/>
        <v>10.29311434984667</v>
      </c>
      <c r="T118" s="38">
        <f t="shared" ref="T118" si="107">T115/T117</f>
        <v>5.1484100673797029</v>
      </c>
      <c r="U118" s="38">
        <f t="shared" si="106"/>
        <v>5.3805933316929666</v>
      </c>
      <c r="V118" s="103"/>
      <c r="W118" s="25"/>
      <c r="Y118" s="3" t="s">
        <v>91</v>
      </c>
      <c r="Z118" s="38" t="e">
        <f t="shared" si="101"/>
        <v>#DIV/0!</v>
      </c>
      <c r="AA118" s="38" t="e">
        <f t="shared" si="101"/>
        <v>#DIV/0!</v>
      </c>
      <c r="AB118" s="38" t="e">
        <f t="shared" si="101"/>
        <v>#DIV/0!</v>
      </c>
      <c r="AC118" s="38" t="e">
        <f t="shared" si="101"/>
        <v>#DIV/0!</v>
      </c>
      <c r="AD118" s="38">
        <f t="shared" si="102"/>
        <v>0.96111146888688115</v>
      </c>
      <c r="AE118" s="38">
        <f t="shared" si="103"/>
        <v>-2.1886366684142669</v>
      </c>
      <c r="AF118" s="38">
        <f t="shared" si="103"/>
        <v>1.064950689874836</v>
      </c>
      <c r="AG118" s="38">
        <f t="shared" si="104"/>
        <v>0.87180234795979406</v>
      </c>
      <c r="AH118" s="103"/>
    </row>
    <row r="119" spans="1:34" x14ac:dyDescent="0.2">
      <c r="G119" s="25"/>
      <c r="H119" s="25"/>
      <c r="I119" s="25"/>
      <c r="J119" s="25"/>
      <c r="S119" s="25"/>
      <c r="T119" s="25"/>
      <c r="U119" s="25"/>
      <c r="V119" s="25"/>
      <c r="W119" s="25"/>
      <c r="AE119" s="25"/>
      <c r="AF119" s="25"/>
      <c r="AG119" s="25"/>
      <c r="AH119" s="25"/>
    </row>
    <row r="120" spans="1:34" x14ac:dyDescent="0.2">
      <c r="A120" s="2" t="s">
        <v>175</v>
      </c>
      <c r="G120" s="25"/>
      <c r="H120" s="25"/>
      <c r="I120" s="25"/>
      <c r="J120" s="25"/>
      <c r="M120" s="2" t="s">
        <v>175</v>
      </c>
      <c r="S120" s="25"/>
      <c r="T120" s="25"/>
      <c r="U120" s="25"/>
      <c r="V120" s="25"/>
      <c r="W120" s="25"/>
      <c r="Y120" s="2" t="s">
        <v>175</v>
      </c>
      <c r="AE120" s="25"/>
      <c r="AF120" s="25"/>
      <c r="AG120" s="25"/>
      <c r="AH120" s="25"/>
    </row>
    <row r="121" spans="1:34" x14ac:dyDescent="0.2">
      <c r="A121" s="2" t="s">
        <v>315</v>
      </c>
      <c r="G121" s="25"/>
      <c r="H121" s="25"/>
      <c r="I121" s="25"/>
      <c r="J121" s="25"/>
      <c r="M121" s="2" t="s">
        <v>314</v>
      </c>
      <c r="S121" s="25"/>
      <c r="T121" s="25"/>
      <c r="U121" s="25"/>
      <c r="V121" s="25"/>
      <c r="W121" s="25"/>
      <c r="Y121" s="218" t="s">
        <v>313</v>
      </c>
      <c r="Z121" s="218"/>
      <c r="AA121" s="218"/>
      <c r="AE121" s="25"/>
      <c r="AF121" s="25"/>
      <c r="AG121" s="25"/>
      <c r="AH121" s="25"/>
    </row>
    <row r="122" spans="1:34" ht="13.5" thickBot="1" x14ac:dyDescent="0.25">
      <c r="B122" s="15"/>
      <c r="C122" s="15"/>
      <c r="D122" s="15"/>
      <c r="E122" s="15"/>
      <c r="F122" s="15"/>
      <c r="G122" s="25"/>
      <c r="H122" s="25"/>
      <c r="I122" s="25"/>
      <c r="J122" s="25"/>
      <c r="N122" s="15"/>
      <c r="O122" s="15"/>
      <c r="P122" s="15"/>
      <c r="Q122" s="15"/>
      <c r="R122" s="15"/>
      <c r="S122" s="25"/>
      <c r="T122" s="25"/>
      <c r="U122" s="25"/>
      <c r="V122" s="25"/>
      <c r="W122" s="25"/>
      <c r="Z122" s="15"/>
      <c r="AA122" s="15"/>
      <c r="AB122" s="15"/>
      <c r="AC122" s="15"/>
      <c r="AD122" s="15"/>
      <c r="AE122" s="25"/>
      <c r="AF122" s="25"/>
      <c r="AG122" s="25"/>
      <c r="AH122" s="25"/>
    </row>
    <row r="123" spans="1:34" x14ac:dyDescent="0.2">
      <c r="A123" s="5" t="s">
        <v>144</v>
      </c>
      <c r="B123" s="6" t="str">
        <f>B106</f>
        <v>Bellevue</v>
      </c>
      <c r="C123" s="6" t="str">
        <f t="shared" ref="C123:G123" si="108">C106</f>
        <v>Bellevue Downtown</v>
      </c>
      <c r="D123" s="6" t="str">
        <f t="shared" si="108"/>
        <v>Kirkland</v>
      </c>
      <c r="E123" s="6" t="str">
        <f t="shared" si="108"/>
        <v>Redmond</v>
      </c>
      <c r="F123" s="6" t="str">
        <f t="shared" si="108"/>
        <v>Seattle</v>
      </c>
      <c r="G123" s="6" t="str">
        <f t="shared" si="108"/>
        <v>Seattle Downtown</v>
      </c>
      <c r="H123" s="6" t="str">
        <f>H106</f>
        <v>Rest</v>
      </c>
      <c r="I123" s="6" t="s">
        <v>221</v>
      </c>
      <c r="J123" s="89"/>
      <c r="M123" s="5" t="s">
        <v>144</v>
      </c>
      <c r="N123" s="6" t="str">
        <f>B106</f>
        <v>Bellevue</v>
      </c>
      <c r="O123" s="6" t="str">
        <f t="shared" ref="O123:S123" si="109">C106</f>
        <v>Bellevue Downtown</v>
      </c>
      <c r="P123" s="6" t="str">
        <f t="shared" si="109"/>
        <v>Kirkland</v>
      </c>
      <c r="Q123" s="6" t="str">
        <f t="shared" si="109"/>
        <v>Redmond</v>
      </c>
      <c r="R123" s="6" t="str">
        <f t="shared" si="109"/>
        <v>Seattle</v>
      </c>
      <c r="S123" s="6" t="str">
        <f t="shared" si="109"/>
        <v>Seattle Downtown</v>
      </c>
      <c r="T123" s="6" t="str">
        <f>H106</f>
        <v>Rest</v>
      </c>
      <c r="U123" s="6" t="s">
        <v>221</v>
      </c>
      <c r="V123" s="89"/>
      <c r="W123" s="25"/>
      <c r="Y123" s="5" t="s">
        <v>144</v>
      </c>
      <c r="Z123" s="6" t="str">
        <f>B106</f>
        <v>Bellevue</v>
      </c>
      <c r="AA123" s="6" t="str">
        <f t="shared" ref="AA123:AF123" si="110">C106</f>
        <v>Bellevue Downtown</v>
      </c>
      <c r="AB123" s="6" t="str">
        <f t="shared" si="110"/>
        <v>Kirkland</v>
      </c>
      <c r="AC123" s="6" t="str">
        <f t="shared" si="110"/>
        <v>Redmond</v>
      </c>
      <c r="AD123" s="6" t="str">
        <f t="shared" si="110"/>
        <v>Seattle</v>
      </c>
      <c r="AE123" s="6" t="str">
        <f t="shared" si="110"/>
        <v>Seattle Downtown</v>
      </c>
      <c r="AF123" s="6" t="str">
        <f t="shared" si="110"/>
        <v>Rest</v>
      </c>
      <c r="AG123" s="6" t="s">
        <v>221</v>
      </c>
      <c r="AH123" s="89"/>
    </row>
    <row r="124" spans="1:34" x14ac:dyDescent="0.2">
      <c r="A124" s="3" t="s">
        <v>210</v>
      </c>
      <c r="B124" s="12">
        <f t="shared" ref="B124:G130" si="111">B107/B$115</f>
        <v>0.14669360517526145</v>
      </c>
      <c r="C124" s="12">
        <f t="shared" si="111"/>
        <v>0.2103474708415484</v>
      </c>
      <c r="D124" s="12">
        <f>D107/D$115</f>
        <v>0.10904052976042344</v>
      </c>
      <c r="E124" s="12">
        <f>E107/E$115</f>
        <v>0.17061464976284194</v>
      </c>
      <c r="F124" s="12">
        <f t="shared" ref="F124:G124" si="112">F107/F$115</f>
        <v>0.16915521154169683</v>
      </c>
      <c r="G124" s="12">
        <f t="shared" si="112"/>
        <v>0.18975564889704649</v>
      </c>
      <c r="H124" s="12">
        <f t="shared" ref="H124" si="113">H107/H$115</f>
        <v>0.1243328793615386</v>
      </c>
      <c r="I124" s="12">
        <f t="shared" ref="I124:I132" si="114">I107/I$115</f>
        <v>0.13737827129371119</v>
      </c>
      <c r="J124" s="34"/>
      <c r="M124" s="3" t="s">
        <v>210</v>
      </c>
      <c r="N124" s="12" t="e">
        <f t="shared" ref="N124:S132" si="115">N107/N$115</f>
        <v>#DIV/0!</v>
      </c>
      <c r="O124" s="12" t="e">
        <f t="shared" si="115"/>
        <v>#DIV/0!</v>
      </c>
      <c r="P124" s="12" t="e">
        <f t="shared" si="115"/>
        <v>#DIV/0!</v>
      </c>
      <c r="Q124" s="12" t="e">
        <f t="shared" si="115"/>
        <v>#DIV/0!</v>
      </c>
      <c r="R124" s="12">
        <f t="shared" si="115"/>
        <v>0.1665767359429714</v>
      </c>
      <c r="S124" s="12">
        <f t="shared" si="115"/>
        <v>0.17947887088179151</v>
      </c>
      <c r="T124" s="12">
        <f t="shared" ref="T124" si="116">T107/T$115</f>
        <v>0.13783849697713374</v>
      </c>
      <c r="U124" s="12">
        <f t="shared" ref="U124:U132" si="117">U107/U$115</f>
        <v>0.14550629811256105</v>
      </c>
      <c r="V124" s="34"/>
      <c r="W124" s="25"/>
      <c r="Y124" s="3" t="s">
        <v>210</v>
      </c>
      <c r="Z124" s="12" t="e">
        <f t="shared" ref="Z124:Z132" si="118">N124-B124</f>
        <v>#DIV/0!</v>
      </c>
      <c r="AA124" s="12" t="e">
        <f t="shared" ref="AA124:AA132" si="119">O124-C124</f>
        <v>#DIV/0!</v>
      </c>
      <c r="AB124" s="12" t="e">
        <f t="shared" ref="AB124:AB132" si="120">P124-D124</f>
        <v>#DIV/0!</v>
      </c>
      <c r="AC124" s="12" t="e">
        <f>Q124-E124</f>
        <v>#DIV/0!</v>
      </c>
      <c r="AD124" s="12">
        <f>R124-F124</f>
        <v>-2.5784755987254271E-3</v>
      </c>
      <c r="AE124" s="12">
        <f>S124-G124</f>
        <v>-1.0276778015254978E-2</v>
      </c>
      <c r="AF124" s="12">
        <f>T124-H124</f>
        <v>1.3505617615595142E-2</v>
      </c>
      <c r="AG124" s="12">
        <f t="shared" ref="AG124:AG132" si="121">U124-I124</f>
        <v>8.1280268188498594E-3</v>
      </c>
      <c r="AH124" s="34"/>
    </row>
    <row r="125" spans="1:34" x14ac:dyDescent="0.2">
      <c r="A125" s="3" t="s">
        <v>211</v>
      </c>
      <c r="B125" s="12">
        <f t="shared" si="111"/>
        <v>3.8884379629085357E-3</v>
      </c>
      <c r="C125" s="12">
        <f t="shared" si="111"/>
        <v>4.6768718909509371E-3</v>
      </c>
      <c r="D125" s="12">
        <f t="shared" si="111"/>
        <v>1.8494148879390833E-2</v>
      </c>
      <c r="E125" s="12">
        <f t="shared" si="111"/>
        <v>5.328522000616215E-3</v>
      </c>
      <c r="F125" s="12">
        <f t="shared" si="111"/>
        <v>5.4923511408243905E-2</v>
      </c>
      <c r="G125" s="12">
        <f t="shared" si="111"/>
        <v>8.768099535269051E-3</v>
      </c>
      <c r="H125" s="12">
        <f t="shared" ref="H125" si="122">H108/H$115</f>
        <v>5.5724894385216418E-2</v>
      </c>
      <c r="I125" s="12">
        <f t="shared" si="114"/>
        <v>5.1898906427295825E-2</v>
      </c>
      <c r="J125" s="34"/>
      <c r="M125" s="3" t="s">
        <v>211</v>
      </c>
      <c r="N125" s="12" t="e">
        <f t="shared" si="115"/>
        <v>#DIV/0!</v>
      </c>
      <c r="O125" s="12" t="e">
        <f t="shared" si="115"/>
        <v>#DIV/0!</v>
      </c>
      <c r="P125" s="12" t="e">
        <f t="shared" si="115"/>
        <v>#DIV/0!</v>
      </c>
      <c r="Q125" s="12" t="e">
        <f t="shared" si="115"/>
        <v>#DIV/0!</v>
      </c>
      <c r="R125" s="12">
        <f t="shared" ref="R125:S125" si="123">R108/R$115</f>
        <v>3.9731261961939213E-2</v>
      </c>
      <c r="S125" s="12">
        <f t="shared" si="123"/>
        <v>1.0289282407016369E-2</v>
      </c>
      <c r="T125" s="12">
        <f t="shared" ref="T125" si="124">T108/T$115</f>
        <v>4.5840020479636069E-2</v>
      </c>
      <c r="U125" s="12">
        <f t="shared" si="117"/>
        <v>4.3044349802981774E-2</v>
      </c>
      <c r="V125" s="34"/>
      <c r="W125" s="25"/>
      <c r="Y125" s="3" t="s">
        <v>211</v>
      </c>
      <c r="Z125" s="12" t="e">
        <f t="shared" si="118"/>
        <v>#DIV/0!</v>
      </c>
      <c r="AA125" s="12" t="e">
        <f t="shared" si="119"/>
        <v>#DIV/0!</v>
      </c>
      <c r="AB125" s="12" t="e">
        <f t="shared" si="120"/>
        <v>#DIV/0!</v>
      </c>
      <c r="AC125" s="12" t="e">
        <f t="shared" ref="AC125:AC132" si="125">Q125-E125</f>
        <v>#DIV/0!</v>
      </c>
      <c r="AD125" s="12">
        <f t="shared" ref="AD125:AD132" si="126">R125-F125</f>
        <v>-1.5192249446304693E-2</v>
      </c>
      <c r="AE125" s="12">
        <f t="shared" ref="AE125:AF132" si="127">S125-G125</f>
        <v>1.5211828717473178E-3</v>
      </c>
      <c r="AF125" s="12">
        <f t="shared" ref="AF125:AF131" si="128">T125-H125</f>
        <v>-9.8848739055803492E-3</v>
      </c>
      <c r="AG125" s="12">
        <f t="shared" si="121"/>
        <v>-8.8545566243140514E-3</v>
      </c>
      <c r="AH125" s="34"/>
    </row>
    <row r="126" spans="1:34" x14ac:dyDescent="0.2">
      <c r="A126" s="3" t="s">
        <v>212</v>
      </c>
      <c r="B126" s="12">
        <f t="shared" si="111"/>
        <v>5.2421464581985586E-2</v>
      </c>
      <c r="C126" s="12">
        <f t="shared" si="111"/>
        <v>5.7170777456367498E-2</v>
      </c>
      <c r="D126" s="12">
        <f t="shared" si="111"/>
        <v>6.2992723621924582E-2</v>
      </c>
      <c r="E126" s="12">
        <f t="shared" si="111"/>
        <v>9.5270175515261679E-2</v>
      </c>
      <c r="F126" s="12">
        <f t="shared" si="111"/>
        <v>6.434330621423015E-2</v>
      </c>
      <c r="G126" s="12">
        <f t="shared" si="111"/>
        <v>2.7681445298611732E-2</v>
      </c>
      <c r="H126" s="12">
        <f t="shared" ref="H126" si="129">H109/H$115</f>
        <v>7.6455638468273399E-2</v>
      </c>
      <c r="I126" s="12">
        <f t="shared" si="114"/>
        <v>7.1412296927890015E-2</v>
      </c>
      <c r="J126" s="34"/>
      <c r="M126" s="3" t="s">
        <v>212</v>
      </c>
      <c r="N126" s="12" t="e">
        <f t="shared" si="115"/>
        <v>#DIV/0!</v>
      </c>
      <c r="O126" s="12" t="e">
        <f t="shared" si="115"/>
        <v>#DIV/0!</v>
      </c>
      <c r="P126" s="12" t="e">
        <f t="shared" si="115"/>
        <v>#DIV/0!</v>
      </c>
      <c r="Q126" s="12" t="e">
        <f t="shared" si="115"/>
        <v>#DIV/0!</v>
      </c>
      <c r="R126" s="12">
        <f t="shared" ref="R126:S126" si="130">R109/R$115</f>
        <v>7.2315172597812019E-2</v>
      </c>
      <c r="S126" s="12">
        <f t="shared" si="130"/>
        <v>5.5591303559938139E-2</v>
      </c>
      <c r="T126" s="12">
        <f t="shared" ref="T126" si="131">T109/T$115</f>
        <v>8.211174335039792E-2</v>
      </c>
      <c r="U126" s="12">
        <f t="shared" si="117"/>
        <v>7.8959700863540955E-2</v>
      </c>
      <c r="V126" s="34"/>
      <c r="W126" s="25"/>
      <c r="Y126" s="3" t="s">
        <v>212</v>
      </c>
      <c r="Z126" s="12" t="e">
        <f t="shared" si="118"/>
        <v>#DIV/0!</v>
      </c>
      <c r="AA126" s="12" t="e">
        <f t="shared" si="119"/>
        <v>#DIV/0!</v>
      </c>
      <c r="AB126" s="12" t="e">
        <f t="shared" si="120"/>
        <v>#DIV/0!</v>
      </c>
      <c r="AC126" s="12" t="e">
        <f t="shared" si="125"/>
        <v>#DIV/0!</v>
      </c>
      <c r="AD126" s="12">
        <f t="shared" si="126"/>
        <v>7.9718663835818687E-3</v>
      </c>
      <c r="AE126" s="12">
        <f t="shared" si="127"/>
        <v>2.7909858261326408E-2</v>
      </c>
      <c r="AF126" s="12">
        <f t="shared" si="128"/>
        <v>5.6561048821245213E-3</v>
      </c>
      <c r="AG126" s="12">
        <f t="shared" si="121"/>
        <v>7.5474039356509398E-3</v>
      </c>
      <c r="AH126" s="34"/>
    </row>
    <row r="127" spans="1:34" x14ac:dyDescent="0.2">
      <c r="A127" s="3" t="s">
        <v>213</v>
      </c>
      <c r="B127" s="12">
        <f t="shared" si="111"/>
        <v>5.2207461544231372E-2</v>
      </c>
      <c r="C127" s="12">
        <f t="shared" si="111"/>
        <v>7.9807882862138274E-2</v>
      </c>
      <c r="D127" s="12">
        <f t="shared" si="111"/>
        <v>6.1791752444402548E-2</v>
      </c>
      <c r="E127" s="12">
        <f t="shared" si="111"/>
        <v>9.4962912513155515E-2</v>
      </c>
      <c r="F127" s="12">
        <f t="shared" si="111"/>
        <v>0.10061499737051648</v>
      </c>
      <c r="G127" s="12">
        <f t="shared" si="111"/>
        <v>7.5058437442168072E-2</v>
      </c>
      <c r="H127" s="12">
        <f t="shared" ref="H127" si="132">H110/H$115</f>
        <v>0.12053677212525689</v>
      </c>
      <c r="I127" s="12">
        <f t="shared" si="114"/>
        <v>0.11268950303963063</v>
      </c>
      <c r="J127" s="34"/>
      <c r="M127" s="3" t="s">
        <v>213</v>
      </c>
      <c r="N127" s="12" t="e">
        <f t="shared" si="115"/>
        <v>#DIV/0!</v>
      </c>
      <c r="O127" s="12" t="e">
        <f t="shared" si="115"/>
        <v>#DIV/0!</v>
      </c>
      <c r="P127" s="12" t="e">
        <f t="shared" si="115"/>
        <v>#DIV/0!</v>
      </c>
      <c r="Q127" s="12" t="e">
        <f t="shared" si="115"/>
        <v>#DIV/0!</v>
      </c>
      <c r="R127" s="12">
        <f t="shared" ref="R127:S127" si="133">R110/R$115</f>
        <v>0.10787075011447225</v>
      </c>
      <c r="S127" s="12">
        <f t="shared" si="133"/>
        <v>0.10163200304685617</v>
      </c>
      <c r="T127" s="12">
        <f t="shared" ref="T127" si="134">T110/T$115</f>
        <v>0.11082670141221485</v>
      </c>
      <c r="U127" s="12">
        <f t="shared" si="117"/>
        <v>0.10982355360997802</v>
      </c>
      <c r="V127" s="34"/>
      <c r="W127" s="25"/>
      <c r="Y127" s="3" t="s">
        <v>213</v>
      </c>
      <c r="Z127" s="12" t="e">
        <f t="shared" si="118"/>
        <v>#DIV/0!</v>
      </c>
      <c r="AA127" s="12" t="e">
        <f t="shared" si="119"/>
        <v>#DIV/0!</v>
      </c>
      <c r="AB127" s="12" t="e">
        <f t="shared" si="120"/>
        <v>#DIV/0!</v>
      </c>
      <c r="AC127" s="12" t="e">
        <f t="shared" si="125"/>
        <v>#DIV/0!</v>
      </c>
      <c r="AD127" s="12">
        <f t="shared" si="126"/>
        <v>7.2557527439557762E-3</v>
      </c>
      <c r="AE127" s="12">
        <f t="shared" si="127"/>
        <v>2.6573565604688099E-2</v>
      </c>
      <c r="AF127" s="12">
        <f t="shared" si="128"/>
        <v>-9.7100707130420433E-3</v>
      </c>
      <c r="AG127" s="12">
        <f t="shared" si="121"/>
        <v>-2.8659494296526117E-3</v>
      </c>
      <c r="AH127" s="34"/>
    </row>
    <row r="128" spans="1:34" x14ac:dyDescent="0.2">
      <c r="A128" s="3" t="s">
        <v>214</v>
      </c>
      <c r="B128" s="12">
        <f t="shared" si="111"/>
        <v>0.15459741673525565</v>
      </c>
      <c r="C128" s="12">
        <f t="shared" si="111"/>
        <v>0.13739469377057389</v>
      </c>
      <c r="D128" s="12">
        <f t="shared" si="111"/>
        <v>0.11096493079816877</v>
      </c>
      <c r="E128" s="12">
        <f t="shared" si="111"/>
        <v>0.1425772042688711</v>
      </c>
      <c r="F128" s="12">
        <f t="shared" si="111"/>
        <v>0.10804014734230495</v>
      </c>
      <c r="G128" s="12">
        <f t="shared" si="111"/>
        <v>0.11236354523805045</v>
      </c>
      <c r="H128" s="12">
        <f t="shared" ref="H128" si="135">H111/H$115</f>
        <v>0.1294646436625117</v>
      </c>
      <c r="I128" s="12">
        <f t="shared" si="114"/>
        <v>0.12445921386616129</v>
      </c>
      <c r="J128" s="34"/>
      <c r="M128" s="3" t="s">
        <v>214</v>
      </c>
      <c r="N128" s="12" t="e">
        <f t="shared" si="115"/>
        <v>#DIV/0!</v>
      </c>
      <c r="O128" s="12" t="e">
        <f t="shared" si="115"/>
        <v>#DIV/0!</v>
      </c>
      <c r="P128" s="12" t="e">
        <f t="shared" si="115"/>
        <v>#DIV/0!</v>
      </c>
      <c r="Q128" s="12" t="e">
        <f t="shared" si="115"/>
        <v>#DIV/0!</v>
      </c>
      <c r="R128" s="12">
        <f t="shared" ref="R128:S128" si="136">R111/R$115</f>
        <v>0.11368824674618783</v>
      </c>
      <c r="S128" s="12">
        <f t="shared" si="136"/>
        <v>0.13809445561249642</v>
      </c>
      <c r="T128" s="12">
        <f t="shared" ref="T128" si="137">T111/T$115</f>
        <v>0.12362380176937927</v>
      </c>
      <c r="U128" s="12">
        <f t="shared" si="117"/>
        <v>0.122233237525895</v>
      </c>
      <c r="V128" s="34"/>
      <c r="W128" s="25"/>
      <c r="Y128" s="3" t="s">
        <v>214</v>
      </c>
      <c r="Z128" s="12" t="e">
        <f t="shared" si="118"/>
        <v>#DIV/0!</v>
      </c>
      <c r="AA128" s="12" t="e">
        <f t="shared" si="119"/>
        <v>#DIV/0!</v>
      </c>
      <c r="AB128" s="12" t="e">
        <f t="shared" si="120"/>
        <v>#DIV/0!</v>
      </c>
      <c r="AC128" s="12" t="e">
        <f t="shared" si="125"/>
        <v>#DIV/0!</v>
      </c>
      <c r="AD128" s="12">
        <f t="shared" si="126"/>
        <v>5.6480994038828752E-3</v>
      </c>
      <c r="AE128" s="12">
        <f t="shared" si="127"/>
        <v>2.573091037444597E-2</v>
      </c>
      <c r="AF128" s="12">
        <f t="shared" si="128"/>
        <v>-5.8408418931324285E-3</v>
      </c>
      <c r="AG128" s="12">
        <f t="shared" si="121"/>
        <v>-2.2259763402662919E-3</v>
      </c>
      <c r="AH128" s="34"/>
    </row>
    <row r="129" spans="1:34" x14ac:dyDescent="0.2">
      <c r="A129" s="3" t="s">
        <v>129</v>
      </c>
      <c r="B129" s="12">
        <f t="shared" si="111"/>
        <v>9.6937740739745593E-2</v>
      </c>
      <c r="C129" s="12">
        <f t="shared" si="111"/>
        <v>8.630763880721791E-2</v>
      </c>
      <c r="D129" s="12">
        <f t="shared" si="111"/>
        <v>2.8383349456448579E-2</v>
      </c>
      <c r="E129" s="12">
        <f t="shared" si="111"/>
        <v>8.7497098477302332E-2</v>
      </c>
      <c r="F129" s="12">
        <f t="shared" si="111"/>
        <v>5.3587316156517663E-2</v>
      </c>
      <c r="G129" s="12">
        <f t="shared" si="111"/>
        <v>0.10177216578754301</v>
      </c>
      <c r="H129" s="12">
        <f t="shared" ref="H129" si="138">H112/H$115</f>
        <v>4.3944924119312376E-2</v>
      </c>
      <c r="I129" s="12">
        <f t="shared" si="114"/>
        <v>4.9480467274815573E-2</v>
      </c>
      <c r="J129" s="34"/>
      <c r="M129" s="3" t="s">
        <v>129</v>
      </c>
      <c r="N129" s="12" t="e">
        <f t="shared" si="115"/>
        <v>#DIV/0!</v>
      </c>
      <c r="O129" s="12" t="e">
        <f t="shared" si="115"/>
        <v>#DIV/0!</v>
      </c>
      <c r="P129" s="12" t="e">
        <f t="shared" si="115"/>
        <v>#DIV/0!</v>
      </c>
      <c r="Q129" s="12" t="e">
        <f t="shared" si="115"/>
        <v>#DIV/0!</v>
      </c>
      <c r="R129" s="12">
        <f t="shared" ref="R129:S129" si="139">R112/R$115</f>
        <v>5.8398969584968062E-2</v>
      </c>
      <c r="S129" s="12">
        <f t="shared" si="139"/>
        <v>8.1039616808694592E-2</v>
      </c>
      <c r="T129" s="12">
        <f t="shared" ref="T129" si="140">T112/T$115</f>
        <v>4.4275811672145539E-2</v>
      </c>
      <c r="U129" s="12">
        <f t="shared" si="117"/>
        <v>4.8755782894734638E-2</v>
      </c>
      <c r="V129" s="34"/>
      <c r="W129" s="25"/>
      <c r="Y129" s="3" t="s">
        <v>129</v>
      </c>
      <c r="Z129" s="12" t="e">
        <f t="shared" si="118"/>
        <v>#DIV/0!</v>
      </c>
      <c r="AA129" s="12" t="e">
        <f t="shared" si="119"/>
        <v>#DIV/0!</v>
      </c>
      <c r="AB129" s="12" t="e">
        <f t="shared" si="120"/>
        <v>#DIV/0!</v>
      </c>
      <c r="AC129" s="12" t="e">
        <f t="shared" si="125"/>
        <v>#DIV/0!</v>
      </c>
      <c r="AD129" s="12">
        <f t="shared" si="126"/>
        <v>4.8116534284503992E-3</v>
      </c>
      <c r="AE129" s="12">
        <f t="shared" si="127"/>
        <v>-2.0732548978848422E-2</v>
      </c>
      <c r="AF129" s="12">
        <f t="shared" si="128"/>
        <v>3.3088755283316312E-4</v>
      </c>
      <c r="AG129" s="12">
        <f t="shared" si="121"/>
        <v>-7.2468438008093522E-4</v>
      </c>
      <c r="AH129" s="34"/>
    </row>
    <row r="130" spans="1:34" x14ac:dyDescent="0.2">
      <c r="A130" s="3" t="s">
        <v>130</v>
      </c>
      <c r="B130" s="12">
        <f t="shared" si="111"/>
        <v>8.6381990589512056E-2</v>
      </c>
      <c r="C130" s="12">
        <f t="shared" si="111"/>
        <v>3.6052919508217519E-2</v>
      </c>
      <c r="D130" s="12">
        <f t="shared" si="111"/>
        <v>4.2243811909790797E-2</v>
      </c>
      <c r="E130" s="12">
        <f t="shared" si="111"/>
        <v>2.2943599538648673E-2</v>
      </c>
      <c r="F130" s="12">
        <f t="shared" si="111"/>
        <v>0.11774830330609641</v>
      </c>
      <c r="G130" s="12">
        <f t="shared" si="111"/>
        <v>8.6748246847750871E-2</v>
      </c>
      <c r="H130" s="12">
        <f t="shared" ref="H130" si="141">H113/H$115</f>
        <v>0.10104482646853162</v>
      </c>
      <c r="I130" s="12">
        <f t="shared" si="114"/>
        <v>0.10220397047631503</v>
      </c>
      <c r="J130" s="34"/>
      <c r="M130" s="3" t="s">
        <v>130</v>
      </c>
      <c r="N130" s="12" t="e">
        <f t="shared" si="115"/>
        <v>#DIV/0!</v>
      </c>
      <c r="O130" s="12" t="e">
        <f t="shared" si="115"/>
        <v>#DIV/0!</v>
      </c>
      <c r="P130" s="12" t="e">
        <f t="shared" si="115"/>
        <v>#DIV/0!</v>
      </c>
      <c r="Q130" s="12" t="e">
        <f t="shared" si="115"/>
        <v>#DIV/0!</v>
      </c>
      <c r="R130" s="12">
        <f t="shared" ref="R130:S130" si="142">R113/R$115</f>
        <v>0.10258657891009233</v>
      </c>
      <c r="S130" s="12">
        <f t="shared" si="142"/>
        <v>7.9192153116807926E-2</v>
      </c>
      <c r="T130" s="12">
        <f t="shared" ref="T130" si="143">T113/T$115</f>
        <v>0.10246516315211812</v>
      </c>
      <c r="U130" s="12">
        <f t="shared" si="117"/>
        <v>0.10147372246597819</v>
      </c>
      <c r="V130" s="34"/>
      <c r="W130" s="25"/>
      <c r="Y130" s="3" t="s">
        <v>130</v>
      </c>
      <c r="Z130" s="12" t="e">
        <f t="shared" si="118"/>
        <v>#DIV/0!</v>
      </c>
      <c r="AA130" s="12" t="e">
        <f t="shared" si="119"/>
        <v>#DIV/0!</v>
      </c>
      <c r="AB130" s="12" t="e">
        <f t="shared" si="120"/>
        <v>#DIV/0!</v>
      </c>
      <c r="AC130" s="12" t="e">
        <f t="shared" si="125"/>
        <v>#DIV/0!</v>
      </c>
      <c r="AD130" s="12">
        <f t="shared" si="126"/>
        <v>-1.5161724396004078E-2</v>
      </c>
      <c r="AE130" s="12">
        <f t="shared" si="127"/>
        <v>-7.5560937309429449E-3</v>
      </c>
      <c r="AF130" s="12">
        <f t="shared" si="128"/>
        <v>1.4203366835865011E-3</v>
      </c>
      <c r="AG130" s="12">
        <f t="shared" si="121"/>
        <v>-7.3024801033684528E-4</v>
      </c>
      <c r="AH130" s="34"/>
    </row>
    <row r="131" spans="1:34" x14ac:dyDescent="0.2">
      <c r="A131" s="8" t="s">
        <v>145</v>
      </c>
      <c r="B131" s="12">
        <f t="shared" ref="B131:G132" si="144">B114/B$115</f>
        <v>0.40687188267109969</v>
      </c>
      <c r="C131" s="12">
        <f t="shared" si="144"/>
        <v>0.38824174486298563</v>
      </c>
      <c r="D131" s="12">
        <f t="shared" si="144"/>
        <v>0.56608875312945051</v>
      </c>
      <c r="E131" s="12">
        <f t="shared" si="144"/>
        <v>0.38080583792330241</v>
      </c>
      <c r="F131" s="12">
        <f t="shared" si="144"/>
        <v>0.33158720666039365</v>
      </c>
      <c r="G131" s="12">
        <f t="shared" si="144"/>
        <v>0.39785241095356028</v>
      </c>
      <c r="H131" s="12">
        <f t="shared" ref="H131" si="145">H114/H$115</f>
        <v>0.34849542140935896</v>
      </c>
      <c r="I131" s="12">
        <f t="shared" si="114"/>
        <v>0.35047737069418033</v>
      </c>
      <c r="J131" s="34"/>
      <c r="M131" s="8" t="s">
        <v>145</v>
      </c>
      <c r="N131" s="12" t="e">
        <f t="shared" si="115"/>
        <v>#DIV/0!</v>
      </c>
      <c r="O131" s="12" t="e">
        <f t="shared" si="115"/>
        <v>#DIV/0!</v>
      </c>
      <c r="P131" s="12" t="e">
        <f t="shared" si="115"/>
        <v>#DIV/0!</v>
      </c>
      <c r="Q131" s="12" t="e">
        <f t="shared" si="115"/>
        <v>#DIV/0!</v>
      </c>
      <c r="R131" s="12">
        <f t="shared" ref="R131:S131" si="146">R114/R$115</f>
        <v>0.33883228414155686</v>
      </c>
      <c r="S131" s="12">
        <f t="shared" si="146"/>
        <v>0.35468231456639887</v>
      </c>
      <c r="T131" s="12">
        <f t="shared" ref="T131" si="147">T114/T$115</f>
        <v>0.35301826118697449</v>
      </c>
      <c r="U131" s="12">
        <f t="shared" si="117"/>
        <v>0.3502033547243304</v>
      </c>
      <c r="V131" s="34"/>
      <c r="W131" s="25"/>
      <c r="Y131" s="8" t="s">
        <v>145</v>
      </c>
      <c r="Z131" s="12" t="e">
        <f t="shared" si="118"/>
        <v>#DIV/0!</v>
      </c>
      <c r="AA131" s="12" t="e">
        <f t="shared" si="119"/>
        <v>#DIV/0!</v>
      </c>
      <c r="AB131" s="12" t="e">
        <f t="shared" si="120"/>
        <v>#DIV/0!</v>
      </c>
      <c r="AC131" s="12" t="e">
        <f t="shared" si="125"/>
        <v>#DIV/0!</v>
      </c>
      <c r="AD131" s="12">
        <f t="shared" si="126"/>
        <v>7.245077481163209E-3</v>
      </c>
      <c r="AE131" s="12">
        <f t="shared" si="127"/>
        <v>-4.3170096387161405E-2</v>
      </c>
      <c r="AF131" s="12">
        <f t="shared" si="128"/>
        <v>4.5228397776155282E-3</v>
      </c>
      <c r="AG131" s="12">
        <f t="shared" si="121"/>
        <v>-2.7401596984993892E-4</v>
      </c>
      <c r="AH131" s="34"/>
    </row>
    <row r="132" spans="1:34" ht="13.5" thickBot="1" x14ac:dyDescent="0.25">
      <c r="A132" s="10" t="s">
        <v>221</v>
      </c>
      <c r="B132" s="14">
        <f t="shared" si="144"/>
        <v>1</v>
      </c>
      <c r="C132" s="14">
        <f t="shared" si="144"/>
        <v>1</v>
      </c>
      <c r="D132" s="14">
        <f t="shared" si="144"/>
        <v>1</v>
      </c>
      <c r="E132" s="14">
        <f>E115/E$115</f>
        <v>1</v>
      </c>
      <c r="F132" s="14">
        <f t="shared" ref="F132:G132" si="148">F115/F$115</f>
        <v>1</v>
      </c>
      <c r="G132" s="14">
        <f t="shared" si="148"/>
        <v>1</v>
      </c>
      <c r="H132" s="14">
        <f t="shared" ref="H132" si="149">H115/H$115</f>
        <v>1</v>
      </c>
      <c r="I132" s="14">
        <f t="shared" si="114"/>
        <v>1</v>
      </c>
      <c r="J132" s="34"/>
      <c r="M132" s="10" t="s">
        <v>221</v>
      </c>
      <c r="N132" s="14" t="e">
        <f t="shared" si="115"/>
        <v>#DIV/0!</v>
      </c>
      <c r="O132" s="14" t="e">
        <f t="shared" si="115"/>
        <v>#DIV/0!</v>
      </c>
      <c r="P132" s="14" t="e">
        <f t="shared" si="115"/>
        <v>#DIV/0!</v>
      </c>
      <c r="Q132" s="14" t="e">
        <f t="shared" si="115"/>
        <v>#DIV/0!</v>
      </c>
      <c r="R132" s="14">
        <f t="shared" si="115"/>
        <v>1</v>
      </c>
      <c r="S132" s="14">
        <f t="shared" si="115"/>
        <v>1</v>
      </c>
      <c r="T132" s="14">
        <f t="shared" ref="T132" si="150">T115/T$115</f>
        <v>1</v>
      </c>
      <c r="U132" s="14">
        <f t="shared" si="117"/>
        <v>1</v>
      </c>
      <c r="V132" s="34"/>
      <c r="W132" s="25"/>
      <c r="Y132" s="10" t="s">
        <v>221</v>
      </c>
      <c r="Z132" s="14" t="e">
        <f t="shared" si="118"/>
        <v>#DIV/0!</v>
      </c>
      <c r="AA132" s="14" t="e">
        <f t="shared" si="119"/>
        <v>#DIV/0!</v>
      </c>
      <c r="AB132" s="14" t="e">
        <f t="shared" si="120"/>
        <v>#DIV/0!</v>
      </c>
      <c r="AC132" s="14" t="e">
        <f t="shared" si="125"/>
        <v>#DIV/0!</v>
      </c>
      <c r="AD132" s="14">
        <f t="shared" si="126"/>
        <v>0</v>
      </c>
      <c r="AE132" s="14">
        <f t="shared" si="127"/>
        <v>0</v>
      </c>
      <c r="AF132" s="14">
        <f t="shared" si="127"/>
        <v>0</v>
      </c>
      <c r="AG132" s="14">
        <f t="shared" si="121"/>
        <v>0</v>
      </c>
      <c r="AH132" s="34"/>
    </row>
    <row r="133" spans="1:34" x14ac:dyDescent="0.2">
      <c r="G133" s="25"/>
      <c r="H133" s="25"/>
      <c r="I133" s="25"/>
      <c r="J133" s="25"/>
      <c r="S133" s="25"/>
      <c r="T133" s="25"/>
      <c r="U133" s="25"/>
      <c r="V133" s="25"/>
      <c r="W133" s="25"/>
      <c r="AE133" s="25"/>
      <c r="AF133" s="25"/>
      <c r="AG133" s="25"/>
      <c r="AH133" s="25"/>
    </row>
    <row r="134" spans="1:34" x14ac:dyDescent="0.2">
      <c r="F134" s="33"/>
      <c r="G134" s="25"/>
      <c r="H134" s="25"/>
      <c r="I134" s="25"/>
      <c r="J134" s="25"/>
      <c r="R134" s="33"/>
      <c r="S134" s="25"/>
      <c r="T134" s="25"/>
      <c r="U134" s="25"/>
      <c r="V134" s="25"/>
      <c r="W134" s="25"/>
      <c r="AD134" s="25"/>
      <c r="AE134" s="25"/>
      <c r="AF134" s="25"/>
      <c r="AG134" s="25"/>
      <c r="AH134" s="25"/>
    </row>
    <row r="135" spans="1:34" x14ac:dyDescent="0.2">
      <c r="F135" s="103"/>
      <c r="R135" s="103"/>
      <c r="S135" s="25"/>
      <c r="T135" s="25"/>
      <c r="U135" s="25"/>
      <c r="V135" s="25"/>
      <c r="W135" s="25"/>
    </row>
    <row r="136" spans="1:34" x14ac:dyDescent="0.2">
      <c r="R136" s="25"/>
      <c r="S136" s="25"/>
      <c r="T136" s="25"/>
      <c r="U136" s="25"/>
      <c r="V136" s="25"/>
      <c r="W136" s="25"/>
    </row>
    <row r="137" spans="1:34" x14ac:dyDescent="0.2">
      <c r="R137" s="25"/>
      <c r="S137" s="25"/>
      <c r="T137" s="25"/>
      <c r="U137" s="25"/>
      <c r="V137" s="25"/>
      <c r="W137" s="25"/>
    </row>
    <row r="138" spans="1:34" x14ac:dyDescent="0.2">
      <c r="R138" s="25"/>
      <c r="S138" s="25"/>
      <c r="T138" s="25"/>
      <c r="U138" s="25"/>
      <c r="V138" s="25"/>
      <c r="W138" s="25"/>
    </row>
  </sheetData>
  <mergeCells count="8">
    <mergeCell ref="Y104:AA104"/>
    <mergeCell ref="Y121:AA121"/>
    <mergeCell ref="Y2:AA2"/>
    <mergeCell ref="Y19:AA19"/>
    <mergeCell ref="Y36:AA36"/>
    <mergeCell ref="Y53:AA53"/>
    <mergeCell ref="Y70:AB70"/>
    <mergeCell ref="Y87:AB87"/>
  </mergeCells>
  <phoneticPr fontId="5"/>
  <conditionalFormatting sqref="Z22:AI30 Z90:AD98 Z56:AF64 Z124:AC132 AG132:AH132 AD124:AH131">
    <cfRule type="cellIs" dxfId="5" priority="4" stopIfTrue="1" operator="notBetween">
      <formula>-0.15</formula>
      <formula>0.15</formula>
    </cfRule>
    <cfRule type="cellIs" dxfId="4" priority="5" stopIfTrue="1" operator="notBetween">
      <formula>-0.1</formula>
      <formula>0.1</formula>
    </cfRule>
    <cfRule type="cellIs" dxfId="3" priority="6" stopIfTrue="1" operator="notBetween">
      <formula>-0.05</formula>
      <formula>0.05</formula>
    </cfRule>
  </conditionalFormatting>
  <conditionalFormatting sqref="AD132:AF132">
    <cfRule type="cellIs" dxfId="2" priority="1" stopIfTrue="1" operator="notBetween">
      <formula>-0.15</formula>
      <formula>0.15</formula>
    </cfRule>
    <cfRule type="cellIs" dxfId="1" priority="2" stopIfTrue="1" operator="notBetween">
      <formula>-0.1</formula>
      <formula>0.1</formula>
    </cfRule>
    <cfRule type="cellIs" dxfId="0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W337"/>
  <sheetViews>
    <sheetView topLeftCell="A204" workbookViewId="0">
      <selection activeCell="A220" sqref="A220"/>
    </sheetView>
  </sheetViews>
  <sheetFormatPr defaultColWidth="11" defaultRowHeight="12.75" x14ac:dyDescent="0.2"/>
  <sheetData>
    <row r="1" spans="1:23" x14ac:dyDescent="0.2">
      <c r="A1" t="s">
        <v>290</v>
      </c>
      <c r="B1">
        <v>1</v>
      </c>
    </row>
    <row r="2" spans="1:23" x14ac:dyDescent="0.2">
      <c r="A2" t="s">
        <v>17</v>
      </c>
      <c r="B2" t="s">
        <v>18</v>
      </c>
      <c r="C2" t="s">
        <v>19</v>
      </c>
      <c r="N2" t="s">
        <v>17</v>
      </c>
      <c r="O2" t="s">
        <v>18</v>
      </c>
      <c r="P2" t="s">
        <v>19</v>
      </c>
    </row>
    <row r="3" spans="1:23" x14ac:dyDescent="0.2">
      <c r="A3" t="s">
        <v>20</v>
      </c>
      <c r="B3" t="s">
        <v>21</v>
      </c>
      <c r="C3" t="s">
        <v>22</v>
      </c>
      <c r="D3" t="s">
        <v>148</v>
      </c>
      <c r="E3" t="s">
        <v>243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N3" t="s">
        <v>20</v>
      </c>
      <c r="O3" t="s">
        <v>21</v>
      </c>
      <c r="P3" t="s">
        <v>22</v>
      </c>
      <c r="Q3" t="s">
        <v>148</v>
      </c>
      <c r="R3" t="s">
        <v>243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</row>
    <row r="4" spans="1:23" x14ac:dyDescent="0.2">
      <c r="A4">
        <v>0</v>
      </c>
      <c r="B4">
        <f t="shared" ref="B4:H7" si="0">O4*$B$1</f>
        <v>4165</v>
      </c>
      <c r="C4">
        <f t="shared" si="0"/>
        <v>14914</v>
      </c>
      <c r="D4">
        <f t="shared" si="0"/>
        <v>49275</v>
      </c>
      <c r="E4">
        <f t="shared" si="0"/>
        <v>31655</v>
      </c>
      <c r="F4">
        <f t="shared" si="0"/>
        <v>1436</v>
      </c>
      <c r="G4">
        <f t="shared" si="0"/>
        <v>3091</v>
      </c>
      <c r="H4">
        <f t="shared" si="0"/>
        <v>28181</v>
      </c>
      <c r="I4">
        <f t="shared" ref="I4:J7" si="1">V4*$B$1</f>
        <v>25216</v>
      </c>
      <c r="J4">
        <f t="shared" si="1"/>
        <v>157933</v>
      </c>
      <c r="N4">
        <v>0</v>
      </c>
      <c r="O4" s="105">
        <v>4165</v>
      </c>
      <c r="P4" s="105">
        <v>14914</v>
      </c>
      <c r="Q4" s="105">
        <v>49275</v>
      </c>
      <c r="R4" s="105">
        <v>31655</v>
      </c>
      <c r="S4" s="105">
        <v>1436</v>
      </c>
      <c r="T4" s="105">
        <v>3091</v>
      </c>
      <c r="U4" s="105">
        <v>28181</v>
      </c>
      <c r="V4" s="105">
        <v>25216</v>
      </c>
      <c r="W4">
        <f>SUM(O4:V4)</f>
        <v>157933</v>
      </c>
    </row>
    <row r="5" spans="1:23" x14ac:dyDescent="0.2">
      <c r="A5">
        <v>1</v>
      </c>
      <c r="B5">
        <f t="shared" si="0"/>
        <v>578386</v>
      </c>
      <c r="C5">
        <f t="shared" si="0"/>
        <v>120263</v>
      </c>
      <c r="D5">
        <f t="shared" si="0"/>
        <v>147907</v>
      </c>
      <c r="E5">
        <f t="shared" si="0"/>
        <v>127526</v>
      </c>
      <c r="F5">
        <f t="shared" si="0"/>
        <v>64323</v>
      </c>
      <c r="G5">
        <f t="shared" si="0"/>
        <v>42585</v>
      </c>
      <c r="H5">
        <f t="shared" si="0"/>
        <v>206536</v>
      </c>
      <c r="I5">
        <f t="shared" si="1"/>
        <v>74935</v>
      </c>
      <c r="J5">
        <f t="shared" si="1"/>
        <v>1362461</v>
      </c>
      <c r="N5">
        <v>1</v>
      </c>
      <c r="O5" s="105">
        <v>578386</v>
      </c>
      <c r="P5" s="105">
        <v>120263</v>
      </c>
      <c r="Q5" s="105">
        <v>147907</v>
      </c>
      <c r="R5" s="105">
        <v>127526</v>
      </c>
      <c r="S5" s="105">
        <v>64323</v>
      </c>
      <c r="T5" s="105">
        <v>42585</v>
      </c>
      <c r="U5" s="105">
        <v>206536</v>
      </c>
      <c r="V5" s="105">
        <v>74935</v>
      </c>
      <c r="W5">
        <f>SUM(O5:V5)</f>
        <v>1362461</v>
      </c>
    </row>
    <row r="6" spans="1:23" x14ac:dyDescent="0.2">
      <c r="A6">
        <v>2</v>
      </c>
      <c r="B6">
        <f t="shared" si="0"/>
        <v>397062</v>
      </c>
      <c r="C6">
        <f t="shared" si="0"/>
        <v>93349</v>
      </c>
      <c r="D6">
        <f t="shared" si="0"/>
        <v>79047</v>
      </c>
      <c r="E6">
        <f t="shared" si="0"/>
        <v>85952</v>
      </c>
      <c r="F6">
        <f t="shared" si="0"/>
        <v>68164</v>
      </c>
      <c r="G6">
        <f t="shared" si="0"/>
        <v>15000</v>
      </c>
      <c r="H6">
        <f t="shared" si="0"/>
        <v>108200</v>
      </c>
      <c r="I6">
        <f t="shared" si="1"/>
        <v>46731</v>
      </c>
      <c r="J6">
        <f t="shared" si="1"/>
        <v>893505</v>
      </c>
      <c r="N6">
        <v>2</v>
      </c>
      <c r="O6" s="105">
        <v>397062</v>
      </c>
      <c r="P6" s="105">
        <v>93349</v>
      </c>
      <c r="Q6" s="105">
        <v>79047</v>
      </c>
      <c r="R6" s="105">
        <v>85952</v>
      </c>
      <c r="S6" s="105">
        <v>68164</v>
      </c>
      <c r="T6" s="105">
        <v>15000</v>
      </c>
      <c r="U6" s="105">
        <v>108200</v>
      </c>
      <c r="V6" s="105">
        <v>46731</v>
      </c>
      <c r="W6">
        <f>SUM(O6:V6)</f>
        <v>893505</v>
      </c>
    </row>
    <row r="7" spans="1:23" x14ac:dyDescent="0.2">
      <c r="A7">
        <v>3</v>
      </c>
      <c r="B7">
        <f t="shared" si="0"/>
        <v>122120</v>
      </c>
      <c r="C7">
        <f t="shared" si="0"/>
        <v>46028</v>
      </c>
      <c r="D7">
        <f t="shared" si="0"/>
        <v>37347</v>
      </c>
      <c r="E7">
        <f t="shared" si="0"/>
        <v>61076</v>
      </c>
      <c r="F7">
        <f t="shared" si="0"/>
        <v>19532</v>
      </c>
      <c r="G7">
        <f t="shared" si="0"/>
        <v>3016</v>
      </c>
      <c r="H7">
        <f t="shared" si="0"/>
        <v>34119</v>
      </c>
      <c r="I7">
        <f t="shared" si="1"/>
        <v>34601</v>
      </c>
      <c r="J7">
        <f t="shared" si="1"/>
        <v>357839</v>
      </c>
      <c r="N7">
        <v>3</v>
      </c>
      <c r="O7" s="105">
        <v>122120</v>
      </c>
      <c r="P7" s="105">
        <v>46028</v>
      </c>
      <c r="Q7" s="105">
        <v>37347</v>
      </c>
      <c r="R7" s="105">
        <v>61076</v>
      </c>
      <c r="S7" s="105">
        <v>19532</v>
      </c>
      <c r="T7" s="105">
        <v>3016</v>
      </c>
      <c r="U7" s="105">
        <v>34119</v>
      </c>
      <c r="V7" s="105">
        <v>34601</v>
      </c>
      <c r="W7">
        <f>SUM(O7:V7)</f>
        <v>357839</v>
      </c>
    </row>
    <row r="9" spans="1:23" x14ac:dyDescent="0.2">
      <c r="A9" t="s">
        <v>17</v>
      </c>
      <c r="B9" t="s">
        <v>28</v>
      </c>
      <c r="C9" t="s">
        <v>29</v>
      </c>
      <c r="D9" t="s">
        <v>30</v>
      </c>
      <c r="E9" t="s">
        <v>31</v>
      </c>
      <c r="N9" t="s">
        <v>17</v>
      </c>
      <c r="O9" t="s">
        <v>28</v>
      </c>
      <c r="P9" t="s">
        <v>29</v>
      </c>
      <c r="Q9" t="s">
        <v>30</v>
      </c>
      <c r="R9" t="s">
        <v>31</v>
      </c>
    </row>
    <row r="10" spans="1:23" x14ac:dyDescent="0.2">
      <c r="A10" t="s">
        <v>28</v>
      </c>
      <c r="B10" t="s">
        <v>21</v>
      </c>
      <c r="C10" t="s">
        <v>22</v>
      </c>
      <c r="D10" t="s">
        <v>148</v>
      </c>
      <c r="E10" t="s">
        <v>243</v>
      </c>
      <c r="F10" t="s">
        <v>23</v>
      </c>
      <c r="G10" t="s">
        <v>24</v>
      </c>
      <c r="H10" t="s">
        <v>25</v>
      </c>
      <c r="I10" t="s">
        <v>26</v>
      </c>
      <c r="J10" t="s">
        <v>27</v>
      </c>
      <c r="N10" t="s">
        <v>28</v>
      </c>
      <c r="O10" t="s">
        <v>21</v>
      </c>
      <c r="P10" t="s">
        <v>22</v>
      </c>
      <c r="Q10" t="s">
        <v>148</v>
      </c>
      <c r="R10" t="s">
        <v>243</v>
      </c>
      <c r="S10" t="s">
        <v>23</v>
      </c>
      <c r="T10" t="s">
        <v>24</v>
      </c>
      <c r="U10" t="s">
        <v>25</v>
      </c>
      <c r="V10" t="s">
        <v>26</v>
      </c>
      <c r="W10" t="s">
        <v>27</v>
      </c>
    </row>
    <row r="11" spans="1:23" x14ac:dyDescent="0.2">
      <c r="A11" t="s">
        <v>226</v>
      </c>
      <c r="B11">
        <f t="shared" ref="B11:B23" si="2">O11*$B$1</f>
        <v>4165</v>
      </c>
      <c r="C11">
        <f t="shared" ref="C11:C23" si="3">P11*$B$1</f>
        <v>14914</v>
      </c>
      <c r="D11">
        <f t="shared" ref="D11:D23" si="4">Q11*$B$1</f>
        <v>49275</v>
      </c>
      <c r="E11">
        <f t="shared" ref="E11:E23" si="5">R11*$B$1</f>
        <v>31655</v>
      </c>
      <c r="F11">
        <f t="shared" ref="F11:F23" si="6">S11*$B$1</f>
        <v>1436</v>
      </c>
      <c r="G11">
        <f t="shared" ref="G11:G23" si="7">T11*$B$1</f>
        <v>3091</v>
      </c>
      <c r="H11">
        <f t="shared" ref="H11:H23" si="8">U11*$B$1</f>
        <v>28181</v>
      </c>
      <c r="I11">
        <f t="shared" ref="I11:I23" si="9">V11*$B$1</f>
        <v>25216</v>
      </c>
      <c r="J11">
        <f t="shared" ref="J11:J23" si="10">W11*$B$1</f>
        <v>157933</v>
      </c>
      <c r="N11" t="s">
        <v>226</v>
      </c>
      <c r="O11" s="105">
        <v>4165</v>
      </c>
      <c r="P11" s="105">
        <v>14914</v>
      </c>
      <c r="Q11" s="105">
        <v>49275</v>
      </c>
      <c r="R11" s="105">
        <v>31655</v>
      </c>
      <c r="S11" s="105">
        <v>1436</v>
      </c>
      <c r="T11" s="105">
        <v>3091</v>
      </c>
      <c r="U11" s="105">
        <v>28181</v>
      </c>
      <c r="V11" s="105">
        <v>25216</v>
      </c>
      <c r="W11">
        <f>SUM(O11:V11)</f>
        <v>157933</v>
      </c>
    </row>
    <row r="12" spans="1:23" x14ac:dyDescent="0.2">
      <c r="A12" s="95" t="s">
        <v>231</v>
      </c>
      <c r="B12">
        <f t="shared" si="2"/>
        <v>68284</v>
      </c>
      <c r="C12">
        <f t="shared" si="3"/>
        <v>27004</v>
      </c>
      <c r="D12">
        <f t="shared" si="4"/>
        <v>31325</v>
      </c>
      <c r="E12">
        <f t="shared" si="5"/>
        <v>23440</v>
      </c>
      <c r="F12">
        <f t="shared" si="6"/>
        <v>11142</v>
      </c>
      <c r="G12">
        <f t="shared" si="7"/>
        <v>19362</v>
      </c>
      <c r="H12">
        <f t="shared" si="8"/>
        <v>97278</v>
      </c>
      <c r="I12">
        <f t="shared" si="9"/>
        <v>18336</v>
      </c>
      <c r="J12">
        <f t="shared" si="10"/>
        <v>296171</v>
      </c>
      <c r="N12" s="95" t="s">
        <v>231</v>
      </c>
      <c r="O12" s="105">
        <v>68284</v>
      </c>
      <c r="P12" s="105">
        <v>27004</v>
      </c>
      <c r="Q12" s="105">
        <v>31325</v>
      </c>
      <c r="R12" s="105">
        <v>23440</v>
      </c>
      <c r="S12" s="105">
        <v>11142</v>
      </c>
      <c r="T12" s="105">
        <v>19362</v>
      </c>
      <c r="U12" s="105">
        <v>97278</v>
      </c>
      <c r="V12" s="105">
        <v>18336</v>
      </c>
      <c r="W12">
        <f t="shared" ref="W12:W23" si="11">SUM(O12:V12)</f>
        <v>296171</v>
      </c>
    </row>
    <row r="13" spans="1:23" x14ac:dyDescent="0.2">
      <c r="A13" s="93" t="s">
        <v>232</v>
      </c>
      <c r="B13">
        <f t="shared" si="2"/>
        <v>164976</v>
      </c>
      <c r="C13">
        <f t="shared" si="3"/>
        <v>43613</v>
      </c>
      <c r="D13">
        <f t="shared" si="4"/>
        <v>58022</v>
      </c>
      <c r="E13">
        <f t="shared" si="5"/>
        <v>47988</v>
      </c>
      <c r="F13">
        <f t="shared" si="6"/>
        <v>19876</v>
      </c>
      <c r="G13">
        <f t="shared" si="7"/>
        <v>15449</v>
      </c>
      <c r="H13">
        <f t="shared" si="8"/>
        <v>72871</v>
      </c>
      <c r="I13">
        <f t="shared" si="9"/>
        <v>28614</v>
      </c>
      <c r="J13">
        <f t="shared" si="10"/>
        <v>451409</v>
      </c>
      <c r="N13" s="93" t="s">
        <v>232</v>
      </c>
      <c r="O13" s="105">
        <v>164976</v>
      </c>
      <c r="P13" s="105">
        <v>43613</v>
      </c>
      <c r="Q13" s="105">
        <v>58022</v>
      </c>
      <c r="R13" s="105">
        <v>47988</v>
      </c>
      <c r="S13" s="105">
        <v>19876</v>
      </c>
      <c r="T13" s="105">
        <v>15449</v>
      </c>
      <c r="U13" s="105">
        <v>72871</v>
      </c>
      <c r="V13" s="105">
        <v>28614</v>
      </c>
      <c r="W13">
        <f t="shared" si="11"/>
        <v>451409</v>
      </c>
    </row>
    <row r="14" spans="1:23" x14ac:dyDescent="0.2">
      <c r="A14" s="93" t="s">
        <v>207</v>
      </c>
      <c r="B14">
        <f t="shared" si="2"/>
        <v>184409</v>
      </c>
      <c r="C14">
        <f t="shared" si="3"/>
        <v>33305</v>
      </c>
      <c r="D14">
        <f t="shared" si="4"/>
        <v>42990</v>
      </c>
      <c r="E14">
        <f t="shared" si="5"/>
        <v>38729</v>
      </c>
      <c r="F14">
        <f t="shared" si="6"/>
        <v>19442</v>
      </c>
      <c r="G14">
        <f t="shared" si="7"/>
        <v>6052</v>
      </c>
      <c r="H14">
        <f t="shared" si="8"/>
        <v>27952</v>
      </c>
      <c r="I14">
        <f t="shared" si="9"/>
        <v>19908</v>
      </c>
      <c r="J14">
        <f t="shared" si="10"/>
        <v>372787</v>
      </c>
      <c r="N14" s="93" t="s">
        <v>207</v>
      </c>
      <c r="O14" s="105">
        <v>184409</v>
      </c>
      <c r="P14" s="105">
        <v>33305</v>
      </c>
      <c r="Q14" s="105">
        <v>42990</v>
      </c>
      <c r="R14" s="105">
        <v>38729</v>
      </c>
      <c r="S14" s="105">
        <v>19442</v>
      </c>
      <c r="T14" s="105">
        <v>6052</v>
      </c>
      <c r="U14" s="105">
        <v>27952</v>
      </c>
      <c r="V14" s="105">
        <v>19908</v>
      </c>
      <c r="W14">
        <f t="shared" si="11"/>
        <v>372787</v>
      </c>
    </row>
    <row r="15" spans="1:23" x14ac:dyDescent="0.2">
      <c r="A15" t="s">
        <v>9</v>
      </c>
      <c r="B15">
        <f t="shared" si="2"/>
        <v>160717</v>
      </c>
      <c r="C15">
        <f t="shared" si="3"/>
        <v>16341</v>
      </c>
      <c r="D15">
        <f t="shared" si="4"/>
        <v>15570</v>
      </c>
      <c r="E15">
        <f t="shared" si="5"/>
        <v>17369</v>
      </c>
      <c r="F15">
        <f t="shared" si="6"/>
        <v>13863</v>
      </c>
      <c r="G15">
        <f t="shared" si="7"/>
        <v>1722</v>
      </c>
      <c r="H15">
        <f t="shared" si="8"/>
        <v>8435</v>
      </c>
      <c r="I15">
        <f t="shared" si="9"/>
        <v>8077</v>
      </c>
      <c r="J15">
        <f t="shared" si="10"/>
        <v>242094</v>
      </c>
      <c r="N15" t="s">
        <v>9</v>
      </c>
      <c r="O15" s="105">
        <v>160717</v>
      </c>
      <c r="P15" s="105">
        <v>16341</v>
      </c>
      <c r="Q15" s="105">
        <v>15570</v>
      </c>
      <c r="R15" s="105">
        <v>17369</v>
      </c>
      <c r="S15" s="105">
        <v>13863</v>
      </c>
      <c r="T15" s="105">
        <v>1722</v>
      </c>
      <c r="U15" s="105">
        <v>8435</v>
      </c>
      <c r="V15" s="105">
        <v>8077</v>
      </c>
      <c r="W15">
        <f t="shared" si="11"/>
        <v>242094</v>
      </c>
    </row>
    <row r="16" spans="1:23" x14ac:dyDescent="0.2">
      <c r="A16" s="95" t="s">
        <v>233</v>
      </c>
      <c r="B16">
        <f t="shared" si="2"/>
        <v>42500</v>
      </c>
      <c r="C16">
        <f t="shared" si="3"/>
        <v>17406</v>
      </c>
      <c r="D16">
        <f t="shared" si="4"/>
        <v>13245</v>
      </c>
      <c r="E16">
        <f t="shared" si="5"/>
        <v>12939</v>
      </c>
      <c r="F16">
        <f t="shared" si="6"/>
        <v>9534</v>
      </c>
      <c r="G16">
        <f t="shared" si="7"/>
        <v>5573</v>
      </c>
      <c r="H16">
        <f t="shared" si="8"/>
        <v>46891</v>
      </c>
      <c r="I16">
        <f t="shared" si="9"/>
        <v>9299</v>
      </c>
      <c r="J16">
        <f t="shared" si="10"/>
        <v>157387</v>
      </c>
      <c r="N16" s="95" t="s">
        <v>233</v>
      </c>
      <c r="O16" s="105">
        <v>42500</v>
      </c>
      <c r="P16" s="105">
        <v>17406</v>
      </c>
      <c r="Q16" s="105">
        <v>13245</v>
      </c>
      <c r="R16" s="105">
        <v>12939</v>
      </c>
      <c r="S16" s="105">
        <v>9534</v>
      </c>
      <c r="T16" s="105">
        <v>5573</v>
      </c>
      <c r="U16" s="105">
        <v>46891</v>
      </c>
      <c r="V16" s="105">
        <v>9299</v>
      </c>
      <c r="W16">
        <f t="shared" si="11"/>
        <v>157387</v>
      </c>
    </row>
    <row r="17" spans="1:23" x14ac:dyDescent="0.2">
      <c r="A17" s="93" t="s">
        <v>234</v>
      </c>
      <c r="B17">
        <f t="shared" si="2"/>
        <v>118518</v>
      </c>
      <c r="C17">
        <f t="shared" si="3"/>
        <v>34242</v>
      </c>
      <c r="D17">
        <f t="shared" si="4"/>
        <v>30350</v>
      </c>
      <c r="E17">
        <f t="shared" si="5"/>
        <v>31314</v>
      </c>
      <c r="F17">
        <f t="shared" si="6"/>
        <v>20559</v>
      </c>
      <c r="G17">
        <f t="shared" si="7"/>
        <v>5979</v>
      </c>
      <c r="H17">
        <f t="shared" si="8"/>
        <v>39509</v>
      </c>
      <c r="I17">
        <f t="shared" si="9"/>
        <v>18206</v>
      </c>
      <c r="J17">
        <f t="shared" si="10"/>
        <v>298677</v>
      </c>
      <c r="N17" s="93" t="s">
        <v>234</v>
      </c>
      <c r="O17" s="105">
        <v>118518</v>
      </c>
      <c r="P17" s="105">
        <v>34242</v>
      </c>
      <c r="Q17" s="105">
        <v>30350</v>
      </c>
      <c r="R17" s="105">
        <v>31314</v>
      </c>
      <c r="S17" s="105">
        <v>20559</v>
      </c>
      <c r="T17" s="105">
        <v>5979</v>
      </c>
      <c r="U17" s="105">
        <v>39509</v>
      </c>
      <c r="V17" s="105">
        <v>18206</v>
      </c>
      <c r="W17">
        <f t="shared" si="11"/>
        <v>298677</v>
      </c>
    </row>
    <row r="18" spans="1:23" x14ac:dyDescent="0.2">
      <c r="A18" s="93" t="s">
        <v>208</v>
      </c>
      <c r="B18">
        <f t="shared" si="2"/>
        <v>144766</v>
      </c>
      <c r="C18">
        <f t="shared" si="3"/>
        <v>29168</v>
      </c>
      <c r="D18">
        <f t="shared" si="4"/>
        <v>26137</v>
      </c>
      <c r="E18">
        <f t="shared" si="5"/>
        <v>28997</v>
      </c>
      <c r="F18">
        <f t="shared" si="6"/>
        <v>23747</v>
      </c>
      <c r="G18">
        <f t="shared" si="7"/>
        <v>2682</v>
      </c>
      <c r="H18">
        <f t="shared" si="8"/>
        <v>17163</v>
      </c>
      <c r="I18">
        <f t="shared" si="9"/>
        <v>13952</v>
      </c>
      <c r="J18">
        <f t="shared" si="10"/>
        <v>286612</v>
      </c>
      <c r="N18" s="93" t="s">
        <v>208</v>
      </c>
      <c r="O18" s="105">
        <v>144766</v>
      </c>
      <c r="P18" s="105">
        <v>29168</v>
      </c>
      <c r="Q18" s="105">
        <v>26137</v>
      </c>
      <c r="R18" s="105">
        <v>28997</v>
      </c>
      <c r="S18" s="105">
        <v>23747</v>
      </c>
      <c r="T18" s="105">
        <v>2682</v>
      </c>
      <c r="U18" s="105">
        <v>17163</v>
      </c>
      <c r="V18" s="105">
        <v>13952</v>
      </c>
      <c r="W18">
        <f t="shared" si="11"/>
        <v>286612</v>
      </c>
    </row>
    <row r="19" spans="1:23" x14ac:dyDescent="0.2">
      <c r="A19" t="s">
        <v>10</v>
      </c>
      <c r="B19">
        <f t="shared" si="2"/>
        <v>91278</v>
      </c>
      <c r="C19">
        <f t="shared" si="3"/>
        <v>12533</v>
      </c>
      <c r="D19">
        <f t="shared" si="4"/>
        <v>9315</v>
      </c>
      <c r="E19">
        <f t="shared" si="5"/>
        <v>12702</v>
      </c>
      <c r="F19">
        <f t="shared" si="6"/>
        <v>14324</v>
      </c>
      <c r="G19">
        <f t="shared" si="7"/>
        <v>766</v>
      </c>
      <c r="H19">
        <f t="shared" si="8"/>
        <v>4637</v>
      </c>
      <c r="I19">
        <f t="shared" si="9"/>
        <v>5274</v>
      </c>
      <c r="J19">
        <f t="shared" si="10"/>
        <v>150829</v>
      </c>
      <c r="N19" t="s">
        <v>10</v>
      </c>
      <c r="O19" s="105">
        <v>91278</v>
      </c>
      <c r="P19" s="105">
        <v>12533</v>
      </c>
      <c r="Q19" s="105">
        <v>9315</v>
      </c>
      <c r="R19" s="105">
        <v>12702</v>
      </c>
      <c r="S19" s="105">
        <v>14324</v>
      </c>
      <c r="T19" s="105">
        <v>766</v>
      </c>
      <c r="U19" s="105">
        <v>4637</v>
      </c>
      <c r="V19" s="105">
        <v>5274</v>
      </c>
      <c r="W19">
        <f t="shared" si="11"/>
        <v>150829</v>
      </c>
    </row>
    <row r="20" spans="1:23" x14ac:dyDescent="0.2">
      <c r="A20" s="95" t="s">
        <v>227</v>
      </c>
      <c r="B20">
        <f t="shared" si="2"/>
        <v>15529</v>
      </c>
      <c r="C20">
        <f t="shared" si="3"/>
        <v>8193</v>
      </c>
      <c r="D20">
        <f t="shared" si="4"/>
        <v>7697</v>
      </c>
      <c r="E20">
        <f t="shared" si="5"/>
        <v>11624</v>
      </c>
      <c r="F20">
        <f t="shared" si="6"/>
        <v>3267</v>
      </c>
      <c r="G20">
        <f t="shared" si="7"/>
        <v>1083</v>
      </c>
      <c r="H20">
        <f t="shared" si="8"/>
        <v>13887</v>
      </c>
      <c r="I20">
        <f t="shared" si="9"/>
        <v>8322</v>
      </c>
      <c r="J20">
        <f t="shared" si="10"/>
        <v>69602</v>
      </c>
      <c r="N20" s="95" t="s">
        <v>227</v>
      </c>
      <c r="O20" s="105">
        <v>15529</v>
      </c>
      <c r="P20" s="105">
        <v>8193</v>
      </c>
      <c r="Q20" s="105">
        <v>7697</v>
      </c>
      <c r="R20" s="105">
        <v>11624</v>
      </c>
      <c r="S20" s="105">
        <v>3267</v>
      </c>
      <c r="T20" s="105">
        <v>1083</v>
      </c>
      <c r="U20" s="105">
        <v>13887</v>
      </c>
      <c r="V20" s="105">
        <v>8322</v>
      </c>
      <c r="W20">
        <f t="shared" si="11"/>
        <v>69602</v>
      </c>
    </row>
    <row r="21" spans="1:23" x14ac:dyDescent="0.2">
      <c r="A21" s="93" t="s">
        <v>230</v>
      </c>
      <c r="B21">
        <f t="shared" si="2"/>
        <v>44982</v>
      </c>
      <c r="C21">
        <f t="shared" si="3"/>
        <v>18182</v>
      </c>
      <c r="D21">
        <f t="shared" si="4"/>
        <v>14317</v>
      </c>
      <c r="E21">
        <f t="shared" si="5"/>
        <v>22279</v>
      </c>
      <c r="F21">
        <f t="shared" si="6"/>
        <v>6893</v>
      </c>
      <c r="G21">
        <f t="shared" si="7"/>
        <v>1285</v>
      </c>
      <c r="H21">
        <f t="shared" si="8"/>
        <v>13479</v>
      </c>
      <c r="I21">
        <f t="shared" si="9"/>
        <v>13189</v>
      </c>
      <c r="J21">
        <f t="shared" si="10"/>
        <v>134606</v>
      </c>
      <c r="N21" s="93" t="s">
        <v>230</v>
      </c>
      <c r="O21" s="105">
        <v>44982</v>
      </c>
      <c r="P21" s="105">
        <v>18182</v>
      </c>
      <c r="Q21" s="105">
        <v>14317</v>
      </c>
      <c r="R21" s="105">
        <v>22279</v>
      </c>
      <c r="S21" s="105">
        <v>6893</v>
      </c>
      <c r="T21" s="105">
        <v>1285</v>
      </c>
      <c r="U21" s="105">
        <v>13479</v>
      </c>
      <c r="V21" s="105">
        <v>13189</v>
      </c>
      <c r="W21">
        <f t="shared" si="11"/>
        <v>134606</v>
      </c>
    </row>
    <row r="22" spans="1:23" x14ac:dyDescent="0.2">
      <c r="A22" s="93" t="s">
        <v>11</v>
      </c>
      <c r="B22">
        <f t="shared" si="2"/>
        <v>50424</v>
      </c>
      <c r="C22">
        <f t="shared" si="3"/>
        <v>16057</v>
      </c>
      <c r="D22">
        <f t="shared" si="4"/>
        <v>12469</v>
      </c>
      <c r="E22">
        <f t="shared" si="5"/>
        <v>21271</v>
      </c>
      <c r="F22">
        <f t="shared" si="6"/>
        <v>7360</v>
      </c>
      <c r="G22">
        <f t="shared" si="7"/>
        <v>564</v>
      </c>
      <c r="H22">
        <f t="shared" si="8"/>
        <v>5961</v>
      </c>
      <c r="I22">
        <f t="shared" si="9"/>
        <v>10721</v>
      </c>
      <c r="J22">
        <f t="shared" si="10"/>
        <v>124827</v>
      </c>
      <c r="N22" s="93" t="s">
        <v>11</v>
      </c>
      <c r="O22" s="105">
        <v>50424</v>
      </c>
      <c r="P22" s="105">
        <v>16057</v>
      </c>
      <c r="Q22" s="105">
        <v>12469</v>
      </c>
      <c r="R22" s="105">
        <v>21271</v>
      </c>
      <c r="S22" s="105">
        <v>7360</v>
      </c>
      <c r="T22" s="105">
        <v>564</v>
      </c>
      <c r="U22" s="105">
        <v>5961</v>
      </c>
      <c r="V22" s="105">
        <v>10721</v>
      </c>
      <c r="W22">
        <f t="shared" si="11"/>
        <v>124827</v>
      </c>
    </row>
    <row r="23" spans="1:23" x14ac:dyDescent="0.2">
      <c r="A23" t="s">
        <v>206</v>
      </c>
      <c r="B23">
        <f t="shared" si="2"/>
        <v>11185</v>
      </c>
      <c r="C23">
        <f t="shared" si="3"/>
        <v>3596</v>
      </c>
      <c r="D23">
        <f t="shared" si="4"/>
        <v>2864</v>
      </c>
      <c r="E23">
        <f t="shared" si="5"/>
        <v>5902</v>
      </c>
      <c r="F23">
        <f t="shared" si="6"/>
        <v>2012</v>
      </c>
      <c r="G23">
        <f t="shared" si="7"/>
        <v>84</v>
      </c>
      <c r="H23">
        <f t="shared" si="8"/>
        <v>792</v>
      </c>
      <c r="I23">
        <f t="shared" si="9"/>
        <v>2369</v>
      </c>
      <c r="J23">
        <f t="shared" si="10"/>
        <v>28804</v>
      </c>
      <c r="N23" t="s">
        <v>206</v>
      </c>
      <c r="O23" s="105">
        <v>11185</v>
      </c>
      <c r="P23" s="105">
        <v>3596</v>
      </c>
      <c r="Q23" s="105">
        <v>2864</v>
      </c>
      <c r="R23" s="105">
        <v>5902</v>
      </c>
      <c r="S23" s="105">
        <v>2012</v>
      </c>
      <c r="T23" s="105">
        <v>84</v>
      </c>
      <c r="U23" s="105">
        <v>792</v>
      </c>
      <c r="V23" s="105">
        <v>2369</v>
      </c>
      <c r="W23">
        <f t="shared" si="11"/>
        <v>28804</v>
      </c>
    </row>
    <row r="25" spans="1:23" x14ac:dyDescent="0.2">
      <c r="A25" t="s">
        <v>17</v>
      </c>
      <c r="B25" t="s">
        <v>28</v>
      </c>
      <c r="C25" t="s">
        <v>29</v>
      </c>
      <c r="D25" t="s">
        <v>32</v>
      </c>
      <c r="E25" t="s">
        <v>33</v>
      </c>
      <c r="F25" t="s">
        <v>34</v>
      </c>
      <c r="G25" t="s">
        <v>35</v>
      </c>
      <c r="N25" t="s">
        <v>17</v>
      </c>
      <c r="O25" t="s">
        <v>28</v>
      </c>
      <c r="P25" t="s">
        <v>29</v>
      </c>
      <c r="Q25" t="s">
        <v>32</v>
      </c>
      <c r="R25" t="s">
        <v>33</v>
      </c>
      <c r="S25" t="s">
        <v>34</v>
      </c>
      <c r="T25" t="s">
        <v>35</v>
      </c>
    </row>
    <row r="27" spans="1:23" x14ac:dyDescent="0.2">
      <c r="A27" t="s">
        <v>210</v>
      </c>
      <c r="N27" t="s">
        <v>210</v>
      </c>
    </row>
    <row r="28" spans="1:23" x14ac:dyDescent="0.2">
      <c r="A28" t="s">
        <v>28</v>
      </c>
      <c r="B28" t="s">
        <v>21</v>
      </c>
      <c r="C28" t="s">
        <v>22</v>
      </c>
      <c r="D28" t="s">
        <v>148</v>
      </c>
      <c r="E28" t="s">
        <v>243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N28" t="s">
        <v>28</v>
      </c>
      <c r="O28" t="s">
        <v>21</v>
      </c>
      <c r="P28" t="s">
        <v>22</v>
      </c>
      <c r="Q28" t="s">
        <v>148</v>
      </c>
      <c r="R28" t="s">
        <v>243</v>
      </c>
      <c r="S28" t="s">
        <v>23</v>
      </c>
      <c r="T28" t="s">
        <v>24</v>
      </c>
      <c r="U28" t="s">
        <v>25</v>
      </c>
      <c r="V28" t="s">
        <v>26</v>
      </c>
      <c r="W28" t="s">
        <v>27</v>
      </c>
    </row>
    <row r="29" spans="1:23" x14ac:dyDescent="0.2">
      <c r="A29" t="s">
        <v>226</v>
      </c>
      <c r="B29">
        <f t="shared" ref="B29:H32" si="12">O29*$B$1</f>
        <v>36800</v>
      </c>
      <c r="C29">
        <f t="shared" si="12"/>
        <v>113286</v>
      </c>
      <c r="D29">
        <f t="shared" si="12"/>
        <v>313576</v>
      </c>
      <c r="E29">
        <f t="shared" si="12"/>
        <v>306209</v>
      </c>
      <c r="F29">
        <f t="shared" si="12"/>
        <v>39212</v>
      </c>
      <c r="G29">
        <f t="shared" si="12"/>
        <v>61523</v>
      </c>
      <c r="H29">
        <f t="shared" si="12"/>
        <v>374928</v>
      </c>
      <c r="I29">
        <f t="shared" ref="I29:J32" si="13">V29*$B$1</f>
        <v>181483</v>
      </c>
      <c r="J29">
        <f t="shared" si="13"/>
        <v>1427017</v>
      </c>
      <c r="N29" t="s">
        <v>226</v>
      </c>
      <c r="O29" s="105">
        <v>36800</v>
      </c>
      <c r="P29" s="105">
        <v>113286</v>
      </c>
      <c r="Q29" s="105">
        <v>313576</v>
      </c>
      <c r="R29" s="105">
        <v>306209</v>
      </c>
      <c r="S29" s="105">
        <v>39212</v>
      </c>
      <c r="T29" s="105">
        <v>61523</v>
      </c>
      <c r="U29" s="105">
        <v>374928</v>
      </c>
      <c r="V29" s="105">
        <v>181483</v>
      </c>
      <c r="W29">
        <f>SUM(O29:V29)</f>
        <v>1427017</v>
      </c>
    </row>
    <row r="30" spans="1:23" x14ac:dyDescent="0.2">
      <c r="A30" t="s">
        <v>235</v>
      </c>
      <c r="B30">
        <f t="shared" si="12"/>
        <v>0</v>
      </c>
      <c r="C30">
        <f t="shared" si="12"/>
        <v>0</v>
      </c>
      <c r="D30">
        <f t="shared" si="12"/>
        <v>0</v>
      </c>
      <c r="E30">
        <f t="shared" si="12"/>
        <v>0</v>
      </c>
      <c r="F30">
        <f t="shared" si="12"/>
        <v>1466</v>
      </c>
      <c r="G30">
        <f t="shared" si="12"/>
        <v>11</v>
      </c>
      <c r="H30">
        <f t="shared" si="12"/>
        <v>21</v>
      </c>
      <c r="I30">
        <f t="shared" si="13"/>
        <v>0</v>
      </c>
      <c r="J30">
        <f t="shared" si="13"/>
        <v>1498</v>
      </c>
      <c r="N30" t="s">
        <v>235</v>
      </c>
      <c r="O30" s="105">
        <v>0</v>
      </c>
      <c r="P30" s="105">
        <v>0</v>
      </c>
      <c r="Q30" s="105">
        <v>0</v>
      </c>
      <c r="R30" s="105">
        <v>0</v>
      </c>
      <c r="S30" s="105">
        <v>1466</v>
      </c>
      <c r="T30" s="105">
        <v>11</v>
      </c>
      <c r="U30" s="105">
        <v>21</v>
      </c>
      <c r="V30" s="105">
        <v>0</v>
      </c>
      <c r="W30">
        <f>SUM(O30:V30)</f>
        <v>1498</v>
      </c>
    </row>
    <row r="31" spans="1:23" x14ac:dyDescent="0.2">
      <c r="A31" t="s">
        <v>236</v>
      </c>
      <c r="B31">
        <f t="shared" si="12"/>
        <v>891961</v>
      </c>
      <c r="C31">
        <f t="shared" si="12"/>
        <v>137189</v>
      </c>
      <c r="D31">
        <f t="shared" si="12"/>
        <v>0</v>
      </c>
      <c r="E31">
        <f t="shared" si="12"/>
        <v>0</v>
      </c>
      <c r="F31">
        <f t="shared" si="12"/>
        <v>96955</v>
      </c>
      <c r="G31">
        <f t="shared" si="12"/>
        <v>1969</v>
      </c>
      <c r="H31">
        <f t="shared" si="12"/>
        <v>1906</v>
      </c>
      <c r="I31">
        <f t="shared" si="13"/>
        <v>0</v>
      </c>
      <c r="J31">
        <f t="shared" si="13"/>
        <v>1129980</v>
      </c>
      <c r="N31" t="s">
        <v>236</v>
      </c>
      <c r="O31" s="105">
        <v>891961</v>
      </c>
      <c r="P31" s="105">
        <v>137189</v>
      </c>
      <c r="Q31" s="105">
        <v>0</v>
      </c>
      <c r="R31" s="105">
        <v>0</v>
      </c>
      <c r="S31" s="105">
        <v>96955</v>
      </c>
      <c r="T31" s="105">
        <v>1969</v>
      </c>
      <c r="U31" s="105">
        <v>1906</v>
      </c>
      <c r="V31" s="105">
        <v>0</v>
      </c>
      <c r="W31">
        <f>SUM(O31:V31)</f>
        <v>1129980</v>
      </c>
    </row>
    <row r="32" spans="1:23" x14ac:dyDescent="0.2">
      <c r="A32" t="s">
        <v>173</v>
      </c>
      <c r="B32">
        <f t="shared" si="12"/>
        <v>172972</v>
      </c>
      <c r="C32">
        <f t="shared" si="12"/>
        <v>24079</v>
      </c>
      <c r="D32">
        <f t="shared" si="12"/>
        <v>0</v>
      </c>
      <c r="E32">
        <f t="shared" si="12"/>
        <v>0</v>
      </c>
      <c r="F32">
        <f t="shared" si="12"/>
        <v>15822</v>
      </c>
      <c r="G32">
        <f t="shared" si="12"/>
        <v>189</v>
      </c>
      <c r="H32">
        <f t="shared" si="12"/>
        <v>181</v>
      </c>
      <c r="I32">
        <f t="shared" si="13"/>
        <v>0</v>
      </c>
      <c r="J32">
        <f t="shared" si="13"/>
        <v>213243</v>
      </c>
      <c r="N32" t="s">
        <v>173</v>
      </c>
      <c r="O32" s="105">
        <v>172972</v>
      </c>
      <c r="P32" s="105">
        <v>24079</v>
      </c>
      <c r="Q32" s="105">
        <v>0</v>
      </c>
      <c r="R32" s="105">
        <v>0</v>
      </c>
      <c r="S32" s="105">
        <v>15822</v>
      </c>
      <c r="T32" s="105">
        <v>189</v>
      </c>
      <c r="U32" s="105">
        <v>181</v>
      </c>
      <c r="V32" s="105">
        <v>0</v>
      </c>
      <c r="W32">
        <f>SUM(O32:V32)</f>
        <v>213243</v>
      </c>
    </row>
    <row r="34" spans="1:23" x14ac:dyDescent="0.2">
      <c r="A34" t="s">
        <v>211</v>
      </c>
      <c r="N34" t="s">
        <v>211</v>
      </c>
    </row>
    <row r="35" spans="1:23" x14ac:dyDescent="0.2">
      <c r="A35" t="s">
        <v>28</v>
      </c>
      <c r="B35" t="s">
        <v>21</v>
      </c>
      <c r="C35" t="s">
        <v>22</v>
      </c>
      <c r="D35" t="s">
        <v>148</v>
      </c>
      <c r="E35" t="s">
        <v>243</v>
      </c>
      <c r="F35" t="s">
        <v>23</v>
      </c>
      <c r="G35" t="s">
        <v>24</v>
      </c>
      <c r="H35" t="s">
        <v>25</v>
      </c>
      <c r="I35" t="s">
        <v>26</v>
      </c>
      <c r="J35" t="s">
        <v>27</v>
      </c>
      <c r="N35" t="s">
        <v>28</v>
      </c>
      <c r="O35" t="s">
        <v>21</v>
      </c>
      <c r="P35" t="s">
        <v>22</v>
      </c>
      <c r="Q35" t="s">
        <v>148</v>
      </c>
      <c r="R35" t="s">
        <v>243</v>
      </c>
      <c r="S35" t="s">
        <v>23</v>
      </c>
      <c r="T35" t="s">
        <v>24</v>
      </c>
      <c r="U35" t="s">
        <v>25</v>
      </c>
      <c r="V35" t="s">
        <v>26</v>
      </c>
      <c r="W35" t="s">
        <v>27</v>
      </c>
    </row>
    <row r="36" spans="1:23" x14ac:dyDescent="0.2">
      <c r="A36" t="s">
        <v>226</v>
      </c>
      <c r="B36">
        <f t="shared" ref="B36:H39" si="14">O36*$B$1</f>
        <v>1101733</v>
      </c>
      <c r="C36">
        <f t="shared" si="14"/>
        <v>274554</v>
      </c>
      <c r="D36">
        <f t="shared" si="14"/>
        <v>313576</v>
      </c>
      <c r="E36">
        <f t="shared" si="14"/>
        <v>306209</v>
      </c>
      <c r="F36">
        <f t="shared" si="14"/>
        <v>67527</v>
      </c>
      <c r="G36">
        <f t="shared" si="14"/>
        <v>6565</v>
      </c>
      <c r="H36">
        <f t="shared" si="14"/>
        <v>74112</v>
      </c>
      <c r="I36">
        <f t="shared" ref="I36:J39" si="15">V36*$B$1</f>
        <v>181483</v>
      </c>
      <c r="J36">
        <f t="shared" si="15"/>
        <v>2325759</v>
      </c>
      <c r="N36" t="s">
        <v>226</v>
      </c>
      <c r="O36" s="105">
        <v>1101733</v>
      </c>
      <c r="P36" s="105">
        <v>274554</v>
      </c>
      <c r="Q36" s="105">
        <v>313576</v>
      </c>
      <c r="R36" s="105">
        <v>306209</v>
      </c>
      <c r="S36" s="105">
        <v>67527</v>
      </c>
      <c r="T36" s="105">
        <v>6565</v>
      </c>
      <c r="U36" s="105">
        <v>74112</v>
      </c>
      <c r="V36" s="105">
        <v>181483</v>
      </c>
      <c r="W36">
        <f>SUM(O36:V36)</f>
        <v>2325759</v>
      </c>
    </row>
    <row r="37" spans="1:23" x14ac:dyDescent="0.2">
      <c r="A37" t="s">
        <v>235</v>
      </c>
      <c r="B37">
        <f t="shared" si="14"/>
        <v>0</v>
      </c>
      <c r="C37">
        <f t="shared" si="14"/>
        <v>0</v>
      </c>
      <c r="D37">
        <f t="shared" si="14"/>
        <v>0</v>
      </c>
      <c r="E37">
        <f t="shared" si="14"/>
        <v>0</v>
      </c>
      <c r="F37">
        <f t="shared" si="14"/>
        <v>1860</v>
      </c>
      <c r="G37">
        <f t="shared" si="14"/>
        <v>29</v>
      </c>
      <c r="H37">
        <f t="shared" si="14"/>
        <v>26</v>
      </c>
      <c r="I37">
        <f t="shared" si="15"/>
        <v>0</v>
      </c>
      <c r="J37">
        <f t="shared" si="15"/>
        <v>1915</v>
      </c>
      <c r="N37" t="s">
        <v>235</v>
      </c>
      <c r="O37" s="105">
        <v>0</v>
      </c>
      <c r="P37" s="105">
        <v>0</v>
      </c>
      <c r="Q37" s="105">
        <v>0</v>
      </c>
      <c r="R37" s="105">
        <v>0</v>
      </c>
      <c r="S37" s="105">
        <v>1860</v>
      </c>
      <c r="T37" s="105">
        <v>29</v>
      </c>
      <c r="U37" s="105">
        <v>26</v>
      </c>
      <c r="V37" s="105">
        <v>0</v>
      </c>
      <c r="W37">
        <f>SUM(O37:V37)</f>
        <v>1915</v>
      </c>
    </row>
    <row r="38" spans="1:23" x14ac:dyDescent="0.2">
      <c r="A38" t="s">
        <v>236</v>
      </c>
      <c r="B38">
        <f t="shared" si="14"/>
        <v>0</v>
      </c>
      <c r="C38">
        <f t="shared" si="14"/>
        <v>0</v>
      </c>
      <c r="D38">
        <f t="shared" si="14"/>
        <v>0</v>
      </c>
      <c r="E38">
        <f t="shared" si="14"/>
        <v>0</v>
      </c>
      <c r="F38">
        <f t="shared" si="14"/>
        <v>71401</v>
      </c>
      <c r="G38">
        <f t="shared" si="14"/>
        <v>49027</v>
      </c>
      <c r="H38">
        <f t="shared" si="14"/>
        <v>263815</v>
      </c>
      <c r="I38">
        <f t="shared" si="15"/>
        <v>0</v>
      </c>
      <c r="J38">
        <f t="shared" si="15"/>
        <v>384243</v>
      </c>
      <c r="N38" t="s">
        <v>236</v>
      </c>
      <c r="O38" s="105">
        <v>0</v>
      </c>
      <c r="P38" s="105">
        <v>0</v>
      </c>
      <c r="Q38" s="105">
        <v>0</v>
      </c>
      <c r="R38" s="105">
        <v>0</v>
      </c>
      <c r="S38" s="105">
        <v>71401</v>
      </c>
      <c r="T38" s="105">
        <v>49027</v>
      </c>
      <c r="U38" s="105">
        <v>263815</v>
      </c>
      <c r="V38" s="105">
        <v>0</v>
      </c>
      <c r="W38">
        <f>SUM(O38:V38)</f>
        <v>384243</v>
      </c>
    </row>
    <row r="39" spans="1:23" x14ac:dyDescent="0.2">
      <c r="A39" t="s">
        <v>173</v>
      </c>
      <c r="B39">
        <f t="shared" si="14"/>
        <v>0</v>
      </c>
      <c r="C39">
        <f t="shared" si="14"/>
        <v>0</v>
      </c>
      <c r="D39">
        <f t="shared" si="14"/>
        <v>0</v>
      </c>
      <c r="E39">
        <f t="shared" si="14"/>
        <v>0</v>
      </c>
      <c r="F39">
        <f t="shared" si="14"/>
        <v>12667</v>
      </c>
      <c r="G39">
        <f t="shared" si="14"/>
        <v>8071</v>
      </c>
      <c r="H39">
        <f t="shared" si="14"/>
        <v>39083</v>
      </c>
      <c r="I39">
        <f t="shared" si="15"/>
        <v>0</v>
      </c>
      <c r="J39">
        <f t="shared" si="15"/>
        <v>59821</v>
      </c>
      <c r="N39" t="s">
        <v>173</v>
      </c>
      <c r="O39" s="105">
        <v>0</v>
      </c>
      <c r="P39" s="105">
        <v>0</v>
      </c>
      <c r="Q39" s="105">
        <v>0</v>
      </c>
      <c r="R39" s="105">
        <v>0</v>
      </c>
      <c r="S39" s="105">
        <v>12667</v>
      </c>
      <c r="T39" s="105">
        <v>8071</v>
      </c>
      <c r="U39" s="105">
        <v>39083</v>
      </c>
      <c r="V39" s="105">
        <v>0</v>
      </c>
      <c r="W39">
        <f>SUM(O39:V39)</f>
        <v>59821</v>
      </c>
    </row>
    <row r="41" spans="1:23" x14ac:dyDescent="0.2">
      <c r="A41" t="s">
        <v>212</v>
      </c>
      <c r="N41" t="s">
        <v>212</v>
      </c>
    </row>
    <row r="42" spans="1:23" x14ac:dyDescent="0.2">
      <c r="A42" t="s">
        <v>28</v>
      </c>
      <c r="B42" t="s">
        <v>21</v>
      </c>
      <c r="C42" t="s">
        <v>22</v>
      </c>
      <c r="D42" t="s">
        <v>148</v>
      </c>
      <c r="E42" t="s">
        <v>243</v>
      </c>
      <c r="F42" t="s">
        <v>23</v>
      </c>
      <c r="G42" t="s">
        <v>24</v>
      </c>
      <c r="H42" t="s">
        <v>25</v>
      </c>
      <c r="I42" t="s">
        <v>26</v>
      </c>
      <c r="J42" t="s">
        <v>27</v>
      </c>
      <c r="N42" t="s">
        <v>28</v>
      </c>
      <c r="O42" t="s">
        <v>21</v>
      </c>
      <c r="P42" t="s">
        <v>22</v>
      </c>
      <c r="Q42" t="s">
        <v>148</v>
      </c>
      <c r="R42" t="s">
        <v>243</v>
      </c>
      <c r="S42" t="s">
        <v>23</v>
      </c>
      <c r="T42" t="s">
        <v>24</v>
      </c>
      <c r="U42" t="s">
        <v>25</v>
      </c>
      <c r="V42" t="s">
        <v>26</v>
      </c>
      <c r="W42" t="s">
        <v>27</v>
      </c>
    </row>
    <row r="43" spans="1:23" x14ac:dyDescent="0.2">
      <c r="A43" t="s">
        <v>226</v>
      </c>
      <c r="B43">
        <f t="shared" ref="B43:H46" si="16">O43*$B$1</f>
        <v>755978</v>
      </c>
      <c r="C43">
        <f t="shared" si="16"/>
        <v>210757</v>
      </c>
      <c r="D43">
        <f t="shared" si="16"/>
        <v>277358</v>
      </c>
      <c r="E43">
        <f t="shared" si="16"/>
        <v>221895</v>
      </c>
      <c r="F43">
        <f t="shared" si="16"/>
        <v>123892</v>
      </c>
      <c r="G43">
        <f t="shared" si="16"/>
        <v>57809</v>
      </c>
      <c r="H43">
        <f t="shared" si="16"/>
        <v>345867</v>
      </c>
      <c r="I43">
        <f t="shared" ref="I43:J46" si="17">V43*$B$1</f>
        <v>129651</v>
      </c>
      <c r="J43">
        <f t="shared" si="17"/>
        <v>2123207</v>
      </c>
      <c r="N43" t="s">
        <v>226</v>
      </c>
      <c r="O43" s="105">
        <v>755978</v>
      </c>
      <c r="P43" s="105">
        <v>210757</v>
      </c>
      <c r="Q43" s="105">
        <v>277358</v>
      </c>
      <c r="R43" s="105">
        <v>221895</v>
      </c>
      <c r="S43" s="105">
        <v>123892</v>
      </c>
      <c r="T43" s="105">
        <v>57809</v>
      </c>
      <c r="U43" s="105">
        <v>345867</v>
      </c>
      <c r="V43" s="105">
        <v>129651</v>
      </c>
      <c r="W43">
        <f>SUM(O43:V43)</f>
        <v>2123207</v>
      </c>
    </row>
    <row r="44" spans="1:23" x14ac:dyDescent="0.2">
      <c r="A44" t="s">
        <v>235</v>
      </c>
      <c r="B44">
        <f t="shared" si="16"/>
        <v>214560</v>
      </c>
      <c r="C44">
        <f t="shared" si="16"/>
        <v>19860</v>
      </c>
      <c r="D44">
        <f t="shared" si="16"/>
        <v>2254</v>
      </c>
      <c r="E44">
        <f t="shared" si="16"/>
        <v>5174</v>
      </c>
      <c r="F44">
        <f t="shared" si="16"/>
        <v>23390</v>
      </c>
      <c r="G44">
        <f t="shared" si="16"/>
        <v>3125</v>
      </c>
      <c r="H44">
        <f t="shared" si="16"/>
        <v>10786</v>
      </c>
      <c r="I44">
        <f t="shared" si="17"/>
        <v>3102</v>
      </c>
      <c r="J44">
        <f t="shared" si="17"/>
        <v>282251</v>
      </c>
      <c r="N44" t="s">
        <v>235</v>
      </c>
      <c r="O44" s="105">
        <v>214560</v>
      </c>
      <c r="P44" s="105">
        <v>19860</v>
      </c>
      <c r="Q44" s="105">
        <v>2254</v>
      </c>
      <c r="R44" s="105">
        <v>5174</v>
      </c>
      <c r="S44" s="105">
        <v>23390</v>
      </c>
      <c r="T44" s="105">
        <v>3125</v>
      </c>
      <c r="U44" s="105">
        <v>10786</v>
      </c>
      <c r="V44" s="105">
        <v>3102</v>
      </c>
      <c r="W44">
        <f>SUM(O44:V44)</f>
        <v>282251</v>
      </c>
    </row>
    <row r="45" spans="1:23" x14ac:dyDescent="0.2">
      <c r="A45" t="s">
        <v>236</v>
      </c>
      <c r="B45">
        <f t="shared" si="16"/>
        <v>74734</v>
      </c>
      <c r="C45">
        <f t="shared" si="16"/>
        <v>31759</v>
      </c>
      <c r="D45">
        <f t="shared" si="16"/>
        <v>27092</v>
      </c>
      <c r="E45">
        <f t="shared" si="16"/>
        <v>62869</v>
      </c>
      <c r="F45">
        <f t="shared" si="16"/>
        <v>3397</v>
      </c>
      <c r="G45">
        <f t="shared" si="16"/>
        <v>1669</v>
      </c>
      <c r="H45">
        <f t="shared" si="16"/>
        <v>14085</v>
      </c>
      <c r="I45">
        <f t="shared" si="17"/>
        <v>38841</v>
      </c>
      <c r="J45">
        <f t="shared" si="17"/>
        <v>254446</v>
      </c>
      <c r="N45" t="s">
        <v>236</v>
      </c>
      <c r="O45" s="105">
        <v>74734</v>
      </c>
      <c r="P45" s="105">
        <v>31759</v>
      </c>
      <c r="Q45" s="105">
        <v>27092</v>
      </c>
      <c r="R45" s="105">
        <v>62869</v>
      </c>
      <c r="S45" s="105">
        <v>3397</v>
      </c>
      <c r="T45" s="105">
        <v>1669</v>
      </c>
      <c r="U45" s="105">
        <v>14085</v>
      </c>
      <c r="V45" s="105">
        <v>38841</v>
      </c>
      <c r="W45">
        <f>SUM(O45:V45)</f>
        <v>254446</v>
      </c>
    </row>
    <row r="46" spans="1:23" x14ac:dyDescent="0.2">
      <c r="A46" t="s">
        <v>173</v>
      </c>
      <c r="B46">
        <f t="shared" si="16"/>
        <v>56461</v>
      </c>
      <c r="C46">
        <f t="shared" si="16"/>
        <v>12178</v>
      </c>
      <c r="D46">
        <f t="shared" si="16"/>
        <v>6872</v>
      </c>
      <c r="E46">
        <f t="shared" si="16"/>
        <v>16271</v>
      </c>
      <c r="F46">
        <f t="shared" si="16"/>
        <v>2776</v>
      </c>
      <c r="G46">
        <f t="shared" si="16"/>
        <v>1089</v>
      </c>
      <c r="H46">
        <f t="shared" si="16"/>
        <v>6298</v>
      </c>
      <c r="I46">
        <f t="shared" si="17"/>
        <v>9889</v>
      </c>
      <c r="J46">
        <f t="shared" si="17"/>
        <v>111834</v>
      </c>
      <c r="N46" t="s">
        <v>173</v>
      </c>
      <c r="O46" s="105">
        <v>56461</v>
      </c>
      <c r="P46" s="105">
        <v>12178</v>
      </c>
      <c r="Q46" s="105">
        <v>6872</v>
      </c>
      <c r="R46" s="105">
        <v>16271</v>
      </c>
      <c r="S46" s="105">
        <v>2776</v>
      </c>
      <c r="T46" s="105">
        <v>1089</v>
      </c>
      <c r="U46" s="105">
        <v>6298</v>
      </c>
      <c r="V46" s="105">
        <v>9889</v>
      </c>
      <c r="W46">
        <f>SUM(O46:V46)</f>
        <v>111834</v>
      </c>
    </row>
    <row r="48" spans="1:23" x14ac:dyDescent="0.2">
      <c r="A48" t="s">
        <v>36</v>
      </c>
      <c r="N48" t="s">
        <v>36</v>
      </c>
    </row>
    <row r="49" spans="1:23" x14ac:dyDescent="0.2">
      <c r="A49" t="s">
        <v>28</v>
      </c>
      <c r="B49" t="s">
        <v>21</v>
      </c>
      <c r="C49" t="s">
        <v>22</v>
      </c>
      <c r="D49" t="s">
        <v>148</v>
      </c>
      <c r="E49" t="s">
        <v>243</v>
      </c>
      <c r="F49" t="s">
        <v>23</v>
      </c>
      <c r="G49" t="s">
        <v>24</v>
      </c>
      <c r="H49" t="s">
        <v>25</v>
      </c>
      <c r="I49" t="s">
        <v>26</v>
      </c>
      <c r="J49" t="s">
        <v>27</v>
      </c>
      <c r="N49" t="s">
        <v>28</v>
      </c>
      <c r="O49" t="s">
        <v>21</v>
      </c>
      <c r="P49" t="s">
        <v>22</v>
      </c>
      <c r="Q49" t="s">
        <v>148</v>
      </c>
      <c r="R49" t="s">
        <v>243</v>
      </c>
      <c r="S49" t="s">
        <v>23</v>
      </c>
      <c r="T49" t="s">
        <v>24</v>
      </c>
      <c r="U49" t="s">
        <v>25</v>
      </c>
      <c r="V49" t="s">
        <v>26</v>
      </c>
      <c r="W49" t="s">
        <v>27</v>
      </c>
    </row>
    <row r="50" spans="1:23" x14ac:dyDescent="0.2">
      <c r="A50" t="s">
        <v>226</v>
      </c>
      <c r="B50">
        <f t="shared" ref="B50:H53" si="18">O50*$B$1</f>
        <v>673811</v>
      </c>
      <c r="C50">
        <f t="shared" si="18"/>
        <v>155987</v>
      </c>
      <c r="D50">
        <f t="shared" si="18"/>
        <v>145533</v>
      </c>
      <c r="E50">
        <f t="shared" si="18"/>
        <v>157142</v>
      </c>
      <c r="F50">
        <f t="shared" si="18"/>
        <v>107027</v>
      </c>
      <c r="G50">
        <f t="shared" si="18"/>
        <v>54824</v>
      </c>
      <c r="H50">
        <f t="shared" si="18"/>
        <v>283474</v>
      </c>
      <c r="I50">
        <f t="shared" ref="I50:J53" si="19">V50*$B$1</f>
        <v>93832</v>
      </c>
      <c r="J50">
        <f t="shared" si="19"/>
        <v>1671630</v>
      </c>
      <c r="N50" t="s">
        <v>226</v>
      </c>
      <c r="O50" s="105">
        <v>673811</v>
      </c>
      <c r="P50" s="105">
        <v>155987</v>
      </c>
      <c r="Q50" s="105">
        <v>145533</v>
      </c>
      <c r="R50" s="105">
        <v>157142</v>
      </c>
      <c r="S50" s="105">
        <v>107027</v>
      </c>
      <c r="T50" s="105">
        <v>54824</v>
      </c>
      <c r="U50" s="105">
        <v>283474</v>
      </c>
      <c r="V50" s="105">
        <v>93832</v>
      </c>
      <c r="W50">
        <f>SUM(O50:V50)</f>
        <v>1671630</v>
      </c>
    </row>
    <row r="51" spans="1:23" x14ac:dyDescent="0.2">
      <c r="A51" t="s">
        <v>235</v>
      </c>
      <c r="B51">
        <f t="shared" si="18"/>
        <v>327644</v>
      </c>
      <c r="C51">
        <f t="shared" si="18"/>
        <v>64117</v>
      </c>
      <c r="D51">
        <f t="shared" si="18"/>
        <v>58858</v>
      </c>
      <c r="E51">
        <f t="shared" si="18"/>
        <v>60374</v>
      </c>
      <c r="F51">
        <f t="shared" si="18"/>
        <v>38180</v>
      </c>
      <c r="G51">
        <f t="shared" si="18"/>
        <v>5577</v>
      </c>
      <c r="H51">
        <f t="shared" si="18"/>
        <v>49193</v>
      </c>
      <c r="I51">
        <f t="shared" si="19"/>
        <v>36149</v>
      </c>
      <c r="J51">
        <f t="shared" si="19"/>
        <v>640092</v>
      </c>
      <c r="N51" t="s">
        <v>235</v>
      </c>
      <c r="O51" s="105">
        <v>327644</v>
      </c>
      <c r="P51" s="105">
        <v>64117</v>
      </c>
      <c r="Q51" s="105">
        <v>58858</v>
      </c>
      <c r="R51" s="105">
        <v>60374</v>
      </c>
      <c r="S51" s="105">
        <v>38180</v>
      </c>
      <c r="T51" s="105">
        <v>5577</v>
      </c>
      <c r="U51" s="105">
        <v>49193</v>
      </c>
      <c r="V51" s="105">
        <v>36149</v>
      </c>
      <c r="W51">
        <f>SUM(O51:V51)</f>
        <v>640092</v>
      </c>
    </row>
    <row r="52" spans="1:23" x14ac:dyDescent="0.2">
      <c r="A52" t="s">
        <v>236</v>
      </c>
      <c r="B52">
        <f t="shared" si="18"/>
        <v>56196</v>
      </c>
      <c r="C52">
        <f t="shared" si="18"/>
        <v>27564</v>
      </c>
      <c r="D52">
        <f t="shared" si="18"/>
        <v>54601</v>
      </c>
      <c r="E52">
        <f t="shared" si="18"/>
        <v>43072</v>
      </c>
      <c r="F52">
        <f t="shared" si="18"/>
        <v>4731</v>
      </c>
      <c r="G52">
        <f t="shared" si="18"/>
        <v>2093</v>
      </c>
      <c r="H52">
        <f t="shared" si="18"/>
        <v>27581</v>
      </c>
      <c r="I52">
        <f t="shared" si="19"/>
        <v>25581</v>
      </c>
      <c r="J52">
        <f t="shared" si="19"/>
        <v>241419</v>
      </c>
      <c r="N52" t="s">
        <v>236</v>
      </c>
      <c r="O52" s="105">
        <v>56196</v>
      </c>
      <c r="P52" s="105">
        <v>27564</v>
      </c>
      <c r="Q52" s="105">
        <v>54601</v>
      </c>
      <c r="R52" s="105">
        <v>43072</v>
      </c>
      <c r="S52" s="105">
        <v>4731</v>
      </c>
      <c r="T52" s="105">
        <v>2093</v>
      </c>
      <c r="U52" s="105">
        <v>27581</v>
      </c>
      <c r="V52" s="105">
        <v>25581</v>
      </c>
      <c r="W52">
        <f>SUM(O52:V52)</f>
        <v>241419</v>
      </c>
    </row>
    <row r="53" spans="1:23" x14ac:dyDescent="0.2">
      <c r="A53" t="s">
        <v>173</v>
      </c>
      <c r="B53">
        <f t="shared" si="18"/>
        <v>44082</v>
      </c>
      <c r="C53">
        <f t="shared" si="18"/>
        <v>26886</v>
      </c>
      <c r="D53">
        <f t="shared" si="18"/>
        <v>54584</v>
      </c>
      <c r="E53">
        <f t="shared" si="18"/>
        <v>45621</v>
      </c>
      <c r="F53">
        <f t="shared" si="18"/>
        <v>3517</v>
      </c>
      <c r="G53">
        <f t="shared" si="18"/>
        <v>1198</v>
      </c>
      <c r="H53">
        <f t="shared" si="18"/>
        <v>16788</v>
      </c>
      <c r="I53">
        <f t="shared" si="19"/>
        <v>25921</v>
      </c>
      <c r="J53">
        <f t="shared" si="19"/>
        <v>218597</v>
      </c>
      <c r="N53" t="s">
        <v>173</v>
      </c>
      <c r="O53" s="105">
        <v>44082</v>
      </c>
      <c r="P53" s="105">
        <v>26886</v>
      </c>
      <c r="Q53" s="105">
        <v>54584</v>
      </c>
      <c r="R53" s="105">
        <v>45621</v>
      </c>
      <c r="S53" s="105">
        <v>3517</v>
      </c>
      <c r="T53" s="105">
        <v>1198</v>
      </c>
      <c r="U53" s="105">
        <v>16788</v>
      </c>
      <c r="V53" s="105">
        <v>25921</v>
      </c>
      <c r="W53">
        <f>SUM(O53:V53)</f>
        <v>218597</v>
      </c>
    </row>
    <row r="55" spans="1:23" x14ac:dyDescent="0.2">
      <c r="A55" t="s">
        <v>214</v>
      </c>
      <c r="N55" t="s">
        <v>214</v>
      </c>
    </row>
    <row r="56" spans="1:23" x14ac:dyDescent="0.2">
      <c r="A56" t="s">
        <v>28</v>
      </c>
      <c r="B56" t="s">
        <v>21</v>
      </c>
      <c r="C56" t="s">
        <v>22</v>
      </c>
      <c r="D56" t="s">
        <v>148</v>
      </c>
      <c r="E56" t="s">
        <v>243</v>
      </c>
      <c r="F56" t="s">
        <v>23</v>
      </c>
      <c r="G56" t="s">
        <v>24</v>
      </c>
      <c r="H56" t="s">
        <v>25</v>
      </c>
      <c r="I56" t="s">
        <v>26</v>
      </c>
      <c r="J56" t="s">
        <v>27</v>
      </c>
      <c r="N56" t="s">
        <v>28</v>
      </c>
      <c r="O56" t="s">
        <v>21</v>
      </c>
      <c r="P56" t="s">
        <v>22</v>
      </c>
      <c r="Q56" t="s">
        <v>148</v>
      </c>
      <c r="R56" t="s">
        <v>243</v>
      </c>
      <c r="S56" t="s">
        <v>23</v>
      </c>
      <c r="T56" t="s">
        <v>24</v>
      </c>
      <c r="U56" t="s">
        <v>25</v>
      </c>
      <c r="V56" t="s">
        <v>26</v>
      </c>
      <c r="W56" t="s">
        <v>27</v>
      </c>
    </row>
    <row r="57" spans="1:23" x14ac:dyDescent="0.2">
      <c r="A57" t="s">
        <v>226</v>
      </c>
      <c r="B57">
        <f t="shared" ref="B57:H60" si="20">O57*$B$1</f>
        <v>443987</v>
      </c>
      <c r="C57">
        <f t="shared" si="20"/>
        <v>145959</v>
      </c>
      <c r="D57">
        <f t="shared" si="20"/>
        <v>132402</v>
      </c>
      <c r="E57">
        <f t="shared" si="20"/>
        <v>101254</v>
      </c>
      <c r="F57">
        <f t="shared" si="20"/>
        <v>80831</v>
      </c>
      <c r="G57">
        <f t="shared" si="20"/>
        <v>59720</v>
      </c>
      <c r="H57">
        <f t="shared" si="20"/>
        <v>350223</v>
      </c>
      <c r="I57">
        <f t="shared" ref="I57:J60" si="21">V57*$B$1</f>
        <v>90334</v>
      </c>
      <c r="J57">
        <f t="shared" si="21"/>
        <v>1404710</v>
      </c>
      <c r="N57" t="s">
        <v>226</v>
      </c>
      <c r="O57" s="105">
        <v>443987</v>
      </c>
      <c r="P57" s="105">
        <v>145959</v>
      </c>
      <c r="Q57" s="105">
        <v>132402</v>
      </c>
      <c r="R57" s="105">
        <v>101254</v>
      </c>
      <c r="S57" s="105">
        <v>80831</v>
      </c>
      <c r="T57" s="105">
        <v>59720</v>
      </c>
      <c r="U57" s="105">
        <v>350223</v>
      </c>
      <c r="V57" s="105">
        <v>90334</v>
      </c>
      <c r="W57">
        <f>SUM(O57:V57)</f>
        <v>1404710</v>
      </c>
    </row>
    <row r="58" spans="1:23" x14ac:dyDescent="0.2">
      <c r="A58" t="s">
        <v>235</v>
      </c>
      <c r="B58">
        <f t="shared" si="20"/>
        <v>536264</v>
      </c>
      <c r="C58">
        <f t="shared" si="20"/>
        <v>82125</v>
      </c>
      <c r="D58">
        <f t="shared" si="20"/>
        <v>86742</v>
      </c>
      <c r="E58">
        <f t="shared" si="20"/>
        <v>103467</v>
      </c>
      <c r="F58">
        <f t="shared" si="20"/>
        <v>62847</v>
      </c>
      <c r="G58">
        <f t="shared" si="20"/>
        <v>2981</v>
      </c>
      <c r="H58">
        <f t="shared" si="20"/>
        <v>12317</v>
      </c>
      <c r="I58">
        <f t="shared" si="21"/>
        <v>41513</v>
      </c>
      <c r="J58">
        <f t="shared" si="21"/>
        <v>928256</v>
      </c>
      <c r="N58" t="s">
        <v>235</v>
      </c>
      <c r="O58" s="105">
        <v>536264</v>
      </c>
      <c r="P58" s="105">
        <v>82125</v>
      </c>
      <c r="Q58" s="105">
        <v>86742</v>
      </c>
      <c r="R58" s="105">
        <v>103467</v>
      </c>
      <c r="S58" s="105">
        <v>62847</v>
      </c>
      <c r="T58" s="105">
        <v>2981</v>
      </c>
      <c r="U58" s="105">
        <v>12317</v>
      </c>
      <c r="V58" s="105">
        <v>41513</v>
      </c>
      <c r="W58">
        <f>SUM(O58:V58)</f>
        <v>928256</v>
      </c>
    </row>
    <row r="59" spans="1:23" x14ac:dyDescent="0.2">
      <c r="A59" t="s">
        <v>236</v>
      </c>
      <c r="B59">
        <f t="shared" si="20"/>
        <v>67660</v>
      </c>
      <c r="C59">
        <f t="shared" si="20"/>
        <v>22037</v>
      </c>
      <c r="D59">
        <f t="shared" si="20"/>
        <v>42525</v>
      </c>
      <c r="E59">
        <f t="shared" si="20"/>
        <v>46467</v>
      </c>
      <c r="F59">
        <f t="shared" si="20"/>
        <v>5407</v>
      </c>
      <c r="G59">
        <f t="shared" si="20"/>
        <v>579</v>
      </c>
      <c r="H59">
        <f t="shared" si="20"/>
        <v>8742</v>
      </c>
      <c r="I59">
        <f t="shared" si="21"/>
        <v>23321</v>
      </c>
      <c r="J59">
        <f t="shared" si="21"/>
        <v>216738</v>
      </c>
      <c r="N59" t="s">
        <v>236</v>
      </c>
      <c r="O59" s="105">
        <v>67660</v>
      </c>
      <c r="P59" s="105">
        <v>22037</v>
      </c>
      <c r="Q59" s="105">
        <v>42525</v>
      </c>
      <c r="R59" s="105">
        <v>46467</v>
      </c>
      <c r="S59" s="105">
        <v>5407</v>
      </c>
      <c r="T59" s="105">
        <v>579</v>
      </c>
      <c r="U59" s="105">
        <v>8742</v>
      </c>
      <c r="V59" s="105">
        <v>23321</v>
      </c>
      <c r="W59">
        <f>SUM(O59:V59)</f>
        <v>216738</v>
      </c>
    </row>
    <row r="60" spans="1:23" x14ac:dyDescent="0.2">
      <c r="A60" t="s">
        <v>173</v>
      </c>
      <c r="B60">
        <f t="shared" si="20"/>
        <v>53822</v>
      </c>
      <c r="C60">
        <f t="shared" si="20"/>
        <v>24433</v>
      </c>
      <c r="D60">
        <f t="shared" si="20"/>
        <v>51907</v>
      </c>
      <c r="E60">
        <f t="shared" si="20"/>
        <v>55021</v>
      </c>
      <c r="F60">
        <f t="shared" si="20"/>
        <v>4370</v>
      </c>
      <c r="G60">
        <f t="shared" si="20"/>
        <v>412</v>
      </c>
      <c r="H60">
        <f t="shared" si="20"/>
        <v>5754</v>
      </c>
      <c r="I60">
        <f t="shared" si="21"/>
        <v>26315</v>
      </c>
      <c r="J60">
        <f t="shared" si="21"/>
        <v>222034</v>
      </c>
      <c r="N60" t="s">
        <v>173</v>
      </c>
      <c r="O60" s="105">
        <v>53822</v>
      </c>
      <c r="P60" s="105">
        <v>24433</v>
      </c>
      <c r="Q60" s="105">
        <v>51907</v>
      </c>
      <c r="R60" s="105">
        <v>55021</v>
      </c>
      <c r="S60" s="105">
        <v>4370</v>
      </c>
      <c r="T60" s="105">
        <v>412</v>
      </c>
      <c r="U60" s="105">
        <v>5754</v>
      </c>
      <c r="V60" s="105">
        <v>26315</v>
      </c>
      <c r="W60">
        <f>SUM(O60:V60)</f>
        <v>222034</v>
      </c>
    </row>
    <row r="62" spans="1:23" x14ac:dyDescent="0.2">
      <c r="A62" t="s">
        <v>129</v>
      </c>
      <c r="N62" t="s">
        <v>129</v>
      </c>
    </row>
    <row r="63" spans="1:23" x14ac:dyDescent="0.2">
      <c r="A63" t="s">
        <v>28</v>
      </c>
      <c r="B63" t="s">
        <v>21</v>
      </c>
      <c r="C63" t="s">
        <v>22</v>
      </c>
      <c r="D63" t="s">
        <v>148</v>
      </c>
      <c r="E63" t="s">
        <v>243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N63" t="s">
        <v>28</v>
      </c>
      <c r="O63" t="s">
        <v>21</v>
      </c>
      <c r="P63" t="s">
        <v>22</v>
      </c>
      <c r="Q63" t="s">
        <v>148</v>
      </c>
      <c r="R63" t="s">
        <v>243</v>
      </c>
      <c r="S63" t="s">
        <v>23</v>
      </c>
      <c r="T63" t="s">
        <v>24</v>
      </c>
      <c r="U63" t="s">
        <v>25</v>
      </c>
      <c r="V63" t="s">
        <v>26</v>
      </c>
      <c r="W63" t="s">
        <v>27</v>
      </c>
    </row>
    <row r="64" spans="1:23" x14ac:dyDescent="0.2">
      <c r="A64" t="s">
        <v>226</v>
      </c>
      <c r="B64">
        <f t="shared" ref="B64:H67" si="22">O64*$B$1</f>
        <v>782208</v>
      </c>
      <c r="C64">
        <f t="shared" si="22"/>
        <v>220840</v>
      </c>
      <c r="D64">
        <f t="shared" si="22"/>
        <v>252119</v>
      </c>
      <c r="E64">
        <f t="shared" si="22"/>
        <v>232864</v>
      </c>
      <c r="F64">
        <f t="shared" si="22"/>
        <v>110515</v>
      </c>
      <c r="G64">
        <f t="shared" si="22"/>
        <v>45175</v>
      </c>
      <c r="H64">
        <f t="shared" si="22"/>
        <v>327092</v>
      </c>
      <c r="I64">
        <f t="shared" ref="I64:J67" si="23">V64*$B$1</f>
        <v>159628</v>
      </c>
      <c r="J64">
        <f t="shared" si="23"/>
        <v>2130441</v>
      </c>
      <c r="N64" t="s">
        <v>226</v>
      </c>
      <c r="O64" s="105">
        <v>782208</v>
      </c>
      <c r="P64" s="105">
        <v>220840</v>
      </c>
      <c r="Q64" s="105">
        <v>252119</v>
      </c>
      <c r="R64" s="105">
        <v>232864</v>
      </c>
      <c r="S64" s="105">
        <v>110515</v>
      </c>
      <c r="T64" s="105">
        <v>45175</v>
      </c>
      <c r="U64" s="105">
        <v>327092</v>
      </c>
      <c r="V64" s="105">
        <v>159628</v>
      </c>
      <c r="W64">
        <f>SUM(O64:V64)</f>
        <v>2130441</v>
      </c>
    </row>
    <row r="65" spans="1:23" x14ac:dyDescent="0.2">
      <c r="A65" t="s">
        <v>235</v>
      </c>
      <c r="B65">
        <f t="shared" si="22"/>
        <v>266865</v>
      </c>
      <c r="C65">
        <f t="shared" si="22"/>
        <v>38173</v>
      </c>
      <c r="D65">
        <f t="shared" si="22"/>
        <v>34402</v>
      </c>
      <c r="E65">
        <f t="shared" si="22"/>
        <v>42834</v>
      </c>
      <c r="F65">
        <f t="shared" si="22"/>
        <v>38807</v>
      </c>
      <c r="G65">
        <f t="shared" si="22"/>
        <v>14657</v>
      </c>
      <c r="H65">
        <f t="shared" si="22"/>
        <v>37391</v>
      </c>
      <c r="I65">
        <f t="shared" si="23"/>
        <v>13416</v>
      </c>
      <c r="J65">
        <f t="shared" si="23"/>
        <v>486545</v>
      </c>
      <c r="N65" t="s">
        <v>235</v>
      </c>
      <c r="O65" s="105">
        <v>266865</v>
      </c>
      <c r="P65" s="105">
        <v>38173</v>
      </c>
      <c r="Q65" s="105">
        <v>34402</v>
      </c>
      <c r="R65" s="105">
        <v>42834</v>
      </c>
      <c r="S65" s="105">
        <v>38807</v>
      </c>
      <c r="T65" s="105">
        <v>14657</v>
      </c>
      <c r="U65" s="105">
        <v>37391</v>
      </c>
      <c r="V65" s="105">
        <v>13416</v>
      </c>
      <c r="W65">
        <f>SUM(O65:V65)</f>
        <v>486545</v>
      </c>
    </row>
    <row r="66" spans="1:23" x14ac:dyDescent="0.2">
      <c r="A66" t="s">
        <v>236</v>
      </c>
      <c r="B66">
        <f t="shared" si="22"/>
        <v>38660</v>
      </c>
      <c r="C66">
        <f t="shared" si="22"/>
        <v>11240</v>
      </c>
      <c r="D66">
        <f t="shared" si="22"/>
        <v>20279</v>
      </c>
      <c r="E66">
        <f t="shared" si="22"/>
        <v>22927</v>
      </c>
      <c r="F66">
        <f t="shared" si="22"/>
        <v>2946</v>
      </c>
      <c r="G66">
        <f t="shared" si="22"/>
        <v>2778</v>
      </c>
      <c r="H66">
        <f t="shared" si="22"/>
        <v>9203</v>
      </c>
      <c r="I66">
        <f t="shared" si="23"/>
        <v>6217</v>
      </c>
      <c r="J66">
        <f t="shared" si="23"/>
        <v>114250</v>
      </c>
      <c r="N66" t="s">
        <v>236</v>
      </c>
      <c r="O66" s="105">
        <v>38660</v>
      </c>
      <c r="P66" s="105">
        <v>11240</v>
      </c>
      <c r="Q66" s="105">
        <v>20279</v>
      </c>
      <c r="R66" s="105">
        <v>22927</v>
      </c>
      <c r="S66" s="105">
        <v>2946</v>
      </c>
      <c r="T66" s="105">
        <v>2778</v>
      </c>
      <c r="U66" s="105">
        <v>9203</v>
      </c>
      <c r="V66" s="105">
        <v>6217</v>
      </c>
      <c r="W66">
        <f>SUM(O66:V66)</f>
        <v>114250</v>
      </c>
    </row>
    <row r="67" spans="1:23" x14ac:dyDescent="0.2">
      <c r="A67" t="s">
        <v>173</v>
      </c>
      <c r="B67">
        <f t="shared" si="22"/>
        <v>14000</v>
      </c>
      <c r="C67">
        <f t="shared" si="22"/>
        <v>4301</v>
      </c>
      <c r="D67">
        <f t="shared" si="22"/>
        <v>6776</v>
      </c>
      <c r="E67">
        <f t="shared" si="22"/>
        <v>7584</v>
      </c>
      <c r="F67">
        <f t="shared" si="22"/>
        <v>1187</v>
      </c>
      <c r="G67">
        <f t="shared" si="22"/>
        <v>1082</v>
      </c>
      <c r="H67">
        <f t="shared" si="22"/>
        <v>3350</v>
      </c>
      <c r="I67">
        <f t="shared" si="23"/>
        <v>2222</v>
      </c>
      <c r="J67">
        <f t="shared" si="23"/>
        <v>40502</v>
      </c>
      <c r="N67" t="s">
        <v>173</v>
      </c>
      <c r="O67" s="105">
        <v>14000</v>
      </c>
      <c r="P67" s="105">
        <v>4301</v>
      </c>
      <c r="Q67" s="105">
        <v>6776</v>
      </c>
      <c r="R67" s="105">
        <v>7584</v>
      </c>
      <c r="S67" s="105">
        <v>1187</v>
      </c>
      <c r="T67" s="105">
        <v>1082</v>
      </c>
      <c r="U67" s="105">
        <v>3350</v>
      </c>
      <c r="V67" s="105">
        <v>2222</v>
      </c>
      <c r="W67">
        <f>SUM(O67:V67)</f>
        <v>40502</v>
      </c>
    </row>
    <row r="69" spans="1:23" x14ac:dyDescent="0.2">
      <c r="A69" t="s">
        <v>130</v>
      </c>
      <c r="N69" t="s">
        <v>130</v>
      </c>
    </row>
    <row r="70" spans="1:23" x14ac:dyDescent="0.2">
      <c r="A70" t="s">
        <v>28</v>
      </c>
      <c r="B70" t="s">
        <v>21</v>
      </c>
      <c r="C70" t="s">
        <v>22</v>
      </c>
      <c r="D70" t="s">
        <v>148</v>
      </c>
      <c r="E70" t="s">
        <v>243</v>
      </c>
      <c r="F70" t="s">
        <v>23</v>
      </c>
      <c r="G70" t="s">
        <v>24</v>
      </c>
      <c r="H70" t="s">
        <v>25</v>
      </c>
      <c r="I70" t="s">
        <v>26</v>
      </c>
      <c r="J70" t="s">
        <v>27</v>
      </c>
      <c r="N70" t="s">
        <v>28</v>
      </c>
      <c r="O70" t="s">
        <v>21</v>
      </c>
      <c r="P70" t="s">
        <v>22</v>
      </c>
      <c r="Q70" t="s">
        <v>148</v>
      </c>
      <c r="R70" t="s">
        <v>243</v>
      </c>
      <c r="S70" t="s">
        <v>23</v>
      </c>
      <c r="T70" t="s">
        <v>24</v>
      </c>
      <c r="U70" t="s">
        <v>25</v>
      </c>
      <c r="V70" t="s">
        <v>26</v>
      </c>
      <c r="W70" t="s">
        <v>27</v>
      </c>
    </row>
    <row r="71" spans="1:23" x14ac:dyDescent="0.2">
      <c r="A71" t="s">
        <v>226</v>
      </c>
      <c r="B71">
        <f t="shared" ref="B71:H74" si="24">O71*$B$1</f>
        <v>695188</v>
      </c>
      <c r="C71">
        <f t="shared" si="24"/>
        <v>150842</v>
      </c>
      <c r="D71">
        <f t="shared" si="24"/>
        <v>182596</v>
      </c>
      <c r="E71">
        <f t="shared" si="24"/>
        <v>164551</v>
      </c>
      <c r="F71">
        <f t="shared" si="24"/>
        <v>103199</v>
      </c>
      <c r="G71">
        <f t="shared" si="24"/>
        <v>45554</v>
      </c>
      <c r="H71">
        <f t="shared" si="24"/>
        <v>209430</v>
      </c>
      <c r="I71">
        <f t="shared" ref="I71:J74" si="25">V71*$B$1</f>
        <v>84195</v>
      </c>
      <c r="J71">
        <f t="shared" si="25"/>
        <v>1635555</v>
      </c>
      <c r="N71" t="s">
        <v>226</v>
      </c>
      <c r="O71" s="105">
        <v>695188</v>
      </c>
      <c r="P71" s="105">
        <v>150842</v>
      </c>
      <c r="Q71" s="105">
        <v>182596</v>
      </c>
      <c r="R71" s="105">
        <v>164551</v>
      </c>
      <c r="S71" s="105">
        <v>103199</v>
      </c>
      <c r="T71" s="105">
        <v>45554</v>
      </c>
      <c r="U71" s="105">
        <v>209430</v>
      </c>
      <c r="V71" s="105">
        <v>84195</v>
      </c>
      <c r="W71">
        <f>SUM(O71:V71)</f>
        <v>1635555</v>
      </c>
    </row>
    <row r="72" spans="1:23" x14ac:dyDescent="0.2">
      <c r="A72" t="s">
        <v>235</v>
      </c>
      <c r="B72">
        <f t="shared" si="24"/>
        <v>206441</v>
      </c>
      <c r="C72">
        <f t="shared" si="24"/>
        <v>41759</v>
      </c>
      <c r="D72">
        <f t="shared" si="24"/>
        <v>29058</v>
      </c>
      <c r="E72">
        <f t="shared" si="24"/>
        <v>33720</v>
      </c>
      <c r="F72">
        <f t="shared" si="24"/>
        <v>33324</v>
      </c>
      <c r="G72">
        <f t="shared" si="24"/>
        <v>9092</v>
      </c>
      <c r="H72">
        <f t="shared" si="24"/>
        <v>71649</v>
      </c>
      <c r="I72">
        <f t="shared" si="25"/>
        <v>24933</v>
      </c>
      <c r="J72">
        <f t="shared" si="25"/>
        <v>449976</v>
      </c>
      <c r="N72" t="s">
        <v>235</v>
      </c>
      <c r="O72" s="105">
        <v>206441</v>
      </c>
      <c r="P72" s="105">
        <v>41759</v>
      </c>
      <c r="Q72" s="105">
        <v>29058</v>
      </c>
      <c r="R72" s="105">
        <v>33720</v>
      </c>
      <c r="S72" s="105">
        <v>33324</v>
      </c>
      <c r="T72" s="105">
        <v>9092</v>
      </c>
      <c r="U72" s="105">
        <v>71649</v>
      </c>
      <c r="V72" s="105">
        <v>24933</v>
      </c>
      <c r="W72">
        <f>SUM(O72:V72)</f>
        <v>449976</v>
      </c>
    </row>
    <row r="73" spans="1:23" x14ac:dyDescent="0.2">
      <c r="A73" t="s">
        <v>236</v>
      </c>
      <c r="B73">
        <f t="shared" si="24"/>
        <v>161834</v>
      </c>
      <c r="C73">
        <f t="shared" si="24"/>
        <v>65109</v>
      </c>
      <c r="D73">
        <f t="shared" si="24"/>
        <v>81207</v>
      </c>
      <c r="E73">
        <f t="shared" si="24"/>
        <v>86036</v>
      </c>
      <c r="F73">
        <f t="shared" si="24"/>
        <v>13561</v>
      </c>
      <c r="G73">
        <f t="shared" si="24"/>
        <v>7286</v>
      </c>
      <c r="H73">
        <f t="shared" si="24"/>
        <v>77890</v>
      </c>
      <c r="I73">
        <f t="shared" si="25"/>
        <v>57835</v>
      </c>
      <c r="J73">
        <f t="shared" si="25"/>
        <v>550758</v>
      </c>
      <c r="N73" t="s">
        <v>236</v>
      </c>
      <c r="O73" s="105">
        <v>161834</v>
      </c>
      <c r="P73" s="105">
        <v>65109</v>
      </c>
      <c r="Q73" s="105">
        <v>81207</v>
      </c>
      <c r="R73" s="105">
        <v>86036</v>
      </c>
      <c r="S73" s="105">
        <v>13561</v>
      </c>
      <c r="T73" s="105">
        <v>7286</v>
      </c>
      <c r="U73" s="105">
        <v>77890</v>
      </c>
      <c r="V73" s="105">
        <v>57835</v>
      </c>
      <c r="W73">
        <f>SUM(O73:V73)</f>
        <v>550758</v>
      </c>
    </row>
    <row r="74" spans="1:23" x14ac:dyDescent="0.2">
      <c r="A74" t="s">
        <v>173</v>
      </c>
      <c r="B74">
        <f t="shared" si="24"/>
        <v>38270</v>
      </c>
      <c r="C74">
        <f t="shared" si="24"/>
        <v>16844</v>
      </c>
      <c r="D74">
        <f t="shared" si="24"/>
        <v>20715</v>
      </c>
      <c r="E74">
        <f t="shared" si="24"/>
        <v>21902</v>
      </c>
      <c r="F74">
        <f t="shared" si="24"/>
        <v>3371</v>
      </c>
      <c r="G74">
        <f t="shared" si="24"/>
        <v>1760</v>
      </c>
      <c r="H74">
        <f t="shared" si="24"/>
        <v>18067</v>
      </c>
      <c r="I74">
        <f t="shared" si="25"/>
        <v>14520</v>
      </c>
      <c r="J74">
        <f t="shared" si="25"/>
        <v>135449</v>
      </c>
      <c r="N74" t="s">
        <v>173</v>
      </c>
      <c r="O74" s="105">
        <v>38270</v>
      </c>
      <c r="P74" s="105">
        <v>16844</v>
      </c>
      <c r="Q74" s="105">
        <v>20715</v>
      </c>
      <c r="R74" s="105">
        <v>21902</v>
      </c>
      <c r="S74" s="105">
        <v>3371</v>
      </c>
      <c r="T74" s="105">
        <v>1760</v>
      </c>
      <c r="U74" s="105">
        <v>18067</v>
      </c>
      <c r="V74" s="105">
        <v>14520</v>
      </c>
      <c r="W74">
        <f>SUM(O74:V74)</f>
        <v>135449</v>
      </c>
    </row>
    <row r="76" spans="1:23" x14ac:dyDescent="0.2">
      <c r="A76" t="s">
        <v>37</v>
      </c>
      <c r="B76" t="s">
        <v>38</v>
      </c>
      <c r="C76" t="s">
        <v>39</v>
      </c>
      <c r="D76" t="s">
        <v>40</v>
      </c>
      <c r="E76" t="s">
        <v>41</v>
      </c>
      <c r="N76" t="s">
        <v>37</v>
      </c>
      <c r="O76" t="s">
        <v>38</v>
      </c>
      <c r="P76" t="s">
        <v>39</v>
      </c>
      <c r="Q76" t="s">
        <v>40</v>
      </c>
      <c r="R76" t="s">
        <v>41</v>
      </c>
    </row>
    <row r="78" spans="1:23" x14ac:dyDescent="0.2">
      <c r="A78" t="s">
        <v>210</v>
      </c>
      <c r="N78" t="s">
        <v>210</v>
      </c>
    </row>
    <row r="79" spans="1:23" x14ac:dyDescent="0.2">
      <c r="A79" t="s">
        <v>20</v>
      </c>
      <c r="B79" t="s">
        <v>21</v>
      </c>
      <c r="C79" t="s">
        <v>22</v>
      </c>
      <c r="D79" t="s">
        <v>148</v>
      </c>
      <c r="E79" t="s">
        <v>243</v>
      </c>
      <c r="F79" t="s">
        <v>23</v>
      </c>
      <c r="G79" t="s">
        <v>24</v>
      </c>
      <c r="H79" t="s">
        <v>25</v>
      </c>
      <c r="I79" t="s">
        <v>26</v>
      </c>
      <c r="J79" t="s">
        <v>27</v>
      </c>
      <c r="N79" t="s">
        <v>20</v>
      </c>
      <c r="O79" t="s">
        <v>21</v>
      </c>
      <c r="P79" t="s">
        <v>22</v>
      </c>
      <c r="Q79" t="s">
        <v>148</v>
      </c>
      <c r="R79" t="s">
        <v>243</v>
      </c>
      <c r="S79" t="s">
        <v>23</v>
      </c>
      <c r="T79" t="s">
        <v>24</v>
      </c>
      <c r="U79" t="s">
        <v>25</v>
      </c>
      <c r="V79" t="s">
        <v>26</v>
      </c>
      <c r="W79" t="s">
        <v>27</v>
      </c>
    </row>
    <row r="80" spans="1:23" x14ac:dyDescent="0.2">
      <c r="A80">
        <v>0</v>
      </c>
      <c r="B80">
        <f t="shared" ref="B80:H83" si="26">O80*$B$1</f>
        <v>36800</v>
      </c>
      <c r="C80">
        <f t="shared" si="26"/>
        <v>113286</v>
      </c>
      <c r="D80">
        <f t="shared" si="26"/>
        <v>313576</v>
      </c>
      <c r="E80">
        <f t="shared" si="26"/>
        <v>306209</v>
      </c>
      <c r="F80">
        <f t="shared" si="26"/>
        <v>40678</v>
      </c>
      <c r="G80">
        <f t="shared" si="26"/>
        <v>61534</v>
      </c>
      <c r="H80">
        <f t="shared" si="26"/>
        <v>374949</v>
      </c>
      <c r="I80">
        <f t="shared" ref="I80:J83" si="27">V80*$B$1</f>
        <v>181483</v>
      </c>
      <c r="J80">
        <f t="shared" si="27"/>
        <v>1428515</v>
      </c>
      <c r="N80">
        <v>0</v>
      </c>
      <c r="O80" s="105">
        <v>36800</v>
      </c>
      <c r="P80" s="105">
        <v>113286</v>
      </c>
      <c r="Q80" s="105">
        <v>313576</v>
      </c>
      <c r="R80" s="105">
        <v>306209</v>
      </c>
      <c r="S80" s="105">
        <v>40678</v>
      </c>
      <c r="T80" s="105">
        <v>61534</v>
      </c>
      <c r="U80" s="105">
        <v>374949</v>
      </c>
      <c r="V80" s="105">
        <v>181483</v>
      </c>
      <c r="W80">
        <f>SUM(O80:V80)</f>
        <v>1428515</v>
      </c>
    </row>
    <row r="81" spans="1:23" x14ac:dyDescent="0.2">
      <c r="A81">
        <v>1</v>
      </c>
      <c r="B81">
        <f t="shared" si="26"/>
        <v>1039317</v>
      </c>
      <c r="C81">
        <f t="shared" si="26"/>
        <v>153503</v>
      </c>
      <c r="D81">
        <f t="shared" si="26"/>
        <v>0</v>
      </c>
      <c r="E81">
        <f t="shared" si="26"/>
        <v>0</v>
      </c>
      <c r="F81">
        <f t="shared" si="26"/>
        <v>108762</v>
      </c>
      <c r="G81">
        <f t="shared" si="26"/>
        <v>2096</v>
      </c>
      <c r="H81">
        <f t="shared" si="26"/>
        <v>2072</v>
      </c>
      <c r="I81">
        <f t="shared" si="27"/>
        <v>0</v>
      </c>
      <c r="J81">
        <f t="shared" si="27"/>
        <v>1305750</v>
      </c>
      <c r="N81">
        <v>1</v>
      </c>
      <c r="O81" s="105">
        <v>1039317</v>
      </c>
      <c r="P81" s="105">
        <v>153503</v>
      </c>
      <c r="Q81" s="105">
        <v>0</v>
      </c>
      <c r="R81" s="105">
        <v>0</v>
      </c>
      <c r="S81" s="105">
        <v>108762</v>
      </c>
      <c r="T81" s="105">
        <v>2096</v>
      </c>
      <c r="U81" s="105">
        <v>2072</v>
      </c>
      <c r="V81" s="105">
        <v>0</v>
      </c>
      <c r="W81">
        <f>SUM(O81:V81)</f>
        <v>1305750</v>
      </c>
    </row>
    <row r="82" spans="1:23" x14ac:dyDescent="0.2">
      <c r="A82">
        <v>2</v>
      </c>
      <c r="B82">
        <f t="shared" si="26"/>
        <v>24697</v>
      </c>
      <c r="C82">
        <f t="shared" si="26"/>
        <v>7448</v>
      </c>
      <c r="D82">
        <f t="shared" si="26"/>
        <v>0</v>
      </c>
      <c r="E82">
        <f t="shared" si="26"/>
        <v>0</v>
      </c>
      <c r="F82">
        <f t="shared" si="26"/>
        <v>3863</v>
      </c>
      <c r="G82">
        <f t="shared" si="26"/>
        <v>58</v>
      </c>
      <c r="H82">
        <f t="shared" si="26"/>
        <v>15</v>
      </c>
      <c r="I82">
        <f t="shared" si="27"/>
        <v>0</v>
      </c>
      <c r="J82">
        <f t="shared" si="27"/>
        <v>36081</v>
      </c>
      <c r="N82">
        <v>2</v>
      </c>
      <c r="O82" s="105">
        <v>24697</v>
      </c>
      <c r="P82" s="105">
        <v>7448</v>
      </c>
      <c r="Q82" s="105">
        <v>0</v>
      </c>
      <c r="R82" s="105">
        <v>0</v>
      </c>
      <c r="S82" s="105">
        <v>3863</v>
      </c>
      <c r="T82" s="105">
        <v>58</v>
      </c>
      <c r="U82" s="105">
        <v>15</v>
      </c>
      <c r="V82" s="105">
        <v>0</v>
      </c>
      <c r="W82">
        <f>SUM(O82:V82)</f>
        <v>36081</v>
      </c>
    </row>
    <row r="83" spans="1:23" x14ac:dyDescent="0.2">
      <c r="A83" t="s">
        <v>116</v>
      </c>
      <c r="B83">
        <f t="shared" si="26"/>
        <v>919</v>
      </c>
      <c r="C83">
        <f t="shared" si="26"/>
        <v>317</v>
      </c>
      <c r="D83">
        <f t="shared" si="26"/>
        <v>0</v>
      </c>
      <c r="E83">
        <f t="shared" si="26"/>
        <v>0</v>
      </c>
      <c r="F83">
        <f t="shared" si="26"/>
        <v>152</v>
      </c>
      <c r="G83">
        <f t="shared" si="26"/>
        <v>4</v>
      </c>
      <c r="H83">
        <f t="shared" si="26"/>
        <v>0</v>
      </c>
      <c r="I83">
        <f t="shared" si="27"/>
        <v>0</v>
      </c>
      <c r="J83">
        <f t="shared" si="27"/>
        <v>1392</v>
      </c>
      <c r="N83" t="s">
        <v>116</v>
      </c>
      <c r="O83" s="105">
        <v>919</v>
      </c>
      <c r="P83" s="105">
        <v>317</v>
      </c>
      <c r="Q83" s="105">
        <v>0</v>
      </c>
      <c r="R83" s="105">
        <v>0</v>
      </c>
      <c r="S83" s="105">
        <v>152</v>
      </c>
      <c r="T83" s="105">
        <v>4</v>
      </c>
      <c r="U83" s="105">
        <v>0</v>
      </c>
      <c r="V83" s="105">
        <v>0</v>
      </c>
      <c r="W83">
        <f>SUM(O83:V83)</f>
        <v>1392</v>
      </c>
    </row>
    <row r="85" spans="1:23" x14ac:dyDescent="0.2">
      <c r="A85" t="s">
        <v>211</v>
      </c>
      <c r="N85" t="s">
        <v>211</v>
      </c>
    </row>
    <row r="86" spans="1:23" x14ac:dyDescent="0.2">
      <c r="A86" t="s">
        <v>20</v>
      </c>
      <c r="B86" t="s">
        <v>21</v>
      </c>
      <c r="C86" t="s">
        <v>22</v>
      </c>
      <c r="D86" t="s">
        <v>148</v>
      </c>
      <c r="E86" t="s">
        <v>243</v>
      </c>
      <c r="F86" t="s">
        <v>23</v>
      </c>
      <c r="G86" t="s">
        <v>24</v>
      </c>
      <c r="H86" t="s">
        <v>25</v>
      </c>
      <c r="I86" t="s">
        <v>26</v>
      </c>
      <c r="J86" t="s">
        <v>27</v>
      </c>
      <c r="N86" t="s">
        <v>20</v>
      </c>
      <c r="O86" t="s">
        <v>21</v>
      </c>
      <c r="P86" t="s">
        <v>22</v>
      </c>
      <c r="Q86" t="s">
        <v>148</v>
      </c>
      <c r="R86" t="s">
        <v>243</v>
      </c>
      <c r="S86" t="s">
        <v>23</v>
      </c>
      <c r="T86" t="s">
        <v>24</v>
      </c>
      <c r="U86" t="s">
        <v>25</v>
      </c>
      <c r="V86" t="s">
        <v>26</v>
      </c>
      <c r="W86" t="s">
        <v>27</v>
      </c>
    </row>
    <row r="87" spans="1:23" x14ac:dyDescent="0.2">
      <c r="A87">
        <v>0</v>
      </c>
      <c r="B87">
        <f t="shared" ref="B87:H90" si="28">O87*$B$1</f>
        <v>1101733</v>
      </c>
      <c r="C87">
        <f t="shared" si="28"/>
        <v>274554</v>
      </c>
      <c r="D87">
        <f t="shared" si="28"/>
        <v>313576</v>
      </c>
      <c r="E87">
        <f t="shared" si="28"/>
        <v>306209</v>
      </c>
      <c r="F87">
        <f t="shared" si="28"/>
        <v>69387</v>
      </c>
      <c r="G87">
        <f t="shared" si="28"/>
        <v>6594</v>
      </c>
      <c r="H87">
        <f t="shared" si="28"/>
        <v>74138</v>
      </c>
      <c r="I87">
        <f t="shared" ref="I87:J90" si="29">V87*$B$1</f>
        <v>181483</v>
      </c>
      <c r="J87">
        <f t="shared" si="29"/>
        <v>2327674</v>
      </c>
      <c r="N87">
        <v>0</v>
      </c>
      <c r="O87" s="105">
        <v>1101733</v>
      </c>
      <c r="P87" s="105">
        <v>274554</v>
      </c>
      <c r="Q87" s="105">
        <v>313576</v>
      </c>
      <c r="R87" s="105">
        <v>306209</v>
      </c>
      <c r="S87" s="105">
        <v>69387</v>
      </c>
      <c r="T87" s="105">
        <v>6594</v>
      </c>
      <c r="U87" s="105">
        <v>74138</v>
      </c>
      <c r="V87" s="105">
        <v>181483</v>
      </c>
      <c r="W87">
        <f>SUM(O87:V87)</f>
        <v>2327674</v>
      </c>
    </row>
    <row r="88" spans="1:23" x14ac:dyDescent="0.2">
      <c r="A88">
        <v>1</v>
      </c>
      <c r="B88">
        <f t="shared" si="28"/>
        <v>0</v>
      </c>
      <c r="C88">
        <f t="shared" si="28"/>
        <v>0</v>
      </c>
      <c r="D88">
        <f t="shared" si="28"/>
        <v>0</v>
      </c>
      <c r="E88">
        <f t="shared" si="28"/>
        <v>0</v>
      </c>
      <c r="F88">
        <f t="shared" si="28"/>
        <v>74798</v>
      </c>
      <c r="G88">
        <f t="shared" si="28"/>
        <v>56438</v>
      </c>
      <c r="H88">
        <f t="shared" si="28"/>
        <v>298169</v>
      </c>
      <c r="I88">
        <f t="shared" si="29"/>
        <v>0</v>
      </c>
      <c r="J88">
        <f t="shared" si="29"/>
        <v>429405</v>
      </c>
      <c r="N88">
        <v>1</v>
      </c>
      <c r="O88" s="105">
        <v>0</v>
      </c>
      <c r="P88" s="105">
        <v>0</v>
      </c>
      <c r="Q88" s="105">
        <v>0</v>
      </c>
      <c r="R88" s="105">
        <v>0</v>
      </c>
      <c r="S88" s="105">
        <v>74798</v>
      </c>
      <c r="T88" s="105">
        <v>56438</v>
      </c>
      <c r="U88" s="105">
        <v>298169</v>
      </c>
      <c r="V88" s="105">
        <v>0</v>
      </c>
      <c r="W88">
        <f>SUM(O88:V88)</f>
        <v>429405</v>
      </c>
    </row>
    <row r="89" spans="1:23" x14ac:dyDescent="0.2">
      <c r="A89">
        <v>2</v>
      </c>
      <c r="B89">
        <f t="shared" si="28"/>
        <v>0</v>
      </c>
      <c r="C89">
        <f t="shared" si="28"/>
        <v>0</v>
      </c>
      <c r="D89">
        <f t="shared" si="28"/>
        <v>0</v>
      </c>
      <c r="E89">
        <f t="shared" si="28"/>
        <v>0</v>
      </c>
      <c r="F89">
        <f t="shared" si="28"/>
        <v>8064</v>
      </c>
      <c r="G89">
        <f t="shared" si="28"/>
        <v>569</v>
      </c>
      <c r="H89">
        <f t="shared" si="28"/>
        <v>3947</v>
      </c>
      <c r="I89">
        <f t="shared" si="29"/>
        <v>0</v>
      </c>
      <c r="J89">
        <f t="shared" si="29"/>
        <v>12580</v>
      </c>
      <c r="N89">
        <v>2</v>
      </c>
      <c r="O89" s="105">
        <v>0</v>
      </c>
      <c r="P89" s="105">
        <v>0</v>
      </c>
      <c r="Q89" s="105">
        <v>0</v>
      </c>
      <c r="R89" s="105">
        <v>0</v>
      </c>
      <c r="S89" s="105">
        <v>8064</v>
      </c>
      <c r="T89" s="105">
        <v>569</v>
      </c>
      <c r="U89" s="105">
        <v>3947</v>
      </c>
      <c r="V89" s="105">
        <v>0</v>
      </c>
      <c r="W89">
        <f>SUM(O89:V89)</f>
        <v>12580</v>
      </c>
    </row>
    <row r="90" spans="1:23" x14ac:dyDescent="0.2">
      <c r="A90" t="s">
        <v>116</v>
      </c>
      <c r="B90">
        <f t="shared" si="28"/>
        <v>0</v>
      </c>
      <c r="C90">
        <f t="shared" si="28"/>
        <v>0</v>
      </c>
      <c r="D90">
        <f t="shared" si="28"/>
        <v>0</v>
      </c>
      <c r="E90">
        <f t="shared" si="28"/>
        <v>0</v>
      </c>
      <c r="F90">
        <f t="shared" si="28"/>
        <v>1206</v>
      </c>
      <c r="G90">
        <f t="shared" si="28"/>
        <v>91</v>
      </c>
      <c r="H90">
        <f t="shared" si="28"/>
        <v>782</v>
      </c>
      <c r="I90">
        <f t="shared" si="29"/>
        <v>0</v>
      </c>
      <c r="J90">
        <f t="shared" si="29"/>
        <v>2079</v>
      </c>
      <c r="N90" t="s">
        <v>116</v>
      </c>
      <c r="O90" s="105">
        <v>0</v>
      </c>
      <c r="P90" s="105">
        <v>0</v>
      </c>
      <c r="Q90" s="105">
        <v>0</v>
      </c>
      <c r="R90" s="105">
        <v>0</v>
      </c>
      <c r="S90" s="105">
        <v>1206</v>
      </c>
      <c r="T90" s="105">
        <v>91</v>
      </c>
      <c r="U90" s="105">
        <v>782</v>
      </c>
      <c r="V90" s="105">
        <v>0</v>
      </c>
      <c r="W90">
        <f>SUM(O90:V90)</f>
        <v>2079</v>
      </c>
    </row>
    <row r="92" spans="1:23" x14ac:dyDescent="0.2">
      <c r="A92" t="s">
        <v>212</v>
      </c>
      <c r="N92" t="s">
        <v>212</v>
      </c>
    </row>
    <row r="93" spans="1:23" x14ac:dyDescent="0.2">
      <c r="A93" t="s">
        <v>20</v>
      </c>
      <c r="B93" t="s">
        <v>21</v>
      </c>
      <c r="C93" t="s">
        <v>22</v>
      </c>
      <c r="D93" t="s">
        <v>148</v>
      </c>
      <c r="E93" t="s">
        <v>243</v>
      </c>
      <c r="F93" t="s">
        <v>23</v>
      </c>
      <c r="G93" t="s">
        <v>24</v>
      </c>
      <c r="H93" t="s">
        <v>25</v>
      </c>
      <c r="I93" t="s">
        <v>26</v>
      </c>
      <c r="J93" t="s">
        <v>27</v>
      </c>
      <c r="N93" t="s">
        <v>20</v>
      </c>
      <c r="O93" t="s">
        <v>21</v>
      </c>
      <c r="P93" t="s">
        <v>22</v>
      </c>
      <c r="Q93" t="s">
        <v>148</v>
      </c>
      <c r="R93" t="s">
        <v>243</v>
      </c>
      <c r="S93" t="s">
        <v>23</v>
      </c>
      <c r="T93" t="s">
        <v>24</v>
      </c>
      <c r="U93" t="s">
        <v>25</v>
      </c>
      <c r="V93" t="s">
        <v>26</v>
      </c>
      <c r="W93" t="s">
        <v>27</v>
      </c>
    </row>
    <row r="94" spans="1:23" x14ac:dyDescent="0.2">
      <c r="A94">
        <v>0</v>
      </c>
      <c r="B94">
        <f t="shared" ref="B94:H97" si="30">O94*$B$1</f>
        <v>970538</v>
      </c>
      <c r="C94">
        <f t="shared" si="30"/>
        <v>230617</v>
      </c>
      <c r="D94">
        <f t="shared" si="30"/>
        <v>279612</v>
      </c>
      <c r="E94">
        <f t="shared" si="30"/>
        <v>227069</v>
      </c>
      <c r="F94">
        <f t="shared" si="30"/>
        <v>147282</v>
      </c>
      <c r="G94">
        <f t="shared" si="30"/>
        <v>60934</v>
      </c>
      <c r="H94">
        <f t="shared" si="30"/>
        <v>356653</v>
      </c>
      <c r="I94">
        <f t="shared" ref="I94:J97" si="31">V94*$B$1</f>
        <v>132753</v>
      </c>
      <c r="J94">
        <f t="shared" si="31"/>
        <v>2405458</v>
      </c>
      <c r="N94">
        <v>0</v>
      </c>
      <c r="O94" s="105">
        <v>970538</v>
      </c>
      <c r="P94" s="105">
        <v>230617</v>
      </c>
      <c r="Q94" s="105">
        <v>279612</v>
      </c>
      <c r="R94" s="105">
        <v>227069</v>
      </c>
      <c r="S94" s="105">
        <v>147282</v>
      </c>
      <c r="T94" s="105">
        <v>60934</v>
      </c>
      <c r="U94" s="105">
        <v>356653</v>
      </c>
      <c r="V94" s="105">
        <v>132753</v>
      </c>
      <c r="W94">
        <f>SUM(O94:V94)</f>
        <v>2405458</v>
      </c>
    </row>
    <row r="95" spans="1:23" x14ac:dyDescent="0.2">
      <c r="A95">
        <v>1</v>
      </c>
      <c r="B95">
        <f t="shared" si="30"/>
        <v>113173</v>
      </c>
      <c r="C95">
        <f t="shared" si="30"/>
        <v>26345</v>
      </c>
      <c r="D95">
        <f t="shared" si="30"/>
        <v>25549</v>
      </c>
      <c r="E95">
        <f t="shared" si="30"/>
        <v>42823</v>
      </c>
      <c r="F95">
        <f t="shared" si="30"/>
        <v>4997</v>
      </c>
      <c r="G95">
        <f t="shared" si="30"/>
        <v>2403</v>
      </c>
      <c r="H95">
        <f t="shared" si="30"/>
        <v>16733</v>
      </c>
      <c r="I95">
        <f t="shared" si="31"/>
        <v>44045</v>
      </c>
      <c r="J95">
        <f t="shared" si="31"/>
        <v>276068</v>
      </c>
      <c r="N95">
        <v>1</v>
      </c>
      <c r="O95" s="105">
        <v>113173</v>
      </c>
      <c r="P95" s="105">
        <v>26345</v>
      </c>
      <c r="Q95" s="105">
        <v>25549</v>
      </c>
      <c r="R95" s="105">
        <v>42823</v>
      </c>
      <c r="S95" s="105">
        <v>4997</v>
      </c>
      <c r="T95" s="105">
        <v>2403</v>
      </c>
      <c r="U95" s="105">
        <v>16733</v>
      </c>
      <c r="V95" s="105">
        <v>44045</v>
      </c>
      <c r="W95">
        <f>SUM(O95:V95)</f>
        <v>276068</v>
      </c>
    </row>
    <row r="96" spans="1:23" x14ac:dyDescent="0.2">
      <c r="A96">
        <v>2</v>
      </c>
      <c r="B96">
        <f t="shared" si="30"/>
        <v>15006</v>
      </c>
      <c r="C96">
        <f t="shared" si="30"/>
        <v>14903</v>
      </c>
      <c r="D96">
        <f t="shared" si="30"/>
        <v>7238</v>
      </c>
      <c r="E96">
        <f t="shared" si="30"/>
        <v>30780</v>
      </c>
      <c r="F96">
        <f t="shared" si="30"/>
        <v>971</v>
      </c>
      <c r="G96">
        <f t="shared" si="30"/>
        <v>303</v>
      </c>
      <c r="H96">
        <f t="shared" si="30"/>
        <v>2700</v>
      </c>
      <c r="I96">
        <f t="shared" si="31"/>
        <v>3715</v>
      </c>
      <c r="J96">
        <f t="shared" si="31"/>
        <v>75616</v>
      </c>
      <c r="N96">
        <v>2</v>
      </c>
      <c r="O96" s="105">
        <v>15006</v>
      </c>
      <c r="P96" s="105">
        <v>14903</v>
      </c>
      <c r="Q96" s="105">
        <v>7238</v>
      </c>
      <c r="R96" s="105">
        <v>30780</v>
      </c>
      <c r="S96" s="105">
        <v>971</v>
      </c>
      <c r="T96" s="105">
        <v>303</v>
      </c>
      <c r="U96" s="105">
        <v>2700</v>
      </c>
      <c r="V96" s="105">
        <v>3715</v>
      </c>
      <c r="W96">
        <f>SUM(O96:V96)</f>
        <v>75616</v>
      </c>
    </row>
    <row r="97" spans="1:23" x14ac:dyDescent="0.2">
      <c r="A97" t="s">
        <v>116</v>
      </c>
      <c r="B97">
        <f t="shared" si="30"/>
        <v>3016</v>
      </c>
      <c r="C97">
        <f t="shared" si="30"/>
        <v>2689</v>
      </c>
      <c r="D97">
        <f t="shared" si="30"/>
        <v>1177</v>
      </c>
      <c r="E97">
        <f t="shared" si="30"/>
        <v>5537</v>
      </c>
      <c r="F97">
        <f t="shared" si="30"/>
        <v>205</v>
      </c>
      <c r="G97">
        <f t="shared" si="30"/>
        <v>52</v>
      </c>
      <c r="H97">
        <f t="shared" si="30"/>
        <v>950</v>
      </c>
      <c r="I97">
        <f t="shared" si="31"/>
        <v>970</v>
      </c>
      <c r="J97">
        <f t="shared" si="31"/>
        <v>14596</v>
      </c>
      <c r="N97" t="s">
        <v>116</v>
      </c>
      <c r="O97" s="105">
        <v>3016</v>
      </c>
      <c r="P97" s="105">
        <v>2689</v>
      </c>
      <c r="Q97" s="105">
        <v>1177</v>
      </c>
      <c r="R97" s="105">
        <v>5537</v>
      </c>
      <c r="S97" s="105">
        <v>205</v>
      </c>
      <c r="T97" s="105">
        <v>52</v>
      </c>
      <c r="U97" s="105">
        <v>950</v>
      </c>
      <c r="V97" s="105">
        <v>970</v>
      </c>
      <c r="W97">
        <f>SUM(O97:V97)</f>
        <v>14596</v>
      </c>
    </row>
    <row r="99" spans="1:23" x14ac:dyDescent="0.2">
      <c r="A99" t="s">
        <v>36</v>
      </c>
      <c r="N99" t="s">
        <v>36</v>
      </c>
    </row>
    <row r="100" spans="1:23" x14ac:dyDescent="0.2">
      <c r="A100" t="s">
        <v>20</v>
      </c>
      <c r="B100" t="s">
        <v>21</v>
      </c>
      <c r="C100" t="s">
        <v>22</v>
      </c>
      <c r="D100" t="s">
        <v>148</v>
      </c>
      <c r="E100" t="s">
        <v>243</v>
      </c>
      <c r="F100" t="s">
        <v>23</v>
      </c>
      <c r="G100" t="s">
        <v>24</v>
      </c>
      <c r="H100" t="s">
        <v>25</v>
      </c>
      <c r="I100" t="s">
        <v>26</v>
      </c>
      <c r="J100" t="s">
        <v>27</v>
      </c>
      <c r="N100" t="s">
        <v>20</v>
      </c>
      <c r="O100" t="s">
        <v>21</v>
      </c>
      <c r="P100" t="s">
        <v>22</v>
      </c>
      <c r="Q100" t="s">
        <v>148</v>
      </c>
      <c r="R100" t="s">
        <v>243</v>
      </c>
      <c r="S100" t="s">
        <v>23</v>
      </c>
      <c r="T100" t="s">
        <v>24</v>
      </c>
      <c r="U100" t="s">
        <v>25</v>
      </c>
      <c r="V100" t="s">
        <v>26</v>
      </c>
      <c r="W100" t="s">
        <v>27</v>
      </c>
    </row>
    <row r="101" spans="1:23" x14ac:dyDescent="0.2">
      <c r="A101">
        <v>0</v>
      </c>
      <c r="B101">
        <f t="shared" ref="B101:H104" si="32">O101*$B$1</f>
        <v>1001455</v>
      </c>
      <c r="C101">
        <f t="shared" si="32"/>
        <v>220104</v>
      </c>
      <c r="D101">
        <f t="shared" si="32"/>
        <v>204391</v>
      </c>
      <c r="E101">
        <f t="shared" si="32"/>
        <v>217516</v>
      </c>
      <c r="F101">
        <f t="shared" si="32"/>
        <v>145207</v>
      </c>
      <c r="G101">
        <f t="shared" si="32"/>
        <v>60401</v>
      </c>
      <c r="H101">
        <f t="shared" si="32"/>
        <v>332667</v>
      </c>
      <c r="I101">
        <f t="shared" ref="I101:J104" si="33">V101*$B$1</f>
        <v>129981</v>
      </c>
      <c r="J101">
        <f t="shared" si="33"/>
        <v>2311722</v>
      </c>
      <c r="N101">
        <v>0</v>
      </c>
      <c r="O101" s="105">
        <v>1001455</v>
      </c>
      <c r="P101" s="105">
        <v>220104</v>
      </c>
      <c r="Q101" s="105">
        <v>204391</v>
      </c>
      <c r="R101" s="105">
        <v>217516</v>
      </c>
      <c r="S101" s="105">
        <v>145207</v>
      </c>
      <c r="T101" s="105">
        <v>60401</v>
      </c>
      <c r="U101" s="105">
        <v>332667</v>
      </c>
      <c r="V101" s="105">
        <v>129981</v>
      </c>
      <c r="W101">
        <f>SUM(O101:V101)</f>
        <v>2311722</v>
      </c>
    </row>
    <row r="102" spans="1:23" x14ac:dyDescent="0.2">
      <c r="A102">
        <v>1</v>
      </c>
      <c r="B102">
        <f t="shared" si="32"/>
        <v>94314</v>
      </c>
      <c r="C102">
        <f t="shared" si="32"/>
        <v>47067</v>
      </c>
      <c r="D102">
        <f t="shared" si="32"/>
        <v>92907</v>
      </c>
      <c r="E102">
        <f t="shared" si="32"/>
        <v>75033</v>
      </c>
      <c r="F102">
        <f t="shared" si="32"/>
        <v>7486</v>
      </c>
      <c r="G102">
        <f t="shared" si="32"/>
        <v>3033</v>
      </c>
      <c r="H102">
        <f t="shared" si="32"/>
        <v>39924</v>
      </c>
      <c r="I102">
        <f t="shared" si="33"/>
        <v>43971</v>
      </c>
      <c r="J102">
        <f t="shared" si="33"/>
        <v>403735</v>
      </c>
      <c r="N102">
        <v>1</v>
      </c>
      <c r="O102" s="105">
        <v>94314</v>
      </c>
      <c r="P102" s="105">
        <v>47067</v>
      </c>
      <c r="Q102" s="105">
        <v>92907</v>
      </c>
      <c r="R102" s="105">
        <v>75033</v>
      </c>
      <c r="S102" s="105">
        <v>7486</v>
      </c>
      <c r="T102" s="105">
        <v>3033</v>
      </c>
      <c r="U102" s="105">
        <v>39924</v>
      </c>
      <c r="V102" s="105">
        <v>43971</v>
      </c>
      <c r="W102">
        <f>SUM(O102:V102)</f>
        <v>403735</v>
      </c>
    </row>
    <row r="103" spans="1:23" x14ac:dyDescent="0.2">
      <c r="A103">
        <v>2</v>
      </c>
      <c r="B103">
        <f t="shared" si="32"/>
        <v>5269</v>
      </c>
      <c r="C103">
        <f t="shared" si="32"/>
        <v>6452</v>
      </c>
      <c r="D103">
        <f t="shared" si="32"/>
        <v>14194</v>
      </c>
      <c r="E103">
        <f t="shared" si="32"/>
        <v>11846</v>
      </c>
      <c r="F103">
        <f t="shared" si="32"/>
        <v>664</v>
      </c>
      <c r="G103">
        <f t="shared" si="32"/>
        <v>231</v>
      </c>
      <c r="H103">
        <f t="shared" si="32"/>
        <v>3894</v>
      </c>
      <c r="I103">
        <f t="shared" si="33"/>
        <v>6572</v>
      </c>
      <c r="J103">
        <f t="shared" si="33"/>
        <v>49122</v>
      </c>
      <c r="N103">
        <v>2</v>
      </c>
      <c r="O103" s="105">
        <v>5269</v>
      </c>
      <c r="P103" s="105">
        <v>6452</v>
      </c>
      <c r="Q103" s="105">
        <v>14194</v>
      </c>
      <c r="R103" s="105">
        <v>11846</v>
      </c>
      <c r="S103" s="105">
        <v>664</v>
      </c>
      <c r="T103" s="105">
        <v>231</v>
      </c>
      <c r="U103" s="105">
        <v>3894</v>
      </c>
      <c r="V103" s="105">
        <v>6572</v>
      </c>
      <c r="W103">
        <f>SUM(O103:V103)</f>
        <v>49122</v>
      </c>
    </row>
    <row r="104" spans="1:23" x14ac:dyDescent="0.2">
      <c r="A104" t="s">
        <v>116</v>
      </c>
      <c r="B104">
        <f t="shared" si="32"/>
        <v>695</v>
      </c>
      <c r="C104">
        <f t="shared" si="32"/>
        <v>931</v>
      </c>
      <c r="D104">
        <f t="shared" si="32"/>
        <v>2084</v>
      </c>
      <c r="E104">
        <f t="shared" si="32"/>
        <v>1814</v>
      </c>
      <c r="F104">
        <f t="shared" si="32"/>
        <v>98</v>
      </c>
      <c r="G104">
        <f t="shared" si="32"/>
        <v>27</v>
      </c>
      <c r="H104">
        <f t="shared" si="32"/>
        <v>551</v>
      </c>
      <c r="I104">
        <f t="shared" si="33"/>
        <v>959</v>
      </c>
      <c r="J104">
        <f t="shared" si="33"/>
        <v>7159</v>
      </c>
      <c r="N104" t="s">
        <v>116</v>
      </c>
      <c r="O104" s="105">
        <v>695</v>
      </c>
      <c r="P104" s="105">
        <v>931</v>
      </c>
      <c r="Q104" s="105">
        <v>2084</v>
      </c>
      <c r="R104" s="105">
        <v>1814</v>
      </c>
      <c r="S104" s="105">
        <v>98</v>
      </c>
      <c r="T104" s="105">
        <v>27</v>
      </c>
      <c r="U104" s="105">
        <v>551</v>
      </c>
      <c r="V104" s="105">
        <v>959</v>
      </c>
      <c r="W104">
        <f>SUM(O104:V104)</f>
        <v>7159</v>
      </c>
    </row>
    <row r="106" spans="1:23" x14ac:dyDescent="0.2">
      <c r="A106" t="s">
        <v>214</v>
      </c>
      <c r="N106" t="s">
        <v>214</v>
      </c>
    </row>
    <row r="107" spans="1:23" x14ac:dyDescent="0.2">
      <c r="A107" t="s">
        <v>20</v>
      </c>
      <c r="B107" t="s">
        <v>21</v>
      </c>
      <c r="C107" t="s">
        <v>22</v>
      </c>
      <c r="D107" t="s">
        <v>148</v>
      </c>
      <c r="E107" t="s">
        <v>243</v>
      </c>
      <c r="F107" t="s">
        <v>23</v>
      </c>
      <c r="G107" t="s">
        <v>24</v>
      </c>
      <c r="H107" t="s">
        <v>25</v>
      </c>
      <c r="I107" t="s">
        <v>26</v>
      </c>
      <c r="J107" t="s">
        <v>27</v>
      </c>
      <c r="N107" t="s">
        <v>20</v>
      </c>
      <c r="O107" t="s">
        <v>21</v>
      </c>
      <c r="P107" t="s">
        <v>22</v>
      </c>
      <c r="Q107" t="s">
        <v>148</v>
      </c>
      <c r="R107" t="s">
        <v>243</v>
      </c>
      <c r="S107" t="s">
        <v>23</v>
      </c>
      <c r="T107" t="s">
        <v>24</v>
      </c>
      <c r="U107" t="s">
        <v>25</v>
      </c>
      <c r="V107" t="s">
        <v>26</v>
      </c>
      <c r="W107" t="s">
        <v>27</v>
      </c>
    </row>
    <row r="108" spans="1:23" x14ac:dyDescent="0.2">
      <c r="A108">
        <v>0</v>
      </c>
      <c r="B108">
        <f t="shared" ref="B108:H111" si="34">O108*$B$1</f>
        <v>980251</v>
      </c>
      <c r="C108">
        <f t="shared" si="34"/>
        <v>228084</v>
      </c>
      <c r="D108">
        <f t="shared" si="34"/>
        <v>219144</v>
      </c>
      <c r="E108">
        <f t="shared" si="34"/>
        <v>204721</v>
      </c>
      <c r="F108">
        <f t="shared" si="34"/>
        <v>143678</v>
      </c>
      <c r="G108">
        <f t="shared" si="34"/>
        <v>62701</v>
      </c>
      <c r="H108">
        <f t="shared" si="34"/>
        <v>362540</v>
      </c>
      <c r="I108">
        <f t="shared" ref="I108:J111" si="35">V108*$B$1</f>
        <v>131847</v>
      </c>
      <c r="J108">
        <f t="shared" si="35"/>
        <v>2332966</v>
      </c>
      <c r="N108">
        <v>0</v>
      </c>
      <c r="O108" s="105">
        <v>980251</v>
      </c>
      <c r="P108" s="105">
        <v>228084</v>
      </c>
      <c r="Q108" s="105">
        <v>219144</v>
      </c>
      <c r="R108" s="105">
        <v>204721</v>
      </c>
      <c r="S108" s="105">
        <v>143678</v>
      </c>
      <c r="T108" s="105">
        <v>62701</v>
      </c>
      <c r="U108" s="105">
        <v>362540</v>
      </c>
      <c r="V108" s="105">
        <v>131847</v>
      </c>
      <c r="W108">
        <f>SUM(O108:V108)</f>
        <v>2332966</v>
      </c>
    </row>
    <row r="109" spans="1:23" x14ac:dyDescent="0.2">
      <c r="A109">
        <v>1</v>
      </c>
      <c r="B109">
        <f t="shared" si="34"/>
        <v>107214</v>
      </c>
      <c r="C109">
        <f t="shared" si="34"/>
        <v>41003</v>
      </c>
      <c r="D109">
        <f t="shared" si="34"/>
        <v>84692</v>
      </c>
      <c r="E109">
        <f t="shared" si="34"/>
        <v>85708</v>
      </c>
      <c r="F109">
        <f t="shared" si="34"/>
        <v>7968</v>
      </c>
      <c r="G109">
        <f t="shared" si="34"/>
        <v>799</v>
      </c>
      <c r="H109">
        <f t="shared" si="34"/>
        <v>4983</v>
      </c>
      <c r="I109">
        <f t="shared" si="35"/>
        <v>32695</v>
      </c>
      <c r="J109">
        <f t="shared" si="35"/>
        <v>365062</v>
      </c>
      <c r="N109">
        <v>1</v>
      </c>
      <c r="O109" s="105">
        <v>107214</v>
      </c>
      <c r="P109" s="105">
        <v>41003</v>
      </c>
      <c r="Q109" s="105">
        <v>84692</v>
      </c>
      <c r="R109" s="105">
        <v>85708</v>
      </c>
      <c r="S109" s="105">
        <v>7968</v>
      </c>
      <c r="T109" s="105">
        <v>799</v>
      </c>
      <c r="U109" s="105">
        <v>4983</v>
      </c>
      <c r="V109" s="105">
        <v>32695</v>
      </c>
      <c r="W109">
        <f>SUM(O109:V109)</f>
        <v>365062</v>
      </c>
    </row>
    <row r="110" spans="1:23" x14ac:dyDescent="0.2">
      <c r="A110">
        <v>2</v>
      </c>
      <c r="B110">
        <f t="shared" si="34"/>
        <v>5533</v>
      </c>
      <c r="C110">
        <f t="shared" si="34"/>
        <v>2852</v>
      </c>
      <c r="D110">
        <f t="shared" si="34"/>
        <v>6700</v>
      </c>
      <c r="E110">
        <f t="shared" si="34"/>
        <v>8692</v>
      </c>
      <c r="F110">
        <f t="shared" si="34"/>
        <v>458</v>
      </c>
      <c r="G110">
        <f t="shared" si="34"/>
        <v>48</v>
      </c>
      <c r="H110">
        <f t="shared" si="34"/>
        <v>354</v>
      </c>
      <c r="I110">
        <f t="shared" si="35"/>
        <v>2296</v>
      </c>
      <c r="J110">
        <f t="shared" si="35"/>
        <v>26933</v>
      </c>
      <c r="N110">
        <v>2</v>
      </c>
      <c r="O110" s="105">
        <v>5533</v>
      </c>
      <c r="P110" s="105">
        <v>2852</v>
      </c>
      <c r="Q110" s="105">
        <v>6700</v>
      </c>
      <c r="R110" s="105">
        <v>8692</v>
      </c>
      <c r="S110" s="105">
        <v>458</v>
      </c>
      <c r="T110" s="105">
        <v>48</v>
      </c>
      <c r="U110" s="105">
        <v>354</v>
      </c>
      <c r="V110" s="105">
        <v>2296</v>
      </c>
      <c r="W110">
        <f>SUM(O110:V110)</f>
        <v>26933</v>
      </c>
    </row>
    <row r="111" spans="1:23" x14ac:dyDescent="0.2">
      <c r="A111" t="s">
        <v>116</v>
      </c>
      <c r="B111">
        <f t="shared" si="34"/>
        <v>8735</v>
      </c>
      <c r="C111">
        <f t="shared" si="34"/>
        <v>2615</v>
      </c>
      <c r="D111">
        <f t="shared" si="34"/>
        <v>3040</v>
      </c>
      <c r="E111">
        <f t="shared" si="34"/>
        <v>7088</v>
      </c>
      <c r="F111">
        <f t="shared" si="34"/>
        <v>1351</v>
      </c>
      <c r="G111">
        <f t="shared" si="34"/>
        <v>144</v>
      </c>
      <c r="H111">
        <f t="shared" si="34"/>
        <v>9159</v>
      </c>
      <c r="I111">
        <f t="shared" si="35"/>
        <v>14645</v>
      </c>
      <c r="J111">
        <f t="shared" si="35"/>
        <v>46777</v>
      </c>
      <c r="N111" t="s">
        <v>116</v>
      </c>
      <c r="O111" s="105">
        <v>8735</v>
      </c>
      <c r="P111" s="105">
        <v>2615</v>
      </c>
      <c r="Q111" s="105">
        <v>3040</v>
      </c>
      <c r="R111" s="105">
        <v>7088</v>
      </c>
      <c r="S111" s="105">
        <v>1351</v>
      </c>
      <c r="T111" s="105">
        <v>144</v>
      </c>
      <c r="U111" s="105">
        <v>9159</v>
      </c>
      <c r="V111" s="105">
        <v>14645</v>
      </c>
      <c r="W111">
        <f>SUM(O111:V111)</f>
        <v>46777</v>
      </c>
    </row>
    <row r="113" spans="1:23" x14ac:dyDescent="0.2">
      <c r="A113" t="s">
        <v>129</v>
      </c>
      <c r="N113" t="s">
        <v>129</v>
      </c>
    </row>
    <row r="114" spans="1:23" x14ac:dyDescent="0.2">
      <c r="A114" t="s">
        <v>20</v>
      </c>
      <c r="B114" t="s">
        <v>21</v>
      </c>
      <c r="C114" t="s">
        <v>22</v>
      </c>
      <c r="D114" t="s">
        <v>148</v>
      </c>
      <c r="E114" t="s">
        <v>243</v>
      </c>
      <c r="F114" t="s">
        <v>23</v>
      </c>
      <c r="G114" t="s">
        <v>24</v>
      </c>
      <c r="H114" t="s">
        <v>25</v>
      </c>
      <c r="I114" t="s">
        <v>26</v>
      </c>
      <c r="J114" t="s">
        <v>27</v>
      </c>
      <c r="N114" t="s">
        <v>20</v>
      </c>
      <c r="O114" t="s">
        <v>21</v>
      </c>
      <c r="P114" t="s">
        <v>22</v>
      </c>
      <c r="Q114" t="s">
        <v>148</v>
      </c>
      <c r="R114" t="s">
        <v>243</v>
      </c>
      <c r="S114" t="s">
        <v>23</v>
      </c>
      <c r="T114" t="s">
        <v>24</v>
      </c>
      <c r="U114" t="s">
        <v>25</v>
      </c>
      <c r="V114" t="s">
        <v>26</v>
      </c>
      <c r="W114" t="s">
        <v>27</v>
      </c>
    </row>
    <row r="115" spans="1:23" x14ac:dyDescent="0.2">
      <c r="A115">
        <v>0</v>
      </c>
      <c r="B115">
        <f t="shared" ref="B115:H118" si="36">O115*$B$1</f>
        <v>1049073</v>
      </c>
      <c r="C115">
        <f t="shared" si="36"/>
        <v>259013</v>
      </c>
      <c r="D115">
        <f t="shared" si="36"/>
        <v>286521</v>
      </c>
      <c r="E115">
        <f t="shared" si="36"/>
        <v>275698</v>
      </c>
      <c r="F115">
        <f t="shared" si="36"/>
        <v>149322</v>
      </c>
      <c r="G115">
        <f t="shared" si="36"/>
        <v>59832</v>
      </c>
      <c r="H115">
        <f t="shared" si="36"/>
        <v>364483</v>
      </c>
      <c r="I115">
        <f t="shared" ref="I115:J118" si="37">V115*$B$1</f>
        <v>173044</v>
      </c>
      <c r="J115">
        <f t="shared" si="37"/>
        <v>2616986</v>
      </c>
      <c r="N115">
        <v>0</v>
      </c>
      <c r="O115" s="105">
        <v>1049073</v>
      </c>
      <c r="P115" s="105">
        <v>259013</v>
      </c>
      <c r="Q115" s="105">
        <v>286521</v>
      </c>
      <c r="R115" s="105">
        <v>275698</v>
      </c>
      <c r="S115" s="105">
        <v>149322</v>
      </c>
      <c r="T115" s="105">
        <v>59832</v>
      </c>
      <c r="U115" s="105">
        <v>364483</v>
      </c>
      <c r="V115" s="105">
        <v>173044</v>
      </c>
      <c r="W115">
        <f>SUM(O115:V115)</f>
        <v>2616986</v>
      </c>
    </row>
    <row r="116" spans="1:23" x14ac:dyDescent="0.2">
      <c r="A116">
        <v>1</v>
      </c>
      <c r="B116">
        <f t="shared" si="36"/>
        <v>52055</v>
      </c>
      <c r="C116">
        <f t="shared" si="36"/>
        <v>14568</v>
      </c>
      <c r="D116">
        <f t="shared" si="36"/>
        <v>24316</v>
      </c>
      <c r="E116">
        <f t="shared" si="36"/>
        <v>29425</v>
      </c>
      <c r="F116">
        <f t="shared" si="36"/>
        <v>4057</v>
      </c>
      <c r="G116">
        <f t="shared" si="36"/>
        <v>3814</v>
      </c>
      <c r="H116">
        <f t="shared" si="36"/>
        <v>12541</v>
      </c>
      <c r="I116">
        <f t="shared" si="37"/>
        <v>8397</v>
      </c>
      <c r="J116">
        <f t="shared" si="37"/>
        <v>149173</v>
      </c>
      <c r="N116">
        <v>1</v>
      </c>
      <c r="O116" s="105">
        <v>52055</v>
      </c>
      <c r="P116" s="105">
        <v>14568</v>
      </c>
      <c r="Q116" s="105">
        <v>24316</v>
      </c>
      <c r="R116" s="105">
        <v>29425</v>
      </c>
      <c r="S116" s="105">
        <v>4057</v>
      </c>
      <c r="T116" s="105">
        <v>3814</v>
      </c>
      <c r="U116" s="105">
        <v>12541</v>
      </c>
      <c r="V116" s="105">
        <v>8397</v>
      </c>
      <c r="W116">
        <f>SUM(O116:V116)</f>
        <v>149173</v>
      </c>
    </row>
    <row r="117" spans="1:23" x14ac:dyDescent="0.2">
      <c r="A117">
        <v>2</v>
      </c>
      <c r="B117">
        <f t="shared" si="36"/>
        <v>605</v>
      </c>
      <c r="C117">
        <f t="shared" si="36"/>
        <v>973</v>
      </c>
      <c r="D117">
        <f t="shared" si="36"/>
        <v>2739</v>
      </c>
      <c r="E117">
        <f t="shared" si="36"/>
        <v>1086</v>
      </c>
      <c r="F117">
        <f t="shared" si="36"/>
        <v>76</v>
      </c>
      <c r="G117">
        <f t="shared" si="36"/>
        <v>46</v>
      </c>
      <c r="H117">
        <f t="shared" si="36"/>
        <v>12</v>
      </c>
      <c r="I117">
        <f t="shared" si="37"/>
        <v>42</v>
      </c>
      <c r="J117">
        <f t="shared" si="37"/>
        <v>5579</v>
      </c>
      <c r="N117">
        <v>2</v>
      </c>
      <c r="O117" s="105">
        <v>605</v>
      </c>
      <c r="P117" s="105">
        <v>973</v>
      </c>
      <c r="Q117" s="105">
        <v>2739</v>
      </c>
      <c r="R117" s="105">
        <v>1086</v>
      </c>
      <c r="S117" s="105">
        <v>76</v>
      </c>
      <c r="T117" s="105">
        <v>46</v>
      </c>
      <c r="U117" s="105">
        <v>12</v>
      </c>
      <c r="V117" s="105">
        <v>42</v>
      </c>
      <c r="W117">
        <f>SUM(O117:V117)</f>
        <v>5579</v>
      </c>
    </row>
    <row r="118" spans="1:23" x14ac:dyDescent="0.2">
      <c r="A118" t="s">
        <v>116</v>
      </c>
      <c r="B118">
        <f t="shared" si="36"/>
        <v>0</v>
      </c>
      <c r="C118">
        <f t="shared" si="36"/>
        <v>0</v>
      </c>
      <c r="D118">
        <f t="shared" si="36"/>
        <v>0</v>
      </c>
      <c r="E118">
        <f t="shared" si="36"/>
        <v>0</v>
      </c>
      <c r="F118">
        <f t="shared" si="36"/>
        <v>0</v>
      </c>
      <c r="G118">
        <f t="shared" si="36"/>
        <v>0</v>
      </c>
      <c r="H118">
        <f t="shared" si="36"/>
        <v>0</v>
      </c>
      <c r="I118">
        <f t="shared" si="37"/>
        <v>0</v>
      </c>
      <c r="J118">
        <f t="shared" si="37"/>
        <v>0</v>
      </c>
      <c r="N118" t="s">
        <v>116</v>
      </c>
      <c r="O118" s="105">
        <v>0</v>
      </c>
      <c r="P118" s="105">
        <v>0</v>
      </c>
      <c r="Q118" s="105">
        <v>0</v>
      </c>
      <c r="R118" s="105">
        <v>0</v>
      </c>
      <c r="S118" s="105">
        <v>0</v>
      </c>
      <c r="T118" s="105">
        <v>0</v>
      </c>
      <c r="U118" s="105">
        <v>0</v>
      </c>
      <c r="V118" s="105">
        <v>0</v>
      </c>
      <c r="W118">
        <f>SUM(O118:V118)</f>
        <v>0</v>
      </c>
    </row>
    <row r="120" spans="1:23" x14ac:dyDescent="0.2">
      <c r="A120" t="s">
        <v>130</v>
      </c>
      <c r="N120" t="s">
        <v>130</v>
      </c>
    </row>
    <row r="121" spans="1:23" x14ac:dyDescent="0.2">
      <c r="A121" t="s">
        <v>20</v>
      </c>
      <c r="B121" t="s">
        <v>21</v>
      </c>
      <c r="C121" t="s">
        <v>22</v>
      </c>
      <c r="D121" t="s">
        <v>148</v>
      </c>
      <c r="E121" t="s">
        <v>243</v>
      </c>
      <c r="F121" t="s">
        <v>23</v>
      </c>
      <c r="G121" t="s">
        <v>24</v>
      </c>
      <c r="H121" t="s">
        <v>25</v>
      </c>
      <c r="I121" t="s">
        <v>26</v>
      </c>
      <c r="J121" t="s">
        <v>27</v>
      </c>
      <c r="N121" t="s">
        <v>20</v>
      </c>
      <c r="O121" t="s">
        <v>21</v>
      </c>
      <c r="P121" t="s">
        <v>22</v>
      </c>
      <c r="Q121" t="s">
        <v>148</v>
      </c>
      <c r="R121" t="s">
        <v>243</v>
      </c>
      <c r="S121" t="s">
        <v>23</v>
      </c>
      <c r="T121" t="s">
        <v>24</v>
      </c>
      <c r="U121" t="s">
        <v>25</v>
      </c>
      <c r="V121" t="s">
        <v>26</v>
      </c>
      <c r="W121" t="s">
        <v>27</v>
      </c>
    </row>
    <row r="122" spans="1:23" x14ac:dyDescent="0.2">
      <c r="A122">
        <v>0</v>
      </c>
      <c r="B122">
        <f t="shared" ref="B122:H125" si="38">O122*$B$1</f>
        <v>901629</v>
      </c>
      <c r="C122">
        <f t="shared" si="38"/>
        <v>192601</v>
      </c>
      <c r="D122">
        <f t="shared" si="38"/>
        <v>211654</v>
      </c>
      <c r="E122">
        <f t="shared" si="38"/>
        <v>198271</v>
      </c>
      <c r="F122">
        <f t="shared" si="38"/>
        <v>136523</v>
      </c>
      <c r="G122">
        <f t="shared" si="38"/>
        <v>54646</v>
      </c>
      <c r="H122">
        <f t="shared" si="38"/>
        <v>281079</v>
      </c>
      <c r="I122">
        <f t="shared" ref="I122:J125" si="39">V122*$B$1</f>
        <v>109128</v>
      </c>
      <c r="J122">
        <f t="shared" si="39"/>
        <v>2085531</v>
      </c>
      <c r="N122">
        <v>0</v>
      </c>
      <c r="O122" s="105">
        <v>901629</v>
      </c>
      <c r="P122" s="105">
        <v>192601</v>
      </c>
      <c r="Q122" s="105">
        <v>211654</v>
      </c>
      <c r="R122" s="105">
        <v>198271</v>
      </c>
      <c r="S122" s="105">
        <v>136523</v>
      </c>
      <c r="T122" s="105">
        <v>54646</v>
      </c>
      <c r="U122" s="105">
        <v>281079</v>
      </c>
      <c r="V122" s="105">
        <v>109128</v>
      </c>
      <c r="W122">
        <f>SUM(O122:V122)</f>
        <v>2085531</v>
      </c>
    </row>
    <row r="123" spans="1:23" x14ac:dyDescent="0.2">
      <c r="A123">
        <v>1</v>
      </c>
      <c r="B123">
        <f t="shared" si="38"/>
        <v>180230</v>
      </c>
      <c r="C123">
        <f t="shared" si="38"/>
        <v>71594</v>
      </c>
      <c r="D123">
        <f t="shared" si="38"/>
        <v>85817</v>
      </c>
      <c r="E123">
        <f t="shared" si="38"/>
        <v>91132</v>
      </c>
      <c r="F123">
        <f t="shared" si="38"/>
        <v>15515</v>
      </c>
      <c r="G123">
        <f t="shared" si="38"/>
        <v>8106</v>
      </c>
      <c r="H123">
        <f t="shared" si="38"/>
        <v>87105</v>
      </c>
      <c r="I123">
        <f t="shared" si="39"/>
        <v>61436</v>
      </c>
      <c r="J123">
        <f t="shared" si="39"/>
        <v>600935</v>
      </c>
      <c r="N123">
        <v>1</v>
      </c>
      <c r="O123" s="105">
        <v>180230</v>
      </c>
      <c r="P123" s="105">
        <v>71594</v>
      </c>
      <c r="Q123" s="105">
        <v>85817</v>
      </c>
      <c r="R123" s="105">
        <v>91132</v>
      </c>
      <c r="S123" s="105">
        <v>15515</v>
      </c>
      <c r="T123" s="105">
        <v>8106</v>
      </c>
      <c r="U123" s="105">
        <v>87105</v>
      </c>
      <c r="V123" s="105">
        <v>61436</v>
      </c>
      <c r="W123">
        <f>SUM(O123:V123)</f>
        <v>600935</v>
      </c>
    </row>
    <row r="124" spans="1:23" x14ac:dyDescent="0.2">
      <c r="A124">
        <v>2</v>
      </c>
      <c r="B124">
        <f t="shared" si="38"/>
        <v>18204</v>
      </c>
      <c r="C124">
        <f t="shared" si="38"/>
        <v>9443</v>
      </c>
      <c r="D124">
        <f t="shared" si="38"/>
        <v>14706</v>
      </c>
      <c r="E124">
        <f t="shared" si="38"/>
        <v>15306</v>
      </c>
      <c r="F124">
        <f t="shared" si="38"/>
        <v>1319</v>
      </c>
      <c r="G124">
        <f t="shared" si="38"/>
        <v>871</v>
      </c>
      <c r="H124">
        <f t="shared" si="38"/>
        <v>8044</v>
      </c>
      <c r="I124">
        <f t="shared" si="39"/>
        <v>9981</v>
      </c>
      <c r="J124">
        <f t="shared" si="39"/>
        <v>77874</v>
      </c>
      <c r="N124">
        <v>2</v>
      </c>
      <c r="O124" s="105">
        <v>18204</v>
      </c>
      <c r="P124" s="105">
        <v>9443</v>
      </c>
      <c r="Q124" s="105">
        <v>14706</v>
      </c>
      <c r="R124" s="105">
        <v>15306</v>
      </c>
      <c r="S124" s="105">
        <v>1319</v>
      </c>
      <c r="T124" s="105">
        <v>871</v>
      </c>
      <c r="U124" s="105">
        <v>8044</v>
      </c>
      <c r="V124" s="105">
        <v>9981</v>
      </c>
      <c r="W124">
        <f>SUM(O124:V124)</f>
        <v>77874</v>
      </c>
    </row>
    <row r="125" spans="1:23" x14ac:dyDescent="0.2">
      <c r="A125" t="s">
        <v>116</v>
      </c>
      <c r="B125">
        <f t="shared" si="38"/>
        <v>1670</v>
      </c>
      <c r="C125">
        <f t="shared" si="38"/>
        <v>916</v>
      </c>
      <c r="D125">
        <f t="shared" si="38"/>
        <v>1399</v>
      </c>
      <c r="E125">
        <f t="shared" si="38"/>
        <v>1500</v>
      </c>
      <c r="F125">
        <f t="shared" si="38"/>
        <v>98</v>
      </c>
      <c r="G125">
        <f t="shared" si="38"/>
        <v>69</v>
      </c>
      <c r="H125">
        <f t="shared" si="38"/>
        <v>808</v>
      </c>
      <c r="I125">
        <f t="shared" si="39"/>
        <v>938</v>
      </c>
      <c r="J125">
        <f t="shared" si="39"/>
        <v>7398</v>
      </c>
      <c r="N125" t="s">
        <v>116</v>
      </c>
      <c r="O125" s="105">
        <v>1670</v>
      </c>
      <c r="P125" s="105">
        <v>916</v>
      </c>
      <c r="Q125" s="105">
        <v>1399</v>
      </c>
      <c r="R125" s="105">
        <v>1500</v>
      </c>
      <c r="S125" s="105">
        <v>98</v>
      </c>
      <c r="T125" s="105">
        <v>69</v>
      </c>
      <c r="U125" s="105">
        <v>808</v>
      </c>
      <c r="V125" s="105">
        <v>938</v>
      </c>
      <c r="W125">
        <f>SUM(O125:V125)</f>
        <v>7398</v>
      </c>
    </row>
    <row r="127" spans="1:23" x14ac:dyDescent="0.2">
      <c r="A127" t="s">
        <v>37</v>
      </c>
      <c r="B127" t="s">
        <v>42</v>
      </c>
      <c r="C127" t="s">
        <v>43</v>
      </c>
      <c r="N127" t="s">
        <v>37</v>
      </c>
      <c r="O127" t="s">
        <v>42</v>
      </c>
      <c r="P127" t="s">
        <v>43</v>
      </c>
    </row>
    <row r="128" spans="1:23" x14ac:dyDescent="0.2">
      <c r="A128" t="s">
        <v>44</v>
      </c>
      <c r="B128" t="s">
        <v>21</v>
      </c>
      <c r="C128" t="s">
        <v>45</v>
      </c>
      <c r="D128" t="s">
        <v>27</v>
      </c>
      <c r="N128" t="s">
        <v>44</v>
      </c>
      <c r="O128" t="s">
        <v>21</v>
      </c>
      <c r="P128" t="s">
        <v>45</v>
      </c>
      <c r="Q128" t="s">
        <v>27</v>
      </c>
    </row>
    <row r="129" spans="1:17" x14ac:dyDescent="0.2">
      <c r="A129">
        <v>0</v>
      </c>
      <c r="B129">
        <f t="shared" ref="B129:D132" si="40">O129*$B$1</f>
        <v>1002093</v>
      </c>
      <c r="C129">
        <f t="shared" si="40"/>
        <v>272555</v>
      </c>
      <c r="D129">
        <f t="shared" si="40"/>
        <v>1274648</v>
      </c>
      <c r="N129">
        <v>0</v>
      </c>
      <c r="O129" s="105">
        <v>1002093</v>
      </c>
      <c r="P129" s="105">
        <v>272555</v>
      </c>
      <c r="Q129">
        <f>SUM(O129:P129)</f>
        <v>1274648</v>
      </c>
    </row>
    <row r="130" spans="1:17" x14ac:dyDescent="0.2">
      <c r="A130">
        <v>1</v>
      </c>
      <c r="B130">
        <f t="shared" si="40"/>
        <v>105574</v>
      </c>
      <c r="C130">
        <f t="shared" si="40"/>
        <v>21530</v>
      </c>
      <c r="D130">
        <f t="shared" si="40"/>
        <v>127104</v>
      </c>
      <c r="N130">
        <v>1</v>
      </c>
      <c r="O130" s="105">
        <v>105574</v>
      </c>
      <c r="P130" s="105">
        <v>21530</v>
      </c>
      <c r="Q130">
        <f>SUM(O130:P130)</f>
        <v>127104</v>
      </c>
    </row>
    <row r="131" spans="1:17" x14ac:dyDescent="0.2">
      <c r="A131">
        <v>2</v>
      </c>
      <c r="B131">
        <f t="shared" si="40"/>
        <v>6856</v>
      </c>
      <c r="C131">
        <f t="shared" si="40"/>
        <v>1249</v>
      </c>
      <c r="D131">
        <f t="shared" si="40"/>
        <v>8105</v>
      </c>
      <c r="N131">
        <v>2</v>
      </c>
      <c r="O131" s="105">
        <v>6856</v>
      </c>
      <c r="P131" s="105">
        <v>1249</v>
      </c>
      <c r="Q131">
        <f>SUM(O131:P131)</f>
        <v>8105</v>
      </c>
    </row>
    <row r="132" spans="1:17" x14ac:dyDescent="0.2">
      <c r="A132" t="s">
        <v>116</v>
      </c>
      <c r="B132">
        <f t="shared" si="40"/>
        <v>653</v>
      </c>
      <c r="C132">
        <f t="shared" si="40"/>
        <v>120</v>
      </c>
      <c r="D132">
        <f t="shared" si="40"/>
        <v>773</v>
      </c>
      <c r="N132" t="s">
        <v>116</v>
      </c>
      <c r="O132" s="105">
        <v>653</v>
      </c>
      <c r="P132" s="105">
        <v>120</v>
      </c>
      <c r="Q132">
        <f>SUM(O132:P132)</f>
        <v>773</v>
      </c>
    </row>
    <row r="134" spans="1:17" x14ac:dyDescent="0.2">
      <c r="A134" t="s">
        <v>46</v>
      </c>
      <c r="B134" t="s">
        <v>47</v>
      </c>
      <c r="N134" t="s">
        <v>46</v>
      </c>
      <c r="O134" t="s">
        <v>47</v>
      </c>
    </row>
    <row r="135" spans="1:17" x14ac:dyDescent="0.2">
      <c r="A135" t="s">
        <v>44</v>
      </c>
      <c r="B135" t="s">
        <v>21</v>
      </c>
      <c r="C135" t="s">
        <v>45</v>
      </c>
      <c r="D135" t="s">
        <v>27</v>
      </c>
      <c r="N135" t="s">
        <v>44</v>
      </c>
      <c r="O135" t="s">
        <v>21</v>
      </c>
      <c r="P135" t="s">
        <v>45</v>
      </c>
      <c r="Q135" t="s">
        <v>27</v>
      </c>
    </row>
    <row r="136" spans="1:17" x14ac:dyDescent="0.2">
      <c r="A136" t="s">
        <v>210</v>
      </c>
      <c r="B136">
        <f t="shared" ref="B136:B142" si="41">O136*$B$1</f>
        <v>22191</v>
      </c>
      <c r="C136">
        <f t="shared" ref="C136:C142" si="42">P136*$B$1</f>
        <v>4376</v>
      </c>
      <c r="D136">
        <f t="shared" ref="D136:D142" si="43">Q136*$B$1</f>
        <v>26567</v>
      </c>
      <c r="N136" t="s">
        <v>210</v>
      </c>
      <c r="O136" s="105">
        <v>22191</v>
      </c>
      <c r="P136" s="105">
        <v>4376</v>
      </c>
      <c r="Q136">
        <f>SUM(O136:P136)</f>
        <v>26567</v>
      </c>
    </row>
    <row r="137" spans="1:17" x14ac:dyDescent="0.2">
      <c r="A137" t="s">
        <v>211</v>
      </c>
      <c r="B137">
        <f t="shared" si="41"/>
        <v>0</v>
      </c>
      <c r="C137">
        <f t="shared" si="42"/>
        <v>730</v>
      </c>
      <c r="D137">
        <f t="shared" si="43"/>
        <v>730</v>
      </c>
      <c r="N137" t="s">
        <v>211</v>
      </c>
      <c r="O137" s="105">
        <v>0</v>
      </c>
      <c r="P137" s="105">
        <v>730</v>
      </c>
      <c r="Q137">
        <f t="shared" ref="Q137:Q142" si="44">SUM(O137:P137)</f>
        <v>730</v>
      </c>
    </row>
    <row r="138" spans="1:17" x14ac:dyDescent="0.2">
      <c r="A138" t="s">
        <v>212</v>
      </c>
      <c r="B138">
        <f t="shared" si="41"/>
        <v>4335</v>
      </c>
      <c r="C138">
        <f t="shared" si="42"/>
        <v>627</v>
      </c>
      <c r="D138">
        <f t="shared" si="43"/>
        <v>4962</v>
      </c>
      <c r="N138" t="s">
        <v>212</v>
      </c>
      <c r="O138" s="105">
        <v>4335</v>
      </c>
      <c r="P138" s="105">
        <v>627</v>
      </c>
      <c r="Q138">
        <f t="shared" si="44"/>
        <v>4962</v>
      </c>
    </row>
    <row r="139" spans="1:17" x14ac:dyDescent="0.2">
      <c r="A139" t="s">
        <v>36</v>
      </c>
      <c r="B139">
        <f t="shared" si="41"/>
        <v>14361</v>
      </c>
      <c r="C139">
        <f t="shared" si="42"/>
        <v>2839</v>
      </c>
      <c r="D139">
        <f t="shared" si="43"/>
        <v>17200</v>
      </c>
      <c r="N139" t="s">
        <v>36</v>
      </c>
      <c r="O139" s="105">
        <v>14361</v>
      </c>
      <c r="P139" s="105">
        <v>2839</v>
      </c>
      <c r="Q139">
        <f t="shared" si="44"/>
        <v>17200</v>
      </c>
    </row>
    <row r="140" spans="1:17" x14ac:dyDescent="0.2">
      <c r="A140" t="s">
        <v>214</v>
      </c>
      <c r="B140">
        <f t="shared" si="41"/>
        <v>14494</v>
      </c>
      <c r="C140">
        <f t="shared" si="42"/>
        <v>2448</v>
      </c>
      <c r="D140">
        <f t="shared" si="43"/>
        <v>16942</v>
      </c>
      <c r="N140" t="s">
        <v>214</v>
      </c>
      <c r="O140" s="105">
        <v>14494</v>
      </c>
      <c r="P140" s="105">
        <v>2448</v>
      </c>
      <c r="Q140">
        <f t="shared" si="44"/>
        <v>16942</v>
      </c>
    </row>
    <row r="141" spans="1:17" x14ac:dyDescent="0.2">
      <c r="A141" t="s">
        <v>129</v>
      </c>
      <c r="B141">
        <f t="shared" si="41"/>
        <v>52493</v>
      </c>
      <c r="C141">
        <f t="shared" si="42"/>
        <v>10157</v>
      </c>
      <c r="D141">
        <f t="shared" si="43"/>
        <v>62650</v>
      </c>
      <c r="N141" t="s">
        <v>129</v>
      </c>
      <c r="O141" s="105">
        <v>52493</v>
      </c>
      <c r="P141" s="105">
        <v>10157</v>
      </c>
      <c r="Q141">
        <f t="shared" si="44"/>
        <v>62650</v>
      </c>
    </row>
    <row r="142" spans="1:17" x14ac:dyDescent="0.2">
      <c r="A142" t="s">
        <v>130</v>
      </c>
      <c r="B142">
        <f t="shared" si="41"/>
        <v>13459</v>
      </c>
      <c r="C142">
        <f t="shared" si="42"/>
        <v>3255</v>
      </c>
      <c r="D142">
        <f t="shared" si="43"/>
        <v>16714</v>
      </c>
      <c r="N142" t="s">
        <v>130</v>
      </c>
      <c r="O142" s="105">
        <v>13459</v>
      </c>
      <c r="P142" s="105">
        <v>3255</v>
      </c>
      <c r="Q142">
        <f t="shared" si="44"/>
        <v>16714</v>
      </c>
    </row>
    <row r="144" spans="1:17" x14ac:dyDescent="0.2">
      <c r="A144" t="s">
        <v>48</v>
      </c>
      <c r="B144" t="s">
        <v>49</v>
      </c>
      <c r="C144" t="s">
        <v>50</v>
      </c>
      <c r="D144" t="s">
        <v>51</v>
      </c>
      <c r="N144" t="s">
        <v>48</v>
      </c>
      <c r="O144" t="s">
        <v>49</v>
      </c>
      <c r="P144" t="s">
        <v>50</v>
      </c>
      <c r="Q144" t="s">
        <v>51</v>
      </c>
    </row>
    <row r="146" spans="1:22" x14ac:dyDescent="0.2">
      <c r="A146" t="s">
        <v>52</v>
      </c>
      <c r="N146" t="s">
        <v>52</v>
      </c>
    </row>
    <row r="147" spans="1:22" x14ac:dyDescent="0.2">
      <c r="A147" t="s">
        <v>53</v>
      </c>
      <c r="B147" t="s">
        <v>210</v>
      </c>
      <c r="C147" t="s">
        <v>211</v>
      </c>
      <c r="D147" t="s">
        <v>212</v>
      </c>
      <c r="E147" t="s">
        <v>54</v>
      </c>
      <c r="F147" t="s">
        <v>214</v>
      </c>
      <c r="G147" t="s">
        <v>129</v>
      </c>
      <c r="H147" t="s">
        <v>55</v>
      </c>
      <c r="I147" t="s">
        <v>27</v>
      </c>
      <c r="N147" t="s">
        <v>53</v>
      </c>
      <c r="O147" t="s">
        <v>210</v>
      </c>
      <c r="P147" t="s">
        <v>211</v>
      </c>
      <c r="Q147" t="s">
        <v>212</v>
      </c>
      <c r="R147" t="s">
        <v>54</v>
      </c>
      <c r="S147" t="s">
        <v>214</v>
      </c>
      <c r="T147" t="s">
        <v>129</v>
      </c>
      <c r="U147" t="s">
        <v>55</v>
      </c>
      <c r="V147" t="s">
        <v>27</v>
      </c>
    </row>
    <row r="148" spans="1:22" x14ac:dyDescent="0.2">
      <c r="A148">
        <v>0</v>
      </c>
      <c r="B148">
        <f t="shared" ref="B148:G154" si="45">O148*$B$1</f>
        <v>479335</v>
      </c>
      <c r="C148">
        <f t="shared" si="45"/>
        <v>267520</v>
      </c>
      <c r="D148">
        <f t="shared" si="45"/>
        <v>243141</v>
      </c>
      <c r="E148">
        <f t="shared" si="45"/>
        <v>320944</v>
      </c>
      <c r="F148">
        <f t="shared" si="45"/>
        <v>373889</v>
      </c>
      <c r="G148">
        <f t="shared" si="45"/>
        <v>162586</v>
      </c>
      <c r="H148">
        <f t="shared" ref="H148:H154" si="46">U148*$B$1</f>
        <v>576847</v>
      </c>
      <c r="I148">
        <f t="shared" ref="I148:I154" si="47">V148*$B$1</f>
        <v>2424262</v>
      </c>
      <c r="N148">
        <v>0</v>
      </c>
      <c r="O148" s="105">
        <v>479335</v>
      </c>
      <c r="P148" s="105">
        <v>267520</v>
      </c>
      <c r="Q148" s="105">
        <v>243141</v>
      </c>
      <c r="R148" s="105">
        <v>320944</v>
      </c>
      <c r="S148" s="105">
        <v>373889</v>
      </c>
      <c r="T148" s="105">
        <v>162586</v>
      </c>
      <c r="U148" s="105">
        <v>576847</v>
      </c>
      <c r="V148">
        <f>SUM(O148:U148)</f>
        <v>2424262</v>
      </c>
    </row>
    <row r="149" spans="1:22" x14ac:dyDescent="0.2">
      <c r="A149">
        <v>1</v>
      </c>
      <c r="B149">
        <f t="shared" si="45"/>
        <v>441447</v>
      </c>
      <c r="C149">
        <f t="shared" si="45"/>
        <v>125369</v>
      </c>
      <c r="D149">
        <f t="shared" si="45"/>
        <v>145037</v>
      </c>
      <c r="E149">
        <f t="shared" si="45"/>
        <v>144824</v>
      </c>
      <c r="F149">
        <f t="shared" si="45"/>
        <v>135643</v>
      </c>
      <c r="G149">
        <f t="shared" si="45"/>
        <v>43832</v>
      </c>
      <c r="H149">
        <f t="shared" si="46"/>
        <v>166203</v>
      </c>
      <c r="I149">
        <f t="shared" si="47"/>
        <v>1202355</v>
      </c>
      <c r="N149">
        <v>1</v>
      </c>
      <c r="O149" s="105">
        <v>441447</v>
      </c>
      <c r="P149" s="105">
        <v>125369</v>
      </c>
      <c r="Q149" s="105">
        <v>145037</v>
      </c>
      <c r="R149" s="105">
        <v>144824</v>
      </c>
      <c r="S149" s="105">
        <v>135643</v>
      </c>
      <c r="T149" s="105">
        <v>43832</v>
      </c>
      <c r="U149" s="105">
        <v>166203</v>
      </c>
      <c r="V149">
        <f t="shared" ref="V149:V154" si="48">SUM(O149:U149)</f>
        <v>1202355</v>
      </c>
    </row>
    <row r="150" spans="1:22" x14ac:dyDescent="0.2">
      <c r="A150">
        <v>2</v>
      </c>
      <c r="B150">
        <f t="shared" si="45"/>
        <v>275690</v>
      </c>
      <c r="C150">
        <f t="shared" si="45"/>
        <v>49499</v>
      </c>
      <c r="D150">
        <f t="shared" si="45"/>
        <v>60486</v>
      </c>
      <c r="E150">
        <f t="shared" si="45"/>
        <v>53654</v>
      </c>
      <c r="F150">
        <f t="shared" si="45"/>
        <v>47950</v>
      </c>
      <c r="G150">
        <f t="shared" si="45"/>
        <v>12162</v>
      </c>
      <c r="H150">
        <f t="shared" si="46"/>
        <v>41073</v>
      </c>
      <c r="I150">
        <f t="shared" si="47"/>
        <v>540514</v>
      </c>
      <c r="N150">
        <v>2</v>
      </c>
      <c r="O150" s="105">
        <v>275690</v>
      </c>
      <c r="P150" s="105">
        <v>49499</v>
      </c>
      <c r="Q150" s="105">
        <v>60486</v>
      </c>
      <c r="R150" s="105">
        <v>53654</v>
      </c>
      <c r="S150" s="105">
        <v>47950</v>
      </c>
      <c r="T150" s="105">
        <v>12162</v>
      </c>
      <c r="U150" s="105">
        <v>41073</v>
      </c>
      <c r="V150">
        <f t="shared" si="48"/>
        <v>540514</v>
      </c>
    </row>
    <row r="151" spans="1:22" x14ac:dyDescent="0.2">
      <c r="A151">
        <v>3</v>
      </c>
      <c r="B151">
        <f t="shared" si="45"/>
        <v>122107</v>
      </c>
      <c r="C151">
        <f t="shared" si="45"/>
        <v>14101</v>
      </c>
      <c r="D151">
        <f t="shared" si="45"/>
        <v>19402</v>
      </c>
      <c r="E151">
        <f t="shared" si="45"/>
        <v>15820</v>
      </c>
      <c r="F151">
        <f t="shared" si="45"/>
        <v>13969</v>
      </c>
      <c r="G151">
        <f t="shared" si="45"/>
        <v>3223</v>
      </c>
      <c r="H151">
        <f t="shared" si="46"/>
        <v>9071</v>
      </c>
      <c r="I151">
        <f t="shared" si="47"/>
        <v>197693</v>
      </c>
      <c r="N151">
        <v>3</v>
      </c>
      <c r="O151" s="105">
        <v>122107</v>
      </c>
      <c r="P151" s="105">
        <v>14101</v>
      </c>
      <c r="Q151" s="105">
        <v>19402</v>
      </c>
      <c r="R151" s="105">
        <v>15820</v>
      </c>
      <c r="S151" s="105">
        <v>13969</v>
      </c>
      <c r="T151" s="105">
        <v>3223</v>
      </c>
      <c r="U151" s="105">
        <v>9071</v>
      </c>
      <c r="V151">
        <f t="shared" si="48"/>
        <v>197693</v>
      </c>
    </row>
    <row r="152" spans="1:22" x14ac:dyDescent="0.2">
      <c r="A152">
        <v>4</v>
      </c>
      <c r="B152">
        <f t="shared" si="45"/>
        <v>51391</v>
      </c>
      <c r="C152">
        <f t="shared" si="45"/>
        <v>3795</v>
      </c>
      <c r="D152">
        <f t="shared" si="45"/>
        <v>5850</v>
      </c>
      <c r="E152">
        <f t="shared" si="45"/>
        <v>4371</v>
      </c>
      <c r="F152">
        <f t="shared" si="45"/>
        <v>3892</v>
      </c>
      <c r="G152">
        <f t="shared" si="45"/>
        <v>928</v>
      </c>
      <c r="H152">
        <f t="shared" si="46"/>
        <v>2148</v>
      </c>
      <c r="I152">
        <f t="shared" si="47"/>
        <v>72375</v>
      </c>
      <c r="N152">
        <v>4</v>
      </c>
      <c r="O152" s="105">
        <v>51391</v>
      </c>
      <c r="P152" s="105">
        <v>3795</v>
      </c>
      <c r="Q152" s="105">
        <v>5850</v>
      </c>
      <c r="R152" s="105">
        <v>4371</v>
      </c>
      <c r="S152" s="105">
        <v>3892</v>
      </c>
      <c r="T152" s="105">
        <v>928</v>
      </c>
      <c r="U152" s="105">
        <v>2148</v>
      </c>
      <c r="V152">
        <f t="shared" si="48"/>
        <v>72375</v>
      </c>
    </row>
    <row r="153" spans="1:22" x14ac:dyDescent="0.2">
      <c r="A153">
        <v>5</v>
      </c>
      <c r="B153">
        <f t="shared" si="45"/>
        <v>20148</v>
      </c>
      <c r="C153">
        <f t="shared" si="45"/>
        <v>1040</v>
      </c>
      <c r="D153">
        <f t="shared" si="45"/>
        <v>1681</v>
      </c>
      <c r="E153">
        <f t="shared" si="45"/>
        <v>962</v>
      </c>
      <c r="F153">
        <f t="shared" si="45"/>
        <v>964</v>
      </c>
      <c r="G153">
        <f t="shared" si="45"/>
        <v>222</v>
      </c>
      <c r="H153">
        <f t="shared" si="46"/>
        <v>440</v>
      </c>
      <c r="I153">
        <f t="shared" si="47"/>
        <v>25457</v>
      </c>
      <c r="N153">
        <v>5</v>
      </c>
      <c r="O153" s="105">
        <v>20148</v>
      </c>
      <c r="P153" s="105">
        <v>1040</v>
      </c>
      <c r="Q153" s="105">
        <v>1681</v>
      </c>
      <c r="R153" s="105">
        <v>962</v>
      </c>
      <c r="S153" s="105">
        <v>964</v>
      </c>
      <c r="T153" s="105">
        <v>222</v>
      </c>
      <c r="U153" s="105">
        <v>440</v>
      </c>
      <c r="V153">
        <f t="shared" si="48"/>
        <v>25457</v>
      </c>
    </row>
    <row r="154" spans="1:22" x14ac:dyDescent="0.2">
      <c r="A154" t="s">
        <v>209</v>
      </c>
      <c r="B154">
        <f t="shared" si="45"/>
        <v>20512</v>
      </c>
      <c r="C154">
        <f t="shared" si="45"/>
        <v>509</v>
      </c>
      <c r="D154">
        <f t="shared" si="45"/>
        <v>695</v>
      </c>
      <c r="E154">
        <f t="shared" si="45"/>
        <v>251</v>
      </c>
      <c r="F154">
        <f t="shared" si="45"/>
        <v>284</v>
      </c>
      <c r="G154">
        <f t="shared" si="45"/>
        <v>71</v>
      </c>
      <c r="H154">
        <f t="shared" si="46"/>
        <v>99</v>
      </c>
      <c r="I154">
        <f t="shared" si="47"/>
        <v>22421</v>
      </c>
      <c r="N154" t="s">
        <v>209</v>
      </c>
      <c r="O154" s="105">
        <v>20512</v>
      </c>
      <c r="P154" s="105">
        <v>509</v>
      </c>
      <c r="Q154" s="105">
        <v>695</v>
      </c>
      <c r="R154" s="105">
        <v>251</v>
      </c>
      <c r="S154" s="105">
        <v>284</v>
      </c>
      <c r="T154" s="105">
        <v>71</v>
      </c>
      <c r="U154" s="105">
        <v>99</v>
      </c>
      <c r="V154">
        <f t="shared" si="48"/>
        <v>22421</v>
      </c>
    </row>
    <row r="156" spans="1:22" x14ac:dyDescent="0.2">
      <c r="A156" t="s">
        <v>56</v>
      </c>
      <c r="N156" t="s">
        <v>56</v>
      </c>
    </row>
    <row r="157" spans="1:22" x14ac:dyDescent="0.2">
      <c r="A157" t="s">
        <v>53</v>
      </c>
      <c r="B157" t="s">
        <v>210</v>
      </c>
      <c r="C157" t="s">
        <v>211</v>
      </c>
      <c r="D157" t="s">
        <v>212</v>
      </c>
      <c r="E157" t="s">
        <v>54</v>
      </c>
      <c r="F157" t="s">
        <v>214</v>
      </c>
      <c r="G157" t="s">
        <v>129</v>
      </c>
      <c r="H157" t="s">
        <v>55</v>
      </c>
      <c r="I157" t="s">
        <v>27</v>
      </c>
      <c r="N157" t="s">
        <v>53</v>
      </c>
      <c r="O157" t="s">
        <v>210</v>
      </c>
      <c r="P157" t="s">
        <v>211</v>
      </c>
      <c r="Q157" t="s">
        <v>212</v>
      </c>
      <c r="R157" t="s">
        <v>54</v>
      </c>
      <c r="S157" t="s">
        <v>214</v>
      </c>
      <c r="T157" t="s">
        <v>129</v>
      </c>
      <c r="U157" t="s">
        <v>55</v>
      </c>
      <c r="V157" t="s">
        <v>27</v>
      </c>
    </row>
    <row r="158" spans="1:22" x14ac:dyDescent="0.2">
      <c r="A158">
        <v>0</v>
      </c>
      <c r="B158">
        <f t="shared" ref="B158:G164" si="49">O158*$B$1</f>
        <v>982611</v>
      </c>
      <c r="C158">
        <f t="shared" si="49"/>
        <v>390504</v>
      </c>
      <c r="D158">
        <f t="shared" si="49"/>
        <v>358871</v>
      </c>
      <c r="E158">
        <f t="shared" si="49"/>
        <v>432219</v>
      </c>
      <c r="F158">
        <f t="shared" si="49"/>
        <v>476435</v>
      </c>
      <c r="G158">
        <f t="shared" si="49"/>
        <v>193785</v>
      </c>
      <c r="H158">
        <f t="shared" ref="H158:H164" si="50">U158*$B$1</f>
        <v>697742</v>
      </c>
      <c r="I158">
        <f t="shared" ref="I158:I164" si="51">V158*$B$1</f>
        <v>3532167</v>
      </c>
      <c r="N158">
        <v>0</v>
      </c>
      <c r="O158" s="105">
        <v>982611</v>
      </c>
      <c r="P158" s="105">
        <v>390504</v>
      </c>
      <c r="Q158" s="105">
        <v>358871</v>
      </c>
      <c r="R158" s="105">
        <v>432219</v>
      </c>
      <c r="S158" s="105">
        <v>476435</v>
      </c>
      <c r="T158" s="105">
        <v>193785</v>
      </c>
      <c r="U158" s="105">
        <v>697742</v>
      </c>
      <c r="V158">
        <f>SUM(O158:U158)</f>
        <v>3532167</v>
      </c>
    </row>
    <row r="159" spans="1:22" x14ac:dyDescent="0.2">
      <c r="A159">
        <v>1</v>
      </c>
      <c r="B159">
        <f t="shared" si="49"/>
        <v>311707</v>
      </c>
      <c r="C159">
        <f t="shared" si="49"/>
        <v>58888</v>
      </c>
      <c r="D159">
        <f t="shared" si="49"/>
        <v>91160</v>
      </c>
      <c r="E159">
        <f t="shared" si="49"/>
        <v>84746</v>
      </c>
      <c r="F159">
        <f t="shared" si="49"/>
        <v>78490</v>
      </c>
      <c r="G159">
        <f t="shared" si="49"/>
        <v>23693</v>
      </c>
      <c r="H159">
        <f t="shared" si="50"/>
        <v>83163</v>
      </c>
      <c r="I159">
        <f t="shared" si="51"/>
        <v>731847</v>
      </c>
      <c r="N159">
        <v>1</v>
      </c>
      <c r="O159" s="105">
        <v>311707</v>
      </c>
      <c r="P159" s="105">
        <v>58888</v>
      </c>
      <c r="Q159" s="105">
        <v>91160</v>
      </c>
      <c r="R159" s="105">
        <v>84746</v>
      </c>
      <c r="S159" s="105">
        <v>78490</v>
      </c>
      <c r="T159" s="105">
        <v>23693</v>
      </c>
      <c r="U159" s="105">
        <v>83163</v>
      </c>
      <c r="V159">
        <f t="shared" ref="V159:V164" si="52">SUM(O159:U159)</f>
        <v>731847</v>
      </c>
    </row>
    <row r="160" spans="1:22" x14ac:dyDescent="0.2">
      <c r="A160">
        <v>2</v>
      </c>
      <c r="B160">
        <f t="shared" si="49"/>
        <v>80676</v>
      </c>
      <c r="C160">
        <f t="shared" si="49"/>
        <v>10076</v>
      </c>
      <c r="D160">
        <f t="shared" si="49"/>
        <v>20325</v>
      </c>
      <c r="E160">
        <f t="shared" si="49"/>
        <v>18854</v>
      </c>
      <c r="F160">
        <f t="shared" si="49"/>
        <v>17038</v>
      </c>
      <c r="G160">
        <f t="shared" si="49"/>
        <v>4398</v>
      </c>
      <c r="H160">
        <f t="shared" si="50"/>
        <v>12404</v>
      </c>
      <c r="I160">
        <f t="shared" si="51"/>
        <v>163771</v>
      </c>
      <c r="N160">
        <v>2</v>
      </c>
      <c r="O160" s="105">
        <v>80676</v>
      </c>
      <c r="P160" s="105">
        <v>10076</v>
      </c>
      <c r="Q160" s="105">
        <v>20325</v>
      </c>
      <c r="R160" s="105">
        <v>18854</v>
      </c>
      <c r="S160" s="105">
        <v>17038</v>
      </c>
      <c r="T160" s="105">
        <v>4398</v>
      </c>
      <c r="U160" s="105">
        <v>12404</v>
      </c>
      <c r="V160">
        <f t="shared" si="52"/>
        <v>163771</v>
      </c>
    </row>
    <row r="161" spans="1:22" x14ac:dyDescent="0.2">
      <c r="A161">
        <v>3</v>
      </c>
      <c r="B161">
        <f t="shared" si="49"/>
        <v>21234</v>
      </c>
      <c r="C161">
        <f t="shared" si="49"/>
        <v>1766</v>
      </c>
      <c r="D161">
        <f t="shared" si="49"/>
        <v>4371</v>
      </c>
      <c r="E161">
        <f t="shared" si="49"/>
        <v>3865</v>
      </c>
      <c r="F161">
        <f t="shared" si="49"/>
        <v>3542</v>
      </c>
      <c r="G161">
        <f t="shared" si="49"/>
        <v>885</v>
      </c>
      <c r="H161">
        <f t="shared" si="50"/>
        <v>2039</v>
      </c>
      <c r="I161">
        <f t="shared" si="51"/>
        <v>37702</v>
      </c>
      <c r="N161">
        <v>3</v>
      </c>
      <c r="O161" s="105">
        <v>21234</v>
      </c>
      <c r="P161" s="105">
        <v>1766</v>
      </c>
      <c r="Q161" s="105">
        <v>4371</v>
      </c>
      <c r="R161" s="105">
        <v>3865</v>
      </c>
      <c r="S161" s="105">
        <v>3542</v>
      </c>
      <c r="T161" s="105">
        <v>885</v>
      </c>
      <c r="U161" s="105">
        <v>2039</v>
      </c>
      <c r="V161">
        <f t="shared" si="52"/>
        <v>37702</v>
      </c>
    </row>
    <row r="162" spans="1:22" x14ac:dyDescent="0.2">
      <c r="A162">
        <v>4</v>
      </c>
      <c r="B162">
        <f t="shared" si="49"/>
        <v>8705</v>
      </c>
      <c r="C162">
        <f t="shared" si="49"/>
        <v>435</v>
      </c>
      <c r="D162">
        <f t="shared" si="49"/>
        <v>1222</v>
      </c>
      <c r="E162">
        <f t="shared" si="49"/>
        <v>955</v>
      </c>
      <c r="F162">
        <f t="shared" si="49"/>
        <v>900</v>
      </c>
      <c r="G162">
        <f t="shared" si="49"/>
        <v>217</v>
      </c>
      <c r="H162">
        <f t="shared" si="50"/>
        <v>457</v>
      </c>
      <c r="I162">
        <f t="shared" si="51"/>
        <v>12891</v>
      </c>
      <c r="N162">
        <v>4</v>
      </c>
      <c r="O162" s="105">
        <v>8705</v>
      </c>
      <c r="P162" s="105">
        <v>435</v>
      </c>
      <c r="Q162" s="105">
        <v>1222</v>
      </c>
      <c r="R162" s="105">
        <v>955</v>
      </c>
      <c r="S162" s="105">
        <v>900</v>
      </c>
      <c r="T162" s="105">
        <v>217</v>
      </c>
      <c r="U162" s="105">
        <v>457</v>
      </c>
      <c r="V162">
        <f t="shared" si="52"/>
        <v>12891</v>
      </c>
    </row>
    <row r="163" spans="1:22" x14ac:dyDescent="0.2">
      <c r="A163">
        <v>5</v>
      </c>
      <c r="B163">
        <f t="shared" si="49"/>
        <v>2590</v>
      </c>
      <c r="C163">
        <f t="shared" si="49"/>
        <v>105</v>
      </c>
      <c r="D163">
        <f t="shared" si="49"/>
        <v>227</v>
      </c>
      <c r="E163">
        <f t="shared" si="49"/>
        <v>145</v>
      </c>
      <c r="F163">
        <f t="shared" si="49"/>
        <v>137</v>
      </c>
      <c r="G163">
        <f t="shared" si="49"/>
        <v>33</v>
      </c>
      <c r="H163">
        <f t="shared" si="50"/>
        <v>51</v>
      </c>
      <c r="I163">
        <f t="shared" si="51"/>
        <v>3288</v>
      </c>
      <c r="N163">
        <v>5</v>
      </c>
      <c r="O163" s="105">
        <v>2590</v>
      </c>
      <c r="P163" s="105">
        <v>105</v>
      </c>
      <c r="Q163" s="105">
        <v>227</v>
      </c>
      <c r="R163" s="105">
        <v>145</v>
      </c>
      <c r="S163" s="105">
        <v>137</v>
      </c>
      <c r="T163" s="105">
        <v>33</v>
      </c>
      <c r="U163" s="105">
        <v>51</v>
      </c>
      <c r="V163">
        <f t="shared" si="52"/>
        <v>3288</v>
      </c>
    </row>
    <row r="164" spans="1:22" x14ac:dyDescent="0.2">
      <c r="A164" t="s">
        <v>209</v>
      </c>
      <c r="B164">
        <f t="shared" si="49"/>
        <v>3107</v>
      </c>
      <c r="C164">
        <f t="shared" si="49"/>
        <v>59</v>
      </c>
      <c r="D164">
        <f t="shared" si="49"/>
        <v>116</v>
      </c>
      <c r="E164">
        <f t="shared" si="49"/>
        <v>42</v>
      </c>
      <c r="F164">
        <f t="shared" si="49"/>
        <v>49</v>
      </c>
      <c r="G164">
        <f t="shared" si="49"/>
        <v>13</v>
      </c>
      <c r="H164">
        <f t="shared" si="50"/>
        <v>25</v>
      </c>
      <c r="I164">
        <f t="shared" si="51"/>
        <v>3411</v>
      </c>
      <c r="N164" t="s">
        <v>209</v>
      </c>
      <c r="O164" s="105">
        <v>3107</v>
      </c>
      <c r="P164" s="105">
        <v>59</v>
      </c>
      <c r="Q164" s="105">
        <v>116</v>
      </c>
      <c r="R164" s="105">
        <v>42</v>
      </c>
      <c r="S164" s="105">
        <v>49</v>
      </c>
      <c r="T164" s="105">
        <v>13</v>
      </c>
      <c r="U164" s="105">
        <v>25</v>
      </c>
      <c r="V164">
        <f t="shared" si="52"/>
        <v>3411</v>
      </c>
    </row>
    <row r="166" spans="1:22" x14ac:dyDescent="0.2">
      <c r="A166" t="s">
        <v>57</v>
      </c>
      <c r="N166" t="s">
        <v>57</v>
      </c>
    </row>
    <row r="167" spans="1:22" x14ac:dyDescent="0.2">
      <c r="A167" t="s">
        <v>53</v>
      </c>
      <c r="B167" t="s">
        <v>210</v>
      </c>
      <c r="C167" t="s">
        <v>211</v>
      </c>
      <c r="D167" t="s">
        <v>212</v>
      </c>
      <c r="E167" t="s">
        <v>54</v>
      </c>
      <c r="F167" t="s">
        <v>214</v>
      </c>
      <c r="G167" t="s">
        <v>129</v>
      </c>
      <c r="H167" t="s">
        <v>55</v>
      </c>
      <c r="I167" t="s">
        <v>27</v>
      </c>
      <c r="N167" t="s">
        <v>53</v>
      </c>
      <c r="O167" t="s">
        <v>210</v>
      </c>
      <c r="P167" t="s">
        <v>211</v>
      </c>
      <c r="Q167" t="s">
        <v>212</v>
      </c>
      <c r="R167" t="s">
        <v>54</v>
      </c>
      <c r="S167" t="s">
        <v>214</v>
      </c>
      <c r="T167" t="s">
        <v>129</v>
      </c>
      <c r="U167" t="s">
        <v>55</v>
      </c>
      <c r="V167" t="s">
        <v>27</v>
      </c>
    </row>
    <row r="168" spans="1:22" x14ac:dyDescent="0.2">
      <c r="A168">
        <v>0</v>
      </c>
      <c r="B168">
        <f t="shared" ref="B168:G174" si="53">O168*$B$1</f>
        <v>625036</v>
      </c>
      <c r="C168">
        <f t="shared" si="53"/>
        <v>303931</v>
      </c>
      <c r="D168">
        <f t="shared" si="53"/>
        <v>308785</v>
      </c>
      <c r="E168">
        <f t="shared" si="53"/>
        <v>389151</v>
      </c>
      <c r="F168">
        <f t="shared" si="53"/>
        <v>437441</v>
      </c>
      <c r="G168">
        <f t="shared" si="53"/>
        <v>182837</v>
      </c>
      <c r="H168">
        <f t="shared" ref="H168:H174" si="54">U168*$B$1</f>
        <v>647009</v>
      </c>
      <c r="I168">
        <f t="shared" ref="I168:I174" si="55">V168*$B$1</f>
        <v>2894190</v>
      </c>
      <c r="N168">
        <v>0</v>
      </c>
      <c r="O168" s="105">
        <v>625036</v>
      </c>
      <c r="P168" s="105">
        <v>303931</v>
      </c>
      <c r="Q168" s="105">
        <v>308785</v>
      </c>
      <c r="R168" s="105">
        <v>389151</v>
      </c>
      <c r="S168" s="105">
        <v>437441</v>
      </c>
      <c r="T168" s="105">
        <v>182837</v>
      </c>
      <c r="U168" s="105">
        <v>647009</v>
      </c>
      <c r="V168">
        <f>SUM(O168:U168)</f>
        <v>2894190</v>
      </c>
    </row>
    <row r="169" spans="1:22" x14ac:dyDescent="0.2">
      <c r="A169">
        <v>1</v>
      </c>
      <c r="B169">
        <f t="shared" si="53"/>
        <v>499034</v>
      </c>
      <c r="C169">
        <f t="shared" si="53"/>
        <v>120110</v>
      </c>
      <c r="D169">
        <f t="shared" si="53"/>
        <v>132421</v>
      </c>
      <c r="E169">
        <f t="shared" si="53"/>
        <v>123020</v>
      </c>
      <c r="F169">
        <f t="shared" si="53"/>
        <v>114206</v>
      </c>
      <c r="G169">
        <f t="shared" si="53"/>
        <v>34350</v>
      </c>
      <c r="H169">
        <f t="shared" si="54"/>
        <v>129339</v>
      </c>
      <c r="I169">
        <f t="shared" si="55"/>
        <v>1152480</v>
      </c>
      <c r="N169">
        <v>1</v>
      </c>
      <c r="O169" s="105">
        <v>499034</v>
      </c>
      <c r="P169" s="105">
        <v>120110</v>
      </c>
      <c r="Q169" s="105">
        <v>132421</v>
      </c>
      <c r="R169" s="105">
        <v>123020</v>
      </c>
      <c r="S169" s="105">
        <v>114206</v>
      </c>
      <c r="T169" s="105">
        <v>34350</v>
      </c>
      <c r="U169" s="105">
        <v>129339</v>
      </c>
      <c r="V169">
        <f t="shared" ref="V169:V174" si="56">SUM(O169:U169)</f>
        <v>1152480</v>
      </c>
    </row>
    <row r="170" spans="1:22" x14ac:dyDescent="0.2">
      <c r="A170">
        <v>2</v>
      </c>
      <c r="B170">
        <f t="shared" si="53"/>
        <v>202614</v>
      </c>
      <c r="C170">
        <f t="shared" si="53"/>
        <v>31606</v>
      </c>
      <c r="D170">
        <f t="shared" si="53"/>
        <v>29923</v>
      </c>
      <c r="E170">
        <f t="shared" si="53"/>
        <v>25003</v>
      </c>
      <c r="F170">
        <f t="shared" si="53"/>
        <v>21743</v>
      </c>
      <c r="G170">
        <f t="shared" si="53"/>
        <v>5143</v>
      </c>
      <c r="H170">
        <f t="shared" si="54"/>
        <v>17602</v>
      </c>
      <c r="I170">
        <f t="shared" si="55"/>
        <v>333634</v>
      </c>
      <c r="N170">
        <v>2</v>
      </c>
      <c r="O170" s="105">
        <v>202614</v>
      </c>
      <c r="P170" s="105">
        <v>31606</v>
      </c>
      <c r="Q170" s="105">
        <v>29923</v>
      </c>
      <c r="R170" s="105">
        <v>25003</v>
      </c>
      <c r="S170" s="105">
        <v>21743</v>
      </c>
      <c r="T170" s="105">
        <v>5143</v>
      </c>
      <c r="U170" s="105">
        <v>17602</v>
      </c>
      <c r="V170">
        <f t="shared" si="56"/>
        <v>333634</v>
      </c>
    </row>
    <row r="171" spans="1:22" x14ac:dyDescent="0.2">
      <c r="A171">
        <v>3</v>
      </c>
      <c r="B171">
        <f t="shared" si="53"/>
        <v>54758</v>
      </c>
      <c r="C171">
        <f t="shared" si="53"/>
        <v>5030</v>
      </c>
      <c r="D171">
        <f t="shared" si="53"/>
        <v>4304</v>
      </c>
      <c r="E171">
        <f t="shared" si="53"/>
        <v>3123</v>
      </c>
      <c r="F171">
        <f t="shared" si="53"/>
        <v>2745</v>
      </c>
      <c r="G171">
        <f t="shared" si="53"/>
        <v>602</v>
      </c>
      <c r="H171">
        <f t="shared" si="54"/>
        <v>1674</v>
      </c>
      <c r="I171">
        <f t="shared" si="55"/>
        <v>72236</v>
      </c>
      <c r="N171">
        <v>3</v>
      </c>
      <c r="O171" s="105">
        <v>54758</v>
      </c>
      <c r="P171" s="105">
        <v>5030</v>
      </c>
      <c r="Q171" s="105">
        <v>4304</v>
      </c>
      <c r="R171" s="105">
        <v>3123</v>
      </c>
      <c r="S171" s="105">
        <v>2745</v>
      </c>
      <c r="T171" s="105">
        <v>602</v>
      </c>
      <c r="U171" s="105">
        <v>1674</v>
      </c>
      <c r="V171">
        <f t="shared" si="56"/>
        <v>72236</v>
      </c>
    </row>
    <row r="172" spans="1:22" x14ac:dyDescent="0.2">
      <c r="A172">
        <v>4</v>
      </c>
      <c r="B172">
        <f t="shared" si="53"/>
        <v>19091</v>
      </c>
      <c r="C172">
        <f t="shared" si="53"/>
        <v>917</v>
      </c>
      <c r="D172">
        <f t="shared" si="53"/>
        <v>722</v>
      </c>
      <c r="E172">
        <f t="shared" si="53"/>
        <v>472</v>
      </c>
      <c r="F172">
        <f t="shared" si="53"/>
        <v>404</v>
      </c>
      <c r="G172">
        <f t="shared" si="53"/>
        <v>77</v>
      </c>
      <c r="H172">
        <f t="shared" si="54"/>
        <v>216</v>
      </c>
      <c r="I172">
        <f t="shared" si="55"/>
        <v>21899</v>
      </c>
      <c r="N172">
        <v>4</v>
      </c>
      <c r="O172" s="105">
        <v>19091</v>
      </c>
      <c r="P172" s="105">
        <v>917</v>
      </c>
      <c r="Q172" s="105">
        <v>722</v>
      </c>
      <c r="R172" s="105">
        <v>472</v>
      </c>
      <c r="S172" s="105">
        <v>404</v>
      </c>
      <c r="T172" s="105">
        <v>77</v>
      </c>
      <c r="U172" s="105">
        <v>216</v>
      </c>
      <c r="V172">
        <f t="shared" si="56"/>
        <v>21899</v>
      </c>
    </row>
    <row r="173" spans="1:22" x14ac:dyDescent="0.2">
      <c r="A173">
        <v>5</v>
      </c>
      <c r="B173">
        <f t="shared" si="53"/>
        <v>2899</v>
      </c>
      <c r="C173">
        <f t="shared" si="53"/>
        <v>107</v>
      </c>
      <c r="D173">
        <f t="shared" si="53"/>
        <v>68</v>
      </c>
      <c r="E173">
        <f t="shared" si="53"/>
        <v>36</v>
      </c>
      <c r="F173">
        <f t="shared" si="53"/>
        <v>32</v>
      </c>
      <c r="G173">
        <f t="shared" si="53"/>
        <v>6</v>
      </c>
      <c r="H173">
        <f t="shared" si="54"/>
        <v>30</v>
      </c>
      <c r="I173">
        <f t="shared" si="55"/>
        <v>3178</v>
      </c>
      <c r="N173">
        <v>5</v>
      </c>
      <c r="O173" s="105">
        <v>2899</v>
      </c>
      <c r="P173" s="105">
        <v>107</v>
      </c>
      <c r="Q173" s="105">
        <v>68</v>
      </c>
      <c r="R173" s="105">
        <v>36</v>
      </c>
      <c r="S173" s="105">
        <v>32</v>
      </c>
      <c r="T173" s="105">
        <v>6</v>
      </c>
      <c r="U173" s="105">
        <v>30</v>
      </c>
      <c r="V173">
        <f t="shared" si="56"/>
        <v>3178</v>
      </c>
    </row>
    <row r="174" spans="1:22" x14ac:dyDescent="0.2">
      <c r="A174" t="s">
        <v>209</v>
      </c>
      <c r="B174">
        <f t="shared" si="53"/>
        <v>7198</v>
      </c>
      <c r="C174">
        <f t="shared" si="53"/>
        <v>132</v>
      </c>
      <c r="D174">
        <f t="shared" si="53"/>
        <v>69</v>
      </c>
      <c r="E174">
        <f t="shared" si="53"/>
        <v>21</v>
      </c>
      <c r="F174">
        <f t="shared" si="53"/>
        <v>20</v>
      </c>
      <c r="G174">
        <f t="shared" si="53"/>
        <v>9</v>
      </c>
      <c r="H174">
        <f t="shared" si="54"/>
        <v>11</v>
      </c>
      <c r="I174">
        <f t="shared" si="55"/>
        <v>7460</v>
      </c>
      <c r="N174" t="s">
        <v>209</v>
      </c>
      <c r="O174" s="105">
        <v>7198</v>
      </c>
      <c r="P174" s="105">
        <v>132</v>
      </c>
      <c r="Q174" s="105">
        <v>69</v>
      </c>
      <c r="R174" s="105">
        <v>21</v>
      </c>
      <c r="S174" s="105">
        <v>20</v>
      </c>
      <c r="T174" s="105">
        <v>9</v>
      </c>
      <c r="U174" s="105">
        <v>11</v>
      </c>
      <c r="V174">
        <f t="shared" si="56"/>
        <v>7460</v>
      </c>
    </row>
    <row r="176" spans="1:22" x14ac:dyDescent="0.2">
      <c r="A176" t="s">
        <v>18</v>
      </c>
      <c r="B176" t="s">
        <v>58</v>
      </c>
      <c r="C176" t="s">
        <v>59</v>
      </c>
      <c r="D176" t="s">
        <v>60</v>
      </c>
      <c r="N176" t="s">
        <v>18</v>
      </c>
      <c r="O176" t="s">
        <v>58</v>
      </c>
      <c r="P176" t="s">
        <v>59</v>
      </c>
      <c r="Q176" t="s">
        <v>60</v>
      </c>
    </row>
    <row r="177" spans="1:23" x14ac:dyDescent="0.2">
      <c r="A177" t="s">
        <v>44</v>
      </c>
      <c r="B177" t="s">
        <v>21</v>
      </c>
      <c r="C177" t="s">
        <v>22</v>
      </c>
      <c r="D177" t="s">
        <v>148</v>
      </c>
      <c r="E177" t="s">
        <v>243</v>
      </c>
      <c r="F177" t="s">
        <v>23</v>
      </c>
      <c r="G177" t="s">
        <v>24</v>
      </c>
      <c r="H177" t="s">
        <v>25</v>
      </c>
      <c r="I177" t="s">
        <v>26</v>
      </c>
      <c r="J177" t="s">
        <v>27</v>
      </c>
      <c r="N177" t="s">
        <v>44</v>
      </c>
      <c r="O177" t="s">
        <v>21</v>
      </c>
      <c r="P177" t="s">
        <v>22</v>
      </c>
      <c r="Q177" t="s">
        <v>148</v>
      </c>
      <c r="R177" t="s">
        <v>243</v>
      </c>
      <c r="S177" t="s">
        <v>23</v>
      </c>
      <c r="T177" t="s">
        <v>24</v>
      </c>
      <c r="U177" t="s">
        <v>25</v>
      </c>
      <c r="V177" t="s">
        <v>26</v>
      </c>
      <c r="W177" t="s">
        <v>27</v>
      </c>
    </row>
    <row r="178" spans="1:23" x14ac:dyDescent="0.2">
      <c r="A178" t="s">
        <v>210</v>
      </c>
      <c r="B178">
        <f t="shared" ref="B178:H185" si="57">O178*$B$1</f>
        <v>1092985</v>
      </c>
      <c r="C178">
        <f t="shared" si="57"/>
        <v>169350</v>
      </c>
      <c r="D178">
        <f t="shared" si="57"/>
        <v>0</v>
      </c>
      <c r="E178">
        <f t="shared" si="57"/>
        <v>0</v>
      </c>
      <c r="F178">
        <f t="shared" si="57"/>
        <v>117397</v>
      </c>
      <c r="G178">
        <f t="shared" si="57"/>
        <v>2226</v>
      </c>
      <c r="H178">
        <f t="shared" si="57"/>
        <v>2105</v>
      </c>
      <c r="I178">
        <f t="shared" ref="I178:I185" si="58">V178*$B$1</f>
        <v>0</v>
      </c>
      <c r="J178">
        <f t="shared" ref="J178:J185" si="59">W178*$B$1</f>
        <v>1384063</v>
      </c>
      <c r="N178" t="s">
        <v>210</v>
      </c>
      <c r="O178" s="105">
        <v>1092985</v>
      </c>
      <c r="P178" s="105">
        <v>169350</v>
      </c>
      <c r="Q178" s="105">
        <v>0</v>
      </c>
      <c r="R178" s="105">
        <v>0</v>
      </c>
      <c r="S178" s="105">
        <v>117397</v>
      </c>
      <c r="T178" s="105">
        <v>2226</v>
      </c>
      <c r="U178" s="105">
        <v>2105</v>
      </c>
      <c r="V178" s="105">
        <v>0</v>
      </c>
      <c r="W178">
        <f>SUM(O178:V178)</f>
        <v>1384063</v>
      </c>
    </row>
    <row r="179" spans="1:23" x14ac:dyDescent="0.2">
      <c r="A179" t="s">
        <v>211</v>
      </c>
      <c r="B179">
        <f t="shared" si="57"/>
        <v>0</v>
      </c>
      <c r="C179">
        <f t="shared" si="57"/>
        <v>0</v>
      </c>
      <c r="D179">
        <f t="shared" si="57"/>
        <v>0</v>
      </c>
      <c r="E179">
        <f t="shared" si="57"/>
        <v>0</v>
      </c>
      <c r="F179">
        <f t="shared" si="57"/>
        <v>94733</v>
      </c>
      <c r="G179">
        <f t="shared" si="57"/>
        <v>57885</v>
      </c>
      <c r="H179">
        <f t="shared" si="57"/>
        <v>308485</v>
      </c>
      <c r="I179">
        <f t="shared" si="58"/>
        <v>0</v>
      </c>
      <c r="J179">
        <f t="shared" si="59"/>
        <v>461103</v>
      </c>
      <c r="N179" t="s">
        <v>211</v>
      </c>
      <c r="O179" s="105">
        <v>0</v>
      </c>
      <c r="P179" s="105">
        <v>0</v>
      </c>
      <c r="Q179" s="105">
        <v>0</v>
      </c>
      <c r="R179" s="105">
        <v>0</v>
      </c>
      <c r="S179" s="105">
        <v>94733</v>
      </c>
      <c r="T179" s="105">
        <v>57885</v>
      </c>
      <c r="U179" s="105">
        <v>308485</v>
      </c>
      <c r="V179" s="105">
        <v>0</v>
      </c>
      <c r="W179">
        <f t="shared" ref="W179:W185" si="60">SUM(O179:V179)</f>
        <v>461103</v>
      </c>
    </row>
    <row r="180" spans="1:23" x14ac:dyDescent="0.2">
      <c r="A180" t="s">
        <v>212</v>
      </c>
      <c r="B180">
        <f t="shared" si="57"/>
        <v>152446</v>
      </c>
      <c r="C180">
        <f t="shared" si="57"/>
        <v>64218</v>
      </c>
      <c r="D180">
        <f t="shared" si="57"/>
        <v>43556</v>
      </c>
      <c r="E180">
        <f t="shared" si="57"/>
        <v>120994</v>
      </c>
      <c r="F180">
        <f t="shared" si="57"/>
        <v>7578</v>
      </c>
      <c r="G180">
        <f t="shared" si="57"/>
        <v>3165</v>
      </c>
      <c r="H180">
        <f t="shared" si="57"/>
        <v>24988</v>
      </c>
      <c r="I180">
        <f t="shared" si="58"/>
        <v>54385</v>
      </c>
      <c r="J180">
        <f t="shared" si="59"/>
        <v>471330</v>
      </c>
      <c r="N180" t="s">
        <v>212</v>
      </c>
      <c r="O180" s="105">
        <v>152446</v>
      </c>
      <c r="P180" s="105">
        <v>64218</v>
      </c>
      <c r="Q180" s="105">
        <v>43556</v>
      </c>
      <c r="R180" s="105">
        <v>120994</v>
      </c>
      <c r="S180" s="105">
        <v>7578</v>
      </c>
      <c r="T180" s="105">
        <v>3165</v>
      </c>
      <c r="U180" s="105">
        <v>24988</v>
      </c>
      <c r="V180" s="105">
        <v>54385</v>
      </c>
      <c r="W180">
        <f t="shared" si="60"/>
        <v>471330</v>
      </c>
    </row>
    <row r="181" spans="1:23" x14ac:dyDescent="0.2">
      <c r="A181" t="s">
        <v>36</v>
      </c>
      <c r="B181">
        <f t="shared" si="57"/>
        <v>107080</v>
      </c>
      <c r="C181">
        <f t="shared" si="57"/>
        <v>62764</v>
      </c>
      <c r="D181">
        <f t="shared" si="57"/>
        <v>127547</v>
      </c>
      <c r="E181">
        <f t="shared" si="57"/>
        <v>104167</v>
      </c>
      <c r="F181">
        <f t="shared" si="57"/>
        <v>9130</v>
      </c>
      <c r="G181">
        <f t="shared" si="57"/>
        <v>3577</v>
      </c>
      <c r="H181">
        <f t="shared" si="57"/>
        <v>49369</v>
      </c>
      <c r="I181">
        <f t="shared" si="58"/>
        <v>59992</v>
      </c>
      <c r="J181">
        <f t="shared" si="59"/>
        <v>523626</v>
      </c>
      <c r="N181" t="s">
        <v>36</v>
      </c>
      <c r="O181" s="105">
        <v>107080</v>
      </c>
      <c r="P181" s="105">
        <v>62764</v>
      </c>
      <c r="Q181" s="105">
        <v>127547</v>
      </c>
      <c r="R181" s="105">
        <v>104167</v>
      </c>
      <c r="S181" s="105">
        <v>9130</v>
      </c>
      <c r="T181" s="105">
        <v>3577</v>
      </c>
      <c r="U181" s="105">
        <v>49369</v>
      </c>
      <c r="V181" s="105">
        <v>59992</v>
      </c>
      <c r="W181">
        <f t="shared" si="60"/>
        <v>523626</v>
      </c>
    </row>
    <row r="182" spans="1:23" x14ac:dyDescent="0.2">
      <c r="A182" t="s">
        <v>214</v>
      </c>
      <c r="B182">
        <f t="shared" si="57"/>
        <v>144792</v>
      </c>
      <c r="C182">
        <f t="shared" si="57"/>
        <v>54552</v>
      </c>
      <c r="D182">
        <f t="shared" si="57"/>
        <v>107212</v>
      </c>
      <c r="E182">
        <f t="shared" si="57"/>
        <v>124356</v>
      </c>
      <c r="F182">
        <f t="shared" si="57"/>
        <v>13001</v>
      </c>
      <c r="G182">
        <f t="shared" si="57"/>
        <v>1327</v>
      </c>
      <c r="H182">
        <f t="shared" si="57"/>
        <v>33187</v>
      </c>
      <c r="I182">
        <f t="shared" si="58"/>
        <v>81222</v>
      </c>
      <c r="J182">
        <f t="shared" si="59"/>
        <v>559649</v>
      </c>
      <c r="N182" t="s">
        <v>214</v>
      </c>
      <c r="O182" s="105">
        <v>144792</v>
      </c>
      <c r="P182" s="105">
        <v>54552</v>
      </c>
      <c r="Q182" s="105">
        <v>107212</v>
      </c>
      <c r="R182" s="105">
        <v>124356</v>
      </c>
      <c r="S182" s="105">
        <v>13001</v>
      </c>
      <c r="T182" s="105">
        <v>1327</v>
      </c>
      <c r="U182" s="105">
        <v>33187</v>
      </c>
      <c r="V182" s="105">
        <v>81222</v>
      </c>
      <c r="W182">
        <f t="shared" si="60"/>
        <v>559649</v>
      </c>
    </row>
    <row r="183" spans="1:23" x14ac:dyDescent="0.2">
      <c r="A183" t="s">
        <v>129</v>
      </c>
      <c r="B183">
        <f t="shared" si="57"/>
        <v>53304</v>
      </c>
      <c r="C183">
        <f t="shared" si="57"/>
        <v>16514</v>
      </c>
      <c r="D183">
        <f t="shared" si="57"/>
        <v>29794</v>
      </c>
      <c r="E183">
        <f t="shared" si="57"/>
        <v>31597</v>
      </c>
      <c r="F183">
        <f t="shared" si="57"/>
        <v>4212</v>
      </c>
      <c r="G183">
        <f t="shared" si="57"/>
        <v>3907</v>
      </c>
      <c r="H183">
        <f t="shared" si="57"/>
        <v>12565</v>
      </c>
      <c r="I183">
        <f t="shared" si="58"/>
        <v>8481</v>
      </c>
      <c r="J183">
        <f t="shared" si="59"/>
        <v>160374</v>
      </c>
      <c r="N183" t="s">
        <v>129</v>
      </c>
      <c r="O183" s="105">
        <v>53304</v>
      </c>
      <c r="P183" s="105">
        <v>16514</v>
      </c>
      <c r="Q183" s="105">
        <v>29794</v>
      </c>
      <c r="R183" s="105">
        <v>31597</v>
      </c>
      <c r="S183" s="105">
        <v>4212</v>
      </c>
      <c r="T183" s="105">
        <v>3907</v>
      </c>
      <c r="U183" s="105">
        <v>12565</v>
      </c>
      <c r="V183" s="105">
        <v>8481</v>
      </c>
      <c r="W183">
        <f t="shared" si="60"/>
        <v>160374</v>
      </c>
    </row>
    <row r="184" spans="1:23" x14ac:dyDescent="0.2">
      <c r="A184" t="s">
        <v>130</v>
      </c>
      <c r="B184">
        <f t="shared" si="57"/>
        <v>221874</v>
      </c>
      <c r="C184">
        <f t="shared" si="57"/>
        <v>93228</v>
      </c>
      <c r="D184">
        <f t="shared" si="57"/>
        <v>119426</v>
      </c>
      <c r="E184">
        <f t="shared" si="57"/>
        <v>126244</v>
      </c>
      <c r="F184">
        <f t="shared" si="57"/>
        <v>18490</v>
      </c>
      <c r="G184">
        <f t="shared" si="57"/>
        <v>10062</v>
      </c>
      <c r="H184">
        <f t="shared" si="57"/>
        <v>105631</v>
      </c>
      <c r="I184">
        <f t="shared" si="58"/>
        <v>84212</v>
      </c>
      <c r="J184">
        <f t="shared" si="59"/>
        <v>779167</v>
      </c>
      <c r="N184" t="s">
        <v>130</v>
      </c>
      <c r="O184" s="105">
        <v>221874</v>
      </c>
      <c r="P184" s="105">
        <v>93228</v>
      </c>
      <c r="Q184" s="105">
        <v>119426</v>
      </c>
      <c r="R184" s="105">
        <v>126244</v>
      </c>
      <c r="S184" s="105">
        <v>18490</v>
      </c>
      <c r="T184" s="105">
        <v>10062</v>
      </c>
      <c r="U184" s="105">
        <v>105631</v>
      </c>
      <c r="V184" s="105">
        <v>84212</v>
      </c>
      <c r="W184">
        <f t="shared" si="60"/>
        <v>779167</v>
      </c>
    </row>
    <row r="185" spans="1:23" x14ac:dyDescent="0.2">
      <c r="A185" t="s">
        <v>247</v>
      </c>
      <c r="B185">
        <f t="shared" si="57"/>
        <v>121333</v>
      </c>
      <c r="C185">
        <f t="shared" si="57"/>
        <v>13020</v>
      </c>
      <c r="D185">
        <f t="shared" si="57"/>
        <v>0</v>
      </c>
      <c r="E185">
        <f t="shared" si="57"/>
        <v>0</v>
      </c>
      <c r="F185">
        <f t="shared" si="57"/>
        <v>11160</v>
      </c>
      <c r="G185">
        <f t="shared" si="57"/>
        <v>159</v>
      </c>
      <c r="H185">
        <f t="shared" si="57"/>
        <v>93</v>
      </c>
      <c r="I185">
        <f t="shared" si="58"/>
        <v>0</v>
      </c>
      <c r="J185">
        <f t="shared" si="59"/>
        <v>145765</v>
      </c>
      <c r="N185" t="s">
        <v>247</v>
      </c>
      <c r="O185" s="105">
        <v>121333</v>
      </c>
      <c r="P185" s="105">
        <v>13020</v>
      </c>
      <c r="Q185" s="105">
        <v>0</v>
      </c>
      <c r="R185" s="105">
        <v>0</v>
      </c>
      <c r="S185" s="105">
        <v>11160</v>
      </c>
      <c r="T185" s="105">
        <v>159</v>
      </c>
      <c r="U185" s="105">
        <v>93</v>
      </c>
      <c r="V185" s="105">
        <v>0</v>
      </c>
      <c r="W185">
        <f t="shared" si="60"/>
        <v>145765</v>
      </c>
    </row>
    <row r="187" spans="1:23" x14ac:dyDescent="0.2">
      <c r="A187" t="s">
        <v>18</v>
      </c>
      <c r="B187" t="s">
        <v>58</v>
      </c>
      <c r="C187" t="s">
        <v>61</v>
      </c>
      <c r="D187" t="s">
        <v>62</v>
      </c>
      <c r="N187" t="s">
        <v>18</v>
      </c>
      <c r="O187" t="s">
        <v>58</v>
      </c>
      <c r="P187" t="s">
        <v>61</v>
      </c>
      <c r="Q187" t="s">
        <v>62</v>
      </c>
    </row>
    <row r="188" spans="1:23" x14ac:dyDescent="0.2">
      <c r="A188" t="s">
        <v>44</v>
      </c>
      <c r="B188" t="s">
        <v>296</v>
      </c>
      <c r="C188" t="s">
        <v>297</v>
      </c>
      <c r="D188" t="s">
        <v>298</v>
      </c>
      <c r="E188" t="s">
        <v>299</v>
      </c>
      <c r="F188" t="s">
        <v>27</v>
      </c>
      <c r="N188" t="s">
        <v>44</v>
      </c>
      <c r="O188" t="s">
        <v>296</v>
      </c>
      <c r="P188" t="s">
        <v>297</v>
      </c>
      <c r="Q188" t="s">
        <v>298</v>
      </c>
      <c r="R188" t="s">
        <v>299</v>
      </c>
      <c r="S188" t="s">
        <v>27</v>
      </c>
    </row>
    <row r="189" spans="1:23" x14ac:dyDescent="0.2">
      <c r="A189" t="s">
        <v>210</v>
      </c>
      <c r="B189">
        <f t="shared" ref="B189:D196" si="61">O189*$B$1</f>
        <v>32663</v>
      </c>
      <c r="C189">
        <f t="shared" si="61"/>
        <v>276991</v>
      </c>
      <c r="D189">
        <f t="shared" si="61"/>
        <v>256357</v>
      </c>
      <c r="E189">
        <f t="shared" ref="E189:E196" si="62">R189*$B$1</f>
        <v>817774</v>
      </c>
      <c r="F189">
        <f t="shared" ref="F189:F196" si="63">S189*$B$1</f>
        <v>1383785</v>
      </c>
      <c r="N189" t="s">
        <v>210</v>
      </c>
      <c r="O189" s="105">
        <v>32663</v>
      </c>
      <c r="P189" s="105">
        <v>276991</v>
      </c>
      <c r="Q189" s="105">
        <v>256357</v>
      </c>
      <c r="R189" s="105">
        <v>817774</v>
      </c>
      <c r="S189">
        <f>SUM(O189:R189)</f>
        <v>1383785</v>
      </c>
    </row>
    <row r="190" spans="1:23" x14ac:dyDescent="0.2">
      <c r="A190" t="s">
        <v>211</v>
      </c>
      <c r="B190">
        <f t="shared" si="61"/>
        <v>37143</v>
      </c>
      <c r="C190">
        <f t="shared" si="61"/>
        <v>113794</v>
      </c>
      <c r="D190">
        <f t="shared" si="61"/>
        <v>82970</v>
      </c>
      <c r="E190">
        <f t="shared" si="62"/>
        <v>227054</v>
      </c>
      <c r="F190">
        <f t="shared" si="63"/>
        <v>460961</v>
      </c>
      <c r="N190" t="s">
        <v>211</v>
      </c>
      <c r="O190" s="105">
        <v>37143</v>
      </c>
      <c r="P190" s="105">
        <v>113794</v>
      </c>
      <c r="Q190" s="105">
        <v>82970</v>
      </c>
      <c r="R190" s="105">
        <v>227054</v>
      </c>
      <c r="S190">
        <f t="shared" ref="S190:S196" si="64">SUM(O190:R190)</f>
        <v>460961</v>
      </c>
    </row>
    <row r="191" spans="1:23" x14ac:dyDescent="0.2">
      <c r="A191" t="s">
        <v>212</v>
      </c>
      <c r="B191">
        <f t="shared" si="61"/>
        <v>31734</v>
      </c>
      <c r="C191">
        <f t="shared" si="61"/>
        <v>110900</v>
      </c>
      <c r="D191">
        <f t="shared" si="61"/>
        <v>91742</v>
      </c>
      <c r="E191">
        <f t="shared" si="62"/>
        <v>236816</v>
      </c>
      <c r="F191">
        <f t="shared" si="63"/>
        <v>471192</v>
      </c>
      <c r="N191" t="s">
        <v>212</v>
      </c>
      <c r="O191" s="105">
        <v>31734</v>
      </c>
      <c r="P191" s="105">
        <v>110900</v>
      </c>
      <c r="Q191" s="105">
        <v>91742</v>
      </c>
      <c r="R191" s="105">
        <v>236816</v>
      </c>
      <c r="S191">
        <f t="shared" si="64"/>
        <v>471192</v>
      </c>
    </row>
    <row r="192" spans="1:23" x14ac:dyDescent="0.2">
      <c r="A192" t="s">
        <v>36</v>
      </c>
      <c r="B192">
        <f t="shared" si="61"/>
        <v>60227</v>
      </c>
      <c r="C192">
        <f t="shared" si="61"/>
        <v>167671</v>
      </c>
      <c r="D192">
        <f t="shared" si="61"/>
        <v>93280</v>
      </c>
      <c r="E192">
        <f t="shared" si="62"/>
        <v>202261</v>
      </c>
      <c r="F192">
        <f t="shared" si="63"/>
        <v>523439</v>
      </c>
      <c r="N192" t="s">
        <v>36</v>
      </c>
      <c r="O192" s="105">
        <v>60227</v>
      </c>
      <c r="P192" s="105">
        <v>167671</v>
      </c>
      <c r="Q192" s="105">
        <v>93280</v>
      </c>
      <c r="R192" s="105">
        <v>202261</v>
      </c>
      <c r="S192">
        <f t="shared" si="64"/>
        <v>523439</v>
      </c>
    </row>
    <row r="193" spans="1:19" x14ac:dyDescent="0.2">
      <c r="A193" t="s">
        <v>214</v>
      </c>
      <c r="B193">
        <f t="shared" si="61"/>
        <v>63927</v>
      </c>
      <c r="C193">
        <f t="shared" si="61"/>
        <v>165395</v>
      </c>
      <c r="D193">
        <f t="shared" si="61"/>
        <v>101756</v>
      </c>
      <c r="E193">
        <f t="shared" si="62"/>
        <v>228336</v>
      </c>
      <c r="F193">
        <f t="shared" si="63"/>
        <v>559414</v>
      </c>
      <c r="N193" t="s">
        <v>214</v>
      </c>
      <c r="O193" s="105">
        <v>63927</v>
      </c>
      <c r="P193" s="105">
        <v>165395</v>
      </c>
      <c r="Q193" s="105">
        <v>101756</v>
      </c>
      <c r="R193" s="105">
        <v>228336</v>
      </c>
      <c r="S193">
        <f t="shared" si="64"/>
        <v>559414</v>
      </c>
    </row>
    <row r="194" spans="1:19" x14ac:dyDescent="0.2">
      <c r="A194" t="s">
        <v>129</v>
      </c>
      <c r="B194">
        <f t="shared" si="61"/>
        <v>12487</v>
      </c>
      <c r="C194">
        <f t="shared" si="61"/>
        <v>44254</v>
      </c>
      <c r="D194">
        <f t="shared" si="61"/>
        <v>30489</v>
      </c>
      <c r="E194">
        <f t="shared" si="62"/>
        <v>73094</v>
      </c>
      <c r="F194">
        <f t="shared" si="63"/>
        <v>160324</v>
      </c>
      <c r="N194" t="s">
        <v>129</v>
      </c>
      <c r="O194" s="105">
        <v>12487</v>
      </c>
      <c r="P194" s="105">
        <v>44254</v>
      </c>
      <c r="Q194" s="105">
        <v>30489</v>
      </c>
      <c r="R194" s="105">
        <v>73094</v>
      </c>
      <c r="S194">
        <f t="shared" si="64"/>
        <v>160324</v>
      </c>
    </row>
    <row r="195" spans="1:19" x14ac:dyDescent="0.2">
      <c r="A195" t="s">
        <v>130</v>
      </c>
      <c r="B195">
        <f t="shared" si="61"/>
        <v>52653</v>
      </c>
      <c r="C195">
        <f t="shared" si="61"/>
        <v>200383</v>
      </c>
      <c r="D195">
        <f t="shared" si="61"/>
        <v>145480</v>
      </c>
      <c r="E195">
        <f t="shared" si="62"/>
        <v>380379</v>
      </c>
      <c r="F195">
        <f t="shared" si="63"/>
        <v>778895</v>
      </c>
      <c r="N195" t="s">
        <v>130</v>
      </c>
      <c r="O195" s="105">
        <v>52653</v>
      </c>
      <c r="P195" s="105">
        <v>200383</v>
      </c>
      <c r="Q195" s="105">
        <v>145480</v>
      </c>
      <c r="R195" s="105">
        <v>380379</v>
      </c>
      <c r="S195">
        <f t="shared" si="64"/>
        <v>778895</v>
      </c>
    </row>
    <row r="196" spans="1:19" x14ac:dyDescent="0.2">
      <c r="A196" t="s">
        <v>247</v>
      </c>
      <c r="B196">
        <f t="shared" si="61"/>
        <v>2626</v>
      </c>
      <c r="C196">
        <f t="shared" si="61"/>
        <v>27422</v>
      </c>
      <c r="D196">
        <f t="shared" si="61"/>
        <v>25863</v>
      </c>
      <c r="E196">
        <f t="shared" si="62"/>
        <v>89826</v>
      </c>
      <c r="F196">
        <f t="shared" si="63"/>
        <v>145737</v>
      </c>
      <c r="N196" t="s">
        <v>247</v>
      </c>
      <c r="O196" s="105">
        <v>2626</v>
      </c>
      <c r="P196" s="105">
        <v>27422</v>
      </c>
      <c r="Q196" s="105">
        <v>25863</v>
      </c>
      <c r="R196" s="105">
        <v>89826</v>
      </c>
      <c r="S196">
        <f t="shared" si="64"/>
        <v>145737</v>
      </c>
    </row>
    <row r="198" spans="1:19" x14ac:dyDescent="0.2">
      <c r="A198" t="s">
        <v>18</v>
      </c>
      <c r="B198" t="s">
        <v>58</v>
      </c>
      <c r="C198" t="s">
        <v>279</v>
      </c>
      <c r="D198" t="s">
        <v>280</v>
      </c>
      <c r="E198" t="s">
        <v>62</v>
      </c>
      <c r="N198" t="s">
        <v>18</v>
      </c>
      <c r="O198" t="s">
        <v>58</v>
      </c>
      <c r="P198" t="s">
        <v>279</v>
      </c>
      <c r="Q198" t="s">
        <v>280</v>
      </c>
      <c r="R198" t="s">
        <v>62</v>
      </c>
    </row>
    <row r="199" spans="1:19" x14ac:dyDescent="0.2">
      <c r="A199" t="s">
        <v>44</v>
      </c>
      <c r="B199" t="s">
        <v>98</v>
      </c>
      <c r="C199" t="s">
        <v>281</v>
      </c>
      <c r="D199" t="s">
        <v>282</v>
      </c>
      <c r="E199" t="s">
        <v>283</v>
      </c>
      <c r="F199" t="s">
        <v>27</v>
      </c>
      <c r="N199" t="s">
        <v>44</v>
      </c>
      <c r="O199" t="s">
        <v>98</v>
      </c>
      <c r="P199" t="s">
        <v>281</v>
      </c>
      <c r="Q199" t="s">
        <v>282</v>
      </c>
      <c r="R199" t="s">
        <v>283</v>
      </c>
      <c r="S199" t="s">
        <v>27</v>
      </c>
    </row>
    <row r="200" spans="1:19" x14ac:dyDescent="0.2">
      <c r="A200" t="s">
        <v>210</v>
      </c>
      <c r="B200">
        <f t="shared" ref="B200:D207" si="65">O200*$B$1</f>
        <v>45826</v>
      </c>
      <c r="C200">
        <f t="shared" si="65"/>
        <v>320038</v>
      </c>
      <c r="D200">
        <f t="shared" si="65"/>
        <v>779301</v>
      </c>
      <c r="E200">
        <f t="shared" ref="E200:E207" si="66">R200*$B$1</f>
        <v>238898</v>
      </c>
      <c r="F200">
        <f t="shared" ref="F200:F207" si="67">S200*$B$1</f>
        <v>1384063</v>
      </c>
      <c r="N200" t="s">
        <v>210</v>
      </c>
      <c r="O200" s="105">
        <v>45826</v>
      </c>
      <c r="P200" s="105">
        <v>320038</v>
      </c>
      <c r="Q200" s="105">
        <v>779301</v>
      </c>
      <c r="R200" s="105">
        <v>238898</v>
      </c>
      <c r="S200">
        <f>SUM(O200:R200)</f>
        <v>1384063</v>
      </c>
    </row>
    <row r="201" spans="1:19" x14ac:dyDescent="0.2">
      <c r="A201" t="s">
        <v>211</v>
      </c>
      <c r="B201">
        <f t="shared" si="65"/>
        <v>21263</v>
      </c>
      <c r="C201">
        <f t="shared" si="65"/>
        <v>159169</v>
      </c>
      <c r="D201">
        <f t="shared" si="65"/>
        <v>221214</v>
      </c>
      <c r="E201">
        <f t="shared" si="66"/>
        <v>59457</v>
      </c>
      <c r="F201">
        <f t="shared" si="67"/>
        <v>461103</v>
      </c>
      <c r="N201" t="s">
        <v>211</v>
      </c>
      <c r="O201" s="105">
        <v>21263</v>
      </c>
      <c r="P201" s="105">
        <v>159169</v>
      </c>
      <c r="Q201" s="105">
        <v>221214</v>
      </c>
      <c r="R201" s="105">
        <v>59457</v>
      </c>
      <c r="S201">
        <f t="shared" ref="S201:S207" si="68">SUM(O201:R201)</f>
        <v>461103</v>
      </c>
    </row>
    <row r="202" spans="1:19" x14ac:dyDescent="0.2">
      <c r="A202" t="s">
        <v>212</v>
      </c>
      <c r="B202">
        <f t="shared" si="65"/>
        <v>17821</v>
      </c>
      <c r="C202">
        <f t="shared" si="65"/>
        <v>136599</v>
      </c>
      <c r="D202">
        <f t="shared" si="65"/>
        <v>249431</v>
      </c>
      <c r="E202">
        <f t="shared" si="66"/>
        <v>67479</v>
      </c>
      <c r="F202">
        <f t="shared" si="67"/>
        <v>471330</v>
      </c>
      <c r="N202" t="s">
        <v>212</v>
      </c>
      <c r="O202" s="105">
        <v>17821</v>
      </c>
      <c r="P202" s="105">
        <v>136599</v>
      </c>
      <c r="Q202" s="105">
        <v>249431</v>
      </c>
      <c r="R202" s="105">
        <v>67479</v>
      </c>
      <c r="S202">
        <f t="shared" si="68"/>
        <v>471330</v>
      </c>
    </row>
    <row r="203" spans="1:19" x14ac:dyDescent="0.2">
      <c r="A203" t="s">
        <v>36</v>
      </c>
      <c r="B203">
        <f t="shared" si="65"/>
        <v>40204</v>
      </c>
      <c r="C203">
        <f t="shared" si="65"/>
        <v>118230</v>
      </c>
      <c r="D203">
        <f t="shared" si="65"/>
        <v>288029</v>
      </c>
      <c r="E203">
        <f t="shared" si="66"/>
        <v>77163</v>
      </c>
      <c r="F203">
        <f t="shared" si="67"/>
        <v>523626</v>
      </c>
      <c r="N203" t="s">
        <v>36</v>
      </c>
      <c r="O203" s="105">
        <v>40204</v>
      </c>
      <c r="P203" s="105">
        <v>118230</v>
      </c>
      <c r="Q203" s="105">
        <v>288029</v>
      </c>
      <c r="R203" s="105">
        <v>77163</v>
      </c>
      <c r="S203">
        <f t="shared" si="68"/>
        <v>523626</v>
      </c>
    </row>
    <row r="204" spans="1:19" x14ac:dyDescent="0.2">
      <c r="A204" t="s">
        <v>214</v>
      </c>
      <c r="B204">
        <f t="shared" si="65"/>
        <v>53042</v>
      </c>
      <c r="C204">
        <f t="shared" si="65"/>
        <v>125003</v>
      </c>
      <c r="D204">
        <f t="shared" si="65"/>
        <v>301660</v>
      </c>
      <c r="E204">
        <f t="shared" si="66"/>
        <v>79944</v>
      </c>
      <c r="F204">
        <f t="shared" si="67"/>
        <v>559649</v>
      </c>
      <c r="N204" t="s">
        <v>214</v>
      </c>
      <c r="O204" s="105">
        <v>53042</v>
      </c>
      <c r="P204" s="105">
        <v>125003</v>
      </c>
      <c r="Q204" s="105">
        <v>301660</v>
      </c>
      <c r="R204" s="105">
        <v>79944</v>
      </c>
      <c r="S204">
        <f t="shared" si="68"/>
        <v>559649</v>
      </c>
    </row>
    <row r="205" spans="1:19" x14ac:dyDescent="0.2">
      <c r="A205" t="s">
        <v>129</v>
      </c>
      <c r="B205">
        <f t="shared" si="65"/>
        <v>9768</v>
      </c>
      <c r="C205">
        <f t="shared" si="65"/>
        <v>43520</v>
      </c>
      <c r="D205">
        <f t="shared" si="65"/>
        <v>83110</v>
      </c>
      <c r="E205">
        <f t="shared" si="66"/>
        <v>23976</v>
      </c>
      <c r="F205">
        <f t="shared" si="67"/>
        <v>160374</v>
      </c>
      <c r="N205" t="s">
        <v>129</v>
      </c>
      <c r="O205" s="105">
        <v>9768</v>
      </c>
      <c r="P205" s="105">
        <v>43520</v>
      </c>
      <c r="Q205" s="105">
        <v>83110</v>
      </c>
      <c r="R205" s="105">
        <v>23976</v>
      </c>
      <c r="S205">
        <f t="shared" si="68"/>
        <v>160374</v>
      </c>
    </row>
    <row r="206" spans="1:19" x14ac:dyDescent="0.2">
      <c r="A206" t="s">
        <v>130</v>
      </c>
      <c r="B206">
        <f t="shared" si="65"/>
        <v>33333</v>
      </c>
      <c r="C206">
        <f t="shared" si="65"/>
        <v>177827</v>
      </c>
      <c r="D206">
        <f t="shared" si="65"/>
        <v>441244</v>
      </c>
      <c r="E206">
        <f t="shared" si="66"/>
        <v>126763</v>
      </c>
      <c r="F206">
        <f t="shared" si="67"/>
        <v>779167</v>
      </c>
      <c r="N206" t="s">
        <v>130</v>
      </c>
      <c r="O206" s="105">
        <v>33333</v>
      </c>
      <c r="P206" s="105">
        <v>177827</v>
      </c>
      <c r="Q206" s="105">
        <v>441244</v>
      </c>
      <c r="R206" s="105">
        <v>126763</v>
      </c>
      <c r="S206">
        <f t="shared" si="68"/>
        <v>779167</v>
      </c>
    </row>
    <row r="207" spans="1:19" x14ac:dyDescent="0.2">
      <c r="A207" t="s">
        <v>247</v>
      </c>
      <c r="B207">
        <f t="shared" si="65"/>
        <v>5259</v>
      </c>
      <c r="C207">
        <f t="shared" si="65"/>
        <v>36150</v>
      </c>
      <c r="D207">
        <f t="shared" si="65"/>
        <v>79498</v>
      </c>
      <c r="E207">
        <f t="shared" si="66"/>
        <v>24858</v>
      </c>
      <c r="F207">
        <f t="shared" si="67"/>
        <v>145765</v>
      </c>
      <c r="N207" t="s">
        <v>247</v>
      </c>
      <c r="O207" s="105">
        <v>5259</v>
      </c>
      <c r="P207" s="105">
        <v>36150</v>
      </c>
      <c r="Q207" s="105">
        <v>79498</v>
      </c>
      <c r="R207" s="105">
        <v>24858</v>
      </c>
      <c r="S207">
        <f t="shared" si="68"/>
        <v>145765</v>
      </c>
    </row>
    <row r="209" spans="1:23" x14ac:dyDescent="0.2">
      <c r="A209" t="s">
        <v>18</v>
      </c>
      <c r="B209" t="s">
        <v>58</v>
      </c>
      <c r="C209" t="s">
        <v>63</v>
      </c>
      <c r="D209" t="s">
        <v>64</v>
      </c>
      <c r="N209" t="s">
        <v>18</v>
      </c>
      <c r="O209" t="s">
        <v>58</v>
      </c>
      <c r="P209" t="s">
        <v>63</v>
      </c>
      <c r="Q209" t="s">
        <v>64</v>
      </c>
    </row>
    <row r="210" spans="1:23" x14ac:dyDescent="0.2">
      <c r="A210" t="s">
        <v>44</v>
      </c>
      <c r="B210" t="s">
        <v>10862</v>
      </c>
      <c r="C210" t="s">
        <v>10863</v>
      </c>
      <c r="D210" t="s">
        <v>10864</v>
      </c>
      <c r="E210" t="s">
        <v>10865</v>
      </c>
      <c r="F210" t="s">
        <v>1689</v>
      </c>
      <c r="G210" t="s">
        <v>10866</v>
      </c>
      <c r="H210" t="s">
        <v>10867</v>
      </c>
      <c r="I210" t="s">
        <v>221</v>
      </c>
      <c r="N210" t="s">
        <v>44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  <c r="V210" t="s">
        <v>27</v>
      </c>
    </row>
    <row r="211" spans="1:23" x14ac:dyDescent="0.2">
      <c r="A211" t="s">
        <v>210</v>
      </c>
      <c r="B211">
        <f t="shared" ref="B211:E218" si="69">O211*$B$1</f>
        <v>112</v>
      </c>
      <c r="C211">
        <f t="shared" si="69"/>
        <v>30</v>
      </c>
      <c r="D211">
        <f t="shared" si="69"/>
        <v>122</v>
      </c>
      <c r="E211">
        <f t="shared" si="69"/>
        <v>84</v>
      </c>
      <c r="F211">
        <f t="shared" ref="F211:G218" si="70">S211*$B$1</f>
        <v>310010</v>
      </c>
      <c r="G211">
        <f t="shared" si="70"/>
        <v>43345</v>
      </c>
      <c r="H211">
        <f t="shared" ref="H211:I218" si="71">U211*$B$1</f>
        <v>1030360</v>
      </c>
      <c r="I211">
        <f t="shared" si="71"/>
        <v>1384063</v>
      </c>
      <c r="N211" t="s">
        <v>210</v>
      </c>
      <c r="O211" s="105">
        <v>112</v>
      </c>
      <c r="P211" s="105">
        <v>30</v>
      </c>
      <c r="Q211" s="105">
        <v>122</v>
      </c>
      <c r="R211" s="105">
        <v>84</v>
      </c>
      <c r="S211" s="105">
        <v>310010</v>
      </c>
      <c r="T211" s="105">
        <v>43345</v>
      </c>
      <c r="U211">
        <v>1030360</v>
      </c>
      <c r="V211">
        <f>SUM(O211:U211)</f>
        <v>1384063</v>
      </c>
    </row>
    <row r="212" spans="1:23" x14ac:dyDescent="0.2">
      <c r="A212" t="s">
        <v>211</v>
      </c>
      <c r="B212">
        <f t="shared" si="69"/>
        <v>0</v>
      </c>
      <c r="C212">
        <f t="shared" si="69"/>
        <v>0</v>
      </c>
      <c r="D212">
        <f t="shared" si="69"/>
        <v>0</v>
      </c>
      <c r="E212">
        <f t="shared" si="69"/>
        <v>0</v>
      </c>
      <c r="F212">
        <f t="shared" si="70"/>
        <v>81332</v>
      </c>
      <c r="G212">
        <f t="shared" si="70"/>
        <v>4427</v>
      </c>
      <c r="H212">
        <f t="shared" si="71"/>
        <v>375344</v>
      </c>
      <c r="I212">
        <f t="shared" si="71"/>
        <v>461103</v>
      </c>
      <c r="N212" t="s">
        <v>211</v>
      </c>
      <c r="O212" s="105">
        <v>0</v>
      </c>
      <c r="P212" s="105">
        <v>0</v>
      </c>
      <c r="Q212" s="105">
        <v>0</v>
      </c>
      <c r="R212" s="105">
        <v>0</v>
      </c>
      <c r="S212" s="105">
        <v>81332</v>
      </c>
      <c r="T212" s="105">
        <v>4427</v>
      </c>
      <c r="U212">
        <v>375344</v>
      </c>
      <c r="V212">
        <f t="shared" ref="V212:V218" si="72">SUM(O212:U212)</f>
        <v>461103</v>
      </c>
    </row>
    <row r="213" spans="1:23" x14ac:dyDescent="0.2">
      <c r="A213" t="s">
        <v>212</v>
      </c>
      <c r="B213">
        <f t="shared" si="69"/>
        <v>0</v>
      </c>
      <c r="C213">
        <f t="shared" si="69"/>
        <v>0</v>
      </c>
      <c r="D213">
        <f t="shared" si="69"/>
        <v>0</v>
      </c>
      <c r="E213">
        <f t="shared" si="69"/>
        <v>0</v>
      </c>
      <c r="F213">
        <f t="shared" si="70"/>
        <v>75839</v>
      </c>
      <c r="G213">
        <f t="shared" si="70"/>
        <v>6508</v>
      </c>
      <c r="H213">
        <f t="shared" si="71"/>
        <v>388983</v>
      </c>
      <c r="I213">
        <f t="shared" si="71"/>
        <v>471330</v>
      </c>
      <c r="N213" t="s">
        <v>212</v>
      </c>
      <c r="O213" s="105">
        <v>0</v>
      </c>
      <c r="P213" s="105">
        <v>0</v>
      </c>
      <c r="Q213" s="105">
        <v>0</v>
      </c>
      <c r="R213" s="105">
        <v>0</v>
      </c>
      <c r="S213" s="105">
        <v>75839</v>
      </c>
      <c r="T213" s="105">
        <v>6508</v>
      </c>
      <c r="U213">
        <v>388983</v>
      </c>
      <c r="V213">
        <f t="shared" si="72"/>
        <v>471330</v>
      </c>
    </row>
    <row r="214" spans="1:23" x14ac:dyDescent="0.2">
      <c r="A214" t="s">
        <v>36</v>
      </c>
      <c r="B214">
        <f t="shared" si="69"/>
        <v>0</v>
      </c>
      <c r="C214">
        <f t="shared" si="69"/>
        <v>0</v>
      </c>
      <c r="D214">
        <f t="shared" si="69"/>
        <v>0</v>
      </c>
      <c r="E214">
        <f t="shared" si="69"/>
        <v>0</v>
      </c>
      <c r="F214">
        <f t="shared" si="70"/>
        <v>95302</v>
      </c>
      <c r="G214">
        <f t="shared" si="70"/>
        <v>13275</v>
      </c>
      <c r="H214">
        <f t="shared" si="71"/>
        <v>415049</v>
      </c>
      <c r="I214">
        <f t="shared" si="71"/>
        <v>523626</v>
      </c>
      <c r="N214" t="s">
        <v>36</v>
      </c>
      <c r="O214" s="105">
        <v>0</v>
      </c>
      <c r="P214" s="105">
        <v>0</v>
      </c>
      <c r="Q214" s="105">
        <v>0</v>
      </c>
      <c r="R214" s="105">
        <v>0</v>
      </c>
      <c r="S214" s="105">
        <v>95302</v>
      </c>
      <c r="T214" s="105">
        <v>13275</v>
      </c>
      <c r="U214">
        <v>415049</v>
      </c>
      <c r="V214">
        <f t="shared" si="72"/>
        <v>523626</v>
      </c>
    </row>
    <row r="215" spans="1:23" x14ac:dyDescent="0.2">
      <c r="A215" t="s">
        <v>214</v>
      </c>
      <c r="B215">
        <f t="shared" si="69"/>
        <v>0</v>
      </c>
      <c r="C215">
        <f t="shared" si="69"/>
        <v>0</v>
      </c>
      <c r="D215">
        <f t="shared" si="69"/>
        <v>0</v>
      </c>
      <c r="E215">
        <f t="shared" si="69"/>
        <v>0</v>
      </c>
      <c r="F215">
        <f t="shared" si="70"/>
        <v>82672</v>
      </c>
      <c r="G215">
        <f t="shared" si="70"/>
        <v>12667</v>
      </c>
      <c r="H215">
        <f t="shared" si="71"/>
        <v>464310</v>
      </c>
      <c r="I215">
        <f t="shared" si="71"/>
        <v>559649</v>
      </c>
      <c r="N215" t="s">
        <v>214</v>
      </c>
      <c r="O215" s="105">
        <v>0</v>
      </c>
      <c r="P215" s="105">
        <v>0</v>
      </c>
      <c r="Q215" s="105">
        <v>0</v>
      </c>
      <c r="R215" s="105">
        <v>0</v>
      </c>
      <c r="S215" s="105">
        <v>82672</v>
      </c>
      <c r="T215" s="105">
        <v>12667</v>
      </c>
      <c r="U215">
        <v>464310</v>
      </c>
      <c r="V215">
        <f t="shared" si="72"/>
        <v>559649</v>
      </c>
    </row>
    <row r="216" spans="1:23" x14ac:dyDescent="0.2">
      <c r="A216" t="s">
        <v>129</v>
      </c>
      <c r="B216">
        <f t="shared" si="69"/>
        <v>0</v>
      </c>
      <c r="C216">
        <f t="shared" si="69"/>
        <v>0</v>
      </c>
      <c r="D216">
        <f t="shared" si="69"/>
        <v>0</v>
      </c>
      <c r="E216">
        <f t="shared" si="69"/>
        <v>0</v>
      </c>
      <c r="F216">
        <f t="shared" si="70"/>
        <v>37176</v>
      </c>
      <c r="G216">
        <f t="shared" si="70"/>
        <v>6311</v>
      </c>
      <c r="H216">
        <f t="shared" si="71"/>
        <v>116887</v>
      </c>
      <c r="I216">
        <f t="shared" si="71"/>
        <v>160374</v>
      </c>
      <c r="N216" t="s">
        <v>129</v>
      </c>
      <c r="O216" s="105">
        <v>0</v>
      </c>
      <c r="P216" s="105">
        <v>0</v>
      </c>
      <c r="Q216" s="105">
        <v>0</v>
      </c>
      <c r="R216" s="105">
        <v>0</v>
      </c>
      <c r="S216" s="105">
        <v>37176</v>
      </c>
      <c r="T216" s="105">
        <v>6311</v>
      </c>
      <c r="U216">
        <v>116887</v>
      </c>
      <c r="V216">
        <f t="shared" si="72"/>
        <v>160374</v>
      </c>
    </row>
    <row r="217" spans="1:23" x14ac:dyDescent="0.2">
      <c r="A217" t="s">
        <v>130</v>
      </c>
      <c r="B217">
        <f t="shared" si="69"/>
        <v>0</v>
      </c>
      <c r="C217">
        <f t="shared" si="69"/>
        <v>0</v>
      </c>
      <c r="D217">
        <f t="shared" si="69"/>
        <v>0</v>
      </c>
      <c r="E217">
        <f t="shared" si="69"/>
        <v>0</v>
      </c>
      <c r="F217">
        <f t="shared" si="70"/>
        <v>159807</v>
      </c>
      <c r="G217">
        <f t="shared" si="70"/>
        <v>21217</v>
      </c>
      <c r="H217">
        <f t="shared" si="71"/>
        <v>598143</v>
      </c>
      <c r="I217">
        <f t="shared" si="71"/>
        <v>779167</v>
      </c>
      <c r="N217" t="s">
        <v>130</v>
      </c>
      <c r="O217" s="105">
        <v>0</v>
      </c>
      <c r="P217" s="105">
        <v>0</v>
      </c>
      <c r="Q217" s="105">
        <v>0</v>
      </c>
      <c r="R217" s="105">
        <v>0</v>
      </c>
      <c r="S217" s="105">
        <v>159807</v>
      </c>
      <c r="T217" s="105">
        <v>21217</v>
      </c>
      <c r="U217">
        <v>598143</v>
      </c>
      <c r="V217">
        <f t="shared" si="72"/>
        <v>779167</v>
      </c>
    </row>
    <row r="218" spans="1:23" x14ac:dyDescent="0.2">
      <c r="A218" t="s">
        <v>247</v>
      </c>
      <c r="B218">
        <f t="shared" si="69"/>
        <v>6</v>
      </c>
      <c r="C218">
        <f t="shared" si="69"/>
        <v>1</v>
      </c>
      <c r="D218">
        <f t="shared" si="69"/>
        <v>6</v>
      </c>
      <c r="E218">
        <f t="shared" si="69"/>
        <v>3</v>
      </c>
      <c r="F218">
        <f t="shared" si="70"/>
        <v>38812</v>
      </c>
      <c r="G218">
        <f t="shared" si="70"/>
        <v>5928</v>
      </c>
      <c r="H218">
        <f t="shared" si="71"/>
        <v>101009</v>
      </c>
      <c r="I218">
        <f t="shared" si="71"/>
        <v>145765</v>
      </c>
      <c r="N218" t="s">
        <v>247</v>
      </c>
      <c r="O218" s="105">
        <v>6</v>
      </c>
      <c r="P218" s="105">
        <v>1</v>
      </c>
      <c r="Q218" s="105">
        <v>6</v>
      </c>
      <c r="R218" s="105">
        <v>3</v>
      </c>
      <c r="S218" s="105">
        <v>38812</v>
      </c>
      <c r="T218" s="105">
        <v>5928</v>
      </c>
      <c r="U218">
        <v>101009</v>
      </c>
      <c r="V218">
        <f t="shared" si="72"/>
        <v>145765</v>
      </c>
    </row>
    <row r="220" spans="1:23" x14ac:dyDescent="0.2">
      <c r="A220" t="s">
        <v>65</v>
      </c>
      <c r="B220" t="s">
        <v>66</v>
      </c>
      <c r="C220" t="s">
        <v>67</v>
      </c>
      <c r="D220" t="s">
        <v>68</v>
      </c>
      <c r="E220" t="s">
        <v>31</v>
      </c>
      <c r="N220" t="s">
        <v>65</v>
      </c>
      <c r="O220" t="s">
        <v>66</v>
      </c>
      <c r="P220" t="s">
        <v>67</v>
      </c>
      <c r="Q220" t="s">
        <v>68</v>
      </c>
      <c r="R220" t="s">
        <v>31</v>
      </c>
    </row>
    <row r="221" spans="1:23" x14ac:dyDescent="0.2">
      <c r="A221" t="s">
        <v>44</v>
      </c>
      <c r="B221" t="s">
        <v>21</v>
      </c>
      <c r="C221" t="s">
        <v>22</v>
      </c>
      <c r="D221" t="s">
        <v>148</v>
      </c>
      <c r="E221" t="s">
        <v>243</v>
      </c>
      <c r="F221" t="s">
        <v>23</v>
      </c>
      <c r="G221" t="s">
        <v>24</v>
      </c>
      <c r="H221" t="s">
        <v>25</v>
      </c>
      <c r="I221" t="s">
        <v>26</v>
      </c>
      <c r="J221" t="s">
        <v>27</v>
      </c>
      <c r="N221" t="s">
        <v>44</v>
      </c>
      <c r="O221" t="s">
        <v>21</v>
      </c>
      <c r="P221" t="s">
        <v>22</v>
      </c>
      <c r="Q221" t="s">
        <v>148</v>
      </c>
      <c r="R221" t="s">
        <v>243</v>
      </c>
      <c r="S221" t="s">
        <v>23</v>
      </c>
      <c r="T221" t="s">
        <v>24</v>
      </c>
      <c r="U221" t="s">
        <v>25</v>
      </c>
      <c r="V221" t="s">
        <v>26</v>
      </c>
      <c r="W221" t="s">
        <v>27</v>
      </c>
    </row>
    <row r="222" spans="1:23" x14ac:dyDescent="0.2">
      <c r="A222" t="s">
        <v>210</v>
      </c>
      <c r="B222">
        <f t="shared" ref="B222:H228" si="73">O222*$B$1</f>
        <v>172972</v>
      </c>
      <c r="C222">
        <f t="shared" si="73"/>
        <v>24079</v>
      </c>
      <c r="D222">
        <f t="shared" si="73"/>
        <v>0</v>
      </c>
      <c r="E222">
        <f t="shared" si="73"/>
        <v>0</v>
      </c>
      <c r="F222">
        <f t="shared" si="73"/>
        <v>17288</v>
      </c>
      <c r="G222">
        <f t="shared" si="73"/>
        <v>200</v>
      </c>
      <c r="H222">
        <f t="shared" si="73"/>
        <v>202</v>
      </c>
      <c r="I222">
        <f t="shared" ref="I222:I228" si="74">V222*$B$1</f>
        <v>0</v>
      </c>
      <c r="J222">
        <f t="shared" ref="J222:J228" si="75">W222*$B$1</f>
        <v>214741</v>
      </c>
      <c r="N222" t="s">
        <v>210</v>
      </c>
      <c r="O222" s="105">
        <v>172972</v>
      </c>
      <c r="P222" s="105">
        <v>24079</v>
      </c>
      <c r="Q222" s="105">
        <v>0</v>
      </c>
      <c r="R222" s="105">
        <v>0</v>
      </c>
      <c r="S222" s="105">
        <v>17288</v>
      </c>
      <c r="T222" s="105">
        <v>200</v>
      </c>
      <c r="U222" s="105">
        <v>202</v>
      </c>
      <c r="V222" s="105">
        <v>0</v>
      </c>
      <c r="W222">
        <f>SUM(O222:V222)</f>
        <v>214741</v>
      </c>
    </row>
    <row r="223" spans="1:23" x14ac:dyDescent="0.2">
      <c r="A223" t="s">
        <v>211</v>
      </c>
      <c r="B223">
        <f t="shared" si="73"/>
        <v>0</v>
      </c>
      <c r="C223">
        <f t="shared" si="73"/>
        <v>0</v>
      </c>
      <c r="D223">
        <f t="shared" si="73"/>
        <v>0</v>
      </c>
      <c r="E223">
        <f t="shared" si="73"/>
        <v>0</v>
      </c>
      <c r="F223">
        <f t="shared" si="73"/>
        <v>14527</v>
      </c>
      <c r="G223">
        <f t="shared" si="73"/>
        <v>8100</v>
      </c>
      <c r="H223">
        <f t="shared" si="73"/>
        <v>39109</v>
      </c>
      <c r="I223">
        <f t="shared" si="74"/>
        <v>0</v>
      </c>
      <c r="J223">
        <f t="shared" si="75"/>
        <v>61736</v>
      </c>
      <c r="N223" t="s">
        <v>211</v>
      </c>
      <c r="O223" s="105">
        <v>0</v>
      </c>
      <c r="P223" s="105">
        <v>0</v>
      </c>
      <c r="Q223" s="105">
        <v>0</v>
      </c>
      <c r="R223" s="105">
        <v>0</v>
      </c>
      <c r="S223" s="105">
        <v>14527</v>
      </c>
      <c r="T223" s="105">
        <v>8100</v>
      </c>
      <c r="U223" s="105">
        <v>39109</v>
      </c>
      <c r="V223" s="105">
        <v>0</v>
      </c>
      <c r="W223">
        <f t="shared" ref="W223:W228" si="76">SUM(O223:V223)</f>
        <v>61736</v>
      </c>
    </row>
    <row r="224" spans="1:23" x14ac:dyDescent="0.2">
      <c r="A224" t="s">
        <v>212</v>
      </c>
      <c r="B224">
        <f t="shared" si="73"/>
        <v>271021</v>
      </c>
      <c r="C224">
        <f t="shared" si="73"/>
        <v>32038</v>
      </c>
      <c r="D224">
        <f t="shared" si="73"/>
        <v>9126</v>
      </c>
      <c r="E224">
        <f t="shared" si="73"/>
        <v>21445</v>
      </c>
      <c r="F224">
        <f t="shared" si="73"/>
        <v>26166</v>
      </c>
      <c r="G224">
        <f t="shared" si="73"/>
        <v>4214</v>
      </c>
      <c r="H224">
        <f t="shared" si="73"/>
        <v>17084</v>
      </c>
      <c r="I224">
        <f t="shared" si="74"/>
        <v>12991</v>
      </c>
      <c r="J224">
        <f t="shared" si="75"/>
        <v>394085</v>
      </c>
      <c r="N224" t="s">
        <v>212</v>
      </c>
      <c r="O224" s="105">
        <v>271021</v>
      </c>
      <c r="P224" s="105">
        <v>32038</v>
      </c>
      <c r="Q224" s="105">
        <v>9126</v>
      </c>
      <c r="R224" s="105">
        <v>21445</v>
      </c>
      <c r="S224" s="105">
        <v>26166</v>
      </c>
      <c r="T224" s="105">
        <v>4214</v>
      </c>
      <c r="U224" s="105">
        <v>17084</v>
      </c>
      <c r="V224" s="105">
        <v>12991</v>
      </c>
      <c r="W224">
        <f t="shared" si="76"/>
        <v>394085</v>
      </c>
    </row>
    <row r="225" spans="1:23" x14ac:dyDescent="0.2">
      <c r="A225" t="s">
        <v>36</v>
      </c>
      <c r="B225">
        <f t="shared" si="73"/>
        <v>371726</v>
      </c>
      <c r="C225">
        <f t="shared" si="73"/>
        <v>91003</v>
      </c>
      <c r="D225">
        <f t="shared" si="73"/>
        <v>113442</v>
      </c>
      <c r="E225">
        <f t="shared" si="73"/>
        <v>105995</v>
      </c>
      <c r="F225">
        <f t="shared" si="73"/>
        <v>41697</v>
      </c>
      <c r="G225">
        <f t="shared" si="73"/>
        <v>6775</v>
      </c>
      <c r="H225">
        <f t="shared" si="73"/>
        <v>65981</v>
      </c>
      <c r="I225">
        <f t="shared" si="74"/>
        <v>62070</v>
      </c>
      <c r="J225">
        <f t="shared" si="75"/>
        <v>858689</v>
      </c>
      <c r="N225" t="s">
        <v>36</v>
      </c>
      <c r="O225" s="105">
        <v>371726</v>
      </c>
      <c r="P225" s="105">
        <v>91003</v>
      </c>
      <c r="Q225" s="105">
        <v>113442</v>
      </c>
      <c r="R225" s="105">
        <v>105995</v>
      </c>
      <c r="S225" s="105">
        <v>41697</v>
      </c>
      <c r="T225" s="105">
        <v>6775</v>
      </c>
      <c r="U225" s="105">
        <v>65981</v>
      </c>
      <c r="V225" s="105">
        <v>62070</v>
      </c>
      <c r="W225">
        <f t="shared" si="76"/>
        <v>858689</v>
      </c>
    </row>
    <row r="226" spans="1:23" x14ac:dyDescent="0.2">
      <c r="A226" t="s">
        <v>214</v>
      </c>
      <c r="B226">
        <f t="shared" si="73"/>
        <v>590086</v>
      </c>
      <c r="C226">
        <f t="shared" si="73"/>
        <v>106558</v>
      </c>
      <c r="D226">
        <f t="shared" si="73"/>
        <v>138649</v>
      </c>
      <c r="E226">
        <f t="shared" si="73"/>
        <v>158488</v>
      </c>
      <c r="F226">
        <f t="shared" si="73"/>
        <v>67217</v>
      </c>
      <c r="G226">
        <f t="shared" si="73"/>
        <v>3393</v>
      </c>
      <c r="H226">
        <f t="shared" si="73"/>
        <v>18071</v>
      </c>
      <c r="I226">
        <f t="shared" si="74"/>
        <v>67828</v>
      </c>
      <c r="J226">
        <f t="shared" si="75"/>
        <v>1150290</v>
      </c>
      <c r="N226" t="s">
        <v>214</v>
      </c>
      <c r="O226" s="105">
        <v>590086</v>
      </c>
      <c r="P226" s="105">
        <v>106558</v>
      </c>
      <c r="Q226" s="105">
        <v>138649</v>
      </c>
      <c r="R226" s="105">
        <v>158488</v>
      </c>
      <c r="S226" s="105">
        <v>67217</v>
      </c>
      <c r="T226" s="105">
        <v>3393</v>
      </c>
      <c r="U226" s="105">
        <v>18071</v>
      </c>
      <c r="V226" s="105">
        <v>67828</v>
      </c>
      <c r="W226">
        <f t="shared" si="76"/>
        <v>1150290</v>
      </c>
    </row>
    <row r="227" spans="1:23" x14ac:dyDescent="0.2">
      <c r="A227" t="s">
        <v>129</v>
      </c>
      <c r="B227">
        <f t="shared" si="73"/>
        <v>280865</v>
      </c>
      <c r="C227">
        <f t="shared" si="73"/>
        <v>42474</v>
      </c>
      <c r="D227">
        <f t="shared" si="73"/>
        <v>41178</v>
      </c>
      <c r="E227">
        <f t="shared" si="73"/>
        <v>50418</v>
      </c>
      <c r="F227">
        <f t="shared" si="73"/>
        <v>39994</v>
      </c>
      <c r="G227">
        <f t="shared" si="73"/>
        <v>15739</v>
      </c>
      <c r="H227">
        <f t="shared" si="73"/>
        <v>40741</v>
      </c>
      <c r="I227">
        <f t="shared" si="74"/>
        <v>15638</v>
      </c>
      <c r="J227">
        <f t="shared" si="75"/>
        <v>527047</v>
      </c>
      <c r="N227" t="s">
        <v>129</v>
      </c>
      <c r="O227" s="105">
        <v>280865</v>
      </c>
      <c r="P227" s="105">
        <v>42474</v>
      </c>
      <c r="Q227" s="105">
        <v>41178</v>
      </c>
      <c r="R227" s="105">
        <v>50418</v>
      </c>
      <c r="S227" s="105">
        <v>39994</v>
      </c>
      <c r="T227" s="105">
        <v>15739</v>
      </c>
      <c r="U227" s="105">
        <v>40741</v>
      </c>
      <c r="V227" s="105">
        <v>15638</v>
      </c>
      <c r="W227">
        <f t="shared" si="76"/>
        <v>527047</v>
      </c>
    </row>
    <row r="228" spans="1:23" x14ac:dyDescent="0.2">
      <c r="A228" t="s">
        <v>130</v>
      </c>
      <c r="B228">
        <f t="shared" si="73"/>
        <v>244711</v>
      </c>
      <c r="C228">
        <f t="shared" si="73"/>
        <v>58603</v>
      </c>
      <c r="D228">
        <f t="shared" si="73"/>
        <v>49773</v>
      </c>
      <c r="E228">
        <f t="shared" si="73"/>
        <v>55622</v>
      </c>
      <c r="F228">
        <f t="shared" si="73"/>
        <v>36695</v>
      </c>
      <c r="G228">
        <f t="shared" si="73"/>
        <v>10852</v>
      </c>
      <c r="H228">
        <f t="shared" si="73"/>
        <v>89716</v>
      </c>
      <c r="I228">
        <f t="shared" si="74"/>
        <v>39453</v>
      </c>
      <c r="J228">
        <f t="shared" si="75"/>
        <v>585425</v>
      </c>
      <c r="N228" t="s">
        <v>130</v>
      </c>
      <c r="O228" s="105">
        <v>244711</v>
      </c>
      <c r="P228" s="105">
        <v>58603</v>
      </c>
      <c r="Q228" s="105">
        <v>49773</v>
      </c>
      <c r="R228" s="105">
        <v>55622</v>
      </c>
      <c r="S228" s="105">
        <v>36695</v>
      </c>
      <c r="T228" s="105">
        <v>10852</v>
      </c>
      <c r="U228" s="105">
        <v>89716</v>
      </c>
      <c r="V228" s="105">
        <v>39453</v>
      </c>
      <c r="W228">
        <f t="shared" si="76"/>
        <v>585425</v>
      </c>
    </row>
    <row r="230" spans="1:23" x14ac:dyDescent="0.2">
      <c r="A230" t="s">
        <v>69</v>
      </c>
      <c r="B230" t="s">
        <v>58</v>
      </c>
      <c r="C230" t="s">
        <v>61</v>
      </c>
      <c r="D230" t="s">
        <v>62</v>
      </c>
      <c r="N230" t="s">
        <v>69</v>
      </c>
      <c r="O230" t="s">
        <v>58</v>
      </c>
      <c r="P230" t="s">
        <v>61</v>
      </c>
      <c r="Q230" t="s">
        <v>62</v>
      </c>
    </row>
    <row r="231" spans="1:23" x14ac:dyDescent="0.2">
      <c r="A231" t="s">
        <v>44</v>
      </c>
      <c r="B231" t="s">
        <v>296</v>
      </c>
      <c r="C231" t="s">
        <v>297</v>
      </c>
      <c r="D231" t="s">
        <v>298</v>
      </c>
      <c r="E231" t="s">
        <v>299</v>
      </c>
      <c r="F231" t="s">
        <v>27</v>
      </c>
      <c r="N231" t="s">
        <v>44</v>
      </c>
      <c r="O231" t="s">
        <v>296</v>
      </c>
      <c r="P231" t="s">
        <v>297</v>
      </c>
      <c r="Q231" t="s">
        <v>298</v>
      </c>
      <c r="R231" t="s">
        <v>299</v>
      </c>
      <c r="S231" t="s">
        <v>27</v>
      </c>
    </row>
    <row r="232" spans="1:23" x14ac:dyDescent="0.2">
      <c r="A232" t="s">
        <v>210</v>
      </c>
      <c r="B232">
        <f t="shared" ref="B232:D238" si="77">O232*$B$1</f>
        <v>4804</v>
      </c>
      <c r="C232">
        <f t="shared" si="77"/>
        <v>42269</v>
      </c>
      <c r="D232">
        <f t="shared" si="77"/>
        <v>38602</v>
      </c>
      <c r="E232">
        <f t="shared" ref="E232:E238" si="78">R232*$B$1</f>
        <v>129022</v>
      </c>
      <c r="F232">
        <f t="shared" ref="F232:F238" si="79">S232*$B$1</f>
        <v>214697</v>
      </c>
      <c r="N232" t="s">
        <v>210</v>
      </c>
      <c r="O232" s="105">
        <v>4804</v>
      </c>
      <c r="P232" s="105">
        <v>42269</v>
      </c>
      <c r="Q232" s="105">
        <v>38602</v>
      </c>
      <c r="R232" s="105">
        <v>129022</v>
      </c>
      <c r="S232">
        <f>SUM(O232:R232)</f>
        <v>214697</v>
      </c>
    </row>
    <row r="233" spans="1:23" x14ac:dyDescent="0.2">
      <c r="A233" t="s">
        <v>211</v>
      </c>
      <c r="B233">
        <f t="shared" si="77"/>
        <v>4625</v>
      </c>
      <c r="C233">
        <f t="shared" si="77"/>
        <v>15094</v>
      </c>
      <c r="D233">
        <f t="shared" si="77"/>
        <v>10892</v>
      </c>
      <c r="E233">
        <f t="shared" si="78"/>
        <v>31107</v>
      </c>
      <c r="F233">
        <f t="shared" si="79"/>
        <v>61718</v>
      </c>
      <c r="N233" t="s">
        <v>211</v>
      </c>
      <c r="O233" s="105">
        <v>4625</v>
      </c>
      <c r="P233" s="105">
        <v>15094</v>
      </c>
      <c r="Q233" s="105">
        <v>10892</v>
      </c>
      <c r="R233" s="105">
        <v>31107</v>
      </c>
      <c r="S233">
        <f t="shared" ref="S233:S238" si="80">SUM(O233:R233)</f>
        <v>61718</v>
      </c>
    </row>
    <row r="234" spans="1:23" x14ac:dyDescent="0.2">
      <c r="A234" t="s">
        <v>212</v>
      </c>
      <c r="B234">
        <f t="shared" si="77"/>
        <v>11002</v>
      </c>
      <c r="C234">
        <f t="shared" si="77"/>
        <v>66778</v>
      </c>
      <c r="D234">
        <f t="shared" si="77"/>
        <v>72618</v>
      </c>
      <c r="E234">
        <f t="shared" si="78"/>
        <v>243618</v>
      </c>
      <c r="F234">
        <f t="shared" si="79"/>
        <v>394016</v>
      </c>
      <c r="N234" t="s">
        <v>212</v>
      </c>
      <c r="O234" s="105">
        <v>11002</v>
      </c>
      <c r="P234" s="105">
        <v>66778</v>
      </c>
      <c r="Q234" s="105">
        <v>72618</v>
      </c>
      <c r="R234" s="105">
        <v>243618</v>
      </c>
      <c r="S234">
        <f t="shared" si="80"/>
        <v>394016</v>
      </c>
    </row>
    <row r="235" spans="1:23" x14ac:dyDescent="0.2">
      <c r="A235" t="s">
        <v>36</v>
      </c>
      <c r="B235">
        <f t="shared" si="77"/>
        <v>63237</v>
      </c>
      <c r="C235">
        <f t="shared" si="77"/>
        <v>231913</v>
      </c>
      <c r="D235">
        <f t="shared" si="77"/>
        <v>153720</v>
      </c>
      <c r="E235">
        <f t="shared" si="78"/>
        <v>409562</v>
      </c>
      <c r="F235">
        <f t="shared" si="79"/>
        <v>858432</v>
      </c>
      <c r="N235" t="s">
        <v>36</v>
      </c>
      <c r="O235" s="105">
        <v>63237</v>
      </c>
      <c r="P235" s="105">
        <v>231913</v>
      </c>
      <c r="Q235" s="105">
        <v>153720</v>
      </c>
      <c r="R235" s="105">
        <v>409562</v>
      </c>
      <c r="S235">
        <f t="shared" si="80"/>
        <v>858432</v>
      </c>
    </row>
    <row r="236" spans="1:23" x14ac:dyDescent="0.2">
      <c r="A236" t="s">
        <v>214</v>
      </c>
      <c r="B236">
        <f t="shared" si="77"/>
        <v>78479</v>
      </c>
      <c r="C236">
        <f t="shared" si="77"/>
        <v>281516</v>
      </c>
      <c r="D236">
        <f t="shared" si="77"/>
        <v>209228</v>
      </c>
      <c r="E236">
        <f t="shared" si="78"/>
        <v>580712</v>
      </c>
      <c r="F236">
        <f t="shared" si="79"/>
        <v>1149935</v>
      </c>
      <c r="N236" t="s">
        <v>214</v>
      </c>
      <c r="O236" s="105">
        <v>78479</v>
      </c>
      <c r="P236" s="105">
        <v>281516</v>
      </c>
      <c r="Q236" s="105">
        <v>209228</v>
      </c>
      <c r="R236" s="105">
        <v>580712</v>
      </c>
      <c r="S236">
        <f t="shared" si="80"/>
        <v>1149935</v>
      </c>
    </row>
    <row r="237" spans="1:23" x14ac:dyDescent="0.2">
      <c r="A237" t="s">
        <v>129</v>
      </c>
      <c r="B237">
        <f t="shared" si="77"/>
        <v>24083</v>
      </c>
      <c r="C237">
        <f t="shared" si="77"/>
        <v>118424</v>
      </c>
      <c r="D237">
        <f t="shared" si="77"/>
        <v>96321</v>
      </c>
      <c r="E237">
        <f t="shared" si="78"/>
        <v>288064</v>
      </c>
      <c r="F237">
        <f t="shared" si="79"/>
        <v>526892</v>
      </c>
      <c r="N237" t="s">
        <v>129</v>
      </c>
      <c r="O237" s="105">
        <v>24083</v>
      </c>
      <c r="P237" s="105">
        <v>118424</v>
      </c>
      <c r="Q237" s="105">
        <v>96321</v>
      </c>
      <c r="R237" s="105">
        <v>288064</v>
      </c>
      <c r="S237">
        <f t="shared" si="80"/>
        <v>526892</v>
      </c>
    </row>
    <row r="238" spans="1:23" x14ac:dyDescent="0.2">
      <c r="A238" t="s">
        <v>130</v>
      </c>
      <c r="B238">
        <f t="shared" si="77"/>
        <v>28352</v>
      </c>
      <c r="C238">
        <f t="shared" si="77"/>
        <v>130870</v>
      </c>
      <c r="D238">
        <f t="shared" si="77"/>
        <v>106312</v>
      </c>
      <c r="E238">
        <f t="shared" si="78"/>
        <v>319723</v>
      </c>
      <c r="F238">
        <f t="shared" si="79"/>
        <v>585257</v>
      </c>
      <c r="N238" t="s">
        <v>130</v>
      </c>
      <c r="O238" s="105">
        <v>28352</v>
      </c>
      <c r="P238" s="105">
        <v>130870</v>
      </c>
      <c r="Q238" s="105">
        <v>106312</v>
      </c>
      <c r="R238" s="105">
        <v>319723</v>
      </c>
      <c r="S238">
        <f t="shared" si="80"/>
        <v>585257</v>
      </c>
    </row>
    <row r="240" spans="1:23" x14ac:dyDescent="0.2">
      <c r="A240" t="s">
        <v>69</v>
      </c>
      <c r="B240" t="s">
        <v>58</v>
      </c>
      <c r="C240" t="s">
        <v>279</v>
      </c>
      <c r="D240" t="s">
        <v>280</v>
      </c>
      <c r="N240" t="s">
        <v>69</v>
      </c>
      <c r="O240" t="s">
        <v>58</v>
      </c>
      <c r="P240" t="s">
        <v>279</v>
      </c>
      <c r="Q240" t="s">
        <v>280</v>
      </c>
    </row>
    <row r="241" spans="1:22" x14ac:dyDescent="0.2">
      <c r="A241" t="s">
        <v>44</v>
      </c>
      <c r="B241" t="s">
        <v>98</v>
      </c>
      <c r="C241" t="s">
        <v>281</v>
      </c>
      <c r="D241" t="s">
        <v>282</v>
      </c>
      <c r="E241" t="s">
        <v>283</v>
      </c>
      <c r="F241" t="s">
        <v>27</v>
      </c>
      <c r="N241" t="s">
        <v>44</v>
      </c>
      <c r="O241" t="s">
        <v>98</v>
      </c>
      <c r="P241" t="s">
        <v>281</v>
      </c>
      <c r="Q241" t="s">
        <v>282</v>
      </c>
      <c r="R241" t="s">
        <v>283</v>
      </c>
      <c r="S241" t="s">
        <v>27</v>
      </c>
    </row>
    <row r="242" spans="1:22" x14ac:dyDescent="0.2">
      <c r="A242" t="s">
        <v>210</v>
      </c>
      <c r="B242">
        <f t="shared" ref="B242:D248" si="81">O242*$B$1</f>
        <v>7990</v>
      </c>
      <c r="C242">
        <f t="shared" si="81"/>
        <v>49009</v>
      </c>
      <c r="D242">
        <f t="shared" si="81"/>
        <v>120382</v>
      </c>
      <c r="E242">
        <f t="shared" ref="E242:E248" si="82">R242*$B$1</f>
        <v>37360</v>
      </c>
      <c r="F242">
        <f t="shared" ref="F242:F248" si="83">S242*$B$1</f>
        <v>214741</v>
      </c>
      <c r="N242" t="s">
        <v>210</v>
      </c>
      <c r="O242" s="105">
        <v>7990</v>
      </c>
      <c r="P242" s="105">
        <v>49009</v>
      </c>
      <c r="Q242" s="105">
        <v>120382</v>
      </c>
      <c r="R242" s="105">
        <v>37360</v>
      </c>
      <c r="S242">
        <f>SUM(O242:R242)</f>
        <v>214741</v>
      </c>
    </row>
    <row r="243" spans="1:22" x14ac:dyDescent="0.2">
      <c r="A243" t="s">
        <v>211</v>
      </c>
      <c r="B243">
        <f t="shared" si="81"/>
        <v>2683</v>
      </c>
      <c r="C243">
        <f t="shared" si="81"/>
        <v>21581</v>
      </c>
      <c r="D243">
        <f t="shared" si="81"/>
        <v>29506</v>
      </c>
      <c r="E243">
        <f t="shared" si="82"/>
        <v>7966</v>
      </c>
      <c r="F243">
        <f t="shared" si="83"/>
        <v>61736</v>
      </c>
      <c r="N243" t="s">
        <v>211</v>
      </c>
      <c r="O243" s="105">
        <v>2683</v>
      </c>
      <c r="P243" s="105">
        <v>21581</v>
      </c>
      <c r="Q243" s="105">
        <v>29506</v>
      </c>
      <c r="R243" s="105">
        <v>7966</v>
      </c>
      <c r="S243">
        <f t="shared" ref="S243:S248" si="84">SUM(O243:R243)</f>
        <v>61736</v>
      </c>
    </row>
    <row r="244" spans="1:22" x14ac:dyDescent="0.2">
      <c r="A244" t="s">
        <v>212</v>
      </c>
      <c r="B244">
        <f t="shared" si="81"/>
        <v>7571</v>
      </c>
      <c r="C244">
        <f t="shared" si="81"/>
        <v>107106</v>
      </c>
      <c r="D244">
        <f t="shared" si="81"/>
        <v>215268</v>
      </c>
      <c r="E244">
        <f t="shared" si="82"/>
        <v>64140</v>
      </c>
      <c r="F244">
        <f t="shared" si="83"/>
        <v>394085</v>
      </c>
      <c r="N244" t="s">
        <v>212</v>
      </c>
      <c r="O244" s="105">
        <v>7571</v>
      </c>
      <c r="P244" s="105">
        <v>107106</v>
      </c>
      <c r="Q244" s="105">
        <v>215268</v>
      </c>
      <c r="R244" s="105">
        <v>64140</v>
      </c>
      <c r="S244">
        <f t="shared" si="84"/>
        <v>394085</v>
      </c>
    </row>
    <row r="245" spans="1:22" x14ac:dyDescent="0.2">
      <c r="A245" t="s">
        <v>36</v>
      </c>
      <c r="B245">
        <f t="shared" si="81"/>
        <v>40950</v>
      </c>
      <c r="C245">
        <f t="shared" si="81"/>
        <v>200788</v>
      </c>
      <c r="D245">
        <f t="shared" si="81"/>
        <v>480583</v>
      </c>
      <c r="E245">
        <f t="shared" si="82"/>
        <v>136368</v>
      </c>
      <c r="F245">
        <f t="shared" si="83"/>
        <v>858689</v>
      </c>
      <c r="N245" t="s">
        <v>36</v>
      </c>
      <c r="O245" s="105">
        <v>40950</v>
      </c>
      <c r="P245" s="105">
        <v>200788</v>
      </c>
      <c r="Q245" s="105">
        <v>480583</v>
      </c>
      <c r="R245" s="105">
        <v>136368</v>
      </c>
      <c r="S245">
        <f t="shared" si="84"/>
        <v>858689</v>
      </c>
    </row>
    <row r="246" spans="1:22" x14ac:dyDescent="0.2">
      <c r="A246" t="s">
        <v>214</v>
      </c>
      <c r="B246">
        <f t="shared" si="81"/>
        <v>52877</v>
      </c>
      <c r="C246">
        <f t="shared" si="81"/>
        <v>271473</v>
      </c>
      <c r="D246">
        <f t="shared" si="81"/>
        <v>639853</v>
      </c>
      <c r="E246">
        <f t="shared" si="82"/>
        <v>186087</v>
      </c>
      <c r="F246">
        <f t="shared" si="83"/>
        <v>1150290</v>
      </c>
      <c r="N246" t="s">
        <v>214</v>
      </c>
      <c r="O246" s="105">
        <v>52877</v>
      </c>
      <c r="P246" s="105">
        <v>271473</v>
      </c>
      <c r="Q246" s="105">
        <v>639853</v>
      </c>
      <c r="R246" s="105">
        <v>186087</v>
      </c>
      <c r="S246">
        <f t="shared" si="84"/>
        <v>1150290</v>
      </c>
    </row>
    <row r="247" spans="1:22" x14ac:dyDescent="0.2">
      <c r="A247" t="s">
        <v>129</v>
      </c>
      <c r="B247">
        <f t="shared" si="81"/>
        <v>20328</v>
      </c>
      <c r="C247">
        <f t="shared" si="81"/>
        <v>143315</v>
      </c>
      <c r="D247">
        <f t="shared" si="81"/>
        <v>280427</v>
      </c>
      <c r="E247">
        <f t="shared" si="82"/>
        <v>82977</v>
      </c>
      <c r="F247">
        <f t="shared" si="83"/>
        <v>527047</v>
      </c>
      <c r="N247" t="s">
        <v>129</v>
      </c>
      <c r="O247" s="105">
        <v>20328</v>
      </c>
      <c r="P247" s="105">
        <v>143315</v>
      </c>
      <c r="Q247" s="105">
        <v>280427</v>
      </c>
      <c r="R247" s="105">
        <v>82977</v>
      </c>
      <c r="S247">
        <f t="shared" si="84"/>
        <v>527047</v>
      </c>
    </row>
    <row r="248" spans="1:22" x14ac:dyDescent="0.2">
      <c r="A248" t="s">
        <v>130</v>
      </c>
      <c r="B248">
        <f t="shared" si="81"/>
        <v>18841</v>
      </c>
      <c r="C248">
        <f t="shared" si="81"/>
        <v>137916</v>
      </c>
      <c r="D248">
        <f t="shared" si="81"/>
        <v>331279</v>
      </c>
      <c r="E248">
        <f t="shared" si="82"/>
        <v>97389</v>
      </c>
      <c r="F248">
        <f t="shared" si="83"/>
        <v>585425</v>
      </c>
      <c r="N248" t="s">
        <v>130</v>
      </c>
      <c r="O248" s="105">
        <v>18841</v>
      </c>
      <c r="P248" s="105">
        <v>137916</v>
      </c>
      <c r="Q248" s="105">
        <v>331279</v>
      </c>
      <c r="R248" s="105">
        <v>97389</v>
      </c>
      <c r="S248">
        <f t="shared" si="84"/>
        <v>585425</v>
      </c>
    </row>
    <row r="250" spans="1:22" x14ac:dyDescent="0.2">
      <c r="A250" t="s">
        <v>69</v>
      </c>
      <c r="B250" t="s">
        <v>58</v>
      </c>
      <c r="C250" t="s">
        <v>63</v>
      </c>
      <c r="D250" t="s">
        <v>64</v>
      </c>
      <c r="N250" t="s">
        <v>69</v>
      </c>
      <c r="O250" t="s">
        <v>58</v>
      </c>
      <c r="P250" t="s">
        <v>63</v>
      </c>
      <c r="Q250" t="s">
        <v>64</v>
      </c>
    </row>
    <row r="251" spans="1:22" x14ac:dyDescent="0.2">
      <c r="A251" t="s">
        <v>44</v>
      </c>
      <c r="B251" t="s">
        <v>10862</v>
      </c>
      <c r="C251" t="s">
        <v>10863</v>
      </c>
      <c r="D251" t="s">
        <v>10864</v>
      </c>
      <c r="E251" t="s">
        <v>10865</v>
      </c>
      <c r="F251" t="s">
        <v>1689</v>
      </c>
      <c r="G251" t="s">
        <v>10866</v>
      </c>
      <c r="H251" t="s">
        <v>10867</v>
      </c>
      <c r="I251" t="s">
        <v>221</v>
      </c>
      <c r="N251" t="s">
        <v>44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>
        <v>7</v>
      </c>
      <c r="V251" t="s">
        <v>27</v>
      </c>
    </row>
    <row r="252" spans="1:22" x14ac:dyDescent="0.2">
      <c r="A252" t="s">
        <v>210</v>
      </c>
      <c r="B252">
        <f t="shared" ref="B252:F258" si="85">O252*$B$1</f>
        <v>13</v>
      </c>
      <c r="C252">
        <f t="shared" si="85"/>
        <v>1</v>
      </c>
      <c r="D252">
        <f t="shared" si="85"/>
        <v>9</v>
      </c>
      <c r="E252">
        <f t="shared" si="85"/>
        <v>6</v>
      </c>
      <c r="F252">
        <f t="shared" si="85"/>
        <v>49329</v>
      </c>
      <c r="G252">
        <f t="shared" ref="G252:G258" si="86">T252*$B$1</f>
        <v>6833</v>
      </c>
      <c r="H252">
        <f t="shared" ref="H252:I258" si="87">U252*$B$1</f>
        <v>158550</v>
      </c>
      <c r="I252">
        <f t="shared" si="87"/>
        <v>214741</v>
      </c>
      <c r="N252" t="s">
        <v>210</v>
      </c>
      <c r="O252" s="105">
        <v>13</v>
      </c>
      <c r="P252" s="105">
        <v>1</v>
      </c>
      <c r="Q252" s="105">
        <v>9</v>
      </c>
      <c r="R252" s="105">
        <v>6</v>
      </c>
      <c r="S252">
        <v>49329</v>
      </c>
      <c r="T252">
        <v>6833</v>
      </c>
      <c r="U252">
        <v>158550</v>
      </c>
      <c r="V252">
        <f>SUM(O252:U252)</f>
        <v>214741</v>
      </c>
    </row>
    <row r="253" spans="1:22" x14ac:dyDescent="0.2">
      <c r="A253" t="s">
        <v>211</v>
      </c>
      <c r="B253">
        <f t="shared" si="85"/>
        <v>0</v>
      </c>
      <c r="C253">
        <f t="shared" si="85"/>
        <v>0</v>
      </c>
      <c r="D253">
        <f t="shared" si="85"/>
        <v>0</v>
      </c>
      <c r="E253">
        <f t="shared" si="85"/>
        <v>0</v>
      </c>
      <c r="F253">
        <f t="shared" si="85"/>
        <v>11953</v>
      </c>
      <c r="G253">
        <f t="shared" si="86"/>
        <v>684</v>
      </c>
      <c r="H253">
        <f t="shared" si="87"/>
        <v>49099</v>
      </c>
      <c r="I253">
        <f t="shared" si="87"/>
        <v>61736</v>
      </c>
      <c r="N253" t="s">
        <v>211</v>
      </c>
      <c r="O253" s="105">
        <v>0</v>
      </c>
      <c r="P253" s="105">
        <v>0</v>
      </c>
      <c r="Q253" s="105">
        <v>0</v>
      </c>
      <c r="R253" s="105">
        <v>0</v>
      </c>
      <c r="S253">
        <v>11953</v>
      </c>
      <c r="T253">
        <v>684</v>
      </c>
      <c r="U253">
        <v>49099</v>
      </c>
      <c r="V253">
        <f t="shared" ref="V253:V258" si="88">SUM(O253:U253)</f>
        <v>61736</v>
      </c>
    </row>
    <row r="254" spans="1:22" x14ac:dyDescent="0.2">
      <c r="A254" t="s">
        <v>212</v>
      </c>
      <c r="B254">
        <f t="shared" si="85"/>
        <v>9</v>
      </c>
      <c r="C254">
        <f t="shared" si="85"/>
        <v>0</v>
      </c>
      <c r="D254">
        <f t="shared" si="85"/>
        <v>7</v>
      </c>
      <c r="E254">
        <f t="shared" si="85"/>
        <v>8</v>
      </c>
      <c r="F254">
        <f t="shared" si="85"/>
        <v>76478</v>
      </c>
      <c r="G254">
        <f t="shared" si="86"/>
        <v>6216</v>
      </c>
      <c r="H254">
        <f t="shared" si="87"/>
        <v>311367</v>
      </c>
      <c r="I254">
        <f t="shared" si="87"/>
        <v>394085</v>
      </c>
      <c r="N254" t="s">
        <v>212</v>
      </c>
      <c r="O254" s="105">
        <v>9</v>
      </c>
      <c r="P254" s="105">
        <v>0</v>
      </c>
      <c r="Q254" s="105">
        <v>7</v>
      </c>
      <c r="R254" s="105">
        <v>8</v>
      </c>
      <c r="S254">
        <v>76478</v>
      </c>
      <c r="T254">
        <v>6216</v>
      </c>
      <c r="U254">
        <v>311367</v>
      </c>
      <c r="V254">
        <f t="shared" si="88"/>
        <v>394085</v>
      </c>
    </row>
    <row r="255" spans="1:22" x14ac:dyDescent="0.2">
      <c r="A255" t="s">
        <v>36</v>
      </c>
      <c r="B255">
        <f t="shared" si="85"/>
        <v>27</v>
      </c>
      <c r="C255">
        <f t="shared" si="85"/>
        <v>4</v>
      </c>
      <c r="D255">
        <f t="shared" si="85"/>
        <v>24</v>
      </c>
      <c r="E255">
        <f t="shared" si="85"/>
        <v>17</v>
      </c>
      <c r="F255">
        <f t="shared" si="85"/>
        <v>175584</v>
      </c>
      <c r="G255">
        <f t="shared" si="86"/>
        <v>23498</v>
      </c>
      <c r="H255">
        <f t="shared" si="87"/>
        <v>659535</v>
      </c>
      <c r="I255">
        <f t="shared" si="87"/>
        <v>858689</v>
      </c>
      <c r="N255" t="s">
        <v>36</v>
      </c>
      <c r="O255" s="105">
        <v>27</v>
      </c>
      <c r="P255" s="105">
        <v>4</v>
      </c>
      <c r="Q255" s="105">
        <v>24</v>
      </c>
      <c r="R255" s="105">
        <v>17</v>
      </c>
      <c r="S255">
        <v>175584</v>
      </c>
      <c r="T255">
        <v>23498</v>
      </c>
      <c r="U255">
        <v>659535</v>
      </c>
      <c r="V255">
        <f t="shared" si="88"/>
        <v>858689</v>
      </c>
    </row>
    <row r="256" spans="1:22" x14ac:dyDescent="0.2">
      <c r="A256" t="s">
        <v>214</v>
      </c>
      <c r="B256">
        <f t="shared" si="85"/>
        <v>57</v>
      </c>
      <c r="C256">
        <f t="shared" si="85"/>
        <v>14</v>
      </c>
      <c r="D256">
        <f t="shared" si="85"/>
        <v>41</v>
      </c>
      <c r="E256">
        <f t="shared" si="85"/>
        <v>41</v>
      </c>
      <c r="F256">
        <f t="shared" si="85"/>
        <v>241050</v>
      </c>
      <c r="G256">
        <f t="shared" si="86"/>
        <v>33130</v>
      </c>
      <c r="H256">
        <f t="shared" si="87"/>
        <v>875957</v>
      </c>
      <c r="I256">
        <f t="shared" si="87"/>
        <v>1150290</v>
      </c>
      <c r="N256" t="s">
        <v>214</v>
      </c>
      <c r="O256" s="105">
        <v>57</v>
      </c>
      <c r="P256" s="105">
        <v>14</v>
      </c>
      <c r="Q256" s="105">
        <v>41</v>
      </c>
      <c r="R256" s="105">
        <v>41</v>
      </c>
      <c r="S256">
        <v>241050</v>
      </c>
      <c r="T256">
        <v>33130</v>
      </c>
      <c r="U256">
        <v>875957</v>
      </c>
      <c r="V256">
        <f t="shared" si="88"/>
        <v>1150290</v>
      </c>
    </row>
    <row r="257" spans="1:23" x14ac:dyDescent="0.2">
      <c r="A257" t="s">
        <v>129</v>
      </c>
      <c r="B257">
        <f t="shared" si="85"/>
        <v>33</v>
      </c>
      <c r="C257">
        <f t="shared" si="85"/>
        <v>7</v>
      </c>
      <c r="D257">
        <f t="shared" si="85"/>
        <v>16</v>
      </c>
      <c r="E257">
        <f t="shared" si="85"/>
        <v>10</v>
      </c>
      <c r="F257">
        <f t="shared" si="85"/>
        <v>133479</v>
      </c>
      <c r="G257">
        <f t="shared" si="86"/>
        <v>19267</v>
      </c>
      <c r="H257">
        <f t="shared" si="87"/>
        <v>374235</v>
      </c>
      <c r="I257">
        <f t="shared" si="87"/>
        <v>527047</v>
      </c>
      <c r="N257" t="s">
        <v>129</v>
      </c>
      <c r="O257" s="105">
        <v>33</v>
      </c>
      <c r="P257" s="105">
        <v>7</v>
      </c>
      <c r="Q257" s="105">
        <v>16</v>
      </c>
      <c r="R257" s="105">
        <v>10</v>
      </c>
      <c r="S257">
        <v>133479</v>
      </c>
      <c r="T257">
        <v>19267</v>
      </c>
      <c r="U257">
        <v>374235</v>
      </c>
      <c r="V257">
        <f t="shared" si="88"/>
        <v>527047</v>
      </c>
    </row>
    <row r="258" spans="1:23" x14ac:dyDescent="0.2">
      <c r="A258" t="s">
        <v>130</v>
      </c>
      <c r="B258">
        <f t="shared" si="85"/>
        <v>13</v>
      </c>
      <c r="C258">
        <f t="shared" si="85"/>
        <v>3</v>
      </c>
      <c r="D258">
        <f t="shared" si="85"/>
        <v>20</v>
      </c>
      <c r="E258">
        <f t="shared" si="85"/>
        <v>10</v>
      </c>
      <c r="F258">
        <f t="shared" si="85"/>
        <v>118416</v>
      </c>
      <c r="G258">
        <f t="shared" si="86"/>
        <v>13573</v>
      </c>
      <c r="H258">
        <f t="shared" si="87"/>
        <v>453390</v>
      </c>
      <c r="I258">
        <f t="shared" si="87"/>
        <v>585425</v>
      </c>
      <c r="N258" t="s">
        <v>130</v>
      </c>
      <c r="O258" s="105">
        <v>13</v>
      </c>
      <c r="P258" s="105">
        <v>3</v>
      </c>
      <c r="Q258" s="105">
        <v>20</v>
      </c>
      <c r="R258" s="105">
        <v>10</v>
      </c>
      <c r="S258">
        <v>118416</v>
      </c>
      <c r="T258">
        <v>13573</v>
      </c>
      <c r="U258">
        <v>453390</v>
      </c>
      <c r="V258">
        <f t="shared" si="88"/>
        <v>585425</v>
      </c>
    </row>
    <row r="260" spans="1:23" x14ac:dyDescent="0.2">
      <c r="A260" t="s">
        <v>70</v>
      </c>
      <c r="B260" t="s">
        <v>66</v>
      </c>
      <c r="C260" t="s">
        <v>67</v>
      </c>
      <c r="D260" t="s">
        <v>68</v>
      </c>
      <c r="E260" t="s">
        <v>31</v>
      </c>
      <c r="N260" t="s">
        <v>70</v>
      </c>
      <c r="O260" t="s">
        <v>66</v>
      </c>
      <c r="P260" t="s">
        <v>67</v>
      </c>
      <c r="Q260" t="s">
        <v>68</v>
      </c>
      <c r="R260" t="s">
        <v>31</v>
      </c>
    </row>
    <row r="261" spans="1:23" x14ac:dyDescent="0.2">
      <c r="A261" t="s">
        <v>44</v>
      </c>
      <c r="B261" t="s">
        <v>21</v>
      </c>
      <c r="C261" t="s">
        <v>22</v>
      </c>
      <c r="D261" t="s">
        <v>148</v>
      </c>
      <c r="E261" t="s">
        <v>243</v>
      </c>
      <c r="F261" t="s">
        <v>23</v>
      </c>
      <c r="G261" t="s">
        <v>24</v>
      </c>
      <c r="H261" t="s">
        <v>25</v>
      </c>
      <c r="I261" t="s">
        <v>26</v>
      </c>
      <c r="J261" t="s">
        <v>27</v>
      </c>
      <c r="N261" t="s">
        <v>44</v>
      </c>
      <c r="O261" t="s">
        <v>21</v>
      </c>
      <c r="P261" t="s">
        <v>22</v>
      </c>
      <c r="Q261" t="s">
        <v>148</v>
      </c>
      <c r="R261" t="s">
        <v>243</v>
      </c>
      <c r="S261" t="s">
        <v>23</v>
      </c>
      <c r="T261" t="s">
        <v>24</v>
      </c>
      <c r="U261" t="s">
        <v>25</v>
      </c>
      <c r="V261" t="s">
        <v>26</v>
      </c>
      <c r="W261" t="s">
        <v>27</v>
      </c>
    </row>
    <row r="262" spans="1:23" x14ac:dyDescent="0.2">
      <c r="A262" t="s">
        <v>210</v>
      </c>
      <c r="B262">
        <f t="shared" ref="B262:H269" si="89">O262*$B$1</f>
        <v>1418315</v>
      </c>
      <c r="C262">
        <f t="shared" si="89"/>
        <v>224294</v>
      </c>
      <c r="D262">
        <f t="shared" si="89"/>
        <v>0</v>
      </c>
      <c r="E262">
        <f t="shared" si="89"/>
        <v>0</v>
      </c>
      <c r="F262">
        <f t="shared" si="89"/>
        <v>156543</v>
      </c>
      <c r="G262">
        <f t="shared" si="89"/>
        <v>2769</v>
      </c>
      <c r="H262">
        <f t="shared" si="89"/>
        <v>2288</v>
      </c>
      <c r="I262">
        <f t="shared" ref="I262:I269" si="90">V262*$B$1</f>
        <v>0</v>
      </c>
      <c r="J262">
        <f t="shared" ref="J262:J269" si="91">W262*$B$1</f>
        <v>1804209</v>
      </c>
      <c r="N262" t="s">
        <v>210</v>
      </c>
      <c r="O262" s="105">
        <v>1418315</v>
      </c>
      <c r="P262" s="105">
        <v>224294</v>
      </c>
      <c r="Q262" s="105">
        <v>0</v>
      </c>
      <c r="R262" s="105">
        <v>0</v>
      </c>
      <c r="S262" s="105">
        <v>156543</v>
      </c>
      <c r="T262" s="105">
        <v>2769</v>
      </c>
      <c r="U262" s="105">
        <v>2288</v>
      </c>
      <c r="V262" s="105">
        <v>0</v>
      </c>
      <c r="W262">
        <f>SUM(O262:V262)</f>
        <v>1804209</v>
      </c>
    </row>
    <row r="263" spans="1:23" x14ac:dyDescent="0.2">
      <c r="A263" t="s">
        <v>211</v>
      </c>
      <c r="B263">
        <f t="shared" si="89"/>
        <v>0</v>
      </c>
      <c r="C263">
        <f t="shared" si="89"/>
        <v>0</v>
      </c>
      <c r="D263">
        <f t="shared" si="89"/>
        <v>0</v>
      </c>
      <c r="E263">
        <f t="shared" si="89"/>
        <v>0</v>
      </c>
      <c r="F263">
        <f t="shared" si="89"/>
        <v>106188</v>
      </c>
      <c r="G263">
        <f t="shared" si="89"/>
        <v>63015</v>
      </c>
      <c r="H263">
        <f t="shared" si="89"/>
        <v>333907</v>
      </c>
      <c r="I263">
        <f t="shared" si="90"/>
        <v>0</v>
      </c>
      <c r="J263">
        <f t="shared" si="91"/>
        <v>503110</v>
      </c>
      <c r="N263" t="s">
        <v>211</v>
      </c>
      <c r="O263" s="105">
        <v>0</v>
      </c>
      <c r="P263" s="105">
        <v>0</v>
      </c>
      <c r="Q263" s="105">
        <v>0</v>
      </c>
      <c r="R263" s="105">
        <v>0</v>
      </c>
      <c r="S263" s="105">
        <v>106188</v>
      </c>
      <c r="T263" s="105">
        <v>63015</v>
      </c>
      <c r="U263" s="105">
        <v>333907</v>
      </c>
      <c r="V263" s="105">
        <v>0</v>
      </c>
      <c r="W263">
        <f t="shared" ref="W263:W269" si="92">SUM(O263:V263)</f>
        <v>503110</v>
      </c>
    </row>
    <row r="264" spans="1:23" x14ac:dyDescent="0.2">
      <c r="A264" t="s">
        <v>212</v>
      </c>
      <c r="B264">
        <f t="shared" si="89"/>
        <v>479602</v>
      </c>
      <c r="C264">
        <f t="shared" si="89"/>
        <v>102571</v>
      </c>
      <c r="D264">
        <f t="shared" si="89"/>
        <v>50228</v>
      </c>
      <c r="E264">
        <f t="shared" si="89"/>
        <v>138788</v>
      </c>
      <c r="F264">
        <f t="shared" si="89"/>
        <v>42503</v>
      </c>
      <c r="G264">
        <f t="shared" si="89"/>
        <v>8426</v>
      </c>
      <c r="H264">
        <f t="shared" si="89"/>
        <v>46085</v>
      </c>
      <c r="I264">
        <f t="shared" si="90"/>
        <v>63620</v>
      </c>
      <c r="J264">
        <f t="shared" si="91"/>
        <v>931823</v>
      </c>
      <c r="N264" t="s">
        <v>212</v>
      </c>
      <c r="O264" s="105">
        <v>479602</v>
      </c>
      <c r="P264" s="105">
        <v>102571</v>
      </c>
      <c r="Q264" s="105">
        <v>50228</v>
      </c>
      <c r="R264" s="105">
        <v>138788</v>
      </c>
      <c r="S264" s="105">
        <v>42503</v>
      </c>
      <c r="T264" s="105">
        <v>8426</v>
      </c>
      <c r="U264" s="105">
        <v>46085</v>
      </c>
      <c r="V264" s="105">
        <v>63620</v>
      </c>
      <c r="W264">
        <f t="shared" si="92"/>
        <v>931823</v>
      </c>
    </row>
    <row r="265" spans="1:23" x14ac:dyDescent="0.2">
      <c r="A265" t="s">
        <v>36</v>
      </c>
      <c r="B265">
        <f t="shared" si="89"/>
        <v>448486</v>
      </c>
      <c r="C265">
        <f t="shared" si="89"/>
        <v>156710</v>
      </c>
      <c r="D265">
        <f t="shared" si="89"/>
        <v>246321</v>
      </c>
      <c r="E265">
        <f t="shared" si="89"/>
        <v>214650</v>
      </c>
      <c r="F265">
        <f t="shared" si="89"/>
        <v>49806</v>
      </c>
      <c r="G265">
        <f t="shared" si="89"/>
        <v>10089</v>
      </c>
      <c r="H265">
        <f t="shared" si="89"/>
        <v>116058</v>
      </c>
      <c r="I265">
        <f t="shared" si="90"/>
        <v>125357</v>
      </c>
      <c r="J265">
        <f t="shared" si="91"/>
        <v>1367477</v>
      </c>
      <c r="N265" t="s">
        <v>36</v>
      </c>
      <c r="O265" s="105">
        <v>448486</v>
      </c>
      <c r="P265" s="105">
        <v>156710</v>
      </c>
      <c r="Q265" s="105">
        <v>246321</v>
      </c>
      <c r="R265" s="105">
        <v>214650</v>
      </c>
      <c r="S265" s="105">
        <v>49806</v>
      </c>
      <c r="T265" s="105">
        <v>10089</v>
      </c>
      <c r="U265" s="105">
        <v>116058</v>
      </c>
      <c r="V265" s="105">
        <v>125357</v>
      </c>
      <c r="W265">
        <f t="shared" si="92"/>
        <v>1367477</v>
      </c>
    </row>
    <row r="266" spans="1:23" x14ac:dyDescent="0.2">
      <c r="A266" t="s">
        <v>214</v>
      </c>
      <c r="B266">
        <f t="shared" si="89"/>
        <v>626446</v>
      </c>
      <c r="C266">
        <f t="shared" si="89"/>
        <v>149445</v>
      </c>
      <c r="D266">
        <f t="shared" si="89"/>
        <v>234145</v>
      </c>
      <c r="E266">
        <f t="shared" si="89"/>
        <v>269366</v>
      </c>
      <c r="F266">
        <f t="shared" si="89"/>
        <v>68923</v>
      </c>
      <c r="G266">
        <f t="shared" si="89"/>
        <v>4278</v>
      </c>
      <c r="H266">
        <f t="shared" si="89"/>
        <v>49850</v>
      </c>
      <c r="I266">
        <f t="shared" si="90"/>
        <v>143711</v>
      </c>
      <c r="J266">
        <f t="shared" si="91"/>
        <v>1546164</v>
      </c>
      <c r="N266" t="s">
        <v>214</v>
      </c>
      <c r="O266" s="105">
        <v>626446</v>
      </c>
      <c r="P266" s="105">
        <v>149445</v>
      </c>
      <c r="Q266" s="105">
        <v>234145</v>
      </c>
      <c r="R266" s="105">
        <v>269366</v>
      </c>
      <c r="S266" s="105">
        <v>68923</v>
      </c>
      <c r="T266" s="105">
        <v>4278</v>
      </c>
      <c r="U266" s="105">
        <v>49850</v>
      </c>
      <c r="V266" s="105">
        <v>143711</v>
      </c>
      <c r="W266">
        <f t="shared" si="92"/>
        <v>1546164</v>
      </c>
    </row>
    <row r="267" spans="1:23" x14ac:dyDescent="0.2">
      <c r="A267" t="s">
        <v>129</v>
      </c>
      <c r="B267">
        <f t="shared" si="89"/>
        <v>283715</v>
      </c>
      <c r="C267">
        <f t="shared" si="89"/>
        <v>51937</v>
      </c>
      <c r="D267">
        <f t="shared" si="89"/>
        <v>60683</v>
      </c>
      <c r="E267">
        <f t="shared" si="89"/>
        <v>70627</v>
      </c>
      <c r="F267">
        <f t="shared" si="89"/>
        <v>38744</v>
      </c>
      <c r="G267">
        <f t="shared" si="89"/>
        <v>17230</v>
      </c>
      <c r="H267">
        <f t="shared" si="89"/>
        <v>47326</v>
      </c>
      <c r="I267">
        <f t="shared" si="90"/>
        <v>21202</v>
      </c>
      <c r="J267">
        <f t="shared" si="91"/>
        <v>591464</v>
      </c>
      <c r="N267" t="s">
        <v>129</v>
      </c>
      <c r="O267" s="105">
        <v>283715</v>
      </c>
      <c r="P267" s="105">
        <v>51937</v>
      </c>
      <c r="Q267" s="105">
        <v>60683</v>
      </c>
      <c r="R267" s="105">
        <v>70627</v>
      </c>
      <c r="S267" s="105">
        <v>38744</v>
      </c>
      <c r="T267" s="105">
        <v>17230</v>
      </c>
      <c r="U267" s="105">
        <v>47326</v>
      </c>
      <c r="V267" s="105">
        <v>21202</v>
      </c>
      <c r="W267">
        <f t="shared" si="92"/>
        <v>591464</v>
      </c>
    </row>
    <row r="268" spans="1:23" x14ac:dyDescent="0.2">
      <c r="A268" t="s">
        <v>130</v>
      </c>
      <c r="B268">
        <f t="shared" si="89"/>
        <v>405292</v>
      </c>
      <c r="C268">
        <f t="shared" si="89"/>
        <v>139322</v>
      </c>
      <c r="D268">
        <f t="shared" si="89"/>
        <v>155218</v>
      </c>
      <c r="E268">
        <f t="shared" si="89"/>
        <v>168694</v>
      </c>
      <c r="F268">
        <f t="shared" si="89"/>
        <v>46814</v>
      </c>
      <c r="G268">
        <f t="shared" si="89"/>
        <v>18508</v>
      </c>
      <c r="H268">
        <f t="shared" si="89"/>
        <v>177194</v>
      </c>
      <c r="I268">
        <f t="shared" si="90"/>
        <v>114932</v>
      </c>
      <c r="J268">
        <f t="shared" si="91"/>
        <v>1225974</v>
      </c>
      <c r="N268" t="s">
        <v>130</v>
      </c>
      <c r="O268" s="105">
        <v>405292</v>
      </c>
      <c r="P268" s="105">
        <v>139322</v>
      </c>
      <c r="Q268" s="105">
        <v>155218</v>
      </c>
      <c r="R268" s="105">
        <v>168694</v>
      </c>
      <c r="S268" s="105">
        <v>46814</v>
      </c>
      <c r="T268" s="105">
        <v>18508</v>
      </c>
      <c r="U268" s="105">
        <v>177194</v>
      </c>
      <c r="V268" s="105">
        <v>114932</v>
      </c>
      <c r="W268">
        <f t="shared" si="92"/>
        <v>1225974</v>
      </c>
    </row>
    <row r="269" spans="1:23" x14ac:dyDescent="0.2">
      <c r="A269" t="s">
        <v>145</v>
      </c>
      <c r="B269">
        <f t="shared" si="89"/>
        <v>1749804</v>
      </c>
      <c r="C269">
        <f t="shared" si="89"/>
        <v>457931</v>
      </c>
      <c r="D269">
        <f t="shared" si="89"/>
        <v>427535</v>
      </c>
      <c r="E269">
        <f t="shared" si="89"/>
        <v>507358</v>
      </c>
      <c r="F269">
        <f t="shared" si="89"/>
        <v>261440</v>
      </c>
      <c r="G269">
        <f t="shared" si="89"/>
        <v>82040</v>
      </c>
      <c r="H269">
        <f t="shared" si="89"/>
        <v>536027</v>
      </c>
      <c r="I269">
        <f t="shared" si="90"/>
        <v>288292</v>
      </c>
      <c r="J269">
        <f t="shared" si="91"/>
        <v>4310427</v>
      </c>
      <c r="N269" t="s">
        <v>145</v>
      </c>
      <c r="O269" s="105">
        <v>1749804</v>
      </c>
      <c r="P269" s="105">
        <v>457931</v>
      </c>
      <c r="Q269" s="105">
        <v>427535</v>
      </c>
      <c r="R269" s="105">
        <v>507358</v>
      </c>
      <c r="S269" s="105">
        <v>261440</v>
      </c>
      <c r="T269" s="105">
        <v>82040</v>
      </c>
      <c r="U269" s="105">
        <v>536027</v>
      </c>
      <c r="V269" s="105">
        <v>288292</v>
      </c>
      <c r="W269">
        <f t="shared" si="92"/>
        <v>4310427</v>
      </c>
    </row>
    <row r="271" spans="1:23" x14ac:dyDescent="0.2">
      <c r="A271" t="s">
        <v>71</v>
      </c>
      <c r="B271" t="s">
        <v>58</v>
      </c>
      <c r="C271" t="s">
        <v>61</v>
      </c>
      <c r="D271" t="s">
        <v>62</v>
      </c>
      <c r="N271" t="s">
        <v>71</v>
      </c>
      <c r="O271" t="s">
        <v>58</v>
      </c>
      <c r="P271" t="s">
        <v>61</v>
      </c>
      <c r="Q271" t="s">
        <v>62</v>
      </c>
    </row>
    <row r="272" spans="1:23" x14ac:dyDescent="0.2">
      <c r="A272" t="s">
        <v>44</v>
      </c>
      <c r="B272" t="s">
        <v>296</v>
      </c>
      <c r="C272" t="s">
        <v>297</v>
      </c>
      <c r="D272" t="s">
        <v>298</v>
      </c>
      <c r="E272" t="s">
        <v>299</v>
      </c>
      <c r="F272" t="s">
        <v>27</v>
      </c>
      <c r="N272" t="s">
        <v>44</v>
      </c>
      <c r="O272" t="s">
        <v>296</v>
      </c>
      <c r="P272" t="s">
        <v>297</v>
      </c>
      <c r="Q272" t="s">
        <v>298</v>
      </c>
      <c r="R272" t="s">
        <v>299</v>
      </c>
      <c r="S272" t="s">
        <v>27</v>
      </c>
    </row>
    <row r="273" spans="1:19" x14ac:dyDescent="0.2">
      <c r="A273" t="s">
        <v>210</v>
      </c>
      <c r="B273">
        <f t="shared" ref="B273:D280" si="93">O273*$B$1</f>
        <v>42910</v>
      </c>
      <c r="C273">
        <f t="shared" si="93"/>
        <v>361440</v>
      </c>
      <c r="D273">
        <f t="shared" si="93"/>
        <v>331893</v>
      </c>
      <c r="E273">
        <f t="shared" ref="E273:E280" si="94">R273*$B$1</f>
        <v>1067570</v>
      </c>
      <c r="F273">
        <f t="shared" ref="F273:F280" si="95">S273*$B$1</f>
        <v>1803813</v>
      </c>
      <c r="N273" t="s">
        <v>210</v>
      </c>
      <c r="O273" s="105">
        <v>42910</v>
      </c>
      <c r="P273" s="105">
        <v>361440</v>
      </c>
      <c r="Q273" s="105">
        <v>331893</v>
      </c>
      <c r="R273" s="105">
        <v>1067570</v>
      </c>
      <c r="S273">
        <f>SUM(O273:R273)</f>
        <v>1803813</v>
      </c>
    </row>
    <row r="274" spans="1:19" x14ac:dyDescent="0.2">
      <c r="A274" t="s">
        <v>211</v>
      </c>
      <c r="B274">
        <f t="shared" si="93"/>
        <v>40362</v>
      </c>
      <c r="C274">
        <f t="shared" si="93"/>
        <v>124232</v>
      </c>
      <c r="D274">
        <f t="shared" si="93"/>
        <v>90437</v>
      </c>
      <c r="E274">
        <f t="shared" si="94"/>
        <v>247925</v>
      </c>
      <c r="F274">
        <f t="shared" si="95"/>
        <v>502956</v>
      </c>
      <c r="N274" t="s">
        <v>211</v>
      </c>
      <c r="O274" s="105">
        <v>40362</v>
      </c>
      <c r="P274" s="105">
        <v>124232</v>
      </c>
      <c r="Q274" s="105">
        <v>90437</v>
      </c>
      <c r="R274" s="105">
        <v>247925</v>
      </c>
      <c r="S274">
        <f t="shared" ref="S274:S280" si="96">SUM(O274:R274)</f>
        <v>502956</v>
      </c>
    </row>
    <row r="275" spans="1:19" x14ac:dyDescent="0.2">
      <c r="A275" t="s">
        <v>212</v>
      </c>
      <c r="B275">
        <f t="shared" si="93"/>
        <v>43295</v>
      </c>
      <c r="C275">
        <f t="shared" si="93"/>
        <v>186746</v>
      </c>
      <c r="D275">
        <f t="shared" si="93"/>
        <v>176784</v>
      </c>
      <c r="E275">
        <f t="shared" si="94"/>
        <v>524791</v>
      </c>
      <c r="F275">
        <f t="shared" si="95"/>
        <v>931616</v>
      </c>
      <c r="N275" t="s">
        <v>212</v>
      </c>
      <c r="O275" s="105">
        <v>43295</v>
      </c>
      <c r="P275" s="105">
        <v>186746</v>
      </c>
      <c r="Q275" s="105">
        <v>176784</v>
      </c>
      <c r="R275" s="105">
        <v>524791</v>
      </c>
      <c r="S275">
        <f t="shared" si="96"/>
        <v>931616</v>
      </c>
    </row>
    <row r="276" spans="1:19" x14ac:dyDescent="0.2">
      <c r="A276" t="s">
        <v>36</v>
      </c>
      <c r="B276">
        <f t="shared" si="93"/>
        <v>126648</v>
      </c>
      <c r="C276">
        <f t="shared" si="93"/>
        <v>402299</v>
      </c>
      <c r="D276">
        <f t="shared" si="93"/>
        <v>244016</v>
      </c>
      <c r="E276">
        <f t="shared" si="94"/>
        <v>594061</v>
      </c>
      <c r="F276">
        <f t="shared" si="95"/>
        <v>1367024</v>
      </c>
      <c r="N276" t="s">
        <v>36</v>
      </c>
      <c r="O276" s="105">
        <v>126648</v>
      </c>
      <c r="P276" s="105">
        <v>402299</v>
      </c>
      <c r="Q276" s="105">
        <v>244016</v>
      </c>
      <c r="R276" s="105">
        <v>594061</v>
      </c>
      <c r="S276">
        <f t="shared" si="96"/>
        <v>1367024</v>
      </c>
    </row>
    <row r="277" spans="1:19" x14ac:dyDescent="0.2">
      <c r="A277" t="s">
        <v>214</v>
      </c>
      <c r="B277">
        <f t="shared" si="93"/>
        <v>133658</v>
      </c>
      <c r="C277">
        <f t="shared" si="93"/>
        <v>410377</v>
      </c>
      <c r="D277">
        <f t="shared" si="93"/>
        <v>281970</v>
      </c>
      <c r="E277">
        <f t="shared" si="94"/>
        <v>719603</v>
      </c>
      <c r="F277">
        <f t="shared" si="95"/>
        <v>1545608</v>
      </c>
      <c r="N277" t="s">
        <v>214</v>
      </c>
      <c r="O277" s="105">
        <v>133658</v>
      </c>
      <c r="P277" s="105">
        <v>410377</v>
      </c>
      <c r="Q277" s="105">
        <v>281970</v>
      </c>
      <c r="R277" s="105">
        <v>719603</v>
      </c>
      <c r="S277">
        <f t="shared" si="96"/>
        <v>1545608</v>
      </c>
    </row>
    <row r="278" spans="1:19" x14ac:dyDescent="0.2">
      <c r="A278" t="s">
        <v>129</v>
      </c>
      <c r="B278">
        <f t="shared" si="93"/>
        <v>31746</v>
      </c>
      <c r="C278">
        <f t="shared" si="93"/>
        <v>141393</v>
      </c>
      <c r="D278">
        <f t="shared" si="93"/>
        <v>109439</v>
      </c>
      <c r="E278">
        <f t="shared" si="94"/>
        <v>308692</v>
      </c>
      <c r="F278">
        <f t="shared" si="95"/>
        <v>591270</v>
      </c>
      <c r="N278" t="s">
        <v>129</v>
      </c>
      <c r="O278" s="105">
        <v>31746</v>
      </c>
      <c r="P278" s="105">
        <v>141393</v>
      </c>
      <c r="Q278" s="105">
        <v>109439</v>
      </c>
      <c r="R278" s="105">
        <v>308692</v>
      </c>
      <c r="S278">
        <f t="shared" si="96"/>
        <v>591270</v>
      </c>
    </row>
    <row r="279" spans="1:19" x14ac:dyDescent="0.2">
      <c r="A279" t="s">
        <v>130</v>
      </c>
      <c r="B279">
        <f t="shared" si="93"/>
        <v>73805</v>
      </c>
      <c r="C279">
        <f t="shared" si="93"/>
        <v>299703</v>
      </c>
      <c r="D279">
        <f t="shared" si="93"/>
        <v>226773</v>
      </c>
      <c r="E279">
        <f t="shared" si="94"/>
        <v>625289</v>
      </c>
      <c r="F279">
        <f t="shared" si="95"/>
        <v>1225570</v>
      </c>
      <c r="N279" t="s">
        <v>130</v>
      </c>
      <c r="O279" s="105">
        <v>73805</v>
      </c>
      <c r="P279" s="105">
        <v>299703</v>
      </c>
      <c r="Q279" s="105">
        <v>226773</v>
      </c>
      <c r="R279" s="105">
        <v>625289</v>
      </c>
      <c r="S279">
        <f t="shared" si="96"/>
        <v>1225570</v>
      </c>
    </row>
    <row r="280" spans="1:19" x14ac:dyDescent="0.2">
      <c r="A280" t="s">
        <v>145</v>
      </c>
      <c r="B280">
        <f t="shared" si="93"/>
        <v>290049</v>
      </c>
      <c r="C280">
        <f t="shared" si="93"/>
        <v>1073940</v>
      </c>
      <c r="D280">
        <f t="shared" si="93"/>
        <v>797005</v>
      </c>
      <c r="E280">
        <f t="shared" si="94"/>
        <v>2148140</v>
      </c>
      <c r="F280">
        <f t="shared" si="95"/>
        <v>4309134</v>
      </c>
      <c r="N280" t="s">
        <v>145</v>
      </c>
      <c r="O280" s="105">
        <v>290049</v>
      </c>
      <c r="P280" s="105">
        <v>1073940</v>
      </c>
      <c r="Q280" s="105">
        <v>797005</v>
      </c>
      <c r="R280" s="105">
        <v>2148140</v>
      </c>
      <c r="S280">
        <f t="shared" si="96"/>
        <v>4309134</v>
      </c>
    </row>
    <row r="282" spans="1:19" x14ac:dyDescent="0.2">
      <c r="A282" t="s">
        <v>71</v>
      </c>
      <c r="B282" t="s">
        <v>58</v>
      </c>
      <c r="C282" t="s">
        <v>279</v>
      </c>
      <c r="D282" t="s">
        <v>280</v>
      </c>
      <c r="N282" t="s">
        <v>71</v>
      </c>
      <c r="O282" t="s">
        <v>58</v>
      </c>
      <c r="P282" t="s">
        <v>279</v>
      </c>
      <c r="Q282" t="s">
        <v>280</v>
      </c>
    </row>
    <row r="283" spans="1:19" x14ac:dyDescent="0.2">
      <c r="A283" t="s">
        <v>44</v>
      </c>
      <c r="B283" t="s">
        <v>98</v>
      </c>
      <c r="C283" t="s">
        <v>281</v>
      </c>
      <c r="D283" t="s">
        <v>282</v>
      </c>
      <c r="E283" t="s">
        <v>283</v>
      </c>
      <c r="F283" t="s">
        <v>27</v>
      </c>
      <c r="N283" t="s">
        <v>44</v>
      </c>
      <c r="O283" t="s">
        <v>98</v>
      </c>
      <c r="P283" t="s">
        <v>281</v>
      </c>
      <c r="Q283" t="s">
        <v>282</v>
      </c>
      <c r="R283" t="s">
        <v>283</v>
      </c>
      <c r="S283" t="s">
        <v>27</v>
      </c>
    </row>
    <row r="284" spans="1:19" x14ac:dyDescent="0.2">
      <c r="A284" t="s">
        <v>210</v>
      </c>
      <c r="B284">
        <f t="shared" ref="B284:D291" si="97">O284*$B$1</f>
        <v>60287</v>
      </c>
      <c r="C284">
        <f t="shared" si="97"/>
        <v>421364</v>
      </c>
      <c r="D284">
        <f t="shared" si="97"/>
        <v>1011927</v>
      </c>
      <c r="E284">
        <f t="shared" ref="E284:E291" si="98">R284*$B$1</f>
        <v>310631</v>
      </c>
      <c r="F284">
        <f t="shared" ref="F284:F291" si="99">S284*$B$1</f>
        <v>1804209</v>
      </c>
      <c r="N284" t="s">
        <v>210</v>
      </c>
      <c r="O284" s="105">
        <v>60287</v>
      </c>
      <c r="P284" s="105">
        <v>421364</v>
      </c>
      <c r="Q284" s="105">
        <v>1011927</v>
      </c>
      <c r="R284" s="105">
        <v>310631</v>
      </c>
      <c r="S284">
        <f>SUM(O284:R284)</f>
        <v>1804209</v>
      </c>
    </row>
    <row r="285" spans="1:19" x14ac:dyDescent="0.2">
      <c r="A285" t="s">
        <v>211</v>
      </c>
      <c r="B285">
        <f t="shared" si="97"/>
        <v>23150</v>
      </c>
      <c r="C285">
        <f t="shared" si="97"/>
        <v>173905</v>
      </c>
      <c r="D285">
        <f t="shared" si="97"/>
        <v>241266</v>
      </c>
      <c r="E285">
        <f t="shared" si="98"/>
        <v>64789</v>
      </c>
      <c r="F285">
        <f t="shared" si="99"/>
        <v>503110</v>
      </c>
      <c r="N285" t="s">
        <v>211</v>
      </c>
      <c r="O285" s="105">
        <v>23150</v>
      </c>
      <c r="P285" s="105">
        <v>173905</v>
      </c>
      <c r="Q285" s="105">
        <v>241266</v>
      </c>
      <c r="R285" s="105">
        <v>64789</v>
      </c>
      <c r="S285">
        <f t="shared" ref="S285:S291" si="100">SUM(O285:R285)</f>
        <v>503110</v>
      </c>
    </row>
    <row r="286" spans="1:19" x14ac:dyDescent="0.2">
      <c r="A286" t="s">
        <v>212</v>
      </c>
      <c r="B286">
        <f t="shared" si="97"/>
        <v>25387</v>
      </c>
      <c r="C286">
        <f t="shared" si="97"/>
        <v>266788</v>
      </c>
      <c r="D286">
        <f t="shared" si="97"/>
        <v>498156</v>
      </c>
      <c r="E286">
        <f t="shared" si="98"/>
        <v>141492</v>
      </c>
      <c r="F286">
        <f t="shared" si="99"/>
        <v>931823</v>
      </c>
      <c r="N286" t="s">
        <v>212</v>
      </c>
      <c r="O286" s="105">
        <v>25387</v>
      </c>
      <c r="P286" s="105">
        <v>266788</v>
      </c>
      <c r="Q286" s="105">
        <v>498156</v>
      </c>
      <c r="R286" s="105">
        <v>141492</v>
      </c>
      <c r="S286">
        <f t="shared" si="100"/>
        <v>931823</v>
      </c>
    </row>
    <row r="287" spans="1:19" x14ac:dyDescent="0.2">
      <c r="A287" t="s">
        <v>36</v>
      </c>
      <c r="B287">
        <f t="shared" si="97"/>
        <v>81494</v>
      </c>
      <c r="C287">
        <f t="shared" si="97"/>
        <v>316017</v>
      </c>
      <c r="D287">
        <f t="shared" si="97"/>
        <v>760959</v>
      </c>
      <c r="E287">
        <f t="shared" si="98"/>
        <v>209007</v>
      </c>
      <c r="F287">
        <f t="shared" si="99"/>
        <v>1367477</v>
      </c>
      <c r="N287" t="s">
        <v>36</v>
      </c>
      <c r="O287" s="105">
        <v>81494</v>
      </c>
      <c r="P287" s="105">
        <v>316017</v>
      </c>
      <c r="Q287" s="105">
        <v>760959</v>
      </c>
      <c r="R287" s="105">
        <v>209007</v>
      </c>
      <c r="S287">
        <f t="shared" si="100"/>
        <v>1367477</v>
      </c>
    </row>
    <row r="288" spans="1:19" x14ac:dyDescent="0.2">
      <c r="A288" t="s">
        <v>214</v>
      </c>
      <c r="B288">
        <f t="shared" si="97"/>
        <v>97726</v>
      </c>
      <c r="C288">
        <f t="shared" si="97"/>
        <v>359908</v>
      </c>
      <c r="D288">
        <f t="shared" si="97"/>
        <v>849325</v>
      </c>
      <c r="E288">
        <f t="shared" si="98"/>
        <v>239205</v>
      </c>
      <c r="F288">
        <f t="shared" si="99"/>
        <v>1546164</v>
      </c>
      <c r="N288" t="s">
        <v>214</v>
      </c>
      <c r="O288" s="105">
        <v>97726</v>
      </c>
      <c r="P288" s="105">
        <v>359908</v>
      </c>
      <c r="Q288" s="105">
        <v>849325</v>
      </c>
      <c r="R288" s="105">
        <v>239205</v>
      </c>
      <c r="S288">
        <f t="shared" si="100"/>
        <v>1546164</v>
      </c>
    </row>
    <row r="289" spans="1:22" x14ac:dyDescent="0.2">
      <c r="A289" t="s">
        <v>129</v>
      </c>
      <c r="B289">
        <f t="shared" si="97"/>
        <v>26341</v>
      </c>
      <c r="C289">
        <f t="shared" si="97"/>
        <v>162404</v>
      </c>
      <c r="D289">
        <f t="shared" si="97"/>
        <v>311766</v>
      </c>
      <c r="E289">
        <f t="shared" si="98"/>
        <v>90953</v>
      </c>
      <c r="F289">
        <f t="shared" si="99"/>
        <v>591464</v>
      </c>
      <c r="N289" t="s">
        <v>129</v>
      </c>
      <c r="O289" s="105">
        <v>26341</v>
      </c>
      <c r="P289" s="105">
        <v>162404</v>
      </c>
      <c r="Q289" s="105">
        <v>311766</v>
      </c>
      <c r="R289" s="105">
        <v>90953</v>
      </c>
      <c r="S289">
        <f t="shared" si="100"/>
        <v>591464</v>
      </c>
    </row>
    <row r="290" spans="1:22" x14ac:dyDescent="0.2">
      <c r="A290" t="s">
        <v>130</v>
      </c>
      <c r="B290">
        <f t="shared" si="97"/>
        <v>46914</v>
      </c>
      <c r="C290">
        <f t="shared" si="97"/>
        <v>284472</v>
      </c>
      <c r="D290">
        <f t="shared" si="97"/>
        <v>694165</v>
      </c>
      <c r="E290">
        <f t="shared" si="98"/>
        <v>200423</v>
      </c>
      <c r="F290">
        <f t="shared" si="99"/>
        <v>1225974</v>
      </c>
      <c r="N290" t="s">
        <v>130</v>
      </c>
      <c r="O290" s="105">
        <v>46914</v>
      </c>
      <c r="P290" s="105">
        <v>284472</v>
      </c>
      <c r="Q290" s="105">
        <v>694165</v>
      </c>
      <c r="R290" s="105">
        <v>200423</v>
      </c>
      <c r="S290">
        <f t="shared" si="100"/>
        <v>1225974</v>
      </c>
    </row>
    <row r="291" spans="1:22" x14ac:dyDescent="0.2">
      <c r="A291" t="s">
        <v>145</v>
      </c>
      <c r="B291">
        <f t="shared" si="97"/>
        <v>219187</v>
      </c>
      <c r="C291">
        <f t="shared" si="97"/>
        <v>1074601</v>
      </c>
      <c r="D291">
        <f t="shared" si="97"/>
        <v>2347952</v>
      </c>
      <c r="E291">
        <f t="shared" si="98"/>
        <v>668687</v>
      </c>
      <c r="F291">
        <f t="shared" si="99"/>
        <v>4310427</v>
      </c>
      <c r="N291" t="s">
        <v>145</v>
      </c>
      <c r="O291" s="105">
        <v>219187</v>
      </c>
      <c r="P291" s="105">
        <v>1074601</v>
      </c>
      <c r="Q291" s="105">
        <v>2347952</v>
      </c>
      <c r="R291" s="105">
        <v>668687</v>
      </c>
      <c r="S291">
        <f t="shared" si="100"/>
        <v>4310427</v>
      </c>
    </row>
    <row r="293" spans="1:22" x14ac:dyDescent="0.2">
      <c r="A293" t="s">
        <v>71</v>
      </c>
      <c r="B293" t="s">
        <v>58</v>
      </c>
      <c r="C293" t="s">
        <v>63</v>
      </c>
      <c r="D293" t="s">
        <v>64</v>
      </c>
      <c r="N293" t="s">
        <v>71</v>
      </c>
      <c r="O293" t="s">
        <v>58</v>
      </c>
      <c r="P293" t="s">
        <v>63</v>
      </c>
      <c r="Q293" t="s">
        <v>64</v>
      </c>
    </row>
    <row r="294" spans="1:22" x14ac:dyDescent="0.2">
      <c r="A294" t="s">
        <v>44</v>
      </c>
      <c r="B294" t="s">
        <v>10862</v>
      </c>
      <c r="C294" t="s">
        <v>10863</v>
      </c>
      <c r="D294" t="s">
        <v>10864</v>
      </c>
      <c r="E294" t="s">
        <v>10865</v>
      </c>
      <c r="F294" t="s">
        <v>1689</v>
      </c>
      <c r="G294" t="s">
        <v>10866</v>
      </c>
      <c r="H294" t="s">
        <v>10867</v>
      </c>
      <c r="I294" t="s">
        <v>221</v>
      </c>
      <c r="N294" t="s">
        <v>44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>
        <v>7</v>
      </c>
      <c r="V294" t="s">
        <v>27</v>
      </c>
    </row>
    <row r="295" spans="1:22" x14ac:dyDescent="0.2">
      <c r="A295" t="s">
        <v>210</v>
      </c>
      <c r="B295">
        <f t="shared" ref="B295:F302" si="101">O295*$B$1</f>
        <v>0</v>
      </c>
      <c r="C295">
        <f t="shared" si="101"/>
        <v>0</v>
      </c>
      <c r="D295">
        <f t="shared" si="101"/>
        <v>0</v>
      </c>
      <c r="E295">
        <f t="shared" si="101"/>
        <v>0</v>
      </c>
      <c r="F295">
        <f t="shared" si="101"/>
        <v>505672</v>
      </c>
      <c r="G295">
        <f t="shared" ref="G295:G302" si="102">T295*$B$1</f>
        <v>116870</v>
      </c>
      <c r="H295">
        <f t="shared" ref="H295:I302" si="103">U295*$B$1</f>
        <v>1547480</v>
      </c>
      <c r="I295">
        <f t="shared" si="103"/>
        <v>2170022</v>
      </c>
      <c r="N295" t="s">
        <v>210</v>
      </c>
      <c r="O295" s="105">
        <v>0</v>
      </c>
      <c r="P295" s="105">
        <v>0</v>
      </c>
      <c r="Q295" s="105">
        <v>0</v>
      </c>
      <c r="R295" s="105">
        <v>0</v>
      </c>
      <c r="S295">
        <v>505672</v>
      </c>
      <c r="T295">
        <v>116870</v>
      </c>
      <c r="U295">
        <v>1547480</v>
      </c>
      <c r="V295">
        <f>SUM(O295:U295)</f>
        <v>2170022</v>
      </c>
    </row>
    <row r="296" spans="1:22" x14ac:dyDescent="0.2">
      <c r="A296" t="s">
        <v>211</v>
      </c>
      <c r="B296">
        <f t="shared" si="101"/>
        <v>0</v>
      </c>
      <c r="C296">
        <f t="shared" si="101"/>
        <v>0</v>
      </c>
      <c r="D296">
        <f t="shared" si="101"/>
        <v>0</v>
      </c>
      <c r="E296">
        <f t="shared" si="101"/>
        <v>0</v>
      </c>
      <c r="F296">
        <f t="shared" si="101"/>
        <v>120611</v>
      </c>
      <c r="G296">
        <f t="shared" si="102"/>
        <v>6700</v>
      </c>
      <c r="H296">
        <f t="shared" si="103"/>
        <v>514635</v>
      </c>
      <c r="I296">
        <f t="shared" si="103"/>
        <v>641946</v>
      </c>
      <c r="N296" t="s">
        <v>211</v>
      </c>
      <c r="O296" s="105">
        <v>0</v>
      </c>
      <c r="P296" s="105">
        <v>0</v>
      </c>
      <c r="Q296" s="105">
        <v>0</v>
      </c>
      <c r="R296" s="105">
        <v>0</v>
      </c>
      <c r="S296">
        <v>120611</v>
      </c>
      <c r="T296">
        <v>6700</v>
      </c>
      <c r="U296">
        <v>514635</v>
      </c>
      <c r="V296">
        <f t="shared" ref="V296:V302" si="104">SUM(O296:U296)</f>
        <v>641946</v>
      </c>
    </row>
    <row r="297" spans="1:22" x14ac:dyDescent="0.2">
      <c r="A297" t="s">
        <v>212</v>
      </c>
      <c r="B297">
        <f t="shared" si="101"/>
        <v>0</v>
      </c>
      <c r="C297">
        <f t="shared" si="101"/>
        <v>0</v>
      </c>
      <c r="D297">
        <f t="shared" si="101"/>
        <v>0</v>
      </c>
      <c r="E297">
        <f t="shared" si="101"/>
        <v>0</v>
      </c>
      <c r="F297">
        <f t="shared" si="101"/>
        <v>219525</v>
      </c>
      <c r="G297">
        <f t="shared" si="102"/>
        <v>36199</v>
      </c>
      <c r="H297">
        <f t="shared" si="103"/>
        <v>921849</v>
      </c>
      <c r="I297">
        <f t="shared" si="103"/>
        <v>1177573</v>
      </c>
      <c r="N297" t="s">
        <v>212</v>
      </c>
      <c r="O297" s="105">
        <v>0</v>
      </c>
      <c r="P297" s="105">
        <v>0</v>
      </c>
      <c r="Q297" s="105">
        <v>0</v>
      </c>
      <c r="R297" s="105">
        <v>0</v>
      </c>
      <c r="S297">
        <v>219525</v>
      </c>
      <c r="T297">
        <v>36199</v>
      </c>
      <c r="U297">
        <v>921849</v>
      </c>
      <c r="V297">
        <f t="shared" si="104"/>
        <v>1177573</v>
      </c>
    </row>
    <row r="298" spans="1:22" x14ac:dyDescent="0.2">
      <c r="A298" t="s">
        <v>36</v>
      </c>
      <c r="B298">
        <f t="shared" si="101"/>
        <v>0</v>
      </c>
      <c r="C298">
        <f t="shared" si="101"/>
        <v>0</v>
      </c>
      <c r="D298">
        <f t="shared" si="101"/>
        <v>0</v>
      </c>
      <c r="E298">
        <f t="shared" si="101"/>
        <v>0</v>
      </c>
      <c r="F298">
        <f t="shared" si="101"/>
        <v>327460</v>
      </c>
      <c r="G298">
        <f t="shared" si="102"/>
        <v>66179</v>
      </c>
      <c r="H298">
        <f t="shared" si="103"/>
        <v>1244225</v>
      </c>
      <c r="I298">
        <f t="shared" si="103"/>
        <v>1637864</v>
      </c>
      <c r="N298" t="s">
        <v>36</v>
      </c>
      <c r="O298" s="105">
        <v>0</v>
      </c>
      <c r="P298" s="105">
        <v>0</v>
      </c>
      <c r="Q298" s="105">
        <v>0</v>
      </c>
      <c r="R298" s="105">
        <v>0</v>
      </c>
      <c r="S298">
        <v>327460</v>
      </c>
      <c r="T298">
        <v>66179</v>
      </c>
      <c r="U298">
        <v>1244225</v>
      </c>
      <c r="V298">
        <f t="shared" si="104"/>
        <v>1637864</v>
      </c>
    </row>
    <row r="299" spans="1:22" x14ac:dyDescent="0.2">
      <c r="A299" t="s">
        <v>214</v>
      </c>
      <c r="B299">
        <f t="shared" si="101"/>
        <v>0</v>
      </c>
      <c r="C299">
        <f t="shared" si="101"/>
        <v>0</v>
      </c>
      <c r="D299">
        <f t="shared" si="101"/>
        <v>0</v>
      </c>
      <c r="E299">
        <f t="shared" si="101"/>
        <v>0</v>
      </c>
      <c r="F299">
        <f t="shared" si="101"/>
        <v>345120</v>
      </c>
      <c r="G299">
        <f t="shared" si="102"/>
        <v>89922</v>
      </c>
      <c r="H299">
        <f t="shared" si="103"/>
        <v>1387895</v>
      </c>
      <c r="I299">
        <f t="shared" si="103"/>
        <v>1822937</v>
      </c>
      <c r="N299" t="s">
        <v>214</v>
      </c>
      <c r="O299" s="105">
        <v>0</v>
      </c>
      <c r="P299" s="105">
        <v>0</v>
      </c>
      <c r="Q299" s="105">
        <v>0</v>
      </c>
      <c r="R299" s="105">
        <v>0</v>
      </c>
      <c r="S299">
        <v>345120</v>
      </c>
      <c r="T299">
        <v>89922</v>
      </c>
      <c r="U299">
        <v>1387895</v>
      </c>
      <c r="V299">
        <f t="shared" si="104"/>
        <v>1822937</v>
      </c>
    </row>
    <row r="300" spans="1:22" x14ac:dyDescent="0.2">
      <c r="A300" t="s">
        <v>129</v>
      </c>
      <c r="B300">
        <f t="shared" si="101"/>
        <v>0</v>
      </c>
      <c r="C300">
        <f t="shared" si="101"/>
        <v>0</v>
      </c>
      <c r="D300">
        <f t="shared" si="101"/>
        <v>0</v>
      </c>
      <c r="E300">
        <f t="shared" si="101"/>
        <v>0</v>
      </c>
      <c r="F300">
        <f t="shared" si="101"/>
        <v>177280</v>
      </c>
      <c r="G300">
        <f t="shared" si="102"/>
        <v>52770</v>
      </c>
      <c r="H300">
        <f t="shared" si="103"/>
        <v>497074</v>
      </c>
      <c r="I300">
        <f t="shared" si="103"/>
        <v>727124</v>
      </c>
      <c r="N300" t="s">
        <v>129</v>
      </c>
      <c r="O300" s="105">
        <v>0</v>
      </c>
      <c r="P300" s="105">
        <v>0</v>
      </c>
      <c r="Q300" s="105">
        <v>0</v>
      </c>
      <c r="R300" s="105">
        <v>0</v>
      </c>
      <c r="S300">
        <v>177280</v>
      </c>
      <c r="T300">
        <v>52770</v>
      </c>
      <c r="U300">
        <v>497074</v>
      </c>
      <c r="V300">
        <f t="shared" si="104"/>
        <v>727124</v>
      </c>
    </row>
    <row r="301" spans="1:22" x14ac:dyDescent="0.2">
      <c r="A301" t="s">
        <v>130</v>
      </c>
      <c r="B301">
        <f t="shared" si="101"/>
        <v>0</v>
      </c>
      <c r="C301">
        <f t="shared" si="101"/>
        <v>0</v>
      </c>
      <c r="D301">
        <f t="shared" si="101"/>
        <v>0</v>
      </c>
      <c r="E301">
        <f t="shared" si="101"/>
        <v>0</v>
      </c>
      <c r="F301">
        <f t="shared" si="101"/>
        <v>311419</v>
      </c>
      <c r="G301">
        <f t="shared" si="102"/>
        <v>51567</v>
      </c>
      <c r="H301">
        <f t="shared" si="103"/>
        <v>1150352</v>
      </c>
      <c r="I301">
        <f t="shared" si="103"/>
        <v>1513338</v>
      </c>
      <c r="N301" t="s">
        <v>130</v>
      </c>
      <c r="O301" s="105">
        <v>0</v>
      </c>
      <c r="P301" s="105">
        <v>0</v>
      </c>
      <c r="Q301" s="105">
        <v>0</v>
      </c>
      <c r="R301" s="105">
        <v>0</v>
      </c>
      <c r="S301">
        <v>311419</v>
      </c>
      <c r="T301">
        <v>51567</v>
      </c>
      <c r="U301">
        <v>1150352</v>
      </c>
      <c r="V301">
        <f t="shared" si="104"/>
        <v>1513338</v>
      </c>
    </row>
    <row r="302" spans="1:22" x14ac:dyDescent="0.2">
      <c r="A302" t="s">
        <v>145</v>
      </c>
      <c r="B302">
        <f t="shared" si="101"/>
        <v>0</v>
      </c>
      <c r="C302">
        <f t="shared" si="101"/>
        <v>0</v>
      </c>
      <c r="D302">
        <f t="shared" si="101"/>
        <v>0</v>
      </c>
      <c r="E302">
        <f t="shared" si="101"/>
        <v>0</v>
      </c>
      <c r="F302">
        <f t="shared" si="101"/>
        <v>1028583</v>
      </c>
      <c r="G302">
        <f t="shared" si="102"/>
        <v>230956</v>
      </c>
      <c r="H302">
        <f t="shared" si="103"/>
        <v>3963252</v>
      </c>
      <c r="I302">
        <f t="shared" si="103"/>
        <v>5222791</v>
      </c>
      <c r="N302" t="s">
        <v>145</v>
      </c>
      <c r="O302" s="105">
        <v>0</v>
      </c>
      <c r="P302" s="105">
        <v>0</v>
      </c>
      <c r="Q302" s="105">
        <v>0</v>
      </c>
      <c r="R302" s="105">
        <v>0</v>
      </c>
      <c r="S302">
        <v>1028583</v>
      </c>
      <c r="T302">
        <v>230956</v>
      </c>
      <c r="U302">
        <v>3963252</v>
      </c>
      <c r="V302">
        <f t="shared" si="104"/>
        <v>5222791</v>
      </c>
    </row>
    <row r="304" spans="1:22" x14ac:dyDescent="0.2">
      <c r="A304" t="s">
        <v>72</v>
      </c>
      <c r="B304" t="s">
        <v>34</v>
      </c>
      <c r="C304" t="s">
        <v>35</v>
      </c>
      <c r="N304" t="s">
        <v>72</v>
      </c>
      <c r="O304" t="s">
        <v>34</v>
      </c>
      <c r="P304" t="s">
        <v>35</v>
      </c>
    </row>
    <row r="305" spans="1:15" x14ac:dyDescent="0.2">
      <c r="A305" t="s">
        <v>73</v>
      </c>
      <c r="B305" t="s">
        <v>27</v>
      </c>
      <c r="N305" t="s">
        <v>73</v>
      </c>
      <c r="O305" t="s">
        <v>27</v>
      </c>
    </row>
    <row r="306" spans="1:15" x14ac:dyDescent="0.2">
      <c r="A306" t="s">
        <v>21</v>
      </c>
      <c r="B306">
        <f t="shared" ref="B306:B313" si="105">O306*$B$1</f>
        <v>1101733</v>
      </c>
      <c r="N306" t="s">
        <v>21</v>
      </c>
      <c r="O306" s="105">
        <v>1101733</v>
      </c>
    </row>
    <row r="307" spans="1:15" x14ac:dyDescent="0.2">
      <c r="A307" t="s">
        <v>22</v>
      </c>
      <c r="B307">
        <f t="shared" si="105"/>
        <v>274554</v>
      </c>
      <c r="N307" t="s">
        <v>22</v>
      </c>
      <c r="O307" s="105">
        <v>274554</v>
      </c>
    </row>
    <row r="308" spans="1:15" x14ac:dyDescent="0.2">
      <c r="A308" t="s">
        <v>148</v>
      </c>
      <c r="B308">
        <f t="shared" si="105"/>
        <v>313576</v>
      </c>
      <c r="N308" t="s">
        <v>148</v>
      </c>
      <c r="O308" s="105">
        <v>313576</v>
      </c>
    </row>
    <row r="309" spans="1:15" x14ac:dyDescent="0.2">
      <c r="A309" t="s">
        <v>243</v>
      </c>
      <c r="B309">
        <f t="shared" si="105"/>
        <v>306209</v>
      </c>
      <c r="N309" t="s">
        <v>243</v>
      </c>
      <c r="O309" s="105">
        <v>306209</v>
      </c>
    </row>
    <row r="310" spans="1:15" x14ac:dyDescent="0.2">
      <c r="A310" t="s">
        <v>23</v>
      </c>
      <c r="B310">
        <f t="shared" si="105"/>
        <v>153455</v>
      </c>
      <c r="N310" t="s">
        <v>23</v>
      </c>
      <c r="O310" s="105">
        <v>153455</v>
      </c>
    </row>
    <row r="311" spans="1:15" x14ac:dyDescent="0.2">
      <c r="A311" t="s">
        <v>24</v>
      </c>
      <c r="B311">
        <f t="shared" si="105"/>
        <v>63692</v>
      </c>
      <c r="N311" t="s">
        <v>24</v>
      </c>
      <c r="O311" s="105">
        <v>63692</v>
      </c>
    </row>
    <row r="312" spans="1:15" x14ac:dyDescent="0.2">
      <c r="A312" t="s">
        <v>25</v>
      </c>
      <c r="B312">
        <f t="shared" si="105"/>
        <v>377036</v>
      </c>
      <c r="N312" t="s">
        <v>25</v>
      </c>
      <c r="O312" s="105">
        <v>377036</v>
      </c>
    </row>
    <row r="313" spans="1:15" x14ac:dyDescent="0.2">
      <c r="A313" t="s">
        <v>26</v>
      </c>
      <c r="B313">
        <f t="shared" si="105"/>
        <v>181483</v>
      </c>
      <c r="N313" t="s">
        <v>26</v>
      </c>
      <c r="O313" s="105">
        <v>181483</v>
      </c>
    </row>
    <row r="315" spans="1:15" x14ac:dyDescent="0.2">
      <c r="A315" t="s">
        <v>72</v>
      </c>
      <c r="B315" t="s">
        <v>74</v>
      </c>
      <c r="N315" t="s">
        <v>72</v>
      </c>
      <c r="O315" t="s">
        <v>74</v>
      </c>
    </row>
    <row r="316" spans="1:15" x14ac:dyDescent="0.2">
      <c r="A316" t="s">
        <v>75</v>
      </c>
      <c r="B316" t="s">
        <v>27</v>
      </c>
      <c r="N316" t="s">
        <v>75</v>
      </c>
      <c r="O316" t="s">
        <v>27</v>
      </c>
    </row>
    <row r="317" spans="1:15" x14ac:dyDescent="0.2">
      <c r="A317" t="s">
        <v>296</v>
      </c>
      <c r="B317">
        <f>O317*$B$1</f>
        <v>186668</v>
      </c>
      <c r="N317" t="s">
        <v>296</v>
      </c>
      <c r="O317" s="105">
        <v>186668</v>
      </c>
    </row>
    <row r="318" spans="1:15" x14ac:dyDescent="0.2">
      <c r="A318" t="s">
        <v>297</v>
      </c>
      <c r="B318">
        <f>O318*$B$1</f>
        <v>693369</v>
      </c>
      <c r="N318" t="s">
        <v>297</v>
      </c>
      <c r="O318" s="105">
        <v>693369</v>
      </c>
    </row>
    <row r="319" spans="1:15" x14ac:dyDescent="0.2">
      <c r="A319" t="s">
        <v>298</v>
      </c>
      <c r="B319">
        <f>O319*$B$1</f>
        <v>514282</v>
      </c>
      <c r="N319" t="s">
        <v>298</v>
      </c>
      <c r="O319" s="105">
        <v>514282</v>
      </c>
    </row>
    <row r="320" spans="1:15" x14ac:dyDescent="0.2">
      <c r="A320" t="s">
        <v>299</v>
      </c>
      <c r="B320">
        <f>O320*$B$1</f>
        <v>1376608</v>
      </c>
      <c r="N320" t="s">
        <v>299</v>
      </c>
      <c r="O320" s="105">
        <v>1376608</v>
      </c>
    </row>
    <row r="322" spans="1:16" x14ac:dyDescent="0.2">
      <c r="A322" t="s">
        <v>72</v>
      </c>
      <c r="B322" t="s">
        <v>284</v>
      </c>
      <c r="C322" t="s">
        <v>285</v>
      </c>
      <c r="N322" t="s">
        <v>72</v>
      </c>
      <c r="O322" t="s">
        <v>284</v>
      </c>
      <c r="P322" t="s">
        <v>285</v>
      </c>
    </row>
    <row r="323" spans="1:16" x14ac:dyDescent="0.2">
      <c r="A323" t="s">
        <v>286</v>
      </c>
      <c r="B323" t="s">
        <v>27</v>
      </c>
      <c r="N323" t="s">
        <v>286</v>
      </c>
      <c r="O323" t="s">
        <v>27</v>
      </c>
    </row>
    <row r="324" spans="1:16" x14ac:dyDescent="0.2">
      <c r="A324" t="s">
        <v>98</v>
      </c>
      <c r="B324">
        <f>O324*$B$1</f>
        <v>141396</v>
      </c>
      <c r="N324" t="s">
        <v>98</v>
      </c>
      <c r="O324" s="105">
        <v>141396</v>
      </c>
    </row>
    <row r="325" spans="1:16" x14ac:dyDescent="0.2">
      <c r="A325" t="s">
        <v>281</v>
      </c>
      <c r="B325">
        <f>O325*$B$1</f>
        <v>707228</v>
      </c>
      <c r="N325" t="s">
        <v>281</v>
      </c>
      <c r="O325" s="105">
        <v>707228</v>
      </c>
    </row>
    <row r="326" spans="1:16" x14ac:dyDescent="0.2">
      <c r="A326" t="s">
        <v>282</v>
      </c>
      <c r="B326">
        <f>O326*$B$1</f>
        <v>1493563</v>
      </c>
      <c r="N326" t="s">
        <v>282</v>
      </c>
      <c r="O326" s="105">
        <v>1493563</v>
      </c>
    </row>
    <row r="327" spans="1:16" x14ac:dyDescent="0.2">
      <c r="A327" t="s">
        <v>283</v>
      </c>
      <c r="B327">
        <f>O327*$B$1</f>
        <v>429551</v>
      </c>
      <c r="N327" t="s">
        <v>283</v>
      </c>
      <c r="O327" s="105">
        <v>429551</v>
      </c>
    </row>
    <row r="329" spans="1:16" x14ac:dyDescent="0.2">
      <c r="A329" t="s">
        <v>72</v>
      </c>
      <c r="B329" t="s">
        <v>76</v>
      </c>
      <c r="N329" t="s">
        <v>72</v>
      </c>
      <c r="O329" t="s">
        <v>76</v>
      </c>
    </row>
    <row r="330" spans="1:16" x14ac:dyDescent="0.2">
      <c r="A330" t="s">
        <v>300</v>
      </c>
      <c r="B330" t="s">
        <v>27</v>
      </c>
      <c r="N330" t="s">
        <v>300</v>
      </c>
      <c r="O330" t="s">
        <v>27</v>
      </c>
    </row>
    <row r="331" spans="1:16" x14ac:dyDescent="0.2">
      <c r="A331" t="s">
        <v>10862</v>
      </c>
      <c r="B331">
        <f>O331*$B$1</f>
        <v>620</v>
      </c>
      <c r="N331">
        <v>1</v>
      </c>
      <c r="O331" s="105">
        <v>620</v>
      </c>
    </row>
    <row r="332" spans="1:16" x14ac:dyDescent="0.2">
      <c r="A332" t="s">
        <v>10863</v>
      </c>
      <c r="B332">
        <f>O332*$B$1</f>
        <v>168</v>
      </c>
      <c r="N332">
        <v>2</v>
      </c>
      <c r="O332" s="105">
        <v>168</v>
      </c>
    </row>
    <row r="333" spans="1:16" x14ac:dyDescent="0.2">
      <c r="A333" t="s">
        <v>10864</v>
      </c>
      <c r="B333">
        <f>O333*$B$1</f>
        <v>756</v>
      </c>
      <c r="N333">
        <v>3</v>
      </c>
      <c r="O333" s="105">
        <v>756</v>
      </c>
    </row>
    <row r="334" spans="1:16" x14ac:dyDescent="0.2">
      <c r="A334" t="s">
        <v>10865</v>
      </c>
      <c r="B334">
        <f>O334*$B$1</f>
        <v>502</v>
      </c>
      <c r="N334">
        <v>4</v>
      </c>
      <c r="O334" s="105">
        <v>502</v>
      </c>
    </row>
    <row r="335" spans="1:16" x14ac:dyDescent="0.2">
      <c r="A335" t="s">
        <v>1689</v>
      </c>
      <c r="B335">
        <f t="shared" ref="B335:B337" si="106">O335*$B$1</f>
        <v>525803</v>
      </c>
      <c r="N335">
        <v>5</v>
      </c>
      <c r="O335">
        <v>525803</v>
      </c>
    </row>
    <row r="336" spans="1:16" x14ac:dyDescent="0.2">
      <c r="A336" t="s">
        <v>10866</v>
      </c>
      <c r="B336">
        <f t="shared" si="106"/>
        <v>63262</v>
      </c>
      <c r="N336">
        <v>6</v>
      </c>
      <c r="O336">
        <v>63262</v>
      </c>
    </row>
    <row r="337" spans="1:15" x14ac:dyDescent="0.2">
      <c r="A337" t="s">
        <v>10867</v>
      </c>
      <c r="B337">
        <f t="shared" si="106"/>
        <v>2180627</v>
      </c>
      <c r="O337">
        <v>2180627</v>
      </c>
    </row>
  </sheetData>
  <phoneticPr fontId="5"/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W337"/>
  <sheetViews>
    <sheetView topLeftCell="A252" workbookViewId="0">
      <selection activeCell="G287" sqref="G287"/>
    </sheetView>
  </sheetViews>
  <sheetFormatPr defaultColWidth="11" defaultRowHeight="12.75" x14ac:dyDescent="0.2"/>
  <sheetData>
    <row r="1" spans="1:23" x14ac:dyDescent="0.2">
      <c r="A1" t="s">
        <v>290</v>
      </c>
      <c r="B1">
        <v>1</v>
      </c>
    </row>
    <row r="2" spans="1:23" x14ac:dyDescent="0.2">
      <c r="A2" t="s">
        <v>17</v>
      </c>
      <c r="B2" t="s">
        <v>18</v>
      </c>
      <c r="C2" t="s">
        <v>19</v>
      </c>
      <c r="N2" t="s">
        <v>17</v>
      </c>
      <c r="O2" t="s">
        <v>18</v>
      </c>
      <c r="P2" t="s">
        <v>19</v>
      </c>
    </row>
    <row r="3" spans="1:23" x14ac:dyDescent="0.2">
      <c r="A3" t="s">
        <v>20</v>
      </c>
      <c r="B3" t="s">
        <v>21</v>
      </c>
      <c r="C3" t="s">
        <v>22</v>
      </c>
      <c r="D3" t="s">
        <v>148</v>
      </c>
      <c r="E3" t="s">
        <v>243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N3" t="s">
        <v>20</v>
      </c>
      <c r="O3" t="s">
        <v>21</v>
      </c>
      <c r="P3" t="s">
        <v>22</v>
      </c>
      <c r="Q3" t="s">
        <v>148</v>
      </c>
      <c r="R3" t="s">
        <v>243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</row>
    <row r="4" spans="1:23" x14ac:dyDescent="0.2">
      <c r="A4">
        <v>0</v>
      </c>
      <c r="B4">
        <f t="shared" ref="B4:J7" si="0">O4*$B$1</f>
        <v>121253.7539</v>
      </c>
      <c r="C4">
        <f t="shared" si="0"/>
        <v>46680.988799999999</v>
      </c>
      <c r="D4">
        <f t="shared" si="0"/>
        <v>87300.062600000005</v>
      </c>
      <c r="E4">
        <f t="shared" si="0"/>
        <v>132023.72229999999</v>
      </c>
      <c r="F4">
        <f t="shared" si="0"/>
        <v>13407.931399999999</v>
      </c>
      <c r="G4">
        <f t="shared" si="0"/>
        <v>10939.2585</v>
      </c>
      <c r="H4">
        <f t="shared" si="0"/>
        <v>67961.6057</v>
      </c>
      <c r="I4">
        <f t="shared" si="0"/>
        <v>69626.179099999994</v>
      </c>
      <c r="J4">
        <f t="shared" si="0"/>
        <v>549193.50230000005</v>
      </c>
      <c r="N4">
        <v>0</v>
      </c>
      <c r="O4">
        <v>121253.7539</v>
      </c>
      <c r="P4">
        <v>46680.988799999999</v>
      </c>
      <c r="Q4">
        <v>87300.062600000005</v>
      </c>
      <c r="R4">
        <v>132023.72229999999</v>
      </c>
      <c r="S4">
        <v>13407.931399999999</v>
      </c>
      <c r="T4">
        <v>10939.2585</v>
      </c>
      <c r="U4">
        <v>67961.6057</v>
      </c>
      <c r="V4">
        <v>69626.179099999994</v>
      </c>
      <c r="W4">
        <f>SUM(O4:V4)</f>
        <v>549193.50230000005</v>
      </c>
    </row>
    <row r="5" spans="1:23" x14ac:dyDescent="0.2">
      <c r="A5">
        <v>1</v>
      </c>
      <c r="B5">
        <f t="shared" si="0"/>
        <v>726950.99959999998</v>
      </c>
      <c r="C5">
        <f t="shared" si="0"/>
        <v>134419.54509999999</v>
      </c>
      <c r="D5">
        <f t="shared" si="0"/>
        <v>152070.54149999999</v>
      </c>
      <c r="E5">
        <f t="shared" si="0"/>
        <v>207129.55100000001</v>
      </c>
      <c r="F5">
        <f t="shared" si="0"/>
        <v>56673.218800000002</v>
      </c>
      <c r="G5">
        <f t="shared" si="0"/>
        <v>46243.436900000001</v>
      </c>
      <c r="H5">
        <f t="shared" si="0"/>
        <v>264776.09639999998</v>
      </c>
      <c r="I5">
        <f t="shared" si="0"/>
        <v>106355.51700000001</v>
      </c>
      <c r="J5">
        <f t="shared" si="0"/>
        <v>1694618.9062999999</v>
      </c>
      <c r="N5">
        <v>1</v>
      </c>
      <c r="O5">
        <v>726950.99959999998</v>
      </c>
      <c r="P5">
        <v>134419.54509999999</v>
      </c>
      <c r="Q5">
        <v>152070.54149999999</v>
      </c>
      <c r="R5">
        <v>207129.55100000001</v>
      </c>
      <c r="S5">
        <v>56673.218800000002</v>
      </c>
      <c r="T5">
        <v>46243.436900000001</v>
      </c>
      <c r="U5">
        <v>264776.09639999998</v>
      </c>
      <c r="V5">
        <v>106355.51700000001</v>
      </c>
      <c r="W5">
        <f>SUM(O5:V5)</f>
        <v>1694618.9062999999</v>
      </c>
    </row>
    <row r="6" spans="1:23" x14ac:dyDescent="0.2">
      <c r="A6">
        <v>2</v>
      </c>
      <c r="B6">
        <f t="shared" si="0"/>
        <v>305744.13640000002</v>
      </c>
      <c r="C6">
        <f t="shared" si="0"/>
        <v>80703.577900000004</v>
      </c>
      <c r="D6">
        <f t="shared" si="0"/>
        <v>76918.068799999994</v>
      </c>
      <c r="E6">
        <f t="shared" si="0"/>
        <v>119350.48790000001</v>
      </c>
      <c r="F6">
        <f t="shared" si="0"/>
        <v>22999.0818</v>
      </c>
      <c r="G6">
        <f t="shared" si="0"/>
        <v>10995.078800000001</v>
      </c>
      <c r="H6">
        <f t="shared" si="0"/>
        <v>104316.13370000001</v>
      </c>
      <c r="I6">
        <f t="shared" si="0"/>
        <v>52762.417999999998</v>
      </c>
      <c r="J6">
        <f t="shared" si="0"/>
        <v>773788.98329999996</v>
      </c>
      <c r="N6">
        <v>2</v>
      </c>
      <c r="O6">
        <v>305744.13640000002</v>
      </c>
      <c r="P6">
        <v>80703.577900000004</v>
      </c>
      <c r="Q6">
        <v>76918.068799999994</v>
      </c>
      <c r="R6">
        <v>119350.48790000001</v>
      </c>
      <c r="S6">
        <v>22999.0818</v>
      </c>
      <c r="T6">
        <v>10995.078800000001</v>
      </c>
      <c r="U6">
        <v>104316.13370000001</v>
      </c>
      <c r="V6">
        <v>52762.417999999998</v>
      </c>
      <c r="W6">
        <f>SUM(O6:V6)</f>
        <v>773788.98329999996</v>
      </c>
    </row>
    <row r="7" spans="1:23" x14ac:dyDescent="0.2">
      <c r="A7">
        <v>3</v>
      </c>
      <c r="B7">
        <f t="shared" si="0"/>
        <v>84606.362899999993</v>
      </c>
      <c r="C7">
        <f t="shared" si="0"/>
        <v>43428.729899999998</v>
      </c>
      <c r="D7">
        <f t="shared" si="0"/>
        <v>26452.989799999999</v>
      </c>
      <c r="E7">
        <f t="shared" si="0"/>
        <v>75322.3698</v>
      </c>
      <c r="F7">
        <f t="shared" si="0"/>
        <v>11052.840399999999</v>
      </c>
      <c r="G7">
        <f t="shared" si="0"/>
        <v>2310.0034999999998</v>
      </c>
      <c r="H7">
        <f t="shared" si="0"/>
        <v>18605.689900000001</v>
      </c>
      <c r="I7">
        <f t="shared" si="0"/>
        <v>13533.0427</v>
      </c>
      <c r="J7">
        <f t="shared" si="0"/>
        <v>275312.02889999998</v>
      </c>
      <c r="N7">
        <v>3</v>
      </c>
      <c r="O7">
        <v>84606.362899999993</v>
      </c>
      <c r="P7">
        <v>43428.729899999998</v>
      </c>
      <c r="Q7">
        <v>26452.989799999999</v>
      </c>
      <c r="R7">
        <v>75322.3698</v>
      </c>
      <c r="S7">
        <v>11052.840399999999</v>
      </c>
      <c r="T7">
        <v>2310.0034999999998</v>
      </c>
      <c r="U7">
        <v>18605.689900000001</v>
      </c>
      <c r="V7">
        <v>13533.0427</v>
      </c>
      <c r="W7">
        <f>SUM(O7:V7)</f>
        <v>275312.02889999998</v>
      </c>
    </row>
    <row r="9" spans="1:23" x14ac:dyDescent="0.2">
      <c r="A9" t="s">
        <v>17</v>
      </c>
      <c r="B9" t="s">
        <v>28</v>
      </c>
      <c r="C9" t="s">
        <v>29</v>
      </c>
      <c r="D9" t="s">
        <v>30</v>
      </c>
      <c r="E9" t="s">
        <v>31</v>
      </c>
      <c r="N9" t="s">
        <v>17</v>
      </c>
      <c r="O9" t="s">
        <v>28</v>
      </c>
      <c r="P9" t="s">
        <v>29</v>
      </c>
      <c r="Q9" t="s">
        <v>30</v>
      </c>
      <c r="R9" t="s">
        <v>31</v>
      </c>
    </row>
    <row r="10" spans="1:23" x14ac:dyDescent="0.2">
      <c r="A10" t="s">
        <v>28</v>
      </c>
      <c r="B10" t="s">
        <v>21</v>
      </c>
      <c r="C10" t="s">
        <v>22</v>
      </c>
      <c r="D10" t="s">
        <v>148</v>
      </c>
      <c r="E10" t="s">
        <v>243</v>
      </c>
      <c r="F10" t="s">
        <v>23</v>
      </c>
      <c r="G10" t="s">
        <v>24</v>
      </c>
      <c r="H10" t="s">
        <v>25</v>
      </c>
      <c r="I10" t="s">
        <v>26</v>
      </c>
      <c r="J10" t="s">
        <v>27</v>
      </c>
      <c r="N10" t="s">
        <v>28</v>
      </c>
      <c r="O10" t="s">
        <v>21</v>
      </c>
      <c r="P10" t="s">
        <v>22</v>
      </c>
      <c r="Q10" t="s">
        <v>148</v>
      </c>
      <c r="R10" t="s">
        <v>243</v>
      </c>
      <c r="S10" t="s">
        <v>23</v>
      </c>
      <c r="T10" t="s">
        <v>24</v>
      </c>
      <c r="U10" t="s">
        <v>25</v>
      </c>
      <c r="V10" t="s">
        <v>26</v>
      </c>
      <c r="W10" t="s">
        <v>27</v>
      </c>
    </row>
    <row r="11" spans="1:23" x14ac:dyDescent="0.2">
      <c r="A11" t="s">
        <v>226</v>
      </c>
      <c r="B11">
        <f t="shared" ref="B11:J23" si="1">O11*$B$1</f>
        <v>121253.7539</v>
      </c>
      <c r="C11">
        <f t="shared" si="1"/>
        <v>46680.988799999999</v>
      </c>
      <c r="D11">
        <f t="shared" si="1"/>
        <v>87300.062600000005</v>
      </c>
      <c r="E11">
        <f t="shared" si="1"/>
        <v>132023.72229999999</v>
      </c>
      <c r="F11">
        <f t="shared" si="1"/>
        <v>13407.931399999999</v>
      </c>
      <c r="G11">
        <f t="shared" si="1"/>
        <v>10939.2585</v>
      </c>
      <c r="H11">
        <f t="shared" si="1"/>
        <v>67961.6057</v>
      </c>
      <c r="I11">
        <f t="shared" si="1"/>
        <v>69626.179099999994</v>
      </c>
      <c r="J11">
        <f t="shared" si="1"/>
        <v>549193.50230000005</v>
      </c>
      <c r="N11" t="s">
        <v>226</v>
      </c>
      <c r="O11">
        <v>121253.7539</v>
      </c>
      <c r="P11">
        <v>46680.988799999999</v>
      </c>
      <c r="Q11">
        <v>87300.062600000005</v>
      </c>
      <c r="R11">
        <v>132023.72229999999</v>
      </c>
      <c r="S11">
        <v>13407.931399999999</v>
      </c>
      <c r="T11">
        <v>10939.2585</v>
      </c>
      <c r="U11">
        <v>67961.6057</v>
      </c>
      <c r="V11">
        <v>69626.179099999994</v>
      </c>
      <c r="W11">
        <f>SUM(O11:V11)</f>
        <v>549193.50230000005</v>
      </c>
    </row>
    <row r="12" spans="1:23" x14ac:dyDescent="0.2">
      <c r="A12" s="95" t="s">
        <v>231</v>
      </c>
      <c r="B12">
        <f t="shared" si="1"/>
        <v>329076.62479999999</v>
      </c>
      <c r="C12">
        <f t="shared" si="1"/>
        <v>49627.502200000003</v>
      </c>
      <c r="D12">
        <f t="shared" si="1"/>
        <v>58890.610399999998</v>
      </c>
      <c r="E12">
        <f t="shared" si="1"/>
        <v>98074.649900000004</v>
      </c>
      <c r="F12">
        <f t="shared" si="1"/>
        <v>19353.887699999999</v>
      </c>
      <c r="G12">
        <f t="shared" si="1"/>
        <v>38840.232199999999</v>
      </c>
      <c r="H12">
        <f t="shared" si="1"/>
        <v>179642.02470000001</v>
      </c>
      <c r="I12">
        <f t="shared" si="1"/>
        <v>58670.178399999997</v>
      </c>
      <c r="J12">
        <f t="shared" si="1"/>
        <v>832175.7102999998</v>
      </c>
      <c r="N12" s="95" t="s">
        <v>231</v>
      </c>
      <c r="O12">
        <v>329076.62479999999</v>
      </c>
      <c r="P12">
        <v>49627.502200000003</v>
      </c>
      <c r="Q12">
        <v>58890.610399999998</v>
      </c>
      <c r="R12">
        <v>98074.649900000004</v>
      </c>
      <c r="S12">
        <v>19353.887699999999</v>
      </c>
      <c r="T12">
        <v>38840.232199999999</v>
      </c>
      <c r="U12">
        <v>179642.02470000001</v>
      </c>
      <c r="V12">
        <v>58670.178399999997</v>
      </c>
      <c r="W12">
        <f t="shared" ref="W12:W23" si="2">SUM(O12:V12)</f>
        <v>832175.7102999998</v>
      </c>
    </row>
    <row r="13" spans="1:23" x14ac:dyDescent="0.2">
      <c r="A13" s="93" t="s">
        <v>232</v>
      </c>
      <c r="B13">
        <f t="shared" si="1"/>
        <v>166032.39309999999</v>
      </c>
      <c r="C13">
        <f t="shared" si="1"/>
        <v>38398.448499999999</v>
      </c>
      <c r="D13">
        <f t="shared" si="1"/>
        <v>32313.0173</v>
      </c>
      <c r="E13">
        <f t="shared" si="1"/>
        <v>56306.915500000003</v>
      </c>
      <c r="F13">
        <f t="shared" si="1"/>
        <v>15312.7364</v>
      </c>
      <c r="G13">
        <f t="shared" si="1"/>
        <v>4268.2847000000002</v>
      </c>
      <c r="H13">
        <f t="shared" si="1"/>
        <v>35602.186900000001</v>
      </c>
      <c r="I13">
        <f t="shared" si="1"/>
        <v>25795.653600000001</v>
      </c>
      <c r="J13">
        <f t="shared" si="1"/>
        <v>374029.636</v>
      </c>
      <c r="N13" s="93" t="s">
        <v>232</v>
      </c>
      <c r="O13">
        <v>166032.39309999999</v>
      </c>
      <c r="P13">
        <v>38398.448499999999</v>
      </c>
      <c r="Q13">
        <v>32313.0173</v>
      </c>
      <c r="R13">
        <v>56306.915500000003</v>
      </c>
      <c r="S13">
        <v>15312.7364</v>
      </c>
      <c r="T13">
        <v>4268.2847000000002</v>
      </c>
      <c r="U13">
        <v>35602.186900000001</v>
      </c>
      <c r="V13">
        <v>25795.653600000001</v>
      </c>
      <c r="W13">
        <f t="shared" si="2"/>
        <v>374029.636</v>
      </c>
    </row>
    <row r="14" spans="1:23" x14ac:dyDescent="0.2">
      <c r="A14" s="93" t="s">
        <v>207</v>
      </c>
      <c r="B14">
        <f t="shared" si="1"/>
        <v>126692.2455</v>
      </c>
      <c r="C14">
        <f t="shared" si="1"/>
        <v>23352.892599999999</v>
      </c>
      <c r="D14">
        <f t="shared" si="1"/>
        <v>28278.6626</v>
      </c>
      <c r="E14">
        <f t="shared" si="1"/>
        <v>24961.272799999999</v>
      </c>
      <c r="F14">
        <f t="shared" si="1"/>
        <v>10148.260200000001</v>
      </c>
      <c r="G14">
        <f t="shared" si="1"/>
        <v>1604.9158</v>
      </c>
      <c r="H14">
        <f t="shared" si="1"/>
        <v>35336.728199999998</v>
      </c>
      <c r="I14">
        <f t="shared" si="1"/>
        <v>11771.4858</v>
      </c>
      <c r="J14">
        <f t="shared" si="1"/>
        <v>262146.46350000001</v>
      </c>
      <c r="N14" s="93" t="s">
        <v>207</v>
      </c>
      <c r="O14">
        <v>126692.2455</v>
      </c>
      <c r="P14">
        <v>23352.892599999999</v>
      </c>
      <c r="Q14">
        <v>28278.6626</v>
      </c>
      <c r="R14">
        <v>24961.272799999999</v>
      </c>
      <c r="S14">
        <v>10148.260200000001</v>
      </c>
      <c r="T14">
        <v>1604.9158</v>
      </c>
      <c r="U14">
        <v>35336.728199999998</v>
      </c>
      <c r="V14">
        <v>11771.4858</v>
      </c>
      <c r="W14">
        <f t="shared" si="2"/>
        <v>262146.46350000001</v>
      </c>
    </row>
    <row r="15" spans="1:23" x14ac:dyDescent="0.2">
      <c r="A15" t="s">
        <v>9</v>
      </c>
      <c r="B15">
        <f t="shared" si="1"/>
        <v>105149.7362</v>
      </c>
      <c r="C15">
        <f t="shared" si="1"/>
        <v>23040.701799999999</v>
      </c>
      <c r="D15">
        <f t="shared" si="1"/>
        <v>32588.251199999999</v>
      </c>
      <c r="E15">
        <f t="shared" si="1"/>
        <v>27786.712800000001</v>
      </c>
      <c r="F15">
        <f t="shared" si="1"/>
        <v>11858.334500000001</v>
      </c>
      <c r="G15">
        <f t="shared" si="1"/>
        <v>1530.0042000000001</v>
      </c>
      <c r="H15">
        <f t="shared" si="1"/>
        <v>14195.1566</v>
      </c>
      <c r="I15">
        <f t="shared" si="1"/>
        <v>10118.199200000001</v>
      </c>
      <c r="J15">
        <f t="shared" si="1"/>
        <v>226267.09649999999</v>
      </c>
      <c r="N15" t="s">
        <v>9</v>
      </c>
      <c r="O15">
        <v>105149.7362</v>
      </c>
      <c r="P15">
        <v>23040.701799999999</v>
      </c>
      <c r="Q15">
        <v>32588.251199999999</v>
      </c>
      <c r="R15">
        <v>27786.712800000001</v>
      </c>
      <c r="S15">
        <v>11858.334500000001</v>
      </c>
      <c r="T15">
        <v>1530.0042000000001</v>
      </c>
      <c r="U15">
        <v>14195.1566</v>
      </c>
      <c r="V15">
        <v>10118.199200000001</v>
      </c>
      <c r="W15">
        <f t="shared" si="2"/>
        <v>226267.09649999999</v>
      </c>
    </row>
    <row r="16" spans="1:23" x14ac:dyDescent="0.2">
      <c r="A16" s="95" t="s">
        <v>233</v>
      </c>
      <c r="B16">
        <f t="shared" si="1"/>
        <v>108840.531</v>
      </c>
      <c r="C16">
        <f t="shared" si="1"/>
        <v>29899.618699999999</v>
      </c>
      <c r="D16">
        <f t="shared" si="1"/>
        <v>29161.123599999999</v>
      </c>
      <c r="E16">
        <f t="shared" si="1"/>
        <v>37009.216200000003</v>
      </c>
      <c r="F16">
        <f t="shared" si="1"/>
        <v>7111.4286000000002</v>
      </c>
      <c r="G16">
        <f t="shared" si="1"/>
        <v>5538.3986999999997</v>
      </c>
      <c r="H16">
        <f t="shared" si="1"/>
        <v>56036.622499999998</v>
      </c>
      <c r="I16">
        <f t="shared" si="1"/>
        <v>15849.2047</v>
      </c>
      <c r="J16">
        <f t="shared" si="1"/>
        <v>289446.14399999997</v>
      </c>
      <c r="N16" s="95" t="s">
        <v>233</v>
      </c>
      <c r="O16">
        <v>108840.531</v>
      </c>
      <c r="P16">
        <v>29899.618699999999</v>
      </c>
      <c r="Q16">
        <v>29161.123599999999</v>
      </c>
      <c r="R16">
        <v>37009.216200000003</v>
      </c>
      <c r="S16">
        <v>7111.4286000000002</v>
      </c>
      <c r="T16">
        <v>5538.3986999999997</v>
      </c>
      <c r="U16">
        <v>56036.622499999998</v>
      </c>
      <c r="V16">
        <v>15849.2047</v>
      </c>
      <c r="W16">
        <f t="shared" si="2"/>
        <v>289446.14399999997</v>
      </c>
    </row>
    <row r="17" spans="1:23" x14ac:dyDescent="0.2">
      <c r="A17" s="93" t="s">
        <v>234</v>
      </c>
      <c r="B17">
        <f t="shared" si="1"/>
        <v>75795.548599999995</v>
      </c>
      <c r="C17">
        <f t="shared" si="1"/>
        <v>19541.535800000001</v>
      </c>
      <c r="D17">
        <f t="shared" si="1"/>
        <v>16740.113399999998</v>
      </c>
      <c r="E17">
        <f t="shared" si="1"/>
        <v>30608.728800000001</v>
      </c>
      <c r="F17">
        <f t="shared" si="1"/>
        <v>6505.3355999999994</v>
      </c>
      <c r="G17">
        <f t="shared" si="1"/>
        <v>3671.1267000000003</v>
      </c>
      <c r="H17">
        <f t="shared" si="1"/>
        <v>27638.103899999998</v>
      </c>
      <c r="I17">
        <f t="shared" si="1"/>
        <v>15559.909299999999</v>
      </c>
      <c r="J17">
        <f t="shared" si="1"/>
        <v>196060.40209999998</v>
      </c>
      <c r="N17" s="93" t="s">
        <v>234</v>
      </c>
      <c r="O17">
        <v>75795.548599999995</v>
      </c>
      <c r="P17">
        <v>19541.535800000001</v>
      </c>
      <c r="Q17">
        <v>16740.113399999998</v>
      </c>
      <c r="R17">
        <v>30608.728800000001</v>
      </c>
      <c r="S17">
        <v>6505.3355999999994</v>
      </c>
      <c r="T17">
        <v>3671.1267000000003</v>
      </c>
      <c r="U17">
        <v>27638.103899999998</v>
      </c>
      <c r="V17">
        <v>15559.909299999999</v>
      </c>
      <c r="W17">
        <f t="shared" si="2"/>
        <v>196060.40209999998</v>
      </c>
    </row>
    <row r="18" spans="1:23" x14ac:dyDescent="0.2">
      <c r="A18" s="93" t="s">
        <v>208</v>
      </c>
      <c r="B18">
        <f t="shared" si="1"/>
        <v>55783.366900000001</v>
      </c>
      <c r="C18">
        <f t="shared" si="1"/>
        <v>12988.9326</v>
      </c>
      <c r="D18">
        <f t="shared" si="1"/>
        <v>14237.8061</v>
      </c>
      <c r="E18">
        <f t="shared" si="1"/>
        <v>20493.155299999999</v>
      </c>
      <c r="F18">
        <f t="shared" si="1"/>
        <v>3749.3190999999997</v>
      </c>
      <c r="G18">
        <f t="shared" si="1"/>
        <v>716.88099999999997</v>
      </c>
      <c r="H18">
        <f t="shared" si="1"/>
        <v>14150.244500000001</v>
      </c>
      <c r="I18">
        <f t="shared" si="1"/>
        <v>7583.38</v>
      </c>
      <c r="J18">
        <f t="shared" si="1"/>
        <v>129703.08549999999</v>
      </c>
      <c r="N18" s="93" t="s">
        <v>208</v>
      </c>
      <c r="O18">
        <v>55783.366900000001</v>
      </c>
      <c r="P18">
        <v>12988.9326</v>
      </c>
      <c r="Q18">
        <v>14237.8061</v>
      </c>
      <c r="R18">
        <v>20493.155299999999</v>
      </c>
      <c r="S18">
        <v>3749.3190999999997</v>
      </c>
      <c r="T18">
        <v>716.88099999999997</v>
      </c>
      <c r="U18">
        <v>14150.244500000001</v>
      </c>
      <c r="V18">
        <v>7583.38</v>
      </c>
      <c r="W18">
        <f t="shared" si="2"/>
        <v>129703.08549999999</v>
      </c>
    </row>
    <row r="19" spans="1:23" x14ac:dyDescent="0.2">
      <c r="A19" t="s">
        <v>10</v>
      </c>
      <c r="B19">
        <f t="shared" si="1"/>
        <v>65324.689899999998</v>
      </c>
      <c r="C19">
        <f t="shared" si="1"/>
        <v>18273.4908</v>
      </c>
      <c r="D19">
        <f t="shared" si="1"/>
        <v>16779.025699999998</v>
      </c>
      <c r="E19">
        <f t="shared" si="1"/>
        <v>31239.387600000002</v>
      </c>
      <c r="F19">
        <f t="shared" si="1"/>
        <v>5632.9984999999997</v>
      </c>
      <c r="G19">
        <f t="shared" si="1"/>
        <v>1068.6723999999999</v>
      </c>
      <c r="H19">
        <f t="shared" si="1"/>
        <v>6491.1628000000001</v>
      </c>
      <c r="I19">
        <f t="shared" si="1"/>
        <v>13769.924000000001</v>
      </c>
      <c r="J19">
        <f t="shared" si="1"/>
        <v>158579.35169999997</v>
      </c>
      <c r="N19" t="s">
        <v>10</v>
      </c>
      <c r="O19">
        <v>65324.689899999998</v>
      </c>
      <c r="P19">
        <v>18273.4908</v>
      </c>
      <c r="Q19">
        <v>16779.025699999998</v>
      </c>
      <c r="R19">
        <v>31239.387600000002</v>
      </c>
      <c r="S19">
        <v>5632.9984999999997</v>
      </c>
      <c r="T19">
        <v>1068.6723999999999</v>
      </c>
      <c r="U19">
        <v>6491.1628000000001</v>
      </c>
      <c r="V19">
        <v>13769.924000000001</v>
      </c>
      <c r="W19">
        <f t="shared" si="2"/>
        <v>158579.35169999997</v>
      </c>
    </row>
    <row r="20" spans="1:23" x14ac:dyDescent="0.2">
      <c r="A20" s="95" t="s">
        <v>227</v>
      </c>
      <c r="B20">
        <f t="shared" si="1"/>
        <v>26298.513599999998</v>
      </c>
      <c r="C20">
        <f t="shared" si="1"/>
        <v>12668.8069</v>
      </c>
      <c r="D20">
        <f t="shared" si="1"/>
        <v>10137.6847</v>
      </c>
      <c r="E20">
        <f t="shared" si="1"/>
        <v>27279.942900000002</v>
      </c>
      <c r="F20">
        <f t="shared" si="1"/>
        <v>2919.1940999999997</v>
      </c>
      <c r="G20">
        <f t="shared" si="1"/>
        <v>1276.2311</v>
      </c>
      <c r="H20">
        <f t="shared" si="1"/>
        <v>6740.4522999999999</v>
      </c>
      <c r="I20">
        <f t="shared" si="1"/>
        <v>2652.6931</v>
      </c>
      <c r="J20">
        <f t="shared" si="1"/>
        <v>89973.518700000015</v>
      </c>
      <c r="N20" s="95" t="s">
        <v>227</v>
      </c>
      <c r="O20">
        <v>26298.513599999998</v>
      </c>
      <c r="P20">
        <v>12668.8069</v>
      </c>
      <c r="Q20">
        <v>10137.6847</v>
      </c>
      <c r="R20">
        <v>27279.942900000002</v>
      </c>
      <c r="S20">
        <v>2919.1940999999997</v>
      </c>
      <c r="T20">
        <v>1276.2311</v>
      </c>
      <c r="U20">
        <v>6740.4522999999999</v>
      </c>
      <c r="V20">
        <v>2652.6931</v>
      </c>
      <c r="W20">
        <f t="shared" si="2"/>
        <v>89973.518700000015</v>
      </c>
    </row>
    <row r="21" spans="1:23" x14ac:dyDescent="0.2">
      <c r="A21" s="93" t="s">
        <v>230</v>
      </c>
      <c r="B21">
        <f t="shared" si="1"/>
        <v>23823.316800000001</v>
      </c>
      <c r="C21">
        <f t="shared" si="1"/>
        <v>12441.0506</v>
      </c>
      <c r="D21">
        <f t="shared" si="1"/>
        <v>5868.4017000000003</v>
      </c>
      <c r="E21">
        <f t="shared" si="1"/>
        <v>16908.887699999999</v>
      </c>
      <c r="F21">
        <f t="shared" si="1"/>
        <v>1603.5974000000001</v>
      </c>
      <c r="G21">
        <f t="shared" si="1"/>
        <v>624.63400000000001</v>
      </c>
      <c r="H21">
        <f t="shared" si="1"/>
        <v>7428.1841000000004</v>
      </c>
      <c r="I21">
        <f t="shared" si="1"/>
        <v>2962.8834000000002</v>
      </c>
      <c r="J21">
        <f t="shared" si="1"/>
        <v>71660.955700000006</v>
      </c>
      <c r="N21" s="93" t="s">
        <v>230</v>
      </c>
      <c r="O21">
        <v>23823.316800000001</v>
      </c>
      <c r="P21">
        <v>12441.0506</v>
      </c>
      <c r="Q21">
        <v>5868.4017000000003</v>
      </c>
      <c r="R21">
        <v>16908.887699999999</v>
      </c>
      <c r="S21">
        <v>1603.5974000000001</v>
      </c>
      <c r="T21">
        <v>624.63400000000001</v>
      </c>
      <c r="U21">
        <v>7428.1841000000004</v>
      </c>
      <c r="V21">
        <v>2962.8834000000002</v>
      </c>
      <c r="W21">
        <f t="shared" si="2"/>
        <v>71660.955700000006</v>
      </c>
    </row>
    <row r="22" spans="1:23" x14ac:dyDescent="0.2">
      <c r="A22" s="93" t="s">
        <v>11</v>
      </c>
      <c r="B22">
        <f t="shared" si="1"/>
        <v>11235.9835</v>
      </c>
      <c r="C22">
        <f t="shared" si="1"/>
        <v>4610.0828000000001</v>
      </c>
      <c r="D22">
        <f t="shared" si="1"/>
        <v>3730.9247999999998</v>
      </c>
      <c r="E22">
        <f t="shared" si="1"/>
        <v>10159.2557</v>
      </c>
      <c r="F22">
        <f t="shared" si="1"/>
        <v>2807.8681000000001</v>
      </c>
      <c r="G22">
        <f t="shared" si="1"/>
        <v>409.13839999999999</v>
      </c>
      <c r="H22">
        <f t="shared" si="1"/>
        <v>1336.7948000000001</v>
      </c>
      <c r="I22">
        <f t="shared" si="1"/>
        <v>3413.1522999999997</v>
      </c>
      <c r="J22">
        <f t="shared" si="1"/>
        <v>37703.200400000009</v>
      </c>
      <c r="N22" s="93" t="s">
        <v>11</v>
      </c>
      <c r="O22">
        <v>11235.9835</v>
      </c>
      <c r="P22">
        <v>4610.0828000000001</v>
      </c>
      <c r="Q22">
        <v>3730.9247999999998</v>
      </c>
      <c r="R22">
        <v>10159.2557</v>
      </c>
      <c r="S22">
        <v>2807.8681000000001</v>
      </c>
      <c r="T22">
        <v>409.13839999999999</v>
      </c>
      <c r="U22">
        <v>1336.7948000000001</v>
      </c>
      <c r="V22">
        <v>3413.1522999999997</v>
      </c>
      <c r="W22">
        <f t="shared" si="2"/>
        <v>37703.200400000009</v>
      </c>
    </row>
    <row r="23" spans="1:23" x14ac:dyDescent="0.2">
      <c r="A23" t="s">
        <v>206</v>
      </c>
      <c r="B23">
        <f t="shared" si="1"/>
        <v>23248.548999999999</v>
      </c>
      <c r="C23">
        <f t="shared" si="1"/>
        <v>13708.7896</v>
      </c>
      <c r="D23">
        <f t="shared" si="1"/>
        <v>6715.9786000000004</v>
      </c>
      <c r="E23">
        <f t="shared" si="1"/>
        <v>20974.283500000001</v>
      </c>
      <c r="F23">
        <f t="shared" si="1"/>
        <v>3722.1808000000001</v>
      </c>
      <c r="G23">
        <f t="shared" si="1"/>
        <v>0</v>
      </c>
      <c r="H23">
        <f t="shared" si="1"/>
        <v>3100.2586999999999</v>
      </c>
      <c r="I23">
        <f t="shared" si="1"/>
        <v>4504.3139000000001</v>
      </c>
      <c r="J23">
        <f t="shared" si="1"/>
        <v>75974.354100000011</v>
      </c>
      <c r="N23" t="s">
        <v>206</v>
      </c>
      <c r="O23">
        <v>23248.548999999999</v>
      </c>
      <c r="P23">
        <v>13708.7896</v>
      </c>
      <c r="Q23">
        <v>6715.9786000000004</v>
      </c>
      <c r="R23">
        <v>20974.283500000001</v>
      </c>
      <c r="S23">
        <v>3722.1808000000001</v>
      </c>
      <c r="T23">
        <v>0</v>
      </c>
      <c r="U23">
        <v>3100.2586999999999</v>
      </c>
      <c r="V23">
        <v>4504.3139000000001</v>
      </c>
      <c r="W23">
        <f t="shared" si="2"/>
        <v>75974.354100000011</v>
      </c>
    </row>
    <row r="25" spans="1:23" x14ac:dyDescent="0.2">
      <c r="A25" t="s">
        <v>17</v>
      </c>
      <c r="B25" t="s">
        <v>28</v>
      </c>
      <c r="C25" t="s">
        <v>29</v>
      </c>
      <c r="D25" t="s">
        <v>32</v>
      </c>
      <c r="E25" t="s">
        <v>33</v>
      </c>
      <c r="F25" t="s">
        <v>34</v>
      </c>
      <c r="G25" t="s">
        <v>35</v>
      </c>
      <c r="N25" t="s">
        <v>17</v>
      </c>
      <c r="O25" t="s">
        <v>28</v>
      </c>
      <c r="P25" t="s">
        <v>29</v>
      </c>
      <c r="Q25" t="s">
        <v>32</v>
      </c>
      <c r="R25" t="s">
        <v>33</v>
      </c>
      <c r="S25" t="s">
        <v>34</v>
      </c>
      <c r="T25" t="s">
        <v>35</v>
      </c>
    </row>
    <row r="27" spans="1:23" x14ac:dyDescent="0.2">
      <c r="A27" t="s">
        <v>210</v>
      </c>
      <c r="N27" t="s">
        <v>210</v>
      </c>
    </row>
    <row r="28" spans="1:23" x14ac:dyDescent="0.2">
      <c r="A28" t="s">
        <v>28</v>
      </c>
      <c r="B28" t="s">
        <v>21</v>
      </c>
      <c r="C28" t="s">
        <v>22</v>
      </c>
      <c r="D28" t="s">
        <v>148</v>
      </c>
      <c r="E28" t="s">
        <v>243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N28" t="s">
        <v>28</v>
      </c>
      <c r="O28" t="s">
        <v>21</v>
      </c>
      <c r="P28" t="s">
        <v>22</v>
      </c>
      <c r="Q28" t="s">
        <v>148</v>
      </c>
      <c r="R28" t="s">
        <v>243</v>
      </c>
      <c r="S28" t="s">
        <v>23</v>
      </c>
      <c r="T28" t="s">
        <v>24</v>
      </c>
      <c r="U28" t="s">
        <v>25</v>
      </c>
      <c r="V28" t="s">
        <v>26</v>
      </c>
      <c r="W28" t="s">
        <v>27</v>
      </c>
    </row>
    <row r="29" spans="1:23" x14ac:dyDescent="0.2">
      <c r="A29" t="s">
        <v>226</v>
      </c>
      <c r="B29">
        <f t="shared" ref="B29:J32" si="3">O29*$B$1</f>
        <v>276877.71580000001</v>
      </c>
      <c r="C29">
        <f t="shared" si="3"/>
        <v>170953.7537</v>
      </c>
      <c r="D29">
        <f t="shared" si="3"/>
        <v>331217.71879999997</v>
      </c>
      <c r="E29">
        <f t="shared" si="3"/>
        <v>510599.74099999998</v>
      </c>
      <c r="F29">
        <f t="shared" si="3"/>
        <v>54470.861100000002</v>
      </c>
      <c r="G29">
        <f t="shared" si="3"/>
        <v>68452.141900000002</v>
      </c>
      <c r="H29">
        <f t="shared" si="3"/>
        <v>455054.1545</v>
      </c>
      <c r="I29">
        <f t="shared" si="3"/>
        <v>241709.0356</v>
      </c>
      <c r="J29">
        <f t="shared" si="3"/>
        <v>2109335.1223999998</v>
      </c>
      <c r="N29" t="s">
        <v>226</v>
      </c>
      <c r="O29">
        <v>276877.71580000001</v>
      </c>
      <c r="P29">
        <v>170953.7537</v>
      </c>
      <c r="Q29">
        <v>331217.71879999997</v>
      </c>
      <c r="R29">
        <v>510599.74099999998</v>
      </c>
      <c r="S29">
        <v>54470.861100000002</v>
      </c>
      <c r="T29">
        <v>68452.141900000002</v>
      </c>
      <c r="U29">
        <v>455054.1545</v>
      </c>
      <c r="V29">
        <v>241709.0356</v>
      </c>
      <c r="W29">
        <f>SUM(O29:V29)</f>
        <v>2109335.1223999998</v>
      </c>
    </row>
    <row r="30" spans="1:23" x14ac:dyDescent="0.2">
      <c r="A30" t="s">
        <v>235</v>
      </c>
      <c r="B30">
        <f t="shared" si="3"/>
        <v>0</v>
      </c>
      <c r="C30">
        <f t="shared" si="3"/>
        <v>0</v>
      </c>
      <c r="D30">
        <f t="shared" si="3"/>
        <v>0</v>
      </c>
      <c r="E30">
        <f t="shared" si="3"/>
        <v>0</v>
      </c>
      <c r="F30">
        <f t="shared" si="3"/>
        <v>9350.5605999999989</v>
      </c>
      <c r="G30">
        <f t="shared" si="3"/>
        <v>391.89909999999998</v>
      </c>
      <c r="H30">
        <f t="shared" si="3"/>
        <v>309.71820000000002</v>
      </c>
      <c r="I30">
        <f t="shared" si="3"/>
        <v>191.50479999999999</v>
      </c>
      <c r="J30">
        <f t="shared" si="3"/>
        <v>10243.682699999999</v>
      </c>
      <c r="N30" t="s">
        <v>235</v>
      </c>
      <c r="O30">
        <v>0</v>
      </c>
      <c r="P30">
        <v>0</v>
      </c>
      <c r="Q30">
        <v>0</v>
      </c>
      <c r="R30">
        <v>0</v>
      </c>
      <c r="S30">
        <v>9350.5605999999989</v>
      </c>
      <c r="T30">
        <v>391.89909999999998</v>
      </c>
      <c r="U30">
        <v>309.71820000000002</v>
      </c>
      <c r="V30">
        <v>191.50479999999999</v>
      </c>
      <c r="W30">
        <f>SUM(O30:V30)</f>
        <v>10243.682699999999</v>
      </c>
    </row>
    <row r="31" spans="1:23" x14ac:dyDescent="0.2">
      <c r="A31" t="s">
        <v>236</v>
      </c>
      <c r="B31">
        <f t="shared" si="3"/>
        <v>812075.57019999996</v>
      </c>
      <c r="C31">
        <f t="shared" si="3"/>
        <v>117405.8339</v>
      </c>
      <c r="D31">
        <f t="shared" si="3"/>
        <v>9729.6929999999993</v>
      </c>
      <c r="E31">
        <f t="shared" si="3"/>
        <v>17895.937300000001</v>
      </c>
      <c r="F31">
        <f t="shared" si="3"/>
        <v>31163.172399999999</v>
      </c>
      <c r="G31">
        <f t="shared" si="3"/>
        <v>1643.7366999999999</v>
      </c>
      <c r="H31">
        <f t="shared" si="3"/>
        <v>295.65300000000002</v>
      </c>
      <c r="I31">
        <f t="shared" si="3"/>
        <v>376.6164</v>
      </c>
      <c r="J31">
        <f t="shared" si="3"/>
        <v>990586.21290000004</v>
      </c>
      <c r="N31" t="s">
        <v>236</v>
      </c>
      <c r="O31">
        <v>812075.57019999996</v>
      </c>
      <c r="P31">
        <v>117405.8339</v>
      </c>
      <c r="Q31">
        <v>9729.6929999999993</v>
      </c>
      <c r="R31">
        <v>17895.937300000001</v>
      </c>
      <c r="S31">
        <v>31163.172399999999</v>
      </c>
      <c r="T31">
        <v>1643.7366999999999</v>
      </c>
      <c r="U31">
        <v>295.65300000000002</v>
      </c>
      <c r="V31">
        <v>376.6164</v>
      </c>
      <c r="W31">
        <f>SUM(O31:V31)</f>
        <v>990586.21290000004</v>
      </c>
    </row>
    <row r="32" spans="1:23" x14ac:dyDescent="0.2">
      <c r="A32" t="s">
        <v>173</v>
      </c>
      <c r="B32">
        <f t="shared" si="3"/>
        <v>149601.96679999999</v>
      </c>
      <c r="C32">
        <f t="shared" si="3"/>
        <v>16873.254099999998</v>
      </c>
      <c r="D32">
        <f t="shared" si="3"/>
        <v>1794.2509</v>
      </c>
      <c r="E32">
        <f t="shared" si="3"/>
        <v>5330.4526999999998</v>
      </c>
      <c r="F32">
        <f t="shared" si="3"/>
        <v>9148.4783000000007</v>
      </c>
      <c r="G32">
        <f t="shared" si="3"/>
        <v>0</v>
      </c>
      <c r="H32">
        <f t="shared" si="3"/>
        <v>0</v>
      </c>
      <c r="I32">
        <f t="shared" si="3"/>
        <v>0</v>
      </c>
      <c r="J32">
        <f t="shared" si="3"/>
        <v>182748.40279999998</v>
      </c>
      <c r="N32" t="s">
        <v>173</v>
      </c>
      <c r="O32">
        <v>149601.96679999999</v>
      </c>
      <c r="P32">
        <v>16873.254099999998</v>
      </c>
      <c r="Q32">
        <v>1794.2509</v>
      </c>
      <c r="R32">
        <v>5330.4526999999998</v>
      </c>
      <c r="S32">
        <v>9148.4783000000007</v>
      </c>
      <c r="T32">
        <v>0</v>
      </c>
      <c r="U32">
        <v>0</v>
      </c>
      <c r="V32">
        <v>0</v>
      </c>
      <c r="W32">
        <f>SUM(O32:V32)</f>
        <v>182748.40279999998</v>
      </c>
    </row>
    <row r="34" spans="1:23" x14ac:dyDescent="0.2">
      <c r="A34" t="s">
        <v>211</v>
      </c>
      <c r="N34" t="s">
        <v>211</v>
      </c>
    </row>
    <row r="35" spans="1:23" x14ac:dyDescent="0.2">
      <c r="A35" t="s">
        <v>28</v>
      </c>
      <c r="B35" t="s">
        <v>21</v>
      </c>
      <c r="C35" t="s">
        <v>22</v>
      </c>
      <c r="D35" t="s">
        <v>148</v>
      </c>
      <c r="E35" t="s">
        <v>243</v>
      </c>
      <c r="F35" t="s">
        <v>23</v>
      </c>
      <c r="G35" t="s">
        <v>24</v>
      </c>
      <c r="H35" t="s">
        <v>25</v>
      </c>
      <c r="I35" t="s">
        <v>26</v>
      </c>
      <c r="J35" t="s">
        <v>27</v>
      </c>
      <c r="N35" t="s">
        <v>28</v>
      </c>
      <c r="O35" t="s">
        <v>21</v>
      </c>
      <c r="P35" t="s">
        <v>22</v>
      </c>
      <c r="Q35" t="s">
        <v>148</v>
      </c>
      <c r="R35" t="s">
        <v>243</v>
      </c>
      <c r="S35" t="s">
        <v>23</v>
      </c>
      <c r="T35" t="s">
        <v>24</v>
      </c>
      <c r="U35" t="s">
        <v>25</v>
      </c>
      <c r="V35" t="s">
        <v>26</v>
      </c>
      <c r="W35" t="s">
        <v>27</v>
      </c>
    </row>
    <row r="36" spans="1:23" x14ac:dyDescent="0.2">
      <c r="A36" t="s">
        <v>226</v>
      </c>
      <c r="B36">
        <f t="shared" ref="B36:J39" si="4">O36*$B$1</f>
        <v>1232005.4427</v>
      </c>
      <c r="C36">
        <f t="shared" si="4"/>
        <v>279190.69380000001</v>
      </c>
      <c r="D36">
        <f t="shared" si="4"/>
        <v>342038.61259999999</v>
      </c>
      <c r="E36">
        <f t="shared" si="4"/>
        <v>490739.25109999999</v>
      </c>
      <c r="F36">
        <f t="shared" si="4"/>
        <v>69158.883799999996</v>
      </c>
      <c r="G36">
        <f t="shared" si="4"/>
        <v>18033.0206</v>
      </c>
      <c r="H36">
        <f t="shared" si="4"/>
        <v>115007.2537</v>
      </c>
      <c r="I36">
        <f t="shared" si="4"/>
        <v>201483.12210000001</v>
      </c>
      <c r="J36">
        <f t="shared" si="4"/>
        <v>2747656.2804</v>
      </c>
      <c r="N36" t="s">
        <v>226</v>
      </c>
      <c r="O36">
        <v>1232005.4427</v>
      </c>
      <c r="P36">
        <v>279190.69380000001</v>
      </c>
      <c r="Q36">
        <v>342038.61259999999</v>
      </c>
      <c r="R36">
        <v>490739.25109999999</v>
      </c>
      <c r="S36">
        <v>69158.883799999996</v>
      </c>
      <c r="T36">
        <v>18033.0206</v>
      </c>
      <c r="U36">
        <v>115007.2537</v>
      </c>
      <c r="V36">
        <v>201483.12210000001</v>
      </c>
      <c r="W36">
        <f>SUM(O36:V36)</f>
        <v>2747656.2804</v>
      </c>
    </row>
    <row r="37" spans="1:23" x14ac:dyDescent="0.2">
      <c r="A37" t="s">
        <v>235</v>
      </c>
      <c r="B37">
        <f t="shared" si="4"/>
        <v>3625.3029000000001</v>
      </c>
      <c r="C37">
        <f t="shared" si="4"/>
        <v>1527.1731</v>
      </c>
      <c r="D37">
        <f t="shared" si="4"/>
        <v>0</v>
      </c>
      <c r="E37">
        <f t="shared" si="4"/>
        <v>909.55520000000001</v>
      </c>
      <c r="F37">
        <f t="shared" si="4"/>
        <v>1121.7644</v>
      </c>
      <c r="G37">
        <f t="shared" si="4"/>
        <v>0</v>
      </c>
      <c r="H37">
        <f t="shared" si="4"/>
        <v>0</v>
      </c>
      <c r="I37">
        <f t="shared" si="4"/>
        <v>0</v>
      </c>
      <c r="J37">
        <f t="shared" si="4"/>
        <v>7183.7956000000004</v>
      </c>
      <c r="N37" t="s">
        <v>235</v>
      </c>
      <c r="O37">
        <v>3625.3029000000001</v>
      </c>
      <c r="P37">
        <v>1527.1731</v>
      </c>
      <c r="Q37">
        <v>0</v>
      </c>
      <c r="R37">
        <v>909.55520000000001</v>
      </c>
      <c r="S37">
        <v>1121.7644</v>
      </c>
      <c r="T37">
        <v>0</v>
      </c>
      <c r="U37">
        <v>0</v>
      </c>
      <c r="V37">
        <v>0</v>
      </c>
      <c r="W37">
        <f>SUM(O37:V37)</f>
        <v>7183.7956000000004</v>
      </c>
    </row>
    <row r="38" spans="1:23" x14ac:dyDescent="0.2">
      <c r="A38" t="s">
        <v>236</v>
      </c>
      <c r="B38">
        <f t="shared" si="4"/>
        <v>2924.5072</v>
      </c>
      <c r="C38">
        <f t="shared" si="4"/>
        <v>19958.578799999999</v>
      </c>
      <c r="D38">
        <f t="shared" si="4"/>
        <v>703.05009999999993</v>
      </c>
      <c r="E38">
        <f t="shared" si="4"/>
        <v>39940.698300000004</v>
      </c>
      <c r="F38">
        <f t="shared" si="4"/>
        <v>26914.094799999999</v>
      </c>
      <c r="G38">
        <f t="shared" si="4"/>
        <v>50580.115599999997</v>
      </c>
      <c r="H38">
        <f t="shared" si="4"/>
        <v>323953.84580000001</v>
      </c>
      <c r="I38">
        <f t="shared" si="4"/>
        <v>40794.034699999997</v>
      </c>
      <c r="J38">
        <f t="shared" si="4"/>
        <v>505768.92530000006</v>
      </c>
      <c r="N38" t="s">
        <v>236</v>
      </c>
      <c r="O38">
        <v>2924.5072</v>
      </c>
      <c r="P38">
        <v>19958.578799999999</v>
      </c>
      <c r="Q38">
        <v>703.05009999999993</v>
      </c>
      <c r="R38">
        <v>39940.698300000004</v>
      </c>
      <c r="S38">
        <v>26914.094799999999</v>
      </c>
      <c r="T38">
        <v>50580.115599999997</v>
      </c>
      <c r="U38">
        <v>323953.84580000001</v>
      </c>
      <c r="V38">
        <v>40794.034699999997</v>
      </c>
      <c r="W38">
        <f>SUM(O38:V38)</f>
        <v>505768.92530000006</v>
      </c>
    </row>
    <row r="39" spans="1:23" x14ac:dyDescent="0.2">
      <c r="A39" t="s">
        <v>173</v>
      </c>
      <c r="B39">
        <f t="shared" si="4"/>
        <v>0</v>
      </c>
      <c r="C39">
        <f t="shared" si="4"/>
        <v>4556.3959999999997</v>
      </c>
      <c r="D39">
        <f t="shared" si="4"/>
        <v>0</v>
      </c>
      <c r="E39">
        <f t="shared" si="4"/>
        <v>2236.6264000000001</v>
      </c>
      <c r="F39">
        <f t="shared" si="4"/>
        <v>6938.3293999999996</v>
      </c>
      <c r="G39">
        <f t="shared" si="4"/>
        <v>1874.6415</v>
      </c>
      <c r="H39">
        <f t="shared" si="4"/>
        <v>16698.426200000002</v>
      </c>
      <c r="I39">
        <f t="shared" si="4"/>
        <v>0</v>
      </c>
      <c r="J39">
        <f t="shared" si="4"/>
        <v>32304.419500000004</v>
      </c>
      <c r="N39" t="s">
        <v>173</v>
      </c>
      <c r="O39">
        <v>0</v>
      </c>
      <c r="P39">
        <v>4556.3959999999997</v>
      </c>
      <c r="Q39">
        <v>0</v>
      </c>
      <c r="R39">
        <v>2236.6264000000001</v>
      </c>
      <c r="S39">
        <v>6938.3293999999996</v>
      </c>
      <c r="T39">
        <v>1874.6415</v>
      </c>
      <c r="U39">
        <v>16698.426200000002</v>
      </c>
      <c r="V39">
        <v>0</v>
      </c>
      <c r="W39">
        <f>SUM(O39:V39)</f>
        <v>32304.419500000004</v>
      </c>
    </row>
    <row r="41" spans="1:23" x14ac:dyDescent="0.2">
      <c r="A41" t="s">
        <v>212</v>
      </c>
      <c r="N41" t="s">
        <v>212</v>
      </c>
    </row>
    <row r="42" spans="1:23" x14ac:dyDescent="0.2">
      <c r="A42" t="s">
        <v>28</v>
      </c>
      <c r="B42" t="s">
        <v>21</v>
      </c>
      <c r="C42" t="s">
        <v>22</v>
      </c>
      <c r="D42" t="s">
        <v>148</v>
      </c>
      <c r="E42" t="s">
        <v>243</v>
      </c>
      <c r="F42" t="s">
        <v>23</v>
      </c>
      <c r="G42" t="s">
        <v>24</v>
      </c>
      <c r="H42" t="s">
        <v>25</v>
      </c>
      <c r="I42" t="s">
        <v>26</v>
      </c>
      <c r="J42" t="s">
        <v>27</v>
      </c>
      <c r="N42" t="s">
        <v>28</v>
      </c>
      <c r="O42" t="s">
        <v>21</v>
      </c>
      <c r="P42" t="s">
        <v>22</v>
      </c>
      <c r="Q42" t="s">
        <v>148</v>
      </c>
      <c r="R42" t="s">
        <v>243</v>
      </c>
      <c r="S42" t="s">
        <v>23</v>
      </c>
      <c r="T42" t="s">
        <v>24</v>
      </c>
      <c r="U42" t="s">
        <v>25</v>
      </c>
      <c r="V42" t="s">
        <v>26</v>
      </c>
      <c r="W42" t="s">
        <v>27</v>
      </c>
    </row>
    <row r="43" spans="1:23" x14ac:dyDescent="0.2">
      <c r="A43" t="s">
        <v>226</v>
      </c>
      <c r="B43">
        <f t="shared" ref="B43:J46" si="5">O43*$B$1</f>
        <v>1033747.4415</v>
      </c>
      <c r="C43">
        <f t="shared" si="5"/>
        <v>242156.12580000001</v>
      </c>
      <c r="D43">
        <f t="shared" si="5"/>
        <v>307576.05050000001</v>
      </c>
      <c r="E43">
        <f t="shared" si="5"/>
        <v>434668.72389999998</v>
      </c>
      <c r="F43">
        <f t="shared" si="5"/>
        <v>91484.143899999995</v>
      </c>
      <c r="G43">
        <f t="shared" si="5"/>
        <v>64027.656800000004</v>
      </c>
      <c r="H43">
        <f t="shared" si="5"/>
        <v>397791.304</v>
      </c>
      <c r="I43">
        <f t="shared" si="5"/>
        <v>205157.5079</v>
      </c>
      <c r="J43">
        <f t="shared" si="5"/>
        <v>2776608.9543000003</v>
      </c>
      <c r="N43" t="s">
        <v>226</v>
      </c>
      <c r="O43">
        <v>1033747.4415</v>
      </c>
      <c r="P43">
        <v>242156.12580000001</v>
      </c>
      <c r="Q43">
        <v>307576.05050000001</v>
      </c>
      <c r="R43">
        <v>434668.72389999998</v>
      </c>
      <c r="S43">
        <v>91484.143899999995</v>
      </c>
      <c r="T43">
        <v>64027.656800000004</v>
      </c>
      <c r="U43">
        <v>397791.304</v>
      </c>
      <c r="V43">
        <v>205157.5079</v>
      </c>
      <c r="W43">
        <f>SUM(O43:V43)</f>
        <v>2776608.9543000003</v>
      </c>
    </row>
    <row r="44" spans="1:23" x14ac:dyDescent="0.2">
      <c r="A44" t="s">
        <v>235</v>
      </c>
      <c r="B44">
        <f t="shared" si="5"/>
        <v>108432.07980000001</v>
      </c>
      <c r="C44">
        <f t="shared" si="5"/>
        <v>18590.490300000001</v>
      </c>
      <c r="D44">
        <f t="shared" si="5"/>
        <v>860.64089999999999</v>
      </c>
      <c r="E44">
        <f t="shared" si="5"/>
        <v>8086.7902999999997</v>
      </c>
      <c r="F44">
        <f t="shared" si="5"/>
        <v>5985.4746999999998</v>
      </c>
      <c r="G44">
        <f t="shared" si="5"/>
        <v>1685.0458000000001</v>
      </c>
      <c r="H44">
        <f t="shared" si="5"/>
        <v>37203.5743</v>
      </c>
      <c r="I44">
        <f t="shared" si="5"/>
        <v>8751.1301999999996</v>
      </c>
      <c r="J44">
        <f t="shared" si="5"/>
        <v>189595.22629999998</v>
      </c>
      <c r="N44" t="s">
        <v>235</v>
      </c>
      <c r="O44">
        <v>108432.07980000001</v>
      </c>
      <c r="P44">
        <v>18590.490300000001</v>
      </c>
      <c r="Q44">
        <v>860.64089999999999</v>
      </c>
      <c r="R44">
        <v>8086.7902999999997</v>
      </c>
      <c r="S44">
        <v>5985.4746999999998</v>
      </c>
      <c r="T44">
        <v>1685.0458000000001</v>
      </c>
      <c r="U44">
        <v>37203.5743</v>
      </c>
      <c r="V44">
        <v>8751.1301999999996</v>
      </c>
      <c r="W44">
        <f>SUM(O44:V44)</f>
        <v>189595.22629999998</v>
      </c>
    </row>
    <row r="45" spans="1:23" x14ac:dyDescent="0.2">
      <c r="A45" t="s">
        <v>236</v>
      </c>
      <c r="B45">
        <f t="shared" si="5"/>
        <v>65838.046799999996</v>
      </c>
      <c r="C45">
        <f t="shared" si="5"/>
        <v>30952.159899999999</v>
      </c>
      <c r="D45">
        <f t="shared" si="5"/>
        <v>25187.936600000001</v>
      </c>
      <c r="E45">
        <f t="shared" si="5"/>
        <v>66131.425400000007</v>
      </c>
      <c r="F45">
        <f t="shared" si="5"/>
        <v>4818.5729000000001</v>
      </c>
      <c r="G45">
        <f t="shared" si="5"/>
        <v>3873.3642</v>
      </c>
      <c r="H45">
        <f t="shared" si="5"/>
        <v>17458.418399999999</v>
      </c>
      <c r="I45">
        <f t="shared" si="5"/>
        <v>16754.366300000002</v>
      </c>
      <c r="J45">
        <f t="shared" si="5"/>
        <v>231014.2905</v>
      </c>
      <c r="N45" t="s">
        <v>236</v>
      </c>
      <c r="O45">
        <v>65838.046799999996</v>
      </c>
      <c r="P45">
        <v>30952.159899999999</v>
      </c>
      <c r="Q45">
        <v>25187.936600000001</v>
      </c>
      <c r="R45">
        <v>66131.425400000007</v>
      </c>
      <c r="S45">
        <v>4818.5729000000001</v>
      </c>
      <c r="T45">
        <v>3873.3642</v>
      </c>
      <c r="U45">
        <v>17458.418399999999</v>
      </c>
      <c r="V45">
        <v>16754.366300000002</v>
      </c>
      <c r="W45">
        <f>SUM(O45:V45)</f>
        <v>231014.2905</v>
      </c>
    </row>
    <row r="46" spans="1:23" x14ac:dyDescent="0.2">
      <c r="A46" t="s">
        <v>173</v>
      </c>
      <c r="B46">
        <f t="shared" si="5"/>
        <v>30537.684700000002</v>
      </c>
      <c r="C46">
        <f t="shared" si="5"/>
        <v>13534.065699999999</v>
      </c>
      <c r="D46">
        <f t="shared" si="5"/>
        <v>9117.0347000000002</v>
      </c>
      <c r="E46">
        <f t="shared" si="5"/>
        <v>24939.1914</v>
      </c>
      <c r="F46">
        <f t="shared" si="5"/>
        <v>1844.8809000000001</v>
      </c>
      <c r="G46">
        <f t="shared" si="5"/>
        <v>901.71090000000004</v>
      </c>
      <c r="H46">
        <f t="shared" si="5"/>
        <v>3206.2290000000003</v>
      </c>
      <c r="I46">
        <f t="shared" si="5"/>
        <v>11614.152399999999</v>
      </c>
      <c r="J46">
        <f t="shared" si="5"/>
        <v>95694.949700000026</v>
      </c>
      <c r="N46" t="s">
        <v>173</v>
      </c>
      <c r="O46">
        <v>30537.684700000002</v>
      </c>
      <c r="P46">
        <v>13534.065699999999</v>
      </c>
      <c r="Q46">
        <v>9117.0347000000002</v>
      </c>
      <c r="R46">
        <v>24939.1914</v>
      </c>
      <c r="S46">
        <v>1844.8809000000001</v>
      </c>
      <c r="T46">
        <v>901.71090000000004</v>
      </c>
      <c r="U46">
        <v>3206.2290000000003</v>
      </c>
      <c r="V46">
        <v>11614.152399999999</v>
      </c>
      <c r="W46">
        <f>SUM(O46:V46)</f>
        <v>95694.949700000026</v>
      </c>
    </row>
    <row r="48" spans="1:23" x14ac:dyDescent="0.2">
      <c r="A48" t="s">
        <v>36</v>
      </c>
      <c r="N48" t="s">
        <v>36</v>
      </c>
    </row>
    <row r="49" spans="1:23" x14ac:dyDescent="0.2">
      <c r="A49" t="s">
        <v>28</v>
      </c>
      <c r="B49" t="s">
        <v>21</v>
      </c>
      <c r="C49" t="s">
        <v>22</v>
      </c>
      <c r="D49" t="s">
        <v>148</v>
      </c>
      <c r="E49" t="s">
        <v>243</v>
      </c>
      <c r="F49" t="s">
        <v>23</v>
      </c>
      <c r="G49" t="s">
        <v>24</v>
      </c>
      <c r="H49" t="s">
        <v>25</v>
      </c>
      <c r="I49" t="s">
        <v>26</v>
      </c>
      <c r="J49" t="s">
        <v>27</v>
      </c>
      <c r="N49" t="s">
        <v>28</v>
      </c>
      <c r="O49" t="s">
        <v>21</v>
      </c>
      <c r="P49" t="s">
        <v>22</v>
      </c>
      <c r="Q49" t="s">
        <v>148</v>
      </c>
      <c r="R49" t="s">
        <v>243</v>
      </c>
      <c r="S49" t="s">
        <v>23</v>
      </c>
      <c r="T49" t="s">
        <v>24</v>
      </c>
      <c r="U49" t="s">
        <v>25</v>
      </c>
      <c r="V49" t="s">
        <v>26</v>
      </c>
      <c r="W49" t="s">
        <v>27</v>
      </c>
    </row>
    <row r="50" spans="1:23" x14ac:dyDescent="0.2">
      <c r="A50" t="s">
        <v>226</v>
      </c>
      <c r="B50">
        <f t="shared" ref="B50:J53" si="6">O50*$B$1</f>
        <v>971264.8872</v>
      </c>
      <c r="C50">
        <f t="shared" si="6"/>
        <v>207274.05499999999</v>
      </c>
      <c r="D50">
        <f t="shared" si="6"/>
        <v>193002.5766</v>
      </c>
      <c r="E50">
        <f t="shared" si="6"/>
        <v>346188.42920000001</v>
      </c>
      <c r="F50">
        <f t="shared" si="6"/>
        <v>76136.139500000005</v>
      </c>
      <c r="G50">
        <f t="shared" si="6"/>
        <v>62308.335899999998</v>
      </c>
      <c r="H50">
        <f t="shared" si="6"/>
        <v>370755.59889999998</v>
      </c>
      <c r="I50">
        <f t="shared" si="6"/>
        <v>175692.9094</v>
      </c>
      <c r="J50">
        <f t="shared" si="6"/>
        <v>2402622.9316999996</v>
      </c>
      <c r="N50" t="s">
        <v>226</v>
      </c>
      <c r="O50">
        <v>971264.8872</v>
      </c>
      <c r="P50">
        <v>207274.05499999999</v>
      </c>
      <c r="Q50">
        <v>193002.5766</v>
      </c>
      <c r="R50">
        <v>346188.42920000001</v>
      </c>
      <c r="S50">
        <v>76136.139500000005</v>
      </c>
      <c r="T50">
        <v>62308.335899999998</v>
      </c>
      <c r="U50">
        <v>370755.59889999998</v>
      </c>
      <c r="V50">
        <v>175692.9094</v>
      </c>
      <c r="W50">
        <f>SUM(O50:V50)</f>
        <v>2402622.9316999996</v>
      </c>
    </row>
    <row r="51" spans="1:23" x14ac:dyDescent="0.2">
      <c r="A51" t="s">
        <v>235</v>
      </c>
      <c r="B51">
        <f t="shared" si="6"/>
        <v>174787.94409999999</v>
      </c>
      <c r="C51">
        <f t="shared" si="6"/>
        <v>49843.3442</v>
      </c>
      <c r="D51">
        <f t="shared" si="6"/>
        <v>50362.637999999999</v>
      </c>
      <c r="E51">
        <f t="shared" si="6"/>
        <v>73795.585900000005</v>
      </c>
      <c r="F51">
        <f t="shared" si="6"/>
        <v>16788.032900000002</v>
      </c>
      <c r="G51">
        <f t="shared" si="6"/>
        <v>4812.3796000000002</v>
      </c>
      <c r="H51">
        <f t="shared" si="6"/>
        <v>49458.585899999998</v>
      </c>
      <c r="I51">
        <f t="shared" si="6"/>
        <v>30333.812099999999</v>
      </c>
      <c r="J51">
        <f t="shared" si="6"/>
        <v>450182.32269999996</v>
      </c>
      <c r="N51" t="s">
        <v>235</v>
      </c>
      <c r="O51">
        <v>174787.94409999999</v>
      </c>
      <c r="P51">
        <v>49843.3442</v>
      </c>
      <c r="Q51">
        <v>50362.637999999999</v>
      </c>
      <c r="R51">
        <v>73795.585900000005</v>
      </c>
      <c r="S51">
        <v>16788.032900000002</v>
      </c>
      <c r="T51">
        <v>4812.3796000000002</v>
      </c>
      <c r="U51">
        <v>49458.585899999998</v>
      </c>
      <c r="V51">
        <v>30333.812099999999</v>
      </c>
      <c r="W51">
        <f>SUM(O51:V51)</f>
        <v>450182.32269999996</v>
      </c>
    </row>
    <row r="52" spans="1:23" x14ac:dyDescent="0.2">
      <c r="A52" t="s">
        <v>236</v>
      </c>
      <c r="B52">
        <f t="shared" si="6"/>
        <v>62904.998800000001</v>
      </c>
      <c r="C52">
        <f t="shared" si="6"/>
        <v>28726.149300000001</v>
      </c>
      <c r="D52">
        <f t="shared" si="6"/>
        <v>62031.935400000002</v>
      </c>
      <c r="E52">
        <f t="shared" si="6"/>
        <v>75141</v>
      </c>
      <c r="F52">
        <f t="shared" si="6"/>
        <v>7859.3753999999999</v>
      </c>
      <c r="G52">
        <f t="shared" si="6"/>
        <v>2548.5686000000001</v>
      </c>
      <c r="H52">
        <f t="shared" si="6"/>
        <v>25635.8423</v>
      </c>
      <c r="I52">
        <f t="shared" si="6"/>
        <v>23195.901099999999</v>
      </c>
      <c r="J52">
        <f t="shared" si="6"/>
        <v>288043.7709</v>
      </c>
      <c r="N52" t="s">
        <v>236</v>
      </c>
      <c r="O52">
        <v>62904.998800000001</v>
      </c>
      <c r="P52">
        <v>28726.149300000001</v>
      </c>
      <c r="Q52">
        <v>62031.935400000002</v>
      </c>
      <c r="R52">
        <v>75141</v>
      </c>
      <c r="S52">
        <v>7859.3753999999999</v>
      </c>
      <c r="T52">
        <v>2548.5686000000001</v>
      </c>
      <c r="U52">
        <v>25635.8423</v>
      </c>
      <c r="V52">
        <v>23195.901099999999</v>
      </c>
      <c r="W52">
        <f>SUM(O52:V52)</f>
        <v>288043.7709</v>
      </c>
    </row>
    <row r="53" spans="1:23" x14ac:dyDescent="0.2">
      <c r="A53" t="s">
        <v>173</v>
      </c>
      <c r="B53">
        <f t="shared" si="6"/>
        <v>29597.422699999999</v>
      </c>
      <c r="C53">
        <f t="shared" si="6"/>
        <v>19389.2932</v>
      </c>
      <c r="D53">
        <f t="shared" si="6"/>
        <v>37344.512699999999</v>
      </c>
      <c r="E53">
        <f t="shared" si="6"/>
        <v>38701.115899999997</v>
      </c>
      <c r="F53">
        <f t="shared" si="6"/>
        <v>3349.5245999999997</v>
      </c>
      <c r="G53">
        <f t="shared" si="6"/>
        <v>818.49360000000001</v>
      </c>
      <c r="H53">
        <f t="shared" si="6"/>
        <v>9809.498599999999</v>
      </c>
      <c r="I53">
        <f t="shared" si="6"/>
        <v>13054.5342</v>
      </c>
      <c r="J53">
        <f t="shared" si="6"/>
        <v>152064.39550000001</v>
      </c>
      <c r="N53" t="s">
        <v>173</v>
      </c>
      <c r="O53">
        <v>29597.422699999999</v>
      </c>
      <c r="P53">
        <v>19389.2932</v>
      </c>
      <c r="Q53">
        <v>37344.512699999999</v>
      </c>
      <c r="R53">
        <v>38701.115899999997</v>
      </c>
      <c r="S53">
        <v>3349.5245999999997</v>
      </c>
      <c r="T53">
        <v>818.49360000000001</v>
      </c>
      <c r="U53">
        <v>9809.498599999999</v>
      </c>
      <c r="V53">
        <v>13054.5342</v>
      </c>
      <c r="W53">
        <f>SUM(O53:V53)</f>
        <v>152064.39550000001</v>
      </c>
    </row>
    <row r="55" spans="1:23" x14ac:dyDescent="0.2">
      <c r="A55" t="s">
        <v>214</v>
      </c>
      <c r="N55" t="s">
        <v>214</v>
      </c>
    </row>
    <row r="56" spans="1:23" x14ac:dyDescent="0.2">
      <c r="A56" t="s">
        <v>28</v>
      </c>
      <c r="B56" t="s">
        <v>21</v>
      </c>
      <c r="C56" t="s">
        <v>22</v>
      </c>
      <c r="D56" t="s">
        <v>148</v>
      </c>
      <c r="E56" t="s">
        <v>243</v>
      </c>
      <c r="F56" t="s">
        <v>23</v>
      </c>
      <c r="G56" t="s">
        <v>24</v>
      </c>
      <c r="H56" t="s">
        <v>25</v>
      </c>
      <c r="I56" t="s">
        <v>26</v>
      </c>
      <c r="J56" t="s">
        <v>27</v>
      </c>
      <c r="N56" t="s">
        <v>28</v>
      </c>
      <c r="O56" t="s">
        <v>21</v>
      </c>
      <c r="P56" t="s">
        <v>22</v>
      </c>
      <c r="Q56" t="s">
        <v>148</v>
      </c>
      <c r="R56" t="s">
        <v>243</v>
      </c>
      <c r="S56" t="s">
        <v>23</v>
      </c>
      <c r="T56" t="s">
        <v>24</v>
      </c>
      <c r="U56" t="s">
        <v>25</v>
      </c>
      <c r="V56" t="s">
        <v>26</v>
      </c>
      <c r="W56" t="s">
        <v>27</v>
      </c>
    </row>
    <row r="57" spans="1:23" x14ac:dyDescent="0.2">
      <c r="A57" t="s">
        <v>226</v>
      </c>
      <c r="B57">
        <f t="shared" ref="B57:J60" si="7">O57*$B$1</f>
        <v>896929.25789999997</v>
      </c>
      <c r="C57">
        <f t="shared" si="7"/>
        <v>197612.4166</v>
      </c>
      <c r="D57">
        <f t="shared" si="7"/>
        <v>198776.6686</v>
      </c>
      <c r="E57">
        <f t="shared" si="7"/>
        <v>307292.8909</v>
      </c>
      <c r="F57">
        <f t="shared" si="7"/>
        <v>71672.710699999996</v>
      </c>
      <c r="G57">
        <f t="shared" si="7"/>
        <v>67139.801999999996</v>
      </c>
      <c r="H57">
        <f t="shared" si="7"/>
        <v>391303.90340000001</v>
      </c>
      <c r="I57">
        <f t="shared" si="7"/>
        <v>159557.5178</v>
      </c>
      <c r="J57">
        <f t="shared" si="7"/>
        <v>2290285.1678999998</v>
      </c>
      <c r="N57" t="s">
        <v>226</v>
      </c>
      <c r="O57">
        <v>896929.25789999997</v>
      </c>
      <c r="P57">
        <v>197612.4166</v>
      </c>
      <c r="Q57">
        <v>198776.6686</v>
      </c>
      <c r="R57">
        <v>307292.8909</v>
      </c>
      <c r="S57">
        <v>71672.710699999996</v>
      </c>
      <c r="T57">
        <v>67139.801999999996</v>
      </c>
      <c r="U57">
        <v>391303.90340000001</v>
      </c>
      <c r="V57">
        <v>159557.5178</v>
      </c>
      <c r="W57">
        <f>SUM(O57:V57)</f>
        <v>2290285.1678999998</v>
      </c>
    </row>
    <row r="58" spans="1:23" x14ac:dyDescent="0.2">
      <c r="A58" t="s">
        <v>235</v>
      </c>
      <c r="B58">
        <f t="shared" si="7"/>
        <v>231020.0435</v>
      </c>
      <c r="C58">
        <f t="shared" si="7"/>
        <v>62084.2261</v>
      </c>
      <c r="D58">
        <f t="shared" si="7"/>
        <v>57463.788</v>
      </c>
      <c r="E58">
        <f t="shared" si="7"/>
        <v>86745.802500000005</v>
      </c>
      <c r="F58">
        <f t="shared" si="7"/>
        <v>19428.918300000001</v>
      </c>
      <c r="G58">
        <f t="shared" si="7"/>
        <v>2609.8272999999999</v>
      </c>
      <c r="H58">
        <f t="shared" si="7"/>
        <v>40755.339399999997</v>
      </c>
      <c r="I58">
        <f t="shared" si="7"/>
        <v>31646.566999999999</v>
      </c>
      <c r="J58">
        <f t="shared" si="7"/>
        <v>531754.51210000005</v>
      </c>
      <c r="N58" t="s">
        <v>235</v>
      </c>
      <c r="O58">
        <v>231020.0435</v>
      </c>
      <c r="P58">
        <v>62084.2261</v>
      </c>
      <c r="Q58">
        <v>57463.788</v>
      </c>
      <c r="R58">
        <v>86745.802500000005</v>
      </c>
      <c r="S58">
        <v>19428.918300000001</v>
      </c>
      <c r="T58">
        <v>2609.8272999999999</v>
      </c>
      <c r="U58">
        <v>40755.339399999997</v>
      </c>
      <c r="V58">
        <v>31646.566999999999</v>
      </c>
      <c r="W58">
        <f>SUM(O58:V58)</f>
        <v>531754.51210000005</v>
      </c>
    </row>
    <row r="59" spans="1:23" x14ac:dyDescent="0.2">
      <c r="A59" t="s">
        <v>236</v>
      </c>
      <c r="B59">
        <f t="shared" si="7"/>
        <v>73819.27</v>
      </c>
      <c r="C59">
        <f t="shared" si="7"/>
        <v>23670.822199999999</v>
      </c>
      <c r="D59">
        <f t="shared" si="7"/>
        <v>51946.834300000002</v>
      </c>
      <c r="E59">
        <f t="shared" si="7"/>
        <v>93458.309399999998</v>
      </c>
      <c r="F59">
        <f t="shared" si="7"/>
        <v>7344.5953</v>
      </c>
      <c r="G59">
        <f t="shared" si="7"/>
        <v>738.14840000000004</v>
      </c>
      <c r="H59">
        <f t="shared" si="7"/>
        <v>18641.131399999998</v>
      </c>
      <c r="I59">
        <f t="shared" si="7"/>
        <v>30087.706399999999</v>
      </c>
      <c r="J59">
        <f t="shared" si="7"/>
        <v>299706.8174</v>
      </c>
      <c r="N59" t="s">
        <v>236</v>
      </c>
      <c r="O59">
        <v>73819.27</v>
      </c>
      <c r="P59">
        <v>23670.822199999999</v>
      </c>
      <c r="Q59">
        <v>51946.834300000002</v>
      </c>
      <c r="R59">
        <v>93458.309399999998</v>
      </c>
      <c r="S59">
        <v>7344.5953</v>
      </c>
      <c r="T59">
        <v>738.14840000000004</v>
      </c>
      <c r="U59">
        <v>18641.131399999998</v>
      </c>
      <c r="V59">
        <v>30087.706399999999</v>
      </c>
      <c r="W59">
        <f>SUM(O59:V59)</f>
        <v>299706.8174</v>
      </c>
    </row>
    <row r="60" spans="1:23" x14ac:dyDescent="0.2">
      <c r="A60" t="s">
        <v>173</v>
      </c>
      <c r="B60">
        <f t="shared" si="7"/>
        <v>36786.681400000001</v>
      </c>
      <c r="C60">
        <f t="shared" si="7"/>
        <v>21865.376800000002</v>
      </c>
      <c r="D60">
        <f t="shared" si="7"/>
        <v>34554.371800000001</v>
      </c>
      <c r="E60">
        <f t="shared" si="7"/>
        <v>46329.128199999999</v>
      </c>
      <c r="F60">
        <f t="shared" si="7"/>
        <v>5686.8481000000002</v>
      </c>
      <c r="G60">
        <f t="shared" si="7"/>
        <v>0</v>
      </c>
      <c r="H60">
        <f t="shared" si="7"/>
        <v>4959.1514999999999</v>
      </c>
      <c r="I60">
        <f t="shared" si="7"/>
        <v>20985.365600000001</v>
      </c>
      <c r="J60">
        <f t="shared" si="7"/>
        <v>171166.9234</v>
      </c>
      <c r="N60" t="s">
        <v>173</v>
      </c>
      <c r="O60">
        <v>36786.681400000001</v>
      </c>
      <c r="P60">
        <v>21865.376800000002</v>
      </c>
      <c r="Q60">
        <v>34554.371800000001</v>
      </c>
      <c r="R60">
        <v>46329.128199999999</v>
      </c>
      <c r="S60">
        <v>5686.8481000000002</v>
      </c>
      <c r="T60">
        <v>0</v>
      </c>
      <c r="U60">
        <v>4959.1514999999999</v>
      </c>
      <c r="V60">
        <v>20985.365600000001</v>
      </c>
      <c r="W60">
        <f>SUM(O60:V60)</f>
        <v>171166.9234</v>
      </c>
    </row>
    <row r="62" spans="1:23" x14ac:dyDescent="0.2">
      <c r="A62" t="s">
        <v>129</v>
      </c>
      <c r="N62" t="s">
        <v>129</v>
      </c>
    </row>
    <row r="63" spans="1:23" x14ac:dyDescent="0.2">
      <c r="A63" t="s">
        <v>28</v>
      </c>
      <c r="B63" t="s">
        <v>21</v>
      </c>
      <c r="C63" t="s">
        <v>22</v>
      </c>
      <c r="D63" t="s">
        <v>148</v>
      </c>
      <c r="E63" t="s">
        <v>243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N63" t="s">
        <v>28</v>
      </c>
      <c r="O63" t="s">
        <v>21</v>
      </c>
      <c r="P63" t="s">
        <v>22</v>
      </c>
      <c r="Q63" t="s">
        <v>148</v>
      </c>
      <c r="R63" t="s">
        <v>243</v>
      </c>
      <c r="S63" t="s">
        <v>23</v>
      </c>
      <c r="T63" t="s">
        <v>24</v>
      </c>
      <c r="U63" t="s">
        <v>25</v>
      </c>
      <c r="V63" t="s">
        <v>26</v>
      </c>
      <c r="W63" t="s">
        <v>27</v>
      </c>
    </row>
    <row r="64" spans="1:23" x14ac:dyDescent="0.2">
      <c r="A64" t="s">
        <v>226</v>
      </c>
      <c r="B64">
        <f t="shared" ref="B64:J67" si="8">O64*$B$1</f>
        <v>1009838.438</v>
      </c>
      <c r="C64">
        <f t="shared" si="8"/>
        <v>256679.3891</v>
      </c>
      <c r="D64">
        <f t="shared" si="8"/>
        <v>282240.7475</v>
      </c>
      <c r="E64">
        <f t="shared" si="8"/>
        <v>441054.6776</v>
      </c>
      <c r="F64">
        <f t="shared" si="8"/>
        <v>83834.217000000004</v>
      </c>
      <c r="G64">
        <f t="shared" si="8"/>
        <v>67256.024300000005</v>
      </c>
      <c r="H64">
        <f t="shared" si="8"/>
        <v>427524.04090000002</v>
      </c>
      <c r="I64">
        <f t="shared" si="8"/>
        <v>218278.04930000001</v>
      </c>
      <c r="J64">
        <f t="shared" si="8"/>
        <v>2786705.5836999998</v>
      </c>
      <c r="N64" t="s">
        <v>226</v>
      </c>
      <c r="O64">
        <v>1009838.438</v>
      </c>
      <c r="P64">
        <v>256679.3891</v>
      </c>
      <c r="Q64">
        <v>282240.7475</v>
      </c>
      <c r="R64">
        <v>441054.6776</v>
      </c>
      <c r="S64">
        <v>83834.217000000004</v>
      </c>
      <c r="T64">
        <v>67256.024300000005</v>
      </c>
      <c r="U64">
        <v>427524.04090000002</v>
      </c>
      <c r="V64">
        <v>218278.04930000001</v>
      </c>
      <c r="W64">
        <f>SUM(O64:V64)</f>
        <v>2786705.5836999998</v>
      </c>
    </row>
    <row r="65" spans="1:23" x14ac:dyDescent="0.2">
      <c r="A65" t="s">
        <v>235</v>
      </c>
      <c r="B65">
        <f t="shared" si="8"/>
        <v>177599.57810000001</v>
      </c>
      <c r="C65">
        <f t="shared" si="8"/>
        <v>34912.020400000001</v>
      </c>
      <c r="D65">
        <f t="shared" si="8"/>
        <v>33854.065000000002</v>
      </c>
      <c r="E65">
        <f t="shared" si="8"/>
        <v>52961.473299999998</v>
      </c>
      <c r="F65">
        <f t="shared" si="8"/>
        <v>15389.025299999999</v>
      </c>
      <c r="G65">
        <f t="shared" si="8"/>
        <v>3231.7534000000001</v>
      </c>
      <c r="H65">
        <f t="shared" si="8"/>
        <v>19666.789499999999</v>
      </c>
      <c r="I65">
        <f t="shared" si="8"/>
        <v>18887.059300000001</v>
      </c>
      <c r="J65">
        <f t="shared" si="8"/>
        <v>356501.76430000004</v>
      </c>
      <c r="N65" t="s">
        <v>235</v>
      </c>
      <c r="O65">
        <v>177599.57810000001</v>
      </c>
      <c r="P65">
        <v>34912.020400000001</v>
      </c>
      <c r="Q65">
        <v>33854.065000000002</v>
      </c>
      <c r="R65">
        <v>52961.473299999998</v>
      </c>
      <c r="S65">
        <v>15389.025299999999</v>
      </c>
      <c r="T65">
        <v>3231.7534000000001</v>
      </c>
      <c r="U65">
        <v>19666.789499999999</v>
      </c>
      <c r="V65">
        <v>18887.059300000001</v>
      </c>
      <c r="W65">
        <f>SUM(O65:V65)</f>
        <v>356501.76430000004</v>
      </c>
    </row>
    <row r="66" spans="1:23" x14ac:dyDescent="0.2">
      <c r="A66" t="s">
        <v>236</v>
      </c>
      <c r="B66">
        <f t="shared" si="8"/>
        <v>42038.777999999998</v>
      </c>
      <c r="C66">
        <f t="shared" si="8"/>
        <v>11989.1104</v>
      </c>
      <c r="D66">
        <f t="shared" si="8"/>
        <v>24938.9512</v>
      </c>
      <c r="E66">
        <f t="shared" si="8"/>
        <v>33231.528100000003</v>
      </c>
      <c r="F66">
        <f t="shared" si="8"/>
        <v>3429.0119</v>
      </c>
      <c r="G66">
        <f t="shared" si="8"/>
        <v>0</v>
      </c>
      <c r="H66">
        <f t="shared" si="8"/>
        <v>7482.3122000000003</v>
      </c>
      <c r="I66">
        <f t="shared" si="8"/>
        <v>4881.3293000000003</v>
      </c>
      <c r="J66">
        <f t="shared" si="8"/>
        <v>127991.0211</v>
      </c>
      <c r="N66" t="s">
        <v>236</v>
      </c>
      <c r="O66">
        <v>42038.777999999998</v>
      </c>
      <c r="P66">
        <v>11989.1104</v>
      </c>
      <c r="Q66">
        <v>24938.9512</v>
      </c>
      <c r="R66">
        <v>33231.528100000003</v>
      </c>
      <c r="S66">
        <v>3429.0119</v>
      </c>
      <c r="T66">
        <v>0</v>
      </c>
      <c r="U66">
        <v>7482.3122000000003</v>
      </c>
      <c r="V66">
        <v>4881.3293000000003</v>
      </c>
      <c r="W66">
        <f>SUM(O66:V66)</f>
        <v>127991.0211</v>
      </c>
    </row>
    <row r="67" spans="1:23" x14ac:dyDescent="0.2">
      <c r="A67" t="s">
        <v>173</v>
      </c>
      <c r="B67">
        <f t="shared" si="8"/>
        <v>9078.4586999999992</v>
      </c>
      <c r="C67">
        <f t="shared" si="8"/>
        <v>1652.3217999999999</v>
      </c>
      <c r="D67">
        <f t="shared" si="8"/>
        <v>1707.8989999999999</v>
      </c>
      <c r="E67">
        <f t="shared" si="8"/>
        <v>6578.4520000000002</v>
      </c>
      <c r="F67">
        <f t="shared" si="8"/>
        <v>1480.8181999999999</v>
      </c>
      <c r="G67">
        <f t="shared" si="8"/>
        <v>0</v>
      </c>
      <c r="H67">
        <f t="shared" si="8"/>
        <v>986.38310000000001</v>
      </c>
      <c r="I67">
        <f t="shared" si="8"/>
        <v>230.71889999999999</v>
      </c>
      <c r="J67">
        <f t="shared" si="8"/>
        <v>21715.0517</v>
      </c>
      <c r="N67" t="s">
        <v>173</v>
      </c>
      <c r="O67">
        <v>9078.4586999999992</v>
      </c>
      <c r="P67">
        <v>1652.3217999999999</v>
      </c>
      <c r="Q67">
        <v>1707.8989999999999</v>
      </c>
      <c r="R67">
        <v>6578.4520000000002</v>
      </c>
      <c r="S67">
        <v>1480.8181999999999</v>
      </c>
      <c r="T67">
        <v>0</v>
      </c>
      <c r="U67">
        <v>986.38310000000001</v>
      </c>
      <c r="V67">
        <v>230.71889999999999</v>
      </c>
      <c r="W67">
        <f>SUM(O67:V67)</f>
        <v>21715.0517</v>
      </c>
    </row>
    <row r="69" spans="1:23" x14ac:dyDescent="0.2">
      <c r="A69" t="s">
        <v>130</v>
      </c>
      <c r="N69" t="s">
        <v>130</v>
      </c>
    </row>
    <row r="70" spans="1:23" x14ac:dyDescent="0.2">
      <c r="A70" t="s">
        <v>28</v>
      </c>
      <c r="B70" t="s">
        <v>21</v>
      </c>
      <c r="C70" t="s">
        <v>22</v>
      </c>
      <c r="D70" t="s">
        <v>148</v>
      </c>
      <c r="E70" t="s">
        <v>243</v>
      </c>
      <c r="F70" t="s">
        <v>23</v>
      </c>
      <c r="G70" t="s">
        <v>24</v>
      </c>
      <c r="H70" t="s">
        <v>25</v>
      </c>
      <c r="I70" t="s">
        <v>26</v>
      </c>
      <c r="J70" t="s">
        <v>27</v>
      </c>
      <c r="N70" t="s">
        <v>28</v>
      </c>
      <c r="O70" t="s">
        <v>21</v>
      </c>
      <c r="P70" t="s">
        <v>22</v>
      </c>
      <c r="Q70" t="s">
        <v>148</v>
      </c>
      <c r="R70" t="s">
        <v>243</v>
      </c>
      <c r="S70" t="s">
        <v>23</v>
      </c>
      <c r="T70" t="s">
        <v>24</v>
      </c>
      <c r="U70" t="s">
        <v>25</v>
      </c>
      <c r="V70" t="s">
        <v>26</v>
      </c>
      <c r="W70" t="s">
        <v>27</v>
      </c>
    </row>
    <row r="71" spans="1:23" x14ac:dyDescent="0.2">
      <c r="A71" t="s">
        <v>226</v>
      </c>
      <c r="B71">
        <f t="shared" ref="B71:J74" si="9">O71*$B$1</f>
        <v>931842.02359999996</v>
      </c>
      <c r="C71">
        <f t="shared" si="9"/>
        <v>209563.05929999999</v>
      </c>
      <c r="D71">
        <f t="shared" si="9"/>
        <v>231894.8504</v>
      </c>
      <c r="E71">
        <f t="shared" si="9"/>
        <v>361294.78409999999</v>
      </c>
      <c r="F71">
        <f t="shared" si="9"/>
        <v>79257.584099999993</v>
      </c>
      <c r="G71">
        <f t="shared" si="9"/>
        <v>58391.16</v>
      </c>
      <c r="H71">
        <f t="shared" si="9"/>
        <v>335286.5428</v>
      </c>
      <c r="I71">
        <f t="shared" si="9"/>
        <v>163902.43900000001</v>
      </c>
      <c r="J71">
        <f t="shared" si="9"/>
        <v>2371432.4433000004</v>
      </c>
      <c r="N71" t="s">
        <v>226</v>
      </c>
      <c r="O71">
        <v>931842.02359999996</v>
      </c>
      <c r="P71">
        <v>209563.05929999999</v>
      </c>
      <c r="Q71">
        <v>231894.8504</v>
      </c>
      <c r="R71">
        <v>361294.78409999999</v>
      </c>
      <c r="S71">
        <v>79257.584099999993</v>
      </c>
      <c r="T71">
        <v>58391.16</v>
      </c>
      <c r="U71">
        <v>335286.5428</v>
      </c>
      <c r="V71">
        <v>163902.43900000001</v>
      </c>
      <c r="W71">
        <f>SUM(O71:V71)</f>
        <v>2371432.4433000004</v>
      </c>
    </row>
    <row r="72" spans="1:23" x14ac:dyDescent="0.2">
      <c r="A72" t="s">
        <v>235</v>
      </c>
      <c r="B72">
        <f t="shared" si="9"/>
        <v>120445.4534</v>
      </c>
      <c r="C72">
        <f t="shared" si="9"/>
        <v>25256.731</v>
      </c>
      <c r="D72">
        <f t="shared" si="9"/>
        <v>18732.1381</v>
      </c>
      <c r="E72">
        <f t="shared" si="9"/>
        <v>32602.323100000001</v>
      </c>
      <c r="F72">
        <f t="shared" si="9"/>
        <v>10095.9681</v>
      </c>
      <c r="G72">
        <f t="shared" si="9"/>
        <v>2632.1390999999999</v>
      </c>
      <c r="H72">
        <f t="shared" si="9"/>
        <v>38139.066500000001</v>
      </c>
      <c r="I72">
        <f t="shared" si="9"/>
        <v>8086.8122999999996</v>
      </c>
      <c r="J72">
        <f t="shared" si="9"/>
        <v>255990.63160000002</v>
      </c>
      <c r="N72" t="s">
        <v>235</v>
      </c>
      <c r="O72">
        <v>120445.4534</v>
      </c>
      <c r="P72">
        <v>25256.731</v>
      </c>
      <c r="Q72">
        <v>18732.1381</v>
      </c>
      <c r="R72">
        <v>32602.323100000001</v>
      </c>
      <c r="S72">
        <v>10095.9681</v>
      </c>
      <c r="T72">
        <v>2632.1390999999999</v>
      </c>
      <c r="U72">
        <v>38139.066500000001</v>
      </c>
      <c r="V72">
        <v>8086.8122999999996</v>
      </c>
      <c r="W72">
        <f>SUM(O72:V72)</f>
        <v>255990.63160000002</v>
      </c>
    </row>
    <row r="73" spans="1:23" x14ac:dyDescent="0.2">
      <c r="A73" t="s">
        <v>236</v>
      </c>
      <c r="B73">
        <f t="shared" si="9"/>
        <v>164099.6102</v>
      </c>
      <c r="C73">
        <f t="shared" si="9"/>
        <v>59782.5573</v>
      </c>
      <c r="D73">
        <f t="shared" si="9"/>
        <v>75397.801300000006</v>
      </c>
      <c r="E73">
        <f t="shared" si="9"/>
        <v>118378.2245</v>
      </c>
      <c r="F73">
        <f t="shared" si="9"/>
        <v>11885.501700000001</v>
      </c>
      <c r="G73">
        <f t="shared" si="9"/>
        <v>9464.4786000000004</v>
      </c>
      <c r="H73">
        <f t="shared" si="9"/>
        <v>73664.562099999996</v>
      </c>
      <c r="I73">
        <f t="shared" si="9"/>
        <v>59681.4274</v>
      </c>
      <c r="J73">
        <f t="shared" si="9"/>
        <v>572354.16310000001</v>
      </c>
      <c r="N73" t="s">
        <v>236</v>
      </c>
      <c r="O73">
        <v>164099.6102</v>
      </c>
      <c r="P73">
        <v>59782.5573</v>
      </c>
      <c r="Q73">
        <v>75397.801300000006</v>
      </c>
      <c r="R73">
        <v>118378.2245</v>
      </c>
      <c r="S73">
        <v>11885.501700000001</v>
      </c>
      <c r="T73">
        <v>9464.4786000000004</v>
      </c>
      <c r="U73">
        <v>73664.562099999996</v>
      </c>
      <c r="V73">
        <v>59681.4274</v>
      </c>
      <c r="W73">
        <f>SUM(O73:V73)</f>
        <v>572354.16310000001</v>
      </c>
    </row>
    <row r="74" spans="1:23" x14ac:dyDescent="0.2">
      <c r="A74" t="s">
        <v>173</v>
      </c>
      <c r="B74">
        <f t="shared" si="9"/>
        <v>22168.1656</v>
      </c>
      <c r="C74">
        <f t="shared" si="9"/>
        <v>10630.4941</v>
      </c>
      <c r="D74">
        <f t="shared" si="9"/>
        <v>16716.872899999998</v>
      </c>
      <c r="E74">
        <f t="shared" si="9"/>
        <v>21550.799299999999</v>
      </c>
      <c r="F74">
        <f t="shared" si="9"/>
        <v>2894.0185000000001</v>
      </c>
      <c r="G74">
        <f t="shared" si="9"/>
        <v>0</v>
      </c>
      <c r="H74">
        <f t="shared" si="9"/>
        <v>8569.3543000000009</v>
      </c>
      <c r="I74">
        <f t="shared" si="9"/>
        <v>10606.4781</v>
      </c>
      <c r="J74">
        <f t="shared" si="9"/>
        <v>93136.18280000001</v>
      </c>
      <c r="N74" t="s">
        <v>173</v>
      </c>
      <c r="O74">
        <v>22168.1656</v>
      </c>
      <c r="P74">
        <v>10630.4941</v>
      </c>
      <c r="Q74">
        <v>16716.872899999998</v>
      </c>
      <c r="R74">
        <v>21550.799299999999</v>
      </c>
      <c r="S74">
        <v>2894.0185000000001</v>
      </c>
      <c r="T74">
        <v>0</v>
      </c>
      <c r="U74">
        <v>8569.3543000000009</v>
      </c>
      <c r="V74">
        <v>10606.4781</v>
      </c>
      <c r="W74">
        <f>SUM(O74:V74)</f>
        <v>93136.18280000001</v>
      </c>
    </row>
    <row r="76" spans="1:23" x14ac:dyDescent="0.2">
      <c r="A76" t="s">
        <v>37</v>
      </c>
      <c r="B76" t="s">
        <v>38</v>
      </c>
      <c r="C76" t="s">
        <v>39</v>
      </c>
      <c r="D76" t="s">
        <v>40</v>
      </c>
      <c r="E76" t="s">
        <v>41</v>
      </c>
      <c r="N76" t="s">
        <v>37</v>
      </c>
      <c r="O76" t="s">
        <v>38</v>
      </c>
      <c r="P76" t="s">
        <v>39</v>
      </c>
      <c r="Q76" t="s">
        <v>40</v>
      </c>
      <c r="R76" t="s">
        <v>41</v>
      </c>
    </row>
    <row r="78" spans="1:23" x14ac:dyDescent="0.2">
      <c r="A78" t="s">
        <v>210</v>
      </c>
      <c r="N78" t="s">
        <v>210</v>
      </c>
    </row>
    <row r="79" spans="1:23" x14ac:dyDescent="0.2">
      <c r="A79" t="s">
        <v>20</v>
      </c>
      <c r="B79" t="s">
        <v>21</v>
      </c>
      <c r="C79" t="s">
        <v>22</v>
      </c>
      <c r="D79" t="s">
        <v>148</v>
      </c>
      <c r="E79" t="s">
        <v>243</v>
      </c>
      <c r="F79" t="s">
        <v>23</v>
      </c>
      <c r="G79" t="s">
        <v>24</v>
      </c>
      <c r="H79" t="s">
        <v>25</v>
      </c>
      <c r="I79" t="s">
        <v>26</v>
      </c>
      <c r="J79" t="s">
        <v>27</v>
      </c>
      <c r="N79" t="s">
        <v>20</v>
      </c>
      <c r="O79" t="s">
        <v>21</v>
      </c>
      <c r="P79" t="s">
        <v>22</v>
      </c>
      <c r="Q79" t="s">
        <v>148</v>
      </c>
      <c r="R79" t="s">
        <v>243</v>
      </c>
      <c r="S79" t="s">
        <v>23</v>
      </c>
      <c r="T79" t="s">
        <v>24</v>
      </c>
      <c r="U79" t="s">
        <v>25</v>
      </c>
      <c r="V79" t="s">
        <v>26</v>
      </c>
      <c r="W79" t="s">
        <v>27</v>
      </c>
    </row>
    <row r="80" spans="1:23" x14ac:dyDescent="0.2">
      <c r="A80">
        <v>0</v>
      </c>
      <c r="B80">
        <f t="shared" ref="B80:J83" si="10">O80*$B$1</f>
        <v>276877.71580000001</v>
      </c>
      <c r="C80">
        <f t="shared" si="10"/>
        <v>170953.7537</v>
      </c>
      <c r="D80">
        <f t="shared" si="10"/>
        <v>331217.71879999997</v>
      </c>
      <c r="E80">
        <f t="shared" si="10"/>
        <v>510599.74099999998</v>
      </c>
      <c r="F80">
        <f t="shared" si="10"/>
        <v>63821.421699999999</v>
      </c>
      <c r="G80">
        <f t="shared" si="10"/>
        <v>68844.040999999997</v>
      </c>
      <c r="H80">
        <f t="shared" si="10"/>
        <v>455363.87270000001</v>
      </c>
      <c r="I80">
        <f t="shared" si="10"/>
        <v>241900.5404</v>
      </c>
      <c r="J80">
        <f t="shared" si="10"/>
        <v>2119578.8051</v>
      </c>
      <c r="N80">
        <v>0</v>
      </c>
      <c r="O80">
        <v>276877.71580000001</v>
      </c>
      <c r="P80">
        <v>170953.7537</v>
      </c>
      <c r="Q80">
        <v>331217.71879999997</v>
      </c>
      <c r="R80">
        <v>510599.74099999998</v>
      </c>
      <c r="S80">
        <v>63821.421699999999</v>
      </c>
      <c r="T80">
        <v>68844.040999999997</v>
      </c>
      <c r="U80">
        <v>455363.87270000001</v>
      </c>
      <c r="V80">
        <v>241900.5404</v>
      </c>
      <c r="W80">
        <f>SUM(O80:V80)</f>
        <v>2119578.8051</v>
      </c>
    </row>
    <row r="81" spans="1:23" x14ac:dyDescent="0.2">
      <c r="A81">
        <v>1</v>
      </c>
      <c r="B81">
        <f t="shared" si="10"/>
        <v>924220.30500000005</v>
      </c>
      <c r="C81">
        <f t="shared" si="10"/>
        <v>125848.71610000001</v>
      </c>
      <c r="D81">
        <f t="shared" si="10"/>
        <v>11523.9439</v>
      </c>
      <c r="E81">
        <f t="shared" si="10"/>
        <v>22401.481599999999</v>
      </c>
      <c r="F81">
        <f t="shared" si="10"/>
        <v>36054.1368</v>
      </c>
      <c r="G81">
        <f t="shared" si="10"/>
        <v>1643.7366999999999</v>
      </c>
      <c r="H81">
        <f t="shared" si="10"/>
        <v>295.65300000000002</v>
      </c>
      <c r="I81">
        <f t="shared" si="10"/>
        <v>376.6164</v>
      </c>
      <c r="J81">
        <f t="shared" si="10"/>
        <v>1122364.5895</v>
      </c>
      <c r="N81">
        <v>1</v>
      </c>
      <c r="O81">
        <v>924220.30500000005</v>
      </c>
      <c r="P81">
        <v>125848.71610000001</v>
      </c>
      <c r="Q81">
        <v>11523.9439</v>
      </c>
      <c r="R81">
        <v>22401.481599999999</v>
      </c>
      <c r="S81">
        <v>36054.1368</v>
      </c>
      <c r="T81">
        <v>1643.7366999999999</v>
      </c>
      <c r="U81">
        <v>295.65300000000002</v>
      </c>
      <c r="V81">
        <v>376.6164</v>
      </c>
      <c r="W81">
        <f>SUM(O81:V81)</f>
        <v>1122364.5895</v>
      </c>
    </row>
    <row r="82" spans="1:23" x14ac:dyDescent="0.2">
      <c r="A82">
        <v>2</v>
      </c>
      <c r="B82">
        <f t="shared" si="10"/>
        <v>36224.661</v>
      </c>
      <c r="C82">
        <f t="shared" si="10"/>
        <v>8337.4431000000004</v>
      </c>
      <c r="D82">
        <f t="shared" si="10"/>
        <v>0</v>
      </c>
      <c r="E82">
        <f t="shared" si="10"/>
        <v>566.16300000000001</v>
      </c>
      <c r="F82">
        <f t="shared" si="10"/>
        <v>3076.3317000000002</v>
      </c>
      <c r="G82">
        <f t="shared" si="10"/>
        <v>0</v>
      </c>
      <c r="H82">
        <f t="shared" si="10"/>
        <v>0</v>
      </c>
      <c r="I82">
        <f t="shared" si="10"/>
        <v>0</v>
      </c>
      <c r="J82">
        <f t="shared" si="10"/>
        <v>48204.5988</v>
      </c>
      <c r="N82">
        <v>2</v>
      </c>
      <c r="O82">
        <v>36224.661</v>
      </c>
      <c r="P82">
        <v>8337.4431000000004</v>
      </c>
      <c r="Q82">
        <v>0</v>
      </c>
      <c r="R82">
        <v>566.16300000000001</v>
      </c>
      <c r="S82">
        <v>3076.3317000000002</v>
      </c>
      <c r="T82">
        <v>0</v>
      </c>
      <c r="U82">
        <v>0</v>
      </c>
      <c r="V82">
        <v>0</v>
      </c>
      <c r="W82">
        <f>SUM(O82:V82)</f>
        <v>48204.5988</v>
      </c>
    </row>
    <row r="83" spans="1:23" x14ac:dyDescent="0.2">
      <c r="A83" t="s">
        <v>116</v>
      </c>
      <c r="B83">
        <f t="shared" si="10"/>
        <v>1232.5709999999999</v>
      </c>
      <c r="C83">
        <f t="shared" si="10"/>
        <v>92.928799999999995</v>
      </c>
      <c r="D83">
        <f t="shared" si="10"/>
        <v>0</v>
      </c>
      <c r="E83">
        <f t="shared" si="10"/>
        <v>258.74540000000002</v>
      </c>
      <c r="F83">
        <f t="shared" si="10"/>
        <v>1181.1822</v>
      </c>
      <c r="G83">
        <f t="shared" si="10"/>
        <v>0</v>
      </c>
      <c r="H83">
        <f t="shared" si="10"/>
        <v>0</v>
      </c>
      <c r="I83">
        <f t="shared" si="10"/>
        <v>0</v>
      </c>
      <c r="J83">
        <f t="shared" si="10"/>
        <v>2765.4273999999996</v>
      </c>
      <c r="N83" t="s">
        <v>116</v>
      </c>
      <c r="O83">
        <v>1232.5709999999999</v>
      </c>
      <c r="P83">
        <v>92.928799999999995</v>
      </c>
      <c r="Q83">
        <v>0</v>
      </c>
      <c r="R83">
        <v>258.74540000000002</v>
      </c>
      <c r="S83">
        <v>1181.1822</v>
      </c>
      <c r="T83">
        <v>0</v>
      </c>
      <c r="U83">
        <v>0</v>
      </c>
      <c r="V83">
        <v>0</v>
      </c>
      <c r="W83">
        <f>SUM(O83:V83)</f>
        <v>2765.4273999999996</v>
      </c>
    </row>
    <row r="85" spans="1:23" x14ac:dyDescent="0.2">
      <c r="A85" t="s">
        <v>211</v>
      </c>
      <c r="N85" t="s">
        <v>211</v>
      </c>
    </row>
    <row r="86" spans="1:23" x14ac:dyDescent="0.2">
      <c r="A86" t="s">
        <v>20</v>
      </c>
      <c r="B86" t="s">
        <v>21</v>
      </c>
      <c r="C86" t="s">
        <v>22</v>
      </c>
      <c r="D86" t="s">
        <v>148</v>
      </c>
      <c r="E86" t="s">
        <v>243</v>
      </c>
      <c r="F86" t="s">
        <v>23</v>
      </c>
      <c r="G86" t="s">
        <v>24</v>
      </c>
      <c r="H86" t="s">
        <v>25</v>
      </c>
      <c r="I86" t="s">
        <v>26</v>
      </c>
      <c r="J86" t="s">
        <v>27</v>
      </c>
      <c r="N86" t="s">
        <v>20</v>
      </c>
      <c r="O86" t="s">
        <v>21</v>
      </c>
      <c r="P86" t="s">
        <v>22</v>
      </c>
      <c r="Q86" t="s">
        <v>148</v>
      </c>
      <c r="R86" t="s">
        <v>243</v>
      </c>
      <c r="S86" t="s">
        <v>23</v>
      </c>
      <c r="T86" t="s">
        <v>24</v>
      </c>
      <c r="U86" t="s">
        <v>25</v>
      </c>
      <c r="V86" t="s">
        <v>26</v>
      </c>
      <c r="W86" t="s">
        <v>27</v>
      </c>
    </row>
    <row r="87" spans="1:23" x14ac:dyDescent="0.2">
      <c r="A87">
        <v>0</v>
      </c>
      <c r="B87">
        <f t="shared" ref="B87:J90" si="11">O87*$B$1</f>
        <v>1235630.7456</v>
      </c>
      <c r="C87">
        <f t="shared" si="11"/>
        <v>280717.86690000002</v>
      </c>
      <c r="D87">
        <f t="shared" si="11"/>
        <v>342038.61259999999</v>
      </c>
      <c r="E87">
        <f t="shared" si="11"/>
        <v>491648.8063</v>
      </c>
      <c r="F87">
        <f t="shared" si="11"/>
        <v>70280.648199999996</v>
      </c>
      <c r="G87">
        <f t="shared" si="11"/>
        <v>18033.0206</v>
      </c>
      <c r="H87">
        <f t="shared" si="11"/>
        <v>115007.2537</v>
      </c>
      <c r="I87">
        <f t="shared" si="11"/>
        <v>201483.12210000001</v>
      </c>
      <c r="J87">
        <f t="shared" si="11"/>
        <v>2754840.0759999999</v>
      </c>
      <c r="N87">
        <v>0</v>
      </c>
      <c r="O87">
        <v>1235630.7456</v>
      </c>
      <c r="P87">
        <v>280717.86690000002</v>
      </c>
      <c r="Q87">
        <v>342038.61259999999</v>
      </c>
      <c r="R87">
        <v>491648.8063</v>
      </c>
      <c r="S87">
        <v>70280.648199999996</v>
      </c>
      <c r="T87">
        <v>18033.0206</v>
      </c>
      <c r="U87">
        <v>115007.2537</v>
      </c>
      <c r="V87">
        <v>201483.12210000001</v>
      </c>
      <c r="W87">
        <f>SUM(O87:V87)</f>
        <v>2754840.0759999999</v>
      </c>
    </row>
    <row r="88" spans="1:23" x14ac:dyDescent="0.2">
      <c r="A88">
        <v>1</v>
      </c>
      <c r="B88">
        <f t="shared" si="11"/>
        <v>2924.5072</v>
      </c>
      <c r="C88">
        <f t="shared" si="11"/>
        <v>23582.649099999999</v>
      </c>
      <c r="D88">
        <f t="shared" si="11"/>
        <v>703.05009999999993</v>
      </c>
      <c r="E88">
        <f t="shared" si="11"/>
        <v>39478.124900000003</v>
      </c>
      <c r="F88">
        <f t="shared" si="11"/>
        <v>30311.2075</v>
      </c>
      <c r="G88">
        <f t="shared" si="11"/>
        <v>51646.753300000004</v>
      </c>
      <c r="H88">
        <f t="shared" si="11"/>
        <v>337579.788</v>
      </c>
      <c r="I88">
        <f t="shared" si="11"/>
        <v>40473.029699999999</v>
      </c>
      <c r="J88">
        <f t="shared" si="11"/>
        <v>526699.10979999998</v>
      </c>
      <c r="N88">
        <v>1</v>
      </c>
      <c r="O88">
        <v>2924.5072</v>
      </c>
      <c r="P88">
        <v>23582.649099999999</v>
      </c>
      <c r="Q88">
        <v>703.05009999999993</v>
      </c>
      <c r="R88">
        <v>39478.124900000003</v>
      </c>
      <c r="S88">
        <v>30311.2075</v>
      </c>
      <c r="T88">
        <v>51646.753300000004</v>
      </c>
      <c r="U88">
        <v>337579.788</v>
      </c>
      <c r="V88">
        <v>40473.029699999999</v>
      </c>
      <c r="W88">
        <f>SUM(O88:V88)</f>
        <v>526699.10979999998</v>
      </c>
    </row>
    <row r="89" spans="1:23" x14ac:dyDescent="0.2">
      <c r="A89">
        <v>2</v>
      </c>
      <c r="B89">
        <f t="shared" si="11"/>
        <v>0</v>
      </c>
      <c r="C89">
        <f t="shared" si="11"/>
        <v>932.32569999999998</v>
      </c>
      <c r="D89">
        <f t="shared" si="11"/>
        <v>0</v>
      </c>
      <c r="E89">
        <f t="shared" si="11"/>
        <v>2699.1997999999999</v>
      </c>
      <c r="F89">
        <f t="shared" si="11"/>
        <v>2847.0187000000001</v>
      </c>
      <c r="G89">
        <f t="shared" si="11"/>
        <v>808.00379999999996</v>
      </c>
      <c r="H89">
        <f t="shared" si="11"/>
        <v>3072.4839999999999</v>
      </c>
      <c r="I89">
        <f t="shared" si="11"/>
        <v>0</v>
      </c>
      <c r="J89">
        <f t="shared" si="11"/>
        <v>10359.032000000001</v>
      </c>
      <c r="N89">
        <v>2</v>
      </c>
      <c r="O89">
        <v>0</v>
      </c>
      <c r="P89">
        <v>932.32569999999998</v>
      </c>
      <c r="Q89">
        <v>0</v>
      </c>
      <c r="R89">
        <v>2699.1997999999999</v>
      </c>
      <c r="S89">
        <v>2847.0187000000001</v>
      </c>
      <c r="T89">
        <v>808.00379999999996</v>
      </c>
      <c r="U89">
        <v>3072.4839999999999</v>
      </c>
      <c r="V89">
        <v>0</v>
      </c>
      <c r="W89">
        <f>SUM(O89:V89)</f>
        <v>10359.032000000001</v>
      </c>
    </row>
    <row r="90" spans="1:23" x14ac:dyDescent="0.2">
      <c r="A90" t="s">
        <v>116</v>
      </c>
      <c r="B90">
        <f t="shared" si="11"/>
        <v>0</v>
      </c>
      <c r="C90">
        <f t="shared" si="11"/>
        <v>0</v>
      </c>
      <c r="D90">
        <f t="shared" si="11"/>
        <v>0</v>
      </c>
      <c r="E90">
        <f t="shared" si="11"/>
        <v>0</v>
      </c>
      <c r="F90">
        <f t="shared" si="11"/>
        <v>694.19799999999998</v>
      </c>
      <c r="G90">
        <f t="shared" si="11"/>
        <v>0</v>
      </c>
      <c r="H90">
        <f t="shared" si="11"/>
        <v>0</v>
      </c>
      <c r="I90">
        <f t="shared" si="11"/>
        <v>321.005</v>
      </c>
      <c r="J90">
        <f t="shared" si="11"/>
        <v>1015.203</v>
      </c>
      <c r="N90" t="s">
        <v>116</v>
      </c>
      <c r="O90">
        <v>0</v>
      </c>
      <c r="P90">
        <v>0</v>
      </c>
      <c r="Q90">
        <v>0</v>
      </c>
      <c r="R90">
        <v>0</v>
      </c>
      <c r="S90">
        <v>694.19799999999998</v>
      </c>
      <c r="T90">
        <v>0</v>
      </c>
      <c r="U90">
        <v>0</v>
      </c>
      <c r="V90">
        <v>321.005</v>
      </c>
      <c r="W90">
        <f>SUM(O90:V90)</f>
        <v>1015.203</v>
      </c>
    </row>
    <row r="92" spans="1:23" x14ac:dyDescent="0.2">
      <c r="A92" t="s">
        <v>212</v>
      </c>
      <c r="N92" t="s">
        <v>212</v>
      </c>
    </row>
    <row r="93" spans="1:23" x14ac:dyDescent="0.2">
      <c r="A93" t="s">
        <v>20</v>
      </c>
      <c r="B93" t="s">
        <v>21</v>
      </c>
      <c r="C93" t="s">
        <v>22</v>
      </c>
      <c r="D93" t="s">
        <v>148</v>
      </c>
      <c r="E93" t="s">
        <v>243</v>
      </c>
      <c r="F93" t="s">
        <v>23</v>
      </c>
      <c r="G93" t="s">
        <v>24</v>
      </c>
      <c r="H93" t="s">
        <v>25</v>
      </c>
      <c r="I93" t="s">
        <v>26</v>
      </c>
      <c r="J93" t="s">
        <v>27</v>
      </c>
      <c r="N93" t="s">
        <v>20</v>
      </c>
      <c r="O93" t="s">
        <v>21</v>
      </c>
      <c r="P93" t="s">
        <v>22</v>
      </c>
      <c r="Q93" t="s">
        <v>148</v>
      </c>
      <c r="R93" t="s">
        <v>243</v>
      </c>
      <c r="S93" t="s">
        <v>23</v>
      </c>
      <c r="T93" t="s">
        <v>24</v>
      </c>
      <c r="U93" t="s">
        <v>25</v>
      </c>
      <c r="V93" t="s">
        <v>26</v>
      </c>
      <c r="W93" t="s">
        <v>27</v>
      </c>
    </row>
    <row r="94" spans="1:23" x14ac:dyDescent="0.2">
      <c r="A94">
        <v>0</v>
      </c>
      <c r="B94">
        <f t="shared" ref="B94:J97" si="12">O94*$B$1</f>
        <v>1142179.5212999999</v>
      </c>
      <c r="C94">
        <f t="shared" si="12"/>
        <v>260746.61610000001</v>
      </c>
      <c r="D94">
        <f t="shared" si="12"/>
        <v>308436.69140000001</v>
      </c>
      <c r="E94">
        <f t="shared" si="12"/>
        <v>442755.51419999998</v>
      </c>
      <c r="F94">
        <f t="shared" si="12"/>
        <v>97469.618600000002</v>
      </c>
      <c r="G94">
        <f t="shared" si="12"/>
        <v>65712.702600000004</v>
      </c>
      <c r="H94">
        <f t="shared" si="12"/>
        <v>434994.87829999998</v>
      </c>
      <c r="I94">
        <f t="shared" si="12"/>
        <v>213908.63810000001</v>
      </c>
      <c r="J94">
        <f t="shared" si="12"/>
        <v>2966204.1806000001</v>
      </c>
      <c r="N94">
        <v>0</v>
      </c>
      <c r="O94">
        <v>1142179.5212999999</v>
      </c>
      <c r="P94">
        <v>260746.61610000001</v>
      </c>
      <c r="Q94">
        <v>308436.69140000001</v>
      </c>
      <c r="R94">
        <v>442755.51419999998</v>
      </c>
      <c r="S94">
        <v>97469.618600000002</v>
      </c>
      <c r="T94">
        <v>65712.702600000004</v>
      </c>
      <c r="U94">
        <v>434994.87829999998</v>
      </c>
      <c r="V94">
        <v>213908.63810000001</v>
      </c>
      <c r="W94">
        <f>SUM(O94:V94)</f>
        <v>2966204.1806000001</v>
      </c>
    </row>
    <row r="95" spans="1:23" x14ac:dyDescent="0.2">
      <c r="A95">
        <v>1</v>
      </c>
      <c r="B95">
        <f t="shared" si="12"/>
        <v>67112.626699999993</v>
      </c>
      <c r="C95">
        <f t="shared" si="12"/>
        <v>25362.431799999998</v>
      </c>
      <c r="D95">
        <f t="shared" si="12"/>
        <v>30414.8001</v>
      </c>
      <c r="E95">
        <f t="shared" si="12"/>
        <v>51220.636599999998</v>
      </c>
      <c r="F95">
        <f t="shared" si="12"/>
        <v>5495.5394999999999</v>
      </c>
      <c r="G95">
        <f t="shared" si="12"/>
        <v>4365.9367000000002</v>
      </c>
      <c r="H95">
        <f t="shared" si="12"/>
        <v>19707.0815</v>
      </c>
      <c r="I95">
        <f t="shared" si="12"/>
        <v>26909.2022</v>
      </c>
      <c r="J95">
        <f t="shared" si="12"/>
        <v>230588.25509999998</v>
      </c>
      <c r="N95">
        <v>1</v>
      </c>
      <c r="O95">
        <v>67112.626699999993</v>
      </c>
      <c r="P95">
        <v>25362.431799999998</v>
      </c>
      <c r="Q95">
        <v>30414.8001</v>
      </c>
      <c r="R95">
        <v>51220.636599999998</v>
      </c>
      <c r="S95">
        <v>5495.5394999999999</v>
      </c>
      <c r="T95">
        <v>4365.9367000000002</v>
      </c>
      <c r="U95">
        <v>19707.0815</v>
      </c>
      <c r="V95">
        <v>26909.2022</v>
      </c>
      <c r="W95">
        <f>SUM(O95:V95)</f>
        <v>230588.25509999998</v>
      </c>
    </row>
    <row r="96" spans="1:23" x14ac:dyDescent="0.2">
      <c r="A96">
        <v>2</v>
      </c>
      <c r="B96">
        <f t="shared" si="12"/>
        <v>27719.0648</v>
      </c>
      <c r="C96">
        <f t="shared" si="12"/>
        <v>16288.8272</v>
      </c>
      <c r="D96">
        <f t="shared" si="12"/>
        <v>3625.6736000000001</v>
      </c>
      <c r="E96">
        <f t="shared" si="12"/>
        <v>29487.052</v>
      </c>
      <c r="F96">
        <f t="shared" si="12"/>
        <v>901.66160000000002</v>
      </c>
      <c r="G96">
        <f t="shared" si="12"/>
        <v>409.13839999999999</v>
      </c>
      <c r="H96">
        <f t="shared" si="12"/>
        <v>957.56590000000006</v>
      </c>
      <c r="I96">
        <f t="shared" si="12"/>
        <v>1459.3164999999999</v>
      </c>
      <c r="J96">
        <f t="shared" si="12"/>
        <v>80848.3</v>
      </c>
      <c r="N96">
        <v>2</v>
      </c>
      <c r="O96">
        <v>27719.0648</v>
      </c>
      <c r="P96">
        <v>16288.8272</v>
      </c>
      <c r="Q96">
        <v>3625.6736000000001</v>
      </c>
      <c r="R96">
        <v>29487.052</v>
      </c>
      <c r="S96">
        <v>901.66160000000002</v>
      </c>
      <c r="T96">
        <v>409.13839999999999</v>
      </c>
      <c r="U96">
        <v>957.56590000000006</v>
      </c>
      <c r="V96">
        <v>1459.3164999999999</v>
      </c>
      <c r="W96">
        <f>SUM(O96:V96)</f>
        <v>80848.3</v>
      </c>
    </row>
    <row r="97" spans="1:23" x14ac:dyDescent="0.2">
      <c r="A97" t="s">
        <v>116</v>
      </c>
      <c r="B97">
        <f t="shared" si="12"/>
        <v>1544.04</v>
      </c>
      <c r="C97">
        <f t="shared" si="12"/>
        <v>2834.9666000000002</v>
      </c>
      <c r="D97">
        <f t="shared" si="12"/>
        <v>264.49760000000003</v>
      </c>
      <c r="E97">
        <f t="shared" si="12"/>
        <v>10362.9282</v>
      </c>
      <c r="F97">
        <f t="shared" si="12"/>
        <v>266.2527</v>
      </c>
      <c r="G97">
        <f t="shared" si="12"/>
        <v>0</v>
      </c>
      <c r="H97">
        <f t="shared" si="12"/>
        <v>0</v>
      </c>
      <c r="I97">
        <f t="shared" si="12"/>
        <v>0</v>
      </c>
      <c r="J97">
        <f t="shared" si="12"/>
        <v>15272.685100000002</v>
      </c>
      <c r="N97" t="s">
        <v>116</v>
      </c>
      <c r="O97">
        <v>1544.04</v>
      </c>
      <c r="P97">
        <v>2834.9666000000002</v>
      </c>
      <c r="Q97">
        <v>264.49760000000003</v>
      </c>
      <c r="R97">
        <v>10362.9282</v>
      </c>
      <c r="S97">
        <v>266.2527</v>
      </c>
      <c r="T97">
        <v>0</v>
      </c>
      <c r="U97">
        <v>0</v>
      </c>
      <c r="V97">
        <v>0</v>
      </c>
      <c r="W97">
        <f>SUM(O97:V97)</f>
        <v>15272.685100000002</v>
      </c>
    </row>
    <row r="99" spans="1:23" x14ac:dyDescent="0.2">
      <c r="A99" t="s">
        <v>36</v>
      </c>
      <c r="N99" t="s">
        <v>36</v>
      </c>
    </row>
    <row r="100" spans="1:23" x14ac:dyDescent="0.2">
      <c r="A100" t="s">
        <v>20</v>
      </c>
      <c r="B100" t="s">
        <v>21</v>
      </c>
      <c r="C100" t="s">
        <v>22</v>
      </c>
      <c r="D100" t="s">
        <v>148</v>
      </c>
      <c r="E100" t="s">
        <v>243</v>
      </c>
      <c r="F100" t="s">
        <v>23</v>
      </c>
      <c r="G100" t="s">
        <v>24</v>
      </c>
      <c r="H100" t="s">
        <v>25</v>
      </c>
      <c r="I100" t="s">
        <v>26</v>
      </c>
      <c r="J100" t="s">
        <v>27</v>
      </c>
      <c r="N100" t="s">
        <v>20</v>
      </c>
      <c r="O100" t="s">
        <v>21</v>
      </c>
      <c r="P100" t="s">
        <v>22</v>
      </c>
      <c r="Q100" t="s">
        <v>148</v>
      </c>
      <c r="R100" t="s">
        <v>243</v>
      </c>
      <c r="S100" t="s">
        <v>23</v>
      </c>
      <c r="T100" t="s">
        <v>24</v>
      </c>
      <c r="U100" t="s">
        <v>25</v>
      </c>
      <c r="V100" t="s">
        <v>26</v>
      </c>
      <c r="W100" t="s">
        <v>27</v>
      </c>
    </row>
    <row r="101" spans="1:23" x14ac:dyDescent="0.2">
      <c r="A101">
        <v>0</v>
      </c>
      <c r="B101">
        <f t="shared" ref="B101:J104" si="13">O101*$B$1</f>
        <v>1146052.8313</v>
      </c>
      <c r="C101">
        <f t="shared" si="13"/>
        <v>257117.39920000001</v>
      </c>
      <c r="D101">
        <f t="shared" si="13"/>
        <v>243365.21460000001</v>
      </c>
      <c r="E101">
        <f t="shared" si="13"/>
        <v>419984.01510000002</v>
      </c>
      <c r="F101">
        <f t="shared" si="13"/>
        <v>92924.172399999996</v>
      </c>
      <c r="G101">
        <f t="shared" si="13"/>
        <v>67120.715500000006</v>
      </c>
      <c r="H101">
        <f t="shared" si="13"/>
        <v>420214.18479999999</v>
      </c>
      <c r="I101">
        <f t="shared" si="13"/>
        <v>206026.72150000001</v>
      </c>
      <c r="J101">
        <f t="shared" si="13"/>
        <v>2852805.2544</v>
      </c>
      <c r="N101">
        <v>0</v>
      </c>
      <c r="O101">
        <v>1146052.8313</v>
      </c>
      <c r="P101">
        <v>257117.39920000001</v>
      </c>
      <c r="Q101">
        <v>243365.21460000001</v>
      </c>
      <c r="R101">
        <v>419984.01510000002</v>
      </c>
      <c r="S101">
        <v>92924.172399999996</v>
      </c>
      <c r="T101">
        <v>67120.715500000006</v>
      </c>
      <c r="U101">
        <v>420214.18479999999</v>
      </c>
      <c r="V101">
        <v>206026.72150000001</v>
      </c>
      <c r="W101">
        <f>SUM(O101:V101)</f>
        <v>2852805.2544</v>
      </c>
    </row>
    <row r="102" spans="1:23" x14ac:dyDescent="0.2">
      <c r="A102">
        <v>1</v>
      </c>
      <c r="B102">
        <f t="shared" si="13"/>
        <v>86232.279500000004</v>
      </c>
      <c r="C102">
        <f t="shared" si="13"/>
        <v>39672.709600000002</v>
      </c>
      <c r="D102">
        <f t="shared" si="13"/>
        <v>83366.819300000003</v>
      </c>
      <c r="E102">
        <f t="shared" si="13"/>
        <v>101167.7018</v>
      </c>
      <c r="F102">
        <f t="shared" si="13"/>
        <v>10550.1589</v>
      </c>
      <c r="G102">
        <f t="shared" si="13"/>
        <v>3334.9405000000002</v>
      </c>
      <c r="H102">
        <f t="shared" si="13"/>
        <v>30563.484400000001</v>
      </c>
      <c r="I102">
        <f t="shared" si="13"/>
        <v>29093.688099999999</v>
      </c>
      <c r="J102">
        <f t="shared" si="13"/>
        <v>383981.78210000007</v>
      </c>
      <c r="N102">
        <v>1</v>
      </c>
      <c r="O102">
        <v>86232.279500000004</v>
      </c>
      <c r="P102">
        <v>39672.709600000002</v>
      </c>
      <c r="Q102">
        <v>83366.819300000003</v>
      </c>
      <c r="R102">
        <v>101167.7018</v>
      </c>
      <c r="S102">
        <v>10550.1589</v>
      </c>
      <c r="T102">
        <v>3334.9405000000002</v>
      </c>
      <c r="U102">
        <v>30563.484400000001</v>
      </c>
      <c r="V102">
        <v>29093.688099999999</v>
      </c>
      <c r="W102">
        <f>SUM(O102:V102)</f>
        <v>383981.78210000007</v>
      </c>
    </row>
    <row r="103" spans="1:23" x14ac:dyDescent="0.2">
      <c r="A103">
        <v>2</v>
      </c>
      <c r="B103">
        <f t="shared" si="13"/>
        <v>5477.2371000000003</v>
      </c>
      <c r="C103">
        <f t="shared" si="13"/>
        <v>5342.6127999999999</v>
      </c>
      <c r="D103">
        <f t="shared" si="13"/>
        <v>13799.866599999999</v>
      </c>
      <c r="E103">
        <f t="shared" si="13"/>
        <v>10583.900799999999</v>
      </c>
      <c r="F103">
        <f t="shared" si="13"/>
        <v>537.34649999999999</v>
      </c>
      <c r="G103">
        <f t="shared" si="13"/>
        <v>32.121699999999997</v>
      </c>
      <c r="H103">
        <f t="shared" si="13"/>
        <v>2685.0956999999999</v>
      </c>
      <c r="I103">
        <f t="shared" si="13"/>
        <v>6295.2067999999999</v>
      </c>
      <c r="J103">
        <f t="shared" si="13"/>
        <v>44753.387999999999</v>
      </c>
      <c r="N103">
        <v>2</v>
      </c>
      <c r="O103">
        <v>5477.2371000000003</v>
      </c>
      <c r="P103">
        <v>5342.6127999999999</v>
      </c>
      <c r="Q103">
        <v>13799.866599999999</v>
      </c>
      <c r="R103">
        <v>10583.900799999999</v>
      </c>
      <c r="S103">
        <v>537.34649999999999</v>
      </c>
      <c r="T103">
        <v>32.121699999999997</v>
      </c>
      <c r="U103">
        <v>2685.0956999999999</v>
      </c>
      <c r="V103">
        <v>6295.2067999999999</v>
      </c>
      <c r="W103">
        <f>SUM(O103:V103)</f>
        <v>44753.387999999999</v>
      </c>
    </row>
    <row r="104" spans="1:23" x14ac:dyDescent="0.2">
      <c r="A104" t="s">
        <v>116</v>
      </c>
      <c r="B104">
        <f t="shared" si="13"/>
        <v>792.9049</v>
      </c>
      <c r="C104">
        <f t="shared" si="13"/>
        <v>3100.1201000000001</v>
      </c>
      <c r="D104">
        <f t="shared" si="13"/>
        <v>2209.7622000000001</v>
      </c>
      <c r="E104">
        <f t="shared" si="13"/>
        <v>2090.5133000000001</v>
      </c>
      <c r="F104">
        <f t="shared" si="13"/>
        <v>121.3946</v>
      </c>
      <c r="G104">
        <f t="shared" si="13"/>
        <v>0</v>
      </c>
      <c r="H104">
        <f t="shared" si="13"/>
        <v>2196.7608</v>
      </c>
      <c r="I104">
        <f t="shared" si="13"/>
        <v>861.54039999999998</v>
      </c>
      <c r="J104">
        <f t="shared" si="13"/>
        <v>11372.996300000001</v>
      </c>
      <c r="N104" t="s">
        <v>116</v>
      </c>
      <c r="O104">
        <v>792.9049</v>
      </c>
      <c r="P104">
        <v>3100.1201000000001</v>
      </c>
      <c r="Q104">
        <v>2209.7622000000001</v>
      </c>
      <c r="R104">
        <v>2090.5133000000001</v>
      </c>
      <c r="S104">
        <v>121.3946</v>
      </c>
      <c r="T104">
        <v>0</v>
      </c>
      <c r="U104">
        <v>2196.7608</v>
      </c>
      <c r="V104">
        <v>861.54039999999998</v>
      </c>
      <c r="W104">
        <f>SUM(O104:V104)</f>
        <v>11372.996300000001</v>
      </c>
    </row>
    <row r="106" spans="1:23" x14ac:dyDescent="0.2">
      <c r="A106" t="s">
        <v>214</v>
      </c>
      <c r="N106" t="s">
        <v>214</v>
      </c>
    </row>
    <row r="107" spans="1:23" x14ac:dyDescent="0.2">
      <c r="A107" t="s">
        <v>20</v>
      </c>
      <c r="B107" t="s">
        <v>21</v>
      </c>
      <c r="C107" t="s">
        <v>22</v>
      </c>
      <c r="D107" t="s">
        <v>148</v>
      </c>
      <c r="E107" t="s">
        <v>243</v>
      </c>
      <c r="F107" t="s">
        <v>23</v>
      </c>
      <c r="G107" t="s">
        <v>24</v>
      </c>
      <c r="H107" t="s">
        <v>25</v>
      </c>
      <c r="I107" t="s">
        <v>26</v>
      </c>
      <c r="J107" t="s">
        <v>27</v>
      </c>
      <c r="N107" t="s">
        <v>20</v>
      </c>
      <c r="O107" t="s">
        <v>21</v>
      </c>
      <c r="P107" t="s">
        <v>22</v>
      </c>
      <c r="Q107" t="s">
        <v>148</v>
      </c>
      <c r="R107" t="s">
        <v>243</v>
      </c>
      <c r="S107" t="s">
        <v>23</v>
      </c>
      <c r="T107" t="s">
        <v>24</v>
      </c>
      <c r="U107" t="s">
        <v>25</v>
      </c>
      <c r="V107" t="s">
        <v>26</v>
      </c>
      <c r="W107" t="s">
        <v>27</v>
      </c>
    </row>
    <row r="108" spans="1:23" x14ac:dyDescent="0.2">
      <c r="A108">
        <v>0</v>
      </c>
      <c r="B108">
        <f t="shared" ref="B108:J111" si="14">O108*$B$1</f>
        <v>1127949.3014</v>
      </c>
      <c r="C108">
        <f t="shared" si="14"/>
        <v>259696.6427</v>
      </c>
      <c r="D108">
        <f t="shared" si="14"/>
        <v>256240.4566</v>
      </c>
      <c r="E108">
        <f t="shared" si="14"/>
        <v>394038.69339999999</v>
      </c>
      <c r="F108">
        <f t="shared" si="14"/>
        <v>91101.629000000001</v>
      </c>
      <c r="G108">
        <f t="shared" si="14"/>
        <v>69749.629300000001</v>
      </c>
      <c r="H108">
        <f t="shared" si="14"/>
        <v>432059.24280000001</v>
      </c>
      <c r="I108">
        <f t="shared" si="14"/>
        <v>191204.08480000001</v>
      </c>
      <c r="J108">
        <f t="shared" si="14"/>
        <v>2822039.68</v>
      </c>
      <c r="N108">
        <v>0</v>
      </c>
      <c r="O108">
        <v>1127949.3014</v>
      </c>
      <c r="P108">
        <v>259696.6427</v>
      </c>
      <c r="Q108">
        <v>256240.4566</v>
      </c>
      <c r="R108">
        <v>394038.69339999999</v>
      </c>
      <c r="S108">
        <v>91101.629000000001</v>
      </c>
      <c r="T108">
        <v>69749.629300000001</v>
      </c>
      <c r="U108">
        <v>432059.24280000001</v>
      </c>
      <c r="V108">
        <v>191204.08480000001</v>
      </c>
      <c r="W108">
        <f>SUM(O108:V108)</f>
        <v>2822039.68</v>
      </c>
    </row>
    <row r="109" spans="1:23" x14ac:dyDescent="0.2">
      <c r="A109">
        <v>1</v>
      </c>
      <c r="B109">
        <f t="shared" si="14"/>
        <v>103188.8483</v>
      </c>
      <c r="C109">
        <f t="shared" si="14"/>
        <v>42461.908300000003</v>
      </c>
      <c r="D109">
        <f t="shared" si="14"/>
        <v>77324.362399999998</v>
      </c>
      <c r="E109">
        <f t="shared" si="14"/>
        <v>127424.2283</v>
      </c>
      <c r="F109">
        <f t="shared" si="14"/>
        <v>11444.197399999999</v>
      </c>
      <c r="G109">
        <f t="shared" si="14"/>
        <v>738.14840000000004</v>
      </c>
      <c r="H109">
        <f t="shared" si="14"/>
        <v>23042.049599999998</v>
      </c>
      <c r="I109">
        <f t="shared" si="14"/>
        <v>49577.293400000002</v>
      </c>
      <c r="J109">
        <f t="shared" si="14"/>
        <v>435201.03610000008</v>
      </c>
      <c r="N109">
        <v>1</v>
      </c>
      <c r="O109">
        <v>103188.8483</v>
      </c>
      <c r="P109">
        <v>42461.908300000003</v>
      </c>
      <c r="Q109">
        <v>77324.362399999998</v>
      </c>
      <c r="R109">
        <v>127424.2283</v>
      </c>
      <c r="S109">
        <v>11444.197399999999</v>
      </c>
      <c r="T109">
        <v>738.14840000000004</v>
      </c>
      <c r="U109">
        <v>23042.049599999998</v>
      </c>
      <c r="V109">
        <v>49577.293400000002</v>
      </c>
      <c r="W109">
        <f>SUM(O109:V109)</f>
        <v>435201.03610000008</v>
      </c>
    </row>
    <row r="110" spans="1:23" x14ac:dyDescent="0.2">
      <c r="A110">
        <v>2</v>
      </c>
      <c r="B110">
        <f t="shared" si="14"/>
        <v>6915.1895999999997</v>
      </c>
      <c r="C110">
        <f t="shared" si="14"/>
        <v>3074.2907</v>
      </c>
      <c r="D110">
        <f t="shared" si="14"/>
        <v>9176.8436999999994</v>
      </c>
      <c r="E110">
        <f t="shared" si="14"/>
        <v>11976.175799999999</v>
      </c>
      <c r="F110">
        <f t="shared" si="14"/>
        <v>1587.2460000000001</v>
      </c>
      <c r="G110">
        <f t="shared" si="14"/>
        <v>0</v>
      </c>
      <c r="H110">
        <f t="shared" si="14"/>
        <v>311.46559999999999</v>
      </c>
      <c r="I110">
        <f t="shared" si="14"/>
        <v>1495.7786000000001</v>
      </c>
      <c r="J110">
        <f t="shared" si="14"/>
        <v>34536.99</v>
      </c>
      <c r="N110">
        <v>2</v>
      </c>
      <c r="O110">
        <v>6915.1895999999997</v>
      </c>
      <c r="P110">
        <v>3074.2907</v>
      </c>
      <c r="Q110">
        <v>9176.8436999999994</v>
      </c>
      <c r="R110">
        <v>11976.175799999999</v>
      </c>
      <c r="S110">
        <v>1587.2460000000001</v>
      </c>
      <c r="T110">
        <v>0</v>
      </c>
      <c r="U110">
        <v>311.46559999999999</v>
      </c>
      <c r="V110">
        <v>1495.7786000000001</v>
      </c>
      <c r="W110">
        <f>SUM(O110:V110)</f>
        <v>34536.99</v>
      </c>
    </row>
    <row r="111" spans="1:23" x14ac:dyDescent="0.2">
      <c r="A111" t="s">
        <v>116</v>
      </c>
      <c r="B111">
        <f t="shared" si="14"/>
        <v>501.9135</v>
      </c>
      <c r="C111">
        <f t="shared" si="14"/>
        <v>0</v>
      </c>
      <c r="D111">
        <f t="shared" si="14"/>
        <v>0</v>
      </c>
      <c r="E111">
        <f t="shared" si="14"/>
        <v>387.0335</v>
      </c>
      <c r="F111">
        <f t="shared" si="14"/>
        <v>0</v>
      </c>
      <c r="G111">
        <f t="shared" si="14"/>
        <v>0</v>
      </c>
      <c r="H111">
        <f t="shared" si="14"/>
        <v>246.76769999999999</v>
      </c>
      <c r="I111">
        <f t="shared" si="14"/>
        <v>0</v>
      </c>
      <c r="J111">
        <f t="shared" si="14"/>
        <v>1135.7147</v>
      </c>
      <c r="N111" t="s">
        <v>116</v>
      </c>
      <c r="O111">
        <v>501.9135</v>
      </c>
      <c r="P111">
        <v>0</v>
      </c>
      <c r="Q111">
        <v>0</v>
      </c>
      <c r="R111">
        <v>387.0335</v>
      </c>
      <c r="S111">
        <v>0</v>
      </c>
      <c r="T111">
        <v>0</v>
      </c>
      <c r="U111">
        <v>246.76769999999999</v>
      </c>
      <c r="V111">
        <v>0</v>
      </c>
      <c r="W111">
        <f>SUM(O111:V111)</f>
        <v>1135.7147</v>
      </c>
    </row>
    <row r="113" spans="1:23" x14ac:dyDescent="0.2">
      <c r="A113" t="s">
        <v>129</v>
      </c>
      <c r="N113" t="s">
        <v>129</v>
      </c>
    </row>
    <row r="114" spans="1:23" x14ac:dyDescent="0.2">
      <c r="A114" t="s">
        <v>20</v>
      </c>
      <c r="B114" t="s">
        <v>21</v>
      </c>
      <c r="C114" t="s">
        <v>22</v>
      </c>
      <c r="D114" t="s">
        <v>148</v>
      </c>
      <c r="E114" t="s">
        <v>243</v>
      </c>
      <c r="F114" t="s">
        <v>23</v>
      </c>
      <c r="G114" t="s">
        <v>24</v>
      </c>
      <c r="H114" t="s">
        <v>25</v>
      </c>
      <c r="I114" t="s">
        <v>26</v>
      </c>
      <c r="J114" t="s">
        <v>27</v>
      </c>
      <c r="N114" t="s">
        <v>20</v>
      </c>
      <c r="O114" t="s">
        <v>21</v>
      </c>
      <c r="P114" t="s">
        <v>22</v>
      </c>
      <c r="Q114" t="s">
        <v>148</v>
      </c>
      <c r="R114" t="s">
        <v>243</v>
      </c>
      <c r="S114" t="s">
        <v>23</v>
      </c>
      <c r="T114" t="s">
        <v>24</v>
      </c>
      <c r="U114" t="s">
        <v>25</v>
      </c>
      <c r="V114" t="s">
        <v>26</v>
      </c>
      <c r="W114" t="s">
        <v>27</v>
      </c>
    </row>
    <row r="115" spans="1:23" x14ac:dyDescent="0.2">
      <c r="A115">
        <v>0</v>
      </c>
      <c r="B115">
        <f t="shared" ref="B115:J118" si="15">O115*$B$1</f>
        <v>1187438.0160999999</v>
      </c>
      <c r="C115">
        <f t="shared" si="15"/>
        <v>291591.40950000001</v>
      </c>
      <c r="D115">
        <f t="shared" si="15"/>
        <v>316094.8125</v>
      </c>
      <c r="E115">
        <f t="shared" si="15"/>
        <v>494016.15090000001</v>
      </c>
      <c r="F115">
        <f t="shared" si="15"/>
        <v>99223.242299999998</v>
      </c>
      <c r="G115">
        <f t="shared" si="15"/>
        <v>70487.777700000006</v>
      </c>
      <c r="H115">
        <f t="shared" si="15"/>
        <v>447190.83039999998</v>
      </c>
      <c r="I115">
        <f t="shared" si="15"/>
        <v>237165.10860000001</v>
      </c>
      <c r="J115">
        <f t="shared" si="15"/>
        <v>3143207.3479999998</v>
      </c>
      <c r="N115">
        <v>0</v>
      </c>
      <c r="O115">
        <v>1187438.0160999999</v>
      </c>
      <c r="P115">
        <v>291591.40950000001</v>
      </c>
      <c r="Q115">
        <v>316094.8125</v>
      </c>
      <c r="R115">
        <v>494016.15090000001</v>
      </c>
      <c r="S115">
        <v>99223.242299999998</v>
      </c>
      <c r="T115">
        <v>70487.777700000006</v>
      </c>
      <c r="U115">
        <v>447190.83039999998</v>
      </c>
      <c r="V115">
        <v>237165.10860000001</v>
      </c>
      <c r="W115">
        <f>SUM(O115:V115)</f>
        <v>3143207.3479999998</v>
      </c>
    </row>
    <row r="116" spans="1:23" x14ac:dyDescent="0.2">
      <c r="A116">
        <v>1</v>
      </c>
      <c r="B116">
        <f t="shared" si="15"/>
        <v>50088.666899999997</v>
      </c>
      <c r="C116">
        <f t="shared" si="15"/>
        <v>12372.919400000001</v>
      </c>
      <c r="D116">
        <f t="shared" si="15"/>
        <v>25904.503000000001</v>
      </c>
      <c r="E116">
        <f t="shared" si="15"/>
        <v>37326.601000000002</v>
      </c>
      <c r="F116">
        <f t="shared" si="15"/>
        <v>4800.0600999999997</v>
      </c>
      <c r="G116">
        <f t="shared" si="15"/>
        <v>0</v>
      </c>
      <c r="H116">
        <f t="shared" si="15"/>
        <v>8468.6952999999994</v>
      </c>
      <c r="I116">
        <f t="shared" si="15"/>
        <v>5112.0482000000002</v>
      </c>
      <c r="J116">
        <f t="shared" si="15"/>
        <v>144073.49389999997</v>
      </c>
      <c r="N116">
        <v>1</v>
      </c>
      <c r="O116">
        <v>50088.666899999997</v>
      </c>
      <c r="P116">
        <v>12372.919400000001</v>
      </c>
      <c r="Q116">
        <v>25904.503000000001</v>
      </c>
      <c r="R116">
        <v>37326.601000000002</v>
      </c>
      <c r="S116">
        <v>4800.0600999999997</v>
      </c>
      <c r="T116">
        <v>0</v>
      </c>
      <c r="U116">
        <v>8468.6952999999994</v>
      </c>
      <c r="V116">
        <v>5112.0482000000002</v>
      </c>
      <c r="W116">
        <f>SUM(O116:V116)</f>
        <v>144073.49389999997</v>
      </c>
    </row>
    <row r="117" spans="1:23" x14ac:dyDescent="0.2">
      <c r="A117">
        <v>2</v>
      </c>
      <c r="B117">
        <f t="shared" si="15"/>
        <v>1028.5698</v>
      </c>
      <c r="C117">
        <f t="shared" si="15"/>
        <v>1268.5128</v>
      </c>
      <c r="D117">
        <f t="shared" si="15"/>
        <v>742.34719999999993</v>
      </c>
      <c r="E117">
        <f t="shared" si="15"/>
        <v>2483.3791000000001</v>
      </c>
      <c r="F117">
        <f t="shared" si="15"/>
        <v>109.77</v>
      </c>
      <c r="G117">
        <f t="shared" si="15"/>
        <v>0</v>
      </c>
      <c r="H117">
        <f t="shared" si="15"/>
        <v>0</v>
      </c>
      <c r="I117">
        <f t="shared" si="15"/>
        <v>0</v>
      </c>
      <c r="J117">
        <f t="shared" si="15"/>
        <v>5632.5789000000004</v>
      </c>
      <c r="N117">
        <v>2</v>
      </c>
      <c r="O117">
        <v>1028.5698</v>
      </c>
      <c r="P117">
        <v>1268.5128</v>
      </c>
      <c r="Q117">
        <v>742.34719999999993</v>
      </c>
      <c r="R117">
        <v>2483.3791000000001</v>
      </c>
      <c r="S117">
        <v>109.77</v>
      </c>
      <c r="T117">
        <v>0</v>
      </c>
      <c r="U117">
        <v>0</v>
      </c>
      <c r="V117">
        <v>0</v>
      </c>
      <c r="W117">
        <f>SUM(O117:V117)</f>
        <v>5632.5789000000004</v>
      </c>
    </row>
    <row r="118" spans="1:23" x14ac:dyDescent="0.2">
      <c r="A118" t="s">
        <v>116</v>
      </c>
      <c r="B118">
        <f t="shared" si="15"/>
        <v>0</v>
      </c>
      <c r="C118">
        <f t="shared" si="15"/>
        <v>0</v>
      </c>
      <c r="D118">
        <f t="shared" si="15"/>
        <v>0</v>
      </c>
      <c r="E118">
        <f t="shared" si="15"/>
        <v>0</v>
      </c>
      <c r="F118">
        <f t="shared" si="15"/>
        <v>0</v>
      </c>
      <c r="G118">
        <f t="shared" si="15"/>
        <v>0</v>
      </c>
      <c r="H118">
        <f t="shared" si="15"/>
        <v>0</v>
      </c>
      <c r="I118">
        <f t="shared" si="15"/>
        <v>0</v>
      </c>
      <c r="J118">
        <f t="shared" si="15"/>
        <v>0</v>
      </c>
      <c r="N118" t="s">
        <v>116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f>SUM(O118:V118)</f>
        <v>0</v>
      </c>
    </row>
    <row r="120" spans="1:23" x14ac:dyDescent="0.2">
      <c r="A120" t="s">
        <v>130</v>
      </c>
      <c r="N120" t="s">
        <v>130</v>
      </c>
    </row>
    <row r="121" spans="1:23" x14ac:dyDescent="0.2">
      <c r="A121" t="s">
        <v>20</v>
      </c>
      <c r="B121" t="s">
        <v>21</v>
      </c>
      <c r="C121" t="s">
        <v>22</v>
      </c>
      <c r="D121" t="s">
        <v>148</v>
      </c>
      <c r="E121" t="s">
        <v>243</v>
      </c>
      <c r="F121" t="s">
        <v>23</v>
      </c>
      <c r="G121" t="s">
        <v>24</v>
      </c>
      <c r="H121" t="s">
        <v>25</v>
      </c>
      <c r="I121" t="s">
        <v>26</v>
      </c>
      <c r="J121" t="s">
        <v>27</v>
      </c>
      <c r="N121" t="s">
        <v>20</v>
      </c>
      <c r="O121" t="s">
        <v>21</v>
      </c>
      <c r="P121" t="s">
        <v>22</v>
      </c>
      <c r="Q121" t="s">
        <v>148</v>
      </c>
      <c r="R121" t="s">
        <v>243</v>
      </c>
      <c r="S121" t="s">
        <v>23</v>
      </c>
      <c r="T121" t="s">
        <v>24</v>
      </c>
      <c r="U121" t="s">
        <v>25</v>
      </c>
      <c r="V121" t="s">
        <v>26</v>
      </c>
      <c r="W121" t="s">
        <v>27</v>
      </c>
    </row>
    <row r="122" spans="1:23" x14ac:dyDescent="0.2">
      <c r="A122">
        <v>0</v>
      </c>
      <c r="B122">
        <f t="shared" ref="B122:J125" si="16">O122*$B$1</f>
        <v>1052287.477</v>
      </c>
      <c r="C122">
        <f t="shared" si="16"/>
        <v>234819.79029999999</v>
      </c>
      <c r="D122">
        <f t="shared" si="16"/>
        <v>250626.98850000001</v>
      </c>
      <c r="E122">
        <f t="shared" si="16"/>
        <v>393897.10720000003</v>
      </c>
      <c r="F122">
        <f t="shared" si="16"/>
        <v>89353.552200000006</v>
      </c>
      <c r="G122">
        <f t="shared" si="16"/>
        <v>61023.299100000004</v>
      </c>
      <c r="H122">
        <f t="shared" si="16"/>
        <v>373425.60930000001</v>
      </c>
      <c r="I122">
        <f t="shared" si="16"/>
        <v>171989.2513</v>
      </c>
      <c r="J122">
        <f t="shared" si="16"/>
        <v>2627423.0748999999</v>
      </c>
      <c r="N122">
        <v>0</v>
      </c>
      <c r="O122">
        <v>1052287.477</v>
      </c>
      <c r="P122">
        <v>234819.79029999999</v>
      </c>
      <c r="Q122">
        <v>250626.98850000001</v>
      </c>
      <c r="R122">
        <v>393897.10720000003</v>
      </c>
      <c r="S122">
        <v>89353.552200000006</v>
      </c>
      <c r="T122">
        <v>61023.299100000004</v>
      </c>
      <c r="U122">
        <v>373425.60930000001</v>
      </c>
      <c r="V122">
        <v>171989.2513</v>
      </c>
      <c r="W122">
        <f>SUM(O122:V122)</f>
        <v>2627423.0748999999</v>
      </c>
    </row>
    <row r="123" spans="1:23" x14ac:dyDescent="0.2">
      <c r="A123">
        <v>1</v>
      </c>
      <c r="B123">
        <f t="shared" si="16"/>
        <v>161393.29259999999</v>
      </c>
      <c r="C123">
        <f t="shared" si="16"/>
        <v>55612.793899999997</v>
      </c>
      <c r="D123">
        <f t="shared" si="16"/>
        <v>82938.989600000001</v>
      </c>
      <c r="E123">
        <f t="shared" si="16"/>
        <v>118202.5897</v>
      </c>
      <c r="F123">
        <f t="shared" si="16"/>
        <v>12773.1564</v>
      </c>
      <c r="G123">
        <f t="shared" si="16"/>
        <v>7368.7616000000007</v>
      </c>
      <c r="H123">
        <f t="shared" si="16"/>
        <v>72350.359599999996</v>
      </c>
      <c r="I123">
        <f t="shared" si="16"/>
        <v>59719.887199999997</v>
      </c>
      <c r="J123">
        <f t="shared" si="16"/>
        <v>570359.83059999999</v>
      </c>
      <c r="N123">
        <v>1</v>
      </c>
      <c r="O123">
        <v>161393.29259999999</v>
      </c>
      <c r="P123">
        <v>55612.793899999997</v>
      </c>
      <c r="Q123">
        <v>82938.989600000001</v>
      </c>
      <c r="R123">
        <v>118202.5897</v>
      </c>
      <c r="S123">
        <v>12773.1564</v>
      </c>
      <c r="T123">
        <v>7368.7616000000007</v>
      </c>
      <c r="U123">
        <v>72350.359599999996</v>
      </c>
      <c r="V123">
        <v>59719.887199999997</v>
      </c>
      <c r="W123">
        <f>SUM(O123:V123)</f>
        <v>570359.83059999999</v>
      </c>
    </row>
    <row r="124" spans="1:23" x14ac:dyDescent="0.2">
      <c r="A124">
        <v>2</v>
      </c>
      <c r="B124">
        <f t="shared" si="16"/>
        <v>22983.778699999999</v>
      </c>
      <c r="C124">
        <f t="shared" si="16"/>
        <v>13409.705</v>
      </c>
      <c r="D124">
        <f t="shared" si="16"/>
        <v>8961.7631999999994</v>
      </c>
      <c r="E124">
        <f t="shared" si="16"/>
        <v>18656.616699999999</v>
      </c>
      <c r="F124">
        <f t="shared" si="16"/>
        <v>1750.9271999999999</v>
      </c>
      <c r="G124">
        <f t="shared" si="16"/>
        <v>2095.7170000000001</v>
      </c>
      <c r="H124">
        <f t="shared" si="16"/>
        <v>7845.6404000000002</v>
      </c>
      <c r="I124">
        <f t="shared" si="16"/>
        <v>10417.9858</v>
      </c>
      <c r="J124">
        <f t="shared" si="16"/>
        <v>86122.134000000005</v>
      </c>
      <c r="N124">
        <v>2</v>
      </c>
      <c r="O124">
        <v>22983.778699999999</v>
      </c>
      <c r="P124">
        <v>13409.705</v>
      </c>
      <c r="Q124">
        <v>8961.7631999999994</v>
      </c>
      <c r="R124">
        <v>18656.616699999999</v>
      </c>
      <c r="S124">
        <v>1750.9271999999999</v>
      </c>
      <c r="T124">
        <v>2095.7170000000001</v>
      </c>
      <c r="U124">
        <v>7845.6404000000002</v>
      </c>
      <c r="V124">
        <v>10417.9858</v>
      </c>
      <c r="W124">
        <f>SUM(O124:V124)</f>
        <v>86122.134000000005</v>
      </c>
    </row>
    <row r="125" spans="1:23" x14ac:dyDescent="0.2">
      <c r="A125" t="s">
        <v>116</v>
      </c>
      <c r="B125">
        <f t="shared" si="16"/>
        <v>1890.7045000000001</v>
      </c>
      <c r="C125">
        <f t="shared" si="16"/>
        <v>1390.5525</v>
      </c>
      <c r="D125">
        <f t="shared" si="16"/>
        <v>213.92140000000001</v>
      </c>
      <c r="E125">
        <f t="shared" si="16"/>
        <v>3069.8173999999999</v>
      </c>
      <c r="F125">
        <f t="shared" si="16"/>
        <v>255.4366</v>
      </c>
      <c r="G125">
        <f t="shared" si="16"/>
        <v>0</v>
      </c>
      <c r="H125">
        <f t="shared" si="16"/>
        <v>2037.9164000000001</v>
      </c>
      <c r="I125">
        <f t="shared" si="16"/>
        <v>150.0325</v>
      </c>
      <c r="J125">
        <f t="shared" si="16"/>
        <v>9008.3812999999991</v>
      </c>
      <c r="N125" t="s">
        <v>116</v>
      </c>
      <c r="O125">
        <v>1890.7045000000001</v>
      </c>
      <c r="P125">
        <v>1390.5525</v>
      </c>
      <c r="Q125">
        <v>213.92140000000001</v>
      </c>
      <c r="R125">
        <v>3069.8173999999999</v>
      </c>
      <c r="S125">
        <v>255.4366</v>
      </c>
      <c r="T125">
        <v>0</v>
      </c>
      <c r="U125">
        <v>2037.9164000000001</v>
      </c>
      <c r="V125">
        <v>150.0325</v>
      </c>
      <c r="W125">
        <f>SUM(O125:V125)</f>
        <v>9008.3812999999991</v>
      </c>
    </row>
    <row r="127" spans="1:23" x14ac:dyDescent="0.2">
      <c r="A127" t="s">
        <v>37</v>
      </c>
      <c r="B127" t="s">
        <v>42</v>
      </c>
      <c r="C127" t="s">
        <v>43</v>
      </c>
      <c r="N127" t="s">
        <v>37</v>
      </c>
      <c r="O127" t="s">
        <v>42</v>
      </c>
      <c r="P127" t="s">
        <v>43</v>
      </c>
    </row>
    <row r="128" spans="1:23" x14ac:dyDescent="0.2">
      <c r="A128" t="s">
        <v>44</v>
      </c>
      <c r="B128" t="s">
        <v>21</v>
      </c>
      <c r="C128" t="s">
        <v>45</v>
      </c>
      <c r="D128" t="s">
        <v>27</v>
      </c>
      <c r="N128" t="s">
        <v>44</v>
      </c>
      <c r="O128" t="s">
        <v>21</v>
      </c>
      <c r="P128" t="s">
        <v>45</v>
      </c>
      <c r="Q128" t="s">
        <v>27</v>
      </c>
    </row>
    <row r="129" spans="1:17" x14ac:dyDescent="0.2">
      <c r="A129">
        <v>0</v>
      </c>
      <c r="B129">
        <f t="shared" ref="B129:D132" si="17">O129*$B$1</f>
        <v>1130517.1957096772</v>
      </c>
      <c r="C129">
        <f t="shared" si="17"/>
        <v>278958.82418333681</v>
      </c>
      <c r="D129">
        <f t="shared" si="17"/>
        <v>1409476.0198930139</v>
      </c>
      <c r="N129">
        <v>0</v>
      </c>
      <c r="O129">
        <v>1130517.1957096772</v>
      </c>
      <c r="P129">
        <v>278958.82418333681</v>
      </c>
      <c r="Q129">
        <f>SUM(O129:P129)</f>
        <v>1409476.0198930139</v>
      </c>
    </row>
    <row r="130" spans="1:17" x14ac:dyDescent="0.2">
      <c r="A130">
        <v>1</v>
      </c>
      <c r="B130">
        <f t="shared" si="17"/>
        <v>121839.28199534801</v>
      </c>
      <c r="C130">
        <f t="shared" si="17"/>
        <v>9874.0950283131006</v>
      </c>
      <c r="D130">
        <f t="shared" si="17"/>
        <v>131713.3770236611</v>
      </c>
      <c r="N130">
        <v>1</v>
      </c>
      <c r="O130">
        <v>121839.28199534801</v>
      </c>
      <c r="P130">
        <v>9874.0950283131006</v>
      </c>
      <c r="Q130">
        <f>SUM(O130:P130)</f>
        <v>131713.3770236611</v>
      </c>
    </row>
    <row r="131" spans="1:17" x14ac:dyDescent="0.2">
      <c r="A131">
        <v>2</v>
      </c>
      <c r="B131">
        <f t="shared" si="17"/>
        <v>12478.7219756221</v>
      </c>
      <c r="C131">
        <f t="shared" si="17"/>
        <v>1031.9271690444</v>
      </c>
      <c r="D131">
        <f t="shared" si="17"/>
        <v>13510.6491446665</v>
      </c>
      <c r="N131">
        <v>2</v>
      </c>
      <c r="O131">
        <v>12478.7219756221</v>
      </c>
      <c r="P131">
        <v>1031.9271690444</v>
      </c>
      <c r="Q131">
        <f>SUM(O131:P131)</f>
        <v>13510.6491446665</v>
      </c>
    </row>
    <row r="132" spans="1:17" x14ac:dyDescent="0.2">
      <c r="A132" t="s">
        <v>116</v>
      </c>
      <c r="B132">
        <f t="shared" si="17"/>
        <v>961.57334931089997</v>
      </c>
      <c r="C132">
        <f t="shared" si="17"/>
        <v>0</v>
      </c>
      <c r="D132">
        <f t="shared" si="17"/>
        <v>961.57334931089997</v>
      </c>
      <c r="N132" t="s">
        <v>116</v>
      </c>
      <c r="O132">
        <v>961.57334931089997</v>
      </c>
      <c r="P132">
        <v>0</v>
      </c>
      <c r="Q132">
        <f>SUM(O132:P132)</f>
        <v>961.57334931089997</v>
      </c>
    </row>
    <row r="134" spans="1:17" x14ac:dyDescent="0.2">
      <c r="A134" t="s">
        <v>46</v>
      </c>
      <c r="B134" t="s">
        <v>47</v>
      </c>
      <c r="N134" t="s">
        <v>46</v>
      </c>
      <c r="O134" t="s">
        <v>47</v>
      </c>
    </row>
    <row r="135" spans="1:17" x14ac:dyDescent="0.2">
      <c r="A135" t="s">
        <v>44</v>
      </c>
      <c r="B135" t="s">
        <v>21</v>
      </c>
      <c r="C135" t="s">
        <v>45</v>
      </c>
      <c r="D135" t="s">
        <v>27</v>
      </c>
      <c r="N135" t="s">
        <v>44</v>
      </c>
      <c r="O135" t="s">
        <v>21</v>
      </c>
      <c r="P135" t="s">
        <v>45</v>
      </c>
      <c r="Q135" t="s">
        <v>27</v>
      </c>
    </row>
    <row r="136" spans="1:17" x14ac:dyDescent="0.2">
      <c r="A136" t="s">
        <v>210</v>
      </c>
      <c r="B136">
        <f t="shared" ref="B136:D142" si="18">O136*$B$1</f>
        <v>33967.641396893101</v>
      </c>
      <c r="C136">
        <f t="shared" si="18"/>
        <v>472.4928851121</v>
      </c>
      <c r="D136">
        <f t="shared" si="18"/>
        <v>34440.134282005201</v>
      </c>
      <c r="N136" t="s">
        <v>210</v>
      </c>
      <c r="O136">
        <v>33967.641396893101</v>
      </c>
      <c r="P136">
        <v>472.4928851121</v>
      </c>
      <c r="Q136">
        <f>SUM(O136:P136)</f>
        <v>34440.134282005201</v>
      </c>
    </row>
    <row r="137" spans="1:17" x14ac:dyDescent="0.2">
      <c r="A137" t="s">
        <v>211</v>
      </c>
      <c r="B137">
        <f t="shared" si="18"/>
        <v>0</v>
      </c>
      <c r="C137">
        <f t="shared" si="18"/>
        <v>591.03222056499999</v>
      </c>
      <c r="D137">
        <f t="shared" si="18"/>
        <v>591.03222056499999</v>
      </c>
      <c r="N137" t="s">
        <v>211</v>
      </c>
      <c r="O137">
        <v>0</v>
      </c>
      <c r="P137">
        <v>591.03222056499999</v>
      </c>
      <c r="Q137">
        <f t="shared" ref="Q137:Q142" si="19">SUM(O137:P137)</f>
        <v>591.03222056499999</v>
      </c>
    </row>
    <row r="138" spans="1:17" x14ac:dyDescent="0.2">
      <c r="A138" t="s">
        <v>212</v>
      </c>
      <c r="B138">
        <f t="shared" si="18"/>
        <v>3802.9340893024</v>
      </c>
      <c r="C138">
        <f t="shared" si="18"/>
        <v>1105.8957236822</v>
      </c>
      <c r="D138">
        <f t="shared" si="18"/>
        <v>4908.8298129845998</v>
      </c>
      <c r="N138" t="s">
        <v>212</v>
      </c>
      <c r="O138">
        <v>3802.9340893024</v>
      </c>
      <c r="P138">
        <v>1105.8957236822</v>
      </c>
      <c r="Q138">
        <f t="shared" si="19"/>
        <v>4908.8298129845998</v>
      </c>
    </row>
    <row r="139" spans="1:17" x14ac:dyDescent="0.2">
      <c r="A139" t="s">
        <v>36</v>
      </c>
      <c r="B139">
        <f t="shared" si="18"/>
        <v>16331.234938765099</v>
      </c>
      <c r="C139">
        <f t="shared" si="18"/>
        <v>1954.7555523542001</v>
      </c>
      <c r="D139">
        <f t="shared" si="18"/>
        <v>18285.990491119301</v>
      </c>
      <c r="N139" t="s">
        <v>36</v>
      </c>
      <c r="O139">
        <v>16331.234938765099</v>
      </c>
      <c r="P139">
        <v>1954.7555523542001</v>
      </c>
      <c r="Q139">
        <f t="shared" si="19"/>
        <v>18285.990491119301</v>
      </c>
    </row>
    <row r="140" spans="1:17" x14ac:dyDescent="0.2">
      <c r="A140" t="s">
        <v>214</v>
      </c>
      <c r="B140">
        <f t="shared" si="18"/>
        <v>13369.328487798701</v>
      </c>
      <c r="C140">
        <f t="shared" si="18"/>
        <v>1793.8888179364001</v>
      </c>
      <c r="D140">
        <f t="shared" si="18"/>
        <v>15163.217305735101</v>
      </c>
      <c r="N140" t="s">
        <v>214</v>
      </c>
      <c r="O140">
        <v>13369.328487798701</v>
      </c>
      <c r="P140">
        <v>1793.8888179364001</v>
      </c>
      <c r="Q140">
        <f t="shared" si="19"/>
        <v>15163.217305735101</v>
      </c>
    </row>
    <row r="141" spans="1:17" x14ac:dyDescent="0.2">
      <c r="A141" t="s">
        <v>129</v>
      </c>
      <c r="B141">
        <f t="shared" si="18"/>
        <v>65040.0779471469</v>
      </c>
      <c r="C141">
        <f t="shared" si="18"/>
        <v>5505.6302936890997</v>
      </c>
      <c r="D141">
        <f t="shared" si="18"/>
        <v>70545.708240836</v>
      </c>
      <c r="N141" t="s">
        <v>129</v>
      </c>
      <c r="O141">
        <v>65040.0779471469</v>
      </c>
      <c r="P141">
        <v>5505.6302936890997</v>
      </c>
      <c r="Q141">
        <f t="shared" si="19"/>
        <v>70545.708240836</v>
      </c>
    </row>
    <row r="142" spans="1:17" x14ac:dyDescent="0.2">
      <c r="A142" t="s">
        <v>130</v>
      </c>
      <c r="B142">
        <f t="shared" si="18"/>
        <v>17231.509766637599</v>
      </c>
      <c r="C142">
        <f t="shared" si="18"/>
        <v>514.25387306289997</v>
      </c>
      <c r="D142">
        <f t="shared" si="18"/>
        <v>17745.763639700497</v>
      </c>
      <c r="N142" t="s">
        <v>130</v>
      </c>
      <c r="O142">
        <v>17231.509766637599</v>
      </c>
      <c r="P142">
        <v>514.25387306289997</v>
      </c>
      <c r="Q142">
        <f t="shared" si="19"/>
        <v>17745.763639700497</v>
      </c>
    </row>
    <row r="144" spans="1:17" x14ac:dyDescent="0.2">
      <c r="A144" t="s">
        <v>48</v>
      </c>
      <c r="B144" t="s">
        <v>49</v>
      </c>
      <c r="C144" t="s">
        <v>50</v>
      </c>
      <c r="D144" t="s">
        <v>51</v>
      </c>
      <c r="N144" t="s">
        <v>48</v>
      </c>
      <c r="O144" t="s">
        <v>49</v>
      </c>
      <c r="P144" t="s">
        <v>50</v>
      </c>
      <c r="Q144" t="s">
        <v>51</v>
      </c>
    </row>
    <row r="146" spans="1:22" x14ac:dyDescent="0.2">
      <c r="A146" t="s">
        <v>52</v>
      </c>
      <c r="N146" t="s">
        <v>52</v>
      </c>
    </row>
    <row r="147" spans="1:22" x14ac:dyDescent="0.2">
      <c r="A147" t="s">
        <v>53</v>
      </c>
      <c r="B147" t="s">
        <v>210</v>
      </c>
      <c r="C147" t="s">
        <v>211</v>
      </c>
      <c r="D147" t="s">
        <v>212</v>
      </c>
      <c r="E147" t="s">
        <v>54</v>
      </c>
      <c r="F147" t="s">
        <v>214</v>
      </c>
      <c r="G147" t="s">
        <v>129</v>
      </c>
      <c r="H147" t="s">
        <v>55</v>
      </c>
      <c r="I147" t="s">
        <v>27</v>
      </c>
      <c r="N147" t="s">
        <v>53</v>
      </c>
      <c r="O147" t="s">
        <v>210</v>
      </c>
      <c r="P147" t="s">
        <v>211</v>
      </c>
      <c r="Q147" t="s">
        <v>212</v>
      </c>
      <c r="R147" t="s">
        <v>54</v>
      </c>
      <c r="S147" t="s">
        <v>214</v>
      </c>
      <c r="T147" t="s">
        <v>129</v>
      </c>
      <c r="U147" t="s">
        <v>55</v>
      </c>
      <c r="V147" t="s">
        <v>27</v>
      </c>
    </row>
    <row r="148" spans="1:22" x14ac:dyDescent="0.2">
      <c r="A148">
        <v>0</v>
      </c>
      <c r="B148">
        <f t="shared" ref="B148:I154" si="20">O148*$B$1</f>
        <v>0</v>
      </c>
      <c r="C148">
        <f t="shared" si="20"/>
        <v>0</v>
      </c>
      <c r="D148">
        <f t="shared" si="20"/>
        <v>0</v>
      </c>
      <c r="E148">
        <f t="shared" si="20"/>
        <v>0</v>
      </c>
      <c r="F148">
        <f t="shared" si="20"/>
        <v>0</v>
      </c>
      <c r="G148">
        <f t="shared" si="20"/>
        <v>0</v>
      </c>
      <c r="H148">
        <f t="shared" si="20"/>
        <v>0</v>
      </c>
      <c r="I148">
        <f t="shared" si="20"/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f>SUM(O148:U148)</f>
        <v>0</v>
      </c>
    </row>
    <row r="149" spans="1:22" x14ac:dyDescent="0.2">
      <c r="A149">
        <v>1</v>
      </c>
      <c r="B149">
        <f t="shared" si="20"/>
        <v>0</v>
      </c>
      <c r="C149">
        <f t="shared" si="20"/>
        <v>0</v>
      </c>
      <c r="D149">
        <f t="shared" si="20"/>
        <v>0</v>
      </c>
      <c r="E149">
        <f t="shared" si="20"/>
        <v>0</v>
      </c>
      <c r="F149">
        <f t="shared" si="20"/>
        <v>0</v>
      </c>
      <c r="G149">
        <f t="shared" si="20"/>
        <v>0</v>
      </c>
      <c r="H149">
        <f t="shared" si="20"/>
        <v>0</v>
      </c>
      <c r="I149">
        <f t="shared" si="20"/>
        <v>0</v>
      </c>
      <c r="N149">
        <v>1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f t="shared" ref="V149:V154" si="21">SUM(O149:U149)</f>
        <v>0</v>
      </c>
    </row>
    <row r="150" spans="1:22" x14ac:dyDescent="0.2">
      <c r="A150">
        <v>2</v>
      </c>
      <c r="B150">
        <f t="shared" si="20"/>
        <v>746909.14476746914</v>
      </c>
      <c r="C150">
        <f t="shared" si="20"/>
        <v>484129.91088194179</v>
      </c>
      <c r="D150">
        <f t="shared" si="20"/>
        <v>308211.10802103789</v>
      </c>
      <c r="E150">
        <f t="shared" si="20"/>
        <v>422043.49430794211</v>
      </c>
      <c r="F150">
        <f t="shared" si="20"/>
        <v>369238.14491729322</v>
      </c>
      <c r="G150">
        <f t="shared" si="20"/>
        <v>193519.54960233401</v>
      </c>
      <c r="H150">
        <f t="shared" si="20"/>
        <v>719440.25564764335</v>
      </c>
      <c r="I150">
        <f t="shared" si="20"/>
        <v>3243491.6081456612</v>
      </c>
      <c r="N150">
        <v>2</v>
      </c>
      <c r="O150">
        <v>746909.14476746914</v>
      </c>
      <c r="P150">
        <v>484129.91088194179</v>
      </c>
      <c r="Q150">
        <v>308211.10802103789</v>
      </c>
      <c r="R150">
        <v>422043.49430794211</v>
      </c>
      <c r="S150">
        <v>369238.14491729322</v>
      </c>
      <c r="T150">
        <v>193519.54960233401</v>
      </c>
      <c r="U150">
        <v>719440.25564764335</v>
      </c>
      <c r="V150">
        <f t="shared" si="21"/>
        <v>3243491.6081456612</v>
      </c>
    </row>
    <row r="151" spans="1:22" x14ac:dyDescent="0.2">
      <c r="A151">
        <v>3</v>
      </c>
      <c r="B151">
        <f t="shared" si="20"/>
        <v>0</v>
      </c>
      <c r="C151">
        <f t="shared" si="20"/>
        <v>0</v>
      </c>
      <c r="D151">
        <f t="shared" si="20"/>
        <v>0</v>
      </c>
      <c r="E151">
        <f t="shared" si="20"/>
        <v>0</v>
      </c>
      <c r="F151">
        <f t="shared" si="20"/>
        <v>0</v>
      </c>
      <c r="G151">
        <f t="shared" si="20"/>
        <v>0</v>
      </c>
      <c r="H151">
        <f t="shared" si="20"/>
        <v>0</v>
      </c>
      <c r="I151">
        <f t="shared" si="20"/>
        <v>0</v>
      </c>
      <c r="N151">
        <v>3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f t="shared" si="21"/>
        <v>0</v>
      </c>
    </row>
    <row r="152" spans="1:22" x14ac:dyDescent="0.2">
      <c r="A152">
        <v>4</v>
      </c>
      <c r="B152">
        <f t="shared" si="20"/>
        <v>358754.60380391771</v>
      </c>
      <c r="C152">
        <f t="shared" si="20"/>
        <v>104386.88435920489</v>
      </c>
      <c r="D152">
        <f t="shared" si="20"/>
        <v>94914.651101713403</v>
      </c>
      <c r="E152">
        <f t="shared" si="20"/>
        <v>117716.5570572727</v>
      </c>
      <c r="F152">
        <f t="shared" si="20"/>
        <v>155145.3644517161</v>
      </c>
      <c r="G152">
        <f t="shared" si="20"/>
        <v>33464.586624024501</v>
      </c>
      <c r="H152">
        <f t="shared" si="20"/>
        <v>165611.707533329</v>
      </c>
      <c r="I152">
        <f t="shared" si="20"/>
        <v>1029994.3549311783</v>
      </c>
      <c r="N152">
        <v>4</v>
      </c>
      <c r="O152">
        <v>358754.60380391771</v>
      </c>
      <c r="P152">
        <v>104386.88435920489</v>
      </c>
      <c r="Q152">
        <v>94914.651101713403</v>
      </c>
      <c r="R152">
        <v>117716.5570572727</v>
      </c>
      <c r="S152">
        <v>155145.3644517161</v>
      </c>
      <c r="T152">
        <v>33464.586624024501</v>
      </c>
      <c r="U152">
        <v>165611.707533329</v>
      </c>
      <c r="V152">
        <f t="shared" si="21"/>
        <v>1029994.3549311783</v>
      </c>
    </row>
    <row r="153" spans="1:22" x14ac:dyDescent="0.2">
      <c r="A153">
        <v>5</v>
      </c>
      <c r="B153">
        <f t="shared" si="20"/>
        <v>0</v>
      </c>
      <c r="C153">
        <f t="shared" si="20"/>
        <v>0</v>
      </c>
      <c r="D153">
        <f t="shared" si="20"/>
        <v>0</v>
      </c>
      <c r="E153">
        <f t="shared" si="20"/>
        <v>0</v>
      </c>
      <c r="F153">
        <f t="shared" si="20"/>
        <v>0</v>
      </c>
      <c r="G153">
        <f t="shared" si="20"/>
        <v>0</v>
      </c>
      <c r="H153">
        <f t="shared" si="20"/>
        <v>0</v>
      </c>
      <c r="I153">
        <f t="shared" si="20"/>
        <v>0</v>
      </c>
      <c r="N153">
        <v>5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f t="shared" si="21"/>
        <v>0</v>
      </c>
    </row>
    <row r="154" spans="1:22" x14ac:dyDescent="0.2">
      <c r="A154" t="s">
        <v>209</v>
      </c>
      <c r="B154">
        <f t="shared" si="20"/>
        <v>449997.87083926552</v>
      </c>
      <c r="C154">
        <f t="shared" si="20"/>
        <v>118244.9867477614</v>
      </c>
      <c r="D154">
        <f t="shared" si="20"/>
        <v>149607.6865500276</v>
      </c>
      <c r="E154">
        <f t="shared" si="20"/>
        <v>116320.9048564782</v>
      </c>
      <c r="F154">
        <f t="shared" si="20"/>
        <v>133012.1351330161</v>
      </c>
      <c r="G154">
        <f t="shared" si="20"/>
        <v>40150.674376151699</v>
      </c>
      <c r="H154">
        <f t="shared" si="20"/>
        <v>102694.8392580604</v>
      </c>
      <c r="I154">
        <f t="shared" si="20"/>
        <v>1110029.0977607609</v>
      </c>
      <c r="N154" t="s">
        <v>209</v>
      </c>
      <c r="O154">
        <v>449997.87083926552</v>
      </c>
      <c r="P154">
        <v>118244.9867477614</v>
      </c>
      <c r="Q154">
        <v>149607.6865500276</v>
      </c>
      <c r="R154">
        <v>116320.9048564782</v>
      </c>
      <c r="S154">
        <v>133012.1351330161</v>
      </c>
      <c r="T154">
        <v>40150.674376151699</v>
      </c>
      <c r="U154">
        <v>102694.8392580604</v>
      </c>
      <c r="V154">
        <f t="shared" si="21"/>
        <v>1110029.0977607609</v>
      </c>
    </row>
    <row r="156" spans="1:22" x14ac:dyDescent="0.2">
      <c r="A156" t="s">
        <v>56</v>
      </c>
      <c r="N156" t="s">
        <v>56</v>
      </c>
    </row>
    <row r="157" spans="1:22" x14ac:dyDescent="0.2">
      <c r="A157" t="s">
        <v>53</v>
      </c>
      <c r="B157" t="s">
        <v>210</v>
      </c>
      <c r="C157" t="s">
        <v>211</v>
      </c>
      <c r="D157" t="s">
        <v>212</v>
      </c>
      <c r="E157" t="s">
        <v>54</v>
      </c>
      <c r="F157" t="s">
        <v>214</v>
      </c>
      <c r="G157" t="s">
        <v>129</v>
      </c>
      <c r="H157" t="s">
        <v>55</v>
      </c>
      <c r="I157" t="s">
        <v>27</v>
      </c>
      <c r="N157" t="s">
        <v>53</v>
      </c>
      <c r="O157" t="s">
        <v>210</v>
      </c>
      <c r="P157" t="s">
        <v>211</v>
      </c>
      <c r="Q157" t="s">
        <v>212</v>
      </c>
      <c r="R157" t="s">
        <v>54</v>
      </c>
      <c r="S157" t="s">
        <v>214</v>
      </c>
      <c r="T157" t="s">
        <v>129</v>
      </c>
      <c r="U157" t="s">
        <v>55</v>
      </c>
      <c r="V157" t="s">
        <v>27</v>
      </c>
    </row>
    <row r="158" spans="1:22" x14ac:dyDescent="0.2">
      <c r="A158">
        <v>0</v>
      </c>
      <c r="B158">
        <f t="shared" ref="B158:I164" si="22">O158*$B$1</f>
        <v>0</v>
      </c>
      <c r="C158">
        <f t="shared" si="22"/>
        <v>0</v>
      </c>
      <c r="D158">
        <f t="shared" si="22"/>
        <v>0</v>
      </c>
      <c r="E158">
        <f t="shared" si="22"/>
        <v>0</v>
      </c>
      <c r="F158">
        <f t="shared" si="22"/>
        <v>0</v>
      </c>
      <c r="G158">
        <f t="shared" si="22"/>
        <v>0</v>
      </c>
      <c r="H158">
        <f t="shared" si="22"/>
        <v>0</v>
      </c>
      <c r="I158">
        <f t="shared" si="22"/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f>SUM(O158:U158)</f>
        <v>0</v>
      </c>
    </row>
    <row r="159" spans="1:22" x14ac:dyDescent="0.2">
      <c r="A159">
        <v>1</v>
      </c>
      <c r="B159">
        <f t="shared" si="22"/>
        <v>1190345.2036575307</v>
      </c>
      <c r="C159">
        <f t="shared" si="22"/>
        <v>631871.41130328015</v>
      </c>
      <c r="D159">
        <f t="shared" si="22"/>
        <v>449811.72981089953</v>
      </c>
      <c r="E159">
        <f t="shared" si="22"/>
        <v>570619.52319038031</v>
      </c>
      <c r="F159">
        <f t="shared" si="22"/>
        <v>484323.2846708438</v>
      </c>
      <c r="G159">
        <f t="shared" si="22"/>
        <v>220701.75804218149</v>
      </c>
      <c r="H159">
        <f t="shared" si="22"/>
        <v>844025.86434357916</v>
      </c>
      <c r="I159">
        <f t="shared" si="22"/>
        <v>4391698.7750186948</v>
      </c>
      <c r="N159">
        <v>1</v>
      </c>
      <c r="O159">
        <v>1190345.2036575307</v>
      </c>
      <c r="P159">
        <v>631871.41130328015</v>
      </c>
      <c r="Q159">
        <v>449811.72981089953</v>
      </c>
      <c r="R159">
        <v>570619.52319038031</v>
      </c>
      <c r="S159">
        <v>484323.2846708438</v>
      </c>
      <c r="T159">
        <v>220701.75804218149</v>
      </c>
      <c r="U159">
        <v>844025.86434357916</v>
      </c>
      <c r="V159">
        <f t="shared" ref="V159:V164" si="23">SUM(O159:U159)</f>
        <v>4391698.7750186948</v>
      </c>
    </row>
    <row r="160" spans="1:22" x14ac:dyDescent="0.2">
      <c r="A160">
        <v>2</v>
      </c>
      <c r="B160">
        <f t="shared" si="22"/>
        <v>0</v>
      </c>
      <c r="C160">
        <f t="shared" si="22"/>
        <v>0</v>
      </c>
      <c r="D160">
        <f t="shared" si="22"/>
        <v>0</v>
      </c>
      <c r="E160">
        <f t="shared" si="22"/>
        <v>0</v>
      </c>
      <c r="F160">
        <f t="shared" si="22"/>
        <v>0</v>
      </c>
      <c r="G160">
        <f t="shared" si="22"/>
        <v>0</v>
      </c>
      <c r="H160">
        <f t="shared" si="22"/>
        <v>0</v>
      </c>
      <c r="I160">
        <f t="shared" si="22"/>
        <v>0</v>
      </c>
      <c r="N160">
        <v>2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f t="shared" si="23"/>
        <v>0</v>
      </c>
    </row>
    <row r="161" spans="1:22" x14ac:dyDescent="0.2">
      <c r="A161">
        <v>3</v>
      </c>
      <c r="B161">
        <f t="shared" si="22"/>
        <v>277201.25514977478</v>
      </c>
      <c r="C161">
        <f t="shared" si="22"/>
        <v>58115.658396791499</v>
      </c>
      <c r="D161">
        <f t="shared" si="22"/>
        <v>56368.194965032402</v>
      </c>
      <c r="E161">
        <f t="shared" si="22"/>
        <v>56816.935781038199</v>
      </c>
      <c r="F161">
        <f t="shared" si="22"/>
        <v>116193.39258742931</v>
      </c>
      <c r="G161">
        <f t="shared" si="22"/>
        <v>24775.112375684101</v>
      </c>
      <c r="H161">
        <f t="shared" si="22"/>
        <v>107741.82112473559</v>
      </c>
      <c r="I161">
        <f t="shared" si="22"/>
        <v>697212.3703804859</v>
      </c>
      <c r="N161">
        <v>3</v>
      </c>
      <c r="O161">
        <v>277201.25514977478</v>
      </c>
      <c r="P161">
        <v>58115.658396791499</v>
      </c>
      <c r="Q161">
        <v>56368.194965032402</v>
      </c>
      <c r="R161">
        <v>56816.935781038199</v>
      </c>
      <c r="S161">
        <v>116193.39258742931</v>
      </c>
      <c r="T161">
        <v>24775.112375684101</v>
      </c>
      <c r="U161">
        <v>107741.82112473559</v>
      </c>
      <c r="V161">
        <f t="shared" si="23"/>
        <v>697212.3703804859</v>
      </c>
    </row>
    <row r="162" spans="1:22" x14ac:dyDescent="0.2">
      <c r="A162">
        <v>4</v>
      </c>
      <c r="B162">
        <f t="shared" si="22"/>
        <v>0</v>
      </c>
      <c r="C162">
        <f t="shared" si="22"/>
        <v>0</v>
      </c>
      <c r="D162">
        <f t="shared" si="22"/>
        <v>0</v>
      </c>
      <c r="E162">
        <f t="shared" si="22"/>
        <v>0</v>
      </c>
      <c r="F162">
        <f t="shared" si="22"/>
        <v>0</v>
      </c>
      <c r="G162">
        <f t="shared" si="22"/>
        <v>0</v>
      </c>
      <c r="H162">
        <f t="shared" si="22"/>
        <v>0</v>
      </c>
      <c r="I162">
        <f t="shared" si="22"/>
        <v>0</v>
      </c>
      <c r="N162">
        <v>4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f t="shared" si="23"/>
        <v>0</v>
      </c>
    </row>
    <row r="163" spans="1:22" x14ac:dyDescent="0.2">
      <c r="A163">
        <v>5</v>
      </c>
      <c r="B163">
        <f t="shared" si="22"/>
        <v>58945.868790859902</v>
      </c>
      <c r="C163">
        <f t="shared" si="22"/>
        <v>10118.5781342433</v>
      </c>
      <c r="D163">
        <f t="shared" si="22"/>
        <v>21206.473593949599</v>
      </c>
      <c r="E163">
        <f t="shared" si="22"/>
        <v>18942.629867374399</v>
      </c>
      <c r="F163">
        <f t="shared" si="22"/>
        <v>33233.461093576298</v>
      </c>
      <c r="G163">
        <f t="shared" si="22"/>
        <v>12841.428309009199</v>
      </c>
      <c r="H163">
        <f t="shared" si="22"/>
        <v>23839.2605603136</v>
      </c>
      <c r="I163">
        <f t="shared" si="22"/>
        <v>179127.7003493263</v>
      </c>
      <c r="N163">
        <v>5</v>
      </c>
      <c r="O163">
        <v>58945.868790859902</v>
      </c>
      <c r="P163">
        <v>10118.5781342433</v>
      </c>
      <c r="Q163">
        <v>21206.473593949599</v>
      </c>
      <c r="R163">
        <v>18942.629867374399</v>
      </c>
      <c r="S163">
        <v>33233.461093576298</v>
      </c>
      <c r="T163">
        <v>12841.428309009199</v>
      </c>
      <c r="U163">
        <v>23839.2605603136</v>
      </c>
      <c r="V163">
        <f t="shared" si="23"/>
        <v>179127.7003493263</v>
      </c>
    </row>
    <row r="164" spans="1:22" x14ac:dyDescent="0.2">
      <c r="A164" t="s">
        <v>209</v>
      </c>
      <c r="B164">
        <f t="shared" si="22"/>
        <v>29169.291812487099</v>
      </c>
      <c r="C164">
        <f t="shared" si="22"/>
        <v>6656.1341545931</v>
      </c>
      <c r="D164">
        <f t="shared" si="22"/>
        <v>25347.047302897401</v>
      </c>
      <c r="E164">
        <f t="shared" si="22"/>
        <v>9701.8673829001</v>
      </c>
      <c r="F164">
        <f t="shared" si="22"/>
        <v>23645.506150175999</v>
      </c>
      <c r="G164">
        <f t="shared" si="22"/>
        <v>8816.5118756354004</v>
      </c>
      <c r="H164">
        <f t="shared" si="22"/>
        <v>12139.8564104043</v>
      </c>
      <c r="I164">
        <f t="shared" si="22"/>
        <v>115476.2150890934</v>
      </c>
      <c r="N164" t="s">
        <v>209</v>
      </c>
      <c r="O164">
        <v>29169.291812487099</v>
      </c>
      <c r="P164">
        <v>6656.1341545931</v>
      </c>
      <c r="Q164">
        <v>25347.047302897401</v>
      </c>
      <c r="R164">
        <v>9701.8673829001</v>
      </c>
      <c r="S164">
        <v>23645.506150175999</v>
      </c>
      <c r="T164">
        <v>8816.5118756354004</v>
      </c>
      <c r="U164">
        <v>12139.8564104043</v>
      </c>
      <c r="V164">
        <f t="shared" si="23"/>
        <v>115476.2150890934</v>
      </c>
    </row>
    <row r="166" spans="1:22" x14ac:dyDescent="0.2">
      <c r="A166" t="s">
        <v>57</v>
      </c>
      <c r="N166" t="s">
        <v>57</v>
      </c>
    </row>
    <row r="167" spans="1:22" x14ac:dyDescent="0.2">
      <c r="A167" t="s">
        <v>53</v>
      </c>
      <c r="B167" t="s">
        <v>210</v>
      </c>
      <c r="C167" t="s">
        <v>211</v>
      </c>
      <c r="D167" t="s">
        <v>212</v>
      </c>
      <c r="E167" t="s">
        <v>54</v>
      </c>
      <c r="F167" t="s">
        <v>214</v>
      </c>
      <c r="G167" t="s">
        <v>129</v>
      </c>
      <c r="H167" t="s">
        <v>55</v>
      </c>
      <c r="I167" t="s">
        <v>27</v>
      </c>
      <c r="N167" t="s">
        <v>53</v>
      </c>
      <c r="O167" t="s">
        <v>210</v>
      </c>
      <c r="P167" t="s">
        <v>211</v>
      </c>
      <c r="Q167" t="s">
        <v>212</v>
      </c>
      <c r="R167" t="s">
        <v>54</v>
      </c>
      <c r="S167" t="s">
        <v>214</v>
      </c>
      <c r="T167" t="s">
        <v>129</v>
      </c>
      <c r="U167" t="s">
        <v>55</v>
      </c>
      <c r="V167" t="s">
        <v>27</v>
      </c>
    </row>
    <row r="168" spans="1:22" x14ac:dyDescent="0.2">
      <c r="A168">
        <v>0</v>
      </c>
      <c r="B168">
        <f t="shared" ref="B168:I174" si="24">O168*$B$1</f>
        <v>0</v>
      </c>
      <c r="C168">
        <f t="shared" si="24"/>
        <v>0</v>
      </c>
      <c r="D168">
        <f t="shared" si="24"/>
        <v>0</v>
      </c>
      <c r="E168">
        <f t="shared" si="24"/>
        <v>0</v>
      </c>
      <c r="F168">
        <f t="shared" si="24"/>
        <v>0</v>
      </c>
      <c r="G168">
        <f t="shared" si="24"/>
        <v>0</v>
      </c>
      <c r="H168">
        <f t="shared" si="24"/>
        <v>0</v>
      </c>
      <c r="I168">
        <f t="shared" si="24"/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f>SUM(O168:U168)</f>
        <v>0</v>
      </c>
    </row>
    <row r="169" spans="1:22" x14ac:dyDescent="0.2">
      <c r="A169">
        <v>1</v>
      </c>
      <c r="B169">
        <f t="shared" si="24"/>
        <v>885525.09520640329</v>
      </c>
      <c r="C169">
        <f t="shared" si="24"/>
        <v>515952.45472795912</v>
      </c>
      <c r="D169">
        <f t="shared" si="24"/>
        <v>370805.50168951118</v>
      </c>
      <c r="E169">
        <f t="shared" si="24"/>
        <v>462486.17166626162</v>
      </c>
      <c r="F169">
        <f t="shared" si="24"/>
        <v>480190.198446422</v>
      </c>
      <c r="G169">
        <f t="shared" si="24"/>
        <v>221311.31598176499</v>
      </c>
      <c r="H169">
        <f t="shared" si="24"/>
        <v>814322.16281278979</v>
      </c>
      <c r="I169">
        <f t="shared" si="24"/>
        <v>3750592.9005311118</v>
      </c>
      <c r="N169">
        <v>1</v>
      </c>
      <c r="O169">
        <v>885525.09520640329</v>
      </c>
      <c r="P169">
        <v>515952.45472795912</v>
      </c>
      <c r="Q169">
        <v>370805.50168951118</v>
      </c>
      <c r="R169">
        <v>462486.17166626162</v>
      </c>
      <c r="S169">
        <v>480190.198446422</v>
      </c>
      <c r="T169">
        <v>221311.31598176499</v>
      </c>
      <c r="U169">
        <v>814322.16281278979</v>
      </c>
      <c r="V169">
        <f t="shared" ref="V169:V174" si="25">SUM(O169:U169)</f>
        <v>3750592.9005311118</v>
      </c>
    </row>
    <row r="170" spans="1:22" x14ac:dyDescent="0.2">
      <c r="A170">
        <v>2</v>
      </c>
      <c r="B170">
        <f t="shared" si="24"/>
        <v>0</v>
      </c>
      <c r="C170">
        <f t="shared" si="24"/>
        <v>0</v>
      </c>
      <c r="D170">
        <f t="shared" si="24"/>
        <v>0</v>
      </c>
      <c r="E170">
        <f t="shared" si="24"/>
        <v>0</v>
      </c>
      <c r="F170">
        <f t="shared" si="24"/>
        <v>0</v>
      </c>
      <c r="G170">
        <f t="shared" si="24"/>
        <v>0</v>
      </c>
      <c r="H170">
        <f t="shared" si="24"/>
        <v>0</v>
      </c>
      <c r="I170">
        <f t="shared" si="24"/>
        <v>0</v>
      </c>
      <c r="N170">
        <v>2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f t="shared" si="25"/>
        <v>0</v>
      </c>
    </row>
    <row r="171" spans="1:22" x14ac:dyDescent="0.2">
      <c r="A171">
        <v>3</v>
      </c>
      <c r="B171">
        <f t="shared" si="24"/>
        <v>379678.45825911261</v>
      </c>
      <c r="C171">
        <f t="shared" si="24"/>
        <v>109367.80653329</v>
      </c>
      <c r="D171">
        <f t="shared" si="24"/>
        <v>79992.681105284501</v>
      </c>
      <c r="E171">
        <f t="shared" si="24"/>
        <v>122837.09475091931</v>
      </c>
      <c r="F171">
        <f t="shared" si="24"/>
        <v>123662.5494009666</v>
      </c>
      <c r="G171">
        <f t="shared" si="24"/>
        <v>31481.463346006101</v>
      </c>
      <c r="H171">
        <f t="shared" si="24"/>
        <v>129235.2983927114</v>
      </c>
      <c r="I171">
        <f t="shared" si="24"/>
        <v>976255.35178829054</v>
      </c>
      <c r="N171">
        <v>3</v>
      </c>
      <c r="O171">
        <v>379678.45825911261</v>
      </c>
      <c r="P171">
        <v>109367.80653329</v>
      </c>
      <c r="Q171">
        <v>79992.681105284501</v>
      </c>
      <c r="R171">
        <v>122837.09475091931</v>
      </c>
      <c r="S171">
        <v>123662.5494009666</v>
      </c>
      <c r="T171">
        <v>31481.463346006101</v>
      </c>
      <c r="U171">
        <v>129235.2983927114</v>
      </c>
      <c r="V171">
        <f t="shared" si="25"/>
        <v>976255.35178829054</v>
      </c>
    </row>
    <row r="172" spans="1:22" x14ac:dyDescent="0.2">
      <c r="A172">
        <v>4</v>
      </c>
      <c r="B172">
        <f t="shared" si="24"/>
        <v>0</v>
      </c>
      <c r="C172">
        <f t="shared" si="24"/>
        <v>0</v>
      </c>
      <c r="D172">
        <f t="shared" si="24"/>
        <v>0</v>
      </c>
      <c r="E172">
        <f t="shared" si="24"/>
        <v>0</v>
      </c>
      <c r="F172">
        <f t="shared" si="24"/>
        <v>0</v>
      </c>
      <c r="G172">
        <f t="shared" si="24"/>
        <v>0</v>
      </c>
      <c r="H172">
        <f t="shared" si="24"/>
        <v>0</v>
      </c>
      <c r="I172">
        <f t="shared" si="24"/>
        <v>0</v>
      </c>
      <c r="N172">
        <v>4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f t="shared" si="25"/>
        <v>0</v>
      </c>
    </row>
    <row r="173" spans="1:22" x14ac:dyDescent="0.2">
      <c r="A173">
        <v>5</v>
      </c>
      <c r="B173">
        <f t="shared" si="24"/>
        <v>198916.8997677578</v>
      </c>
      <c r="C173">
        <f t="shared" si="24"/>
        <v>58055.052466461697</v>
      </c>
      <c r="D173">
        <f t="shared" si="24"/>
        <v>59958.768432662502</v>
      </c>
      <c r="E173">
        <f t="shared" si="24"/>
        <v>42653.678167650898</v>
      </c>
      <c r="F173">
        <f t="shared" si="24"/>
        <v>33598.717869500899</v>
      </c>
      <c r="G173">
        <f t="shared" si="24"/>
        <v>9319.1224883125997</v>
      </c>
      <c r="H173">
        <f t="shared" si="24"/>
        <v>30091.402862245101</v>
      </c>
      <c r="I173">
        <f t="shared" si="24"/>
        <v>432593.6420545915</v>
      </c>
      <c r="N173">
        <v>5</v>
      </c>
      <c r="O173">
        <v>198916.8997677578</v>
      </c>
      <c r="P173">
        <v>58055.052466461697</v>
      </c>
      <c r="Q173">
        <v>59958.768432662502</v>
      </c>
      <c r="R173">
        <v>42653.678167650898</v>
      </c>
      <c r="S173">
        <v>33598.717869500899</v>
      </c>
      <c r="T173">
        <v>9319.1224883125997</v>
      </c>
      <c r="U173">
        <v>30091.402862245101</v>
      </c>
      <c r="V173">
        <f t="shared" si="25"/>
        <v>432593.6420545915</v>
      </c>
    </row>
    <row r="174" spans="1:22" x14ac:dyDescent="0.2">
      <c r="A174" t="s">
        <v>209</v>
      </c>
      <c r="B174">
        <f t="shared" si="24"/>
        <v>91541.166177378705</v>
      </c>
      <c r="C174">
        <f t="shared" si="24"/>
        <v>23386.4682611973</v>
      </c>
      <c r="D174">
        <f t="shared" si="24"/>
        <v>41976.494445320699</v>
      </c>
      <c r="E174">
        <f t="shared" si="24"/>
        <v>28104.0116368612</v>
      </c>
      <c r="F174">
        <f t="shared" si="24"/>
        <v>19944.1787851359</v>
      </c>
      <c r="G174">
        <f t="shared" si="24"/>
        <v>5022.9087864265002</v>
      </c>
      <c r="H174">
        <f t="shared" si="24"/>
        <v>14097.9383712864</v>
      </c>
      <c r="I174">
        <f t="shared" si="24"/>
        <v>224073.1664636067</v>
      </c>
      <c r="N174" t="s">
        <v>209</v>
      </c>
      <c r="O174">
        <v>91541.166177378705</v>
      </c>
      <c r="P174">
        <v>23386.4682611973</v>
      </c>
      <c r="Q174">
        <v>41976.494445320699</v>
      </c>
      <c r="R174">
        <v>28104.0116368612</v>
      </c>
      <c r="S174">
        <v>19944.1787851359</v>
      </c>
      <c r="T174">
        <v>5022.9087864265002</v>
      </c>
      <c r="U174">
        <v>14097.9383712864</v>
      </c>
      <c r="V174">
        <f t="shared" si="25"/>
        <v>224073.1664636067</v>
      </c>
    </row>
    <row r="176" spans="1:22" x14ac:dyDescent="0.2">
      <c r="A176" t="s">
        <v>18</v>
      </c>
      <c r="B176" t="s">
        <v>58</v>
      </c>
      <c r="C176" t="s">
        <v>59</v>
      </c>
      <c r="D176" t="s">
        <v>60</v>
      </c>
      <c r="N176" t="s">
        <v>18</v>
      </c>
      <c r="O176" t="s">
        <v>58</v>
      </c>
      <c r="P176" t="s">
        <v>59</v>
      </c>
      <c r="Q176" t="s">
        <v>60</v>
      </c>
    </row>
    <row r="177" spans="1:23" x14ac:dyDescent="0.2">
      <c r="A177" t="s">
        <v>44</v>
      </c>
      <c r="B177" t="s">
        <v>21</v>
      </c>
      <c r="C177" t="s">
        <v>22</v>
      </c>
      <c r="D177" t="s">
        <v>148</v>
      </c>
      <c r="E177" t="s">
        <v>243</v>
      </c>
      <c r="F177" t="s">
        <v>23</v>
      </c>
      <c r="G177" t="s">
        <v>24</v>
      </c>
      <c r="H177" t="s">
        <v>25</v>
      </c>
      <c r="I177" t="s">
        <v>26</v>
      </c>
      <c r="J177" t="s">
        <v>27</v>
      </c>
      <c r="N177" t="s">
        <v>44</v>
      </c>
      <c r="O177" t="s">
        <v>21</v>
      </c>
      <c r="P177" t="s">
        <v>22</v>
      </c>
      <c r="Q177" t="s">
        <v>148</v>
      </c>
      <c r="R177" t="s">
        <v>243</v>
      </c>
      <c r="S177" t="s">
        <v>23</v>
      </c>
      <c r="T177" t="s">
        <v>24</v>
      </c>
      <c r="U177" t="s">
        <v>25</v>
      </c>
      <c r="V177" t="s">
        <v>26</v>
      </c>
      <c r="W177" t="s">
        <v>27</v>
      </c>
    </row>
    <row r="178" spans="1:23" x14ac:dyDescent="0.2">
      <c r="A178" t="s">
        <v>210</v>
      </c>
      <c r="B178">
        <f t="shared" ref="B178:J185" si="26">O178*$B$1</f>
        <v>1231829.1316330649</v>
      </c>
      <c r="C178">
        <f t="shared" si="26"/>
        <v>178383.7378181894</v>
      </c>
      <c r="D178">
        <f t="shared" si="26"/>
        <v>14392.9637235555</v>
      </c>
      <c r="E178">
        <f t="shared" si="26"/>
        <v>33923.2678096499</v>
      </c>
      <c r="F178">
        <f t="shared" si="26"/>
        <v>59797.376519187397</v>
      </c>
      <c r="G178">
        <f t="shared" si="26"/>
        <v>2054.6708749999998</v>
      </c>
      <c r="H178">
        <f t="shared" si="26"/>
        <v>369.56625000000003</v>
      </c>
      <c r="I178">
        <f t="shared" si="26"/>
        <v>470.77049999999997</v>
      </c>
      <c r="J178">
        <f t="shared" si="26"/>
        <v>1521221.4851286472</v>
      </c>
      <c r="N178" t="s">
        <v>210</v>
      </c>
      <c r="O178">
        <v>1231829.1316330649</v>
      </c>
      <c r="P178">
        <v>178383.7378181894</v>
      </c>
      <c r="Q178">
        <v>14392.9637235555</v>
      </c>
      <c r="R178">
        <v>33923.2678096499</v>
      </c>
      <c r="S178">
        <v>59797.376519187397</v>
      </c>
      <c r="T178">
        <v>2054.6708749999998</v>
      </c>
      <c r="U178">
        <v>369.56625000000003</v>
      </c>
      <c r="V178">
        <v>470.77049999999997</v>
      </c>
      <c r="W178">
        <f>SUM(O178:V178)</f>
        <v>1521221.4851286472</v>
      </c>
    </row>
    <row r="179" spans="1:23" x14ac:dyDescent="0.2">
      <c r="A179" t="s">
        <v>211</v>
      </c>
      <c r="B179">
        <f t="shared" si="26"/>
        <v>3669.9982898235999</v>
      </c>
      <c r="C179">
        <f t="shared" si="26"/>
        <v>36820.328636900202</v>
      </c>
      <c r="D179">
        <f t="shared" si="26"/>
        <v>862.99737015200003</v>
      </c>
      <c r="E179">
        <f t="shared" si="26"/>
        <v>67419.193959124299</v>
      </c>
      <c r="F179">
        <f t="shared" si="26"/>
        <v>49098.900137762997</v>
      </c>
      <c r="G179">
        <f t="shared" si="26"/>
        <v>66848.330499579999</v>
      </c>
      <c r="H179">
        <f t="shared" si="26"/>
        <v>429655.94500000001</v>
      </c>
      <c r="I179">
        <f t="shared" si="26"/>
        <v>51795.055874999998</v>
      </c>
      <c r="J179">
        <f t="shared" si="26"/>
        <v>706170.74976834306</v>
      </c>
      <c r="N179" t="s">
        <v>211</v>
      </c>
      <c r="O179">
        <v>3669.9982898235999</v>
      </c>
      <c r="P179">
        <v>36820.328636900202</v>
      </c>
      <c r="Q179">
        <v>862.99737015200003</v>
      </c>
      <c r="R179">
        <v>67419.193959124299</v>
      </c>
      <c r="S179">
        <v>49098.900137762997</v>
      </c>
      <c r="T179">
        <v>66848.330499579999</v>
      </c>
      <c r="U179">
        <v>429655.94500000001</v>
      </c>
      <c r="V179">
        <v>51795.055874999998</v>
      </c>
      <c r="W179">
        <f t="shared" ref="W179:W185" si="27">SUM(O179:V179)</f>
        <v>706170.74976834306</v>
      </c>
    </row>
    <row r="180" spans="1:23" x14ac:dyDescent="0.2">
      <c r="A180" t="s">
        <v>212</v>
      </c>
      <c r="B180">
        <f t="shared" si="26"/>
        <v>153471.41636279161</v>
      </c>
      <c r="C180">
        <f t="shared" si="26"/>
        <v>82463.497147033107</v>
      </c>
      <c r="D180">
        <f t="shared" si="26"/>
        <v>48167.527056826802</v>
      </c>
      <c r="E180">
        <f t="shared" si="26"/>
        <v>182539.1092436976</v>
      </c>
      <c r="F180">
        <f t="shared" si="26"/>
        <v>10050.8011274852</v>
      </c>
      <c r="G180">
        <f t="shared" si="26"/>
        <v>6819.7042969599997</v>
      </c>
      <c r="H180">
        <f t="shared" si="26"/>
        <v>27027.766625</v>
      </c>
      <c r="I180">
        <f t="shared" si="26"/>
        <v>37284.794000000002</v>
      </c>
      <c r="J180">
        <f>W180*$B$1*1.2</f>
        <v>657389.5390317532</v>
      </c>
      <c r="N180" t="s">
        <v>212</v>
      </c>
      <c r="O180">
        <v>153471.41636279161</v>
      </c>
      <c r="P180">
        <v>82463.497147033107</v>
      </c>
      <c r="Q180">
        <v>48167.527056826802</v>
      </c>
      <c r="R180">
        <v>182539.1092436976</v>
      </c>
      <c r="S180">
        <v>10050.8011274852</v>
      </c>
      <c r="T180">
        <v>6819.7042969599997</v>
      </c>
      <c r="U180">
        <v>27027.766625</v>
      </c>
      <c r="V180">
        <v>37284.794000000002</v>
      </c>
      <c r="W180">
        <f t="shared" si="27"/>
        <v>547824.61585979431</v>
      </c>
    </row>
    <row r="181" spans="1:23" x14ac:dyDescent="0.2">
      <c r="A181" t="s">
        <v>36</v>
      </c>
      <c r="B181">
        <f t="shared" si="26"/>
        <v>122173.16416570271</v>
      </c>
      <c r="C181">
        <f t="shared" si="26"/>
        <v>72916.477212112397</v>
      </c>
      <c r="D181">
        <f t="shared" si="26"/>
        <v>146810.24007650471</v>
      </c>
      <c r="E181">
        <f t="shared" si="26"/>
        <v>167782.501203322</v>
      </c>
      <c r="F181">
        <f t="shared" si="26"/>
        <v>15372.751822931899</v>
      </c>
      <c r="G181">
        <f t="shared" si="26"/>
        <v>4248.979875</v>
      </c>
      <c r="H181">
        <f t="shared" si="26"/>
        <v>53154.947749999999</v>
      </c>
      <c r="I181">
        <f t="shared" si="26"/>
        <v>55335.903624999999</v>
      </c>
      <c r="J181">
        <f>W181*$B$1*1.2</f>
        <v>765353.9588766885</v>
      </c>
      <c r="N181" t="s">
        <v>36</v>
      </c>
      <c r="O181">
        <v>122173.16416570271</v>
      </c>
      <c r="P181">
        <v>72916.477212112397</v>
      </c>
      <c r="Q181">
        <v>146810.24007650471</v>
      </c>
      <c r="R181">
        <v>167782.501203322</v>
      </c>
      <c r="S181">
        <v>15372.751822931899</v>
      </c>
      <c r="T181">
        <v>4248.979875</v>
      </c>
      <c r="U181">
        <v>53154.947749999999</v>
      </c>
      <c r="V181">
        <v>55335.903624999999</v>
      </c>
      <c r="W181">
        <f t="shared" si="27"/>
        <v>637794.96573057375</v>
      </c>
    </row>
    <row r="182" spans="1:23" x14ac:dyDescent="0.2">
      <c r="A182" t="s">
        <v>214</v>
      </c>
      <c r="B182">
        <f t="shared" si="26"/>
        <v>145356.1731477431</v>
      </c>
      <c r="C182">
        <f t="shared" si="26"/>
        <v>60688.3982383478</v>
      </c>
      <c r="D182">
        <f t="shared" si="26"/>
        <v>118741.07176251381</v>
      </c>
      <c r="E182">
        <f t="shared" si="26"/>
        <v>201261.09418675231</v>
      </c>
      <c r="F182">
        <f t="shared" si="26"/>
        <v>18924.400913539299</v>
      </c>
      <c r="G182">
        <f t="shared" si="26"/>
        <v>1043.620822394</v>
      </c>
      <c r="H182">
        <f t="shared" si="26"/>
        <v>30506.604875000001</v>
      </c>
      <c r="I182">
        <f t="shared" si="26"/>
        <v>65711.063250000007</v>
      </c>
      <c r="J182">
        <f>W182*$B$1*1.2</f>
        <v>770678.91263554839</v>
      </c>
      <c r="N182" t="s">
        <v>214</v>
      </c>
      <c r="O182">
        <v>145356.1731477431</v>
      </c>
      <c r="P182">
        <v>60688.3982383478</v>
      </c>
      <c r="Q182">
        <v>118741.07176251381</v>
      </c>
      <c r="R182">
        <v>201261.09418675231</v>
      </c>
      <c r="S182">
        <v>18924.400913539299</v>
      </c>
      <c r="T182">
        <v>1043.620822394</v>
      </c>
      <c r="U182">
        <v>30506.604875000001</v>
      </c>
      <c r="V182">
        <v>65711.063250000007</v>
      </c>
      <c r="W182">
        <f t="shared" si="27"/>
        <v>642232.42719629034</v>
      </c>
    </row>
    <row r="183" spans="1:23" x14ac:dyDescent="0.2">
      <c r="A183" t="s">
        <v>129</v>
      </c>
      <c r="B183">
        <f t="shared" si="26"/>
        <v>65465.9464893689</v>
      </c>
      <c r="C183">
        <f t="shared" si="26"/>
        <v>18638.991093766501</v>
      </c>
      <c r="D183">
        <f t="shared" si="26"/>
        <v>34260.6682424053</v>
      </c>
      <c r="E183">
        <f t="shared" si="26"/>
        <v>55082.730318585403</v>
      </c>
      <c r="F183">
        <f t="shared" si="26"/>
        <v>6164.8368425481003</v>
      </c>
      <c r="G183">
        <f t="shared" si="26"/>
        <v>0</v>
      </c>
      <c r="H183">
        <f t="shared" si="26"/>
        <v>10585.869124999999</v>
      </c>
      <c r="I183">
        <f t="shared" si="26"/>
        <v>6390.0602499999995</v>
      </c>
      <c r="J183">
        <f>W183*$B$1*1.2</f>
        <v>235906.92283400905</v>
      </c>
      <c r="N183" t="s">
        <v>129</v>
      </c>
      <c r="O183">
        <v>65465.9464893689</v>
      </c>
      <c r="P183">
        <v>18638.991093766501</v>
      </c>
      <c r="Q183">
        <v>34260.6682424053</v>
      </c>
      <c r="R183">
        <v>55082.730318585403</v>
      </c>
      <c r="S183">
        <v>6164.8368425481003</v>
      </c>
      <c r="T183">
        <v>0</v>
      </c>
      <c r="U183">
        <v>10585.869124999999</v>
      </c>
      <c r="V183">
        <v>6390.0602499999995</v>
      </c>
      <c r="W183">
        <f t="shared" si="27"/>
        <v>196589.10236167422</v>
      </c>
    </row>
    <row r="184" spans="1:23" x14ac:dyDescent="0.2">
      <c r="A184" t="s">
        <v>130</v>
      </c>
      <c r="B184">
        <f t="shared" si="26"/>
        <v>264868.2082641478</v>
      </c>
      <c r="C184">
        <f t="shared" si="26"/>
        <v>108053.957775123</v>
      </c>
      <c r="D184">
        <f t="shared" si="26"/>
        <v>126534.7591391584</v>
      </c>
      <c r="E184">
        <f t="shared" si="26"/>
        <v>214876.31032530771</v>
      </c>
      <c r="F184">
        <f t="shared" si="26"/>
        <v>22058.092900937299</v>
      </c>
      <c r="G184">
        <f t="shared" si="26"/>
        <v>14658.028019658001</v>
      </c>
      <c r="H184">
        <f t="shared" si="26"/>
        <v>117694.23700000001</v>
      </c>
      <c r="I184">
        <f t="shared" si="26"/>
        <v>101257.445375</v>
      </c>
      <c r="J184">
        <f>W184*$B$1*1.2</f>
        <v>1164001.2465591987</v>
      </c>
      <c r="N184" t="s">
        <v>130</v>
      </c>
      <c r="O184">
        <v>264868.2082641478</v>
      </c>
      <c r="P184">
        <v>108053.957775123</v>
      </c>
      <c r="Q184">
        <v>126534.7591391584</v>
      </c>
      <c r="R184">
        <v>214876.31032530771</v>
      </c>
      <c r="S184">
        <v>22058.092900937299</v>
      </c>
      <c r="T184">
        <v>14658.028019658001</v>
      </c>
      <c r="U184">
        <v>117694.23700000001</v>
      </c>
      <c r="V184">
        <v>101257.445375</v>
      </c>
      <c r="W184">
        <f t="shared" si="27"/>
        <v>970001.03879933222</v>
      </c>
    </row>
    <row r="185" spans="1:23" x14ac:dyDescent="0.2">
      <c r="A185" t="s">
        <v>247</v>
      </c>
      <c r="B185">
        <f t="shared" si="26"/>
        <v>149742.72662654379</v>
      </c>
      <c r="C185">
        <f t="shared" si="26"/>
        <v>6064.0429624323006</v>
      </c>
      <c r="D185">
        <f t="shared" si="26"/>
        <v>0</v>
      </c>
      <c r="E185">
        <f t="shared" si="26"/>
        <v>0</v>
      </c>
      <c r="F185">
        <f t="shared" si="26"/>
        <v>5873.9064039696004</v>
      </c>
      <c r="G185">
        <f t="shared" si="26"/>
        <v>0</v>
      </c>
      <c r="H185">
        <f t="shared" si="26"/>
        <v>0</v>
      </c>
      <c r="I185">
        <f t="shared" si="26"/>
        <v>0</v>
      </c>
      <c r="J185">
        <f t="shared" si="26"/>
        <v>161680.6759929457</v>
      </c>
      <c r="N185" t="s">
        <v>247</v>
      </c>
      <c r="O185">
        <v>149742.72662654379</v>
      </c>
      <c r="P185">
        <v>6064.0429624323006</v>
      </c>
      <c r="Q185">
        <v>0</v>
      </c>
      <c r="R185">
        <v>0</v>
      </c>
      <c r="S185">
        <v>5873.9064039696004</v>
      </c>
      <c r="T185">
        <v>0</v>
      </c>
      <c r="U185">
        <v>0</v>
      </c>
      <c r="V185">
        <v>0</v>
      </c>
      <c r="W185">
        <f t="shared" si="27"/>
        <v>161680.6759929457</v>
      </c>
    </row>
    <row r="187" spans="1:23" x14ac:dyDescent="0.2">
      <c r="A187" t="s">
        <v>18</v>
      </c>
      <c r="B187" t="s">
        <v>58</v>
      </c>
      <c r="C187" t="s">
        <v>61</v>
      </c>
      <c r="D187" t="s">
        <v>62</v>
      </c>
      <c r="N187" t="s">
        <v>18</v>
      </c>
      <c r="O187" t="s">
        <v>58</v>
      </c>
      <c r="P187" t="s">
        <v>61</v>
      </c>
      <c r="Q187" t="s">
        <v>62</v>
      </c>
    </row>
    <row r="188" spans="1:23" x14ac:dyDescent="0.2">
      <c r="A188" t="s">
        <v>44</v>
      </c>
      <c r="B188" t="s">
        <v>296</v>
      </c>
      <c r="C188" t="s">
        <v>297</v>
      </c>
      <c r="D188" t="s">
        <v>298</v>
      </c>
      <c r="E188" t="s">
        <v>299</v>
      </c>
      <c r="F188" t="s">
        <v>27</v>
      </c>
      <c r="N188" t="s">
        <v>44</v>
      </c>
      <c r="O188" t="s">
        <v>296</v>
      </c>
      <c r="P188" t="s">
        <v>297</v>
      </c>
      <c r="Q188" t="s">
        <v>298</v>
      </c>
      <c r="R188" t="s">
        <v>299</v>
      </c>
      <c r="S188" t="s">
        <v>27</v>
      </c>
    </row>
    <row r="189" spans="1:23" x14ac:dyDescent="0.2">
      <c r="A189" t="s">
        <v>210</v>
      </c>
      <c r="B189">
        <f t="shared" ref="B189:F196" si="28">O189*$B$1</f>
        <v>20157.094357324699</v>
      </c>
      <c r="C189">
        <f t="shared" si="28"/>
        <v>334276.09968091792</v>
      </c>
      <c r="D189">
        <f t="shared" si="28"/>
        <v>264840.17689024849</v>
      </c>
      <c r="E189">
        <f t="shared" si="28"/>
        <v>804482.02737421379</v>
      </c>
      <c r="F189">
        <f t="shared" si="28"/>
        <v>1423755.398302705</v>
      </c>
      <c r="N189" t="s">
        <v>210</v>
      </c>
      <c r="O189">
        <v>20157.094357324699</v>
      </c>
      <c r="P189">
        <v>334276.09968091792</v>
      </c>
      <c r="Q189">
        <v>264840.17689024849</v>
      </c>
      <c r="R189">
        <v>804482.02737421379</v>
      </c>
      <c r="S189">
        <f>SUM(O189:R189)</f>
        <v>1423755.398302705</v>
      </c>
    </row>
    <row r="190" spans="1:23" x14ac:dyDescent="0.2">
      <c r="A190" t="s">
        <v>211</v>
      </c>
      <c r="B190">
        <f t="shared" si="28"/>
        <v>31430.332527171002</v>
      </c>
      <c r="C190">
        <f t="shared" si="28"/>
        <v>118673.62083373711</v>
      </c>
      <c r="D190">
        <f t="shared" si="28"/>
        <v>100736.67730856749</v>
      </c>
      <c r="E190">
        <f t="shared" si="28"/>
        <v>392634.72945740831</v>
      </c>
      <c r="F190">
        <f t="shared" si="28"/>
        <v>643475.36012688396</v>
      </c>
      <c r="N190" t="s">
        <v>211</v>
      </c>
      <c r="O190">
        <v>31430.332527171002</v>
      </c>
      <c r="P190">
        <v>118673.62083373711</v>
      </c>
      <c r="Q190">
        <v>100736.67730856749</v>
      </c>
      <c r="R190">
        <v>392634.72945740831</v>
      </c>
      <c r="S190">
        <f t="shared" ref="S190:S196" si="29">SUM(O190:R190)</f>
        <v>643475.36012688396</v>
      </c>
    </row>
    <row r="191" spans="1:23" x14ac:dyDescent="0.2">
      <c r="A191" t="s">
        <v>212</v>
      </c>
      <c r="B191">
        <f t="shared" si="28"/>
        <v>11258.215442553999</v>
      </c>
      <c r="C191">
        <f t="shared" si="28"/>
        <v>105963.1091252319</v>
      </c>
      <c r="D191">
        <f t="shared" si="28"/>
        <v>88911.348267248395</v>
      </c>
      <c r="E191">
        <f t="shared" si="28"/>
        <v>307957.07108739391</v>
      </c>
      <c r="F191">
        <f t="shared" si="28"/>
        <v>514089.74392242823</v>
      </c>
      <c r="N191" t="s">
        <v>212</v>
      </c>
      <c r="O191">
        <v>11258.215442553999</v>
      </c>
      <c r="P191">
        <v>105963.1091252319</v>
      </c>
      <c r="Q191">
        <v>88911.348267248395</v>
      </c>
      <c r="R191">
        <v>307957.07108739391</v>
      </c>
      <c r="S191">
        <f t="shared" si="29"/>
        <v>514089.74392242823</v>
      </c>
    </row>
    <row r="192" spans="1:23" x14ac:dyDescent="0.2">
      <c r="A192" t="s">
        <v>36</v>
      </c>
      <c r="B192">
        <f t="shared" si="28"/>
        <v>22855.1635710427</v>
      </c>
      <c r="C192">
        <f t="shared" si="28"/>
        <v>206384.31357358221</v>
      </c>
      <c r="D192">
        <f t="shared" si="28"/>
        <v>104440.27934064021</v>
      </c>
      <c r="E192">
        <f t="shared" si="28"/>
        <v>237833.70361058091</v>
      </c>
      <c r="F192">
        <f t="shared" si="28"/>
        <v>571513.46009584598</v>
      </c>
      <c r="N192" t="s">
        <v>36</v>
      </c>
      <c r="O192">
        <v>22855.1635710427</v>
      </c>
      <c r="P192">
        <v>206384.31357358221</v>
      </c>
      <c r="Q192">
        <v>104440.27934064021</v>
      </c>
      <c r="R192">
        <v>237833.70361058091</v>
      </c>
      <c r="S192">
        <f t="shared" si="29"/>
        <v>571513.46009584598</v>
      </c>
    </row>
    <row r="193" spans="1:19" x14ac:dyDescent="0.2">
      <c r="A193" t="s">
        <v>214</v>
      </c>
      <c r="B193">
        <f t="shared" si="28"/>
        <v>44406.360301668603</v>
      </c>
      <c r="C193">
        <f t="shared" si="28"/>
        <v>207078.00641244641</v>
      </c>
      <c r="D193">
        <f t="shared" si="28"/>
        <v>106390.1885634511</v>
      </c>
      <c r="E193">
        <f t="shared" si="28"/>
        <v>220235.9139655628</v>
      </c>
      <c r="F193">
        <f t="shared" si="28"/>
        <v>578110.4692431289</v>
      </c>
      <c r="N193" t="s">
        <v>214</v>
      </c>
      <c r="O193">
        <v>44406.360301668603</v>
      </c>
      <c r="P193">
        <v>207078.00641244641</v>
      </c>
      <c r="Q193">
        <v>106390.1885634511</v>
      </c>
      <c r="R193">
        <v>220235.9139655628</v>
      </c>
      <c r="S193">
        <f t="shared" si="29"/>
        <v>578110.4692431289</v>
      </c>
    </row>
    <row r="194" spans="1:19" x14ac:dyDescent="0.2">
      <c r="A194" t="s">
        <v>129</v>
      </c>
      <c r="B194">
        <f t="shared" si="28"/>
        <v>13143.7339791591</v>
      </c>
      <c r="C194">
        <f t="shared" si="28"/>
        <v>46142.349094928199</v>
      </c>
      <c r="D194">
        <f t="shared" si="28"/>
        <v>38400.617591077302</v>
      </c>
      <c r="E194">
        <f t="shared" si="28"/>
        <v>85779.645771164505</v>
      </c>
      <c r="F194">
        <f t="shared" si="28"/>
        <v>183466.3464363291</v>
      </c>
      <c r="N194" t="s">
        <v>129</v>
      </c>
      <c r="O194">
        <v>13143.7339791591</v>
      </c>
      <c r="P194">
        <v>46142.349094928199</v>
      </c>
      <c r="Q194">
        <v>38400.617591077302</v>
      </c>
      <c r="R194">
        <v>85779.645771164505</v>
      </c>
      <c r="S194">
        <f t="shared" si="29"/>
        <v>183466.3464363291</v>
      </c>
    </row>
    <row r="195" spans="1:19" x14ac:dyDescent="0.2">
      <c r="A195" t="s">
        <v>130</v>
      </c>
      <c r="B195">
        <f t="shared" si="28"/>
        <v>28697.392927182998</v>
      </c>
      <c r="C195">
        <f t="shared" si="28"/>
        <v>197525.26415327459</v>
      </c>
      <c r="D195">
        <f t="shared" si="28"/>
        <v>202908.14890917391</v>
      </c>
      <c r="E195">
        <f t="shared" si="28"/>
        <v>475952.36957343708</v>
      </c>
      <c r="F195">
        <f t="shared" si="28"/>
        <v>905083.17556306859</v>
      </c>
      <c r="N195" t="s">
        <v>130</v>
      </c>
      <c r="O195">
        <v>28697.392927182998</v>
      </c>
      <c r="P195">
        <v>197525.26415327459</v>
      </c>
      <c r="Q195">
        <v>202908.14890917391</v>
      </c>
      <c r="R195">
        <v>475952.36957343708</v>
      </c>
      <c r="S195">
        <f t="shared" si="29"/>
        <v>905083.17556306859</v>
      </c>
    </row>
    <row r="196" spans="1:19" x14ac:dyDescent="0.2">
      <c r="A196" t="s">
        <v>247</v>
      </c>
      <c r="B196">
        <f t="shared" si="28"/>
        <v>977.46479076899993</v>
      </c>
      <c r="C196">
        <f t="shared" si="28"/>
        <v>27902.066388530202</v>
      </c>
      <c r="D196">
        <f t="shared" si="28"/>
        <v>24409.3258677136</v>
      </c>
      <c r="E196">
        <f t="shared" si="28"/>
        <v>97322.383445320898</v>
      </c>
      <c r="F196">
        <f t="shared" si="28"/>
        <v>150611.24049233372</v>
      </c>
      <c r="N196" t="s">
        <v>247</v>
      </c>
      <c r="O196">
        <v>977.46479076899993</v>
      </c>
      <c r="P196">
        <v>27902.066388530202</v>
      </c>
      <c r="Q196">
        <v>24409.3258677136</v>
      </c>
      <c r="R196">
        <v>97322.383445320898</v>
      </c>
      <c r="S196">
        <f t="shared" si="29"/>
        <v>150611.24049233372</v>
      </c>
    </row>
    <row r="198" spans="1:19" x14ac:dyDescent="0.2">
      <c r="A198" t="s">
        <v>18</v>
      </c>
      <c r="B198" t="s">
        <v>58</v>
      </c>
      <c r="C198" t="s">
        <v>279</v>
      </c>
      <c r="D198" t="s">
        <v>280</v>
      </c>
      <c r="E198" t="s">
        <v>62</v>
      </c>
      <c r="N198" t="s">
        <v>18</v>
      </c>
      <c r="O198" t="s">
        <v>58</v>
      </c>
      <c r="P198" t="s">
        <v>279</v>
      </c>
      <c r="Q198" t="s">
        <v>280</v>
      </c>
      <c r="R198" t="s">
        <v>62</v>
      </c>
    </row>
    <row r="199" spans="1:19" x14ac:dyDescent="0.2">
      <c r="A199" t="s">
        <v>44</v>
      </c>
      <c r="B199" t="s">
        <v>98</v>
      </c>
      <c r="C199" t="s">
        <v>281</v>
      </c>
      <c r="D199" t="s">
        <v>282</v>
      </c>
      <c r="E199" t="s">
        <v>283</v>
      </c>
      <c r="F199" t="s">
        <v>27</v>
      </c>
      <c r="N199" t="s">
        <v>44</v>
      </c>
      <c r="O199" t="s">
        <v>98</v>
      </c>
      <c r="P199" t="s">
        <v>281</v>
      </c>
      <c r="Q199" t="s">
        <v>282</v>
      </c>
      <c r="R199" t="s">
        <v>283</v>
      </c>
      <c r="S199" t="s">
        <v>27</v>
      </c>
    </row>
    <row r="200" spans="1:19" x14ac:dyDescent="0.2">
      <c r="A200" t="s">
        <v>210</v>
      </c>
      <c r="B200">
        <f t="shared" ref="B200:F207" si="30">O200*$B$1</f>
        <v>52058.958199188397</v>
      </c>
      <c r="C200">
        <f t="shared" si="30"/>
        <v>354792.67096745881</v>
      </c>
      <c r="D200">
        <f t="shared" si="30"/>
        <v>809414.59136691561</v>
      </c>
      <c r="E200">
        <f t="shared" si="30"/>
        <v>304955.26459508442</v>
      </c>
      <c r="F200">
        <f t="shared" si="30"/>
        <v>1521221.4851286472</v>
      </c>
      <c r="N200" t="s">
        <v>210</v>
      </c>
      <c r="O200">
        <v>52058.958199188397</v>
      </c>
      <c r="P200">
        <v>354792.67096745881</v>
      </c>
      <c r="Q200">
        <v>809414.59136691561</v>
      </c>
      <c r="R200">
        <v>304955.26459508442</v>
      </c>
      <c r="S200">
        <f>SUM(O200:R200)</f>
        <v>1521221.4851286472</v>
      </c>
    </row>
    <row r="201" spans="1:19" x14ac:dyDescent="0.2">
      <c r="A201" t="s">
        <v>211</v>
      </c>
      <c r="B201">
        <f t="shared" si="30"/>
        <v>28989.2251051817</v>
      </c>
      <c r="C201">
        <f t="shared" si="30"/>
        <v>181565.0900066304</v>
      </c>
      <c r="D201">
        <f t="shared" si="30"/>
        <v>357831.15066027502</v>
      </c>
      <c r="E201">
        <f t="shared" si="30"/>
        <v>137785.28399625601</v>
      </c>
      <c r="F201">
        <f t="shared" si="30"/>
        <v>706170.74976834306</v>
      </c>
      <c r="N201" t="s">
        <v>211</v>
      </c>
      <c r="O201">
        <v>28989.2251051817</v>
      </c>
      <c r="P201">
        <v>181565.0900066304</v>
      </c>
      <c r="Q201">
        <v>357831.15066027502</v>
      </c>
      <c r="R201">
        <v>137785.28399625601</v>
      </c>
      <c r="S201">
        <f t="shared" ref="S201:S207" si="31">SUM(O201:R201)</f>
        <v>706170.74976834306</v>
      </c>
    </row>
    <row r="202" spans="1:19" x14ac:dyDescent="0.2">
      <c r="A202" t="s">
        <v>212</v>
      </c>
      <c r="B202">
        <f t="shared" si="30"/>
        <v>2121.520120229</v>
      </c>
      <c r="C202">
        <f t="shared" si="30"/>
        <v>154228.4331636329</v>
      </c>
      <c r="D202">
        <f t="shared" si="30"/>
        <v>314951.98165776639</v>
      </c>
      <c r="E202">
        <f t="shared" si="30"/>
        <v>76522.680918166006</v>
      </c>
      <c r="F202">
        <f t="shared" si="30"/>
        <v>547824.6158597942</v>
      </c>
      <c r="N202" t="s">
        <v>212</v>
      </c>
      <c r="O202">
        <v>2121.520120229</v>
      </c>
      <c r="P202">
        <v>154228.4331636329</v>
      </c>
      <c r="Q202">
        <v>314951.98165776639</v>
      </c>
      <c r="R202">
        <v>76522.680918166006</v>
      </c>
      <c r="S202">
        <f t="shared" si="31"/>
        <v>547824.6158597942</v>
      </c>
    </row>
    <row r="203" spans="1:19" x14ac:dyDescent="0.2">
      <c r="A203" t="s">
        <v>36</v>
      </c>
      <c r="B203">
        <f t="shared" si="30"/>
        <v>38102.794811216401</v>
      </c>
      <c r="C203">
        <f t="shared" si="30"/>
        <v>145079.79381895511</v>
      </c>
      <c r="D203">
        <f t="shared" si="30"/>
        <v>319539.85703789379</v>
      </c>
      <c r="E203">
        <f t="shared" si="30"/>
        <v>135072.52006250841</v>
      </c>
      <c r="F203">
        <f t="shared" si="30"/>
        <v>637794.96573057375</v>
      </c>
      <c r="N203" t="s">
        <v>36</v>
      </c>
      <c r="O203">
        <v>38102.794811216401</v>
      </c>
      <c r="P203">
        <v>145079.79381895511</v>
      </c>
      <c r="Q203">
        <v>319539.85703789379</v>
      </c>
      <c r="R203">
        <v>135072.52006250841</v>
      </c>
      <c r="S203">
        <f t="shared" si="31"/>
        <v>637794.96573057375</v>
      </c>
    </row>
    <row r="204" spans="1:19" x14ac:dyDescent="0.2">
      <c r="A204" t="s">
        <v>214</v>
      </c>
      <c r="B204">
        <f t="shared" si="30"/>
        <v>67468.015739072696</v>
      </c>
      <c r="C204">
        <f t="shared" si="30"/>
        <v>156386.89741183101</v>
      </c>
      <c r="D204">
        <f t="shared" si="30"/>
        <v>306503.72027927061</v>
      </c>
      <c r="E204">
        <f t="shared" si="30"/>
        <v>111873.793766116</v>
      </c>
      <c r="F204">
        <f t="shared" si="30"/>
        <v>642232.42719629034</v>
      </c>
      <c r="N204" t="s">
        <v>214</v>
      </c>
      <c r="O204">
        <v>67468.015739072696</v>
      </c>
      <c r="P204">
        <v>156386.89741183101</v>
      </c>
      <c r="Q204">
        <v>306503.72027927061</v>
      </c>
      <c r="R204">
        <v>111873.793766116</v>
      </c>
      <c r="S204">
        <f t="shared" si="31"/>
        <v>642232.42719629034</v>
      </c>
    </row>
    <row r="205" spans="1:19" x14ac:dyDescent="0.2">
      <c r="A205" t="s">
        <v>129</v>
      </c>
      <c r="B205">
        <f t="shared" si="30"/>
        <v>23442.365245372999</v>
      </c>
      <c r="C205">
        <f t="shared" si="30"/>
        <v>34807.529316077198</v>
      </c>
      <c r="D205">
        <f t="shared" si="30"/>
        <v>105122.7207125813</v>
      </c>
      <c r="E205">
        <f t="shared" si="30"/>
        <v>33216.487087642701</v>
      </c>
      <c r="F205">
        <f t="shared" si="30"/>
        <v>196589.10236167419</v>
      </c>
      <c r="N205" t="s">
        <v>129</v>
      </c>
      <c r="O205">
        <v>23442.365245372999</v>
      </c>
      <c r="P205">
        <v>34807.529316077198</v>
      </c>
      <c r="Q205">
        <v>105122.7207125813</v>
      </c>
      <c r="R205">
        <v>33216.487087642701</v>
      </c>
      <c r="S205">
        <f t="shared" si="31"/>
        <v>196589.10236167419</v>
      </c>
    </row>
    <row r="206" spans="1:19" x14ac:dyDescent="0.2">
      <c r="A206" t="s">
        <v>130</v>
      </c>
      <c r="B206">
        <f t="shared" si="30"/>
        <v>33937.245923396404</v>
      </c>
      <c r="C206">
        <f t="shared" si="30"/>
        <v>202321.9253879298</v>
      </c>
      <c r="D206">
        <f t="shared" si="30"/>
        <v>577706.68403053051</v>
      </c>
      <c r="E206">
        <f t="shared" si="30"/>
        <v>156035.1834574755</v>
      </c>
      <c r="F206">
        <f t="shared" si="30"/>
        <v>970001.03879933222</v>
      </c>
      <c r="N206" t="s">
        <v>130</v>
      </c>
      <c r="O206">
        <v>33937.245923396404</v>
      </c>
      <c r="P206">
        <v>202321.9253879298</v>
      </c>
      <c r="Q206">
        <v>577706.68403053051</v>
      </c>
      <c r="R206">
        <v>156035.1834574755</v>
      </c>
      <c r="S206">
        <f t="shared" si="31"/>
        <v>970001.03879933222</v>
      </c>
    </row>
    <row r="207" spans="1:19" x14ac:dyDescent="0.2">
      <c r="A207" t="s">
        <v>247</v>
      </c>
      <c r="B207">
        <f t="shared" si="30"/>
        <v>7400.4080414011996</v>
      </c>
      <c r="C207">
        <f t="shared" si="30"/>
        <v>42945.1984120657</v>
      </c>
      <c r="D207">
        <f t="shared" si="30"/>
        <v>83501.762527926607</v>
      </c>
      <c r="E207">
        <f t="shared" si="30"/>
        <v>27833.307011552199</v>
      </c>
      <c r="F207">
        <f t="shared" si="30"/>
        <v>161680.67599294573</v>
      </c>
      <c r="N207" t="s">
        <v>247</v>
      </c>
      <c r="O207">
        <v>7400.4080414011996</v>
      </c>
      <c r="P207">
        <v>42945.1984120657</v>
      </c>
      <c r="Q207">
        <v>83501.762527926607</v>
      </c>
      <c r="R207">
        <v>27833.307011552199</v>
      </c>
      <c r="S207">
        <f t="shared" si="31"/>
        <v>161680.67599294573</v>
      </c>
    </row>
    <row r="209" spans="1:23" x14ac:dyDescent="0.2">
      <c r="A209" t="s">
        <v>18</v>
      </c>
      <c r="B209" t="s">
        <v>58</v>
      </c>
      <c r="C209" t="s">
        <v>63</v>
      </c>
      <c r="D209" t="s">
        <v>64</v>
      </c>
      <c r="N209" t="s">
        <v>18</v>
      </c>
      <c r="O209" t="s">
        <v>58</v>
      </c>
      <c r="P209" t="s">
        <v>63</v>
      </c>
      <c r="Q209" t="s">
        <v>64</v>
      </c>
    </row>
    <row r="210" spans="1:23" x14ac:dyDescent="0.2">
      <c r="A210" t="s">
        <v>44</v>
      </c>
      <c r="B210" t="s">
        <v>10862</v>
      </c>
      <c r="C210" t="s">
        <v>10863</v>
      </c>
      <c r="D210" t="s">
        <v>10864</v>
      </c>
      <c r="E210" t="s">
        <v>10865</v>
      </c>
      <c r="F210" t="s">
        <v>1689</v>
      </c>
      <c r="G210" t="s">
        <v>10866</v>
      </c>
      <c r="H210" t="s">
        <v>10867</v>
      </c>
      <c r="I210" t="s">
        <v>221</v>
      </c>
      <c r="N210" t="s">
        <v>44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  <c r="V210" t="s">
        <v>27</v>
      </c>
    </row>
    <row r="211" spans="1:23" x14ac:dyDescent="0.2">
      <c r="A211" t="s">
        <v>210</v>
      </c>
      <c r="B211">
        <f t="shared" ref="B211:E218" si="32">O211*$B$1</f>
        <v>0</v>
      </c>
      <c r="C211">
        <f t="shared" si="32"/>
        <v>0</v>
      </c>
      <c r="D211">
        <f t="shared" si="32"/>
        <v>0</v>
      </c>
      <c r="E211">
        <f t="shared" si="32"/>
        <v>0</v>
      </c>
      <c r="F211">
        <f t="shared" ref="F211:F218" si="33">S211*$B$1</f>
        <v>366865.11869293661</v>
      </c>
      <c r="G211">
        <f t="shared" ref="G211:G218" si="34">T211*$B$1</f>
        <v>40389.307369103197</v>
      </c>
      <c r="H211">
        <f t="shared" ref="H211:I218" si="35">U211*$B$1</f>
        <v>1113967.0590666074</v>
      </c>
      <c r="I211">
        <f t="shared" si="35"/>
        <v>1521221.4851286472</v>
      </c>
      <c r="N211" t="s">
        <v>210</v>
      </c>
      <c r="O211">
        <v>0</v>
      </c>
      <c r="P211">
        <v>0</v>
      </c>
      <c r="Q211">
        <v>0</v>
      </c>
      <c r="R211">
        <v>0</v>
      </c>
      <c r="S211">
        <v>366865.11869293661</v>
      </c>
      <c r="T211">
        <v>40389.307369103197</v>
      </c>
      <c r="U211">
        <v>1113967.0590666074</v>
      </c>
      <c r="V211">
        <f>SUM(O211:U211)</f>
        <v>1521221.4851286472</v>
      </c>
    </row>
    <row r="212" spans="1:23" x14ac:dyDescent="0.2">
      <c r="A212" t="s">
        <v>211</v>
      </c>
      <c r="B212">
        <f t="shared" si="32"/>
        <v>0</v>
      </c>
      <c r="C212">
        <f t="shared" si="32"/>
        <v>0</v>
      </c>
      <c r="D212">
        <f t="shared" si="32"/>
        <v>0</v>
      </c>
      <c r="E212">
        <f t="shared" si="32"/>
        <v>0</v>
      </c>
      <c r="F212">
        <f t="shared" si="33"/>
        <v>128049.85788342191</v>
      </c>
      <c r="G212">
        <f t="shared" si="34"/>
        <v>3679.5907776108002</v>
      </c>
      <c r="H212">
        <f t="shared" si="35"/>
        <v>574441.30110731046</v>
      </c>
      <c r="I212">
        <f t="shared" si="35"/>
        <v>706170.74976834317</v>
      </c>
      <c r="N212" t="s">
        <v>211</v>
      </c>
      <c r="O212">
        <v>0</v>
      </c>
      <c r="P212">
        <v>0</v>
      </c>
      <c r="Q212">
        <v>0</v>
      </c>
      <c r="R212">
        <v>0</v>
      </c>
      <c r="S212">
        <v>128049.85788342191</v>
      </c>
      <c r="T212">
        <v>3679.5907776108002</v>
      </c>
      <c r="U212">
        <v>574441.30110731046</v>
      </c>
      <c r="V212">
        <f t="shared" ref="V212:V218" si="36">SUM(O212:U212)</f>
        <v>706170.74976834317</v>
      </c>
    </row>
    <row r="213" spans="1:23" x14ac:dyDescent="0.2">
      <c r="A213" t="s">
        <v>212</v>
      </c>
      <c r="B213">
        <f t="shared" si="32"/>
        <v>0</v>
      </c>
      <c r="C213">
        <f t="shared" si="32"/>
        <v>0</v>
      </c>
      <c r="D213">
        <f t="shared" si="32"/>
        <v>0</v>
      </c>
      <c r="E213">
        <f t="shared" si="32"/>
        <v>0</v>
      </c>
      <c r="F213">
        <f t="shared" si="33"/>
        <v>92579.880363555902</v>
      </c>
      <c r="G213">
        <f t="shared" si="34"/>
        <v>2611.1811652474998</v>
      </c>
      <c r="H213">
        <f t="shared" si="35"/>
        <v>452633.55433099088</v>
      </c>
      <c r="I213">
        <f t="shared" si="35"/>
        <v>547824.61585979431</v>
      </c>
      <c r="N213" t="s">
        <v>212</v>
      </c>
      <c r="O213">
        <v>0</v>
      </c>
      <c r="P213">
        <v>0</v>
      </c>
      <c r="Q213">
        <v>0</v>
      </c>
      <c r="R213">
        <v>0</v>
      </c>
      <c r="S213">
        <v>92579.880363555902</v>
      </c>
      <c r="T213">
        <v>2611.1811652474998</v>
      </c>
      <c r="U213">
        <v>452633.55433099088</v>
      </c>
      <c r="V213">
        <f t="shared" si="36"/>
        <v>547824.61585979431</v>
      </c>
    </row>
    <row r="214" spans="1:23" x14ac:dyDescent="0.2">
      <c r="A214" t="s">
        <v>36</v>
      </c>
      <c r="B214">
        <f t="shared" si="32"/>
        <v>0</v>
      </c>
      <c r="C214">
        <f t="shared" si="32"/>
        <v>0</v>
      </c>
      <c r="D214">
        <f t="shared" si="32"/>
        <v>0</v>
      </c>
      <c r="E214">
        <f t="shared" si="32"/>
        <v>0</v>
      </c>
      <c r="F214">
        <f t="shared" si="33"/>
        <v>110186.080294496</v>
      </c>
      <c r="G214">
        <f t="shared" si="34"/>
        <v>10687.5900859625</v>
      </c>
      <c r="H214">
        <f t="shared" si="35"/>
        <v>516921.29535011522</v>
      </c>
      <c r="I214">
        <f t="shared" si="35"/>
        <v>637794.96573057375</v>
      </c>
      <c r="N214" t="s">
        <v>36</v>
      </c>
      <c r="O214">
        <v>0</v>
      </c>
      <c r="P214">
        <v>0</v>
      </c>
      <c r="Q214">
        <v>0</v>
      </c>
      <c r="R214">
        <v>0</v>
      </c>
      <c r="S214">
        <v>110186.080294496</v>
      </c>
      <c r="T214">
        <v>10687.5900859625</v>
      </c>
      <c r="U214">
        <v>516921.29535011522</v>
      </c>
      <c r="V214">
        <f t="shared" si="36"/>
        <v>637794.96573057375</v>
      </c>
    </row>
    <row r="215" spans="1:23" x14ac:dyDescent="0.2">
      <c r="A215" t="s">
        <v>214</v>
      </c>
      <c r="B215">
        <f t="shared" si="32"/>
        <v>0</v>
      </c>
      <c r="C215">
        <f t="shared" si="32"/>
        <v>0</v>
      </c>
      <c r="D215">
        <f t="shared" si="32"/>
        <v>0</v>
      </c>
      <c r="E215">
        <f t="shared" si="32"/>
        <v>0</v>
      </c>
      <c r="F215">
        <f t="shared" si="33"/>
        <v>105114.46815625941</v>
      </c>
      <c r="G215">
        <f t="shared" si="34"/>
        <v>12804.510940579499</v>
      </c>
      <c r="H215">
        <f t="shared" si="35"/>
        <v>524313.44809945137</v>
      </c>
      <c r="I215">
        <f t="shared" si="35"/>
        <v>642232.42719629023</v>
      </c>
      <c r="N215" t="s">
        <v>214</v>
      </c>
      <c r="O215">
        <v>0</v>
      </c>
      <c r="P215">
        <v>0</v>
      </c>
      <c r="Q215">
        <v>0</v>
      </c>
      <c r="R215">
        <v>0</v>
      </c>
      <c r="S215">
        <v>105114.46815625941</v>
      </c>
      <c r="T215">
        <v>12804.510940579499</v>
      </c>
      <c r="U215">
        <v>524313.44809945137</v>
      </c>
      <c r="V215">
        <f t="shared" si="36"/>
        <v>642232.42719629023</v>
      </c>
    </row>
    <row r="216" spans="1:23" x14ac:dyDescent="0.2">
      <c r="A216" t="s">
        <v>129</v>
      </c>
      <c r="B216">
        <f t="shared" si="32"/>
        <v>0</v>
      </c>
      <c r="C216">
        <f t="shared" si="32"/>
        <v>0</v>
      </c>
      <c r="D216">
        <f t="shared" si="32"/>
        <v>0</v>
      </c>
      <c r="E216">
        <f t="shared" si="32"/>
        <v>0</v>
      </c>
      <c r="F216">
        <f t="shared" si="33"/>
        <v>51316.740136362801</v>
      </c>
      <c r="G216">
        <f t="shared" si="34"/>
        <v>6574.4430957761997</v>
      </c>
      <c r="H216">
        <f t="shared" si="35"/>
        <v>138697.91912953521</v>
      </c>
      <c r="I216">
        <f t="shared" si="35"/>
        <v>196589.10236167422</v>
      </c>
      <c r="N216" t="s">
        <v>129</v>
      </c>
      <c r="O216">
        <v>0</v>
      </c>
      <c r="P216">
        <v>0</v>
      </c>
      <c r="Q216">
        <v>0</v>
      </c>
      <c r="R216">
        <v>0</v>
      </c>
      <c r="S216">
        <v>51316.740136362801</v>
      </c>
      <c r="T216">
        <v>6574.4430957761997</v>
      </c>
      <c r="U216">
        <v>138697.91912953521</v>
      </c>
      <c r="V216">
        <f t="shared" si="36"/>
        <v>196589.10236167422</v>
      </c>
    </row>
    <row r="217" spans="1:23" x14ac:dyDescent="0.2">
      <c r="A217" t="s">
        <v>130</v>
      </c>
      <c r="B217">
        <f t="shared" si="32"/>
        <v>0</v>
      </c>
      <c r="C217">
        <f t="shared" si="32"/>
        <v>0</v>
      </c>
      <c r="D217">
        <f t="shared" si="32"/>
        <v>0</v>
      </c>
      <c r="E217">
        <f t="shared" si="32"/>
        <v>0</v>
      </c>
      <c r="F217">
        <f t="shared" si="33"/>
        <v>218949.4684907874</v>
      </c>
      <c r="G217">
        <f t="shared" si="34"/>
        <v>20280.583342895599</v>
      </c>
      <c r="H217">
        <f t="shared" si="35"/>
        <v>730770.98696564918</v>
      </c>
      <c r="I217">
        <f t="shared" si="35"/>
        <v>970001.03879933222</v>
      </c>
      <c r="N217" t="s">
        <v>130</v>
      </c>
      <c r="O217">
        <v>0</v>
      </c>
      <c r="P217">
        <v>0</v>
      </c>
      <c r="Q217">
        <v>0</v>
      </c>
      <c r="R217">
        <v>0</v>
      </c>
      <c r="S217">
        <v>218949.4684907874</v>
      </c>
      <c r="T217">
        <v>20280.583342895599</v>
      </c>
      <c r="U217">
        <v>730770.98696564918</v>
      </c>
      <c r="V217">
        <f t="shared" si="36"/>
        <v>970001.03879933222</v>
      </c>
    </row>
    <row r="218" spans="1:23" x14ac:dyDescent="0.2">
      <c r="A218" t="s">
        <v>247</v>
      </c>
      <c r="B218">
        <f t="shared" si="32"/>
        <v>0</v>
      </c>
      <c r="C218">
        <f t="shared" si="32"/>
        <v>0</v>
      </c>
      <c r="D218">
        <f t="shared" si="32"/>
        <v>0</v>
      </c>
      <c r="E218">
        <f t="shared" si="32"/>
        <v>0</v>
      </c>
      <c r="F218">
        <f t="shared" si="33"/>
        <v>49565.2087046374</v>
      </c>
      <c r="G218">
        <f t="shared" si="34"/>
        <v>8562.5809054546007</v>
      </c>
      <c r="H218">
        <f t="shared" si="35"/>
        <v>103552.8863828537</v>
      </c>
      <c r="I218">
        <f t="shared" si="35"/>
        <v>161680.6759929457</v>
      </c>
      <c r="N218" t="s">
        <v>247</v>
      </c>
      <c r="O218">
        <v>0</v>
      </c>
      <c r="P218">
        <v>0</v>
      </c>
      <c r="Q218">
        <v>0</v>
      </c>
      <c r="R218">
        <v>0</v>
      </c>
      <c r="S218">
        <v>49565.2087046374</v>
      </c>
      <c r="T218">
        <v>8562.5809054546007</v>
      </c>
      <c r="U218">
        <v>103552.8863828537</v>
      </c>
      <c r="V218">
        <f t="shared" si="36"/>
        <v>161680.6759929457</v>
      </c>
    </row>
    <row r="220" spans="1:23" x14ac:dyDescent="0.2">
      <c r="A220" t="s">
        <v>65</v>
      </c>
      <c r="B220" t="s">
        <v>66</v>
      </c>
      <c r="C220" t="s">
        <v>67</v>
      </c>
      <c r="D220" t="s">
        <v>68</v>
      </c>
      <c r="E220" t="s">
        <v>31</v>
      </c>
      <c r="N220" t="s">
        <v>65</v>
      </c>
      <c r="O220" t="s">
        <v>66</v>
      </c>
      <c r="P220" t="s">
        <v>67</v>
      </c>
      <c r="Q220" t="s">
        <v>68</v>
      </c>
      <c r="R220" t="s">
        <v>31</v>
      </c>
    </row>
    <row r="221" spans="1:23" x14ac:dyDescent="0.2">
      <c r="A221" t="s">
        <v>44</v>
      </c>
      <c r="B221" t="s">
        <v>21</v>
      </c>
      <c r="C221" t="s">
        <v>22</v>
      </c>
      <c r="D221" t="s">
        <v>148</v>
      </c>
      <c r="E221" t="s">
        <v>243</v>
      </c>
      <c r="F221" t="s">
        <v>23</v>
      </c>
      <c r="G221" t="s">
        <v>24</v>
      </c>
      <c r="H221" t="s">
        <v>25</v>
      </c>
      <c r="I221" t="s">
        <v>26</v>
      </c>
      <c r="J221" t="s">
        <v>27</v>
      </c>
      <c r="N221" t="s">
        <v>44</v>
      </c>
      <c r="O221" t="s">
        <v>21</v>
      </c>
      <c r="P221" t="s">
        <v>22</v>
      </c>
      <c r="Q221" t="s">
        <v>148</v>
      </c>
      <c r="R221" t="s">
        <v>243</v>
      </c>
      <c r="S221" t="s">
        <v>23</v>
      </c>
      <c r="T221" t="s">
        <v>24</v>
      </c>
      <c r="U221" t="s">
        <v>25</v>
      </c>
      <c r="V221" t="s">
        <v>26</v>
      </c>
      <c r="W221" t="s">
        <v>27</v>
      </c>
    </row>
    <row r="222" spans="1:23" x14ac:dyDescent="0.2">
      <c r="A222" t="s">
        <v>210</v>
      </c>
      <c r="B222">
        <f t="shared" ref="B222:J228" si="37">O222*$B$1</f>
        <v>229841.55609999999</v>
      </c>
      <c r="C222">
        <f t="shared" si="37"/>
        <v>24563.992699999999</v>
      </c>
      <c r="D222">
        <f t="shared" si="37"/>
        <v>2562.2188000000001</v>
      </c>
      <c r="E222">
        <f t="shared" si="37"/>
        <v>8698.7747999999992</v>
      </c>
      <c r="F222">
        <f t="shared" si="37"/>
        <v>24584.827699999998</v>
      </c>
      <c r="G222">
        <f t="shared" si="37"/>
        <v>391.89909999999998</v>
      </c>
      <c r="H222">
        <f t="shared" si="37"/>
        <v>309.71820000000002</v>
      </c>
      <c r="I222">
        <f t="shared" si="37"/>
        <v>191.50479999999999</v>
      </c>
      <c r="J222">
        <f t="shared" si="37"/>
        <v>291144.49219999998</v>
      </c>
      <c r="N222" t="s">
        <v>210</v>
      </c>
      <c r="O222" s="104">
        <v>229841.55609999999</v>
      </c>
      <c r="P222" s="104">
        <v>24563.992699999999</v>
      </c>
      <c r="Q222" s="104">
        <v>2562.2188000000001</v>
      </c>
      <c r="R222" s="104">
        <v>8698.7747999999992</v>
      </c>
      <c r="S222" s="104">
        <v>24584.827699999998</v>
      </c>
      <c r="T222" s="104">
        <v>391.89909999999998</v>
      </c>
      <c r="U222" s="104">
        <v>309.71820000000002</v>
      </c>
      <c r="V222">
        <v>191.50479999999999</v>
      </c>
      <c r="W222" s="104">
        <f>SUM(O222:V222)</f>
        <v>291144.49219999998</v>
      </c>
    </row>
    <row r="223" spans="1:23" x14ac:dyDescent="0.2">
      <c r="A223" t="s">
        <v>211</v>
      </c>
      <c r="B223">
        <f t="shared" si="37"/>
        <v>3758.8959</v>
      </c>
      <c r="C223">
        <f t="shared" si="37"/>
        <v>6530.5041000000001</v>
      </c>
      <c r="D223">
        <f t="shared" si="37"/>
        <v>0</v>
      </c>
      <c r="E223">
        <f t="shared" si="37"/>
        <v>3468.9843000000001</v>
      </c>
      <c r="F223">
        <f t="shared" si="37"/>
        <v>12735.935799999999</v>
      </c>
      <c r="G223">
        <f t="shared" si="37"/>
        <v>2645.8099000000002</v>
      </c>
      <c r="H223">
        <f t="shared" si="37"/>
        <v>17692.893400000001</v>
      </c>
      <c r="I223">
        <f t="shared" si="37"/>
        <v>0</v>
      </c>
      <c r="J223">
        <f t="shared" si="37"/>
        <v>46833.023399999998</v>
      </c>
      <c r="N223" t="s">
        <v>211</v>
      </c>
      <c r="O223" s="104">
        <v>3758.8959</v>
      </c>
      <c r="P223" s="104">
        <v>6530.5041000000001</v>
      </c>
      <c r="Q223" s="104">
        <v>0</v>
      </c>
      <c r="R223" s="104">
        <v>3468.9843000000001</v>
      </c>
      <c r="S223" s="104">
        <v>12735.935799999999</v>
      </c>
      <c r="T223" s="104">
        <v>2645.8099000000002</v>
      </c>
      <c r="U223" s="104">
        <v>17692.893400000001</v>
      </c>
      <c r="V223">
        <v>0</v>
      </c>
      <c r="W223" s="104">
        <f t="shared" ref="W223:W228" si="38">SUM(O223:V223)</f>
        <v>46833.023399999998</v>
      </c>
    </row>
    <row r="224" spans="1:23" x14ac:dyDescent="0.2">
      <c r="A224" t="s">
        <v>212</v>
      </c>
      <c r="B224">
        <f t="shared" si="37"/>
        <v>216376.6194</v>
      </c>
      <c r="C224">
        <f t="shared" si="37"/>
        <v>45117.7935</v>
      </c>
      <c r="D224">
        <f t="shared" si="37"/>
        <v>12529.625599999999</v>
      </c>
      <c r="E224">
        <f t="shared" si="37"/>
        <v>47540.908000000003</v>
      </c>
      <c r="F224">
        <f t="shared" si="37"/>
        <v>11272.153399999999</v>
      </c>
      <c r="G224">
        <f t="shared" si="37"/>
        <v>2882.4097000000002</v>
      </c>
      <c r="H224">
        <f t="shared" si="37"/>
        <v>42394.147299999997</v>
      </c>
      <c r="I224">
        <f t="shared" si="37"/>
        <v>33246.580799999996</v>
      </c>
      <c r="J224">
        <f t="shared" si="37"/>
        <v>411360.23770000006</v>
      </c>
      <c r="N224" t="s">
        <v>212</v>
      </c>
      <c r="O224" s="104">
        <v>216376.6194</v>
      </c>
      <c r="P224" s="104">
        <v>45117.7935</v>
      </c>
      <c r="Q224" s="104">
        <v>12529.625599999999</v>
      </c>
      <c r="R224" s="104">
        <v>47540.908000000003</v>
      </c>
      <c r="S224" s="104">
        <v>11272.153399999999</v>
      </c>
      <c r="T224" s="104">
        <v>2882.4097000000002</v>
      </c>
      <c r="U224" s="104">
        <v>42394.147299999997</v>
      </c>
      <c r="V224">
        <v>33246.580799999996</v>
      </c>
      <c r="W224" s="104">
        <f t="shared" si="38"/>
        <v>411360.23770000006</v>
      </c>
    </row>
    <row r="225" spans="1:23" x14ac:dyDescent="0.2">
      <c r="A225" t="s">
        <v>36</v>
      </c>
      <c r="B225">
        <f t="shared" si="37"/>
        <v>268962.63559999998</v>
      </c>
      <c r="C225">
        <f t="shared" si="37"/>
        <v>91652.128500000006</v>
      </c>
      <c r="D225">
        <f t="shared" si="37"/>
        <v>132110.5961</v>
      </c>
      <c r="E225">
        <f t="shared" si="37"/>
        <v>164331.75</v>
      </c>
      <c r="F225">
        <f t="shared" si="37"/>
        <v>31264.0651</v>
      </c>
      <c r="G225">
        <f t="shared" si="37"/>
        <v>7653.2425000000003</v>
      </c>
      <c r="H225">
        <f t="shared" si="37"/>
        <v>70134.527000000002</v>
      </c>
      <c r="I225">
        <f t="shared" si="37"/>
        <v>61637.334800000004</v>
      </c>
      <c r="J225">
        <f t="shared" si="37"/>
        <v>827746.27960000001</v>
      </c>
      <c r="N225" t="s">
        <v>36</v>
      </c>
      <c r="O225" s="104">
        <v>268962.63559999998</v>
      </c>
      <c r="P225" s="104">
        <v>91652.128500000006</v>
      </c>
      <c r="Q225" s="104">
        <v>132110.5961</v>
      </c>
      <c r="R225" s="104">
        <v>164331.75</v>
      </c>
      <c r="S225" s="104">
        <v>31264.0651</v>
      </c>
      <c r="T225" s="104">
        <v>7653.2425000000003</v>
      </c>
      <c r="U225" s="104">
        <v>70134.527000000002</v>
      </c>
      <c r="V225">
        <v>61637.334800000004</v>
      </c>
      <c r="W225" s="104">
        <f t="shared" si="38"/>
        <v>827746.27960000001</v>
      </c>
    </row>
    <row r="226" spans="1:23" x14ac:dyDescent="0.2">
      <c r="A226" t="s">
        <v>214</v>
      </c>
      <c r="B226">
        <f t="shared" si="37"/>
        <v>342221.22259999998</v>
      </c>
      <c r="C226">
        <f t="shared" si="37"/>
        <v>123062.81389999999</v>
      </c>
      <c r="D226">
        <f t="shared" si="37"/>
        <v>147015.36189999999</v>
      </c>
      <c r="E226">
        <f t="shared" si="37"/>
        <v>192584.6243</v>
      </c>
      <c r="F226">
        <f t="shared" si="37"/>
        <v>38627.607100000001</v>
      </c>
      <c r="G226">
        <f t="shared" si="37"/>
        <v>3945.6044999999999</v>
      </c>
      <c r="H226">
        <f t="shared" si="37"/>
        <v>53970.474199999997</v>
      </c>
      <c r="I226">
        <f t="shared" si="37"/>
        <v>65044.153400000003</v>
      </c>
      <c r="J226">
        <f t="shared" si="37"/>
        <v>966471.8618999999</v>
      </c>
      <c r="N226" t="s">
        <v>214</v>
      </c>
      <c r="O226" s="104">
        <v>342221.22259999998</v>
      </c>
      <c r="P226" s="104">
        <v>123062.81389999999</v>
      </c>
      <c r="Q226" s="104">
        <v>147015.36189999999</v>
      </c>
      <c r="R226" s="104">
        <v>192584.6243</v>
      </c>
      <c r="S226" s="104">
        <v>38627.607100000001</v>
      </c>
      <c r="T226" s="104">
        <v>3945.6044999999999</v>
      </c>
      <c r="U226" s="104">
        <v>53970.474199999997</v>
      </c>
      <c r="V226">
        <v>65044.153400000003</v>
      </c>
      <c r="W226" s="104">
        <f t="shared" si="38"/>
        <v>966471.8618999999</v>
      </c>
    </row>
    <row r="227" spans="1:23" x14ac:dyDescent="0.2">
      <c r="A227" t="s">
        <v>129</v>
      </c>
      <c r="B227">
        <f t="shared" si="37"/>
        <v>214602.24220000001</v>
      </c>
      <c r="C227">
        <f t="shared" si="37"/>
        <v>41346.764000000003</v>
      </c>
      <c r="D227">
        <f t="shared" si="37"/>
        <v>40994.4424</v>
      </c>
      <c r="E227">
        <f t="shared" si="37"/>
        <v>64925.996599999999</v>
      </c>
      <c r="F227">
        <f t="shared" si="37"/>
        <v>19701.765500000001</v>
      </c>
      <c r="G227">
        <f t="shared" si="37"/>
        <v>3231.7534000000001</v>
      </c>
      <c r="H227">
        <f t="shared" si="37"/>
        <v>21283.564300000002</v>
      </c>
      <c r="I227">
        <f t="shared" si="37"/>
        <v>19348.497100000001</v>
      </c>
      <c r="J227">
        <f t="shared" si="37"/>
        <v>425435.02549999999</v>
      </c>
      <c r="N227" t="s">
        <v>129</v>
      </c>
      <c r="O227" s="104">
        <v>214602.24220000001</v>
      </c>
      <c r="P227" s="104">
        <v>41346.764000000003</v>
      </c>
      <c r="Q227" s="104">
        <v>40994.4424</v>
      </c>
      <c r="R227" s="104">
        <v>64925.996599999999</v>
      </c>
      <c r="S227" s="104">
        <v>19701.765500000001</v>
      </c>
      <c r="T227" s="104">
        <v>3231.7534000000001</v>
      </c>
      <c r="U227" s="104">
        <v>21283.564300000002</v>
      </c>
      <c r="V227">
        <v>19348.497100000001</v>
      </c>
      <c r="W227" s="104">
        <f t="shared" si="38"/>
        <v>425435.02549999999</v>
      </c>
    </row>
    <row r="228" spans="1:23" x14ac:dyDescent="0.2">
      <c r="A228" t="s">
        <v>130</v>
      </c>
      <c r="B228">
        <f t="shared" si="37"/>
        <v>171160.9523</v>
      </c>
      <c r="C228">
        <f t="shared" si="37"/>
        <v>44321.445399999997</v>
      </c>
      <c r="D228">
        <f t="shared" si="37"/>
        <v>44897.951800000003</v>
      </c>
      <c r="E228">
        <f t="shared" si="37"/>
        <v>81838.279800000004</v>
      </c>
      <c r="F228">
        <f t="shared" si="37"/>
        <v>15675.0098</v>
      </c>
      <c r="G228">
        <f t="shared" si="37"/>
        <v>2771.5924</v>
      </c>
      <c r="H228">
        <f t="shared" si="37"/>
        <v>50551.0867</v>
      </c>
      <c r="I228">
        <f t="shared" si="37"/>
        <v>22260.2844</v>
      </c>
      <c r="J228">
        <f t="shared" si="37"/>
        <v>433476.60260000004</v>
      </c>
      <c r="N228" t="s">
        <v>130</v>
      </c>
      <c r="O228" s="104">
        <v>171160.9523</v>
      </c>
      <c r="P228" s="104">
        <v>44321.445399999997</v>
      </c>
      <c r="Q228" s="104">
        <v>44897.951800000003</v>
      </c>
      <c r="R228" s="104">
        <v>81838.279800000004</v>
      </c>
      <c r="S228" s="104">
        <v>15675.0098</v>
      </c>
      <c r="T228" s="104">
        <v>2771.5924</v>
      </c>
      <c r="U228" s="104">
        <v>50551.0867</v>
      </c>
      <c r="V228">
        <v>22260.2844</v>
      </c>
      <c r="W228" s="104">
        <f t="shared" si="38"/>
        <v>433476.60260000004</v>
      </c>
    </row>
    <row r="230" spans="1:23" x14ac:dyDescent="0.2">
      <c r="A230" t="s">
        <v>69</v>
      </c>
      <c r="B230" t="s">
        <v>58</v>
      </c>
      <c r="C230" t="s">
        <v>61</v>
      </c>
      <c r="D230" t="s">
        <v>62</v>
      </c>
      <c r="N230" t="s">
        <v>69</v>
      </c>
      <c r="O230" t="s">
        <v>58</v>
      </c>
      <c r="P230" t="s">
        <v>61</v>
      </c>
      <c r="Q230" t="s">
        <v>62</v>
      </c>
    </row>
    <row r="231" spans="1:23" x14ac:dyDescent="0.2">
      <c r="A231" t="s">
        <v>44</v>
      </c>
      <c r="B231" t="s">
        <v>296</v>
      </c>
      <c r="C231" t="s">
        <v>297</v>
      </c>
      <c r="D231" t="s">
        <v>298</v>
      </c>
      <c r="E231" t="s">
        <v>299</v>
      </c>
      <c r="F231" t="s">
        <v>27</v>
      </c>
      <c r="N231" t="s">
        <v>44</v>
      </c>
      <c r="O231" t="s">
        <v>296</v>
      </c>
      <c r="P231" t="s">
        <v>297</v>
      </c>
      <c r="Q231" t="s">
        <v>298</v>
      </c>
      <c r="R231" t="s">
        <v>299</v>
      </c>
      <c r="S231" t="s">
        <v>27</v>
      </c>
    </row>
    <row r="232" spans="1:23" x14ac:dyDescent="0.2">
      <c r="A232" t="s">
        <v>210</v>
      </c>
      <c r="B232">
        <f t="shared" ref="B232:F238" si="39">O232*$B$1</f>
        <v>2485.2287000000001</v>
      </c>
      <c r="C232">
        <f t="shared" si="39"/>
        <v>83013.127299999993</v>
      </c>
      <c r="D232">
        <f t="shared" si="39"/>
        <v>39632.1109</v>
      </c>
      <c r="E232">
        <f t="shared" si="39"/>
        <v>149274.81829999998</v>
      </c>
      <c r="F232">
        <f t="shared" si="39"/>
        <v>274405.28519999998</v>
      </c>
      <c r="N232" t="s">
        <v>210</v>
      </c>
      <c r="O232" s="104">
        <v>2485.2287000000001</v>
      </c>
      <c r="P232" s="104">
        <v>83013.127299999993</v>
      </c>
      <c r="Q232" s="104">
        <v>39632.1109</v>
      </c>
      <c r="R232" s="104">
        <v>149274.81829999998</v>
      </c>
      <c r="S232" s="104">
        <f>SUM(O232:R232)</f>
        <v>274405.28519999998</v>
      </c>
    </row>
    <row r="233" spans="1:23" x14ac:dyDescent="0.2">
      <c r="A233" t="s">
        <v>211</v>
      </c>
      <c r="B233">
        <f t="shared" si="39"/>
        <v>2299.152</v>
      </c>
      <c r="C233">
        <f t="shared" si="39"/>
        <v>7657.3189000000002</v>
      </c>
      <c r="D233">
        <f t="shared" si="39"/>
        <v>3941.2957999999999</v>
      </c>
      <c r="E233">
        <f t="shared" si="39"/>
        <v>21447.5085</v>
      </c>
      <c r="F233">
        <f t="shared" si="39"/>
        <v>35345.275200000004</v>
      </c>
      <c r="N233" t="s">
        <v>211</v>
      </c>
      <c r="O233" s="104">
        <v>2299.152</v>
      </c>
      <c r="P233" s="104">
        <v>7657.3189000000002</v>
      </c>
      <c r="Q233" s="104">
        <v>3941.2957999999999</v>
      </c>
      <c r="R233" s="104">
        <v>21447.5085</v>
      </c>
      <c r="S233" s="104">
        <f t="shared" ref="S233:S238" si="40">SUM(O233:R233)</f>
        <v>35345.275200000004</v>
      </c>
    </row>
    <row r="234" spans="1:23" x14ac:dyDescent="0.2">
      <c r="A234" t="s">
        <v>212</v>
      </c>
      <c r="B234">
        <f t="shared" si="39"/>
        <v>8479.6836000000003</v>
      </c>
      <c r="C234">
        <f t="shared" si="39"/>
        <v>71705.520799999998</v>
      </c>
      <c r="D234">
        <f t="shared" si="39"/>
        <v>62952.912000000004</v>
      </c>
      <c r="E234">
        <f t="shared" si="39"/>
        <v>239514.28709999999</v>
      </c>
      <c r="F234">
        <f t="shared" si="39"/>
        <v>382652.40350000001</v>
      </c>
      <c r="N234" t="s">
        <v>212</v>
      </c>
      <c r="O234" s="104">
        <v>8479.6836000000003</v>
      </c>
      <c r="P234" s="104">
        <v>71705.520799999998</v>
      </c>
      <c r="Q234" s="104">
        <v>62952.912000000004</v>
      </c>
      <c r="R234" s="104">
        <v>239514.28709999999</v>
      </c>
      <c r="S234" s="104">
        <f t="shared" si="40"/>
        <v>382652.40350000001</v>
      </c>
    </row>
    <row r="235" spans="1:23" x14ac:dyDescent="0.2">
      <c r="A235" t="s">
        <v>36</v>
      </c>
      <c r="B235">
        <f t="shared" si="39"/>
        <v>40436.728000000003</v>
      </c>
      <c r="C235">
        <f t="shared" si="39"/>
        <v>259127.04089999999</v>
      </c>
      <c r="D235">
        <f t="shared" si="39"/>
        <v>129161.0978</v>
      </c>
      <c r="E235">
        <f t="shared" si="39"/>
        <v>307868.239</v>
      </c>
      <c r="F235">
        <f t="shared" si="39"/>
        <v>736593.10569999996</v>
      </c>
      <c r="N235" t="s">
        <v>36</v>
      </c>
      <c r="O235" s="104">
        <v>40436.728000000003</v>
      </c>
      <c r="P235" s="104">
        <v>259127.04089999999</v>
      </c>
      <c r="Q235" s="104">
        <v>129161.0978</v>
      </c>
      <c r="R235" s="104">
        <v>307868.239</v>
      </c>
      <c r="S235" s="104">
        <f t="shared" si="40"/>
        <v>736593.10569999996</v>
      </c>
    </row>
    <row r="236" spans="1:23" x14ac:dyDescent="0.2">
      <c r="A236" t="s">
        <v>214</v>
      </c>
      <c r="B236">
        <f t="shared" si="39"/>
        <v>38490.797100000003</v>
      </c>
      <c r="C236">
        <f t="shared" si="39"/>
        <v>307198.04029999999</v>
      </c>
      <c r="D236">
        <f t="shared" si="39"/>
        <v>149699.84419999999</v>
      </c>
      <c r="E236">
        <f t="shared" si="39"/>
        <v>390912.90830000001</v>
      </c>
      <c r="F236">
        <f t="shared" si="39"/>
        <v>886301.58990000002</v>
      </c>
      <c r="N236" t="s">
        <v>214</v>
      </c>
      <c r="O236" s="104">
        <v>38490.797100000003</v>
      </c>
      <c r="P236" s="104">
        <v>307198.04029999999</v>
      </c>
      <c r="Q236" s="104">
        <v>149699.84419999999</v>
      </c>
      <c r="R236" s="104">
        <v>390912.90830000001</v>
      </c>
      <c r="S236" s="104">
        <f t="shared" si="40"/>
        <v>886301.58990000002</v>
      </c>
    </row>
    <row r="237" spans="1:23" x14ac:dyDescent="0.2">
      <c r="A237" t="s">
        <v>129</v>
      </c>
      <c r="B237">
        <f t="shared" si="39"/>
        <v>14242.1942</v>
      </c>
      <c r="C237">
        <f t="shared" si="39"/>
        <v>106613.62240000001</v>
      </c>
      <c r="D237">
        <f t="shared" si="39"/>
        <v>73212.388999999996</v>
      </c>
      <c r="E237">
        <f t="shared" si="39"/>
        <v>200547.90580000001</v>
      </c>
      <c r="F237">
        <f t="shared" si="39"/>
        <v>394616.11139999999</v>
      </c>
      <c r="N237" t="s">
        <v>129</v>
      </c>
      <c r="O237" s="104">
        <v>14242.1942</v>
      </c>
      <c r="P237" s="104">
        <v>106613.62240000001</v>
      </c>
      <c r="Q237" s="104">
        <v>73212.388999999996</v>
      </c>
      <c r="R237" s="104">
        <v>200547.90580000001</v>
      </c>
      <c r="S237" s="104">
        <f t="shared" si="40"/>
        <v>394616.11139999999</v>
      </c>
    </row>
    <row r="238" spans="1:23" x14ac:dyDescent="0.2">
      <c r="A238" t="s">
        <v>130</v>
      </c>
      <c r="B238">
        <f t="shared" si="39"/>
        <v>11926.9622</v>
      </c>
      <c r="C238">
        <f t="shared" si="39"/>
        <v>85623.715599999996</v>
      </c>
      <c r="D238">
        <f t="shared" si="39"/>
        <v>71168.466700000004</v>
      </c>
      <c r="E238">
        <f t="shared" si="39"/>
        <v>214847.2458</v>
      </c>
      <c r="F238">
        <f t="shared" si="39"/>
        <v>383566.39029999997</v>
      </c>
      <c r="N238" t="s">
        <v>130</v>
      </c>
      <c r="O238" s="104">
        <v>11926.9622</v>
      </c>
      <c r="P238" s="104">
        <v>85623.715599999996</v>
      </c>
      <c r="Q238" s="104">
        <v>71168.466700000004</v>
      </c>
      <c r="R238" s="104">
        <v>214847.2458</v>
      </c>
      <c r="S238" s="104">
        <f t="shared" si="40"/>
        <v>383566.39029999997</v>
      </c>
    </row>
    <row r="240" spans="1:23" x14ac:dyDescent="0.2">
      <c r="A240" t="s">
        <v>69</v>
      </c>
      <c r="B240" t="s">
        <v>58</v>
      </c>
      <c r="C240" t="s">
        <v>279</v>
      </c>
      <c r="D240" t="s">
        <v>280</v>
      </c>
      <c r="N240" t="s">
        <v>69</v>
      </c>
      <c r="O240" t="s">
        <v>58</v>
      </c>
      <c r="P240" t="s">
        <v>279</v>
      </c>
      <c r="Q240" t="s">
        <v>280</v>
      </c>
    </row>
    <row r="241" spans="1:22" x14ac:dyDescent="0.2">
      <c r="A241" t="s">
        <v>44</v>
      </c>
      <c r="B241" t="s">
        <v>98</v>
      </c>
      <c r="C241" t="s">
        <v>281</v>
      </c>
      <c r="D241" t="s">
        <v>282</v>
      </c>
      <c r="E241" t="s">
        <v>283</v>
      </c>
      <c r="F241" t="s">
        <v>27</v>
      </c>
      <c r="N241" t="s">
        <v>44</v>
      </c>
      <c r="O241" t="s">
        <v>98</v>
      </c>
      <c r="P241" t="s">
        <v>281</v>
      </c>
      <c r="Q241" t="s">
        <v>282</v>
      </c>
      <c r="R241" t="s">
        <v>283</v>
      </c>
      <c r="S241" t="s">
        <v>27</v>
      </c>
    </row>
    <row r="242" spans="1:22" x14ac:dyDescent="0.2">
      <c r="A242" t="s">
        <v>210</v>
      </c>
      <c r="B242">
        <f t="shared" ref="B242:F248" si="41">O242*$B$1</f>
        <v>7946.3751000000002</v>
      </c>
      <c r="C242">
        <f t="shared" si="41"/>
        <v>48998.1201</v>
      </c>
      <c r="D242">
        <f t="shared" si="41"/>
        <v>168234.5264</v>
      </c>
      <c r="E242">
        <f t="shared" si="41"/>
        <v>65965.470600000001</v>
      </c>
      <c r="F242">
        <f t="shared" si="41"/>
        <v>291144.49219999998</v>
      </c>
      <c r="N242" t="s">
        <v>210</v>
      </c>
      <c r="O242" s="104">
        <v>7946.3751000000002</v>
      </c>
      <c r="P242" s="104">
        <v>48998.1201</v>
      </c>
      <c r="Q242" s="104">
        <v>168234.5264</v>
      </c>
      <c r="R242" s="104">
        <v>65965.470600000001</v>
      </c>
      <c r="S242" s="104">
        <f>SUM(O242:R242)</f>
        <v>291144.49219999998</v>
      </c>
    </row>
    <row r="243" spans="1:22" x14ac:dyDescent="0.2">
      <c r="A243" t="s">
        <v>211</v>
      </c>
      <c r="B243">
        <f t="shared" si="41"/>
        <v>10103.864799999999</v>
      </c>
      <c r="C243">
        <f t="shared" si="41"/>
        <v>9551.6623</v>
      </c>
      <c r="D243">
        <f t="shared" si="41"/>
        <v>21767.022199999999</v>
      </c>
      <c r="E243">
        <f t="shared" si="41"/>
        <v>5410.4741000000004</v>
      </c>
      <c r="F243">
        <f t="shared" si="41"/>
        <v>46833.023399999998</v>
      </c>
      <c r="N243" t="s">
        <v>211</v>
      </c>
      <c r="O243" s="104">
        <v>10103.864799999999</v>
      </c>
      <c r="P243" s="104">
        <v>9551.6623</v>
      </c>
      <c r="Q243" s="104">
        <v>21767.022199999999</v>
      </c>
      <c r="R243" s="104">
        <v>5410.4741000000004</v>
      </c>
      <c r="S243" s="104">
        <f t="shared" ref="S243:S248" si="42">SUM(O243:R243)</f>
        <v>46833.023399999998</v>
      </c>
    </row>
    <row r="244" spans="1:22" x14ac:dyDescent="0.2">
      <c r="A244" t="s">
        <v>212</v>
      </c>
      <c r="B244">
        <f t="shared" si="41"/>
        <v>1728.5329000000002</v>
      </c>
      <c r="C244">
        <f t="shared" si="41"/>
        <v>83680.403999999995</v>
      </c>
      <c r="D244">
        <f t="shared" si="41"/>
        <v>257076.89980000001</v>
      </c>
      <c r="E244">
        <f t="shared" si="41"/>
        <v>68874.400999999998</v>
      </c>
      <c r="F244">
        <f t="shared" si="41"/>
        <v>411360.2377</v>
      </c>
      <c r="N244" t="s">
        <v>212</v>
      </c>
      <c r="O244" s="104">
        <v>1728.5329000000002</v>
      </c>
      <c r="P244" s="104">
        <v>83680.403999999995</v>
      </c>
      <c r="Q244" s="104">
        <v>257076.89980000001</v>
      </c>
      <c r="R244" s="104">
        <v>68874.400999999998</v>
      </c>
      <c r="S244" s="104">
        <f t="shared" si="42"/>
        <v>411360.2377</v>
      </c>
    </row>
    <row r="245" spans="1:22" x14ac:dyDescent="0.2">
      <c r="A245" t="s">
        <v>36</v>
      </c>
      <c r="B245">
        <f t="shared" si="41"/>
        <v>41173.8076</v>
      </c>
      <c r="C245">
        <f t="shared" si="41"/>
        <v>165326.4987</v>
      </c>
      <c r="D245">
        <f t="shared" si="41"/>
        <v>463960.88010000001</v>
      </c>
      <c r="E245">
        <f t="shared" si="41"/>
        <v>157285.0932</v>
      </c>
      <c r="F245">
        <f t="shared" si="41"/>
        <v>827746.27960000001</v>
      </c>
      <c r="N245" t="s">
        <v>36</v>
      </c>
      <c r="O245" s="104">
        <v>41173.8076</v>
      </c>
      <c r="P245" s="104">
        <v>165326.4987</v>
      </c>
      <c r="Q245" s="104">
        <v>463960.88010000001</v>
      </c>
      <c r="R245" s="104">
        <v>157285.0932</v>
      </c>
      <c r="S245" s="104">
        <f t="shared" si="42"/>
        <v>827746.27960000001</v>
      </c>
    </row>
    <row r="246" spans="1:22" x14ac:dyDescent="0.2">
      <c r="A246" t="s">
        <v>214</v>
      </c>
      <c r="B246">
        <f t="shared" si="41"/>
        <v>51294.273999999998</v>
      </c>
      <c r="C246">
        <f t="shared" si="41"/>
        <v>201597.58199999999</v>
      </c>
      <c r="D246">
        <f t="shared" si="41"/>
        <v>545147.57110000006</v>
      </c>
      <c r="E246">
        <f t="shared" si="41"/>
        <v>168432.43479999999</v>
      </c>
      <c r="F246">
        <f t="shared" si="41"/>
        <v>966471.86190000013</v>
      </c>
      <c r="N246" t="s">
        <v>214</v>
      </c>
      <c r="O246" s="104">
        <v>51294.273999999998</v>
      </c>
      <c r="P246" s="104">
        <v>201597.58199999999</v>
      </c>
      <c r="Q246" s="104">
        <v>545147.57110000006</v>
      </c>
      <c r="R246" s="104">
        <v>168432.43479999999</v>
      </c>
      <c r="S246" s="104">
        <f t="shared" si="42"/>
        <v>966471.86190000013</v>
      </c>
    </row>
    <row r="247" spans="1:22" x14ac:dyDescent="0.2">
      <c r="A247" t="s">
        <v>129</v>
      </c>
      <c r="B247">
        <f t="shared" si="41"/>
        <v>26768.4172</v>
      </c>
      <c r="C247">
        <f t="shared" si="41"/>
        <v>115472.3725</v>
      </c>
      <c r="D247">
        <f t="shared" si="41"/>
        <v>218926.57260000001</v>
      </c>
      <c r="E247">
        <f t="shared" si="41"/>
        <v>64267.663200000003</v>
      </c>
      <c r="F247">
        <f t="shared" si="41"/>
        <v>425435.02550000005</v>
      </c>
      <c r="N247" t="s">
        <v>129</v>
      </c>
      <c r="O247" s="104">
        <v>26768.4172</v>
      </c>
      <c r="P247" s="104">
        <v>115472.3725</v>
      </c>
      <c r="Q247" s="104">
        <v>218926.57260000001</v>
      </c>
      <c r="R247" s="104">
        <v>64267.663200000003</v>
      </c>
      <c r="S247" s="104">
        <f t="shared" si="42"/>
        <v>425435.02550000005</v>
      </c>
    </row>
    <row r="248" spans="1:22" x14ac:dyDescent="0.2">
      <c r="A248" t="s">
        <v>130</v>
      </c>
      <c r="B248">
        <f t="shared" si="41"/>
        <v>15025.5036</v>
      </c>
      <c r="C248">
        <f t="shared" si="41"/>
        <v>67949.603400000007</v>
      </c>
      <c r="D248">
        <f t="shared" si="41"/>
        <v>283841.24160000001</v>
      </c>
      <c r="E248">
        <f t="shared" si="41"/>
        <v>66660.254000000001</v>
      </c>
      <c r="F248">
        <f t="shared" si="41"/>
        <v>433476.60260000004</v>
      </c>
      <c r="N248" t="s">
        <v>130</v>
      </c>
      <c r="O248" s="104">
        <v>15025.5036</v>
      </c>
      <c r="P248" s="104">
        <v>67949.603400000007</v>
      </c>
      <c r="Q248" s="104">
        <v>283841.24160000001</v>
      </c>
      <c r="R248" s="104">
        <v>66660.254000000001</v>
      </c>
      <c r="S248" s="104">
        <f t="shared" si="42"/>
        <v>433476.60260000004</v>
      </c>
    </row>
    <row r="250" spans="1:22" x14ac:dyDescent="0.2">
      <c r="A250" t="s">
        <v>69</v>
      </c>
      <c r="B250" t="s">
        <v>58</v>
      </c>
      <c r="C250" t="s">
        <v>63</v>
      </c>
      <c r="D250" t="s">
        <v>64</v>
      </c>
      <c r="N250" t="s">
        <v>69</v>
      </c>
      <c r="O250" t="s">
        <v>58</v>
      </c>
      <c r="P250" t="s">
        <v>63</v>
      </c>
      <c r="Q250" t="s">
        <v>64</v>
      </c>
    </row>
    <row r="251" spans="1:22" x14ac:dyDescent="0.2">
      <c r="A251" t="s">
        <v>44</v>
      </c>
      <c r="B251" t="s">
        <v>10862</v>
      </c>
      <c r="C251" t="s">
        <v>10863</v>
      </c>
      <c r="D251" t="s">
        <v>10864</v>
      </c>
      <c r="E251" t="s">
        <v>10865</v>
      </c>
      <c r="F251" t="s">
        <v>1689</v>
      </c>
      <c r="G251" t="s">
        <v>10866</v>
      </c>
      <c r="H251" t="s">
        <v>10867</v>
      </c>
      <c r="I251" t="s">
        <v>221</v>
      </c>
      <c r="N251" t="s">
        <v>44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>
        <v>7</v>
      </c>
      <c r="V251" t="s">
        <v>27</v>
      </c>
    </row>
    <row r="252" spans="1:22" x14ac:dyDescent="0.2">
      <c r="A252" t="s">
        <v>210</v>
      </c>
      <c r="B252">
        <f t="shared" ref="B252:G258" si="43">O252*$B$1</f>
        <v>0</v>
      </c>
      <c r="C252">
        <f t="shared" si="43"/>
        <v>0</v>
      </c>
      <c r="D252">
        <f t="shared" si="43"/>
        <v>0</v>
      </c>
      <c r="E252">
        <f t="shared" si="43"/>
        <v>0</v>
      </c>
      <c r="F252">
        <f t="shared" si="43"/>
        <v>78157.741699999999</v>
      </c>
      <c r="G252">
        <f t="shared" si="43"/>
        <v>6283.9052000000001</v>
      </c>
      <c r="H252">
        <f t="shared" ref="H252:I258" si="44">U252*$B$1</f>
        <v>206702.84529999999</v>
      </c>
      <c r="I252">
        <f t="shared" si="44"/>
        <v>291144.49219999998</v>
      </c>
      <c r="N252" t="s">
        <v>210</v>
      </c>
      <c r="O252" s="104">
        <v>0</v>
      </c>
      <c r="P252" s="104">
        <v>0</v>
      </c>
      <c r="Q252" s="104">
        <v>0</v>
      </c>
      <c r="R252" s="104">
        <v>0</v>
      </c>
      <c r="S252" s="104">
        <v>78157.741699999999</v>
      </c>
      <c r="T252" s="104">
        <v>6283.9052000000001</v>
      </c>
      <c r="U252" s="104">
        <v>206702.84529999999</v>
      </c>
      <c r="V252" s="104">
        <f>SUM(O252:U252)</f>
        <v>291144.49219999998</v>
      </c>
    </row>
    <row r="253" spans="1:22" x14ac:dyDescent="0.2">
      <c r="A253" t="s">
        <v>211</v>
      </c>
      <c r="B253">
        <f t="shared" si="43"/>
        <v>0</v>
      </c>
      <c r="C253">
        <f t="shared" si="43"/>
        <v>0</v>
      </c>
      <c r="D253">
        <f t="shared" si="43"/>
        <v>0</v>
      </c>
      <c r="E253">
        <f t="shared" si="43"/>
        <v>0</v>
      </c>
      <c r="F253">
        <f t="shared" ref="F253:F258" si="45">S253*$B$1</f>
        <v>22018.809600000001</v>
      </c>
      <c r="G253">
        <f t="shared" ref="G253:G258" si="46">T253*$B$1</f>
        <v>524.40599999999995</v>
      </c>
      <c r="H253">
        <f t="shared" si="44"/>
        <v>24289.807799999999</v>
      </c>
      <c r="I253">
        <f t="shared" si="44"/>
        <v>46833.023399999998</v>
      </c>
      <c r="N253" t="s">
        <v>211</v>
      </c>
      <c r="O253" s="104">
        <v>0</v>
      </c>
      <c r="P253" s="104">
        <v>0</v>
      </c>
      <c r="Q253" s="104">
        <v>0</v>
      </c>
      <c r="R253" s="104">
        <v>0</v>
      </c>
      <c r="S253" s="104">
        <v>22018.809600000001</v>
      </c>
      <c r="T253" s="104">
        <v>524.40599999999995</v>
      </c>
      <c r="U253" s="104">
        <v>24289.807799999999</v>
      </c>
      <c r="V253" s="104">
        <f t="shared" ref="V253:V258" si="47">SUM(O253:U253)</f>
        <v>46833.023399999998</v>
      </c>
    </row>
    <row r="254" spans="1:22" x14ac:dyDescent="0.2">
      <c r="A254" t="s">
        <v>212</v>
      </c>
      <c r="B254">
        <f t="shared" si="43"/>
        <v>0</v>
      </c>
      <c r="C254">
        <f t="shared" si="43"/>
        <v>0</v>
      </c>
      <c r="D254">
        <f t="shared" si="43"/>
        <v>0</v>
      </c>
      <c r="E254">
        <f t="shared" si="43"/>
        <v>0</v>
      </c>
      <c r="F254">
        <f t="shared" si="45"/>
        <v>82251.821299999996</v>
      </c>
      <c r="G254">
        <f t="shared" si="46"/>
        <v>1801.1107</v>
      </c>
      <c r="H254">
        <f t="shared" si="44"/>
        <v>327307.30570000003</v>
      </c>
      <c r="I254">
        <f t="shared" si="44"/>
        <v>411360.23770000006</v>
      </c>
      <c r="N254" t="s">
        <v>212</v>
      </c>
      <c r="O254" s="104">
        <v>0</v>
      </c>
      <c r="P254" s="104">
        <v>0</v>
      </c>
      <c r="Q254" s="104">
        <v>0</v>
      </c>
      <c r="R254" s="104">
        <v>0</v>
      </c>
      <c r="S254" s="104">
        <v>82251.821299999996</v>
      </c>
      <c r="T254" s="104">
        <v>1801.1107</v>
      </c>
      <c r="U254" s="104">
        <v>327307.30570000003</v>
      </c>
      <c r="V254" s="104">
        <f t="shared" si="47"/>
        <v>411360.23770000006</v>
      </c>
    </row>
    <row r="255" spans="1:22" x14ac:dyDescent="0.2">
      <c r="A255" t="s">
        <v>36</v>
      </c>
      <c r="B255">
        <f t="shared" si="43"/>
        <v>0</v>
      </c>
      <c r="C255">
        <f t="shared" si="43"/>
        <v>0</v>
      </c>
      <c r="D255">
        <f t="shared" si="43"/>
        <v>0</v>
      </c>
      <c r="E255">
        <f t="shared" si="43"/>
        <v>0</v>
      </c>
      <c r="F255">
        <f t="shared" si="45"/>
        <v>157948.239</v>
      </c>
      <c r="G255">
        <f t="shared" si="46"/>
        <v>12457.092699999999</v>
      </c>
      <c r="H255">
        <f t="shared" si="44"/>
        <v>657340.94790000003</v>
      </c>
      <c r="I255">
        <f t="shared" si="44"/>
        <v>827746.27960000001</v>
      </c>
      <c r="N255" t="s">
        <v>36</v>
      </c>
      <c r="O255" s="104">
        <v>0</v>
      </c>
      <c r="P255" s="104">
        <v>0</v>
      </c>
      <c r="Q255" s="104">
        <v>0</v>
      </c>
      <c r="R255" s="104">
        <v>0</v>
      </c>
      <c r="S255" s="104">
        <v>157948.239</v>
      </c>
      <c r="T255" s="104">
        <v>12457.092699999999</v>
      </c>
      <c r="U255" s="104">
        <v>657340.94790000003</v>
      </c>
      <c r="V255" s="104">
        <f t="shared" si="47"/>
        <v>827746.27960000001</v>
      </c>
    </row>
    <row r="256" spans="1:22" x14ac:dyDescent="0.2">
      <c r="A256" t="s">
        <v>214</v>
      </c>
      <c r="B256">
        <f t="shared" si="43"/>
        <v>0</v>
      </c>
      <c r="C256">
        <f t="shared" si="43"/>
        <v>0</v>
      </c>
      <c r="D256">
        <f t="shared" si="43"/>
        <v>0</v>
      </c>
      <c r="E256">
        <f t="shared" si="43"/>
        <v>0</v>
      </c>
      <c r="F256">
        <f t="shared" si="45"/>
        <v>186320.94380000001</v>
      </c>
      <c r="G256">
        <f t="shared" si="46"/>
        <v>16772.111199999999</v>
      </c>
      <c r="H256">
        <f t="shared" si="44"/>
        <v>763378.80689999997</v>
      </c>
      <c r="I256">
        <f t="shared" si="44"/>
        <v>966471.8618999999</v>
      </c>
      <c r="N256" t="s">
        <v>214</v>
      </c>
      <c r="O256" s="104">
        <v>0</v>
      </c>
      <c r="P256" s="104">
        <v>0</v>
      </c>
      <c r="Q256" s="104">
        <v>0</v>
      </c>
      <c r="R256" s="104">
        <v>0</v>
      </c>
      <c r="S256" s="104">
        <v>186320.94380000001</v>
      </c>
      <c r="T256" s="104">
        <v>16772.111199999999</v>
      </c>
      <c r="U256" s="104">
        <v>763378.80689999997</v>
      </c>
      <c r="V256" s="104">
        <f t="shared" si="47"/>
        <v>966471.8618999999</v>
      </c>
    </row>
    <row r="257" spans="1:23" x14ac:dyDescent="0.2">
      <c r="A257" t="s">
        <v>129</v>
      </c>
      <c r="B257">
        <f t="shared" si="43"/>
        <v>0</v>
      </c>
      <c r="C257">
        <f t="shared" si="43"/>
        <v>0</v>
      </c>
      <c r="D257">
        <f t="shared" si="43"/>
        <v>0</v>
      </c>
      <c r="E257">
        <f t="shared" si="43"/>
        <v>0</v>
      </c>
      <c r="F257">
        <f t="shared" si="45"/>
        <v>99797.627999999997</v>
      </c>
      <c r="G257">
        <f t="shared" si="46"/>
        <v>15433.157800000001</v>
      </c>
      <c r="H257">
        <f t="shared" si="44"/>
        <v>310204.23969999998</v>
      </c>
      <c r="I257">
        <f t="shared" si="44"/>
        <v>425435.02549999999</v>
      </c>
      <c r="N257" t="s">
        <v>129</v>
      </c>
      <c r="O257" s="104">
        <v>0</v>
      </c>
      <c r="P257" s="104">
        <v>0</v>
      </c>
      <c r="Q257" s="104">
        <v>0</v>
      </c>
      <c r="R257" s="104">
        <v>0</v>
      </c>
      <c r="S257" s="104">
        <v>99797.627999999997</v>
      </c>
      <c r="T257" s="104">
        <v>15433.157800000001</v>
      </c>
      <c r="U257" s="104">
        <v>310204.23969999998</v>
      </c>
      <c r="V257" s="104">
        <f t="shared" si="47"/>
        <v>425435.02549999999</v>
      </c>
    </row>
    <row r="258" spans="1:23" x14ac:dyDescent="0.2">
      <c r="A258" t="s">
        <v>130</v>
      </c>
      <c r="B258">
        <f t="shared" si="43"/>
        <v>0</v>
      </c>
      <c r="C258">
        <f t="shared" si="43"/>
        <v>0</v>
      </c>
      <c r="D258">
        <f t="shared" si="43"/>
        <v>0</v>
      </c>
      <c r="E258">
        <f t="shared" si="43"/>
        <v>0</v>
      </c>
      <c r="F258">
        <f t="shared" si="45"/>
        <v>114111.53170000001</v>
      </c>
      <c r="G258">
        <f t="shared" si="46"/>
        <v>8336.0727999999999</v>
      </c>
      <c r="H258">
        <f t="shared" si="44"/>
        <v>311028.99810000003</v>
      </c>
      <c r="I258">
        <f t="shared" si="44"/>
        <v>433476.60260000004</v>
      </c>
      <c r="N258" t="s">
        <v>130</v>
      </c>
      <c r="O258" s="104">
        <v>0</v>
      </c>
      <c r="P258" s="104">
        <v>0</v>
      </c>
      <c r="Q258" s="104">
        <v>0</v>
      </c>
      <c r="R258" s="104">
        <v>0</v>
      </c>
      <c r="S258" s="104">
        <v>114111.53170000001</v>
      </c>
      <c r="T258" s="104">
        <v>8336.0727999999999</v>
      </c>
      <c r="U258" s="104">
        <v>311028.99810000003</v>
      </c>
      <c r="V258" s="104">
        <f t="shared" si="47"/>
        <v>433476.60260000004</v>
      </c>
    </row>
    <row r="260" spans="1:23" x14ac:dyDescent="0.2">
      <c r="A260" t="s">
        <v>70</v>
      </c>
      <c r="B260" t="s">
        <v>66</v>
      </c>
      <c r="C260" t="s">
        <v>67</v>
      </c>
      <c r="D260" t="s">
        <v>68</v>
      </c>
      <c r="E260" t="s">
        <v>31</v>
      </c>
      <c r="N260" t="s">
        <v>70</v>
      </c>
      <c r="O260" t="s">
        <v>66</v>
      </c>
      <c r="P260" t="s">
        <v>67</v>
      </c>
      <c r="Q260" t="s">
        <v>68</v>
      </c>
      <c r="R260" t="s">
        <v>31</v>
      </c>
    </row>
    <row r="261" spans="1:23" x14ac:dyDescent="0.2">
      <c r="A261" t="s">
        <v>44</v>
      </c>
      <c r="B261" t="s">
        <v>21</v>
      </c>
      <c r="C261" t="s">
        <v>22</v>
      </c>
      <c r="D261" t="s">
        <v>148</v>
      </c>
      <c r="E261" t="s">
        <v>243</v>
      </c>
      <c r="F261" t="s">
        <v>23</v>
      </c>
      <c r="G261" t="s">
        <v>24</v>
      </c>
      <c r="H261" t="s">
        <v>25</v>
      </c>
      <c r="I261" t="s">
        <v>26</v>
      </c>
      <c r="J261" t="s">
        <v>27</v>
      </c>
      <c r="N261" t="s">
        <v>44</v>
      </c>
      <c r="O261" t="s">
        <v>21</v>
      </c>
      <c r="P261" t="s">
        <v>22</v>
      </c>
      <c r="Q261" t="s">
        <v>148</v>
      </c>
      <c r="R261" t="s">
        <v>243</v>
      </c>
      <c r="S261" t="s">
        <v>23</v>
      </c>
      <c r="T261" t="s">
        <v>24</v>
      </c>
      <c r="U261" t="s">
        <v>25</v>
      </c>
      <c r="V261" t="s">
        <v>26</v>
      </c>
      <c r="W261" t="s">
        <v>27</v>
      </c>
    </row>
    <row r="262" spans="1:23" x14ac:dyDescent="0.2">
      <c r="A262" t="s">
        <v>210</v>
      </c>
      <c r="B262">
        <f t="shared" ref="B262:J269" si="48">O262*$B$1</f>
        <v>1660177.4502596955</v>
      </c>
      <c r="C262">
        <f t="shared" si="48"/>
        <v>213399.17846500731</v>
      </c>
      <c r="D262">
        <f t="shared" si="48"/>
        <v>17556.8344343914</v>
      </c>
      <c r="E262">
        <f t="shared" si="48"/>
        <v>46087.6663661774</v>
      </c>
      <c r="F262">
        <f t="shared" si="48"/>
        <v>98224.451284159499</v>
      </c>
      <c r="G262">
        <f t="shared" si="48"/>
        <v>2544.54475</v>
      </c>
      <c r="H262">
        <f t="shared" si="48"/>
        <v>756.71400000000006</v>
      </c>
      <c r="I262">
        <f t="shared" si="48"/>
        <v>916.36924999999997</v>
      </c>
      <c r="J262">
        <f t="shared" si="48"/>
        <v>2039663.2088094309</v>
      </c>
      <c r="N262" t="s">
        <v>210</v>
      </c>
      <c r="O262">
        <v>1660177.4502596955</v>
      </c>
      <c r="P262">
        <v>213399.17846500731</v>
      </c>
      <c r="Q262">
        <v>17556.8344343914</v>
      </c>
      <c r="R262">
        <v>46087.6663661774</v>
      </c>
      <c r="S262">
        <v>98224.451284159499</v>
      </c>
      <c r="T262">
        <v>2544.54475</v>
      </c>
      <c r="U262">
        <v>756.71400000000006</v>
      </c>
      <c r="V262">
        <v>916.36924999999997</v>
      </c>
      <c r="W262">
        <f>SUM(O262:V262)</f>
        <v>2039663.2088094309</v>
      </c>
    </row>
    <row r="263" spans="1:23" x14ac:dyDescent="0.2">
      <c r="A263" t="s">
        <v>211</v>
      </c>
      <c r="B263">
        <f t="shared" si="48"/>
        <v>8454.0885098755007</v>
      </c>
      <c r="C263">
        <f t="shared" si="48"/>
        <v>47429.275711861301</v>
      </c>
      <c r="D263">
        <f t="shared" si="48"/>
        <v>862.99737015200003</v>
      </c>
      <c r="E263">
        <f t="shared" si="48"/>
        <v>72829.727081157194</v>
      </c>
      <c r="F263">
        <f t="shared" si="48"/>
        <v>65211.089185126104</v>
      </c>
      <c r="G263">
        <f t="shared" si="48"/>
        <v>70155.592874580005</v>
      </c>
      <c r="H263">
        <f t="shared" si="48"/>
        <v>453808.26500000001</v>
      </c>
      <c r="I263">
        <f t="shared" si="48"/>
        <v>51795.055874999998</v>
      </c>
      <c r="J263">
        <f t="shared" si="48"/>
        <v>770546.09160775214</v>
      </c>
      <c r="N263" t="s">
        <v>211</v>
      </c>
      <c r="O263">
        <v>8454.0885098755007</v>
      </c>
      <c r="P263">
        <v>47429.275711861301</v>
      </c>
      <c r="Q263">
        <v>862.99737015200003</v>
      </c>
      <c r="R263">
        <v>72829.727081157194</v>
      </c>
      <c r="S263">
        <v>65211.089185126104</v>
      </c>
      <c r="T263">
        <v>70155.592874580005</v>
      </c>
      <c r="U263">
        <v>453808.26500000001</v>
      </c>
      <c r="V263">
        <v>51795.055874999998</v>
      </c>
      <c r="W263">
        <f t="shared" ref="W263:W269" si="49">SUM(O263:V263)</f>
        <v>770546.09160775214</v>
      </c>
    </row>
    <row r="264" spans="1:23" x14ac:dyDescent="0.2">
      <c r="A264" t="s">
        <v>212</v>
      </c>
      <c r="B264">
        <f t="shared" si="48"/>
        <v>418243.39073999063</v>
      </c>
      <c r="C264">
        <f t="shared" si="48"/>
        <v>138827.25526180459</v>
      </c>
      <c r="D264">
        <f t="shared" si="48"/>
        <v>63654.218650200601</v>
      </c>
      <c r="E264">
        <f t="shared" si="48"/>
        <v>244798.16167429439</v>
      </c>
      <c r="F264">
        <f t="shared" si="48"/>
        <v>25453.325320432701</v>
      </c>
      <c r="G264">
        <f t="shared" si="48"/>
        <v>10422.71642196</v>
      </c>
      <c r="H264">
        <f t="shared" si="48"/>
        <v>80020.450750000004</v>
      </c>
      <c r="I264">
        <f t="shared" si="48"/>
        <v>78843.02</v>
      </c>
      <c r="J264">
        <f t="shared" ref="J264:J269" si="50">W264*$B$1</f>
        <v>1060262.5388186828</v>
      </c>
      <c r="N264" t="s">
        <v>212</v>
      </c>
      <c r="O264">
        <v>418243.39073999063</v>
      </c>
      <c r="P264">
        <v>138827.25526180459</v>
      </c>
      <c r="Q264">
        <v>63654.218650200601</v>
      </c>
      <c r="R264">
        <v>244798.16167429439</v>
      </c>
      <c r="S264">
        <v>25453.325320432701</v>
      </c>
      <c r="T264">
        <v>10422.71642196</v>
      </c>
      <c r="U264">
        <v>80020.450750000004</v>
      </c>
      <c r="V264">
        <v>78843.02</v>
      </c>
      <c r="W264">
        <f t="shared" si="49"/>
        <v>1060262.5388186828</v>
      </c>
    </row>
    <row r="265" spans="1:23" x14ac:dyDescent="0.2">
      <c r="A265" t="s">
        <v>36</v>
      </c>
      <c r="B265">
        <f t="shared" si="48"/>
        <v>450662.7602065411</v>
      </c>
      <c r="C265">
        <f t="shared" si="48"/>
        <v>187884.54801353021</v>
      </c>
      <c r="D265">
        <f t="shared" si="48"/>
        <v>310949.38619047141</v>
      </c>
      <c r="E265">
        <f t="shared" si="48"/>
        <v>381047.6918400671</v>
      </c>
      <c r="F265">
        <f t="shared" si="48"/>
        <v>55340.158025418998</v>
      </c>
      <c r="G265">
        <f t="shared" si="48"/>
        <v>13815.532999999999</v>
      </c>
      <c r="H265">
        <f t="shared" si="48"/>
        <v>140924.04162500001</v>
      </c>
      <c r="I265">
        <f t="shared" si="48"/>
        <v>132483.50725</v>
      </c>
      <c r="J265">
        <f t="shared" si="50"/>
        <v>1673107.626151029</v>
      </c>
      <c r="N265" t="s">
        <v>36</v>
      </c>
      <c r="O265">
        <v>450662.7602065411</v>
      </c>
      <c r="P265">
        <v>187884.54801353021</v>
      </c>
      <c r="Q265">
        <v>310949.38619047141</v>
      </c>
      <c r="R265">
        <v>381047.6918400671</v>
      </c>
      <c r="S265">
        <v>55340.158025418998</v>
      </c>
      <c r="T265">
        <v>13815.532999999999</v>
      </c>
      <c r="U265">
        <v>140924.04162500001</v>
      </c>
      <c r="V265">
        <v>132483.50725</v>
      </c>
      <c r="W265">
        <f t="shared" si="49"/>
        <v>1673107.626151029</v>
      </c>
    </row>
    <row r="266" spans="1:23" x14ac:dyDescent="0.2">
      <c r="A266" t="s">
        <v>214</v>
      </c>
      <c r="B266">
        <f t="shared" si="48"/>
        <v>563756.72835173598</v>
      </c>
      <c r="C266">
        <f t="shared" si="48"/>
        <v>212639.20924914369</v>
      </c>
      <c r="D266">
        <f t="shared" si="48"/>
        <v>301659.34705775807</v>
      </c>
      <c r="E266">
        <f t="shared" si="48"/>
        <v>450394.27385918348</v>
      </c>
      <c r="F266">
        <f t="shared" si="48"/>
        <v>68442.071869806401</v>
      </c>
      <c r="G266">
        <f t="shared" si="48"/>
        <v>5975.626447394</v>
      </c>
      <c r="H266">
        <f t="shared" si="48"/>
        <v>97969.697625000001</v>
      </c>
      <c r="I266">
        <f t="shared" si="48"/>
        <v>147016.255</v>
      </c>
      <c r="J266">
        <f t="shared" si="50"/>
        <v>1847853.2094600219</v>
      </c>
      <c r="N266" t="s">
        <v>214</v>
      </c>
      <c r="O266">
        <v>563756.72835173598</v>
      </c>
      <c r="P266">
        <v>212639.20924914369</v>
      </c>
      <c r="Q266">
        <v>301659.34705775807</v>
      </c>
      <c r="R266">
        <v>450394.27385918348</v>
      </c>
      <c r="S266">
        <v>68442.071869806401</v>
      </c>
      <c r="T266">
        <v>5975.626447394</v>
      </c>
      <c r="U266">
        <v>97969.697625000001</v>
      </c>
      <c r="V266">
        <v>147016.255</v>
      </c>
      <c r="W266">
        <f t="shared" si="49"/>
        <v>1847853.2094600219</v>
      </c>
    </row>
    <row r="267" spans="1:23" x14ac:dyDescent="0.2">
      <c r="A267" t="s">
        <v>129</v>
      </c>
      <c r="B267">
        <f t="shared" si="48"/>
        <v>333506.49166748353</v>
      </c>
      <c r="C267">
        <f t="shared" si="48"/>
        <v>71565.897681852599</v>
      </c>
      <c r="D267">
        <f t="shared" si="48"/>
        <v>85602.252423915997</v>
      </c>
      <c r="E267">
        <f t="shared" si="48"/>
        <v>139854.9630981767</v>
      </c>
      <c r="F267">
        <f t="shared" si="48"/>
        <v>32304.081668072798</v>
      </c>
      <c r="G267">
        <f t="shared" si="48"/>
        <v>4039.69175</v>
      </c>
      <c r="H267">
        <f t="shared" si="48"/>
        <v>37190.324500000002</v>
      </c>
      <c r="I267">
        <f t="shared" si="48"/>
        <v>30575.681625000001</v>
      </c>
      <c r="J267">
        <f t="shared" si="50"/>
        <v>734639.3844145016</v>
      </c>
      <c r="N267" t="s">
        <v>129</v>
      </c>
      <c r="O267">
        <v>333506.49166748353</v>
      </c>
      <c r="P267">
        <v>71565.897681852599</v>
      </c>
      <c r="Q267">
        <v>85602.252423915997</v>
      </c>
      <c r="R267">
        <v>139854.9630981767</v>
      </c>
      <c r="S267">
        <v>32304.081668072798</v>
      </c>
      <c r="T267">
        <v>4039.69175</v>
      </c>
      <c r="U267">
        <v>37190.324500000002</v>
      </c>
      <c r="V267">
        <v>30575.681625000001</v>
      </c>
      <c r="W267">
        <f t="shared" si="49"/>
        <v>734639.3844145016</v>
      </c>
    </row>
    <row r="268" spans="1:23" x14ac:dyDescent="0.2">
      <c r="A268" t="s">
        <v>130</v>
      </c>
      <c r="B268">
        <f t="shared" si="48"/>
        <v>477456.7089304261</v>
      </c>
      <c r="C268">
        <f t="shared" si="48"/>
        <v>165130.36292464531</v>
      </c>
      <c r="D268">
        <f t="shared" si="48"/>
        <v>182264.27039855969</v>
      </c>
      <c r="E268">
        <f t="shared" si="48"/>
        <v>321566.82525654498</v>
      </c>
      <c r="F268">
        <f t="shared" si="48"/>
        <v>42757.228657577398</v>
      </c>
      <c r="G268">
        <f t="shared" si="48"/>
        <v>18122.518519657999</v>
      </c>
      <c r="H268">
        <f t="shared" si="48"/>
        <v>180883.095375</v>
      </c>
      <c r="I268">
        <f t="shared" si="48"/>
        <v>129247.302375</v>
      </c>
      <c r="J268">
        <f t="shared" si="50"/>
        <v>1517428.3124374114</v>
      </c>
      <c r="N268" t="s">
        <v>130</v>
      </c>
      <c r="O268">
        <v>477456.7089304261</v>
      </c>
      <c r="P268">
        <v>165130.36292464531</v>
      </c>
      <c r="Q268">
        <v>182264.27039855969</v>
      </c>
      <c r="R268">
        <v>321566.82525654498</v>
      </c>
      <c r="S268">
        <v>42757.228657577398</v>
      </c>
      <c r="T268">
        <v>18122.518519657999</v>
      </c>
      <c r="U268">
        <v>180883.095375</v>
      </c>
      <c r="V268">
        <v>129247.302375</v>
      </c>
      <c r="W268">
        <f t="shared" si="49"/>
        <v>1517428.3124374114</v>
      </c>
    </row>
    <row r="269" spans="1:23" x14ac:dyDescent="0.2">
      <c r="A269" t="s">
        <v>145</v>
      </c>
      <c r="B269">
        <f t="shared" si="48"/>
        <v>1979487.2969070319</v>
      </c>
      <c r="C269">
        <f t="shared" si="48"/>
        <v>554939.84143965284</v>
      </c>
      <c r="D269">
        <f t="shared" si="48"/>
        <v>489630.15754063352</v>
      </c>
      <c r="E269">
        <f t="shared" si="48"/>
        <v>920701.50429294934</v>
      </c>
      <c r="F269">
        <f t="shared" si="48"/>
        <v>178494.59889930621</v>
      </c>
      <c r="G269">
        <f t="shared" si="48"/>
        <v>95673.334388592004</v>
      </c>
      <c r="H269">
        <f t="shared" si="48"/>
        <v>666857.79824999999</v>
      </c>
      <c r="I269">
        <f t="shared" si="48"/>
        <v>317773.43849999999</v>
      </c>
      <c r="J269">
        <f t="shared" si="50"/>
        <v>5203557.9702181658</v>
      </c>
      <c r="N269" t="s">
        <v>145</v>
      </c>
      <c r="O269">
        <v>1979487.2969070319</v>
      </c>
      <c r="P269">
        <v>554939.84143965284</v>
      </c>
      <c r="Q269">
        <v>489630.15754063352</v>
      </c>
      <c r="R269">
        <v>920701.50429294934</v>
      </c>
      <c r="S269">
        <v>178494.59889930621</v>
      </c>
      <c r="T269">
        <v>95673.334388592004</v>
      </c>
      <c r="U269">
        <v>666857.79824999999</v>
      </c>
      <c r="V269">
        <v>317773.43849999999</v>
      </c>
      <c r="W269">
        <f t="shared" si="49"/>
        <v>5203557.9702181658</v>
      </c>
    </row>
    <row r="271" spans="1:23" x14ac:dyDescent="0.2">
      <c r="A271" t="s">
        <v>71</v>
      </c>
      <c r="B271" t="s">
        <v>58</v>
      </c>
      <c r="C271" t="s">
        <v>61</v>
      </c>
      <c r="D271" t="s">
        <v>62</v>
      </c>
      <c r="N271" t="s">
        <v>71</v>
      </c>
      <c r="O271" t="s">
        <v>58</v>
      </c>
      <c r="P271" t="s">
        <v>61</v>
      </c>
      <c r="Q271" t="s">
        <v>62</v>
      </c>
    </row>
    <row r="272" spans="1:23" x14ac:dyDescent="0.2">
      <c r="A272" t="s">
        <v>44</v>
      </c>
      <c r="B272" t="s">
        <v>296</v>
      </c>
      <c r="C272" t="s">
        <v>297</v>
      </c>
      <c r="D272" t="s">
        <v>298</v>
      </c>
      <c r="E272" t="s">
        <v>299</v>
      </c>
      <c r="F272" t="s">
        <v>27</v>
      </c>
      <c r="N272" t="s">
        <v>44</v>
      </c>
      <c r="O272" t="s">
        <v>296</v>
      </c>
      <c r="P272" t="s">
        <v>297</v>
      </c>
      <c r="Q272" t="s">
        <v>298</v>
      </c>
      <c r="R272" t="s">
        <v>299</v>
      </c>
      <c r="S272" t="s">
        <v>27</v>
      </c>
    </row>
    <row r="273" spans="1:19" x14ac:dyDescent="0.2">
      <c r="A273" t="s">
        <v>210</v>
      </c>
      <c r="B273">
        <f t="shared" ref="B273:F280" si="51">O273*$B$1</f>
        <v>24441.527850340499</v>
      </c>
      <c r="C273">
        <f t="shared" si="51"/>
        <v>463402.64472175849</v>
      </c>
      <c r="D273">
        <f t="shared" si="51"/>
        <v>336941.63324355509</v>
      </c>
      <c r="E273">
        <f t="shared" si="51"/>
        <v>1085021.8142721539</v>
      </c>
      <c r="F273">
        <f t="shared" si="51"/>
        <v>1909807.620087808</v>
      </c>
      <c r="N273" t="s">
        <v>210</v>
      </c>
      <c r="O273">
        <v>24441.527850340499</v>
      </c>
      <c r="P273">
        <v>463402.64472175849</v>
      </c>
      <c r="Q273">
        <v>336941.63324355509</v>
      </c>
      <c r="R273">
        <v>1085021.8142721539</v>
      </c>
      <c r="S273">
        <f>SUM(O273:R273)</f>
        <v>1909807.620087808</v>
      </c>
    </row>
    <row r="274" spans="1:19" x14ac:dyDescent="0.2">
      <c r="A274" t="s">
        <v>211</v>
      </c>
      <c r="B274">
        <f t="shared" si="51"/>
        <v>35198.674674611997</v>
      </c>
      <c r="C274">
        <f t="shared" si="51"/>
        <v>131492.3174612383</v>
      </c>
      <c r="D274">
        <f t="shared" si="51"/>
        <v>105976.9441172216</v>
      </c>
      <c r="E274">
        <f t="shared" si="51"/>
        <v>420631.46317895502</v>
      </c>
      <c r="F274">
        <f t="shared" si="51"/>
        <v>693299.3994320269</v>
      </c>
      <c r="N274" t="s">
        <v>211</v>
      </c>
      <c r="O274">
        <v>35198.674674611997</v>
      </c>
      <c r="P274">
        <v>131492.3174612383</v>
      </c>
      <c r="Q274">
        <v>105976.9441172216</v>
      </c>
      <c r="R274">
        <v>420631.46317895502</v>
      </c>
      <c r="S274">
        <f t="shared" ref="S274:S280" si="52">SUM(O274:R274)</f>
        <v>693299.3994320269</v>
      </c>
    </row>
    <row r="275" spans="1:19" x14ac:dyDescent="0.2">
      <c r="A275" t="s">
        <v>212</v>
      </c>
      <c r="B275">
        <f t="shared" si="51"/>
        <v>22744.875177341</v>
      </c>
      <c r="C275">
        <f t="shared" si="51"/>
        <v>197849.29208689419</v>
      </c>
      <c r="D275">
        <f t="shared" si="51"/>
        <v>167691.02174487259</v>
      </c>
      <c r="E275">
        <f t="shared" si="51"/>
        <v>602556.93647489953</v>
      </c>
      <c r="F275">
        <f t="shared" si="51"/>
        <v>990842.12548400729</v>
      </c>
      <c r="N275" t="s">
        <v>212</v>
      </c>
      <c r="O275">
        <v>22744.875177341</v>
      </c>
      <c r="P275">
        <v>197849.29208689419</v>
      </c>
      <c r="Q275">
        <v>167691.02174487259</v>
      </c>
      <c r="R275">
        <v>602556.93647489953</v>
      </c>
      <c r="S275">
        <f t="shared" si="52"/>
        <v>990842.12548400729</v>
      </c>
    </row>
    <row r="276" spans="1:19" x14ac:dyDescent="0.2">
      <c r="A276" t="s">
        <v>36</v>
      </c>
      <c r="B276">
        <f t="shared" si="51"/>
        <v>74841.892746743004</v>
      </c>
      <c r="C276">
        <f t="shared" si="51"/>
        <v>531678.27625737188</v>
      </c>
      <c r="D276">
        <f t="shared" si="51"/>
        <v>266684.16394236672</v>
      </c>
      <c r="E276">
        <f t="shared" si="51"/>
        <v>619809.94295713305</v>
      </c>
      <c r="F276">
        <f t="shared" si="51"/>
        <v>1493014.2759036147</v>
      </c>
      <c r="N276" t="s">
        <v>36</v>
      </c>
      <c r="O276">
        <v>74841.892746743004</v>
      </c>
      <c r="P276">
        <v>531678.27625737188</v>
      </c>
      <c r="Q276">
        <v>266684.16394236672</v>
      </c>
      <c r="R276">
        <v>619809.94295713305</v>
      </c>
      <c r="S276">
        <f t="shared" si="52"/>
        <v>1493014.2759036147</v>
      </c>
    </row>
    <row r="277" spans="1:19" x14ac:dyDescent="0.2">
      <c r="A277" t="s">
        <v>214</v>
      </c>
      <c r="B277">
        <f t="shared" si="51"/>
        <v>95195.978612688705</v>
      </c>
      <c r="C277">
        <f t="shared" si="51"/>
        <v>593723.97342853504</v>
      </c>
      <c r="D277">
        <f t="shared" si="51"/>
        <v>292269.81754428771</v>
      </c>
      <c r="E277">
        <f t="shared" si="51"/>
        <v>703407.01388201083</v>
      </c>
      <c r="F277">
        <f t="shared" si="51"/>
        <v>1684596.7834675224</v>
      </c>
      <c r="N277" t="s">
        <v>214</v>
      </c>
      <c r="O277">
        <v>95195.978612688705</v>
      </c>
      <c r="P277">
        <v>593723.97342853504</v>
      </c>
      <c r="Q277">
        <v>292269.81754428771</v>
      </c>
      <c r="R277">
        <v>703407.01388201083</v>
      </c>
      <c r="S277">
        <f t="shared" si="52"/>
        <v>1684596.7834675224</v>
      </c>
    </row>
    <row r="278" spans="1:19" x14ac:dyDescent="0.2">
      <c r="A278" t="s">
        <v>129</v>
      </c>
      <c r="B278">
        <f t="shared" si="51"/>
        <v>33265.050017771697</v>
      </c>
      <c r="C278">
        <f t="shared" si="51"/>
        <v>183110.98485347239</v>
      </c>
      <c r="D278">
        <f t="shared" si="51"/>
        <v>130622.12953769461</v>
      </c>
      <c r="E278">
        <f t="shared" si="51"/>
        <v>335235.45814702113</v>
      </c>
      <c r="F278">
        <f t="shared" si="51"/>
        <v>682233.62255595974</v>
      </c>
      <c r="N278" t="s">
        <v>129</v>
      </c>
      <c r="O278">
        <v>33265.050017771697</v>
      </c>
      <c r="P278">
        <v>183110.98485347239</v>
      </c>
      <c r="Q278">
        <v>130622.12953769461</v>
      </c>
      <c r="R278">
        <v>335235.45814702113</v>
      </c>
      <c r="S278">
        <f t="shared" si="52"/>
        <v>682233.62255595974</v>
      </c>
    </row>
    <row r="279" spans="1:19" x14ac:dyDescent="0.2">
      <c r="A279" t="s">
        <v>130</v>
      </c>
      <c r="B279">
        <f t="shared" si="51"/>
        <v>45376.215729651798</v>
      </c>
      <c r="C279">
        <f t="shared" si="51"/>
        <v>307818.18251446879</v>
      </c>
      <c r="D279">
        <f t="shared" si="51"/>
        <v>292264.27189932333</v>
      </c>
      <c r="E279">
        <f t="shared" si="51"/>
        <v>744805.6503262691</v>
      </c>
      <c r="F279">
        <f t="shared" si="51"/>
        <v>1390264.3204697128</v>
      </c>
      <c r="N279" t="s">
        <v>130</v>
      </c>
      <c r="O279">
        <v>45376.215729651798</v>
      </c>
      <c r="P279">
        <v>307818.18251446879</v>
      </c>
      <c r="Q279">
        <v>292264.27189932333</v>
      </c>
      <c r="R279">
        <v>744805.6503262691</v>
      </c>
      <c r="S279">
        <f t="shared" si="52"/>
        <v>1390264.3204697128</v>
      </c>
    </row>
    <row r="280" spans="1:19" x14ac:dyDescent="0.2">
      <c r="A280" t="s">
        <v>145</v>
      </c>
      <c r="B280">
        <f t="shared" si="51"/>
        <v>170815.21336043009</v>
      </c>
      <c r="C280">
        <f t="shared" si="51"/>
        <v>1207930.8674529435</v>
      </c>
      <c r="D280">
        <f t="shared" si="51"/>
        <v>904055.37830845686</v>
      </c>
      <c r="E280">
        <f t="shared" si="51"/>
        <v>2520544.370368056</v>
      </c>
      <c r="F280">
        <f t="shared" si="51"/>
        <v>4803345.8294898868</v>
      </c>
      <c r="N280" t="s">
        <v>145</v>
      </c>
      <c r="O280">
        <v>170815.21336043009</v>
      </c>
      <c r="P280">
        <v>1207930.8674529435</v>
      </c>
      <c r="Q280">
        <v>904055.37830845686</v>
      </c>
      <c r="R280">
        <v>2520544.370368056</v>
      </c>
      <c r="S280">
        <f t="shared" si="52"/>
        <v>4803345.8294898868</v>
      </c>
    </row>
    <row r="282" spans="1:19" x14ac:dyDescent="0.2">
      <c r="A282" t="s">
        <v>71</v>
      </c>
      <c r="B282" t="s">
        <v>58</v>
      </c>
      <c r="C282" t="s">
        <v>279</v>
      </c>
      <c r="D282" t="s">
        <v>280</v>
      </c>
      <c r="N282" t="s">
        <v>71</v>
      </c>
      <c r="O282" t="s">
        <v>58</v>
      </c>
      <c r="P282" t="s">
        <v>279</v>
      </c>
      <c r="Q282" t="s">
        <v>280</v>
      </c>
    </row>
    <row r="283" spans="1:19" x14ac:dyDescent="0.2">
      <c r="A283" t="s">
        <v>44</v>
      </c>
      <c r="B283" t="s">
        <v>98</v>
      </c>
      <c r="C283" t="s">
        <v>281</v>
      </c>
      <c r="D283" t="s">
        <v>282</v>
      </c>
      <c r="E283" t="s">
        <v>283</v>
      </c>
      <c r="F283" t="s">
        <v>27</v>
      </c>
      <c r="N283" t="s">
        <v>44</v>
      </c>
      <c r="O283" t="s">
        <v>98</v>
      </c>
      <c r="P283" t="s">
        <v>281</v>
      </c>
      <c r="Q283" t="s">
        <v>282</v>
      </c>
      <c r="R283" t="s">
        <v>283</v>
      </c>
      <c r="S283" t="s">
        <v>27</v>
      </c>
    </row>
    <row r="284" spans="1:19" x14ac:dyDescent="0.2">
      <c r="A284" t="s">
        <v>210</v>
      </c>
      <c r="B284">
        <f t="shared" ref="B284:F291" si="53">O284*$B$1</f>
        <v>69710.642980502103</v>
      </c>
      <c r="C284">
        <f t="shared" si="53"/>
        <v>459403.7797654898</v>
      </c>
      <c r="D284">
        <f t="shared" si="53"/>
        <v>1097125.4103799304</v>
      </c>
      <c r="E284">
        <f t="shared" si="53"/>
        <v>413423.37568350881</v>
      </c>
      <c r="F284">
        <f t="shared" si="53"/>
        <v>2039663.2088094312</v>
      </c>
      <c r="N284" t="s">
        <v>210</v>
      </c>
      <c r="O284">
        <v>69710.642980502103</v>
      </c>
      <c r="P284">
        <v>459403.7797654898</v>
      </c>
      <c r="Q284">
        <v>1097125.4103799304</v>
      </c>
      <c r="R284">
        <v>413423.37568350881</v>
      </c>
      <c r="S284">
        <f>SUM(O284:R284)</f>
        <v>2039663.2088094312</v>
      </c>
    </row>
    <row r="285" spans="1:19" x14ac:dyDescent="0.2">
      <c r="A285" t="s">
        <v>211</v>
      </c>
      <c r="B285">
        <f t="shared" si="53"/>
        <v>42064.185383719203</v>
      </c>
      <c r="C285">
        <f t="shared" si="53"/>
        <v>195692.6687640514</v>
      </c>
      <c r="D285">
        <f t="shared" si="53"/>
        <v>388079.2838600105</v>
      </c>
      <c r="E285">
        <f t="shared" si="53"/>
        <v>144709.95359997099</v>
      </c>
      <c r="F285">
        <f t="shared" si="53"/>
        <v>770546.09160775214</v>
      </c>
      <c r="N285" t="s">
        <v>211</v>
      </c>
      <c r="O285">
        <v>42064.185383719203</v>
      </c>
      <c r="P285">
        <v>195692.6687640514</v>
      </c>
      <c r="Q285">
        <v>388079.2838600105</v>
      </c>
      <c r="R285">
        <v>144709.95359997099</v>
      </c>
      <c r="S285">
        <f t="shared" ref="S285:S291" si="54">SUM(O285:R285)</f>
        <v>770546.09160775214</v>
      </c>
    </row>
    <row r="286" spans="1:19" x14ac:dyDescent="0.2">
      <c r="A286" t="s">
        <v>212</v>
      </c>
      <c r="B286">
        <f t="shared" si="53"/>
        <v>4474.8467739469997</v>
      </c>
      <c r="C286">
        <f t="shared" si="53"/>
        <v>261579.80422150681</v>
      </c>
      <c r="D286">
        <f t="shared" si="53"/>
        <v>632055.72079324198</v>
      </c>
      <c r="E286">
        <f t="shared" si="53"/>
        <v>162152.16702998709</v>
      </c>
      <c r="F286">
        <f t="shared" si="53"/>
        <v>1060262.538818683</v>
      </c>
      <c r="N286" t="s">
        <v>212</v>
      </c>
      <c r="O286">
        <v>4474.8467739469997</v>
      </c>
      <c r="P286">
        <v>261579.80422150681</v>
      </c>
      <c r="Q286">
        <v>632055.72079324198</v>
      </c>
      <c r="R286">
        <v>162152.16702998709</v>
      </c>
      <c r="S286">
        <f t="shared" si="54"/>
        <v>1060262.538818683</v>
      </c>
    </row>
    <row r="287" spans="1:19" x14ac:dyDescent="0.2">
      <c r="A287" t="s">
        <v>36</v>
      </c>
      <c r="B287">
        <f t="shared" si="53"/>
        <v>90981.475301159298</v>
      </c>
      <c r="C287">
        <f t="shared" si="53"/>
        <v>359447.39577493642</v>
      </c>
      <c r="D287">
        <f t="shared" si="53"/>
        <v>895153.09796767507</v>
      </c>
      <c r="E287">
        <f t="shared" si="53"/>
        <v>327525.65710725798</v>
      </c>
      <c r="F287">
        <f t="shared" si="53"/>
        <v>1673107.6261510288</v>
      </c>
      <c r="N287" t="s">
        <v>36</v>
      </c>
      <c r="O287">
        <v>90981.475301159298</v>
      </c>
      <c r="P287">
        <v>359447.39577493642</v>
      </c>
      <c r="Q287">
        <v>895153.09796767507</v>
      </c>
      <c r="R287">
        <v>327525.65710725798</v>
      </c>
      <c r="S287">
        <f t="shared" si="54"/>
        <v>1673107.6261510288</v>
      </c>
    </row>
    <row r="288" spans="1:19" x14ac:dyDescent="0.2">
      <c r="A288" t="s">
        <v>214</v>
      </c>
      <c r="B288">
        <f t="shared" si="53"/>
        <v>134546.87599288599</v>
      </c>
      <c r="C288">
        <f t="shared" si="53"/>
        <v>414654.51983550051</v>
      </c>
      <c r="D288">
        <f t="shared" si="53"/>
        <v>980129.28183632134</v>
      </c>
      <c r="E288">
        <f t="shared" si="53"/>
        <v>318522.53179531387</v>
      </c>
      <c r="F288">
        <f t="shared" si="53"/>
        <v>1847853.2094600217</v>
      </c>
      <c r="N288" t="s">
        <v>214</v>
      </c>
      <c r="O288">
        <v>134546.87599288599</v>
      </c>
      <c r="P288">
        <v>414654.51983550051</v>
      </c>
      <c r="Q288">
        <v>980129.28183632134</v>
      </c>
      <c r="R288">
        <v>318522.53179531387</v>
      </c>
      <c r="S288">
        <f t="shared" si="54"/>
        <v>1847853.2094600217</v>
      </c>
    </row>
    <row r="289" spans="1:22" x14ac:dyDescent="0.2">
      <c r="A289" t="s">
        <v>129</v>
      </c>
      <c r="B289">
        <f t="shared" si="53"/>
        <v>60133.956797160201</v>
      </c>
      <c r="C289">
        <f t="shared" si="53"/>
        <v>186032.51502084109</v>
      </c>
      <c r="D289">
        <f t="shared" si="53"/>
        <v>376109.7576702119</v>
      </c>
      <c r="E289">
        <f t="shared" si="53"/>
        <v>112363.15492628841</v>
      </c>
      <c r="F289">
        <f t="shared" si="53"/>
        <v>734639.3844145016</v>
      </c>
      <c r="N289" t="s">
        <v>129</v>
      </c>
      <c r="O289">
        <v>60133.956797160201</v>
      </c>
      <c r="P289">
        <v>186032.51502084109</v>
      </c>
      <c r="Q289">
        <v>376109.7576702119</v>
      </c>
      <c r="R289">
        <v>112363.15492628841</v>
      </c>
      <c r="S289">
        <f t="shared" si="54"/>
        <v>734639.3844145016</v>
      </c>
    </row>
    <row r="290" spans="1:22" x14ac:dyDescent="0.2">
      <c r="A290" t="s">
        <v>130</v>
      </c>
      <c r="B290">
        <f t="shared" si="53"/>
        <v>54164.302708334799</v>
      </c>
      <c r="C290">
        <f t="shared" si="53"/>
        <v>291463.14528154279</v>
      </c>
      <c r="D290">
        <f t="shared" si="53"/>
        <v>933199.15985498601</v>
      </c>
      <c r="E290">
        <f t="shared" si="53"/>
        <v>238601.7045925479</v>
      </c>
      <c r="F290">
        <f t="shared" si="53"/>
        <v>1517428.3124374114</v>
      </c>
      <c r="N290" t="s">
        <v>130</v>
      </c>
      <c r="O290">
        <v>54164.302708334799</v>
      </c>
      <c r="P290">
        <v>291463.14528154279</v>
      </c>
      <c r="Q290">
        <v>933199.15985498601</v>
      </c>
      <c r="R290">
        <v>238601.7045925479</v>
      </c>
      <c r="S290">
        <f t="shared" si="54"/>
        <v>1517428.3124374114</v>
      </c>
    </row>
    <row r="291" spans="1:22" x14ac:dyDescent="0.2">
      <c r="A291" t="s">
        <v>145</v>
      </c>
      <c r="B291">
        <f t="shared" si="53"/>
        <v>243684.34360284891</v>
      </c>
      <c r="C291">
        <f t="shared" si="53"/>
        <v>1227753.0438911165</v>
      </c>
      <c r="D291">
        <f t="shared" si="53"/>
        <v>2778859.3833208419</v>
      </c>
      <c r="E291">
        <f t="shared" si="53"/>
        <v>953261.19940335816</v>
      </c>
      <c r="F291">
        <f t="shared" si="53"/>
        <v>5203557.9702181648</v>
      </c>
      <c r="N291" t="s">
        <v>145</v>
      </c>
      <c r="O291">
        <v>243684.34360284891</v>
      </c>
      <c r="P291">
        <v>1227753.0438911165</v>
      </c>
      <c r="Q291">
        <v>2778859.3833208419</v>
      </c>
      <c r="R291">
        <v>953261.19940335816</v>
      </c>
      <c r="S291">
        <f t="shared" si="54"/>
        <v>5203557.9702181648</v>
      </c>
    </row>
    <row r="293" spans="1:22" x14ac:dyDescent="0.2">
      <c r="A293" t="s">
        <v>71</v>
      </c>
      <c r="B293" t="s">
        <v>58</v>
      </c>
      <c r="C293" t="s">
        <v>63</v>
      </c>
      <c r="D293" t="s">
        <v>64</v>
      </c>
      <c r="N293" t="s">
        <v>71</v>
      </c>
      <c r="O293" t="s">
        <v>58</v>
      </c>
      <c r="P293" t="s">
        <v>63</v>
      </c>
      <c r="Q293" t="s">
        <v>64</v>
      </c>
    </row>
    <row r="294" spans="1:22" x14ac:dyDescent="0.2">
      <c r="A294" t="s">
        <v>44</v>
      </c>
      <c r="B294" t="s">
        <v>10862</v>
      </c>
      <c r="C294" t="s">
        <v>10863</v>
      </c>
      <c r="D294" t="s">
        <v>10864</v>
      </c>
      <c r="E294" t="s">
        <v>10865</v>
      </c>
      <c r="F294" t="s">
        <v>1689</v>
      </c>
      <c r="G294" t="s">
        <v>10866</v>
      </c>
      <c r="H294" t="s">
        <v>10867</v>
      </c>
      <c r="I294" t="s">
        <v>221</v>
      </c>
      <c r="N294" t="s">
        <v>44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>
        <v>7</v>
      </c>
      <c r="V294" t="s">
        <v>27</v>
      </c>
    </row>
    <row r="295" spans="1:22" x14ac:dyDescent="0.2">
      <c r="A295" t="s">
        <v>210</v>
      </c>
      <c r="B295">
        <f t="shared" ref="B295:F302" si="55">O295*$B$1</f>
        <v>21752.4707631565</v>
      </c>
      <c r="C295">
        <f t="shared" si="55"/>
        <v>12992.8145610633</v>
      </c>
      <c r="D295">
        <f t="shared" si="55"/>
        <v>16397.612045899299</v>
      </c>
      <c r="E295">
        <f t="shared" si="55"/>
        <v>20134.3276559142</v>
      </c>
      <c r="F295">
        <f t="shared" si="55"/>
        <v>518392.5958899082</v>
      </c>
      <c r="G295">
        <f t="shared" ref="G295:G302" si="56">T295*$B$1</f>
        <v>129164.4074526172</v>
      </c>
      <c r="H295">
        <f t="shared" ref="H295:I302" si="57">U295*$B$1</f>
        <v>1320828.9804408725</v>
      </c>
      <c r="I295">
        <f t="shared" si="57"/>
        <v>2039663.2088094312</v>
      </c>
      <c r="N295" t="s">
        <v>210</v>
      </c>
      <c r="O295">
        <v>21752.4707631565</v>
      </c>
      <c r="P295">
        <v>12992.8145610633</v>
      </c>
      <c r="Q295">
        <v>16397.612045899299</v>
      </c>
      <c r="R295">
        <v>20134.3276559142</v>
      </c>
      <c r="S295">
        <v>518392.5958899082</v>
      </c>
      <c r="T295">
        <v>129164.4074526172</v>
      </c>
      <c r="U295">
        <v>1320828.9804408725</v>
      </c>
      <c r="V295">
        <f>SUM(O295:U295)</f>
        <v>2039663.2088094312</v>
      </c>
    </row>
    <row r="296" spans="1:22" x14ac:dyDescent="0.2">
      <c r="A296" t="s">
        <v>211</v>
      </c>
      <c r="B296">
        <f t="shared" si="55"/>
        <v>576.5972756717</v>
      </c>
      <c r="C296">
        <f t="shared" si="55"/>
        <v>288.88262341289999</v>
      </c>
      <c r="D296">
        <f t="shared" si="55"/>
        <v>2781.1665910800002</v>
      </c>
      <c r="E296">
        <f t="shared" si="55"/>
        <v>628.82178072800002</v>
      </c>
      <c r="F296">
        <f t="shared" si="55"/>
        <v>168318.44194933481</v>
      </c>
      <c r="G296">
        <f t="shared" si="56"/>
        <v>5968.3407979757003</v>
      </c>
      <c r="H296">
        <f t="shared" si="57"/>
        <v>591983.84058954904</v>
      </c>
      <c r="I296">
        <f t="shared" si="57"/>
        <v>770546.09160775214</v>
      </c>
      <c r="N296" t="s">
        <v>211</v>
      </c>
      <c r="O296">
        <v>576.5972756717</v>
      </c>
      <c r="P296">
        <v>288.88262341289999</v>
      </c>
      <c r="Q296">
        <v>2781.1665910800002</v>
      </c>
      <c r="R296">
        <v>628.82178072800002</v>
      </c>
      <c r="S296">
        <v>168318.44194933481</v>
      </c>
      <c r="T296">
        <v>5968.3407979757003</v>
      </c>
      <c r="U296">
        <v>591983.84058954904</v>
      </c>
      <c r="V296">
        <f t="shared" ref="V296:V302" si="58">SUM(O296:U296)</f>
        <v>770546.09160775214</v>
      </c>
    </row>
    <row r="297" spans="1:22" x14ac:dyDescent="0.2">
      <c r="A297" t="s">
        <v>212</v>
      </c>
      <c r="B297">
        <f t="shared" si="55"/>
        <v>7773.3202774525998</v>
      </c>
      <c r="C297">
        <f t="shared" si="55"/>
        <v>3531.3441460960003</v>
      </c>
      <c r="D297">
        <f t="shared" si="55"/>
        <v>9472.9019194639004</v>
      </c>
      <c r="E297">
        <f t="shared" si="55"/>
        <v>11242.8852523923</v>
      </c>
      <c r="F297">
        <f t="shared" si="55"/>
        <v>197186.31919485371</v>
      </c>
      <c r="G297">
        <f t="shared" si="56"/>
        <v>18842.429725858201</v>
      </c>
      <c r="H297">
        <f t="shared" si="57"/>
        <v>812213.3383025662</v>
      </c>
      <c r="I297">
        <f t="shared" si="57"/>
        <v>1060262.538818683</v>
      </c>
      <c r="N297" t="s">
        <v>212</v>
      </c>
      <c r="O297">
        <v>7773.3202774525998</v>
      </c>
      <c r="P297">
        <v>3531.3441460960003</v>
      </c>
      <c r="Q297">
        <v>9472.9019194639004</v>
      </c>
      <c r="R297">
        <v>11242.8852523923</v>
      </c>
      <c r="S297">
        <v>197186.31919485371</v>
      </c>
      <c r="T297">
        <v>18842.429725858201</v>
      </c>
      <c r="U297">
        <v>812213.3383025662</v>
      </c>
      <c r="V297">
        <f t="shared" si="58"/>
        <v>1060262.538818683</v>
      </c>
    </row>
    <row r="298" spans="1:22" x14ac:dyDescent="0.2">
      <c r="A298" t="s">
        <v>36</v>
      </c>
      <c r="B298">
        <f t="shared" si="55"/>
        <v>7741.5868231114</v>
      </c>
      <c r="C298">
        <f t="shared" si="55"/>
        <v>4929.6006193481999</v>
      </c>
      <c r="D298">
        <f t="shared" si="55"/>
        <v>9292.2988034429</v>
      </c>
      <c r="E298">
        <f t="shared" si="55"/>
        <v>11206.624978321201</v>
      </c>
      <c r="F298">
        <f t="shared" si="55"/>
        <v>308344.4441172381</v>
      </c>
      <c r="G298">
        <f t="shared" si="56"/>
        <v>51091.383328445801</v>
      </c>
      <c r="H298">
        <f t="shared" si="57"/>
        <v>1280501.6874811212</v>
      </c>
      <c r="I298">
        <f t="shared" si="57"/>
        <v>1673107.6261510288</v>
      </c>
      <c r="N298" t="s">
        <v>36</v>
      </c>
      <c r="O298">
        <v>7741.5868231114</v>
      </c>
      <c r="P298">
        <v>4929.6006193481999</v>
      </c>
      <c r="Q298">
        <v>9292.2988034429</v>
      </c>
      <c r="R298">
        <v>11206.624978321201</v>
      </c>
      <c r="S298">
        <v>308344.4441172381</v>
      </c>
      <c r="T298">
        <v>51091.383328445801</v>
      </c>
      <c r="U298">
        <v>1280501.6874811212</v>
      </c>
      <c r="V298">
        <f t="shared" si="58"/>
        <v>1673107.6261510288</v>
      </c>
    </row>
    <row r="299" spans="1:22" x14ac:dyDescent="0.2">
      <c r="A299" t="s">
        <v>214</v>
      </c>
      <c r="B299">
        <f t="shared" si="55"/>
        <v>22924.487973251398</v>
      </c>
      <c r="C299">
        <f t="shared" si="55"/>
        <v>8486.642462080601</v>
      </c>
      <c r="D299">
        <f t="shared" si="55"/>
        <v>16687.0051890453</v>
      </c>
      <c r="E299">
        <f t="shared" si="55"/>
        <v>16825.613457015501</v>
      </c>
      <c r="F299">
        <f t="shared" si="55"/>
        <v>331099.53829178849</v>
      </c>
      <c r="G299">
        <f t="shared" si="56"/>
        <v>76484.525358306899</v>
      </c>
      <c r="H299">
        <f t="shared" si="57"/>
        <v>1375345.3967285336</v>
      </c>
      <c r="I299">
        <f t="shared" si="57"/>
        <v>1847853.2094600217</v>
      </c>
      <c r="N299" t="s">
        <v>214</v>
      </c>
      <c r="O299">
        <v>22924.487973251398</v>
      </c>
      <c r="P299">
        <v>8486.642462080601</v>
      </c>
      <c r="Q299">
        <v>16687.0051890453</v>
      </c>
      <c r="R299">
        <v>16825.613457015501</v>
      </c>
      <c r="S299">
        <v>331099.53829178849</v>
      </c>
      <c r="T299">
        <v>76484.525358306899</v>
      </c>
      <c r="U299">
        <v>1375345.3967285336</v>
      </c>
      <c r="V299">
        <f t="shared" si="58"/>
        <v>1847853.2094600217</v>
      </c>
    </row>
    <row r="300" spans="1:22" x14ac:dyDescent="0.2">
      <c r="A300" t="s">
        <v>129</v>
      </c>
      <c r="B300">
        <f t="shared" si="55"/>
        <v>14374.419176408401</v>
      </c>
      <c r="C300">
        <f t="shared" si="55"/>
        <v>5331.079768818</v>
      </c>
      <c r="D300">
        <f t="shared" si="55"/>
        <v>4268.3133874406003</v>
      </c>
      <c r="E300">
        <f t="shared" si="55"/>
        <v>10325.5802015395</v>
      </c>
      <c r="F300">
        <f t="shared" si="55"/>
        <v>164223.54165720049</v>
      </c>
      <c r="G300">
        <f t="shared" si="56"/>
        <v>69275.099663829402</v>
      </c>
      <c r="H300">
        <f t="shared" si="57"/>
        <v>466841.35055926518</v>
      </c>
      <c r="I300">
        <f t="shared" si="57"/>
        <v>734639.38441450149</v>
      </c>
      <c r="N300" t="s">
        <v>129</v>
      </c>
      <c r="O300">
        <v>14374.419176408401</v>
      </c>
      <c r="P300">
        <v>5331.079768818</v>
      </c>
      <c r="Q300">
        <v>4268.3133874406003</v>
      </c>
      <c r="R300">
        <v>10325.5802015395</v>
      </c>
      <c r="S300">
        <v>164223.54165720049</v>
      </c>
      <c r="T300">
        <v>69275.099663829402</v>
      </c>
      <c r="U300">
        <v>466841.35055926518</v>
      </c>
      <c r="V300">
        <f t="shared" si="58"/>
        <v>734639.38441450149</v>
      </c>
    </row>
    <row r="301" spans="1:22" x14ac:dyDescent="0.2">
      <c r="A301" t="s">
        <v>130</v>
      </c>
      <c r="B301">
        <f t="shared" si="55"/>
        <v>12809.1590803612</v>
      </c>
      <c r="C301">
        <f t="shared" si="55"/>
        <v>2226.9290697013998</v>
      </c>
      <c r="D301">
        <f t="shared" si="55"/>
        <v>6352.6620840768001</v>
      </c>
      <c r="E301">
        <f t="shared" si="55"/>
        <v>2707.5866659713001</v>
      </c>
      <c r="F301">
        <f t="shared" si="55"/>
        <v>360851.12634814228</v>
      </c>
      <c r="G301">
        <f t="shared" si="56"/>
        <v>59048.497195055097</v>
      </c>
      <c r="H301">
        <f t="shared" si="57"/>
        <v>1073432.3519941035</v>
      </c>
      <c r="I301">
        <f t="shared" si="57"/>
        <v>1517428.3124374116</v>
      </c>
      <c r="N301" t="s">
        <v>130</v>
      </c>
      <c r="O301">
        <v>12809.1590803612</v>
      </c>
      <c r="P301">
        <v>2226.9290697013998</v>
      </c>
      <c r="Q301">
        <v>6352.6620840768001</v>
      </c>
      <c r="R301">
        <v>2707.5866659713001</v>
      </c>
      <c r="S301">
        <v>360851.12634814228</v>
      </c>
      <c r="T301">
        <v>59048.497195055097</v>
      </c>
      <c r="U301">
        <v>1073432.3519941035</v>
      </c>
      <c r="V301">
        <f t="shared" si="58"/>
        <v>1517428.3124374116</v>
      </c>
    </row>
    <row r="302" spans="1:22" x14ac:dyDescent="0.2">
      <c r="A302" t="s">
        <v>145</v>
      </c>
      <c r="B302">
        <f t="shared" si="55"/>
        <v>60333.023526005003</v>
      </c>
      <c r="C302">
        <f t="shared" si="55"/>
        <v>23981.0489552701</v>
      </c>
      <c r="D302">
        <f t="shared" si="55"/>
        <v>85128.931212627896</v>
      </c>
      <c r="E302">
        <f t="shared" si="55"/>
        <v>44939.104143110802</v>
      </c>
      <c r="F302">
        <f t="shared" si="55"/>
        <v>1016181.2412276367</v>
      </c>
      <c r="G302">
        <f t="shared" si="56"/>
        <v>270813.39192327787</v>
      </c>
      <c r="H302">
        <f t="shared" si="57"/>
        <v>3702181.2292302372</v>
      </c>
      <c r="I302">
        <f t="shared" si="57"/>
        <v>5203557.9702181658</v>
      </c>
      <c r="N302" t="s">
        <v>145</v>
      </c>
      <c r="O302">
        <v>60333.023526005003</v>
      </c>
      <c r="P302">
        <v>23981.0489552701</v>
      </c>
      <c r="Q302">
        <v>85128.931212627896</v>
      </c>
      <c r="R302">
        <v>44939.104143110802</v>
      </c>
      <c r="S302">
        <v>1016181.2412276367</v>
      </c>
      <c r="T302">
        <v>270813.39192327787</v>
      </c>
      <c r="U302">
        <v>3702181.2292302372</v>
      </c>
      <c r="V302">
        <f t="shared" si="58"/>
        <v>5203557.9702181658</v>
      </c>
    </row>
    <row r="304" spans="1:22" x14ac:dyDescent="0.2">
      <c r="A304" t="s">
        <v>72</v>
      </c>
      <c r="B304" t="s">
        <v>34</v>
      </c>
      <c r="C304" t="s">
        <v>35</v>
      </c>
      <c r="N304" t="s">
        <v>72</v>
      </c>
      <c r="O304" t="s">
        <v>34</v>
      </c>
      <c r="P304" t="s">
        <v>35</v>
      </c>
    </row>
    <row r="305" spans="1:15" x14ac:dyDescent="0.2">
      <c r="A305" t="s">
        <v>73</v>
      </c>
      <c r="B305" t="s">
        <v>27</v>
      </c>
      <c r="N305" t="s">
        <v>73</v>
      </c>
      <c r="O305" t="s">
        <v>27</v>
      </c>
    </row>
    <row r="306" spans="1:15" x14ac:dyDescent="0.2">
      <c r="A306" t="s">
        <v>21</v>
      </c>
      <c r="B306">
        <f t="shared" ref="B306:B313" si="59">O306*$B$1</f>
        <v>1238555.2527999999</v>
      </c>
      <c r="N306" t="s">
        <v>21</v>
      </c>
      <c r="O306">
        <v>1238555.2527999999</v>
      </c>
    </row>
    <row r="307" spans="1:15" x14ac:dyDescent="0.2">
      <c r="A307" t="s">
        <v>22</v>
      </c>
      <c r="B307">
        <f t="shared" si="59"/>
        <v>305232.84169999999</v>
      </c>
      <c r="N307" t="s">
        <v>22</v>
      </c>
      <c r="O307">
        <v>305232.84169999999</v>
      </c>
    </row>
    <row r="308" spans="1:15" x14ac:dyDescent="0.2">
      <c r="A308" t="s">
        <v>148</v>
      </c>
      <c r="B308">
        <f t="shared" si="59"/>
        <v>342741.66269999999</v>
      </c>
      <c r="N308" t="s">
        <v>148</v>
      </c>
      <c r="O308">
        <v>342741.66269999999</v>
      </c>
    </row>
    <row r="309" spans="1:15" x14ac:dyDescent="0.2">
      <c r="A309" t="s">
        <v>243</v>
      </c>
      <c r="B309">
        <f t="shared" si="59"/>
        <v>533826.13100000005</v>
      </c>
      <c r="N309" t="s">
        <v>243</v>
      </c>
      <c r="O309">
        <v>533826.13100000005</v>
      </c>
    </row>
    <row r="310" spans="1:15" x14ac:dyDescent="0.2">
      <c r="A310" t="s">
        <v>23</v>
      </c>
      <c r="B310">
        <f t="shared" si="59"/>
        <v>104133.0724</v>
      </c>
      <c r="N310" t="s">
        <v>23</v>
      </c>
      <c r="O310">
        <v>104133.0724</v>
      </c>
    </row>
    <row r="311" spans="1:15" x14ac:dyDescent="0.2">
      <c r="A311" t="s">
        <v>24</v>
      </c>
      <c r="B311">
        <f t="shared" si="59"/>
        <v>70487.777700000006</v>
      </c>
      <c r="N311" t="s">
        <v>24</v>
      </c>
      <c r="O311">
        <v>70487.777700000006</v>
      </c>
    </row>
    <row r="312" spans="1:15" x14ac:dyDescent="0.2">
      <c r="A312" t="s">
        <v>25</v>
      </c>
      <c r="B312">
        <f t="shared" si="59"/>
        <v>455659.5257</v>
      </c>
      <c r="N312" t="s">
        <v>25</v>
      </c>
      <c r="O312">
        <v>455659.5257</v>
      </c>
    </row>
    <row r="313" spans="1:15" x14ac:dyDescent="0.2">
      <c r="A313" t="s">
        <v>26</v>
      </c>
      <c r="B313">
        <f t="shared" si="59"/>
        <v>242277.1568</v>
      </c>
      <c r="N313" t="s">
        <v>26</v>
      </c>
      <c r="O313">
        <v>242277.1568</v>
      </c>
    </row>
    <row r="315" spans="1:15" x14ac:dyDescent="0.2">
      <c r="A315" t="s">
        <v>72</v>
      </c>
      <c r="B315" t="s">
        <v>74</v>
      </c>
      <c r="N315" t="s">
        <v>72</v>
      </c>
      <c r="O315" t="s">
        <v>74</v>
      </c>
    </row>
    <row r="316" spans="1:15" x14ac:dyDescent="0.2">
      <c r="A316" t="s">
        <v>75</v>
      </c>
      <c r="B316" t="s">
        <v>27</v>
      </c>
      <c r="N316" t="s">
        <v>75</v>
      </c>
      <c r="O316" t="s">
        <v>27</v>
      </c>
    </row>
    <row r="317" spans="1:15" x14ac:dyDescent="0.2">
      <c r="A317" t="s">
        <v>296</v>
      </c>
      <c r="B317">
        <f>O317*$B$1</f>
        <v>109619.83719999999</v>
      </c>
      <c r="N317" t="s">
        <v>296</v>
      </c>
      <c r="O317" s="104">
        <v>109619.83719999999</v>
      </c>
    </row>
    <row r="318" spans="1:15" x14ac:dyDescent="0.2">
      <c r="A318" t="s">
        <v>297</v>
      </c>
      <c r="B318">
        <f>O318*$B$1</f>
        <v>777862.39379999996</v>
      </c>
      <c r="N318" t="s">
        <v>297</v>
      </c>
      <c r="O318" s="104">
        <v>777862.39379999996</v>
      </c>
    </row>
    <row r="319" spans="1:15" x14ac:dyDescent="0.2">
      <c r="A319" t="s">
        <v>298</v>
      </c>
      <c r="B319">
        <f>O319*$B$1</f>
        <v>552181.23010000004</v>
      </c>
      <c r="N319" t="s">
        <v>298</v>
      </c>
      <c r="O319" s="104">
        <v>552181.23010000004</v>
      </c>
    </row>
    <row r="320" spans="1:15" x14ac:dyDescent="0.2">
      <c r="A320" t="s">
        <v>299</v>
      </c>
      <c r="B320">
        <f>O320*$B$1</f>
        <v>1584664.6214999999</v>
      </c>
      <c r="N320" t="s">
        <v>299</v>
      </c>
      <c r="O320" s="104">
        <v>1584664.6214999999</v>
      </c>
    </row>
    <row r="322" spans="1:16" x14ac:dyDescent="0.2">
      <c r="A322" t="s">
        <v>72</v>
      </c>
      <c r="B322" t="s">
        <v>284</v>
      </c>
      <c r="C322" t="s">
        <v>285</v>
      </c>
      <c r="N322" t="s">
        <v>72</v>
      </c>
      <c r="O322" t="s">
        <v>284</v>
      </c>
      <c r="P322" t="s">
        <v>285</v>
      </c>
    </row>
    <row r="323" spans="1:16" x14ac:dyDescent="0.2">
      <c r="A323" t="s">
        <v>286</v>
      </c>
      <c r="B323" t="s">
        <v>27</v>
      </c>
      <c r="N323" t="s">
        <v>286</v>
      </c>
      <c r="O323" t="s">
        <v>27</v>
      </c>
    </row>
    <row r="324" spans="1:16" x14ac:dyDescent="0.2">
      <c r="A324" t="s">
        <v>98</v>
      </c>
      <c r="B324">
        <f>O324*$B$1</f>
        <v>163786.68119999999</v>
      </c>
      <c r="N324" t="s">
        <v>98</v>
      </c>
      <c r="O324" s="104">
        <v>163786.68119999999</v>
      </c>
    </row>
    <row r="325" spans="1:16" x14ac:dyDescent="0.2">
      <c r="A325" t="s">
        <v>281</v>
      </c>
      <c r="B325">
        <f>O325*$B$1</f>
        <v>820882.0037</v>
      </c>
      <c r="N325" t="s">
        <v>281</v>
      </c>
      <c r="O325" s="104">
        <v>820882.0037</v>
      </c>
    </row>
    <row r="326" spans="1:16" x14ac:dyDescent="0.2">
      <c r="A326" t="s">
        <v>282</v>
      </c>
      <c r="B326">
        <f>O326*$B$1</f>
        <v>1679045.4517000001</v>
      </c>
      <c r="N326" t="s">
        <v>282</v>
      </c>
      <c r="O326" s="104">
        <v>1679045.4517000001</v>
      </c>
    </row>
    <row r="327" spans="1:16" x14ac:dyDescent="0.2">
      <c r="A327" t="s">
        <v>283</v>
      </c>
      <c r="B327">
        <f>O327*$B$1</f>
        <v>629199.28419999999</v>
      </c>
      <c r="N327" t="s">
        <v>283</v>
      </c>
      <c r="O327" s="104">
        <v>629199.28419999999</v>
      </c>
    </row>
    <row r="329" spans="1:16" x14ac:dyDescent="0.2">
      <c r="A329" t="s">
        <v>72</v>
      </c>
      <c r="B329" t="s">
        <v>76</v>
      </c>
      <c r="N329" t="s">
        <v>72</v>
      </c>
      <c r="O329" t="s">
        <v>76</v>
      </c>
    </row>
    <row r="330" spans="1:16" x14ac:dyDescent="0.2">
      <c r="A330" t="s">
        <v>300</v>
      </c>
      <c r="B330" t="s">
        <v>27</v>
      </c>
      <c r="N330" t="s">
        <v>300</v>
      </c>
      <c r="O330" t="s">
        <v>27</v>
      </c>
    </row>
    <row r="331" spans="1:16" x14ac:dyDescent="0.2">
      <c r="A331" t="s">
        <v>10862</v>
      </c>
      <c r="B331">
        <f>O331*$B$1</f>
        <v>0</v>
      </c>
      <c r="N331">
        <v>1</v>
      </c>
      <c r="O331" s="104">
        <v>0</v>
      </c>
    </row>
    <row r="332" spans="1:16" x14ac:dyDescent="0.2">
      <c r="A332" t="s">
        <v>10863</v>
      </c>
      <c r="B332">
        <f>O332*$B$1</f>
        <v>0</v>
      </c>
      <c r="N332">
        <v>2</v>
      </c>
      <c r="O332" s="104">
        <v>0</v>
      </c>
    </row>
    <row r="333" spans="1:16" x14ac:dyDescent="0.2">
      <c r="A333" t="s">
        <v>10864</v>
      </c>
      <c r="B333">
        <f>O333*$B$1</f>
        <v>0</v>
      </c>
      <c r="N333">
        <v>3</v>
      </c>
      <c r="O333" s="104">
        <v>0</v>
      </c>
    </row>
    <row r="334" spans="1:16" x14ac:dyDescent="0.2">
      <c r="A334" t="s">
        <v>10865</v>
      </c>
      <c r="B334">
        <f>O334*$B$1</f>
        <v>0</v>
      </c>
      <c r="N334">
        <v>4</v>
      </c>
      <c r="O334" s="104">
        <v>0</v>
      </c>
    </row>
    <row r="335" spans="1:16" x14ac:dyDescent="0.2">
      <c r="A335" t="s">
        <v>1689</v>
      </c>
      <c r="B335">
        <f t="shared" ref="B335:B337" si="60">O335*$B$1</f>
        <v>636827.67330000002</v>
      </c>
      <c r="N335">
        <v>5</v>
      </c>
      <c r="O335" s="104">
        <v>636827.67330000002</v>
      </c>
    </row>
    <row r="336" spans="1:16" x14ac:dyDescent="0.2">
      <c r="A336" t="s">
        <v>10866</v>
      </c>
      <c r="B336">
        <f t="shared" si="60"/>
        <v>54534.662199999999</v>
      </c>
      <c r="N336">
        <v>6</v>
      </c>
      <c r="O336" s="104">
        <v>54534.662199999999</v>
      </c>
    </row>
    <row r="337" spans="1:15" x14ac:dyDescent="0.2">
      <c r="A337" t="s">
        <v>10867</v>
      </c>
      <c r="B337">
        <f t="shared" si="60"/>
        <v>2601551.0852999999</v>
      </c>
      <c r="N337">
        <v>7</v>
      </c>
      <c r="O337">
        <v>2601551.0852999999</v>
      </c>
    </row>
  </sheetData>
  <phoneticPr fontId="0" type="noConversion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E363"/>
  <sheetViews>
    <sheetView workbookViewId="0">
      <selection activeCell="I90" sqref="I90"/>
    </sheetView>
  </sheetViews>
  <sheetFormatPr defaultRowHeight="12.75" x14ac:dyDescent="0.2"/>
  <sheetData>
    <row r="1" spans="1:5" ht="15" x14ac:dyDescent="0.25">
      <c r="A1" s="110" t="s">
        <v>1021</v>
      </c>
      <c r="B1" s="110" t="s">
        <v>317</v>
      </c>
      <c r="C1" s="110" t="s">
        <v>318</v>
      </c>
      <c r="D1" s="111" t="s">
        <v>319</v>
      </c>
      <c r="E1" s="112" t="s">
        <v>320</v>
      </c>
    </row>
    <row r="2" spans="1:5" ht="15" x14ac:dyDescent="0.25">
      <c r="A2" s="108">
        <v>100</v>
      </c>
      <c r="B2" s="108" t="s">
        <v>321</v>
      </c>
      <c r="C2" s="108" t="s">
        <v>322</v>
      </c>
      <c r="D2" s="113">
        <v>0.59360162660100002</v>
      </c>
      <c r="E2" s="107" t="s">
        <v>323</v>
      </c>
    </row>
    <row r="3" spans="1:5" ht="15" x14ac:dyDescent="0.25">
      <c r="A3" s="108">
        <v>101</v>
      </c>
      <c r="B3" s="108" t="s">
        <v>324</v>
      </c>
      <c r="C3" s="108" t="s">
        <v>322</v>
      </c>
      <c r="D3" s="113">
        <v>2.2607629985500002</v>
      </c>
      <c r="E3" s="107" t="s">
        <v>325</v>
      </c>
    </row>
    <row r="4" spans="1:5" ht="15" x14ac:dyDescent="0.25">
      <c r="A4" s="108">
        <v>102</v>
      </c>
      <c r="B4" s="108" t="s">
        <v>326</v>
      </c>
      <c r="C4" s="108" t="s">
        <v>322</v>
      </c>
      <c r="D4" s="109">
        <v>-0.67702180034500004</v>
      </c>
      <c r="E4" s="107" t="s">
        <v>327</v>
      </c>
    </row>
    <row r="5" spans="1:5" ht="15" x14ac:dyDescent="0.25">
      <c r="A5" s="108">
        <v>105</v>
      </c>
      <c r="B5" s="108" t="s">
        <v>328</v>
      </c>
      <c r="C5" s="108" t="s">
        <v>322</v>
      </c>
      <c r="D5" s="109">
        <v>-1.2291096581800001</v>
      </c>
      <c r="E5" s="107" t="s">
        <v>329</v>
      </c>
    </row>
    <row r="6" spans="1:5" ht="15" x14ac:dyDescent="0.25">
      <c r="A6" s="108">
        <v>106</v>
      </c>
      <c r="B6" s="108" t="s">
        <v>330</v>
      </c>
      <c r="C6" s="108" t="s">
        <v>322</v>
      </c>
      <c r="D6" s="109">
        <v>-1.88719601199</v>
      </c>
      <c r="E6" s="107" t="s">
        <v>331</v>
      </c>
    </row>
    <row r="7" spans="1:5" ht="15" x14ac:dyDescent="0.25">
      <c r="A7" s="108">
        <v>109</v>
      </c>
      <c r="B7" s="108" t="s">
        <v>332</v>
      </c>
      <c r="C7" s="108" t="s">
        <v>322</v>
      </c>
      <c r="D7" s="109">
        <v>-0.104539156562</v>
      </c>
      <c r="E7" s="107" t="s">
        <v>333</v>
      </c>
    </row>
    <row r="8" spans="1:5" ht="15" x14ac:dyDescent="0.25">
      <c r="A8" s="108">
        <v>110</v>
      </c>
      <c r="B8" s="108" t="s">
        <v>334</v>
      </c>
      <c r="C8" s="108" t="s">
        <v>322</v>
      </c>
      <c r="D8" s="109">
        <v>-5.3840960751700001E-2</v>
      </c>
      <c r="E8" s="107" t="s">
        <v>335</v>
      </c>
    </row>
    <row r="9" spans="1:5" ht="15" x14ac:dyDescent="0.25">
      <c r="A9" s="108">
        <v>111</v>
      </c>
      <c r="B9" s="108" t="s">
        <v>336</v>
      </c>
      <c r="C9" s="108" t="s">
        <v>322</v>
      </c>
      <c r="D9" s="109">
        <v>5.5398475571900002E-2</v>
      </c>
      <c r="E9" s="107" t="s">
        <v>337</v>
      </c>
    </row>
    <row r="10" spans="1:5" ht="15" x14ac:dyDescent="0.25">
      <c r="A10" s="108">
        <v>112</v>
      </c>
      <c r="B10" s="108" t="s">
        <v>338</v>
      </c>
      <c r="C10" s="108" t="s">
        <v>322</v>
      </c>
      <c r="D10" s="109">
        <v>0.104963199705</v>
      </c>
      <c r="E10" s="107" t="s">
        <v>339</v>
      </c>
    </row>
    <row r="11" spans="1:5" ht="15" x14ac:dyDescent="0.25">
      <c r="A11" s="108">
        <v>113</v>
      </c>
      <c r="B11" s="108" t="s">
        <v>340</v>
      </c>
      <c r="C11" s="108" t="s">
        <v>341</v>
      </c>
      <c r="D11" s="109">
        <v>0</v>
      </c>
      <c r="E11" s="107" t="s">
        <v>342</v>
      </c>
    </row>
    <row r="12" spans="1:5" ht="15" x14ac:dyDescent="0.25">
      <c r="A12" s="108">
        <v>114</v>
      </c>
      <c r="B12" s="108" t="s">
        <v>343</v>
      </c>
      <c r="C12" s="108" t="s">
        <v>341</v>
      </c>
      <c r="D12" s="109">
        <v>0</v>
      </c>
      <c r="E12" s="107" t="s">
        <v>344</v>
      </c>
    </row>
    <row r="13" spans="1:5" ht="15" x14ac:dyDescent="0.25">
      <c r="A13" s="108">
        <v>116</v>
      </c>
      <c r="B13" s="108" t="s">
        <v>345</v>
      </c>
      <c r="C13" s="108" t="s">
        <v>322</v>
      </c>
      <c r="D13" s="109">
        <v>0.119359946565</v>
      </c>
      <c r="E13" s="107" t="s">
        <v>346</v>
      </c>
    </row>
    <row r="14" spans="1:5" ht="15" x14ac:dyDescent="0.25">
      <c r="A14" s="108">
        <v>117</v>
      </c>
      <c r="B14" s="108" t="s">
        <v>347</v>
      </c>
      <c r="C14" s="108" t="s">
        <v>322</v>
      </c>
      <c r="D14" s="109">
        <v>-0.46873969835200002</v>
      </c>
      <c r="E14" s="107" t="s">
        <v>348</v>
      </c>
    </row>
    <row r="15" spans="1:5" ht="15" x14ac:dyDescent="0.25">
      <c r="A15" s="108">
        <v>118</v>
      </c>
      <c r="B15" s="108" t="s">
        <v>349</v>
      </c>
      <c r="C15" s="108" t="s">
        <v>341</v>
      </c>
      <c r="D15" s="109">
        <v>0</v>
      </c>
      <c r="E15" s="107" t="s">
        <v>350</v>
      </c>
    </row>
    <row r="16" spans="1:5" ht="15" x14ac:dyDescent="0.25">
      <c r="A16" s="108">
        <v>119</v>
      </c>
      <c r="B16" s="108" t="s">
        <v>351</v>
      </c>
      <c r="C16" s="108" t="s">
        <v>341</v>
      </c>
      <c r="D16" s="109">
        <v>0</v>
      </c>
      <c r="E16" s="107" t="s">
        <v>352</v>
      </c>
    </row>
    <row r="17" spans="1:5" ht="15" x14ac:dyDescent="0.25">
      <c r="A17" s="108">
        <v>120</v>
      </c>
      <c r="B17" s="108" t="s">
        <v>353</v>
      </c>
      <c r="C17" s="108" t="s">
        <v>341</v>
      </c>
      <c r="D17" s="109">
        <v>0</v>
      </c>
      <c r="E17" s="107" t="s">
        <v>354</v>
      </c>
    </row>
    <row r="18" spans="1:5" ht="15" x14ac:dyDescent="0.25">
      <c r="A18" s="108">
        <v>121</v>
      </c>
      <c r="B18" s="108" t="s">
        <v>355</v>
      </c>
      <c r="C18" s="108" t="s">
        <v>341</v>
      </c>
      <c r="D18" s="109">
        <v>0</v>
      </c>
      <c r="E18" s="107" t="s">
        <v>356</v>
      </c>
    </row>
    <row r="19" spans="1:5" ht="15" x14ac:dyDescent="0.25">
      <c r="A19" s="108">
        <v>122</v>
      </c>
      <c r="B19" s="108" t="s">
        <v>357</v>
      </c>
      <c r="C19" s="108" t="s">
        <v>341</v>
      </c>
      <c r="D19" s="109">
        <v>0</v>
      </c>
      <c r="E19" s="107" t="s">
        <v>358</v>
      </c>
    </row>
    <row r="20" spans="1:5" ht="15" x14ac:dyDescent="0.25">
      <c r="A20" s="108">
        <v>123</v>
      </c>
      <c r="B20" s="108" t="s">
        <v>359</v>
      </c>
      <c r="C20" s="108" t="s">
        <v>341</v>
      </c>
      <c r="D20" s="109">
        <v>0</v>
      </c>
      <c r="E20" s="107" t="s">
        <v>360</v>
      </c>
    </row>
    <row r="21" spans="1:5" ht="15" x14ac:dyDescent="0.25">
      <c r="A21" s="108">
        <v>124</v>
      </c>
      <c r="B21" s="108" t="s">
        <v>361</v>
      </c>
      <c r="C21" s="108" t="s">
        <v>322</v>
      </c>
      <c r="D21" s="109">
        <v>-1.93525950132</v>
      </c>
      <c r="E21" s="107" t="s">
        <v>362</v>
      </c>
    </row>
    <row r="22" spans="1:5" ht="15" x14ac:dyDescent="0.25">
      <c r="A22" s="108">
        <v>125</v>
      </c>
      <c r="B22" s="108" t="s">
        <v>363</v>
      </c>
      <c r="C22" s="108" t="s">
        <v>341</v>
      </c>
      <c r="D22" s="109">
        <v>0</v>
      </c>
      <c r="E22" s="107" t="s">
        <v>364</v>
      </c>
    </row>
    <row r="23" spans="1:5" ht="15" x14ac:dyDescent="0.25">
      <c r="A23" s="108">
        <v>126</v>
      </c>
      <c r="B23" s="108" t="s">
        <v>365</v>
      </c>
      <c r="C23" s="108" t="s">
        <v>341</v>
      </c>
      <c r="D23" s="109">
        <v>0</v>
      </c>
      <c r="E23" s="107" t="s">
        <v>366</v>
      </c>
    </row>
    <row r="24" spans="1:5" ht="15" x14ac:dyDescent="0.25">
      <c r="A24" s="108">
        <v>127</v>
      </c>
      <c r="B24" s="108" t="s">
        <v>367</v>
      </c>
      <c r="C24" s="108" t="s">
        <v>322</v>
      </c>
      <c r="D24" s="109">
        <v>0.70457506868099995</v>
      </c>
      <c r="E24" s="107" t="s">
        <v>368</v>
      </c>
    </row>
    <row r="25" spans="1:5" ht="15" x14ac:dyDescent="0.25">
      <c r="A25" s="108">
        <v>128</v>
      </c>
      <c r="B25" s="108" t="s">
        <v>369</v>
      </c>
      <c r="C25" s="108" t="s">
        <v>322</v>
      </c>
      <c r="D25" s="109">
        <v>-0.473736021364</v>
      </c>
      <c r="E25" s="107" t="s">
        <v>368</v>
      </c>
    </row>
    <row r="26" spans="1:5" ht="15" x14ac:dyDescent="0.25">
      <c r="A26" s="108">
        <v>129</v>
      </c>
      <c r="B26" s="108" t="s">
        <v>370</v>
      </c>
      <c r="C26" s="108" t="s">
        <v>322</v>
      </c>
      <c r="D26" s="109">
        <v>-0.39185504390800002</v>
      </c>
      <c r="E26" s="107" t="s">
        <v>368</v>
      </c>
    </row>
    <row r="27" spans="1:5" ht="15" x14ac:dyDescent="0.25">
      <c r="A27" s="108">
        <v>151</v>
      </c>
      <c r="B27" s="108" t="s">
        <v>371</v>
      </c>
      <c r="C27" s="108" t="s">
        <v>341</v>
      </c>
      <c r="D27" s="109">
        <v>0</v>
      </c>
      <c r="E27" s="107" t="s">
        <v>372</v>
      </c>
    </row>
    <row r="28" spans="1:5" ht="15" x14ac:dyDescent="0.25">
      <c r="A28" s="108">
        <v>200</v>
      </c>
      <c r="B28" s="108" t="s">
        <v>373</v>
      </c>
      <c r="C28" s="108" t="s">
        <v>322</v>
      </c>
      <c r="D28" s="113">
        <v>-0.86143817039500004</v>
      </c>
      <c r="E28" s="107" t="s">
        <v>374</v>
      </c>
    </row>
    <row r="29" spans="1:5" ht="15" x14ac:dyDescent="0.25">
      <c r="A29" s="108">
        <v>201</v>
      </c>
      <c r="B29" s="108" t="s">
        <v>375</v>
      </c>
      <c r="C29" s="108" t="s">
        <v>322</v>
      </c>
      <c r="D29" s="113">
        <v>-0.78594987134100003</v>
      </c>
      <c r="E29" s="107" t="s">
        <v>376</v>
      </c>
    </row>
    <row r="30" spans="1:5" ht="15" x14ac:dyDescent="0.25">
      <c r="A30" s="108"/>
      <c r="B30" s="108"/>
      <c r="C30" s="108"/>
      <c r="D30" s="109"/>
      <c r="E30" s="107" t="s">
        <v>377</v>
      </c>
    </row>
    <row r="31" spans="1:5" ht="15" x14ac:dyDescent="0.25">
      <c r="A31" s="108"/>
      <c r="B31" s="108"/>
      <c r="C31" s="108"/>
      <c r="D31" s="109"/>
      <c r="E31" s="107" t="s">
        <v>378</v>
      </c>
    </row>
    <row r="32" spans="1:5" ht="15" x14ac:dyDescent="0.25">
      <c r="A32" s="108"/>
      <c r="B32" s="108"/>
      <c r="C32" s="108"/>
      <c r="D32" s="109"/>
      <c r="E32" s="107" t="s">
        <v>379</v>
      </c>
    </row>
    <row r="33" spans="1:5" ht="15" x14ac:dyDescent="0.25">
      <c r="A33" s="108">
        <v>205</v>
      </c>
      <c r="B33" s="108" t="s">
        <v>380</v>
      </c>
      <c r="C33" s="108" t="s">
        <v>322</v>
      </c>
      <c r="D33" s="109">
        <v>1.0083216006</v>
      </c>
      <c r="E33" s="107" t="s">
        <v>381</v>
      </c>
    </row>
    <row r="34" spans="1:5" ht="15" x14ac:dyDescent="0.25">
      <c r="A34" s="108">
        <v>206</v>
      </c>
      <c r="B34" s="108" t="s">
        <v>382</v>
      </c>
      <c r="C34" s="108" t="s">
        <v>322</v>
      </c>
      <c r="D34" s="109">
        <v>2.08888367603</v>
      </c>
      <c r="E34" s="107" t="s">
        <v>383</v>
      </c>
    </row>
    <row r="35" spans="1:5" ht="15" x14ac:dyDescent="0.25">
      <c r="A35" s="108">
        <v>207</v>
      </c>
      <c r="B35" s="108" t="s">
        <v>384</v>
      </c>
      <c r="C35" s="108" t="s">
        <v>322</v>
      </c>
      <c r="D35" s="109">
        <v>2.1761416178699999</v>
      </c>
      <c r="E35" s="107" t="s">
        <v>385</v>
      </c>
    </row>
    <row r="36" spans="1:5" ht="15" x14ac:dyDescent="0.25">
      <c r="A36" s="108">
        <v>208</v>
      </c>
      <c r="B36" s="108" t="s">
        <v>386</v>
      </c>
      <c r="C36" s="108" t="s">
        <v>322</v>
      </c>
      <c r="D36" s="109">
        <v>1.14749890025</v>
      </c>
      <c r="E36" s="107" t="s">
        <v>387</v>
      </c>
    </row>
    <row r="37" spans="1:5" ht="15" x14ac:dyDescent="0.25">
      <c r="A37" s="108">
        <v>209</v>
      </c>
      <c r="B37" s="108" t="s">
        <v>388</v>
      </c>
      <c r="C37" s="108" t="s">
        <v>341</v>
      </c>
      <c r="D37" s="109">
        <v>0</v>
      </c>
      <c r="E37" s="107" t="s">
        <v>389</v>
      </c>
    </row>
    <row r="38" spans="1:5" ht="15" x14ac:dyDescent="0.25">
      <c r="A38" s="108">
        <v>210</v>
      </c>
      <c r="B38" s="108" t="s">
        <v>390</v>
      </c>
      <c r="C38" s="108" t="s">
        <v>322</v>
      </c>
      <c r="D38" s="109">
        <v>0.175618791701</v>
      </c>
      <c r="E38" s="107" t="s">
        <v>391</v>
      </c>
    </row>
    <row r="39" spans="1:5" ht="15" x14ac:dyDescent="0.25">
      <c r="A39" s="108">
        <v>211</v>
      </c>
      <c r="B39" s="108" t="s">
        <v>392</v>
      </c>
      <c r="C39" s="108" t="s">
        <v>341</v>
      </c>
      <c r="D39" s="109">
        <v>0</v>
      </c>
      <c r="E39" s="107" t="s">
        <v>393</v>
      </c>
    </row>
    <row r="40" spans="1:5" ht="15" x14ac:dyDescent="0.25">
      <c r="A40" s="108">
        <v>212</v>
      </c>
      <c r="B40" s="108" t="s">
        <v>394</v>
      </c>
      <c r="C40" s="108" t="s">
        <v>341</v>
      </c>
      <c r="D40" s="109">
        <v>0</v>
      </c>
      <c r="E40" s="107" t="s">
        <v>395</v>
      </c>
    </row>
    <row r="41" spans="1:5" ht="15" x14ac:dyDescent="0.25">
      <c r="A41" s="108">
        <v>213</v>
      </c>
      <c r="B41" s="108" t="s">
        <v>396</v>
      </c>
      <c r="C41" s="108" t="s">
        <v>341</v>
      </c>
      <c r="D41" s="109">
        <v>0</v>
      </c>
      <c r="E41" s="107" t="s">
        <v>397</v>
      </c>
    </row>
    <row r="42" spans="1:5" ht="15" x14ac:dyDescent="0.25">
      <c r="A42" s="108">
        <v>214</v>
      </c>
      <c r="B42" s="108" t="s">
        <v>398</v>
      </c>
      <c r="C42" s="108" t="s">
        <v>341</v>
      </c>
      <c r="D42" s="109">
        <v>0</v>
      </c>
      <c r="E42" s="107" t="s">
        <v>399</v>
      </c>
    </row>
    <row r="43" spans="1:5" ht="15" x14ac:dyDescent="0.25">
      <c r="A43" s="108"/>
      <c r="B43" s="108"/>
      <c r="C43" s="108"/>
      <c r="D43" s="109"/>
      <c r="E43" s="107" t="s">
        <v>400</v>
      </c>
    </row>
    <row r="44" spans="1:5" ht="15" x14ac:dyDescent="0.25">
      <c r="A44" s="108">
        <v>216</v>
      </c>
      <c r="B44" s="108" t="s">
        <v>401</v>
      </c>
      <c r="C44" s="108" t="s">
        <v>341</v>
      </c>
      <c r="D44" s="109">
        <v>0</v>
      </c>
      <c r="E44" s="107" t="s">
        <v>402</v>
      </c>
    </row>
    <row r="45" spans="1:5" ht="15" x14ac:dyDescent="0.25">
      <c r="A45" s="108">
        <v>217</v>
      </c>
      <c r="B45" s="108" t="s">
        <v>403</v>
      </c>
      <c r="C45" s="108" t="s">
        <v>322</v>
      </c>
      <c r="D45" s="109">
        <v>-1.04665789108</v>
      </c>
      <c r="E45" s="107" t="s">
        <v>404</v>
      </c>
    </row>
    <row r="46" spans="1:5" ht="15" x14ac:dyDescent="0.25">
      <c r="A46" s="108">
        <v>218</v>
      </c>
      <c r="B46" s="108" t="s">
        <v>405</v>
      </c>
      <c r="C46" s="108" t="s">
        <v>341</v>
      </c>
      <c r="D46" s="109">
        <v>0</v>
      </c>
      <c r="E46" s="107" t="s">
        <v>406</v>
      </c>
    </row>
    <row r="47" spans="1:5" ht="15" x14ac:dyDescent="0.25">
      <c r="A47" s="108">
        <v>219</v>
      </c>
      <c r="B47" s="108" t="s">
        <v>407</v>
      </c>
      <c r="C47" s="108" t="s">
        <v>341</v>
      </c>
      <c r="D47" s="109">
        <v>0</v>
      </c>
      <c r="E47" s="107" t="s">
        <v>408</v>
      </c>
    </row>
    <row r="48" spans="1:5" ht="15" x14ac:dyDescent="0.25">
      <c r="A48" s="108">
        <v>220</v>
      </c>
      <c r="B48" s="108" t="s">
        <v>409</v>
      </c>
      <c r="C48" s="108" t="s">
        <v>341</v>
      </c>
      <c r="D48" s="109">
        <v>0</v>
      </c>
      <c r="E48" s="107" t="s">
        <v>410</v>
      </c>
    </row>
    <row r="49" spans="1:5" ht="15" x14ac:dyDescent="0.25">
      <c r="A49" s="108">
        <v>221</v>
      </c>
      <c r="B49" s="108" t="s">
        <v>411</v>
      </c>
      <c r="C49" s="108" t="s">
        <v>322</v>
      </c>
      <c r="D49" s="109">
        <v>0.28116382464200002</v>
      </c>
      <c r="E49" s="107" t="s">
        <v>412</v>
      </c>
    </row>
    <row r="50" spans="1:5" ht="15" x14ac:dyDescent="0.25">
      <c r="A50" s="108">
        <v>222</v>
      </c>
      <c r="B50" s="108" t="s">
        <v>413</v>
      </c>
      <c r="C50" s="108" t="s">
        <v>341</v>
      </c>
      <c r="D50" s="109">
        <v>0</v>
      </c>
      <c r="E50" s="107" t="s">
        <v>414</v>
      </c>
    </row>
    <row r="51" spans="1:5" ht="15" x14ac:dyDescent="0.25">
      <c r="A51" s="108">
        <v>223</v>
      </c>
      <c r="B51" s="108" t="s">
        <v>415</v>
      </c>
      <c r="C51" s="108" t="s">
        <v>322</v>
      </c>
      <c r="D51" s="109">
        <v>-0.85726200968300004</v>
      </c>
      <c r="E51" s="107" t="s">
        <v>416</v>
      </c>
    </row>
    <row r="52" spans="1:5" ht="15" x14ac:dyDescent="0.25">
      <c r="A52" s="108">
        <v>224</v>
      </c>
      <c r="B52" s="108" t="s">
        <v>417</v>
      </c>
      <c r="C52" s="108" t="s">
        <v>341</v>
      </c>
      <c r="D52" s="109">
        <v>0</v>
      </c>
      <c r="E52" s="107" t="s">
        <v>418</v>
      </c>
    </row>
    <row r="53" spans="1:5" ht="15" x14ac:dyDescent="0.25">
      <c r="A53" s="108">
        <v>225</v>
      </c>
      <c r="B53" s="108" t="s">
        <v>419</v>
      </c>
      <c r="C53" s="108" t="s">
        <v>341</v>
      </c>
      <c r="D53" s="109">
        <v>0</v>
      </c>
      <c r="E53" s="107" t="s">
        <v>420</v>
      </c>
    </row>
    <row r="54" spans="1:5" ht="15" x14ac:dyDescent="0.25">
      <c r="A54" s="108">
        <v>226</v>
      </c>
      <c r="B54" s="108" t="s">
        <v>421</v>
      </c>
      <c r="C54" s="108" t="s">
        <v>341</v>
      </c>
      <c r="D54" s="109">
        <v>0</v>
      </c>
      <c r="E54" s="107" t="s">
        <v>422</v>
      </c>
    </row>
    <row r="55" spans="1:5" ht="15" x14ac:dyDescent="0.25">
      <c r="A55" s="108">
        <v>227</v>
      </c>
      <c r="B55" s="108" t="s">
        <v>423</v>
      </c>
      <c r="C55" s="108" t="s">
        <v>341</v>
      </c>
      <c r="D55" s="109">
        <v>0</v>
      </c>
      <c r="E55" s="107" t="s">
        <v>424</v>
      </c>
    </row>
    <row r="56" spans="1:5" ht="15" x14ac:dyDescent="0.25">
      <c r="A56" s="108">
        <v>228</v>
      </c>
      <c r="B56" s="108" t="s">
        <v>425</v>
      </c>
      <c r="C56" s="108" t="s">
        <v>322</v>
      </c>
      <c r="D56" s="109">
        <v>0.21589729844200001</v>
      </c>
      <c r="E56" s="107" t="s">
        <v>424</v>
      </c>
    </row>
    <row r="57" spans="1:5" ht="15" x14ac:dyDescent="0.25">
      <c r="A57" s="108">
        <v>229</v>
      </c>
      <c r="B57" s="108" t="s">
        <v>426</v>
      </c>
      <c r="C57" s="108" t="s">
        <v>322</v>
      </c>
      <c r="D57" s="109">
        <v>0.39645838010899997</v>
      </c>
      <c r="E57" s="107" t="s">
        <v>424</v>
      </c>
    </row>
    <row r="58" spans="1:5" ht="15" x14ac:dyDescent="0.25">
      <c r="A58" s="108">
        <v>251</v>
      </c>
      <c r="B58" s="108" t="s">
        <v>427</v>
      </c>
      <c r="C58" s="108" t="s">
        <v>341</v>
      </c>
      <c r="D58" s="109">
        <v>0</v>
      </c>
      <c r="E58" s="107" t="s">
        <v>428</v>
      </c>
    </row>
    <row r="59" spans="1:5" ht="15" x14ac:dyDescent="0.25">
      <c r="A59" s="108">
        <v>300</v>
      </c>
      <c r="B59" s="108" t="s">
        <v>429</v>
      </c>
      <c r="C59" s="108" t="s">
        <v>322</v>
      </c>
      <c r="D59" s="113">
        <v>-3.4074389037100001</v>
      </c>
      <c r="E59" s="107" t="s">
        <v>430</v>
      </c>
    </row>
    <row r="60" spans="1:5" ht="15" x14ac:dyDescent="0.25">
      <c r="A60" s="108">
        <v>301</v>
      </c>
      <c r="B60" s="108" t="s">
        <v>431</v>
      </c>
      <c r="C60" s="108" t="s">
        <v>322</v>
      </c>
      <c r="D60" s="113">
        <v>-1.46802054944</v>
      </c>
      <c r="E60" s="107" t="s">
        <v>432</v>
      </c>
    </row>
    <row r="61" spans="1:5" ht="15" x14ac:dyDescent="0.25">
      <c r="A61" s="108">
        <v>302</v>
      </c>
      <c r="B61" s="108" t="s">
        <v>433</v>
      </c>
      <c r="C61" s="108" t="s">
        <v>341</v>
      </c>
      <c r="D61" s="109">
        <v>0</v>
      </c>
      <c r="E61" s="107" t="s">
        <v>434</v>
      </c>
    </row>
    <row r="62" spans="1:5" ht="15" x14ac:dyDescent="0.25">
      <c r="A62" s="108">
        <v>303</v>
      </c>
      <c r="B62" s="108" t="s">
        <v>435</v>
      </c>
      <c r="C62" s="108" t="s">
        <v>322</v>
      </c>
      <c r="D62" s="109">
        <v>-0.74665963725100004</v>
      </c>
      <c r="E62" s="107" t="s">
        <v>436</v>
      </c>
    </row>
    <row r="63" spans="1:5" ht="15" x14ac:dyDescent="0.25">
      <c r="A63" s="108">
        <v>304</v>
      </c>
      <c r="B63" s="108" t="s">
        <v>437</v>
      </c>
      <c r="C63" s="108" t="s">
        <v>341</v>
      </c>
      <c r="D63" s="109">
        <v>0</v>
      </c>
      <c r="E63" s="107" t="s">
        <v>438</v>
      </c>
    </row>
    <row r="64" spans="1:5" ht="15" x14ac:dyDescent="0.25">
      <c r="A64" s="108">
        <v>305</v>
      </c>
      <c r="B64" s="108" t="s">
        <v>439</v>
      </c>
      <c r="C64" s="108" t="s">
        <v>341</v>
      </c>
      <c r="D64" s="109">
        <v>0</v>
      </c>
      <c r="E64" s="107" t="s">
        <v>440</v>
      </c>
    </row>
    <row r="65" spans="1:5" ht="15" x14ac:dyDescent="0.25">
      <c r="A65" s="108">
        <v>306</v>
      </c>
      <c r="B65" s="108" t="s">
        <v>441</v>
      </c>
      <c r="C65" s="108" t="s">
        <v>341</v>
      </c>
      <c r="D65" s="109">
        <v>0</v>
      </c>
      <c r="E65" s="107" t="s">
        <v>442</v>
      </c>
    </row>
    <row r="66" spans="1:5" ht="15" x14ac:dyDescent="0.25">
      <c r="A66" s="108">
        <v>307</v>
      </c>
      <c r="B66" s="108" t="s">
        <v>443</v>
      </c>
      <c r="C66" s="108" t="s">
        <v>341</v>
      </c>
      <c r="D66" s="109">
        <v>0</v>
      </c>
      <c r="E66" s="107" t="s">
        <v>444</v>
      </c>
    </row>
    <row r="67" spans="1:5" ht="15" x14ac:dyDescent="0.25">
      <c r="A67" s="108">
        <v>308</v>
      </c>
      <c r="B67" s="108" t="s">
        <v>445</v>
      </c>
      <c r="C67" s="108" t="s">
        <v>322</v>
      </c>
      <c r="D67" s="109">
        <v>0.55350968411900003</v>
      </c>
      <c r="E67" s="107" t="s">
        <v>446</v>
      </c>
    </row>
    <row r="68" spans="1:5" ht="15" x14ac:dyDescent="0.25">
      <c r="A68" s="108">
        <v>309</v>
      </c>
      <c r="B68" s="108" t="s">
        <v>447</v>
      </c>
      <c r="C68" s="108" t="s">
        <v>322</v>
      </c>
      <c r="D68" s="109">
        <v>-0.23172742344700001</v>
      </c>
      <c r="E68" s="107" t="s">
        <v>448</v>
      </c>
    </row>
    <row r="69" spans="1:5" ht="15" x14ac:dyDescent="0.25">
      <c r="A69" s="108">
        <v>310</v>
      </c>
      <c r="B69" s="108" t="s">
        <v>449</v>
      </c>
      <c r="C69" s="108" t="s">
        <v>322</v>
      </c>
      <c r="D69" s="109">
        <v>-0.13772236960600001</v>
      </c>
      <c r="E69" s="107" t="s">
        <v>450</v>
      </c>
    </row>
    <row r="70" spans="1:5" ht="15" x14ac:dyDescent="0.25">
      <c r="A70" s="108">
        <v>311</v>
      </c>
      <c r="B70" s="108" t="s">
        <v>451</v>
      </c>
      <c r="C70" s="108" t="s">
        <v>341</v>
      </c>
      <c r="D70" s="109">
        <v>0</v>
      </c>
      <c r="E70" s="107" t="s">
        <v>452</v>
      </c>
    </row>
    <row r="71" spans="1:5" ht="15" x14ac:dyDescent="0.25">
      <c r="A71" s="108">
        <v>312</v>
      </c>
      <c r="B71" s="108" t="s">
        <v>453</v>
      </c>
      <c r="C71" s="108" t="s">
        <v>341</v>
      </c>
      <c r="D71" s="109">
        <v>0</v>
      </c>
      <c r="E71" s="107" t="s">
        <v>454</v>
      </c>
    </row>
    <row r="72" spans="1:5" ht="15" x14ac:dyDescent="0.25">
      <c r="A72" s="108">
        <v>313</v>
      </c>
      <c r="B72" s="108" t="s">
        <v>455</v>
      </c>
      <c r="C72" s="108" t="s">
        <v>322</v>
      </c>
      <c r="D72" s="109">
        <v>0.15830555373499999</v>
      </c>
      <c r="E72" s="107" t="s">
        <v>456</v>
      </c>
    </row>
    <row r="73" spans="1:5" ht="15" x14ac:dyDescent="0.25">
      <c r="A73" s="108">
        <v>314</v>
      </c>
      <c r="B73" s="108" t="s">
        <v>457</v>
      </c>
      <c r="C73" s="108" t="s">
        <v>322</v>
      </c>
      <c r="D73" s="109">
        <v>-0.47638575072</v>
      </c>
      <c r="E73" s="107" t="s">
        <v>458</v>
      </c>
    </row>
    <row r="74" spans="1:5" ht="15" x14ac:dyDescent="0.25">
      <c r="A74" s="108"/>
      <c r="B74" s="108"/>
      <c r="C74" s="108"/>
      <c r="D74" s="109"/>
      <c r="E74" s="107" t="s">
        <v>459</v>
      </c>
    </row>
    <row r="75" spans="1:5" ht="15" x14ac:dyDescent="0.25">
      <c r="A75" s="108">
        <v>316</v>
      </c>
      <c r="B75" s="108" t="s">
        <v>460</v>
      </c>
      <c r="C75" s="108" t="s">
        <v>341</v>
      </c>
      <c r="D75" s="109">
        <v>0</v>
      </c>
      <c r="E75" s="107" t="s">
        <v>461</v>
      </c>
    </row>
    <row r="76" spans="1:5" ht="15" x14ac:dyDescent="0.25">
      <c r="A76" s="108">
        <v>317</v>
      </c>
      <c r="B76" s="108" t="s">
        <v>462</v>
      </c>
      <c r="C76" s="108" t="s">
        <v>322</v>
      </c>
      <c r="D76" s="109">
        <v>1.2331767950900001</v>
      </c>
      <c r="E76" s="107" t="s">
        <v>463</v>
      </c>
    </row>
    <row r="77" spans="1:5" ht="15" x14ac:dyDescent="0.25">
      <c r="A77" s="108">
        <v>318</v>
      </c>
      <c r="B77" s="108" t="s">
        <v>464</v>
      </c>
      <c r="C77" s="108" t="s">
        <v>322</v>
      </c>
      <c r="D77" s="109">
        <v>1.79373653729</v>
      </c>
      <c r="E77" s="107" t="s">
        <v>465</v>
      </c>
    </row>
    <row r="78" spans="1:5" ht="15" x14ac:dyDescent="0.25">
      <c r="A78" s="108">
        <v>319</v>
      </c>
      <c r="B78" s="108" t="s">
        <v>466</v>
      </c>
      <c r="C78" s="108" t="s">
        <v>322</v>
      </c>
      <c r="D78" s="109">
        <v>0.54032130864700001</v>
      </c>
      <c r="E78" s="107" t="s">
        <v>467</v>
      </c>
    </row>
    <row r="79" spans="1:5" ht="15" x14ac:dyDescent="0.25">
      <c r="A79" s="108">
        <v>320</v>
      </c>
      <c r="B79" s="108" t="s">
        <v>468</v>
      </c>
      <c r="C79" s="108" t="s">
        <v>322</v>
      </c>
      <c r="D79" s="109">
        <v>1.2225471973399999</v>
      </c>
      <c r="E79" s="107" t="s">
        <v>469</v>
      </c>
    </row>
    <row r="80" spans="1:5" ht="15" x14ac:dyDescent="0.25">
      <c r="A80" s="108">
        <v>321</v>
      </c>
      <c r="B80" s="108" t="s">
        <v>470</v>
      </c>
      <c r="C80" s="108" t="s">
        <v>322</v>
      </c>
      <c r="D80" s="109">
        <v>-0.66641066384699998</v>
      </c>
      <c r="E80" s="107" t="s">
        <v>471</v>
      </c>
    </row>
    <row r="81" spans="1:5" ht="15" x14ac:dyDescent="0.25">
      <c r="A81" s="108">
        <v>322</v>
      </c>
      <c r="B81" s="108" t="s">
        <v>472</v>
      </c>
      <c r="C81" s="108" t="s">
        <v>322</v>
      </c>
      <c r="D81" s="109">
        <v>-0.26227433626199997</v>
      </c>
      <c r="E81" s="107" t="s">
        <v>473</v>
      </c>
    </row>
    <row r="82" spans="1:5" ht="15" x14ac:dyDescent="0.25">
      <c r="A82" s="108">
        <v>323</v>
      </c>
      <c r="B82" s="108" t="s">
        <v>474</v>
      </c>
      <c r="C82" s="108" t="s">
        <v>322</v>
      </c>
      <c r="D82" s="109">
        <v>-0.32522027447700003</v>
      </c>
      <c r="E82" s="107" t="s">
        <v>475</v>
      </c>
    </row>
    <row r="83" spans="1:5" ht="15" x14ac:dyDescent="0.25">
      <c r="A83" s="108">
        <v>324</v>
      </c>
      <c r="B83" s="108" t="s">
        <v>476</v>
      </c>
      <c r="C83" s="108" t="s">
        <v>341</v>
      </c>
      <c r="D83" s="109">
        <v>0</v>
      </c>
      <c r="E83" s="107" t="s">
        <v>477</v>
      </c>
    </row>
    <row r="84" spans="1:5" ht="15" x14ac:dyDescent="0.25">
      <c r="A84" s="108">
        <v>325</v>
      </c>
      <c r="B84" s="108" t="s">
        <v>478</v>
      </c>
      <c r="C84" s="108" t="s">
        <v>341</v>
      </c>
      <c r="D84" s="109">
        <v>0</v>
      </c>
      <c r="E84" s="107" t="s">
        <v>479</v>
      </c>
    </row>
    <row r="85" spans="1:5" ht="15" x14ac:dyDescent="0.25">
      <c r="A85" s="108">
        <v>326</v>
      </c>
      <c r="B85" s="108" t="s">
        <v>480</v>
      </c>
      <c r="C85" s="108" t="s">
        <v>341</v>
      </c>
      <c r="D85" s="109">
        <v>0</v>
      </c>
      <c r="E85" s="107" t="s">
        <v>481</v>
      </c>
    </row>
    <row r="86" spans="1:5" ht="15" x14ac:dyDescent="0.25">
      <c r="A86" s="108">
        <v>327</v>
      </c>
      <c r="B86" s="108" t="s">
        <v>482</v>
      </c>
      <c r="C86" s="108" t="s">
        <v>341</v>
      </c>
      <c r="D86" s="109">
        <v>0</v>
      </c>
      <c r="E86" s="107" t="s">
        <v>483</v>
      </c>
    </row>
    <row r="87" spans="1:5" ht="15" x14ac:dyDescent="0.25">
      <c r="A87" s="108">
        <v>328</v>
      </c>
      <c r="B87" s="108" t="s">
        <v>484</v>
      </c>
      <c r="C87" s="108" t="s">
        <v>322</v>
      </c>
      <c r="D87" s="109">
        <v>3.4768357092199997E-2</v>
      </c>
      <c r="E87" s="107" t="s">
        <v>483</v>
      </c>
    </row>
    <row r="88" spans="1:5" ht="15" x14ac:dyDescent="0.25">
      <c r="A88" s="108">
        <v>329</v>
      </c>
      <c r="B88" s="108" t="s">
        <v>485</v>
      </c>
      <c r="C88" s="108" t="s">
        <v>322</v>
      </c>
      <c r="D88" s="109">
        <v>7.6268365288400003E-2</v>
      </c>
      <c r="E88" s="107" t="s">
        <v>483</v>
      </c>
    </row>
    <row r="89" spans="1:5" ht="15" x14ac:dyDescent="0.25">
      <c r="A89" s="108">
        <v>351</v>
      </c>
      <c r="B89" s="108" t="s">
        <v>486</v>
      </c>
      <c r="C89" s="108" t="s">
        <v>341</v>
      </c>
      <c r="D89" s="109">
        <v>0</v>
      </c>
      <c r="E89" s="107" t="s">
        <v>487</v>
      </c>
    </row>
    <row r="90" spans="1:5" ht="15" x14ac:dyDescent="0.25">
      <c r="A90" s="108">
        <v>400</v>
      </c>
      <c r="B90" s="108" t="s">
        <v>488</v>
      </c>
      <c r="C90" s="108" t="s">
        <v>322</v>
      </c>
      <c r="D90" s="113">
        <v>-2.3982761737499998</v>
      </c>
      <c r="E90" s="107" t="s">
        <v>489</v>
      </c>
    </row>
    <row r="91" spans="1:5" ht="15" x14ac:dyDescent="0.25">
      <c r="A91" s="108">
        <v>401</v>
      </c>
      <c r="B91" s="108" t="s">
        <v>490</v>
      </c>
      <c r="C91" s="108" t="s">
        <v>322</v>
      </c>
      <c r="D91" s="113">
        <v>1.76216764608</v>
      </c>
      <c r="E91" s="107" t="s">
        <v>491</v>
      </c>
    </row>
    <row r="92" spans="1:5" ht="15" x14ac:dyDescent="0.25">
      <c r="A92" s="108">
        <v>402</v>
      </c>
      <c r="B92" s="108" t="s">
        <v>492</v>
      </c>
      <c r="C92" s="108" t="s">
        <v>322</v>
      </c>
      <c r="D92" s="109">
        <v>0.19320373610399999</v>
      </c>
      <c r="E92" s="107" t="s">
        <v>493</v>
      </c>
    </row>
    <row r="93" spans="1:5" ht="15" x14ac:dyDescent="0.25">
      <c r="A93" s="108">
        <v>403</v>
      </c>
      <c r="B93" s="108" t="s">
        <v>494</v>
      </c>
      <c r="C93" s="108" t="s">
        <v>322</v>
      </c>
      <c r="D93" s="109">
        <v>0.52545543591999999</v>
      </c>
      <c r="E93" s="107" t="s">
        <v>495</v>
      </c>
    </row>
    <row r="94" spans="1:5" ht="15" x14ac:dyDescent="0.25">
      <c r="A94" s="108">
        <v>404</v>
      </c>
      <c r="B94" s="108" t="s">
        <v>496</v>
      </c>
      <c r="C94" s="108" t="s">
        <v>322</v>
      </c>
      <c r="D94" s="109">
        <v>0.41321074580299999</v>
      </c>
      <c r="E94" s="107" t="s">
        <v>497</v>
      </c>
    </row>
    <row r="95" spans="1:5" ht="15" x14ac:dyDescent="0.25">
      <c r="A95" s="108">
        <v>405</v>
      </c>
      <c r="B95" s="108" t="s">
        <v>498</v>
      </c>
      <c r="C95" s="108" t="s">
        <v>341</v>
      </c>
      <c r="D95" s="109">
        <v>0</v>
      </c>
      <c r="E95" s="107" t="s">
        <v>499</v>
      </c>
    </row>
    <row r="96" spans="1:5" ht="15" x14ac:dyDescent="0.25">
      <c r="A96" s="108">
        <v>406</v>
      </c>
      <c r="B96" s="108" t="s">
        <v>500</v>
      </c>
      <c r="C96" s="108" t="s">
        <v>322</v>
      </c>
      <c r="D96" s="109">
        <v>-0.28000928906599998</v>
      </c>
      <c r="E96" s="107" t="s">
        <v>501</v>
      </c>
    </row>
    <row r="97" spans="1:5" ht="15" x14ac:dyDescent="0.25">
      <c r="A97" s="108">
        <v>407</v>
      </c>
      <c r="B97" s="108" t="s">
        <v>502</v>
      </c>
      <c r="C97" s="108" t="s">
        <v>322</v>
      </c>
      <c r="D97" s="109">
        <v>-0.44484435744700002</v>
      </c>
      <c r="E97" s="107" t="s">
        <v>503</v>
      </c>
    </row>
    <row r="98" spans="1:5" ht="15" x14ac:dyDescent="0.25">
      <c r="A98" s="108">
        <v>408</v>
      </c>
      <c r="B98" s="108" t="s">
        <v>504</v>
      </c>
      <c r="C98" s="108" t="s">
        <v>322</v>
      </c>
      <c r="D98" s="109">
        <v>-0.56977797245299999</v>
      </c>
      <c r="E98" s="107" t="s">
        <v>505</v>
      </c>
    </row>
    <row r="99" spans="1:5" ht="15" x14ac:dyDescent="0.25">
      <c r="A99" s="108">
        <v>409</v>
      </c>
      <c r="B99" s="108" t="s">
        <v>506</v>
      </c>
      <c r="C99" s="108" t="s">
        <v>322</v>
      </c>
      <c r="D99" s="109">
        <v>-0.14054445235400001</v>
      </c>
      <c r="E99" s="107" t="s">
        <v>507</v>
      </c>
    </row>
    <row r="100" spans="1:5" ht="15" x14ac:dyDescent="0.25">
      <c r="A100" s="108">
        <v>410</v>
      </c>
      <c r="B100" s="108" t="s">
        <v>508</v>
      </c>
      <c r="C100" s="108" t="s">
        <v>341</v>
      </c>
      <c r="D100" s="109">
        <v>0</v>
      </c>
      <c r="E100" s="107" t="s">
        <v>509</v>
      </c>
    </row>
    <row r="101" spans="1:5" ht="15" x14ac:dyDescent="0.25">
      <c r="A101" s="108">
        <v>411</v>
      </c>
      <c r="B101" s="108" t="s">
        <v>510</v>
      </c>
      <c r="C101" s="108" t="s">
        <v>322</v>
      </c>
      <c r="D101" s="109">
        <v>0.115311648879</v>
      </c>
      <c r="E101" s="107" t="s">
        <v>511</v>
      </c>
    </row>
    <row r="102" spans="1:5" ht="15" x14ac:dyDescent="0.25">
      <c r="A102" s="108">
        <v>412</v>
      </c>
      <c r="B102" s="108" t="s">
        <v>512</v>
      </c>
      <c r="C102" s="108" t="s">
        <v>322</v>
      </c>
      <c r="D102" s="109">
        <v>9.47178749948E-2</v>
      </c>
      <c r="E102" s="107" t="s">
        <v>513</v>
      </c>
    </row>
    <row r="103" spans="1:5" ht="15" x14ac:dyDescent="0.25">
      <c r="A103" s="108">
        <v>413</v>
      </c>
      <c r="B103" s="108" t="s">
        <v>514</v>
      </c>
      <c r="C103" s="108" t="s">
        <v>322</v>
      </c>
      <c r="D103" s="109">
        <v>6.1244785304499998E-2</v>
      </c>
      <c r="E103" s="107" t="s">
        <v>515</v>
      </c>
    </row>
    <row r="104" spans="1:5" ht="15" x14ac:dyDescent="0.25">
      <c r="A104" s="108">
        <v>414</v>
      </c>
      <c r="B104" s="108" t="s">
        <v>516</v>
      </c>
      <c r="C104" s="108" t="s">
        <v>341</v>
      </c>
      <c r="D104" s="109">
        <v>0</v>
      </c>
      <c r="E104" s="107" t="s">
        <v>517</v>
      </c>
    </row>
    <row r="105" spans="1:5" ht="15" x14ac:dyDescent="0.25">
      <c r="A105" s="108"/>
      <c r="B105" s="108"/>
      <c r="C105" s="108"/>
      <c r="D105" s="109"/>
      <c r="E105" s="107" t="s">
        <v>518</v>
      </c>
    </row>
    <row r="106" spans="1:5" ht="15" x14ac:dyDescent="0.25">
      <c r="A106" s="108">
        <v>416</v>
      </c>
      <c r="B106" s="108" t="s">
        <v>519</v>
      </c>
      <c r="C106" s="108" t="s">
        <v>341</v>
      </c>
      <c r="D106" s="109">
        <v>0</v>
      </c>
      <c r="E106" s="107" t="s">
        <v>520</v>
      </c>
    </row>
    <row r="107" spans="1:5" ht="15" x14ac:dyDescent="0.25">
      <c r="A107" s="108">
        <v>417</v>
      </c>
      <c r="B107" s="108" t="s">
        <v>521</v>
      </c>
      <c r="C107" s="108" t="s">
        <v>322</v>
      </c>
      <c r="D107" s="109">
        <v>-0.40965813037100002</v>
      </c>
      <c r="E107" s="107" t="s">
        <v>522</v>
      </c>
    </row>
    <row r="108" spans="1:5" ht="15" x14ac:dyDescent="0.25">
      <c r="A108" s="108">
        <v>418</v>
      </c>
      <c r="B108" s="108" t="s">
        <v>523</v>
      </c>
      <c r="C108" s="108" t="s">
        <v>322</v>
      </c>
      <c r="D108" s="109">
        <v>-0.27272828309399999</v>
      </c>
      <c r="E108" s="107" t="s">
        <v>524</v>
      </c>
    </row>
    <row r="109" spans="1:5" ht="15" x14ac:dyDescent="0.25">
      <c r="A109" s="108">
        <v>419</v>
      </c>
      <c r="B109" s="108" t="s">
        <v>525</v>
      </c>
      <c r="C109" s="108" t="s">
        <v>341</v>
      </c>
      <c r="D109" s="109">
        <v>0</v>
      </c>
      <c r="E109" s="107" t="s">
        <v>526</v>
      </c>
    </row>
    <row r="110" spans="1:5" ht="15" x14ac:dyDescent="0.25">
      <c r="A110" s="108">
        <v>420</v>
      </c>
      <c r="B110" s="108" t="s">
        <v>527</v>
      </c>
      <c r="C110" s="108" t="s">
        <v>322</v>
      </c>
      <c r="D110" s="109">
        <v>-0.47043638995300002</v>
      </c>
      <c r="E110" s="107" t="s">
        <v>528</v>
      </c>
    </row>
    <row r="111" spans="1:5" ht="15" x14ac:dyDescent="0.25">
      <c r="A111" s="108">
        <v>421</v>
      </c>
      <c r="B111" s="108" t="s">
        <v>529</v>
      </c>
      <c r="C111" s="108" t="s">
        <v>322</v>
      </c>
      <c r="D111" s="109">
        <v>-0.37600681948100001</v>
      </c>
      <c r="E111" s="107" t="s">
        <v>530</v>
      </c>
    </row>
    <row r="112" spans="1:5" ht="15" x14ac:dyDescent="0.25">
      <c r="A112" s="108">
        <v>422</v>
      </c>
      <c r="B112" s="108" t="s">
        <v>531</v>
      </c>
      <c r="C112" s="108" t="s">
        <v>322</v>
      </c>
      <c r="D112" s="109">
        <v>-0.209864278569</v>
      </c>
      <c r="E112" s="107" t="s">
        <v>532</v>
      </c>
    </row>
    <row r="113" spans="1:5" ht="15" x14ac:dyDescent="0.25">
      <c r="A113" s="108">
        <v>423</v>
      </c>
      <c r="B113" s="108" t="s">
        <v>533</v>
      </c>
      <c r="C113" s="108" t="s">
        <v>322</v>
      </c>
      <c r="D113" s="109">
        <v>9.4396255009400007E-2</v>
      </c>
      <c r="E113" s="107" t="s">
        <v>534</v>
      </c>
    </row>
    <row r="114" spans="1:5" ht="15" x14ac:dyDescent="0.25">
      <c r="A114" s="108">
        <v>424</v>
      </c>
      <c r="B114" s="108" t="s">
        <v>535</v>
      </c>
      <c r="C114" s="108" t="s">
        <v>341</v>
      </c>
      <c r="D114" s="109">
        <v>0</v>
      </c>
      <c r="E114" s="107" t="s">
        <v>536</v>
      </c>
    </row>
    <row r="115" spans="1:5" ht="15" x14ac:dyDescent="0.25">
      <c r="A115" s="108">
        <v>425</v>
      </c>
      <c r="B115" s="108" t="s">
        <v>537</v>
      </c>
      <c r="C115" s="108" t="s">
        <v>341</v>
      </c>
      <c r="D115" s="109">
        <v>0</v>
      </c>
      <c r="E115" s="107" t="s">
        <v>538</v>
      </c>
    </row>
    <row r="116" spans="1:5" ht="15" x14ac:dyDescent="0.25">
      <c r="A116" s="108">
        <v>426</v>
      </c>
      <c r="B116" s="108" t="s">
        <v>539</v>
      </c>
      <c r="C116" s="108" t="s">
        <v>341</v>
      </c>
      <c r="D116" s="109">
        <v>0</v>
      </c>
      <c r="E116" s="107" t="s">
        <v>540</v>
      </c>
    </row>
    <row r="117" spans="1:5" ht="15" x14ac:dyDescent="0.25">
      <c r="A117" s="108">
        <v>427</v>
      </c>
      <c r="B117" s="108" t="s">
        <v>541</v>
      </c>
      <c r="C117" s="108" t="s">
        <v>341</v>
      </c>
      <c r="D117" s="109">
        <v>0</v>
      </c>
      <c r="E117" s="107" t="s">
        <v>542</v>
      </c>
    </row>
    <row r="118" spans="1:5" ht="15" x14ac:dyDescent="0.25">
      <c r="A118" s="108">
        <v>428</v>
      </c>
      <c r="B118" s="108" t="s">
        <v>543</v>
      </c>
      <c r="C118" s="108" t="s">
        <v>322</v>
      </c>
      <c r="D118" s="109">
        <v>1.73847560434E-2</v>
      </c>
      <c r="E118" s="107" t="s">
        <v>542</v>
      </c>
    </row>
    <row r="119" spans="1:5" ht="15" x14ac:dyDescent="0.25">
      <c r="A119" s="108">
        <v>429</v>
      </c>
      <c r="B119" s="108" t="s">
        <v>544</v>
      </c>
      <c r="C119" s="108" t="s">
        <v>322</v>
      </c>
      <c r="D119" s="109">
        <v>-5.59466962609E-2</v>
      </c>
      <c r="E119" s="107" t="s">
        <v>542</v>
      </c>
    </row>
    <row r="120" spans="1:5" ht="15" x14ac:dyDescent="0.25">
      <c r="A120" s="108">
        <v>451</v>
      </c>
      <c r="B120" s="108" t="s">
        <v>545</v>
      </c>
      <c r="C120" s="108" t="s">
        <v>341</v>
      </c>
      <c r="D120" s="109">
        <v>0</v>
      </c>
      <c r="E120" s="107" t="s">
        <v>546</v>
      </c>
    </row>
    <row r="121" spans="1:5" ht="15" x14ac:dyDescent="0.25">
      <c r="A121" s="108">
        <v>500</v>
      </c>
      <c r="B121" s="108" t="s">
        <v>547</v>
      </c>
      <c r="C121" s="108" t="s">
        <v>322</v>
      </c>
      <c r="D121" s="113">
        <v>-2.8894802391700001</v>
      </c>
      <c r="E121" s="107" t="s">
        <v>548</v>
      </c>
    </row>
    <row r="122" spans="1:5" ht="15" x14ac:dyDescent="0.25">
      <c r="A122" s="108">
        <v>501</v>
      </c>
      <c r="B122" s="108" t="s">
        <v>549</v>
      </c>
      <c r="C122" s="108" t="s">
        <v>322</v>
      </c>
      <c r="D122" s="113">
        <v>1.20019223739</v>
      </c>
      <c r="E122" s="107" t="s">
        <v>550</v>
      </c>
    </row>
    <row r="123" spans="1:5" ht="15" x14ac:dyDescent="0.25">
      <c r="A123" s="108">
        <v>502</v>
      </c>
      <c r="B123" s="108" t="s">
        <v>551</v>
      </c>
      <c r="C123" s="108" t="s">
        <v>322</v>
      </c>
      <c r="D123" s="109">
        <v>5.8380087117899999E-2</v>
      </c>
      <c r="E123" s="107" t="s">
        <v>552</v>
      </c>
    </row>
    <row r="124" spans="1:5" ht="15" x14ac:dyDescent="0.25">
      <c r="A124" s="108">
        <v>503</v>
      </c>
      <c r="B124" s="108" t="s">
        <v>553</v>
      </c>
      <c r="C124" s="108" t="s">
        <v>322</v>
      </c>
      <c r="D124" s="109">
        <v>0.203681069582</v>
      </c>
      <c r="E124" s="107" t="s">
        <v>554</v>
      </c>
    </row>
    <row r="125" spans="1:5" ht="15" x14ac:dyDescent="0.25">
      <c r="A125" s="108">
        <v>504</v>
      </c>
      <c r="B125" s="108" t="s">
        <v>555</v>
      </c>
      <c r="C125" s="108" t="s">
        <v>322</v>
      </c>
      <c r="D125" s="109">
        <v>0.46146093992800002</v>
      </c>
      <c r="E125" s="107" t="s">
        <v>556</v>
      </c>
    </row>
    <row r="126" spans="1:5" ht="15" x14ac:dyDescent="0.25">
      <c r="A126" s="108">
        <v>505</v>
      </c>
      <c r="B126" s="108" t="s">
        <v>557</v>
      </c>
      <c r="C126" s="108" t="s">
        <v>322</v>
      </c>
      <c r="D126" s="109">
        <v>0.221710710605</v>
      </c>
      <c r="E126" s="107" t="s">
        <v>558</v>
      </c>
    </row>
    <row r="127" spans="1:5" ht="15" x14ac:dyDescent="0.25">
      <c r="A127" s="108">
        <v>506</v>
      </c>
      <c r="B127" s="108" t="s">
        <v>559</v>
      </c>
      <c r="C127" s="108" t="s">
        <v>322</v>
      </c>
      <c r="D127" s="109">
        <v>-0.47361611325699998</v>
      </c>
      <c r="E127" s="107" t="s">
        <v>560</v>
      </c>
    </row>
    <row r="128" spans="1:5" ht="15" x14ac:dyDescent="0.25">
      <c r="A128" s="108">
        <v>507</v>
      </c>
      <c r="B128" s="108" t="s">
        <v>561</v>
      </c>
      <c r="C128" s="108" t="s">
        <v>322</v>
      </c>
      <c r="D128" s="109">
        <v>-0.55915518403499997</v>
      </c>
      <c r="E128" s="107" t="s">
        <v>562</v>
      </c>
    </row>
    <row r="129" spans="1:5" ht="15" x14ac:dyDescent="0.25">
      <c r="A129" s="108">
        <v>508</v>
      </c>
      <c r="B129" s="108" t="s">
        <v>563</v>
      </c>
      <c r="C129" s="108" t="s">
        <v>341</v>
      </c>
      <c r="D129" s="109">
        <v>0</v>
      </c>
      <c r="E129" s="107" t="s">
        <v>564</v>
      </c>
    </row>
    <row r="130" spans="1:5" ht="15" x14ac:dyDescent="0.25">
      <c r="A130" s="108">
        <v>509</v>
      </c>
      <c r="B130" s="108" t="s">
        <v>565</v>
      </c>
      <c r="C130" s="108" t="s">
        <v>322</v>
      </c>
      <c r="D130" s="109">
        <v>-0.17146619609700001</v>
      </c>
      <c r="E130" s="107" t="s">
        <v>566</v>
      </c>
    </row>
    <row r="131" spans="1:5" ht="15" x14ac:dyDescent="0.25">
      <c r="A131" s="108">
        <v>510</v>
      </c>
      <c r="B131" s="108" t="s">
        <v>567</v>
      </c>
      <c r="C131" s="108" t="s">
        <v>341</v>
      </c>
      <c r="D131" s="109">
        <v>0</v>
      </c>
      <c r="E131" s="107" t="s">
        <v>568</v>
      </c>
    </row>
    <row r="132" spans="1:5" ht="15" x14ac:dyDescent="0.25">
      <c r="A132" s="108">
        <v>511</v>
      </c>
      <c r="B132" s="108" t="s">
        <v>569</v>
      </c>
      <c r="C132" s="108" t="s">
        <v>341</v>
      </c>
      <c r="D132" s="109">
        <v>0</v>
      </c>
      <c r="E132" s="107" t="s">
        <v>570</v>
      </c>
    </row>
    <row r="133" spans="1:5" ht="15" x14ac:dyDescent="0.25">
      <c r="A133" s="108">
        <v>512</v>
      </c>
      <c r="B133" s="108" t="s">
        <v>571</v>
      </c>
      <c r="C133" s="108" t="s">
        <v>322</v>
      </c>
      <c r="D133" s="109">
        <v>0.107493865359</v>
      </c>
      <c r="E133" s="107" t="s">
        <v>572</v>
      </c>
    </row>
    <row r="134" spans="1:5" ht="15" x14ac:dyDescent="0.25">
      <c r="A134" s="108">
        <v>513</v>
      </c>
      <c r="B134" s="108" t="s">
        <v>573</v>
      </c>
      <c r="C134" s="108" t="s">
        <v>322</v>
      </c>
      <c r="D134" s="109">
        <v>0.26453943645099998</v>
      </c>
      <c r="E134" s="107" t="s">
        <v>574</v>
      </c>
    </row>
    <row r="135" spans="1:5" ht="15" x14ac:dyDescent="0.25">
      <c r="A135" s="108">
        <v>514</v>
      </c>
      <c r="B135" s="108" t="s">
        <v>575</v>
      </c>
      <c r="C135" s="108" t="s">
        <v>341</v>
      </c>
      <c r="D135" s="109">
        <v>0</v>
      </c>
      <c r="E135" s="107" t="s">
        <v>576</v>
      </c>
    </row>
    <row r="136" spans="1:5" ht="15" x14ac:dyDescent="0.25">
      <c r="A136" s="108"/>
      <c r="B136" s="108"/>
      <c r="C136" s="108"/>
      <c r="D136" s="109"/>
      <c r="E136" s="107" t="s">
        <v>577</v>
      </c>
    </row>
    <row r="137" spans="1:5" ht="15" x14ac:dyDescent="0.25">
      <c r="A137" s="108">
        <v>516</v>
      </c>
      <c r="B137" s="108" t="s">
        <v>578</v>
      </c>
      <c r="C137" s="108" t="s">
        <v>322</v>
      </c>
      <c r="D137" s="109">
        <v>0.17106021717600001</v>
      </c>
      <c r="E137" s="107" t="s">
        <v>579</v>
      </c>
    </row>
    <row r="138" spans="1:5" ht="15" x14ac:dyDescent="0.25">
      <c r="A138" s="108">
        <v>517</v>
      </c>
      <c r="B138" s="108" t="s">
        <v>580</v>
      </c>
      <c r="C138" s="108" t="s">
        <v>341</v>
      </c>
      <c r="D138" s="109">
        <v>0</v>
      </c>
      <c r="E138" s="107" t="s">
        <v>581</v>
      </c>
    </row>
    <row r="139" spans="1:5" ht="15" x14ac:dyDescent="0.25">
      <c r="A139" s="108">
        <v>518</v>
      </c>
      <c r="B139" s="108" t="s">
        <v>582</v>
      </c>
      <c r="C139" s="108" t="s">
        <v>341</v>
      </c>
      <c r="D139" s="109">
        <v>0</v>
      </c>
      <c r="E139" s="107" t="s">
        <v>583</v>
      </c>
    </row>
    <row r="140" spans="1:5" ht="15" x14ac:dyDescent="0.25">
      <c r="A140" s="108">
        <v>519</v>
      </c>
      <c r="B140" s="108" t="s">
        <v>584</v>
      </c>
      <c r="C140" s="108" t="s">
        <v>322</v>
      </c>
      <c r="D140" s="109">
        <v>-0.35204692353900002</v>
      </c>
      <c r="E140" s="107" t="s">
        <v>585</v>
      </c>
    </row>
    <row r="141" spans="1:5" ht="15" x14ac:dyDescent="0.25">
      <c r="A141" s="108">
        <v>520</v>
      </c>
      <c r="B141" s="108" t="s">
        <v>586</v>
      </c>
      <c r="C141" s="108" t="s">
        <v>341</v>
      </c>
      <c r="D141" s="109">
        <v>0</v>
      </c>
      <c r="E141" s="107" t="s">
        <v>587</v>
      </c>
    </row>
    <row r="142" spans="1:5" ht="15" x14ac:dyDescent="0.25">
      <c r="A142" s="108">
        <v>521</v>
      </c>
      <c r="B142" s="108" t="s">
        <v>588</v>
      </c>
      <c r="C142" s="108" t="s">
        <v>322</v>
      </c>
      <c r="D142" s="109">
        <v>-0.30791030020900001</v>
      </c>
      <c r="E142" s="107" t="s">
        <v>589</v>
      </c>
    </row>
    <row r="143" spans="1:5" ht="15" x14ac:dyDescent="0.25">
      <c r="A143" s="108">
        <v>522</v>
      </c>
      <c r="B143" s="108" t="s">
        <v>590</v>
      </c>
      <c r="C143" s="108" t="s">
        <v>322</v>
      </c>
      <c r="D143" s="109">
        <v>-0.29888855118699997</v>
      </c>
      <c r="E143" s="107" t="s">
        <v>591</v>
      </c>
    </row>
    <row r="144" spans="1:5" ht="15" x14ac:dyDescent="0.25">
      <c r="A144" s="108">
        <v>523</v>
      </c>
      <c r="B144" s="108" t="s">
        <v>592</v>
      </c>
      <c r="C144" s="108" t="s">
        <v>322</v>
      </c>
      <c r="D144" s="109">
        <v>8.0266289956400005E-2</v>
      </c>
      <c r="E144" s="107" t="s">
        <v>593</v>
      </c>
    </row>
    <row r="145" spans="1:5" ht="15" x14ac:dyDescent="0.25">
      <c r="A145" s="108">
        <v>524</v>
      </c>
      <c r="B145" s="108" t="s">
        <v>594</v>
      </c>
      <c r="C145" s="108" t="s">
        <v>341</v>
      </c>
      <c r="D145" s="109">
        <v>0</v>
      </c>
      <c r="E145" s="107" t="s">
        <v>595</v>
      </c>
    </row>
    <row r="146" spans="1:5" ht="15" x14ac:dyDescent="0.25">
      <c r="A146" s="108">
        <v>525</v>
      </c>
      <c r="B146" s="108" t="s">
        <v>596</v>
      </c>
      <c r="C146" s="108" t="s">
        <v>341</v>
      </c>
      <c r="D146" s="109">
        <v>0</v>
      </c>
      <c r="E146" s="107" t="s">
        <v>597</v>
      </c>
    </row>
    <row r="147" spans="1:5" ht="15" x14ac:dyDescent="0.25">
      <c r="A147" s="108">
        <v>526</v>
      </c>
      <c r="B147" s="108" t="s">
        <v>598</v>
      </c>
      <c r="C147" s="108" t="s">
        <v>341</v>
      </c>
      <c r="D147" s="109">
        <v>0</v>
      </c>
      <c r="E147" s="107" t="s">
        <v>599</v>
      </c>
    </row>
    <row r="148" spans="1:5" ht="15" x14ac:dyDescent="0.25">
      <c r="A148" s="108">
        <v>527</v>
      </c>
      <c r="B148" s="108" t="s">
        <v>600</v>
      </c>
      <c r="C148" s="108" t="s">
        <v>341</v>
      </c>
      <c r="D148" s="109">
        <v>0</v>
      </c>
      <c r="E148" s="107" t="s">
        <v>601</v>
      </c>
    </row>
    <row r="149" spans="1:5" ht="15" x14ac:dyDescent="0.25">
      <c r="A149" s="108">
        <v>528</v>
      </c>
      <c r="B149" s="108" t="s">
        <v>602</v>
      </c>
      <c r="C149" s="108" t="s">
        <v>322</v>
      </c>
      <c r="D149" s="109">
        <v>5.4115472884499999E-2</v>
      </c>
      <c r="E149" s="107" t="s">
        <v>601</v>
      </c>
    </row>
    <row r="150" spans="1:5" ht="15" x14ac:dyDescent="0.25">
      <c r="A150" s="108">
        <v>529</v>
      </c>
      <c r="B150" s="108" t="s">
        <v>603</v>
      </c>
      <c r="C150" s="108" t="s">
        <v>322</v>
      </c>
      <c r="D150" s="109">
        <v>-2.8648428481899999E-2</v>
      </c>
      <c r="E150" s="107" t="s">
        <v>601</v>
      </c>
    </row>
    <row r="151" spans="1:5" ht="15" x14ac:dyDescent="0.25">
      <c r="A151" s="108">
        <v>551</v>
      </c>
      <c r="B151" s="108" t="s">
        <v>604</v>
      </c>
      <c r="C151" s="108" t="s">
        <v>341</v>
      </c>
      <c r="D151" s="109">
        <v>0</v>
      </c>
      <c r="E151" s="107" t="s">
        <v>605</v>
      </c>
    </row>
    <row r="152" spans="1:5" ht="15" x14ac:dyDescent="0.25">
      <c r="A152" s="108">
        <v>600</v>
      </c>
      <c r="B152" s="108" t="s">
        <v>606</v>
      </c>
      <c r="C152" s="108" t="s">
        <v>322</v>
      </c>
      <c r="D152" s="113">
        <v>-3.1425534854400001</v>
      </c>
      <c r="E152" s="107" t="s">
        <v>607</v>
      </c>
    </row>
    <row r="153" spans="1:5" ht="15" x14ac:dyDescent="0.25">
      <c r="A153" s="108">
        <v>601</v>
      </c>
      <c r="B153" s="108" t="s">
        <v>608</v>
      </c>
      <c r="C153" s="108" t="s">
        <v>322</v>
      </c>
      <c r="D153" s="113">
        <v>0.46830660861500001</v>
      </c>
      <c r="E153" s="107" t="s">
        <v>609</v>
      </c>
    </row>
    <row r="154" spans="1:5" ht="15" x14ac:dyDescent="0.25">
      <c r="A154" s="108">
        <v>602</v>
      </c>
      <c r="B154" s="108" t="s">
        <v>610</v>
      </c>
      <c r="C154" s="108" t="s">
        <v>322</v>
      </c>
      <c r="D154" s="109">
        <v>-0.25863723025500002</v>
      </c>
      <c r="E154" s="107" t="s">
        <v>611</v>
      </c>
    </row>
    <row r="155" spans="1:5" ht="15" x14ac:dyDescent="0.25">
      <c r="A155" s="108">
        <v>603</v>
      </c>
      <c r="B155" s="108" t="s">
        <v>612</v>
      </c>
      <c r="C155" s="108" t="s">
        <v>341</v>
      </c>
      <c r="D155" s="109">
        <v>0</v>
      </c>
      <c r="E155" s="107" t="s">
        <v>613</v>
      </c>
    </row>
    <row r="156" spans="1:5" ht="15" x14ac:dyDescent="0.25">
      <c r="A156" s="108">
        <v>604</v>
      </c>
      <c r="B156" s="108" t="s">
        <v>614</v>
      </c>
      <c r="C156" s="108" t="s">
        <v>341</v>
      </c>
      <c r="D156" s="109">
        <v>0</v>
      </c>
      <c r="E156" s="107" t="s">
        <v>615</v>
      </c>
    </row>
    <row r="157" spans="1:5" ht="15" x14ac:dyDescent="0.25">
      <c r="A157" s="108">
        <v>605</v>
      </c>
      <c r="B157" s="108" t="s">
        <v>616</v>
      </c>
      <c r="C157" s="108" t="s">
        <v>341</v>
      </c>
      <c r="D157" s="109">
        <v>0</v>
      </c>
      <c r="E157" s="107" t="s">
        <v>617</v>
      </c>
    </row>
    <row r="158" spans="1:5" ht="15" x14ac:dyDescent="0.25">
      <c r="A158" s="108">
        <v>606</v>
      </c>
      <c r="B158" s="108" t="s">
        <v>618</v>
      </c>
      <c r="C158" s="108" t="s">
        <v>322</v>
      </c>
      <c r="D158" s="109">
        <v>-0.43185728271200002</v>
      </c>
      <c r="E158" s="107" t="s">
        <v>619</v>
      </c>
    </row>
    <row r="159" spans="1:5" ht="15" x14ac:dyDescent="0.25">
      <c r="A159" s="108">
        <v>607</v>
      </c>
      <c r="B159" s="108" t="s">
        <v>620</v>
      </c>
      <c r="C159" s="108" t="s">
        <v>322</v>
      </c>
      <c r="D159" s="109">
        <v>-0.761624854909</v>
      </c>
      <c r="E159" s="107" t="s">
        <v>621</v>
      </c>
    </row>
    <row r="160" spans="1:5" ht="15" x14ac:dyDescent="0.25">
      <c r="A160" s="108">
        <v>608</v>
      </c>
      <c r="B160" s="108" t="s">
        <v>622</v>
      </c>
      <c r="C160" s="108" t="s">
        <v>322</v>
      </c>
      <c r="D160" s="109">
        <v>-0.333105150643</v>
      </c>
      <c r="E160" s="107" t="s">
        <v>623</v>
      </c>
    </row>
    <row r="161" spans="1:5" ht="15" x14ac:dyDescent="0.25">
      <c r="A161" s="108">
        <v>609</v>
      </c>
      <c r="B161" s="108" t="s">
        <v>624</v>
      </c>
      <c r="C161" s="108" t="s">
        <v>322</v>
      </c>
      <c r="D161" s="109">
        <v>-0.13926104036799999</v>
      </c>
      <c r="E161" s="107" t="s">
        <v>625</v>
      </c>
    </row>
    <row r="162" spans="1:5" ht="15" x14ac:dyDescent="0.25">
      <c r="A162" s="108">
        <v>610</v>
      </c>
      <c r="B162" s="108" t="s">
        <v>626</v>
      </c>
      <c r="C162" s="108" t="s">
        <v>322</v>
      </c>
      <c r="D162" s="109">
        <v>-0.138284140981</v>
      </c>
      <c r="E162" s="107" t="s">
        <v>627</v>
      </c>
    </row>
    <row r="163" spans="1:5" ht="15" x14ac:dyDescent="0.25">
      <c r="A163" s="108">
        <v>611</v>
      </c>
      <c r="B163" s="108" t="s">
        <v>628</v>
      </c>
      <c r="C163" s="108" t="s">
        <v>341</v>
      </c>
      <c r="D163" s="109">
        <v>0</v>
      </c>
      <c r="E163" s="107" t="s">
        <v>629</v>
      </c>
    </row>
    <row r="164" spans="1:5" ht="15" x14ac:dyDescent="0.25">
      <c r="A164" s="108">
        <v>612</v>
      </c>
      <c r="B164" s="108" t="s">
        <v>630</v>
      </c>
      <c r="C164" s="108" t="s">
        <v>322</v>
      </c>
      <c r="D164" s="109">
        <v>0.113283156875</v>
      </c>
      <c r="E164" s="107" t="s">
        <v>631</v>
      </c>
    </row>
    <row r="165" spans="1:5" ht="15" x14ac:dyDescent="0.25">
      <c r="A165" s="108">
        <v>613</v>
      </c>
      <c r="B165" s="108" t="s">
        <v>632</v>
      </c>
      <c r="C165" s="108" t="s">
        <v>341</v>
      </c>
      <c r="D165" s="109">
        <v>0</v>
      </c>
      <c r="E165" s="107" t="s">
        <v>633</v>
      </c>
    </row>
    <row r="166" spans="1:5" ht="15" x14ac:dyDescent="0.25">
      <c r="A166" s="108">
        <v>614</v>
      </c>
      <c r="B166" s="108" t="s">
        <v>634</v>
      </c>
      <c r="C166" s="108" t="s">
        <v>341</v>
      </c>
      <c r="D166" s="109">
        <v>0</v>
      </c>
      <c r="E166" s="107" t="s">
        <v>635</v>
      </c>
    </row>
    <row r="167" spans="1:5" ht="15" x14ac:dyDescent="0.25">
      <c r="A167" s="108"/>
      <c r="B167" s="108"/>
      <c r="C167" s="108"/>
      <c r="D167" s="109"/>
      <c r="E167" s="107" t="s">
        <v>636</v>
      </c>
    </row>
    <row r="168" spans="1:5" ht="15" x14ac:dyDescent="0.25">
      <c r="A168" s="108">
        <v>616</v>
      </c>
      <c r="B168" s="108" t="s">
        <v>637</v>
      </c>
      <c r="C168" s="108" t="s">
        <v>322</v>
      </c>
      <c r="D168" s="109">
        <v>-0.14819313325899999</v>
      </c>
      <c r="E168" s="107" t="s">
        <v>638</v>
      </c>
    </row>
    <row r="169" spans="1:5" ht="15" x14ac:dyDescent="0.25">
      <c r="A169" s="108">
        <v>617</v>
      </c>
      <c r="B169" s="108" t="s">
        <v>639</v>
      </c>
      <c r="C169" s="108" t="s">
        <v>341</v>
      </c>
      <c r="D169" s="109">
        <v>0</v>
      </c>
      <c r="E169" s="107" t="s">
        <v>640</v>
      </c>
    </row>
    <row r="170" spans="1:5" ht="15" x14ac:dyDescent="0.25">
      <c r="A170" s="108">
        <v>618</v>
      </c>
      <c r="B170" s="108" t="s">
        <v>641</v>
      </c>
      <c r="C170" s="108" t="s">
        <v>322</v>
      </c>
      <c r="D170" s="109">
        <v>-0.77235565857900002</v>
      </c>
      <c r="E170" s="107" t="s">
        <v>642</v>
      </c>
    </row>
    <row r="171" spans="1:5" ht="15" x14ac:dyDescent="0.25">
      <c r="A171" s="108">
        <v>619</v>
      </c>
      <c r="B171" s="108" t="s">
        <v>643</v>
      </c>
      <c r="C171" s="108" t="s">
        <v>341</v>
      </c>
      <c r="D171" s="109">
        <v>0</v>
      </c>
      <c r="E171" s="107" t="s">
        <v>644</v>
      </c>
    </row>
    <row r="172" spans="1:5" ht="15" x14ac:dyDescent="0.25">
      <c r="A172" s="108">
        <v>620</v>
      </c>
      <c r="B172" s="108" t="s">
        <v>645</v>
      </c>
      <c r="C172" s="108" t="s">
        <v>322</v>
      </c>
      <c r="D172" s="109">
        <v>-0.52846389883400002</v>
      </c>
      <c r="E172" s="107" t="s">
        <v>646</v>
      </c>
    </row>
    <row r="173" spans="1:5" ht="15" x14ac:dyDescent="0.25">
      <c r="A173" s="108">
        <v>621</v>
      </c>
      <c r="B173" s="108" t="s">
        <v>647</v>
      </c>
      <c r="C173" s="108" t="s">
        <v>341</v>
      </c>
      <c r="D173" s="109">
        <v>0</v>
      </c>
      <c r="E173" s="107" t="s">
        <v>648</v>
      </c>
    </row>
    <row r="174" spans="1:5" ht="15" x14ac:dyDescent="0.25">
      <c r="A174" s="108">
        <v>622</v>
      </c>
      <c r="B174" s="108" t="s">
        <v>649</v>
      </c>
      <c r="C174" s="108" t="s">
        <v>341</v>
      </c>
      <c r="D174" s="109">
        <v>0</v>
      </c>
      <c r="E174" s="107" t="s">
        <v>650</v>
      </c>
    </row>
    <row r="175" spans="1:5" ht="15" x14ac:dyDescent="0.25">
      <c r="A175" s="108">
        <v>623</v>
      </c>
      <c r="B175" s="108" t="s">
        <v>651</v>
      </c>
      <c r="C175" s="108" t="s">
        <v>341</v>
      </c>
      <c r="D175" s="109">
        <v>0</v>
      </c>
      <c r="E175" s="107" t="s">
        <v>652</v>
      </c>
    </row>
    <row r="176" spans="1:5" ht="15" x14ac:dyDescent="0.25">
      <c r="A176" s="108">
        <v>624</v>
      </c>
      <c r="B176" s="108" t="s">
        <v>653</v>
      </c>
      <c r="C176" s="108" t="s">
        <v>341</v>
      </c>
      <c r="D176" s="109">
        <v>0</v>
      </c>
      <c r="E176" s="107" t="s">
        <v>654</v>
      </c>
    </row>
    <row r="177" spans="1:5" ht="15" x14ac:dyDescent="0.25">
      <c r="A177" s="108">
        <v>625</v>
      </c>
      <c r="B177" s="108" t="s">
        <v>655</v>
      </c>
      <c r="C177" s="108" t="s">
        <v>341</v>
      </c>
      <c r="D177" s="109">
        <v>0</v>
      </c>
      <c r="E177" s="107" t="s">
        <v>656</v>
      </c>
    </row>
    <row r="178" spans="1:5" ht="15" x14ac:dyDescent="0.25">
      <c r="A178" s="108">
        <v>626</v>
      </c>
      <c r="B178" s="108" t="s">
        <v>657</v>
      </c>
      <c r="C178" s="108" t="s">
        <v>341</v>
      </c>
      <c r="D178" s="109">
        <v>0</v>
      </c>
      <c r="E178" s="107" t="s">
        <v>658</v>
      </c>
    </row>
    <row r="179" spans="1:5" ht="15" x14ac:dyDescent="0.25">
      <c r="A179" s="108">
        <v>627</v>
      </c>
      <c r="B179" s="108" t="s">
        <v>659</v>
      </c>
      <c r="C179" s="108" t="s">
        <v>341</v>
      </c>
      <c r="D179" s="109">
        <v>0</v>
      </c>
      <c r="E179" s="107" t="s">
        <v>660</v>
      </c>
    </row>
    <row r="180" spans="1:5" ht="15" x14ac:dyDescent="0.25">
      <c r="A180" s="108">
        <v>628</v>
      </c>
      <c r="B180" s="108" t="s">
        <v>661</v>
      </c>
      <c r="C180" s="108" t="s">
        <v>322</v>
      </c>
      <c r="D180" s="109">
        <v>1.67714133211E-2</v>
      </c>
      <c r="E180" s="107" t="s">
        <v>660</v>
      </c>
    </row>
    <row r="181" spans="1:5" ht="15" x14ac:dyDescent="0.25">
      <c r="A181" s="108">
        <v>629</v>
      </c>
      <c r="B181" s="108" t="s">
        <v>662</v>
      </c>
      <c r="C181" s="108" t="s">
        <v>322</v>
      </c>
      <c r="D181" s="109">
        <v>-5.7462042074900001E-2</v>
      </c>
      <c r="E181" s="107" t="s">
        <v>660</v>
      </c>
    </row>
    <row r="182" spans="1:5" ht="15" x14ac:dyDescent="0.25">
      <c r="A182" s="108">
        <v>651</v>
      </c>
      <c r="B182" s="108" t="s">
        <v>663</v>
      </c>
      <c r="C182" s="108" t="s">
        <v>341</v>
      </c>
      <c r="D182" s="109">
        <v>0</v>
      </c>
      <c r="E182" s="107" t="s">
        <v>664</v>
      </c>
    </row>
    <row r="183" spans="1:5" ht="15" x14ac:dyDescent="0.25">
      <c r="A183" s="108">
        <v>700</v>
      </c>
      <c r="B183" s="108" t="s">
        <v>665</v>
      </c>
      <c r="C183" s="108" t="s">
        <v>322</v>
      </c>
      <c r="D183" s="113">
        <v>-2.2957108102200001</v>
      </c>
      <c r="E183" s="107" t="s">
        <v>666</v>
      </c>
    </row>
    <row r="184" spans="1:5" ht="15" x14ac:dyDescent="0.25">
      <c r="A184" s="108">
        <v>701</v>
      </c>
      <c r="B184" s="108" t="s">
        <v>667</v>
      </c>
      <c r="C184" s="108" t="s">
        <v>322</v>
      </c>
      <c r="D184" s="113">
        <v>1.0435208703700001</v>
      </c>
      <c r="E184" s="107" t="s">
        <v>668</v>
      </c>
    </row>
    <row r="185" spans="1:5" ht="15" x14ac:dyDescent="0.25">
      <c r="A185" s="108">
        <v>702</v>
      </c>
      <c r="B185" s="108" t="s">
        <v>669</v>
      </c>
      <c r="C185" s="108" t="s">
        <v>341</v>
      </c>
      <c r="D185" s="109">
        <v>0</v>
      </c>
      <c r="E185" s="107" t="s">
        <v>670</v>
      </c>
    </row>
    <row r="186" spans="1:5" ht="15" x14ac:dyDescent="0.25">
      <c r="A186" s="108">
        <v>703</v>
      </c>
      <c r="B186" s="108" t="s">
        <v>671</v>
      </c>
      <c r="C186" s="108" t="s">
        <v>341</v>
      </c>
      <c r="D186" s="109">
        <v>0</v>
      </c>
      <c r="E186" s="107" t="s">
        <v>672</v>
      </c>
    </row>
    <row r="187" spans="1:5" ht="15" x14ac:dyDescent="0.25">
      <c r="A187" s="108">
        <v>704</v>
      </c>
      <c r="B187" s="108" t="s">
        <v>673</v>
      </c>
      <c r="C187" s="108" t="s">
        <v>341</v>
      </c>
      <c r="D187" s="109">
        <v>0</v>
      </c>
      <c r="E187" s="107" t="s">
        <v>674</v>
      </c>
    </row>
    <row r="188" spans="1:5" ht="15" x14ac:dyDescent="0.25">
      <c r="A188" s="108">
        <v>705</v>
      </c>
      <c r="B188" s="108" t="s">
        <v>675</v>
      </c>
      <c r="C188" s="108" t="s">
        <v>341</v>
      </c>
      <c r="D188" s="109">
        <v>0</v>
      </c>
      <c r="E188" s="107" t="s">
        <v>676</v>
      </c>
    </row>
    <row r="189" spans="1:5" ht="15" x14ac:dyDescent="0.25">
      <c r="A189" s="108">
        <v>706</v>
      </c>
      <c r="B189" s="108" t="s">
        <v>677</v>
      </c>
      <c r="C189" s="108" t="s">
        <v>341</v>
      </c>
      <c r="D189" s="109">
        <v>0</v>
      </c>
      <c r="E189" s="107" t="s">
        <v>678</v>
      </c>
    </row>
    <row r="190" spans="1:5" ht="15" x14ac:dyDescent="0.25">
      <c r="A190" s="108">
        <v>707</v>
      </c>
      <c r="B190" s="108" t="s">
        <v>679</v>
      </c>
      <c r="C190" s="108" t="s">
        <v>322</v>
      </c>
      <c r="D190" s="109">
        <v>0.32823377068999998</v>
      </c>
      <c r="E190" s="107" t="s">
        <v>680</v>
      </c>
    </row>
    <row r="191" spans="1:5" ht="15" x14ac:dyDescent="0.25">
      <c r="A191" s="108">
        <v>708</v>
      </c>
      <c r="B191" s="108" t="s">
        <v>681</v>
      </c>
      <c r="C191" s="108" t="s">
        <v>322</v>
      </c>
      <c r="D191" s="109">
        <v>0.35139233343499998</v>
      </c>
      <c r="E191" s="107" t="s">
        <v>682</v>
      </c>
    </row>
    <row r="192" spans="1:5" ht="15" x14ac:dyDescent="0.25">
      <c r="A192" s="108">
        <v>709</v>
      </c>
      <c r="B192" s="108" t="s">
        <v>683</v>
      </c>
      <c r="C192" s="108" t="s">
        <v>322</v>
      </c>
      <c r="D192" s="109">
        <v>-0.32863919348999998</v>
      </c>
      <c r="E192" s="107" t="s">
        <v>684</v>
      </c>
    </row>
    <row r="193" spans="1:5" ht="15" x14ac:dyDescent="0.25">
      <c r="A193" s="108">
        <v>710</v>
      </c>
      <c r="B193" s="108" t="s">
        <v>685</v>
      </c>
      <c r="C193" s="108" t="s">
        <v>322</v>
      </c>
      <c r="D193" s="109">
        <v>-0.20972042282600001</v>
      </c>
      <c r="E193" s="107" t="s">
        <v>686</v>
      </c>
    </row>
    <row r="194" spans="1:5" ht="15" x14ac:dyDescent="0.25">
      <c r="A194" s="108">
        <v>711</v>
      </c>
      <c r="B194" s="108" t="s">
        <v>687</v>
      </c>
      <c r="C194" s="108" t="s">
        <v>322</v>
      </c>
      <c r="D194" s="109">
        <v>0.228834456336</v>
      </c>
      <c r="E194" s="107" t="s">
        <v>688</v>
      </c>
    </row>
    <row r="195" spans="1:5" ht="15" x14ac:dyDescent="0.25">
      <c r="A195" s="108">
        <v>712</v>
      </c>
      <c r="B195" s="108" t="s">
        <v>689</v>
      </c>
      <c r="C195" s="108" t="s">
        <v>322</v>
      </c>
      <c r="D195" s="109">
        <v>8.8648559868700003E-2</v>
      </c>
      <c r="E195" s="107" t="s">
        <v>690</v>
      </c>
    </row>
    <row r="196" spans="1:5" ht="15" x14ac:dyDescent="0.25">
      <c r="A196" s="108">
        <v>713</v>
      </c>
      <c r="B196" s="108" t="s">
        <v>691</v>
      </c>
      <c r="C196" s="108" t="s">
        <v>322</v>
      </c>
      <c r="D196" s="109">
        <v>6.1717359063299997E-2</v>
      </c>
      <c r="E196" s="107" t="s">
        <v>692</v>
      </c>
    </row>
    <row r="197" spans="1:5" ht="15" x14ac:dyDescent="0.25">
      <c r="A197" s="108">
        <v>714</v>
      </c>
      <c r="B197" s="108" t="s">
        <v>693</v>
      </c>
      <c r="C197" s="108" t="s">
        <v>341</v>
      </c>
      <c r="D197" s="109">
        <v>0</v>
      </c>
      <c r="E197" s="107" t="s">
        <v>694</v>
      </c>
    </row>
    <row r="198" spans="1:5" ht="15" x14ac:dyDescent="0.25">
      <c r="A198" s="108"/>
      <c r="B198" s="108"/>
      <c r="C198" s="108"/>
      <c r="D198" s="109"/>
      <c r="E198" s="107" t="s">
        <v>695</v>
      </c>
    </row>
    <row r="199" spans="1:5" ht="15" x14ac:dyDescent="0.25">
      <c r="A199" s="108">
        <v>716</v>
      </c>
      <c r="B199" s="108" t="s">
        <v>696</v>
      </c>
      <c r="C199" s="108" t="s">
        <v>341</v>
      </c>
      <c r="D199" s="109">
        <v>0</v>
      </c>
      <c r="E199" s="107" t="s">
        <v>697</v>
      </c>
    </row>
    <row r="200" spans="1:5" ht="15" x14ac:dyDescent="0.25">
      <c r="A200" s="108">
        <v>717</v>
      </c>
      <c r="B200" s="108" t="s">
        <v>698</v>
      </c>
      <c r="C200" s="108" t="s">
        <v>341</v>
      </c>
      <c r="D200" s="109">
        <v>0</v>
      </c>
      <c r="E200" s="107" t="s">
        <v>699</v>
      </c>
    </row>
    <row r="201" spans="1:5" ht="15" x14ac:dyDescent="0.25">
      <c r="A201" s="108">
        <v>718</v>
      </c>
      <c r="B201" s="108" t="s">
        <v>700</v>
      </c>
      <c r="C201" s="108" t="s">
        <v>322</v>
      </c>
      <c r="D201" s="109">
        <v>-0.34857981358700002</v>
      </c>
      <c r="E201" s="107" t="s">
        <v>701</v>
      </c>
    </row>
    <row r="202" spans="1:5" ht="15" x14ac:dyDescent="0.25">
      <c r="A202" s="108">
        <v>719</v>
      </c>
      <c r="B202" s="108" t="s">
        <v>702</v>
      </c>
      <c r="C202" s="108" t="s">
        <v>341</v>
      </c>
      <c r="D202" s="109">
        <v>0</v>
      </c>
      <c r="E202" s="107" t="s">
        <v>703</v>
      </c>
    </row>
    <row r="203" spans="1:5" ht="15" x14ac:dyDescent="0.25">
      <c r="A203" s="108">
        <v>720</v>
      </c>
      <c r="B203" s="108" t="s">
        <v>704</v>
      </c>
      <c r="C203" s="108" t="s">
        <v>322</v>
      </c>
      <c r="D203" s="109">
        <v>-0.37096408844599998</v>
      </c>
      <c r="E203" s="107" t="s">
        <v>705</v>
      </c>
    </row>
    <row r="204" spans="1:5" ht="15" x14ac:dyDescent="0.25">
      <c r="A204" s="108">
        <v>721</v>
      </c>
      <c r="B204" s="108" t="s">
        <v>706</v>
      </c>
      <c r="C204" s="108" t="s">
        <v>341</v>
      </c>
      <c r="D204" s="109">
        <v>0</v>
      </c>
      <c r="E204" s="107" t="s">
        <v>707</v>
      </c>
    </row>
    <row r="205" spans="1:5" ht="15" x14ac:dyDescent="0.25">
      <c r="A205" s="108">
        <v>722</v>
      </c>
      <c r="B205" s="108" t="s">
        <v>708</v>
      </c>
      <c r="C205" s="108" t="s">
        <v>341</v>
      </c>
      <c r="D205" s="109">
        <v>0</v>
      </c>
      <c r="E205" s="107" t="s">
        <v>709</v>
      </c>
    </row>
    <row r="206" spans="1:5" ht="15" x14ac:dyDescent="0.25">
      <c r="A206" s="108">
        <v>723</v>
      </c>
      <c r="B206" s="108" t="s">
        <v>710</v>
      </c>
      <c r="C206" s="108" t="s">
        <v>322</v>
      </c>
      <c r="D206" s="109">
        <v>-0.27446758810600003</v>
      </c>
      <c r="E206" s="107" t="s">
        <v>711</v>
      </c>
    </row>
    <row r="207" spans="1:5" ht="15" x14ac:dyDescent="0.25">
      <c r="A207" s="108">
        <v>724</v>
      </c>
      <c r="B207" s="108" t="s">
        <v>712</v>
      </c>
      <c r="C207" s="108" t="s">
        <v>322</v>
      </c>
      <c r="D207" s="109">
        <v>-0.54557098181399999</v>
      </c>
      <c r="E207" s="107" t="s">
        <v>713</v>
      </c>
    </row>
    <row r="208" spans="1:5" ht="15" x14ac:dyDescent="0.25">
      <c r="A208" s="108">
        <v>725</v>
      </c>
      <c r="B208" s="108" t="s">
        <v>714</v>
      </c>
      <c r="C208" s="108" t="s">
        <v>341</v>
      </c>
      <c r="D208" s="109">
        <v>0</v>
      </c>
      <c r="E208" s="107" t="s">
        <v>715</v>
      </c>
    </row>
    <row r="209" spans="1:5" ht="15" x14ac:dyDescent="0.25">
      <c r="A209" s="108">
        <v>726</v>
      </c>
      <c r="B209" s="108" t="s">
        <v>716</v>
      </c>
      <c r="C209" s="108" t="s">
        <v>341</v>
      </c>
      <c r="D209" s="109">
        <v>0</v>
      </c>
      <c r="E209" s="107" t="s">
        <v>717</v>
      </c>
    </row>
    <row r="210" spans="1:5" ht="15" x14ac:dyDescent="0.25">
      <c r="A210" s="108">
        <v>727</v>
      </c>
      <c r="B210" s="108" t="s">
        <v>718</v>
      </c>
      <c r="C210" s="108" t="s">
        <v>341</v>
      </c>
      <c r="D210" s="109">
        <v>0</v>
      </c>
      <c r="E210" s="107" t="s">
        <v>719</v>
      </c>
    </row>
    <row r="211" spans="1:5" ht="15" x14ac:dyDescent="0.25">
      <c r="A211" s="108">
        <v>728</v>
      </c>
      <c r="B211" s="108" t="s">
        <v>720</v>
      </c>
      <c r="C211" s="108" t="s">
        <v>322</v>
      </c>
      <c r="D211" s="109">
        <v>1.8259670169799999E-2</v>
      </c>
      <c r="E211" s="107" t="s">
        <v>719</v>
      </c>
    </row>
    <row r="212" spans="1:5" ht="15" x14ac:dyDescent="0.25">
      <c r="A212" s="108">
        <v>729</v>
      </c>
      <c r="B212" s="108" t="s">
        <v>721</v>
      </c>
      <c r="C212" s="108" t="s">
        <v>322</v>
      </c>
      <c r="D212" s="109">
        <v>-8.7588819390500006E-2</v>
      </c>
      <c r="E212" s="107" t="s">
        <v>719</v>
      </c>
    </row>
    <row r="213" spans="1:5" ht="15" x14ac:dyDescent="0.25">
      <c r="A213" s="108">
        <v>751</v>
      </c>
      <c r="B213" s="108" t="s">
        <v>722</v>
      </c>
      <c r="C213" s="108" t="s">
        <v>322</v>
      </c>
      <c r="D213" s="109">
        <v>-0.22130910929299999</v>
      </c>
      <c r="E213" s="107" t="s">
        <v>723</v>
      </c>
    </row>
    <row r="214" spans="1:5" ht="15" x14ac:dyDescent="0.25">
      <c r="A214" s="108">
        <v>802</v>
      </c>
      <c r="B214" s="108" t="s">
        <v>724</v>
      </c>
      <c r="C214" s="108" t="s">
        <v>322</v>
      </c>
      <c r="D214" s="109">
        <v>0.60088845647900002</v>
      </c>
      <c r="E214" s="107" t="s">
        <v>725</v>
      </c>
    </row>
    <row r="215" spans="1:5" ht="15" x14ac:dyDescent="0.25">
      <c r="A215" s="108">
        <v>803</v>
      </c>
      <c r="B215" s="108" t="s">
        <v>726</v>
      </c>
      <c r="C215" s="108" t="s">
        <v>322</v>
      </c>
      <c r="D215" s="109">
        <v>0.35497920864400001</v>
      </c>
      <c r="E215" s="107" t="s">
        <v>727</v>
      </c>
    </row>
    <row r="216" spans="1:5" ht="15" x14ac:dyDescent="0.25">
      <c r="A216" s="108">
        <v>804</v>
      </c>
      <c r="B216" s="108" t="s">
        <v>728</v>
      </c>
      <c r="C216" s="108" t="s">
        <v>322</v>
      </c>
      <c r="D216" s="109">
        <v>0.20313273922399999</v>
      </c>
      <c r="E216" s="107" t="s">
        <v>729</v>
      </c>
    </row>
    <row r="217" spans="1:5" ht="15" x14ac:dyDescent="0.25">
      <c r="A217" s="108">
        <v>805</v>
      </c>
      <c r="B217" s="108" t="s">
        <v>730</v>
      </c>
      <c r="C217" s="108" t="s">
        <v>322</v>
      </c>
      <c r="D217" s="109">
        <v>0.36229771955599999</v>
      </c>
      <c r="E217" s="107" t="s">
        <v>731</v>
      </c>
    </row>
    <row r="218" spans="1:5" ht="15" x14ac:dyDescent="0.25">
      <c r="A218" s="108">
        <v>806</v>
      </c>
      <c r="B218" s="108" t="s">
        <v>732</v>
      </c>
      <c r="C218" s="108" t="s">
        <v>322</v>
      </c>
      <c r="D218" s="109">
        <v>0.94922191818599999</v>
      </c>
      <c r="E218" s="107" t="s">
        <v>733</v>
      </c>
    </row>
    <row r="219" spans="1:5" ht="15" x14ac:dyDescent="0.25">
      <c r="A219" s="108">
        <v>807</v>
      </c>
      <c r="B219" s="108" t="s">
        <v>734</v>
      </c>
      <c r="C219" s="108" t="s">
        <v>322</v>
      </c>
      <c r="D219" s="109">
        <v>0.74295703060700002</v>
      </c>
      <c r="E219" s="107" t="s">
        <v>735</v>
      </c>
    </row>
    <row r="220" spans="1:5" ht="15" x14ac:dyDescent="0.25">
      <c r="A220" s="108">
        <v>808</v>
      </c>
      <c r="B220" s="108" t="s">
        <v>736</v>
      </c>
      <c r="C220" s="108" t="s">
        <v>341</v>
      </c>
      <c r="D220" s="109">
        <v>0</v>
      </c>
      <c r="E220" s="107" t="s">
        <v>737</v>
      </c>
    </row>
    <row r="221" spans="1:5" ht="15" x14ac:dyDescent="0.25">
      <c r="A221" s="108">
        <v>809</v>
      </c>
      <c r="B221" s="108" t="s">
        <v>738</v>
      </c>
      <c r="C221" s="108" t="s">
        <v>341</v>
      </c>
      <c r="D221" s="109">
        <v>0</v>
      </c>
      <c r="E221" s="107" t="s">
        <v>739</v>
      </c>
    </row>
    <row r="222" spans="1:5" ht="15" x14ac:dyDescent="0.25">
      <c r="A222" s="108">
        <v>810</v>
      </c>
      <c r="B222" s="108" t="s">
        <v>740</v>
      </c>
      <c r="C222" s="108" t="s">
        <v>341</v>
      </c>
      <c r="D222" s="109">
        <v>0</v>
      </c>
      <c r="E222" s="107" t="s">
        <v>741</v>
      </c>
    </row>
    <row r="223" spans="1:5" ht="15" x14ac:dyDescent="0.25">
      <c r="A223" s="108">
        <v>811</v>
      </c>
      <c r="B223" s="108" t="s">
        <v>742</v>
      </c>
      <c r="C223" s="108" t="s">
        <v>341</v>
      </c>
      <c r="D223" s="109">
        <v>0</v>
      </c>
      <c r="E223" s="107" t="s">
        <v>743</v>
      </c>
    </row>
    <row r="224" spans="1:5" ht="15" x14ac:dyDescent="0.25">
      <c r="A224" s="108">
        <v>812</v>
      </c>
      <c r="B224" s="108" t="s">
        <v>744</v>
      </c>
      <c r="C224" s="108" t="s">
        <v>341</v>
      </c>
      <c r="D224" s="109">
        <v>0</v>
      </c>
      <c r="E224" s="107" t="s">
        <v>745</v>
      </c>
    </row>
    <row r="225" spans="1:5" ht="15" x14ac:dyDescent="0.25">
      <c r="A225" s="108">
        <v>813</v>
      </c>
      <c r="B225" s="108" t="s">
        <v>746</v>
      </c>
      <c r="C225" s="108" t="s">
        <v>341</v>
      </c>
      <c r="D225" s="109">
        <v>0</v>
      </c>
      <c r="E225" s="107" t="s">
        <v>747</v>
      </c>
    </row>
    <row r="226" spans="1:5" ht="15" x14ac:dyDescent="0.25">
      <c r="A226" s="108">
        <v>814</v>
      </c>
      <c r="B226" s="108" t="s">
        <v>748</v>
      </c>
      <c r="C226" s="108" t="s">
        <v>341</v>
      </c>
      <c r="D226" s="109">
        <v>0</v>
      </c>
      <c r="E226" s="107" t="s">
        <v>749</v>
      </c>
    </row>
    <row r="227" spans="1:5" ht="15" x14ac:dyDescent="0.25">
      <c r="A227" s="108"/>
      <c r="B227" s="108"/>
      <c r="C227" s="108"/>
      <c r="D227" s="109"/>
      <c r="E227" s="107" t="s">
        <v>750</v>
      </c>
    </row>
    <row r="228" spans="1:5" ht="15" x14ac:dyDescent="0.25">
      <c r="A228" s="108">
        <v>816</v>
      </c>
      <c r="B228" s="108" t="s">
        <v>751</v>
      </c>
      <c r="C228" s="108" t="s">
        <v>322</v>
      </c>
      <c r="D228" s="109">
        <v>-0.173824856152</v>
      </c>
      <c r="E228" s="107" t="s">
        <v>752</v>
      </c>
    </row>
    <row r="229" spans="1:5" ht="15" x14ac:dyDescent="0.25">
      <c r="A229" s="108">
        <v>817</v>
      </c>
      <c r="B229" s="108" t="s">
        <v>753</v>
      </c>
      <c r="C229" s="108" t="s">
        <v>322</v>
      </c>
      <c r="D229" s="109">
        <v>-0.84168486773899998</v>
      </c>
      <c r="E229" s="107" t="s">
        <v>754</v>
      </c>
    </row>
    <row r="230" spans="1:5" ht="15" x14ac:dyDescent="0.25">
      <c r="A230" s="108">
        <v>818</v>
      </c>
      <c r="B230" s="108" t="s">
        <v>755</v>
      </c>
      <c r="C230" s="108" t="s">
        <v>322</v>
      </c>
      <c r="D230" s="109">
        <v>0.69190233831699999</v>
      </c>
      <c r="E230" s="107" t="s">
        <v>756</v>
      </c>
    </row>
    <row r="231" spans="1:5" ht="15" x14ac:dyDescent="0.25">
      <c r="A231" s="108">
        <v>819</v>
      </c>
      <c r="B231" s="108" t="s">
        <v>757</v>
      </c>
      <c r="C231" s="108" t="s">
        <v>322</v>
      </c>
      <c r="D231" s="109">
        <v>-0.35930557927899998</v>
      </c>
      <c r="E231" s="107" t="s">
        <v>758</v>
      </c>
    </row>
    <row r="232" spans="1:5" ht="15" x14ac:dyDescent="0.25">
      <c r="A232" s="108">
        <v>820</v>
      </c>
      <c r="B232" s="108" t="s">
        <v>759</v>
      </c>
      <c r="C232" s="108" t="s">
        <v>322</v>
      </c>
      <c r="D232" s="109">
        <v>0.61080273357399995</v>
      </c>
      <c r="E232" s="107" t="s">
        <v>760</v>
      </c>
    </row>
    <row r="233" spans="1:5" ht="15" x14ac:dyDescent="0.25">
      <c r="A233" s="108">
        <v>821</v>
      </c>
      <c r="B233" s="108" t="s">
        <v>761</v>
      </c>
      <c r="C233" s="108" t="s">
        <v>322</v>
      </c>
      <c r="D233" s="109">
        <v>0.41956504765899999</v>
      </c>
      <c r="E233" s="107" t="s">
        <v>762</v>
      </c>
    </row>
    <row r="234" spans="1:5" ht="15" x14ac:dyDescent="0.25">
      <c r="A234" s="108">
        <v>822</v>
      </c>
      <c r="B234" s="108" t="s">
        <v>763</v>
      </c>
      <c r="C234" s="108" t="s">
        <v>341</v>
      </c>
      <c r="D234" s="109">
        <v>0</v>
      </c>
      <c r="E234" s="107" t="s">
        <v>764</v>
      </c>
    </row>
    <row r="235" spans="1:5" ht="15" x14ac:dyDescent="0.25">
      <c r="A235" s="108">
        <v>823</v>
      </c>
      <c r="B235" s="108" t="s">
        <v>765</v>
      </c>
      <c r="C235" s="108" t="s">
        <v>341</v>
      </c>
      <c r="D235" s="109">
        <v>0</v>
      </c>
      <c r="E235" s="107" t="s">
        <v>766</v>
      </c>
    </row>
    <row r="236" spans="1:5" ht="15" x14ac:dyDescent="0.25">
      <c r="A236" s="108">
        <v>824</v>
      </c>
      <c r="B236" s="108" t="s">
        <v>767</v>
      </c>
      <c r="C236" s="108" t="s">
        <v>322</v>
      </c>
      <c r="D236" s="109">
        <v>0.58100166113100005</v>
      </c>
      <c r="E236" s="107" t="s">
        <v>768</v>
      </c>
    </row>
    <row r="237" spans="1:5" ht="15" x14ac:dyDescent="0.25">
      <c r="A237" s="108">
        <v>825</v>
      </c>
      <c r="B237" s="108" t="s">
        <v>769</v>
      </c>
      <c r="C237" s="108" t="s">
        <v>341</v>
      </c>
      <c r="D237" s="109">
        <v>0</v>
      </c>
      <c r="E237" s="107" t="s">
        <v>770</v>
      </c>
    </row>
    <row r="238" spans="1:5" ht="15" x14ac:dyDescent="0.25">
      <c r="A238" s="108">
        <v>826</v>
      </c>
      <c r="B238" s="108" t="s">
        <v>771</v>
      </c>
      <c r="C238" s="108" t="s">
        <v>322</v>
      </c>
      <c r="D238" s="109">
        <v>1.2369334111600001E-3</v>
      </c>
      <c r="E238" s="107" t="s">
        <v>772</v>
      </c>
    </row>
    <row r="239" spans="1:5" ht="15" x14ac:dyDescent="0.25">
      <c r="A239" s="108">
        <v>827</v>
      </c>
      <c r="B239" s="108" t="s">
        <v>773</v>
      </c>
      <c r="C239" s="108" t="s">
        <v>322</v>
      </c>
      <c r="D239" s="109">
        <v>3.29179941507E-2</v>
      </c>
      <c r="E239" s="107" t="s">
        <v>774</v>
      </c>
    </row>
    <row r="240" spans="1:5" ht="15" x14ac:dyDescent="0.25">
      <c r="A240" s="108">
        <v>851</v>
      </c>
      <c r="B240" s="108" t="s">
        <v>775</v>
      </c>
      <c r="C240" s="108" t="s">
        <v>341</v>
      </c>
      <c r="D240" s="109">
        <v>0</v>
      </c>
      <c r="E240" s="107" t="s">
        <v>776</v>
      </c>
    </row>
    <row r="241" spans="1:5" ht="15" x14ac:dyDescent="0.25">
      <c r="A241" s="108">
        <v>902</v>
      </c>
      <c r="B241" s="108" t="s">
        <v>777</v>
      </c>
      <c r="C241" s="108" t="s">
        <v>341</v>
      </c>
      <c r="D241" s="109">
        <v>0</v>
      </c>
      <c r="E241" s="107" t="s">
        <v>778</v>
      </c>
    </row>
    <row r="242" spans="1:5" ht="15" x14ac:dyDescent="0.25">
      <c r="A242" s="108">
        <v>903</v>
      </c>
      <c r="B242" s="108" t="s">
        <v>779</v>
      </c>
      <c r="C242" s="108" t="s">
        <v>341</v>
      </c>
      <c r="D242" s="109">
        <v>0</v>
      </c>
      <c r="E242" s="107" t="s">
        <v>780</v>
      </c>
    </row>
    <row r="243" spans="1:5" ht="15" x14ac:dyDescent="0.25">
      <c r="A243" s="108">
        <v>904</v>
      </c>
      <c r="B243" s="108" t="s">
        <v>781</v>
      </c>
      <c r="C243" s="108" t="s">
        <v>341</v>
      </c>
      <c r="D243" s="109">
        <v>0</v>
      </c>
      <c r="E243" s="107" t="s">
        <v>782</v>
      </c>
    </row>
    <row r="244" spans="1:5" ht="15" x14ac:dyDescent="0.25">
      <c r="A244" s="108">
        <v>905</v>
      </c>
      <c r="B244" s="108" t="s">
        <v>783</v>
      </c>
      <c r="C244" s="108" t="s">
        <v>341</v>
      </c>
      <c r="D244" s="109">
        <v>0</v>
      </c>
      <c r="E244" s="107" t="s">
        <v>784</v>
      </c>
    </row>
    <row r="245" spans="1:5" ht="15" x14ac:dyDescent="0.25">
      <c r="A245" s="108">
        <v>906</v>
      </c>
      <c r="B245" s="108" t="s">
        <v>785</v>
      </c>
      <c r="C245" s="108" t="s">
        <v>322</v>
      </c>
      <c r="D245" s="109">
        <v>0.91744825006800002</v>
      </c>
      <c r="E245" s="107" t="s">
        <v>786</v>
      </c>
    </row>
    <row r="246" spans="1:5" ht="15" x14ac:dyDescent="0.25">
      <c r="A246" s="108">
        <v>907</v>
      </c>
      <c r="B246" s="108" t="s">
        <v>787</v>
      </c>
      <c r="C246" s="108" t="s">
        <v>322</v>
      </c>
      <c r="D246" s="109">
        <v>0.210035136712</v>
      </c>
      <c r="E246" s="107" t="s">
        <v>788</v>
      </c>
    </row>
    <row r="247" spans="1:5" ht="15" x14ac:dyDescent="0.25">
      <c r="A247" s="108">
        <v>908</v>
      </c>
      <c r="B247" s="108" t="s">
        <v>789</v>
      </c>
      <c r="C247" s="108" t="s">
        <v>341</v>
      </c>
      <c r="D247" s="109">
        <v>0</v>
      </c>
      <c r="E247" s="107" t="s">
        <v>790</v>
      </c>
    </row>
    <row r="248" spans="1:5" ht="15" x14ac:dyDescent="0.25">
      <c r="A248" s="108">
        <v>909</v>
      </c>
      <c r="B248" s="108" t="s">
        <v>791</v>
      </c>
      <c r="C248" s="108" t="s">
        <v>341</v>
      </c>
      <c r="D248" s="109">
        <v>0</v>
      </c>
      <c r="E248" s="107" t="s">
        <v>792</v>
      </c>
    </row>
    <row r="249" spans="1:5" ht="15" x14ac:dyDescent="0.25">
      <c r="A249" s="108">
        <v>910</v>
      </c>
      <c r="B249" s="108" t="s">
        <v>793</v>
      </c>
      <c r="C249" s="108" t="s">
        <v>341</v>
      </c>
      <c r="D249" s="109">
        <v>0</v>
      </c>
      <c r="E249" s="107" t="s">
        <v>794</v>
      </c>
    </row>
    <row r="250" spans="1:5" ht="15" x14ac:dyDescent="0.25">
      <c r="A250" s="108">
        <v>911</v>
      </c>
      <c r="B250" s="108" t="s">
        <v>795</v>
      </c>
      <c r="C250" s="108" t="s">
        <v>341</v>
      </c>
      <c r="D250" s="109">
        <v>0</v>
      </c>
      <c r="E250" s="107" t="s">
        <v>796</v>
      </c>
    </row>
    <row r="251" spans="1:5" ht="15" x14ac:dyDescent="0.25">
      <c r="A251" s="108">
        <v>912</v>
      </c>
      <c r="B251" s="108" t="s">
        <v>797</v>
      </c>
      <c r="C251" s="108" t="s">
        <v>341</v>
      </c>
      <c r="D251" s="109">
        <v>0</v>
      </c>
      <c r="E251" s="107" t="s">
        <v>798</v>
      </c>
    </row>
    <row r="252" spans="1:5" ht="15" x14ac:dyDescent="0.25">
      <c r="A252" s="108">
        <v>913</v>
      </c>
      <c r="B252" s="108" t="s">
        <v>799</v>
      </c>
      <c r="C252" s="108" t="s">
        <v>341</v>
      </c>
      <c r="D252" s="109">
        <v>0</v>
      </c>
      <c r="E252" s="107" t="s">
        <v>800</v>
      </c>
    </row>
    <row r="253" spans="1:5" ht="15" x14ac:dyDescent="0.25">
      <c r="A253" s="108">
        <v>914</v>
      </c>
      <c r="B253" s="108" t="s">
        <v>801</v>
      </c>
      <c r="C253" s="108" t="s">
        <v>341</v>
      </c>
      <c r="D253" s="109">
        <v>0</v>
      </c>
      <c r="E253" s="107" t="s">
        <v>802</v>
      </c>
    </row>
    <row r="254" spans="1:5" ht="15" x14ac:dyDescent="0.25">
      <c r="A254" s="108"/>
      <c r="B254" s="108"/>
      <c r="C254" s="108"/>
      <c r="D254" s="109"/>
      <c r="E254" s="107" t="s">
        <v>803</v>
      </c>
    </row>
    <row r="255" spans="1:5" ht="15" x14ac:dyDescent="0.25">
      <c r="A255" s="108">
        <v>916</v>
      </c>
      <c r="B255" s="108" t="s">
        <v>804</v>
      </c>
      <c r="C255" s="108" t="s">
        <v>341</v>
      </c>
      <c r="D255" s="109">
        <v>0</v>
      </c>
      <c r="E255" s="107" t="s">
        <v>805</v>
      </c>
    </row>
    <row r="256" spans="1:5" ht="15" x14ac:dyDescent="0.25">
      <c r="A256" s="108">
        <v>917</v>
      </c>
      <c r="B256" s="108" t="s">
        <v>806</v>
      </c>
      <c r="C256" s="108" t="s">
        <v>341</v>
      </c>
      <c r="D256" s="109">
        <v>0</v>
      </c>
      <c r="E256" s="107" t="s">
        <v>807</v>
      </c>
    </row>
    <row r="257" spans="1:5" ht="15" x14ac:dyDescent="0.25">
      <c r="A257" s="108">
        <v>918</v>
      </c>
      <c r="B257" s="108" t="s">
        <v>808</v>
      </c>
      <c r="C257" s="108" t="s">
        <v>341</v>
      </c>
      <c r="D257" s="109">
        <v>0</v>
      </c>
      <c r="E257" s="107" t="s">
        <v>809</v>
      </c>
    </row>
    <row r="258" spans="1:5" ht="15" x14ac:dyDescent="0.25">
      <c r="A258" s="108">
        <v>919</v>
      </c>
      <c r="B258" s="108" t="s">
        <v>810</v>
      </c>
      <c r="C258" s="108" t="s">
        <v>341</v>
      </c>
      <c r="D258" s="109">
        <v>0</v>
      </c>
      <c r="E258" s="107" t="s">
        <v>811</v>
      </c>
    </row>
    <row r="259" spans="1:5" ht="15" x14ac:dyDescent="0.25">
      <c r="A259" s="108">
        <v>920</v>
      </c>
      <c r="B259" s="108" t="s">
        <v>812</v>
      </c>
      <c r="C259" s="108" t="s">
        <v>341</v>
      </c>
      <c r="D259" s="109">
        <v>0</v>
      </c>
      <c r="E259" s="107" t="s">
        <v>813</v>
      </c>
    </row>
    <row r="260" spans="1:5" ht="15" x14ac:dyDescent="0.25">
      <c r="A260" s="108">
        <v>921</v>
      </c>
      <c r="B260" s="108" t="s">
        <v>814</v>
      </c>
      <c r="C260" s="108" t="s">
        <v>341</v>
      </c>
      <c r="D260" s="109">
        <v>0</v>
      </c>
      <c r="E260" s="107" t="s">
        <v>815</v>
      </c>
    </row>
    <row r="261" spans="1:5" ht="15" x14ac:dyDescent="0.25">
      <c r="A261" s="108">
        <v>922</v>
      </c>
      <c r="B261" s="108" t="s">
        <v>816</v>
      </c>
      <c r="C261" s="108" t="s">
        <v>341</v>
      </c>
      <c r="D261" s="109">
        <v>0</v>
      </c>
      <c r="E261" s="107" t="s">
        <v>817</v>
      </c>
    </row>
    <row r="262" spans="1:5" ht="15" x14ac:dyDescent="0.25">
      <c r="A262" s="108">
        <v>923</v>
      </c>
      <c r="B262" s="108" t="s">
        <v>818</v>
      </c>
      <c r="C262" s="108" t="s">
        <v>341</v>
      </c>
      <c r="D262" s="109">
        <v>0</v>
      </c>
      <c r="E262" s="107" t="s">
        <v>819</v>
      </c>
    </row>
    <row r="263" spans="1:5" ht="15" x14ac:dyDescent="0.25">
      <c r="A263" s="108">
        <v>924</v>
      </c>
      <c r="B263" s="108" t="s">
        <v>820</v>
      </c>
      <c r="C263" s="108" t="s">
        <v>322</v>
      </c>
      <c r="D263" s="109">
        <v>0.25647966370500003</v>
      </c>
      <c r="E263" s="107" t="s">
        <v>821</v>
      </c>
    </row>
    <row r="264" spans="1:5" ht="15" x14ac:dyDescent="0.25">
      <c r="A264" s="108">
        <v>925</v>
      </c>
      <c r="B264" s="108" t="s">
        <v>822</v>
      </c>
      <c r="C264" s="108" t="s">
        <v>341</v>
      </c>
      <c r="D264" s="109">
        <v>0</v>
      </c>
      <c r="E264" s="107" t="s">
        <v>823</v>
      </c>
    </row>
    <row r="265" spans="1:5" ht="15" x14ac:dyDescent="0.25">
      <c r="A265" s="108">
        <v>926</v>
      </c>
      <c r="B265" s="108" t="s">
        <v>824</v>
      </c>
      <c r="C265" s="108" t="s">
        <v>341</v>
      </c>
      <c r="D265" s="109">
        <v>0</v>
      </c>
      <c r="E265" s="107" t="s">
        <v>825</v>
      </c>
    </row>
    <row r="266" spans="1:5" ht="15" x14ac:dyDescent="0.25">
      <c r="A266" s="108">
        <v>927</v>
      </c>
      <c r="B266" s="108" t="s">
        <v>826</v>
      </c>
      <c r="C266" s="108" t="s">
        <v>341</v>
      </c>
      <c r="D266" s="109">
        <v>0</v>
      </c>
      <c r="E266" s="107" t="s">
        <v>827</v>
      </c>
    </row>
    <row r="267" spans="1:5" ht="15" x14ac:dyDescent="0.25">
      <c r="A267" s="108">
        <v>951</v>
      </c>
      <c r="B267" s="108" t="s">
        <v>828</v>
      </c>
      <c r="C267" s="108" t="s">
        <v>341</v>
      </c>
      <c r="D267" s="109">
        <v>0</v>
      </c>
      <c r="E267" s="107" t="s">
        <v>829</v>
      </c>
    </row>
    <row r="268" spans="1:5" ht="15" x14ac:dyDescent="0.25">
      <c r="A268" s="108">
        <v>1010</v>
      </c>
      <c r="B268" s="108" t="s">
        <v>830</v>
      </c>
      <c r="C268" s="108" t="s">
        <v>322</v>
      </c>
      <c r="D268" s="109">
        <v>0.62022844943300004</v>
      </c>
      <c r="E268" s="107" t="s">
        <v>831</v>
      </c>
    </row>
    <row r="269" spans="1:5" ht="15" x14ac:dyDescent="0.25">
      <c r="A269" s="108">
        <v>1011</v>
      </c>
      <c r="B269" s="108" t="s">
        <v>832</v>
      </c>
      <c r="C269" s="108" t="s">
        <v>322</v>
      </c>
      <c r="D269" s="109">
        <v>-0.92628874550499996</v>
      </c>
      <c r="E269" s="107" t="s">
        <v>833</v>
      </c>
    </row>
    <row r="270" spans="1:5" ht="15" x14ac:dyDescent="0.25">
      <c r="A270" s="108">
        <v>1012</v>
      </c>
      <c r="B270" s="108" t="s">
        <v>834</v>
      </c>
      <c r="C270" s="108" t="s">
        <v>322</v>
      </c>
      <c r="D270" s="109">
        <v>0.122962438174</v>
      </c>
      <c r="E270" s="107" t="s">
        <v>835</v>
      </c>
    </row>
    <row r="271" spans="1:5" ht="15" x14ac:dyDescent="0.25">
      <c r="A271" s="108">
        <v>1013</v>
      </c>
      <c r="B271" s="108" t="s">
        <v>836</v>
      </c>
      <c r="C271" s="108" t="s">
        <v>322</v>
      </c>
      <c r="D271" s="109">
        <v>0.99129580194</v>
      </c>
      <c r="E271" s="107" t="s">
        <v>837</v>
      </c>
    </row>
    <row r="272" spans="1:5" ht="15" x14ac:dyDescent="0.25">
      <c r="A272" s="108">
        <v>1014</v>
      </c>
      <c r="B272" s="108" t="s">
        <v>838</v>
      </c>
      <c r="C272" s="108" t="s">
        <v>322</v>
      </c>
      <c r="D272" s="109">
        <v>-0.25742972486600002</v>
      </c>
      <c r="E272" s="107" t="s">
        <v>839</v>
      </c>
    </row>
    <row r="273" spans="1:5" ht="15" x14ac:dyDescent="0.25">
      <c r="A273" s="108">
        <v>1015</v>
      </c>
      <c r="B273" s="108" t="s">
        <v>840</v>
      </c>
      <c r="C273" s="108" t="s">
        <v>322</v>
      </c>
      <c r="D273" s="109">
        <v>-0.15509922944400001</v>
      </c>
      <c r="E273" s="107" t="s">
        <v>841</v>
      </c>
    </row>
    <row r="274" spans="1:5" ht="15" x14ac:dyDescent="0.25">
      <c r="A274" s="108">
        <v>1016</v>
      </c>
      <c r="B274" s="108" t="s">
        <v>842</v>
      </c>
      <c r="C274" s="108" t="s">
        <v>322</v>
      </c>
      <c r="D274" s="109">
        <v>0.47377553160399999</v>
      </c>
      <c r="E274" s="107" t="s">
        <v>843</v>
      </c>
    </row>
    <row r="275" spans="1:5" ht="15" x14ac:dyDescent="0.25">
      <c r="A275" s="108"/>
      <c r="B275" s="108"/>
      <c r="C275" s="108"/>
      <c r="D275" s="109"/>
      <c r="E275" s="107" t="s">
        <v>844</v>
      </c>
    </row>
    <row r="276" spans="1:5" ht="15" x14ac:dyDescent="0.25">
      <c r="A276" s="108">
        <v>1018</v>
      </c>
      <c r="B276" s="108" t="s">
        <v>845</v>
      </c>
      <c r="C276" s="108" t="s">
        <v>322</v>
      </c>
      <c r="D276" s="109">
        <v>-2.9680946238400001E-2</v>
      </c>
      <c r="E276" s="107" t="s">
        <v>846</v>
      </c>
    </row>
    <row r="277" spans="1:5" ht="15" x14ac:dyDescent="0.25">
      <c r="A277" s="108">
        <v>1019</v>
      </c>
      <c r="B277" s="108" t="s">
        <v>847</v>
      </c>
      <c r="C277" s="108" t="s">
        <v>322</v>
      </c>
      <c r="D277" s="109">
        <v>-5.7505183079299999E-2</v>
      </c>
      <c r="E277" s="107" t="s">
        <v>848</v>
      </c>
    </row>
    <row r="278" spans="1:5" ht="15" x14ac:dyDescent="0.25">
      <c r="A278" s="108">
        <v>1020</v>
      </c>
      <c r="B278" s="108" t="s">
        <v>849</v>
      </c>
      <c r="C278" s="108" t="s">
        <v>322</v>
      </c>
      <c r="D278" s="109">
        <v>0.83467013855500005</v>
      </c>
      <c r="E278" s="107" t="s">
        <v>850</v>
      </c>
    </row>
    <row r="279" spans="1:5" ht="15" x14ac:dyDescent="0.25">
      <c r="A279" s="108">
        <v>1021</v>
      </c>
      <c r="B279" s="108" t="s">
        <v>851</v>
      </c>
      <c r="C279" s="108" t="s">
        <v>322</v>
      </c>
      <c r="D279" s="109">
        <v>2.49151431122E-2</v>
      </c>
      <c r="E279" s="107" t="s">
        <v>852</v>
      </c>
    </row>
    <row r="280" spans="1:5" ht="15" x14ac:dyDescent="0.25">
      <c r="A280" s="108">
        <v>1022</v>
      </c>
      <c r="B280" s="108" t="s">
        <v>853</v>
      </c>
      <c r="C280" s="108" t="s">
        <v>322</v>
      </c>
      <c r="D280" s="109">
        <v>-0.44455279214999999</v>
      </c>
      <c r="E280" s="107" t="s">
        <v>854</v>
      </c>
    </row>
    <row r="281" spans="1:5" ht="15" x14ac:dyDescent="0.25">
      <c r="A281" s="108">
        <v>1023</v>
      </c>
      <c r="B281" s="108" t="s">
        <v>855</v>
      </c>
      <c r="C281" s="108" t="s">
        <v>322</v>
      </c>
      <c r="D281" s="109">
        <v>1.0220867657699999</v>
      </c>
      <c r="E281" s="107" t="s">
        <v>856</v>
      </c>
    </row>
    <row r="282" spans="1:5" ht="15" x14ac:dyDescent="0.25">
      <c r="A282" s="108">
        <v>1024</v>
      </c>
      <c r="B282" s="108" t="s">
        <v>857</v>
      </c>
      <c r="C282" s="108" t="s">
        <v>322</v>
      </c>
      <c r="D282" s="109">
        <v>-0.51603342620100001</v>
      </c>
      <c r="E282" s="107" t="s">
        <v>858</v>
      </c>
    </row>
    <row r="283" spans="1:5" ht="15" x14ac:dyDescent="0.25">
      <c r="A283" s="108">
        <v>1025</v>
      </c>
      <c r="B283" s="108" t="s">
        <v>859</v>
      </c>
      <c r="C283" s="108" t="s">
        <v>322</v>
      </c>
      <c r="D283" s="109">
        <v>-0.557817023548</v>
      </c>
      <c r="E283" s="107" t="s">
        <v>860</v>
      </c>
    </row>
    <row r="284" spans="1:5" ht="15" x14ac:dyDescent="0.25">
      <c r="A284" s="108">
        <v>1026</v>
      </c>
      <c r="B284" s="108" t="s">
        <v>861</v>
      </c>
      <c r="C284" s="108" t="s">
        <v>322</v>
      </c>
      <c r="D284" s="109">
        <v>-0.33987264769100001</v>
      </c>
      <c r="E284" s="107" t="s">
        <v>862</v>
      </c>
    </row>
    <row r="285" spans="1:5" ht="15" x14ac:dyDescent="0.25">
      <c r="A285" s="108">
        <v>1028</v>
      </c>
      <c r="B285" s="108" t="s">
        <v>863</v>
      </c>
      <c r="C285" s="108" t="s">
        <v>322</v>
      </c>
      <c r="D285" s="109">
        <v>-5.8386949563200001E-2</v>
      </c>
      <c r="E285" s="107" t="s">
        <v>864</v>
      </c>
    </row>
    <row r="286" spans="1:5" ht="15" x14ac:dyDescent="0.25">
      <c r="A286" s="108">
        <v>1029</v>
      </c>
      <c r="B286" s="108" t="s">
        <v>865</v>
      </c>
      <c r="C286" s="108" t="s">
        <v>341</v>
      </c>
      <c r="D286" s="109">
        <v>0</v>
      </c>
      <c r="E286" s="107" t="s">
        <v>866</v>
      </c>
    </row>
    <row r="287" spans="1:5" ht="15" x14ac:dyDescent="0.25">
      <c r="A287" s="108">
        <v>1033</v>
      </c>
      <c r="B287" s="108" t="s">
        <v>867</v>
      </c>
      <c r="C287" s="108" t="s">
        <v>322</v>
      </c>
      <c r="D287" s="109">
        <v>2.4065371787399998</v>
      </c>
      <c r="E287" s="107" t="s">
        <v>868</v>
      </c>
    </row>
    <row r="288" spans="1:5" ht="15" x14ac:dyDescent="0.25">
      <c r="A288" s="108">
        <v>1034</v>
      </c>
      <c r="B288" s="108" t="s">
        <v>869</v>
      </c>
      <c r="C288" s="108" t="s">
        <v>322</v>
      </c>
      <c r="D288" s="109">
        <v>0.41307512360999998</v>
      </c>
      <c r="E288" s="107" t="s">
        <v>870</v>
      </c>
    </row>
    <row r="289" spans="1:5" ht="15" x14ac:dyDescent="0.25">
      <c r="A289" s="108">
        <v>1035</v>
      </c>
      <c r="B289" s="108" t="s">
        <v>871</v>
      </c>
      <c r="C289" s="108" t="s">
        <v>322</v>
      </c>
      <c r="D289" s="109">
        <v>0.36473610060099998</v>
      </c>
      <c r="E289" s="107" t="s">
        <v>872</v>
      </c>
    </row>
    <row r="290" spans="1:5" ht="15" x14ac:dyDescent="0.25">
      <c r="A290" s="108">
        <v>1036</v>
      </c>
      <c r="B290" s="108" t="s">
        <v>873</v>
      </c>
      <c r="C290" s="108" t="s">
        <v>322</v>
      </c>
      <c r="D290" s="109">
        <v>0.58814808101500005</v>
      </c>
      <c r="E290" s="107" t="s">
        <v>874</v>
      </c>
    </row>
    <row r="291" spans="1:5" ht="15" x14ac:dyDescent="0.25">
      <c r="A291" s="108">
        <v>1043</v>
      </c>
      <c r="B291" s="108" t="s">
        <v>875</v>
      </c>
      <c r="C291" s="108" t="s">
        <v>322</v>
      </c>
      <c r="D291" s="109">
        <v>-0.55052394285899997</v>
      </c>
      <c r="E291" s="107" t="s">
        <v>876</v>
      </c>
    </row>
    <row r="292" spans="1:5" ht="15" x14ac:dyDescent="0.25">
      <c r="A292" s="108">
        <v>1044</v>
      </c>
      <c r="B292" s="108" t="s">
        <v>877</v>
      </c>
      <c r="C292" s="108" t="s">
        <v>322</v>
      </c>
      <c r="D292" s="109">
        <v>0.41985546286199998</v>
      </c>
      <c r="E292" s="107" t="s">
        <v>878</v>
      </c>
    </row>
    <row r="293" spans="1:5" ht="15" x14ac:dyDescent="0.25">
      <c r="A293" s="108">
        <v>1045</v>
      </c>
      <c r="B293" s="108" t="s">
        <v>879</v>
      </c>
      <c r="C293" s="108" t="s">
        <v>322</v>
      </c>
      <c r="D293" s="109">
        <v>0.14835781039000001</v>
      </c>
      <c r="E293" s="107" t="s">
        <v>880</v>
      </c>
    </row>
    <row r="294" spans="1:5" ht="15" x14ac:dyDescent="0.25">
      <c r="A294" s="108">
        <v>1046</v>
      </c>
      <c r="B294" s="108" t="s">
        <v>881</v>
      </c>
      <c r="C294" s="108" t="s">
        <v>322</v>
      </c>
      <c r="D294" s="109">
        <v>0.249023546515</v>
      </c>
      <c r="E294" s="107" t="s">
        <v>882</v>
      </c>
    </row>
    <row r="295" spans="1:5" ht="15" x14ac:dyDescent="0.25">
      <c r="A295" s="108">
        <v>1053</v>
      </c>
      <c r="B295" s="108" t="s">
        <v>883</v>
      </c>
      <c r="C295" s="108" t="s">
        <v>322</v>
      </c>
      <c r="D295" s="109">
        <v>-0.39976593946</v>
      </c>
      <c r="E295" s="107" t="s">
        <v>884</v>
      </c>
    </row>
    <row r="296" spans="1:5" ht="15" x14ac:dyDescent="0.25">
      <c r="A296" s="108">
        <v>1054</v>
      </c>
      <c r="B296" s="108" t="s">
        <v>885</v>
      </c>
      <c r="C296" s="108" t="s">
        <v>322</v>
      </c>
      <c r="D296" s="109">
        <v>0.190721848</v>
      </c>
      <c r="E296" s="107" t="s">
        <v>886</v>
      </c>
    </row>
    <row r="297" spans="1:5" ht="15" x14ac:dyDescent="0.25">
      <c r="A297" s="108">
        <v>1055</v>
      </c>
      <c r="B297" s="108" t="s">
        <v>887</v>
      </c>
      <c r="C297" s="108" t="s">
        <v>322</v>
      </c>
      <c r="D297" s="109">
        <v>0.77322220290999999</v>
      </c>
      <c r="E297" s="107" t="s">
        <v>888</v>
      </c>
    </row>
    <row r="298" spans="1:5" ht="15" x14ac:dyDescent="0.25">
      <c r="A298" s="108">
        <v>1056</v>
      </c>
      <c r="B298" s="108" t="s">
        <v>889</v>
      </c>
      <c r="C298" s="108" t="s">
        <v>322</v>
      </c>
      <c r="D298" s="109">
        <v>-0.30132160266000002</v>
      </c>
      <c r="E298" s="107" t="s">
        <v>890</v>
      </c>
    </row>
    <row r="299" spans="1:5" ht="15" x14ac:dyDescent="0.25">
      <c r="A299" s="108">
        <v>1063</v>
      </c>
      <c r="B299" s="108" t="s">
        <v>891</v>
      </c>
      <c r="C299" s="108" t="s">
        <v>322</v>
      </c>
      <c r="D299" s="109">
        <v>-8.1217959165099995E-2</v>
      </c>
      <c r="E299" s="107" t="s">
        <v>892</v>
      </c>
    </row>
    <row r="300" spans="1:5" ht="15" x14ac:dyDescent="0.25">
      <c r="A300" s="108">
        <v>1064</v>
      </c>
      <c r="B300" s="108" t="s">
        <v>893</v>
      </c>
      <c r="C300" s="108" t="s">
        <v>322</v>
      </c>
      <c r="D300" s="109">
        <v>0.22551013394899999</v>
      </c>
      <c r="E300" s="107" t="s">
        <v>894</v>
      </c>
    </row>
    <row r="301" spans="1:5" ht="15" x14ac:dyDescent="0.25">
      <c r="A301" s="108">
        <v>1065</v>
      </c>
      <c r="B301" s="108" t="s">
        <v>895</v>
      </c>
      <c r="C301" s="108" t="s">
        <v>322</v>
      </c>
      <c r="D301" s="109">
        <v>0.30120956241699998</v>
      </c>
      <c r="E301" s="107" t="s">
        <v>896</v>
      </c>
    </row>
    <row r="302" spans="1:5" ht="15" x14ac:dyDescent="0.25">
      <c r="A302" s="108">
        <v>1066</v>
      </c>
      <c r="B302" s="108" t="s">
        <v>897</v>
      </c>
      <c r="C302" s="108" t="s">
        <v>322</v>
      </c>
      <c r="D302" s="109">
        <v>-0.14627640169</v>
      </c>
      <c r="E302" s="107" t="s">
        <v>898</v>
      </c>
    </row>
    <row r="303" spans="1:5" ht="15" x14ac:dyDescent="0.25">
      <c r="A303" s="108">
        <v>1073</v>
      </c>
      <c r="B303" s="108" t="s">
        <v>899</v>
      </c>
      <c r="C303" s="108" t="s">
        <v>322</v>
      </c>
      <c r="D303" s="109">
        <v>-0.55358196334700005</v>
      </c>
      <c r="E303" s="107" t="s">
        <v>900</v>
      </c>
    </row>
    <row r="304" spans="1:5" ht="15" x14ac:dyDescent="0.25">
      <c r="A304" s="108">
        <v>1074</v>
      </c>
      <c r="B304" s="108" t="s">
        <v>901</v>
      </c>
      <c r="C304" s="108" t="s">
        <v>322</v>
      </c>
      <c r="D304" s="109">
        <v>-6.9330556773299995E-2</v>
      </c>
      <c r="E304" s="107" t="s">
        <v>902</v>
      </c>
    </row>
    <row r="305" spans="1:5" ht="15" x14ac:dyDescent="0.25">
      <c r="A305" s="108">
        <v>1075</v>
      </c>
      <c r="B305" s="108" t="s">
        <v>903</v>
      </c>
      <c r="C305" s="108" t="s">
        <v>322</v>
      </c>
      <c r="D305" s="109">
        <v>0.112518585229</v>
      </c>
      <c r="E305" s="107" t="s">
        <v>904</v>
      </c>
    </row>
    <row r="306" spans="1:5" ht="15" x14ac:dyDescent="0.25">
      <c r="A306" s="108">
        <v>1076</v>
      </c>
      <c r="B306" s="108" t="s">
        <v>905</v>
      </c>
      <c r="C306" s="108" t="s">
        <v>322</v>
      </c>
      <c r="D306" s="109">
        <v>0.42259980050599999</v>
      </c>
      <c r="E306" s="107" t="s">
        <v>906</v>
      </c>
    </row>
    <row r="307" spans="1:5" ht="15" x14ac:dyDescent="0.25">
      <c r="A307" s="108">
        <v>1112</v>
      </c>
      <c r="B307" s="108" t="s">
        <v>907</v>
      </c>
      <c r="C307" s="108" t="s">
        <v>322</v>
      </c>
      <c r="D307" s="109">
        <v>-1.5159667569199999</v>
      </c>
      <c r="E307" s="107" t="s">
        <v>908</v>
      </c>
    </row>
    <row r="308" spans="1:5" ht="15" x14ac:dyDescent="0.25">
      <c r="A308" s="108">
        <v>1113</v>
      </c>
      <c r="B308" s="108" t="s">
        <v>909</v>
      </c>
      <c r="C308" s="108" t="s">
        <v>322</v>
      </c>
      <c r="D308" s="109">
        <v>-1.25860017038</v>
      </c>
      <c r="E308" s="107" t="s">
        <v>910</v>
      </c>
    </row>
    <row r="309" spans="1:5" ht="15" x14ac:dyDescent="0.25">
      <c r="A309" s="108">
        <v>1114</v>
      </c>
      <c r="B309" s="108" t="s">
        <v>911</v>
      </c>
      <c r="C309" s="108" t="s">
        <v>322</v>
      </c>
      <c r="D309" s="109">
        <v>-0.98798477919399996</v>
      </c>
      <c r="E309" s="107" t="s">
        <v>912</v>
      </c>
    </row>
    <row r="310" spans="1:5" ht="15" x14ac:dyDescent="0.25">
      <c r="A310" s="108">
        <v>1115</v>
      </c>
      <c r="B310" s="108" t="s">
        <v>913</v>
      </c>
      <c r="C310" s="108" t="s">
        <v>322</v>
      </c>
      <c r="D310" s="109">
        <v>-0.85516042207999998</v>
      </c>
      <c r="E310" s="107" t="s">
        <v>914</v>
      </c>
    </row>
    <row r="311" spans="1:5" ht="15" x14ac:dyDescent="0.25">
      <c r="A311" s="108">
        <v>1116</v>
      </c>
      <c r="B311" s="108" t="s">
        <v>915</v>
      </c>
      <c r="C311" s="108" t="s">
        <v>322</v>
      </c>
      <c r="D311" s="109">
        <v>-0.43795874111499999</v>
      </c>
      <c r="E311" s="107" t="s">
        <v>916</v>
      </c>
    </row>
    <row r="312" spans="1:5" ht="15" x14ac:dyDescent="0.25">
      <c r="A312" s="108">
        <v>1117</v>
      </c>
      <c r="B312" s="108" t="s">
        <v>917</v>
      </c>
      <c r="C312" s="108" t="s">
        <v>322</v>
      </c>
      <c r="D312" s="109">
        <v>-0.46612496709000001</v>
      </c>
      <c r="E312" s="107" t="s">
        <v>918</v>
      </c>
    </row>
    <row r="313" spans="1:5" ht="15" x14ac:dyDescent="0.25">
      <c r="A313" s="108">
        <v>1123</v>
      </c>
      <c r="B313" s="108" t="s">
        <v>919</v>
      </c>
      <c r="C313" s="108" t="s">
        <v>322</v>
      </c>
      <c r="D313" s="109">
        <v>-1.3137469667199999</v>
      </c>
      <c r="E313" s="107" t="s">
        <v>920</v>
      </c>
    </row>
    <row r="314" spans="1:5" ht="15" x14ac:dyDescent="0.25">
      <c r="A314" s="108">
        <v>1124</v>
      </c>
      <c r="B314" s="108" t="s">
        <v>921</v>
      </c>
      <c r="C314" s="108" t="s">
        <v>322</v>
      </c>
      <c r="D314" s="109">
        <v>-0.74461563958900001</v>
      </c>
      <c r="E314" s="107" t="s">
        <v>922</v>
      </c>
    </row>
    <row r="315" spans="1:5" ht="15" x14ac:dyDescent="0.25">
      <c r="A315" s="108">
        <v>1125</v>
      </c>
      <c r="B315" s="108" t="s">
        <v>923</v>
      </c>
      <c r="C315" s="108" t="s">
        <v>322</v>
      </c>
      <c r="D315" s="109">
        <v>-0.72233741176900002</v>
      </c>
      <c r="E315" s="107" t="s">
        <v>924</v>
      </c>
    </row>
    <row r="316" spans="1:5" ht="15" x14ac:dyDescent="0.25">
      <c r="A316" s="108">
        <v>1126</v>
      </c>
      <c r="B316" s="108" t="s">
        <v>925</v>
      </c>
      <c r="C316" s="108" t="s">
        <v>322</v>
      </c>
      <c r="D316" s="109">
        <v>-0.508145526987</v>
      </c>
      <c r="E316" s="107" t="s">
        <v>926</v>
      </c>
    </row>
    <row r="317" spans="1:5" ht="15" x14ac:dyDescent="0.25">
      <c r="A317" s="108">
        <v>1127</v>
      </c>
      <c r="B317" s="108" t="s">
        <v>927</v>
      </c>
      <c r="C317" s="108" t="s">
        <v>322</v>
      </c>
      <c r="D317" s="109">
        <v>-0.48686652386000001</v>
      </c>
      <c r="E317" s="107" t="s">
        <v>928</v>
      </c>
    </row>
    <row r="318" spans="1:5" ht="15" x14ac:dyDescent="0.25">
      <c r="A318" s="108">
        <v>1134</v>
      </c>
      <c r="B318" s="108" t="s">
        <v>929</v>
      </c>
      <c r="C318" s="108" t="s">
        <v>322</v>
      </c>
      <c r="D318" s="109">
        <v>0.398720034916</v>
      </c>
      <c r="E318" s="107" t="s">
        <v>930</v>
      </c>
    </row>
    <row r="319" spans="1:5" ht="15" x14ac:dyDescent="0.25">
      <c r="A319" s="108">
        <v>1135</v>
      </c>
      <c r="B319" s="108" t="s">
        <v>931</v>
      </c>
      <c r="C319" s="108" t="s">
        <v>322</v>
      </c>
      <c r="D319" s="109">
        <v>-6.6189123184200005E-2</v>
      </c>
      <c r="E319" s="107" t="s">
        <v>932</v>
      </c>
    </row>
    <row r="320" spans="1:5" ht="15" x14ac:dyDescent="0.25">
      <c r="A320" s="108">
        <v>1136</v>
      </c>
      <c r="B320" s="108" t="s">
        <v>933</v>
      </c>
      <c r="C320" s="108" t="s">
        <v>322</v>
      </c>
      <c r="D320" s="109">
        <v>-7.8918781693600004E-2</v>
      </c>
      <c r="E320" s="107" t="s">
        <v>934</v>
      </c>
    </row>
    <row r="321" spans="1:5" ht="15" x14ac:dyDescent="0.25">
      <c r="A321" s="108">
        <v>1137</v>
      </c>
      <c r="B321" s="108" t="s">
        <v>935</v>
      </c>
      <c r="C321" s="108" t="s">
        <v>322</v>
      </c>
      <c r="D321" s="109">
        <v>0.243957855541</v>
      </c>
      <c r="E321" s="107" t="s">
        <v>936</v>
      </c>
    </row>
    <row r="322" spans="1:5" ht="15" x14ac:dyDescent="0.25">
      <c r="A322" s="108">
        <v>1145</v>
      </c>
      <c r="B322" s="108" t="s">
        <v>937</v>
      </c>
      <c r="C322" s="108" t="s">
        <v>322</v>
      </c>
      <c r="D322" s="109">
        <v>1.14376676225E-2</v>
      </c>
      <c r="E322" s="107" t="s">
        <v>938</v>
      </c>
    </row>
    <row r="323" spans="1:5" ht="15" x14ac:dyDescent="0.25">
      <c r="A323" s="108">
        <v>1146</v>
      </c>
      <c r="B323" s="108" t="s">
        <v>939</v>
      </c>
      <c r="C323" s="108" t="s">
        <v>322</v>
      </c>
      <c r="D323" s="109">
        <v>0.307184455794</v>
      </c>
      <c r="E323" s="107" t="s">
        <v>940</v>
      </c>
    </row>
    <row r="324" spans="1:5" ht="15" x14ac:dyDescent="0.25">
      <c r="A324" s="108">
        <v>1147</v>
      </c>
      <c r="B324" s="108" t="s">
        <v>941</v>
      </c>
      <c r="C324" s="108" t="s">
        <v>322</v>
      </c>
      <c r="D324" s="109">
        <v>-0.12329005178999999</v>
      </c>
      <c r="E324" s="107" t="s">
        <v>942</v>
      </c>
    </row>
    <row r="325" spans="1:5" ht="15" x14ac:dyDescent="0.25">
      <c r="A325" s="108">
        <v>1156</v>
      </c>
      <c r="B325" s="108" t="s">
        <v>943</v>
      </c>
      <c r="C325" s="108" t="s">
        <v>322</v>
      </c>
      <c r="D325" s="109">
        <v>-0.38573730080200003</v>
      </c>
      <c r="E325" s="107" t="s">
        <v>944</v>
      </c>
    </row>
    <row r="326" spans="1:5" ht="15" x14ac:dyDescent="0.25">
      <c r="A326" s="108">
        <v>1157</v>
      </c>
      <c r="B326" s="108" t="s">
        <v>945</v>
      </c>
      <c r="C326" s="108" t="s">
        <v>322</v>
      </c>
      <c r="D326" s="109">
        <v>6.2103537354600002E-2</v>
      </c>
      <c r="E326" s="107" t="s">
        <v>946</v>
      </c>
    </row>
    <row r="327" spans="1:5" ht="15" x14ac:dyDescent="0.25">
      <c r="A327" s="108">
        <v>1213</v>
      </c>
      <c r="B327" s="108" t="s">
        <v>947</v>
      </c>
      <c r="C327" s="108" t="s">
        <v>322</v>
      </c>
      <c r="D327" s="109">
        <v>-1.4107824825799999</v>
      </c>
      <c r="E327" s="107" t="s">
        <v>948</v>
      </c>
    </row>
    <row r="328" spans="1:5" ht="15" x14ac:dyDescent="0.25">
      <c r="A328" s="108">
        <v>1214</v>
      </c>
      <c r="B328" s="108" t="s">
        <v>949</v>
      </c>
      <c r="C328" s="108" t="s">
        <v>322</v>
      </c>
      <c r="D328" s="109">
        <v>-0.67028757194199995</v>
      </c>
      <c r="E328" s="107" t="s">
        <v>950</v>
      </c>
    </row>
    <row r="329" spans="1:5" ht="15" x14ac:dyDescent="0.25">
      <c r="A329" s="108">
        <v>1215</v>
      </c>
      <c r="B329" s="108" t="s">
        <v>951</v>
      </c>
      <c r="C329" s="108" t="s">
        <v>322</v>
      </c>
      <c r="D329" s="109">
        <v>-0.69688193970800005</v>
      </c>
      <c r="E329" s="107" t="s">
        <v>952</v>
      </c>
    </row>
    <row r="330" spans="1:5" ht="15" x14ac:dyDescent="0.25">
      <c r="A330" s="108">
        <v>1216</v>
      </c>
      <c r="B330" s="108" t="s">
        <v>953</v>
      </c>
      <c r="C330" s="108" t="s">
        <v>322</v>
      </c>
      <c r="D330" s="109">
        <v>-0.50289966674099995</v>
      </c>
      <c r="E330" s="107" t="s">
        <v>954</v>
      </c>
    </row>
    <row r="331" spans="1:5" ht="15" x14ac:dyDescent="0.25">
      <c r="A331" s="108">
        <v>1217</v>
      </c>
      <c r="B331" s="108" t="s">
        <v>955</v>
      </c>
      <c r="C331" s="108" t="s">
        <v>322</v>
      </c>
      <c r="D331" s="109">
        <v>-0.99588152693599996</v>
      </c>
      <c r="E331" s="107" t="s">
        <v>956</v>
      </c>
    </row>
    <row r="332" spans="1:5" ht="15" x14ac:dyDescent="0.25">
      <c r="A332" s="108">
        <v>1223</v>
      </c>
      <c r="B332" s="108" t="s">
        <v>957</v>
      </c>
      <c r="C332" s="108" t="s">
        <v>322</v>
      </c>
      <c r="D332" s="109">
        <v>-1.15884229352</v>
      </c>
      <c r="E332" s="107" t="s">
        <v>958</v>
      </c>
    </row>
    <row r="333" spans="1:5" ht="15" x14ac:dyDescent="0.25">
      <c r="A333" s="108">
        <v>1224</v>
      </c>
      <c r="B333" s="108" t="s">
        <v>959</v>
      </c>
      <c r="C333" s="108" t="s">
        <v>322</v>
      </c>
      <c r="D333" s="109">
        <v>-0.41315925356400002</v>
      </c>
      <c r="E333" s="107" t="s">
        <v>960</v>
      </c>
    </row>
    <row r="334" spans="1:5" ht="15" x14ac:dyDescent="0.25">
      <c r="A334" s="108">
        <v>1225</v>
      </c>
      <c r="B334" s="108" t="s">
        <v>961</v>
      </c>
      <c r="C334" s="108" t="s">
        <v>322</v>
      </c>
      <c r="D334" s="109">
        <v>-1.1781073092900001</v>
      </c>
      <c r="E334" s="107" t="s">
        <v>962</v>
      </c>
    </row>
    <row r="335" spans="1:5" ht="15" x14ac:dyDescent="0.25">
      <c r="A335" s="108">
        <v>1226</v>
      </c>
      <c r="B335" s="108" t="s">
        <v>963</v>
      </c>
      <c r="C335" s="108" t="s">
        <v>322</v>
      </c>
      <c r="D335" s="109">
        <v>0.41808528217399998</v>
      </c>
      <c r="E335" s="107" t="s">
        <v>964</v>
      </c>
    </row>
    <row r="336" spans="1:5" ht="15" x14ac:dyDescent="0.25">
      <c r="A336" s="108">
        <v>1227</v>
      </c>
      <c r="B336" s="108" t="s">
        <v>965</v>
      </c>
      <c r="C336" s="108" t="s">
        <v>322</v>
      </c>
      <c r="D336" s="109">
        <v>-0.23909838973600001</v>
      </c>
      <c r="E336" s="107" t="s">
        <v>966</v>
      </c>
    </row>
    <row r="337" spans="1:5" ht="15" x14ac:dyDescent="0.25">
      <c r="A337" s="108">
        <v>1234</v>
      </c>
      <c r="B337" s="108" t="s">
        <v>967</v>
      </c>
      <c r="C337" s="108" t="s">
        <v>322</v>
      </c>
      <c r="D337" s="109">
        <v>-0.53250623547800002</v>
      </c>
      <c r="E337" s="107" t="s">
        <v>968</v>
      </c>
    </row>
    <row r="338" spans="1:5" ht="15" x14ac:dyDescent="0.25">
      <c r="A338" s="108">
        <v>1235</v>
      </c>
      <c r="B338" s="108" t="s">
        <v>969</v>
      </c>
      <c r="C338" s="108" t="s">
        <v>322</v>
      </c>
      <c r="D338" s="109">
        <v>-0.73781638945000005</v>
      </c>
      <c r="E338" s="107" t="s">
        <v>970</v>
      </c>
    </row>
    <row r="339" spans="1:5" ht="15" x14ac:dyDescent="0.25">
      <c r="A339" s="108">
        <v>1236</v>
      </c>
      <c r="B339" s="108" t="s">
        <v>971</v>
      </c>
      <c r="C339" s="108" t="s">
        <v>322</v>
      </c>
      <c r="D339" s="109">
        <v>-0.39225286756099997</v>
      </c>
      <c r="E339" s="107" t="s">
        <v>972</v>
      </c>
    </row>
    <row r="340" spans="1:5" ht="15" x14ac:dyDescent="0.25">
      <c r="A340" s="108">
        <v>1237</v>
      </c>
      <c r="B340" s="108" t="s">
        <v>973</v>
      </c>
      <c r="C340" s="108" t="s">
        <v>322</v>
      </c>
      <c r="D340" s="109">
        <v>-0.20531482124200001</v>
      </c>
      <c r="E340" s="107" t="s">
        <v>974</v>
      </c>
    </row>
    <row r="341" spans="1:5" ht="15" x14ac:dyDescent="0.25">
      <c r="A341" s="108">
        <v>1245</v>
      </c>
      <c r="B341" s="108" t="s">
        <v>975</v>
      </c>
      <c r="C341" s="108" t="s">
        <v>322</v>
      </c>
      <c r="D341" s="109">
        <v>-0.17779072526699999</v>
      </c>
      <c r="E341" s="107" t="s">
        <v>976</v>
      </c>
    </row>
    <row r="342" spans="1:5" ht="15" x14ac:dyDescent="0.25">
      <c r="A342" s="108">
        <v>1246</v>
      </c>
      <c r="B342" s="108" t="s">
        <v>977</v>
      </c>
      <c r="C342" s="108" t="s">
        <v>322</v>
      </c>
      <c r="D342" s="109">
        <v>-0.47229190428099999</v>
      </c>
      <c r="E342" s="107" t="s">
        <v>978</v>
      </c>
    </row>
    <row r="343" spans="1:5" ht="15" x14ac:dyDescent="0.25">
      <c r="A343" s="108">
        <v>1247</v>
      </c>
      <c r="B343" s="108" t="s">
        <v>979</v>
      </c>
      <c r="C343" s="108" t="s">
        <v>322</v>
      </c>
      <c r="D343" s="109">
        <v>-0.702095060341</v>
      </c>
      <c r="E343" s="107" t="s">
        <v>980</v>
      </c>
    </row>
    <row r="344" spans="1:5" ht="15" x14ac:dyDescent="0.25">
      <c r="A344" s="108">
        <v>1256</v>
      </c>
      <c r="B344" s="108" t="s">
        <v>981</v>
      </c>
      <c r="C344" s="108" t="s">
        <v>322</v>
      </c>
      <c r="D344" s="109">
        <v>-0.46940031431700002</v>
      </c>
      <c r="E344" s="107" t="s">
        <v>982</v>
      </c>
    </row>
    <row r="345" spans="1:5" ht="15" x14ac:dyDescent="0.25">
      <c r="A345" s="108">
        <v>1257</v>
      </c>
      <c r="B345" s="108" t="s">
        <v>983</v>
      </c>
      <c r="C345" s="108" t="s">
        <v>322</v>
      </c>
      <c r="D345" s="109">
        <v>-0.63882592744199995</v>
      </c>
      <c r="E345" s="107" t="s">
        <v>984</v>
      </c>
    </row>
    <row r="346" spans="1:5" ht="15" x14ac:dyDescent="0.25">
      <c r="A346" s="108">
        <v>1311</v>
      </c>
      <c r="B346" s="108" t="s">
        <v>985</v>
      </c>
      <c r="C346" s="108" t="s">
        <v>322</v>
      </c>
      <c r="D346" s="113">
        <v>-3.23294475912</v>
      </c>
      <c r="E346" s="107" t="s">
        <v>986</v>
      </c>
    </row>
    <row r="347" spans="1:5" ht="15" x14ac:dyDescent="0.25">
      <c r="A347" s="108">
        <v>1312</v>
      </c>
      <c r="B347" s="108" t="s">
        <v>987</v>
      </c>
      <c r="C347" s="108" t="s">
        <v>322</v>
      </c>
      <c r="D347" s="113">
        <v>-4.9079128005400001</v>
      </c>
      <c r="E347" s="107" t="s">
        <v>988</v>
      </c>
    </row>
    <row r="348" spans="1:5" ht="15" x14ac:dyDescent="0.25">
      <c r="A348" s="108">
        <v>1313</v>
      </c>
      <c r="B348" s="108" t="s">
        <v>989</v>
      </c>
      <c r="C348" s="108" t="s">
        <v>322</v>
      </c>
      <c r="D348" s="113">
        <v>-5.5245256889299998</v>
      </c>
      <c r="E348" s="107" t="s">
        <v>990</v>
      </c>
    </row>
    <row r="349" spans="1:5" ht="15" x14ac:dyDescent="0.25">
      <c r="A349" s="108">
        <v>1321</v>
      </c>
      <c r="B349" s="108" t="s">
        <v>991</v>
      </c>
      <c r="C349" s="108" t="s">
        <v>322</v>
      </c>
      <c r="D349" s="113">
        <v>-3.0694184685499999</v>
      </c>
      <c r="E349" s="107" t="s">
        <v>992</v>
      </c>
    </row>
    <row r="350" spans="1:5" ht="15" x14ac:dyDescent="0.25">
      <c r="A350" s="108">
        <v>1322</v>
      </c>
      <c r="B350" s="108" t="s">
        <v>993</v>
      </c>
      <c r="C350" s="108" t="s">
        <v>322</v>
      </c>
      <c r="D350" s="113">
        <v>-4.6893655781000003</v>
      </c>
      <c r="E350" s="107" t="s">
        <v>994</v>
      </c>
    </row>
    <row r="351" spans="1:5" ht="15" x14ac:dyDescent="0.25">
      <c r="A351" s="108">
        <v>1323</v>
      </c>
      <c r="B351" s="108" t="s">
        <v>995</v>
      </c>
      <c r="C351" s="108" t="s">
        <v>322</v>
      </c>
      <c r="D351" s="113">
        <v>-5.2945530060500001</v>
      </c>
      <c r="E351" s="107" t="s">
        <v>996</v>
      </c>
    </row>
    <row r="352" spans="1:5" ht="15" x14ac:dyDescent="0.25">
      <c r="A352" s="108">
        <v>1331</v>
      </c>
      <c r="B352" s="108" t="s">
        <v>997</v>
      </c>
      <c r="C352" s="108" t="s">
        <v>322</v>
      </c>
      <c r="D352" s="113">
        <v>-2.8060943842600001</v>
      </c>
      <c r="E352" s="107" t="s">
        <v>998</v>
      </c>
    </row>
    <row r="353" spans="1:5" ht="15" x14ac:dyDescent="0.25">
      <c r="A353" s="108">
        <v>1332</v>
      </c>
      <c r="B353" s="108" t="s">
        <v>999</v>
      </c>
      <c r="C353" s="108" t="s">
        <v>322</v>
      </c>
      <c r="D353" s="113">
        <v>-4.5280142445599996</v>
      </c>
      <c r="E353" s="107" t="s">
        <v>1000</v>
      </c>
    </row>
    <row r="354" spans="1:5" ht="15" x14ac:dyDescent="0.25">
      <c r="A354" s="108">
        <v>1401</v>
      </c>
      <c r="B354" s="108" t="s">
        <v>1001</v>
      </c>
      <c r="C354" s="108" t="s">
        <v>322</v>
      </c>
      <c r="D354" s="109">
        <v>9.2723414770299994E-2</v>
      </c>
      <c r="E354" s="107" t="s">
        <v>1002</v>
      </c>
    </row>
    <row r="355" spans="1:5" ht="15" x14ac:dyDescent="0.25">
      <c r="A355" s="108">
        <v>1402</v>
      </c>
      <c r="B355" s="108" t="s">
        <v>1003</v>
      </c>
      <c r="C355" s="108" t="s">
        <v>322</v>
      </c>
      <c r="D355" s="109">
        <v>0.25636973171499999</v>
      </c>
      <c r="E355" s="107" t="s">
        <v>1004</v>
      </c>
    </row>
    <row r="356" spans="1:5" ht="15" x14ac:dyDescent="0.25">
      <c r="A356" s="108">
        <v>1403</v>
      </c>
      <c r="B356" s="108" t="s">
        <v>1005</v>
      </c>
      <c r="C356" s="108" t="s">
        <v>322</v>
      </c>
      <c r="D356" s="109">
        <v>0.46539161270599999</v>
      </c>
      <c r="E356" s="107" t="s">
        <v>1006</v>
      </c>
    </row>
    <row r="357" spans="1:5" ht="15" x14ac:dyDescent="0.25">
      <c r="A357" s="108">
        <v>1404</v>
      </c>
      <c r="B357" s="108" t="s">
        <v>1007</v>
      </c>
      <c r="C357" s="108" t="s">
        <v>322</v>
      </c>
      <c r="D357" s="109">
        <v>-0.81558723264099997</v>
      </c>
      <c r="E357" s="107" t="s">
        <v>1008</v>
      </c>
    </row>
    <row r="358" spans="1:5" ht="15" x14ac:dyDescent="0.25">
      <c r="A358" s="108">
        <v>1405</v>
      </c>
      <c r="B358" s="108" t="s">
        <v>1009</v>
      </c>
      <c r="C358" s="108" t="s">
        <v>322</v>
      </c>
      <c r="D358" s="109">
        <v>-3.5031756741299998E-2</v>
      </c>
      <c r="E358" s="107" t="s">
        <v>1010</v>
      </c>
    </row>
    <row r="359" spans="1:5" ht="15" x14ac:dyDescent="0.25">
      <c r="A359" s="108">
        <v>1411</v>
      </c>
      <c r="B359" s="108" t="s">
        <v>1011</v>
      </c>
      <c r="C359" s="108" t="s">
        <v>322</v>
      </c>
      <c r="D359" s="109">
        <v>0.27709867578399999</v>
      </c>
      <c r="E359" s="107" t="s">
        <v>1012</v>
      </c>
    </row>
    <row r="360" spans="1:5" ht="15" x14ac:dyDescent="0.25">
      <c r="A360" s="108">
        <v>1412</v>
      </c>
      <c r="B360" s="108" t="s">
        <v>1013</v>
      </c>
      <c r="C360" s="108" t="s">
        <v>322</v>
      </c>
      <c r="D360" s="109">
        <v>0.230643528391</v>
      </c>
      <c r="E360" s="107" t="s">
        <v>1014</v>
      </c>
    </row>
    <row r="361" spans="1:5" ht="15" x14ac:dyDescent="0.25">
      <c r="A361" s="108">
        <v>1413</v>
      </c>
      <c r="B361" s="108" t="s">
        <v>1015</v>
      </c>
      <c r="C361" s="108" t="s">
        <v>322</v>
      </c>
      <c r="D361" s="109">
        <v>-0.13102011246199999</v>
      </c>
      <c r="E361" s="107" t="s">
        <v>1016</v>
      </c>
    </row>
    <row r="362" spans="1:5" ht="15" x14ac:dyDescent="0.25">
      <c r="A362" s="108">
        <v>1414</v>
      </c>
      <c r="B362" s="108" t="s">
        <v>1017</v>
      </c>
      <c r="C362" s="108" t="s">
        <v>322</v>
      </c>
      <c r="D362" s="109">
        <v>0.55615704919099995</v>
      </c>
      <c r="E362" s="107" t="s">
        <v>1018</v>
      </c>
    </row>
    <row r="363" spans="1:5" ht="15" x14ac:dyDescent="0.25">
      <c r="A363" s="108">
        <v>1415</v>
      </c>
      <c r="B363" s="108" t="s">
        <v>1019</v>
      </c>
      <c r="C363" s="108" t="s">
        <v>322</v>
      </c>
      <c r="D363" s="109">
        <v>1.26703424977E-2</v>
      </c>
      <c r="E363" s="107" t="s">
        <v>1020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FFFF00"/>
  </sheetPr>
  <dimension ref="A1:O7294"/>
  <sheetViews>
    <sheetView zoomScaleNormal="100" workbookViewId="0">
      <selection activeCell="B12" sqref="B12"/>
    </sheetView>
  </sheetViews>
  <sheetFormatPr defaultColWidth="9" defaultRowHeight="15" x14ac:dyDescent="0.25"/>
  <cols>
    <col min="1" max="14" width="9" style="115" collapsed="1"/>
    <col min="15" max="15" width="14.5" style="115" customWidth="1" collapsed="1"/>
    <col min="16" max="16384" width="9" style="115" collapsed="1"/>
  </cols>
  <sheetData>
    <row r="1" spans="1:15" x14ac:dyDescent="0.25">
      <c r="A1" s="198" t="s">
        <v>1022</v>
      </c>
      <c r="B1" s="199"/>
      <c r="C1" s="199"/>
      <c r="D1" s="199"/>
      <c r="E1" s="199"/>
      <c r="F1" s="199"/>
      <c r="G1" s="199"/>
      <c r="H1" s="199" t="s">
        <v>1023</v>
      </c>
      <c r="I1" s="199"/>
      <c r="J1" s="199"/>
      <c r="K1" s="199"/>
      <c r="L1" s="199"/>
      <c r="M1" s="199"/>
      <c r="N1" s="199"/>
      <c r="O1" s="200"/>
    </row>
    <row r="2" spans="1:15" x14ac:dyDescent="0.25">
      <c r="A2" s="201">
        <v>1</v>
      </c>
      <c r="B2" s="202" t="s">
        <v>10834</v>
      </c>
      <c r="C2" s="202"/>
      <c r="D2" s="202"/>
      <c r="E2" s="202"/>
      <c r="F2" s="202"/>
      <c r="G2" s="202"/>
      <c r="H2" s="202"/>
      <c r="I2" s="202"/>
      <c r="J2" s="202"/>
      <c r="K2" s="202"/>
      <c r="L2" s="202"/>
      <c r="M2" s="202"/>
      <c r="N2" s="202"/>
      <c r="O2" s="203"/>
    </row>
    <row r="3" spans="1:15" x14ac:dyDescent="0.25">
      <c r="A3" s="201">
        <v>2</v>
      </c>
      <c r="B3" s="202" t="s">
        <v>1024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3"/>
    </row>
    <row r="4" spans="1:15" x14ac:dyDescent="0.25">
      <c r="A4" s="201">
        <v>3</v>
      </c>
      <c r="B4" s="202" t="s">
        <v>1025</v>
      </c>
      <c r="C4" s="202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02"/>
      <c r="O4" s="203"/>
    </row>
    <row r="5" spans="1:15" x14ac:dyDescent="0.25">
      <c r="A5" s="201">
        <v>4</v>
      </c>
      <c r="B5" s="202" t="s">
        <v>1032</v>
      </c>
      <c r="C5" s="202"/>
      <c r="D5" s="202"/>
      <c r="E5" s="202"/>
      <c r="F5" s="202"/>
      <c r="G5" s="202"/>
      <c r="H5" s="202"/>
      <c r="I5" s="202"/>
      <c r="J5" s="202"/>
      <c r="K5" s="202"/>
      <c r="L5" s="202"/>
      <c r="M5" s="202"/>
      <c r="N5" s="202"/>
      <c r="O5" s="203"/>
    </row>
    <row r="6" spans="1:15" x14ac:dyDescent="0.25">
      <c r="A6" s="206" t="s">
        <v>10851</v>
      </c>
      <c r="B6" s="204" t="s">
        <v>10852</v>
      </c>
      <c r="C6" s="204"/>
      <c r="D6" s="204"/>
      <c r="E6" s="204"/>
      <c r="F6" s="204"/>
      <c r="G6" s="204"/>
      <c r="H6" s="204"/>
      <c r="I6" s="204"/>
      <c r="J6" s="204"/>
      <c r="K6" s="204"/>
      <c r="L6" s="204"/>
      <c r="M6" s="204"/>
      <c r="N6" s="204"/>
      <c r="O6" s="205"/>
    </row>
    <row r="8" spans="1:15" x14ac:dyDescent="0.25">
      <c r="A8" s="115" t="s">
        <v>1690</v>
      </c>
      <c r="B8" s="115" t="s">
        <v>1691</v>
      </c>
      <c r="C8" s="115" t="s">
        <v>1692</v>
      </c>
      <c r="D8" s="115" t="s">
        <v>1693</v>
      </c>
    </row>
    <row r="9" spans="1:15" x14ac:dyDescent="0.25">
      <c r="A9" s="115" t="s">
        <v>1134</v>
      </c>
      <c r="B9" s="115" t="s">
        <v>1135</v>
      </c>
      <c r="C9" s="115" t="s">
        <v>1136</v>
      </c>
      <c r="D9" s="115" t="s">
        <v>1137</v>
      </c>
      <c r="E9" s="115" t="s">
        <v>1694</v>
      </c>
      <c r="F9" s="116"/>
    </row>
    <row r="10" spans="1:15" x14ac:dyDescent="0.25">
      <c r="A10" s="115" t="s">
        <v>316</v>
      </c>
    </row>
    <row r="11" spans="1:15" x14ac:dyDescent="0.25">
      <c r="A11" s="115">
        <v>100</v>
      </c>
      <c r="B11" s="115" t="s">
        <v>321</v>
      </c>
      <c r="C11" s="115" t="s">
        <v>322</v>
      </c>
      <c r="D11" s="115">
        <v>0.758976817686</v>
      </c>
      <c r="E11" s="117">
        <v>7.4789885838999995E-2</v>
      </c>
      <c r="F11" s="117"/>
    </row>
    <row r="12" spans="1:15" x14ac:dyDescent="0.25">
      <c r="A12" s="115">
        <v>101</v>
      </c>
      <c r="B12" s="115" t="s">
        <v>324</v>
      </c>
      <c r="C12" s="115" t="s">
        <v>322</v>
      </c>
      <c r="D12" s="115">
        <v>-0.54592920592799998</v>
      </c>
      <c r="E12" s="115">
        <v>0.47747979215899999</v>
      </c>
    </row>
    <row r="13" spans="1:15" x14ac:dyDescent="0.25">
      <c r="A13" s="115">
        <v>102</v>
      </c>
      <c r="B13" s="115" t="s">
        <v>326</v>
      </c>
      <c r="C13" s="115" t="s">
        <v>322</v>
      </c>
      <c r="D13" s="115">
        <v>-1.3062598161100001</v>
      </c>
      <c r="E13" s="117">
        <v>7.4406391713899997E-2</v>
      </c>
      <c r="F13" s="117"/>
    </row>
    <row r="14" spans="1:15" x14ac:dyDescent="0.25">
      <c r="A14" s="115">
        <v>105</v>
      </c>
      <c r="B14" s="115" t="s">
        <v>328</v>
      </c>
      <c r="C14" s="115" t="s">
        <v>322</v>
      </c>
      <c r="D14" s="115">
        <v>9.5</v>
      </c>
      <c r="E14" s="115">
        <v>0.16270788367899999</v>
      </c>
    </row>
    <row r="15" spans="1:15" x14ac:dyDescent="0.25">
      <c r="A15" s="115">
        <v>106</v>
      </c>
      <c r="B15" s="115" t="s">
        <v>330</v>
      </c>
      <c r="C15" s="115" t="s">
        <v>341</v>
      </c>
      <c r="D15" s="115">
        <v>-1.3932</v>
      </c>
      <c r="E15" s="115">
        <v>0</v>
      </c>
    </row>
    <row r="16" spans="1:15" x14ac:dyDescent="0.25">
      <c r="A16" s="115">
        <v>109</v>
      </c>
      <c r="B16" s="115" t="s">
        <v>332</v>
      </c>
      <c r="C16" s="115" t="s">
        <v>341</v>
      </c>
      <c r="D16" s="115">
        <v>-0.35</v>
      </c>
      <c r="E16" s="115">
        <v>0</v>
      </c>
    </row>
    <row r="17" spans="1:6" x14ac:dyDescent="0.25">
      <c r="A17" s="115">
        <v>110</v>
      </c>
      <c r="B17" s="115" t="s">
        <v>334</v>
      </c>
      <c r="C17" s="115" t="s">
        <v>322</v>
      </c>
      <c r="D17" s="115">
        <v>0.116716171556</v>
      </c>
      <c r="E17" s="117">
        <v>8.5742488224899993E-2</v>
      </c>
      <c r="F17" s="117"/>
    </row>
    <row r="18" spans="1:6" x14ac:dyDescent="0.25">
      <c r="A18" s="115">
        <v>111</v>
      </c>
      <c r="B18" s="115" t="s">
        <v>336</v>
      </c>
      <c r="C18" s="115" t="s">
        <v>341</v>
      </c>
      <c r="D18" s="117">
        <v>0</v>
      </c>
      <c r="E18" s="117">
        <v>0</v>
      </c>
      <c r="F18" s="117"/>
    </row>
    <row r="19" spans="1:6" x14ac:dyDescent="0.25">
      <c r="A19" s="115">
        <v>112</v>
      </c>
      <c r="B19" s="115" t="s">
        <v>338</v>
      </c>
      <c r="C19" s="115" t="s">
        <v>322</v>
      </c>
      <c r="D19" s="117">
        <v>8.7571558659900003E-2</v>
      </c>
      <c r="E19" s="117">
        <v>7.0068639817200004E-2</v>
      </c>
      <c r="F19" s="117"/>
    </row>
    <row r="20" spans="1:6" x14ac:dyDescent="0.25">
      <c r="A20" s="115">
        <v>113</v>
      </c>
      <c r="B20" s="115" t="s">
        <v>340</v>
      </c>
      <c r="C20" s="115" t="s">
        <v>341</v>
      </c>
      <c r="D20" s="115">
        <v>0</v>
      </c>
      <c r="E20" s="115">
        <v>0</v>
      </c>
    </row>
    <row r="21" spans="1:6" x14ac:dyDescent="0.25">
      <c r="A21" s="115">
        <v>114</v>
      </c>
      <c r="B21" s="115" t="s">
        <v>343</v>
      </c>
      <c r="C21" s="115" t="s">
        <v>341</v>
      </c>
      <c r="D21" s="115">
        <v>0</v>
      </c>
      <c r="E21" s="115">
        <v>0</v>
      </c>
    </row>
    <row r="22" spans="1:6" x14ac:dyDescent="0.25">
      <c r="A22" s="115">
        <v>116</v>
      </c>
      <c r="B22" s="115" t="s">
        <v>345</v>
      </c>
      <c r="C22" s="115" t="s">
        <v>341</v>
      </c>
      <c r="D22" s="117">
        <v>0</v>
      </c>
      <c r="E22" s="117">
        <v>0</v>
      </c>
      <c r="F22" s="117"/>
    </row>
    <row r="23" spans="1:6" x14ac:dyDescent="0.25">
      <c r="A23" s="115">
        <v>117</v>
      </c>
      <c r="B23" s="115" t="s">
        <v>347</v>
      </c>
      <c r="C23" s="115" t="s">
        <v>322</v>
      </c>
      <c r="D23" s="115">
        <v>-0.432666507935</v>
      </c>
      <c r="E23" s="115">
        <v>0.13281317280300001</v>
      </c>
    </row>
    <row r="24" spans="1:6" x14ac:dyDescent="0.25">
      <c r="A24" s="115">
        <v>118</v>
      </c>
      <c r="B24" s="115" t="s">
        <v>349</v>
      </c>
      <c r="C24" s="115" t="s">
        <v>322</v>
      </c>
      <c r="D24" s="115">
        <v>-0.18505114192300001</v>
      </c>
      <c r="E24" s="115">
        <v>0.117775616969</v>
      </c>
    </row>
    <row r="25" spans="1:6" x14ac:dyDescent="0.25">
      <c r="A25" s="115">
        <v>119</v>
      </c>
      <c r="B25" s="115" t="s">
        <v>351</v>
      </c>
      <c r="C25" s="115" t="s">
        <v>341</v>
      </c>
      <c r="D25" s="115">
        <v>0</v>
      </c>
      <c r="E25" s="115">
        <v>0</v>
      </c>
    </row>
    <row r="26" spans="1:6" x14ac:dyDescent="0.25">
      <c r="A26" s="115">
        <v>120</v>
      </c>
      <c r="B26" s="115" t="s">
        <v>353</v>
      </c>
      <c r="C26" s="115" t="s">
        <v>341</v>
      </c>
      <c r="D26" s="115">
        <v>0</v>
      </c>
      <c r="E26" s="115">
        <v>0</v>
      </c>
    </row>
    <row r="27" spans="1:6" x14ac:dyDescent="0.25">
      <c r="A27" s="115">
        <v>121</v>
      </c>
      <c r="B27" s="115" t="s">
        <v>355</v>
      </c>
      <c r="C27" s="115" t="s">
        <v>341</v>
      </c>
      <c r="D27" s="115">
        <v>0</v>
      </c>
      <c r="E27" s="115">
        <v>0</v>
      </c>
    </row>
    <row r="28" spans="1:6" x14ac:dyDescent="0.25">
      <c r="A28" s="115">
        <v>122</v>
      </c>
      <c r="B28" s="115" t="s">
        <v>357</v>
      </c>
      <c r="C28" s="115" t="s">
        <v>341</v>
      </c>
      <c r="D28" s="115">
        <v>0</v>
      </c>
      <c r="E28" s="115">
        <v>0</v>
      </c>
    </row>
    <row r="29" spans="1:6" x14ac:dyDescent="0.25">
      <c r="A29" s="115">
        <v>123</v>
      </c>
      <c r="B29" s="115" t="s">
        <v>359</v>
      </c>
      <c r="C29" s="115" t="s">
        <v>341</v>
      </c>
      <c r="D29" s="115">
        <v>0</v>
      </c>
      <c r="E29" s="115">
        <v>0</v>
      </c>
    </row>
    <row r="30" spans="1:6" x14ac:dyDescent="0.25">
      <c r="A30" s="115">
        <v>124</v>
      </c>
      <c r="B30" s="115" t="s">
        <v>361</v>
      </c>
      <c r="C30" s="115" t="s">
        <v>341</v>
      </c>
      <c r="D30" s="115">
        <v>-5</v>
      </c>
      <c r="E30" s="115">
        <v>0</v>
      </c>
    </row>
    <row r="31" spans="1:6" x14ac:dyDescent="0.25">
      <c r="A31" s="115">
        <v>125</v>
      </c>
      <c r="B31" s="115" t="s">
        <v>363</v>
      </c>
      <c r="C31" s="115" t="s">
        <v>341</v>
      </c>
      <c r="D31" s="115">
        <v>0</v>
      </c>
      <c r="E31" s="115">
        <v>0</v>
      </c>
    </row>
    <row r="32" spans="1:6" x14ac:dyDescent="0.25">
      <c r="A32" s="115">
        <v>126</v>
      </c>
      <c r="B32" s="115" t="s">
        <v>365</v>
      </c>
      <c r="C32" s="115" t="s">
        <v>341</v>
      </c>
      <c r="D32" s="115">
        <v>0</v>
      </c>
      <c r="E32" s="115">
        <v>0</v>
      </c>
    </row>
    <row r="33" spans="1:6" x14ac:dyDescent="0.25">
      <c r="A33" s="115">
        <v>127</v>
      </c>
      <c r="B33" s="115" t="s">
        <v>367</v>
      </c>
      <c r="C33" s="115" t="s">
        <v>322</v>
      </c>
      <c r="D33" s="115">
        <v>0.20857402136100001</v>
      </c>
      <c r="E33" s="117">
        <v>4.8232509635199997E-2</v>
      </c>
      <c r="F33" s="117"/>
    </row>
    <row r="34" spans="1:6" x14ac:dyDescent="0.25">
      <c r="A34" s="115">
        <v>128</v>
      </c>
      <c r="B34" s="115" t="s">
        <v>369</v>
      </c>
      <c r="C34" s="115" t="s">
        <v>322</v>
      </c>
      <c r="D34" s="115">
        <v>0.10871281166299999</v>
      </c>
      <c r="E34" s="117">
        <v>1.7165248684599999E-2</v>
      </c>
      <c r="F34" s="117"/>
    </row>
    <row r="35" spans="1:6" x14ac:dyDescent="0.25">
      <c r="A35" s="115">
        <v>129</v>
      </c>
      <c r="B35" s="115" t="s">
        <v>370</v>
      </c>
      <c r="C35" s="115" t="s">
        <v>341</v>
      </c>
      <c r="D35" s="115">
        <v>0</v>
      </c>
      <c r="E35" s="115">
        <v>0</v>
      </c>
    </row>
    <row r="36" spans="1:6" x14ac:dyDescent="0.25">
      <c r="A36" s="115">
        <v>151</v>
      </c>
      <c r="B36" s="115" t="s">
        <v>371</v>
      </c>
      <c r="C36" s="115" t="s">
        <v>341</v>
      </c>
      <c r="D36" s="115">
        <v>0.1</v>
      </c>
      <c r="E36" s="115">
        <v>0</v>
      </c>
    </row>
    <row r="37" spans="1:6" x14ac:dyDescent="0.25">
      <c r="A37" s="115">
        <v>200</v>
      </c>
      <c r="B37" s="115" t="s">
        <v>373</v>
      </c>
      <c r="C37" s="115" t="s">
        <v>322</v>
      </c>
      <c r="D37" s="115">
        <v>0.29382413067099999</v>
      </c>
      <c r="E37" s="117">
        <v>0.12605525825200001</v>
      </c>
      <c r="F37" s="117"/>
    </row>
    <row r="38" spans="1:6" x14ac:dyDescent="0.25">
      <c r="A38" s="115">
        <v>201</v>
      </c>
      <c r="B38" s="115" t="s">
        <v>375</v>
      </c>
      <c r="C38" s="115" t="s">
        <v>322</v>
      </c>
      <c r="D38" s="115">
        <v>0.25052747176099999</v>
      </c>
      <c r="E38" s="117">
        <v>0.35221197382699998</v>
      </c>
      <c r="F38" s="117"/>
    </row>
    <row r="39" spans="1:6" x14ac:dyDescent="0.25">
      <c r="A39" s="115">
        <v>205</v>
      </c>
      <c r="B39" s="115" t="s">
        <v>380</v>
      </c>
      <c r="C39" s="115" t="s">
        <v>322</v>
      </c>
      <c r="D39" s="117">
        <v>-0.5</v>
      </c>
      <c r="E39" s="117">
        <v>0.126415576275</v>
      </c>
      <c r="F39" s="117"/>
    </row>
    <row r="40" spans="1:6" x14ac:dyDescent="0.25">
      <c r="A40" s="115">
        <v>206</v>
      </c>
      <c r="B40" s="115" t="s">
        <v>382</v>
      </c>
      <c r="C40" s="115" t="s">
        <v>322</v>
      </c>
      <c r="D40" s="115">
        <v>0.8</v>
      </c>
      <c r="E40" s="115">
        <v>0.26546712735900002</v>
      </c>
    </row>
    <row r="41" spans="1:6" x14ac:dyDescent="0.25">
      <c r="A41" s="115">
        <v>207</v>
      </c>
      <c r="B41" s="115" t="s">
        <v>384</v>
      </c>
      <c r="C41" s="115" t="s">
        <v>322</v>
      </c>
      <c r="D41" s="115">
        <v>1</v>
      </c>
      <c r="E41" s="115">
        <v>0.155790914068</v>
      </c>
    </row>
    <row r="42" spans="1:6" x14ac:dyDescent="0.25">
      <c r="A42" s="115">
        <v>208</v>
      </c>
      <c r="B42" s="115" t="s">
        <v>386</v>
      </c>
      <c r="C42" s="115" t="s">
        <v>322</v>
      </c>
      <c r="D42" s="115">
        <v>4.3492068108000002</v>
      </c>
      <c r="E42" s="115">
        <v>1.0109481059700001</v>
      </c>
    </row>
    <row r="43" spans="1:6" x14ac:dyDescent="0.25">
      <c r="A43" s="115">
        <v>209</v>
      </c>
      <c r="B43" s="115" t="s">
        <v>388</v>
      </c>
      <c r="C43" s="115" t="s">
        <v>341</v>
      </c>
      <c r="D43" s="115">
        <v>0</v>
      </c>
      <c r="E43" s="115">
        <v>0</v>
      </c>
    </row>
    <row r="44" spans="1:6" x14ac:dyDescent="0.25">
      <c r="A44" s="115">
        <v>210</v>
      </c>
      <c r="B44" s="115" t="s">
        <v>390</v>
      </c>
      <c r="C44" s="115" t="s">
        <v>341</v>
      </c>
      <c r="D44" s="115">
        <v>0</v>
      </c>
      <c r="E44" s="115">
        <v>0</v>
      </c>
    </row>
    <row r="45" spans="1:6" x14ac:dyDescent="0.25">
      <c r="A45" s="115">
        <v>211</v>
      </c>
      <c r="B45" s="115" t="s">
        <v>392</v>
      </c>
      <c r="C45" s="115" t="s">
        <v>341</v>
      </c>
      <c r="D45" s="115">
        <v>0</v>
      </c>
      <c r="E45" s="115">
        <v>0</v>
      </c>
    </row>
    <row r="46" spans="1:6" x14ac:dyDescent="0.25">
      <c r="A46" s="115">
        <v>212</v>
      </c>
      <c r="B46" s="115" t="s">
        <v>394</v>
      </c>
      <c r="C46" s="115" t="s">
        <v>322</v>
      </c>
      <c r="D46" s="117">
        <v>-3.1057751230199999E-3</v>
      </c>
      <c r="E46" s="117">
        <v>9.4075076628499996E-2</v>
      </c>
      <c r="F46" s="117"/>
    </row>
    <row r="47" spans="1:6" x14ac:dyDescent="0.25">
      <c r="A47" s="115">
        <v>213</v>
      </c>
      <c r="B47" s="115" t="s">
        <v>396</v>
      </c>
      <c r="C47" s="115" t="s">
        <v>341</v>
      </c>
      <c r="D47" s="115">
        <v>0</v>
      </c>
      <c r="E47" s="115">
        <v>0</v>
      </c>
    </row>
    <row r="48" spans="1:6" x14ac:dyDescent="0.25">
      <c r="A48" s="115">
        <v>214</v>
      </c>
      <c r="B48" s="115" t="s">
        <v>398</v>
      </c>
      <c r="C48" s="115" t="s">
        <v>341</v>
      </c>
      <c r="D48" s="115">
        <v>0</v>
      </c>
      <c r="E48" s="115">
        <v>0</v>
      </c>
    </row>
    <row r="49" spans="1:5" x14ac:dyDescent="0.25">
      <c r="A49" s="115">
        <v>216</v>
      </c>
      <c r="B49" s="115" t="s">
        <v>401</v>
      </c>
      <c r="C49" s="115" t="s">
        <v>341</v>
      </c>
      <c r="D49" s="115">
        <v>0</v>
      </c>
      <c r="E49" s="115">
        <v>0</v>
      </c>
    </row>
    <row r="50" spans="1:5" x14ac:dyDescent="0.25">
      <c r="A50" s="115">
        <v>217</v>
      </c>
      <c r="B50" s="115" t="s">
        <v>403</v>
      </c>
      <c r="C50" s="115" t="s">
        <v>322</v>
      </c>
      <c r="D50" s="115">
        <v>-0.96794995874900003</v>
      </c>
      <c r="E50" s="115">
        <v>0.467105738923</v>
      </c>
    </row>
    <row r="51" spans="1:5" x14ac:dyDescent="0.25">
      <c r="A51" s="115">
        <v>218</v>
      </c>
      <c r="B51" s="115" t="s">
        <v>405</v>
      </c>
      <c r="C51" s="115" t="s">
        <v>341</v>
      </c>
      <c r="D51" s="115">
        <v>0</v>
      </c>
      <c r="E51" s="115">
        <v>0</v>
      </c>
    </row>
    <row r="52" spans="1:5" x14ac:dyDescent="0.25">
      <c r="A52" s="115">
        <v>219</v>
      </c>
      <c r="B52" s="115" t="s">
        <v>407</v>
      </c>
      <c r="C52" s="115" t="s">
        <v>341</v>
      </c>
      <c r="D52" s="115">
        <v>0</v>
      </c>
      <c r="E52" s="115">
        <v>0</v>
      </c>
    </row>
    <row r="53" spans="1:5" x14ac:dyDescent="0.25">
      <c r="A53" s="115">
        <v>220</v>
      </c>
      <c r="B53" s="115" t="s">
        <v>409</v>
      </c>
      <c r="C53" s="115" t="s">
        <v>341</v>
      </c>
      <c r="D53" s="115">
        <v>0</v>
      </c>
      <c r="E53" s="115">
        <v>0</v>
      </c>
    </row>
    <row r="54" spans="1:5" x14ac:dyDescent="0.25">
      <c r="A54" s="115">
        <v>221</v>
      </c>
      <c r="B54" s="115" t="s">
        <v>411</v>
      </c>
      <c r="C54" s="115" t="s">
        <v>341</v>
      </c>
      <c r="D54" s="115">
        <v>0</v>
      </c>
      <c r="E54" s="115">
        <v>0</v>
      </c>
    </row>
    <row r="55" spans="1:5" x14ac:dyDescent="0.25">
      <c r="A55" s="115">
        <v>222</v>
      </c>
      <c r="B55" s="115" t="s">
        <v>413</v>
      </c>
      <c r="C55" s="115" t="s">
        <v>341</v>
      </c>
      <c r="D55" s="115">
        <v>0</v>
      </c>
      <c r="E55" s="115">
        <v>0</v>
      </c>
    </row>
    <row r="56" spans="1:5" x14ac:dyDescent="0.25">
      <c r="A56" s="115">
        <v>223</v>
      </c>
      <c r="B56" s="115" t="s">
        <v>415</v>
      </c>
      <c r="C56" s="115" t="s">
        <v>322</v>
      </c>
      <c r="D56" s="115">
        <v>-0.21568887136100001</v>
      </c>
      <c r="E56" s="115">
        <v>0.32277069961299998</v>
      </c>
    </row>
    <row r="57" spans="1:5" x14ac:dyDescent="0.25">
      <c r="A57" s="115">
        <v>224</v>
      </c>
      <c r="B57" s="115" t="s">
        <v>417</v>
      </c>
      <c r="C57" s="115" t="s">
        <v>341</v>
      </c>
      <c r="D57" s="115">
        <v>0</v>
      </c>
      <c r="E57" s="115">
        <v>0</v>
      </c>
    </row>
    <row r="58" spans="1:5" x14ac:dyDescent="0.25">
      <c r="A58" s="115">
        <v>225</v>
      </c>
      <c r="B58" s="115" t="s">
        <v>419</v>
      </c>
      <c r="C58" s="115" t="s">
        <v>341</v>
      </c>
      <c r="D58" s="115">
        <v>0</v>
      </c>
      <c r="E58" s="115">
        <v>0</v>
      </c>
    </row>
    <row r="59" spans="1:5" x14ac:dyDescent="0.25">
      <c r="A59" s="115">
        <v>226</v>
      </c>
      <c r="B59" s="115" t="s">
        <v>421</v>
      </c>
      <c r="C59" s="115" t="s">
        <v>341</v>
      </c>
      <c r="D59" s="115">
        <v>0</v>
      </c>
      <c r="E59" s="115">
        <v>0</v>
      </c>
    </row>
    <row r="60" spans="1:5" x14ac:dyDescent="0.25">
      <c r="A60" s="115">
        <v>227</v>
      </c>
      <c r="B60" s="115" t="s">
        <v>423</v>
      </c>
      <c r="C60" s="115" t="s">
        <v>341</v>
      </c>
      <c r="D60" s="115">
        <v>0</v>
      </c>
      <c r="E60" s="115">
        <v>0</v>
      </c>
    </row>
    <row r="61" spans="1:5" x14ac:dyDescent="0.25">
      <c r="A61" s="115">
        <v>228</v>
      </c>
      <c r="B61" s="115" t="s">
        <v>425</v>
      </c>
      <c r="C61" s="115" t="s">
        <v>341</v>
      </c>
      <c r="D61" s="115">
        <v>0.1</v>
      </c>
      <c r="E61" s="115">
        <v>0</v>
      </c>
    </row>
    <row r="62" spans="1:5" x14ac:dyDescent="0.25">
      <c r="A62" s="115">
        <v>229</v>
      </c>
      <c r="B62" s="115" t="s">
        <v>426</v>
      </c>
      <c r="C62" s="115" t="s">
        <v>341</v>
      </c>
      <c r="D62" s="115">
        <v>0</v>
      </c>
      <c r="E62" s="115">
        <v>0</v>
      </c>
    </row>
    <row r="63" spans="1:5" x14ac:dyDescent="0.25">
      <c r="A63" s="115">
        <v>251</v>
      </c>
      <c r="B63" s="115" t="s">
        <v>427</v>
      </c>
      <c r="C63" s="115" t="s">
        <v>341</v>
      </c>
      <c r="D63" s="115">
        <v>0</v>
      </c>
      <c r="E63" s="115">
        <v>0</v>
      </c>
    </row>
    <row r="64" spans="1:5" x14ac:dyDescent="0.25">
      <c r="A64" s="115">
        <v>300</v>
      </c>
      <c r="B64" s="115" t="s">
        <v>429</v>
      </c>
      <c r="C64" s="115" t="s">
        <v>322</v>
      </c>
      <c r="D64" s="115">
        <v>-2.8</v>
      </c>
      <c r="E64" s="115">
        <v>0.234283483337</v>
      </c>
    </row>
    <row r="65" spans="1:6" x14ac:dyDescent="0.25">
      <c r="A65" s="115">
        <v>301</v>
      </c>
      <c r="B65" s="115" t="s">
        <v>431</v>
      </c>
      <c r="C65" s="115" t="s">
        <v>322</v>
      </c>
      <c r="D65" s="115">
        <v>-2</v>
      </c>
      <c r="E65" s="115">
        <v>0.28938342620800001</v>
      </c>
    </row>
    <row r="66" spans="1:6" x14ac:dyDescent="0.25">
      <c r="A66" s="115">
        <v>302</v>
      </c>
      <c r="B66" s="115" t="s">
        <v>433</v>
      </c>
      <c r="C66" s="115" t="s">
        <v>341</v>
      </c>
      <c r="D66" s="115">
        <v>0</v>
      </c>
      <c r="E66" s="117">
        <v>0</v>
      </c>
      <c r="F66" s="117"/>
    </row>
    <row r="67" spans="1:6" x14ac:dyDescent="0.25">
      <c r="A67" s="115">
        <v>303</v>
      </c>
      <c r="B67" s="115" t="s">
        <v>435</v>
      </c>
      <c r="C67" s="115" t="s">
        <v>322</v>
      </c>
      <c r="D67" s="115">
        <v>-0.41781712126600001</v>
      </c>
      <c r="E67" s="115">
        <v>0.12600171237900001</v>
      </c>
    </row>
    <row r="68" spans="1:6" x14ac:dyDescent="0.25">
      <c r="A68" s="115">
        <v>304</v>
      </c>
      <c r="B68" s="115" t="s">
        <v>437</v>
      </c>
      <c r="C68" s="115" t="s">
        <v>341</v>
      </c>
      <c r="D68" s="115">
        <v>0.3</v>
      </c>
      <c r="E68" s="115">
        <v>0</v>
      </c>
    </row>
    <row r="69" spans="1:6" x14ac:dyDescent="0.25">
      <c r="A69" s="115">
        <v>305</v>
      </c>
      <c r="B69" s="115" t="s">
        <v>439</v>
      </c>
      <c r="C69" s="115" t="s">
        <v>341</v>
      </c>
      <c r="D69" s="115">
        <v>0</v>
      </c>
      <c r="E69" s="115">
        <v>0</v>
      </c>
    </row>
    <row r="70" spans="1:6" x14ac:dyDescent="0.25">
      <c r="A70" s="115">
        <v>306</v>
      </c>
      <c r="B70" s="115" t="s">
        <v>441</v>
      </c>
      <c r="C70" s="115" t="s">
        <v>341</v>
      </c>
      <c r="D70" s="115">
        <v>0</v>
      </c>
      <c r="E70" s="115">
        <v>0</v>
      </c>
    </row>
    <row r="71" spans="1:6" x14ac:dyDescent="0.25">
      <c r="A71" s="115">
        <v>307</v>
      </c>
      <c r="B71" s="115" t="s">
        <v>443</v>
      </c>
      <c r="C71" s="115" t="s">
        <v>341</v>
      </c>
      <c r="D71" s="115">
        <v>0</v>
      </c>
      <c r="E71" s="115">
        <v>0</v>
      </c>
    </row>
    <row r="72" spans="1:6" x14ac:dyDescent="0.25">
      <c r="A72" s="115">
        <v>308</v>
      </c>
      <c r="B72" s="115" t="s">
        <v>445</v>
      </c>
      <c r="C72" s="115" t="s">
        <v>322</v>
      </c>
      <c r="D72" s="115">
        <v>0.5</v>
      </c>
      <c r="E72" s="115">
        <v>0.136866732454</v>
      </c>
    </row>
    <row r="73" spans="1:6" x14ac:dyDescent="0.25">
      <c r="A73" s="115">
        <v>309</v>
      </c>
      <c r="B73" s="115" t="s">
        <v>447</v>
      </c>
      <c r="C73" s="115" t="s">
        <v>322</v>
      </c>
      <c r="D73" s="115">
        <v>-0.232122656585</v>
      </c>
      <c r="E73" s="115">
        <v>0.122349601563</v>
      </c>
    </row>
    <row r="74" spans="1:6" x14ac:dyDescent="0.25">
      <c r="A74" s="115">
        <v>310</v>
      </c>
      <c r="B74" s="115" t="s">
        <v>449</v>
      </c>
      <c r="C74" s="115" t="s">
        <v>322</v>
      </c>
      <c r="D74" s="115">
        <v>-0.29925114340999998</v>
      </c>
      <c r="E74" s="117">
        <v>9.6523824131799996E-2</v>
      </c>
      <c r="F74" s="117"/>
    </row>
    <row r="75" spans="1:6" x14ac:dyDescent="0.25">
      <c r="A75" s="115">
        <v>311</v>
      </c>
      <c r="B75" s="115" t="s">
        <v>451</v>
      </c>
      <c r="C75" s="115" t="s">
        <v>341</v>
      </c>
      <c r="D75" s="115">
        <v>0</v>
      </c>
      <c r="E75" s="115">
        <v>0</v>
      </c>
    </row>
    <row r="76" spans="1:6" x14ac:dyDescent="0.25">
      <c r="A76" s="115">
        <v>312</v>
      </c>
      <c r="B76" s="115" t="s">
        <v>453</v>
      </c>
      <c r="C76" s="115" t="s">
        <v>341</v>
      </c>
      <c r="D76" s="115">
        <v>0</v>
      </c>
      <c r="E76" s="115">
        <v>0</v>
      </c>
    </row>
    <row r="77" spans="1:6" x14ac:dyDescent="0.25">
      <c r="A77" s="115">
        <v>313</v>
      </c>
      <c r="B77" s="115" t="s">
        <v>455</v>
      </c>
      <c r="C77" s="115" t="s">
        <v>322</v>
      </c>
      <c r="D77" s="115">
        <v>-0.31883301010699999</v>
      </c>
      <c r="E77" s="117">
        <v>9.9317706285599994E-2</v>
      </c>
      <c r="F77" s="117"/>
    </row>
    <row r="78" spans="1:6" x14ac:dyDescent="0.25">
      <c r="A78" s="115">
        <v>314</v>
      </c>
      <c r="B78" s="115" t="s">
        <v>457</v>
      </c>
      <c r="C78" s="115" t="s">
        <v>322</v>
      </c>
      <c r="D78" s="115">
        <v>-0.547945531682</v>
      </c>
      <c r="E78" s="117">
        <v>9.6594494483000004E-2</v>
      </c>
      <c r="F78" s="117"/>
    </row>
    <row r="79" spans="1:6" x14ac:dyDescent="0.25">
      <c r="A79" s="115">
        <v>316</v>
      </c>
      <c r="B79" s="115" t="s">
        <v>460</v>
      </c>
      <c r="C79" s="115" t="s">
        <v>341</v>
      </c>
      <c r="D79" s="115">
        <v>0</v>
      </c>
      <c r="E79" s="115">
        <v>0</v>
      </c>
    </row>
    <row r="80" spans="1:6" x14ac:dyDescent="0.25">
      <c r="A80" s="115">
        <v>317</v>
      </c>
      <c r="B80" s="115" t="s">
        <v>462</v>
      </c>
      <c r="C80" s="115" t="s">
        <v>322</v>
      </c>
      <c r="D80" s="115">
        <v>1.22669557621</v>
      </c>
      <c r="E80" s="115">
        <v>0.112979064963</v>
      </c>
    </row>
    <row r="81" spans="1:6" x14ac:dyDescent="0.25">
      <c r="A81" s="115">
        <v>318</v>
      </c>
      <c r="B81" s="115" t="s">
        <v>464</v>
      </c>
      <c r="C81" s="115" t="s">
        <v>322</v>
      </c>
      <c r="D81" s="115">
        <v>1.7287074631199999</v>
      </c>
      <c r="E81" s="117">
        <v>9.6249471901699996E-2</v>
      </c>
      <c r="F81" s="117"/>
    </row>
    <row r="82" spans="1:6" x14ac:dyDescent="0.25">
      <c r="A82" s="115">
        <v>319</v>
      </c>
      <c r="B82" s="115" t="s">
        <v>466</v>
      </c>
      <c r="C82" s="115" t="s">
        <v>322</v>
      </c>
      <c r="D82" s="115">
        <v>0.84736851681500003</v>
      </c>
      <c r="E82" s="117">
        <v>0.123094929182</v>
      </c>
      <c r="F82" s="117"/>
    </row>
    <row r="83" spans="1:6" x14ac:dyDescent="0.25">
      <c r="A83" s="115">
        <v>320</v>
      </c>
      <c r="B83" s="115" t="s">
        <v>468</v>
      </c>
      <c r="C83" s="115" t="s">
        <v>322</v>
      </c>
      <c r="D83" s="115">
        <v>1.2567390153</v>
      </c>
      <c r="E83" s="115">
        <v>0.10771537850100001</v>
      </c>
    </row>
    <row r="84" spans="1:6" x14ac:dyDescent="0.25">
      <c r="A84" s="115">
        <v>321</v>
      </c>
      <c r="B84" s="115" t="s">
        <v>470</v>
      </c>
      <c r="C84" s="115" t="s">
        <v>322</v>
      </c>
      <c r="D84" s="115">
        <v>-0.05</v>
      </c>
      <c r="E84" s="115">
        <v>0.16652607021800001</v>
      </c>
    </row>
    <row r="85" spans="1:6" x14ac:dyDescent="0.25">
      <c r="A85" s="115">
        <v>322</v>
      </c>
      <c r="B85" s="115" t="s">
        <v>472</v>
      </c>
      <c r="C85" s="115" t="s">
        <v>322</v>
      </c>
      <c r="D85" s="115">
        <v>-0.42222676147999999</v>
      </c>
      <c r="E85" s="117">
        <v>8.3743360559900004E-2</v>
      </c>
      <c r="F85" s="117"/>
    </row>
    <row r="86" spans="1:6" x14ac:dyDescent="0.25">
      <c r="A86" s="115">
        <v>323</v>
      </c>
      <c r="B86" s="115" t="s">
        <v>474</v>
      </c>
      <c r="C86" s="115" t="s">
        <v>322</v>
      </c>
      <c r="D86" s="115">
        <v>-0.511403528351</v>
      </c>
      <c r="E86" s="115">
        <v>0.10271393568499999</v>
      </c>
    </row>
    <row r="87" spans="1:6" x14ac:dyDescent="0.25">
      <c r="A87" s="115">
        <v>324</v>
      </c>
      <c r="B87" s="115" t="s">
        <v>476</v>
      </c>
      <c r="C87" s="115" t="s">
        <v>341</v>
      </c>
      <c r="D87" s="115">
        <v>0</v>
      </c>
      <c r="E87" s="115">
        <v>0</v>
      </c>
    </row>
    <row r="88" spans="1:6" x14ac:dyDescent="0.25">
      <c r="A88" s="115">
        <v>325</v>
      </c>
      <c r="B88" s="115" t="s">
        <v>478</v>
      </c>
      <c r="C88" s="115" t="s">
        <v>341</v>
      </c>
      <c r="D88" s="115">
        <v>0</v>
      </c>
      <c r="E88" s="115">
        <v>0</v>
      </c>
    </row>
    <row r="89" spans="1:6" x14ac:dyDescent="0.25">
      <c r="A89" s="115">
        <v>326</v>
      </c>
      <c r="B89" s="115" t="s">
        <v>480</v>
      </c>
      <c r="C89" s="115" t="s">
        <v>341</v>
      </c>
      <c r="D89" s="115">
        <v>0</v>
      </c>
      <c r="E89" s="115">
        <v>0</v>
      </c>
    </row>
    <row r="90" spans="1:6" x14ac:dyDescent="0.25">
      <c r="A90" s="115">
        <v>327</v>
      </c>
      <c r="B90" s="115" t="s">
        <v>482</v>
      </c>
      <c r="C90" s="115" t="s">
        <v>341</v>
      </c>
      <c r="D90" s="115">
        <v>0</v>
      </c>
      <c r="E90" s="115">
        <v>0</v>
      </c>
    </row>
    <row r="91" spans="1:6" x14ac:dyDescent="0.25">
      <c r="A91" s="115">
        <v>328</v>
      </c>
      <c r="B91" s="115" t="s">
        <v>484</v>
      </c>
      <c r="C91" s="115" t="s">
        <v>322</v>
      </c>
      <c r="D91" s="117">
        <v>-4.0281415680200001E-2</v>
      </c>
      <c r="E91" s="117">
        <v>2.0586186684300001E-2</v>
      </c>
      <c r="F91" s="117"/>
    </row>
    <row r="92" spans="1:6" x14ac:dyDescent="0.25">
      <c r="A92" s="115">
        <v>329</v>
      </c>
      <c r="B92" s="115" t="s">
        <v>485</v>
      </c>
      <c r="C92" s="115" t="s">
        <v>322</v>
      </c>
      <c r="D92" s="117">
        <v>-1.79238721996E-2</v>
      </c>
      <c r="E92" s="117">
        <v>2.3082952457899999E-2</v>
      </c>
      <c r="F92" s="117"/>
    </row>
    <row r="93" spans="1:6" x14ac:dyDescent="0.25">
      <c r="A93" s="115">
        <v>351</v>
      </c>
      <c r="B93" s="115" t="s">
        <v>486</v>
      </c>
      <c r="C93" s="115" t="s">
        <v>322</v>
      </c>
      <c r="D93" s="115">
        <v>0.231141115699</v>
      </c>
      <c r="E93" s="117">
        <v>9.2304348169400002E-2</v>
      </c>
      <c r="F93" s="117"/>
    </row>
    <row r="94" spans="1:6" x14ac:dyDescent="0.25">
      <c r="A94" s="115">
        <v>400</v>
      </c>
      <c r="B94" s="115" t="s">
        <v>488</v>
      </c>
      <c r="C94" s="115" t="s">
        <v>322</v>
      </c>
      <c r="D94" s="115">
        <v>-2.0654832970500001</v>
      </c>
      <c r="E94" s="117">
        <v>0.19666285118499999</v>
      </c>
      <c r="F94" s="117"/>
    </row>
    <row r="95" spans="1:6" x14ac:dyDescent="0.25">
      <c r="A95" s="115">
        <v>401</v>
      </c>
      <c r="B95" s="115" t="s">
        <v>490</v>
      </c>
      <c r="C95" s="115" t="s">
        <v>322</v>
      </c>
      <c r="D95" s="117">
        <v>-0.04</v>
      </c>
      <c r="E95" s="117">
        <v>0.26724179311599999</v>
      </c>
    </row>
    <row r="96" spans="1:6" x14ac:dyDescent="0.25">
      <c r="A96" s="115">
        <v>402</v>
      </c>
      <c r="B96" s="115" t="s">
        <v>492</v>
      </c>
      <c r="C96" s="115" t="s">
        <v>322</v>
      </c>
      <c r="D96" s="115">
        <v>0.38470925344599999</v>
      </c>
      <c r="E96" s="117">
        <v>7.9269273795600004E-2</v>
      </c>
      <c r="F96" s="117"/>
    </row>
    <row r="97" spans="1:6" x14ac:dyDescent="0.25">
      <c r="A97" s="115">
        <v>403</v>
      </c>
      <c r="B97" s="115" t="s">
        <v>494</v>
      </c>
      <c r="C97" s="115" t="s">
        <v>322</v>
      </c>
      <c r="D97" s="115">
        <v>0.79017100603599999</v>
      </c>
      <c r="E97" s="117">
        <v>8.7094395941300001E-2</v>
      </c>
      <c r="F97" s="117"/>
    </row>
    <row r="98" spans="1:6" x14ac:dyDescent="0.25">
      <c r="A98" s="115">
        <v>404</v>
      </c>
      <c r="B98" s="115" t="s">
        <v>496</v>
      </c>
      <c r="C98" s="115" t="s">
        <v>322</v>
      </c>
      <c r="D98" s="115">
        <v>0.48129163966400001</v>
      </c>
      <c r="E98" s="117">
        <v>8.1988380548499995E-2</v>
      </c>
      <c r="F98" s="117"/>
    </row>
    <row r="99" spans="1:6" x14ac:dyDescent="0.25">
      <c r="A99" s="115">
        <v>405</v>
      </c>
      <c r="B99" s="115" t="s">
        <v>498</v>
      </c>
      <c r="C99" s="115" t="s">
        <v>341</v>
      </c>
      <c r="D99" s="115">
        <v>1</v>
      </c>
      <c r="E99" s="115">
        <v>0</v>
      </c>
    </row>
    <row r="100" spans="1:6" x14ac:dyDescent="0.25">
      <c r="A100" s="115">
        <v>406</v>
      </c>
      <c r="B100" s="115" t="s">
        <v>500</v>
      </c>
      <c r="C100" s="115" t="s">
        <v>322</v>
      </c>
      <c r="D100" s="117">
        <v>0.215923195688</v>
      </c>
      <c r="E100" s="117">
        <v>0.25671853824700003</v>
      </c>
      <c r="F100" s="117"/>
    </row>
    <row r="101" spans="1:6" x14ac:dyDescent="0.25">
      <c r="A101" s="115">
        <v>407</v>
      </c>
      <c r="B101" s="115" t="s">
        <v>502</v>
      </c>
      <c r="C101" s="115" t="s">
        <v>322</v>
      </c>
      <c r="D101" s="115">
        <v>0.107808678654</v>
      </c>
      <c r="E101" s="115">
        <v>0.13821204112800001</v>
      </c>
    </row>
    <row r="102" spans="1:6" x14ac:dyDescent="0.25">
      <c r="A102" s="115">
        <v>408</v>
      </c>
      <c r="B102" s="115" t="s">
        <v>504</v>
      </c>
      <c r="C102" s="115" t="s">
        <v>322</v>
      </c>
      <c r="D102" s="117">
        <v>0.19371902950100001</v>
      </c>
      <c r="E102" s="117">
        <v>0.116157255717</v>
      </c>
      <c r="F102" s="117"/>
    </row>
    <row r="103" spans="1:6" x14ac:dyDescent="0.25">
      <c r="A103" s="115">
        <v>409</v>
      </c>
      <c r="B103" s="115" t="s">
        <v>506</v>
      </c>
      <c r="C103" s="115" t="s">
        <v>322</v>
      </c>
      <c r="D103" s="115">
        <v>0.23285953464299999</v>
      </c>
      <c r="E103" s="117">
        <v>8.3014488693800001E-2</v>
      </c>
      <c r="F103" s="117"/>
    </row>
    <row r="104" spans="1:6" x14ac:dyDescent="0.25">
      <c r="A104" s="115">
        <v>410</v>
      </c>
      <c r="B104" s="115" t="s">
        <v>508</v>
      </c>
      <c r="C104" s="115" t="s">
        <v>322</v>
      </c>
      <c r="D104" s="115">
        <v>0.242866712762</v>
      </c>
      <c r="E104" s="117">
        <v>6.7190512056999996E-2</v>
      </c>
      <c r="F104" s="117"/>
    </row>
    <row r="105" spans="1:6" x14ac:dyDescent="0.25">
      <c r="A105" s="115">
        <v>411</v>
      </c>
      <c r="B105" s="115" t="s">
        <v>510</v>
      </c>
      <c r="C105" s="115" t="s">
        <v>322</v>
      </c>
      <c r="D105" s="117">
        <v>-5.4110020185400003E-2</v>
      </c>
      <c r="E105" s="117">
        <v>5.41737757577E-2</v>
      </c>
      <c r="F105" s="117"/>
    </row>
    <row r="106" spans="1:6" x14ac:dyDescent="0.25">
      <c r="A106" s="115">
        <v>412</v>
      </c>
      <c r="B106" s="115" t="s">
        <v>512</v>
      </c>
      <c r="C106" s="115" t="s">
        <v>322</v>
      </c>
      <c r="D106" s="117">
        <v>4.72182862768E-3</v>
      </c>
      <c r="E106" s="117">
        <v>5.6397363119699999E-2</v>
      </c>
      <c r="F106" s="117"/>
    </row>
    <row r="107" spans="1:6" x14ac:dyDescent="0.25">
      <c r="A107" s="115">
        <v>413</v>
      </c>
      <c r="B107" s="115" t="s">
        <v>514</v>
      </c>
      <c r="C107" s="115" t="s">
        <v>322</v>
      </c>
      <c r="D107" s="115">
        <v>0.22859365528200001</v>
      </c>
      <c r="E107" s="117">
        <v>5.6896529385100002E-2</v>
      </c>
      <c r="F107" s="117"/>
    </row>
    <row r="108" spans="1:6" x14ac:dyDescent="0.25">
      <c r="A108" s="115">
        <v>414</v>
      </c>
      <c r="B108" s="115" t="s">
        <v>516</v>
      </c>
      <c r="C108" s="115" t="s">
        <v>341</v>
      </c>
      <c r="D108" s="115">
        <v>0</v>
      </c>
      <c r="E108" s="117">
        <v>0</v>
      </c>
      <c r="F108" s="117"/>
    </row>
    <row r="109" spans="1:6" x14ac:dyDescent="0.25">
      <c r="A109" s="115">
        <v>416</v>
      </c>
      <c r="B109" s="115" t="s">
        <v>519</v>
      </c>
      <c r="C109" s="115" t="s">
        <v>341</v>
      </c>
      <c r="D109" s="115">
        <v>0</v>
      </c>
      <c r="E109" s="115">
        <v>0</v>
      </c>
    </row>
    <row r="110" spans="1:6" x14ac:dyDescent="0.25">
      <c r="A110" s="115">
        <v>417</v>
      </c>
      <c r="B110" s="115" t="s">
        <v>521</v>
      </c>
      <c r="C110" s="115" t="s">
        <v>322</v>
      </c>
      <c r="D110" s="115">
        <v>-0.139780975551</v>
      </c>
      <c r="E110" s="115">
        <v>0.11247814518099999</v>
      </c>
    </row>
    <row r="111" spans="1:6" x14ac:dyDescent="0.25">
      <c r="A111" s="115">
        <v>418</v>
      </c>
      <c r="B111" s="115" t="s">
        <v>523</v>
      </c>
      <c r="C111" s="115" t="s">
        <v>322</v>
      </c>
      <c r="D111" s="115">
        <v>-0.18567872516700001</v>
      </c>
      <c r="E111" s="115">
        <v>0.100237176786</v>
      </c>
    </row>
    <row r="112" spans="1:6" x14ac:dyDescent="0.25">
      <c r="A112" s="115">
        <v>419</v>
      </c>
      <c r="B112" s="115" t="s">
        <v>525</v>
      </c>
      <c r="C112" s="115" t="s">
        <v>341</v>
      </c>
      <c r="D112" s="115">
        <v>0</v>
      </c>
      <c r="E112" s="115">
        <v>0</v>
      </c>
    </row>
    <row r="113" spans="1:6" x14ac:dyDescent="0.25">
      <c r="A113" s="115">
        <v>420</v>
      </c>
      <c r="B113" s="115" t="s">
        <v>527</v>
      </c>
      <c r="C113" s="115" t="s">
        <v>322</v>
      </c>
      <c r="D113" s="115">
        <v>-0.38992988658400002</v>
      </c>
      <c r="E113" s="115">
        <v>0.11727094473499999</v>
      </c>
    </row>
    <row r="114" spans="1:6" x14ac:dyDescent="0.25">
      <c r="A114" s="115">
        <v>421</v>
      </c>
      <c r="B114" s="115" t="s">
        <v>529</v>
      </c>
      <c r="C114" s="115" t="s">
        <v>322</v>
      </c>
      <c r="D114" s="115">
        <v>-0.51640682858599996</v>
      </c>
      <c r="E114" s="117">
        <v>9.6488485368900007E-2</v>
      </c>
      <c r="F114" s="117"/>
    </row>
    <row r="115" spans="1:6" x14ac:dyDescent="0.25">
      <c r="A115" s="115">
        <v>422</v>
      </c>
      <c r="B115" s="115" t="s">
        <v>531</v>
      </c>
      <c r="C115" s="115" t="s">
        <v>322</v>
      </c>
      <c r="D115" s="117">
        <v>-0.240789136184</v>
      </c>
      <c r="E115" s="117">
        <v>6.6162493603E-2</v>
      </c>
      <c r="F115" s="117"/>
    </row>
    <row r="116" spans="1:6" x14ac:dyDescent="0.25">
      <c r="A116" s="115">
        <v>423</v>
      </c>
      <c r="B116" s="115" t="s">
        <v>533</v>
      </c>
      <c r="C116" s="115" t="s">
        <v>322</v>
      </c>
      <c r="D116" s="115">
        <v>0.16802377205999999</v>
      </c>
      <c r="E116" s="117">
        <v>6.8184700313400001E-2</v>
      </c>
      <c r="F116" s="117"/>
    </row>
    <row r="117" spans="1:6" x14ac:dyDescent="0.25">
      <c r="A117" s="115">
        <v>424</v>
      </c>
      <c r="B117" s="115" t="s">
        <v>535</v>
      </c>
      <c r="C117" s="115" t="s">
        <v>341</v>
      </c>
      <c r="D117" s="115">
        <v>0</v>
      </c>
      <c r="E117" s="117">
        <v>0</v>
      </c>
      <c r="F117" s="117"/>
    </row>
    <row r="118" spans="1:6" x14ac:dyDescent="0.25">
      <c r="A118" s="115">
        <v>425</v>
      </c>
      <c r="B118" s="115" t="s">
        <v>537</v>
      </c>
      <c r="C118" s="115" t="s">
        <v>341</v>
      </c>
      <c r="D118" s="117">
        <v>0</v>
      </c>
      <c r="E118" s="117">
        <v>0</v>
      </c>
      <c r="F118" s="117"/>
    </row>
    <row r="119" spans="1:6" x14ac:dyDescent="0.25">
      <c r="A119" s="115">
        <v>426</v>
      </c>
      <c r="B119" s="115" t="s">
        <v>539</v>
      </c>
      <c r="C119" s="115" t="s">
        <v>341</v>
      </c>
      <c r="D119" s="115">
        <v>0</v>
      </c>
      <c r="E119" s="115">
        <v>0</v>
      </c>
    </row>
    <row r="120" spans="1:6" x14ac:dyDescent="0.25">
      <c r="A120" s="115">
        <v>427</v>
      </c>
      <c r="B120" s="115" t="s">
        <v>541</v>
      </c>
      <c r="C120" s="115" t="s">
        <v>341</v>
      </c>
      <c r="D120" s="115">
        <v>0</v>
      </c>
      <c r="E120" s="115">
        <v>0</v>
      </c>
    </row>
    <row r="121" spans="1:6" x14ac:dyDescent="0.25">
      <c r="A121" s="115">
        <v>428</v>
      </c>
      <c r="B121" s="115" t="s">
        <v>543</v>
      </c>
      <c r="C121" s="115" t="s">
        <v>322</v>
      </c>
      <c r="D121" s="117">
        <v>-3.0323782283900001E-2</v>
      </c>
      <c r="E121" s="117">
        <v>1.47838668001E-2</v>
      </c>
      <c r="F121" s="117"/>
    </row>
    <row r="122" spans="1:6" x14ac:dyDescent="0.25">
      <c r="A122" s="115">
        <v>429</v>
      </c>
      <c r="B122" s="115" t="s">
        <v>544</v>
      </c>
      <c r="C122" s="115" t="s">
        <v>322</v>
      </c>
      <c r="D122" s="117">
        <v>-3.3157486963999998E-2</v>
      </c>
      <c r="E122" s="117">
        <v>1.8361375851900001E-2</v>
      </c>
      <c r="F122" s="117"/>
    </row>
    <row r="123" spans="1:6" x14ac:dyDescent="0.25">
      <c r="A123" s="115">
        <v>451</v>
      </c>
      <c r="B123" s="115" t="s">
        <v>545</v>
      </c>
      <c r="C123" s="115" t="s">
        <v>341</v>
      </c>
      <c r="D123" s="115">
        <v>0</v>
      </c>
      <c r="E123" s="115">
        <v>0</v>
      </c>
    </row>
    <row r="124" spans="1:6" x14ac:dyDescent="0.25">
      <c r="A124" s="115">
        <v>500</v>
      </c>
      <c r="B124" s="115" t="s">
        <v>547</v>
      </c>
      <c r="C124" s="115" t="s">
        <v>322</v>
      </c>
      <c r="D124" s="115">
        <v>-1.8648554903800001</v>
      </c>
      <c r="E124" s="115">
        <v>0.181807649431</v>
      </c>
    </row>
    <row r="125" spans="1:6" x14ac:dyDescent="0.25">
      <c r="A125" s="115">
        <v>501</v>
      </c>
      <c r="B125" s="115" t="s">
        <v>549</v>
      </c>
      <c r="C125" s="115" t="s">
        <v>322</v>
      </c>
      <c r="D125" s="115">
        <v>0.68463974939799999</v>
      </c>
      <c r="E125" s="115">
        <v>0.260633296495</v>
      </c>
    </row>
    <row r="126" spans="1:6" x14ac:dyDescent="0.25">
      <c r="A126" s="115">
        <v>502</v>
      </c>
      <c r="B126" s="115" t="s">
        <v>551</v>
      </c>
      <c r="C126" s="115" t="s">
        <v>322</v>
      </c>
      <c r="D126" s="115">
        <v>0.18</v>
      </c>
      <c r="E126" s="117">
        <v>7.4981264110199994E-2</v>
      </c>
      <c r="F126" s="117"/>
    </row>
    <row r="127" spans="1:6" x14ac:dyDescent="0.25">
      <c r="A127" s="115">
        <v>503</v>
      </c>
      <c r="B127" s="115" t="s">
        <v>553</v>
      </c>
      <c r="C127" s="115" t="s">
        <v>322</v>
      </c>
      <c r="D127" s="115">
        <v>0.29169321065699999</v>
      </c>
      <c r="E127" s="117">
        <v>8.0065851421599998E-2</v>
      </c>
      <c r="F127" s="117"/>
    </row>
    <row r="128" spans="1:6" x14ac:dyDescent="0.25">
      <c r="A128" s="115">
        <v>504</v>
      </c>
      <c r="B128" s="115" t="s">
        <v>555</v>
      </c>
      <c r="C128" s="115" t="s">
        <v>322</v>
      </c>
      <c r="D128" s="117">
        <v>0.333741739378</v>
      </c>
      <c r="E128" s="117">
        <v>7.6938754636199994E-2</v>
      </c>
      <c r="F128" s="117"/>
    </row>
    <row r="129" spans="1:6" x14ac:dyDescent="0.25">
      <c r="A129" s="115">
        <v>505</v>
      </c>
      <c r="B129" s="115" t="s">
        <v>557</v>
      </c>
      <c r="C129" s="115" t="s">
        <v>322</v>
      </c>
      <c r="D129" s="115">
        <v>1.5</v>
      </c>
      <c r="E129" s="115">
        <v>0.104564426271</v>
      </c>
    </row>
    <row r="130" spans="1:6" x14ac:dyDescent="0.25">
      <c r="A130" s="115">
        <v>506</v>
      </c>
      <c r="B130" s="115" t="s">
        <v>559</v>
      </c>
      <c r="C130" s="115" t="s">
        <v>322</v>
      </c>
      <c r="D130" s="115">
        <v>-1.4398761743499999</v>
      </c>
      <c r="E130" s="115">
        <v>0.36806454401599997</v>
      </c>
    </row>
    <row r="131" spans="1:6" x14ac:dyDescent="0.25">
      <c r="A131" s="115">
        <v>507</v>
      </c>
      <c r="B131" s="115" t="s">
        <v>561</v>
      </c>
      <c r="C131" s="115" t="s">
        <v>322</v>
      </c>
      <c r="D131" s="115">
        <v>-0.67158773351000001</v>
      </c>
      <c r="E131" s="115">
        <v>0.14037324056299999</v>
      </c>
    </row>
    <row r="132" spans="1:6" x14ac:dyDescent="0.25">
      <c r="A132" s="115">
        <v>508</v>
      </c>
      <c r="B132" s="115" t="s">
        <v>563</v>
      </c>
      <c r="C132" s="115" t="s">
        <v>341</v>
      </c>
      <c r="D132" s="115">
        <v>-0.2</v>
      </c>
      <c r="E132" s="115">
        <v>0</v>
      </c>
    </row>
    <row r="133" spans="1:6" x14ac:dyDescent="0.25">
      <c r="A133" s="115">
        <v>509</v>
      </c>
      <c r="B133" s="115" t="s">
        <v>565</v>
      </c>
      <c r="C133" s="115" t="s">
        <v>322</v>
      </c>
      <c r="D133" s="115">
        <v>0.19765755271499999</v>
      </c>
      <c r="E133" s="117">
        <v>7.53107766032E-2</v>
      </c>
      <c r="F133" s="117"/>
    </row>
    <row r="134" spans="1:6" x14ac:dyDescent="0.25">
      <c r="A134" s="115">
        <v>510</v>
      </c>
      <c r="B134" s="115" t="s">
        <v>567</v>
      </c>
      <c r="C134" s="115" t="s">
        <v>341</v>
      </c>
      <c r="D134" s="117">
        <v>0</v>
      </c>
      <c r="E134" s="117">
        <v>0</v>
      </c>
      <c r="F134" s="117"/>
    </row>
    <row r="135" spans="1:6" x14ac:dyDescent="0.25">
      <c r="A135" s="115">
        <v>511</v>
      </c>
      <c r="B135" s="115" t="s">
        <v>569</v>
      </c>
      <c r="C135" s="115" t="s">
        <v>341</v>
      </c>
      <c r="D135" s="115">
        <v>0</v>
      </c>
      <c r="E135" s="115">
        <v>0</v>
      </c>
    </row>
    <row r="136" spans="1:6" x14ac:dyDescent="0.25">
      <c r="A136" s="115">
        <v>512</v>
      </c>
      <c r="B136" s="115" t="s">
        <v>571</v>
      </c>
      <c r="C136" s="115" t="s">
        <v>322</v>
      </c>
      <c r="D136" s="117">
        <v>-9.62795835993E-2</v>
      </c>
      <c r="E136" s="117">
        <v>5.5744887624800003E-2</v>
      </c>
      <c r="F136" s="117"/>
    </row>
    <row r="137" spans="1:6" x14ac:dyDescent="0.25">
      <c r="A137" s="115">
        <v>513</v>
      </c>
      <c r="B137" s="115" t="s">
        <v>573</v>
      </c>
      <c r="C137" s="115" t="s">
        <v>322</v>
      </c>
      <c r="D137" s="115">
        <v>0.31837119660899998</v>
      </c>
      <c r="E137" s="117">
        <v>5.3264103577499999E-2</v>
      </c>
      <c r="F137" s="117"/>
    </row>
    <row r="138" spans="1:6" x14ac:dyDescent="0.25">
      <c r="A138" s="115">
        <v>514</v>
      </c>
      <c r="B138" s="115" t="s">
        <v>575</v>
      </c>
      <c r="C138" s="115" t="s">
        <v>341</v>
      </c>
      <c r="D138" s="115">
        <v>0</v>
      </c>
      <c r="E138" s="117">
        <v>0</v>
      </c>
      <c r="F138" s="117"/>
    </row>
    <row r="139" spans="1:6" x14ac:dyDescent="0.25">
      <c r="A139" s="115">
        <v>516</v>
      </c>
      <c r="B139" s="115" t="s">
        <v>578</v>
      </c>
      <c r="C139" s="115" t="s">
        <v>322</v>
      </c>
      <c r="D139" s="115">
        <v>0.145509111734</v>
      </c>
      <c r="E139" s="117">
        <v>4.5099656366200003E-2</v>
      </c>
      <c r="F139" s="117"/>
    </row>
    <row r="140" spans="1:6" x14ac:dyDescent="0.25">
      <c r="A140" s="115">
        <v>517</v>
      </c>
      <c r="B140" s="115" t="s">
        <v>580</v>
      </c>
      <c r="C140" s="115" t="s">
        <v>341</v>
      </c>
      <c r="D140" s="115">
        <v>0</v>
      </c>
      <c r="E140" s="115">
        <v>0</v>
      </c>
    </row>
    <row r="141" spans="1:6" x14ac:dyDescent="0.25">
      <c r="A141" s="115">
        <v>518</v>
      </c>
      <c r="B141" s="115" t="s">
        <v>582</v>
      </c>
      <c r="C141" s="115" t="s">
        <v>341</v>
      </c>
      <c r="D141" s="115">
        <v>0</v>
      </c>
      <c r="E141" s="115">
        <v>0</v>
      </c>
    </row>
    <row r="142" spans="1:6" x14ac:dyDescent="0.25">
      <c r="A142" s="115">
        <v>519</v>
      </c>
      <c r="B142" s="115" t="s">
        <v>584</v>
      </c>
      <c r="C142" s="115" t="s">
        <v>322</v>
      </c>
      <c r="D142" s="117">
        <v>-0.39019421704099999</v>
      </c>
      <c r="E142" s="117">
        <v>0.118239256599</v>
      </c>
      <c r="F142" s="117"/>
    </row>
    <row r="143" spans="1:6" x14ac:dyDescent="0.25">
      <c r="A143" s="115">
        <v>520</v>
      </c>
      <c r="B143" s="115" t="s">
        <v>586</v>
      </c>
      <c r="C143" s="115" t="s">
        <v>341</v>
      </c>
      <c r="D143" s="115">
        <v>0</v>
      </c>
      <c r="E143" s="117">
        <v>0</v>
      </c>
      <c r="F143" s="117"/>
    </row>
    <row r="144" spans="1:6" x14ac:dyDescent="0.25">
      <c r="A144" s="115">
        <v>521</v>
      </c>
      <c r="B144" s="115" t="s">
        <v>588</v>
      </c>
      <c r="C144" s="115" t="s">
        <v>322</v>
      </c>
      <c r="D144" s="115">
        <v>-0.664842450325</v>
      </c>
      <c r="E144" s="117">
        <v>9.34581777925E-2</v>
      </c>
      <c r="F144" s="117"/>
    </row>
    <row r="145" spans="1:6" x14ac:dyDescent="0.25">
      <c r="A145" s="115">
        <v>522</v>
      </c>
      <c r="B145" s="115" t="s">
        <v>590</v>
      </c>
      <c r="C145" s="115" t="s">
        <v>322</v>
      </c>
      <c r="D145" s="115">
        <v>-0.128206129379</v>
      </c>
      <c r="E145" s="117">
        <v>5.8279882022600003E-2</v>
      </c>
      <c r="F145" s="117"/>
    </row>
    <row r="146" spans="1:6" x14ac:dyDescent="0.25">
      <c r="A146" s="115">
        <v>523</v>
      </c>
      <c r="B146" s="115" t="s">
        <v>592</v>
      </c>
      <c r="C146" s="115" t="s">
        <v>322</v>
      </c>
      <c r="D146" s="115">
        <v>0.109643763442</v>
      </c>
      <c r="E146" s="117">
        <v>6.2344638501900002E-2</v>
      </c>
      <c r="F146" s="117"/>
    </row>
    <row r="147" spans="1:6" x14ac:dyDescent="0.25">
      <c r="A147" s="115">
        <v>524</v>
      </c>
      <c r="B147" s="115" t="s">
        <v>594</v>
      </c>
      <c r="C147" s="115" t="s">
        <v>341</v>
      </c>
      <c r="D147" s="115">
        <v>0</v>
      </c>
      <c r="E147" s="115">
        <v>0</v>
      </c>
    </row>
    <row r="148" spans="1:6" x14ac:dyDescent="0.25">
      <c r="A148" s="115">
        <v>525</v>
      </c>
      <c r="B148" s="115" t="s">
        <v>596</v>
      </c>
      <c r="C148" s="115" t="s">
        <v>341</v>
      </c>
      <c r="D148" s="115">
        <v>0</v>
      </c>
      <c r="E148" s="115">
        <v>0</v>
      </c>
    </row>
    <row r="149" spans="1:6" x14ac:dyDescent="0.25">
      <c r="A149" s="115">
        <v>526</v>
      </c>
      <c r="B149" s="115" t="s">
        <v>598</v>
      </c>
      <c r="C149" s="115" t="s">
        <v>341</v>
      </c>
      <c r="D149" s="115">
        <v>0</v>
      </c>
      <c r="E149" s="117">
        <v>0</v>
      </c>
      <c r="F149" s="117"/>
    </row>
    <row r="150" spans="1:6" x14ac:dyDescent="0.25">
      <c r="A150" s="115">
        <v>527</v>
      </c>
      <c r="B150" s="115" t="s">
        <v>600</v>
      </c>
      <c r="C150" s="115" t="s">
        <v>341</v>
      </c>
      <c r="D150" s="115">
        <v>0</v>
      </c>
      <c r="E150" s="115">
        <v>0</v>
      </c>
    </row>
    <row r="151" spans="1:6" x14ac:dyDescent="0.25">
      <c r="A151" s="115">
        <v>528</v>
      </c>
      <c r="B151" s="115" t="s">
        <v>602</v>
      </c>
      <c r="C151" s="115" t="s">
        <v>322</v>
      </c>
      <c r="D151" s="117">
        <v>-9.9077299202899993E-3</v>
      </c>
      <c r="E151" s="117">
        <v>1.36828090178E-2</v>
      </c>
      <c r="F151" s="117"/>
    </row>
    <row r="152" spans="1:6" x14ac:dyDescent="0.25">
      <c r="A152" s="115">
        <v>529</v>
      </c>
      <c r="B152" s="115" t="s">
        <v>603</v>
      </c>
      <c r="C152" s="115" t="s">
        <v>322</v>
      </c>
      <c r="D152" s="117">
        <v>-3.40075996586E-2</v>
      </c>
      <c r="E152" s="117">
        <v>2.3040823534399998E-2</v>
      </c>
      <c r="F152" s="117"/>
    </row>
    <row r="153" spans="1:6" x14ac:dyDescent="0.25">
      <c r="A153" s="115">
        <v>551</v>
      </c>
      <c r="B153" s="115" t="s">
        <v>604</v>
      </c>
      <c r="C153" s="115" t="s">
        <v>341</v>
      </c>
      <c r="D153" s="115">
        <v>0</v>
      </c>
      <c r="E153" s="117">
        <v>0</v>
      </c>
      <c r="F153" s="117"/>
    </row>
    <row r="154" spans="1:6" x14ac:dyDescent="0.25">
      <c r="A154" s="115">
        <v>600</v>
      </c>
      <c r="B154" s="115" t="s">
        <v>606</v>
      </c>
      <c r="C154" s="115" t="s">
        <v>322</v>
      </c>
      <c r="D154" s="115">
        <v>-3.1650076478</v>
      </c>
      <c r="E154" s="115">
        <v>0.150259640217</v>
      </c>
    </row>
    <row r="155" spans="1:6" x14ac:dyDescent="0.25">
      <c r="A155" s="115">
        <v>601</v>
      </c>
      <c r="B155" s="115" t="s">
        <v>608</v>
      </c>
      <c r="C155" s="115" t="s">
        <v>322</v>
      </c>
      <c r="D155" s="115">
        <v>-0.71412970660499997</v>
      </c>
      <c r="E155" s="117">
        <v>0.25290969902499999</v>
      </c>
      <c r="F155" s="117"/>
    </row>
    <row r="156" spans="1:6" x14ac:dyDescent="0.25">
      <c r="A156" s="115">
        <v>602</v>
      </c>
      <c r="B156" s="115" t="s">
        <v>610</v>
      </c>
      <c r="C156" s="115" t="s">
        <v>322</v>
      </c>
      <c r="D156" s="117">
        <v>-8.5904702712299996E-2</v>
      </c>
      <c r="E156" s="117">
        <v>8.4413808957900002E-2</v>
      </c>
      <c r="F156" s="117"/>
    </row>
    <row r="157" spans="1:6" x14ac:dyDescent="0.25">
      <c r="A157" s="115">
        <v>603</v>
      </c>
      <c r="B157" s="115" t="s">
        <v>612</v>
      </c>
      <c r="C157" s="115" t="s">
        <v>341</v>
      </c>
      <c r="D157" s="115">
        <v>0</v>
      </c>
      <c r="E157" s="115">
        <v>0</v>
      </c>
    </row>
    <row r="158" spans="1:6" x14ac:dyDescent="0.25">
      <c r="A158" s="115">
        <v>604</v>
      </c>
      <c r="B158" s="115" t="s">
        <v>614</v>
      </c>
      <c r="C158" s="115" t="s">
        <v>341</v>
      </c>
      <c r="D158" s="115">
        <v>0</v>
      </c>
      <c r="E158" s="115">
        <v>0</v>
      </c>
    </row>
    <row r="159" spans="1:6" x14ac:dyDescent="0.25">
      <c r="A159" s="115">
        <v>605</v>
      </c>
      <c r="B159" s="115" t="s">
        <v>616</v>
      </c>
      <c r="C159" s="115" t="s">
        <v>341</v>
      </c>
      <c r="D159" s="115">
        <v>0.5</v>
      </c>
      <c r="E159" s="115">
        <v>0</v>
      </c>
    </row>
    <row r="160" spans="1:6" x14ac:dyDescent="0.25">
      <c r="A160" s="115">
        <v>606</v>
      </c>
      <c r="B160" s="115" t="s">
        <v>618</v>
      </c>
      <c r="C160" s="115" t="s">
        <v>322</v>
      </c>
      <c r="D160" s="115">
        <v>-0.93463365956900002</v>
      </c>
      <c r="E160" s="115">
        <v>0.37305652044499998</v>
      </c>
    </row>
    <row r="161" spans="1:6" x14ac:dyDescent="0.25">
      <c r="A161" s="115">
        <v>607</v>
      </c>
      <c r="B161" s="115" t="s">
        <v>620</v>
      </c>
      <c r="C161" s="115" t="s">
        <v>322</v>
      </c>
      <c r="D161" s="115">
        <v>-1.1748210207500001</v>
      </c>
      <c r="E161" s="115">
        <v>0.16855216129600001</v>
      </c>
    </row>
    <row r="162" spans="1:6" x14ac:dyDescent="0.25">
      <c r="A162" s="115">
        <v>608</v>
      </c>
      <c r="B162" s="115" t="s">
        <v>622</v>
      </c>
      <c r="C162" s="115" t="s">
        <v>322</v>
      </c>
      <c r="D162" s="117">
        <v>-0.691459195676</v>
      </c>
      <c r="E162" s="117">
        <v>0.14080829364799999</v>
      </c>
      <c r="F162" s="117"/>
    </row>
    <row r="163" spans="1:6" x14ac:dyDescent="0.25">
      <c r="A163" s="115">
        <v>609</v>
      </c>
      <c r="B163" s="115" t="s">
        <v>624</v>
      </c>
      <c r="C163" s="115" t="s">
        <v>322</v>
      </c>
      <c r="D163" s="115">
        <v>-0.29980229741199999</v>
      </c>
      <c r="E163" s="117">
        <v>9.5208572581800002E-2</v>
      </c>
      <c r="F163" s="117"/>
    </row>
    <row r="164" spans="1:6" x14ac:dyDescent="0.25">
      <c r="A164" s="115">
        <v>610</v>
      </c>
      <c r="B164" s="115" t="s">
        <v>626</v>
      </c>
      <c r="C164" s="115" t="s">
        <v>322</v>
      </c>
      <c r="D164" s="117">
        <v>1.67667697238E-2</v>
      </c>
      <c r="E164" s="117">
        <v>6.8388728490300005E-2</v>
      </c>
      <c r="F164" s="117"/>
    </row>
    <row r="165" spans="1:6" x14ac:dyDescent="0.25">
      <c r="A165" s="115">
        <v>611</v>
      </c>
      <c r="B165" s="115" t="s">
        <v>628</v>
      </c>
      <c r="C165" s="115" t="s">
        <v>341</v>
      </c>
      <c r="D165" s="115">
        <v>0</v>
      </c>
      <c r="E165" s="115">
        <v>0</v>
      </c>
    </row>
    <row r="166" spans="1:6" x14ac:dyDescent="0.25">
      <c r="A166" s="115">
        <v>612</v>
      </c>
      <c r="B166" s="115" t="s">
        <v>630</v>
      </c>
      <c r="C166" s="115" t="s">
        <v>322</v>
      </c>
      <c r="D166" s="115">
        <v>-0.22841745929999999</v>
      </c>
      <c r="E166" s="117">
        <v>5.6860286755899998E-2</v>
      </c>
      <c r="F166" s="117"/>
    </row>
    <row r="167" spans="1:6" x14ac:dyDescent="0.25">
      <c r="A167" s="115">
        <v>613</v>
      </c>
      <c r="B167" s="115" t="s">
        <v>632</v>
      </c>
      <c r="C167" s="115" t="s">
        <v>341</v>
      </c>
      <c r="D167" s="115">
        <v>0</v>
      </c>
      <c r="E167" s="115">
        <v>0</v>
      </c>
    </row>
    <row r="168" spans="1:6" x14ac:dyDescent="0.25">
      <c r="A168" s="115">
        <v>614</v>
      </c>
      <c r="B168" s="115" t="s">
        <v>634</v>
      </c>
      <c r="C168" s="115" t="s">
        <v>341</v>
      </c>
      <c r="D168" s="117">
        <v>0</v>
      </c>
      <c r="E168" s="117">
        <v>0</v>
      </c>
      <c r="F168" s="117"/>
    </row>
    <row r="169" spans="1:6" x14ac:dyDescent="0.25">
      <c r="A169" s="115">
        <v>616</v>
      </c>
      <c r="B169" s="115" t="s">
        <v>637</v>
      </c>
      <c r="C169" s="115" t="s">
        <v>322</v>
      </c>
      <c r="D169" s="117">
        <v>-5.8983816757300002E-2</v>
      </c>
      <c r="E169" s="117">
        <v>5.2131637347500002E-2</v>
      </c>
      <c r="F169" s="117"/>
    </row>
    <row r="170" spans="1:6" x14ac:dyDescent="0.25">
      <c r="A170" s="115">
        <v>617</v>
      </c>
      <c r="B170" s="115" t="s">
        <v>639</v>
      </c>
      <c r="C170" s="115" t="s">
        <v>341</v>
      </c>
      <c r="D170" s="117">
        <v>0</v>
      </c>
      <c r="E170" s="117">
        <v>0</v>
      </c>
      <c r="F170" s="117"/>
    </row>
    <row r="171" spans="1:6" x14ac:dyDescent="0.25">
      <c r="A171" s="115">
        <v>618</v>
      </c>
      <c r="B171" s="115" t="s">
        <v>641</v>
      </c>
      <c r="C171" s="115" t="s">
        <v>322</v>
      </c>
      <c r="D171" s="115">
        <v>-0.59216940411100005</v>
      </c>
      <c r="E171" s="117">
        <v>0.121169768266</v>
      </c>
      <c r="F171" s="117"/>
    </row>
    <row r="172" spans="1:6" x14ac:dyDescent="0.25">
      <c r="A172" s="115">
        <v>619</v>
      </c>
      <c r="B172" s="115" t="s">
        <v>643</v>
      </c>
      <c r="C172" s="115" t="s">
        <v>341</v>
      </c>
      <c r="D172" s="115">
        <v>0</v>
      </c>
      <c r="E172" s="117">
        <v>0</v>
      </c>
      <c r="F172" s="117"/>
    </row>
    <row r="173" spans="1:6" x14ac:dyDescent="0.25">
      <c r="A173" s="115">
        <v>620</v>
      </c>
      <c r="B173" s="115" t="s">
        <v>645</v>
      </c>
      <c r="C173" s="115" t="s">
        <v>322</v>
      </c>
      <c r="D173" s="115">
        <v>-0.48080125201099999</v>
      </c>
      <c r="E173" s="115">
        <v>0.123565614495</v>
      </c>
    </row>
    <row r="174" spans="1:6" x14ac:dyDescent="0.25">
      <c r="A174" s="115">
        <v>621</v>
      </c>
      <c r="B174" s="115" t="s">
        <v>647</v>
      </c>
      <c r="C174" s="115" t="s">
        <v>341</v>
      </c>
      <c r="D174" s="115">
        <v>0</v>
      </c>
      <c r="E174" s="115">
        <v>0</v>
      </c>
    </row>
    <row r="175" spans="1:6" x14ac:dyDescent="0.25">
      <c r="A175" s="115">
        <v>622</v>
      </c>
      <c r="B175" s="115" t="s">
        <v>649</v>
      </c>
      <c r="C175" s="115" t="s">
        <v>341</v>
      </c>
      <c r="D175" s="115">
        <v>0</v>
      </c>
      <c r="E175" s="115">
        <v>0</v>
      </c>
    </row>
    <row r="176" spans="1:6" x14ac:dyDescent="0.25">
      <c r="A176" s="115">
        <v>623</v>
      </c>
      <c r="B176" s="115" t="s">
        <v>651</v>
      </c>
      <c r="C176" s="115" t="s">
        <v>341</v>
      </c>
      <c r="D176" s="115">
        <v>0</v>
      </c>
      <c r="E176" s="115">
        <v>0</v>
      </c>
    </row>
    <row r="177" spans="1:6" x14ac:dyDescent="0.25">
      <c r="A177" s="115">
        <v>624</v>
      </c>
      <c r="B177" s="115" t="s">
        <v>653</v>
      </c>
      <c r="C177" s="115" t="s">
        <v>341</v>
      </c>
      <c r="D177" s="115">
        <v>0</v>
      </c>
      <c r="E177" s="115">
        <v>0</v>
      </c>
    </row>
    <row r="178" spans="1:6" x14ac:dyDescent="0.25">
      <c r="A178" s="115">
        <v>625</v>
      </c>
      <c r="B178" s="115" t="s">
        <v>655</v>
      </c>
      <c r="C178" s="115" t="s">
        <v>341</v>
      </c>
      <c r="D178" s="115">
        <v>0</v>
      </c>
      <c r="E178" s="115">
        <v>0</v>
      </c>
    </row>
    <row r="179" spans="1:6" x14ac:dyDescent="0.25">
      <c r="A179" s="115">
        <v>626</v>
      </c>
      <c r="B179" s="115" t="s">
        <v>657</v>
      </c>
      <c r="C179" s="115" t="s">
        <v>341</v>
      </c>
      <c r="D179" s="115">
        <v>0</v>
      </c>
      <c r="E179" s="115">
        <v>0</v>
      </c>
    </row>
    <row r="180" spans="1:6" x14ac:dyDescent="0.25">
      <c r="A180" s="115">
        <v>627</v>
      </c>
      <c r="B180" s="115" t="s">
        <v>659</v>
      </c>
      <c r="C180" s="115" t="s">
        <v>341</v>
      </c>
      <c r="D180" s="115">
        <v>0.1</v>
      </c>
      <c r="E180" s="115">
        <v>0</v>
      </c>
    </row>
    <row r="181" spans="1:6" x14ac:dyDescent="0.25">
      <c r="A181" s="115">
        <v>628</v>
      </c>
      <c r="B181" s="115" t="s">
        <v>661</v>
      </c>
      <c r="C181" s="115" t="s">
        <v>322</v>
      </c>
      <c r="D181" s="117">
        <v>2.7065283978900002E-2</v>
      </c>
      <c r="E181" s="117">
        <v>1.4330824565999999E-2</v>
      </c>
      <c r="F181" s="117"/>
    </row>
    <row r="182" spans="1:6" x14ac:dyDescent="0.25">
      <c r="A182" s="115">
        <v>629</v>
      </c>
      <c r="B182" s="115" t="s">
        <v>662</v>
      </c>
      <c r="C182" s="115" t="s">
        <v>322</v>
      </c>
      <c r="D182" s="117">
        <v>-2.37266979579E-2</v>
      </c>
      <c r="E182" s="117">
        <v>2.0352237702099998E-2</v>
      </c>
      <c r="F182" s="117"/>
    </row>
    <row r="183" spans="1:6" x14ac:dyDescent="0.25">
      <c r="A183" s="115">
        <v>651</v>
      </c>
      <c r="B183" s="115" t="s">
        <v>663</v>
      </c>
      <c r="C183" s="115" t="s">
        <v>341</v>
      </c>
      <c r="D183" s="115">
        <v>0</v>
      </c>
      <c r="E183" s="117">
        <v>0</v>
      </c>
      <c r="F183" s="117"/>
    </row>
    <row r="184" spans="1:6" x14ac:dyDescent="0.25">
      <c r="A184" s="115">
        <v>700</v>
      </c>
      <c r="B184" s="115" t="s">
        <v>665</v>
      </c>
      <c r="C184" s="115" t="s">
        <v>322</v>
      </c>
      <c r="D184" s="115">
        <v>-2.1192921546600001</v>
      </c>
      <c r="E184" s="117">
        <v>0.145815968942</v>
      </c>
      <c r="F184" s="117"/>
    </row>
    <row r="185" spans="1:6" x14ac:dyDescent="0.25">
      <c r="A185" s="115">
        <v>701</v>
      </c>
      <c r="B185" s="115" t="s">
        <v>667</v>
      </c>
      <c r="C185" s="115" t="s">
        <v>322</v>
      </c>
      <c r="D185" s="115">
        <v>-0.4</v>
      </c>
      <c r="E185" s="115">
        <v>0.23179014482099999</v>
      </c>
    </row>
    <row r="186" spans="1:6" x14ac:dyDescent="0.25">
      <c r="A186" s="115">
        <v>702</v>
      </c>
      <c r="B186" s="115" t="s">
        <v>669</v>
      </c>
      <c r="C186" s="115" t="s">
        <v>341</v>
      </c>
      <c r="D186" s="117">
        <v>0.25</v>
      </c>
      <c r="E186" s="117">
        <v>0</v>
      </c>
      <c r="F186" s="117"/>
    </row>
    <row r="187" spans="1:6" x14ac:dyDescent="0.25">
      <c r="A187" s="115">
        <v>703</v>
      </c>
      <c r="B187" s="115" t="s">
        <v>671</v>
      </c>
      <c r="C187" s="115" t="s">
        <v>341</v>
      </c>
      <c r="D187" s="115">
        <v>0</v>
      </c>
      <c r="E187" s="115">
        <v>0</v>
      </c>
    </row>
    <row r="188" spans="1:6" x14ac:dyDescent="0.25">
      <c r="A188" s="115">
        <v>704</v>
      </c>
      <c r="B188" s="115" t="s">
        <v>673</v>
      </c>
      <c r="C188" s="115" t="s">
        <v>341</v>
      </c>
      <c r="D188" s="115">
        <v>0</v>
      </c>
      <c r="E188" s="115">
        <v>0</v>
      </c>
    </row>
    <row r="189" spans="1:6" x14ac:dyDescent="0.25">
      <c r="A189" s="115">
        <v>705</v>
      </c>
      <c r="B189" s="115" t="s">
        <v>675</v>
      </c>
      <c r="C189" s="115" t="s">
        <v>341</v>
      </c>
      <c r="D189" s="115">
        <v>0.4</v>
      </c>
      <c r="E189" s="117">
        <v>0</v>
      </c>
      <c r="F189" s="117"/>
    </row>
    <row r="190" spans="1:6" x14ac:dyDescent="0.25">
      <c r="A190" s="115">
        <v>706</v>
      </c>
      <c r="B190" s="115" t="s">
        <v>677</v>
      </c>
      <c r="C190" s="115" t="s">
        <v>341</v>
      </c>
      <c r="D190" s="115">
        <v>0</v>
      </c>
      <c r="E190" s="115">
        <v>0</v>
      </c>
    </row>
    <row r="191" spans="1:6" x14ac:dyDescent="0.25">
      <c r="A191" s="115">
        <v>707</v>
      </c>
      <c r="B191" s="115" t="s">
        <v>679</v>
      </c>
      <c r="C191" s="115" t="s">
        <v>322</v>
      </c>
      <c r="D191" s="115">
        <v>0.10984351682100001</v>
      </c>
      <c r="E191" s="115">
        <v>0.11798712336599999</v>
      </c>
    </row>
    <row r="192" spans="1:6" x14ac:dyDescent="0.25">
      <c r="A192" s="115">
        <v>708</v>
      </c>
      <c r="B192" s="115" t="s">
        <v>681</v>
      </c>
      <c r="C192" s="115" t="s">
        <v>322</v>
      </c>
      <c r="D192" s="115">
        <v>0.116602358763</v>
      </c>
      <c r="E192" s="117">
        <v>9.9810686258599998E-2</v>
      </c>
      <c r="F192" s="117"/>
    </row>
    <row r="193" spans="1:6" x14ac:dyDescent="0.25">
      <c r="A193" s="115">
        <v>709</v>
      </c>
      <c r="B193" s="115" t="s">
        <v>683</v>
      </c>
      <c r="C193" s="115" t="s">
        <v>322</v>
      </c>
      <c r="D193" s="115">
        <v>-0.37024939587599998</v>
      </c>
      <c r="E193" s="117">
        <v>8.3122718722100003E-2</v>
      </c>
      <c r="F193" s="117"/>
    </row>
    <row r="194" spans="1:6" x14ac:dyDescent="0.25">
      <c r="A194" s="115">
        <v>710</v>
      </c>
      <c r="B194" s="115" t="s">
        <v>685</v>
      </c>
      <c r="C194" s="115" t="s">
        <v>322</v>
      </c>
      <c r="D194" s="117">
        <v>-2.8143568197899999E-2</v>
      </c>
      <c r="E194" s="117">
        <v>6.3814408662299996E-2</v>
      </c>
      <c r="F194" s="117"/>
    </row>
    <row r="195" spans="1:6" x14ac:dyDescent="0.25">
      <c r="A195" s="115">
        <v>711</v>
      </c>
      <c r="B195" s="115" t="s">
        <v>687</v>
      </c>
      <c r="C195" s="115" t="s">
        <v>322</v>
      </c>
      <c r="D195" s="115">
        <v>0.11288399086799999</v>
      </c>
      <c r="E195" s="117">
        <v>4.9210397848100003E-2</v>
      </c>
      <c r="F195" s="117"/>
    </row>
    <row r="196" spans="1:6" x14ac:dyDescent="0.25">
      <c r="A196" s="115">
        <v>712</v>
      </c>
      <c r="B196" s="115" t="s">
        <v>689</v>
      </c>
      <c r="C196" s="115" t="s">
        <v>322</v>
      </c>
      <c r="D196" s="115">
        <v>0.19420487187800001</v>
      </c>
      <c r="E196" s="117">
        <v>5.1151548110099997E-2</v>
      </c>
      <c r="F196" s="117"/>
    </row>
    <row r="197" spans="1:6" x14ac:dyDescent="0.25">
      <c r="A197" s="115">
        <v>713</v>
      </c>
      <c r="B197" s="115" t="s">
        <v>691</v>
      </c>
      <c r="C197" s="115" t="s">
        <v>322</v>
      </c>
      <c r="D197" s="117">
        <v>-5.0667690583899999E-2</v>
      </c>
      <c r="E197" s="117">
        <v>5.2471887390999998E-2</v>
      </c>
      <c r="F197" s="117"/>
    </row>
    <row r="198" spans="1:6" x14ac:dyDescent="0.25">
      <c r="A198" s="115">
        <v>714</v>
      </c>
      <c r="B198" s="115" t="s">
        <v>693</v>
      </c>
      <c r="C198" s="115" t="s">
        <v>341</v>
      </c>
      <c r="D198" s="115">
        <v>0</v>
      </c>
      <c r="E198" s="115">
        <v>0</v>
      </c>
    </row>
    <row r="199" spans="1:6" x14ac:dyDescent="0.25">
      <c r="A199" s="115">
        <v>716</v>
      </c>
      <c r="B199" s="115" t="s">
        <v>696</v>
      </c>
      <c r="C199" s="115" t="s">
        <v>341</v>
      </c>
      <c r="D199" s="115">
        <v>0</v>
      </c>
      <c r="E199" s="115">
        <v>0</v>
      </c>
    </row>
    <row r="200" spans="1:6" x14ac:dyDescent="0.25">
      <c r="A200" s="115">
        <v>717</v>
      </c>
      <c r="B200" s="115" t="s">
        <v>698</v>
      </c>
      <c r="C200" s="115" t="s">
        <v>341</v>
      </c>
      <c r="D200" s="115">
        <v>0</v>
      </c>
      <c r="E200" s="115">
        <v>0</v>
      </c>
    </row>
    <row r="201" spans="1:6" x14ac:dyDescent="0.25">
      <c r="A201" s="115">
        <v>718</v>
      </c>
      <c r="B201" s="115" t="s">
        <v>700</v>
      </c>
      <c r="C201" s="115" t="s">
        <v>322</v>
      </c>
      <c r="D201" s="115">
        <v>-0.24386623187299999</v>
      </c>
      <c r="E201" s="117">
        <v>9.8346566265000004E-2</v>
      </c>
      <c r="F201" s="117"/>
    </row>
    <row r="202" spans="1:6" x14ac:dyDescent="0.25">
      <c r="A202" s="115">
        <v>719</v>
      </c>
      <c r="B202" s="115" t="s">
        <v>702</v>
      </c>
      <c r="C202" s="115" t="s">
        <v>341</v>
      </c>
      <c r="D202" s="117">
        <v>0</v>
      </c>
      <c r="E202" s="117">
        <v>0</v>
      </c>
      <c r="F202" s="117"/>
    </row>
    <row r="203" spans="1:6" x14ac:dyDescent="0.25">
      <c r="A203" s="115">
        <v>720</v>
      </c>
      <c r="B203" s="115" t="s">
        <v>704</v>
      </c>
      <c r="C203" s="115" t="s">
        <v>322</v>
      </c>
      <c r="D203" s="115">
        <v>-0.50528967094099997</v>
      </c>
      <c r="E203" s="115">
        <v>0.114513026186</v>
      </c>
    </row>
    <row r="204" spans="1:6" x14ac:dyDescent="0.25">
      <c r="A204" s="115">
        <v>721</v>
      </c>
      <c r="B204" s="115" t="s">
        <v>706</v>
      </c>
      <c r="C204" s="115" t="s">
        <v>341</v>
      </c>
      <c r="D204" s="117">
        <v>0</v>
      </c>
      <c r="E204" s="117">
        <v>0</v>
      </c>
      <c r="F204" s="117"/>
    </row>
    <row r="205" spans="1:6" x14ac:dyDescent="0.25">
      <c r="A205" s="115">
        <v>722</v>
      </c>
      <c r="B205" s="115" t="s">
        <v>708</v>
      </c>
      <c r="C205" s="115" t="s">
        <v>341</v>
      </c>
      <c r="D205" s="115">
        <v>0</v>
      </c>
      <c r="E205" s="117">
        <v>0</v>
      </c>
      <c r="F205" s="117"/>
    </row>
    <row r="206" spans="1:6" x14ac:dyDescent="0.25">
      <c r="A206" s="115">
        <v>723</v>
      </c>
      <c r="B206" s="115" t="s">
        <v>710</v>
      </c>
      <c r="C206" s="115" t="s">
        <v>322</v>
      </c>
      <c r="D206" s="117">
        <v>-9.4417426909799998E-2</v>
      </c>
      <c r="E206" s="117">
        <v>5.8791851279299999E-2</v>
      </c>
      <c r="F206" s="117"/>
    </row>
    <row r="207" spans="1:6" x14ac:dyDescent="0.25">
      <c r="A207" s="115">
        <v>724</v>
      </c>
      <c r="B207" s="115" t="s">
        <v>712</v>
      </c>
      <c r="C207" s="115" t="s">
        <v>341</v>
      </c>
      <c r="D207" s="115">
        <v>-5</v>
      </c>
      <c r="E207" s="115">
        <v>0</v>
      </c>
    </row>
    <row r="208" spans="1:6" x14ac:dyDescent="0.25">
      <c r="A208" s="115">
        <v>725</v>
      </c>
      <c r="B208" s="115" t="s">
        <v>714</v>
      </c>
      <c r="C208" s="115" t="s">
        <v>341</v>
      </c>
      <c r="D208" s="115">
        <v>0</v>
      </c>
      <c r="E208" s="115">
        <v>0</v>
      </c>
    </row>
    <row r="209" spans="1:6" x14ac:dyDescent="0.25">
      <c r="A209" s="115">
        <v>726</v>
      </c>
      <c r="B209" s="115" t="s">
        <v>716</v>
      </c>
      <c r="C209" s="115" t="s">
        <v>341</v>
      </c>
      <c r="D209" s="115">
        <v>0</v>
      </c>
      <c r="E209" s="115">
        <v>0</v>
      </c>
    </row>
    <row r="210" spans="1:6" x14ac:dyDescent="0.25">
      <c r="A210" s="115">
        <v>727</v>
      </c>
      <c r="B210" s="115" t="s">
        <v>718</v>
      </c>
      <c r="C210" s="115" t="s">
        <v>341</v>
      </c>
      <c r="D210" s="115">
        <v>0</v>
      </c>
      <c r="E210" s="115">
        <v>0</v>
      </c>
    </row>
    <row r="211" spans="1:6" x14ac:dyDescent="0.25">
      <c r="A211" s="115">
        <v>728</v>
      </c>
      <c r="B211" s="115" t="s">
        <v>720</v>
      </c>
      <c r="C211" s="115" t="s">
        <v>322</v>
      </c>
      <c r="D211" s="117">
        <v>4.7101136486500002E-2</v>
      </c>
      <c r="E211" s="117">
        <v>1.30683101885E-2</v>
      </c>
      <c r="F211" s="117"/>
    </row>
    <row r="212" spans="1:6" x14ac:dyDescent="0.25">
      <c r="A212" s="115">
        <v>729</v>
      </c>
      <c r="B212" s="115" t="s">
        <v>721</v>
      </c>
      <c r="C212" s="115" t="s">
        <v>322</v>
      </c>
      <c r="D212" s="117">
        <v>3.3043148208000001E-2</v>
      </c>
      <c r="E212" s="117">
        <v>1.7343796398199999E-2</v>
      </c>
      <c r="F212" s="117"/>
    </row>
    <row r="213" spans="1:6" x14ac:dyDescent="0.25">
      <c r="A213" s="115">
        <v>751</v>
      </c>
      <c r="B213" s="115" t="s">
        <v>722</v>
      </c>
      <c r="C213" s="115" t="s">
        <v>322</v>
      </c>
      <c r="D213" s="115">
        <v>-0.181999194674</v>
      </c>
      <c r="E213" s="117">
        <v>5.7583546237699998E-2</v>
      </c>
      <c r="F213" s="117"/>
    </row>
    <row r="214" spans="1:6" x14ac:dyDescent="0.25">
      <c r="A214" s="115">
        <v>802</v>
      </c>
      <c r="B214" s="115" t="s">
        <v>724</v>
      </c>
      <c r="C214" s="115" t="s">
        <v>322</v>
      </c>
      <c r="D214" s="115">
        <v>0.48216116208199999</v>
      </c>
      <c r="E214" s="115">
        <v>0.10951224639</v>
      </c>
    </row>
    <row r="215" spans="1:6" x14ac:dyDescent="0.25">
      <c r="A215" s="115">
        <v>803</v>
      </c>
      <c r="B215" s="115" t="s">
        <v>726</v>
      </c>
      <c r="C215" s="115" t="s">
        <v>322</v>
      </c>
      <c r="D215" s="117">
        <v>4.1439464708299997E-2</v>
      </c>
      <c r="E215" s="117">
        <v>0.12958894603900001</v>
      </c>
    </row>
    <row r="216" spans="1:6" x14ac:dyDescent="0.25">
      <c r="A216" s="115">
        <v>804</v>
      </c>
      <c r="B216" s="115" t="s">
        <v>728</v>
      </c>
      <c r="C216" s="115" t="s">
        <v>322</v>
      </c>
      <c r="D216" s="117">
        <v>6.9579968419499996E-2</v>
      </c>
      <c r="E216" s="117">
        <v>0.12141878031599999</v>
      </c>
    </row>
    <row r="217" spans="1:6" x14ac:dyDescent="0.25">
      <c r="A217" s="115">
        <v>805</v>
      </c>
      <c r="B217" s="115" t="s">
        <v>730</v>
      </c>
      <c r="C217" s="115" t="s">
        <v>322</v>
      </c>
      <c r="D217" s="115">
        <v>-0.43103620622200001</v>
      </c>
      <c r="E217" s="117">
        <v>0.14479311080099999</v>
      </c>
      <c r="F217" s="117"/>
    </row>
    <row r="218" spans="1:6" x14ac:dyDescent="0.25">
      <c r="A218" s="115">
        <v>806</v>
      </c>
      <c r="B218" s="115" t="s">
        <v>732</v>
      </c>
      <c r="C218" s="115" t="s">
        <v>322</v>
      </c>
      <c r="D218" s="115">
        <v>0.18339092563000001</v>
      </c>
      <c r="E218" s="117">
        <v>0.33927095854</v>
      </c>
      <c r="F218" s="117"/>
    </row>
    <row r="219" spans="1:6" x14ac:dyDescent="0.25">
      <c r="A219" s="115">
        <v>807</v>
      </c>
      <c r="B219" s="115" t="s">
        <v>734</v>
      </c>
      <c r="C219" s="115" t="s">
        <v>322</v>
      </c>
      <c r="D219" s="115">
        <v>0.66879116640400005</v>
      </c>
      <c r="E219" s="117">
        <v>0.20992085445200001</v>
      </c>
      <c r="F219" s="117"/>
    </row>
    <row r="220" spans="1:6" x14ac:dyDescent="0.25">
      <c r="A220" s="115">
        <v>808</v>
      </c>
      <c r="B220" s="115" t="s">
        <v>736</v>
      </c>
      <c r="C220" s="115" t="s">
        <v>341</v>
      </c>
      <c r="D220" s="117">
        <v>0</v>
      </c>
      <c r="E220" s="117">
        <v>0</v>
      </c>
      <c r="F220" s="117"/>
    </row>
    <row r="221" spans="1:6" x14ac:dyDescent="0.25">
      <c r="A221" s="115">
        <v>809</v>
      </c>
      <c r="B221" s="115" t="s">
        <v>738</v>
      </c>
      <c r="C221" s="115" t="s">
        <v>341</v>
      </c>
      <c r="D221" s="115">
        <v>0</v>
      </c>
      <c r="E221" s="115">
        <v>0</v>
      </c>
    </row>
    <row r="222" spans="1:6" x14ac:dyDescent="0.25">
      <c r="A222" s="115">
        <v>810</v>
      </c>
      <c r="B222" s="115" t="s">
        <v>740</v>
      </c>
      <c r="C222" s="115" t="s">
        <v>341</v>
      </c>
      <c r="D222" s="115">
        <v>0</v>
      </c>
      <c r="E222" s="115">
        <v>0</v>
      </c>
    </row>
    <row r="223" spans="1:6" x14ac:dyDescent="0.25">
      <c r="A223" s="115">
        <v>811</v>
      </c>
      <c r="B223" s="115" t="s">
        <v>742</v>
      </c>
      <c r="C223" s="115" t="s">
        <v>341</v>
      </c>
      <c r="D223" s="115">
        <v>0</v>
      </c>
      <c r="E223" s="115">
        <v>0</v>
      </c>
    </row>
    <row r="224" spans="1:6" x14ac:dyDescent="0.25">
      <c r="A224" s="115">
        <v>812</v>
      </c>
      <c r="B224" s="115" t="s">
        <v>744</v>
      </c>
      <c r="C224" s="115" t="s">
        <v>341</v>
      </c>
      <c r="D224" s="115">
        <v>0</v>
      </c>
      <c r="E224" s="115">
        <v>0</v>
      </c>
    </row>
    <row r="225" spans="1:6" x14ac:dyDescent="0.25">
      <c r="A225" s="115">
        <v>813</v>
      </c>
      <c r="B225" s="115" t="s">
        <v>746</v>
      </c>
      <c r="C225" s="115" t="s">
        <v>341</v>
      </c>
      <c r="D225" s="115">
        <v>0.2</v>
      </c>
      <c r="E225" s="115">
        <v>0</v>
      </c>
    </row>
    <row r="226" spans="1:6" x14ac:dyDescent="0.25">
      <c r="A226" s="115">
        <v>814</v>
      </c>
      <c r="B226" s="115" t="s">
        <v>748</v>
      </c>
      <c r="C226" s="115" t="s">
        <v>341</v>
      </c>
      <c r="D226" s="115">
        <v>0.2</v>
      </c>
      <c r="E226" s="115">
        <v>0</v>
      </c>
    </row>
    <row r="227" spans="1:6" x14ac:dyDescent="0.25">
      <c r="A227" s="115">
        <v>816</v>
      </c>
      <c r="B227" s="115" t="s">
        <v>751</v>
      </c>
      <c r="C227" s="115" t="s">
        <v>322</v>
      </c>
      <c r="D227" s="115">
        <v>-0.133527374536</v>
      </c>
      <c r="E227" s="117">
        <v>6.6064707039200005E-2</v>
      </c>
      <c r="F227" s="117"/>
    </row>
    <row r="228" spans="1:6" x14ac:dyDescent="0.25">
      <c r="A228" s="115">
        <v>817</v>
      </c>
      <c r="B228" s="115" t="s">
        <v>753</v>
      </c>
      <c r="C228" s="115" t="s">
        <v>322</v>
      </c>
      <c r="D228" s="115">
        <v>-0.19409057072399999</v>
      </c>
      <c r="E228" s="115">
        <v>0.14269006834199999</v>
      </c>
    </row>
    <row r="229" spans="1:6" x14ac:dyDescent="0.25">
      <c r="A229" s="115">
        <v>818</v>
      </c>
      <c r="B229" s="115" t="s">
        <v>755</v>
      </c>
      <c r="C229" s="115" t="s">
        <v>322</v>
      </c>
      <c r="D229" s="115">
        <v>0.3240162721</v>
      </c>
      <c r="E229" s="115">
        <v>0.137880088875</v>
      </c>
    </row>
    <row r="230" spans="1:6" x14ac:dyDescent="0.25">
      <c r="A230" s="115">
        <v>819</v>
      </c>
      <c r="B230" s="115" t="s">
        <v>757</v>
      </c>
      <c r="C230" s="115" t="s">
        <v>322</v>
      </c>
      <c r="D230" s="115">
        <v>-0.30256536065299999</v>
      </c>
      <c r="E230" s="117">
        <v>0.153420573733</v>
      </c>
      <c r="F230" s="117"/>
    </row>
    <row r="231" spans="1:6" x14ac:dyDescent="0.25">
      <c r="A231" s="115">
        <v>820</v>
      </c>
      <c r="B231" s="115" t="s">
        <v>759</v>
      </c>
      <c r="C231" s="115" t="s">
        <v>322</v>
      </c>
      <c r="D231" s="115">
        <v>0.46909146537899998</v>
      </c>
      <c r="E231" s="115">
        <v>0.151001127102</v>
      </c>
    </row>
    <row r="232" spans="1:6" x14ac:dyDescent="0.25">
      <c r="A232" s="115">
        <v>821</v>
      </c>
      <c r="B232" s="115" t="s">
        <v>761</v>
      </c>
      <c r="C232" s="115" t="s">
        <v>322</v>
      </c>
      <c r="D232" s="117">
        <v>9.8106343641299998E-2</v>
      </c>
      <c r="E232" s="117">
        <v>0.122962661892</v>
      </c>
    </row>
    <row r="233" spans="1:6" x14ac:dyDescent="0.25">
      <c r="A233" s="115">
        <v>822</v>
      </c>
      <c r="B233" s="115" t="s">
        <v>763</v>
      </c>
      <c r="C233" s="115" t="s">
        <v>341</v>
      </c>
      <c r="D233" s="115">
        <v>0.2</v>
      </c>
      <c r="E233" s="115">
        <v>0</v>
      </c>
    </row>
    <row r="234" spans="1:6" x14ac:dyDescent="0.25">
      <c r="A234" s="115">
        <v>823</v>
      </c>
      <c r="B234" s="115" t="s">
        <v>765</v>
      </c>
      <c r="C234" s="115" t="s">
        <v>341</v>
      </c>
      <c r="D234" s="115">
        <v>0</v>
      </c>
      <c r="E234" s="115">
        <v>0</v>
      </c>
    </row>
    <row r="235" spans="1:6" x14ac:dyDescent="0.25">
      <c r="A235" s="115">
        <v>824</v>
      </c>
      <c r="B235" s="115" t="s">
        <v>767</v>
      </c>
      <c r="C235" s="115" t="s">
        <v>322</v>
      </c>
      <c r="D235" s="115">
        <v>1.7061575260799999</v>
      </c>
      <c r="E235" s="115">
        <v>0.62464943799600003</v>
      </c>
    </row>
    <row r="236" spans="1:6" x14ac:dyDescent="0.25">
      <c r="A236" s="115">
        <v>825</v>
      </c>
      <c r="B236" s="115" t="s">
        <v>769</v>
      </c>
      <c r="C236" s="115" t="s">
        <v>341</v>
      </c>
      <c r="D236" s="117">
        <v>0</v>
      </c>
      <c r="E236" s="117">
        <v>0</v>
      </c>
      <c r="F236" s="117"/>
    </row>
    <row r="237" spans="1:6" x14ac:dyDescent="0.25">
      <c r="A237" s="115">
        <v>826</v>
      </c>
      <c r="B237" s="115" t="s">
        <v>771</v>
      </c>
      <c r="C237" s="115" t="s">
        <v>322</v>
      </c>
      <c r="D237" s="117">
        <v>7.7639467671599999E-4</v>
      </c>
      <c r="E237" s="117">
        <v>2.8502227399800003E-4</v>
      </c>
      <c r="F237" s="117"/>
    </row>
    <row r="238" spans="1:6" x14ac:dyDescent="0.25">
      <c r="A238" s="115">
        <v>827</v>
      </c>
      <c r="B238" s="115" t="s">
        <v>773</v>
      </c>
      <c r="C238" s="115" t="s">
        <v>322</v>
      </c>
      <c r="D238" s="117">
        <v>6.0680986142000001E-2</v>
      </c>
      <c r="E238" s="117">
        <v>1.5925740251099999E-2</v>
      </c>
      <c r="F238" s="117"/>
    </row>
    <row r="239" spans="1:6" x14ac:dyDescent="0.25">
      <c r="A239" s="115">
        <v>851</v>
      </c>
      <c r="B239" s="115" t="s">
        <v>775</v>
      </c>
      <c r="C239" s="115" t="s">
        <v>341</v>
      </c>
      <c r="D239" s="115">
        <v>0.1</v>
      </c>
      <c r="E239" s="117">
        <v>0</v>
      </c>
      <c r="F239" s="117"/>
    </row>
    <row r="240" spans="1:6" x14ac:dyDescent="0.25">
      <c r="A240" s="115">
        <v>902</v>
      </c>
      <c r="B240" s="115" t="s">
        <v>777</v>
      </c>
      <c r="C240" s="115" t="s">
        <v>341</v>
      </c>
      <c r="D240" s="115">
        <v>0</v>
      </c>
      <c r="E240" s="117">
        <v>0</v>
      </c>
      <c r="F240" s="117"/>
    </row>
    <row r="241" spans="1:6" x14ac:dyDescent="0.25">
      <c r="A241" s="115">
        <v>903</v>
      </c>
      <c r="B241" s="115" t="s">
        <v>779</v>
      </c>
      <c r="C241" s="115" t="s">
        <v>341</v>
      </c>
      <c r="D241" s="115">
        <v>0</v>
      </c>
      <c r="E241" s="117">
        <v>0</v>
      </c>
      <c r="F241" s="117"/>
    </row>
    <row r="242" spans="1:6" x14ac:dyDescent="0.25">
      <c r="A242" s="115">
        <v>904</v>
      </c>
      <c r="B242" s="115" t="s">
        <v>781</v>
      </c>
      <c r="C242" s="115" t="s">
        <v>341</v>
      </c>
      <c r="D242" s="115">
        <v>0</v>
      </c>
      <c r="E242" s="115">
        <v>0</v>
      </c>
    </row>
    <row r="243" spans="1:6" x14ac:dyDescent="0.25">
      <c r="A243" s="115">
        <v>905</v>
      </c>
      <c r="B243" s="115" t="s">
        <v>783</v>
      </c>
      <c r="C243" s="115" t="s">
        <v>341</v>
      </c>
      <c r="D243" s="115">
        <v>0.1</v>
      </c>
      <c r="E243" s="115">
        <v>0</v>
      </c>
    </row>
    <row r="244" spans="1:6" x14ac:dyDescent="0.25">
      <c r="A244" s="115">
        <v>906</v>
      </c>
      <c r="B244" s="115" t="s">
        <v>785</v>
      </c>
      <c r="C244" s="115" t="s">
        <v>322</v>
      </c>
      <c r="D244" s="115">
        <v>-0.74970232918900004</v>
      </c>
      <c r="E244" s="115">
        <v>0.44168442604699998</v>
      </c>
    </row>
    <row r="245" spans="1:6" x14ac:dyDescent="0.25">
      <c r="A245" s="115">
        <v>907</v>
      </c>
      <c r="B245" s="115" t="s">
        <v>787</v>
      </c>
      <c r="C245" s="115" t="s">
        <v>322</v>
      </c>
      <c r="D245" s="115">
        <v>-0.45273598904899998</v>
      </c>
      <c r="E245" s="115">
        <v>0.18264218077800001</v>
      </c>
    </row>
    <row r="246" spans="1:6" x14ac:dyDescent="0.25">
      <c r="A246" s="115">
        <v>908</v>
      </c>
      <c r="B246" s="115" t="s">
        <v>789</v>
      </c>
      <c r="C246" s="115" t="s">
        <v>341</v>
      </c>
      <c r="D246" s="115">
        <v>0</v>
      </c>
      <c r="E246" s="115">
        <v>0</v>
      </c>
    </row>
    <row r="247" spans="1:6" x14ac:dyDescent="0.25">
      <c r="A247" s="115">
        <v>909</v>
      </c>
      <c r="B247" s="115" t="s">
        <v>791</v>
      </c>
      <c r="C247" s="115" t="s">
        <v>341</v>
      </c>
      <c r="D247" s="115">
        <v>0</v>
      </c>
      <c r="E247" s="115">
        <v>0</v>
      </c>
    </row>
    <row r="248" spans="1:6" x14ac:dyDescent="0.25">
      <c r="A248" s="115">
        <v>910</v>
      </c>
      <c r="B248" s="115" t="s">
        <v>793</v>
      </c>
      <c r="C248" s="115" t="s">
        <v>341</v>
      </c>
      <c r="D248" s="115">
        <v>0</v>
      </c>
      <c r="E248" s="115">
        <v>0</v>
      </c>
    </row>
    <row r="249" spans="1:6" x14ac:dyDescent="0.25">
      <c r="A249" s="115">
        <v>911</v>
      </c>
      <c r="B249" s="115" t="s">
        <v>795</v>
      </c>
      <c r="C249" s="115" t="s">
        <v>341</v>
      </c>
      <c r="D249" s="115">
        <v>0.1</v>
      </c>
      <c r="E249" s="115">
        <v>0</v>
      </c>
    </row>
    <row r="250" spans="1:6" x14ac:dyDescent="0.25">
      <c r="A250" s="115">
        <v>912</v>
      </c>
      <c r="B250" s="115" t="s">
        <v>797</v>
      </c>
      <c r="C250" s="115" t="s">
        <v>341</v>
      </c>
      <c r="D250" s="115">
        <v>0</v>
      </c>
      <c r="E250" s="115">
        <v>0</v>
      </c>
    </row>
    <row r="251" spans="1:6" x14ac:dyDescent="0.25">
      <c r="A251" s="115">
        <v>913</v>
      </c>
      <c r="B251" s="115" t="s">
        <v>799</v>
      </c>
      <c r="C251" s="115" t="s">
        <v>341</v>
      </c>
      <c r="D251" s="115">
        <v>0</v>
      </c>
      <c r="E251" s="115">
        <v>0</v>
      </c>
    </row>
    <row r="252" spans="1:6" x14ac:dyDescent="0.25">
      <c r="A252" s="115">
        <v>914</v>
      </c>
      <c r="B252" s="115" t="s">
        <v>801</v>
      </c>
      <c r="C252" s="115" t="s">
        <v>341</v>
      </c>
      <c r="D252" s="115">
        <v>0</v>
      </c>
      <c r="E252" s="115">
        <v>0</v>
      </c>
    </row>
    <row r="253" spans="1:6" x14ac:dyDescent="0.25">
      <c r="A253" s="115">
        <v>916</v>
      </c>
      <c r="B253" s="115" t="s">
        <v>804</v>
      </c>
      <c r="C253" s="115" t="s">
        <v>341</v>
      </c>
      <c r="D253" s="115">
        <v>0</v>
      </c>
      <c r="E253" s="115">
        <v>0</v>
      </c>
    </row>
    <row r="254" spans="1:6" x14ac:dyDescent="0.25">
      <c r="A254" s="115">
        <v>917</v>
      </c>
      <c r="B254" s="115" t="s">
        <v>806</v>
      </c>
      <c r="C254" s="115" t="s">
        <v>341</v>
      </c>
      <c r="D254" s="115">
        <v>0.1</v>
      </c>
      <c r="E254" s="115">
        <v>0</v>
      </c>
    </row>
    <row r="255" spans="1:6" x14ac:dyDescent="0.25">
      <c r="A255" s="115">
        <v>918</v>
      </c>
      <c r="B255" s="115" t="s">
        <v>808</v>
      </c>
      <c r="C255" s="115" t="s">
        <v>341</v>
      </c>
      <c r="D255" s="115">
        <v>0.1</v>
      </c>
      <c r="E255" s="117">
        <v>0</v>
      </c>
      <c r="F255" s="117"/>
    </row>
    <row r="256" spans="1:6" x14ac:dyDescent="0.25">
      <c r="A256" s="115">
        <v>919</v>
      </c>
      <c r="B256" s="115" t="s">
        <v>810</v>
      </c>
      <c r="C256" s="115" t="s">
        <v>341</v>
      </c>
      <c r="D256" s="115">
        <v>0.1</v>
      </c>
      <c r="E256" s="115">
        <v>0</v>
      </c>
    </row>
    <row r="257" spans="1:6" x14ac:dyDescent="0.25">
      <c r="A257" s="115">
        <v>920</v>
      </c>
      <c r="B257" s="115" t="s">
        <v>812</v>
      </c>
      <c r="C257" s="115" t="s">
        <v>341</v>
      </c>
      <c r="D257" s="115">
        <v>0.1</v>
      </c>
      <c r="E257" s="115">
        <v>0</v>
      </c>
    </row>
    <row r="258" spans="1:6" x14ac:dyDescent="0.25">
      <c r="A258" s="115">
        <v>921</v>
      </c>
      <c r="B258" s="115" t="s">
        <v>814</v>
      </c>
      <c r="C258" s="115" t="s">
        <v>341</v>
      </c>
      <c r="D258" s="115">
        <v>0</v>
      </c>
      <c r="E258" s="115">
        <v>0</v>
      </c>
    </row>
    <row r="259" spans="1:6" x14ac:dyDescent="0.25">
      <c r="A259" s="115">
        <v>922</v>
      </c>
      <c r="B259" s="115" t="s">
        <v>816</v>
      </c>
      <c r="C259" s="115" t="s">
        <v>341</v>
      </c>
      <c r="D259" s="115">
        <v>0</v>
      </c>
      <c r="E259" s="115">
        <v>0</v>
      </c>
    </row>
    <row r="260" spans="1:6" x14ac:dyDescent="0.25">
      <c r="A260" s="115">
        <v>923</v>
      </c>
      <c r="B260" s="115" t="s">
        <v>818</v>
      </c>
      <c r="C260" s="115" t="s">
        <v>341</v>
      </c>
      <c r="D260" s="115">
        <v>0</v>
      </c>
      <c r="E260" s="115">
        <v>0</v>
      </c>
    </row>
    <row r="261" spans="1:6" x14ac:dyDescent="0.25">
      <c r="A261" s="115">
        <v>924</v>
      </c>
      <c r="B261" s="115" t="s">
        <v>820</v>
      </c>
      <c r="C261" s="115" t="s">
        <v>322</v>
      </c>
      <c r="D261" s="115">
        <v>1.0089226032800001</v>
      </c>
      <c r="E261" s="115">
        <v>0.54403988595300001</v>
      </c>
    </row>
    <row r="262" spans="1:6" x14ac:dyDescent="0.25">
      <c r="A262" s="115">
        <v>925</v>
      </c>
      <c r="B262" s="115" t="s">
        <v>822</v>
      </c>
      <c r="C262" s="115" t="s">
        <v>341</v>
      </c>
      <c r="D262" s="115">
        <v>0</v>
      </c>
      <c r="E262" s="115">
        <v>0</v>
      </c>
    </row>
    <row r="263" spans="1:6" x14ac:dyDescent="0.25">
      <c r="A263" s="115">
        <v>926</v>
      </c>
      <c r="B263" s="115" t="s">
        <v>824</v>
      </c>
      <c r="C263" s="115" t="s">
        <v>341</v>
      </c>
      <c r="D263" s="115">
        <v>0</v>
      </c>
      <c r="E263" s="115">
        <v>0</v>
      </c>
    </row>
    <row r="264" spans="1:6" x14ac:dyDescent="0.25">
      <c r="A264" s="115">
        <v>927</v>
      </c>
      <c r="B264" s="115" t="s">
        <v>826</v>
      </c>
      <c r="C264" s="115" t="s">
        <v>341</v>
      </c>
      <c r="D264" s="115">
        <v>0</v>
      </c>
      <c r="E264" s="115">
        <v>0</v>
      </c>
    </row>
    <row r="265" spans="1:6" x14ac:dyDescent="0.25">
      <c r="A265" s="115">
        <v>951</v>
      </c>
      <c r="B265" s="115" t="s">
        <v>828</v>
      </c>
      <c r="C265" s="115" t="s">
        <v>341</v>
      </c>
      <c r="D265" s="117">
        <v>0</v>
      </c>
      <c r="E265" s="117">
        <v>0</v>
      </c>
      <c r="F265" s="117"/>
    </row>
    <row r="266" spans="1:6" x14ac:dyDescent="0.25">
      <c r="A266" s="115">
        <v>1010</v>
      </c>
      <c r="B266" s="115" t="s">
        <v>830</v>
      </c>
      <c r="C266" s="115" t="s">
        <v>322</v>
      </c>
      <c r="D266" s="117">
        <v>0.46702494856799998</v>
      </c>
      <c r="E266" s="117">
        <v>4.5103614647899998E-2</v>
      </c>
      <c r="F266" s="117"/>
    </row>
    <row r="267" spans="1:6" x14ac:dyDescent="0.25">
      <c r="A267" s="115">
        <v>1011</v>
      </c>
      <c r="B267" s="115" t="s">
        <v>832</v>
      </c>
      <c r="C267" s="115" t="s">
        <v>322</v>
      </c>
      <c r="D267" s="115">
        <v>0.35627106766599997</v>
      </c>
      <c r="E267" s="115">
        <v>0.40051488965600002</v>
      </c>
    </row>
    <row r="268" spans="1:6" x14ac:dyDescent="0.25">
      <c r="A268" s="115">
        <v>1012</v>
      </c>
      <c r="B268" s="115" t="s">
        <v>834</v>
      </c>
      <c r="C268" s="115" t="s">
        <v>341</v>
      </c>
      <c r="D268" s="115">
        <v>0</v>
      </c>
      <c r="E268" s="115">
        <v>0</v>
      </c>
    </row>
    <row r="269" spans="1:6" x14ac:dyDescent="0.25">
      <c r="A269" s="115">
        <v>1013</v>
      </c>
      <c r="B269" s="115" t="s">
        <v>836</v>
      </c>
      <c r="C269" s="115" t="s">
        <v>322</v>
      </c>
      <c r="D269" s="115">
        <v>1.31138129947</v>
      </c>
      <c r="E269" s="115">
        <v>0.13896845951</v>
      </c>
    </row>
    <row r="270" spans="1:6" x14ac:dyDescent="0.25">
      <c r="A270" s="115">
        <v>1014</v>
      </c>
      <c r="B270" s="115" t="s">
        <v>838</v>
      </c>
      <c r="C270" s="115" t="s">
        <v>322</v>
      </c>
      <c r="D270" s="115">
        <v>-0.22715085959799999</v>
      </c>
      <c r="E270" s="117">
        <v>9.8519660051899993E-2</v>
      </c>
    </row>
    <row r="271" spans="1:6" x14ac:dyDescent="0.25">
      <c r="A271" s="115">
        <v>1015</v>
      </c>
      <c r="B271" s="115" t="s">
        <v>840</v>
      </c>
      <c r="C271" s="115" t="s">
        <v>322</v>
      </c>
      <c r="D271" s="117">
        <v>-0.38633537797900003</v>
      </c>
      <c r="E271" s="117">
        <v>9.4608928227899999E-2</v>
      </c>
    </row>
    <row r="272" spans="1:6" x14ac:dyDescent="0.25">
      <c r="A272" s="115">
        <v>1016</v>
      </c>
      <c r="B272" s="115" t="s">
        <v>842</v>
      </c>
      <c r="C272" s="115" t="s">
        <v>322</v>
      </c>
      <c r="D272" s="117">
        <v>8.8964159717400002E-2</v>
      </c>
      <c r="E272" s="115">
        <v>0.10564433513099999</v>
      </c>
    </row>
    <row r="273" spans="1:5" x14ac:dyDescent="0.25">
      <c r="A273" s="115">
        <v>1018</v>
      </c>
      <c r="B273" s="115" t="s">
        <v>845</v>
      </c>
      <c r="C273" s="115" t="s">
        <v>322</v>
      </c>
      <c r="D273" s="117">
        <v>-7.9538981434700007E-2</v>
      </c>
      <c r="E273" s="117">
        <v>1.1182939279600001E-2</v>
      </c>
    </row>
    <row r="274" spans="1:5" x14ac:dyDescent="0.25">
      <c r="A274" s="115">
        <v>1019</v>
      </c>
      <c r="B274" s="115" t="s">
        <v>847</v>
      </c>
      <c r="C274" s="115" t="s">
        <v>322</v>
      </c>
      <c r="D274" s="117">
        <v>7.9494235797800003E-2</v>
      </c>
      <c r="E274" s="117">
        <v>8.7516520522800002E-3</v>
      </c>
    </row>
    <row r="275" spans="1:5" x14ac:dyDescent="0.25">
      <c r="A275" s="115">
        <v>1020</v>
      </c>
      <c r="B275" s="115" t="s">
        <v>849</v>
      </c>
      <c r="C275" s="115" t="s">
        <v>341</v>
      </c>
      <c r="D275" s="115">
        <v>0</v>
      </c>
      <c r="E275" s="115">
        <v>0</v>
      </c>
    </row>
    <row r="276" spans="1:5" x14ac:dyDescent="0.25">
      <c r="A276" s="115">
        <v>1021</v>
      </c>
      <c r="B276" s="115" t="s">
        <v>851</v>
      </c>
      <c r="C276" s="115" t="s">
        <v>341</v>
      </c>
      <c r="D276" s="115">
        <v>0</v>
      </c>
      <c r="E276" s="115">
        <v>0</v>
      </c>
    </row>
    <row r="277" spans="1:5" x14ac:dyDescent="0.25">
      <c r="A277" s="115">
        <v>1022</v>
      </c>
      <c r="B277" s="115" t="s">
        <v>853</v>
      </c>
      <c r="C277" s="115" t="s">
        <v>322</v>
      </c>
      <c r="D277" s="117">
        <v>3.1456067642599998E-2</v>
      </c>
      <c r="E277" s="115">
        <v>0.23335405354200001</v>
      </c>
    </row>
    <row r="278" spans="1:5" x14ac:dyDescent="0.25">
      <c r="A278" s="115">
        <v>1023</v>
      </c>
      <c r="B278" s="115" t="s">
        <v>855</v>
      </c>
      <c r="C278" s="115" t="s">
        <v>322</v>
      </c>
      <c r="D278" s="115">
        <v>1.4072425159899999</v>
      </c>
      <c r="E278" s="115">
        <v>0.17089671271000001</v>
      </c>
    </row>
    <row r="279" spans="1:5" x14ac:dyDescent="0.25">
      <c r="A279" s="115">
        <v>1024</v>
      </c>
      <c r="B279" s="115" t="s">
        <v>857</v>
      </c>
      <c r="C279" s="115" t="s">
        <v>322</v>
      </c>
      <c r="D279" s="115">
        <v>-0.26026898348499999</v>
      </c>
      <c r="E279" s="115">
        <v>0.12531855840299999</v>
      </c>
    </row>
    <row r="280" spans="1:5" x14ac:dyDescent="0.25">
      <c r="A280" s="115">
        <v>1025</v>
      </c>
      <c r="B280" s="115" t="s">
        <v>859</v>
      </c>
      <c r="C280" s="115" t="s">
        <v>322</v>
      </c>
      <c r="D280" s="115">
        <v>-0.32971865148700003</v>
      </c>
      <c r="E280" s="115">
        <v>0.126345843496</v>
      </c>
    </row>
    <row r="281" spans="1:5" x14ac:dyDescent="0.25">
      <c r="A281" s="115">
        <v>1026</v>
      </c>
      <c r="B281" s="115" t="s">
        <v>861</v>
      </c>
      <c r="C281" s="115" t="s">
        <v>322</v>
      </c>
      <c r="D281" s="117">
        <v>6.50875202667E-3</v>
      </c>
      <c r="E281" s="115">
        <v>0.13626557244500001</v>
      </c>
    </row>
    <row r="282" spans="1:5" x14ac:dyDescent="0.25">
      <c r="A282" s="115">
        <v>1028</v>
      </c>
      <c r="B282" s="115" t="s">
        <v>863</v>
      </c>
      <c r="C282" s="115" t="s">
        <v>322</v>
      </c>
      <c r="D282" s="117">
        <v>1.13927128862E-2</v>
      </c>
      <c r="E282" s="117">
        <v>1.08502792506E-2</v>
      </c>
    </row>
    <row r="283" spans="1:5" x14ac:dyDescent="0.25">
      <c r="A283" s="115">
        <v>1029</v>
      </c>
      <c r="B283" s="115" t="s">
        <v>865</v>
      </c>
      <c r="C283" s="115" t="s">
        <v>341</v>
      </c>
      <c r="D283" s="115">
        <v>0</v>
      </c>
      <c r="E283" s="115">
        <v>0</v>
      </c>
    </row>
    <row r="284" spans="1:5" x14ac:dyDescent="0.25">
      <c r="A284" s="115">
        <v>1033</v>
      </c>
      <c r="B284" s="115" t="s">
        <v>867</v>
      </c>
      <c r="C284" s="115" t="s">
        <v>322</v>
      </c>
      <c r="D284" s="115">
        <v>2.4989891222699998</v>
      </c>
      <c r="E284" s="115">
        <v>0.13622949021299999</v>
      </c>
    </row>
    <row r="285" spans="1:5" x14ac:dyDescent="0.25">
      <c r="A285" s="115">
        <v>1034</v>
      </c>
      <c r="B285" s="115" t="s">
        <v>869</v>
      </c>
      <c r="C285" s="115" t="s">
        <v>322</v>
      </c>
      <c r="D285" s="115">
        <v>0.42155755741200002</v>
      </c>
      <c r="E285" s="117">
        <v>9.8660466168099994E-2</v>
      </c>
    </row>
    <row r="286" spans="1:5" x14ac:dyDescent="0.25">
      <c r="A286" s="115">
        <v>1035</v>
      </c>
      <c r="B286" s="115" t="s">
        <v>871</v>
      </c>
      <c r="C286" s="115" t="s">
        <v>322</v>
      </c>
      <c r="D286" s="115">
        <v>0.188249465196</v>
      </c>
      <c r="E286" s="117">
        <v>9.4333244137199998E-2</v>
      </c>
    </row>
    <row r="287" spans="1:5" x14ac:dyDescent="0.25">
      <c r="A287" s="115">
        <v>1036</v>
      </c>
      <c r="B287" s="115" t="s">
        <v>873</v>
      </c>
      <c r="C287" s="115" t="s">
        <v>322</v>
      </c>
      <c r="D287" s="115">
        <v>0.23932223079699999</v>
      </c>
      <c r="E287" s="115">
        <v>0.119829848475</v>
      </c>
    </row>
    <row r="288" spans="1:5" x14ac:dyDescent="0.25">
      <c r="A288" s="115">
        <v>1043</v>
      </c>
      <c r="B288" s="115" t="s">
        <v>875</v>
      </c>
      <c r="C288" s="115" t="s">
        <v>322</v>
      </c>
      <c r="D288" s="115">
        <v>-0.31733811965499997</v>
      </c>
      <c r="E288" s="115">
        <v>0.15669604986800001</v>
      </c>
    </row>
    <row r="289" spans="1:5" x14ac:dyDescent="0.25">
      <c r="A289" s="115">
        <v>1044</v>
      </c>
      <c r="B289" s="115" t="s">
        <v>877</v>
      </c>
      <c r="C289" s="115" t="s">
        <v>322</v>
      </c>
      <c r="D289" s="115">
        <v>0.852308722982</v>
      </c>
      <c r="E289" s="115">
        <v>0.11104616985599999</v>
      </c>
    </row>
    <row r="290" spans="1:5" x14ac:dyDescent="0.25">
      <c r="A290" s="115">
        <v>1045</v>
      </c>
      <c r="B290" s="115" t="s">
        <v>879</v>
      </c>
      <c r="C290" s="115" t="s">
        <v>322</v>
      </c>
      <c r="D290" s="117">
        <v>7.7300054790300004E-3</v>
      </c>
      <c r="E290" s="117">
        <v>8.2098181664200007E-2</v>
      </c>
    </row>
    <row r="291" spans="1:5" x14ac:dyDescent="0.25">
      <c r="A291" s="115">
        <v>1046</v>
      </c>
      <c r="B291" s="115" t="s">
        <v>881</v>
      </c>
      <c r="C291" s="115" t="s">
        <v>322</v>
      </c>
      <c r="D291" s="115">
        <v>-0.17096234816700001</v>
      </c>
      <c r="E291" s="115">
        <v>0.10586188449300001</v>
      </c>
    </row>
    <row r="292" spans="1:5" x14ac:dyDescent="0.25">
      <c r="A292" s="115">
        <v>1053</v>
      </c>
      <c r="B292" s="115" t="s">
        <v>883</v>
      </c>
      <c r="C292" s="115" t="s">
        <v>322</v>
      </c>
      <c r="D292" s="115">
        <v>-0.32416023566300001</v>
      </c>
      <c r="E292" s="115">
        <v>0.15051164112599999</v>
      </c>
    </row>
    <row r="293" spans="1:5" x14ac:dyDescent="0.25">
      <c r="A293" s="115">
        <v>1054</v>
      </c>
      <c r="B293" s="115" t="s">
        <v>885</v>
      </c>
      <c r="C293" s="115" t="s">
        <v>322</v>
      </c>
      <c r="D293" s="115">
        <v>0.19022174198299999</v>
      </c>
      <c r="E293" s="117">
        <v>8.3730809476700002E-2</v>
      </c>
    </row>
    <row r="294" spans="1:5" x14ac:dyDescent="0.25">
      <c r="A294" s="115">
        <v>1055</v>
      </c>
      <c r="B294" s="115" t="s">
        <v>887</v>
      </c>
      <c r="C294" s="115" t="s">
        <v>322</v>
      </c>
      <c r="D294" s="115">
        <v>0.34703104835999998</v>
      </c>
      <c r="E294" s="117">
        <v>9.8093159087699999E-2</v>
      </c>
    </row>
    <row r="295" spans="1:5" x14ac:dyDescent="0.25">
      <c r="A295" s="115">
        <v>1056</v>
      </c>
      <c r="B295" s="115" t="s">
        <v>889</v>
      </c>
      <c r="C295" s="115" t="s">
        <v>322</v>
      </c>
      <c r="D295" s="117">
        <v>-9.1791021150699995E-2</v>
      </c>
      <c r="E295" s="115">
        <v>0.101470939643</v>
      </c>
    </row>
    <row r="296" spans="1:5" x14ac:dyDescent="0.25">
      <c r="A296" s="115">
        <v>1063</v>
      </c>
      <c r="B296" s="115" t="s">
        <v>891</v>
      </c>
      <c r="C296" s="115" t="s">
        <v>322</v>
      </c>
      <c r="D296" s="117">
        <v>-4.4033147256099997E-2</v>
      </c>
      <c r="E296" s="117">
        <v>0.188643742424</v>
      </c>
    </row>
    <row r="297" spans="1:5" x14ac:dyDescent="0.25">
      <c r="A297" s="115">
        <v>1064</v>
      </c>
      <c r="B297" s="115" t="s">
        <v>893</v>
      </c>
      <c r="C297" s="115" t="s">
        <v>322</v>
      </c>
      <c r="D297" s="115">
        <v>0.13328175857800001</v>
      </c>
      <c r="E297" s="115">
        <v>0.105910010066</v>
      </c>
    </row>
    <row r="298" spans="1:5" x14ac:dyDescent="0.25">
      <c r="A298" s="115">
        <v>1065</v>
      </c>
      <c r="B298" s="115" t="s">
        <v>895</v>
      </c>
      <c r="C298" s="115" t="s">
        <v>322</v>
      </c>
      <c r="D298" s="117">
        <v>-9.9638367623800003E-2</v>
      </c>
      <c r="E298" s="115">
        <v>0.101934680768</v>
      </c>
    </row>
    <row r="299" spans="1:5" x14ac:dyDescent="0.25">
      <c r="A299" s="115">
        <v>1066</v>
      </c>
      <c r="B299" s="115" t="s">
        <v>897</v>
      </c>
      <c r="C299" s="115" t="s">
        <v>322</v>
      </c>
      <c r="D299" s="115">
        <v>0.45879604656799999</v>
      </c>
      <c r="E299" s="115">
        <v>0.129250961119</v>
      </c>
    </row>
    <row r="300" spans="1:5" x14ac:dyDescent="0.25">
      <c r="A300" s="115">
        <v>1073</v>
      </c>
      <c r="B300" s="115" t="s">
        <v>899</v>
      </c>
      <c r="C300" s="115" t="s">
        <v>322</v>
      </c>
      <c r="D300" s="115">
        <v>-0.18955960247199999</v>
      </c>
      <c r="E300" s="115">
        <v>0.112523791805</v>
      </c>
    </row>
    <row r="301" spans="1:5" x14ac:dyDescent="0.25">
      <c r="A301" s="115">
        <v>1074</v>
      </c>
      <c r="B301" s="115" t="s">
        <v>901</v>
      </c>
      <c r="C301" s="115" t="s">
        <v>322</v>
      </c>
      <c r="D301" s="117">
        <v>-9.7610811434499997E-3</v>
      </c>
      <c r="E301" s="117">
        <v>7.6017024140500003E-2</v>
      </c>
    </row>
    <row r="302" spans="1:5" x14ac:dyDescent="0.25">
      <c r="A302" s="115">
        <v>1075</v>
      </c>
      <c r="B302" s="115" t="s">
        <v>903</v>
      </c>
      <c r="C302" s="115" t="s">
        <v>322</v>
      </c>
      <c r="D302" s="117">
        <v>7.1526049743299999E-2</v>
      </c>
      <c r="E302" s="117">
        <v>7.1725183470099999E-2</v>
      </c>
    </row>
    <row r="303" spans="1:5" x14ac:dyDescent="0.25">
      <c r="A303" s="115">
        <v>1076</v>
      </c>
      <c r="B303" s="115" t="s">
        <v>905</v>
      </c>
      <c r="C303" s="115" t="s">
        <v>322</v>
      </c>
      <c r="D303" s="117">
        <v>0.13756738340899999</v>
      </c>
      <c r="E303" s="117">
        <v>8.4947552141299995E-2</v>
      </c>
    </row>
    <row r="304" spans="1:5" x14ac:dyDescent="0.25">
      <c r="A304" s="115">
        <v>1112</v>
      </c>
      <c r="B304" s="115" t="s">
        <v>907</v>
      </c>
      <c r="C304" s="115" t="s">
        <v>322</v>
      </c>
      <c r="D304" s="117">
        <v>-2.5994126514599998</v>
      </c>
      <c r="E304" s="117">
        <v>0.23021784672000001</v>
      </c>
    </row>
    <row r="305" spans="1:5" x14ac:dyDescent="0.25">
      <c r="A305" s="115">
        <v>1113</v>
      </c>
      <c r="B305" s="115" t="s">
        <v>909</v>
      </c>
      <c r="C305" s="115" t="s">
        <v>322</v>
      </c>
      <c r="D305" s="115">
        <v>-1.71754382306</v>
      </c>
      <c r="E305" s="115">
        <v>0.13245368810499999</v>
      </c>
    </row>
    <row r="306" spans="1:5" x14ac:dyDescent="0.25">
      <c r="A306" s="115">
        <v>1114</v>
      </c>
      <c r="B306" s="115" t="s">
        <v>911</v>
      </c>
      <c r="C306" s="115" t="s">
        <v>322</v>
      </c>
      <c r="D306" s="117">
        <v>-1.26550258109</v>
      </c>
      <c r="E306" s="115">
        <v>0.10571209824400001</v>
      </c>
    </row>
    <row r="307" spans="1:5" x14ac:dyDescent="0.25">
      <c r="A307" s="115">
        <v>1115</v>
      </c>
      <c r="B307" s="115" t="s">
        <v>913</v>
      </c>
      <c r="C307" s="115" t="s">
        <v>322</v>
      </c>
      <c r="D307" s="115">
        <v>-1.2119912740300001</v>
      </c>
      <c r="E307" s="117">
        <v>9.8533238079300006E-2</v>
      </c>
    </row>
    <row r="308" spans="1:5" x14ac:dyDescent="0.25">
      <c r="A308" s="115">
        <v>1116</v>
      </c>
      <c r="B308" s="115" t="s">
        <v>915</v>
      </c>
      <c r="C308" s="115" t="s">
        <v>322</v>
      </c>
      <c r="D308" s="115">
        <v>-0.79329386713299999</v>
      </c>
      <c r="E308" s="115">
        <v>0.114565829153</v>
      </c>
    </row>
    <row r="309" spans="1:5" x14ac:dyDescent="0.25">
      <c r="A309" s="115">
        <v>1117</v>
      </c>
      <c r="B309" s="115" t="s">
        <v>917</v>
      </c>
      <c r="C309" s="115" t="s">
        <v>322</v>
      </c>
      <c r="D309" s="115">
        <v>-0.52349938843999999</v>
      </c>
      <c r="E309" s="117">
        <v>8.9970529209499994E-2</v>
      </c>
    </row>
    <row r="310" spans="1:5" x14ac:dyDescent="0.25">
      <c r="A310" s="115">
        <v>1123</v>
      </c>
      <c r="B310" s="115" t="s">
        <v>919</v>
      </c>
      <c r="C310" s="115" t="s">
        <v>322</v>
      </c>
      <c r="D310" s="115">
        <v>-1.3733550834799999</v>
      </c>
      <c r="E310" s="115">
        <v>0.18104694222100001</v>
      </c>
    </row>
    <row r="311" spans="1:5" x14ac:dyDescent="0.25">
      <c r="A311" s="115">
        <v>1124</v>
      </c>
      <c r="B311" s="115" t="s">
        <v>921</v>
      </c>
      <c r="C311" s="115" t="s">
        <v>322</v>
      </c>
      <c r="D311" s="115">
        <v>-1.06502176181</v>
      </c>
      <c r="E311" s="115">
        <v>0.13567900679799999</v>
      </c>
    </row>
    <row r="312" spans="1:5" x14ac:dyDescent="0.25">
      <c r="A312" s="115">
        <v>1125</v>
      </c>
      <c r="B312" s="115" t="s">
        <v>923</v>
      </c>
      <c r="C312" s="115" t="s">
        <v>322</v>
      </c>
      <c r="D312" s="117">
        <v>-1.1892653198600001</v>
      </c>
      <c r="E312" s="117">
        <v>0.14297029866200001</v>
      </c>
    </row>
    <row r="313" spans="1:5" x14ac:dyDescent="0.25">
      <c r="A313" s="115">
        <v>1126</v>
      </c>
      <c r="B313" s="115" t="s">
        <v>925</v>
      </c>
      <c r="C313" s="115" t="s">
        <v>322</v>
      </c>
      <c r="D313" s="115">
        <v>-0.74621794669599995</v>
      </c>
      <c r="E313" s="115">
        <v>0.16438067232199999</v>
      </c>
    </row>
    <row r="314" spans="1:5" x14ac:dyDescent="0.25">
      <c r="A314" s="115">
        <v>1127</v>
      </c>
      <c r="B314" s="115" t="s">
        <v>927</v>
      </c>
      <c r="C314" s="115" t="s">
        <v>322</v>
      </c>
      <c r="D314" s="115">
        <v>-0.72968899023</v>
      </c>
      <c r="E314" s="115">
        <v>0.113282339531</v>
      </c>
    </row>
    <row r="315" spans="1:5" x14ac:dyDescent="0.25">
      <c r="A315" s="115">
        <v>1134</v>
      </c>
      <c r="B315" s="115" t="s">
        <v>929</v>
      </c>
      <c r="C315" s="115" t="s">
        <v>322</v>
      </c>
      <c r="D315" s="117">
        <v>5.4528016064599998E-2</v>
      </c>
      <c r="E315" s="115">
        <v>0.125839313466</v>
      </c>
    </row>
    <row r="316" spans="1:5" x14ac:dyDescent="0.25">
      <c r="A316" s="115">
        <v>1135</v>
      </c>
      <c r="B316" s="115" t="s">
        <v>931</v>
      </c>
      <c r="C316" s="115" t="s">
        <v>322</v>
      </c>
      <c r="D316" s="117">
        <v>-7.8362597510999998E-2</v>
      </c>
      <c r="E316" s="115">
        <v>0.12568700992599999</v>
      </c>
    </row>
    <row r="317" spans="1:5" x14ac:dyDescent="0.25">
      <c r="A317" s="115">
        <v>1136</v>
      </c>
      <c r="B317" s="115" t="s">
        <v>933</v>
      </c>
      <c r="C317" s="115" t="s">
        <v>322</v>
      </c>
      <c r="D317" s="117">
        <v>8.58579439458E-2</v>
      </c>
      <c r="E317" s="115">
        <v>0.17397297839199999</v>
      </c>
    </row>
    <row r="318" spans="1:5" x14ac:dyDescent="0.25">
      <c r="A318" s="115">
        <v>1137</v>
      </c>
      <c r="B318" s="115" t="s">
        <v>935</v>
      </c>
      <c r="C318" s="115" t="s">
        <v>322</v>
      </c>
      <c r="D318" s="115">
        <v>0.40109888872799998</v>
      </c>
      <c r="E318" s="115">
        <v>0.110183162482</v>
      </c>
    </row>
    <row r="319" spans="1:5" x14ac:dyDescent="0.25">
      <c r="A319" s="115">
        <v>1145</v>
      </c>
      <c r="B319" s="115" t="s">
        <v>937</v>
      </c>
      <c r="C319" s="115" t="s">
        <v>322</v>
      </c>
      <c r="D319" s="115">
        <v>-0.131395429753</v>
      </c>
      <c r="E319" s="115">
        <v>0.102820478667</v>
      </c>
    </row>
    <row r="320" spans="1:5" x14ac:dyDescent="0.25">
      <c r="A320" s="115">
        <v>1146</v>
      </c>
      <c r="B320" s="115" t="s">
        <v>939</v>
      </c>
      <c r="C320" s="115" t="s">
        <v>322</v>
      </c>
      <c r="D320" s="117">
        <v>-1.4362851378E-2</v>
      </c>
      <c r="E320" s="115">
        <v>0.133055374531</v>
      </c>
    </row>
    <row r="321" spans="1:5" x14ac:dyDescent="0.25">
      <c r="A321" s="115">
        <v>1147</v>
      </c>
      <c r="B321" s="115" t="s">
        <v>941</v>
      </c>
      <c r="C321" s="115" t="s">
        <v>322</v>
      </c>
      <c r="D321" s="117">
        <v>5.4348679202199997E-2</v>
      </c>
      <c r="E321" s="117">
        <v>9.59646389525E-2</v>
      </c>
    </row>
    <row r="322" spans="1:5" x14ac:dyDescent="0.25">
      <c r="A322" s="115">
        <v>1156</v>
      </c>
      <c r="B322" s="115" t="s">
        <v>943</v>
      </c>
      <c r="C322" s="115" t="s">
        <v>322</v>
      </c>
      <c r="D322" s="117">
        <v>-2.98287847052E-2</v>
      </c>
      <c r="E322" s="115">
        <v>0.13119525273499999</v>
      </c>
    </row>
    <row r="323" spans="1:5" x14ac:dyDescent="0.25">
      <c r="A323" s="115">
        <v>1157</v>
      </c>
      <c r="B323" s="115" t="s">
        <v>945</v>
      </c>
      <c r="C323" s="115" t="s">
        <v>322</v>
      </c>
      <c r="D323" s="115">
        <v>0.163451916709</v>
      </c>
      <c r="E323" s="117">
        <v>9.4694160019799994E-2</v>
      </c>
    </row>
    <row r="324" spans="1:5" x14ac:dyDescent="0.25">
      <c r="A324" s="115">
        <v>1213</v>
      </c>
      <c r="B324" s="115" t="s">
        <v>947</v>
      </c>
      <c r="C324" s="115" t="s">
        <v>322</v>
      </c>
      <c r="D324" s="115">
        <v>-0.58856263239899997</v>
      </c>
      <c r="E324" s="115">
        <v>0.15242062203500001</v>
      </c>
    </row>
    <row r="325" spans="1:5" x14ac:dyDescent="0.25">
      <c r="A325" s="115">
        <v>1214</v>
      </c>
      <c r="B325" s="115" t="s">
        <v>949</v>
      </c>
      <c r="C325" s="115" t="s">
        <v>322</v>
      </c>
      <c r="D325" s="115">
        <v>-0.24210518212900001</v>
      </c>
      <c r="E325" s="115">
        <v>0.13180395360200001</v>
      </c>
    </row>
    <row r="326" spans="1:5" x14ac:dyDescent="0.25">
      <c r="A326" s="115">
        <v>1215</v>
      </c>
      <c r="B326" s="115" t="s">
        <v>951</v>
      </c>
      <c r="C326" s="115" t="s">
        <v>322</v>
      </c>
      <c r="D326" s="117">
        <v>-0.44236569695599998</v>
      </c>
      <c r="E326" s="115">
        <v>0.12844432432399999</v>
      </c>
    </row>
    <row r="327" spans="1:5" x14ac:dyDescent="0.25">
      <c r="A327" s="115">
        <v>1216</v>
      </c>
      <c r="B327" s="115" t="s">
        <v>953</v>
      </c>
      <c r="C327" s="115" t="s">
        <v>322</v>
      </c>
      <c r="D327" s="115">
        <v>0.30457547522900003</v>
      </c>
      <c r="E327" s="115">
        <v>0.12537027619999999</v>
      </c>
    </row>
    <row r="328" spans="1:5" x14ac:dyDescent="0.25">
      <c r="A328" s="115">
        <v>1217</v>
      </c>
      <c r="B328" s="115" t="s">
        <v>955</v>
      </c>
      <c r="C328" s="115" t="s">
        <v>322</v>
      </c>
      <c r="D328" s="115">
        <v>-0.38276467722899998</v>
      </c>
      <c r="E328" s="115">
        <v>0.140906223281</v>
      </c>
    </row>
    <row r="329" spans="1:5" x14ac:dyDescent="0.25">
      <c r="A329" s="115">
        <v>1223</v>
      </c>
      <c r="B329" s="115" t="s">
        <v>957</v>
      </c>
      <c r="C329" s="115" t="s">
        <v>322</v>
      </c>
      <c r="D329" s="115">
        <v>-1.4817002100900001</v>
      </c>
      <c r="E329" s="115">
        <v>0.30240747331599999</v>
      </c>
    </row>
    <row r="330" spans="1:5" x14ac:dyDescent="0.25">
      <c r="A330" s="115">
        <v>1224</v>
      </c>
      <c r="B330" s="115" t="s">
        <v>959</v>
      </c>
      <c r="C330" s="115" t="s">
        <v>322</v>
      </c>
      <c r="D330" s="115">
        <v>-0.33988648641800001</v>
      </c>
      <c r="E330" s="115">
        <v>0.16831234597600001</v>
      </c>
    </row>
    <row r="331" spans="1:5" x14ac:dyDescent="0.25">
      <c r="A331" s="115">
        <v>1225</v>
      </c>
      <c r="B331" s="115" t="s">
        <v>961</v>
      </c>
      <c r="C331" s="115" t="s">
        <v>322</v>
      </c>
      <c r="D331" s="117">
        <v>-0.68291840383500002</v>
      </c>
      <c r="E331" s="115">
        <v>0.17240332730499999</v>
      </c>
    </row>
    <row r="332" spans="1:5" x14ac:dyDescent="0.25">
      <c r="A332" s="115">
        <v>1226</v>
      </c>
      <c r="B332" s="115" t="s">
        <v>963</v>
      </c>
      <c r="C332" s="115" t="s">
        <v>322</v>
      </c>
      <c r="D332" s="115">
        <v>0.99448337865199998</v>
      </c>
      <c r="E332" s="115">
        <v>0.15731495819800001</v>
      </c>
    </row>
    <row r="333" spans="1:5" x14ac:dyDescent="0.25">
      <c r="A333" s="115">
        <v>1227</v>
      </c>
      <c r="B333" s="115" t="s">
        <v>965</v>
      </c>
      <c r="C333" s="115" t="s">
        <v>322</v>
      </c>
      <c r="D333" s="115">
        <v>-0.24271310233000001</v>
      </c>
      <c r="E333" s="115">
        <v>0.16392749982300001</v>
      </c>
    </row>
    <row r="334" spans="1:5" x14ac:dyDescent="0.25">
      <c r="A334" s="115">
        <v>1234</v>
      </c>
      <c r="B334" s="115" t="s">
        <v>967</v>
      </c>
      <c r="C334" s="115" t="s">
        <v>322</v>
      </c>
      <c r="D334" s="115">
        <v>-0.20743183744900001</v>
      </c>
      <c r="E334" s="115">
        <v>0.117100423075</v>
      </c>
    </row>
    <row r="335" spans="1:5" x14ac:dyDescent="0.25">
      <c r="A335" s="115">
        <v>1235</v>
      </c>
      <c r="B335" s="115" t="s">
        <v>969</v>
      </c>
      <c r="C335" s="115" t="s">
        <v>322</v>
      </c>
      <c r="D335" s="115">
        <v>-0.362858881134</v>
      </c>
      <c r="E335" s="115">
        <v>0.112405437792</v>
      </c>
    </row>
    <row r="336" spans="1:5" x14ac:dyDescent="0.25">
      <c r="A336" s="115">
        <v>1236</v>
      </c>
      <c r="B336" s="115" t="s">
        <v>971</v>
      </c>
      <c r="C336" s="115" t="s">
        <v>322</v>
      </c>
      <c r="D336" s="115">
        <v>-0.22587769484799999</v>
      </c>
      <c r="E336" s="115">
        <v>0.12444983137100001</v>
      </c>
    </row>
    <row r="337" spans="1:5" x14ac:dyDescent="0.25">
      <c r="A337" s="115">
        <v>1237</v>
      </c>
      <c r="B337" s="115" t="s">
        <v>973</v>
      </c>
      <c r="C337" s="115" t="s">
        <v>322</v>
      </c>
      <c r="D337" s="117">
        <v>2.8313275662500002E-2</v>
      </c>
      <c r="E337" s="115">
        <v>0.119295326599</v>
      </c>
    </row>
    <row r="338" spans="1:5" x14ac:dyDescent="0.25">
      <c r="A338" s="115">
        <v>1245</v>
      </c>
      <c r="B338" s="115" t="s">
        <v>975</v>
      </c>
      <c r="C338" s="115" t="s">
        <v>322</v>
      </c>
      <c r="D338" s="115">
        <v>-0.132943375374</v>
      </c>
      <c r="E338" s="117">
        <v>9.2555597037699999E-2</v>
      </c>
    </row>
    <row r="339" spans="1:5" x14ac:dyDescent="0.25">
      <c r="A339" s="115">
        <v>1246</v>
      </c>
      <c r="B339" s="115" t="s">
        <v>977</v>
      </c>
      <c r="C339" s="115" t="s">
        <v>322</v>
      </c>
      <c r="D339" s="117">
        <v>-6.1171239687499997E-2</v>
      </c>
      <c r="E339" s="117">
        <v>9.6713467601799996E-2</v>
      </c>
    </row>
    <row r="340" spans="1:5" x14ac:dyDescent="0.25">
      <c r="A340" s="115">
        <v>1247</v>
      </c>
      <c r="B340" s="115" t="s">
        <v>979</v>
      </c>
      <c r="C340" s="115" t="s">
        <v>322</v>
      </c>
      <c r="D340" s="115">
        <v>-0.28246371089900002</v>
      </c>
      <c r="E340" s="115">
        <v>0.101774545186</v>
      </c>
    </row>
    <row r="341" spans="1:5" x14ac:dyDescent="0.25">
      <c r="A341" s="115">
        <v>1256</v>
      </c>
      <c r="B341" s="115" t="s">
        <v>981</v>
      </c>
      <c r="C341" s="115" t="s">
        <v>322</v>
      </c>
      <c r="D341" s="115">
        <v>-0.42730825529100003</v>
      </c>
      <c r="E341" s="117">
        <v>9.4716660515799994E-2</v>
      </c>
    </row>
    <row r="342" spans="1:5" x14ac:dyDescent="0.25">
      <c r="A342" s="115">
        <v>1257</v>
      </c>
      <c r="B342" s="115" t="s">
        <v>983</v>
      </c>
      <c r="C342" s="115" t="s">
        <v>322</v>
      </c>
      <c r="D342" s="115">
        <v>-0.39541284004499999</v>
      </c>
      <c r="E342" s="117">
        <v>9.6951635793800006E-2</v>
      </c>
    </row>
    <row r="343" spans="1:5" x14ac:dyDescent="0.25">
      <c r="A343" s="115">
        <v>1311</v>
      </c>
      <c r="B343" s="115" t="s">
        <v>985</v>
      </c>
      <c r="C343" s="115" t="s">
        <v>322</v>
      </c>
      <c r="D343" s="115">
        <v>-2.3636261105099998</v>
      </c>
      <c r="E343" s="115">
        <v>0.26159749466999999</v>
      </c>
    </row>
    <row r="344" spans="1:5" x14ac:dyDescent="0.25">
      <c r="A344" s="115">
        <v>1312</v>
      </c>
      <c r="B344" s="115" t="s">
        <v>987</v>
      </c>
      <c r="C344" s="115" t="s">
        <v>322</v>
      </c>
      <c r="D344" s="115">
        <v>-3.3984471460900001</v>
      </c>
      <c r="E344" s="115">
        <v>0.43260065385000002</v>
      </c>
    </row>
    <row r="345" spans="1:5" x14ac:dyDescent="0.25">
      <c r="A345" s="115">
        <v>1313</v>
      </c>
      <c r="B345" s="115" t="s">
        <v>989</v>
      </c>
      <c r="C345" s="115" t="s">
        <v>322</v>
      </c>
      <c r="D345" s="115">
        <v>-4.0690844656999996</v>
      </c>
      <c r="E345" s="115">
        <v>0.55996133553899996</v>
      </c>
    </row>
    <row r="346" spans="1:5" x14ac:dyDescent="0.25">
      <c r="A346" s="115">
        <v>1321</v>
      </c>
      <c r="B346" s="115" t="s">
        <v>991</v>
      </c>
      <c r="C346" s="115" t="s">
        <v>322</v>
      </c>
      <c r="D346" s="115">
        <v>-2.3291602995099998</v>
      </c>
      <c r="E346" s="115">
        <v>0.26719795233900001</v>
      </c>
    </row>
    <row r="347" spans="1:5" x14ac:dyDescent="0.25">
      <c r="A347" s="115">
        <v>1322</v>
      </c>
      <c r="B347" s="115" t="s">
        <v>993</v>
      </c>
      <c r="C347" s="115" t="s">
        <v>322</v>
      </c>
      <c r="D347" s="115">
        <v>-3.3320340260300001</v>
      </c>
      <c r="E347" s="115">
        <v>0.440526301881</v>
      </c>
    </row>
    <row r="348" spans="1:5" x14ac:dyDescent="0.25">
      <c r="A348" s="115">
        <v>1323</v>
      </c>
      <c r="B348" s="115" t="s">
        <v>995</v>
      </c>
      <c r="C348" s="115" t="s">
        <v>322</v>
      </c>
      <c r="D348" s="115">
        <v>-3.9915902374400001</v>
      </c>
      <c r="E348" s="115">
        <v>0.56006325351800001</v>
      </c>
    </row>
    <row r="349" spans="1:5" x14ac:dyDescent="0.25">
      <c r="A349" s="115">
        <v>1331</v>
      </c>
      <c r="B349" s="115" t="s">
        <v>997</v>
      </c>
      <c r="C349" s="115" t="s">
        <v>322</v>
      </c>
      <c r="D349" s="117">
        <v>-2.2118895961699998</v>
      </c>
      <c r="E349" s="115">
        <v>0.29568814713199998</v>
      </c>
    </row>
    <row r="350" spans="1:5" x14ac:dyDescent="0.25">
      <c r="A350" s="115">
        <v>1332</v>
      </c>
      <c r="B350" s="115" t="s">
        <v>999</v>
      </c>
      <c r="C350" s="115" t="s">
        <v>322</v>
      </c>
      <c r="D350" s="115">
        <v>-3.4027467696499998</v>
      </c>
      <c r="E350" s="115">
        <v>0.47619924050500001</v>
      </c>
    </row>
    <row r="351" spans="1:5" x14ac:dyDescent="0.25">
      <c r="A351" s="115">
        <v>1401</v>
      </c>
      <c r="B351" s="115" t="s">
        <v>1001</v>
      </c>
      <c r="C351" s="115" t="s">
        <v>322</v>
      </c>
      <c r="D351" s="115">
        <v>0.105372392743</v>
      </c>
      <c r="E351" s="117">
        <v>5.6203809980199998E-2</v>
      </c>
    </row>
    <row r="352" spans="1:5" x14ac:dyDescent="0.25">
      <c r="A352" s="115">
        <v>1402</v>
      </c>
      <c r="B352" s="115" t="s">
        <v>1003</v>
      </c>
      <c r="C352" s="115" t="s">
        <v>322</v>
      </c>
      <c r="D352" s="115">
        <v>-1.9733408504600001</v>
      </c>
      <c r="E352" s="115">
        <v>0.58505984208600004</v>
      </c>
    </row>
    <row r="353" spans="1:5" x14ac:dyDescent="0.25">
      <c r="A353" s="115">
        <v>1403</v>
      </c>
      <c r="B353" s="115" t="s">
        <v>1005</v>
      </c>
      <c r="C353" s="115" t="s">
        <v>322</v>
      </c>
      <c r="D353" s="117">
        <v>-9.4848733646700004E-2</v>
      </c>
      <c r="E353" s="115">
        <v>0.121263990174</v>
      </c>
    </row>
    <row r="354" spans="1:5" x14ac:dyDescent="0.25">
      <c r="A354" s="115">
        <v>1404</v>
      </c>
      <c r="B354" s="115" t="s">
        <v>1007</v>
      </c>
      <c r="C354" s="115" t="s">
        <v>322</v>
      </c>
      <c r="D354" s="115">
        <v>-0.32757978397600002</v>
      </c>
      <c r="E354" s="115">
        <v>0.23597025621500001</v>
      </c>
    </row>
    <row r="355" spans="1:5" x14ac:dyDescent="0.25">
      <c r="A355" s="115">
        <v>1405</v>
      </c>
      <c r="B355" s="115" t="s">
        <v>1009</v>
      </c>
      <c r="C355" s="115" t="s">
        <v>322</v>
      </c>
      <c r="D355" s="117">
        <v>5.1200790919799996E-4</v>
      </c>
      <c r="E355" s="117">
        <v>1.26118970231E-2</v>
      </c>
    </row>
    <row r="356" spans="1:5" x14ac:dyDescent="0.25">
      <c r="A356" s="115">
        <v>1411</v>
      </c>
      <c r="B356" s="115" t="s">
        <v>1011</v>
      </c>
      <c r="C356" s="115" t="s">
        <v>322</v>
      </c>
      <c r="D356" s="115">
        <v>0.12070867719099999</v>
      </c>
      <c r="E356" s="117">
        <v>5.8239649853899997E-2</v>
      </c>
    </row>
    <row r="357" spans="1:5" x14ac:dyDescent="0.25">
      <c r="A357" s="115">
        <v>1412</v>
      </c>
      <c r="B357" s="115" t="s">
        <v>1013</v>
      </c>
      <c r="C357" s="115" t="s">
        <v>322</v>
      </c>
      <c r="D357" s="115">
        <v>1.43935300972</v>
      </c>
      <c r="E357" s="115">
        <v>0.595270872565</v>
      </c>
    </row>
    <row r="358" spans="1:5" x14ac:dyDescent="0.25">
      <c r="A358" s="115">
        <v>1413</v>
      </c>
      <c r="B358" s="115" t="s">
        <v>1015</v>
      </c>
      <c r="C358" s="115" t="s">
        <v>322</v>
      </c>
      <c r="D358" s="117">
        <v>5.8889368276700001E-2</v>
      </c>
      <c r="E358" s="115">
        <v>0.115722073385</v>
      </c>
    </row>
    <row r="359" spans="1:5" x14ac:dyDescent="0.25">
      <c r="A359" s="115">
        <v>1414</v>
      </c>
      <c r="B359" s="115" t="s">
        <v>1017</v>
      </c>
      <c r="C359" s="115" t="s">
        <v>322</v>
      </c>
      <c r="D359" s="115">
        <v>-0.41526082283299998</v>
      </c>
      <c r="E359" s="115">
        <v>0.21446093834999999</v>
      </c>
    </row>
    <row r="360" spans="1:5" x14ac:dyDescent="0.25">
      <c r="A360" s="115">
        <v>1415</v>
      </c>
      <c r="B360" s="115" t="s">
        <v>1019</v>
      </c>
      <c r="C360" s="115" t="s">
        <v>322</v>
      </c>
      <c r="D360" s="117">
        <v>1.2275638646799999E-2</v>
      </c>
      <c r="E360" s="117">
        <v>1.25459984988E-2</v>
      </c>
    </row>
    <row r="361" spans="1:5" x14ac:dyDescent="0.25">
      <c r="A361" s="115">
        <v>-1</v>
      </c>
    </row>
    <row r="362" spans="1:5" x14ac:dyDescent="0.25">
      <c r="A362" s="115">
        <v>1</v>
      </c>
      <c r="B362" s="115" t="s">
        <v>1695</v>
      </c>
      <c r="C362" s="117">
        <v>952</v>
      </c>
      <c r="D362" s="117" t="s">
        <v>1696</v>
      </c>
      <c r="E362" s="117" t="s">
        <v>1697</v>
      </c>
    </row>
    <row r="363" spans="1:5" x14ac:dyDescent="0.25">
      <c r="A363" s="115">
        <v>4</v>
      </c>
      <c r="B363" s="115" t="s">
        <v>1698</v>
      </c>
      <c r="C363" s="115">
        <v>40</v>
      </c>
      <c r="D363" s="115" t="s">
        <v>1699</v>
      </c>
    </row>
    <row r="364" spans="1:5" x14ac:dyDescent="0.25">
      <c r="A364" s="115">
        <v>13</v>
      </c>
      <c r="B364" s="115" t="s">
        <v>1700</v>
      </c>
      <c r="C364" s="115" t="s">
        <v>1138</v>
      </c>
      <c r="D364" s="115" t="s">
        <v>1701</v>
      </c>
      <c r="E364" s="115" t="s">
        <v>1702</v>
      </c>
    </row>
    <row r="365" spans="1:5" x14ac:dyDescent="0.25">
      <c r="B365" s="115" t="s">
        <v>1139</v>
      </c>
      <c r="D365" s="115" t="s">
        <v>1703</v>
      </c>
      <c r="E365" s="115" t="s">
        <v>1704</v>
      </c>
    </row>
    <row r="366" spans="1:5" x14ac:dyDescent="0.25">
      <c r="B366" s="115" t="s">
        <v>1139</v>
      </c>
      <c r="D366" s="115" t="s">
        <v>1140</v>
      </c>
      <c r="E366" s="115" t="s">
        <v>1705</v>
      </c>
    </row>
    <row r="367" spans="1:5" x14ac:dyDescent="0.25">
      <c r="A367" s="115">
        <v>6</v>
      </c>
      <c r="B367" s="115" t="s">
        <v>1706</v>
      </c>
      <c r="D367" s="115" t="s">
        <v>1707</v>
      </c>
      <c r="E367" s="115" t="s">
        <v>1141</v>
      </c>
    </row>
    <row r="368" spans="1:5" x14ac:dyDescent="0.25">
      <c r="B368" s="115" t="s">
        <v>1139</v>
      </c>
      <c r="D368" s="115" t="s">
        <v>1140</v>
      </c>
      <c r="E368" s="115" t="s">
        <v>1141</v>
      </c>
    </row>
    <row r="369" spans="1:5" x14ac:dyDescent="0.25">
      <c r="B369" s="115" t="s">
        <v>1139</v>
      </c>
      <c r="D369" s="115" t="s">
        <v>1140</v>
      </c>
      <c r="E369" s="115" t="s">
        <v>1141</v>
      </c>
    </row>
    <row r="370" spans="1:5" x14ac:dyDescent="0.25">
      <c r="B370" s="115" t="s">
        <v>1139</v>
      </c>
      <c r="D370" s="115" t="s">
        <v>1140</v>
      </c>
      <c r="E370" s="115" t="s">
        <v>1708</v>
      </c>
    </row>
    <row r="371" spans="1:5" x14ac:dyDescent="0.25">
      <c r="B371" s="115" t="s">
        <v>1139</v>
      </c>
      <c r="D371" s="115" t="s">
        <v>1709</v>
      </c>
      <c r="E371" s="115" t="s">
        <v>1710</v>
      </c>
    </row>
    <row r="372" spans="1:5" x14ac:dyDescent="0.25">
      <c r="A372" s="115">
        <v>-8</v>
      </c>
      <c r="B372" s="115" t="s">
        <v>1711</v>
      </c>
      <c r="D372" s="115" t="s">
        <v>1410</v>
      </c>
      <c r="E372" s="115" t="s">
        <v>1712</v>
      </c>
    </row>
    <row r="373" spans="1:5" x14ac:dyDescent="0.25">
      <c r="A373" s="115">
        <v>-16</v>
      </c>
      <c r="B373" s="115" t="s">
        <v>1194</v>
      </c>
      <c r="D373" s="115" t="s">
        <v>1140</v>
      </c>
      <c r="E373" s="115" t="s">
        <v>1141</v>
      </c>
    </row>
    <row r="374" spans="1:5" x14ac:dyDescent="0.25">
      <c r="B374" s="115" t="s">
        <v>1139</v>
      </c>
      <c r="D374" s="115" t="s">
        <v>1140</v>
      </c>
      <c r="E374" s="115" t="s">
        <v>1141</v>
      </c>
    </row>
    <row r="375" spans="1:5" x14ac:dyDescent="0.25">
      <c r="B375" s="115" t="s">
        <v>1139</v>
      </c>
      <c r="D375" s="115" t="s">
        <v>1140</v>
      </c>
      <c r="E375" s="115" t="s">
        <v>1141</v>
      </c>
    </row>
    <row r="376" spans="1:5" x14ac:dyDescent="0.25">
      <c r="B376" s="115" t="s">
        <v>1139</v>
      </c>
      <c r="D376" s="115" t="s">
        <v>1140</v>
      </c>
      <c r="E376" s="115" t="s">
        <v>1141</v>
      </c>
    </row>
    <row r="377" spans="1:5" x14ac:dyDescent="0.25">
      <c r="B377" s="115" t="s">
        <v>1139</v>
      </c>
      <c r="D377" s="115" t="s">
        <v>1140</v>
      </c>
      <c r="E377" s="115" t="s">
        <v>1141</v>
      </c>
    </row>
    <row r="378" spans="1:5" x14ac:dyDescent="0.25">
      <c r="B378" s="115" t="s">
        <v>1139</v>
      </c>
      <c r="D378" s="115" t="s">
        <v>1140</v>
      </c>
      <c r="E378" s="115" t="s">
        <v>1141</v>
      </c>
    </row>
    <row r="379" spans="1:5" x14ac:dyDescent="0.25">
      <c r="B379" s="115" t="s">
        <v>1139</v>
      </c>
      <c r="D379" s="115" t="s">
        <v>1140</v>
      </c>
      <c r="E379" s="115" t="s">
        <v>1141</v>
      </c>
    </row>
    <row r="380" spans="1:5" x14ac:dyDescent="0.25">
      <c r="B380" s="115" t="s">
        <v>1139</v>
      </c>
      <c r="D380" s="115" t="s">
        <v>1140</v>
      </c>
      <c r="E380" s="115" t="s">
        <v>1141</v>
      </c>
    </row>
    <row r="381" spans="1:5" x14ac:dyDescent="0.25">
      <c r="B381" s="115" t="s">
        <v>1139</v>
      </c>
      <c r="D381" s="117" t="s">
        <v>1140</v>
      </c>
      <c r="E381" s="117" t="s">
        <v>1141</v>
      </c>
    </row>
    <row r="382" spans="1:5" x14ac:dyDescent="0.25">
      <c r="B382" s="115" t="s">
        <v>1139</v>
      </c>
      <c r="D382" s="115" t="s">
        <v>1140</v>
      </c>
      <c r="E382" s="115" t="s">
        <v>1141</v>
      </c>
    </row>
    <row r="383" spans="1:5" x14ac:dyDescent="0.25">
      <c r="B383" s="115" t="s">
        <v>1139</v>
      </c>
      <c r="D383" s="115" t="s">
        <v>1140</v>
      </c>
      <c r="E383" s="115" t="s">
        <v>1141</v>
      </c>
    </row>
    <row r="384" spans="1:5" x14ac:dyDescent="0.25">
      <c r="B384" s="115" t="s">
        <v>1139</v>
      </c>
      <c r="D384" s="115" t="s">
        <v>1140</v>
      </c>
      <c r="E384" s="115" t="s">
        <v>1141</v>
      </c>
    </row>
    <row r="385" spans="2:5" x14ac:dyDescent="0.25">
      <c r="B385" s="115" t="s">
        <v>1139</v>
      </c>
      <c r="D385" s="117" t="s">
        <v>1140</v>
      </c>
      <c r="E385" s="117" t="s">
        <v>1141</v>
      </c>
    </row>
    <row r="386" spans="2:5" x14ac:dyDescent="0.25">
      <c r="B386" s="115" t="s">
        <v>1139</v>
      </c>
      <c r="D386" s="115" t="s">
        <v>1140</v>
      </c>
      <c r="E386" s="115" t="s">
        <v>1141</v>
      </c>
    </row>
    <row r="387" spans="2:5" x14ac:dyDescent="0.25">
      <c r="B387" s="115" t="s">
        <v>1713</v>
      </c>
      <c r="C387" s="115" t="s">
        <v>1138</v>
      </c>
      <c r="D387" s="115" t="s">
        <v>1714</v>
      </c>
      <c r="E387" s="117" t="s">
        <v>1715</v>
      </c>
    </row>
    <row r="388" spans="2:5" x14ac:dyDescent="0.25">
      <c r="B388" s="115" t="s">
        <v>1139</v>
      </c>
      <c r="D388" s="115" t="s">
        <v>1716</v>
      </c>
      <c r="E388" s="115" t="s">
        <v>1141</v>
      </c>
    </row>
    <row r="389" spans="2:5" x14ac:dyDescent="0.25">
      <c r="B389" s="115" t="s">
        <v>1139</v>
      </c>
      <c r="D389" s="115" t="s">
        <v>1717</v>
      </c>
      <c r="E389" s="115" t="s">
        <v>1718</v>
      </c>
    </row>
    <row r="390" spans="2:5" x14ac:dyDescent="0.25">
      <c r="B390" s="115" t="s">
        <v>1719</v>
      </c>
      <c r="D390" s="115" t="s">
        <v>1720</v>
      </c>
      <c r="E390" s="115" t="s">
        <v>1721</v>
      </c>
    </row>
    <row r="391" spans="2:5" x14ac:dyDescent="0.25">
      <c r="B391" s="115" t="s">
        <v>1139</v>
      </c>
      <c r="D391" s="117" t="s">
        <v>1722</v>
      </c>
      <c r="E391" s="117" t="s">
        <v>1141</v>
      </c>
    </row>
    <row r="392" spans="2:5" x14ac:dyDescent="0.25">
      <c r="B392" s="115" t="s">
        <v>1139</v>
      </c>
      <c r="D392" s="115" t="s">
        <v>1140</v>
      </c>
      <c r="E392" s="115" t="s">
        <v>1141</v>
      </c>
    </row>
    <row r="393" spans="2:5" x14ac:dyDescent="0.25">
      <c r="B393" s="115" t="s">
        <v>1139</v>
      </c>
      <c r="D393" s="115" t="s">
        <v>1140</v>
      </c>
      <c r="E393" s="115" t="s">
        <v>1141</v>
      </c>
    </row>
    <row r="394" spans="2:5" x14ac:dyDescent="0.25">
      <c r="B394" s="115" t="s">
        <v>1139</v>
      </c>
      <c r="C394" s="117"/>
      <c r="D394" s="117" t="s">
        <v>1140</v>
      </c>
      <c r="E394" s="117" t="s">
        <v>1141</v>
      </c>
    </row>
    <row r="395" spans="2:5" x14ac:dyDescent="0.25">
      <c r="B395" s="115" t="s">
        <v>1139</v>
      </c>
      <c r="D395" s="116" t="s">
        <v>1140</v>
      </c>
      <c r="E395" s="115" t="s">
        <v>1141</v>
      </c>
    </row>
    <row r="396" spans="2:5" x14ac:dyDescent="0.25">
      <c r="B396" s="115" t="s">
        <v>1139</v>
      </c>
      <c r="D396" s="115" t="s">
        <v>1723</v>
      </c>
      <c r="E396" s="115" t="s">
        <v>1724</v>
      </c>
    </row>
    <row r="397" spans="2:5" x14ac:dyDescent="0.25">
      <c r="B397" s="115" t="s">
        <v>1725</v>
      </c>
      <c r="D397" s="115" t="s">
        <v>1726</v>
      </c>
      <c r="E397" s="115" t="s">
        <v>1727</v>
      </c>
    </row>
    <row r="398" spans="2:5" x14ac:dyDescent="0.25">
      <c r="B398" s="115" t="s">
        <v>1139</v>
      </c>
      <c r="D398" s="115" t="s">
        <v>1140</v>
      </c>
      <c r="E398" s="115" t="s">
        <v>1728</v>
      </c>
    </row>
    <row r="399" spans="2:5" x14ac:dyDescent="0.25">
      <c r="B399" s="115" t="s">
        <v>1729</v>
      </c>
      <c r="C399" s="115">
        <v>4</v>
      </c>
      <c r="D399" s="115" t="s">
        <v>1730</v>
      </c>
      <c r="E399" s="115" t="s">
        <v>1731</v>
      </c>
    </row>
    <row r="400" spans="2:5" x14ac:dyDescent="0.25">
      <c r="B400" s="115" t="s">
        <v>1139</v>
      </c>
      <c r="D400" s="115" t="s">
        <v>1732</v>
      </c>
      <c r="E400" s="115" t="s">
        <v>1141</v>
      </c>
    </row>
    <row r="401" spans="1:5" x14ac:dyDescent="0.25">
      <c r="B401" s="115" t="s">
        <v>1139</v>
      </c>
      <c r="D401" s="115" t="s">
        <v>1733</v>
      </c>
      <c r="E401" s="115" t="s">
        <v>1734</v>
      </c>
    </row>
    <row r="402" spans="1:5" x14ac:dyDescent="0.25">
      <c r="A402" s="115">
        <v>-5</v>
      </c>
      <c r="B402" s="115" t="s">
        <v>1735</v>
      </c>
      <c r="D402" s="115" t="s">
        <v>1736</v>
      </c>
      <c r="E402" s="115" t="s">
        <v>1737</v>
      </c>
    </row>
    <row r="403" spans="1:5" x14ac:dyDescent="0.25">
      <c r="A403" s="115">
        <v>1</v>
      </c>
      <c r="B403" s="115" t="s">
        <v>1738</v>
      </c>
      <c r="D403" s="115" t="s">
        <v>1140</v>
      </c>
      <c r="E403" s="115" t="s">
        <v>1141</v>
      </c>
    </row>
    <row r="404" spans="1:5" x14ac:dyDescent="0.25">
      <c r="A404" s="115">
        <v>-1</v>
      </c>
      <c r="B404" s="115" t="s">
        <v>1739</v>
      </c>
      <c r="D404" s="115" t="s">
        <v>1740</v>
      </c>
      <c r="E404" s="115" t="s">
        <v>1741</v>
      </c>
    </row>
    <row r="405" spans="1:5" x14ac:dyDescent="0.25">
      <c r="B405" s="115" t="s">
        <v>1139</v>
      </c>
      <c r="D405" s="115" t="s">
        <v>1742</v>
      </c>
      <c r="E405" s="115" t="s">
        <v>1743</v>
      </c>
    </row>
    <row r="406" spans="1:5" x14ac:dyDescent="0.25">
      <c r="B406" s="115" t="s">
        <v>1139</v>
      </c>
      <c r="D406" s="115" t="s">
        <v>1140</v>
      </c>
      <c r="E406" s="115" t="s">
        <v>1744</v>
      </c>
    </row>
    <row r="407" spans="1:5" x14ac:dyDescent="0.25">
      <c r="B407" s="115" t="s">
        <v>1139</v>
      </c>
      <c r="C407" s="115">
        <v>-4</v>
      </c>
      <c r="D407" s="115" t="s">
        <v>1745</v>
      </c>
      <c r="E407" s="115" t="s">
        <v>1746</v>
      </c>
    </row>
    <row r="408" spans="1:5" x14ac:dyDescent="0.25">
      <c r="B408" s="115" t="s">
        <v>1747</v>
      </c>
      <c r="D408" s="115" t="s">
        <v>1748</v>
      </c>
      <c r="E408" s="115" t="s">
        <v>1749</v>
      </c>
    </row>
    <row r="409" spans="1:5" x14ac:dyDescent="0.25">
      <c r="B409" s="115" t="s">
        <v>1139</v>
      </c>
      <c r="D409" s="115" t="s">
        <v>1140</v>
      </c>
      <c r="E409" s="115" t="s">
        <v>1750</v>
      </c>
    </row>
    <row r="410" spans="1:5" x14ac:dyDescent="0.25">
      <c r="B410" s="115" t="s">
        <v>1751</v>
      </c>
      <c r="C410" s="115">
        <v>-1</v>
      </c>
      <c r="D410" s="115" t="s">
        <v>1752</v>
      </c>
      <c r="E410" s="115" t="s">
        <v>1753</v>
      </c>
    </row>
    <row r="411" spans="1:5" x14ac:dyDescent="0.25">
      <c r="B411" s="115" t="s">
        <v>1209</v>
      </c>
      <c r="D411" s="115" t="s">
        <v>1754</v>
      </c>
      <c r="E411" s="115" t="s">
        <v>1755</v>
      </c>
    </row>
    <row r="412" spans="1:5" x14ac:dyDescent="0.25">
      <c r="B412" s="115" t="s">
        <v>1139</v>
      </c>
      <c r="D412" s="115" t="s">
        <v>1140</v>
      </c>
      <c r="E412" s="115" t="s">
        <v>1756</v>
      </c>
    </row>
    <row r="413" spans="1:5" x14ac:dyDescent="0.25">
      <c r="B413" s="115" t="s">
        <v>1757</v>
      </c>
      <c r="C413" s="115" t="s">
        <v>1138</v>
      </c>
      <c r="D413" s="115" t="s">
        <v>1758</v>
      </c>
      <c r="E413" s="115" t="s">
        <v>1759</v>
      </c>
    </row>
    <row r="414" spans="1:5" x14ac:dyDescent="0.25">
      <c r="B414" s="115" t="s">
        <v>1139</v>
      </c>
      <c r="D414" s="115" t="s">
        <v>1140</v>
      </c>
      <c r="E414" s="115" t="s">
        <v>1141</v>
      </c>
    </row>
    <row r="415" spans="1:5" x14ac:dyDescent="0.25">
      <c r="B415" s="115" t="s">
        <v>1139</v>
      </c>
      <c r="D415" s="115" t="s">
        <v>1140</v>
      </c>
      <c r="E415" s="115" t="s">
        <v>1141</v>
      </c>
    </row>
    <row r="416" spans="1:5" x14ac:dyDescent="0.25">
      <c r="B416" s="115" t="s">
        <v>1139</v>
      </c>
      <c r="D416" s="115" t="s">
        <v>1140</v>
      </c>
      <c r="E416" s="115" t="s">
        <v>1141</v>
      </c>
    </row>
    <row r="417" spans="2:5" x14ac:dyDescent="0.25">
      <c r="B417" s="115" t="s">
        <v>1139</v>
      </c>
      <c r="D417" s="115" t="s">
        <v>1140</v>
      </c>
      <c r="E417" s="115" t="s">
        <v>1141</v>
      </c>
    </row>
    <row r="418" spans="2:5" x14ac:dyDescent="0.25">
      <c r="B418" s="115" t="s">
        <v>1139</v>
      </c>
      <c r="D418" s="115" t="s">
        <v>1140</v>
      </c>
      <c r="E418" s="115" t="s">
        <v>1141</v>
      </c>
    </row>
    <row r="419" spans="2:5" x14ac:dyDescent="0.25">
      <c r="B419" s="115" t="s">
        <v>1139</v>
      </c>
      <c r="D419" s="115" t="s">
        <v>1140</v>
      </c>
      <c r="E419" s="115" t="s">
        <v>1141</v>
      </c>
    </row>
    <row r="420" spans="2:5" x14ac:dyDescent="0.25">
      <c r="B420" s="115" t="s">
        <v>1139</v>
      </c>
      <c r="D420" s="115" t="s">
        <v>1140</v>
      </c>
      <c r="E420" s="115" t="s">
        <v>1141</v>
      </c>
    </row>
    <row r="421" spans="2:5" x14ac:dyDescent="0.25">
      <c r="B421" s="115" t="s">
        <v>1139</v>
      </c>
      <c r="D421" s="115" t="s">
        <v>1140</v>
      </c>
      <c r="E421" s="115" t="s">
        <v>1141</v>
      </c>
    </row>
    <row r="422" spans="2:5" x14ac:dyDescent="0.25">
      <c r="B422" s="115" t="s">
        <v>1139</v>
      </c>
      <c r="D422" s="115" t="s">
        <v>1140</v>
      </c>
      <c r="E422" s="115" t="s">
        <v>1141</v>
      </c>
    </row>
    <row r="423" spans="2:5" x14ac:dyDescent="0.25">
      <c r="B423" s="115" t="s">
        <v>1139</v>
      </c>
      <c r="D423" s="115" t="s">
        <v>1760</v>
      </c>
      <c r="E423" s="115" t="s">
        <v>1761</v>
      </c>
    </row>
    <row r="424" spans="2:5" x14ac:dyDescent="0.25">
      <c r="B424" s="115" t="s">
        <v>1762</v>
      </c>
      <c r="D424" s="115" t="s">
        <v>1763</v>
      </c>
      <c r="E424" s="115" t="s">
        <v>1764</v>
      </c>
    </row>
    <row r="425" spans="2:5" x14ac:dyDescent="0.25">
      <c r="B425" s="115" t="s">
        <v>1139</v>
      </c>
      <c r="D425" s="115" t="s">
        <v>1140</v>
      </c>
      <c r="E425" s="115" t="s">
        <v>1765</v>
      </c>
    </row>
    <row r="426" spans="2:5" x14ac:dyDescent="0.25">
      <c r="B426" s="115" t="s">
        <v>1766</v>
      </c>
      <c r="C426" s="115">
        <v>-1</v>
      </c>
      <c r="D426" s="115" t="s">
        <v>1767</v>
      </c>
      <c r="E426" s="115" t="s">
        <v>1768</v>
      </c>
    </row>
    <row r="427" spans="2:5" x14ac:dyDescent="0.25">
      <c r="B427" s="115" t="s">
        <v>1139</v>
      </c>
      <c r="D427" s="115" t="s">
        <v>1140</v>
      </c>
      <c r="E427" s="115" t="s">
        <v>1141</v>
      </c>
    </row>
    <row r="428" spans="2:5" x14ac:dyDescent="0.25">
      <c r="B428" s="115" t="s">
        <v>1139</v>
      </c>
      <c r="D428" s="115" t="s">
        <v>1140</v>
      </c>
      <c r="E428" s="115" t="s">
        <v>1141</v>
      </c>
    </row>
    <row r="429" spans="2:5" x14ac:dyDescent="0.25">
      <c r="B429" s="115" t="s">
        <v>1139</v>
      </c>
      <c r="D429" s="115" t="s">
        <v>1140</v>
      </c>
      <c r="E429" s="115" t="s">
        <v>1141</v>
      </c>
    </row>
    <row r="430" spans="2:5" x14ac:dyDescent="0.25">
      <c r="B430" s="115" t="s">
        <v>1139</v>
      </c>
      <c r="D430" s="115" t="s">
        <v>1140</v>
      </c>
      <c r="E430" s="115" t="s">
        <v>1141</v>
      </c>
    </row>
    <row r="431" spans="2:5" x14ac:dyDescent="0.25">
      <c r="B431" s="115" t="s">
        <v>1139</v>
      </c>
      <c r="D431" s="115" t="s">
        <v>1140</v>
      </c>
      <c r="E431" s="115" t="s">
        <v>1141</v>
      </c>
    </row>
    <row r="432" spans="2:5" x14ac:dyDescent="0.25">
      <c r="B432" s="115" t="s">
        <v>1139</v>
      </c>
      <c r="D432" s="115" t="s">
        <v>1140</v>
      </c>
      <c r="E432" s="115" t="s">
        <v>1141</v>
      </c>
    </row>
    <row r="433" spans="1:5" x14ac:dyDescent="0.25">
      <c r="B433" s="115" t="s">
        <v>1139</v>
      </c>
      <c r="D433" s="115" t="s">
        <v>1140</v>
      </c>
      <c r="E433" s="115" t="s">
        <v>1141</v>
      </c>
    </row>
    <row r="434" spans="1:5" x14ac:dyDescent="0.25">
      <c r="B434" s="115" t="s">
        <v>1139</v>
      </c>
      <c r="D434" s="115" t="s">
        <v>1140</v>
      </c>
      <c r="E434" s="115" t="s">
        <v>1141</v>
      </c>
    </row>
    <row r="435" spans="1:5" x14ac:dyDescent="0.25">
      <c r="B435" s="115" t="s">
        <v>1139</v>
      </c>
      <c r="D435" s="115" t="s">
        <v>1140</v>
      </c>
      <c r="E435" s="115" t="s">
        <v>1141</v>
      </c>
    </row>
    <row r="436" spans="1:5" x14ac:dyDescent="0.25">
      <c r="B436" s="115" t="s">
        <v>1139</v>
      </c>
      <c r="D436" s="115" t="s">
        <v>1140</v>
      </c>
      <c r="E436" s="115" t="s">
        <v>1141</v>
      </c>
    </row>
    <row r="437" spans="1:5" x14ac:dyDescent="0.25">
      <c r="B437" s="115" t="s">
        <v>1139</v>
      </c>
      <c r="D437" s="115" t="s">
        <v>1140</v>
      </c>
      <c r="E437" s="115" t="s">
        <v>1141</v>
      </c>
    </row>
    <row r="438" spans="1:5" x14ac:dyDescent="0.25">
      <c r="B438" s="115" t="s">
        <v>1247</v>
      </c>
      <c r="D438" s="115" t="s">
        <v>1769</v>
      </c>
      <c r="E438" s="115" t="s">
        <v>1770</v>
      </c>
    </row>
    <row r="439" spans="1:5" x14ac:dyDescent="0.25">
      <c r="B439" s="115" t="s">
        <v>1139</v>
      </c>
      <c r="D439" s="115" t="s">
        <v>1771</v>
      </c>
      <c r="E439" s="115" t="s">
        <v>1141</v>
      </c>
    </row>
    <row r="440" spans="1:5" x14ac:dyDescent="0.25">
      <c r="B440" s="115" t="s">
        <v>1139</v>
      </c>
      <c r="D440" s="115" t="s">
        <v>1772</v>
      </c>
      <c r="E440" s="115" t="s">
        <v>1773</v>
      </c>
    </row>
    <row r="441" spans="1:5" x14ac:dyDescent="0.25">
      <c r="A441" s="115">
        <v>4</v>
      </c>
      <c r="B441" s="115" t="s">
        <v>1774</v>
      </c>
      <c r="D441" s="115" t="s">
        <v>1775</v>
      </c>
      <c r="E441" s="115" t="s">
        <v>1776</v>
      </c>
    </row>
    <row r="442" spans="1:5" x14ac:dyDescent="0.25">
      <c r="B442" s="115" t="s">
        <v>1139</v>
      </c>
      <c r="D442" s="115" t="s">
        <v>1140</v>
      </c>
      <c r="E442" s="115" t="s">
        <v>1141</v>
      </c>
    </row>
    <row r="443" spans="1:5" x14ac:dyDescent="0.25">
      <c r="B443" s="115" t="s">
        <v>1139</v>
      </c>
      <c r="D443" s="115" t="s">
        <v>1140</v>
      </c>
      <c r="E443" s="115" t="s">
        <v>1141</v>
      </c>
    </row>
    <row r="444" spans="1:5" x14ac:dyDescent="0.25">
      <c r="B444" s="115" t="s">
        <v>1139</v>
      </c>
      <c r="D444" s="115" t="s">
        <v>1140</v>
      </c>
      <c r="E444" s="115" t="s">
        <v>1141</v>
      </c>
    </row>
    <row r="445" spans="1:5" x14ac:dyDescent="0.25">
      <c r="B445" s="115" t="s">
        <v>1139</v>
      </c>
      <c r="D445" s="115" t="s">
        <v>1140</v>
      </c>
      <c r="E445" s="115" t="s">
        <v>1141</v>
      </c>
    </row>
    <row r="446" spans="1:5" x14ac:dyDescent="0.25">
      <c r="B446" s="115" t="s">
        <v>1139</v>
      </c>
      <c r="D446" s="115" t="s">
        <v>1140</v>
      </c>
      <c r="E446" s="115" t="s">
        <v>1141</v>
      </c>
    </row>
    <row r="447" spans="1:5" x14ac:dyDescent="0.25">
      <c r="B447" s="115" t="s">
        <v>1139</v>
      </c>
      <c r="D447" s="115" t="s">
        <v>1140</v>
      </c>
      <c r="E447" s="115" t="s">
        <v>1141</v>
      </c>
    </row>
    <row r="448" spans="1:5" x14ac:dyDescent="0.25">
      <c r="B448" s="115" t="s">
        <v>1139</v>
      </c>
      <c r="D448" s="115" t="s">
        <v>1140</v>
      </c>
      <c r="E448" s="115" t="s">
        <v>1141</v>
      </c>
    </row>
    <row r="449" spans="1:5" x14ac:dyDescent="0.25">
      <c r="B449" s="115" t="s">
        <v>1139</v>
      </c>
      <c r="D449" s="115" t="s">
        <v>1140</v>
      </c>
      <c r="E449" s="115" t="s">
        <v>1141</v>
      </c>
    </row>
    <row r="450" spans="1:5" x14ac:dyDescent="0.25">
      <c r="B450" s="115" t="s">
        <v>1139</v>
      </c>
      <c r="D450" s="115" t="s">
        <v>1140</v>
      </c>
      <c r="E450" s="115" t="s">
        <v>1141</v>
      </c>
    </row>
    <row r="451" spans="1:5" x14ac:dyDescent="0.25">
      <c r="B451" s="115" t="s">
        <v>1139</v>
      </c>
      <c r="D451" s="115" t="s">
        <v>1140</v>
      </c>
      <c r="E451" s="115" t="s">
        <v>1141</v>
      </c>
    </row>
    <row r="452" spans="1:5" x14ac:dyDescent="0.25">
      <c r="B452" s="115" t="s">
        <v>1139</v>
      </c>
      <c r="D452" s="115" t="s">
        <v>1140</v>
      </c>
      <c r="E452" s="115" t="s">
        <v>1141</v>
      </c>
    </row>
    <row r="453" spans="1:5" x14ac:dyDescent="0.25">
      <c r="B453" s="115" t="s">
        <v>1139</v>
      </c>
      <c r="D453" s="115" t="s">
        <v>1140</v>
      </c>
      <c r="E453" s="115" t="s">
        <v>1141</v>
      </c>
    </row>
    <row r="454" spans="1:5" x14ac:dyDescent="0.25">
      <c r="B454" s="115" t="s">
        <v>1139</v>
      </c>
      <c r="D454" s="115" t="s">
        <v>1140</v>
      </c>
      <c r="E454" s="115" t="s">
        <v>1141</v>
      </c>
    </row>
    <row r="455" spans="1:5" x14ac:dyDescent="0.25">
      <c r="B455" s="115" t="s">
        <v>1139</v>
      </c>
      <c r="D455" s="115" t="s">
        <v>1140</v>
      </c>
      <c r="E455" s="115" t="s">
        <v>1141</v>
      </c>
    </row>
    <row r="456" spans="1:5" x14ac:dyDescent="0.25">
      <c r="B456" s="115" t="s">
        <v>1139</v>
      </c>
      <c r="D456" s="115" t="s">
        <v>1140</v>
      </c>
      <c r="E456" s="115" t="s">
        <v>1141</v>
      </c>
    </row>
    <row r="457" spans="1:5" x14ac:dyDescent="0.25">
      <c r="B457" s="115" t="s">
        <v>1139</v>
      </c>
      <c r="D457" s="115" t="s">
        <v>1140</v>
      </c>
      <c r="E457" s="115" t="s">
        <v>1141</v>
      </c>
    </row>
    <row r="458" spans="1:5" x14ac:dyDescent="0.25">
      <c r="B458" s="115" t="s">
        <v>1139</v>
      </c>
      <c r="D458" s="115" t="s">
        <v>1140</v>
      </c>
      <c r="E458" s="115" t="s">
        <v>1141</v>
      </c>
    </row>
    <row r="459" spans="1:5" x14ac:dyDescent="0.25">
      <c r="B459" s="115" t="s">
        <v>1139</v>
      </c>
      <c r="D459" s="115" t="s">
        <v>1140</v>
      </c>
      <c r="E459" s="115" t="s">
        <v>1141</v>
      </c>
    </row>
    <row r="460" spans="1:5" x14ac:dyDescent="0.25">
      <c r="B460" s="115" t="s">
        <v>1139</v>
      </c>
      <c r="D460" s="115" t="s">
        <v>1140</v>
      </c>
      <c r="E460" s="115" t="s">
        <v>1141</v>
      </c>
    </row>
    <row r="461" spans="1:5" x14ac:dyDescent="0.25">
      <c r="B461" s="115" t="s">
        <v>1139</v>
      </c>
      <c r="D461" s="115" t="s">
        <v>1140</v>
      </c>
      <c r="E461" s="115" t="s">
        <v>1141</v>
      </c>
    </row>
    <row r="462" spans="1:5" x14ac:dyDescent="0.25">
      <c r="B462" s="115" t="s">
        <v>1139</v>
      </c>
      <c r="D462" s="115" t="s">
        <v>1140</v>
      </c>
      <c r="E462" s="115" t="s">
        <v>1141</v>
      </c>
    </row>
    <row r="463" spans="1:5" x14ac:dyDescent="0.25">
      <c r="A463" s="115" t="s">
        <v>1138</v>
      </c>
      <c r="B463" s="115" t="s">
        <v>1777</v>
      </c>
      <c r="D463" s="115" t="s">
        <v>1778</v>
      </c>
      <c r="E463" s="115" t="s">
        <v>1779</v>
      </c>
    </row>
    <row r="464" spans="1:5" x14ac:dyDescent="0.25">
      <c r="B464" s="115" t="s">
        <v>1139</v>
      </c>
      <c r="D464" s="115" t="s">
        <v>1780</v>
      </c>
      <c r="E464" s="115" t="s">
        <v>1141</v>
      </c>
    </row>
    <row r="465" spans="1:5" x14ac:dyDescent="0.25">
      <c r="B465" s="115" t="s">
        <v>1139</v>
      </c>
      <c r="D465" s="115" t="s">
        <v>1781</v>
      </c>
      <c r="E465" s="115" t="s">
        <v>1782</v>
      </c>
    </row>
    <row r="466" spans="1:5" x14ac:dyDescent="0.25">
      <c r="A466" s="115">
        <v>7</v>
      </c>
      <c r="B466" s="115" t="s">
        <v>1783</v>
      </c>
      <c r="D466" s="115" t="s">
        <v>1784</v>
      </c>
      <c r="E466" s="115" t="s">
        <v>1785</v>
      </c>
    </row>
    <row r="467" spans="1:5" x14ac:dyDescent="0.25">
      <c r="B467" s="115" t="s">
        <v>1139</v>
      </c>
      <c r="D467" s="115" t="s">
        <v>1140</v>
      </c>
      <c r="E467" s="115" t="s">
        <v>1141</v>
      </c>
    </row>
    <row r="468" spans="1:5" x14ac:dyDescent="0.25">
      <c r="B468" s="115" t="s">
        <v>1139</v>
      </c>
      <c r="D468" s="115" t="s">
        <v>1140</v>
      </c>
      <c r="E468" s="115" t="s">
        <v>1141</v>
      </c>
    </row>
    <row r="469" spans="1:5" x14ac:dyDescent="0.25">
      <c r="B469" s="115" t="s">
        <v>1139</v>
      </c>
      <c r="D469" s="115" t="s">
        <v>1140</v>
      </c>
      <c r="E469" s="115" t="s">
        <v>1141</v>
      </c>
    </row>
    <row r="470" spans="1:5" x14ac:dyDescent="0.25">
      <c r="B470" s="115" t="s">
        <v>1139</v>
      </c>
      <c r="D470" s="115" t="s">
        <v>1140</v>
      </c>
      <c r="E470" s="115" t="s">
        <v>1141</v>
      </c>
    </row>
    <row r="471" spans="1:5" x14ac:dyDescent="0.25">
      <c r="B471" s="115" t="s">
        <v>1139</v>
      </c>
      <c r="D471" s="115" t="s">
        <v>1140</v>
      </c>
      <c r="E471" s="115" t="s">
        <v>1141</v>
      </c>
    </row>
    <row r="472" spans="1:5" x14ac:dyDescent="0.25">
      <c r="B472" s="115" t="s">
        <v>1139</v>
      </c>
      <c r="D472" s="115" t="s">
        <v>1140</v>
      </c>
      <c r="E472" s="115" t="s">
        <v>1141</v>
      </c>
    </row>
    <row r="473" spans="1:5" x14ac:dyDescent="0.25">
      <c r="B473" s="115" t="s">
        <v>1139</v>
      </c>
      <c r="D473" s="115" t="s">
        <v>1140</v>
      </c>
      <c r="E473" s="115" t="s">
        <v>1141</v>
      </c>
    </row>
    <row r="474" spans="1:5" x14ac:dyDescent="0.25">
      <c r="B474" s="115" t="s">
        <v>1139</v>
      </c>
      <c r="D474" s="115" t="s">
        <v>1140</v>
      </c>
      <c r="E474" s="115" t="s">
        <v>1141</v>
      </c>
    </row>
    <row r="475" spans="1:5" x14ac:dyDescent="0.25">
      <c r="B475" s="115" t="s">
        <v>1139</v>
      </c>
      <c r="D475" s="115" t="s">
        <v>1140</v>
      </c>
      <c r="E475" s="115" t="s">
        <v>1141</v>
      </c>
    </row>
    <row r="476" spans="1:5" x14ac:dyDescent="0.25">
      <c r="B476" s="115" t="s">
        <v>1139</v>
      </c>
      <c r="D476" s="115" t="s">
        <v>1140</v>
      </c>
      <c r="E476" s="115" t="s">
        <v>1141</v>
      </c>
    </row>
    <row r="477" spans="1:5" x14ac:dyDescent="0.25">
      <c r="B477" s="115" t="s">
        <v>1139</v>
      </c>
      <c r="D477" s="115" t="s">
        <v>1140</v>
      </c>
      <c r="E477" s="115" t="s">
        <v>1141</v>
      </c>
    </row>
    <row r="478" spans="1:5" x14ac:dyDescent="0.25">
      <c r="B478" s="115" t="s">
        <v>1139</v>
      </c>
      <c r="D478" s="115" t="s">
        <v>1140</v>
      </c>
      <c r="E478" s="115" t="s">
        <v>1141</v>
      </c>
    </row>
    <row r="479" spans="1:5" x14ac:dyDescent="0.25">
      <c r="B479" s="115" t="s">
        <v>1139</v>
      </c>
      <c r="D479" s="115" t="s">
        <v>1140</v>
      </c>
      <c r="E479" s="115" t="s">
        <v>1141</v>
      </c>
    </row>
    <row r="480" spans="1:5" x14ac:dyDescent="0.25">
      <c r="B480" s="115" t="s">
        <v>1139</v>
      </c>
      <c r="D480" s="115" t="s">
        <v>1140</v>
      </c>
      <c r="E480" s="115" t="s">
        <v>1141</v>
      </c>
    </row>
    <row r="481" spans="2:5" x14ac:dyDescent="0.25">
      <c r="B481" s="115" t="s">
        <v>1139</v>
      </c>
      <c r="D481" s="115" t="s">
        <v>1140</v>
      </c>
      <c r="E481" s="115" t="s">
        <v>1141</v>
      </c>
    </row>
    <row r="482" spans="2:5" x14ac:dyDescent="0.25">
      <c r="B482" s="115" t="s">
        <v>1139</v>
      </c>
      <c r="D482" s="115" t="s">
        <v>1140</v>
      </c>
      <c r="E482" s="115" t="s">
        <v>1141</v>
      </c>
    </row>
    <row r="483" spans="2:5" x14ac:dyDescent="0.25">
      <c r="B483" s="115" t="s">
        <v>1139</v>
      </c>
      <c r="D483" s="115" t="s">
        <v>1140</v>
      </c>
      <c r="E483" s="115" t="s">
        <v>1141</v>
      </c>
    </row>
    <row r="484" spans="2:5" x14ac:dyDescent="0.25">
      <c r="B484" s="115" t="s">
        <v>1139</v>
      </c>
      <c r="D484" s="115" t="s">
        <v>1140</v>
      </c>
      <c r="E484" s="115" t="s">
        <v>1141</v>
      </c>
    </row>
    <row r="485" spans="2:5" x14ac:dyDescent="0.25">
      <c r="B485" s="115" t="s">
        <v>1139</v>
      </c>
      <c r="D485" s="115" t="s">
        <v>1140</v>
      </c>
      <c r="E485" s="115" t="s">
        <v>1141</v>
      </c>
    </row>
    <row r="486" spans="2:5" x14ac:dyDescent="0.25">
      <c r="B486" s="115" t="s">
        <v>1139</v>
      </c>
      <c r="D486" s="115" t="s">
        <v>1140</v>
      </c>
      <c r="E486" s="115" t="s">
        <v>1141</v>
      </c>
    </row>
    <row r="487" spans="2:5" x14ac:dyDescent="0.25">
      <c r="B487" s="115" t="s">
        <v>1139</v>
      </c>
      <c r="D487" s="115" t="s">
        <v>1140</v>
      </c>
      <c r="E487" s="115" t="s">
        <v>1141</v>
      </c>
    </row>
    <row r="488" spans="2:5" x14ac:dyDescent="0.25">
      <c r="B488" s="115" t="s">
        <v>1139</v>
      </c>
      <c r="D488" s="115" t="s">
        <v>1140</v>
      </c>
      <c r="E488" s="115" t="s">
        <v>1141</v>
      </c>
    </row>
    <row r="489" spans="2:5" x14ac:dyDescent="0.25">
      <c r="B489" s="115" t="s">
        <v>1139</v>
      </c>
      <c r="D489" s="115" t="s">
        <v>1140</v>
      </c>
      <c r="E489" s="115" t="s">
        <v>1141</v>
      </c>
    </row>
    <row r="490" spans="2:5" x14ac:dyDescent="0.25">
      <c r="B490" s="115" t="s">
        <v>1139</v>
      </c>
      <c r="D490" s="115" t="s">
        <v>1140</v>
      </c>
      <c r="E490" s="115" t="s">
        <v>1141</v>
      </c>
    </row>
    <row r="491" spans="2:5" x14ac:dyDescent="0.25">
      <c r="B491" s="115" t="s">
        <v>1139</v>
      </c>
      <c r="D491" s="115" t="s">
        <v>1140</v>
      </c>
      <c r="E491" s="115" t="s">
        <v>1141</v>
      </c>
    </row>
    <row r="492" spans="2:5" x14ac:dyDescent="0.25">
      <c r="B492" s="115" t="s">
        <v>1139</v>
      </c>
      <c r="D492" s="115" t="s">
        <v>1140</v>
      </c>
      <c r="E492" s="115" t="s">
        <v>1141</v>
      </c>
    </row>
    <row r="493" spans="2:5" x14ac:dyDescent="0.25">
      <c r="B493" s="115" t="s">
        <v>1139</v>
      </c>
      <c r="D493" s="115" t="s">
        <v>1140</v>
      </c>
      <c r="E493" s="115" t="s">
        <v>1141</v>
      </c>
    </row>
    <row r="494" spans="2:5" x14ac:dyDescent="0.25">
      <c r="B494" s="115" t="s">
        <v>1139</v>
      </c>
      <c r="D494" s="115" t="s">
        <v>1140</v>
      </c>
      <c r="E494" s="115" t="s">
        <v>1141</v>
      </c>
    </row>
    <row r="495" spans="2:5" x14ac:dyDescent="0.25">
      <c r="B495" s="115" t="s">
        <v>1139</v>
      </c>
      <c r="D495" s="115" t="s">
        <v>1140</v>
      </c>
      <c r="E495" s="115" t="s">
        <v>1141</v>
      </c>
    </row>
    <row r="496" spans="2:5" x14ac:dyDescent="0.25">
      <c r="B496" s="115" t="s">
        <v>1139</v>
      </c>
      <c r="D496" s="115" t="s">
        <v>1140</v>
      </c>
      <c r="E496" s="115" t="s">
        <v>1141</v>
      </c>
    </row>
    <row r="497" spans="1:5" x14ac:dyDescent="0.25">
      <c r="B497" s="115" t="s">
        <v>1139</v>
      </c>
      <c r="D497" s="115" t="s">
        <v>1140</v>
      </c>
      <c r="E497" s="115" t="s">
        <v>1141</v>
      </c>
    </row>
    <row r="498" spans="1:5" x14ac:dyDescent="0.25">
      <c r="B498" s="115" t="s">
        <v>1139</v>
      </c>
      <c r="D498" s="115" t="s">
        <v>1140</v>
      </c>
      <c r="E498" s="115" t="s">
        <v>1141</v>
      </c>
    </row>
    <row r="499" spans="1:5" x14ac:dyDescent="0.25">
      <c r="B499" s="115" t="s">
        <v>1139</v>
      </c>
      <c r="D499" s="115" t="s">
        <v>1140</v>
      </c>
      <c r="E499" s="115" t="s">
        <v>1141</v>
      </c>
    </row>
    <row r="500" spans="1:5" x14ac:dyDescent="0.25">
      <c r="B500" s="115" t="s">
        <v>1139</v>
      </c>
      <c r="D500" s="115" t="s">
        <v>1140</v>
      </c>
      <c r="E500" s="115" t="s">
        <v>1141</v>
      </c>
    </row>
    <row r="501" spans="1:5" x14ac:dyDescent="0.25">
      <c r="B501" s="115" t="s">
        <v>1139</v>
      </c>
      <c r="D501" s="115" t="s">
        <v>1140</v>
      </c>
      <c r="E501" s="115" t="s">
        <v>1786</v>
      </c>
    </row>
    <row r="502" spans="1:5" x14ac:dyDescent="0.25">
      <c r="A502" s="115">
        <v>2</v>
      </c>
      <c r="B502" s="115" t="s">
        <v>1787</v>
      </c>
      <c r="D502" s="115" t="s">
        <v>1788</v>
      </c>
      <c r="E502" s="115" t="s">
        <v>1789</v>
      </c>
    </row>
    <row r="503" spans="1:5" x14ac:dyDescent="0.25">
      <c r="A503" s="115">
        <v>1</v>
      </c>
      <c r="B503" s="115" t="s">
        <v>1790</v>
      </c>
      <c r="D503" s="115" t="s">
        <v>1140</v>
      </c>
      <c r="E503" s="115" t="s">
        <v>1141</v>
      </c>
    </row>
    <row r="504" spans="1:5" x14ac:dyDescent="0.25">
      <c r="A504" s="115">
        <v>-2</v>
      </c>
      <c r="B504" s="115" t="s">
        <v>1791</v>
      </c>
      <c r="D504" s="115" t="s">
        <v>1792</v>
      </c>
      <c r="E504" s="115" t="s">
        <v>1793</v>
      </c>
    </row>
    <row r="505" spans="1:5" x14ac:dyDescent="0.25">
      <c r="B505" s="115" t="s">
        <v>1139</v>
      </c>
      <c r="D505" s="115" t="s">
        <v>1794</v>
      </c>
      <c r="E505" s="115" t="s">
        <v>1795</v>
      </c>
    </row>
    <row r="506" spans="1:5" x14ac:dyDescent="0.25">
      <c r="B506" s="115" t="s">
        <v>1139</v>
      </c>
      <c r="D506" s="115" t="s">
        <v>1796</v>
      </c>
      <c r="E506" s="115" t="s">
        <v>1141</v>
      </c>
    </row>
    <row r="507" spans="1:5" x14ac:dyDescent="0.25">
      <c r="B507" s="115" t="s">
        <v>1797</v>
      </c>
      <c r="C507" s="115">
        <v>4</v>
      </c>
      <c r="D507" s="115" t="s">
        <v>1798</v>
      </c>
      <c r="E507" s="115" t="s">
        <v>1799</v>
      </c>
    </row>
    <row r="508" spans="1:5" x14ac:dyDescent="0.25">
      <c r="B508" s="115" t="s">
        <v>1139</v>
      </c>
      <c r="D508" s="115" t="s">
        <v>1800</v>
      </c>
      <c r="E508" s="115" t="s">
        <v>1141</v>
      </c>
    </row>
    <row r="509" spans="1:5" x14ac:dyDescent="0.25">
      <c r="B509" s="115" t="s">
        <v>1139</v>
      </c>
      <c r="D509" s="115" t="s">
        <v>1801</v>
      </c>
      <c r="E509" s="115" t="s">
        <v>1802</v>
      </c>
    </row>
    <row r="510" spans="1:5" x14ac:dyDescent="0.25">
      <c r="B510" s="115" t="s">
        <v>1803</v>
      </c>
      <c r="D510" s="115" t="s">
        <v>1804</v>
      </c>
      <c r="E510" s="115" t="s">
        <v>1805</v>
      </c>
    </row>
    <row r="511" spans="1:5" x14ac:dyDescent="0.25">
      <c r="B511" s="115" t="s">
        <v>1806</v>
      </c>
      <c r="D511" s="115" t="s">
        <v>1140</v>
      </c>
      <c r="E511" s="115" t="s">
        <v>1807</v>
      </c>
    </row>
    <row r="512" spans="1:5" x14ac:dyDescent="0.25">
      <c r="B512" s="115" t="s">
        <v>1139</v>
      </c>
      <c r="D512" s="115" t="s">
        <v>1808</v>
      </c>
      <c r="E512" s="115" t="s">
        <v>1141</v>
      </c>
    </row>
    <row r="513" spans="1:5" x14ac:dyDescent="0.25">
      <c r="B513" s="115" t="s">
        <v>1139</v>
      </c>
      <c r="D513" s="115" t="s">
        <v>1140</v>
      </c>
      <c r="E513" s="115" t="s">
        <v>1141</v>
      </c>
    </row>
    <row r="514" spans="1:5" x14ac:dyDescent="0.25">
      <c r="B514" s="115" t="s">
        <v>1139</v>
      </c>
      <c r="D514" s="115" t="s">
        <v>1140</v>
      </c>
      <c r="E514" s="115" t="s">
        <v>1141</v>
      </c>
    </row>
    <row r="515" spans="1:5" x14ac:dyDescent="0.25">
      <c r="B515" s="115" t="s">
        <v>1139</v>
      </c>
      <c r="D515" s="115" t="s">
        <v>1140</v>
      </c>
      <c r="E515" s="115" t="s">
        <v>1141</v>
      </c>
    </row>
    <row r="516" spans="1:5" x14ac:dyDescent="0.25">
      <c r="B516" s="115" t="s">
        <v>1139</v>
      </c>
      <c r="D516" s="115" t="s">
        <v>1140</v>
      </c>
      <c r="E516" s="115" t="s">
        <v>1141</v>
      </c>
    </row>
    <row r="517" spans="1:5" x14ac:dyDescent="0.25">
      <c r="B517" s="115" t="s">
        <v>1139</v>
      </c>
      <c r="D517" s="115" t="s">
        <v>1140</v>
      </c>
      <c r="E517" s="115" t="s">
        <v>1141</v>
      </c>
    </row>
    <row r="518" spans="1:5" x14ac:dyDescent="0.25">
      <c r="A518" s="115" t="s">
        <v>1138</v>
      </c>
      <c r="B518" s="115" t="s">
        <v>1809</v>
      </c>
      <c r="D518" s="115" t="s">
        <v>1810</v>
      </c>
      <c r="E518" s="115" t="s">
        <v>1811</v>
      </c>
    </row>
    <row r="519" spans="1:5" x14ac:dyDescent="0.25">
      <c r="B519" s="115" t="s">
        <v>1139</v>
      </c>
      <c r="C519" s="115" t="s">
        <v>1138</v>
      </c>
      <c r="D519" s="115" t="s">
        <v>1812</v>
      </c>
      <c r="E519" s="115" t="s">
        <v>1141</v>
      </c>
    </row>
    <row r="520" spans="1:5" x14ac:dyDescent="0.25">
      <c r="B520" s="115" t="s">
        <v>1139</v>
      </c>
      <c r="D520" s="115" t="s">
        <v>1813</v>
      </c>
      <c r="E520" s="115" t="s">
        <v>1814</v>
      </c>
    </row>
    <row r="521" spans="1:5" x14ac:dyDescent="0.25">
      <c r="A521" s="115">
        <v>-1</v>
      </c>
      <c r="B521" s="115" t="s">
        <v>1815</v>
      </c>
      <c r="D521" s="115" t="s">
        <v>1816</v>
      </c>
      <c r="E521" s="115" t="s">
        <v>1817</v>
      </c>
    </row>
    <row r="522" spans="1:5" x14ac:dyDescent="0.25">
      <c r="B522" s="115" t="s">
        <v>1139</v>
      </c>
      <c r="D522" s="115" t="s">
        <v>1818</v>
      </c>
      <c r="E522" s="115" t="s">
        <v>1819</v>
      </c>
    </row>
    <row r="523" spans="1:5" x14ac:dyDescent="0.25">
      <c r="B523" s="115" t="s">
        <v>1139</v>
      </c>
      <c r="D523" s="115" t="s">
        <v>1820</v>
      </c>
      <c r="E523" s="115" t="s">
        <v>1141</v>
      </c>
    </row>
    <row r="524" spans="1:5" x14ac:dyDescent="0.25">
      <c r="B524" s="115" t="s">
        <v>1139</v>
      </c>
      <c r="D524" s="115" t="s">
        <v>1140</v>
      </c>
      <c r="E524" s="115" t="s">
        <v>1141</v>
      </c>
    </row>
    <row r="525" spans="1:5" x14ac:dyDescent="0.25">
      <c r="B525" s="115" t="s">
        <v>1139</v>
      </c>
      <c r="D525" s="115" t="s">
        <v>1140</v>
      </c>
      <c r="E525" s="115" t="s">
        <v>1141</v>
      </c>
    </row>
    <row r="526" spans="1:5" x14ac:dyDescent="0.25">
      <c r="B526" s="115" t="s">
        <v>1139</v>
      </c>
      <c r="D526" s="115" t="s">
        <v>1140</v>
      </c>
      <c r="E526" s="115" t="s">
        <v>1141</v>
      </c>
    </row>
    <row r="527" spans="1:5" x14ac:dyDescent="0.25">
      <c r="B527" s="115" t="s">
        <v>1139</v>
      </c>
      <c r="D527" s="115" t="s">
        <v>1140</v>
      </c>
      <c r="E527" s="115" t="s">
        <v>1141</v>
      </c>
    </row>
    <row r="528" spans="1:5" x14ac:dyDescent="0.25">
      <c r="B528" s="115" t="s">
        <v>1139</v>
      </c>
      <c r="D528" s="115" t="s">
        <v>1140</v>
      </c>
      <c r="E528" s="115" t="s">
        <v>1141</v>
      </c>
    </row>
    <row r="529" spans="2:5" x14ac:dyDescent="0.25">
      <c r="B529" s="115" t="s">
        <v>1139</v>
      </c>
      <c r="D529" s="115" t="s">
        <v>1140</v>
      </c>
      <c r="E529" s="115" t="s">
        <v>1141</v>
      </c>
    </row>
    <row r="530" spans="2:5" x14ac:dyDescent="0.25">
      <c r="B530" s="115" t="s">
        <v>1139</v>
      </c>
      <c r="D530" s="115" t="s">
        <v>1140</v>
      </c>
      <c r="E530" s="115" t="s">
        <v>1141</v>
      </c>
    </row>
    <row r="531" spans="2:5" x14ac:dyDescent="0.25">
      <c r="B531" s="115" t="s">
        <v>1139</v>
      </c>
      <c r="D531" s="115" t="s">
        <v>1140</v>
      </c>
      <c r="E531" s="115" t="s">
        <v>1141</v>
      </c>
    </row>
    <row r="532" spans="2:5" x14ac:dyDescent="0.25">
      <c r="B532" s="115" t="s">
        <v>1139</v>
      </c>
      <c r="D532" s="115" t="s">
        <v>1140</v>
      </c>
      <c r="E532" s="115" t="s">
        <v>1141</v>
      </c>
    </row>
    <row r="533" spans="2:5" x14ac:dyDescent="0.25">
      <c r="B533" s="115" t="s">
        <v>1139</v>
      </c>
      <c r="D533" s="115" t="s">
        <v>1140</v>
      </c>
      <c r="E533" s="115" t="s">
        <v>1141</v>
      </c>
    </row>
    <row r="534" spans="2:5" x14ac:dyDescent="0.25">
      <c r="B534" s="115" t="s">
        <v>1139</v>
      </c>
      <c r="D534" s="115" t="s">
        <v>1140</v>
      </c>
      <c r="E534" s="115" t="s">
        <v>1141</v>
      </c>
    </row>
    <row r="535" spans="2:5" x14ac:dyDescent="0.25">
      <c r="B535" s="115" t="s">
        <v>1139</v>
      </c>
      <c r="D535" s="115" t="s">
        <v>1140</v>
      </c>
      <c r="E535" s="115" t="s">
        <v>1141</v>
      </c>
    </row>
    <row r="536" spans="2:5" x14ac:dyDescent="0.25">
      <c r="B536" s="115" t="s">
        <v>1139</v>
      </c>
      <c r="D536" s="115" t="s">
        <v>1140</v>
      </c>
      <c r="E536" s="115" t="s">
        <v>1141</v>
      </c>
    </row>
    <row r="537" spans="2:5" x14ac:dyDescent="0.25">
      <c r="B537" s="115" t="s">
        <v>1139</v>
      </c>
      <c r="D537" s="115" t="s">
        <v>1140</v>
      </c>
      <c r="E537" s="115" t="s">
        <v>1141</v>
      </c>
    </row>
    <row r="538" spans="2:5" x14ac:dyDescent="0.25">
      <c r="B538" s="115" t="s">
        <v>1139</v>
      </c>
      <c r="D538" s="115" t="s">
        <v>1140</v>
      </c>
      <c r="E538" s="115" t="s">
        <v>1141</v>
      </c>
    </row>
    <row r="539" spans="2:5" x14ac:dyDescent="0.25">
      <c r="B539" s="115" t="s">
        <v>1139</v>
      </c>
      <c r="D539" s="115" t="s">
        <v>1140</v>
      </c>
      <c r="E539" s="115" t="s">
        <v>1141</v>
      </c>
    </row>
    <row r="540" spans="2:5" x14ac:dyDescent="0.25">
      <c r="B540" s="115" t="s">
        <v>1139</v>
      </c>
      <c r="D540" s="115" t="s">
        <v>1140</v>
      </c>
      <c r="E540" s="115" t="s">
        <v>1141</v>
      </c>
    </row>
    <row r="541" spans="2:5" x14ac:dyDescent="0.25">
      <c r="B541" s="115" t="s">
        <v>1139</v>
      </c>
      <c r="D541" s="115" t="s">
        <v>1140</v>
      </c>
      <c r="E541" s="115" t="s">
        <v>1141</v>
      </c>
    </row>
    <row r="542" spans="2:5" x14ac:dyDescent="0.25">
      <c r="B542" s="115" t="s">
        <v>1139</v>
      </c>
      <c r="D542" s="115" t="s">
        <v>1140</v>
      </c>
      <c r="E542" s="115" t="s">
        <v>1141</v>
      </c>
    </row>
    <row r="543" spans="2:5" x14ac:dyDescent="0.25">
      <c r="B543" s="115" t="s">
        <v>1139</v>
      </c>
      <c r="D543" s="115" t="s">
        <v>1140</v>
      </c>
      <c r="E543" s="115" t="s">
        <v>1141</v>
      </c>
    </row>
    <row r="544" spans="2:5" x14ac:dyDescent="0.25">
      <c r="B544" s="115" t="s">
        <v>1139</v>
      </c>
      <c r="D544" s="115" t="s">
        <v>1140</v>
      </c>
      <c r="E544" s="115" t="s">
        <v>1141</v>
      </c>
    </row>
    <row r="545" spans="1:5" x14ac:dyDescent="0.25">
      <c r="B545" s="115" t="s">
        <v>1139</v>
      </c>
      <c r="D545" s="115" t="s">
        <v>1140</v>
      </c>
      <c r="E545" s="115" t="s">
        <v>1141</v>
      </c>
    </row>
    <row r="546" spans="1:5" x14ac:dyDescent="0.25">
      <c r="B546" s="115" t="s">
        <v>1139</v>
      </c>
      <c r="D546" s="115" t="s">
        <v>1140</v>
      </c>
      <c r="E546" s="115" t="s">
        <v>1141</v>
      </c>
    </row>
    <row r="547" spans="1:5" x14ac:dyDescent="0.25">
      <c r="A547" s="115">
        <v>-2</v>
      </c>
      <c r="B547" s="115" t="s">
        <v>1821</v>
      </c>
      <c r="C547" s="115" t="s">
        <v>1138</v>
      </c>
      <c r="D547" s="115" t="s">
        <v>1822</v>
      </c>
      <c r="E547" s="115" t="s">
        <v>1823</v>
      </c>
    </row>
    <row r="548" spans="1:5" x14ac:dyDescent="0.25">
      <c r="B548" s="115" t="s">
        <v>1139</v>
      </c>
      <c r="D548" s="115" t="s">
        <v>1824</v>
      </c>
      <c r="E548" s="115" t="s">
        <v>1141</v>
      </c>
    </row>
    <row r="549" spans="1:5" x14ac:dyDescent="0.25">
      <c r="B549" s="115" t="s">
        <v>1139</v>
      </c>
      <c r="D549" s="115" t="s">
        <v>1825</v>
      </c>
      <c r="E549" s="115" t="s">
        <v>1826</v>
      </c>
    </row>
    <row r="550" spans="1:5" x14ac:dyDescent="0.25">
      <c r="A550" s="115">
        <v>-3</v>
      </c>
      <c r="B550" s="115" t="s">
        <v>1827</v>
      </c>
      <c r="D550" s="115" t="s">
        <v>1828</v>
      </c>
      <c r="E550" s="115" t="s">
        <v>1829</v>
      </c>
    </row>
    <row r="551" spans="1:5" x14ac:dyDescent="0.25">
      <c r="B551" s="115" t="s">
        <v>1139</v>
      </c>
      <c r="D551" s="115" t="s">
        <v>1830</v>
      </c>
      <c r="E551" s="115" t="s">
        <v>1819</v>
      </c>
    </row>
    <row r="552" spans="1:5" x14ac:dyDescent="0.25">
      <c r="B552" s="115" t="s">
        <v>1139</v>
      </c>
      <c r="D552" s="115" t="s">
        <v>1831</v>
      </c>
      <c r="E552" s="115" t="s">
        <v>1832</v>
      </c>
    </row>
    <row r="553" spans="1:5" x14ac:dyDescent="0.25">
      <c r="B553" s="115" t="s">
        <v>1833</v>
      </c>
      <c r="D553" s="115" t="s">
        <v>1834</v>
      </c>
      <c r="E553" s="115" t="s">
        <v>1835</v>
      </c>
    </row>
    <row r="554" spans="1:5" x14ac:dyDescent="0.25">
      <c r="B554" s="115" t="s">
        <v>1139</v>
      </c>
      <c r="D554" s="115" t="s">
        <v>1836</v>
      </c>
      <c r="E554" s="115" t="s">
        <v>1141</v>
      </c>
    </row>
    <row r="555" spans="1:5" x14ac:dyDescent="0.25">
      <c r="B555" s="115" t="s">
        <v>1139</v>
      </c>
      <c r="D555" s="115" t="s">
        <v>1837</v>
      </c>
      <c r="E555" s="115" t="s">
        <v>1838</v>
      </c>
    </row>
    <row r="556" spans="1:5" x14ac:dyDescent="0.25">
      <c r="B556" s="115" t="s">
        <v>1839</v>
      </c>
      <c r="D556" s="115" t="s">
        <v>1840</v>
      </c>
      <c r="E556" s="115" t="s">
        <v>1841</v>
      </c>
    </row>
    <row r="557" spans="1:5" x14ac:dyDescent="0.25">
      <c r="A557" s="115" t="s">
        <v>1138</v>
      </c>
      <c r="B557" s="115" t="s">
        <v>1676</v>
      </c>
      <c r="D557" s="115" t="s">
        <v>1140</v>
      </c>
      <c r="E557" s="115" t="s">
        <v>1842</v>
      </c>
    </row>
    <row r="558" spans="1:5" x14ac:dyDescent="0.25">
      <c r="B558" s="115" t="s">
        <v>1139</v>
      </c>
      <c r="D558" s="115" t="s">
        <v>1843</v>
      </c>
      <c r="E558" s="115" t="s">
        <v>1844</v>
      </c>
    </row>
    <row r="559" spans="1:5" x14ac:dyDescent="0.25">
      <c r="B559" s="115" t="s">
        <v>1139</v>
      </c>
      <c r="D559" s="115" t="s">
        <v>1845</v>
      </c>
      <c r="E559" s="115" t="s">
        <v>1846</v>
      </c>
    </row>
    <row r="560" spans="1:5" x14ac:dyDescent="0.25">
      <c r="B560" s="115" t="s">
        <v>1847</v>
      </c>
      <c r="D560" s="115" t="s">
        <v>1848</v>
      </c>
      <c r="E560" s="115" t="s">
        <v>1849</v>
      </c>
    </row>
    <row r="561" spans="2:5" x14ac:dyDescent="0.25">
      <c r="B561" s="115" t="s">
        <v>1139</v>
      </c>
      <c r="D561" s="115" t="s">
        <v>1850</v>
      </c>
      <c r="E561" s="115" t="s">
        <v>1851</v>
      </c>
    </row>
    <row r="562" spans="2:5" x14ac:dyDescent="0.25">
      <c r="B562" s="115" t="s">
        <v>1852</v>
      </c>
      <c r="D562" s="115" t="s">
        <v>1853</v>
      </c>
      <c r="E562" s="115" t="s">
        <v>1854</v>
      </c>
    </row>
    <row r="563" spans="2:5" x14ac:dyDescent="0.25">
      <c r="B563" s="115" t="s">
        <v>1139</v>
      </c>
      <c r="D563" s="115" t="s">
        <v>1855</v>
      </c>
      <c r="E563" s="115" t="s">
        <v>1856</v>
      </c>
    </row>
    <row r="564" spans="2:5" x14ac:dyDescent="0.25">
      <c r="B564" s="115" t="s">
        <v>1139</v>
      </c>
      <c r="D564" s="115" t="s">
        <v>1140</v>
      </c>
      <c r="E564" s="115" t="s">
        <v>1857</v>
      </c>
    </row>
    <row r="565" spans="2:5" x14ac:dyDescent="0.25">
      <c r="B565" s="115" t="s">
        <v>1139</v>
      </c>
      <c r="D565" s="115" t="s">
        <v>1858</v>
      </c>
      <c r="E565" s="115" t="s">
        <v>1859</v>
      </c>
    </row>
    <row r="566" spans="2:5" x14ac:dyDescent="0.25">
      <c r="B566" s="115" t="s">
        <v>1139</v>
      </c>
      <c r="D566" s="115" t="s">
        <v>1140</v>
      </c>
      <c r="E566" s="115" t="s">
        <v>1141</v>
      </c>
    </row>
    <row r="567" spans="2:5" x14ac:dyDescent="0.25">
      <c r="B567" s="115" t="s">
        <v>1139</v>
      </c>
      <c r="D567" s="115" t="s">
        <v>1140</v>
      </c>
      <c r="E567" s="115" t="s">
        <v>1141</v>
      </c>
    </row>
    <row r="568" spans="2:5" x14ac:dyDescent="0.25">
      <c r="B568" s="115" t="s">
        <v>1139</v>
      </c>
      <c r="D568" s="115" t="s">
        <v>1140</v>
      </c>
      <c r="E568" s="115" t="s">
        <v>1141</v>
      </c>
    </row>
    <row r="569" spans="2:5" x14ac:dyDescent="0.25">
      <c r="B569" s="115" t="s">
        <v>1139</v>
      </c>
      <c r="D569" s="115" t="s">
        <v>1140</v>
      </c>
      <c r="E569" s="115" t="s">
        <v>1141</v>
      </c>
    </row>
    <row r="570" spans="2:5" x14ac:dyDescent="0.25">
      <c r="B570" s="115" t="s">
        <v>1139</v>
      </c>
      <c r="D570" s="115" t="s">
        <v>1140</v>
      </c>
      <c r="E570" s="115" t="s">
        <v>1141</v>
      </c>
    </row>
    <row r="571" spans="2:5" x14ac:dyDescent="0.25">
      <c r="B571" s="115" t="s">
        <v>1139</v>
      </c>
      <c r="D571" s="115" t="s">
        <v>1140</v>
      </c>
      <c r="E571" s="115" t="s">
        <v>1141</v>
      </c>
    </row>
    <row r="572" spans="2:5" x14ac:dyDescent="0.25">
      <c r="B572" s="115" t="s">
        <v>1139</v>
      </c>
      <c r="D572" s="115" t="s">
        <v>1140</v>
      </c>
      <c r="E572" s="115" t="s">
        <v>1141</v>
      </c>
    </row>
    <row r="573" spans="2:5" x14ac:dyDescent="0.25">
      <c r="B573" s="115" t="s">
        <v>1139</v>
      </c>
      <c r="D573" s="115" t="s">
        <v>1140</v>
      </c>
      <c r="E573" s="115" t="s">
        <v>1141</v>
      </c>
    </row>
    <row r="574" spans="2:5" x14ac:dyDescent="0.25">
      <c r="B574" s="115" t="s">
        <v>1139</v>
      </c>
      <c r="D574" s="115" t="s">
        <v>1140</v>
      </c>
      <c r="E574" s="115" t="s">
        <v>1141</v>
      </c>
    </row>
    <row r="575" spans="2:5" x14ac:dyDescent="0.25">
      <c r="B575" s="115" t="s">
        <v>1139</v>
      </c>
      <c r="D575" s="115" t="s">
        <v>1140</v>
      </c>
      <c r="E575" s="115" t="s">
        <v>1141</v>
      </c>
    </row>
    <row r="576" spans="2:5" x14ac:dyDescent="0.25">
      <c r="B576" s="115" t="s">
        <v>1139</v>
      </c>
      <c r="D576" s="115" t="s">
        <v>1140</v>
      </c>
      <c r="E576" s="115" t="s">
        <v>1141</v>
      </c>
    </row>
    <row r="577" spans="1:5" x14ac:dyDescent="0.25">
      <c r="B577" s="115" t="s">
        <v>1139</v>
      </c>
      <c r="D577" s="115" t="s">
        <v>1140</v>
      </c>
      <c r="E577" s="115" t="s">
        <v>1141</v>
      </c>
    </row>
    <row r="578" spans="1:5" x14ac:dyDescent="0.25">
      <c r="B578" s="115" t="s">
        <v>1139</v>
      </c>
      <c r="D578" s="115" t="s">
        <v>1860</v>
      </c>
      <c r="E578" s="115" t="s">
        <v>1861</v>
      </c>
    </row>
    <row r="579" spans="1:5" x14ac:dyDescent="0.25">
      <c r="B579" s="115" t="s">
        <v>1862</v>
      </c>
      <c r="D579" s="115" t="s">
        <v>1863</v>
      </c>
      <c r="E579" s="115" t="s">
        <v>1864</v>
      </c>
    </row>
    <row r="580" spans="1:5" x14ac:dyDescent="0.25">
      <c r="B580" s="115" t="s">
        <v>1139</v>
      </c>
      <c r="D580" s="115" t="s">
        <v>1140</v>
      </c>
      <c r="E580" s="115" t="s">
        <v>1865</v>
      </c>
    </row>
    <row r="581" spans="1:5" x14ac:dyDescent="0.25">
      <c r="B581" s="115" t="s">
        <v>1866</v>
      </c>
      <c r="D581" s="115" t="s">
        <v>1867</v>
      </c>
      <c r="E581" s="115" t="s">
        <v>1868</v>
      </c>
    </row>
    <row r="582" spans="1:5" x14ac:dyDescent="0.25">
      <c r="B582" s="115" t="s">
        <v>1654</v>
      </c>
      <c r="D582" s="115" t="s">
        <v>1430</v>
      </c>
      <c r="E582" s="115" t="s">
        <v>1141</v>
      </c>
    </row>
    <row r="583" spans="1:5" x14ac:dyDescent="0.25">
      <c r="B583" s="115" t="s">
        <v>1869</v>
      </c>
      <c r="D583" s="115" t="s">
        <v>1140</v>
      </c>
      <c r="E583" s="115" t="s">
        <v>1870</v>
      </c>
    </row>
    <row r="584" spans="1:5" x14ac:dyDescent="0.25">
      <c r="B584" s="115" t="s">
        <v>1871</v>
      </c>
      <c r="D584" s="115" t="s">
        <v>1140</v>
      </c>
      <c r="E584" s="115" t="s">
        <v>1872</v>
      </c>
    </row>
    <row r="585" spans="1:5" x14ac:dyDescent="0.25">
      <c r="B585" s="115" t="s">
        <v>1873</v>
      </c>
      <c r="D585" s="115" t="s">
        <v>1874</v>
      </c>
      <c r="E585" s="115" t="s">
        <v>1875</v>
      </c>
    </row>
    <row r="586" spans="1:5" x14ac:dyDescent="0.25">
      <c r="B586" s="115" t="s">
        <v>1139</v>
      </c>
      <c r="D586" s="115" t="s">
        <v>1876</v>
      </c>
      <c r="E586" s="115" t="s">
        <v>1141</v>
      </c>
    </row>
    <row r="587" spans="1:5" x14ac:dyDescent="0.25">
      <c r="B587" s="115" t="s">
        <v>1139</v>
      </c>
      <c r="D587" s="115" t="s">
        <v>1877</v>
      </c>
      <c r="E587" s="115" t="s">
        <v>1878</v>
      </c>
    </row>
    <row r="588" spans="1:5" x14ac:dyDescent="0.25">
      <c r="B588" s="115" t="s">
        <v>1879</v>
      </c>
      <c r="D588" s="115" t="s">
        <v>1221</v>
      </c>
      <c r="E588" s="115" t="s">
        <v>1880</v>
      </c>
    </row>
    <row r="589" spans="1:5" x14ac:dyDescent="0.25">
      <c r="A589" s="115" t="s">
        <v>1138</v>
      </c>
      <c r="B589" s="115" t="s">
        <v>1460</v>
      </c>
      <c r="D589" s="115" t="s">
        <v>1140</v>
      </c>
      <c r="E589" s="115" t="s">
        <v>1881</v>
      </c>
    </row>
    <row r="590" spans="1:5" x14ac:dyDescent="0.25">
      <c r="B590" s="115" t="s">
        <v>1139</v>
      </c>
      <c r="D590" s="115" t="s">
        <v>1882</v>
      </c>
      <c r="E590" s="115" t="s">
        <v>1883</v>
      </c>
    </row>
    <row r="591" spans="1:5" x14ac:dyDescent="0.25">
      <c r="B591" s="115" t="s">
        <v>1139</v>
      </c>
      <c r="C591" s="115" t="s">
        <v>1138</v>
      </c>
      <c r="D591" s="115" t="s">
        <v>1884</v>
      </c>
      <c r="E591" s="115" t="s">
        <v>1885</v>
      </c>
    </row>
    <row r="592" spans="1:5" x14ac:dyDescent="0.25">
      <c r="B592" s="115" t="s">
        <v>1139</v>
      </c>
      <c r="D592" s="115" t="s">
        <v>1140</v>
      </c>
      <c r="E592" s="115" t="s">
        <v>1141</v>
      </c>
    </row>
    <row r="593" spans="1:5" x14ac:dyDescent="0.25">
      <c r="B593" s="115" t="s">
        <v>1139</v>
      </c>
      <c r="D593" s="115" t="s">
        <v>1140</v>
      </c>
      <c r="E593" s="115" t="s">
        <v>1141</v>
      </c>
    </row>
    <row r="594" spans="1:5" x14ac:dyDescent="0.25">
      <c r="B594" s="115" t="s">
        <v>1139</v>
      </c>
      <c r="D594" s="115" t="s">
        <v>1140</v>
      </c>
      <c r="E594" s="115" t="s">
        <v>1141</v>
      </c>
    </row>
    <row r="595" spans="1:5" x14ac:dyDescent="0.25">
      <c r="B595" s="115" t="s">
        <v>1139</v>
      </c>
      <c r="D595" s="115" t="s">
        <v>1140</v>
      </c>
      <c r="E595" s="115" t="s">
        <v>1141</v>
      </c>
    </row>
    <row r="596" spans="1:5" x14ac:dyDescent="0.25">
      <c r="B596" s="115" t="s">
        <v>1139</v>
      </c>
      <c r="D596" s="115" t="s">
        <v>1140</v>
      </c>
      <c r="E596" s="115" t="s">
        <v>1141</v>
      </c>
    </row>
    <row r="597" spans="1:5" x14ac:dyDescent="0.25">
      <c r="B597" s="115" t="s">
        <v>1139</v>
      </c>
      <c r="D597" s="115" t="s">
        <v>1140</v>
      </c>
      <c r="E597" s="115" t="s">
        <v>1141</v>
      </c>
    </row>
    <row r="598" spans="1:5" x14ac:dyDescent="0.25">
      <c r="B598" s="115" t="s">
        <v>1139</v>
      </c>
      <c r="D598" s="115" t="s">
        <v>1140</v>
      </c>
      <c r="E598" s="115" t="s">
        <v>1886</v>
      </c>
    </row>
    <row r="599" spans="1:5" x14ac:dyDescent="0.25">
      <c r="B599" s="115" t="s">
        <v>1139</v>
      </c>
      <c r="D599" s="115" t="s">
        <v>1887</v>
      </c>
      <c r="E599" s="115" t="s">
        <v>1888</v>
      </c>
    </row>
    <row r="600" spans="1:5" x14ac:dyDescent="0.25">
      <c r="B600" s="115" t="s">
        <v>1139</v>
      </c>
      <c r="D600" s="115" t="s">
        <v>1140</v>
      </c>
      <c r="E600" s="115" t="s">
        <v>1889</v>
      </c>
    </row>
    <row r="601" spans="1:5" x14ac:dyDescent="0.25">
      <c r="B601" s="115" t="s">
        <v>1139</v>
      </c>
      <c r="D601" s="115" t="s">
        <v>1890</v>
      </c>
      <c r="E601" s="115" t="s">
        <v>1891</v>
      </c>
    </row>
    <row r="602" spans="1:5" x14ac:dyDescent="0.25">
      <c r="B602" s="115" t="s">
        <v>1892</v>
      </c>
      <c r="D602" s="115" t="s">
        <v>1893</v>
      </c>
      <c r="E602" s="115" t="s">
        <v>1894</v>
      </c>
    </row>
    <row r="603" spans="1:5" x14ac:dyDescent="0.25">
      <c r="B603" s="115" t="s">
        <v>1327</v>
      </c>
      <c r="D603" s="115" t="s">
        <v>1140</v>
      </c>
      <c r="E603" s="115" t="s">
        <v>1895</v>
      </c>
    </row>
    <row r="604" spans="1:5" x14ac:dyDescent="0.25">
      <c r="A604" s="115">
        <v>-6</v>
      </c>
      <c r="B604" s="115" t="s">
        <v>1578</v>
      </c>
      <c r="C604" s="115">
        <v>1</v>
      </c>
      <c r="D604" s="115" t="s">
        <v>1896</v>
      </c>
      <c r="E604" s="115" t="s">
        <v>1897</v>
      </c>
    </row>
    <row r="605" spans="1:5" x14ac:dyDescent="0.25">
      <c r="B605" s="115" t="s">
        <v>1139</v>
      </c>
      <c r="C605" s="115">
        <v>1</v>
      </c>
      <c r="D605" s="115" t="s">
        <v>1898</v>
      </c>
      <c r="E605" s="115" t="s">
        <v>1899</v>
      </c>
    </row>
    <row r="606" spans="1:5" x14ac:dyDescent="0.25">
      <c r="B606" s="115" t="s">
        <v>1283</v>
      </c>
      <c r="D606" s="115" t="s">
        <v>1540</v>
      </c>
      <c r="E606" s="115" t="s">
        <v>1900</v>
      </c>
    </row>
    <row r="607" spans="1:5" x14ac:dyDescent="0.25">
      <c r="B607" s="115" t="s">
        <v>1139</v>
      </c>
      <c r="D607" s="115" t="s">
        <v>1140</v>
      </c>
      <c r="E607" s="115" t="s">
        <v>1901</v>
      </c>
    </row>
    <row r="608" spans="1:5" x14ac:dyDescent="0.25">
      <c r="B608" s="115" t="s">
        <v>1902</v>
      </c>
      <c r="D608" s="115" t="s">
        <v>1903</v>
      </c>
      <c r="E608" s="115" t="s">
        <v>1904</v>
      </c>
    </row>
    <row r="609" spans="1:5" x14ac:dyDescent="0.25">
      <c r="A609" s="115" t="s">
        <v>1138</v>
      </c>
      <c r="B609" s="115" t="s">
        <v>1149</v>
      </c>
      <c r="D609" s="115" t="s">
        <v>1905</v>
      </c>
      <c r="E609" s="115" t="s">
        <v>1141</v>
      </c>
    </row>
    <row r="610" spans="1:5" x14ac:dyDescent="0.25">
      <c r="B610" s="115" t="s">
        <v>1906</v>
      </c>
      <c r="D610" s="115" t="s">
        <v>1140</v>
      </c>
      <c r="E610" s="115" t="s">
        <v>1907</v>
      </c>
    </row>
    <row r="611" spans="1:5" x14ac:dyDescent="0.25">
      <c r="B611" s="115" t="s">
        <v>1908</v>
      </c>
      <c r="D611" s="115" t="s">
        <v>1140</v>
      </c>
      <c r="E611" s="115" t="s">
        <v>1909</v>
      </c>
    </row>
    <row r="612" spans="1:5" x14ac:dyDescent="0.25">
      <c r="B612" s="115" t="s">
        <v>1910</v>
      </c>
      <c r="D612" s="115" t="s">
        <v>1911</v>
      </c>
      <c r="E612" s="115" t="s">
        <v>1912</v>
      </c>
    </row>
    <row r="613" spans="1:5" x14ac:dyDescent="0.25">
      <c r="B613" s="115" t="s">
        <v>1677</v>
      </c>
      <c r="D613" s="115" t="s">
        <v>1913</v>
      </c>
      <c r="E613" s="115" t="s">
        <v>1914</v>
      </c>
    </row>
    <row r="614" spans="1:5" x14ac:dyDescent="0.25">
      <c r="B614" s="115" t="s">
        <v>1139</v>
      </c>
      <c r="D614" s="115" t="s">
        <v>1140</v>
      </c>
      <c r="E614" s="115" t="s">
        <v>1915</v>
      </c>
    </row>
    <row r="615" spans="1:5" x14ac:dyDescent="0.25">
      <c r="B615" s="115" t="s">
        <v>1916</v>
      </c>
      <c r="D615" s="115" t="s">
        <v>1917</v>
      </c>
      <c r="E615" s="115" t="s">
        <v>1918</v>
      </c>
    </row>
    <row r="616" spans="1:5" x14ac:dyDescent="0.25">
      <c r="B616" s="115" t="s">
        <v>1348</v>
      </c>
      <c r="D616" s="115" t="s">
        <v>1919</v>
      </c>
      <c r="E616" s="115" t="s">
        <v>1141</v>
      </c>
    </row>
    <row r="617" spans="1:5" x14ac:dyDescent="0.25">
      <c r="B617" s="115" t="s">
        <v>1356</v>
      </c>
      <c r="D617" s="115" t="s">
        <v>1140</v>
      </c>
      <c r="E617" s="115" t="s">
        <v>1920</v>
      </c>
    </row>
    <row r="618" spans="1:5" x14ac:dyDescent="0.25">
      <c r="B618" s="115" t="s">
        <v>1921</v>
      </c>
      <c r="D618" s="115" t="s">
        <v>1140</v>
      </c>
      <c r="E618" s="115" t="s">
        <v>1922</v>
      </c>
    </row>
    <row r="619" spans="1:5" x14ac:dyDescent="0.25">
      <c r="B619" s="115" t="s">
        <v>1923</v>
      </c>
      <c r="C619" s="115" t="s">
        <v>1138</v>
      </c>
      <c r="D619" s="115" t="s">
        <v>1924</v>
      </c>
      <c r="E619" s="115" t="s">
        <v>1925</v>
      </c>
    </row>
    <row r="620" spans="1:5" x14ac:dyDescent="0.25">
      <c r="B620" s="115" t="s">
        <v>1139</v>
      </c>
      <c r="D620" s="115" t="s">
        <v>1926</v>
      </c>
      <c r="E620" s="115" t="s">
        <v>1927</v>
      </c>
    </row>
    <row r="621" spans="1:5" x14ac:dyDescent="0.25">
      <c r="B621" s="115" t="s">
        <v>1139</v>
      </c>
      <c r="D621" s="115" t="s">
        <v>1140</v>
      </c>
      <c r="E621" s="115" t="s">
        <v>1928</v>
      </c>
    </row>
    <row r="622" spans="1:5" x14ac:dyDescent="0.25">
      <c r="B622" s="115" t="s">
        <v>1139</v>
      </c>
      <c r="D622" s="115" t="s">
        <v>1929</v>
      </c>
      <c r="E622" s="115" t="s">
        <v>1930</v>
      </c>
    </row>
    <row r="623" spans="1:5" x14ac:dyDescent="0.25">
      <c r="B623" s="115" t="s">
        <v>1931</v>
      </c>
      <c r="D623" s="115" t="s">
        <v>1932</v>
      </c>
      <c r="E623" s="115" t="s">
        <v>1759</v>
      </c>
    </row>
    <row r="624" spans="1:5" x14ac:dyDescent="0.25">
      <c r="B624" s="115" t="s">
        <v>1310</v>
      </c>
      <c r="D624" s="115" t="s">
        <v>1140</v>
      </c>
      <c r="E624" s="115" t="s">
        <v>1933</v>
      </c>
    </row>
    <row r="625" spans="1:5" x14ac:dyDescent="0.25">
      <c r="A625" s="115">
        <v>-6</v>
      </c>
      <c r="B625" s="115" t="s">
        <v>1934</v>
      </c>
      <c r="D625" s="115" t="s">
        <v>1935</v>
      </c>
      <c r="E625" s="115" t="s">
        <v>1936</v>
      </c>
    </row>
    <row r="626" spans="1:5" x14ac:dyDescent="0.25">
      <c r="B626" s="115" t="s">
        <v>1139</v>
      </c>
      <c r="C626" s="115">
        <v>1</v>
      </c>
      <c r="D626" s="115" t="s">
        <v>1937</v>
      </c>
      <c r="E626" s="115" t="s">
        <v>1938</v>
      </c>
    </row>
    <row r="627" spans="1:5" x14ac:dyDescent="0.25">
      <c r="A627" s="115" t="s">
        <v>1138</v>
      </c>
      <c r="B627" s="115" t="s">
        <v>1939</v>
      </c>
      <c r="D627" s="115" t="s">
        <v>1940</v>
      </c>
      <c r="E627" s="115" t="s">
        <v>1941</v>
      </c>
    </row>
    <row r="628" spans="1:5" x14ac:dyDescent="0.25">
      <c r="B628" s="115">
        <f>-42   -213</f>
        <v>-255</v>
      </c>
      <c r="D628" s="115" t="s">
        <v>1140</v>
      </c>
      <c r="E628" s="115" t="s">
        <v>1141</v>
      </c>
    </row>
    <row r="629" spans="1:5" x14ac:dyDescent="0.25">
      <c r="B629" s="115" t="s">
        <v>1942</v>
      </c>
      <c r="D629" s="115" t="s">
        <v>1943</v>
      </c>
      <c r="E629" s="115" t="s">
        <v>1944</v>
      </c>
    </row>
    <row r="630" spans="1:5" x14ac:dyDescent="0.25">
      <c r="B630" s="115" t="s">
        <v>1139</v>
      </c>
      <c r="D630" s="115" t="s">
        <v>1945</v>
      </c>
      <c r="E630" s="115" t="s">
        <v>1946</v>
      </c>
    </row>
    <row r="631" spans="1:5" x14ac:dyDescent="0.25">
      <c r="B631" s="115" t="s">
        <v>1139</v>
      </c>
      <c r="D631" s="115" t="s">
        <v>1947</v>
      </c>
      <c r="E631" s="115" t="s">
        <v>1141</v>
      </c>
    </row>
    <row r="632" spans="1:5" x14ac:dyDescent="0.25">
      <c r="B632" s="115" t="s">
        <v>1948</v>
      </c>
      <c r="C632" s="115" t="s">
        <v>1138</v>
      </c>
      <c r="D632" s="115" t="s">
        <v>1949</v>
      </c>
      <c r="E632" s="115" t="s">
        <v>1950</v>
      </c>
    </row>
    <row r="633" spans="1:5" x14ac:dyDescent="0.25">
      <c r="A633" s="115">
        <v>2</v>
      </c>
      <c r="B633" s="115" t="s">
        <v>1951</v>
      </c>
      <c r="D633" s="115" t="s">
        <v>1952</v>
      </c>
      <c r="E633" s="115" t="s">
        <v>1953</v>
      </c>
    </row>
    <row r="634" spans="1:5" x14ac:dyDescent="0.25">
      <c r="A634" s="115">
        <v>1</v>
      </c>
      <c r="B634" s="115" t="s">
        <v>1954</v>
      </c>
      <c r="D634" s="115">
        <f>-115   -315    -46</f>
        <v>-476</v>
      </c>
      <c r="E634" s="115" t="s">
        <v>1955</v>
      </c>
    </row>
    <row r="635" spans="1:5" x14ac:dyDescent="0.25">
      <c r="B635" s="115" t="s">
        <v>1139</v>
      </c>
      <c r="D635" s="115" t="s">
        <v>1956</v>
      </c>
      <c r="E635" s="115" t="s">
        <v>1141</v>
      </c>
    </row>
    <row r="636" spans="1:5" x14ac:dyDescent="0.25">
      <c r="B636" s="115" t="s">
        <v>1139</v>
      </c>
      <c r="D636" s="115" t="s">
        <v>1957</v>
      </c>
      <c r="E636" s="115" t="s">
        <v>1958</v>
      </c>
    </row>
    <row r="637" spans="1:5" x14ac:dyDescent="0.25">
      <c r="A637" s="115" t="s">
        <v>1138</v>
      </c>
      <c r="B637" s="115" t="s">
        <v>1959</v>
      </c>
      <c r="D637" s="115" t="s">
        <v>1345</v>
      </c>
      <c r="E637" s="115" t="s">
        <v>1960</v>
      </c>
    </row>
    <row r="638" spans="1:5" x14ac:dyDescent="0.25">
      <c r="A638" s="115" t="s">
        <v>1138</v>
      </c>
      <c r="B638" s="115" t="s">
        <v>1546</v>
      </c>
      <c r="D638" s="115" t="s">
        <v>1140</v>
      </c>
      <c r="E638" s="115" t="s">
        <v>1961</v>
      </c>
    </row>
    <row r="639" spans="1:5" x14ac:dyDescent="0.25">
      <c r="B639" s="115" t="s">
        <v>1139</v>
      </c>
      <c r="D639" s="115" t="s">
        <v>1962</v>
      </c>
      <c r="E639" s="115" t="s">
        <v>1963</v>
      </c>
    </row>
    <row r="640" spans="1:5" x14ac:dyDescent="0.25">
      <c r="B640" s="115" t="s">
        <v>1139</v>
      </c>
      <c r="C640" s="115">
        <v>1</v>
      </c>
      <c r="D640" s="115" t="s">
        <v>1964</v>
      </c>
      <c r="E640" s="115" t="s">
        <v>1965</v>
      </c>
    </row>
    <row r="641" spans="1:5" x14ac:dyDescent="0.25">
      <c r="A641" s="115">
        <v>-19</v>
      </c>
      <c r="B641" s="115" t="s">
        <v>1966</v>
      </c>
      <c r="C641" s="115" t="s">
        <v>1138</v>
      </c>
      <c r="D641" s="115" t="s">
        <v>1967</v>
      </c>
      <c r="E641" s="115" t="s">
        <v>1968</v>
      </c>
    </row>
    <row r="642" spans="1:5" x14ac:dyDescent="0.25">
      <c r="B642" s="115" t="s">
        <v>1969</v>
      </c>
      <c r="D642" s="115" t="s">
        <v>1970</v>
      </c>
      <c r="E642" s="115" t="s">
        <v>1971</v>
      </c>
    </row>
    <row r="643" spans="1:5" x14ac:dyDescent="0.25">
      <c r="B643" s="115" t="s">
        <v>1139</v>
      </c>
      <c r="D643" s="115" t="s">
        <v>1140</v>
      </c>
      <c r="E643" s="115" t="s">
        <v>1972</v>
      </c>
    </row>
    <row r="644" spans="1:5" x14ac:dyDescent="0.25">
      <c r="B644" s="115" t="s">
        <v>1973</v>
      </c>
      <c r="D644" s="115">
        <f>-123    -14   -658  -138</f>
        <v>-933</v>
      </c>
      <c r="E644" s="115" t="s">
        <v>1974</v>
      </c>
    </row>
    <row r="645" spans="1:5" x14ac:dyDescent="0.25">
      <c r="A645" s="115" t="s">
        <v>1138</v>
      </c>
      <c r="B645" s="115" t="s">
        <v>1632</v>
      </c>
      <c r="D645" s="115" t="s">
        <v>1975</v>
      </c>
      <c r="E645" s="115" t="s">
        <v>1141</v>
      </c>
    </row>
    <row r="646" spans="1:5" x14ac:dyDescent="0.25">
      <c r="B646" s="115" t="s">
        <v>1192</v>
      </c>
      <c r="D646" s="115" t="s">
        <v>1140</v>
      </c>
      <c r="E646" s="115" t="s">
        <v>1976</v>
      </c>
    </row>
    <row r="647" spans="1:5" x14ac:dyDescent="0.25">
      <c r="B647" s="115" t="s">
        <v>1977</v>
      </c>
      <c r="D647" s="115" t="s">
        <v>1140</v>
      </c>
      <c r="E647" s="115" t="s">
        <v>1978</v>
      </c>
    </row>
    <row r="648" spans="1:5" x14ac:dyDescent="0.25">
      <c r="B648" s="115" t="s">
        <v>1979</v>
      </c>
      <c r="D648" s="115" t="s">
        <v>1980</v>
      </c>
      <c r="E648" s="115" t="s">
        <v>1981</v>
      </c>
    </row>
    <row r="649" spans="1:5" x14ac:dyDescent="0.25">
      <c r="B649" s="115" t="s">
        <v>1139</v>
      </c>
      <c r="D649" s="115" t="s">
        <v>1140</v>
      </c>
      <c r="E649" s="115" t="s">
        <v>1141</v>
      </c>
    </row>
    <row r="650" spans="1:5" x14ac:dyDescent="0.25">
      <c r="B650" s="115" t="s">
        <v>1139</v>
      </c>
      <c r="D650" s="115" t="s">
        <v>1140</v>
      </c>
      <c r="E650" s="115" t="s">
        <v>1141</v>
      </c>
    </row>
    <row r="651" spans="1:5" x14ac:dyDescent="0.25">
      <c r="B651" s="115" t="s">
        <v>1139</v>
      </c>
      <c r="D651" s="115" t="s">
        <v>1140</v>
      </c>
      <c r="E651" s="115" t="s">
        <v>1141</v>
      </c>
    </row>
    <row r="652" spans="1:5" x14ac:dyDescent="0.25">
      <c r="B652" s="115" t="s">
        <v>1139</v>
      </c>
      <c r="D652" s="115" t="s">
        <v>1140</v>
      </c>
      <c r="E652" s="115" t="s">
        <v>1141</v>
      </c>
    </row>
    <row r="653" spans="1:5" x14ac:dyDescent="0.25">
      <c r="B653" s="115" t="s">
        <v>1139</v>
      </c>
      <c r="D653" s="115" t="s">
        <v>1140</v>
      </c>
      <c r="E653" s="115" t="s">
        <v>1141</v>
      </c>
    </row>
    <row r="654" spans="1:5" x14ac:dyDescent="0.25">
      <c r="B654" s="115" t="s">
        <v>1139</v>
      </c>
      <c r="D654" s="115" t="s">
        <v>1140</v>
      </c>
      <c r="E654" s="115" t="s">
        <v>1141</v>
      </c>
    </row>
    <row r="655" spans="1:5" x14ac:dyDescent="0.25">
      <c r="B655" s="115" t="s">
        <v>1139</v>
      </c>
      <c r="D655" s="115" t="s">
        <v>1140</v>
      </c>
      <c r="E655" s="115" t="s">
        <v>1141</v>
      </c>
    </row>
    <row r="656" spans="1:5" x14ac:dyDescent="0.25">
      <c r="B656" s="115" t="s">
        <v>1139</v>
      </c>
      <c r="D656" s="115" t="s">
        <v>1140</v>
      </c>
      <c r="E656" s="115" t="s">
        <v>1141</v>
      </c>
    </row>
    <row r="657" spans="2:5" x14ac:dyDescent="0.25">
      <c r="B657" s="115" t="s">
        <v>1139</v>
      </c>
      <c r="D657" s="115" t="s">
        <v>1140</v>
      </c>
      <c r="E657" s="115" t="s">
        <v>1141</v>
      </c>
    </row>
    <row r="658" spans="2:5" x14ac:dyDescent="0.25">
      <c r="B658" s="115" t="s">
        <v>1139</v>
      </c>
      <c r="D658" s="115" t="s">
        <v>1140</v>
      </c>
      <c r="E658" s="115" t="s">
        <v>1141</v>
      </c>
    </row>
    <row r="659" spans="2:5" x14ac:dyDescent="0.25">
      <c r="B659" s="115" t="s">
        <v>1139</v>
      </c>
      <c r="D659" s="115" t="s">
        <v>1140</v>
      </c>
      <c r="E659" s="115" t="s">
        <v>1141</v>
      </c>
    </row>
    <row r="660" spans="2:5" x14ac:dyDescent="0.25">
      <c r="B660" s="115" t="s">
        <v>1139</v>
      </c>
      <c r="D660" s="115" t="s">
        <v>1140</v>
      </c>
      <c r="E660" s="115" t="s">
        <v>1141</v>
      </c>
    </row>
    <row r="661" spans="2:5" x14ac:dyDescent="0.25">
      <c r="B661" s="115" t="s">
        <v>1139</v>
      </c>
      <c r="D661" s="115" t="s">
        <v>1140</v>
      </c>
      <c r="E661" s="115" t="s">
        <v>1141</v>
      </c>
    </row>
    <row r="662" spans="2:5" x14ac:dyDescent="0.25">
      <c r="B662" s="115" t="s">
        <v>1139</v>
      </c>
      <c r="D662" s="115" t="s">
        <v>1140</v>
      </c>
      <c r="E662" s="115" t="s">
        <v>1141</v>
      </c>
    </row>
    <row r="663" spans="2:5" x14ac:dyDescent="0.25">
      <c r="B663" s="115" t="s">
        <v>1139</v>
      </c>
      <c r="D663" s="115" t="s">
        <v>1140</v>
      </c>
      <c r="E663" s="115" t="s">
        <v>1141</v>
      </c>
    </row>
    <row r="664" spans="2:5" x14ac:dyDescent="0.25">
      <c r="B664" s="115" t="s">
        <v>1139</v>
      </c>
      <c r="D664" s="115" t="s">
        <v>1140</v>
      </c>
      <c r="E664" s="115" t="s">
        <v>1141</v>
      </c>
    </row>
    <row r="665" spans="2:5" x14ac:dyDescent="0.25">
      <c r="B665" s="115" t="s">
        <v>1139</v>
      </c>
      <c r="D665" s="115" t="s">
        <v>1140</v>
      </c>
      <c r="E665" s="115" t="s">
        <v>1141</v>
      </c>
    </row>
    <row r="666" spans="2:5" x14ac:dyDescent="0.25">
      <c r="B666" s="115" t="s">
        <v>1139</v>
      </c>
      <c r="D666" s="115" t="s">
        <v>1140</v>
      </c>
      <c r="E666" s="115" t="s">
        <v>1141</v>
      </c>
    </row>
    <row r="667" spans="2:5" x14ac:dyDescent="0.25">
      <c r="B667" s="115" t="s">
        <v>1139</v>
      </c>
      <c r="D667" s="115" t="s">
        <v>1140</v>
      </c>
      <c r="E667" s="115" t="s">
        <v>1141</v>
      </c>
    </row>
    <row r="668" spans="2:5" x14ac:dyDescent="0.25">
      <c r="B668" s="115" t="s">
        <v>1139</v>
      </c>
      <c r="D668" s="115" t="s">
        <v>1140</v>
      </c>
      <c r="E668" s="115" t="s">
        <v>1141</v>
      </c>
    </row>
    <row r="669" spans="2:5" x14ac:dyDescent="0.25">
      <c r="B669" s="115" t="s">
        <v>1139</v>
      </c>
      <c r="D669" s="115" t="s">
        <v>1140</v>
      </c>
      <c r="E669" s="115" t="s">
        <v>1141</v>
      </c>
    </row>
    <row r="670" spans="2:5" x14ac:dyDescent="0.25">
      <c r="B670" s="115" t="s">
        <v>1139</v>
      </c>
      <c r="D670" s="115" t="s">
        <v>1140</v>
      </c>
      <c r="E670" s="115" t="s">
        <v>1141</v>
      </c>
    </row>
    <row r="671" spans="2:5" x14ac:dyDescent="0.25">
      <c r="B671" s="115" t="s">
        <v>1139</v>
      </c>
      <c r="D671" s="115" t="s">
        <v>1140</v>
      </c>
      <c r="E671" s="115" t="s">
        <v>1141</v>
      </c>
    </row>
    <row r="672" spans="2:5" x14ac:dyDescent="0.25">
      <c r="B672" s="115" t="s">
        <v>1139</v>
      </c>
      <c r="D672" s="115" t="s">
        <v>1140</v>
      </c>
      <c r="E672" s="115" t="s">
        <v>1141</v>
      </c>
    </row>
    <row r="673" spans="1:5" x14ac:dyDescent="0.25">
      <c r="B673" s="115" t="s">
        <v>1139</v>
      </c>
      <c r="D673" s="115" t="s">
        <v>1140</v>
      </c>
      <c r="E673" s="115" t="s">
        <v>1141</v>
      </c>
    </row>
    <row r="674" spans="1:5" x14ac:dyDescent="0.25">
      <c r="B674" s="115" t="s">
        <v>1139</v>
      </c>
      <c r="D674" s="115" t="s">
        <v>1140</v>
      </c>
      <c r="E674" s="115" t="s">
        <v>1141</v>
      </c>
    </row>
    <row r="675" spans="1:5" x14ac:dyDescent="0.25">
      <c r="B675" s="115" t="s">
        <v>1139</v>
      </c>
      <c r="D675" s="115" t="s">
        <v>1140</v>
      </c>
      <c r="E675" s="115" t="s">
        <v>1141</v>
      </c>
    </row>
    <row r="676" spans="1:5" x14ac:dyDescent="0.25">
      <c r="B676" s="115" t="s">
        <v>1139</v>
      </c>
      <c r="D676" s="115" t="s">
        <v>1140</v>
      </c>
      <c r="E676" s="115" t="s">
        <v>1141</v>
      </c>
    </row>
    <row r="677" spans="1:5" x14ac:dyDescent="0.25">
      <c r="B677" s="115" t="s">
        <v>1139</v>
      </c>
      <c r="D677" s="115" t="s">
        <v>1140</v>
      </c>
      <c r="E677" s="115" t="s">
        <v>1141</v>
      </c>
    </row>
    <row r="678" spans="1:5" x14ac:dyDescent="0.25">
      <c r="B678" s="115" t="s">
        <v>1139</v>
      </c>
      <c r="D678" s="115" t="s">
        <v>1140</v>
      </c>
      <c r="E678" s="115" t="s">
        <v>1141</v>
      </c>
    </row>
    <row r="679" spans="1:5" x14ac:dyDescent="0.25">
      <c r="B679" s="115" t="s">
        <v>1139</v>
      </c>
      <c r="D679" s="115" t="s">
        <v>1140</v>
      </c>
      <c r="E679" s="115" t="s">
        <v>1141</v>
      </c>
    </row>
    <row r="680" spans="1:5" x14ac:dyDescent="0.25">
      <c r="B680" s="115" t="s">
        <v>1982</v>
      </c>
      <c r="D680" s="115" t="s">
        <v>1983</v>
      </c>
      <c r="E680" s="115" t="s">
        <v>1984</v>
      </c>
    </row>
    <row r="681" spans="1:5" x14ac:dyDescent="0.25">
      <c r="B681" s="115" t="s">
        <v>1139</v>
      </c>
      <c r="D681" s="115" t="s">
        <v>1985</v>
      </c>
      <c r="E681" s="115" t="s">
        <v>1141</v>
      </c>
    </row>
    <row r="682" spans="1:5" x14ac:dyDescent="0.25">
      <c r="B682" s="115" t="s">
        <v>1139</v>
      </c>
      <c r="D682" s="115" t="s">
        <v>1986</v>
      </c>
      <c r="E682" s="115" t="s">
        <v>1987</v>
      </c>
    </row>
    <row r="683" spans="1:5" x14ac:dyDescent="0.25">
      <c r="A683" s="115">
        <v>-1</v>
      </c>
      <c r="B683" s="115" t="s">
        <v>1988</v>
      </c>
      <c r="D683" s="115" t="s">
        <v>1989</v>
      </c>
      <c r="E683" s="115" t="s">
        <v>1990</v>
      </c>
    </row>
    <row r="684" spans="1:5" x14ac:dyDescent="0.25">
      <c r="B684" s="115" t="s">
        <v>1139</v>
      </c>
      <c r="D684" s="115" t="s">
        <v>1991</v>
      </c>
      <c r="E684" s="115" t="s">
        <v>1759</v>
      </c>
    </row>
    <row r="685" spans="1:5" x14ac:dyDescent="0.25">
      <c r="B685" s="115" t="s">
        <v>1139</v>
      </c>
      <c r="D685" s="115" t="s">
        <v>1992</v>
      </c>
      <c r="E685" s="115" t="s">
        <v>1993</v>
      </c>
    </row>
    <row r="686" spans="1:5" x14ac:dyDescent="0.25">
      <c r="B686" s="115" t="s">
        <v>1994</v>
      </c>
      <c r="C686" s="115" t="s">
        <v>1138</v>
      </c>
      <c r="D686" s="115" t="s">
        <v>1995</v>
      </c>
      <c r="E686" s="115" t="s">
        <v>1996</v>
      </c>
    </row>
    <row r="687" spans="1:5" x14ac:dyDescent="0.25">
      <c r="A687" s="115">
        <v>2</v>
      </c>
      <c r="B687" s="115" t="s">
        <v>1997</v>
      </c>
      <c r="D687" s="115" t="s">
        <v>1998</v>
      </c>
      <c r="E687" s="115" t="s">
        <v>1894</v>
      </c>
    </row>
    <row r="688" spans="1:5" x14ac:dyDescent="0.25">
      <c r="A688" s="115">
        <v>2</v>
      </c>
      <c r="B688" s="115" t="s">
        <v>1999</v>
      </c>
      <c r="C688" s="115" t="s">
        <v>1138</v>
      </c>
      <c r="D688" s="115" t="s">
        <v>2000</v>
      </c>
      <c r="E688" s="115" t="s">
        <v>2001</v>
      </c>
    </row>
    <row r="689" spans="1:5" x14ac:dyDescent="0.25">
      <c r="B689" s="115" t="s">
        <v>1139</v>
      </c>
      <c r="D689" s="115" t="s">
        <v>2002</v>
      </c>
      <c r="E689" s="115" t="s">
        <v>1141</v>
      </c>
    </row>
    <row r="690" spans="1:5" x14ac:dyDescent="0.25">
      <c r="B690" s="115" t="s">
        <v>1139</v>
      </c>
      <c r="D690" s="115" t="s">
        <v>2003</v>
      </c>
      <c r="E690" s="115" t="s">
        <v>2004</v>
      </c>
    </row>
    <row r="691" spans="1:5" x14ac:dyDescent="0.25">
      <c r="A691" s="115">
        <v>3</v>
      </c>
      <c r="B691" s="115" t="s">
        <v>2005</v>
      </c>
      <c r="D691" s="115" t="s">
        <v>2006</v>
      </c>
      <c r="E691" s="115" t="s">
        <v>2007</v>
      </c>
    </row>
    <row r="692" spans="1:5" x14ac:dyDescent="0.25">
      <c r="B692" s="115" t="s">
        <v>1139</v>
      </c>
      <c r="D692" s="115" t="s">
        <v>1850</v>
      </c>
      <c r="E692" s="115" t="s">
        <v>1141</v>
      </c>
    </row>
    <row r="693" spans="1:5" x14ac:dyDescent="0.25">
      <c r="B693" s="115" t="s">
        <v>1139</v>
      </c>
      <c r="D693" s="115" t="s">
        <v>2008</v>
      </c>
      <c r="E693" s="115" t="s">
        <v>2009</v>
      </c>
    </row>
    <row r="694" spans="1:5" x14ac:dyDescent="0.25">
      <c r="B694" s="115" t="s">
        <v>2010</v>
      </c>
      <c r="C694" s="115" t="s">
        <v>1138</v>
      </c>
      <c r="D694" s="115" t="s">
        <v>2011</v>
      </c>
      <c r="E694" s="115" t="s">
        <v>2012</v>
      </c>
    </row>
    <row r="695" spans="1:5" x14ac:dyDescent="0.25">
      <c r="A695" s="115">
        <v>10</v>
      </c>
      <c r="B695" s="115" t="s">
        <v>2013</v>
      </c>
      <c r="D695" s="115" t="s">
        <v>2014</v>
      </c>
      <c r="E695" s="115" t="s">
        <v>1894</v>
      </c>
    </row>
    <row r="696" spans="1:5" x14ac:dyDescent="0.25">
      <c r="A696" s="115">
        <v>-4</v>
      </c>
      <c r="B696" s="115" t="s">
        <v>2015</v>
      </c>
      <c r="D696" s="115" t="s">
        <v>2016</v>
      </c>
      <c r="E696" s="115" t="s">
        <v>2017</v>
      </c>
    </row>
    <row r="697" spans="1:5" x14ac:dyDescent="0.25">
      <c r="B697" s="115" t="s">
        <v>1139</v>
      </c>
      <c r="D697" s="115" t="s">
        <v>2018</v>
      </c>
      <c r="E697" s="115" t="s">
        <v>1141</v>
      </c>
    </row>
    <row r="698" spans="1:5" x14ac:dyDescent="0.25">
      <c r="B698" s="115" t="s">
        <v>1139</v>
      </c>
      <c r="D698" s="115" t="s">
        <v>2019</v>
      </c>
      <c r="E698" s="115" t="s">
        <v>2020</v>
      </c>
    </row>
    <row r="699" spans="1:5" x14ac:dyDescent="0.25">
      <c r="A699" s="115" t="s">
        <v>1138</v>
      </c>
      <c r="B699" s="115" t="s">
        <v>2021</v>
      </c>
      <c r="D699" s="115" t="s">
        <v>2022</v>
      </c>
      <c r="E699" s="115" t="s">
        <v>1881</v>
      </c>
    </row>
    <row r="700" spans="1:5" x14ac:dyDescent="0.25">
      <c r="A700" s="115" t="s">
        <v>1138</v>
      </c>
      <c r="B700" s="115" t="s">
        <v>2023</v>
      </c>
      <c r="D700" s="115" t="s">
        <v>1140</v>
      </c>
      <c r="E700" s="115" t="s">
        <v>2024</v>
      </c>
    </row>
    <row r="701" spans="1:5" x14ac:dyDescent="0.25">
      <c r="B701" s="115" t="s">
        <v>1139</v>
      </c>
      <c r="D701" s="115" t="s">
        <v>2025</v>
      </c>
      <c r="E701" s="115" t="s">
        <v>2026</v>
      </c>
    </row>
    <row r="702" spans="1:5" x14ac:dyDescent="0.25">
      <c r="B702" s="115" t="s">
        <v>1139</v>
      </c>
      <c r="C702" s="115">
        <v>1</v>
      </c>
      <c r="D702" s="115" t="s">
        <v>2027</v>
      </c>
      <c r="E702" s="115" t="s">
        <v>2028</v>
      </c>
    </row>
    <row r="703" spans="1:5" x14ac:dyDescent="0.25">
      <c r="A703" s="115">
        <v>6</v>
      </c>
      <c r="B703" s="115" t="s">
        <v>2029</v>
      </c>
      <c r="C703" s="115" t="s">
        <v>1138</v>
      </c>
      <c r="D703" s="115" t="s">
        <v>2030</v>
      </c>
      <c r="E703" s="115" t="s">
        <v>2031</v>
      </c>
    </row>
    <row r="704" spans="1:5" x14ac:dyDescent="0.25">
      <c r="B704" s="115" t="s">
        <v>2032</v>
      </c>
      <c r="D704" s="115" t="s">
        <v>2033</v>
      </c>
      <c r="E704" s="115" t="s">
        <v>2034</v>
      </c>
    </row>
    <row r="705" spans="1:5" x14ac:dyDescent="0.25">
      <c r="B705" s="115" t="s">
        <v>1159</v>
      </c>
      <c r="D705" s="115" t="s">
        <v>2035</v>
      </c>
      <c r="E705" s="115" t="s">
        <v>2036</v>
      </c>
    </row>
    <row r="706" spans="1:5" x14ac:dyDescent="0.25">
      <c r="B706" s="115" t="s">
        <v>1139</v>
      </c>
      <c r="D706" s="115" t="s">
        <v>2037</v>
      </c>
      <c r="E706" s="115" t="s">
        <v>2038</v>
      </c>
    </row>
    <row r="707" spans="1:5" x14ac:dyDescent="0.25">
      <c r="A707" s="115">
        <v>3</v>
      </c>
      <c r="B707" s="115" t="s">
        <v>2039</v>
      </c>
      <c r="D707" s="115" t="s">
        <v>2040</v>
      </c>
      <c r="E707" s="115" t="s">
        <v>2041</v>
      </c>
    </row>
    <row r="708" spans="1:5" x14ac:dyDescent="0.25">
      <c r="B708" s="115" t="s">
        <v>1139</v>
      </c>
      <c r="D708" s="115" t="s">
        <v>2042</v>
      </c>
      <c r="E708" s="115" t="s">
        <v>2043</v>
      </c>
    </row>
    <row r="709" spans="1:5" x14ac:dyDescent="0.25">
      <c r="B709" s="115" t="s">
        <v>1139</v>
      </c>
      <c r="D709" s="115" t="s">
        <v>1140</v>
      </c>
      <c r="E709" s="115" t="s">
        <v>2044</v>
      </c>
    </row>
    <row r="710" spans="1:5" x14ac:dyDescent="0.25">
      <c r="B710" s="115" t="s">
        <v>1139</v>
      </c>
      <c r="D710" s="115" t="s">
        <v>2045</v>
      </c>
      <c r="E710" s="115" t="s">
        <v>2046</v>
      </c>
    </row>
    <row r="711" spans="1:5" x14ac:dyDescent="0.25">
      <c r="B711" s="115" t="s">
        <v>2047</v>
      </c>
      <c r="D711" s="115" t="s">
        <v>2048</v>
      </c>
      <c r="E711" s="115" t="s">
        <v>2049</v>
      </c>
    </row>
    <row r="712" spans="1:5" x14ac:dyDescent="0.25">
      <c r="B712" s="115" t="s">
        <v>1139</v>
      </c>
      <c r="D712" s="115" t="s">
        <v>2050</v>
      </c>
      <c r="E712" s="115" t="s">
        <v>2051</v>
      </c>
    </row>
    <row r="713" spans="1:5" x14ac:dyDescent="0.25">
      <c r="B713" s="115" t="s">
        <v>1139</v>
      </c>
      <c r="D713" s="115" t="s">
        <v>2052</v>
      </c>
      <c r="E713" s="115" t="s">
        <v>2053</v>
      </c>
    </row>
    <row r="714" spans="1:5" x14ac:dyDescent="0.25">
      <c r="B714" s="115" t="s">
        <v>1139</v>
      </c>
      <c r="D714" s="115" t="s">
        <v>1140</v>
      </c>
      <c r="E714" s="115" t="s">
        <v>2054</v>
      </c>
    </row>
    <row r="715" spans="1:5" x14ac:dyDescent="0.25">
      <c r="B715" s="115" t="s">
        <v>1139</v>
      </c>
      <c r="D715" s="115" t="s">
        <v>2055</v>
      </c>
      <c r="E715" s="115" t="s">
        <v>2056</v>
      </c>
    </row>
    <row r="716" spans="1:5" x14ac:dyDescent="0.25">
      <c r="B716" s="115" t="s">
        <v>2057</v>
      </c>
      <c r="D716" s="115" t="s">
        <v>2058</v>
      </c>
      <c r="E716" s="115" t="s">
        <v>1759</v>
      </c>
    </row>
    <row r="717" spans="1:5" x14ac:dyDescent="0.25">
      <c r="B717" s="115" t="s">
        <v>2059</v>
      </c>
      <c r="D717" s="115" t="s">
        <v>1140</v>
      </c>
      <c r="E717" s="115" t="s">
        <v>2060</v>
      </c>
    </row>
    <row r="718" spans="1:5" x14ac:dyDescent="0.25">
      <c r="A718" s="115">
        <v>76</v>
      </c>
      <c r="B718" s="115" t="s">
        <v>1549</v>
      </c>
      <c r="D718" s="115" t="s">
        <v>1584</v>
      </c>
      <c r="E718" s="115" t="s">
        <v>2061</v>
      </c>
    </row>
    <row r="719" spans="1:5" x14ac:dyDescent="0.25">
      <c r="B719" s="115" t="s">
        <v>1139</v>
      </c>
      <c r="D719" s="115" t="s">
        <v>2062</v>
      </c>
      <c r="E719" s="115" t="s">
        <v>2063</v>
      </c>
    </row>
    <row r="720" spans="1:5" x14ac:dyDescent="0.25">
      <c r="B720" s="115" t="s">
        <v>2064</v>
      </c>
      <c r="D720" s="115" t="s">
        <v>1140</v>
      </c>
      <c r="E720" s="115" t="s">
        <v>2065</v>
      </c>
    </row>
    <row r="721" spans="1:5" x14ac:dyDescent="0.25">
      <c r="A721" s="115">
        <v>-3</v>
      </c>
      <c r="B721" s="115" t="s">
        <v>2066</v>
      </c>
      <c r="D721" s="115" t="s">
        <v>2067</v>
      </c>
      <c r="E721" s="115" t="s">
        <v>2068</v>
      </c>
    </row>
    <row r="722" spans="1:5" x14ac:dyDescent="0.25">
      <c r="B722" s="115" t="s">
        <v>1139</v>
      </c>
      <c r="D722" s="115" t="s">
        <v>2069</v>
      </c>
      <c r="E722" s="115" t="s">
        <v>1141</v>
      </c>
    </row>
    <row r="723" spans="1:5" x14ac:dyDescent="0.25">
      <c r="B723" s="115" t="s">
        <v>1139</v>
      </c>
      <c r="D723" s="115" t="s">
        <v>2070</v>
      </c>
      <c r="E723" s="115" t="s">
        <v>2071</v>
      </c>
    </row>
    <row r="724" spans="1:5" x14ac:dyDescent="0.25">
      <c r="A724" s="115" t="s">
        <v>1138</v>
      </c>
      <c r="B724" s="115" t="s">
        <v>2072</v>
      </c>
      <c r="D724" s="115" t="s">
        <v>2073</v>
      </c>
      <c r="E724" s="115" t="s">
        <v>2074</v>
      </c>
    </row>
    <row r="725" spans="1:5" x14ac:dyDescent="0.25">
      <c r="B725" s="115" t="s">
        <v>1139</v>
      </c>
      <c r="D725" s="115" t="s">
        <v>2075</v>
      </c>
      <c r="E725" s="115" t="s">
        <v>1759</v>
      </c>
    </row>
    <row r="726" spans="1:5" x14ac:dyDescent="0.25">
      <c r="B726" s="115" t="s">
        <v>1139</v>
      </c>
      <c r="D726" s="115" t="s">
        <v>2076</v>
      </c>
      <c r="E726" s="115" t="s">
        <v>1880</v>
      </c>
    </row>
    <row r="727" spans="1:5" x14ac:dyDescent="0.25">
      <c r="B727" s="115" t="s">
        <v>2077</v>
      </c>
      <c r="D727" s="115" t="s">
        <v>2078</v>
      </c>
      <c r="E727" s="115" t="s">
        <v>2079</v>
      </c>
    </row>
    <row r="728" spans="1:5" x14ac:dyDescent="0.25">
      <c r="B728" s="115" t="s">
        <v>2080</v>
      </c>
      <c r="D728" s="115" t="s">
        <v>2081</v>
      </c>
      <c r="E728" s="115" t="s">
        <v>2082</v>
      </c>
    </row>
    <row r="729" spans="1:5" x14ac:dyDescent="0.25">
      <c r="A729" s="115" t="s">
        <v>1138</v>
      </c>
      <c r="B729" s="115" t="s">
        <v>2083</v>
      </c>
      <c r="D729" s="115" t="s">
        <v>2084</v>
      </c>
      <c r="E729" s="115" t="s">
        <v>2085</v>
      </c>
    </row>
    <row r="730" spans="1:5" x14ac:dyDescent="0.25">
      <c r="B730" s="115" t="s">
        <v>2086</v>
      </c>
      <c r="D730" s="115" t="s">
        <v>2087</v>
      </c>
      <c r="E730" s="115" t="s">
        <v>2088</v>
      </c>
    </row>
    <row r="731" spans="1:5" x14ac:dyDescent="0.25">
      <c r="B731" s="115" t="s">
        <v>1139</v>
      </c>
      <c r="D731" s="115" t="s">
        <v>1140</v>
      </c>
      <c r="E731" s="115" t="s">
        <v>2089</v>
      </c>
    </row>
    <row r="732" spans="1:5" x14ac:dyDescent="0.25">
      <c r="B732" s="115" t="s">
        <v>2090</v>
      </c>
      <c r="D732" s="115" t="s">
        <v>2091</v>
      </c>
      <c r="E732" s="115" t="s">
        <v>2092</v>
      </c>
    </row>
    <row r="733" spans="1:5" x14ac:dyDescent="0.25">
      <c r="A733" s="115" t="s">
        <v>1138</v>
      </c>
      <c r="B733" s="115" t="s">
        <v>1578</v>
      </c>
      <c r="D733" s="115" t="s">
        <v>2093</v>
      </c>
      <c r="E733" s="115" t="s">
        <v>1141</v>
      </c>
    </row>
    <row r="734" spans="1:5" x14ac:dyDescent="0.25">
      <c r="A734" s="115" t="s">
        <v>1138</v>
      </c>
      <c r="B734" s="115" t="s">
        <v>1500</v>
      </c>
      <c r="D734" s="115" t="s">
        <v>1140</v>
      </c>
      <c r="E734" s="115" t="s">
        <v>2094</v>
      </c>
    </row>
    <row r="735" spans="1:5" x14ac:dyDescent="0.25">
      <c r="B735" s="115" t="s">
        <v>2095</v>
      </c>
      <c r="D735" s="115" t="s">
        <v>1140</v>
      </c>
      <c r="E735" s="115" t="s">
        <v>2096</v>
      </c>
    </row>
    <row r="736" spans="1:5" x14ac:dyDescent="0.25">
      <c r="B736" s="115" t="s">
        <v>2097</v>
      </c>
      <c r="D736" s="115" t="s">
        <v>2098</v>
      </c>
      <c r="E736" s="115" t="s">
        <v>2099</v>
      </c>
    </row>
    <row r="737" spans="1:5" x14ac:dyDescent="0.25">
      <c r="A737" s="115">
        <v>-1</v>
      </c>
      <c r="B737" s="115" t="s">
        <v>1499</v>
      </c>
      <c r="D737" s="115" t="s">
        <v>2100</v>
      </c>
      <c r="E737" s="115" t="s">
        <v>2101</v>
      </c>
    </row>
    <row r="738" spans="1:5" x14ac:dyDescent="0.25">
      <c r="A738" s="115">
        <v>28</v>
      </c>
      <c r="B738" s="115" t="s">
        <v>2102</v>
      </c>
      <c r="D738" s="115" t="s">
        <v>2103</v>
      </c>
      <c r="E738" s="115" t="s">
        <v>2104</v>
      </c>
    </row>
    <row r="739" spans="1:5" x14ac:dyDescent="0.25">
      <c r="B739" s="115" t="s">
        <v>1139</v>
      </c>
      <c r="D739" s="115" t="s">
        <v>2105</v>
      </c>
      <c r="E739" s="115" t="s">
        <v>1141</v>
      </c>
    </row>
    <row r="740" spans="1:5" x14ac:dyDescent="0.25">
      <c r="B740" s="115" t="s">
        <v>1139</v>
      </c>
      <c r="D740" s="115" t="s">
        <v>2106</v>
      </c>
      <c r="E740" s="115" t="s">
        <v>2107</v>
      </c>
    </row>
    <row r="741" spans="1:5" x14ac:dyDescent="0.25">
      <c r="A741" s="115" t="s">
        <v>1138</v>
      </c>
      <c r="B741" s="115" t="s">
        <v>2108</v>
      </c>
      <c r="D741" s="115" t="s">
        <v>1574</v>
      </c>
      <c r="E741" s="115" t="s">
        <v>2109</v>
      </c>
    </row>
    <row r="742" spans="1:5" x14ac:dyDescent="0.25">
      <c r="A742" s="115" t="s">
        <v>1138</v>
      </c>
      <c r="B742" s="115" t="s">
        <v>1160</v>
      </c>
      <c r="D742" s="115" t="s">
        <v>1140</v>
      </c>
      <c r="E742" s="115" t="s">
        <v>2110</v>
      </c>
    </row>
    <row r="743" spans="1:5" x14ac:dyDescent="0.25">
      <c r="B743" s="115" t="s">
        <v>1139</v>
      </c>
      <c r="D743" s="115" t="s">
        <v>2111</v>
      </c>
      <c r="E743" s="115" t="s">
        <v>2112</v>
      </c>
    </row>
    <row r="744" spans="1:5" x14ac:dyDescent="0.25">
      <c r="B744" s="115" t="s">
        <v>1139</v>
      </c>
      <c r="D744" s="115" t="s">
        <v>2113</v>
      </c>
      <c r="E744" s="115" t="s">
        <v>2114</v>
      </c>
    </row>
    <row r="745" spans="1:5" x14ac:dyDescent="0.25">
      <c r="B745" s="115" t="s">
        <v>2115</v>
      </c>
      <c r="D745" s="115" t="s">
        <v>2116</v>
      </c>
      <c r="E745" s="115" t="s">
        <v>2117</v>
      </c>
    </row>
    <row r="746" spans="1:5" x14ac:dyDescent="0.25">
      <c r="B746" s="115" t="s">
        <v>2118</v>
      </c>
      <c r="D746" s="115" t="s">
        <v>2119</v>
      </c>
      <c r="E746" s="115" t="s">
        <v>2120</v>
      </c>
    </row>
    <row r="747" spans="1:5" x14ac:dyDescent="0.25">
      <c r="B747" s="115" t="s">
        <v>1139</v>
      </c>
      <c r="D747" s="115" t="s">
        <v>1140</v>
      </c>
      <c r="E747" s="115" t="s">
        <v>1141</v>
      </c>
    </row>
    <row r="748" spans="1:5" x14ac:dyDescent="0.25">
      <c r="B748" s="115" t="s">
        <v>1139</v>
      </c>
      <c r="D748" s="115" t="s">
        <v>1140</v>
      </c>
      <c r="E748" s="115" t="s">
        <v>1141</v>
      </c>
    </row>
    <row r="749" spans="1:5" x14ac:dyDescent="0.25">
      <c r="B749" s="115" t="s">
        <v>1139</v>
      </c>
      <c r="D749" s="115" t="s">
        <v>1140</v>
      </c>
      <c r="E749" s="115" t="s">
        <v>1141</v>
      </c>
    </row>
    <row r="750" spans="1:5" x14ac:dyDescent="0.25">
      <c r="B750" s="115" t="s">
        <v>1139</v>
      </c>
      <c r="D750" s="115" t="s">
        <v>1140</v>
      </c>
      <c r="E750" s="115" t="s">
        <v>1141</v>
      </c>
    </row>
    <row r="751" spans="1:5" x14ac:dyDescent="0.25">
      <c r="B751" s="115" t="s">
        <v>1139</v>
      </c>
      <c r="D751" s="115" t="s">
        <v>1140</v>
      </c>
      <c r="E751" s="115" t="s">
        <v>1141</v>
      </c>
    </row>
    <row r="752" spans="1:5" x14ac:dyDescent="0.25">
      <c r="B752" s="115" t="s">
        <v>1139</v>
      </c>
      <c r="D752" s="115" t="s">
        <v>1140</v>
      </c>
      <c r="E752" s="115" t="s">
        <v>1141</v>
      </c>
    </row>
    <row r="753" spans="1:5" x14ac:dyDescent="0.25">
      <c r="B753" s="115" t="s">
        <v>1139</v>
      </c>
      <c r="D753" s="115" t="s">
        <v>1140</v>
      </c>
      <c r="E753" s="115" t="s">
        <v>1141</v>
      </c>
    </row>
    <row r="754" spans="1:5" x14ac:dyDescent="0.25">
      <c r="B754" s="115" t="s">
        <v>1139</v>
      </c>
      <c r="D754" s="115" t="s">
        <v>1140</v>
      </c>
      <c r="E754" s="115" t="s">
        <v>1141</v>
      </c>
    </row>
    <row r="755" spans="1:5" x14ac:dyDescent="0.25">
      <c r="B755" s="115" t="s">
        <v>1139</v>
      </c>
      <c r="D755" s="115" t="s">
        <v>1140</v>
      </c>
      <c r="E755" s="115" t="s">
        <v>2121</v>
      </c>
    </row>
    <row r="756" spans="1:5" x14ac:dyDescent="0.25">
      <c r="B756" s="115" t="s">
        <v>1139</v>
      </c>
      <c r="D756" s="115" t="s">
        <v>2122</v>
      </c>
      <c r="E756" s="115" t="s">
        <v>2123</v>
      </c>
    </row>
    <row r="757" spans="1:5" x14ac:dyDescent="0.25">
      <c r="B757" s="115" t="s">
        <v>1139</v>
      </c>
      <c r="D757" s="115" t="s">
        <v>1140</v>
      </c>
      <c r="E757" s="115" t="s">
        <v>2124</v>
      </c>
    </row>
    <row r="758" spans="1:5" x14ac:dyDescent="0.25">
      <c r="B758" s="115" t="s">
        <v>1139</v>
      </c>
      <c r="D758" s="115" t="s">
        <v>2125</v>
      </c>
      <c r="E758" s="115" t="s">
        <v>2126</v>
      </c>
    </row>
    <row r="759" spans="1:5" x14ac:dyDescent="0.25">
      <c r="B759" s="115" t="s">
        <v>1655</v>
      </c>
      <c r="D759" s="115" t="s">
        <v>2127</v>
      </c>
      <c r="E759" s="115" t="s">
        <v>1759</v>
      </c>
    </row>
    <row r="760" spans="1:5" x14ac:dyDescent="0.25">
      <c r="B760" s="115" t="s">
        <v>2128</v>
      </c>
      <c r="D760" s="115" t="s">
        <v>1140</v>
      </c>
      <c r="E760" s="115" t="s">
        <v>1417</v>
      </c>
    </row>
    <row r="761" spans="1:5" x14ac:dyDescent="0.25">
      <c r="A761" s="115" t="s">
        <v>1138</v>
      </c>
      <c r="B761" s="115" t="s">
        <v>1170</v>
      </c>
      <c r="D761" s="115" t="s">
        <v>2129</v>
      </c>
      <c r="E761" s="115" t="s">
        <v>2130</v>
      </c>
    </row>
    <row r="762" spans="1:5" x14ac:dyDescent="0.25">
      <c r="B762" s="115" t="s">
        <v>1139</v>
      </c>
      <c r="C762" s="115" t="s">
        <v>1138</v>
      </c>
      <c r="D762" s="115" t="s">
        <v>2131</v>
      </c>
      <c r="E762" s="115" t="s">
        <v>2132</v>
      </c>
    </row>
    <row r="763" spans="1:5" x14ac:dyDescent="0.25">
      <c r="A763" s="115">
        <v>-1</v>
      </c>
      <c r="B763" s="115" t="s">
        <v>2133</v>
      </c>
      <c r="D763" s="115" t="s">
        <v>1140</v>
      </c>
      <c r="E763" s="115" t="s">
        <v>2134</v>
      </c>
    </row>
    <row r="764" spans="1:5" x14ac:dyDescent="0.25">
      <c r="A764" s="115">
        <v>-6</v>
      </c>
      <c r="B764" s="115" t="s">
        <v>2135</v>
      </c>
      <c r="C764" s="115">
        <v>1</v>
      </c>
      <c r="D764" s="115" t="s">
        <v>2136</v>
      </c>
      <c r="E764" s="115" t="s">
        <v>2137</v>
      </c>
    </row>
    <row r="765" spans="1:5" x14ac:dyDescent="0.25">
      <c r="B765" s="115" t="s">
        <v>2138</v>
      </c>
      <c r="D765" s="115" t="s">
        <v>2139</v>
      </c>
      <c r="E765" s="115" t="s">
        <v>2140</v>
      </c>
    </row>
    <row r="766" spans="1:5" x14ac:dyDescent="0.25">
      <c r="B766" s="115" t="s">
        <v>1139</v>
      </c>
      <c r="D766" s="115" t="s">
        <v>1140</v>
      </c>
      <c r="E766" s="115" t="s">
        <v>2141</v>
      </c>
    </row>
    <row r="767" spans="1:5" x14ac:dyDescent="0.25">
      <c r="B767" s="115" t="s">
        <v>1299</v>
      </c>
      <c r="D767" s="115" t="s">
        <v>2142</v>
      </c>
      <c r="E767" s="115" t="s">
        <v>2143</v>
      </c>
    </row>
    <row r="768" spans="1:5" x14ac:dyDescent="0.25">
      <c r="A768" s="115" t="s">
        <v>1138</v>
      </c>
      <c r="B768" s="115" t="s">
        <v>1198</v>
      </c>
      <c r="D768" s="115" t="s">
        <v>2144</v>
      </c>
      <c r="E768" s="115" t="s">
        <v>1141</v>
      </c>
    </row>
    <row r="769" spans="1:5" x14ac:dyDescent="0.25">
      <c r="B769" s="115" t="s">
        <v>1206</v>
      </c>
      <c r="D769" s="115" t="s">
        <v>1140</v>
      </c>
      <c r="E769" s="115" t="s">
        <v>2145</v>
      </c>
    </row>
    <row r="770" spans="1:5" x14ac:dyDescent="0.25">
      <c r="B770" s="115" t="s">
        <v>2146</v>
      </c>
      <c r="D770" s="115" t="s">
        <v>1140</v>
      </c>
      <c r="E770" s="115" t="s">
        <v>2147</v>
      </c>
    </row>
    <row r="771" spans="1:5" x14ac:dyDescent="0.25">
      <c r="B771" s="115" t="s">
        <v>2148</v>
      </c>
      <c r="D771" s="115" t="s">
        <v>2149</v>
      </c>
      <c r="E771" s="115" t="s">
        <v>2150</v>
      </c>
    </row>
    <row r="772" spans="1:5" x14ac:dyDescent="0.25">
      <c r="A772" s="115">
        <v>-3</v>
      </c>
      <c r="B772" s="115" t="s">
        <v>1389</v>
      </c>
      <c r="D772" s="115" t="s">
        <v>2151</v>
      </c>
      <c r="E772" s="115" t="s">
        <v>2152</v>
      </c>
    </row>
    <row r="773" spans="1:5" x14ac:dyDescent="0.25">
      <c r="A773" s="115">
        <v>16</v>
      </c>
      <c r="B773" s="115" t="s">
        <v>2153</v>
      </c>
      <c r="C773" s="115">
        <v>2</v>
      </c>
      <c r="D773" s="115" t="s">
        <v>2154</v>
      </c>
      <c r="E773" s="115" t="s">
        <v>2155</v>
      </c>
    </row>
    <row r="774" spans="1:5" x14ac:dyDescent="0.25">
      <c r="B774" s="115" t="s">
        <v>2156</v>
      </c>
      <c r="D774" s="115" t="s">
        <v>2157</v>
      </c>
      <c r="E774" s="115" t="s">
        <v>2158</v>
      </c>
    </row>
    <row r="775" spans="1:5" x14ac:dyDescent="0.25">
      <c r="B775" s="115" t="s">
        <v>1139</v>
      </c>
      <c r="D775" s="115" t="s">
        <v>1140</v>
      </c>
      <c r="E775" s="115" t="s">
        <v>2159</v>
      </c>
    </row>
    <row r="776" spans="1:5" x14ac:dyDescent="0.25">
      <c r="B776" s="115" t="s">
        <v>2160</v>
      </c>
      <c r="D776" s="115" t="s">
        <v>2161</v>
      </c>
      <c r="E776" s="115" t="s">
        <v>2162</v>
      </c>
    </row>
    <row r="777" spans="1:5" x14ac:dyDescent="0.25">
      <c r="A777" s="115" t="s">
        <v>1138</v>
      </c>
      <c r="B777" s="115" t="s">
        <v>1433</v>
      </c>
      <c r="D777" s="115" t="s">
        <v>2163</v>
      </c>
      <c r="E777" s="115" t="s">
        <v>1141</v>
      </c>
    </row>
    <row r="778" spans="1:5" x14ac:dyDescent="0.25">
      <c r="B778" s="115" t="s">
        <v>2164</v>
      </c>
      <c r="D778" s="115" t="s">
        <v>1140</v>
      </c>
      <c r="E778" s="115" t="s">
        <v>2165</v>
      </c>
    </row>
    <row r="779" spans="1:5" x14ac:dyDescent="0.25">
      <c r="B779" s="115" t="s">
        <v>2166</v>
      </c>
      <c r="D779" s="115" t="s">
        <v>1140</v>
      </c>
      <c r="E779" s="115" t="s">
        <v>2167</v>
      </c>
    </row>
    <row r="780" spans="1:5" x14ac:dyDescent="0.25">
      <c r="B780" s="115" t="s">
        <v>2168</v>
      </c>
      <c r="D780" s="115" t="s">
        <v>2169</v>
      </c>
      <c r="E780" s="115" t="s">
        <v>2170</v>
      </c>
    </row>
    <row r="781" spans="1:5" x14ac:dyDescent="0.25">
      <c r="A781" s="115" t="s">
        <v>1138</v>
      </c>
      <c r="B781" s="115" t="s">
        <v>2171</v>
      </c>
      <c r="D781" s="115" t="s">
        <v>2172</v>
      </c>
      <c r="E781" s="115" t="s">
        <v>2173</v>
      </c>
    </row>
    <row r="782" spans="1:5" x14ac:dyDescent="0.25">
      <c r="A782" s="115">
        <v>20</v>
      </c>
      <c r="B782" s="115" t="s">
        <v>2174</v>
      </c>
      <c r="C782" s="115">
        <v>2</v>
      </c>
      <c r="D782" s="115" t="s">
        <v>2175</v>
      </c>
      <c r="E782" s="115" t="s">
        <v>2176</v>
      </c>
    </row>
    <row r="783" spans="1:5" x14ac:dyDescent="0.25">
      <c r="B783" s="115" t="s">
        <v>1139</v>
      </c>
      <c r="D783" s="115" t="s">
        <v>2177</v>
      </c>
      <c r="E783" s="115" t="s">
        <v>2178</v>
      </c>
    </row>
    <row r="784" spans="1:5" x14ac:dyDescent="0.25">
      <c r="B784" s="115" t="s">
        <v>1139</v>
      </c>
      <c r="D784" s="115" t="s">
        <v>1140</v>
      </c>
      <c r="E784" s="115" t="s">
        <v>2179</v>
      </c>
    </row>
    <row r="785" spans="1:5" x14ac:dyDescent="0.25">
      <c r="B785" s="115" t="s">
        <v>1139</v>
      </c>
      <c r="D785" s="115" t="s">
        <v>2180</v>
      </c>
      <c r="E785" s="115" t="s">
        <v>2181</v>
      </c>
    </row>
    <row r="786" spans="1:5" x14ac:dyDescent="0.25">
      <c r="B786" s="115" t="s">
        <v>2182</v>
      </c>
      <c r="D786" s="115" t="s">
        <v>2183</v>
      </c>
      <c r="E786" s="115" t="s">
        <v>1894</v>
      </c>
    </row>
    <row r="787" spans="1:5" x14ac:dyDescent="0.25">
      <c r="B787" s="115" t="s">
        <v>1380</v>
      </c>
      <c r="D787" s="115" t="s">
        <v>1140</v>
      </c>
      <c r="E787" s="115" t="s">
        <v>2184</v>
      </c>
    </row>
    <row r="788" spans="1:5" x14ac:dyDescent="0.25">
      <c r="B788" s="115" t="s">
        <v>1251</v>
      </c>
      <c r="D788" s="115" t="s">
        <v>2185</v>
      </c>
      <c r="E788" s="115" t="s">
        <v>2186</v>
      </c>
    </row>
    <row r="789" spans="1:5" x14ac:dyDescent="0.25">
      <c r="B789" s="115" t="s">
        <v>1139</v>
      </c>
      <c r="D789" s="115" t="s">
        <v>2187</v>
      </c>
      <c r="E789" s="115" t="s">
        <v>2188</v>
      </c>
    </row>
    <row r="790" spans="1:5" x14ac:dyDescent="0.25">
      <c r="B790" s="115" t="s">
        <v>2189</v>
      </c>
      <c r="D790" s="115" t="s">
        <v>1140</v>
      </c>
      <c r="E790" s="115" t="s">
        <v>2190</v>
      </c>
    </row>
    <row r="791" spans="1:5" x14ac:dyDescent="0.25">
      <c r="A791" s="115">
        <v>-5</v>
      </c>
      <c r="B791" s="115" t="s">
        <v>2191</v>
      </c>
      <c r="C791" s="115">
        <v>-1</v>
      </c>
      <c r="D791" s="115" t="s">
        <v>2192</v>
      </c>
      <c r="E791" s="115" t="s">
        <v>2193</v>
      </c>
    </row>
    <row r="792" spans="1:5" x14ac:dyDescent="0.25">
      <c r="A792" s="115" t="s">
        <v>1138</v>
      </c>
      <c r="B792" s="115" t="s">
        <v>2194</v>
      </c>
      <c r="D792" s="115" t="s">
        <v>2195</v>
      </c>
      <c r="E792" s="115" t="s">
        <v>2196</v>
      </c>
    </row>
    <row r="793" spans="1:5" x14ac:dyDescent="0.25">
      <c r="B793" s="115">
        <f>-71    -67</f>
        <v>-138</v>
      </c>
      <c r="D793" s="115" t="s">
        <v>1140</v>
      </c>
      <c r="E793" s="115" t="s">
        <v>1141</v>
      </c>
    </row>
    <row r="794" spans="1:5" x14ac:dyDescent="0.25">
      <c r="B794" s="115" t="s">
        <v>2197</v>
      </c>
      <c r="D794" s="115" t="s">
        <v>2198</v>
      </c>
      <c r="E794" s="115" t="s">
        <v>2199</v>
      </c>
    </row>
    <row r="795" spans="1:5" x14ac:dyDescent="0.25">
      <c r="B795" s="115" t="s">
        <v>1139</v>
      </c>
      <c r="D795" s="115" t="s">
        <v>2200</v>
      </c>
      <c r="E795" s="115" t="s">
        <v>2201</v>
      </c>
    </row>
    <row r="796" spans="1:5" x14ac:dyDescent="0.25">
      <c r="B796" s="115" t="s">
        <v>1139</v>
      </c>
      <c r="D796" s="115" t="s">
        <v>2202</v>
      </c>
      <c r="E796" s="115" t="s">
        <v>1141</v>
      </c>
    </row>
    <row r="797" spans="1:5" x14ac:dyDescent="0.25">
      <c r="B797" s="115" t="s">
        <v>2203</v>
      </c>
      <c r="D797" s="115" t="s">
        <v>2204</v>
      </c>
      <c r="E797" s="115" t="s">
        <v>2205</v>
      </c>
    </row>
    <row r="798" spans="1:5" x14ac:dyDescent="0.25">
      <c r="A798" s="115" t="s">
        <v>1138</v>
      </c>
      <c r="B798" s="115" t="s">
        <v>2206</v>
      </c>
      <c r="D798" s="115" t="s">
        <v>2207</v>
      </c>
      <c r="E798" s="115" t="s">
        <v>2208</v>
      </c>
    </row>
    <row r="799" spans="1:5" x14ac:dyDescent="0.25">
      <c r="B799" s="115">
        <f>-19   -174</f>
        <v>-193</v>
      </c>
      <c r="D799" s="115" t="s">
        <v>2209</v>
      </c>
      <c r="E799" s="115" t="s">
        <v>2210</v>
      </c>
    </row>
    <row r="800" spans="1:5" x14ac:dyDescent="0.25">
      <c r="A800" s="115" t="s">
        <v>1138</v>
      </c>
      <c r="B800" s="115" t="s">
        <v>2211</v>
      </c>
      <c r="C800" s="115" t="s">
        <v>1138</v>
      </c>
      <c r="D800" s="115" t="s">
        <v>2212</v>
      </c>
      <c r="E800" s="115" t="s">
        <v>2213</v>
      </c>
    </row>
    <row r="801" spans="1:5" x14ac:dyDescent="0.25">
      <c r="A801" s="115">
        <v>33</v>
      </c>
      <c r="B801" s="115" t="s">
        <v>2214</v>
      </c>
      <c r="D801" s="115" t="s">
        <v>2215</v>
      </c>
      <c r="E801" s="115" t="s">
        <v>2216</v>
      </c>
    </row>
    <row r="802" spans="1:5" x14ac:dyDescent="0.25">
      <c r="B802" s="115" t="s">
        <v>1139</v>
      </c>
      <c r="D802" s="115" t="s">
        <v>2217</v>
      </c>
      <c r="E802" s="115" t="s">
        <v>1141</v>
      </c>
    </row>
    <row r="803" spans="1:5" x14ac:dyDescent="0.25">
      <c r="B803" s="115" t="s">
        <v>1139</v>
      </c>
      <c r="D803" s="115" t="s">
        <v>2218</v>
      </c>
      <c r="E803" s="115" t="s">
        <v>2219</v>
      </c>
    </row>
    <row r="804" spans="1:5" x14ac:dyDescent="0.25">
      <c r="B804" s="115" t="s">
        <v>2220</v>
      </c>
      <c r="D804" s="115" t="s">
        <v>1354</v>
      </c>
      <c r="E804" s="115" t="s">
        <v>2221</v>
      </c>
    </row>
    <row r="805" spans="1:5" x14ac:dyDescent="0.25">
      <c r="B805" s="115" t="s">
        <v>2222</v>
      </c>
      <c r="D805" s="115" t="s">
        <v>1140</v>
      </c>
      <c r="E805" s="115" t="s">
        <v>2223</v>
      </c>
    </row>
    <row r="806" spans="1:5" x14ac:dyDescent="0.25">
      <c r="B806" s="115" t="s">
        <v>1139</v>
      </c>
      <c r="D806" s="115" t="s">
        <v>2224</v>
      </c>
      <c r="E806" s="115" t="s">
        <v>2225</v>
      </c>
    </row>
    <row r="807" spans="1:5" x14ac:dyDescent="0.25">
      <c r="B807" s="115" t="s">
        <v>1139</v>
      </c>
      <c r="D807" s="115" t="s">
        <v>2226</v>
      </c>
      <c r="E807" s="115" t="s">
        <v>2227</v>
      </c>
    </row>
    <row r="808" spans="1:5" x14ac:dyDescent="0.25">
      <c r="B808" s="115">
        <f>-59    -53</f>
        <v>-112</v>
      </c>
      <c r="D808" s="115">
        <f>-55    -62    -48    -8</f>
        <v>-173</v>
      </c>
      <c r="E808" s="115" t="s">
        <v>2228</v>
      </c>
    </row>
    <row r="809" spans="1:5" x14ac:dyDescent="0.25">
      <c r="B809" s="115" t="s">
        <v>1535</v>
      </c>
      <c r="D809" s="115">
        <f>-88   -266 -12474 -1164</f>
        <v>-13992</v>
      </c>
      <c r="E809" s="115" t="s">
        <v>2229</v>
      </c>
    </row>
    <row r="810" spans="1:5" x14ac:dyDescent="0.25">
      <c r="A810" s="115">
        <v>-3</v>
      </c>
      <c r="B810" s="115" t="s">
        <v>2230</v>
      </c>
      <c r="C810" s="115" t="s">
        <v>1138</v>
      </c>
      <c r="D810" s="115" t="s">
        <v>2231</v>
      </c>
      <c r="E810" s="115" t="s">
        <v>2232</v>
      </c>
    </row>
    <row r="811" spans="1:5" x14ac:dyDescent="0.25">
      <c r="B811" s="115" t="s">
        <v>2233</v>
      </c>
      <c r="D811" s="115" t="s">
        <v>2234</v>
      </c>
      <c r="E811" s="115" t="s">
        <v>2235</v>
      </c>
    </row>
    <row r="812" spans="1:5" x14ac:dyDescent="0.25">
      <c r="B812" s="115" t="s">
        <v>1139</v>
      </c>
      <c r="D812" s="115" t="s">
        <v>1140</v>
      </c>
      <c r="E812" s="115" t="s">
        <v>2236</v>
      </c>
    </row>
    <row r="813" spans="1:5" x14ac:dyDescent="0.25">
      <c r="B813" s="115" t="s">
        <v>1347</v>
      </c>
      <c r="C813" s="115" t="s">
        <v>1138</v>
      </c>
      <c r="D813" s="115" t="s">
        <v>2237</v>
      </c>
      <c r="E813" s="115" t="s">
        <v>2238</v>
      </c>
    </row>
    <row r="814" spans="1:5" x14ac:dyDescent="0.25">
      <c r="A814" s="115">
        <v>2</v>
      </c>
      <c r="B814" s="115" t="s">
        <v>1265</v>
      </c>
      <c r="D814" s="115" t="s">
        <v>1262</v>
      </c>
      <c r="E814" s="115" t="s">
        <v>1141</v>
      </c>
    </row>
    <row r="815" spans="1:5" x14ac:dyDescent="0.25">
      <c r="A815" s="115" t="s">
        <v>1138</v>
      </c>
      <c r="B815" s="115" t="s">
        <v>2239</v>
      </c>
      <c r="D815" s="115" t="s">
        <v>1140</v>
      </c>
      <c r="E815" s="115" t="s">
        <v>2240</v>
      </c>
    </row>
    <row r="816" spans="1:5" x14ac:dyDescent="0.25">
      <c r="B816" s="115" t="s">
        <v>2241</v>
      </c>
      <c r="D816" s="115" t="s">
        <v>1140</v>
      </c>
      <c r="E816" s="115" t="s">
        <v>2242</v>
      </c>
    </row>
    <row r="817" spans="1:5" x14ac:dyDescent="0.25">
      <c r="B817" s="115" t="s">
        <v>2243</v>
      </c>
      <c r="D817" s="115" t="s">
        <v>2244</v>
      </c>
      <c r="E817" s="115" t="s">
        <v>2245</v>
      </c>
    </row>
    <row r="818" spans="1:5" x14ac:dyDescent="0.25">
      <c r="B818" s="115" t="s">
        <v>1353</v>
      </c>
      <c r="D818" s="115" t="s">
        <v>2246</v>
      </c>
      <c r="E818" s="115" t="s">
        <v>2247</v>
      </c>
    </row>
    <row r="819" spans="1:5" x14ac:dyDescent="0.25">
      <c r="A819" s="115">
        <v>-1</v>
      </c>
      <c r="B819" s="115" t="s">
        <v>2248</v>
      </c>
      <c r="D819" s="115" t="s">
        <v>2249</v>
      </c>
      <c r="E819" s="115" t="s">
        <v>2250</v>
      </c>
    </row>
    <row r="820" spans="1:5" x14ac:dyDescent="0.25">
      <c r="A820" s="115">
        <v>-1</v>
      </c>
      <c r="B820" s="115" t="s">
        <v>2251</v>
      </c>
      <c r="D820" s="115" t="s">
        <v>2252</v>
      </c>
      <c r="E820" s="115" t="s">
        <v>2253</v>
      </c>
    </row>
    <row r="821" spans="1:5" x14ac:dyDescent="0.25">
      <c r="B821" s="115" t="s">
        <v>1139</v>
      </c>
      <c r="D821" s="115" t="s">
        <v>2254</v>
      </c>
      <c r="E821" s="115" t="s">
        <v>1141</v>
      </c>
    </row>
    <row r="822" spans="1:5" x14ac:dyDescent="0.25">
      <c r="B822" s="115" t="s">
        <v>1139</v>
      </c>
      <c r="D822" s="115" t="s">
        <v>2255</v>
      </c>
      <c r="E822" s="115" t="s">
        <v>2256</v>
      </c>
    </row>
    <row r="823" spans="1:5" x14ac:dyDescent="0.25">
      <c r="B823" s="115" t="s">
        <v>2257</v>
      </c>
      <c r="D823" s="115" t="s">
        <v>1860</v>
      </c>
      <c r="E823" s="115" t="s">
        <v>2258</v>
      </c>
    </row>
    <row r="824" spans="1:5" x14ac:dyDescent="0.25">
      <c r="B824" s="115" t="s">
        <v>1139</v>
      </c>
      <c r="D824" s="115" t="s">
        <v>2259</v>
      </c>
      <c r="E824" s="115" t="s">
        <v>2260</v>
      </c>
    </row>
    <row r="825" spans="1:5" x14ac:dyDescent="0.25">
      <c r="B825" s="115" t="s">
        <v>1139</v>
      </c>
      <c r="D825" s="115" t="s">
        <v>2261</v>
      </c>
      <c r="E825" s="115" t="s">
        <v>2262</v>
      </c>
    </row>
    <row r="826" spans="1:5" x14ac:dyDescent="0.25">
      <c r="B826" s="115" t="s">
        <v>2263</v>
      </c>
      <c r="D826" s="115" t="s">
        <v>2264</v>
      </c>
      <c r="E826" s="115" t="s">
        <v>2265</v>
      </c>
    </row>
    <row r="827" spans="1:5" x14ac:dyDescent="0.25">
      <c r="A827" s="115" t="s">
        <v>1138</v>
      </c>
      <c r="B827" s="115" t="s">
        <v>2266</v>
      </c>
      <c r="D827" s="115" t="s">
        <v>2267</v>
      </c>
      <c r="E827" s="115" t="s">
        <v>1702</v>
      </c>
    </row>
    <row r="828" spans="1:5" x14ac:dyDescent="0.25">
      <c r="B828" s="115" t="s">
        <v>2268</v>
      </c>
      <c r="D828" s="115" t="s">
        <v>2269</v>
      </c>
      <c r="E828" s="115" t="s">
        <v>2270</v>
      </c>
    </row>
    <row r="829" spans="1:5" x14ac:dyDescent="0.25">
      <c r="A829" s="115">
        <v>23</v>
      </c>
      <c r="B829" s="115" t="s">
        <v>2271</v>
      </c>
      <c r="C829" s="115">
        <v>-1</v>
      </c>
      <c r="D829" s="115" t="s">
        <v>2272</v>
      </c>
      <c r="E829" s="115" t="s">
        <v>1141</v>
      </c>
    </row>
    <row r="830" spans="1:5" x14ac:dyDescent="0.25">
      <c r="B830" s="115" t="s">
        <v>1139</v>
      </c>
      <c r="D830" s="115" t="s">
        <v>1140</v>
      </c>
      <c r="E830" s="115" t="s">
        <v>1141</v>
      </c>
    </row>
    <row r="831" spans="1:5" x14ac:dyDescent="0.25">
      <c r="B831" s="115" t="s">
        <v>1139</v>
      </c>
      <c r="D831" s="115" t="s">
        <v>1140</v>
      </c>
      <c r="E831" s="115" t="s">
        <v>1141</v>
      </c>
    </row>
    <row r="832" spans="1:5" x14ac:dyDescent="0.25">
      <c r="B832" s="115" t="s">
        <v>1139</v>
      </c>
      <c r="D832" s="115" t="s">
        <v>1140</v>
      </c>
      <c r="E832" s="115" t="s">
        <v>1141</v>
      </c>
    </row>
    <row r="833" spans="2:5" x14ac:dyDescent="0.25">
      <c r="B833" s="115" t="s">
        <v>1139</v>
      </c>
      <c r="D833" s="115" t="s">
        <v>1140</v>
      </c>
      <c r="E833" s="115" t="s">
        <v>1141</v>
      </c>
    </row>
    <row r="834" spans="2:5" x14ac:dyDescent="0.25">
      <c r="B834" s="115" t="s">
        <v>1139</v>
      </c>
      <c r="D834" s="115" t="s">
        <v>1140</v>
      </c>
      <c r="E834" s="115" t="s">
        <v>1141</v>
      </c>
    </row>
    <row r="835" spans="2:5" x14ac:dyDescent="0.25">
      <c r="B835" s="115" t="s">
        <v>1139</v>
      </c>
      <c r="D835" s="115" t="s">
        <v>1140</v>
      </c>
      <c r="E835" s="115" t="s">
        <v>1141</v>
      </c>
    </row>
    <row r="836" spans="2:5" x14ac:dyDescent="0.25">
      <c r="B836" s="115" t="s">
        <v>1139</v>
      </c>
      <c r="D836" s="115" t="s">
        <v>1140</v>
      </c>
      <c r="E836" s="115" t="s">
        <v>1141</v>
      </c>
    </row>
    <row r="837" spans="2:5" x14ac:dyDescent="0.25">
      <c r="B837" s="115" t="s">
        <v>1139</v>
      </c>
      <c r="D837" s="115" t="s">
        <v>1140</v>
      </c>
      <c r="E837" s="115" t="s">
        <v>1141</v>
      </c>
    </row>
    <row r="838" spans="2:5" x14ac:dyDescent="0.25">
      <c r="B838" s="115" t="s">
        <v>1139</v>
      </c>
      <c r="D838" s="115" t="s">
        <v>1140</v>
      </c>
      <c r="E838" s="115" t="s">
        <v>1141</v>
      </c>
    </row>
    <row r="839" spans="2:5" x14ac:dyDescent="0.25">
      <c r="B839" s="115" t="s">
        <v>1139</v>
      </c>
      <c r="D839" s="115" t="s">
        <v>1140</v>
      </c>
      <c r="E839" s="115" t="s">
        <v>1141</v>
      </c>
    </row>
    <row r="840" spans="2:5" x14ac:dyDescent="0.25">
      <c r="B840" s="115" t="s">
        <v>1139</v>
      </c>
      <c r="D840" s="115" t="s">
        <v>1140</v>
      </c>
      <c r="E840" s="115" t="s">
        <v>1141</v>
      </c>
    </row>
    <row r="841" spans="2:5" x14ac:dyDescent="0.25">
      <c r="B841" s="115" t="s">
        <v>1139</v>
      </c>
      <c r="D841" s="115" t="s">
        <v>1140</v>
      </c>
      <c r="E841" s="115" t="s">
        <v>1141</v>
      </c>
    </row>
    <row r="842" spans="2:5" x14ac:dyDescent="0.25">
      <c r="B842" s="115" t="s">
        <v>1139</v>
      </c>
      <c r="D842" s="115" t="s">
        <v>1140</v>
      </c>
      <c r="E842" s="115" t="s">
        <v>1141</v>
      </c>
    </row>
    <row r="843" spans="2:5" x14ac:dyDescent="0.25">
      <c r="B843" s="115" t="s">
        <v>1139</v>
      </c>
      <c r="D843" s="115" t="s">
        <v>1140</v>
      </c>
      <c r="E843" s="115" t="s">
        <v>1141</v>
      </c>
    </row>
    <row r="844" spans="2:5" x14ac:dyDescent="0.25">
      <c r="B844" s="115" t="s">
        <v>1139</v>
      </c>
      <c r="D844" s="115" t="s">
        <v>1140</v>
      </c>
      <c r="E844" s="115" t="s">
        <v>1141</v>
      </c>
    </row>
    <row r="845" spans="2:5" x14ac:dyDescent="0.25">
      <c r="B845" s="115" t="s">
        <v>1139</v>
      </c>
      <c r="D845" s="115" t="s">
        <v>1140</v>
      </c>
      <c r="E845" s="115" t="s">
        <v>1141</v>
      </c>
    </row>
    <row r="846" spans="2:5" x14ac:dyDescent="0.25">
      <c r="B846" s="115" t="s">
        <v>1139</v>
      </c>
      <c r="D846" s="115" t="s">
        <v>1140</v>
      </c>
      <c r="E846" s="115" t="s">
        <v>1141</v>
      </c>
    </row>
    <row r="847" spans="2:5" x14ac:dyDescent="0.25">
      <c r="B847" s="115" t="s">
        <v>1139</v>
      </c>
      <c r="D847" s="115" t="s">
        <v>1140</v>
      </c>
      <c r="E847" s="115" t="s">
        <v>1141</v>
      </c>
    </row>
    <row r="848" spans="2:5" x14ac:dyDescent="0.25">
      <c r="B848" s="115" t="s">
        <v>1139</v>
      </c>
      <c r="D848" s="115" t="s">
        <v>1140</v>
      </c>
      <c r="E848" s="115" t="s">
        <v>1141</v>
      </c>
    </row>
    <row r="849" spans="1:5" x14ac:dyDescent="0.25">
      <c r="B849" s="115" t="s">
        <v>2273</v>
      </c>
      <c r="D849" s="115" t="s">
        <v>2274</v>
      </c>
      <c r="E849" s="115" t="s">
        <v>2275</v>
      </c>
    </row>
    <row r="850" spans="1:5" x14ac:dyDescent="0.25">
      <c r="B850" s="115" t="s">
        <v>1139</v>
      </c>
      <c r="D850" s="115" t="s">
        <v>2276</v>
      </c>
      <c r="E850" s="115" t="s">
        <v>1141</v>
      </c>
    </row>
    <row r="851" spans="1:5" x14ac:dyDescent="0.25">
      <c r="B851" s="115" t="s">
        <v>1139</v>
      </c>
      <c r="D851" s="115" t="s">
        <v>2277</v>
      </c>
      <c r="E851" s="115" t="s">
        <v>2278</v>
      </c>
    </row>
    <row r="852" spans="1:5" x14ac:dyDescent="0.25">
      <c r="B852" s="115" t="s">
        <v>2279</v>
      </c>
      <c r="D852" s="115" t="s">
        <v>2280</v>
      </c>
      <c r="E852" s="115" t="s">
        <v>2281</v>
      </c>
    </row>
    <row r="853" spans="1:5" x14ac:dyDescent="0.25">
      <c r="A853" s="115">
        <v>1</v>
      </c>
      <c r="B853" s="115" t="s">
        <v>1579</v>
      </c>
      <c r="D853" s="115" t="s">
        <v>1140</v>
      </c>
      <c r="E853" s="115" t="s">
        <v>2282</v>
      </c>
    </row>
    <row r="854" spans="1:5" x14ac:dyDescent="0.25">
      <c r="B854" s="115" t="s">
        <v>1139</v>
      </c>
      <c r="D854" s="115" t="s">
        <v>2283</v>
      </c>
      <c r="E854" s="115" t="s">
        <v>2284</v>
      </c>
    </row>
    <row r="855" spans="1:5" x14ac:dyDescent="0.25">
      <c r="B855" s="115" t="s">
        <v>1139</v>
      </c>
      <c r="D855" s="115" t="s">
        <v>2285</v>
      </c>
      <c r="E855" s="115" t="s">
        <v>2286</v>
      </c>
    </row>
    <row r="856" spans="1:5" x14ac:dyDescent="0.25">
      <c r="A856" s="115">
        <v>-3</v>
      </c>
      <c r="B856" s="115" t="s">
        <v>2287</v>
      </c>
      <c r="D856" s="115" t="s">
        <v>2288</v>
      </c>
      <c r="E856" s="115" t="s">
        <v>2289</v>
      </c>
    </row>
    <row r="857" spans="1:5" x14ac:dyDescent="0.25">
      <c r="B857" s="115" t="s">
        <v>2290</v>
      </c>
      <c r="D857" s="115">
        <f>-477   -446  -1440  -130</f>
        <v>-2493</v>
      </c>
      <c r="E857" s="115" t="s">
        <v>2291</v>
      </c>
    </row>
    <row r="858" spans="1:5" x14ac:dyDescent="0.25">
      <c r="A858" s="115">
        <v>1</v>
      </c>
      <c r="B858" s="115" t="s">
        <v>2292</v>
      </c>
      <c r="D858" s="115" t="s">
        <v>2293</v>
      </c>
      <c r="E858" s="115" t="s">
        <v>2294</v>
      </c>
    </row>
    <row r="859" spans="1:5" x14ac:dyDescent="0.25">
      <c r="A859" s="115" t="s">
        <v>1138</v>
      </c>
      <c r="B859" s="115" t="s">
        <v>2295</v>
      </c>
      <c r="D859" s="115" t="s">
        <v>2296</v>
      </c>
      <c r="E859" s="115" t="s">
        <v>2297</v>
      </c>
    </row>
    <row r="860" spans="1:5" x14ac:dyDescent="0.25">
      <c r="B860" s="115" t="s">
        <v>1139</v>
      </c>
      <c r="C860" s="115" t="s">
        <v>1138</v>
      </c>
      <c r="D860" s="115" t="s">
        <v>2298</v>
      </c>
      <c r="E860" s="115" t="s">
        <v>1141</v>
      </c>
    </row>
    <row r="861" spans="1:5" x14ac:dyDescent="0.25">
      <c r="B861" s="115" t="s">
        <v>1139</v>
      </c>
      <c r="D861" s="115" t="s">
        <v>2299</v>
      </c>
      <c r="E861" s="115" t="s">
        <v>2300</v>
      </c>
    </row>
    <row r="862" spans="1:5" x14ac:dyDescent="0.25">
      <c r="B862" s="115" t="s">
        <v>2301</v>
      </c>
      <c r="D862" s="115" t="s">
        <v>2302</v>
      </c>
      <c r="E862" s="115" t="s">
        <v>2303</v>
      </c>
    </row>
    <row r="863" spans="1:5" x14ac:dyDescent="0.25">
      <c r="B863" s="115" t="s">
        <v>1139</v>
      </c>
      <c r="D863" s="115" t="s">
        <v>2058</v>
      </c>
      <c r="E863" s="115" t="s">
        <v>1859</v>
      </c>
    </row>
    <row r="864" spans="1:5" x14ac:dyDescent="0.25">
      <c r="B864" s="115" t="s">
        <v>1139</v>
      </c>
      <c r="D864" s="115" t="s">
        <v>2304</v>
      </c>
      <c r="E864" s="115" t="s">
        <v>2305</v>
      </c>
    </row>
    <row r="865" spans="1:5" x14ac:dyDescent="0.25">
      <c r="B865" s="115" t="s">
        <v>2306</v>
      </c>
      <c r="D865" s="115" t="s">
        <v>2307</v>
      </c>
      <c r="E865" s="115" t="s">
        <v>2308</v>
      </c>
    </row>
    <row r="866" spans="1:5" x14ac:dyDescent="0.25">
      <c r="A866" s="115">
        <v>-2</v>
      </c>
      <c r="B866" s="115" t="s">
        <v>2309</v>
      </c>
      <c r="C866" s="115" t="s">
        <v>1138</v>
      </c>
      <c r="D866" s="115" t="s">
        <v>2310</v>
      </c>
      <c r="E866" s="115" t="s">
        <v>1759</v>
      </c>
    </row>
    <row r="867" spans="1:5" x14ac:dyDescent="0.25">
      <c r="A867" s="115" t="s">
        <v>1138</v>
      </c>
      <c r="B867" s="115" t="s">
        <v>2311</v>
      </c>
      <c r="D867" s="115">
        <f>-568  -6910  -3156  -589</f>
        <v>-11223</v>
      </c>
      <c r="E867" s="115" t="s">
        <v>2312</v>
      </c>
    </row>
    <row r="868" spans="1:5" x14ac:dyDescent="0.25">
      <c r="A868" s="115">
        <v>10</v>
      </c>
      <c r="B868" s="115" t="s">
        <v>2313</v>
      </c>
      <c r="D868" s="115">
        <f>-878  -1857  -2468  -390</f>
        <v>-5593</v>
      </c>
      <c r="E868" s="115" t="s">
        <v>2314</v>
      </c>
    </row>
    <row r="869" spans="1:5" x14ac:dyDescent="0.25">
      <c r="B869" s="115" t="s">
        <v>1139</v>
      </c>
      <c r="D869" s="115" t="s">
        <v>1140</v>
      </c>
      <c r="E869" s="115" t="s">
        <v>1141</v>
      </c>
    </row>
    <row r="870" spans="1:5" x14ac:dyDescent="0.25">
      <c r="B870" s="115" t="s">
        <v>1139</v>
      </c>
      <c r="D870" s="115" t="s">
        <v>1140</v>
      </c>
      <c r="E870" s="115" t="s">
        <v>1141</v>
      </c>
    </row>
    <row r="871" spans="1:5" x14ac:dyDescent="0.25">
      <c r="B871" s="115" t="s">
        <v>1139</v>
      </c>
      <c r="D871" s="115" t="s">
        <v>1140</v>
      </c>
      <c r="E871" s="115" t="s">
        <v>1141</v>
      </c>
    </row>
    <row r="872" spans="1:5" x14ac:dyDescent="0.25">
      <c r="B872" s="115" t="s">
        <v>1139</v>
      </c>
      <c r="D872" s="115" t="s">
        <v>1140</v>
      </c>
      <c r="E872" s="115" t="s">
        <v>1141</v>
      </c>
    </row>
    <row r="873" spans="1:5" x14ac:dyDescent="0.25">
      <c r="B873" s="115" t="s">
        <v>1139</v>
      </c>
      <c r="D873" s="115" t="s">
        <v>1140</v>
      </c>
      <c r="E873" s="115" t="s">
        <v>1141</v>
      </c>
    </row>
    <row r="874" spans="1:5" x14ac:dyDescent="0.25">
      <c r="B874" s="115" t="s">
        <v>1139</v>
      </c>
      <c r="D874" s="115" t="s">
        <v>1140</v>
      </c>
      <c r="E874" s="115" t="s">
        <v>1141</v>
      </c>
    </row>
    <row r="875" spans="1:5" x14ac:dyDescent="0.25">
      <c r="B875" s="115" t="s">
        <v>1139</v>
      </c>
      <c r="D875" s="115" t="s">
        <v>1140</v>
      </c>
      <c r="E875" s="115" t="s">
        <v>1141</v>
      </c>
    </row>
    <row r="876" spans="1:5" x14ac:dyDescent="0.25">
      <c r="B876" s="115" t="s">
        <v>1139</v>
      </c>
      <c r="D876" s="115" t="s">
        <v>1140</v>
      </c>
      <c r="E876" s="115" t="s">
        <v>1141</v>
      </c>
    </row>
    <row r="877" spans="1:5" x14ac:dyDescent="0.25">
      <c r="B877" s="115" t="s">
        <v>1139</v>
      </c>
      <c r="D877" s="115" t="s">
        <v>1140</v>
      </c>
      <c r="E877" s="115" t="s">
        <v>1141</v>
      </c>
    </row>
    <row r="878" spans="1:5" x14ac:dyDescent="0.25">
      <c r="B878" s="115" t="s">
        <v>1139</v>
      </c>
      <c r="D878" s="115" t="s">
        <v>1140</v>
      </c>
      <c r="E878" s="115" t="s">
        <v>1141</v>
      </c>
    </row>
    <row r="879" spans="1:5" x14ac:dyDescent="0.25">
      <c r="B879" s="115" t="s">
        <v>1665</v>
      </c>
      <c r="D879" s="115" t="s">
        <v>2315</v>
      </c>
      <c r="E879" s="115" t="s">
        <v>2316</v>
      </c>
    </row>
    <row r="880" spans="1:5" x14ac:dyDescent="0.25">
      <c r="B880" s="115" t="s">
        <v>1139</v>
      </c>
      <c r="D880" s="115" t="s">
        <v>2317</v>
      </c>
      <c r="E880" s="115" t="s">
        <v>1141</v>
      </c>
    </row>
    <row r="881" spans="1:5" x14ac:dyDescent="0.25">
      <c r="B881" s="115" t="s">
        <v>1139</v>
      </c>
      <c r="D881" s="115" t="s">
        <v>2318</v>
      </c>
      <c r="E881" s="115" t="s">
        <v>2319</v>
      </c>
    </row>
    <row r="882" spans="1:5" x14ac:dyDescent="0.25">
      <c r="B882" s="115">
        <f>-65    -13</f>
        <v>-78</v>
      </c>
      <c r="D882" s="115" t="s">
        <v>2320</v>
      </c>
      <c r="E882" s="115" t="s">
        <v>2321</v>
      </c>
    </row>
    <row r="883" spans="1:5" x14ac:dyDescent="0.25">
      <c r="B883" s="115" t="s">
        <v>1332</v>
      </c>
      <c r="D883" s="115" t="s">
        <v>1140</v>
      </c>
      <c r="E883" s="115" t="s">
        <v>2322</v>
      </c>
    </row>
    <row r="884" spans="1:5" x14ac:dyDescent="0.25">
      <c r="B884" s="115" t="s">
        <v>1139</v>
      </c>
      <c r="D884" s="115" t="s">
        <v>2323</v>
      </c>
      <c r="E884" s="115" t="s">
        <v>2324</v>
      </c>
    </row>
    <row r="885" spans="1:5" x14ac:dyDescent="0.25">
      <c r="B885" s="115" t="s">
        <v>1139</v>
      </c>
      <c r="D885" s="115" t="s">
        <v>2325</v>
      </c>
      <c r="E885" s="115" t="s">
        <v>2326</v>
      </c>
    </row>
    <row r="886" spans="1:5" x14ac:dyDescent="0.25">
      <c r="A886" s="115" t="s">
        <v>1138</v>
      </c>
      <c r="B886" s="115" t="s">
        <v>2327</v>
      </c>
      <c r="D886" s="115">
        <f>-278  -2067   -536  -111</f>
        <v>-2992</v>
      </c>
      <c r="E886" s="115" t="s">
        <v>2328</v>
      </c>
    </row>
    <row r="887" spans="1:5" x14ac:dyDescent="0.25">
      <c r="B887" s="115" t="s">
        <v>2329</v>
      </c>
      <c r="D887" s="115">
        <f>-563   -837  -8253  -466</f>
        <v>-10119</v>
      </c>
      <c r="E887" s="115" t="s">
        <v>2330</v>
      </c>
    </row>
    <row r="888" spans="1:5" x14ac:dyDescent="0.25">
      <c r="A888" s="115">
        <v>6</v>
      </c>
      <c r="B888" s="115" t="s">
        <v>2331</v>
      </c>
      <c r="C888" s="115">
        <v>1</v>
      </c>
      <c r="D888" s="115" t="s">
        <v>2332</v>
      </c>
      <c r="E888" s="115" t="s">
        <v>2333</v>
      </c>
    </row>
    <row r="889" spans="1:5" x14ac:dyDescent="0.25">
      <c r="A889" s="115">
        <v>6</v>
      </c>
      <c r="B889" s="115" t="s">
        <v>2334</v>
      </c>
      <c r="D889" s="115" t="s">
        <v>2335</v>
      </c>
      <c r="E889" s="115" t="s">
        <v>2336</v>
      </c>
    </row>
    <row r="890" spans="1:5" x14ac:dyDescent="0.25">
      <c r="B890" s="115" t="s">
        <v>2337</v>
      </c>
      <c r="D890" s="115" t="s">
        <v>2338</v>
      </c>
      <c r="E890" s="115" t="s">
        <v>2339</v>
      </c>
    </row>
    <row r="891" spans="1:5" x14ac:dyDescent="0.25">
      <c r="B891" s="115" t="s">
        <v>1139</v>
      </c>
      <c r="D891" s="115" t="s">
        <v>2340</v>
      </c>
      <c r="E891" s="115" t="s">
        <v>2341</v>
      </c>
    </row>
    <row r="892" spans="1:5" x14ac:dyDescent="0.25">
      <c r="B892" s="115" t="s">
        <v>2342</v>
      </c>
      <c r="D892" s="115">
        <f>-373  -1498   -112</f>
        <v>-1983</v>
      </c>
      <c r="E892" s="115" t="s">
        <v>2343</v>
      </c>
    </row>
    <row r="893" spans="1:5" x14ac:dyDescent="0.25">
      <c r="B893" s="115" t="s">
        <v>1139</v>
      </c>
      <c r="D893" s="115" t="s">
        <v>1290</v>
      </c>
      <c r="E893" s="115" t="s">
        <v>2344</v>
      </c>
    </row>
    <row r="894" spans="1:5" x14ac:dyDescent="0.25">
      <c r="B894" s="115" t="s">
        <v>1139</v>
      </c>
      <c r="D894" s="115" t="s">
        <v>1140</v>
      </c>
      <c r="E894" s="115" t="s">
        <v>2345</v>
      </c>
    </row>
    <row r="895" spans="1:5" x14ac:dyDescent="0.25">
      <c r="B895" s="115" t="s">
        <v>1139</v>
      </c>
      <c r="D895" s="115" t="s">
        <v>2346</v>
      </c>
      <c r="E895" s="115" t="s">
        <v>2347</v>
      </c>
    </row>
    <row r="896" spans="1:5" x14ac:dyDescent="0.25">
      <c r="A896" s="115" t="s">
        <v>1138</v>
      </c>
      <c r="B896" s="115" t="s">
        <v>1190</v>
      </c>
      <c r="D896" s="115" t="s">
        <v>2348</v>
      </c>
      <c r="E896" s="115" t="s">
        <v>2349</v>
      </c>
    </row>
    <row r="897" spans="1:5" x14ac:dyDescent="0.25">
      <c r="B897" s="115" t="s">
        <v>1139</v>
      </c>
      <c r="D897" s="115" t="s">
        <v>2350</v>
      </c>
      <c r="E897" s="115" t="s">
        <v>2351</v>
      </c>
    </row>
    <row r="898" spans="1:5" x14ac:dyDescent="0.25">
      <c r="A898" s="115">
        <v>6</v>
      </c>
      <c r="B898" s="115" t="s">
        <v>1338</v>
      </c>
      <c r="C898" s="115">
        <v>1</v>
      </c>
      <c r="D898" s="115" t="s">
        <v>2352</v>
      </c>
      <c r="E898" s="115" t="s">
        <v>2353</v>
      </c>
    </row>
    <row r="899" spans="1:5" x14ac:dyDescent="0.25">
      <c r="B899" s="115" t="s">
        <v>1139</v>
      </c>
      <c r="D899" s="115" t="s">
        <v>2354</v>
      </c>
      <c r="E899" s="115" t="s">
        <v>2355</v>
      </c>
    </row>
    <row r="900" spans="1:5" x14ac:dyDescent="0.25">
      <c r="B900" s="115" t="s">
        <v>1139</v>
      </c>
      <c r="D900" s="115" t="s">
        <v>2356</v>
      </c>
      <c r="E900" s="115" t="s">
        <v>2357</v>
      </c>
    </row>
    <row r="901" spans="1:5" x14ac:dyDescent="0.25">
      <c r="B901" s="115" t="s">
        <v>1139</v>
      </c>
      <c r="D901" s="115" t="s">
        <v>1140</v>
      </c>
      <c r="E901" s="115" t="s">
        <v>2358</v>
      </c>
    </row>
    <row r="902" spans="1:5" x14ac:dyDescent="0.25">
      <c r="B902" s="115" t="s">
        <v>1139</v>
      </c>
      <c r="D902" s="115" t="s">
        <v>2359</v>
      </c>
      <c r="E902" s="115" t="s">
        <v>2360</v>
      </c>
    </row>
    <row r="903" spans="1:5" x14ac:dyDescent="0.25">
      <c r="B903" s="115" t="s">
        <v>2361</v>
      </c>
      <c r="D903" s="115" t="s">
        <v>2362</v>
      </c>
      <c r="E903" s="115" t="s">
        <v>1759</v>
      </c>
    </row>
    <row r="904" spans="1:5" x14ac:dyDescent="0.25">
      <c r="B904" s="115" t="s">
        <v>1513</v>
      </c>
      <c r="D904" s="115" t="s">
        <v>1140</v>
      </c>
      <c r="E904" s="115" t="s">
        <v>2363</v>
      </c>
    </row>
    <row r="905" spans="1:5" x14ac:dyDescent="0.25">
      <c r="A905" s="115" t="s">
        <v>1138</v>
      </c>
      <c r="B905" s="115" t="s">
        <v>2364</v>
      </c>
      <c r="C905" s="115" t="s">
        <v>1138</v>
      </c>
      <c r="D905" s="115" t="s">
        <v>2365</v>
      </c>
      <c r="E905" s="115" t="s">
        <v>2366</v>
      </c>
    </row>
    <row r="906" spans="1:5" x14ac:dyDescent="0.25">
      <c r="B906" s="115" t="s">
        <v>1139</v>
      </c>
      <c r="D906" s="115" t="s">
        <v>2367</v>
      </c>
      <c r="E906" s="115" t="s">
        <v>2368</v>
      </c>
    </row>
    <row r="907" spans="1:5" x14ac:dyDescent="0.25">
      <c r="A907" s="115">
        <v>-4</v>
      </c>
      <c r="B907" s="115" t="s">
        <v>2369</v>
      </c>
      <c r="D907" s="115" t="s">
        <v>1140</v>
      </c>
      <c r="E907" s="115" t="s">
        <v>2370</v>
      </c>
    </row>
    <row r="908" spans="1:5" x14ac:dyDescent="0.25">
      <c r="A908" s="115">
        <v>-11</v>
      </c>
      <c r="B908" s="115" t="s">
        <v>2371</v>
      </c>
      <c r="C908" s="115">
        <v>2</v>
      </c>
      <c r="D908" s="115" t="s">
        <v>2372</v>
      </c>
      <c r="E908" s="115" t="s">
        <v>2373</v>
      </c>
    </row>
    <row r="909" spans="1:5" x14ac:dyDescent="0.25">
      <c r="A909" s="115">
        <v>5</v>
      </c>
      <c r="B909" s="115" t="s">
        <v>2374</v>
      </c>
      <c r="D909" s="115" t="s">
        <v>2375</v>
      </c>
      <c r="E909" s="115" t="s">
        <v>2376</v>
      </c>
    </row>
    <row r="910" spans="1:5" x14ac:dyDescent="0.25">
      <c r="B910" s="115" t="s">
        <v>2377</v>
      </c>
      <c r="D910" s="115" t="s">
        <v>2378</v>
      </c>
      <c r="E910" s="115" t="s">
        <v>2379</v>
      </c>
    </row>
    <row r="911" spans="1:5" x14ac:dyDescent="0.25">
      <c r="B911" s="115" t="s">
        <v>1139</v>
      </c>
      <c r="D911" s="115" t="s">
        <v>2380</v>
      </c>
      <c r="E911" s="115" t="s">
        <v>1141</v>
      </c>
    </row>
    <row r="912" spans="1:5" x14ac:dyDescent="0.25">
      <c r="B912" s="115" t="s">
        <v>1139</v>
      </c>
      <c r="D912" s="115" t="s">
        <v>2381</v>
      </c>
      <c r="E912" s="115" t="s">
        <v>2382</v>
      </c>
    </row>
    <row r="913" spans="1:5" x14ac:dyDescent="0.25">
      <c r="B913" s="115" t="s">
        <v>2383</v>
      </c>
      <c r="D913" s="115" t="s">
        <v>2384</v>
      </c>
      <c r="E913" s="115" t="s">
        <v>2385</v>
      </c>
    </row>
    <row r="914" spans="1:5" x14ac:dyDescent="0.25">
      <c r="B914" s="115" t="s">
        <v>1139</v>
      </c>
      <c r="D914" s="115" t="s">
        <v>2386</v>
      </c>
      <c r="E914" s="115" t="s">
        <v>1759</v>
      </c>
    </row>
    <row r="915" spans="1:5" x14ac:dyDescent="0.25">
      <c r="B915" s="115" t="s">
        <v>1139</v>
      </c>
      <c r="D915" s="115" t="s">
        <v>2387</v>
      </c>
      <c r="E915" s="115" t="s">
        <v>2388</v>
      </c>
    </row>
    <row r="916" spans="1:5" x14ac:dyDescent="0.25">
      <c r="B916" s="115" t="s">
        <v>2389</v>
      </c>
      <c r="D916" s="115" t="s">
        <v>2390</v>
      </c>
      <c r="E916" s="115" t="s">
        <v>2391</v>
      </c>
    </row>
    <row r="917" spans="1:5" x14ac:dyDescent="0.25">
      <c r="A917" s="115">
        <v>-1</v>
      </c>
      <c r="B917" s="115" t="s">
        <v>2392</v>
      </c>
      <c r="D917" s="115">
        <f>-768   -797  -1734  -515</f>
        <v>-3814</v>
      </c>
      <c r="E917" s="115" t="s">
        <v>2260</v>
      </c>
    </row>
    <row r="918" spans="1:5" x14ac:dyDescent="0.25">
      <c r="B918" s="115">
        <f>-87   -400</f>
        <v>-487</v>
      </c>
      <c r="D918" s="115">
        <f>-113 -15440  -8826  -257</f>
        <v>-24636</v>
      </c>
      <c r="E918" s="115" t="s">
        <v>2393</v>
      </c>
    </row>
    <row r="919" spans="1:5" x14ac:dyDescent="0.25">
      <c r="A919" s="115">
        <v>17</v>
      </c>
      <c r="B919" s="115" t="s">
        <v>2394</v>
      </c>
      <c r="D919" s="115" t="s">
        <v>2395</v>
      </c>
      <c r="E919" s="115" t="s">
        <v>2396</v>
      </c>
    </row>
    <row r="920" spans="1:5" x14ac:dyDescent="0.25">
      <c r="A920" s="115">
        <v>18</v>
      </c>
      <c r="B920" s="115" t="s">
        <v>2397</v>
      </c>
      <c r="C920" s="115">
        <v>1</v>
      </c>
      <c r="D920" s="115" t="s">
        <v>2398</v>
      </c>
      <c r="E920" s="115" t="s">
        <v>1141</v>
      </c>
    </row>
    <row r="921" spans="1:5" x14ac:dyDescent="0.25">
      <c r="B921" s="115" t="s">
        <v>1139</v>
      </c>
      <c r="D921" s="115" t="s">
        <v>1140</v>
      </c>
      <c r="E921" s="115" t="s">
        <v>1141</v>
      </c>
    </row>
    <row r="922" spans="1:5" x14ac:dyDescent="0.25">
      <c r="B922" s="115" t="s">
        <v>1139</v>
      </c>
      <c r="D922" s="115" t="s">
        <v>1140</v>
      </c>
      <c r="E922" s="115" t="s">
        <v>1141</v>
      </c>
    </row>
    <row r="923" spans="1:5" x14ac:dyDescent="0.25">
      <c r="B923" s="115" t="s">
        <v>1139</v>
      </c>
      <c r="D923" s="115" t="s">
        <v>1140</v>
      </c>
      <c r="E923" s="115" t="s">
        <v>1141</v>
      </c>
    </row>
    <row r="924" spans="1:5" x14ac:dyDescent="0.25">
      <c r="B924" s="115" t="s">
        <v>1139</v>
      </c>
      <c r="D924" s="115" t="s">
        <v>1140</v>
      </c>
      <c r="E924" s="115" t="s">
        <v>1141</v>
      </c>
    </row>
    <row r="925" spans="1:5" x14ac:dyDescent="0.25">
      <c r="B925" s="115" t="s">
        <v>1139</v>
      </c>
      <c r="D925" s="115" t="s">
        <v>1140</v>
      </c>
      <c r="E925" s="115" t="s">
        <v>1141</v>
      </c>
    </row>
    <row r="926" spans="1:5" x14ac:dyDescent="0.25">
      <c r="B926" s="115" t="s">
        <v>1139</v>
      </c>
      <c r="D926" s="115" t="s">
        <v>1140</v>
      </c>
      <c r="E926" s="115" t="s">
        <v>1141</v>
      </c>
    </row>
    <row r="927" spans="1:5" x14ac:dyDescent="0.25">
      <c r="B927" s="115" t="s">
        <v>1139</v>
      </c>
      <c r="D927" s="115" t="s">
        <v>1140</v>
      </c>
      <c r="E927" s="115" t="s">
        <v>1141</v>
      </c>
    </row>
    <row r="928" spans="1:5" x14ac:dyDescent="0.25">
      <c r="B928" s="115" t="s">
        <v>1139</v>
      </c>
      <c r="D928" s="115" t="s">
        <v>1140</v>
      </c>
      <c r="E928" s="115" t="s">
        <v>1141</v>
      </c>
    </row>
    <row r="929" spans="2:5" x14ac:dyDescent="0.25">
      <c r="B929" s="115" t="s">
        <v>1139</v>
      </c>
      <c r="D929" s="115" t="s">
        <v>1140</v>
      </c>
      <c r="E929" s="115" t="s">
        <v>1141</v>
      </c>
    </row>
    <row r="930" spans="2:5" x14ac:dyDescent="0.25">
      <c r="B930" s="115" t="s">
        <v>1139</v>
      </c>
      <c r="D930" s="115" t="s">
        <v>1140</v>
      </c>
      <c r="E930" s="115" t="s">
        <v>1141</v>
      </c>
    </row>
    <row r="931" spans="2:5" x14ac:dyDescent="0.25">
      <c r="B931" s="115" t="s">
        <v>1139</v>
      </c>
      <c r="D931" s="115" t="s">
        <v>1140</v>
      </c>
      <c r="E931" s="115" t="s">
        <v>1141</v>
      </c>
    </row>
    <row r="932" spans="2:5" x14ac:dyDescent="0.25">
      <c r="B932" s="115" t="s">
        <v>1139</v>
      </c>
      <c r="D932" s="115" t="s">
        <v>1140</v>
      </c>
      <c r="E932" s="115" t="s">
        <v>1141</v>
      </c>
    </row>
    <row r="933" spans="2:5" x14ac:dyDescent="0.25">
      <c r="B933" s="115" t="s">
        <v>1139</v>
      </c>
      <c r="D933" s="115" t="s">
        <v>1140</v>
      </c>
      <c r="E933" s="115" t="s">
        <v>1141</v>
      </c>
    </row>
    <row r="934" spans="2:5" x14ac:dyDescent="0.25">
      <c r="B934" s="115" t="s">
        <v>1139</v>
      </c>
      <c r="D934" s="115" t="s">
        <v>1140</v>
      </c>
      <c r="E934" s="115" t="s">
        <v>1141</v>
      </c>
    </row>
    <row r="935" spans="2:5" x14ac:dyDescent="0.25">
      <c r="B935" s="115" t="s">
        <v>1139</v>
      </c>
      <c r="D935" s="115" t="s">
        <v>1140</v>
      </c>
      <c r="E935" s="115" t="s">
        <v>1141</v>
      </c>
    </row>
    <row r="936" spans="2:5" x14ac:dyDescent="0.25">
      <c r="B936" s="115" t="s">
        <v>1139</v>
      </c>
      <c r="D936" s="115" t="s">
        <v>1140</v>
      </c>
      <c r="E936" s="115" t="s">
        <v>1141</v>
      </c>
    </row>
    <row r="937" spans="2:5" x14ac:dyDescent="0.25">
      <c r="B937" s="115" t="s">
        <v>1139</v>
      </c>
      <c r="D937" s="115" t="s">
        <v>1140</v>
      </c>
      <c r="E937" s="115" t="s">
        <v>1141</v>
      </c>
    </row>
    <row r="938" spans="2:5" x14ac:dyDescent="0.25">
      <c r="B938" s="115" t="s">
        <v>1139</v>
      </c>
      <c r="D938" s="115" t="s">
        <v>1140</v>
      </c>
      <c r="E938" s="115" t="s">
        <v>1141</v>
      </c>
    </row>
    <row r="939" spans="2:5" x14ac:dyDescent="0.25">
      <c r="B939" s="115" t="s">
        <v>1139</v>
      </c>
      <c r="D939" s="115" t="s">
        <v>1140</v>
      </c>
      <c r="E939" s="115" t="s">
        <v>1141</v>
      </c>
    </row>
    <row r="940" spans="2:5" x14ac:dyDescent="0.25">
      <c r="B940" s="115" t="s">
        <v>1139</v>
      </c>
      <c r="D940" s="115" t="s">
        <v>1140</v>
      </c>
      <c r="E940" s="115" t="s">
        <v>1141</v>
      </c>
    </row>
    <row r="941" spans="2:5" x14ac:dyDescent="0.25">
      <c r="B941" s="115" t="s">
        <v>1139</v>
      </c>
      <c r="D941" s="115" t="s">
        <v>1140</v>
      </c>
      <c r="E941" s="115" t="s">
        <v>1141</v>
      </c>
    </row>
    <row r="942" spans="2:5" x14ac:dyDescent="0.25">
      <c r="B942" s="115" t="s">
        <v>1139</v>
      </c>
      <c r="D942" s="115" t="s">
        <v>1140</v>
      </c>
      <c r="E942" s="115" t="s">
        <v>1141</v>
      </c>
    </row>
    <row r="943" spans="2:5" x14ac:dyDescent="0.25">
      <c r="B943" s="115" t="s">
        <v>1139</v>
      </c>
      <c r="D943" s="115" t="s">
        <v>1140</v>
      </c>
      <c r="E943" s="115" t="s">
        <v>1141</v>
      </c>
    </row>
    <row r="944" spans="2:5" x14ac:dyDescent="0.25">
      <c r="B944" s="115" t="s">
        <v>1139</v>
      </c>
      <c r="D944" s="115" t="s">
        <v>1140</v>
      </c>
      <c r="E944" s="115" t="s">
        <v>1141</v>
      </c>
    </row>
    <row r="945" spans="2:5" x14ac:dyDescent="0.25">
      <c r="B945" s="115" t="s">
        <v>1139</v>
      </c>
      <c r="D945" s="115" t="s">
        <v>1140</v>
      </c>
      <c r="E945" s="115" t="s">
        <v>1141</v>
      </c>
    </row>
    <row r="946" spans="2:5" x14ac:dyDescent="0.25">
      <c r="B946" s="115" t="s">
        <v>1139</v>
      </c>
      <c r="D946" s="115" t="s">
        <v>1140</v>
      </c>
      <c r="E946" s="115" t="s">
        <v>1141</v>
      </c>
    </row>
    <row r="947" spans="2:5" x14ac:dyDescent="0.25">
      <c r="B947" s="115" t="s">
        <v>1139</v>
      </c>
      <c r="D947" s="115" t="s">
        <v>1140</v>
      </c>
      <c r="E947" s="115" t="s">
        <v>1141</v>
      </c>
    </row>
    <row r="948" spans="2:5" x14ac:dyDescent="0.25">
      <c r="B948" s="115" t="s">
        <v>1139</v>
      </c>
      <c r="D948" s="115" t="s">
        <v>1140</v>
      </c>
      <c r="E948" s="115" t="s">
        <v>1141</v>
      </c>
    </row>
    <row r="949" spans="2:5" x14ac:dyDescent="0.25">
      <c r="B949" s="115" t="s">
        <v>1139</v>
      </c>
      <c r="D949" s="115" t="s">
        <v>1140</v>
      </c>
      <c r="E949" s="115" t="s">
        <v>1141</v>
      </c>
    </row>
    <row r="950" spans="2:5" x14ac:dyDescent="0.25">
      <c r="B950" s="115" t="s">
        <v>1139</v>
      </c>
      <c r="D950" s="115" t="s">
        <v>1140</v>
      </c>
      <c r="E950" s="115" t="s">
        <v>1141</v>
      </c>
    </row>
    <row r="951" spans="2:5" x14ac:dyDescent="0.25">
      <c r="B951" s="115" t="s">
        <v>1139</v>
      </c>
      <c r="D951" s="115" t="s">
        <v>1140</v>
      </c>
      <c r="E951" s="115" t="s">
        <v>1141</v>
      </c>
    </row>
    <row r="952" spans="2:5" x14ac:dyDescent="0.25">
      <c r="B952" s="115" t="s">
        <v>1139</v>
      </c>
      <c r="D952" s="115" t="s">
        <v>1140</v>
      </c>
      <c r="E952" s="115" t="s">
        <v>1141</v>
      </c>
    </row>
    <row r="953" spans="2:5" x14ac:dyDescent="0.25">
      <c r="B953" s="115" t="s">
        <v>1139</v>
      </c>
      <c r="D953" s="115" t="s">
        <v>1140</v>
      </c>
      <c r="E953" s="115" t="s">
        <v>1141</v>
      </c>
    </row>
    <row r="954" spans="2:5" x14ac:dyDescent="0.25">
      <c r="B954" s="115" t="s">
        <v>1139</v>
      </c>
      <c r="D954" s="115" t="s">
        <v>1140</v>
      </c>
      <c r="E954" s="115" t="s">
        <v>1141</v>
      </c>
    </row>
    <row r="955" spans="2:5" x14ac:dyDescent="0.25">
      <c r="B955" s="115" t="s">
        <v>1139</v>
      </c>
      <c r="D955" s="115" t="s">
        <v>1140</v>
      </c>
      <c r="E955" s="115" t="s">
        <v>1141</v>
      </c>
    </row>
    <row r="956" spans="2:5" x14ac:dyDescent="0.25">
      <c r="B956" s="115" t="s">
        <v>1139</v>
      </c>
      <c r="D956" s="115" t="s">
        <v>1140</v>
      </c>
      <c r="E956" s="115" t="s">
        <v>1141</v>
      </c>
    </row>
    <row r="957" spans="2:5" x14ac:dyDescent="0.25">
      <c r="B957" s="115" t="s">
        <v>1139</v>
      </c>
      <c r="D957" s="115" t="s">
        <v>1140</v>
      </c>
      <c r="E957" s="115" t="s">
        <v>1141</v>
      </c>
    </row>
    <row r="958" spans="2:5" x14ac:dyDescent="0.25">
      <c r="B958" s="115" t="s">
        <v>1139</v>
      </c>
      <c r="D958" s="115" t="s">
        <v>1140</v>
      </c>
      <c r="E958" s="115" t="s">
        <v>1141</v>
      </c>
    </row>
    <row r="959" spans="2:5" x14ac:dyDescent="0.25">
      <c r="B959" s="115" t="s">
        <v>1139</v>
      </c>
      <c r="D959" s="115" t="s">
        <v>1140</v>
      </c>
      <c r="E959" s="115" t="s">
        <v>1141</v>
      </c>
    </row>
    <row r="960" spans="2:5" x14ac:dyDescent="0.25">
      <c r="B960" s="115" t="s">
        <v>1139</v>
      </c>
      <c r="D960" s="115" t="s">
        <v>1140</v>
      </c>
      <c r="E960" s="115" t="s">
        <v>1141</v>
      </c>
    </row>
    <row r="961" spans="1:5" x14ac:dyDescent="0.25">
      <c r="B961" s="115" t="s">
        <v>1139</v>
      </c>
      <c r="D961" s="115" t="s">
        <v>1140</v>
      </c>
      <c r="E961" s="115" t="s">
        <v>1141</v>
      </c>
    </row>
    <row r="962" spans="1:5" x14ac:dyDescent="0.25">
      <c r="B962" s="115" t="s">
        <v>1139</v>
      </c>
      <c r="D962" s="115" t="s">
        <v>1140</v>
      </c>
      <c r="E962" s="115" t="s">
        <v>1141</v>
      </c>
    </row>
    <row r="963" spans="1:5" x14ac:dyDescent="0.25">
      <c r="B963" s="115" t="s">
        <v>1139</v>
      </c>
      <c r="D963" s="115" t="s">
        <v>2399</v>
      </c>
      <c r="E963" s="115" t="s">
        <v>2400</v>
      </c>
    </row>
    <row r="964" spans="1:5" x14ac:dyDescent="0.25">
      <c r="B964" s="115" t="s">
        <v>1620</v>
      </c>
      <c r="D964" s="115" t="s">
        <v>2401</v>
      </c>
      <c r="E964" s="115" t="s">
        <v>2402</v>
      </c>
    </row>
    <row r="965" spans="1:5" x14ac:dyDescent="0.25">
      <c r="B965" s="115" t="s">
        <v>1139</v>
      </c>
      <c r="D965" s="115" t="s">
        <v>1140</v>
      </c>
      <c r="E965" s="115" t="s">
        <v>2403</v>
      </c>
    </row>
    <row r="966" spans="1:5" x14ac:dyDescent="0.25">
      <c r="B966" s="115" t="s">
        <v>2404</v>
      </c>
      <c r="D966" s="115">
        <f>-325  -1185   -421   -51</f>
        <v>-1982</v>
      </c>
      <c r="E966" s="115" t="s">
        <v>2405</v>
      </c>
    </row>
    <row r="967" spans="1:5" x14ac:dyDescent="0.25">
      <c r="A967" s="115" t="s">
        <v>1138</v>
      </c>
      <c r="B967" s="115" t="s">
        <v>1554</v>
      </c>
      <c r="D967" s="115" t="s">
        <v>2406</v>
      </c>
      <c r="E967" s="115" t="s">
        <v>1141</v>
      </c>
    </row>
    <row r="968" spans="1:5" x14ac:dyDescent="0.25">
      <c r="B968" s="115" t="s">
        <v>2407</v>
      </c>
      <c r="D968" s="115" t="s">
        <v>1140</v>
      </c>
      <c r="E968" s="115" t="s">
        <v>2408</v>
      </c>
    </row>
    <row r="969" spans="1:5" x14ac:dyDescent="0.25">
      <c r="B969" s="115" t="s">
        <v>1282</v>
      </c>
      <c r="D969" s="115" t="s">
        <v>1140</v>
      </c>
      <c r="E969" s="115" t="s">
        <v>2409</v>
      </c>
    </row>
    <row r="970" spans="1:5" x14ac:dyDescent="0.25">
      <c r="B970" s="115" t="s">
        <v>1272</v>
      </c>
      <c r="D970" s="115" t="s">
        <v>2410</v>
      </c>
      <c r="E970" s="115" t="s">
        <v>2411</v>
      </c>
    </row>
    <row r="971" spans="1:5" x14ac:dyDescent="0.25">
      <c r="A971" s="115" t="s">
        <v>1138</v>
      </c>
      <c r="B971" s="115" t="s">
        <v>1567</v>
      </c>
      <c r="D971" s="115" t="s">
        <v>2412</v>
      </c>
      <c r="E971" s="115" t="s">
        <v>2413</v>
      </c>
    </row>
    <row r="972" spans="1:5" x14ac:dyDescent="0.25">
      <c r="B972" s="115" t="s">
        <v>2414</v>
      </c>
      <c r="D972" s="115" t="s">
        <v>2415</v>
      </c>
      <c r="E972" s="115" t="s">
        <v>2416</v>
      </c>
    </row>
    <row r="973" spans="1:5" x14ac:dyDescent="0.25">
      <c r="A973" s="115">
        <v>12</v>
      </c>
      <c r="B973" s="115" t="s">
        <v>2417</v>
      </c>
      <c r="D973" s="115" t="s">
        <v>2418</v>
      </c>
      <c r="E973" s="115" t="s">
        <v>2419</v>
      </c>
    </row>
    <row r="974" spans="1:5" x14ac:dyDescent="0.25">
      <c r="A974" s="115">
        <v>3</v>
      </c>
      <c r="B974" s="115" t="s">
        <v>2420</v>
      </c>
      <c r="D974" s="115" t="s">
        <v>2421</v>
      </c>
      <c r="E974" s="115" t="s">
        <v>2422</v>
      </c>
    </row>
    <row r="975" spans="1:5" x14ac:dyDescent="0.25">
      <c r="B975" s="115" t="s">
        <v>2423</v>
      </c>
      <c r="D975" s="115" t="s">
        <v>2424</v>
      </c>
      <c r="E975" s="115" t="s">
        <v>2425</v>
      </c>
    </row>
    <row r="976" spans="1:5" x14ac:dyDescent="0.25">
      <c r="B976" s="115" t="s">
        <v>1139</v>
      </c>
      <c r="D976" s="115" t="s">
        <v>1140</v>
      </c>
      <c r="E976" s="115" t="s">
        <v>2426</v>
      </c>
    </row>
    <row r="977" spans="1:5" x14ac:dyDescent="0.25">
      <c r="B977" s="115" t="s">
        <v>1235</v>
      </c>
      <c r="C977" s="115" t="s">
        <v>1138</v>
      </c>
      <c r="D977" s="115" t="s">
        <v>2427</v>
      </c>
      <c r="E977" s="115" t="s">
        <v>2428</v>
      </c>
    </row>
    <row r="978" spans="1:5" x14ac:dyDescent="0.25">
      <c r="A978" s="115">
        <v>2</v>
      </c>
      <c r="B978" s="115" t="s">
        <v>1503</v>
      </c>
      <c r="D978" s="115" t="s">
        <v>1542</v>
      </c>
      <c r="E978" s="115" t="s">
        <v>1141</v>
      </c>
    </row>
    <row r="979" spans="1:5" x14ac:dyDescent="0.25">
      <c r="A979" s="115" t="s">
        <v>1138</v>
      </c>
      <c r="B979" s="115" t="s">
        <v>1150</v>
      </c>
      <c r="D979" s="115" t="s">
        <v>1140</v>
      </c>
      <c r="E979" s="115" t="s">
        <v>2429</v>
      </c>
    </row>
    <row r="980" spans="1:5" x14ac:dyDescent="0.25">
      <c r="B980" s="115" t="s">
        <v>2233</v>
      </c>
      <c r="D980" s="115" t="s">
        <v>1140</v>
      </c>
      <c r="E980" s="115" t="s">
        <v>2430</v>
      </c>
    </row>
    <row r="981" spans="1:5" x14ac:dyDescent="0.25">
      <c r="B981" s="115" t="s">
        <v>2431</v>
      </c>
      <c r="D981" s="115" t="s">
        <v>2432</v>
      </c>
      <c r="E981" s="115" t="s">
        <v>2433</v>
      </c>
    </row>
    <row r="982" spans="1:5" x14ac:dyDescent="0.25">
      <c r="B982" s="115" t="s">
        <v>1449</v>
      </c>
      <c r="D982" s="115" t="s">
        <v>2434</v>
      </c>
      <c r="E982" s="115" t="s">
        <v>2435</v>
      </c>
    </row>
    <row r="983" spans="1:5" x14ac:dyDescent="0.25">
      <c r="A983" s="115" t="s">
        <v>1138</v>
      </c>
      <c r="B983" s="115" t="s">
        <v>2436</v>
      </c>
      <c r="D983" s="115" t="s">
        <v>2437</v>
      </c>
      <c r="E983" s="115" t="s">
        <v>2438</v>
      </c>
    </row>
    <row r="984" spans="1:5" x14ac:dyDescent="0.25">
      <c r="A984" s="115">
        <v>-6</v>
      </c>
      <c r="B984" s="115" t="s">
        <v>2439</v>
      </c>
      <c r="D984" s="115" t="s">
        <v>2440</v>
      </c>
      <c r="E984" s="115" t="s">
        <v>2441</v>
      </c>
    </row>
    <row r="985" spans="1:5" x14ac:dyDescent="0.25">
      <c r="A985" s="115">
        <v>3</v>
      </c>
      <c r="B985" s="115" t="s">
        <v>1227</v>
      </c>
      <c r="D985" s="115" t="s">
        <v>2442</v>
      </c>
      <c r="E985" s="115" t="s">
        <v>1702</v>
      </c>
    </row>
    <row r="986" spans="1:5" x14ac:dyDescent="0.25">
      <c r="B986" s="115" t="s">
        <v>1139</v>
      </c>
      <c r="D986" s="115" t="s">
        <v>1140</v>
      </c>
      <c r="E986" s="115" t="s">
        <v>1141</v>
      </c>
    </row>
    <row r="987" spans="1:5" x14ac:dyDescent="0.25">
      <c r="B987" s="115" t="s">
        <v>1139</v>
      </c>
      <c r="D987" s="115" t="s">
        <v>1140</v>
      </c>
      <c r="E987" s="115" t="s">
        <v>1141</v>
      </c>
    </row>
    <row r="988" spans="1:5" x14ac:dyDescent="0.25">
      <c r="B988" s="115" t="s">
        <v>1139</v>
      </c>
      <c r="D988" s="115" t="s">
        <v>1140</v>
      </c>
      <c r="E988" s="115" t="s">
        <v>1141</v>
      </c>
    </row>
    <row r="989" spans="1:5" x14ac:dyDescent="0.25">
      <c r="B989" s="115" t="s">
        <v>1139</v>
      </c>
      <c r="D989" s="115" t="s">
        <v>1140</v>
      </c>
      <c r="E989" s="115" t="s">
        <v>1141</v>
      </c>
    </row>
    <row r="990" spans="1:5" x14ac:dyDescent="0.25">
      <c r="B990" s="115" t="s">
        <v>1139</v>
      </c>
      <c r="D990" s="115" t="s">
        <v>1140</v>
      </c>
      <c r="E990" s="115" t="s">
        <v>1141</v>
      </c>
    </row>
    <row r="991" spans="1:5" x14ac:dyDescent="0.25">
      <c r="B991" s="115" t="s">
        <v>1139</v>
      </c>
      <c r="D991" s="115" t="s">
        <v>1140</v>
      </c>
      <c r="E991" s="115" t="s">
        <v>1141</v>
      </c>
    </row>
    <row r="992" spans="1:5" x14ac:dyDescent="0.25">
      <c r="B992" s="115" t="s">
        <v>1139</v>
      </c>
      <c r="D992" s="115" t="s">
        <v>1140</v>
      </c>
      <c r="E992" s="115" t="s">
        <v>1141</v>
      </c>
    </row>
    <row r="993" spans="1:5" x14ac:dyDescent="0.25">
      <c r="B993" s="115" t="s">
        <v>1139</v>
      </c>
      <c r="D993" s="115" t="s">
        <v>1140</v>
      </c>
      <c r="E993" s="115" t="s">
        <v>1141</v>
      </c>
    </row>
    <row r="994" spans="1:5" x14ac:dyDescent="0.25">
      <c r="B994" s="115" t="s">
        <v>1139</v>
      </c>
      <c r="D994" s="115" t="s">
        <v>1140</v>
      </c>
      <c r="E994" s="115" t="s">
        <v>1141</v>
      </c>
    </row>
    <row r="995" spans="1:5" x14ac:dyDescent="0.25">
      <c r="B995" s="115" t="s">
        <v>1139</v>
      </c>
      <c r="D995" s="115" t="s">
        <v>1140</v>
      </c>
      <c r="E995" s="115" t="s">
        <v>1141</v>
      </c>
    </row>
    <row r="996" spans="1:5" x14ac:dyDescent="0.25">
      <c r="B996" s="115" t="s">
        <v>1139</v>
      </c>
      <c r="D996" s="115" t="s">
        <v>1140</v>
      </c>
      <c r="E996" s="115" t="s">
        <v>2443</v>
      </c>
    </row>
    <row r="997" spans="1:5" x14ac:dyDescent="0.25">
      <c r="A997" s="115">
        <v>1</v>
      </c>
      <c r="B997" s="115" t="s">
        <v>2444</v>
      </c>
      <c r="D997" s="115" t="s">
        <v>1337</v>
      </c>
      <c r="E997" s="115" t="s">
        <v>2445</v>
      </c>
    </row>
    <row r="998" spans="1:5" x14ac:dyDescent="0.25">
      <c r="B998" s="115" t="s">
        <v>2446</v>
      </c>
      <c r="D998" s="115" t="s">
        <v>1140</v>
      </c>
      <c r="E998" s="115" t="s">
        <v>1141</v>
      </c>
    </row>
    <row r="999" spans="1:5" x14ac:dyDescent="0.25">
      <c r="A999" s="115">
        <v>-3</v>
      </c>
      <c r="B999" s="115" t="s">
        <v>2447</v>
      </c>
      <c r="D999" s="115" t="s">
        <v>2448</v>
      </c>
      <c r="E999" s="115" t="s">
        <v>2449</v>
      </c>
    </row>
    <row r="1000" spans="1:5" x14ac:dyDescent="0.25">
      <c r="B1000" s="115" t="s">
        <v>1139</v>
      </c>
      <c r="D1000" s="115" t="s">
        <v>2450</v>
      </c>
      <c r="E1000" s="115" t="s">
        <v>2451</v>
      </c>
    </row>
    <row r="1001" spans="1:5" x14ac:dyDescent="0.25">
      <c r="B1001" s="115" t="s">
        <v>1139</v>
      </c>
      <c r="D1001" s="115" t="s">
        <v>2452</v>
      </c>
      <c r="E1001" s="115" t="s">
        <v>1141</v>
      </c>
    </row>
    <row r="1002" spans="1:5" x14ac:dyDescent="0.25">
      <c r="B1002" s="115" t="s">
        <v>2453</v>
      </c>
      <c r="D1002" s="115" t="s">
        <v>2454</v>
      </c>
      <c r="E1002" s="115" t="s">
        <v>2455</v>
      </c>
    </row>
    <row r="1003" spans="1:5" x14ac:dyDescent="0.25">
      <c r="A1003" s="115">
        <v>1</v>
      </c>
      <c r="B1003" s="115" t="s">
        <v>2456</v>
      </c>
      <c r="D1003" s="115" t="s">
        <v>2457</v>
      </c>
      <c r="E1003" s="115" t="s">
        <v>2458</v>
      </c>
    </row>
    <row r="1004" spans="1:5" x14ac:dyDescent="0.25">
      <c r="B1004" s="115" t="s">
        <v>2459</v>
      </c>
      <c r="D1004" s="115" t="s">
        <v>2460</v>
      </c>
      <c r="E1004" s="115" t="s">
        <v>2461</v>
      </c>
    </row>
    <row r="1005" spans="1:5" x14ac:dyDescent="0.25">
      <c r="A1005" s="115">
        <v>-2</v>
      </c>
      <c r="B1005" s="115" t="s">
        <v>2462</v>
      </c>
      <c r="D1005" s="115" t="s">
        <v>2463</v>
      </c>
      <c r="E1005" s="115" t="s">
        <v>2464</v>
      </c>
    </row>
    <row r="1006" spans="1:5" x14ac:dyDescent="0.25">
      <c r="A1006" s="115">
        <v>1</v>
      </c>
      <c r="B1006" s="115" t="s">
        <v>2465</v>
      </c>
      <c r="D1006" s="115" t="s">
        <v>2466</v>
      </c>
      <c r="E1006" s="115" t="s">
        <v>2467</v>
      </c>
    </row>
    <row r="1007" spans="1:5" x14ac:dyDescent="0.25">
      <c r="B1007" s="115" t="s">
        <v>2468</v>
      </c>
      <c r="D1007" s="115" t="s">
        <v>2469</v>
      </c>
      <c r="E1007" s="115" t="s">
        <v>2470</v>
      </c>
    </row>
    <row r="1008" spans="1:5" x14ac:dyDescent="0.25">
      <c r="B1008" s="115" t="s">
        <v>2471</v>
      </c>
      <c r="C1008" s="115">
        <v>4</v>
      </c>
      <c r="D1008" s="115" t="s">
        <v>2472</v>
      </c>
      <c r="E1008" s="115" t="s">
        <v>2473</v>
      </c>
    </row>
    <row r="1009" spans="1:5" x14ac:dyDescent="0.25">
      <c r="B1009" s="115" t="s">
        <v>1139</v>
      </c>
      <c r="D1009" s="115" t="s">
        <v>2474</v>
      </c>
      <c r="E1009" s="115" t="s">
        <v>1141</v>
      </c>
    </row>
    <row r="1010" spans="1:5" x14ac:dyDescent="0.25">
      <c r="B1010" s="115" t="s">
        <v>1139</v>
      </c>
      <c r="D1010" s="115" t="s">
        <v>2475</v>
      </c>
      <c r="E1010" s="115" t="s">
        <v>2476</v>
      </c>
    </row>
    <row r="1011" spans="1:5" x14ac:dyDescent="0.25">
      <c r="A1011" s="115" t="s">
        <v>1138</v>
      </c>
      <c r="B1011" s="115" t="s">
        <v>2477</v>
      </c>
      <c r="D1011" s="115" t="s">
        <v>2478</v>
      </c>
      <c r="E1011" s="115" t="s">
        <v>2479</v>
      </c>
    </row>
    <row r="1012" spans="1:5" x14ac:dyDescent="0.25">
      <c r="B1012" s="115" t="s">
        <v>1630</v>
      </c>
      <c r="D1012" s="115" t="s">
        <v>1140</v>
      </c>
      <c r="E1012" s="115" t="s">
        <v>2480</v>
      </c>
    </row>
    <row r="1013" spans="1:5" x14ac:dyDescent="0.25">
      <c r="B1013" s="115" t="s">
        <v>1139</v>
      </c>
      <c r="D1013" s="115" t="s">
        <v>2481</v>
      </c>
      <c r="E1013" s="115" t="s">
        <v>2482</v>
      </c>
    </row>
    <row r="1014" spans="1:5" x14ac:dyDescent="0.25">
      <c r="B1014" s="115" t="s">
        <v>1139</v>
      </c>
      <c r="D1014" s="115" t="s">
        <v>2483</v>
      </c>
      <c r="E1014" s="115" t="s">
        <v>2484</v>
      </c>
    </row>
    <row r="1015" spans="1:5" x14ac:dyDescent="0.25">
      <c r="B1015" s="115" t="s">
        <v>2485</v>
      </c>
      <c r="D1015" s="115" t="s">
        <v>2486</v>
      </c>
      <c r="E1015" s="115" t="s">
        <v>2487</v>
      </c>
    </row>
    <row r="1016" spans="1:5" x14ac:dyDescent="0.25">
      <c r="B1016" s="115" t="s">
        <v>2488</v>
      </c>
      <c r="D1016" s="115" t="s">
        <v>2489</v>
      </c>
      <c r="E1016" s="115" t="s">
        <v>2490</v>
      </c>
    </row>
    <row r="1017" spans="1:5" x14ac:dyDescent="0.25">
      <c r="A1017" s="115" t="s">
        <v>1138</v>
      </c>
      <c r="B1017" s="115" t="s">
        <v>2491</v>
      </c>
      <c r="D1017" s="115" t="s">
        <v>2492</v>
      </c>
      <c r="E1017" s="115" t="s">
        <v>2493</v>
      </c>
    </row>
    <row r="1018" spans="1:5" x14ac:dyDescent="0.25">
      <c r="B1018" s="115" t="s">
        <v>2494</v>
      </c>
      <c r="D1018" s="115" t="s">
        <v>2495</v>
      </c>
      <c r="E1018" s="115" t="s">
        <v>2496</v>
      </c>
    </row>
    <row r="1019" spans="1:5" x14ac:dyDescent="0.25">
      <c r="B1019" s="115" t="s">
        <v>2497</v>
      </c>
      <c r="D1019" s="115" t="s">
        <v>2498</v>
      </c>
      <c r="E1019" s="115" t="s">
        <v>2499</v>
      </c>
    </row>
    <row r="1020" spans="1:5" x14ac:dyDescent="0.25">
      <c r="B1020" s="115" t="s">
        <v>1209</v>
      </c>
      <c r="D1020" s="115" t="s">
        <v>2500</v>
      </c>
      <c r="E1020" s="115" t="s">
        <v>2501</v>
      </c>
    </row>
    <row r="1021" spans="1:5" x14ac:dyDescent="0.25">
      <c r="B1021" s="115" t="s">
        <v>1139</v>
      </c>
      <c r="D1021" s="115" t="s">
        <v>1140</v>
      </c>
      <c r="E1021" s="115" t="s">
        <v>2502</v>
      </c>
    </row>
    <row r="1022" spans="1:5" x14ac:dyDescent="0.25">
      <c r="B1022" s="115" t="s">
        <v>2503</v>
      </c>
      <c r="D1022" s="115" t="s">
        <v>2504</v>
      </c>
      <c r="E1022" s="115" t="s">
        <v>2505</v>
      </c>
    </row>
    <row r="1023" spans="1:5" x14ac:dyDescent="0.25">
      <c r="A1023" s="115" t="s">
        <v>1138</v>
      </c>
      <c r="B1023" s="115" t="s">
        <v>1625</v>
      </c>
      <c r="D1023" s="115" t="s">
        <v>1940</v>
      </c>
      <c r="E1023" s="115" t="s">
        <v>1141</v>
      </c>
    </row>
    <row r="1024" spans="1:5" x14ac:dyDescent="0.25">
      <c r="B1024" s="115" t="s">
        <v>2506</v>
      </c>
      <c r="D1024" s="115" t="s">
        <v>1140</v>
      </c>
      <c r="E1024" s="115" t="s">
        <v>2507</v>
      </c>
    </row>
    <row r="1025" spans="1:5" x14ac:dyDescent="0.25">
      <c r="B1025" s="115" t="s">
        <v>1373</v>
      </c>
      <c r="D1025" s="115" t="s">
        <v>1140</v>
      </c>
      <c r="E1025" s="115" t="s">
        <v>2508</v>
      </c>
    </row>
    <row r="1026" spans="1:5" x14ac:dyDescent="0.25">
      <c r="B1026" s="115" t="s">
        <v>2509</v>
      </c>
      <c r="D1026" s="115" t="s">
        <v>2510</v>
      </c>
      <c r="E1026" s="115" t="s">
        <v>2511</v>
      </c>
    </row>
    <row r="1027" spans="1:5" x14ac:dyDescent="0.25">
      <c r="B1027" s="115" t="s">
        <v>2512</v>
      </c>
      <c r="D1027" s="115" t="s">
        <v>2513</v>
      </c>
      <c r="E1027" s="115" t="s">
        <v>2514</v>
      </c>
    </row>
    <row r="1028" spans="1:5" x14ac:dyDescent="0.25">
      <c r="A1028" s="115">
        <v>-7</v>
      </c>
      <c r="B1028" s="115" t="s">
        <v>2515</v>
      </c>
      <c r="C1028" s="115" t="s">
        <v>1138</v>
      </c>
      <c r="D1028" s="115" t="s">
        <v>2516</v>
      </c>
      <c r="E1028" s="115" t="s">
        <v>2517</v>
      </c>
    </row>
    <row r="1029" spans="1:5" x14ac:dyDescent="0.25">
      <c r="B1029" s="115" t="s">
        <v>2518</v>
      </c>
      <c r="D1029" s="115" t="s">
        <v>2519</v>
      </c>
      <c r="E1029" s="115" t="s">
        <v>2520</v>
      </c>
    </row>
    <row r="1030" spans="1:5" x14ac:dyDescent="0.25">
      <c r="B1030" s="115" t="s">
        <v>1501</v>
      </c>
      <c r="D1030" s="115" t="s">
        <v>2075</v>
      </c>
      <c r="E1030" s="115" t="s">
        <v>2521</v>
      </c>
    </row>
    <row r="1031" spans="1:5" x14ac:dyDescent="0.25">
      <c r="A1031" s="115">
        <v>-6</v>
      </c>
      <c r="B1031" s="115" t="s">
        <v>2522</v>
      </c>
      <c r="D1031" s="115" t="s">
        <v>2523</v>
      </c>
      <c r="E1031" s="115" t="s">
        <v>2524</v>
      </c>
    </row>
    <row r="1032" spans="1:5" x14ac:dyDescent="0.25">
      <c r="B1032" s="115" t="s">
        <v>1139</v>
      </c>
      <c r="D1032" s="115" t="s">
        <v>2525</v>
      </c>
      <c r="E1032" s="115" t="s">
        <v>1141</v>
      </c>
    </row>
    <row r="1033" spans="1:5" x14ac:dyDescent="0.25">
      <c r="B1033" s="115" t="s">
        <v>1139</v>
      </c>
      <c r="D1033" s="115" t="s">
        <v>2526</v>
      </c>
      <c r="E1033" s="115" t="s">
        <v>2527</v>
      </c>
    </row>
    <row r="1034" spans="1:5" x14ac:dyDescent="0.25">
      <c r="A1034" s="115">
        <v>1</v>
      </c>
      <c r="B1034" s="115" t="s">
        <v>2528</v>
      </c>
      <c r="D1034" s="115" t="s">
        <v>2529</v>
      </c>
      <c r="E1034" s="115" t="s">
        <v>2530</v>
      </c>
    </row>
    <row r="1035" spans="1:5" x14ac:dyDescent="0.25">
      <c r="B1035" s="115" t="s">
        <v>1139</v>
      </c>
      <c r="D1035" s="115" t="s">
        <v>1848</v>
      </c>
      <c r="E1035" s="115" t="s">
        <v>1141</v>
      </c>
    </row>
    <row r="1036" spans="1:5" x14ac:dyDescent="0.25">
      <c r="B1036" s="115" t="s">
        <v>1139</v>
      </c>
      <c r="D1036" s="115" t="s">
        <v>2531</v>
      </c>
      <c r="E1036" s="115" t="s">
        <v>2532</v>
      </c>
    </row>
    <row r="1037" spans="1:5" x14ac:dyDescent="0.25">
      <c r="B1037" s="115" t="s">
        <v>2533</v>
      </c>
      <c r="D1037" s="115" t="s">
        <v>2534</v>
      </c>
      <c r="E1037" s="115" t="s">
        <v>2535</v>
      </c>
    </row>
    <row r="1038" spans="1:5" x14ac:dyDescent="0.25">
      <c r="A1038" s="115" t="s">
        <v>1138</v>
      </c>
      <c r="B1038" s="115" t="s">
        <v>2536</v>
      </c>
      <c r="D1038" s="115">
        <f>-166    -11   -711   -97</f>
        <v>-985</v>
      </c>
      <c r="E1038" s="115" t="s">
        <v>2537</v>
      </c>
    </row>
    <row r="1039" spans="1:5" x14ac:dyDescent="0.25">
      <c r="A1039" s="115" t="s">
        <v>1138</v>
      </c>
      <c r="B1039" s="115" t="s">
        <v>2538</v>
      </c>
      <c r="D1039" s="115" t="s">
        <v>2539</v>
      </c>
      <c r="E1039" s="115" t="s">
        <v>2540</v>
      </c>
    </row>
    <row r="1040" spans="1:5" x14ac:dyDescent="0.25">
      <c r="A1040" s="115">
        <v>-2</v>
      </c>
      <c r="B1040" s="115" t="s">
        <v>2541</v>
      </c>
      <c r="D1040" s="115" t="s">
        <v>2542</v>
      </c>
      <c r="E1040" s="115" t="s">
        <v>2543</v>
      </c>
    </row>
    <row r="1041" spans="1:5" x14ac:dyDescent="0.25">
      <c r="A1041" s="115" t="s">
        <v>1138</v>
      </c>
      <c r="B1041" s="115" t="s">
        <v>1418</v>
      </c>
      <c r="D1041" s="115">
        <f>-638  -2550  -2423  -249</f>
        <v>-5860</v>
      </c>
      <c r="E1041" s="115" t="s">
        <v>1859</v>
      </c>
    </row>
    <row r="1042" spans="1:5" x14ac:dyDescent="0.25">
      <c r="A1042" s="115" t="s">
        <v>1138</v>
      </c>
      <c r="B1042" s="115" t="s">
        <v>2544</v>
      </c>
      <c r="D1042" s="115" t="s">
        <v>2545</v>
      </c>
      <c r="E1042" s="115" t="s">
        <v>2546</v>
      </c>
    </row>
    <row r="1043" spans="1:5" x14ac:dyDescent="0.25">
      <c r="B1043" s="115" t="s">
        <v>1139</v>
      </c>
      <c r="D1043" s="115" t="s">
        <v>2547</v>
      </c>
      <c r="E1043" s="115" t="s">
        <v>2548</v>
      </c>
    </row>
    <row r="1044" spans="1:5" x14ac:dyDescent="0.25">
      <c r="B1044" s="115" t="s">
        <v>1139</v>
      </c>
      <c r="D1044" s="115" t="s">
        <v>1140</v>
      </c>
      <c r="E1044" s="115" t="s">
        <v>2549</v>
      </c>
    </row>
    <row r="1045" spans="1:5" x14ac:dyDescent="0.25">
      <c r="B1045" s="115" t="s">
        <v>1139</v>
      </c>
      <c r="D1045" s="115" t="s">
        <v>2550</v>
      </c>
      <c r="E1045" s="115" t="s">
        <v>2551</v>
      </c>
    </row>
    <row r="1046" spans="1:5" x14ac:dyDescent="0.25">
      <c r="B1046" s="115" t="s">
        <v>2552</v>
      </c>
      <c r="D1046" s="115" t="s">
        <v>2338</v>
      </c>
      <c r="E1046" s="115" t="s">
        <v>1859</v>
      </c>
    </row>
    <row r="1047" spans="1:5" x14ac:dyDescent="0.25">
      <c r="B1047" s="115" t="s">
        <v>1205</v>
      </c>
      <c r="D1047" s="115" t="s">
        <v>1140</v>
      </c>
      <c r="E1047" s="115" t="s">
        <v>2553</v>
      </c>
    </row>
    <row r="1048" spans="1:5" x14ac:dyDescent="0.25">
      <c r="A1048" s="115" t="s">
        <v>1138</v>
      </c>
      <c r="B1048" s="115" t="s">
        <v>1674</v>
      </c>
      <c r="D1048" s="115" t="s">
        <v>2554</v>
      </c>
      <c r="E1048" s="115" t="s">
        <v>2555</v>
      </c>
    </row>
    <row r="1049" spans="1:5" x14ac:dyDescent="0.25">
      <c r="B1049" s="115" t="s">
        <v>1139</v>
      </c>
      <c r="D1049" s="115" t="s">
        <v>2556</v>
      </c>
      <c r="E1049" s="115" t="s">
        <v>2557</v>
      </c>
    </row>
    <row r="1050" spans="1:5" x14ac:dyDescent="0.25">
      <c r="B1050" s="115" t="s">
        <v>2558</v>
      </c>
      <c r="D1050" s="115" t="s">
        <v>1140</v>
      </c>
      <c r="E1050" s="115" t="s">
        <v>2559</v>
      </c>
    </row>
    <row r="1051" spans="1:5" x14ac:dyDescent="0.25">
      <c r="B1051" s="115" t="s">
        <v>2560</v>
      </c>
      <c r="C1051" s="115" t="s">
        <v>1138</v>
      </c>
      <c r="D1051" s="115" t="s">
        <v>2561</v>
      </c>
      <c r="E1051" s="115" t="s">
        <v>2562</v>
      </c>
    </row>
    <row r="1052" spans="1:5" x14ac:dyDescent="0.25">
      <c r="B1052" s="115" t="s">
        <v>2563</v>
      </c>
      <c r="C1052" s="115" t="s">
        <v>1138</v>
      </c>
      <c r="D1052" s="115" t="s">
        <v>2564</v>
      </c>
      <c r="E1052" s="115" t="s">
        <v>2565</v>
      </c>
    </row>
    <row r="1053" spans="1:5" x14ac:dyDescent="0.25">
      <c r="B1053" s="115" t="s">
        <v>2566</v>
      </c>
      <c r="D1053" s="115" t="s">
        <v>1140</v>
      </c>
      <c r="E1053" s="115" t="s">
        <v>2567</v>
      </c>
    </row>
    <row r="1054" spans="1:5" x14ac:dyDescent="0.25">
      <c r="A1054" s="115">
        <v>-10</v>
      </c>
      <c r="B1054" s="115" t="s">
        <v>2568</v>
      </c>
      <c r="C1054" s="115">
        <v>3</v>
      </c>
      <c r="D1054" s="115" t="s">
        <v>2569</v>
      </c>
      <c r="E1054" s="115" t="s">
        <v>2570</v>
      </c>
    </row>
    <row r="1055" spans="1:5" x14ac:dyDescent="0.25">
      <c r="B1055" s="115" t="s">
        <v>2571</v>
      </c>
      <c r="D1055" s="115" t="s">
        <v>2572</v>
      </c>
      <c r="E1055" s="115" t="s">
        <v>2573</v>
      </c>
    </row>
    <row r="1056" spans="1:5" x14ac:dyDescent="0.25">
      <c r="B1056" s="115" t="s">
        <v>1139</v>
      </c>
      <c r="D1056" s="115" t="s">
        <v>2574</v>
      </c>
      <c r="E1056" s="115" t="s">
        <v>2575</v>
      </c>
    </row>
    <row r="1057" spans="1:5" x14ac:dyDescent="0.25">
      <c r="A1057" s="115" t="s">
        <v>1138</v>
      </c>
      <c r="B1057" s="115" t="s">
        <v>2576</v>
      </c>
      <c r="D1057" s="115">
        <f>-897  -1561    -91</f>
        <v>-2549</v>
      </c>
      <c r="E1057" s="115" t="s">
        <v>2577</v>
      </c>
    </row>
    <row r="1058" spans="1:5" x14ac:dyDescent="0.25">
      <c r="B1058" s="115" t="s">
        <v>1139</v>
      </c>
      <c r="D1058" s="115" t="s">
        <v>2578</v>
      </c>
      <c r="E1058" s="115" t="s">
        <v>2579</v>
      </c>
    </row>
    <row r="1059" spans="1:5" x14ac:dyDescent="0.25">
      <c r="B1059" s="115" t="s">
        <v>1139</v>
      </c>
      <c r="D1059" s="115" t="s">
        <v>1140</v>
      </c>
      <c r="E1059" s="115" t="s">
        <v>2580</v>
      </c>
    </row>
    <row r="1060" spans="1:5" x14ac:dyDescent="0.25">
      <c r="B1060" s="115" t="s">
        <v>1139</v>
      </c>
      <c r="D1060" s="115" t="s">
        <v>2581</v>
      </c>
      <c r="E1060" s="115" t="s">
        <v>2582</v>
      </c>
    </row>
    <row r="1061" spans="1:5" x14ac:dyDescent="0.25">
      <c r="B1061" s="115" t="s">
        <v>1303</v>
      </c>
      <c r="D1061" s="115" t="s">
        <v>2583</v>
      </c>
      <c r="E1061" s="115" t="s">
        <v>2584</v>
      </c>
    </row>
    <row r="1062" spans="1:5" x14ac:dyDescent="0.25">
      <c r="B1062" s="115" t="s">
        <v>1139</v>
      </c>
      <c r="D1062" s="115" t="s">
        <v>2585</v>
      </c>
      <c r="E1062" s="115" t="s">
        <v>2586</v>
      </c>
    </row>
    <row r="1063" spans="1:5" x14ac:dyDescent="0.25">
      <c r="B1063" s="115" t="s">
        <v>1527</v>
      </c>
      <c r="D1063" s="115" t="s">
        <v>2587</v>
      </c>
      <c r="E1063" s="115" t="s">
        <v>2588</v>
      </c>
    </row>
    <row r="1064" spans="1:5" x14ac:dyDescent="0.25">
      <c r="B1064" s="115" t="s">
        <v>1139</v>
      </c>
      <c r="D1064" s="115" t="s">
        <v>2589</v>
      </c>
      <c r="E1064" s="115" t="s">
        <v>2590</v>
      </c>
    </row>
    <row r="1065" spans="1:5" x14ac:dyDescent="0.25">
      <c r="B1065" s="115" t="s">
        <v>1139</v>
      </c>
      <c r="D1065" s="115" t="s">
        <v>2591</v>
      </c>
      <c r="E1065" s="115" t="s">
        <v>2592</v>
      </c>
    </row>
    <row r="1066" spans="1:5" x14ac:dyDescent="0.25">
      <c r="A1066" s="115">
        <v>28</v>
      </c>
      <c r="B1066" s="115" t="s">
        <v>2593</v>
      </c>
      <c r="D1066" s="115" t="s">
        <v>2594</v>
      </c>
      <c r="E1066" s="115" t="s">
        <v>2595</v>
      </c>
    </row>
    <row r="1067" spans="1:5" x14ac:dyDescent="0.25">
      <c r="B1067" s="115" t="s">
        <v>1139</v>
      </c>
      <c r="D1067" s="115" t="s">
        <v>2596</v>
      </c>
      <c r="E1067" s="115" t="s">
        <v>1141</v>
      </c>
    </row>
    <row r="1068" spans="1:5" x14ac:dyDescent="0.25">
      <c r="B1068" s="115" t="s">
        <v>1139</v>
      </c>
      <c r="D1068" s="115" t="s">
        <v>2597</v>
      </c>
      <c r="E1068" s="115" t="s">
        <v>2598</v>
      </c>
    </row>
    <row r="1069" spans="1:5" x14ac:dyDescent="0.25">
      <c r="A1069" s="115">
        <v>5</v>
      </c>
      <c r="B1069" s="115" t="s">
        <v>2599</v>
      </c>
      <c r="D1069" s="115" t="s">
        <v>1686</v>
      </c>
      <c r="E1069" s="115" t="s">
        <v>2600</v>
      </c>
    </row>
    <row r="1070" spans="1:5" x14ac:dyDescent="0.25">
      <c r="B1070" s="115" t="s">
        <v>1157</v>
      </c>
      <c r="D1070" s="115" t="s">
        <v>1140</v>
      </c>
      <c r="E1070" s="115" t="s">
        <v>2601</v>
      </c>
    </row>
    <row r="1071" spans="1:5" x14ac:dyDescent="0.25">
      <c r="B1071" s="115" t="s">
        <v>1139</v>
      </c>
      <c r="D1071" s="115" t="s">
        <v>2602</v>
      </c>
      <c r="E1071" s="115" t="s">
        <v>2603</v>
      </c>
    </row>
    <row r="1072" spans="1:5" x14ac:dyDescent="0.25">
      <c r="B1072" s="115" t="s">
        <v>1139</v>
      </c>
      <c r="D1072" s="115" t="s">
        <v>2604</v>
      </c>
      <c r="E1072" s="115" t="s">
        <v>2605</v>
      </c>
    </row>
    <row r="1073" spans="1:5" x14ac:dyDescent="0.25">
      <c r="A1073" s="115" t="s">
        <v>1138</v>
      </c>
      <c r="B1073" s="115" t="s">
        <v>2606</v>
      </c>
      <c r="D1073" s="115">
        <f>-127   -335   -523   -67</f>
        <v>-1052</v>
      </c>
      <c r="E1073" s="115" t="s">
        <v>2607</v>
      </c>
    </row>
    <row r="1074" spans="1:5" x14ac:dyDescent="0.25">
      <c r="B1074" s="115" t="s">
        <v>1402</v>
      </c>
      <c r="D1074" s="115" t="s">
        <v>2608</v>
      </c>
      <c r="E1074" s="115" t="s">
        <v>2609</v>
      </c>
    </row>
    <row r="1075" spans="1:5" x14ac:dyDescent="0.25">
      <c r="A1075" s="115">
        <v>6</v>
      </c>
      <c r="B1075" s="115" t="s">
        <v>2610</v>
      </c>
      <c r="D1075" s="115" t="s">
        <v>2611</v>
      </c>
      <c r="E1075" s="115" t="s">
        <v>2612</v>
      </c>
    </row>
    <row r="1076" spans="1:5" x14ac:dyDescent="0.25">
      <c r="B1076" s="115" t="s">
        <v>2613</v>
      </c>
      <c r="D1076" s="115" t="s">
        <v>2614</v>
      </c>
      <c r="E1076" s="115" t="s">
        <v>2615</v>
      </c>
    </row>
    <row r="1077" spans="1:5" x14ac:dyDescent="0.25">
      <c r="B1077" s="115" t="s">
        <v>1281</v>
      </c>
      <c r="D1077" s="115" t="s">
        <v>2616</v>
      </c>
      <c r="E1077" s="115" t="s">
        <v>2617</v>
      </c>
    </row>
    <row r="1078" spans="1:5" x14ac:dyDescent="0.25">
      <c r="A1078" s="115">
        <v>-2</v>
      </c>
      <c r="B1078" s="115" t="s">
        <v>2618</v>
      </c>
      <c r="D1078" s="115" t="s">
        <v>2619</v>
      </c>
      <c r="E1078" s="115" t="s">
        <v>2620</v>
      </c>
    </row>
    <row r="1079" spans="1:5" x14ac:dyDescent="0.25">
      <c r="B1079" s="115" t="s">
        <v>1139</v>
      </c>
      <c r="D1079" s="115" t="s">
        <v>2621</v>
      </c>
      <c r="E1079" s="115" t="s">
        <v>1141</v>
      </c>
    </row>
    <row r="1080" spans="1:5" x14ac:dyDescent="0.25">
      <c r="B1080" s="115" t="s">
        <v>1139</v>
      </c>
      <c r="D1080" s="115" t="s">
        <v>2622</v>
      </c>
      <c r="E1080" s="115" t="s">
        <v>2623</v>
      </c>
    </row>
    <row r="1081" spans="1:5" x14ac:dyDescent="0.25">
      <c r="A1081" s="115">
        <v>7</v>
      </c>
      <c r="B1081" s="115" t="s">
        <v>2624</v>
      </c>
      <c r="D1081" s="115" t="s">
        <v>2625</v>
      </c>
      <c r="E1081" s="115" t="s">
        <v>2626</v>
      </c>
    </row>
    <row r="1082" spans="1:5" x14ac:dyDescent="0.25">
      <c r="B1082" s="115" t="s">
        <v>1139</v>
      </c>
      <c r="D1082" s="115" t="s">
        <v>2627</v>
      </c>
      <c r="E1082" s="115" t="s">
        <v>1819</v>
      </c>
    </row>
    <row r="1083" spans="1:5" x14ac:dyDescent="0.25">
      <c r="B1083" s="115" t="s">
        <v>1139</v>
      </c>
      <c r="D1083" s="115" t="s">
        <v>2628</v>
      </c>
      <c r="E1083" s="115" t="s">
        <v>2629</v>
      </c>
    </row>
    <row r="1084" spans="1:5" x14ac:dyDescent="0.25">
      <c r="B1084" s="115" t="s">
        <v>2630</v>
      </c>
      <c r="D1084" s="115" t="s">
        <v>2631</v>
      </c>
      <c r="E1084" s="115" t="s">
        <v>2632</v>
      </c>
    </row>
    <row r="1085" spans="1:5" x14ac:dyDescent="0.25">
      <c r="A1085" s="115">
        <v>-2</v>
      </c>
      <c r="B1085" s="115" t="s">
        <v>2633</v>
      </c>
      <c r="C1085" s="115" t="s">
        <v>1138</v>
      </c>
      <c r="D1085" s="115" t="s">
        <v>2634</v>
      </c>
      <c r="E1085" s="115" t="s">
        <v>1859</v>
      </c>
    </row>
    <row r="1086" spans="1:5" x14ac:dyDescent="0.25">
      <c r="A1086" s="115">
        <v>-2</v>
      </c>
      <c r="B1086" s="115" t="s">
        <v>2635</v>
      </c>
      <c r="C1086" s="115" t="s">
        <v>1138</v>
      </c>
      <c r="D1086" s="115" t="s">
        <v>2636</v>
      </c>
      <c r="E1086" s="115" t="s">
        <v>2637</v>
      </c>
    </row>
    <row r="1087" spans="1:5" x14ac:dyDescent="0.25">
      <c r="A1087" s="115">
        <v>18</v>
      </c>
      <c r="B1087" s="115" t="s">
        <v>2638</v>
      </c>
      <c r="D1087" s="115" t="s">
        <v>2639</v>
      </c>
      <c r="E1087" s="115" t="s">
        <v>2640</v>
      </c>
    </row>
    <row r="1088" spans="1:5" x14ac:dyDescent="0.25">
      <c r="B1088" s="115" t="s">
        <v>1280</v>
      </c>
      <c r="D1088" s="115">
        <f>-57  -3002  -1746   -37</f>
        <v>-4842</v>
      </c>
      <c r="E1088" s="115" t="s">
        <v>1759</v>
      </c>
    </row>
    <row r="1089" spans="1:5" x14ac:dyDescent="0.25">
      <c r="A1089" s="115" t="s">
        <v>1138</v>
      </c>
      <c r="B1089" s="115" t="s">
        <v>2641</v>
      </c>
      <c r="D1089" s="115" t="s">
        <v>2642</v>
      </c>
      <c r="E1089" s="115" t="s">
        <v>2643</v>
      </c>
    </row>
    <row r="1090" spans="1:5" x14ac:dyDescent="0.25">
      <c r="B1090" s="115" t="s">
        <v>1139</v>
      </c>
      <c r="D1090" s="115" t="s">
        <v>1140</v>
      </c>
      <c r="E1090" s="115" t="s">
        <v>1141</v>
      </c>
    </row>
    <row r="1091" spans="1:5" x14ac:dyDescent="0.25">
      <c r="B1091" s="115" t="s">
        <v>1139</v>
      </c>
      <c r="D1091" s="115" t="s">
        <v>1140</v>
      </c>
      <c r="E1091" s="115" t="s">
        <v>1141</v>
      </c>
    </row>
    <row r="1092" spans="1:5" x14ac:dyDescent="0.25">
      <c r="B1092" s="115" t="s">
        <v>1139</v>
      </c>
      <c r="D1092" s="115" t="s">
        <v>1140</v>
      </c>
      <c r="E1092" s="115" t="s">
        <v>1141</v>
      </c>
    </row>
    <row r="1093" spans="1:5" x14ac:dyDescent="0.25">
      <c r="B1093" s="115" t="s">
        <v>1139</v>
      </c>
      <c r="D1093" s="115" t="s">
        <v>1140</v>
      </c>
      <c r="E1093" s="115" t="s">
        <v>1141</v>
      </c>
    </row>
    <row r="1094" spans="1:5" x14ac:dyDescent="0.25">
      <c r="B1094" s="115" t="s">
        <v>1139</v>
      </c>
      <c r="D1094" s="115" t="s">
        <v>1140</v>
      </c>
      <c r="E1094" s="115" t="s">
        <v>1141</v>
      </c>
    </row>
    <row r="1095" spans="1:5" x14ac:dyDescent="0.25">
      <c r="B1095" s="115" t="s">
        <v>1139</v>
      </c>
      <c r="D1095" s="115" t="s">
        <v>1140</v>
      </c>
      <c r="E1095" s="115" t="s">
        <v>1141</v>
      </c>
    </row>
    <row r="1096" spans="1:5" x14ac:dyDescent="0.25">
      <c r="B1096" s="115" t="s">
        <v>1139</v>
      </c>
      <c r="D1096" s="115" t="s">
        <v>1140</v>
      </c>
      <c r="E1096" s="115" t="s">
        <v>1141</v>
      </c>
    </row>
    <row r="1097" spans="1:5" x14ac:dyDescent="0.25">
      <c r="B1097" s="115" t="s">
        <v>1139</v>
      </c>
      <c r="D1097" s="115" t="s">
        <v>1140</v>
      </c>
      <c r="E1097" s="115" t="s">
        <v>1141</v>
      </c>
    </row>
    <row r="1098" spans="1:5" x14ac:dyDescent="0.25">
      <c r="B1098" s="115" t="s">
        <v>1139</v>
      </c>
      <c r="D1098" s="115" t="s">
        <v>1140</v>
      </c>
      <c r="E1098" s="115" t="s">
        <v>1141</v>
      </c>
    </row>
    <row r="1099" spans="1:5" x14ac:dyDescent="0.25">
      <c r="B1099" s="115" t="s">
        <v>1139</v>
      </c>
      <c r="D1099" s="115" t="s">
        <v>1140</v>
      </c>
      <c r="E1099" s="115" t="s">
        <v>1141</v>
      </c>
    </row>
    <row r="1100" spans="1:5" x14ac:dyDescent="0.25">
      <c r="B1100" s="115" t="s">
        <v>1139</v>
      </c>
      <c r="D1100" s="115" t="s">
        <v>1140</v>
      </c>
      <c r="E1100" s="115" t="s">
        <v>1141</v>
      </c>
    </row>
    <row r="1101" spans="1:5" x14ac:dyDescent="0.25">
      <c r="B1101" s="115" t="s">
        <v>1139</v>
      </c>
      <c r="D1101" s="115" t="s">
        <v>1140</v>
      </c>
      <c r="E1101" s="115" t="s">
        <v>1141</v>
      </c>
    </row>
    <row r="1102" spans="1:5" x14ac:dyDescent="0.25">
      <c r="B1102" s="115" t="s">
        <v>2644</v>
      </c>
      <c r="D1102" s="115" t="s">
        <v>2645</v>
      </c>
      <c r="E1102" s="115" t="s">
        <v>2646</v>
      </c>
    </row>
    <row r="1103" spans="1:5" x14ac:dyDescent="0.25">
      <c r="B1103" s="115" t="s">
        <v>1139</v>
      </c>
      <c r="D1103" s="115" t="s">
        <v>2647</v>
      </c>
      <c r="E1103" s="115" t="s">
        <v>1141</v>
      </c>
    </row>
    <row r="1104" spans="1:5" x14ac:dyDescent="0.25">
      <c r="B1104" s="115" t="s">
        <v>1139</v>
      </c>
      <c r="D1104" s="115" t="s">
        <v>2648</v>
      </c>
      <c r="E1104" s="115" t="s">
        <v>2649</v>
      </c>
    </row>
    <row r="1105" spans="1:5" x14ac:dyDescent="0.25">
      <c r="B1105" s="115">
        <f>-6    -93</f>
        <v>-99</v>
      </c>
      <c r="D1105" s="115" t="s">
        <v>2650</v>
      </c>
      <c r="E1105" s="115" t="s">
        <v>2651</v>
      </c>
    </row>
    <row r="1106" spans="1:5" x14ac:dyDescent="0.25">
      <c r="B1106" s="115" t="s">
        <v>1343</v>
      </c>
      <c r="D1106" s="115" t="s">
        <v>1140</v>
      </c>
      <c r="E1106" s="115" t="s">
        <v>2652</v>
      </c>
    </row>
    <row r="1107" spans="1:5" x14ac:dyDescent="0.25">
      <c r="B1107" s="115" t="s">
        <v>1139</v>
      </c>
      <c r="D1107" s="115" t="s">
        <v>2653</v>
      </c>
      <c r="E1107" s="115" t="s">
        <v>2654</v>
      </c>
    </row>
    <row r="1108" spans="1:5" x14ac:dyDescent="0.25">
      <c r="B1108" s="115" t="s">
        <v>1139</v>
      </c>
      <c r="D1108" s="115" t="s">
        <v>2655</v>
      </c>
      <c r="E1108" s="115" t="s">
        <v>2656</v>
      </c>
    </row>
    <row r="1109" spans="1:5" x14ac:dyDescent="0.25">
      <c r="B1109" s="115" t="s">
        <v>2657</v>
      </c>
      <c r="D1109" s="115" t="s">
        <v>2658</v>
      </c>
      <c r="E1109" s="115" t="s">
        <v>2659</v>
      </c>
    </row>
    <row r="1110" spans="1:5" x14ac:dyDescent="0.25">
      <c r="B1110" s="115" t="s">
        <v>2660</v>
      </c>
      <c r="D1110" s="115" t="s">
        <v>2661</v>
      </c>
      <c r="E1110" s="115" t="s">
        <v>2662</v>
      </c>
    </row>
    <row r="1111" spans="1:5" x14ac:dyDescent="0.25">
      <c r="B1111" s="115" t="s">
        <v>2663</v>
      </c>
      <c r="D1111" s="115" t="s">
        <v>2664</v>
      </c>
      <c r="E1111" s="115" t="s">
        <v>2665</v>
      </c>
    </row>
    <row r="1112" spans="1:5" x14ac:dyDescent="0.25">
      <c r="B1112" s="115" t="s">
        <v>2666</v>
      </c>
      <c r="D1112" s="115" t="s">
        <v>2667</v>
      </c>
      <c r="E1112" s="115" t="s">
        <v>2668</v>
      </c>
    </row>
    <row r="1113" spans="1:5" x14ac:dyDescent="0.25">
      <c r="B1113" s="115" t="s">
        <v>2669</v>
      </c>
      <c r="D1113" s="115" t="s">
        <v>2670</v>
      </c>
      <c r="E1113" s="115" t="s">
        <v>2671</v>
      </c>
    </row>
    <row r="1114" spans="1:5" x14ac:dyDescent="0.25">
      <c r="A1114" s="115">
        <v>-1</v>
      </c>
      <c r="B1114" s="115" t="s">
        <v>2672</v>
      </c>
      <c r="D1114" s="115" t="s">
        <v>1140</v>
      </c>
      <c r="E1114" s="115" t="s">
        <v>1141</v>
      </c>
    </row>
    <row r="1115" spans="1:5" x14ac:dyDescent="0.25">
      <c r="B1115" s="115" t="s">
        <v>1139</v>
      </c>
      <c r="D1115" s="115" t="s">
        <v>1140</v>
      </c>
      <c r="E1115" s="115" t="s">
        <v>1141</v>
      </c>
    </row>
    <row r="1116" spans="1:5" x14ac:dyDescent="0.25">
      <c r="B1116" s="115" t="s">
        <v>1139</v>
      </c>
      <c r="D1116" s="115" t="s">
        <v>1140</v>
      </c>
      <c r="E1116" s="115" t="s">
        <v>1141</v>
      </c>
    </row>
    <row r="1117" spans="1:5" x14ac:dyDescent="0.25">
      <c r="B1117" s="115" t="s">
        <v>1139</v>
      </c>
      <c r="D1117" s="115" t="s">
        <v>1140</v>
      </c>
      <c r="E1117" s="115" t="s">
        <v>1141</v>
      </c>
    </row>
    <row r="1118" spans="1:5" x14ac:dyDescent="0.25">
      <c r="B1118" s="115" t="s">
        <v>1139</v>
      </c>
      <c r="D1118" s="115" t="s">
        <v>1140</v>
      </c>
      <c r="E1118" s="115" t="s">
        <v>1141</v>
      </c>
    </row>
    <row r="1119" spans="1:5" x14ac:dyDescent="0.25">
      <c r="B1119" s="115" t="s">
        <v>1139</v>
      </c>
      <c r="D1119" s="115" t="s">
        <v>1140</v>
      </c>
      <c r="E1119" s="115" t="s">
        <v>1141</v>
      </c>
    </row>
    <row r="1120" spans="1:5" x14ac:dyDescent="0.25">
      <c r="B1120" s="115" t="s">
        <v>1139</v>
      </c>
      <c r="D1120" s="115" t="s">
        <v>1140</v>
      </c>
      <c r="E1120" s="115" t="s">
        <v>1141</v>
      </c>
    </row>
    <row r="1121" spans="2:5" x14ac:dyDescent="0.25">
      <c r="B1121" s="115" t="s">
        <v>1139</v>
      </c>
      <c r="D1121" s="115" t="s">
        <v>1140</v>
      </c>
      <c r="E1121" s="115" t="s">
        <v>1141</v>
      </c>
    </row>
    <row r="1122" spans="2:5" x14ac:dyDescent="0.25">
      <c r="B1122" s="115" t="s">
        <v>1139</v>
      </c>
      <c r="D1122" s="115" t="s">
        <v>1140</v>
      </c>
      <c r="E1122" s="115" t="s">
        <v>1141</v>
      </c>
    </row>
    <row r="1123" spans="2:5" x14ac:dyDescent="0.25">
      <c r="B1123" s="115" t="s">
        <v>1139</v>
      </c>
      <c r="D1123" s="115" t="s">
        <v>1140</v>
      </c>
      <c r="E1123" s="115" t="s">
        <v>1141</v>
      </c>
    </row>
    <row r="1124" spans="2:5" x14ac:dyDescent="0.25">
      <c r="B1124" s="115" t="s">
        <v>1139</v>
      </c>
      <c r="D1124" s="115" t="s">
        <v>1140</v>
      </c>
      <c r="E1124" s="115" t="s">
        <v>1141</v>
      </c>
    </row>
    <row r="1125" spans="2:5" x14ac:dyDescent="0.25">
      <c r="B1125" s="115" t="s">
        <v>1139</v>
      </c>
      <c r="D1125" s="115" t="s">
        <v>1140</v>
      </c>
      <c r="E1125" s="115" t="s">
        <v>1141</v>
      </c>
    </row>
    <row r="1126" spans="2:5" x14ac:dyDescent="0.25">
      <c r="B1126" s="115" t="s">
        <v>1139</v>
      </c>
      <c r="D1126" s="115" t="s">
        <v>1140</v>
      </c>
      <c r="E1126" s="115" t="s">
        <v>1141</v>
      </c>
    </row>
    <row r="1127" spans="2:5" x14ac:dyDescent="0.25">
      <c r="B1127" s="115" t="s">
        <v>1139</v>
      </c>
      <c r="D1127" s="115" t="s">
        <v>1140</v>
      </c>
      <c r="E1127" s="115" t="s">
        <v>1141</v>
      </c>
    </row>
    <row r="1128" spans="2:5" x14ac:dyDescent="0.25">
      <c r="B1128" s="115" t="s">
        <v>1139</v>
      </c>
      <c r="D1128" s="115" t="s">
        <v>1140</v>
      </c>
      <c r="E1128" s="115" t="s">
        <v>1141</v>
      </c>
    </row>
    <row r="1129" spans="2:5" x14ac:dyDescent="0.25">
      <c r="B1129" s="115" t="s">
        <v>1139</v>
      </c>
      <c r="D1129" s="115" t="s">
        <v>1140</v>
      </c>
      <c r="E1129" s="115" t="s">
        <v>1141</v>
      </c>
    </row>
    <row r="1130" spans="2:5" x14ac:dyDescent="0.25">
      <c r="B1130" s="115" t="s">
        <v>1139</v>
      </c>
      <c r="D1130" s="115" t="s">
        <v>1140</v>
      </c>
      <c r="E1130" s="115" t="s">
        <v>1141</v>
      </c>
    </row>
    <row r="1131" spans="2:5" x14ac:dyDescent="0.25">
      <c r="B1131" s="115" t="s">
        <v>1139</v>
      </c>
      <c r="D1131" s="115" t="s">
        <v>1140</v>
      </c>
      <c r="E1131" s="115" t="s">
        <v>1141</v>
      </c>
    </row>
    <row r="1132" spans="2:5" x14ac:dyDescent="0.25">
      <c r="B1132" s="115" t="s">
        <v>1139</v>
      </c>
      <c r="D1132" s="115" t="s">
        <v>1140</v>
      </c>
      <c r="E1132" s="115" t="s">
        <v>1141</v>
      </c>
    </row>
    <row r="1133" spans="2:5" x14ac:dyDescent="0.25">
      <c r="B1133" s="115" t="s">
        <v>1139</v>
      </c>
      <c r="D1133" s="115" t="s">
        <v>1140</v>
      </c>
      <c r="E1133" s="115" t="s">
        <v>1141</v>
      </c>
    </row>
    <row r="1134" spans="2:5" x14ac:dyDescent="0.25">
      <c r="B1134" s="115" t="s">
        <v>1139</v>
      </c>
      <c r="D1134" s="115" t="s">
        <v>1140</v>
      </c>
      <c r="E1134" s="115" t="s">
        <v>1141</v>
      </c>
    </row>
    <row r="1135" spans="2:5" x14ac:dyDescent="0.25">
      <c r="B1135" s="115" t="s">
        <v>1139</v>
      </c>
      <c r="D1135" s="115" t="s">
        <v>1140</v>
      </c>
      <c r="E1135" s="115" t="s">
        <v>1141</v>
      </c>
    </row>
    <row r="1136" spans="2:5" x14ac:dyDescent="0.25">
      <c r="B1136" s="115" t="s">
        <v>1139</v>
      </c>
      <c r="D1136" s="115" t="s">
        <v>1140</v>
      </c>
      <c r="E1136" s="115" t="s">
        <v>1141</v>
      </c>
    </row>
    <row r="1137" spans="1:5" x14ac:dyDescent="0.25">
      <c r="B1137" s="115" t="s">
        <v>1139</v>
      </c>
      <c r="D1137" s="115" t="s">
        <v>1140</v>
      </c>
      <c r="E1137" s="115" t="s">
        <v>1141</v>
      </c>
    </row>
    <row r="1138" spans="1:5" x14ac:dyDescent="0.25">
      <c r="B1138" s="115" t="s">
        <v>1139</v>
      </c>
      <c r="D1138" s="115" t="s">
        <v>1140</v>
      </c>
      <c r="E1138" s="115" t="s">
        <v>1141</v>
      </c>
    </row>
    <row r="1139" spans="1:5" x14ac:dyDescent="0.25">
      <c r="A1139" s="115">
        <v>-3</v>
      </c>
      <c r="B1139" s="115" t="s">
        <v>2673</v>
      </c>
      <c r="D1139" s="115" t="s">
        <v>2674</v>
      </c>
      <c r="E1139" s="115" t="s">
        <v>2675</v>
      </c>
    </row>
    <row r="1140" spans="1:5" x14ac:dyDescent="0.25">
      <c r="B1140" s="115" t="s">
        <v>1139</v>
      </c>
      <c r="D1140" s="115" t="s">
        <v>2676</v>
      </c>
      <c r="E1140" s="115" t="s">
        <v>1141</v>
      </c>
    </row>
    <row r="1141" spans="1:5" x14ac:dyDescent="0.25">
      <c r="B1141" s="115" t="s">
        <v>1139</v>
      </c>
      <c r="D1141" s="115" t="s">
        <v>2677</v>
      </c>
      <c r="E1141" s="115" t="s">
        <v>2678</v>
      </c>
    </row>
    <row r="1142" spans="1:5" x14ac:dyDescent="0.25">
      <c r="A1142" s="115">
        <v>-1</v>
      </c>
      <c r="B1142" s="115" t="s">
        <v>2679</v>
      </c>
      <c r="D1142" s="115" t="s">
        <v>2680</v>
      </c>
      <c r="E1142" s="115" t="s">
        <v>2681</v>
      </c>
    </row>
    <row r="1143" spans="1:5" x14ac:dyDescent="0.25">
      <c r="B1143" s="115" t="s">
        <v>1139</v>
      </c>
      <c r="D1143" s="115" t="s">
        <v>2682</v>
      </c>
      <c r="E1143" s="115" t="s">
        <v>1859</v>
      </c>
    </row>
    <row r="1144" spans="1:5" x14ac:dyDescent="0.25">
      <c r="B1144" s="115" t="s">
        <v>1139</v>
      </c>
      <c r="D1144" s="115" t="s">
        <v>2683</v>
      </c>
      <c r="E1144" s="115" t="s">
        <v>2684</v>
      </c>
    </row>
    <row r="1145" spans="1:5" x14ac:dyDescent="0.25">
      <c r="B1145" s="115" t="s">
        <v>2685</v>
      </c>
      <c r="C1145" s="115" t="s">
        <v>1138</v>
      </c>
      <c r="D1145" s="115" t="s">
        <v>2686</v>
      </c>
      <c r="E1145" s="115" t="s">
        <v>2687</v>
      </c>
    </row>
    <row r="1146" spans="1:5" x14ac:dyDescent="0.25">
      <c r="B1146" s="115" t="s">
        <v>2688</v>
      </c>
      <c r="D1146" s="115" t="s">
        <v>2689</v>
      </c>
      <c r="E1146" s="115" t="s">
        <v>2690</v>
      </c>
    </row>
    <row r="1147" spans="1:5" x14ac:dyDescent="0.25">
      <c r="A1147" s="115">
        <v>-3</v>
      </c>
      <c r="B1147" s="115" t="s">
        <v>2691</v>
      </c>
      <c r="D1147" s="115" t="s">
        <v>2692</v>
      </c>
      <c r="E1147" s="115" t="s">
        <v>2693</v>
      </c>
    </row>
    <row r="1148" spans="1:5" x14ac:dyDescent="0.25">
      <c r="A1148" s="115" t="s">
        <v>1138</v>
      </c>
      <c r="B1148" s="115" t="s">
        <v>2694</v>
      </c>
      <c r="C1148" s="115" t="s">
        <v>1138</v>
      </c>
      <c r="D1148" s="115" t="s">
        <v>2695</v>
      </c>
      <c r="E1148" s="115" t="s">
        <v>2696</v>
      </c>
    </row>
    <row r="1149" spans="1:5" x14ac:dyDescent="0.25">
      <c r="B1149" s="115" t="s">
        <v>1522</v>
      </c>
      <c r="D1149" s="115" t="s">
        <v>2697</v>
      </c>
      <c r="E1149" s="115" t="s">
        <v>1759</v>
      </c>
    </row>
    <row r="1150" spans="1:5" x14ac:dyDescent="0.25">
      <c r="A1150" s="115">
        <v>-1</v>
      </c>
      <c r="B1150" s="115" t="s">
        <v>2698</v>
      </c>
      <c r="D1150" s="115" t="s">
        <v>2699</v>
      </c>
      <c r="E1150" s="115" t="s">
        <v>2700</v>
      </c>
    </row>
    <row r="1151" spans="1:5" x14ac:dyDescent="0.25">
      <c r="A1151" s="115">
        <v>-3</v>
      </c>
      <c r="B1151" s="115" t="s">
        <v>1351</v>
      </c>
      <c r="C1151" s="115">
        <v>1</v>
      </c>
      <c r="D1151" s="115" t="s">
        <v>2701</v>
      </c>
      <c r="E1151" s="115" t="s">
        <v>2702</v>
      </c>
    </row>
    <row r="1152" spans="1:5" x14ac:dyDescent="0.25">
      <c r="B1152" s="115" t="s">
        <v>2703</v>
      </c>
      <c r="D1152" s="115" t="s">
        <v>2704</v>
      </c>
      <c r="E1152" s="115" t="s">
        <v>2705</v>
      </c>
    </row>
    <row r="1153" spans="1:5" x14ac:dyDescent="0.25">
      <c r="B1153" s="115" t="s">
        <v>1139</v>
      </c>
      <c r="D1153" s="115" t="s">
        <v>1140</v>
      </c>
      <c r="E1153" s="115" t="s">
        <v>2706</v>
      </c>
    </row>
    <row r="1154" spans="1:5" x14ac:dyDescent="0.25">
      <c r="B1154" s="115" t="s">
        <v>2707</v>
      </c>
      <c r="D1154" s="115">
        <f>-956   -232   -215   -20</f>
        <v>-1423</v>
      </c>
      <c r="E1154" s="115" t="s">
        <v>2708</v>
      </c>
    </row>
    <row r="1155" spans="1:5" x14ac:dyDescent="0.25">
      <c r="A1155" s="115" t="s">
        <v>1138</v>
      </c>
      <c r="B1155" s="115" t="s">
        <v>1393</v>
      </c>
      <c r="D1155" s="115" t="s">
        <v>2709</v>
      </c>
      <c r="E1155" s="115" t="s">
        <v>1141</v>
      </c>
    </row>
    <row r="1156" spans="1:5" x14ac:dyDescent="0.25">
      <c r="A1156" s="115" t="s">
        <v>1138</v>
      </c>
      <c r="B1156" s="115" t="s">
        <v>1195</v>
      </c>
      <c r="D1156" s="115" t="s">
        <v>1140</v>
      </c>
      <c r="E1156" s="115" t="s">
        <v>2710</v>
      </c>
    </row>
    <row r="1157" spans="1:5" x14ac:dyDescent="0.25">
      <c r="B1157" s="115" t="s">
        <v>2711</v>
      </c>
      <c r="D1157" s="115" t="s">
        <v>1140</v>
      </c>
      <c r="E1157" s="115" t="s">
        <v>2712</v>
      </c>
    </row>
    <row r="1158" spans="1:5" x14ac:dyDescent="0.25">
      <c r="B1158" s="115" t="s">
        <v>2713</v>
      </c>
      <c r="D1158" s="115" t="s">
        <v>2714</v>
      </c>
      <c r="E1158" s="115" t="s">
        <v>2715</v>
      </c>
    </row>
    <row r="1159" spans="1:5" x14ac:dyDescent="0.25">
      <c r="A1159" s="115" t="s">
        <v>1138</v>
      </c>
      <c r="B1159" s="115" t="s">
        <v>1352</v>
      </c>
      <c r="D1159" s="115" t="s">
        <v>2716</v>
      </c>
      <c r="E1159" s="115" t="s">
        <v>2717</v>
      </c>
    </row>
    <row r="1160" spans="1:5" x14ac:dyDescent="0.25">
      <c r="A1160" s="115">
        <v>-1</v>
      </c>
      <c r="B1160" s="115" t="s">
        <v>2718</v>
      </c>
      <c r="C1160" s="115" t="s">
        <v>1138</v>
      </c>
      <c r="D1160" s="115" t="s">
        <v>2719</v>
      </c>
      <c r="E1160" s="115" t="s">
        <v>2720</v>
      </c>
    </row>
    <row r="1161" spans="1:5" x14ac:dyDescent="0.25">
      <c r="B1161" s="115" t="s">
        <v>2721</v>
      </c>
      <c r="D1161" s="115" t="s">
        <v>2722</v>
      </c>
      <c r="E1161" s="115" t="s">
        <v>2723</v>
      </c>
    </row>
    <row r="1162" spans="1:5" x14ac:dyDescent="0.25">
      <c r="B1162" s="115" t="s">
        <v>1413</v>
      </c>
      <c r="D1162" s="115" t="s">
        <v>2384</v>
      </c>
      <c r="E1162" s="115" t="s">
        <v>2724</v>
      </c>
    </row>
    <row r="1163" spans="1:5" x14ac:dyDescent="0.25">
      <c r="A1163" s="115">
        <v>6</v>
      </c>
      <c r="B1163" s="115" t="s">
        <v>2725</v>
      </c>
      <c r="D1163" s="115" t="s">
        <v>2726</v>
      </c>
      <c r="E1163" s="115" t="s">
        <v>2727</v>
      </c>
    </row>
    <row r="1164" spans="1:5" x14ac:dyDescent="0.25">
      <c r="A1164" s="115">
        <v>-11</v>
      </c>
      <c r="B1164" s="115" t="s">
        <v>1285</v>
      </c>
      <c r="D1164" s="115" t="s">
        <v>1140</v>
      </c>
      <c r="E1164" s="115" t="s">
        <v>1141</v>
      </c>
    </row>
    <row r="1165" spans="1:5" x14ac:dyDescent="0.25">
      <c r="B1165" s="115" t="s">
        <v>1139</v>
      </c>
      <c r="D1165" s="115" t="s">
        <v>1140</v>
      </c>
      <c r="E1165" s="115" t="s">
        <v>1141</v>
      </c>
    </row>
    <row r="1166" spans="1:5" x14ac:dyDescent="0.25">
      <c r="B1166" s="115" t="s">
        <v>1139</v>
      </c>
      <c r="D1166" s="115" t="s">
        <v>1140</v>
      </c>
      <c r="E1166" s="115" t="s">
        <v>1141</v>
      </c>
    </row>
    <row r="1167" spans="1:5" x14ac:dyDescent="0.25">
      <c r="B1167" s="115" t="s">
        <v>1139</v>
      </c>
      <c r="D1167" s="115" t="s">
        <v>1140</v>
      </c>
      <c r="E1167" s="115" t="s">
        <v>1141</v>
      </c>
    </row>
    <row r="1168" spans="1:5" x14ac:dyDescent="0.25">
      <c r="B1168" s="115" t="s">
        <v>1139</v>
      </c>
      <c r="D1168" s="115" t="s">
        <v>1140</v>
      </c>
      <c r="E1168" s="115" t="s">
        <v>1141</v>
      </c>
    </row>
    <row r="1169" spans="1:5" x14ac:dyDescent="0.25">
      <c r="B1169" s="115" t="s">
        <v>1139</v>
      </c>
      <c r="D1169" s="115" t="s">
        <v>1140</v>
      </c>
      <c r="E1169" s="115" t="s">
        <v>1141</v>
      </c>
    </row>
    <row r="1170" spans="1:5" x14ac:dyDescent="0.25">
      <c r="B1170" s="115" t="s">
        <v>1139</v>
      </c>
      <c r="D1170" s="115" t="s">
        <v>1140</v>
      </c>
      <c r="E1170" s="115" t="s">
        <v>1141</v>
      </c>
    </row>
    <row r="1171" spans="1:5" x14ac:dyDescent="0.25">
      <c r="B1171" s="115" t="s">
        <v>1139</v>
      </c>
      <c r="D1171" s="115" t="s">
        <v>1140</v>
      </c>
      <c r="E1171" s="115" t="s">
        <v>1141</v>
      </c>
    </row>
    <row r="1172" spans="1:5" x14ac:dyDescent="0.25">
      <c r="B1172" s="115" t="s">
        <v>1139</v>
      </c>
      <c r="D1172" s="115" t="s">
        <v>1140</v>
      </c>
      <c r="E1172" s="115" t="s">
        <v>1141</v>
      </c>
    </row>
    <row r="1173" spans="1:5" x14ac:dyDescent="0.25">
      <c r="B1173" s="115" t="s">
        <v>1139</v>
      </c>
      <c r="D1173" s="115" t="s">
        <v>1140</v>
      </c>
      <c r="E1173" s="115" t="s">
        <v>1141</v>
      </c>
    </row>
    <row r="1174" spans="1:5" x14ac:dyDescent="0.25">
      <c r="B1174" s="115" t="s">
        <v>1139</v>
      </c>
      <c r="D1174" s="115" t="s">
        <v>1140</v>
      </c>
      <c r="E1174" s="115" t="s">
        <v>1141</v>
      </c>
    </row>
    <row r="1175" spans="1:5" x14ac:dyDescent="0.25">
      <c r="B1175" s="115" t="s">
        <v>1139</v>
      </c>
      <c r="D1175" s="115" t="s">
        <v>1140</v>
      </c>
      <c r="E1175" s="115" t="s">
        <v>1141</v>
      </c>
    </row>
    <row r="1176" spans="1:5" x14ac:dyDescent="0.25">
      <c r="B1176" s="115" t="s">
        <v>1139</v>
      </c>
      <c r="D1176" s="115" t="s">
        <v>1140</v>
      </c>
      <c r="E1176" s="115" t="s">
        <v>2728</v>
      </c>
    </row>
    <row r="1177" spans="1:5" x14ac:dyDescent="0.25">
      <c r="A1177" s="115" t="s">
        <v>1138</v>
      </c>
      <c r="B1177" s="115" t="s">
        <v>2729</v>
      </c>
      <c r="D1177" s="115" t="s">
        <v>2730</v>
      </c>
      <c r="E1177" s="115" t="s">
        <v>2731</v>
      </c>
    </row>
    <row r="1178" spans="1:5" x14ac:dyDescent="0.25">
      <c r="A1178" s="115" t="s">
        <v>1138</v>
      </c>
      <c r="B1178" s="115" t="s">
        <v>2732</v>
      </c>
      <c r="D1178" s="115" t="s">
        <v>1140</v>
      </c>
      <c r="E1178" s="115" t="s">
        <v>1141</v>
      </c>
    </row>
    <row r="1179" spans="1:5" x14ac:dyDescent="0.25">
      <c r="A1179" s="115" t="s">
        <v>1138</v>
      </c>
      <c r="B1179" s="115" t="s">
        <v>2733</v>
      </c>
      <c r="D1179" s="115" t="s">
        <v>2734</v>
      </c>
      <c r="E1179" s="115" t="s">
        <v>2735</v>
      </c>
    </row>
    <row r="1180" spans="1:5" x14ac:dyDescent="0.25">
      <c r="B1180" s="115" t="s">
        <v>1139</v>
      </c>
      <c r="D1180" s="115" t="s">
        <v>2736</v>
      </c>
      <c r="E1180" s="115" t="s">
        <v>2737</v>
      </c>
    </row>
    <row r="1181" spans="1:5" x14ac:dyDescent="0.25">
      <c r="B1181" s="115" t="s">
        <v>1139</v>
      </c>
      <c r="D1181" s="115" t="s">
        <v>1605</v>
      </c>
      <c r="E1181" s="115" t="s">
        <v>1141</v>
      </c>
    </row>
    <row r="1182" spans="1:5" x14ac:dyDescent="0.25">
      <c r="B1182" s="115" t="s">
        <v>2166</v>
      </c>
      <c r="D1182" s="115" t="s">
        <v>2738</v>
      </c>
      <c r="E1182" s="115" t="s">
        <v>2739</v>
      </c>
    </row>
    <row r="1183" spans="1:5" x14ac:dyDescent="0.25">
      <c r="A1183" s="115" t="s">
        <v>1138</v>
      </c>
      <c r="B1183" s="115" t="s">
        <v>2740</v>
      </c>
      <c r="D1183" s="115" t="s">
        <v>2741</v>
      </c>
      <c r="E1183" s="115" t="s">
        <v>2742</v>
      </c>
    </row>
    <row r="1184" spans="1:5" x14ac:dyDescent="0.25">
      <c r="B1184" s="115" t="s">
        <v>2743</v>
      </c>
      <c r="D1184" s="115" t="s">
        <v>2744</v>
      </c>
      <c r="E1184" s="115" t="s">
        <v>2745</v>
      </c>
    </row>
    <row r="1185" spans="1:5" x14ac:dyDescent="0.25">
      <c r="B1185" s="115" t="s">
        <v>2746</v>
      </c>
      <c r="D1185" s="115" t="s">
        <v>2747</v>
      </c>
      <c r="E1185" s="115" t="s">
        <v>2748</v>
      </c>
    </row>
    <row r="1186" spans="1:5" x14ac:dyDescent="0.25">
      <c r="B1186" s="115">
        <f>-91    -26</f>
        <v>-117</v>
      </c>
      <c r="D1186" s="115" t="s">
        <v>2749</v>
      </c>
      <c r="E1186" s="115" t="s">
        <v>2750</v>
      </c>
    </row>
    <row r="1187" spans="1:5" x14ac:dyDescent="0.25">
      <c r="A1187" s="115">
        <v>1</v>
      </c>
      <c r="B1187" s="115" t="s">
        <v>2751</v>
      </c>
      <c r="D1187" s="115" t="s">
        <v>2752</v>
      </c>
      <c r="E1187" s="115" t="s">
        <v>2753</v>
      </c>
    </row>
    <row r="1188" spans="1:5" x14ac:dyDescent="0.25">
      <c r="B1188" s="115" t="s">
        <v>2754</v>
      </c>
      <c r="C1188" s="115" t="s">
        <v>1138</v>
      </c>
      <c r="D1188" s="115" t="s">
        <v>2755</v>
      </c>
      <c r="E1188" s="115" t="s">
        <v>2756</v>
      </c>
    </row>
    <row r="1189" spans="1:5" x14ac:dyDescent="0.25">
      <c r="B1189" s="115" t="s">
        <v>2757</v>
      </c>
      <c r="D1189" s="115" t="s">
        <v>2758</v>
      </c>
      <c r="E1189" s="115" t="s">
        <v>1141</v>
      </c>
    </row>
    <row r="1190" spans="1:5" x14ac:dyDescent="0.25">
      <c r="B1190" s="115" t="s">
        <v>1139</v>
      </c>
      <c r="D1190" s="115" t="s">
        <v>1140</v>
      </c>
      <c r="E1190" s="115" t="s">
        <v>1141</v>
      </c>
    </row>
    <row r="1191" spans="1:5" x14ac:dyDescent="0.25">
      <c r="B1191" s="115" t="s">
        <v>1139</v>
      </c>
      <c r="D1191" s="115" t="s">
        <v>1140</v>
      </c>
      <c r="E1191" s="115" t="s">
        <v>1141</v>
      </c>
    </row>
    <row r="1192" spans="1:5" x14ac:dyDescent="0.25">
      <c r="B1192" s="115" t="s">
        <v>1139</v>
      </c>
      <c r="D1192" s="115" t="s">
        <v>1140</v>
      </c>
      <c r="E1192" s="115" t="s">
        <v>1141</v>
      </c>
    </row>
    <row r="1193" spans="1:5" x14ac:dyDescent="0.25">
      <c r="B1193" s="115" t="s">
        <v>1139</v>
      </c>
      <c r="D1193" s="115" t="s">
        <v>1140</v>
      </c>
      <c r="E1193" s="115" t="s">
        <v>1141</v>
      </c>
    </row>
    <row r="1194" spans="1:5" x14ac:dyDescent="0.25">
      <c r="B1194" s="115" t="s">
        <v>1139</v>
      </c>
      <c r="D1194" s="115" t="s">
        <v>1140</v>
      </c>
      <c r="E1194" s="115" t="s">
        <v>1141</v>
      </c>
    </row>
    <row r="1195" spans="1:5" x14ac:dyDescent="0.25">
      <c r="B1195" s="115" t="s">
        <v>1139</v>
      </c>
      <c r="D1195" s="115" t="s">
        <v>1140</v>
      </c>
      <c r="E1195" s="115" t="s">
        <v>1141</v>
      </c>
    </row>
    <row r="1196" spans="1:5" x14ac:dyDescent="0.25">
      <c r="B1196" s="115" t="s">
        <v>1139</v>
      </c>
      <c r="D1196" s="115" t="s">
        <v>1140</v>
      </c>
      <c r="E1196" s="115" t="s">
        <v>1141</v>
      </c>
    </row>
    <row r="1197" spans="1:5" x14ac:dyDescent="0.25">
      <c r="B1197" s="115" t="s">
        <v>1139</v>
      </c>
      <c r="D1197" s="115" t="s">
        <v>1140</v>
      </c>
      <c r="E1197" s="115" t="s">
        <v>1141</v>
      </c>
    </row>
    <row r="1198" spans="1:5" x14ac:dyDescent="0.25">
      <c r="B1198" s="115" t="s">
        <v>1139</v>
      </c>
      <c r="D1198" s="115" t="s">
        <v>1140</v>
      </c>
      <c r="E1198" s="115" t="s">
        <v>1141</v>
      </c>
    </row>
    <row r="1199" spans="1:5" x14ac:dyDescent="0.25">
      <c r="B1199" s="115" t="s">
        <v>1139</v>
      </c>
      <c r="D1199" s="115" t="s">
        <v>1140</v>
      </c>
      <c r="E1199" s="115" t="s">
        <v>1141</v>
      </c>
    </row>
    <row r="1200" spans="1:5" x14ac:dyDescent="0.25">
      <c r="B1200" s="115" t="s">
        <v>1139</v>
      </c>
      <c r="D1200" s="115" t="s">
        <v>1140</v>
      </c>
      <c r="E1200" s="115" t="s">
        <v>1141</v>
      </c>
    </row>
    <row r="1201" spans="2:5" x14ac:dyDescent="0.25">
      <c r="B1201" s="115" t="s">
        <v>1139</v>
      </c>
      <c r="D1201" s="115" t="s">
        <v>1140</v>
      </c>
      <c r="E1201" s="115" t="s">
        <v>1141</v>
      </c>
    </row>
    <row r="1202" spans="2:5" x14ac:dyDescent="0.25">
      <c r="B1202" s="115" t="s">
        <v>1139</v>
      </c>
      <c r="D1202" s="115" t="s">
        <v>1140</v>
      </c>
      <c r="E1202" s="115" t="s">
        <v>1141</v>
      </c>
    </row>
    <row r="1203" spans="2:5" x14ac:dyDescent="0.25">
      <c r="B1203" s="115" t="s">
        <v>1139</v>
      </c>
      <c r="D1203" s="115" t="s">
        <v>1140</v>
      </c>
      <c r="E1203" s="115" t="s">
        <v>1141</v>
      </c>
    </row>
    <row r="1204" spans="2:5" x14ac:dyDescent="0.25">
      <c r="B1204" s="115" t="s">
        <v>1139</v>
      </c>
      <c r="D1204" s="115" t="s">
        <v>1140</v>
      </c>
      <c r="E1204" s="115" t="s">
        <v>1141</v>
      </c>
    </row>
    <row r="1205" spans="2:5" x14ac:dyDescent="0.25">
      <c r="B1205" s="115" t="s">
        <v>1139</v>
      </c>
      <c r="D1205" s="115" t="s">
        <v>1140</v>
      </c>
      <c r="E1205" s="115" t="s">
        <v>1141</v>
      </c>
    </row>
    <row r="1206" spans="2:5" x14ac:dyDescent="0.25">
      <c r="B1206" s="115" t="s">
        <v>1139</v>
      </c>
      <c r="D1206" s="115" t="s">
        <v>1140</v>
      </c>
      <c r="E1206" s="115" t="s">
        <v>1141</v>
      </c>
    </row>
    <row r="1207" spans="2:5" x14ac:dyDescent="0.25">
      <c r="B1207" s="115" t="s">
        <v>1139</v>
      </c>
      <c r="D1207" s="115" t="s">
        <v>1140</v>
      </c>
      <c r="E1207" s="115" t="s">
        <v>1141</v>
      </c>
    </row>
    <row r="1208" spans="2:5" x14ac:dyDescent="0.25">
      <c r="B1208" s="115" t="s">
        <v>1139</v>
      </c>
      <c r="D1208" s="115" t="s">
        <v>1140</v>
      </c>
      <c r="E1208" s="115" t="s">
        <v>1141</v>
      </c>
    </row>
    <row r="1209" spans="2:5" x14ac:dyDescent="0.25">
      <c r="B1209" s="115" t="s">
        <v>1139</v>
      </c>
      <c r="D1209" s="115" t="s">
        <v>1140</v>
      </c>
      <c r="E1209" s="115" t="s">
        <v>1141</v>
      </c>
    </row>
    <row r="1210" spans="2:5" x14ac:dyDescent="0.25">
      <c r="B1210" s="115" t="s">
        <v>1139</v>
      </c>
      <c r="D1210" s="115" t="s">
        <v>1140</v>
      </c>
      <c r="E1210" s="115" t="s">
        <v>1141</v>
      </c>
    </row>
    <row r="1211" spans="2:5" x14ac:dyDescent="0.25">
      <c r="B1211" s="115" t="s">
        <v>1139</v>
      </c>
      <c r="D1211" s="115" t="s">
        <v>1140</v>
      </c>
      <c r="E1211" s="115" t="s">
        <v>1141</v>
      </c>
    </row>
    <row r="1212" spans="2:5" x14ac:dyDescent="0.25">
      <c r="B1212" s="115" t="s">
        <v>1139</v>
      </c>
      <c r="D1212" s="115" t="s">
        <v>1140</v>
      </c>
      <c r="E1212" s="115" t="s">
        <v>1141</v>
      </c>
    </row>
    <row r="1213" spans="2:5" x14ac:dyDescent="0.25">
      <c r="B1213" s="115" t="s">
        <v>1139</v>
      </c>
      <c r="D1213" s="115" t="s">
        <v>1140</v>
      </c>
      <c r="E1213" s="115" t="s">
        <v>1141</v>
      </c>
    </row>
    <row r="1214" spans="2:5" x14ac:dyDescent="0.25">
      <c r="B1214" s="115" t="s">
        <v>1139</v>
      </c>
      <c r="D1214" s="115" t="s">
        <v>1140</v>
      </c>
      <c r="E1214" s="115" t="s">
        <v>1141</v>
      </c>
    </row>
    <row r="1215" spans="2:5" x14ac:dyDescent="0.25">
      <c r="B1215" s="115" t="s">
        <v>1139</v>
      </c>
      <c r="D1215" s="115" t="s">
        <v>2759</v>
      </c>
      <c r="E1215" s="115" t="s">
        <v>2760</v>
      </c>
    </row>
    <row r="1216" spans="2:5" x14ac:dyDescent="0.25">
      <c r="B1216" s="115" t="s">
        <v>2761</v>
      </c>
      <c r="D1216" s="115" t="s">
        <v>2762</v>
      </c>
      <c r="E1216" s="115" t="s">
        <v>2763</v>
      </c>
    </row>
    <row r="1217" spans="1:5" x14ac:dyDescent="0.25">
      <c r="B1217" s="115" t="s">
        <v>1139</v>
      </c>
      <c r="D1217" s="115" t="s">
        <v>1140</v>
      </c>
      <c r="E1217" s="115" t="s">
        <v>2764</v>
      </c>
    </row>
    <row r="1218" spans="1:5" x14ac:dyDescent="0.25">
      <c r="B1218" s="115" t="s">
        <v>2765</v>
      </c>
      <c r="D1218" s="115" t="s">
        <v>2766</v>
      </c>
      <c r="E1218" s="115" t="s">
        <v>2767</v>
      </c>
    </row>
    <row r="1219" spans="1:5" x14ac:dyDescent="0.25">
      <c r="B1219" s="115" t="s">
        <v>1297</v>
      </c>
      <c r="D1219" s="115" t="s">
        <v>2768</v>
      </c>
      <c r="E1219" s="115" t="s">
        <v>1141</v>
      </c>
    </row>
    <row r="1220" spans="1:5" x14ac:dyDescent="0.25">
      <c r="B1220" s="115" t="s">
        <v>2769</v>
      </c>
      <c r="D1220" s="115" t="s">
        <v>1140</v>
      </c>
      <c r="E1220" s="115" t="s">
        <v>2770</v>
      </c>
    </row>
    <row r="1221" spans="1:5" x14ac:dyDescent="0.25">
      <c r="B1221" s="115" t="s">
        <v>2771</v>
      </c>
      <c r="D1221" s="115" t="s">
        <v>1140</v>
      </c>
      <c r="E1221" s="115" t="s">
        <v>2772</v>
      </c>
    </row>
    <row r="1222" spans="1:5" x14ac:dyDescent="0.25">
      <c r="B1222" s="115" t="s">
        <v>2773</v>
      </c>
      <c r="D1222" s="115" t="s">
        <v>2774</v>
      </c>
      <c r="E1222" s="115" t="s">
        <v>2775</v>
      </c>
    </row>
    <row r="1223" spans="1:5" x14ac:dyDescent="0.25">
      <c r="B1223" s="115" t="s">
        <v>2776</v>
      </c>
      <c r="D1223" s="115" t="s">
        <v>2777</v>
      </c>
      <c r="E1223" s="115" t="s">
        <v>2778</v>
      </c>
    </row>
    <row r="1224" spans="1:5" x14ac:dyDescent="0.25">
      <c r="A1224" s="115" t="s">
        <v>1138</v>
      </c>
      <c r="B1224" s="115" t="s">
        <v>2779</v>
      </c>
      <c r="D1224" s="115" t="s">
        <v>2780</v>
      </c>
      <c r="E1224" s="115" t="s">
        <v>2781</v>
      </c>
    </row>
    <row r="1225" spans="1:5" x14ac:dyDescent="0.25">
      <c r="B1225" s="115" t="s">
        <v>2782</v>
      </c>
      <c r="D1225" s="115" t="s">
        <v>2783</v>
      </c>
      <c r="E1225" s="115" t="s">
        <v>2784</v>
      </c>
    </row>
    <row r="1226" spans="1:5" x14ac:dyDescent="0.25">
      <c r="A1226" s="115" t="s">
        <v>1138</v>
      </c>
      <c r="B1226" s="115" t="s">
        <v>1556</v>
      </c>
      <c r="D1226" s="115" t="s">
        <v>2777</v>
      </c>
      <c r="E1226" s="115" t="s">
        <v>2785</v>
      </c>
    </row>
    <row r="1227" spans="1:5" x14ac:dyDescent="0.25">
      <c r="A1227" s="115">
        <v>4</v>
      </c>
      <c r="B1227" s="115" t="s">
        <v>2786</v>
      </c>
      <c r="D1227" s="115" t="s">
        <v>2787</v>
      </c>
      <c r="E1227" s="115" t="s">
        <v>2788</v>
      </c>
    </row>
    <row r="1228" spans="1:5" x14ac:dyDescent="0.25">
      <c r="A1228" s="115">
        <v>-1</v>
      </c>
      <c r="B1228" s="115" t="s">
        <v>2789</v>
      </c>
      <c r="D1228" s="115" t="s">
        <v>2790</v>
      </c>
      <c r="E1228" s="115" t="s">
        <v>1141</v>
      </c>
    </row>
    <row r="1229" spans="1:5" x14ac:dyDescent="0.25">
      <c r="B1229" s="115" t="s">
        <v>1139</v>
      </c>
      <c r="D1229" s="115" t="s">
        <v>1140</v>
      </c>
      <c r="E1229" s="115" t="s">
        <v>1141</v>
      </c>
    </row>
    <row r="1230" spans="1:5" x14ac:dyDescent="0.25">
      <c r="B1230" s="115" t="s">
        <v>1139</v>
      </c>
      <c r="D1230" s="115" t="s">
        <v>1140</v>
      </c>
      <c r="E1230" s="115" t="s">
        <v>1141</v>
      </c>
    </row>
    <row r="1231" spans="1:5" x14ac:dyDescent="0.25">
      <c r="B1231" s="115" t="s">
        <v>1139</v>
      </c>
      <c r="D1231" s="115" t="s">
        <v>1140</v>
      </c>
      <c r="E1231" s="115" t="s">
        <v>1141</v>
      </c>
    </row>
    <row r="1232" spans="1:5" x14ac:dyDescent="0.25">
      <c r="B1232" s="115" t="s">
        <v>1139</v>
      </c>
      <c r="D1232" s="115" t="s">
        <v>1140</v>
      </c>
      <c r="E1232" s="115" t="s">
        <v>1141</v>
      </c>
    </row>
    <row r="1233" spans="1:5" x14ac:dyDescent="0.25">
      <c r="B1233" s="115" t="s">
        <v>1139</v>
      </c>
      <c r="D1233" s="115" t="s">
        <v>1140</v>
      </c>
      <c r="E1233" s="115" t="s">
        <v>1141</v>
      </c>
    </row>
    <row r="1234" spans="1:5" x14ac:dyDescent="0.25">
      <c r="B1234" s="115" t="s">
        <v>1139</v>
      </c>
      <c r="D1234" s="115" t="s">
        <v>1140</v>
      </c>
      <c r="E1234" s="115" t="s">
        <v>1141</v>
      </c>
    </row>
    <row r="1235" spans="1:5" x14ac:dyDescent="0.25">
      <c r="B1235" s="115" t="s">
        <v>1139</v>
      </c>
      <c r="D1235" s="115" t="s">
        <v>1140</v>
      </c>
      <c r="E1235" s="115" t="s">
        <v>1141</v>
      </c>
    </row>
    <row r="1236" spans="1:5" x14ac:dyDescent="0.25">
      <c r="B1236" s="115" t="s">
        <v>1139</v>
      </c>
      <c r="D1236" s="115" t="s">
        <v>1140</v>
      </c>
      <c r="E1236" s="115" t="s">
        <v>1141</v>
      </c>
    </row>
    <row r="1237" spans="1:5" x14ac:dyDescent="0.25">
      <c r="B1237" s="115" t="s">
        <v>1139</v>
      </c>
      <c r="D1237" s="115" t="s">
        <v>1140</v>
      </c>
      <c r="E1237" s="115" t="s">
        <v>1141</v>
      </c>
    </row>
    <row r="1238" spans="1:5" x14ac:dyDescent="0.25">
      <c r="B1238" s="115" t="s">
        <v>1139</v>
      </c>
      <c r="D1238" s="115" t="s">
        <v>1140</v>
      </c>
      <c r="E1238" s="115" t="s">
        <v>1141</v>
      </c>
    </row>
    <row r="1239" spans="1:5" x14ac:dyDescent="0.25">
      <c r="B1239" s="115" t="s">
        <v>1139</v>
      </c>
      <c r="D1239" s="115" t="s">
        <v>1140</v>
      </c>
      <c r="E1239" s="115" t="s">
        <v>1141</v>
      </c>
    </row>
    <row r="1240" spans="1:5" x14ac:dyDescent="0.25">
      <c r="B1240" s="115" t="s">
        <v>1139</v>
      </c>
      <c r="D1240" s="115" t="s">
        <v>1140</v>
      </c>
      <c r="E1240" s="115" t="s">
        <v>1141</v>
      </c>
    </row>
    <row r="1241" spans="1:5" x14ac:dyDescent="0.25">
      <c r="B1241" s="115" t="s">
        <v>1139</v>
      </c>
      <c r="D1241" s="115" t="s">
        <v>1140</v>
      </c>
      <c r="E1241" s="115" t="s">
        <v>2791</v>
      </c>
    </row>
    <row r="1242" spans="1:5" x14ac:dyDescent="0.25">
      <c r="A1242" s="115" t="s">
        <v>1138</v>
      </c>
      <c r="B1242" s="115" t="s">
        <v>2792</v>
      </c>
      <c r="D1242" s="115" t="s">
        <v>2793</v>
      </c>
      <c r="E1242" s="115" t="s">
        <v>2794</v>
      </c>
    </row>
    <row r="1243" spans="1:5" x14ac:dyDescent="0.25">
      <c r="B1243" s="115" t="s">
        <v>2795</v>
      </c>
      <c r="D1243" s="115" t="s">
        <v>1140</v>
      </c>
      <c r="E1243" s="115" t="s">
        <v>1141</v>
      </c>
    </row>
    <row r="1244" spans="1:5" x14ac:dyDescent="0.25">
      <c r="B1244" s="115" t="s">
        <v>2796</v>
      </c>
      <c r="D1244" s="115" t="s">
        <v>2797</v>
      </c>
      <c r="E1244" s="115" t="s">
        <v>2798</v>
      </c>
    </row>
    <row r="1245" spans="1:5" x14ac:dyDescent="0.25">
      <c r="B1245" s="115" t="s">
        <v>1139</v>
      </c>
      <c r="D1245" s="115" t="s">
        <v>2799</v>
      </c>
      <c r="E1245" s="115" t="s">
        <v>2800</v>
      </c>
    </row>
    <row r="1246" spans="1:5" x14ac:dyDescent="0.25">
      <c r="B1246" s="115" t="s">
        <v>1139</v>
      </c>
      <c r="D1246" s="115" t="s">
        <v>2801</v>
      </c>
      <c r="E1246" s="115" t="s">
        <v>1141</v>
      </c>
    </row>
    <row r="1247" spans="1:5" x14ac:dyDescent="0.25">
      <c r="B1247" s="115" t="s">
        <v>2802</v>
      </c>
      <c r="D1247" s="115" t="s">
        <v>2803</v>
      </c>
      <c r="E1247" s="115" t="s">
        <v>1596</v>
      </c>
    </row>
    <row r="1248" spans="1:5" x14ac:dyDescent="0.25">
      <c r="A1248" s="115" t="s">
        <v>1138</v>
      </c>
      <c r="B1248" s="115" t="s">
        <v>2804</v>
      </c>
      <c r="D1248" s="115" t="s">
        <v>2805</v>
      </c>
      <c r="E1248" s="115" t="s">
        <v>2806</v>
      </c>
    </row>
    <row r="1249" spans="1:5" x14ac:dyDescent="0.25">
      <c r="A1249" s="115" t="s">
        <v>1138</v>
      </c>
      <c r="B1249" s="115" t="s">
        <v>2807</v>
      </c>
      <c r="C1249" s="115" t="s">
        <v>1138</v>
      </c>
      <c r="D1249" s="115" t="s">
        <v>2808</v>
      </c>
      <c r="E1249" s="115" t="s">
        <v>2809</v>
      </c>
    </row>
    <row r="1250" spans="1:5" x14ac:dyDescent="0.25">
      <c r="B1250" s="115" t="s">
        <v>2810</v>
      </c>
      <c r="D1250" s="115" t="s">
        <v>2811</v>
      </c>
      <c r="E1250" s="115" t="s">
        <v>2812</v>
      </c>
    </row>
    <row r="1251" spans="1:5" x14ac:dyDescent="0.25">
      <c r="A1251" s="115" t="s">
        <v>1138</v>
      </c>
      <c r="B1251" s="115" t="s">
        <v>2813</v>
      </c>
      <c r="D1251" s="115" t="s">
        <v>2814</v>
      </c>
      <c r="E1251" s="115" t="s">
        <v>2815</v>
      </c>
    </row>
    <row r="1252" spans="1:5" x14ac:dyDescent="0.25">
      <c r="A1252" s="115" t="s">
        <v>1138</v>
      </c>
      <c r="B1252" s="115" t="s">
        <v>2816</v>
      </c>
      <c r="C1252" s="115" t="s">
        <v>1138</v>
      </c>
      <c r="D1252" s="115" t="s">
        <v>2817</v>
      </c>
      <c r="E1252" s="115" t="s">
        <v>2818</v>
      </c>
    </row>
    <row r="1253" spans="1:5" x14ac:dyDescent="0.25">
      <c r="B1253" s="115" t="s">
        <v>2819</v>
      </c>
      <c r="C1253" s="115" t="s">
        <v>1138</v>
      </c>
      <c r="D1253" s="115" t="s">
        <v>2820</v>
      </c>
      <c r="E1253" s="115" t="s">
        <v>2821</v>
      </c>
    </row>
    <row r="1254" spans="1:5" x14ac:dyDescent="0.25">
      <c r="B1254" s="115" t="s">
        <v>1292</v>
      </c>
      <c r="D1254" s="115" t="s">
        <v>2822</v>
      </c>
      <c r="E1254" s="115" t="s">
        <v>2823</v>
      </c>
    </row>
    <row r="1255" spans="1:5" x14ac:dyDescent="0.25">
      <c r="B1255" s="115" t="s">
        <v>2824</v>
      </c>
      <c r="D1255" s="115" t="s">
        <v>2825</v>
      </c>
      <c r="E1255" s="115" t="s">
        <v>2826</v>
      </c>
    </row>
    <row r="1256" spans="1:5" x14ac:dyDescent="0.25">
      <c r="B1256" s="115" t="s">
        <v>1139</v>
      </c>
      <c r="D1256" s="115" t="s">
        <v>2827</v>
      </c>
      <c r="E1256" s="115" t="s">
        <v>1141</v>
      </c>
    </row>
    <row r="1257" spans="1:5" x14ac:dyDescent="0.25">
      <c r="B1257" s="115" t="s">
        <v>1139</v>
      </c>
      <c r="D1257" s="115" t="s">
        <v>2828</v>
      </c>
      <c r="E1257" s="115" t="s">
        <v>2829</v>
      </c>
    </row>
    <row r="1258" spans="1:5" x14ac:dyDescent="0.25">
      <c r="A1258" s="115" t="s">
        <v>1138</v>
      </c>
      <c r="B1258" s="115" t="s">
        <v>2830</v>
      </c>
      <c r="D1258" s="115" t="s">
        <v>2831</v>
      </c>
      <c r="E1258" s="115" t="s">
        <v>2832</v>
      </c>
    </row>
    <row r="1259" spans="1:5" x14ac:dyDescent="0.25">
      <c r="B1259" s="115" t="s">
        <v>2833</v>
      </c>
      <c r="D1259" s="115" t="s">
        <v>1140</v>
      </c>
      <c r="E1259" s="115" t="s">
        <v>2834</v>
      </c>
    </row>
    <row r="1260" spans="1:5" x14ac:dyDescent="0.25">
      <c r="B1260" s="115" t="s">
        <v>1139</v>
      </c>
      <c r="D1260" s="115" t="s">
        <v>2835</v>
      </c>
      <c r="E1260" s="115" t="s">
        <v>2836</v>
      </c>
    </row>
    <row r="1261" spans="1:5" x14ac:dyDescent="0.25">
      <c r="B1261" s="115" t="s">
        <v>1139</v>
      </c>
      <c r="D1261" s="115" t="s">
        <v>2837</v>
      </c>
      <c r="E1261" s="115" t="s">
        <v>2838</v>
      </c>
    </row>
    <row r="1262" spans="1:5" x14ac:dyDescent="0.25">
      <c r="B1262" s="115" t="s">
        <v>2839</v>
      </c>
      <c r="D1262" s="115" t="s">
        <v>2840</v>
      </c>
      <c r="E1262" s="115" t="s">
        <v>2841</v>
      </c>
    </row>
    <row r="1263" spans="1:5" x14ac:dyDescent="0.25">
      <c r="B1263" s="115" t="s">
        <v>2842</v>
      </c>
      <c r="D1263" s="115" t="s">
        <v>2843</v>
      </c>
      <c r="E1263" s="115" t="s">
        <v>2844</v>
      </c>
    </row>
    <row r="1264" spans="1:5" x14ac:dyDescent="0.25">
      <c r="A1264" s="115">
        <v>-1</v>
      </c>
      <c r="B1264" s="115" t="s">
        <v>2845</v>
      </c>
      <c r="D1264" s="115">
        <f>-272   -138   -174   -25</f>
        <v>-609</v>
      </c>
      <c r="E1264" s="115" t="s">
        <v>2846</v>
      </c>
    </row>
    <row r="1265" spans="1:5" x14ac:dyDescent="0.25">
      <c r="A1265" s="115" t="s">
        <v>1138</v>
      </c>
      <c r="B1265" s="115" t="s">
        <v>2847</v>
      </c>
      <c r="D1265" s="115" t="s">
        <v>2848</v>
      </c>
      <c r="E1265" s="115" t="s">
        <v>2849</v>
      </c>
    </row>
    <row r="1266" spans="1:5" x14ac:dyDescent="0.25">
      <c r="B1266" s="115" t="s">
        <v>2850</v>
      </c>
      <c r="D1266" s="115" t="s">
        <v>2851</v>
      </c>
      <c r="E1266" s="115" t="s">
        <v>2852</v>
      </c>
    </row>
    <row r="1267" spans="1:5" x14ac:dyDescent="0.25">
      <c r="A1267" s="115">
        <v>4</v>
      </c>
      <c r="B1267" s="115" t="s">
        <v>2853</v>
      </c>
      <c r="D1267" s="115" t="s">
        <v>1377</v>
      </c>
      <c r="E1267" s="115" t="s">
        <v>2854</v>
      </c>
    </row>
    <row r="1268" spans="1:5" x14ac:dyDescent="0.25">
      <c r="B1268" s="115" t="s">
        <v>1139</v>
      </c>
      <c r="C1268" s="115" t="s">
        <v>1138</v>
      </c>
      <c r="D1268" s="115" t="s">
        <v>2855</v>
      </c>
      <c r="E1268" s="115" t="s">
        <v>2856</v>
      </c>
    </row>
    <row r="1269" spans="1:5" x14ac:dyDescent="0.25">
      <c r="B1269" s="115" t="s">
        <v>2857</v>
      </c>
      <c r="D1269" s="115" t="s">
        <v>1533</v>
      </c>
      <c r="E1269" s="115" t="s">
        <v>2858</v>
      </c>
    </row>
    <row r="1270" spans="1:5" x14ac:dyDescent="0.25">
      <c r="B1270" s="115" t="s">
        <v>1139</v>
      </c>
      <c r="D1270" s="115" t="s">
        <v>1140</v>
      </c>
      <c r="E1270" s="115" t="s">
        <v>2859</v>
      </c>
    </row>
    <row r="1271" spans="1:5" x14ac:dyDescent="0.25">
      <c r="B1271" s="115" t="s">
        <v>2860</v>
      </c>
      <c r="D1271" s="115" t="s">
        <v>2861</v>
      </c>
      <c r="E1271" s="115" t="s">
        <v>2862</v>
      </c>
    </row>
    <row r="1272" spans="1:5" x14ac:dyDescent="0.25">
      <c r="A1272" s="115" t="s">
        <v>1138</v>
      </c>
      <c r="B1272" s="115" t="s">
        <v>1334</v>
      </c>
      <c r="D1272" s="115" t="s">
        <v>2863</v>
      </c>
      <c r="E1272" s="115" t="s">
        <v>1141</v>
      </c>
    </row>
    <row r="1273" spans="1:5" x14ac:dyDescent="0.25">
      <c r="B1273" s="115" t="s">
        <v>1479</v>
      </c>
      <c r="D1273" s="115" t="s">
        <v>1140</v>
      </c>
      <c r="E1273" s="115" t="s">
        <v>2864</v>
      </c>
    </row>
    <row r="1274" spans="1:5" x14ac:dyDescent="0.25">
      <c r="B1274" s="115" t="s">
        <v>2865</v>
      </c>
      <c r="D1274" s="115" t="s">
        <v>1140</v>
      </c>
      <c r="E1274" s="115" t="s">
        <v>2866</v>
      </c>
    </row>
    <row r="1275" spans="1:5" x14ac:dyDescent="0.25">
      <c r="B1275" s="115" t="s">
        <v>2867</v>
      </c>
      <c r="D1275" s="115" t="s">
        <v>2868</v>
      </c>
      <c r="E1275" s="115" t="s">
        <v>2869</v>
      </c>
    </row>
    <row r="1276" spans="1:5" x14ac:dyDescent="0.25">
      <c r="A1276" s="115">
        <v>-3</v>
      </c>
      <c r="B1276" s="115" t="s">
        <v>1208</v>
      </c>
      <c r="D1276" s="115" t="s">
        <v>2127</v>
      </c>
      <c r="E1276" s="115" t="s">
        <v>2870</v>
      </c>
    </row>
    <row r="1277" spans="1:5" x14ac:dyDescent="0.25">
      <c r="B1277" s="115" t="s">
        <v>2871</v>
      </c>
      <c r="D1277" s="115" t="s">
        <v>2872</v>
      </c>
      <c r="E1277" s="115" t="s">
        <v>2873</v>
      </c>
    </row>
    <row r="1278" spans="1:5" x14ac:dyDescent="0.25">
      <c r="B1278" s="115" t="s">
        <v>2874</v>
      </c>
      <c r="D1278" s="115" t="s">
        <v>2875</v>
      </c>
      <c r="E1278" s="115" t="s">
        <v>2876</v>
      </c>
    </row>
    <row r="1279" spans="1:5" x14ac:dyDescent="0.25">
      <c r="A1279" s="115">
        <v>-13</v>
      </c>
      <c r="B1279" s="115" t="s">
        <v>2877</v>
      </c>
      <c r="D1279" s="115" t="s">
        <v>2878</v>
      </c>
      <c r="E1279" s="115" t="s">
        <v>2879</v>
      </c>
    </row>
    <row r="1280" spans="1:5" x14ac:dyDescent="0.25">
      <c r="A1280" s="115">
        <v>-3</v>
      </c>
      <c r="B1280" s="115" t="s">
        <v>2880</v>
      </c>
      <c r="C1280" s="115">
        <v>-1</v>
      </c>
      <c r="D1280" s="115" t="s">
        <v>2881</v>
      </c>
      <c r="E1280" s="115" t="s">
        <v>2882</v>
      </c>
    </row>
    <row r="1281" spans="1:5" x14ac:dyDescent="0.25">
      <c r="A1281" s="115">
        <v>-3</v>
      </c>
      <c r="B1281" s="115" t="s">
        <v>2883</v>
      </c>
      <c r="D1281" s="115" t="s">
        <v>2884</v>
      </c>
      <c r="E1281" s="115" t="s">
        <v>2885</v>
      </c>
    </row>
    <row r="1282" spans="1:5" x14ac:dyDescent="0.25">
      <c r="B1282" s="115" t="s">
        <v>1139</v>
      </c>
      <c r="D1282" s="115" t="s">
        <v>1140</v>
      </c>
      <c r="E1282" s="115" t="s">
        <v>1141</v>
      </c>
    </row>
    <row r="1283" spans="1:5" x14ac:dyDescent="0.25">
      <c r="B1283" s="115" t="s">
        <v>1139</v>
      </c>
      <c r="D1283" s="115" t="s">
        <v>1140</v>
      </c>
      <c r="E1283" s="115" t="s">
        <v>1141</v>
      </c>
    </row>
    <row r="1284" spans="1:5" x14ac:dyDescent="0.25">
      <c r="B1284" s="115" t="s">
        <v>1139</v>
      </c>
      <c r="D1284" s="115" t="s">
        <v>1140</v>
      </c>
      <c r="E1284" s="115" t="s">
        <v>1141</v>
      </c>
    </row>
    <row r="1285" spans="1:5" x14ac:dyDescent="0.25">
      <c r="B1285" s="115" t="s">
        <v>1139</v>
      </c>
      <c r="D1285" s="115" t="s">
        <v>1140</v>
      </c>
      <c r="E1285" s="115" t="s">
        <v>1141</v>
      </c>
    </row>
    <row r="1286" spans="1:5" x14ac:dyDescent="0.25">
      <c r="B1286" s="115" t="s">
        <v>1139</v>
      </c>
      <c r="D1286" s="115" t="s">
        <v>1140</v>
      </c>
      <c r="E1286" s="115" t="s">
        <v>1141</v>
      </c>
    </row>
    <row r="1287" spans="1:5" x14ac:dyDescent="0.25">
      <c r="B1287" s="115" t="s">
        <v>1139</v>
      </c>
      <c r="D1287" s="115" t="s">
        <v>1140</v>
      </c>
      <c r="E1287" s="115" t="s">
        <v>1141</v>
      </c>
    </row>
    <row r="1288" spans="1:5" x14ac:dyDescent="0.25">
      <c r="B1288" s="115" t="s">
        <v>1139</v>
      </c>
      <c r="D1288" s="115" t="s">
        <v>1140</v>
      </c>
      <c r="E1288" s="115" t="s">
        <v>1141</v>
      </c>
    </row>
    <row r="1289" spans="1:5" x14ac:dyDescent="0.25">
      <c r="B1289" s="115" t="s">
        <v>1139</v>
      </c>
      <c r="D1289" s="115" t="s">
        <v>1140</v>
      </c>
      <c r="E1289" s="115" t="s">
        <v>1141</v>
      </c>
    </row>
    <row r="1290" spans="1:5" x14ac:dyDescent="0.25">
      <c r="B1290" s="115" t="s">
        <v>1139</v>
      </c>
      <c r="D1290" s="115" t="s">
        <v>1140</v>
      </c>
      <c r="E1290" s="115" t="s">
        <v>1141</v>
      </c>
    </row>
    <row r="1291" spans="1:5" x14ac:dyDescent="0.25">
      <c r="B1291" s="115" t="s">
        <v>1139</v>
      </c>
      <c r="D1291" s="115" t="s">
        <v>1140</v>
      </c>
      <c r="E1291" s="115" t="s">
        <v>1141</v>
      </c>
    </row>
    <row r="1292" spans="1:5" x14ac:dyDescent="0.25">
      <c r="B1292" s="115" t="s">
        <v>1139</v>
      </c>
      <c r="D1292" s="115" t="s">
        <v>1140</v>
      </c>
      <c r="E1292" s="115" t="s">
        <v>1141</v>
      </c>
    </row>
    <row r="1293" spans="1:5" x14ac:dyDescent="0.25">
      <c r="B1293" s="115" t="s">
        <v>1139</v>
      </c>
      <c r="D1293" s="115" t="s">
        <v>1140</v>
      </c>
      <c r="E1293" s="115" t="s">
        <v>1141</v>
      </c>
    </row>
    <row r="1294" spans="1:5" x14ac:dyDescent="0.25">
      <c r="B1294" s="115" t="s">
        <v>1139</v>
      </c>
      <c r="D1294" s="115" t="s">
        <v>1140</v>
      </c>
      <c r="E1294" s="115" t="s">
        <v>1141</v>
      </c>
    </row>
    <row r="1295" spans="1:5" x14ac:dyDescent="0.25">
      <c r="B1295" s="115" t="s">
        <v>1139</v>
      </c>
      <c r="D1295" s="115" t="s">
        <v>1140</v>
      </c>
      <c r="E1295" s="115" t="s">
        <v>1141</v>
      </c>
    </row>
    <row r="1296" spans="1:5" x14ac:dyDescent="0.25">
      <c r="B1296" s="115" t="s">
        <v>1139</v>
      </c>
      <c r="D1296" s="115" t="s">
        <v>1140</v>
      </c>
      <c r="E1296" s="115" t="s">
        <v>1141</v>
      </c>
    </row>
    <row r="1297" spans="2:5" x14ac:dyDescent="0.25">
      <c r="B1297" s="115" t="s">
        <v>1139</v>
      </c>
      <c r="D1297" s="115" t="s">
        <v>1140</v>
      </c>
      <c r="E1297" s="115" t="s">
        <v>1141</v>
      </c>
    </row>
    <row r="1298" spans="2:5" x14ac:dyDescent="0.25">
      <c r="B1298" s="115" t="s">
        <v>1139</v>
      </c>
      <c r="D1298" s="115" t="s">
        <v>1140</v>
      </c>
      <c r="E1298" s="115" t="s">
        <v>1141</v>
      </c>
    </row>
    <row r="1299" spans="2:5" x14ac:dyDescent="0.25">
      <c r="B1299" s="115" t="s">
        <v>1139</v>
      </c>
      <c r="D1299" s="115" t="s">
        <v>1140</v>
      </c>
      <c r="E1299" s="115" t="s">
        <v>1141</v>
      </c>
    </row>
    <row r="1300" spans="2:5" x14ac:dyDescent="0.25">
      <c r="B1300" s="115" t="s">
        <v>1139</v>
      </c>
      <c r="D1300" s="115" t="s">
        <v>1140</v>
      </c>
      <c r="E1300" s="115" t="s">
        <v>1141</v>
      </c>
    </row>
    <row r="1301" spans="2:5" x14ac:dyDescent="0.25">
      <c r="B1301" s="115" t="s">
        <v>1139</v>
      </c>
      <c r="D1301" s="115" t="s">
        <v>1140</v>
      </c>
      <c r="E1301" s="115" t="s">
        <v>1141</v>
      </c>
    </row>
    <row r="1302" spans="2:5" x14ac:dyDescent="0.25">
      <c r="B1302" s="115" t="s">
        <v>1139</v>
      </c>
      <c r="D1302" s="115" t="s">
        <v>1140</v>
      </c>
      <c r="E1302" s="115" t="s">
        <v>1141</v>
      </c>
    </row>
    <row r="1303" spans="2:5" x14ac:dyDescent="0.25">
      <c r="B1303" s="115" t="s">
        <v>1139</v>
      </c>
      <c r="D1303" s="115" t="s">
        <v>1140</v>
      </c>
      <c r="E1303" s="115" t="s">
        <v>1141</v>
      </c>
    </row>
    <row r="1304" spans="2:5" x14ac:dyDescent="0.25">
      <c r="B1304" s="115" t="s">
        <v>1139</v>
      </c>
      <c r="D1304" s="115" t="s">
        <v>1140</v>
      </c>
      <c r="E1304" s="115" t="s">
        <v>1141</v>
      </c>
    </row>
    <row r="1305" spans="2:5" x14ac:dyDescent="0.25">
      <c r="B1305" s="115" t="s">
        <v>1139</v>
      </c>
      <c r="D1305" s="115" t="s">
        <v>1140</v>
      </c>
      <c r="E1305" s="115" t="s">
        <v>1141</v>
      </c>
    </row>
    <row r="1306" spans="2:5" x14ac:dyDescent="0.25">
      <c r="B1306" s="115" t="s">
        <v>1139</v>
      </c>
      <c r="D1306" s="115" t="s">
        <v>1140</v>
      </c>
      <c r="E1306" s="115" t="s">
        <v>1141</v>
      </c>
    </row>
    <row r="1307" spans="2:5" x14ac:dyDescent="0.25">
      <c r="B1307" s="115" t="s">
        <v>1139</v>
      </c>
      <c r="D1307" s="115" t="s">
        <v>1140</v>
      </c>
      <c r="E1307" s="115" t="s">
        <v>1141</v>
      </c>
    </row>
    <row r="1308" spans="2:5" x14ac:dyDescent="0.25">
      <c r="B1308" s="115" t="s">
        <v>1139</v>
      </c>
      <c r="D1308" s="115" t="s">
        <v>1140</v>
      </c>
      <c r="E1308" s="115" t="s">
        <v>1141</v>
      </c>
    </row>
    <row r="1309" spans="2:5" x14ac:dyDescent="0.25">
      <c r="B1309" s="115" t="s">
        <v>1139</v>
      </c>
      <c r="D1309" s="115" t="s">
        <v>1140</v>
      </c>
      <c r="E1309" s="115" t="s">
        <v>1141</v>
      </c>
    </row>
    <row r="1310" spans="2:5" x14ac:dyDescent="0.25">
      <c r="B1310" s="115" t="s">
        <v>1139</v>
      </c>
      <c r="D1310" s="115" t="s">
        <v>1140</v>
      </c>
      <c r="E1310" s="115" t="s">
        <v>1141</v>
      </c>
    </row>
    <row r="1311" spans="2:5" x14ac:dyDescent="0.25">
      <c r="B1311" s="115" t="s">
        <v>1139</v>
      </c>
      <c r="D1311" s="115" t="s">
        <v>1140</v>
      </c>
      <c r="E1311" s="115" t="s">
        <v>1141</v>
      </c>
    </row>
    <row r="1312" spans="2:5" x14ac:dyDescent="0.25">
      <c r="B1312" s="115" t="s">
        <v>1139</v>
      </c>
      <c r="D1312" s="115" t="s">
        <v>1140</v>
      </c>
      <c r="E1312" s="115" t="s">
        <v>1141</v>
      </c>
    </row>
    <row r="1313" spans="2:5" x14ac:dyDescent="0.25">
      <c r="B1313" s="115" t="s">
        <v>1139</v>
      </c>
      <c r="D1313" s="115" t="s">
        <v>1140</v>
      </c>
      <c r="E1313" s="115" t="s">
        <v>1141</v>
      </c>
    </row>
    <row r="1314" spans="2:5" x14ac:dyDescent="0.25">
      <c r="B1314" s="115" t="s">
        <v>1139</v>
      </c>
      <c r="D1314" s="115" t="s">
        <v>1140</v>
      </c>
      <c r="E1314" s="115" t="s">
        <v>1141</v>
      </c>
    </row>
    <row r="1315" spans="2:5" x14ac:dyDescent="0.25">
      <c r="B1315" s="115" t="s">
        <v>1139</v>
      </c>
      <c r="D1315" s="115" t="s">
        <v>1140</v>
      </c>
      <c r="E1315" s="115" t="s">
        <v>1141</v>
      </c>
    </row>
    <row r="1316" spans="2:5" x14ac:dyDescent="0.25">
      <c r="B1316" s="115" t="s">
        <v>1139</v>
      </c>
      <c r="D1316" s="115" t="s">
        <v>1140</v>
      </c>
      <c r="E1316" s="115" t="s">
        <v>1141</v>
      </c>
    </row>
    <row r="1317" spans="2:5" x14ac:dyDescent="0.25">
      <c r="B1317" s="115" t="s">
        <v>1139</v>
      </c>
      <c r="D1317" s="115" t="s">
        <v>1140</v>
      </c>
      <c r="E1317" s="115" t="s">
        <v>1141</v>
      </c>
    </row>
    <row r="1318" spans="2:5" x14ac:dyDescent="0.25">
      <c r="B1318" s="115" t="s">
        <v>1139</v>
      </c>
      <c r="D1318" s="115" t="s">
        <v>1140</v>
      </c>
      <c r="E1318" s="115" t="s">
        <v>1141</v>
      </c>
    </row>
    <row r="1319" spans="2:5" x14ac:dyDescent="0.25">
      <c r="B1319" s="115" t="s">
        <v>1139</v>
      </c>
      <c r="D1319" s="115" t="s">
        <v>1140</v>
      </c>
      <c r="E1319" s="115" t="s">
        <v>1141</v>
      </c>
    </row>
    <row r="1320" spans="2:5" x14ac:dyDescent="0.25">
      <c r="B1320" s="115" t="s">
        <v>1139</v>
      </c>
      <c r="D1320" s="115" t="s">
        <v>1140</v>
      </c>
      <c r="E1320" s="115" t="s">
        <v>1141</v>
      </c>
    </row>
    <row r="1321" spans="2:5" x14ac:dyDescent="0.25">
      <c r="B1321" s="115" t="s">
        <v>1139</v>
      </c>
      <c r="D1321" s="115" t="s">
        <v>1140</v>
      </c>
      <c r="E1321" s="115" t="s">
        <v>1141</v>
      </c>
    </row>
    <row r="1322" spans="2:5" x14ac:dyDescent="0.25">
      <c r="B1322" s="115" t="s">
        <v>1139</v>
      </c>
      <c r="D1322" s="115" t="s">
        <v>1140</v>
      </c>
      <c r="E1322" s="115" t="s">
        <v>1141</v>
      </c>
    </row>
    <row r="1323" spans="2:5" x14ac:dyDescent="0.25">
      <c r="B1323" s="115" t="s">
        <v>1139</v>
      </c>
      <c r="D1323" s="115" t="s">
        <v>1140</v>
      </c>
      <c r="E1323" s="115" t="s">
        <v>1141</v>
      </c>
    </row>
    <row r="1324" spans="2:5" x14ac:dyDescent="0.25">
      <c r="B1324" s="115" t="s">
        <v>1139</v>
      </c>
      <c r="D1324" s="115" t="s">
        <v>1140</v>
      </c>
      <c r="E1324" s="115" t="s">
        <v>1141</v>
      </c>
    </row>
    <row r="1325" spans="2:5" x14ac:dyDescent="0.25">
      <c r="B1325" s="115" t="s">
        <v>1139</v>
      </c>
      <c r="D1325" s="115" t="s">
        <v>1140</v>
      </c>
      <c r="E1325" s="115" t="s">
        <v>1141</v>
      </c>
    </row>
    <row r="1326" spans="2:5" x14ac:dyDescent="0.25">
      <c r="B1326" s="115" t="s">
        <v>1139</v>
      </c>
      <c r="D1326" s="115" t="s">
        <v>1140</v>
      </c>
      <c r="E1326" s="115" t="s">
        <v>1141</v>
      </c>
    </row>
    <row r="1327" spans="2:5" x14ac:dyDescent="0.25">
      <c r="B1327" s="115" t="s">
        <v>1139</v>
      </c>
      <c r="D1327" s="115" t="s">
        <v>1140</v>
      </c>
      <c r="E1327" s="115" t="s">
        <v>1141</v>
      </c>
    </row>
    <row r="1328" spans="2:5" x14ac:dyDescent="0.25">
      <c r="B1328" s="115" t="s">
        <v>1139</v>
      </c>
      <c r="D1328" s="115" t="s">
        <v>1140</v>
      </c>
      <c r="E1328" s="115" t="s">
        <v>1141</v>
      </c>
    </row>
    <row r="1329" spans="1:5" x14ac:dyDescent="0.25">
      <c r="B1329" s="115" t="s">
        <v>1139</v>
      </c>
      <c r="D1329" s="115" t="s">
        <v>1140</v>
      </c>
      <c r="E1329" s="115" t="s">
        <v>1141</v>
      </c>
    </row>
    <row r="1330" spans="1:5" x14ac:dyDescent="0.25">
      <c r="B1330" s="115" t="s">
        <v>1139</v>
      </c>
      <c r="D1330" s="115" t="s">
        <v>1140</v>
      </c>
      <c r="E1330" s="115" t="s">
        <v>1141</v>
      </c>
    </row>
    <row r="1331" spans="1:5" x14ac:dyDescent="0.25">
      <c r="B1331" s="115" t="s">
        <v>1139</v>
      </c>
      <c r="D1331" s="115" t="s">
        <v>1140</v>
      </c>
      <c r="E1331" s="115" t="s">
        <v>1141</v>
      </c>
    </row>
    <row r="1332" spans="1:5" x14ac:dyDescent="0.25">
      <c r="B1332" s="115" t="s">
        <v>1139</v>
      </c>
      <c r="D1332" s="115" t="s">
        <v>1140</v>
      </c>
      <c r="E1332" s="115" t="s">
        <v>1141</v>
      </c>
    </row>
    <row r="1333" spans="1:5" x14ac:dyDescent="0.25">
      <c r="B1333" s="115" t="s">
        <v>1139</v>
      </c>
      <c r="D1333" s="115" t="s">
        <v>1140</v>
      </c>
      <c r="E1333" s="115" t="s">
        <v>1141</v>
      </c>
    </row>
    <row r="1334" spans="1:5" x14ac:dyDescent="0.25">
      <c r="B1334" s="115" t="s">
        <v>1139</v>
      </c>
      <c r="D1334" s="115" t="s">
        <v>1140</v>
      </c>
      <c r="E1334" s="115" t="s">
        <v>1141</v>
      </c>
    </row>
    <row r="1335" spans="1:5" x14ac:dyDescent="0.25">
      <c r="B1335" s="115" t="s">
        <v>1139</v>
      </c>
      <c r="D1335" s="115" t="s">
        <v>1140</v>
      </c>
      <c r="E1335" s="115" t="s">
        <v>1141</v>
      </c>
    </row>
    <row r="1336" spans="1:5" x14ac:dyDescent="0.25">
      <c r="B1336" s="115" t="s">
        <v>1139</v>
      </c>
      <c r="D1336" s="115" t="s">
        <v>1140</v>
      </c>
      <c r="E1336" s="115" t="s">
        <v>1141</v>
      </c>
    </row>
    <row r="1337" spans="1:5" x14ac:dyDescent="0.25">
      <c r="A1337" s="115">
        <v>1</v>
      </c>
      <c r="B1337" s="115" t="s">
        <v>2886</v>
      </c>
      <c r="D1337" s="115" t="s">
        <v>2887</v>
      </c>
      <c r="E1337" s="115" t="s">
        <v>2888</v>
      </c>
    </row>
    <row r="1338" spans="1:5" x14ac:dyDescent="0.25">
      <c r="B1338" s="115" t="s">
        <v>1139</v>
      </c>
      <c r="D1338" s="115" t="s">
        <v>2889</v>
      </c>
      <c r="E1338" s="115" t="s">
        <v>1141</v>
      </c>
    </row>
    <row r="1339" spans="1:5" x14ac:dyDescent="0.25">
      <c r="B1339" s="115" t="s">
        <v>1139</v>
      </c>
      <c r="D1339" s="115" t="s">
        <v>2890</v>
      </c>
      <c r="E1339" s="115" t="s">
        <v>2891</v>
      </c>
    </row>
    <row r="1340" spans="1:5" x14ac:dyDescent="0.25">
      <c r="A1340" s="115" t="s">
        <v>1138</v>
      </c>
      <c r="B1340" s="115" t="s">
        <v>2892</v>
      </c>
      <c r="D1340" s="115" t="s">
        <v>2893</v>
      </c>
      <c r="E1340" s="115" t="s">
        <v>2894</v>
      </c>
    </row>
    <row r="1341" spans="1:5" x14ac:dyDescent="0.25">
      <c r="B1341" s="115" t="s">
        <v>1139</v>
      </c>
      <c r="D1341" s="115" t="s">
        <v>1828</v>
      </c>
      <c r="E1341" s="115" t="s">
        <v>1759</v>
      </c>
    </row>
    <row r="1342" spans="1:5" x14ac:dyDescent="0.25">
      <c r="B1342" s="115" t="s">
        <v>1139</v>
      </c>
      <c r="D1342" s="115" t="s">
        <v>2895</v>
      </c>
      <c r="E1342" s="115" t="s">
        <v>2896</v>
      </c>
    </row>
    <row r="1343" spans="1:5" x14ac:dyDescent="0.25">
      <c r="B1343" s="115" t="s">
        <v>1494</v>
      </c>
      <c r="D1343" s="115" t="s">
        <v>2897</v>
      </c>
      <c r="E1343" s="115" t="s">
        <v>2898</v>
      </c>
    </row>
    <row r="1344" spans="1:5" x14ac:dyDescent="0.25">
      <c r="A1344" s="115" t="s">
        <v>1138</v>
      </c>
      <c r="B1344" s="115" t="s">
        <v>2899</v>
      </c>
      <c r="D1344" s="115" t="s">
        <v>2900</v>
      </c>
      <c r="E1344" s="115" t="s">
        <v>1819</v>
      </c>
    </row>
    <row r="1345" spans="1:5" x14ac:dyDescent="0.25">
      <c r="A1345" s="115">
        <v>-1</v>
      </c>
      <c r="B1345" s="115" t="s">
        <v>2901</v>
      </c>
      <c r="D1345" s="115" t="s">
        <v>2902</v>
      </c>
      <c r="E1345" s="115" t="s">
        <v>2903</v>
      </c>
    </row>
    <row r="1346" spans="1:5" x14ac:dyDescent="0.25">
      <c r="A1346" s="115" t="s">
        <v>1138</v>
      </c>
      <c r="B1346" s="115" t="s">
        <v>2904</v>
      </c>
      <c r="D1346" s="115" t="s">
        <v>2905</v>
      </c>
      <c r="E1346" s="115" t="s">
        <v>2906</v>
      </c>
    </row>
    <row r="1347" spans="1:5" x14ac:dyDescent="0.25">
      <c r="A1347" s="115" t="s">
        <v>1138</v>
      </c>
      <c r="B1347" s="115" t="s">
        <v>1651</v>
      </c>
      <c r="D1347" s="115" t="s">
        <v>2907</v>
      </c>
      <c r="E1347" s="115" t="s">
        <v>1702</v>
      </c>
    </row>
    <row r="1348" spans="1:5" x14ac:dyDescent="0.25">
      <c r="A1348" s="115">
        <v>-7</v>
      </c>
      <c r="B1348" s="115" t="s">
        <v>2908</v>
      </c>
      <c r="D1348" s="115" t="s">
        <v>2909</v>
      </c>
      <c r="E1348" s="115" t="s">
        <v>2910</v>
      </c>
    </row>
    <row r="1349" spans="1:5" x14ac:dyDescent="0.25">
      <c r="A1349" s="115">
        <v>11</v>
      </c>
      <c r="B1349" s="115" t="s">
        <v>1453</v>
      </c>
      <c r="D1349" s="115" t="s">
        <v>2911</v>
      </c>
      <c r="E1349" s="115" t="s">
        <v>2912</v>
      </c>
    </row>
    <row r="1350" spans="1:5" x14ac:dyDescent="0.25">
      <c r="B1350" s="115" t="s">
        <v>2913</v>
      </c>
      <c r="D1350" s="115" t="s">
        <v>2914</v>
      </c>
      <c r="E1350" s="115" t="s">
        <v>2537</v>
      </c>
    </row>
    <row r="1351" spans="1:5" x14ac:dyDescent="0.25">
      <c r="A1351" s="115">
        <v>2</v>
      </c>
      <c r="B1351" s="115" t="s">
        <v>2915</v>
      </c>
      <c r="C1351" s="115" t="s">
        <v>1138</v>
      </c>
      <c r="D1351" s="115" t="s">
        <v>2916</v>
      </c>
      <c r="E1351" s="115" t="s">
        <v>2917</v>
      </c>
    </row>
    <row r="1352" spans="1:5" x14ac:dyDescent="0.25">
      <c r="B1352" s="115" t="s">
        <v>1139</v>
      </c>
      <c r="D1352" s="115" t="s">
        <v>2918</v>
      </c>
      <c r="E1352" s="115" t="s">
        <v>1141</v>
      </c>
    </row>
    <row r="1353" spans="1:5" x14ac:dyDescent="0.25">
      <c r="B1353" s="115" t="s">
        <v>1139</v>
      </c>
      <c r="D1353" s="115" t="s">
        <v>2919</v>
      </c>
      <c r="E1353" s="115" t="s">
        <v>2920</v>
      </c>
    </row>
    <row r="1354" spans="1:5" x14ac:dyDescent="0.25">
      <c r="A1354" s="115">
        <v>-2</v>
      </c>
      <c r="B1354" s="115" t="s">
        <v>2921</v>
      </c>
      <c r="D1354" s="115" t="s">
        <v>2922</v>
      </c>
      <c r="E1354" s="115" t="s">
        <v>2923</v>
      </c>
    </row>
    <row r="1355" spans="1:5" x14ac:dyDescent="0.25">
      <c r="B1355" s="115" t="s">
        <v>1139</v>
      </c>
      <c r="D1355" s="115" t="s">
        <v>1818</v>
      </c>
      <c r="E1355" s="115" t="s">
        <v>2690</v>
      </c>
    </row>
    <row r="1356" spans="1:5" x14ac:dyDescent="0.25">
      <c r="B1356" s="115" t="s">
        <v>1139</v>
      </c>
      <c r="D1356" s="115" t="s">
        <v>2924</v>
      </c>
      <c r="E1356" s="115" t="s">
        <v>2925</v>
      </c>
    </row>
    <row r="1357" spans="1:5" x14ac:dyDescent="0.25">
      <c r="B1357" s="115" t="s">
        <v>2926</v>
      </c>
      <c r="C1357" s="115" t="s">
        <v>1138</v>
      </c>
      <c r="D1357" s="115" t="s">
        <v>2927</v>
      </c>
      <c r="E1357" s="115" t="s">
        <v>2928</v>
      </c>
    </row>
    <row r="1358" spans="1:5" x14ac:dyDescent="0.25">
      <c r="B1358" s="115" t="s">
        <v>2929</v>
      </c>
      <c r="D1358" s="115" t="s">
        <v>2930</v>
      </c>
      <c r="E1358" s="115" t="s">
        <v>1819</v>
      </c>
    </row>
    <row r="1359" spans="1:5" x14ac:dyDescent="0.25">
      <c r="A1359" s="115">
        <v>1</v>
      </c>
      <c r="B1359" s="115" t="s">
        <v>2931</v>
      </c>
      <c r="D1359" s="115" t="s">
        <v>2932</v>
      </c>
      <c r="E1359" s="115" t="s">
        <v>2933</v>
      </c>
    </row>
    <row r="1360" spans="1:5" x14ac:dyDescent="0.25">
      <c r="A1360" s="115">
        <v>-1</v>
      </c>
      <c r="B1360" s="115" t="s">
        <v>2934</v>
      </c>
      <c r="D1360" s="115">
        <f>-534    -14    -96  -352</f>
        <v>-996</v>
      </c>
      <c r="E1360" s="115" t="s">
        <v>2935</v>
      </c>
    </row>
    <row r="1361" spans="1:5" x14ac:dyDescent="0.25">
      <c r="B1361" s="115" t="s">
        <v>1383</v>
      </c>
      <c r="D1361" s="115" t="s">
        <v>2936</v>
      </c>
      <c r="E1361" s="115" t="s">
        <v>2260</v>
      </c>
    </row>
    <row r="1362" spans="1:5" x14ac:dyDescent="0.25">
      <c r="B1362" s="115" t="s">
        <v>2937</v>
      </c>
      <c r="D1362" s="115" t="s">
        <v>2938</v>
      </c>
      <c r="E1362" s="115" t="s">
        <v>2939</v>
      </c>
    </row>
    <row r="1363" spans="1:5" x14ac:dyDescent="0.25">
      <c r="A1363" s="115">
        <v>7</v>
      </c>
      <c r="B1363" s="115" t="s">
        <v>2940</v>
      </c>
      <c r="D1363" s="115" t="s">
        <v>2941</v>
      </c>
      <c r="E1363" s="115" t="s">
        <v>2942</v>
      </c>
    </row>
    <row r="1364" spans="1:5" x14ac:dyDescent="0.25">
      <c r="B1364" s="115" t="s">
        <v>2943</v>
      </c>
      <c r="D1364" s="115" t="s">
        <v>2944</v>
      </c>
      <c r="E1364" s="115" t="s">
        <v>1894</v>
      </c>
    </row>
    <row r="1365" spans="1:5" x14ac:dyDescent="0.25">
      <c r="A1365" s="115">
        <v>-3</v>
      </c>
      <c r="B1365" s="115" t="s">
        <v>1414</v>
      </c>
      <c r="D1365" s="115" t="s">
        <v>1140</v>
      </c>
      <c r="E1365" s="115" t="s">
        <v>1141</v>
      </c>
    </row>
    <row r="1366" spans="1:5" x14ac:dyDescent="0.25">
      <c r="B1366" s="115" t="s">
        <v>1139</v>
      </c>
      <c r="D1366" s="115" t="s">
        <v>1140</v>
      </c>
      <c r="E1366" s="115" t="s">
        <v>1141</v>
      </c>
    </row>
    <row r="1367" spans="1:5" x14ac:dyDescent="0.25">
      <c r="B1367" s="115" t="s">
        <v>1139</v>
      </c>
      <c r="D1367" s="115" t="s">
        <v>1140</v>
      </c>
      <c r="E1367" s="115" t="s">
        <v>1141</v>
      </c>
    </row>
    <row r="1368" spans="1:5" x14ac:dyDescent="0.25">
      <c r="B1368" s="115" t="s">
        <v>1139</v>
      </c>
      <c r="D1368" s="115" t="s">
        <v>1140</v>
      </c>
      <c r="E1368" s="115" t="s">
        <v>1141</v>
      </c>
    </row>
    <row r="1369" spans="1:5" x14ac:dyDescent="0.25">
      <c r="B1369" s="115" t="s">
        <v>1139</v>
      </c>
      <c r="D1369" s="115" t="s">
        <v>1140</v>
      </c>
      <c r="E1369" s="115" t="s">
        <v>1141</v>
      </c>
    </row>
    <row r="1370" spans="1:5" x14ac:dyDescent="0.25">
      <c r="B1370" s="115" t="s">
        <v>1139</v>
      </c>
      <c r="D1370" s="115" t="s">
        <v>1140</v>
      </c>
      <c r="E1370" s="115" t="s">
        <v>1141</v>
      </c>
    </row>
    <row r="1371" spans="1:5" x14ac:dyDescent="0.25">
      <c r="B1371" s="115" t="s">
        <v>1139</v>
      </c>
      <c r="D1371" s="115" t="s">
        <v>1140</v>
      </c>
      <c r="E1371" s="115" t="s">
        <v>1141</v>
      </c>
    </row>
    <row r="1372" spans="1:5" x14ac:dyDescent="0.25">
      <c r="B1372" s="115" t="s">
        <v>1139</v>
      </c>
      <c r="D1372" s="115" t="s">
        <v>1140</v>
      </c>
      <c r="E1372" s="115" t="s">
        <v>1141</v>
      </c>
    </row>
    <row r="1373" spans="1:5" x14ac:dyDescent="0.25">
      <c r="B1373" s="115" t="s">
        <v>1139</v>
      </c>
      <c r="D1373" s="115" t="s">
        <v>1140</v>
      </c>
      <c r="E1373" s="115" t="s">
        <v>1141</v>
      </c>
    </row>
    <row r="1374" spans="1:5" x14ac:dyDescent="0.25">
      <c r="B1374" s="115" t="s">
        <v>1139</v>
      </c>
      <c r="D1374" s="115" t="s">
        <v>1140</v>
      </c>
      <c r="E1374" s="115" t="s">
        <v>1141</v>
      </c>
    </row>
    <row r="1375" spans="1:5" x14ac:dyDescent="0.25">
      <c r="B1375" s="115" t="s">
        <v>1139</v>
      </c>
      <c r="D1375" s="115" t="s">
        <v>1140</v>
      </c>
      <c r="E1375" s="115" t="s">
        <v>1141</v>
      </c>
    </row>
    <row r="1376" spans="1:5" x14ac:dyDescent="0.25">
      <c r="B1376" s="115" t="s">
        <v>1139</v>
      </c>
      <c r="D1376" s="115" t="s">
        <v>1140</v>
      </c>
      <c r="E1376" s="115" t="s">
        <v>1141</v>
      </c>
    </row>
    <row r="1377" spans="1:5" x14ac:dyDescent="0.25">
      <c r="B1377" s="115" t="s">
        <v>1139</v>
      </c>
      <c r="D1377" s="115" t="s">
        <v>1140</v>
      </c>
      <c r="E1377" s="115" t="s">
        <v>1141</v>
      </c>
    </row>
    <row r="1378" spans="1:5" x14ac:dyDescent="0.25">
      <c r="B1378" s="115" t="s">
        <v>1139</v>
      </c>
      <c r="D1378" s="115" t="s">
        <v>1140</v>
      </c>
      <c r="E1378" s="115" t="s">
        <v>1141</v>
      </c>
    </row>
    <row r="1379" spans="1:5" x14ac:dyDescent="0.25">
      <c r="B1379" s="115" t="s">
        <v>1139</v>
      </c>
      <c r="D1379" s="115" t="s">
        <v>2945</v>
      </c>
      <c r="E1379" s="115" t="s">
        <v>2946</v>
      </c>
    </row>
    <row r="1380" spans="1:5" x14ac:dyDescent="0.25">
      <c r="B1380" s="115" t="s">
        <v>2947</v>
      </c>
      <c r="D1380" s="115" t="s">
        <v>2384</v>
      </c>
      <c r="E1380" s="115" t="s">
        <v>2948</v>
      </c>
    </row>
    <row r="1381" spans="1:5" x14ac:dyDescent="0.25">
      <c r="B1381" s="115" t="s">
        <v>1139</v>
      </c>
      <c r="D1381" s="115" t="s">
        <v>2949</v>
      </c>
      <c r="E1381" s="115" t="s">
        <v>2950</v>
      </c>
    </row>
    <row r="1382" spans="1:5" x14ac:dyDescent="0.25">
      <c r="A1382" s="115">
        <v>2</v>
      </c>
      <c r="B1382" s="115" t="s">
        <v>2951</v>
      </c>
      <c r="D1382" s="115" t="s">
        <v>2952</v>
      </c>
      <c r="E1382" s="115" t="s">
        <v>2953</v>
      </c>
    </row>
    <row r="1383" spans="1:5" x14ac:dyDescent="0.25">
      <c r="B1383" s="115" t="s">
        <v>1139</v>
      </c>
      <c r="D1383" s="115" t="s">
        <v>2954</v>
      </c>
      <c r="E1383" s="115" t="s">
        <v>2955</v>
      </c>
    </row>
    <row r="1384" spans="1:5" x14ac:dyDescent="0.25">
      <c r="B1384" s="115" t="s">
        <v>1139</v>
      </c>
      <c r="D1384" s="115" t="s">
        <v>1140</v>
      </c>
      <c r="E1384" s="115" t="s">
        <v>2956</v>
      </c>
    </row>
    <row r="1385" spans="1:5" x14ac:dyDescent="0.25">
      <c r="B1385" s="115" t="s">
        <v>1139</v>
      </c>
      <c r="D1385" s="115" t="s">
        <v>2957</v>
      </c>
      <c r="E1385" s="115" t="s">
        <v>2958</v>
      </c>
    </row>
    <row r="1386" spans="1:5" x14ac:dyDescent="0.25">
      <c r="A1386" s="115" t="s">
        <v>1138</v>
      </c>
      <c r="B1386" s="115" t="s">
        <v>1180</v>
      </c>
      <c r="D1386" s="115" t="s">
        <v>2959</v>
      </c>
      <c r="E1386" s="115" t="s">
        <v>2960</v>
      </c>
    </row>
    <row r="1387" spans="1:5" x14ac:dyDescent="0.25">
      <c r="B1387" s="115" t="s">
        <v>1139</v>
      </c>
      <c r="D1387" s="115" t="s">
        <v>2961</v>
      </c>
      <c r="E1387" s="115" t="s">
        <v>2962</v>
      </c>
    </row>
    <row r="1388" spans="1:5" x14ac:dyDescent="0.25">
      <c r="A1388" s="115">
        <v>1</v>
      </c>
      <c r="B1388" s="115" t="s">
        <v>1585</v>
      </c>
      <c r="D1388" s="115" t="s">
        <v>2963</v>
      </c>
      <c r="E1388" s="115" t="s">
        <v>2964</v>
      </c>
    </row>
    <row r="1389" spans="1:5" x14ac:dyDescent="0.25">
      <c r="B1389" s="115" t="s">
        <v>1139</v>
      </c>
      <c r="D1389" s="115" t="s">
        <v>2965</v>
      </c>
      <c r="E1389" s="115" t="s">
        <v>2966</v>
      </c>
    </row>
    <row r="1390" spans="1:5" x14ac:dyDescent="0.25">
      <c r="B1390" s="115" t="s">
        <v>1139</v>
      </c>
      <c r="D1390" s="115" t="s">
        <v>2967</v>
      </c>
      <c r="E1390" s="115" t="s">
        <v>2968</v>
      </c>
    </row>
    <row r="1391" spans="1:5" x14ac:dyDescent="0.25">
      <c r="A1391" s="115">
        <v>1</v>
      </c>
      <c r="B1391" s="115" t="s">
        <v>2969</v>
      </c>
      <c r="D1391" s="115" t="s">
        <v>2970</v>
      </c>
      <c r="E1391" s="115" t="s">
        <v>2971</v>
      </c>
    </row>
    <row r="1392" spans="1:5" x14ac:dyDescent="0.25">
      <c r="B1392" s="115" t="s">
        <v>2972</v>
      </c>
      <c r="D1392" s="115" t="s">
        <v>2973</v>
      </c>
      <c r="E1392" s="115" t="s">
        <v>2974</v>
      </c>
    </row>
    <row r="1393" spans="1:5" x14ac:dyDescent="0.25">
      <c r="B1393" s="115" t="s">
        <v>1139</v>
      </c>
      <c r="D1393" s="115" t="s">
        <v>2975</v>
      </c>
      <c r="E1393" s="115" t="s">
        <v>2976</v>
      </c>
    </row>
    <row r="1394" spans="1:5" x14ac:dyDescent="0.25">
      <c r="B1394" s="115" t="s">
        <v>1139</v>
      </c>
      <c r="D1394" s="115" t="s">
        <v>2977</v>
      </c>
      <c r="E1394" s="115" t="s">
        <v>2978</v>
      </c>
    </row>
    <row r="1395" spans="1:5" x14ac:dyDescent="0.25">
      <c r="B1395" s="115" t="s">
        <v>1139</v>
      </c>
      <c r="D1395" s="115" t="s">
        <v>1140</v>
      </c>
      <c r="E1395" s="115" t="s">
        <v>2979</v>
      </c>
    </row>
    <row r="1396" spans="1:5" x14ac:dyDescent="0.25">
      <c r="B1396" s="115" t="s">
        <v>1139</v>
      </c>
      <c r="D1396" s="115" t="s">
        <v>2980</v>
      </c>
      <c r="E1396" s="115" t="s">
        <v>2981</v>
      </c>
    </row>
    <row r="1397" spans="1:5" x14ac:dyDescent="0.25">
      <c r="B1397" s="115" t="s">
        <v>2982</v>
      </c>
      <c r="D1397" s="115" t="s">
        <v>2983</v>
      </c>
      <c r="E1397" s="115" t="s">
        <v>1759</v>
      </c>
    </row>
    <row r="1398" spans="1:5" x14ac:dyDescent="0.25">
      <c r="B1398" s="115" t="s">
        <v>2984</v>
      </c>
      <c r="D1398" s="115" t="s">
        <v>1140</v>
      </c>
      <c r="E1398" s="115" t="s">
        <v>2985</v>
      </c>
    </row>
    <row r="1399" spans="1:5" x14ac:dyDescent="0.25">
      <c r="A1399" s="115">
        <v>76</v>
      </c>
      <c r="B1399" s="115" t="s">
        <v>2986</v>
      </c>
      <c r="D1399" s="115" t="s">
        <v>2987</v>
      </c>
      <c r="E1399" s="115" t="s">
        <v>2988</v>
      </c>
    </row>
    <row r="1400" spans="1:5" x14ac:dyDescent="0.25">
      <c r="B1400" s="115" t="s">
        <v>1139</v>
      </c>
      <c r="D1400" s="115" t="s">
        <v>2989</v>
      </c>
      <c r="E1400" s="115" t="s">
        <v>2990</v>
      </c>
    </row>
    <row r="1401" spans="1:5" x14ac:dyDescent="0.25">
      <c r="B1401" s="115" t="s">
        <v>2991</v>
      </c>
      <c r="D1401" s="115" t="s">
        <v>1140</v>
      </c>
      <c r="E1401" s="115" t="s">
        <v>2992</v>
      </c>
    </row>
    <row r="1402" spans="1:5" x14ac:dyDescent="0.25">
      <c r="A1402" s="115">
        <v>82</v>
      </c>
      <c r="B1402" s="115" t="s">
        <v>2993</v>
      </c>
      <c r="D1402" s="115" t="s">
        <v>2994</v>
      </c>
      <c r="E1402" s="115" t="s">
        <v>2995</v>
      </c>
    </row>
    <row r="1403" spans="1:5" x14ac:dyDescent="0.25">
      <c r="A1403" s="115" t="s">
        <v>1138</v>
      </c>
      <c r="B1403" s="115" t="s">
        <v>2996</v>
      </c>
      <c r="D1403" s="115" t="s">
        <v>2997</v>
      </c>
      <c r="E1403" s="115" t="s">
        <v>2998</v>
      </c>
    </row>
    <row r="1404" spans="1:5" x14ac:dyDescent="0.25">
      <c r="B1404" s="115" t="s">
        <v>2999</v>
      </c>
      <c r="D1404" s="115" t="s">
        <v>1140</v>
      </c>
      <c r="E1404" s="115" t="s">
        <v>3000</v>
      </c>
    </row>
    <row r="1405" spans="1:5" x14ac:dyDescent="0.25">
      <c r="A1405" s="115">
        <v>85</v>
      </c>
      <c r="B1405" s="115" t="s">
        <v>3001</v>
      </c>
      <c r="D1405" s="115">
        <f>-82    -84    -99   -50</f>
        <v>-315</v>
      </c>
      <c r="E1405" s="115" t="s">
        <v>3002</v>
      </c>
    </row>
    <row r="1406" spans="1:5" x14ac:dyDescent="0.25">
      <c r="B1406" s="115" t="s">
        <v>3003</v>
      </c>
      <c r="D1406" s="115" t="s">
        <v>3004</v>
      </c>
      <c r="E1406" s="115" t="s">
        <v>3005</v>
      </c>
    </row>
    <row r="1407" spans="1:5" x14ac:dyDescent="0.25">
      <c r="A1407" s="115" t="s">
        <v>1138</v>
      </c>
      <c r="B1407" s="115" t="s">
        <v>3006</v>
      </c>
      <c r="D1407" s="115" t="s">
        <v>1140</v>
      </c>
      <c r="E1407" s="115" t="s">
        <v>3007</v>
      </c>
    </row>
    <row r="1408" spans="1:5" x14ac:dyDescent="0.25">
      <c r="B1408" s="115">
        <f>-16   -456</f>
        <v>-472</v>
      </c>
      <c r="C1408" s="115" t="s">
        <v>1138</v>
      </c>
      <c r="D1408" s="115" t="s">
        <v>3008</v>
      </c>
      <c r="E1408" s="115" t="s">
        <v>3009</v>
      </c>
    </row>
    <row r="1409" spans="1:5" x14ac:dyDescent="0.25">
      <c r="B1409" s="115" t="s">
        <v>1139</v>
      </c>
      <c r="D1409" s="115" t="s">
        <v>3010</v>
      </c>
      <c r="E1409" s="115" t="s">
        <v>1141</v>
      </c>
    </row>
    <row r="1410" spans="1:5" x14ac:dyDescent="0.25">
      <c r="B1410" s="115" t="s">
        <v>1139</v>
      </c>
      <c r="D1410" s="115" t="s">
        <v>3011</v>
      </c>
      <c r="E1410" s="115" t="s">
        <v>3012</v>
      </c>
    </row>
    <row r="1411" spans="1:5" x14ac:dyDescent="0.25">
      <c r="B1411" s="115" t="s">
        <v>3013</v>
      </c>
      <c r="D1411" s="115" t="s">
        <v>2058</v>
      </c>
      <c r="E1411" s="115" t="s">
        <v>1639</v>
      </c>
    </row>
    <row r="1412" spans="1:5" x14ac:dyDescent="0.25">
      <c r="B1412" s="115" t="s">
        <v>1139</v>
      </c>
      <c r="D1412" s="115" t="s">
        <v>3014</v>
      </c>
      <c r="E1412" s="115" t="s">
        <v>1859</v>
      </c>
    </row>
    <row r="1413" spans="1:5" x14ac:dyDescent="0.25">
      <c r="B1413" s="115" t="s">
        <v>1139</v>
      </c>
      <c r="D1413" s="115" t="s">
        <v>3015</v>
      </c>
      <c r="E1413" s="115" t="s">
        <v>3016</v>
      </c>
    </row>
    <row r="1414" spans="1:5" x14ac:dyDescent="0.25">
      <c r="B1414" s="115" t="s">
        <v>2241</v>
      </c>
      <c r="D1414" s="115" t="s">
        <v>3017</v>
      </c>
      <c r="E1414" s="115" t="s">
        <v>3018</v>
      </c>
    </row>
    <row r="1415" spans="1:5" x14ac:dyDescent="0.25">
      <c r="B1415" s="115" t="s">
        <v>3019</v>
      </c>
      <c r="D1415" s="115" t="s">
        <v>3020</v>
      </c>
      <c r="E1415" s="115" t="s">
        <v>1759</v>
      </c>
    </row>
    <row r="1416" spans="1:5" x14ac:dyDescent="0.25">
      <c r="A1416" s="115" t="s">
        <v>1138</v>
      </c>
      <c r="B1416" s="115" t="s">
        <v>3021</v>
      </c>
      <c r="D1416" s="115" t="s">
        <v>3022</v>
      </c>
      <c r="E1416" s="115" t="s">
        <v>3023</v>
      </c>
    </row>
    <row r="1417" spans="1:5" x14ac:dyDescent="0.25">
      <c r="A1417" s="115" t="s">
        <v>1138</v>
      </c>
      <c r="B1417" s="115" t="s">
        <v>3024</v>
      </c>
      <c r="D1417" s="115" t="s">
        <v>3025</v>
      </c>
      <c r="E1417" s="115" t="s">
        <v>3026</v>
      </c>
    </row>
    <row r="1418" spans="1:5" x14ac:dyDescent="0.25">
      <c r="B1418" s="115" t="s">
        <v>1404</v>
      </c>
      <c r="D1418" s="115" t="s">
        <v>3027</v>
      </c>
      <c r="E1418" s="115" t="s">
        <v>1859</v>
      </c>
    </row>
    <row r="1419" spans="1:5" x14ac:dyDescent="0.25">
      <c r="B1419" s="115">
        <f>-1   -160</f>
        <v>-161</v>
      </c>
      <c r="D1419" s="115" t="s">
        <v>3028</v>
      </c>
      <c r="E1419" s="115" t="s">
        <v>3029</v>
      </c>
    </row>
    <row r="1420" spans="1:5" x14ac:dyDescent="0.25">
      <c r="B1420" s="115" t="s">
        <v>1554</v>
      </c>
      <c r="D1420" s="115" t="s">
        <v>3030</v>
      </c>
      <c r="E1420" s="115" t="s">
        <v>3031</v>
      </c>
    </row>
    <row r="1421" spans="1:5" x14ac:dyDescent="0.25">
      <c r="B1421" s="115" t="s">
        <v>1526</v>
      </c>
      <c r="D1421" s="115" t="s">
        <v>3032</v>
      </c>
      <c r="E1421" s="115" t="s">
        <v>1141</v>
      </c>
    </row>
    <row r="1422" spans="1:5" x14ac:dyDescent="0.25">
      <c r="A1422" s="115" t="s">
        <v>1138</v>
      </c>
      <c r="B1422" s="115" t="s">
        <v>3033</v>
      </c>
      <c r="D1422" s="115" t="s">
        <v>3034</v>
      </c>
      <c r="E1422" s="115" t="s">
        <v>1141</v>
      </c>
    </row>
    <row r="1423" spans="1:5" x14ac:dyDescent="0.25">
      <c r="B1423" s="115" t="s">
        <v>1139</v>
      </c>
      <c r="D1423" s="115" t="s">
        <v>1140</v>
      </c>
      <c r="E1423" s="115" t="s">
        <v>1141</v>
      </c>
    </row>
    <row r="1424" spans="1:5" x14ac:dyDescent="0.25">
      <c r="B1424" s="115" t="s">
        <v>1139</v>
      </c>
      <c r="D1424" s="115" t="s">
        <v>1140</v>
      </c>
      <c r="E1424" s="115" t="s">
        <v>1141</v>
      </c>
    </row>
    <row r="1425" spans="2:5" x14ac:dyDescent="0.25">
      <c r="B1425" s="115" t="s">
        <v>1139</v>
      </c>
      <c r="D1425" s="115" t="s">
        <v>1140</v>
      </c>
      <c r="E1425" s="115" t="s">
        <v>1141</v>
      </c>
    </row>
    <row r="1426" spans="2:5" x14ac:dyDescent="0.25">
      <c r="B1426" s="115" t="s">
        <v>1139</v>
      </c>
      <c r="D1426" s="115" t="s">
        <v>1140</v>
      </c>
      <c r="E1426" s="115" t="s">
        <v>1141</v>
      </c>
    </row>
    <row r="1427" spans="2:5" x14ac:dyDescent="0.25">
      <c r="B1427" s="115" t="s">
        <v>1139</v>
      </c>
      <c r="D1427" s="115" t="s">
        <v>1140</v>
      </c>
      <c r="E1427" s="115" t="s">
        <v>1141</v>
      </c>
    </row>
    <row r="1428" spans="2:5" x14ac:dyDescent="0.25">
      <c r="B1428" s="115" t="s">
        <v>1139</v>
      </c>
      <c r="D1428" s="115" t="s">
        <v>1140</v>
      </c>
      <c r="E1428" s="115" t="s">
        <v>1141</v>
      </c>
    </row>
    <row r="1429" spans="2:5" x14ac:dyDescent="0.25">
      <c r="B1429" s="115" t="s">
        <v>1139</v>
      </c>
      <c r="D1429" s="115" t="s">
        <v>1140</v>
      </c>
      <c r="E1429" s="115" t="s">
        <v>1141</v>
      </c>
    </row>
    <row r="1430" spans="2:5" x14ac:dyDescent="0.25">
      <c r="B1430" s="115" t="s">
        <v>1139</v>
      </c>
      <c r="D1430" s="115" t="s">
        <v>1140</v>
      </c>
      <c r="E1430" s="115" t="s">
        <v>1141</v>
      </c>
    </row>
    <row r="1431" spans="2:5" x14ac:dyDescent="0.25">
      <c r="B1431" s="115" t="s">
        <v>1139</v>
      </c>
      <c r="D1431" s="115" t="s">
        <v>1140</v>
      </c>
      <c r="E1431" s="115" t="s">
        <v>1141</v>
      </c>
    </row>
    <row r="1432" spans="2:5" x14ac:dyDescent="0.25">
      <c r="B1432" s="115" t="s">
        <v>1139</v>
      </c>
      <c r="D1432" s="115" t="s">
        <v>1140</v>
      </c>
      <c r="E1432" s="115" t="s">
        <v>1141</v>
      </c>
    </row>
    <row r="1433" spans="2:5" x14ac:dyDescent="0.25">
      <c r="B1433" s="115" t="s">
        <v>1139</v>
      </c>
      <c r="D1433" s="115" t="s">
        <v>1140</v>
      </c>
      <c r="E1433" s="115" t="s">
        <v>1141</v>
      </c>
    </row>
    <row r="1434" spans="2:5" x14ac:dyDescent="0.25">
      <c r="B1434" s="115" t="s">
        <v>1139</v>
      </c>
      <c r="D1434" s="115" t="s">
        <v>1140</v>
      </c>
      <c r="E1434" s="115" t="s">
        <v>1141</v>
      </c>
    </row>
    <row r="1435" spans="2:5" x14ac:dyDescent="0.25">
      <c r="B1435" s="115" t="s">
        <v>1139</v>
      </c>
      <c r="D1435" s="115" t="s">
        <v>1140</v>
      </c>
      <c r="E1435" s="115" t="s">
        <v>1141</v>
      </c>
    </row>
    <row r="1436" spans="2:5" x14ac:dyDescent="0.25">
      <c r="B1436" s="115" t="s">
        <v>1139</v>
      </c>
      <c r="D1436" s="115" t="s">
        <v>1140</v>
      </c>
      <c r="E1436" s="115" t="s">
        <v>1141</v>
      </c>
    </row>
    <row r="1437" spans="2:5" x14ac:dyDescent="0.25">
      <c r="B1437" s="115" t="s">
        <v>1139</v>
      </c>
      <c r="D1437" s="115" t="s">
        <v>1140</v>
      </c>
      <c r="E1437" s="115" t="s">
        <v>1141</v>
      </c>
    </row>
    <row r="1438" spans="2:5" x14ac:dyDescent="0.25">
      <c r="B1438" s="115" t="s">
        <v>1139</v>
      </c>
      <c r="D1438" s="115" t="s">
        <v>1140</v>
      </c>
      <c r="E1438" s="115" t="s">
        <v>1141</v>
      </c>
    </row>
    <row r="1439" spans="2:5" x14ac:dyDescent="0.25">
      <c r="B1439" s="115" t="s">
        <v>1139</v>
      </c>
      <c r="D1439" s="115" t="s">
        <v>1140</v>
      </c>
      <c r="E1439" s="115" t="s">
        <v>1141</v>
      </c>
    </row>
    <row r="1440" spans="2:5" x14ac:dyDescent="0.25">
      <c r="B1440" s="115" t="s">
        <v>1139</v>
      </c>
      <c r="D1440" s="115" t="s">
        <v>1140</v>
      </c>
      <c r="E1440" s="115" t="s">
        <v>1141</v>
      </c>
    </row>
    <row r="1441" spans="2:5" x14ac:dyDescent="0.25">
      <c r="B1441" s="115" t="s">
        <v>1139</v>
      </c>
      <c r="D1441" s="115" t="s">
        <v>1140</v>
      </c>
      <c r="E1441" s="115" t="s">
        <v>1141</v>
      </c>
    </row>
    <row r="1442" spans="2:5" x14ac:dyDescent="0.25">
      <c r="B1442" s="115" t="s">
        <v>1139</v>
      </c>
      <c r="D1442" s="115" t="s">
        <v>1140</v>
      </c>
      <c r="E1442" s="115" t="s">
        <v>1141</v>
      </c>
    </row>
    <row r="1443" spans="2:5" x14ac:dyDescent="0.25">
      <c r="B1443" s="115" t="s">
        <v>1139</v>
      </c>
      <c r="D1443" s="115" t="s">
        <v>1140</v>
      </c>
      <c r="E1443" s="115" t="s">
        <v>1141</v>
      </c>
    </row>
    <row r="1444" spans="2:5" x14ac:dyDescent="0.25">
      <c r="B1444" s="115" t="s">
        <v>1139</v>
      </c>
      <c r="D1444" s="115" t="s">
        <v>1140</v>
      </c>
      <c r="E1444" s="115" t="s">
        <v>1141</v>
      </c>
    </row>
    <row r="1445" spans="2:5" x14ac:dyDescent="0.25">
      <c r="B1445" s="115" t="s">
        <v>1139</v>
      </c>
      <c r="D1445" s="115" t="s">
        <v>1140</v>
      </c>
      <c r="E1445" s="115" t="s">
        <v>1141</v>
      </c>
    </row>
    <row r="1446" spans="2:5" x14ac:dyDescent="0.25">
      <c r="B1446" s="115" t="s">
        <v>1139</v>
      </c>
      <c r="D1446" s="115" t="s">
        <v>1140</v>
      </c>
      <c r="E1446" s="115" t="s">
        <v>1141</v>
      </c>
    </row>
    <row r="1447" spans="2:5" x14ac:dyDescent="0.25">
      <c r="B1447" s="115" t="s">
        <v>1139</v>
      </c>
      <c r="D1447" s="115" t="s">
        <v>1140</v>
      </c>
      <c r="E1447" s="115" t="s">
        <v>1141</v>
      </c>
    </row>
    <row r="1448" spans="2:5" x14ac:dyDescent="0.25">
      <c r="B1448" s="115" t="s">
        <v>1139</v>
      </c>
      <c r="D1448" s="115" t="s">
        <v>1140</v>
      </c>
      <c r="E1448" s="115" t="s">
        <v>1141</v>
      </c>
    </row>
    <row r="1449" spans="2:5" x14ac:dyDescent="0.25">
      <c r="B1449" s="115" t="s">
        <v>1139</v>
      </c>
      <c r="D1449" s="115" t="s">
        <v>1140</v>
      </c>
      <c r="E1449" s="115" t="s">
        <v>1141</v>
      </c>
    </row>
    <row r="1450" spans="2:5" x14ac:dyDescent="0.25">
      <c r="B1450" s="115" t="s">
        <v>1139</v>
      </c>
      <c r="D1450" s="115" t="s">
        <v>1140</v>
      </c>
      <c r="E1450" s="115" t="s">
        <v>1141</v>
      </c>
    </row>
    <row r="1451" spans="2:5" x14ac:dyDescent="0.25">
      <c r="B1451" s="115" t="s">
        <v>1139</v>
      </c>
      <c r="D1451" s="115" t="s">
        <v>1140</v>
      </c>
      <c r="E1451" s="115" t="s">
        <v>1141</v>
      </c>
    </row>
    <row r="1452" spans="2:5" x14ac:dyDescent="0.25">
      <c r="B1452" s="115" t="s">
        <v>1139</v>
      </c>
      <c r="D1452" s="115" t="s">
        <v>1140</v>
      </c>
      <c r="E1452" s="115" t="s">
        <v>1141</v>
      </c>
    </row>
    <row r="1453" spans="2:5" x14ac:dyDescent="0.25">
      <c r="B1453" s="115" t="s">
        <v>1139</v>
      </c>
      <c r="D1453" s="115" t="s">
        <v>1140</v>
      </c>
      <c r="E1453" s="115" t="s">
        <v>1141</v>
      </c>
    </row>
    <row r="1454" spans="2:5" x14ac:dyDescent="0.25">
      <c r="B1454" s="115" t="s">
        <v>1139</v>
      </c>
      <c r="D1454" s="115" t="s">
        <v>1140</v>
      </c>
      <c r="E1454" s="115" t="s">
        <v>1141</v>
      </c>
    </row>
    <row r="1455" spans="2:5" x14ac:dyDescent="0.25">
      <c r="B1455" s="115" t="s">
        <v>1139</v>
      </c>
      <c r="D1455" s="115" t="s">
        <v>1140</v>
      </c>
      <c r="E1455" s="115" t="s">
        <v>1141</v>
      </c>
    </row>
    <row r="1456" spans="2:5" x14ac:dyDescent="0.25">
      <c r="B1456" s="115" t="s">
        <v>1139</v>
      </c>
      <c r="D1456" s="115" t="s">
        <v>1140</v>
      </c>
      <c r="E1456" s="115" t="s">
        <v>1141</v>
      </c>
    </row>
    <row r="1457" spans="2:5" x14ac:dyDescent="0.25">
      <c r="B1457" s="115" t="s">
        <v>1139</v>
      </c>
      <c r="D1457" s="115" t="s">
        <v>1140</v>
      </c>
      <c r="E1457" s="115" t="s">
        <v>1141</v>
      </c>
    </row>
    <row r="1458" spans="2:5" x14ac:dyDescent="0.25">
      <c r="B1458" s="115" t="s">
        <v>1139</v>
      </c>
      <c r="D1458" s="115" t="s">
        <v>1140</v>
      </c>
      <c r="E1458" s="115" t="s">
        <v>1141</v>
      </c>
    </row>
    <row r="1459" spans="2:5" x14ac:dyDescent="0.25">
      <c r="B1459" s="115" t="s">
        <v>1139</v>
      </c>
      <c r="D1459" s="115" t="s">
        <v>1140</v>
      </c>
      <c r="E1459" s="115" t="s">
        <v>1141</v>
      </c>
    </row>
    <row r="1460" spans="2:5" x14ac:dyDescent="0.25">
      <c r="B1460" s="115" t="s">
        <v>1139</v>
      </c>
      <c r="D1460" s="115" t="s">
        <v>1140</v>
      </c>
      <c r="E1460" s="115" t="s">
        <v>1141</v>
      </c>
    </row>
    <row r="1461" spans="2:5" x14ac:dyDescent="0.25">
      <c r="B1461" s="115" t="s">
        <v>1139</v>
      </c>
      <c r="D1461" s="115" t="s">
        <v>1140</v>
      </c>
      <c r="E1461" s="115" t="s">
        <v>1141</v>
      </c>
    </row>
    <row r="1462" spans="2:5" x14ac:dyDescent="0.25">
      <c r="B1462" s="115" t="s">
        <v>1139</v>
      </c>
      <c r="D1462" s="115" t="s">
        <v>1140</v>
      </c>
      <c r="E1462" s="115" t="s">
        <v>1141</v>
      </c>
    </row>
    <row r="1463" spans="2:5" x14ac:dyDescent="0.25">
      <c r="B1463" s="115" t="s">
        <v>1139</v>
      </c>
      <c r="D1463" s="115" t="s">
        <v>1140</v>
      </c>
      <c r="E1463" s="115" t="s">
        <v>1141</v>
      </c>
    </row>
    <row r="1464" spans="2:5" x14ac:dyDescent="0.25">
      <c r="B1464" s="115" t="s">
        <v>1139</v>
      </c>
      <c r="D1464" s="115" t="s">
        <v>1140</v>
      </c>
      <c r="E1464" s="115" t="s">
        <v>1141</v>
      </c>
    </row>
    <row r="1465" spans="2:5" x14ac:dyDescent="0.25">
      <c r="B1465" s="115" t="s">
        <v>1139</v>
      </c>
      <c r="D1465" s="115" t="s">
        <v>1140</v>
      </c>
      <c r="E1465" s="115" t="s">
        <v>1141</v>
      </c>
    </row>
    <row r="1466" spans="2:5" x14ac:dyDescent="0.25">
      <c r="B1466" s="115" t="s">
        <v>1139</v>
      </c>
      <c r="D1466" s="115" t="s">
        <v>1140</v>
      </c>
      <c r="E1466" s="115" t="s">
        <v>3035</v>
      </c>
    </row>
    <row r="1467" spans="2:5" x14ac:dyDescent="0.25">
      <c r="B1467" s="115" t="s">
        <v>1139</v>
      </c>
      <c r="D1467" s="115" t="s">
        <v>3036</v>
      </c>
      <c r="E1467" s="115" t="s">
        <v>3037</v>
      </c>
    </row>
    <row r="1468" spans="2:5" x14ac:dyDescent="0.25">
      <c r="B1468" s="115" t="s">
        <v>1139</v>
      </c>
      <c r="D1468" s="115" t="s">
        <v>1140</v>
      </c>
      <c r="E1468" s="115" t="s">
        <v>3038</v>
      </c>
    </row>
    <row r="1469" spans="2:5" x14ac:dyDescent="0.25">
      <c r="B1469" s="115" t="s">
        <v>1139</v>
      </c>
      <c r="D1469" s="115" t="s">
        <v>3039</v>
      </c>
      <c r="E1469" s="115" t="s">
        <v>3040</v>
      </c>
    </row>
    <row r="1470" spans="2:5" x14ac:dyDescent="0.25">
      <c r="B1470" s="115" t="s">
        <v>3041</v>
      </c>
      <c r="D1470" s="115" t="s">
        <v>2035</v>
      </c>
      <c r="E1470" s="115" t="s">
        <v>2537</v>
      </c>
    </row>
    <row r="1471" spans="2:5" x14ac:dyDescent="0.25">
      <c r="B1471" s="115" t="s">
        <v>3042</v>
      </c>
      <c r="D1471" s="115" t="s">
        <v>1140</v>
      </c>
      <c r="E1471" s="115" t="s">
        <v>3043</v>
      </c>
    </row>
    <row r="1472" spans="2:5" x14ac:dyDescent="0.25">
      <c r="B1472" s="115" t="s">
        <v>1152</v>
      </c>
      <c r="D1472" s="115" t="s">
        <v>3044</v>
      </c>
      <c r="E1472" s="115" t="s">
        <v>3045</v>
      </c>
    </row>
    <row r="1473" spans="1:5" x14ac:dyDescent="0.25">
      <c r="B1473" s="115" t="s">
        <v>1139</v>
      </c>
      <c r="C1473" s="115" t="s">
        <v>1138</v>
      </c>
      <c r="D1473" s="115" t="s">
        <v>3046</v>
      </c>
      <c r="E1473" s="115" t="s">
        <v>3047</v>
      </c>
    </row>
    <row r="1474" spans="1:5" x14ac:dyDescent="0.25">
      <c r="A1474" s="115" t="s">
        <v>1138</v>
      </c>
      <c r="B1474" s="115" t="s">
        <v>3048</v>
      </c>
      <c r="D1474" s="115" t="s">
        <v>1140</v>
      </c>
      <c r="E1474" s="115" t="s">
        <v>3049</v>
      </c>
    </row>
    <row r="1475" spans="1:5" x14ac:dyDescent="0.25">
      <c r="A1475" s="115" t="s">
        <v>1138</v>
      </c>
      <c r="B1475" s="115" t="s">
        <v>3050</v>
      </c>
      <c r="D1475" s="115" t="s">
        <v>3051</v>
      </c>
      <c r="E1475" s="115" t="s">
        <v>3052</v>
      </c>
    </row>
    <row r="1476" spans="1:5" x14ac:dyDescent="0.25">
      <c r="B1476" s="115" t="s">
        <v>3053</v>
      </c>
      <c r="D1476" s="115" t="s">
        <v>3054</v>
      </c>
      <c r="E1476" s="115" t="s">
        <v>3055</v>
      </c>
    </row>
    <row r="1477" spans="1:5" x14ac:dyDescent="0.25">
      <c r="A1477" s="115" t="s">
        <v>1138</v>
      </c>
      <c r="B1477" s="115" t="s">
        <v>3056</v>
      </c>
      <c r="D1477" s="115" t="s">
        <v>1140</v>
      </c>
      <c r="E1477" s="115" t="s">
        <v>3057</v>
      </c>
    </row>
    <row r="1478" spans="1:5" x14ac:dyDescent="0.25">
      <c r="B1478" s="115" t="s">
        <v>3058</v>
      </c>
      <c r="D1478" s="115" t="s">
        <v>3059</v>
      </c>
      <c r="E1478" s="115" t="s">
        <v>3060</v>
      </c>
    </row>
    <row r="1479" spans="1:5" x14ac:dyDescent="0.25">
      <c r="B1479" s="115" t="s">
        <v>3061</v>
      </c>
      <c r="D1479" s="115" t="s">
        <v>3062</v>
      </c>
      <c r="E1479" s="115" t="s">
        <v>3063</v>
      </c>
    </row>
    <row r="1480" spans="1:5" x14ac:dyDescent="0.25">
      <c r="B1480" s="115" t="s">
        <v>3064</v>
      </c>
      <c r="D1480" s="115" t="s">
        <v>1140</v>
      </c>
      <c r="E1480" s="115" t="s">
        <v>3065</v>
      </c>
    </row>
    <row r="1481" spans="1:5" x14ac:dyDescent="0.25">
      <c r="A1481" s="115">
        <v>-1</v>
      </c>
      <c r="B1481" s="115" t="s">
        <v>3066</v>
      </c>
      <c r="D1481" s="115" t="s">
        <v>3067</v>
      </c>
      <c r="E1481" s="115" t="s">
        <v>3068</v>
      </c>
    </row>
    <row r="1482" spans="1:5" x14ac:dyDescent="0.25">
      <c r="B1482" s="115" t="s">
        <v>3069</v>
      </c>
      <c r="D1482" s="115" t="s">
        <v>3070</v>
      </c>
      <c r="E1482" s="115" t="s">
        <v>3071</v>
      </c>
    </row>
    <row r="1483" spans="1:5" x14ac:dyDescent="0.25">
      <c r="B1483" s="115" t="s">
        <v>1139</v>
      </c>
      <c r="D1483" s="115" t="s">
        <v>1140</v>
      </c>
      <c r="E1483" s="115" t="s">
        <v>3072</v>
      </c>
    </row>
    <row r="1484" spans="1:5" x14ac:dyDescent="0.25">
      <c r="B1484" s="115" t="s">
        <v>1416</v>
      </c>
      <c r="D1484" s="115" t="s">
        <v>3073</v>
      </c>
      <c r="E1484" s="115" t="s">
        <v>3074</v>
      </c>
    </row>
    <row r="1485" spans="1:5" x14ac:dyDescent="0.25">
      <c r="A1485" s="115" t="s">
        <v>1138</v>
      </c>
      <c r="B1485" s="115" t="s">
        <v>1439</v>
      </c>
      <c r="D1485" s="115" t="s">
        <v>3075</v>
      </c>
      <c r="E1485" s="115" t="s">
        <v>1141</v>
      </c>
    </row>
    <row r="1486" spans="1:5" x14ac:dyDescent="0.25">
      <c r="A1486" s="115" t="s">
        <v>1138</v>
      </c>
      <c r="B1486" s="115" t="s">
        <v>1361</v>
      </c>
      <c r="D1486" s="115" t="s">
        <v>1140</v>
      </c>
      <c r="E1486" s="115" t="s">
        <v>3076</v>
      </c>
    </row>
    <row r="1487" spans="1:5" x14ac:dyDescent="0.25">
      <c r="B1487" s="115" t="s">
        <v>3077</v>
      </c>
      <c r="D1487" s="115" t="s">
        <v>1140</v>
      </c>
      <c r="E1487" s="115" t="s">
        <v>3078</v>
      </c>
    </row>
    <row r="1488" spans="1:5" x14ac:dyDescent="0.25">
      <c r="B1488" s="115" t="s">
        <v>3079</v>
      </c>
      <c r="D1488" s="115" t="s">
        <v>3080</v>
      </c>
      <c r="E1488" s="115" t="s">
        <v>3081</v>
      </c>
    </row>
    <row r="1489" spans="1:5" x14ac:dyDescent="0.25">
      <c r="A1489" s="115">
        <v>-3</v>
      </c>
      <c r="B1489" s="115" t="s">
        <v>1515</v>
      </c>
      <c r="D1489" s="115" t="s">
        <v>3082</v>
      </c>
      <c r="E1489" s="115" t="s">
        <v>3083</v>
      </c>
    </row>
    <row r="1490" spans="1:5" x14ac:dyDescent="0.25">
      <c r="B1490" s="115" t="s">
        <v>3084</v>
      </c>
      <c r="D1490" s="115" t="s">
        <v>3085</v>
      </c>
      <c r="E1490" s="115" t="s">
        <v>3086</v>
      </c>
    </row>
    <row r="1491" spans="1:5" x14ac:dyDescent="0.25">
      <c r="B1491" s="115" t="s">
        <v>3087</v>
      </c>
      <c r="D1491" s="115" t="s">
        <v>3088</v>
      </c>
      <c r="E1491" s="115" t="s">
        <v>3089</v>
      </c>
    </row>
    <row r="1492" spans="1:5" x14ac:dyDescent="0.25">
      <c r="B1492" s="115" t="s">
        <v>3090</v>
      </c>
      <c r="D1492" s="115" t="s">
        <v>3091</v>
      </c>
      <c r="E1492" s="115" t="s">
        <v>3092</v>
      </c>
    </row>
    <row r="1493" spans="1:5" x14ac:dyDescent="0.25">
      <c r="B1493" s="115">
        <f>-42    -28</f>
        <v>-70</v>
      </c>
      <c r="D1493" s="115" t="s">
        <v>3093</v>
      </c>
      <c r="E1493" s="115" t="s">
        <v>3094</v>
      </c>
    </row>
    <row r="1494" spans="1:5" x14ac:dyDescent="0.25">
      <c r="A1494" s="115" t="s">
        <v>1138</v>
      </c>
      <c r="B1494" s="115" t="s">
        <v>3095</v>
      </c>
      <c r="D1494" s="115" t="s">
        <v>3096</v>
      </c>
      <c r="E1494" s="115" t="s">
        <v>3097</v>
      </c>
    </row>
    <row r="1495" spans="1:5" x14ac:dyDescent="0.25">
      <c r="B1495" s="115" t="s">
        <v>3098</v>
      </c>
      <c r="D1495" s="115" t="s">
        <v>3099</v>
      </c>
      <c r="E1495" s="115" t="s">
        <v>3100</v>
      </c>
    </row>
    <row r="1496" spans="1:5" x14ac:dyDescent="0.25">
      <c r="A1496" s="115">
        <v>2</v>
      </c>
      <c r="B1496" s="115" t="s">
        <v>1514</v>
      </c>
      <c r="D1496" s="115" t="s">
        <v>3101</v>
      </c>
      <c r="E1496" s="115" t="s">
        <v>3102</v>
      </c>
    </row>
    <row r="1497" spans="1:5" x14ac:dyDescent="0.25">
      <c r="B1497" s="115" t="s">
        <v>3103</v>
      </c>
      <c r="D1497" s="115" t="s">
        <v>3104</v>
      </c>
      <c r="E1497" s="115" t="s">
        <v>3105</v>
      </c>
    </row>
    <row r="1498" spans="1:5" x14ac:dyDescent="0.25">
      <c r="B1498" s="115" t="s">
        <v>1139</v>
      </c>
      <c r="D1498" s="115" t="s">
        <v>1140</v>
      </c>
      <c r="E1498" s="115" t="s">
        <v>3106</v>
      </c>
    </row>
    <row r="1499" spans="1:5" x14ac:dyDescent="0.25">
      <c r="B1499" s="115" t="s">
        <v>3107</v>
      </c>
      <c r="D1499" s="115" t="s">
        <v>3108</v>
      </c>
      <c r="E1499" s="115" t="s">
        <v>3109</v>
      </c>
    </row>
    <row r="1500" spans="1:5" x14ac:dyDescent="0.25">
      <c r="B1500" s="115" t="s">
        <v>1366</v>
      </c>
      <c r="D1500" s="115" t="s">
        <v>1636</v>
      </c>
      <c r="E1500" s="115" t="s">
        <v>1141</v>
      </c>
    </row>
    <row r="1501" spans="1:5" x14ac:dyDescent="0.25">
      <c r="B1501" s="115" t="s">
        <v>1174</v>
      </c>
      <c r="D1501" s="115" t="s">
        <v>1140</v>
      </c>
      <c r="E1501" s="115" t="s">
        <v>3110</v>
      </c>
    </row>
    <row r="1502" spans="1:5" x14ac:dyDescent="0.25">
      <c r="B1502" s="115" t="s">
        <v>1481</v>
      </c>
      <c r="D1502" s="115" t="s">
        <v>1140</v>
      </c>
      <c r="E1502" s="115" t="s">
        <v>3111</v>
      </c>
    </row>
    <row r="1503" spans="1:5" x14ac:dyDescent="0.25">
      <c r="B1503" s="115" t="s">
        <v>3112</v>
      </c>
      <c r="D1503" s="115" t="s">
        <v>3113</v>
      </c>
      <c r="E1503" s="115" t="s">
        <v>3114</v>
      </c>
    </row>
    <row r="1504" spans="1:5" x14ac:dyDescent="0.25">
      <c r="B1504" s="115" t="s">
        <v>1616</v>
      </c>
      <c r="D1504" s="115" t="s">
        <v>2183</v>
      </c>
      <c r="E1504" s="115" t="s">
        <v>3115</v>
      </c>
    </row>
    <row r="1505" spans="1:5" x14ac:dyDescent="0.25">
      <c r="A1505" s="115" t="s">
        <v>1138</v>
      </c>
      <c r="B1505" s="115" t="s">
        <v>3116</v>
      </c>
      <c r="D1505" s="115" t="s">
        <v>3117</v>
      </c>
      <c r="E1505" s="115" t="s">
        <v>3118</v>
      </c>
    </row>
    <row r="1506" spans="1:5" x14ac:dyDescent="0.25">
      <c r="B1506" s="115" t="s">
        <v>3119</v>
      </c>
      <c r="D1506" s="115" t="s">
        <v>3120</v>
      </c>
      <c r="E1506" s="115" t="s">
        <v>3121</v>
      </c>
    </row>
    <row r="1507" spans="1:5" x14ac:dyDescent="0.25">
      <c r="B1507" s="115" t="s">
        <v>1483</v>
      </c>
      <c r="D1507" s="115" t="s">
        <v>3122</v>
      </c>
      <c r="E1507" s="115" t="s">
        <v>3123</v>
      </c>
    </row>
    <row r="1508" spans="1:5" x14ac:dyDescent="0.25">
      <c r="B1508" s="115" t="s">
        <v>3124</v>
      </c>
      <c r="D1508" s="115" t="s">
        <v>3125</v>
      </c>
      <c r="E1508" s="115" t="s">
        <v>3126</v>
      </c>
    </row>
    <row r="1509" spans="1:5" x14ac:dyDescent="0.25">
      <c r="B1509" s="115" t="s">
        <v>3127</v>
      </c>
      <c r="D1509" s="115" t="s">
        <v>1682</v>
      </c>
      <c r="E1509" s="115" t="s">
        <v>3128</v>
      </c>
    </row>
    <row r="1510" spans="1:5" x14ac:dyDescent="0.25">
      <c r="B1510" s="115" t="s">
        <v>3129</v>
      </c>
      <c r="D1510" s="115" t="s">
        <v>3130</v>
      </c>
      <c r="E1510" s="115" t="s">
        <v>3131</v>
      </c>
    </row>
    <row r="1511" spans="1:5" x14ac:dyDescent="0.25">
      <c r="A1511" s="115">
        <v>3</v>
      </c>
      <c r="B1511" s="115" t="s">
        <v>3132</v>
      </c>
      <c r="D1511" s="115" t="s">
        <v>3133</v>
      </c>
      <c r="E1511" s="115" t="s">
        <v>3134</v>
      </c>
    </row>
    <row r="1512" spans="1:5" x14ac:dyDescent="0.25">
      <c r="B1512" s="115" t="s">
        <v>1139</v>
      </c>
      <c r="D1512" s="115" t="s">
        <v>3135</v>
      </c>
      <c r="E1512" s="115" t="s">
        <v>3136</v>
      </c>
    </row>
    <row r="1513" spans="1:5" x14ac:dyDescent="0.25">
      <c r="B1513" s="115" t="s">
        <v>1139</v>
      </c>
      <c r="D1513" s="115" t="s">
        <v>1140</v>
      </c>
      <c r="E1513" s="115" t="s">
        <v>3137</v>
      </c>
    </row>
    <row r="1514" spans="1:5" x14ac:dyDescent="0.25">
      <c r="B1514" s="115" t="s">
        <v>1139</v>
      </c>
      <c r="D1514" s="115" t="s">
        <v>3138</v>
      </c>
      <c r="E1514" s="115" t="s">
        <v>3139</v>
      </c>
    </row>
    <row r="1515" spans="1:5" x14ac:dyDescent="0.25">
      <c r="B1515" s="115" t="s">
        <v>3140</v>
      </c>
      <c r="D1515" s="115" t="s">
        <v>2682</v>
      </c>
      <c r="E1515" s="115" t="s">
        <v>2690</v>
      </c>
    </row>
    <row r="1516" spans="1:5" x14ac:dyDescent="0.25">
      <c r="B1516" s="115" t="s">
        <v>1376</v>
      </c>
      <c r="D1516" s="115" t="s">
        <v>1140</v>
      </c>
      <c r="E1516" s="115" t="s">
        <v>3141</v>
      </c>
    </row>
    <row r="1517" spans="1:5" x14ac:dyDescent="0.25">
      <c r="A1517" s="115">
        <v>1</v>
      </c>
      <c r="B1517" s="115" t="s">
        <v>3142</v>
      </c>
      <c r="D1517" s="115" t="s">
        <v>1397</v>
      </c>
      <c r="E1517" s="115" t="s">
        <v>3143</v>
      </c>
    </row>
    <row r="1518" spans="1:5" x14ac:dyDescent="0.25">
      <c r="B1518" s="115" t="s">
        <v>1139</v>
      </c>
      <c r="D1518" s="115" t="s">
        <v>3144</v>
      </c>
      <c r="E1518" s="115" t="s">
        <v>3145</v>
      </c>
    </row>
    <row r="1519" spans="1:5" x14ac:dyDescent="0.25">
      <c r="B1519" s="115" t="s">
        <v>3146</v>
      </c>
      <c r="D1519" s="115" t="s">
        <v>1140</v>
      </c>
      <c r="E1519" s="115" t="s">
        <v>3147</v>
      </c>
    </row>
    <row r="1520" spans="1:5" x14ac:dyDescent="0.25">
      <c r="A1520" s="115">
        <v>1</v>
      </c>
      <c r="B1520" s="115" t="s">
        <v>3148</v>
      </c>
      <c r="D1520" s="115" t="s">
        <v>3149</v>
      </c>
      <c r="E1520" s="115" t="s">
        <v>3150</v>
      </c>
    </row>
    <row r="1521" spans="1:5" x14ac:dyDescent="0.25">
      <c r="A1521" s="115" t="s">
        <v>1138</v>
      </c>
      <c r="B1521" s="115" t="s">
        <v>3151</v>
      </c>
      <c r="D1521" s="115" t="s">
        <v>3152</v>
      </c>
      <c r="E1521" s="115" t="s">
        <v>3153</v>
      </c>
    </row>
    <row r="1522" spans="1:5" x14ac:dyDescent="0.25">
      <c r="B1522" s="115" t="s">
        <v>3154</v>
      </c>
      <c r="D1522" s="115" t="s">
        <v>1140</v>
      </c>
      <c r="E1522" s="115" t="s">
        <v>3155</v>
      </c>
    </row>
    <row r="1523" spans="1:5" x14ac:dyDescent="0.25">
      <c r="A1523" s="115">
        <v>1</v>
      </c>
      <c r="B1523" s="115" t="s">
        <v>3156</v>
      </c>
      <c r="D1523" s="115" t="s">
        <v>3157</v>
      </c>
      <c r="E1523" s="115" t="s">
        <v>3158</v>
      </c>
    </row>
    <row r="1524" spans="1:5" x14ac:dyDescent="0.25">
      <c r="B1524" s="115" t="s">
        <v>3159</v>
      </c>
      <c r="D1524" s="115" t="s">
        <v>3160</v>
      </c>
      <c r="E1524" s="115" t="s">
        <v>3161</v>
      </c>
    </row>
    <row r="1525" spans="1:5" x14ac:dyDescent="0.25">
      <c r="B1525" s="115" t="s">
        <v>3162</v>
      </c>
      <c r="D1525" s="115" t="s">
        <v>1140</v>
      </c>
      <c r="E1525" s="115" t="s">
        <v>3163</v>
      </c>
    </row>
    <row r="1526" spans="1:5" x14ac:dyDescent="0.25">
      <c r="A1526" s="115">
        <v>-3</v>
      </c>
      <c r="B1526" s="115" t="s">
        <v>3164</v>
      </c>
      <c r="D1526" s="115" t="s">
        <v>3165</v>
      </c>
      <c r="E1526" s="115" t="s">
        <v>3166</v>
      </c>
    </row>
    <row r="1527" spans="1:5" x14ac:dyDescent="0.25">
      <c r="B1527" s="115" t="s">
        <v>3167</v>
      </c>
      <c r="D1527" s="115" t="s">
        <v>3168</v>
      </c>
      <c r="E1527" s="115" t="s">
        <v>3169</v>
      </c>
    </row>
    <row r="1528" spans="1:5" x14ac:dyDescent="0.25">
      <c r="B1528" s="115" t="s">
        <v>3170</v>
      </c>
      <c r="D1528" s="115" t="s">
        <v>1140</v>
      </c>
      <c r="E1528" s="115" t="s">
        <v>1141</v>
      </c>
    </row>
    <row r="1529" spans="1:5" x14ac:dyDescent="0.25">
      <c r="A1529" s="115" t="s">
        <v>1138</v>
      </c>
      <c r="B1529" s="115" t="s">
        <v>3171</v>
      </c>
      <c r="D1529" s="115" t="s">
        <v>3172</v>
      </c>
      <c r="E1529" s="115" t="s">
        <v>3173</v>
      </c>
    </row>
    <row r="1530" spans="1:5" x14ac:dyDescent="0.25">
      <c r="B1530" s="115" t="s">
        <v>1139</v>
      </c>
      <c r="D1530" s="115" t="s">
        <v>1673</v>
      </c>
      <c r="E1530" s="115" t="s">
        <v>3174</v>
      </c>
    </row>
    <row r="1531" spans="1:5" x14ac:dyDescent="0.25">
      <c r="B1531" s="115" t="s">
        <v>1139</v>
      </c>
      <c r="D1531" s="115" t="s">
        <v>3175</v>
      </c>
      <c r="E1531" s="115" t="s">
        <v>1141</v>
      </c>
    </row>
    <row r="1532" spans="1:5" x14ac:dyDescent="0.25">
      <c r="B1532" s="115" t="s">
        <v>1202</v>
      </c>
      <c r="D1532" s="115" t="s">
        <v>3176</v>
      </c>
      <c r="E1532" s="115" t="s">
        <v>3177</v>
      </c>
    </row>
    <row r="1533" spans="1:5" x14ac:dyDescent="0.25">
      <c r="A1533" s="115" t="s">
        <v>1138</v>
      </c>
      <c r="B1533" s="115" t="s">
        <v>3178</v>
      </c>
      <c r="D1533" s="115" t="s">
        <v>3179</v>
      </c>
      <c r="E1533" s="115" t="s">
        <v>3180</v>
      </c>
    </row>
    <row r="1534" spans="1:5" x14ac:dyDescent="0.25">
      <c r="B1534" s="115" t="s">
        <v>3181</v>
      </c>
      <c r="D1534" s="115" t="s">
        <v>3182</v>
      </c>
      <c r="E1534" s="115" t="s">
        <v>3183</v>
      </c>
    </row>
    <row r="1535" spans="1:5" x14ac:dyDescent="0.25">
      <c r="A1535" s="115" t="s">
        <v>1138</v>
      </c>
      <c r="B1535" s="115" t="s">
        <v>3184</v>
      </c>
      <c r="D1535" s="115" t="s">
        <v>3185</v>
      </c>
      <c r="E1535" s="115" t="s">
        <v>3186</v>
      </c>
    </row>
    <row r="1536" spans="1:5" x14ac:dyDescent="0.25">
      <c r="A1536" s="115">
        <v>-1</v>
      </c>
      <c r="B1536" s="115" t="s">
        <v>3187</v>
      </c>
      <c r="D1536" s="115" t="s">
        <v>3188</v>
      </c>
      <c r="E1536" s="115" t="s">
        <v>3189</v>
      </c>
    </row>
    <row r="1537" spans="1:5" x14ac:dyDescent="0.25">
      <c r="A1537" s="115" t="s">
        <v>1138</v>
      </c>
      <c r="B1537" s="115" t="s">
        <v>3190</v>
      </c>
      <c r="D1537" s="115" t="s">
        <v>3191</v>
      </c>
      <c r="E1537" s="115" t="s">
        <v>3192</v>
      </c>
    </row>
    <row r="1538" spans="1:5" x14ac:dyDescent="0.25">
      <c r="B1538" s="115" t="s">
        <v>1205</v>
      </c>
      <c r="D1538" s="115" t="s">
        <v>3193</v>
      </c>
      <c r="E1538" s="115" t="s">
        <v>3194</v>
      </c>
    </row>
    <row r="1539" spans="1:5" x14ac:dyDescent="0.25">
      <c r="B1539" s="115" t="s">
        <v>1296</v>
      </c>
      <c r="D1539" s="115" t="s">
        <v>3195</v>
      </c>
      <c r="E1539" s="115" t="s">
        <v>3196</v>
      </c>
    </row>
    <row r="1540" spans="1:5" x14ac:dyDescent="0.25">
      <c r="B1540" s="115" t="s">
        <v>3197</v>
      </c>
      <c r="D1540" s="115" t="s">
        <v>3198</v>
      </c>
      <c r="E1540" s="115" t="s">
        <v>3199</v>
      </c>
    </row>
    <row r="1541" spans="1:5" x14ac:dyDescent="0.25">
      <c r="B1541" s="115" t="s">
        <v>3200</v>
      </c>
      <c r="C1541" s="115" t="s">
        <v>1138</v>
      </c>
      <c r="D1541" s="115" t="s">
        <v>3201</v>
      </c>
      <c r="E1541" s="115" t="s">
        <v>3202</v>
      </c>
    </row>
    <row r="1542" spans="1:5" x14ac:dyDescent="0.25">
      <c r="A1542" s="115">
        <v>14</v>
      </c>
      <c r="B1542" s="115" t="s">
        <v>1421</v>
      </c>
      <c r="D1542" s="115" t="s">
        <v>1140</v>
      </c>
      <c r="E1542" s="115" t="s">
        <v>1141</v>
      </c>
    </row>
    <row r="1543" spans="1:5" x14ac:dyDescent="0.25">
      <c r="B1543" s="115" t="s">
        <v>1139</v>
      </c>
      <c r="D1543" s="115" t="s">
        <v>1140</v>
      </c>
      <c r="E1543" s="115" t="s">
        <v>1141</v>
      </c>
    </row>
    <row r="1544" spans="1:5" x14ac:dyDescent="0.25">
      <c r="B1544" s="115" t="s">
        <v>1139</v>
      </c>
      <c r="D1544" s="115" t="s">
        <v>1140</v>
      </c>
      <c r="E1544" s="115" t="s">
        <v>1141</v>
      </c>
    </row>
    <row r="1545" spans="1:5" x14ac:dyDescent="0.25">
      <c r="B1545" s="115" t="s">
        <v>1139</v>
      </c>
      <c r="D1545" s="115" t="s">
        <v>1140</v>
      </c>
      <c r="E1545" s="115" t="s">
        <v>1141</v>
      </c>
    </row>
    <row r="1546" spans="1:5" x14ac:dyDescent="0.25">
      <c r="B1546" s="115" t="s">
        <v>1139</v>
      </c>
      <c r="D1546" s="115" t="s">
        <v>1140</v>
      </c>
      <c r="E1546" s="115" t="s">
        <v>1141</v>
      </c>
    </row>
    <row r="1547" spans="1:5" x14ac:dyDescent="0.25">
      <c r="B1547" s="115" t="s">
        <v>1139</v>
      </c>
      <c r="D1547" s="115" t="s">
        <v>1140</v>
      </c>
      <c r="E1547" s="115" t="s">
        <v>1141</v>
      </c>
    </row>
    <row r="1548" spans="1:5" x14ac:dyDescent="0.25">
      <c r="B1548" s="115" t="s">
        <v>1139</v>
      </c>
      <c r="D1548" s="115" t="s">
        <v>1140</v>
      </c>
      <c r="E1548" s="115" t="s">
        <v>1141</v>
      </c>
    </row>
    <row r="1549" spans="1:5" x14ac:dyDescent="0.25">
      <c r="B1549" s="115" t="s">
        <v>1139</v>
      </c>
      <c r="D1549" s="115" t="s">
        <v>1140</v>
      </c>
      <c r="E1549" s="115" t="s">
        <v>1141</v>
      </c>
    </row>
    <row r="1550" spans="1:5" x14ac:dyDescent="0.25">
      <c r="B1550" s="115" t="s">
        <v>1139</v>
      </c>
      <c r="D1550" s="115" t="s">
        <v>1140</v>
      </c>
      <c r="E1550" s="115" t="s">
        <v>1141</v>
      </c>
    </row>
    <row r="1551" spans="1:5" x14ac:dyDescent="0.25">
      <c r="B1551" s="115" t="s">
        <v>1139</v>
      </c>
      <c r="D1551" s="115" t="s">
        <v>1140</v>
      </c>
      <c r="E1551" s="115" t="s">
        <v>1141</v>
      </c>
    </row>
    <row r="1552" spans="1:5" x14ac:dyDescent="0.25">
      <c r="B1552" s="115" t="s">
        <v>1139</v>
      </c>
      <c r="D1552" s="115" t="s">
        <v>1140</v>
      </c>
      <c r="E1552" s="115" t="s">
        <v>1141</v>
      </c>
    </row>
    <row r="1553" spans="1:5" x14ac:dyDescent="0.25">
      <c r="B1553" s="115" t="s">
        <v>1139</v>
      </c>
      <c r="D1553" s="115" t="s">
        <v>1140</v>
      </c>
      <c r="E1553" s="115" t="s">
        <v>1141</v>
      </c>
    </row>
    <row r="1554" spans="1:5" x14ac:dyDescent="0.25">
      <c r="B1554" s="115" t="s">
        <v>1139</v>
      </c>
      <c r="D1554" s="115" t="s">
        <v>1140</v>
      </c>
      <c r="E1554" s="115" t="s">
        <v>1141</v>
      </c>
    </row>
    <row r="1555" spans="1:5" x14ac:dyDescent="0.25">
      <c r="B1555" s="115" t="s">
        <v>1139</v>
      </c>
      <c r="D1555" s="115" t="s">
        <v>1140</v>
      </c>
      <c r="E1555" s="115" t="s">
        <v>1141</v>
      </c>
    </row>
    <row r="1556" spans="1:5" x14ac:dyDescent="0.25">
      <c r="B1556" s="115" t="s">
        <v>1139</v>
      </c>
      <c r="D1556" s="115" t="s">
        <v>1140</v>
      </c>
      <c r="E1556" s="115" t="s">
        <v>1141</v>
      </c>
    </row>
    <row r="1557" spans="1:5" x14ac:dyDescent="0.25">
      <c r="B1557" s="115" t="s">
        <v>1139</v>
      </c>
      <c r="D1557" s="115" t="s">
        <v>3203</v>
      </c>
      <c r="E1557" s="115" t="s">
        <v>3204</v>
      </c>
    </row>
    <row r="1558" spans="1:5" x14ac:dyDescent="0.25">
      <c r="B1558" s="115" t="s">
        <v>3205</v>
      </c>
      <c r="D1558" s="115" t="s">
        <v>3206</v>
      </c>
      <c r="E1558" s="115" t="s">
        <v>3207</v>
      </c>
    </row>
    <row r="1559" spans="1:5" x14ac:dyDescent="0.25">
      <c r="B1559" s="115" t="s">
        <v>1139</v>
      </c>
      <c r="D1559" s="115" t="s">
        <v>1140</v>
      </c>
      <c r="E1559" s="115" t="s">
        <v>3208</v>
      </c>
    </row>
    <row r="1560" spans="1:5" x14ac:dyDescent="0.25">
      <c r="B1560" s="115" t="s">
        <v>1687</v>
      </c>
      <c r="C1560" s="115" t="s">
        <v>1138</v>
      </c>
      <c r="D1560" s="115" t="s">
        <v>3209</v>
      </c>
      <c r="E1560" s="115" t="s">
        <v>3210</v>
      </c>
    </row>
    <row r="1561" spans="1:5" x14ac:dyDescent="0.25">
      <c r="A1561" s="115">
        <v>-2</v>
      </c>
      <c r="B1561" s="115" t="s">
        <v>3211</v>
      </c>
      <c r="D1561" s="115" t="s">
        <v>3212</v>
      </c>
      <c r="E1561" s="115" t="s">
        <v>1141</v>
      </c>
    </row>
    <row r="1562" spans="1:5" x14ac:dyDescent="0.25">
      <c r="A1562" s="115" t="s">
        <v>1138</v>
      </c>
      <c r="B1562" s="115" t="s">
        <v>1658</v>
      </c>
      <c r="D1562" s="115" t="s">
        <v>1140</v>
      </c>
      <c r="E1562" s="115" t="s">
        <v>3213</v>
      </c>
    </row>
    <row r="1563" spans="1:5" x14ac:dyDescent="0.25">
      <c r="B1563" s="115" t="s">
        <v>1597</v>
      </c>
      <c r="D1563" s="115" t="s">
        <v>1140</v>
      </c>
      <c r="E1563" s="115" t="s">
        <v>3214</v>
      </c>
    </row>
    <row r="1564" spans="1:5" x14ac:dyDescent="0.25">
      <c r="B1564" s="115" t="s">
        <v>3215</v>
      </c>
      <c r="D1564" s="115" t="s">
        <v>3216</v>
      </c>
      <c r="E1564" s="115" t="s">
        <v>3217</v>
      </c>
    </row>
    <row r="1565" spans="1:5" x14ac:dyDescent="0.25">
      <c r="B1565" s="115" t="s">
        <v>1528</v>
      </c>
      <c r="D1565" s="115" t="s">
        <v>3218</v>
      </c>
      <c r="E1565" s="115" t="s">
        <v>3219</v>
      </c>
    </row>
    <row r="1566" spans="1:5" x14ac:dyDescent="0.25">
      <c r="B1566" s="115" t="s">
        <v>3220</v>
      </c>
      <c r="D1566" s="115" t="s">
        <v>3221</v>
      </c>
      <c r="E1566" s="115" t="s">
        <v>3222</v>
      </c>
    </row>
    <row r="1567" spans="1:5" x14ac:dyDescent="0.25">
      <c r="A1567" s="115">
        <v>16</v>
      </c>
      <c r="B1567" s="115" t="s">
        <v>3223</v>
      </c>
      <c r="D1567" s="115" t="s">
        <v>3224</v>
      </c>
      <c r="E1567" s="115" t="s">
        <v>3225</v>
      </c>
    </row>
    <row r="1568" spans="1:5" x14ac:dyDescent="0.25">
      <c r="B1568" s="115" t="s">
        <v>1179</v>
      </c>
      <c r="D1568" s="115" t="s">
        <v>3226</v>
      </c>
      <c r="E1568" s="115" t="s">
        <v>3227</v>
      </c>
    </row>
    <row r="1569" spans="1:5" x14ac:dyDescent="0.25">
      <c r="B1569" s="115" t="s">
        <v>3228</v>
      </c>
      <c r="D1569" s="115">
        <f>-58    -56    -50  -122</f>
        <v>-286</v>
      </c>
      <c r="E1569" s="115" t="s">
        <v>3229</v>
      </c>
    </row>
    <row r="1570" spans="1:5" x14ac:dyDescent="0.25">
      <c r="A1570" s="115">
        <v>21</v>
      </c>
      <c r="B1570" s="115" t="s">
        <v>3230</v>
      </c>
      <c r="D1570" s="115" t="s">
        <v>1277</v>
      </c>
      <c r="E1570" s="115" t="s">
        <v>3231</v>
      </c>
    </row>
    <row r="1571" spans="1:5" x14ac:dyDescent="0.25">
      <c r="B1571" s="115" t="s">
        <v>1200</v>
      </c>
      <c r="D1571" s="115" t="s">
        <v>3232</v>
      </c>
      <c r="E1571" s="115" t="s">
        <v>3233</v>
      </c>
    </row>
    <row r="1572" spans="1:5" x14ac:dyDescent="0.25">
      <c r="A1572" s="115" t="s">
        <v>1138</v>
      </c>
      <c r="B1572" s="115" t="s">
        <v>3234</v>
      </c>
      <c r="D1572" s="115" t="s">
        <v>3235</v>
      </c>
      <c r="E1572" s="115" t="s">
        <v>3236</v>
      </c>
    </row>
    <row r="1573" spans="1:5" x14ac:dyDescent="0.25">
      <c r="B1573" s="115" t="s">
        <v>1139</v>
      </c>
      <c r="D1573" s="115" t="s">
        <v>1140</v>
      </c>
      <c r="E1573" s="115" t="s">
        <v>1141</v>
      </c>
    </row>
    <row r="1574" spans="1:5" x14ac:dyDescent="0.25">
      <c r="B1574" s="115" t="s">
        <v>1139</v>
      </c>
      <c r="D1574" s="115" t="s">
        <v>1140</v>
      </c>
      <c r="E1574" s="115" t="s">
        <v>1141</v>
      </c>
    </row>
    <row r="1575" spans="1:5" x14ac:dyDescent="0.25">
      <c r="B1575" s="115" t="s">
        <v>1139</v>
      </c>
      <c r="D1575" s="115" t="s">
        <v>1140</v>
      </c>
      <c r="E1575" s="115" t="s">
        <v>1141</v>
      </c>
    </row>
    <row r="1576" spans="1:5" x14ac:dyDescent="0.25">
      <c r="B1576" s="115" t="s">
        <v>1139</v>
      </c>
      <c r="D1576" s="115" t="s">
        <v>1140</v>
      </c>
      <c r="E1576" s="115" t="s">
        <v>1141</v>
      </c>
    </row>
    <row r="1577" spans="1:5" x14ac:dyDescent="0.25">
      <c r="B1577" s="115" t="s">
        <v>1139</v>
      </c>
      <c r="D1577" s="115" t="s">
        <v>1140</v>
      </c>
      <c r="E1577" s="115" t="s">
        <v>1141</v>
      </c>
    </row>
    <row r="1578" spans="1:5" x14ac:dyDescent="0.25">
      <c r="B1578" s="115" t="s">
        <v>1139</v>
      </c>
      <c r="D1578" s="115" t="s">
        <v>1140</v>
      </c>
      <c r="E1578" s="115" t="s">
        <v>1141</v>
      </c>
    </row>
    <row r="1579" spans="1:5" x14ac:dyDescent="0.25">
      <c r="B1579" s="115" t="s">
        <v>1139</v>
      </c>
      <c r="D1579" s="115" t="s">
        <v>1140</v>
      </c>
      <c r="E1579" s="115" t="s">
        <v>1141</v>
      </c>
    </row>
    <row r="1580" spans="1:5" x14ac:dyDescent="0.25">
      <c r="B1580" s="115" t="s">
        <v>1139</v>
      </c>
      <c r="D1580" s="115" t="s">
        <v>1140</v>
      </c>
      <c r="E1580" s="115" t="s">
        <v>1141</v>
      </c>
    </row>
    <row r="1581" spans="1:5" x14ac:dyDescent="0.25">
      <c r="B1581" s="115" t="s">
        <v>1139</v>
      </c>
      <c r="D1581" s="115" t="s">
        <v>1140</v>
      </c>
      <c r="E1581" s="115" t="s">
        <v>1141</v>
      </c>
    </row>
    <row r="1582" spans="1:5" x14ac:dyDescent="0.25">
      <c r="B1582" s="115" t="s">
        <v>1139</v>
      </c>
      <c r="D1582" s="115" t="s">
        <v>1140</v>
      </c>
      <c r="E1582" s="115" t="s">
        <v>1141</v>
      </c>
    </row>
    <row r="1583" spans="1:5" x14ac:dyDescent="0.25">
      <c r="B1583" s="115" t="s">
        <v>1139</v>
      </c>
      <c r="D1583" s="115" t="s">
        <v>1140</v>
      </c>
      <c r="E1583" s="115" t="s">
        <v>1141</v>
      </c>
    </row>
    <row r="1584" spans="1:5" x14ac:dyDescent="0.25">
      <c r="B1584" s="115" t="s">
        <v>1139</v>
      </c>
      <c r="D1584" s="115" t="s">
        <v>1140</v>
      </c>
      <c r="E1584" s="115" t="s">
        <v>1141</v>
      </c>
    </row>
    <row r="1585" spans="2:5" x14ac:dyDescent="0.25">
      <c r="B1585" s="115" t="s">
        <v>1139</v>
      </c>
      <c r="D1585" s="115" t="s">
        <v>1140</v>
      </c>
      <c r="E1585" s="115" t="s">
        <v>1141</v>
      </c>
    </row>
    <row r="1586" spans="2:5" x14ac:dyDescent="0.25">
      <c r="B1586" s="115" t="s">
        <v>1139</v>
      </c>
      <c r="D1586" s="115" t="s">
        <v>1140</v>
      </c>
      <c r="E1586" s="115" t="s">
        <v>1141</v>
      </c>
    </row>
    <row r="1587" spans="2:5" x14ac:dyDescent="0.25">
      <c r="B1587" s="115" t="s">
        <v>1139</v>
      </c>
      <c r="D1587" s="115" t="s">
        <v>1140</v>
      </c>
      <c r="E1587" s="115" t="s">
        <v>1141</v>
      </c>
    </row>
    <row r="1588" spans="2:5" x14ac:dyDescent="0.25">
      <c r="B1588" s="115" t="s">
        <v>1139</v>
      </c>
      <c r="D1588" s="115" t="s">
        <v>1140</v>
      </c>
      <c r="E1588" s="115" t="s">
        <v>1141</v>
      </c>
    </row>
    <row r="1589" spans="2:5" x14ac:dyDescent="0.25">
      <c r="B1589" s="115" t="s">
        <v>1139</v>
      </c>
      <c r="D1589" s="115" t="s">
        <v>1140</v>
      </c>
      <c r="E1589" s="115" t="s">
        <v>1141</v>
      </c>
    </row>
    <row r="1590" spans="2:5" x14ac:dyDescent="0.25">
      <c r="B1590" s="115" t="s">
        <v>1139</v>
      </c>
      <c r="D1590" s="115" t="s">
        <v>1140</v>
      </c>
      <c r="E1590" s="115" t="s">
        <v>1141</v>
      </c>
    </row>
    <row r="1591" spans="2:5" x14ac:dyDescent="0.25">
      <c r="B1591" s="115" t="s">
        <v>1139</v>
      </c>
      <c r="D1591" s="115" t="s">
        <v>1140</v>
      </c>
      <c r="E1591" s="115" t="s">
        <v>1141</v>
      </c>
    </row>
    <row r="1592" spans="2:5" x14ac:dyDescent="0.25">
      <c r="B1592" s="115" t="s">
        <v>1139</v>
      </c>
      <c r="D1592" s="115" t="s">
        <v>1140</v>
      </c>
      <c r="E1592" s="115" t="s">
        <v>1141</v>
      </c>
    </row>
    <row r="1593" spans="2:5" x14ac:dyDescent="0.25">
      <c r="B1593" s="115" t="s">
        <v>1139</v>
      </c>
      <c r="D1593" s="115" t="s">
        <v>1140</v>
      </c>
      <c r="E1593" s="115" t="s">
        <v>1141</v>
      </c>
    </row>
    <row r="1594" spans="2:5" x14ac:dyDescent="0.25">
      <c r="B1594" s="115" t="s">
        <v>1139</v>
      </c>
      <c r="D1594" s="115" t="s">
        <v>1140</v>
      </c>
      <c r="E1594" s="115" t="s">
        <v>1141</v>
      </c>
    </row>
    <row r="1595" spans="2:5" x14ac:dyDescent="0.25">
      <c r="B1595" s="115" t="s">
        <v>1139</v>
      </c>
      <c r="D1595" s="115" t="s">
        <v>1140</v>
      </c>
      <c r="E1595" s="115" t="s">
        <v>1141</v>
      </c>
    </row>
    <row r="1596" spans="2:5" x14ac:dyDescent="0.25">
      <c r="B1596" s="115" t="s">
        <v>1139</v>
      </c>
      <c r="D1596" s="115" t="s">
        <v>1140</v>
      </c>
      <c r="E1596" s="115" t="s">
        <v>1141</v>
      </c>
    </row>
    <row r="1597" spans="2:5" x14ac:dyDescent="0.25">
      <c r="B1597" s="115" t="s">
        <v>1139</v>
      </c>
      <c r="D1597" s="115" t="s">
        <v>1140</v>
      </c>
      <c r="E1597" s="115" t="s">
        <v>1141</v>
      </c>
    </row>
    <row r="1598" spans="2:5" x14ac:dyDescent="0.25">
      <c r="B1598" s="115" t="s">
        <v>1139</v>
      </c>
      <c r="D1598" s="115" t="s">
        <v>1140</v>
      </c>
      <c r="E1598" s="115" t="s">
        <v>1141</v>
      </c>
    </row>
    <row r="1599" spans="2:5" x14ac:dyDescent="0.25">
      <c r="B1599" s="115" t="s">
        <v>1139</v>
      </c>
      <c r="D1599" s="115" t="s">
        <v>1140</v>
      </c>
      <c r="E1599" s="115" t="s">
        <v>1141</v>
      </c>
    </row>
    <row r="1600" spans="2:5" x14ac:dyDescent="0.25">
      <c r="B1600" s="115" t="s">
        <v>1139</v>
      </c>
      <c r="D1600" s="115" t="s">
        <v>1140</v>
      </c>
      <c r="E1600" s="115" t="s">
        <v>1141</v>
      </c>
    </row>
    <row r="1601" spans="1:5" x14ac:dyDescent="0.25">
      <c r="B1601" s="115" t="s">
        <v>1139</v>
      </c>
      <c r="D1601" s="115" t="s">
        <v>1140</v>
      </c>
      <c r="E1601" s="115" t="s">
        <v>1141</v>
      </c>
    </row>
    <row r="1602" spans="1:5" x14ac:dyDescent="0.25">
      <c r="B1602" s="115" t="s">
        <v>1139</v>
      </c>
      <c r="D1602" s="115" t="s">
        <v>1140</v>
      </c>
      <c r="E1602" s="115" t="s">
        <v>1141</v>
      </c>
    </row>
    <row r="1603" spans="1:5" x14ac:dyDescent="0.25">
      <c r="B1603" s="115" t="s">
        <v>1139</v>
      </c>
      <c r="D1603" s="115" t="s">
        <v>1140</v>
      </c>
      <c r="E1603" s="115" t="s">
        <v>1141</v>
      </c>
    </row>
    <row r="1604" spans="1:5" x14ac:dyDescent="0.25">
      <c r="B1604" s="115" t="s">
        <v>1139</v>
      </c>
      <c r="D1604" s="115" t="s">
        <v>3237</v>
      </c>
      <c r="E1604" s="115" t="s">
        <v>3238</v>
      </c>
    </row>
    <row r="1605" spans="1:5" x14ac:dyDescent="0.25">
      <c r="B1605" s="115" t="s">
        <v>1254</v>
      </c>
      <c r="D1605" s="115" t="s">
        <v>3239</v>
      </c>
      <c r="E1605" s="115" t="s">
        <v>3240</v>
      </c>
    </row>
    <row r="1606" spans="1:5" x14ac:dyDescent="0.25">
      <c r="B1606" s="115" t="s">
        <v>1139</v>
      </c>
      <c r="D1606" s="115" t="s">
        <v>3241</v>
      </c>
      <c r="E1606" s="115" t="s">
        <v>3242</v>
      </c>
    </row>
    <row r="1607" spans="1:5" x14ac:dyDescent="0.25">
      <c r="B1607" s="115" t="s">
        <v>3243</v>
      </c>
      <c r="D1607" s="115">
        <f>-227   -482    -69</f>
        <v>-778</v>
      </c>
      <c r="E1607" s="115" t="s">
        <v>3244</v>
      </c>
    </row>
    <row r="1608" spans="1:5" x14ac:dyDescent="0.25">
      <c r="B1608" s="115" t="s">
        <v>1139</v>
      </c>
      <c r="D1608" s="115" t="s">
        <v>3245</v>
      </c>
      <c r="E1608" s="115" t="s">
        <v>3246</v>
      </c>
    </row>
    <row r="1609" spans="1:5" x14ac:dyDescent="0.25">
      <c r="B1609" s="115" t="s">
        <v>1139</v>
      </c>
      <c r="D1609" s="115" t="s">
        <v>1140</v>
      </c>
      <c r="E1609" s="115" t="s">
        <v>3247</v>
      </c>
    </row>
    <row r="1610" spans="1:5" x14ac:dyDescent="0.25">
      <c r="B1610" s="115" t="s">
        <v>1139</v>
      </c>
      <c r="D1610" s="115" t="s">
        <v>3248</v>
      </c>
      <c r="E1610" s="115" t="s">
        <v>3249</v>
      </c>
    </row>
    <row r="1611" spans="1:5" x14ac:dyDescent="0.25">
      <c r="B1611" s="115" t="s">
        <v>1333</v>
      </c>
      <c r="D1611" s="115" t="s">
        <v>3250</v>
      </c>
      <c r="E1611" s="115" t="s">
        <v>3251</v>
      </c>
    </row>
    <row r="1612" spans="1:5" x14ac:dyDescent="0.25">
      <c r="B1612" s="115" t="s">
        <v>1139</v>
      </c>
      <c r="D1612" s="115" t="s">
        <v>3252</v>
      </c>
      <c r="E1612" s="115" t="s">
        <v>3253</v>
      </c>
    </row>
    <row r="1613" spans="1:5" x14ac:dyDescent="0.25">
      <c r="A1613" s="115" t="s">
        <v>1138</v>
      </c>
      <c r="B1613" s="115" t="s">
        <v>1654</v>
      </c>
      <c r="D1613" s="115" t="s">
        <v>3254</v>
      </c>
      <c r="E1613" s="115" t="s">
        <v>3255</v>
      </c>
    </row>
    <row r="1614" spans="1:5" x14ac:dyDescent="0.25">
      <c r="B1614" s="115" t="s">
        <v>1139</v>
      </c>
      <c r="D1614" s="115" t="s">
        <v>3256</v>
      </c>
      <c r="E1614" s="115" t="s">
        <v>3257</v>
      </c>
    </row>
    <row r="1615" spans="1:5" x14ac:dyDescent="0.25">
      <c r="B1615" s="115" t="s">
        <v>1139</v>
      </c>
      <c r="D1615" s="115" t="s">
        <v>3258</v>
      </c>
      <c r="E1615" s="115" t="s">
        <v>3259</v>
      </c>
    </row>
    <row r="1616" spans="1:5" x14ac:dyDescent="0.25">
      <c r="B1616" s="115">
        <f>-91    -79</f>
        <v>-170</v>
      </c>
      <c r="D1616" s="115" t="s">
        <v>3260</v>
      </c>
      <c r="E1616" s="115" t="s">
        <v>3261</v>
      </c>
    </row>
    <row r="1617" spans="2:5" x14ac:dyDescent="0.25">
      <c r="B1617" s="115" t="s">
        <v>3262</v>
      </c>
      <c r="D1617" s="115" t="s">
        <v>1307</v>
      </c>
      <c r="E1617" s="115" t="s">
        <v>3263</v>
      </c>
    </row>
    <row r="1618" spans="2:5" x14ac:dyDescent="0.25">
      <c r="B1618" s="115" t="s">
        <v>1139</v>
      </c>
      <c r="D1618" s="115" t="s">
        <v>3264</v>
      </c>
      <c r="E1618" s="115" t="s">
        <v>3265</v>
      </c>
    </row>
    <row r="1619" spans="2:5" x14ac:dyDescent="0.25">
      <c r="B1619" s="115" t="s">
        <v>1139</v>
      </c>
      <c r="D1619" s="115" t="s">
        <v>3266</v>
      </c>
      <c r="E1619" s="115" t="s">
        <v>3267</v>
      </c>
    </row>
    <row r="1620" spans="2:5" x14ac:dyDescent="0.25">
      <c r="B1620" s="115" t="s">
        <v>1139</v>
      </c>
      <c r="D1620" s="115" t="s">
        <v>1140</v>
      </c>
      <c r="E1620" s="115" t="s">
        <v>1141</v>
      </c>
    </row>
    <row r="1621" spans="2:5" x14ac:dyDescent="0.25">
      <c r="B1621" s="115" t="s">
        <v>1139</v>
      </c>
      <c r="D1621" s="115" t="s">
        <v>1140</v>
      </c>
      <c r="E1621" s="115" t="s">
        <v>1141</v>
      </c>
    </row>
    <row r="1622" spans="2:5" x14ac:dyDescent="0.25">
      <c r="B1622" s="115" t="s">
        <v>1139</v>
      </c>
      <c r="D1622" s="115" t="s">
        <v>1140</v>
      </c>
      <c r="E1622" s="115" t="s">
        <v>1141</v>
      </c>
    </row>
    <row r="1623" spans="2:5" x14ac:dyDescent="0.25">
      <c r="B1623" s="115" t="s">
        <v>1139</v>
      </c>
      <c r="D1623" s="115" t="s">
        <v>1140</v>
      </c>
      <c r="E1623" s="115" t="s">
        <v>1141</v>
      </c>
    </row>
    <row r="1624" spans="2:5" x14ac:dyDescent="0.25">
      <c r="B1624" s="115" t="s">
        <v>1139</v>
      </c>
      <c r="D1624" s="115" t="s">
        <v>1140</v>
      </c>
      <c r="E1624" s="115" t="s">
        <v>1141</v>
      </c>
    </row>
    <row r="1625" spans="2:5" x14ac:dyDescent="0.25">
      <c r="B1625" s="115" t="s">
        <v>1139</v>
      </c>
      <c r="D1625" s="115" t="s">
        <v>1140</v>
      </c>
      <c r="E1625" s="115" t="s">
        <v>1141</v>
      </c>
    </row>
    <row r="1626" spans="2:5" x14ac:dyDescent="0.25">
      <c r="B1626" s="115" t="s">
        <v>1139</v>
      </c>
      <c r="D1626" s="115" t="s">
        <v>1140</v>
      </c>
      <c r="E1626" s="115" t="s">
        <v>1141</v>
      </c>
    </row>
    <row r="1627" spans="2:5" x14ac:dyDescent="0.25">
      <c r="B1627" s="115" t="s">
        <v>1139</v>
      </c>
      <c r="D1627" s="115" t="s">
        <v>1140</v>
      </c>
      <c r="E1627" s="115" t="s">
        <v>1141</v>
      </c>
    </row>
    <row r="1628" spans="2:5" x14ac:dyDescent="0.25">
      <c r="B1628" s="115" t="s">
        <v>1139</v>
      </c>
      <c r="D1628" s="115" t="s">
        <v>1140</v>
      </c>
      <c r="E1628" s="115" t="s">
        <v>1141</v>
      </c>
    </row>
    <row r="1629" spans="2:5" x14ac:dyDescent="0.25">
      <c r="B1629" s="115" t="s">
        <v>1139</v>
      </c>
      <c r="D1629" s="115" t="s">
        <v>1140</v>
      </c>
      <c r="E1629" s="115" t="s">
        <v>1141</v>
      </c>
    </row>
    <row r="1630" spans="2:5" x14ac:dyDescent="0.25">
      <c r="B1630" s="115" t="s">
        <v>1139</v>
      </c>
      <c r="D1630" s="115" t="s">
        <v>1140</v>
      </c>
      <c r="E1630" s="115" t="s">
        <v>1141</v>
      </c>
    </row>
    <row r="1631" spans="2:5" x14ac:dyDescent="0.25">
      <c r="B1631" s="115" t="s">
        <v>1139</v>
      </c>
      <c r="D1631" s="115" t="s">
        <v>1140</v>
      </c>
      <c r="E1631" s="115" t="s">
        <v>1141</v>
      </c>
    </row>
    <row r="1632" spans="2:5" x14ac:dyDescent="0.25">
      <c r="B1632" s="115" t="s">
        <v>1139</v>
      </c>
      <c r="D1632" s="115" t="s">
        <v>1140</v>
      </c>
      <c r="E1632" s="115" t="s">
        <v>1141</v>
      </c>
    </row>
    <row r="1633" spans="1:5" x14ac:dyDescent="0.25">
      <c r="B1633" s="115" t="s">
        <v>1139</v>
      </c>
      <c r="D1633" s="115" t="s">
        <v>1140</v>
      </c>
      <c r="E1633" s="115" t="s">
        <v>1141</v>
      </c>
    </row>
    <row r="1634" spans="1:5" x14ac:dyDescent="0.25">
      <c r="B1634" s="115" t="s">
        <v>1139</v>
      </c>
      <c r="D1634" s="115" t="s">
        <v>1140</v>
      </c>
      <c r="E1634" s="115" t="s">
        <v>1141</v>
      </c>
    </row>
    <row r="1635" spans="1:5" x14ac:dyDescent="0.25">
      <c r="B1635" s="115" t="s">
        <v>1139</v>
      </c>
      <c r="D1635" s="115" t="s">
        <v>1140</v>
      </c>
      <c r="E1635" s="115" t="s">
        <v>1141</v>
      </c>
    </row>
    <row r="1636" spans="1:5" x14ac:dyDescent="0.25">
      <c r="A1636" s="115" t="s">
        <v>1138</v>
      </c>
      <c r="B1636" s="115" t="s">
        <v>3268</v>
      </c>
      <c r="D1636" s="115" t="s">
        <v>3269</v>
      </c>
      <c r="E1636" s="115" t="s">
        <v>3270</v>
      </c>
    </row>
    <row r="1637" spans="1:5" x14ac:dyDescent="0.25">
      <c r="B1637" s="115" t="s">
        <v>1139</v>
      </c>
      <c r="D1637" s="115" t="s">
        <v>3271</v>
      </c>
      <c r="E1637" s="115" t="s">
        <v>1141</v>
      </c>
    </row>
    <row r="1638" spans="1:5" x14ac:dyDescent="0.25">
      <c r="B1638" s="115" t="s">
        <v>1139</v>
      </c>
      <c r="D1638" s="115" t="s">
        <v>3272</v>
      </c>
      <c r="E1638" s="115" t="s">
        <v>3273</v>
      </c>
    </row>
    <row r="1639" spans="1:5" x14ac:dyDescent="0.25">
      <c r="B1639" s="115" t="s">
        <v>3274</v>
      </c>
      <c r="D1639" s="115" t="s">
        <v>3275</v>
      </c>
      <c r="E1639" s="115" t="s">
        <v>3276</v>
      </c>
    </row>
    <row r="1640" spans="1:5" x14ac:dyDescent="0.25">
      <c r="B1640" s="115" t="s">
        <v>1139</v>
      </c>
      <c r="D1640" s="115" t="s">
        <v>2777</v>
      </c>
      <c r="E1640" s="115" t="s">
        <v>1759</v>
      </c>
    </row>
    <row r="1641" spans="1:5" x14ac:dyDescent="0.25">
      <c r="B1641" s="115" t="s">
        <v>1139</v>
      </c>
      <c r="D1641" s="115" t="s">
        <v>3277</v>
      </c>
      <c r="E1641" s="115" t="s">
        <v>1245</v>
      </c>
    </row>
    <row r="1642" spans="1:5" x14ac:dyDescent="0.25">
      <c r="B1642" s="115" t="s">
        <v>1619</v>
      </c>
      <c r="D1642" s="115" t="s">
        <v>3278</v>
      </c>
      <c r="E1642" s="115" t="s">
        <v>3279</v>
      </c>
    </row>
    <row r="1643" spans="1:5" x14ac:dyDescent="0.25">
      <c r="A1643" s="115">
        <v>-2</v>
      </c>
      <c r="B1643" s="115" t="s">
        <v>3280</v>
      </c>
      <c r="C1643" s="115" t="s">
        <v>1138</v>
      </c>
      <c r="D1643" s="115" t="s">
        <v>3281</v>
      </c>
      <c r="E1643" s="115" t="s">
        <v>1894</v>
      </c>
    </row>
    <row r="1644" spans="1:5" x14ac:dyDescent="0.25">
      <c r="B1644" s="115" t="s">
        <v>3282</v>
      </c>
      <c r="D1644" s="115" t="s">
        <v>3283</v>
      </c>
      <c r="E1644" s="115" t="s">
        <v>3284</v>
      </c>
    </row>
    <row r="1645" spans="1:5" x14ac:dyDescent="0.25">
      <c r="B1645" s="115" t="s">
        <v>3285</v>
      </c>
      <c r="D1645" s="115" t="s">
        <v>3286</v>
      </c>
      <c r="E1645" s="115" t="s">
        <v>3287</v>
      </c>
    </row>
    <row r="1646" spans="1:5" x14ac:dyDescent="0.25">
      <c r="A1646" s="115">
        <v>-1</v>
      </c>
      <c r="B1646" s="115" t="s">
        <v>3288</v>
      </c>
      <c r="D1646" s="115" t="s">
        <v>3289</v>
      </c>
      <c r="E1646" s="115" t="s">
        <v>1819</v>
      </c>
    </row>
    <row r="1647" spans="1:5" x14ac:dyDescent="0.25">
      <c r="A1647" s="115" t="s">
        <v>1138</v>
      </c>
      <c r="B1647" s="115" t="s">
        <v>3290</v>
      </c>
      <c r="D1647" s="115" t="s">
        <v>3291</v>
      </c>
      <c r="E1647" s="115" t="s">
        <v>3292</v>
      </c>
    </row>
    <row r="1648" spans="1:5" x14ac:dyDescent="0.25">
      <c r="B1648" s="115" t="s">
        <v>3293</v>
      </c>
      <c r="D1648" s="115" t="s">
        <v>3294</v>
      </c>
      <c r="E1648" s="115" t="s">
        <v>3295</v>
      </c>
    </row>
    <row r="1649" spans="1:5" x14ac:dyDescent="0.25">
      <c r="B1649" s="115" t="s">
        <v>3296</v>
      </c>
      <c r="D1649" s="115" t="s">
        <v>3297</v>
      </c>
      <c r="E1649" s="115" t="s">
        <v>1894</v>
      </c>
    </row>
    <row r="1650" spans="1:5" x14ac:dyDescent="0.25">
      <c r="B1650" s="115">
        <f>-44   -170</f>
        <v>-214</v>
      </c>
      <c r="D1650" s="115" t="s">
        <v>3298</v>
      </c>
      <c r="E1650" s="115" t="s">
        <v>3299</v>
      </c>
    </row>
    <row r="1651" spans="1:5" x14ac:dyDescent="0.25">
      <c r="A1651" s="115">
        <v>6</v>
      </c>
      <c r="B1651" s="115" t="s">
        <v>3300</v>
      </c>
      <c r="D1651" s="115" t="s">
        <v>3301</v>
      </c>
      <c r="E1651" s="115" t="s">
        <v>3302</v>
      </c>
    </row>
    <row r="1652" spans="1:5" x14ac:dyDescent="0.25">
      <c r="B1652" s="115" t="s">
        <v>1139</v>
      </c>
      <c r="D1652" s="115" t="s">
        <v>1140</v>
      </c>
      <c r="E1652" s="115" t="s">
        <v>1141</v>
      </c>
    </row>
    <row r="1653" spans="1:5" x14ac:dyDescent="0.25">
      <c r="B1653" s="115" t="s">
        <v>1139</v>
      </c>
      <c r="D1653" s="115" t="s">
        <v>1140</v>
      </c>
      <c r="E1653" s="115" t="s">
        <v>1141</v>
      </c>
    </row>
    <row r="1654" spans="1:5" x14ac:dyDescent="0.25">
      <c r="B1654" s="115" t="s">
        <v>1139</v>
      </c>
      <c r="D1654" s="115" t="s">
        <v>1140</v>
      </c>
      <c r="E1654" s="115" t="s">
        <v>1141</v>
      </c>
    </row>
    <row r="1655" spans="1:5" x14ac:dyDescent="0.25">
      <c r="B1655" s="115" t="s">
        <v>1139</v>
      </c>
      <c r="D1655" s="115" t="s">
        <v>1140</v>
      </c>
      <c r="E1655" s="115" t="s">
        <v>1141</v>
      </c>
    </row>
    <row r="1656" spans="1:5" x14ac:dyDescent="0.25">
      <c r="B1656" s="115" t="s">
        <v>1139</v>
      </c>
      <c r="D1656" s="115" t="s">
        <v>1140</v>
      </c>
      <c r="E1656" s="115" t="s">
        <v>1141</v>
      </c>
    </row>
    <row r="1657" spans="1:5" x14ac:dyDescent="0.25">
      <c r="B1657" s="115" t="s">
        <v>1139</v>
      </c>
      <c r="D1657" s="115" t="s">
        <v>1140</v>
      </c>
      <c r="E1657" s="115" t="s">
        <v>1141</v>
      </c>
    </row>
    <row r="1658" spans="1:5" x14ac:dyDescent="0.25">
      <c r="B1658" s="115" t="s">
        <v>1139</v>
      </c>
      <c r="D1658" s="115" t="s">
        <v>1140</v>
      </c>
      <c r="E1658" s="115" t="s">
        <v>1141</v>
      </c>
    </row>
    <row r="1659" spans="1:5" x14ac:dyDescent="0.25">
      <c r="B1659" s="115" t="s">
        <v>1139</v>
      </c>
      <c r="D1659" s="115" t="s">
        <v>1140</v>
      </c>
      <c r="E1659" s="115" t="s">
        <v>1141</v>
      </c>
    </row>
    <row r="1660" spans="1:5" x14ac:dyDescent="0.25">
      <c r="B1660" s="115" t="s">
        <v>1139</v>
      </c>
      <c r="D1660" s="115" t="s">
        <v>1140</v>
      </c>
      <c r="E1660" s="115" t="s">
        <v>1141</v>
      </c>
    </row>
    <row r="1661" spans="1:5" x14ac:dyDescent="0.25">
      <c r="B1661" s="115" t="s">
        <v>1139</v>
      </c>
      <c r="D1661" s="115" t="s">
        <v>1140</v>
      </c>
      <c r="E1661" s="115" t="s">
        <v>1141</v>
      </c>
    </row>
    <row r="1662" spans="1:5" x14ac:dyDescent="0.25">
      <c r="B1662" s="115" t="s">
        <v>1139</v>
      </c>
      <c r="D1662" s="115" t="s">
        <v>1140</v>
      </c>
      <c r="E1662" s="115" t="s">
        <v>1141</v>
      </c>
    </row>
    <row r="1663" spans="1:5" x14ac:dyDescent="0.25">
      <c r="B1663" s="115" t="s">
        <v>1139</v>
      </c>
      <c r="D1663" s="115" t="s">
        <v>1140</v>
      </c>
      <c r="E1663" s="115" t="s">
        <v>1141</v>
      </c>
    </row>
    <row r="1664" spans="1:5" x14ac:dyDescent="0.25">
      <c r="B1664" s="115" t="s">
        <v>1139</v>
      </c>
      <c r="D1664" s="115" t="s">
        <v>1140</v>
      </c>
      <c r="E1664" s="115" t="s">
        <v>1141</v>
      </c>
    </row>
    <row r="1665" spans="2:5" x14ac:dyDescent="0.25">
      <c r="B1665" s="115" t="s">
        <v>1139</v>
      </c>
      <c r="D1665" s="115" t="s">
        <v>1140</v>
      </c>
      <c r="E1665" s="115" t="s">
        <v>1141</v>
      </c>
    </row>
    <row r="1666" spans="2:5" x14ac:dyDescent="0.25">
      <c r="B1666" s="115" t="s">
        <v>1139</v>
      </c>
      <c r="D1666" s="115" t="s">
        <v>1140</v>
      </c>
      <c r="E1666" s="115" t="s">
        <v>1141</v>
      </c>
    </row>
    <row r="1667" spans="2:5" x14ac:dyDescent="0.25">
      <c r="B1667" s="115" t="s">
        <v>1139</v>
      </c>
      <c r="D1667" s="115" t="s">
        <v>1140</v>
      </c>
      <c r="E1667" s="115" t="s">
        <v>1141</v>
      </c>
    </row>
    <row r="1668" spans="2:5" x14ac:dyDescent="0.25">
      <c r="B1668" s="115" t="s">
        <v>3303</v>
      </c>
      <c r="D1668" s="115" t="s">
        <v>3304</v>
      </c>
      <c r="E1668" s="115" t="s">
        <v>3305</v>
      </c>
    </row>
    <row r="1669" spans="2:5" x14ac:dyDescent="0.25">
      <c r="B1669" s="115" t="s">
        <v>1139</v>
      </c>
      <c r="D1669" s="115" t="s">
        <v>3306</v>
      </c>
      <c r="E1669" s="115" t="s">
        <v>1141</v>
      </c>
    </row>
    <row r="1670" spans="2:5" x14ac:dyDescent="0.25">
      <c r="B1670" s="115" t="s">
        <v>1139</v>
      </c>
      <c r="D1670" s="115" t="s">
        <v>3307</v>
      </c>
      <c r="E1670" s="115" t="s">
        <v>3308</v>
      </c>
    </row>
    <row r="1671" spans="2:5" x14ac:dyDescent="0.25">
      <c r="B1671" s="115" t="s">
        <v>3309</v>
      </c>
      <c r="D1671" s="115" t="s">
        <v>3310</v>
      </c>
      <c r="E1671" s="115" t="s">
        <v>3311</v>
      </c>
    </row>
    <row r="1672" spans="2:5" x14ac:dyDescent="0.25">
      <c r="B1672" s="115" t="s">
        <v>2512</v>
      </c>
      <c r="D1672" s="115" t="s">
        <v>1140</v>
      </c>
      <c r="E1672" s="115" t="s">
        <v>3312</v>
      </c>
    </row>
    <row r="1673" spans="2:5" x14ac:dyDescent="0.25">
      <c r="B1673" s="115" t="s">
        <v>1139</v>
      </c>
      <c r="D1673" s="115" t="s">
        <v>3313</v>
      </c>
      <c r="E1673" s="115" t="s">
        <v>3314</v>
      </c>
    </row>
    <row r="1674" spans="2:5" x14ac:dyDescent="0.25">
      <c r="B1674" s="115" t="s">
        <v>1139</v>
      </c>
      <c r="D1674" s="115">
        <f>-448   -320   -101</f>
        <v>-869</v>
      </c>
      <c r="E1674" s="115" t="s">
        <v>3315</v>
      </c>
    </row>
    <row r="1675" spans="2:5" x14ac:dyDescent="0.25">
      <c r="B1675" s="115" t="s">
        <v>3316</v>
      </c>
      <c r="D1675" s="115" t="s">
        <v>3317</v>
      </c>
      <c r="E1675" s="115" t="s">
        <v>3318</v>
      </c>
    </row>
    <row r="1676" spans="2:5" x14ac:dyDescent="0.25">
      <c r="B1676" s="115" t="s">
        <v>3319</v>
      </c>
      <c r="D1676" s="115" t="s">
        <v>3320</v>
      </c>
      <c r="E1676" s="115" t="s">
        <v>3321</v>
      </c>
    </row>
    <row r="1677" spans="2:5" x14ac:dyDescent="0.25">
      <c r="B1677" s="115" t="s">
        <v>3322</v>
      </c>
      <c r="D1677" s="115" t="s">
        <v>3323</v>
      </c>
      <c r="E1677" s="115" t="s">
        <v>3324</v>
      </c>
    </row>
    <row r="1678" spans="2:5" x14ac:dyDescent="0.25">
      <c r="B1678" s="115" t="s">
        <v>3325</v>
      </c>
      <c r="D1678" s="115" t="s">
        <v>3326</v>
      </c>
      <c r="E1678" s="115" t="s">
        <v>3327</v>
      </c>
    </row>
    <row r="1679" spans="2:5" x14ac:dyDescent="0.25">
      <c r="B1679" s="115" t="s">
        <v>1308</v>
      </c>
      <c r="D1679" s="115" t="s">
        <v>3328</v>
      </c>
      <c r="E1679" s="115" t="s">
        <v>3329</v>
      </c>
    </row>
    <row r="1680" spans="2:5" x14ac:dyDescent="0.25">
      <c r="B1680" s="115" t="s">
        <v>3330</v>
      </c>
      <c r="D1680" s="115" t="s">
        <v>3331</v>
      </c>
      <c r="E1680" s="115" t="s">
        <v>3332</v>
      </c>
    </row>
    <row r="1681" spans="1:5" x14ac:dyDescent="0.25">
      <c r="B1681" s="115" t="s">
        <v>1139</v>
      </c>
      <c r="D1681" s="115" t="s">
        <v>3333</v>
      </c>
      <c r="E1681" s="115" t="s">
        <v>3334</v>
      </c>
    </row>
    <row r="1682" spans="1:5" x14ac:dyDescent="0.25">
      <c r="B1682" s="115" t="s">
        <v>2552</v>
      </c>
      <c r="D1682" s="115" t="s">
        <v>3335</v>
      </c>
      <c r="E1682" s="115" t="s">
        <v>3336</v>
      </c>
    </row>
    <row r="1683" spans="1:5" x14ac:dyDescent="0.25">
      <c r="A1683" s="115">
        <v>2</v>
      </c>
      <c r="B1683" s="115" t="s">
        <v>3337</v>
      </c>
      <c r="D1683" s="115" t="s">
        <v>3338</v>
      </c>
      <c r="E1683" s="115" t="s">
        <v>3339</v>
      </c>
    </row>
    <row r="1684" spans="1:5" x14ac:dyDescent="0.25">
      <c r="B1684" s="115" t="s">
        <v>3340</v>
      </c>
      <c r="D1684" s="115" t="s">
        <v>1140</v>
      </c>
      <c r="E1684" s="115" t="s">
        <v>1141</v>
      </c>
    </row>
    <row r="1685" spans="1:5" x14ac:dyDescent="0.25">
      <c r="B1685" s="115" t="s">
        <v>1139</v>
      </c>
      <c r="D1685" s="115" t="s">
        <v>1140</v>
      </c>
      <c r="E1685" s="115" t="s">
        <v>1141</v>
      </c>
    </row>
    <row r="1686" spans="1:5" x14ac:dyDescent="0.25">
      <c r="B1686" s="115" t="s">
        <v>1139</v>
      </c>
      <c r="D1686" s="115" t="s">
        <v>1140</v>
      </c>
      <c r="E1686" s="115" t="s">
        <v>1141</v>
      </c>
    </row>
    <row r="1687" spans="1:5" x14ac:dyDescent="0.25">
      <c r="B1687" s="115" t="s">
        <v>1139</v>
      </c>
      <c r="D1687" s="115" t="s">
        <v>1140</v>
      </c>
      <c r="E1687" s="115" t="s">
        <v>1141</v>
      </c>
    </row>
    <row r="1688" spans="1:5" x14ac:dyDescent="0.25">
      <c r="B1688" s="115" t="s">
        <v>1139</v>
      </c>
      <c r="D1688" s="115" t="s">
        <v>1140</v>
      </c>
      <c r="E1688" s="115" t="s">
        <v>1141</v>
      </c>
    </row>
    <row r="1689" spans="1:5" x14ac:dyDescent="0.25">
      <c r="B1689" s="115" t="s">
        <v>1139</v>
      </c>
      <c r="D1689" s="115" t="s">
        <v>1140</v>
      </c>
      <c r="E1689" s="115" t="s">
        <v>1141</v>
      </c>
    </row>
    <row r="1690" spans="1:5" x14ac:dyDescent="0.25">
      <c r="B1690" s="115" t="s">
        <v>1139</v>
      </c>
      <c r="D1690" s="115" t="s">
        <v>1140</v>
      </c>
      <c r="E1690" s="115" t="s">
        <v>1141</v>
      </c>
    </row>
    <row r="1691" spans="1:5" x14ac:dyDescent="0.25">
      <c r="B1691" s="115" t="s">
        <v>1139</v>
      </c>
      <c r="D1691" s="115" t="s">
        <v>1140</v>
      </c>
      <c r="E1691" s="115" t="s">
        <v>1141</v>
      </c>
    </row>
    <row r="1692" spans="1:5" x14ac:dyDescent="0.25">
      <c r="B1692" s="115" t="s">
        <v>1139</v>
      </c>
      <c r="D1692" s="115" t="s">
        <v>1140</v>
      </c>
      <c r="E1692" s="115" t="s">
        <v>1141</v>
      </c>
    </row>
    <row r="1693" spans="1:5" x14ac:dyDescent="0.25">
      <c r="B1693" s="115" t="s">
        <v>1139</v>
      </c>
      <c r="D1693" s="115" t="s">
        <v>1140</v>
      </c>
      <c r="E1693" s="115" t="s">
        <v>1141</v>
      </c>
    </row>
    <row r="1694" spans="1:5" x14ac:dyDescent="0.25">
      <c r="B1694" s="115" t="s">
        <v>1139</v>
      </c>
      <c r="D1694" s="115" t="s">
        <v>1140</v>
      </c>
      <c r="E1694" s="115" t="s">
        <v>1141</v>
      </c>
    </row>
    <row r="1695" spans="1:5" x14ac:dyDescent="0.25">
      <c r="B1695" s="115" t="s">
        <v>1139</v>
      </c>
      <c r="D1695" s="115" t="s">
        <v>1140</v>
      </c>
      <c r="E1695" s="115" t="s">
        <v>1141</v>
      </c>
    </row>
    <row r="1696" spans="1:5" x14ac:dyDescent="0.25">
      <c r="B1696" s="115" t="s">
        <v>1139</v>
      </c>
      <c r="D1696" s="115" t="s">
        <v>1140</v>
      </c>
      <c r="E1696" s="115" t="s">
        <v>1141</v>
      </c>
    </row>
    <row r="1697" spans="2:5" x14ac:dyDescent="0.25">
      <c r="B1697" s="115" t="s">
        <v>1139</v>
      </c>
      <c r="D1697" s="115" t="s">
        <v>1140</v>
      </c>
      <c r="E1697" s="115" t="s">
        <v>1141</v>
      </c>
    </row>
    <row r="1698" spans="2:5" x14ac:dyDescent="0.25">
      <c r="B1698" s="115" t="s">
        <v>1139</v>
      </c>
      <c r="D1698" s="115" t="s">
        <v>1140</v>
      </c>
      <c r="E1698" s="115" t="s">
        <v>1141</v>
      </c>
    </row>
    <row r="1699" spans="2:5" x14ac:dyDescent="0.25">
      <c r="B1699" s="115" t="s">
        <v>1139</v>
      </c>
      <c r="D1699" s="115" t="s">
        <v>1140</v>
      </c>
      <c r="E1699" s="115" t="s">
        <v>1141</v>
      </c>
    </row>
    <row r="1700" spans="2:5" x14ac:dyDescent="0.25">
      <c r="B1700" s="115" t="s">
        <v>1139</v>
      </c>
      <c r="D1700" s="115" t="s">
        <v>1140</v>
      </c>
      <c r="E1700" s="115" t="s">
        <v>1141</v>
      </c>
    </row>
    <row r="1701" spans="2:5" x14ac:dyDescent="0.25">
      <c r="B1701" s="115" t="s">
        <v>1139</v>
      </c>
      <c r="D1701" s="115" t="s">
        <v>1140</v>
      </c>
      <c r="E1701" s="115" t="s">
        <v>1141</v>
      </c>
    </row>
    <row r="1702" spans="2:5" x14ac:dyDescent="0.25">
      <c r="B1702" s="115" t="s">
        <v>1139</v>
      </c>
      <c r="D1702" s="115" t="s">
        <v>1140</v>
      </c>
      <c r="E1702" s="115" t="s">
        <v>1141</v>
      </c>
    </row>
    <row r="1703" spans="2:5" x14ac:dyDescent="0.25">
      <c r="B1703" s="115" t="s">
        <v>1139</v>
      </c>
      <c r="D1703" s="115" t="s">
        <v>1140</v>
      </c>
      <c r="E1703" s="115" t="s">
        <v>1141</v>
      </c>
    </row>
    <row r="1704" spans="2:5" x14ac:dyDescent="0.25">
      <c r="B1704" s="115" t="s">
        <v>1139</v>
      </c>
      <c r="D1704" s="115" t="s">
        <v>1140</v>
      </c>
      <c r="E1704" s="115" t="s">
        <v>1141</v>
      </c>
    </row>
    <row r="1705" spans="2:5" x14ac:dyDescent="0.25">
      <c r="B1705" s="115" t="s">
        <v>1139</v>
      </c>
      <c r="D1705" s="115" t="s">
        <v>1140</v>
      </c>
      <c r="E1705" s="115" t="s">
        <v>1141</v>
      </c>
    </row>
    <row r="1706" spans="2:5" x14ac:dyDescent="0.25">
      <c r="B1706" s="115" t="s">
        <v>1139</v>
      </c>
      <c r="D1706" s="115" t="s">
        <v>1140</v>
      </c>
      <c r="E1706" s="115" t="s">
        <v>1141</v>
      </c>
    </row>
    <row r="1707" spans="2:5" x14ac:dyDescent="0.25">
      <c r="B1707" s="115" t="s">
        <v>1139</v>
      </c>
      <c r="D1707" s="115" t="s">
        <v>1140</v>
      </c>
      <c r="E1707" s="115" t="s">
        <v>1141</v>
      </c>
    </row>
    <row r="1708" spans="2:5" x14ac:dyDescent="0.25">
      <c r="B1708" s="115" t="s">
        <v>1139</v>
      </c>
      <c r="D1708" s="115" t="s">
        <v>1140</v>
      </c>
      <c r="E1708" s="115" t="s">
        <v>1141</v>
      </c>
    </row>
    <row r="1709" spans="2:5" x14ac:dyDescent="0.25">
      <c r="B1709" s="115" t="s">
        <v>1139</v>
      </c>
      <c r="D1709" s="115" t="s">
        <v>1140</v>
      </c>
      <c r="E1709" s="115" t="s">
        <v>1141</v>
      </c>
    </row>
    <row r="1710" spans="2:5" x14ac:dyDescent="0.25">
      <c r="B1710" s="115" t="s">
        <v>1139</v>
      </c>
      <c r="D1710" s="115" t="s">
        <v>1140</v>
      </c>
      <c r="E1710" s="115" t="s">
        <v>1141</v>
      </c>
    </row>
    <row r="1711" spans="2:5" x14ac:dyDescent="0.25">
      <c r="B1711" s="115" t="s">
        <v>1139</v>
      </c>
      <c r="D1711" s="115" t="s">
        <v>1140</v>
      </c>
      <c r="E1711" s="115" t="s">
        <v>1141</v>
      </c>
    </row>
    <row r="1712" spans="2:5" x14ac:dyDescent="0.25">
      <c r="B1712" s="115" t="s">
        <v>1139</v>
      </c>
      <c r="D1712" s="115" t="s">
        <v>1140</v>
      </c>
      <c r="E1712" s="115" t="s">
        <v>1141</v>
      </c>
    </row>
    <row r="1713" spans="2:5" x14ac:dyDescent="0.25">
      <c r="B1713" s="115" t="s">
        <v>1139</v>
      </c>
      <c r="D1713" s="115" t="s">
        <v>1140</v>
      </c>
      <c r="E1713" s="115" t="s">
        <v>1141</v>
      </c>
    </row>
    <row r="1714" spans="2:5" x14ac:dyDescent="0.25">
      <c r="B1714" s="115" t="s">
        <v>1139</v>
      </c>
      <c r="D1714" s="115" t="s">
        <v>1140</v>
      </c>
      <c r="E1714" s="115" t="s">
        <v>1141</v>
      </c>
    </row>
    <row r="1715" spans="2:5" x14ac:dyDescent="0.25">
      <c r="B1715" s="115" t="s">
        <v>1139</v>
      </c>
      <c r="D1715" s="115" t="s">
        <v>1140</v>
      </c>
      <c r="E1715" s="115" t="s">
        <v>1141</v>
      </c>
    </row>
    <row r="1716" spans="2:5" x14ac:dyDescent="0.25">
      <c r="B1716" s="115" t="s">
        <v>1139</v>
      </c>
      <c r="D1716" s="115" t="s">
        <v>1140</v>
      </c>
      <c r="E1716" s="115" t="s">
        <v>1141</v>
      </c>
    </row>
    <row r="1717" spans="2:5" x14ac:dyDescent="0.25">
      <c r="B1717" s="115" t="s">
        <v>1139</v>
      </c>
      <c r="D1717" s="115" t="s">
        <v>1140</v>
      </c>
      <c r="E1717" s="115" t="s">
        <v>1141</v>
      </c>
    </row>
    <row r="1718" spans="2:5" x14ac:dyDescent="0.25">
      <c r="B1718" s="115" t="s">
        <v>1139</v>
      </c>
      <c r="D1718" s="115" t="s">
        <v>1140</v>
      </c>
      <c r="E1718" s="115" t="s">
        <v>1141</v>
      </c>
    </row>
    <row r="1719" spans="2:5" x14ac:dyDescent="0.25">
      <c r="B1719" s="115" t="s">
        <v>1139</v>
      </c>
      <c r="D1719" s="115" t="s">
        <v>1140</v>
      </c>
      <c r="E1719" s="115" t="s">
        <v>1141</v>
      </c>
    </row>
    <row r="1720" spans="2:5" x14ac:dyDescent="0.25">
      <c r="B1720" s="115" t="s">
        <v>1139</v>
      </c>
      <c r="D1720" s="115" t="s">
        <v>1140</v>
      </c>
      <c r="E1720" s="115" t="s">
        <v>1141</v>
      </c>
    </row>
    <row r="1721" spans="2:5" x14ac:dyDescent="0.25">
      <c r="B1721" s="115" t="s">
        <v>1139</v>
      </c>
      <c r="D1721" s="115" t="s">
        <v>1140</v>
      </c>
      <c r="E1721" s="115" t="s">
        <v>1141</v>
      </c>
    </row>
    <row r="1722" spans="2:5" x14ac:dyDescent="0.25">
      <c r="B1722" s="115" t="s">
        <v>1139</v>
      </c>
      <c r="D1722" s="115" t="s">
        <v>1140</v>
      </c>
      <c r="E1722" s="115" t="s">
        <v>1141</v>
      </c>
    </row>
    <row r="1723" spans="2:5" x14ac:dyDescent="0.25">
      <c r="B1723" s="115" t="s">
        <v>1139</v>
      </c>
      <c r="D1723" s="115" t="s">
        <v>1140</v>
      </c>
      <c r="E1723" s="115" t="s">
        <v>1141</v>
      </c>
    </row>
    <row r="1724" spans="2:5" x14ac:dyDescent="0.25">
      <c r="B1724" s="115" t="s">
        <v>1139</v>
      </c>
      <c r="D1724" s="115" t="s">
        <v>1140</v>
      </c>
      <c r="E1724" s="115" t="s">
        <v>1141</v>
      </c>
    </row>
    <row r="1725" spans="2:5" x14ac:dyDescent="0.25">
      <c r="B1725" s="115" t="s">
        <v>1139</v>
      </c>
      <c r="D1725" s="115" t="s">
        <v>1140</v>
      </c>
      <c r="E1725" s="115" t="s">
        <v>1141</v>
      </c>
    </row>
    <row r="1726" spans="2:5" x14ac:dyDescent="0.25">
      <c r="B1726" s="115" t="s">
        <v>1139</v>
      </c>
      <c r="D1726" s="115" t="s">
        <v>1140</v>
      </c>
      <c r="E1726" s="115" t="s">
        <v>1141</v>
      </c>
    </row>
    <row r="1727" spans="2:5" x14ac:dyDescent="0.25">
      <c r="B1727" s="115" t="s">
        <v>1139</v>
      </c>
      <c r="D1727" s="115" t="s">
        <v>1140</v>
      </c>
      <c r="E1727" s="115" t="s">
        <v>1141</v>
      </c>
    </row>
    <row r="1728" spans="2:5" x14ac:dyDescent="0.25">
      <c r="B1728" s="115" t="s">
        <v>1139</v>
      </c>
      <c r="D1728" s="115" t="s">
        <v>1140</v>
      </c>
      <c r="E1728" s="115" t="s">
        <v>1141</v>
      </c>
    </row>
    <row r="1729" spans="2:5" x14ac:dyDescent="0.25">
      <c r="B1729" s="115" t="s">
        <v>1139</v>
      </c>
      <c r="D1729" s="115" t="s">
        <v>1140</v>
      </c>
      <c r="E1729" s="115" t="s">
        <v>1141</v>
      </c>
    </row>
    <row r="1730" spans="2:5" x14ac:dyDescent="0.25">
      <c r="B1730" s="115" t="s">
        <v>1139</v>
      </c>
      <c r="D1730" s="115" t="s">
        <v>1140</v>
      </c>
      <c r="E1730" s="115" t="s">
        <v>1141</v>
      </c>
    </row>
    <row r="1731" spans="2:5" x14ac:dyDescent="0.25">
      <c r="B1731" s="115" t="s">
        <v>1139</v>
      </c>
      <c r="D1731" s="115" t="s">
        <v>1140</v>
      </c>
      <c r="E1731" s="115" t="s">
        <v>1141</v>
      </c>
    </row>
    <row r="1732" spans="2:5" x14ac:dyDescent="0.25">
      <c r="B1732" s="115" t="s">
        <v>1139</v>
      </c>
      <c r="D1732" s="115" t="s">
        <v>1140</v>
      </c>
      <c r="E1732" s="115" t="s">
        <v>1141</v>
      </c>
    </row>
    <row r="1733" spans="2:5" x14ac:dyDescent="0.25">
      <c r="B1733" s="115" t="s">
        <v>1139</v>
      </c>
      <c r="D1733" s="115" t="s">
        <v>1140</v>
      </c>
      <c r="E1733" s="115" t="s">
        <v>1141</v>
      </c>
    </row>
    <row r="1734" spans="2:5" x14ac:dyDescent="0.25">
      <c r="B1734" s="115" t="s">
        <v>1139</v>
      </c>
      <c r="D1734" s="115" t="s">
        <v>1140</v>
      </c>
      <c r="E1734" s="115" t="s">
        <v>1141</v>
      </c>
    </row>
    <row r="1735" spans="2:5" x14ac:dyDescent="0.25">
      <c r="B1735" s="115" t="s">
        <v>1139</v>
      </c>
      <c r="D1735" s="115" t="s">
        <v>1140</v>
      </c>
      <c r="E1735" s="115" t="s">
        <v>1141</v>
      </c>
    </row>
    <row r="1736" spans="2:5" x14ac:dyDescent="0.25">
      <c r="B1736" s="115" t="s">
        <v>1139</v>
      </c>
      <c r="D1736" s="115" t="s">
        <v>1140</v>
      </c>
      <c r="E1736" s="115" t="s">
        <v>1141</v>
      </c>
    </row>
    <row r="1737" spans="2:5" x14ac:dyDescent="0.25">
      <c r="B1737" s="115" t="s">
        <v>1139</v>
      </c>
      <c r="D1737" s="115" t="s">
        <v>1140</v>
      </c>
      <c r="E1737" s="115" t="s">
        <v>1141</v>
      </c>
    </row>
    <row r="1738" spans="2:5" x14ac:dyDescent="0.25">
      <c r="B1738" s="115" t="s">
        <v>1139</v>
      </c>
      <c r="D1738" s="115" t="s">
        <v>1140</v>
      </c>
      <c r="E1738" s="115" t="s">
        <v>1141</v>
      </c>
    </row>
    <row r="1739" spans="2:5" x14ac:dyDescent="0.25">
      <c r="B1739" s="115" t="s">
        <v>1139</v>
      </c>
      <c r="D1739" s="115" t="s">
        <v>1140</v>
      </c>
      <c r="E1739" s="115" t="s">
        <v>1141</v>
      </c>
    </row>
    <row r="1740" spans="2:5" x14ac:dyDescent="0.25">
      <c r="B1740" s="115" t="s">
        <v>1139</v>
      </c>
      <c r="D1740" s="115" t="s">
        <v>1140</v>
      </c>
      <c r="E1740" s="115" t="s">
        <v>1141</v>
      </c>
    </row>
    <row r="1741" spans="2:5" x14ac:dyDescent="0.25">
      <c r="B1741" s="115" t="s">
        <v>1139</v>
      </c>
      <c r="D1741" s="115" t="s">
        <v>1140</v>
      </c>
      <c r="E1741" s="115" t="s">
        <v>1141</v>
      </c>
    </row>
    <row r="1742" spans="2:5" x14ac:dyDescent="0.25">
      <c r="B1742" s="115" t="s">
        <v>1139</v>
      </c>
      <c r="D1742" s="115" t="s">
        <v>1140</v>
      </c>
      <c r="E1742" s="115" t="s">
        <v>1141</v>
      </c>
    </row>
    <row r="1743" spans="2:5" x14ac:dyDescent="0.25">
      <c r="B1743" s="115" t="s">
        <v>1139</v>
      </c>
      <c r="D1743" s="115" t="s">
        <v>1140</v>
      </c>
      <c r="E1743" s="115" t="s">
        <v>1141</v>
      </c>
    </row>
    <row r="1744" spans="2:5" x14ac:dyDescent="0.25">
      <c r="B1744" s="115" t="s">
        <v>1139</v>
      </c>
      <c r="D1744" s="115" t="s">
        <v>1140</v>
      </c>
      <c r="E1744" s="115" t="s">
        <v>1141</v>
      </c>
    </row>
    <row r="1745" spans="2:5" x14ac:dyDescent="0.25">
      <c r="B1745" s="115" t="s">
        <v>1139</v>
      </c>
      <c r="D1745" s="115" t="s">
        <v>1140</v>
      </c>
      <c r="E1745" s="115" t="s">
        <v>1141</v>
      </c>
    </row>
    <row r="1746" spans="2:5" x14ac:dyDescent="0.25">
      <c r="B1746" s="115" t="s">
        <v>1139</v>
      </c>
      <c r="D1746" s="115" t="s">
        <v>1140</v>
      </c>
      <c r="E1746" s="115" t="s">
        <v>1141</v>
      </c>
    </row>
    <row r="1747" spans="2:5" x14ac:dyDescent="0.25">
      <c r="B1747" s="115" t="s">
        <v>1139</v>
      </c>
      <c r="D1747" s="115" t="s">
        <v>1140</v>
      </c>
      <c r="E1747" s="115" t="s">
        <v>1141</v>
      </c>
    </row>
    <row r="1748" spans="2:5" x14ac:dyDescent="0.25">
      <c r="B1748" s="115" t="s">
        <v>1139</v>
      </c>
      <c r="D1748" s="115" t="s">
        <v>1140</v>
      </c>
      <c r="E1748" s="115" t="s">
        <v>1141</v>
      </c>
    </row>
    <row r="1749" spans="2:5" x14ac:dyDescent="0.25">
      <c r="B1749" s="115" t="s">
        <v>1139</v>
      </c>
      <c r="D1749" s="115" t="s">
        <v>1140</v>
      </c>
      <c r="E1749" s="115" t="s">
        <v>1141</v>
      </c>
    </row>
    <row r="1750" spans="2:5" x14ac:dyDescent="0.25">
      <c r="B1750" s="115" t="s">
        <v>1139</v>
      </c>
      <c r="D1750" s="115" t="s">
        <v>1140</v>
      </c>
      <c r="E1750" s="115" t="s">
        <v>1141</v>
      </c>
    </row>
    <row r="1751" spans="2:5" x14ac:dyDescent="0.25">
      <c r="B1751" s="115" t="s">
        <v>1139</v>
      </c>
      <c r="D1751" s="115" t="s">
        <v>1140</v>
      </c>
      <c r="E1751" s="115" t="s">
        <v>1141</v>
      </c>
    </row>
    <row r="1752" spans="2:5" x14ac:dyDescent="0.25">
      <c r="B1752" s="115" t="s">
        <v>1139</v>
      </c>
      <c r="D1752" s="115" t="s">
        <v>1140</v>
      </c>
      <c r="E1752" s="115" t="s">
        <v>1141</v>
      </c>
    </row>
    <row r="1753" spans="2:5" x14ac:dyDescent="0.25">
      <c r="B1753" s="115" t="s">
        <v>1139</v>
      </c>
      <c r="D1753" s="115" t="s">
        <v>1140</v>
      </c>
      <c r="E1753" s="115" t="s">
        <v>1141</v>
      </c>
    </row>
    <row r="1754" spans="2:5" x14ac:dyDescent="0.25">
      <c r="B1754" s="115" t="s">
        <v>1139</v>
      </c>
      <c r="D1754" s="115" t="s">
        <v>1140</v>
      </c>
      <c r="E1754" s="115" t="s">
        <v>1141</v>
      </c>
    </row>
    <row r="1755" spans="2:5" x14ac:dyDescent="0.25">
      <c r="B1755" s="115" t="s">
        <v>1139</v>
      </c>
      <c r="D1755" s="115" t="s">
        <v>1140</v>
      </c>
      <c r="E1755" s="115" t="s">
        <v>1141</v>
      </c>
    </row>
    <row r="1756" spans="2:5" x14ac:dyDescent="0.25">
      <c r="B1756" s="115" t="s">
        <v>1139</v>
      </c>
      <c r="D1756" s="115" t="s">
        <v>1140</v>
      </c>
      <c r="E1756" s="115" t="s">
        <v>1141</v>
      </c>
    </row>
    <row r="1757" spans="2:5" x14ac:dyDescent="0.25">
      <c r="B1757" s="115" t="s">
        <v>1139</v>
      </c>
      <c r="D1757" s="115" t="s">
        <v>1140</v>
      </c>
      <c r="E1757" s="115" t="s">
        <v>1141</v>
      </c>
    </row>
    <row r="1758" spans="2:5" x14ac:dyDescent="0.25">
      <c r="B1758" s="115" t="s">
        <v>1139</v>
      </c>
      <c r="D1758" s="115" t="s">
        <v>1140</v>
      </c>
      <c r="E1758" s="115" t="s">
        <v>1141</v>
      </c>
    </row>
    <row r="1759" spans="2:5" x14ac:dyDescent="0.25">
      <c r="B1759" s="115" t="s">
        <v>1139</v>
      </c>
      <c r="D1759" s="115" t="s">
        <v>1140</v>
      </c>
      <c r="E1759" s="115" t="s">
        <v>1141</v>
      </c>
    </row>
    <row r="1760" spans="2:5" x14ac:dyDescent="0.25">
      <c r="B1760" s="115" t="s">
        <v>1139</v>
      </c>
      <c r="D1760" s="115" t="s">
        <v>1140</v>
      </c>
      <c r="E1760" s="115" t="s">
        <v>1141</v>
      </c>
    </row>
    <row r="1761" spans="2:5" x14ac:dyDescent="0.25">
      <c r="B1761" s="115" t="s">
        <v>1139</v>
      </c>
      <c r="D1761" s="115" t="s">
        <v>1140</v>
      </c>
      <c r="E1761" s="115" t="s">
        <v>1141</v>
      </c>
    </row>
    <row r="1762" spans="2:5" x14ac:dyDescent="0.25">
      <c r="B1762" s="115" t="s">
        <v>1139</v>
      </c>
      <c r="D1762" s="115" t="s">
        <v>1140</v>
      </c>
      <c r="E1762" s="115" t="s">
        <v>1141</v>
      </c>
    </row>
    <row r="1763" spans="2:5" x14ac:dyDescent="0.25">
      <c r="B1763" s="115" t="s">
        <v>1139</v>
      </c>
      <c r="D1763" s="115" t="s">
        <v>1140</v>
      </c>
      <c r="E1763" s="115" t="s">
        <v>1141</v>
      </c>
    </row>
    <row r="1764" spans="2:5" x14ac:dyDescent="0.25">
      <c r="B1764" s="115" t="s">
        <v>1139</v>
      </c>
      <c r="D1764" s="115" t="s">
        <v>1140</v>
      </c>
      <c r="E1764" s="115" t="s">
        <v>1141</v>
      </c>
    </row>
    <row r="1765" spans="2:5" x14ac:dyDescent="0.25">
      <c r="B1765" s="115" t="s">
        <v>1139</v>
      </c>
      <c r="D1765" s="115" t="s">
        <v>1140</v>
      </c>
      <c r="E1765" s="115" t="s">
        <v>1141</v>
      </c>
    </row>
    <row r="1766" spans="2:5" x14ac:dyDescent="0.25">
      <c r="B1766" s="115" t="s">
        <v>1139</v>
      </c>
      <c r="D1766" s="115" t="s">
        <v>1140</v>
      </c>
      <c r="E1766" s="115" t="s">
        <v>1141</v>
      </c>
    </row>
    <row r="1767" spans="2:5" x14ac:dyDescent="0.25">
      <c r="B1767" s="115" t="s">
        <v>1139</v>
      </c>
      <c r="D1767" s="115" t="s">
        <v>1140</v>
      </c>
      <c r="E1767" s="115" t="s">
        <v>1141</v>
      </c>
    </row>
    <row r="1768" spans="2:5" x14ac:dyDescent="0.25">
      <c r="B1768" s="115" t="s">
        <v>1139</v>
      </c>
      <c r="D1768" s="115" t="s">
        <v>1140</v>
      </c>
      <c r="E1768" s="115" t="s">
        <v>1141</v>
      </c>
    </row>
    <row r="1769" spans="2:5" x14ac:dyDescent="0.25">
      <c r="B1769" s="115" t="s">
        <v>1139</v>
      </c>
      <c r="D1769" s="115" t="s">
        <v>1140</v>
      </c>
      <c r="E1769" s="115" t="s">
        <v>1141</v>
      </c>
    </row>
    <row r="1770" spans="2:5" x14ac:dyDescent="0.25">
      <c r="B1770" s="115" t="s">
        <v>1139</v>
      </c>
      <c r="D1770" s="115" t="s">
        <v>1140</v>
      </c>
      <c r="E1770" s="115" t="s">
        <v>1141</v>
      </c>
    </row>
    <row r="1771" spans="2:5" x14ac:dyDescent="0.25">
      <c r="B1771" s="115" t="s">
        <v>1139</v>
      </c>
      <c r="D1771" s="115" t="s">
        <v>1140</v>
      </c>
      <c r="E1771" s="115" t="s">
        <v>1141</v>
      </c>
    </row>
    <row r="1772" spans="2:5" x14ac:dyDescent="0.25">
      <c r="B1772" s="115" t="s">
        <v>1139</v>
      </c>
      <c r="D1772" s="115" t="s">
        <v>1140</v>
      </c>
      <c r="E1772" s="115" t="s">
        <v>1141</v>
      </c>
    </row>
    <row r="1773" spans="2:5" x14ac:dyDescent="0.25">
      <c r="B1773" s="115" t="s">
        <v>1139</v>
      </c>
      <c r="D1773" s="115" t="s">
        <v>1140</v>
      </c>
      <c r="E1773" s="115" t="s">
        <v>1141</v>
      </c>
    </row>
    <row r="1774" spans="2:5" x14ac:dyDescent="0.25">
      <c r="B1774" s="115" t="s">
        <v>1139</v>
      </c>
      <c r="D1774" s="115" t="s">
        <v>1140</v>
      </c>
      <c r="E1774" s="115" t="s">
        <v>1141</v>
      </c>
    </row>
    <row r="1775" spans="2:5" x14ac:dyDescent="0.25">
      <c r="B1775" s="115" t="s">
        <v>1139</v>
      </c>
      <c r="D1775" s="115" t="s">
        <v>1140</v>
      </c>
      <c r="E1775" s="115" t="s">
        <v>1141</v>
      </c>
    </row>
    <row r="1776" spans="2:5" x14ac:dyDescent="0.25">
      <c r="B1776" s="115" t="s">
        <v>1139</v>
      </c>
      <c r="D1776" s="115" t="s">
        <v>1140</v>
      </c>
      <c r="E1776" s="115" t="s">
        <v>1141</v>
      </c>
    </row>
    <row r="1777" spans="2:5" x14ac:dyDescent="0.25">
      <c r="B1777" s="115" t="s">
        <v>1139</v>
      </c>
      <c r="D1777" s="115" t="s">
        <v>1140</v>
      </c>
      <c r="E1777" s="115" t="s">
        <v>1141</v>
      </c>
    </row>
    <row r="1778" spans="2:5" x14ac:dyDescent="0.25">
      <c r="B1778" s="115" t="s">
        <v>1139</v>
      </c>
      <c r="D1778" s="115" t="s">
        <v>1140</v>
      </c>
      <c r="E1778" s="115" t="s">
        <v>1141</v>
      </c>
    </row>
    <row r="1779" spans="2:5" x14ac:dyDescent="0.25">
      <c r="B1779" s="115" t="s">
        <v>1139</v>
      </c>
      <c r="D1779" s="115" t="s">
        <v>1140</v>
      </c>
      <c r="E1779" s="115" t="s">
        <v>1141</v>
      </c>
    </row>
    <row r="1780" spans="2:5" x14ac:dyDescent="0.25">
      <c r="B1780" s="115" t="s">
        <v>1139</v>
      </c>
      <c r="D1780" s="115" t="s">
        <v>1140</v>
      </c>
      <c r="E1780" s="115" t="s">
        <v>1141</v>
      </c>
    </row>
    <row r="1781" spans="2:5" x14ac:dyDescent="0.25">
      <c r="B1781" s="115" t="s">
        <v>1139</v>
      </c>
      <c r="D1781" s="115" t="s">
        <v>1140</v>
      </c>
      <c r="E1781" s="115" t="s">
        <v>1141</v>
      </c>
    </row>
    <row r="1782" spans="2:5" x14ac:dyDescent="0.25">
      <c r="B1782" s="115" t="s">
        <v>1139</v>
      </c>
      <c r="D1782" s="115" t="s">
        <v>1140</v>
      </c>
      <c r="E1782" s="115" t="s">
        <v>1141</v>
      </c>
    </row>
    <row r="1783" spans="2:5" x14ac:dyDescent="0.25">
      <c r="B1783" s="115" t="s">
        <v>1139</v>
      </c>
      <c r="D1783" s="115" t="s">
        <v>1140</v>
      </c>
      <c r="E1783" s="115" t="s">
        <v>1141</v>
      </c>
    </row>
    <row r="1784" spans="2:5" x14ac:dyDescent="0.25">
      <c r="B1784" s="115" t="s">
        <v>1139</v>
      </c>
      <c r="D1784" s="115" t="s">
        <v>1140</v>
      </c>
      <c r="E1784" s="115" t="s">
        <v>1141</v>
      </c>
    </row>
    <row r="1785" spans="2:5" x14ac:dyDescent="0.25">
      <c r="B1785" s="115" t="s">
        <v>1139</v>
      </c>
      <c r="D1785" s="115" t="s">
        <v>1140</v>
      </c>
      <c r="E1785" s="115" t="s">
        <v>1141</v>
      </c>
    </row>
    <row r="1786" spans="2:5" x14ac:dyDescent="0.25">
      <c r="B1786" s="115" t="s">
        <v>1139</v>
      </c>
      <c r="D1786" s="115" t="s">
        <v>1140</v>
      </c>
      <c r="E1786" s="115" t="s">
        <v>1141</v>
      </c>
    </row>
    <row r="1787" spans="2:5" x14ac:dyDescent="0.25">
      <c r="B1787" s="115" t="s">
        <v>1139</v>
      </c>
      <c r="D1787" s="115" t="s">
        <v>1140</v>
      </c>
      <c r="E1787" s="115" t="s">
        <v>1141</v>
      </c>
    </row>
    <row r="1788" spans="2:5" x14ac:dyDescent="0.25">
      <c r="B1788" s="115" t="s">
        <v>1139</v>
      </c>
      <c r="D1788" s="115" t="s">
        <v>1140</v>
      </c>
      <c r="E1788" s="115" t="s">
        <v>1141</v>
      </c>
    </row>
    <row r="1789" spans="2:5" x14ac:dyDescent="0.25">
      <c r="B1789" s="115" t="s">
        <v>1139</v>
      </c>
      <c r="D1789" s="115" t="s">
        <v>1140</v>
      </c>
      <c r="E1789" s="115" t="s">
        <v>1141</v>
      </c>
    </row>
    <row r="1790" spans="2:5" x14ac:dyDescent="0.25">
      <c r="B1790" s="115" t="s">
        <v>1139</v>
      </c>
      <c r="D1790" s="115" t="s">
        <v>1140</v>
      </c>
      <c r="E1790" s="115" t="s">
        <v>1141</v>
      </c>
    </row>
    <row r="1791" spans="2:5" x14ac:dyDescent="0.25">
      <c r="B1791" s="115" t="s">
        <v>1139</v>
      </c>
      <c r="D1791" s="115" t="s">
        <v>1140</v>
      </c>
      <c r="E1791" s="115" t="s">
        <v>1141</v>
      </c>
    </row>
    <row r="1792" spans="2:5" x14ac:dyDescent="0.25">
      <c r="B1792" s="115" t="s">
        <v>1139</v>
      </c>
      <c r="D1792" s="115" t="s">
        <v>1140</v>
      </c>
      <c r="E1792" s="115" t="s">
        <v>1141</v>
      </c>
    </row>
    <row r="1793" spans="1:5" x14ac:dyDescent="0.25">
      <c r="B1793" s="115" t="s">
        <v>1139</v>
      </c>
      <c r="D1793" s="115" t="s">
        <v>1140</v>
      </c>
      <c r="E1793" s="115" t="s">
        <v>1141</v>
      </c>
    </row>
    <row r="1794" spans="1:5" x14ac:dyDescent="0.25">
      <c r="B1794" s="115" t="s">
        <v>1139</v>
      </c>
      <c r="D1794" s="115" t="s">
        <v>1140</v>
      </c>
      <c r="E1794" s="115" t="s">
        <v>1141</v>
      </c>
    </row>
    <row r="1795" spans="1:5" x14ac:dyDescent="0.25">
      <c r="B1795" s="115" t="s">
        <v>1139</v>
      </c>
      <c r="D1795" s="115" t="s">
        <v>1140</v>
      </c>
      <c r="E1795" s="115" t="s">
        <v>1141</v>
      </c>
    </row>
    <row r="1796" spans="1:5" x14ac:dyDescent="0.25">
      <c r="B1796" s="115" t="s">
        <v>1139</v>
      </c>
      <c r="D1796" s="115" t="s">
        <v>1140</v>
      </c>
      <c r="E1796" s="115" t="s">
        <v>1141</v>
      </c>
    </row>
    <row r="1797" spans="1:5" x14ac:dyDescent="0.25">
      <c r="B1797" s="115" t="s">
        <v>1139</v>
      </c>
      <c r="D1797" s="115" t="s">
        <v>1140</v>
      </c>
      <c r="E1797" s="115" t="s">
        <v>1141</v>
      </c>
    </row>
    <row r="1798" spans="1:5" x14ac:dyDescent="0.25">
      <c r="B1798" s="115" t="s">
        <v>1139</v>
      </c>
      <c r="D1798" s="115" t="s">
        <v>1140</v>
      </c>
      <c r="E1798" s="115" t="s">
        <v>1141</v>
      </c>
    </row>
    <row r="1799" spans="1:5" x14ac:dyDescent="0.25">
      <c r="B1799" s="115" t="s">
        <v>1139</v>
      </c>
      <c r="D1799" s="115" t="s">
        <v>1140</v>
      </c>
      <c r="E1799" s="115" t="s">
        <v>1141</v>
      </c>
    </row>
    <row r="1800" spans="1:5" x14ac:dyDescent="0.25">
      <c r="B1800" s="115" t="s">
        <v>1139</v>
      </c>
      <c r="D1800" s="115" t="s">
        <v>3341</v>
      </c>
      <c r="E1800" s="115" t="s">
        <v>3342</v>
      </c>
    </row>
    <row r="1801" spans="1:5" x14ac:dyDescent="0.25">
      <c r="B1801" s="115" t="s">
        <v>3303</v>
      </c>
      <c r="D1801" s="115" t="s">
        <v>3343</v>
      </c>
      <c r="E1801" s="115" t="s">
        <v>3344</v>
      </c>
    </row>
    <row r="1802" spans="1:5" x14ac:dyDescent="0.25">
      <c r="B1802" s="115" t="s">
        <v>1139</v>
      </c>
      <c r="D1802" s="115" t="s">
        <v>1140</v>
      </c>
      <c r="E1802" s="115" t="s">
        <v>3345</v>
      </c>
    </row>
    <row r="1803" spans="1:5" x14ac:dyDescent="0.25">
      <c r="B1803" s="115" t="s">
        <v>3346</v>
      </c>
      <c r="C1803" s="115" t="s">
        <v>1138</v>
      </c>
      <c r="D1803" s="115" t="s">
        <v>3347</v>
      </c>
      <c r="E1803" s="115" t="s">
        <v>3348</v>
      </c>
    </row>
    <row r="1804" spans="1:5" x14ac:dyDescent="0.25">
      <c r="A1804" s="115" t="s">
        <v>1138</v>
      </c>
      <c r="B1804" s="115" t="s">
        <v>3349</v>
      </c>
      <c r="D1804" s="115" t="s">
        <v>1561</v>
      </c>
      <c r="E1804" s="115" t="s">
        <v>1141</v>
      </c>
    </row>
    <row r="1805" spans="1:5" x14ac:dyDescent="0.25">
      <c r="A1805" s="115" t="s">
        <v>1138</v>
      </c>
      <c r="B1805" s="115" t="s">
        <v>3350</v>
      </c>
      <c r="D1805" s="115" t="s">
        <v>1140</v>
      </c>
      <c r="E1805" s="115" t="s">
        <v>3351</v>
      </c>
    </row>
    <row r="1806" spans="1:5" x14ac:dyDescent="0.25">
      <c r="B1806" s="115" t="s">
        <v>3352</v>
      </c>
      <c r="D1806" s="115" t="s">
        <v>1140</v>
      </c>
      <c r="E1806" s="115" t="s">
        <v>3353</v>
      </c>
    </row>
    <row r="1807" spans="1:5" x14ac:dyDescent="0.25">
      <c r="B1807" s="115" t="s">
        <v>1547</v>
      </c>
      <c r="D1807" s="115" t="s">
        <v>3354</v>
      </c>
      <c r="E1807" s="115" t="s">
        <v>3355</v>
      </c>
    </row>
    <row r="1808" spans="1:5" x14ac:dyDescent="0.25">
      <c r="B1808" s="115" t="s">
        <v>1298</v>
      </c>
      <c r="D1808" s="115" t="s">
        <v>3356</v>
      </c>
      <c r="E1808" s="115" t="s">
        <v>3357</v>
      </c>
    </row>
    <row r="1809" spans="1:5" x14ac:dyDescent="0.25">
      <c r="B1809" s="115" t="s">
        <v>3358</v>
      </c>
      <c r="D1809" s="115" t="s">
        <v>3359</v>
      </c>
      <c r="E1809" s="115" t="s">
        <v>3360</v>
      </c>
    </row>
    <row r="1810" spans="1:5" x14ac:dyDescent="0.25">
      <c r="A1810" s="115">
        <v>-1</v>
      </c>
      <c r="B1810" s="115" t="s">
        <v>3361</v>
      </c>
      <c r="D1810" s="115" t="s">
        <v>3362</v>
      </c>
      <c r="E1810" s="115" t="s">
        <v>3363</v>
      </c>
    </row>
    <row r="1811" spans="1:5" x14ac:dyDescent="0.25">
      <c r="B1811" s="115" t="s">
        <v>1906</v>
      </c>
      <c r="D1811" s="115" t="s">
        <v>3364</v>
      </c>
      <c r="E1811" s="115" t="s">
        <v>3365</v>
      </c>
    </row>
    <row r="1812" spans="1:5" x14ac:dyDescent="0.25">
      <c r="A1812" s="115" t="s">
        <v>1138</v>
      </c>
      <c r="B1812" s="115" t="s">
        <v>3366</v>
      </c>
      <c r="D1812" s="115" t="s">
        <v>3367</v>
      </c>
      <c r="E1812" s="115" t="s">
        <v>3368</v>
      </c>
    </row>
    <row r="1813" spans="1:5" x14ac:dyDescent="0.25">
      <c r="A1813" s="115" t="s">
        <v>1138</v>
      </c>
      <c r="B1813" s="115" t="s">
        <v>3369</v>
      </c>
      <c r="D1813" s="115" t="s">
        <v>2452</v>
      </c>
      <c r="E1813" s="115" t="s">
        <v>3370</v>
      </c>
    </row>
    <row r="1814" spans="1:5" x14ac:dyDescent="0.25">
      <c r="A1814" s="115" t="s">
        <v>1138</v>
      </c>
      <c r="B1814" s="115" t="s">
        <v>1671</v>
      </c>
      <c r="D1814" s="115" t="s">
        <v>3371</v>
      </c>
      <c r="E1814" s="115" t="s">
        <v>3372</v>
      </c>
    </row>
    <row r="1815" spans="1:5" x14ac:dyDescent="0.25">
      <c r="A1815" s="115">
        <v>-2</v>
      </c>
      <c r="B1815" s="115" t="s">
        <v>1520</v>
      </c>
      <c r="D1815" s="115" t="s">
        <v>3373</v>
      </c>
      <c r="E1815" s="115" t="s">
        <v>3374</v>
      </c>
    </row>
    <row r="1816" spans="1:5" x14ac:dyDescent="0.25">
      <c r="A1816" s="115">
        <v>13</v>
      </c>
      <c r="B1816" s="115" t="s">
        <v>3375</v>
      </c>
      <c r="D1816" s="115" t="s">
        <v>3376</v>
      </c>
      <c r="E1816" s="115" t="s">
        <v>3377</v>
      </c>
    </row>
    <row r="1817" spans="1:5" x14ac:dyDescent="0.25">
      <c r="B1817" s="115" t="s">
        <v>1139</v>
      </c>
      <c r="D1817" s="115" t="s">
        <v>3378</v>
      </c>
      <c r="E1817" s="115" t="s">
        <v>3379</v>
      </c>
    </row>
    <row r="1818" spans="1:5" x14ac:dyDescent="0.25">
      <c r="B1818" s="115" t="s">
        <v>3380</v>
      </c>
      <c r="D1818" s="115" t="s">
        <v>1234</v>
      </c>
      <c r="E1818" s="115" t="s">
        <v>3381</v>
      </c>
    </row>
    <row r="1819" spans="1:5" x14ac:dyDescent="0.25">
      <c r="B1819" s="115" t="s">
        <v>1139</v>
      </c>
      <c r="D1819" s="115" t="s">
        <v>1140</v>
      </c>
      <c r="E1819" s="115" t="s">
        <v>3382</v>
      </c>
    </row>
    <row r="1820" spans="1:5" x14ac:dyDescent="0.25">
      <c r="B1820" s="115" t="s">
        <v>3383</v>
      </c>
      <c r="C1820" s="115" t="s">
        <v>1138</v>
      </c>
      <c r="D1820" s="115" t="s">
        <v>3384</v>
      </c>
      <c r="E1820" s="115" t="s">
        <v>3385</v>
      </c>
    </row>
    <row r="1821" spans="1:5" x14ac:dyDescent="0.25">
      <c r="A1821" s="115">
        <v>1</v>
      </c>
      <c r="B1821" s="115" t="s">
        <v>3386</v>
      </c>
      <c r="D1821" s="115" t="s">
        <v>3387</v>
      </c>
      <c r="E1821" s="115" t="s">
        <v>1141</v>
      </c>
    </row>
    <row r="1822" spans="1:5" x14ac:dyDescent="0.25">
      <c r="A1822" s="115" t="s">
        <v>1138</v>
      </c>
      <c r="B1822" s="115" t="s">
        <v>1395</v>
      </c>
      <c r="D1822" s="115" t="s">
        <v>1140</v>
      </c>
      <c r="E1822" s="115" t="s">
        <v>3388</v>
      </c>
    </row>
    <row r="1823" spans="1:5" x14ac:dyDescent="0.25">
      <c r="B1823" s="115" t="s">
        <v>3389</v>
      </c>
      <c r="D1823" s="115" t="s">
        <v>1140</v>
      </c>
      <c r="E1823" s="115" t="s">
        <v>3390</v>
      </c>
    </row>
    <row r="1824" spans="1:5" x14ac:dyDescent="0.25">
      <c r="B1824" s="115" t="s">
        <v>3391</v>
      </c>
      <c r="D1824" s="115" t="s">
        <v>3392</v>
      </c>
      <c r="E1824" s="115" t="s">
        <v>3393</v>
      </c>
    </row>
    <row r="1825" spans="1:5" x14ac:dyDescent="0.25">
      <c r="B1825" s="115" t="s">
        <v>1550</v>
      </c>
      <c r="D1825" s="115" t="s">
        <v>3394</v>
      </c>
      <c r="E1825" s="115" t="s">
        <v>3395</v>
      </c>
    </row>
    <row r="1826" spans="1:5" x14ac:dyDescent="0.25">
      <c r="A1826" s="115" t="s">
        <v>1138</v>
      </c>
      <c r="B1826" s="115" t="s">
        <v>3396</v>
      </c>
      <c r="D1826" s="115" t="s">
        <v>3397</v>
      </c>
      <c r="E1826" s="115" t="s">
        <v>3398</v>
      </c>
    </row>
    <row r="1827" spans="1:5" x14ac:dyDescent="0.25">
      <c r="A1827" s="115">
        <v>-3</v>
      </c>
      <c r="B1827" s="115" t="s">
        <v>3399</v>
      </c>
      <c r="D1827" s="115" t="s">
        <v>3400</v>
      </c>
      <c r="E1827" s="115" t="s">
        <v>3401</v>
      </c>
    </row>
    <row r="1828" spans="1:5" x14ac:dyDescent="0.25">
      <c r="B1828" s="115" t="s">
        <v>1364</v>
      </c>
      <c r="D1828" s="115" t="s">
        <v>3402</v>
      </c>
      <c r="E1828" s="115" t="s">
        <v>3403</v>
      </c>
    </row>
    <row r="1829" spans="1:5" x14ac:dyDescent="0.25">
      <c r="A1829" s="115" t="s">
        <v>1138</v>
      </c>
      <c r="B1829" s="115" t="s">
        <v>3404</v>
      </c>
      <c r="C1829" s="115" t="s">
        <v>1138</v>
      </c>
      <c r="D1829" s="115" t="s">
        <v>3405</v>
      </c>
      <c r="E1829" s="115" t="s">
        <v>3406</v>
      </c>
    </row>
    <row r="1830" spans="1:5" x14ac:dyDescent="0.25">
      <c r="A1830" s="115">
        <v>-4</v>
      </c>
      <c r="B1830" s="115" t="s">
        <v>3407</v>
      </c>
      <c r="D1830" s="115" t="s">
        <v>3408</v>
      </c>
      <c r="E1830" s="115" t="s">
        <v>3409</v>
      </c>
    </row>
    <row r="1831" spans="1:5" x14ac:dyDescent="0.25">
      <c r="A1831" s="115" t="s">
        <v>1138</v>
      </c>
      <c r="B1831" s="115" t="s">
        <v>1183</v>
      </c>
      <c r="D1831" s="115" t="s">
        <v>3410</v>
      </c>
      <c r="E1831" s="115" t="s">
        <v>3411</v>
      </c>
    </row>
    <row r="1832" spans="1:5" x14ac:dyDescent="0.25">
      <c r="B1832" s="115" t="s">
        <v>1428</v>
      </c>
      <c r="D1832" s="115" t="s">
        <v>3412</v>
      </c>
      <c r="E1832" s="115" t="s">
        <v>3413</v>
      </c>
    </row>
    <row r="1833" spans="1:5" x14ac:dyDescent="0.25">
      <c r="A1833" s="115">
        <v>-1</v>
      </c>
      <c r="B1833" s="115" t="s">
        <v>1419</v>
      </c>
      <c r="D1833" s="115" t="s">
        <v>3414</v>
      </c>
      <c r="E1833" s="115" t="s">
        <v>3415</v>
      </c>
    </row>
    <row r="1834" spans="1:5" x14ac:dyDescent="0.25">
      <c r="B1834" s="115" t="s">
        <v>1139</v>
      </c>
      <c r="D1834" s="115" t="s">
        <v>3416</v>
      </c>
      <c r="E1834" s="115" t="s">
        <v>1702</v>
      </c>
    </row>
    <row r="1835" spans="1:5" x14ac:dyDescent="0.25">
      <c r="B1835" s="115" t="s">
        <v>1139</v>
      </c>
      <c r="D1835" s="115" t="s">
        <v>1140</v>
      </c>
      <c r="E1835" s="115" t="s">
        <v>1141</v>
      </c>
    </row>
    <row r="1836" spans="1:5" x14ac:dyDescent="0.25">
      <c r="B1836" s="115" t="s">
        <v>1139</v>
      </c>
      <c r="D1836" s="115" t="s">
        <v>1140</v>
      </c>
      <c r="E1836" s="115" t="s">
        <v>1141</v>
      </c>
    </row>
    <row r="1837" spans="1:5" x14ac:dyDescent="0.25">
      <c r="B1837" s="115" t="s">
        <v>1139</v>
      </c>
      <c r="D1837" s="115" t="s">
        <v>1140</v>
      </c>
      <c r="E1837" s="115" t="s">
        <v>1141</v>
      </c>
    </row>
    <row r="1838" spans="1:5" x14ac:dyDescent="0.25">
      <c r="B1838" s="115" t="s">
        <v>1139</v>
      </c>
      <c r="D1838" s="115" t="s">
        <v>1140</v>
      </c>
      <c r="E1838" s="115" t="s">
        <v>1141</v>
      </c>
    </row>
    <row r="1839" spans="1:5" x14ac:dyDescent="0.25">
      <c r="B1839" s="115" t="s">
        <v>1139</v>
      </c>
      <c r="D1839" s="115" t="s">
        <v>1140</v>
      </c>
      <c r="E1839" s="115" t="s">
        <v>1141</v>
      </c>
    </row>
    <row r="1840" spans="1:5" x14ac:dyDescent="0.25">
      <c r="B1840" s="115" t="s">
        <v>1139</v>
      </c>
      <c r="D1840" s="115" t="s">
        <v>1140</v>
      </c>
      <c r="E1840" s="115" t="s">
        <v>1141</v>
      </c>
    </row>
    <row r="1841" spans="1:5" x14ac:dyDescent="0.25">
      <c r="B1841" s="115" t="s">
        <v>1139</v>
      </c>
      <c r="D1841" s="115" t="s">
        <v>1140</v>
      </c>
      <c r="E1841" s="115" t="s">
        <v>1141</v>
      </c>
    </row>
    <row r="1842" spans="1:5" x14ac:dyDescent="0.25">
      <c r="B1842" s="115" t="s">
        <v>1139</v>
      </c>
      <c r="D1842" s="115" t="s">
        <v>1140</v>
      </c>
      <c r="E1842" s="115" t="s">
        <v>1141</v>
      </c>
    </row>
    <row r="1843" spans="1:5" x14ac:dyDescent="0.25">
      <c r="B1843" s="115" t="s">
        <v>1139</v>
      </c>
      <c r="D1843" s="115" t="s">
        <v>1140</v>
      </c>
      <c r="E1843" s="115" t="s">
        <v>1141</v>
      </c>
    </row>
    <row r="1844" spans="1:5" x14ac:dyDescent="0.25">
      <c r="B1844" s="115" t="s">
        <v>1139</v>
      </c>
      <c r="D1844" s="115" t="s">
        <v>1140</v>
      </c>
      <c r="E1844" s="115" t="s">
        <v>1141</v>
      </c>
    </row>
    <row r="1845" spans="1:5" x14ac:dyDescent="0.25">
      <c r="B1845" s="115" t="s">
        <v>1139</v>
      </c>
      <c r="D1845" s="115" t="s">
        <v>1140</v>
      </c>
      <c r="E1845" s="115" t="s">
        <v>1141</v>
      </c>
    </row>
    <row r="1846" spans="1:5" x14ac:dyDescent="0.25">
      <c r="B1846" s="115" t="s">
        <v>1139</v>
      </c>
      <c r="D1846" s="115" t="s">
        <v>1140</v>
      </c>
      <c r="E1846" s="115" t="s">
        <v>1141</v>
      </c>
    </row>
    <row r="1847" spans="1:5" x14ac:dyDescent="0.25">
      <c r="B1847" s="115" t="s">
        <v>1139</v>
      </c>
      <c r="D1847" s="115" t="s">
        <v>1140</v>
      </c>
      <c r="E1847" s="115" t="s">
        <v>1141</v>
      </c>
    </row>
    <row r="1848" spans="1:5" x14ac:dyDescent="0.25">
      <c r="B1848" s="115" t="s">
        <v>1139</v>
      </c>
      <c r="D1848" s="115" t="s">
        <v>1140</v>
      </c>
      <c r="E1848" s="115" t="s">
        <v>1141</v>
      </c>
    </row>
    <row r="1849" spans="1:5" x14ac:dyDescent="0.25">
      <c r="B1849" s="115" t="s">
        <v>1139</v>
      </c>
      <c r="D1849" s="115" t="s">
        <v>1140</v>
      </c>
      <c r="E1849" s="115" t="s">
        <v>1141</v>
      </c>
    </row>
    <row r="1850" spans="1:5" x14ac:dyDescent="0.25">
      <c r="B1850" s="115" t="s">
        <v>1139</v>
      </c>
      <c r="D1850" s="115" t="s">
        <v>1140</v>
      </c>
      <c r="E1850" s="115" t="s">
        <v>1141</v>
      </c>
    </row>
    <row r="1851" spans="1:5" x14ac:dyDescent="0.25">
      <c r="B1851" s="115" t="s">
        <v>1139</v>
      </c>
      <c r="D1851" s="115" t="s">
        <v>1140</v>
      </c>
      <c r="E1851" s="115" t="s">
        <v>3417</v>
      </c>
    </row>
    <row r="1852" spans="1:5" x14ac:dyDescent="0.25">
      <c r="A1852" s="115">
        <v>2</v>
      </c>
      <c r="B1852" s="115" t="s">
        <v>3418</v>
      </c>
      <c r="D1852" s="115" t="s">
        <v>3419</v>
      </c>
      <c r="E1852" s="115" t="s">
        <v>3420</v>
      </c>
    </row>
    <row r="1853" spans="1:5" x14ac:dyDescent="0.25">
      <c r="B1853" s="115" t="s">
        <v>3421</v>
      </c>
      <c r="D1853" s="115" t="s">
        <v>1140</v>
      </c>
      <c r="E1853" s="115" t="s">
        <v>1141</v>
      </c>
    </row>
    <row r="1854" spans="1:5" x14ac:dyDescent="0.25">
      <c r="A1854" s="115">
        <v>-2</v>
      </c>
      <c r="B1854" s="115" t="s">
        <v>3422</v>
      </c>
      <c r="D1854" s="115" t="s">
        <v>3423</v>
      </c>
      <c r="E1854" s="115" t="s">
        <v>3424</v>
      </c>
    </row>
    <row r="1855" spans="1:5" x14ac:dyDescent="0.25">
      <c r="B1855" s="115" t="s">
        <v>1139</v>
      </c>
      <c r="D1855" s="115" t="s">
        <v>3425</v>
      </c>
      <c r="E1855" s="115" t="s">
        <v>3426</v>
      </c>
    </row>
    <row r="1856" spans="1:5" x14ac:dyDescent="0.25">
      <c r="B1856" s="115" t="s">
        <v>1139</v>
      </c>
      <c r="D1856" s="115" t="s">
        <v>3427</v>
      </c>
      <c r="E1856" s="115" t="s">
        <v>1141</v>
      </c>
    </row>
    <row r="1857" spans="1:5" x14ac:dyDescent="0.25">
      <c r="B1857" s="115" t="s">
        <v>3428</v>
      </c>
      <c r="C1857" s="115" t="s">
        <v>1138</v>
      </c>
      <c r="D1857" s="115" t="s">
        <v>3429</v>
      </c>
      <c r="E1857" s="115" t="s">
        <v>3430</v>
      </c>
    </row>
    <row r="1858" spans="1:5" x14ac:dyDescent="0.25">
      <c r="A1858" s="115" t="s">
        <v>1138</v>
      </c>
      <c r="B1858" s="115" t="s">
        <v>3431</v>
      </c>
      <c r="D1858" s="115" t="s">
        <v>3432</v>
      </c>
      <c r="E1858" s="115" t="s">
        <v>3433</v>
      </c>
    </row>
    <row r="1859" spans="1:5" x14ac:dyDescent="0.25">
      <c r="B1859" s="115" t="s">
        <v>3434</v>
      </c>
      <c r="D1859" s="115" t="s">
        <v>3435</v>
      </c>
      <c r="E1859" s="115" t="s">
        <v>3436</v>
      </c>
    </row>
    <row r="1860" spans="1:5" x14ac:dyDescent="0.25">
      <c r="A1860" s="115">
        <v>-2</v>
      </c>
      <c r="B1860" s="115" t="s">
        <v>3437</v>
      </c>
      <c r="C1860" s="115" t="s">
        <v>1138</v>
      </c>
      <c r="D1860" s="115" t="s">
        <v>3438</v>
      </c>
      <c r="E1860" s="115" t="s">
        <v>3439</v>
      </c>
    </row>
    <row r="1861" spans="1:5" x14ac:dyDescent="0.25">
      <c r="A1861" s="115" t="s">
        <v>1138</v>
      </c>
      <c r="B1861" s="115" t="s">
        <v>3440</v>
      </c>
      <c r="D1861" s="115" t="s">
        <v>3441</v>
      </c>
      <c r="E1861" s="115" t="s">
        <v>3442</v>
      </c>
    </row>
    <row r="1862" spans="1:5" x14ac:dyDescent="0.25">
      <c r="B1862" s="115" t="s">
        <v>3443</v>
      </c>
      <c r="D1862" s="115" t="s">
        <v>3444</v>
      </c>
      <c r="E1862" s="115" t="s">
        <v>3445</v>
      </c>
    </row>
    <row r="1863" spans="1:5" x14ac:dyDescent="0.25">
      <c r="B1863" s="115" t="s">
        <v>3446</v>
      </c>
      <c r="C1863" s="115" t="s">
        <v>1138</v>
      </c>
      <c r="D1863" s="115" t="s">
        <v>3447</v>
      </c>
      <c r="E1863" s="115" t="s">
        <v>3448</v>
      </c>
    </row>
    <row r="1864" spans="1:5" x14ac:dyDescent="0.25">
      <c r="A1864" s="115" t="s">
        <v>1138</v>
      </c>
      <c r="B1864" s="115" t="s">
        <v>3449</v>
      </c>
      <c r="D1864" s="115" t="s">
        <v>3450</v>
      </c>
      <c r="E1864" s="115" t="s">
        <v>3451</v>
      </c>
    </row>
    <row r="1865" spans="1:5" x14ac:dyDescent="0.25">
      <c r="B1865" s="115" t="s">
        <v>2128</v>
      </c>
      <c r="D1865" s="115" t="s">
        <v>3452</v>
      </c>
      <c r="E1865" s="115" t="s">
        <v>3453</v>
      </c>
    </row>
    <row r="1866" spans="1:5" x14ac:dyDescent="0.25">
      <c r="B1866" s="115" t="s">
        <v>3454</v>
      </c>
      <c r="C1866" s="115" t="s">
        <v>1138</v>
      </c>
      <c r="D1866" s="115" t="s">
        <v>3455</v>
      </c>
      <c r="E1866" s="115" t="s">
        <v>3456</v>
      </c>
    </row>
    <row r="1867" spans="1:5" x14ac:dyDescent="0.25">
      <c r="B1867" s="115" t="s">
        <v>3457</v>
      </c>
      <c r="D1867" s="115" t="s">
        <v>3458</v>
      </c>
      <c r="E1867" s="115" t="s">
        <v>3459</v>
      </c>
    </row>
    <row r="1868" spans="1:5" x14ac:dyDescent="0.25">
      <c r="B1868" s="115" t="s">
        <v>1654</v>
      </c>
      <c r="D1868" s="115" t="s">
        <v>1140</v>
      </c>
      <c r="E1868" s="115" t="s">
        <v>3460</v>
      </c>
    </row>
    <row r="1869" spans="1:5" x14ac:dyDescent="0.25">
      <c r="B1869" s="115" t="s">
        <v>3461</v>
      </c>
      <c r="C1869" s="115">
        <v>5</v>
      </c>
      <c r="D1869" s="115" t="s">
        <v>3462</v>
      </c>
      <c r="E1869" s="115" t="s">
        <v>3463</v>
      </c>
    </row>
    <row r="1870" spans="1:5" x14ac:dyDescent="0.25">
      <c r="B1870" s="115" t="s">
        <v>1139</v>
      </c>
      <c r="D1870" s="115" t="s">
        <v>3464</v>
      </c>
      <c r="E1870" s="115" t="s">
        <v>1141</v>
      </c>
    </row>
    <row r="1871" spans="1:5" x14ac:dyDescent="0.25">
      <c r="B1871" s="115" t="s">
        <v>1139</v>
      </c>
      <c r="D1871" s="115" t="s">
        <v>3465</v>
      </c>
      <c r="E1871" s="115" t="s">
        <v>3466</v>
      </c>
    </row>
    <row r="1872" spans="1:5" x14ac:dyDescent="0.25">
      <c r="B1872" s="115">
        <f>-69    -80</f>
        <v>-149</v>
      </c>
      <c r="D1872" s="115" t="s">
        <v>1143</v>
      </c>
      <c r="E1872" s="115" t="s">
        <v>3467</v>
      </c>
    </row>
    <row r="1873" spans="1:5" x14ac:dyDescent="0.25">
      <c r="B1873" s="115" t="s">
        <v>3468</v>
      </c>
      <c r="D1873" s="115" t="s">
        <v>1140</v>
      </c>
      <c r="E1873" s="115" t="s">
        <v>3469</v>
      </c>
    </row>
    <row r="1874" spans="1:5" x14ac:dyDescent="0.25">
      <c r="B1874" s="115" t="s">
        <v>1139</v>
      </c>
      <c r="D1874" s="115" t="s">
        <v>3470</v>
      </c>
      <c r="E1874" s="115" t="s">
        <v>3471</v>
      </c>
    </row>
    <row r="1875" spans="1:5" x14ac:dyDescent="0.25">
      <c r="B1875" s="115" t="s">
        <v>1139</v>
      </c>
      <c r="D1875" s="115" t="s">
        <v>3472</v>
      </c>
      <c r="E1875" s="115" t="s">
        <v>3473</v>
      </c>
    </row>
    <row r="1876" spans="1:5" x14ac:dyDescent="0.25">
      <c r="B1876" s="115" t="s">
        <v>3474</v>
      </c>
      <c r="D1876" s="115" t="s">
        <v>3475</v>
      </c>
      <c r="E1876" s="115" t="s">
        <v>3476</v>
      </c>
    </row>
    <row r="1877" spans="1:5" x14ac:dyDescent="0.25">
      <c r="B1877" s="115" t="s">
        <v>1311</v>
      </c>
      <c r="D1877" s="115" t="s">
        <v>3477</v>
      </c>
      <c r="E1877" s="115" t="s">
        <v>3478</v>
      </c>
    </row>
    <row r="1878" spans="1:5" x14ac:dyDescent="0.25">
      <c r="A1878" s="115" t="s">
        <v>1138</v>
      </c>
      <c r="B1878" s="115" t="s">
        <v>3479</v>
      </c>
      <c r="D1878" s="115" t="s">
        <v>3480</v>
      </c>
      <c r="E1878" s="115" t="s">
        <v>3481</v>
      </c>
    </row>
    <row r="1879" spans="1:5" x14ac:dyDescent="0.25">
      <c r="B1879" s="115" t="s">
        <v>3482</v>
      </c>
      <c r="D1879" s="115" t="s">
        <v>3483</v>
      </c>
      <c r="E1879" s="115" t="s">
        <v>3484</v>
      </c>
    </row>
    <row r="1880" spans="1:5" x14ac:dyDescent="0.25">
      <c r="B1880" s="115" t="s">
        <v>2290</v>
      </c>
      <c r="D1880" s="115" t="s">
        <v>3485</v>
      </c>
      <c r="E1880" s="115" t="s">
        <v>3486</v>
      </c>
    </row>
    <row r="1881" spans="1:5" x14ac:dyDescent="0.25">
      <c r="B1881" s="115">
        <f>-91   -306</f>
        <v>-397</v>
      </c>
      <c r="D1881" s="115" t="s">
        <v>3487</v>
      </c>
      <c r="E1881" s="115" t="s">
        <v>3488</v>
      </c>
    </row>
    <row r="1882" spans="1:5" x14ac:dyDescent="0.25">
      <c r="B1882" s="115" t="s">
        <v>1139</v>
      </c>
      <c r="D1882" s="115" t="s">
        <v>3489</v>
      </c>
      <c r="E1882" s="115" t="s">
        <v>3490</v>
      </c>
    </row>
    <row r="1883" spans="1:5" x14ac:dyDescent="0.25">
      <c r="B1883" s="115" t="s">
        <v>3491</v>
      </c>
      <c r="D1883" s="115" t="s">
        <v>3492</v>
      </c>
      <c r="E1883" s="115" t="s">
        <v>3493</v>
      </c>
    </row>
    <row r="1884" spans="1:5" x14ac:dyDescent="0.25">
      <c r="B1884" s="115" t="s">
        <v>3494</v>
      </c>
      <c r="D1884" s="115" t="s">
        <v>3495</v>
      </c>
      <c r="E1884" s="115" t="s">
        <v>3496</v>
      </c>
    </row>
    <row r="1885" spans="1:5" x14ac:dyDescent="0.25">
      <c r="B1885" s="115" t="s">
        <v>3497</v>
      </c>
      <c r="D1885" s="115" t="s">
        <v>3498</v>
      </c>
      <c r="E1885" s="115" t="s">
        <v>1141</v>
      </c>
    </row>
    <row r="1886" spans="1:5" x14ac:dyDescent="0.25">
      <c r="B1886" s="115" t="s">
        <v>3499</v>
      </c>
      <c r="D1886" s="115" t="s">
        <v>3500</v>
      </c>
      <c r="E1886" s="115" t="s">
        <v>1141</v>
      </c>
    </row>
    <row r="1887" spans="1:5" x14ac:dyDescent="0.25">
      <c r="B1887" s="115" t="s">
        <v>1139</v>
      </c>
      <c r="D1887" s="115" t="s">
        <v>1140</v>
      </c>
      <c r="E1887" s="115" t="s">
        <v>1141</v>
      </c>
    </row>
    <row r="1888" spans="1:5" x14ac:dyDescent="0.25">
      <c r="B1888" s="115" t="s">
        <v>1139</v>
      </c>
      <c r="D1888" s="115" t="s">
        <v>1140</v>
      </c>
      <c r="E1888" s="115" t="s">
        <v>1141</v>
      </c>
    </row>
    <row r="1889" spans="2:5" x14ac:dyDescent="0.25">
      <c r="B1889" s="115" t="s">
        <v>1139</v>
      </c>
      <c r="D1889" s="115" t="s">
        <v>1140</v>
      </c>
      <c r="E1889" s="115" t="s">
        <v>1141</v>
      </c>
    </row>
    <row r="1890" spans="2:5" x14ac:dyDescent="0.25">
      <c r="B1890" s="115" t="s">
        <v>1139</v>
      </c>
      <c r="D1890" s="115" t="s">
        <v>1140</v>
      </c>
      <c r="E1890" s="115" t="s">
        <v>1141</v>
      </c>
    </row>
    <row r="1891" spans="2:5" x14ac:dyDescent="0.25">
      <c r="B1891" s="115" t="s">
        <v>1139</v>
      </c>
      <c r="D1891" s="115" t="s">
        <v>1140</v>
      </c>
      <c r="E1891" s="115" t="s">
        <v>1141</v>
      </c>
    </row>
    <row r="1892" spans="2:5" x14ac:dyDescent="0.25">
      <c r="B1892" s="115" t="s">
        <v>1139</v>
      </c>
      <c r="D1892" s="115" t="s">
        <v>1140</v>
      </c>
      <c r="E1892" s="115" t="s">
        <v>1141</v>
      </c>
    </row>
    <row r="1893" spans="2:5" x14ac:dyDescent="0.25">
      <c r="B1893" s="115" t="s">
        <v>1139</v>
      </c>
      <c r="D1893" s="115" t="s">
        <v>1140</v>
      </c>
      <c r="E1893" s="115" t="s">
        <v>1141</v>
      </c>
    </row>
    <row r="1894" spans="2:5" x14ac:dyDescent="0.25">
      <c r="B1894" s="115" t="s">
        <v>1139</v>
      </c>
      <c r="D1894" s="115" t="s">
        <v>1140</v>
      </c>
      <c r="E1894" s="115" t="s">
        <v>1141</v>
      </c>
    </row>
    <row r="1895" spans="2:5" x14ac:dyDescent="0.25">
      <c r="B1895" s="115" t="s">
        <v>1139</v>
      </c>
      <c r="D1895" s="115" t="s">
        <v>1140</v>
      </c>
      <c r="E1895" s="115" t="s">
        <v>1141</v>
      </c>
    </row>
    <row r="1896" spans="2:5" x14ac:dyDescent="0.25">
      <c r="B1896" s="115" t="s">
        <v>1139</v>
      </c>
      <c r="D1896" s="115" t="s">
        <v>1140</v>
      </c>
      <c r="E1896" s="115" t="s">
        <v>1141</v>
      </c>
    </row>
    <row r="1897" spans="2:5" x14ac:dyDescent="0.25">
      <c r="B1897" s="115" t="s">
        <v>1139</v>
      </c>
      <c r="D1897" s="115" t="s">
        <v>1140</v>
      </c>
      <c r="E1897" s="115" t="s">
        <v>1141</v>
      </c>
    </row>
    <row r="1898" spans="2:5" x14ac:dyDescent="0.25">
      <c r="B1898" s="115" t="s">
        <v>1139</v>
      </c>
      <c r="D1898" s="115" t="s">
        <v>1140</v>
      </c>
      <c r="E1898" s="115" t="s">
        <v>1141</v>
      </c>
    </row>
    <row r="1899" spans="2:5" x14ac:dyDescent="0.25">
      <c r="B1899" s="115" t="s">
        <v>1139</v>
      </c>
      <c r="D1899" s="115" t="s">
        <v>1140</v>
      </c>
      <c r="E1899" s="115" t="s">
        <v>1141</v>
      </c>
    </row>
    <row r="1900" spans="2:5" x14ac:dyDescent="0.25">
      <c r="B1900" s="115" t="s">
        <v>1139</v>
      </c>
      <c r="D1900" s="115" t="s">
        <v>1140</v>
      </c>
      <c r="E1900" s="115" t="s">
        <v>1141</v>
      </c>
    </row>
    <row r="1901" spans="2:5" x14ac:dyDescent="0.25">
      <c r="B1901" s="115" t="s">
        <v>1139</v>
      </c>
      <c r="D1901" s="115" t="s">
        <v>1140</v>
      </c>
      <c r="E1901" s="115" t="s">
        <v>1141</v>
      </c>
    </row>
    <row r="1902" spans="2:5" x14ac:dyDescent="0.25">
      <c r="B1902" s="115" t="s">
        <v>1139</v>
      </c>
      <c r="D1902" s="115" t="s">
        <v>1140</v>
      </c>
      <c r="E1902" s="115" t="s">
        <v>1141</v>
      </c>
    </row>
    <row r="1903" spans="2:5" x14ac:dyDescent="0.25">
      <c r="B1903" s="115" t="s">
        <v>1139</v>
      </c>
      <c r="D1903" s="115" t="s">
        <v>1140</v>
      </c>
      <c r="E1903" s="115" t="s">
        <v>1141</v>
      </c>
    </row>
    <row r="1904" spans="2:5" x14ac:dyDescent="0.25">
      <c r="B1904" s="115" t="s">
        <v>1139</v>
      </c>
      <c r="D1904" s="115" t="s">
        <v>1140</v>
      </c>
      <c r="E1904" s="115" t="s">
        <v>1141</v>
      </c>
    </row>
    <row r="1905" spans="2:5" x14ac:dyDescent="0.25">
      <c r="B1905" s="115" t="s">
        <v>1139</v>
      </c>
      <c r="D1905" s="115" t="s">
        <v>1140</v>
      </c>
      <c r="E1905" s="115" t="s">
        <v>1141</v>
      </c>
    </row>
    <row r="1906" spans="2:5" x14ac:dyDescent="0.25">
      <c r="B1906" s="115" t="s">
        <v>1139</v>
      </c>
      <c r="D1906" s="115" t="s">
        <v>1140</v>
      </c>
      <c r="E1906" s="115" t="s">
        <v>1141</v>
      </c>
    </row>
    <row r="1907" spans="2:5" x14ac:dyDescent="0.25">
      <c r="B1907" s="115" t="s">
        <v>1139</v>
      </c>
      <c r="D1907" s="115" t="s">
        <v>1140</v>
      </c>
      <c r="E1907" s="115" t="s">
        <v>1141</v>
      </c>
    </row>
    <row r="1908" spans="2:5" x14ac:dyDescent="0.25">
      <c r="B1908" s="115" t="s">
        <v>1139</v>
      </c>
      <c r="D1908" s="115" t="s">
        <v>1140</v>
      </c>
      <c r="E1908" s="115" t="s">
        <v>1141</v>
      </c>
    </row>
    <row r="1909" spans="2:5" x14ac:dyDescent="0.25">
      <c r="B1909" s="115" t="s">
        <v>1139</v>
      </c>
      <c r="D1909" s="115" t="s">
        <v>1140</v>
      </c>
      <c r="E1909" s="115" t="s">
        <v>1141</v>
      </c>
    </row>
    <row r="1910" spans="2:5" x14ac:dyDescent="0.25">
      <c r="B1910" s="115" t="s">
        <v>1139</v>
      </c>
      <c r="D1910" s="115" t="s">
        <v>1140</v>
      </c>
      <c r="E1910" s="115" t="s">
        <v>1141</v>
      </c>
    </row>
    <row r="1911" spans="2:5" x14ac:dyDescent="0.25">
      <c r="B1911" s="115" t="s">
        <v>1139</v>
      </c>
      <c r="D1911" s="115" t="s">
        <v>1140</v>
      </c>
      <c r="E1911" s="115" t="s">
        <v>1141</v>
      </c>
    </row>
    <row r="1912" spans="2:5" x14ac:dyDescent="0.25">
      <c r="B1912" s="115" t="s">
        <v>1139</v>
      </c>
      <c r="D1912" s="115" t="s">
        <v>1140</v>
      </c>
      <c r="E1912" s="115" t="s">
        <v>1141</v>
      </c>
    </row>
    <row r="1913" spans="2:5" x14ac:dyDescent="0.25">
      <c r="B1913" s="115" t="s">
        <v>1139</v>
      </c>
      <c r="D1913" s="115" t="s">
        <v>1140</v>
      </c>
      <c r="E1913" s="115" t="s">
        <v>1141</v>
      </c>
    </row>
    <row r="1914" spans="2:5" x14ac:dyDescent="0.25">
      <c r="B1914" s="115" t="s">
        <v>1139</v>
      </c>
      <c r="D1914" s="115" t="s">
        <v>1140</v>
      </c>
      <c r="E1914" s="115" t="s">
        <v>1141</v>
      </c>
    </row>
    <row r="1915" spans="2:5" x14ac:dyDescent="0.25">
      <c r="B1915" s="115" t="s">
        <v>1139</v>
      </c>
      <c r="D1915" s="115" t="s">
        <v>1140</v>
      </c>
      <c r="E1915" s="115" t="s">
        <v>1141</v>
      </c>
    </row>
    <row r="1916" spans="2:5" x14ac:dyDescent="0.25">
      <c r="B1916" s="115" t="s">
        <v>1139</v>
      </c>
      <c r="D1916" s="115" t="s">
        <v>1140</v>
      </c>
      <c r="E1916" s="115" t="s">
        <v>1141</v>
      </c>
    </row>
    <row r="1917" spans="2:5" x14ac:dyDescent="0.25">
      <c r="B1917" s="115" t="s">
        <v>1139</v>
      </c>
      <c r="D1917" s="115" t="s">
        <v>1140</v>
      </c>
      <c r="E1917" s="115" t="s">
        <v>1141</v>
      </c>
    </row>
    <row r="1918" spans="2:5" x14ac:dyDescent="0.25">
      <c r="B1918" s="115" t="s">
        <v>1139</v>
      </c>
      <c r="D1918" s="115" t="s">
        <v>1140</v>
      </c>
      <c r="E1918" s="115" t="s">
        <v>1141</v>
      </c>
    </row>
    <row r="1919" spans="2:5" x14ac:dyDescent="0.25">
      <c r="B1919" s="115" t="s">
        <v>1139</v>
      </c>
      <c r="D1919" s="115" t="s">
        <v>1140</v>
      </c>
      <c r="E1919" s="115" t="s">
        <v>1141</v>
      </c>
    </row>
    <row r="1920" spans="2:5" x14ac:dyDescent="0.25">
      <c r="B1920" s="115" t="s">
        <v>1139</v>
      </c>
      <c r="D1920" s="115" t="s">
        <v>1140</v>
      </c>
      <c r="E1920" s="115" t="s">
        <v>1141</v>
      </c>
    </row>
    <row r="1921" spans="2:5" x14ac:dyDescent="0.25">
      <c r="B1921" s="115" t="s">
        <v>1139</v>
      </c>
      <c r="D1921" s="115" t="s">
        <v>1140</v>
      </c>
      <c r="E1921" s="115" t="s">
        <v>1141</v>
      </c>
    </row>
    <row r="1922" spans="2:5" x14ac:dyDescent="0.25">
      <c r="B1922" s="115" t="s">
        <v>1139</v>
      </c>
      <c r="D1922" s="115" t="s">
        <v>1140</v>
      </c>
      <c r="E1922" s="115" t="s">
        <v>1141</v>
      </c>
    </row>
    <row r="1923" spans="2:5" x14ac:dyDescent="0.25">
      <c r="B1923" s="115" t="s">
        <v>1139</v>
      </c>
      <c r="D1923" s="115" t="s">
        <v>1140</v>
      </c>
      <c r="E1923" s="115" t="s">
        <v>1141</v>
      </c>
    </row>
    <row r="1924" spans="2:5" x14ac:dyDescent="0.25">
      <c r="B1924" s="115" t="s">
        <v>1139</v>
      </c>
      <c r="D1924" s="115" t="s">
        <v>1140</v>
      </c>
      <c r="E1924" s="115" t="s">
        <v>1141</v>
      </c>
    </row>
    <row r="1925" spans="2:5" x14ac:dyDescent="0.25">
      <c r="B1925" s="115" t="s">
        <v>1139</v>
      </c>
      <c r="D1925" s="115" t="s">
        <v>1140</v>
      </c>
      <c r="E1925" s="115" t="s">
        <v>1141</v>
      </c>
    </row>
    <row r="1926" spans="2:5" x14ac:dyDescent="0.25">
      <c r="B1926" s="115" t="s">
        <v>1139</v>
      </c>
      <c r="D1926" s="115" t="s">
        <v>1140</v>
      </c>
      <c r="E1926" s="115" t="s">
        <v>1141</v>
      </c>
    </row>
    <row r="1927" spans="2:5" x14ac:dyDescent="0.25">
      <c r="B1927" s="115" t="s">
        <v>1139</v>
      </c>
      <c r="D1927" s="115" t="s">
        <v>1140</v>
      </c>
      <c r="E1927" s="115" t="s">
        <v>1141</v>
      </c>
    </row>
    <row r="1928" spans="2:5" x14ac:dyDescent="0.25">
      <c r="B1928" s="115" t="s">
        <v>1139</v>
      </c>
      <c r="D1928" s="115" t="s">
        <v>1140</v>
      </c>
      <c r="E1928" s="115" t="s">
        <v>1141</v>
      </c>
    </row>
    <row r="1929" spans="2:5" x14ac:dyDescent="0.25">
      <c r="B1929" s="115" t="s">
        <v>1139</v>
      </c>
      <c r="D1929" s="115" t="s">
        <v>1140</v>
      </c>
      <c r="E1929" s="115" t="s">
        <v>1141</v>
      </c>
    </row>
    <row r="1930" spans="2:5" x14ac:dyDescent="0.25">
      <c r="B1930" s="115" t="s">
        <v>1139</v>
      </c>
      <c r="D1930" s="115" t="s">
        <v>1140</v>
      </c>
      <c r="E1930" s="115" t="s">
        <v>1141</v>
      </c>
    </row>
    <row r="1931" spans="2:5" x14ac:dyDescent="0.25">
      <c r="B1931" s="115" t="s">
        <v>1139</v>
      </c>
      <c r="D1931" s="115" t="s">
        <v>1140</v>
      </c>
      <c r="E1931" s="115" t="s">
        <v>1141</v>
      </c>
    </row>
    <row r="1932" spans="2:5" x14ac:dyDescent="0.25">
      <c r="B1932" s="115" t="s">
        <v>1139</v>
      </c>
      <c r="D1932" s="115" t="s">
        <v>1140</v>
      </c>
      <c r="E1932" s="115" t="s">
        <v>1141</v>
      </c>
    </row>
    <row r="1933" spans="2:5" x14ac:dyDescent="0.25">
      <c r="B1933" s="115" t="s">
        <v>1139</v>
      </c>
      <c r="D1933" s="115" t="s">
        <v>1140</v>
      </c>
      <c r="E1933" s="115" t="s">
        <v>1141</v>
      </c>
    </row>
    <row r="1934" spans="2:5" x14ac:dyDescent="0.25">
      <c r="B1934" s="115" t="s">
        <v>1139</v>
      </c>
      <c r="D1934" s="115" t="s">
        <v>1140</v>
      </c>
      <c r="E1934" s="115" t="s">
        <v>1141</v>
      </c>
    </row>
    <row r="1935" spans="2:5" x14ac:dyDescent="0.25">
      <c r="B1935" s="115" t="s">
        <v>1139</v>
      </c>
      <c r="D1935" s="115" t="s">
        <v>1140</v>
      </c>
      <c r="E1935" s="115" t="s">
        <v>1141</v>
      </c>
    </row>
    <row r="1936" spans="2:5" x14ac:dyDescent="0.25">
      <c r="B1936" s="115" t="s">
        <v>1139</v>
      </c>
      <c r="D1936" s="115" t="s">
        <v>1140</v>
      </c>
      <c r="E1936" s="115" t="s">
        <v>1141</v>
      </c>
    </row>
    <row r="1937" spans="2:5" x14ac:dyDescent="0.25">
      <c r="B1937" s="115" t="s">
        <v>1139</v>
      </c>
      <c r="D1937" s="115" t="s">
        <v>1140</v>
      </c>
      <c r="E1937" s="115" t="s">
        <v>1141</v>
      </c>
    </row>
    <row r="1938" spans="2:5" x14ac:dyDescent="0.25">
      <c r="B1938" s="115" t="s">
        <v>1139</v>
      </c>
      <c r="D1938" s="115" t="s">
        <v>1140</v>
      </c>
      <c r="E1938" s="115" t="s">
        <v>1141</v>
      </c>
    </row>
    <row r="1939" spans="2:5" x14ac:dyDescent="0.25">
      <c r="B1939" s="115" t="s">
        <v>1139</v>
      </c>
      <c r="D1939" s="115" t="s">
        <v>1140</v>
      </c>
      <c r="E1939" s="115" t="s">
        <v>1141</v>
      </c>
    </row>
    <row r="1940" spans="2:5" x14ac:dyDescent="0.25">
      <c r="B1940" s="115" t="s">
        <v>1139</v>
      </c>
      <c r="D1940" s="115" t="s">
        <v>1140</v>
      </c>
      <c r="E1940" s="115" t="s">
        <v>1141</v>
      </c>
    </row>
    <row r="1941" spans="2:5" x14ac:dyDescent="0.25">
      <c r="B1941" s="115" t="s">
        <v>1139</v>
      </c>
      <c r="D1941" s="115" t="s">
        <v>1140</v>
      </c>
      <c r="E1941" s="115" t="s">
        <v>1141</v>
      </c>
    </row>
    <row r="1942" spans="2:5" x14ac:dyDescent="0.25">
      <c r="B1942" s="115" t="s">
        <v>1139</v>
      </c>
      <c r="D1942" s="115" t="s">
        <v>1140</v>
      </c>
      <c r="E1942" s="115" t="s">
        <v>1141</v>
      </c>
    </row>
    <row r="1943" spans="2:5" x14ac:dyDescent="0.25">
      <c r="B1943" s="115" t="s">
        <v>1139</v>
      </c>
      <c r="D1943" s="115" t="s">
        <v>1140</v>
      </c>
      <c r="E1943" s="115" t="s">
        <v>1141</v>
      </c>
    </row>
    <row r="1944" spans="2:5" x14ac:dyDescent="0.25">
      <c r="B1944" s="115" t="s">
        <v>1139</v>
      </c>
      <c r="D1944" s="115" t="s">
        <v>1140</v>
      </c>
      <c r="E1944" s="115" t="s">
        <v>1141</v>
      </c>
    </row>
    <row r="1945" spans="2:5" x14ac:dyDescent="0.25">
      <c r="B1945" s="115" t="s">
        <v>1139</v>
      </c>
      <c r="D1945" s="115" t="s">
        <v>1140</v>
      </c>
      <c r="E1945" s="115" t="s">
        <v>1141</v>
      </c>
    </row>
    <row r="1946" spans="2:5" x14ac:dyDescent="0.25">
      <c r="B1946" s="115" t="s">
        <v>1139</v>
      </c>
      <c r="D1946" s="115" t="s">
        <v>1140</v>
      </c>
      <c r="E1946" s="115" t="s">
        <v>1141</v>
      </c>
    </row>
    <row r="1947" spans="2:5" x14ac:dyDescent="0.25">
      <c r="B1947" s="115" t="s">
        <v>1139</v>
      </c>
      <c r="D1947" s="115" t="s">
        <v>1140</v>
      </c>
      <c r="E1947" s="115" t="s">
        <v>1141</v>
      </c>
    </row>
    <row r="1948" spans="2:5" x14ac:dyDescent="0.25">
      <c r="B1948" s="115" t="s">
        <v>1139</v>
      </c>
      <c r="D1948" s="115" t="s">
        <v>1140</v>
      </c>
      <c r="E1948" s="115" t="s">
        <v>1141</v>
      </c>
    </row>
    <row r="1949" spans="2:5" x14ac:dyDescent="0.25">
      <c r="B1949" s="115" t="s">
        <v>1139</v>
      </c>
      <c r="D1949" s="115" t="s">
        <v>1140</v>
      </c>
      <c r="E1949" s="115" t="s">
        <v>1141</v>
      </c>
    </row>
    <row r="1950" spans="2:5" x14ac:dyDescent="0.25">
      <c r="B1950" s="115" t="s">
        <v>1139</v>
      </c>
      <c r="D1950" s="115" t="s">
        <v>1140</v>
      </c>
      <c r="E1950" s="115" t="s">
        <v>1141</v>
      </c>
    </row>
    <row r="1951" spans="2:5" x14ac:dyDescent="0.25">
      <c r="B1951" s="115" t="s">
        <v>1139</v>
      </c>
      <c r="D1951" s="115" t="s">
        <v>1140</v>
      </c>
      <c r="E1951" s="115" t="s">
        <v>1141</v>
      </c>
    </row>
    <row r="1952" spans="2:5" x14ac:dyDescent="0.25">
      <c r="B1952" s="115" t="s">
        <v>1139</v>
      </c>
      <c r="D1952" s="115" t="s">
        <v>1140</v>
      </c>
      <c r="E1952" s="115" t="s">
        <v>1141</v>
      </c>
    </row>
    <row r="1953" spans="2:5" x14ac:dyDescent="0.25">
      <c r="B1953" s="115" t="s">
        <v>1139</v>
      </c>
      <c r="D1953" s="115" t="s">
        <v>1140</v>
      </c>
      <c r="E1953" s="115" t="s">
        <v>1141</v>
      </c>
    </row>
    <row r="1954" spans="2:5" x14ac:dyDescent="0.25">
      <c r="B1954" s="115" t="s">
        <v>1139</v>
      </c>
      <c r="D1954" s="115" t="s">
        <v>1140</v>
      </c>
      <c r="E1954" s="115" t="s">
        <v>1141</v>
      </c>
    </row>
    <row r="1955" spans="2:5" x14ac:dyDescent="0.25">
      <c r="B1955" s="115" t="s">
        <v>1139</v>
      </c>
      <c r="D1955" s="115" t="s">
        <v>1140</v>
      </c>
      <c r="E1955" s="115" t="s">
        <v>1141</v>
      </c>
    </row>
    <row r="1956" spans="2:5" x14ac:dyDescent="0.25">
      <c r="B1956" s="115" t="s">
        <v>1139</v>
      </c>
      <c r="D1956" s="115" t="s">
        <v>1140</v>
      </c>
      <c r="E1956" s="115" t="s">
        <v>1141</v>
      </c>
    </row>
    <row r="1957" spans="2:5" x14ac:dyDescent="0.25">
      <c r="B1957" s="115" t="s">
        <v>1139</v>
      </c>
      <c r="D1957" s="115" t="s">
        <v>1140</v>
      </c>
      <c r="E1957" s="115" t="s">
        <v>1141</v>
      </c>
    </row>
    <row r="1958" spans="2:5" x14ac:dyDescent="0.25">
      <c r="B1958" s="115" t="s">
        <v>1139</v>
      </c>
      <c r="D1958" s="115" t="s">
        <v>1140</v>
      </c>
      <c r="E1958" s="115" t="s">
        <v>1141</v>
      </c>
    </row>
    <row r="1959" spans="2:5" x14ac:dyDescent="0.25">
      <c r="B1959" s="115" t="s">
        <v>1139</v>
      </c>
      <c r="D1959" s="115" t="s">
        <v>1140</v>
      </c>
      <c r="E1959" s="115" t="s">
        <v>1141</v>
      </c>
    </row>
    <row r="1960" spans="2:5" x14ac:dyDescent="0.25">
      <c r="B1960" s="115" t="s">
        <v>1139</v>
      </c>
      <c r="D1960" s="115" t="s">
        <v>1140</v>
      </c>
      <c r="E1960" s="115" t="s">
        <v>1141</v>
      </c>
    </row>
    <row r="1961" spans="2:5" x14ac:dyDescent="0.25">
      <c r="B1961" s="115" t="s">
        <v>1139</v>
      </c>
      <c r="D1961" s="115" t="s">
        <v>1140</v>
      </c>
      <c r="E1961" s="115" t="s">
        <v>1141</v>
      </c>
    </row>
    <row r="1962" spans="2:5" x14ac:dyDescent="0.25">
      <c r="B1962" s="115" t="s">
        <v>1139</v>
      </c>
      <c r="D1962" s="115" t="s">
        <v>1140</v>
      </c>
      <c r="E1962" s="115" t="s">
        <v>1141</v>
      </c>
    </row>
    <row r="1963" spans="2:5" x14ac:dyDescent="0.25">
      <c r="B1963" s="115" t="s">
        <v>1139</v>
      </c>
      <c r="D1963" s="115" t="s">
        <v>1140</v>
      </c>
      <c r="E1963" s="115" t="s">
        <v>1141</v>
      </c>
    </row>
    <row r="1964" spans="2:5" x14ac:dyDescent="0.25">
      <c r="B1964" s="115" t="s">
        <v>1139</v>
      </c>
      <c r="D1964" s="115" t="s">
        <v>1140</v>
      </c>
      <c r="E1964" s="115" t="s">
        <v>1141</v>
      </c>
    </row>
    <row r="1965" spans="2:5" x14ac:dyDescent="0.25">
      <c r="B1965" s="115" t="s">
        <v>1139</v>
      </c>
      <c r="D1965" s="115" t="s">
        <v>1140</v>
      </c>
      <c r="E1965" s="115" t="s">
        <v>1141</v>
      </c>
    </row>
    <row r="1966" spans="2:5" x14ac:dyDescent="0.25">
      <c r="B1966" s="115" t="s">
        <v>1139</v>
      </c>
      <c r="D1966" s="115" t="s">
        <v>1140</v>
      </c>
      <c r="E1966" s="115" t="s">
        <v>1141</v>
      </c>
    </row>
    <row r="1967" spans="2:5" x14ac:dyDescent="0.25">
      <c r="B1967" s="115" t="s">
        <v>1139</v>
      </c>
      <c r="D1967" s="115" t="s">
        <v>1140</v>
      </c>
      <c r="E1967" s="115" t="s">
        <v>1141</v>
      </c>
    </row>
    <row r="1968" spans="2:5" x14ac:dyDescent="0.25">
      <c r="B1968" s="115" t="s">
        <v>1139</v>
      </c>
      <c r="D1968" s="115" t="s">
        <v>1140</v>
      </c>
      <c r="E1968" s="115" t="s">
        <v>1141</v>
      </c>
    </row>
    <row r="1969" spans="1:5" x14ac:dyDescent="0.25">
      <c r="B1969" s="115" t="s">
        <v>1139</v>
      </c>
      <c r="D1969" s="115" t="s">
        <v>1140</v>
      </c>
      <c r="E1969" s="115" t="s">
        <v>1141</v>
      </c>
    </row>
    <row r="1970" spans="1:5" x14ac:dyDescent="0.25">
      <c r="B1970" s="115" t="s">
        <v>1139</v>
      </c>
      <c r="D1970" s="115" t="s">
        <v>1140</v>
      </c>
      <c r="E1970" s="115" t="s">
        <v>1141</v>
      </c>
    </row>
    <row r="1971" spans="1:5" x14ac:dyDescent="0.25">
      <c r="B1971" s="115" t="s">
        <v>1139</v>
      </c>
      <c r="D1971" s="115" t="s">
        <v>1140</v>
      </c>
      <c r="E1971" s="115" t="s">
        <v>1141</v>
      </c>
    </row>
    <row r="1972" spans="1:5" x14ac:dyDescent="0.25">
      <c r="B1972" s="115" t="s">
        <v>1139</v>
      </c>
      <c r="D1972" s="115" t="s">
        <v>1140</v>
      </c>
      <c r="E1972" s="115" t="s">
        <v>1141</v>
      </c>
    </row>
    <row r="1973" spans="1:5" x14ac:dyDescent="0.25">
      <c r="B1973" s="115" t="s">
        <v>1139</v>
      </c>
      <c r="D1973" s="115" t="s">
        <v>1140</v>
      </c>
      <c r="E1973" s="115" t="s">
        <v>1141</v>
      </c>
    </row>
    <row r="1974" spans="1:5" x14ac:dyDescent="0.25">
      <c r="B1974" s="115" t="s">
        <v>1139</v>
      </c>
      <c r="D1974" s="115" t="s">
        <v>1140</v>
      </c>
      <c r="E1974" s="115" t="s">
        <v>1141</v>
      </c>
    </row>
    <row r="1975" spans="1:5" x14ac:dyDescent="0.25">
      <c r="B1975" s="115" t="s">
        <v>3501</v>
      </c>
      <c r="C1975" s="115" t="s">
        <v>1138</v>
      </c>
      <c r="D1975" s="115" t="s">
        <v>3502</v>
      </c>
      <c r="E1975" s="115" t="s">
        <v>3503</v>
      </c>
    </row>
    <row r="1976" spans="1:5" x14ac:dyDescent="0.25">
      <c r="B1976" s="115" t="s">
        <v>1139</v>
      </c>
      <c r="D1976" s="115" t="s">
        <v>3504</v>
      </c>
      <c r="E1976" s="115" t="s">
        <v>1141</v>
      </c>
    </row>
    <row r="1977" spans="1:5" x14ac:dyDescent="0.25">
      <c r="B1977" s="115" t="s">
        <v>1139</v>
      </c>
      <c r="D1977" s="115" t="s">
        <v>3505</v>
      </c>
      <c r="E1977" s="115" t="s">
        <v>3506</v>
      </c>
    </row>
    <row r="1978" spans="1:5" x14ac:dyDescent="0.25">
      <c r="A1978" s="115">
        <v>9</v>
      </c>
      <c r="B1978" s="115" t="s">
        <v>3507</v>
      </c>
      <c r="D1978" s="115" t="s">
        <v>3508</v>
      </c>
      <c r="E1978" s="115" t="s">
        <v>3509</v>
      </c>
    </row>
    <row r="1979" spans="1:5" x14ac:dyDescent="0.25">
      <c r="B1979" s="115" t="s">
        <v>1139</v>
      </c>
      <c r="D1979" s="115" t="s">
        <v>3510</v>
      </c>
      <c r="E1979" s="115" t="s">
        <v>2260</v>
      </c>
    </row>
    <row r="1980" spans="1:5" x14ac:dyDescent="0.25">
      <c r="B1980" s="115" t="s">
        <v>1139</v>
      </c>
      <c r="D1980" s="115" t="s">
        <v>3511</v>
      </c>
      <c r="E1980" s="115" t="s">
        <v>3512</v>
      </c>
    </row>
    <row r="1981" spans="1:5" x14ac:dyDescent="0.25">
      <c r="B1981" s="115" t="s">
        <v>3513</v>
      </c>
      <c r="D1981" s="115" t="s">
        <v>3514</v>
      </c>
      <c r="E1981" s="115" t="s">
        <v>3515</v>
      </c>
    </row>
    <row r="1982" spans="1:5" x14ac:dyDescent="0.25">
      <c r="A1982" s="115">
        <v>-3</v>
      </c>
      <c r="B1982" s="115" t="s">
        <v>3516</v>
      </c>
      <c r="C1982" s="115" t="s">
        <v>1138</v>
      </c>
      <c r="D1982" s="115" t="s">
        <v>3517</v>
      </c>
      <c r="E1982" s="115" t="s">
        <v>1859</v>
      </c>
    </row>
    <row r="1983" spans="1:5" x14ac:dyDescent="0.25">
      <c r="A1983" s="115">
        <v>-2</v>
      </c>
      <c r="B1983" s="115" t="s">
        <v>3518</v>
      </c>
      <c r="C1983" s="115" t="s">
        <v>1138</v>
      </c>
      <c r="D1983" s="115" t="s">
        <v>3519</v>
      </c>
      <c r="E1983" s="115" t="s">
        <v>3520</v>
      </c>
    </row>
    <row r="1984" spans="1:5" x14ac:dyDescent="0.25">
      <c r="A1984" s="115">
        <v>27</v>
      </c>
      <c r="B1984" s="115" t="s">
        <v>3521</v>
      </c>
      <c r="D1984" s="115" t="s">
        <v>3522</v>
      </c>
      <c r="E1984" s="115" t="s">
        <v>3523</v>
      </c>
    </row>
    <row r="1985" spans="1:5" x14ac:dyDescent="0.25">
      <c r="B1985" s="115" t="s">
        <v>1424</v>
      </c>
      <c r="D1985" s="115" t="s">
        <v>3524</v>
      </c>
      <c r="E1985" s="115" t="s">
        <v>1819</v>
      </c>
    </row>
    <row r="1986" spans="1:5" x14ac:dyDescent="0.25">
      <c r="B1986" s="115" t="s">
        <v>3525</v>
      </c>
      <c r="D1986" s="115" t="s">
        <v>3526</v>
      </c>
      <c r="E1986" s="115" t="s">
        <v>3527</v>
      </c>
    </row>
    <row r="1987" spans="1:5" x14ac:dyDescent="0.25">
      <c r="A1987" s="115">
        <v>25</v>
      </c>
      <c r="B1987" s="115" t="s">
        <v>3528</v>
      </c>
      <c r="D1987" s="115" t="s">
        <v>3529</v>
      </c>
      <c r="E1987" s="115" t="s">
        <v>3530</v>
      </c>
    </row>
    <row r="1988" spans="1:5" x14ac:dyDescent="0.25">
      <c r="B1988" s="115" t="s">
        <v>1516</v>
      </c>
      <c r="D1988" s="115" t="s">
        <v>3531</v>
      </c>
      <c r="E1988" s="115" t="s">
        <v>1859</v>
      </c>
    </row>
    <row r="1989" spans="1:5" x14ac:dyDescent="0.25">
      <c r="A1989" s="115" t="s">
        <v>1138</v>
      </c>
      <c r="B1989" s="115" t="s">
        <v>3532</v>
      </c>
      <c r="D1989" s="115" t="s">
        <v>3533</v>
      </c>
      <c r="E1989" s="115" t="s">
        <v>3534</v>
      </c>
    </row>
    <row r="1990" spans="1:5" x14ac:dyDescent="0.25">
      <c r="A1990" s="115">
        <v>25</v>
      </c>
      <c r="B1990" s="115" t="s">
        <v>3535</v>
      </c>
      <c r="D1990" s="115" t="s">
        <v>3536</v>
      </c>
      <c r="E1990" s="115" t="s">
        <v>3537</v>
      </c>
    </row>
    <row r="1991" spans="1:5" x14ac:dyDescent="0.25">
      <c r="B1991" s="115" t="s">
        <v>1351</v>
      </c>
      <c r="D1991" s="115" t="s">
        <v>3538</v>
      </c>
      <c r="E1991" s="115" t="s">
        <v>1141</v>
      </c>
    </row>
    <row r="1992" spans="1:5" x14ac:dyDescent="0.25">
      <c r="A1992" s="115" t="s">
        <v>1138</v>
      </c>
      <c r="B1992" s="115" t="s">
        <v>3539</v>
      </c>
      <c r="D1992" s="115" t="s">
        <v>3540</v>
      </c>
      <c r="E1992" s="115" t="s">
        <v>1141</v>
      </c>
    </row>
    <row r="1993" spans="1:5" x14ac:dyDescent="0.25">
      <c r="A1993" s="115">
        <v>-1</v>
      </c>
      <c r="B1993" s="115" t="s">
        <v>3541</v>
      </c>
      <c r="C1993" s="115" t="s">
        <v>1138</v>
      </c>
      <c r="D1993" s="115" t="s">
        <v>3542</v>
      </c>
      <c r="E1993" s="115" t="s">
        <v>3543</v>
      </c>
    </row>
    <row r="1994" spans="1:5" x14ac:dyDescent="0.25">
      <c r="B1994" s="115" t="s">
        <v>1139</v>
      </c>
      <c r="D1994" s="115" t="s">
        <v>3544</v>
      </c>
      <c r="E1994" s="115" t="s">
        <v>1141</v>
      </c>
    </row>
    <row r="1995" spans="1:5" x14ac:dyDescent="0.25">
      <c r="B1995" s="115" t="s">
        <v>1139</v>
      </c>
      <c r="D1995" s="115" t="s">
        <v>3545</v>
      </c>
      <c r="E1995" s="115" t="s">
        <v>3546</v>
      </c>
    </row>
    <row r="1996" spans="1:5" x14ac:dyDescent="0.25">
      <c r="A1996" s="115" t="s">
        <v>1138</v>
      </c>
      <c r="B1996" s="115" t="s">
        <v>3547</v>
      </c>
      <c r="D1996" s="115" t="s">
        <v>3548</v>
      </c>
      <c r="E1996" s="115" t="s">
        <v>3549</v>
      </c>
    </row>
    <row r="1997" spans="1:5" x14ac:dyDescent="0.25">
      <c r="B1997" s="115" t="s">
        <v>1139</v>
      </c>
      <c r="D1997" s="115" t="s">
        <v>1860</v>
      </c>
      <c r="E1997" s="115" t="s">
        <v>1141</v>
      </c>
    </row>
    <row r="1998" spans="1:5" x14ac:dyDescent="0.25">
      <c r="B1998" s="115" t="s">
        <v>1139</v>
      </c>
      <c r="D1998" s="115" t="s">
        <v>3550</v>
      </c>
      <c r="E1998" s="115" t="s">
        <v>3551</v>
      </c>
    </row>
    <row r="1999" spans="1:5" x14ac:dyDescent="0.25">
      <c r="B1999" s="115" t="s">
        <v>3552</v>
      </c>
      <c r="D1999" s="115" t="s">
        <v>3553</v>
      </c>
      <c r="E1999" s="115" t="s">
        <v>3554</v>
      </c>
    </row>
    <row r="2000" spans="1:5" x14ac:dyDescent="0.25">
      <c r="B2000" s="115" t="s">
        <v>3555</v>
      </c>
      <c r="D2000" s="115" t="s">
        <v>3556</v>
      </c>
      <c r="E2000" s="115" t="s">
        <v>2260</v>
      </c>
    </row>
    <row r="2001" spans="1:5" x14ac:dyDescent="0.25">
      <c r="B2001" s="115" t="s">
        <v>3557</v>
      </c>
      <c r="D2001" s="115" t="s">
        <v>3558</v>
      </c>
      <c r="E2001" s="115" t="s">
        <v>3559</v>
      </c>
    </row>
    <row r="2002" spans="1:5" x14ac:dyDescent="0.25">
      <c r="A2002" s="115">
        <v>-2</v>
      </c>
      <c r="B2002" s="115" t="s">
        <v>3560</v>
      </c>
      <c r="D2002" s="115" t="s">
        <v>3561</v>
      </c>
      <c r="E2002" s="115" t="s">
        <v>3562</v>
      </c>
    </row>
    <row r="2003" spans="1:5" x14ac:dyDescent="0.25">
      <c r="A2003" s="115" t="s">
        <v>1138</v>
      </c>
      <c r="B2003" s="115" t="s">
        <v>3563</v>
      </c>
      <c r="D2003" s="115">
        <f>-542  -1257   -421   -53</f>
        <v>-2273</v>
      </c>
      <c r="E2003" s="115" t="s">
        <v>1141</v>
      </c>
    </row>
    <row r="2004" spans="1:5" x14ac:dyDescent="0.25">
      <c r="B2004" s="115" t="s">
        <v>3564</v>
      </c>
      <c r="D2004" s="115" t="s">
        <v>3565</v>
      </c>
      <c r="E2004" s="115" t="s">
        <v>3566</v>
      </c>
    </row>
    <row r="2005" spans="1:5" x14ac:dyDescent="0.25">
      <c r="B2005" s="115" t="s">
        <v>1394</v>
      </c>
      <c r="D2005" s="115" t="s">
        <v>3567</v>
      </c>
      <c r="E2005" s="115" t="s">
        <v>3568</v>
      </c>
    </row>
    <row r="2006" spans="1:5" x14ac:dyDescent="0.25">
      <c r="B2006" s="115" t="s">
        <v>2361</v>
      </c>
      <c r="D2006" s="115" t="s">
        <v>3569</v>
      </c>
      <c r="E2006" s="115" t="s">
        <v>2690</v>
      </c>
    </row>
    <row r="2007" spans="1:5" x14ac:dyDescent="0.25">
      <c r="B2007" s="115" t="s">
        <v>3570</v>
      </c>
      <c r="D2007" s="115" t="s">
        <v>3571</v>
      </c>
      <c r="E2007" s="115" t="s">
        <v>3572</v>
      </c>
    </row>
    <row r="2008" spans="1:5" x14ac:dyDescent="0.25">
      <c r="A2008" s="115" t="s">
        <v>1138</v>
      </c>
      <c r="B2008" s="115" t="s">
        <v>3573</v>
      </c>
      <c r="D2008" s="115" t="s">
        <v>3574</v>
      </c>
      <c r="E2008" s="115" t="s">
        <v>3575</v>
      </c>
    </row>
    <row r="2009" spans="1:5" x14ac:dyDescent="0.25">
      <c r="A2009" s="115" t="s">
        <v>1138</v>
      </c>
      <c r="B2009" s="115" t="s">
        <v>3576</v>
      </c>
      <c r="D2009" s="115" t="s">
        <v>3577</v>
      </c>
      <c r="E2009" s="115" t="s">
        <v>1141</v>
      </c>
    </row>
    <row r="2010" spans="1:5" x14ac:dyDescent="0.25">
      <c r="B2010" s="115" t="s">
        <v>3578</v>
      </c>
      <c r="D2010" s="115" t="s">
        <v>3579</v>
      </c>
      <c r="E2010" s="115" t="s">
        <v>1141</v>
      </c>
    </row>
    <row r="2011" spans="1:5" x14ac:dyDescent="0.25">
      <c r="A2011" s="115">
        <v>16</v>
      </c>
      <c r="B2011" s="115" t="s">
        <v>3580</v>
      </c>
      <c r="D2011" s="115" t="s">
        <v>3581</v>
      </c>
      <c r="E2011" s="115" t="s">
        <v>3582</v>
      </c>
    </row>
    <row r="2012" spans="1:5" x14ac:dyDescent="0.25">
      <c r="B2012" s="115" t="s">
        <v>1139</v>
      </c>
      <c r="D2012" s="115" t="s">
        <v>3583</v>
      </c>
      <c r="E2012" s="115" t="s">
        <v>1141</v>
      </c>
    </row>
    <row r="2013" spans="1:5" x14ac:dyDescent="0.25">
      <c r="B2013" s="115" t="s">
        <v>1139</v>
      </c>
      <c r="D2013" s="115" t="s">
        <v>3584</v>
      </c>
      <c r="E2013" s="115" t="s">
        <v>3585</v>
      </c>
    </row>
    <row r="2014" spans="1:5" x14ac:dyDescent="0.25">
      <c r="B2014" s="115" t="s">
        <v>3586</v>
      </c>
      <c r="D2014" s="115" t="s">
        <v>1425</v>
      </c>
      <c r="E2014" s="115" t="s">
        <v>3587</v>
      </c>
    </row>
    <row r="2015" spans="1:5" x14ac:dyDescent="0.25">
      <c r="B2015" s="115" t="s">
        <v>1575</v>
      </c>
      <c r="D2015" s="115" t="s">
        <v>1140</v>
      </c>
      <c r="E2015" s="115" t="s">
        <v>3588</v>
      </c>
    </row>
    <row r="2016" spans="1:5" x14ac:dyDescent="0.25">
      <c r="B2016" s="115" t="s">
        <v>1139</v>
      </c>
      <c r="D2016" s="115" t="s">
        <v>3589</v>
      </c>
      <c r="E2016" s="115" t="s">
        <v>3590</v>
      </c>
    </row>
    <row r="2017" spans="1:5" x14ac:dyDescent="0.25">
      <c r="B2017" s="115" t="s">
        <v>1139</v>
      </c>
      <c r="D2017" s="115">
        <f>-704  -1520   -119</f>
        <v>-2343</v>
      </c>
      <c r="E2017" s="115" t="s">
        <v>3591</v>
      </c>
    </row>
    <row r="2018" spans="1:5" x14ac:dyDescent="0.25">
      <c r="A2018" s="115" t="s">
        <v>1138</v>
      </c>
      <c r="B2018" s="115" t="s">
        <v>3592</v>
      </c>
      <c r="D2018" s="115" t="s">
        <v>3593</v>
      </c>
      <c r="E2018" s="115" t="s">
        <v>3594</v>
      </c>
    </row>
    <row r="2019" spans="1:5" x14ac:dyDescent="0.25">
      <c r="B2019" s="115" t="s">
        <v>1551</v>
      </c>
      <c r="D2019" s="115" t="s">
        <v>3595</v>
      </c>
      <c r="E2019" s="115" t="s">
        <v>3596</v>
      </c>
    </row>
    <row r="2020" spans="1:5" x14ac:dyDescent="0.25">
      <c r="A2020" s="115">
        <v>1</v>
      </c>
      <c r="B2020" s="115" t="s">
        <v>3597</v>
      </c>
      <c r="D2020" s="115" t="s">
        <v>3598</v>
      </c>
      <c r="E2020" s="115" t="s">
        <v>3599</v>
      </c>
    </row>
    <row r="2021" spans="1:5" x14ac:dyDescent="0.25">
      <c r="A2021" s="115" t="s">
        <v>1138</v>
      </c>
      <c r="B2021" s="115" t="s">
        <v>3600</v>
      </c>
      <c r="D2021" s="115" t="s">
        <v>3601</v>
      </c>
      <c r="E2021" s="115" t="s">
        <v>3602</v>
      </c>
    </row>
    <row r="2022" spans="1:5" x14ac:dyDescent="0.25">
      <c r="B2022" s="115" t="s">
        <v>3603</v>
      </c>
      <c r="D2022" s="115" t="s">
        <v>3604</v>
      </c>
      <c r="E2022" s="115" t="s">
        <v>3605</v>
      </c>
    </row>
    <row r="2023" spans="1:5" x14ac:dyDescent="0.25">
      <c r="B2023" s="115" t="s">
        <v>3606</v>
      </c>
      <c r="D2023" s="115" t="s">
        <v>3607</v>
      </c>
      <c r="E2023" s="115" t="s">
        <v>3608</v>
      </c>
    </row>
    <row r="2024" spans="1:5" x14ac:dyDescent="0.25">
      <c r="B2024" s="115" t="s">
        <v>1139</v>
      </c>
      <c r="D2024" s="115" t="s">
        <v>3609</v>
      </c>
      <c r="E2024" s="115" t="s">
        <v>3610</v>
      </c>
    </row>
    <row r="2025" spans="1:5" x14ac:dyDescent="0.25">
      <c r="B2025" s="115" t="s">
        <v>3611</v>
      </c>
      <c r="D2025" s="115" t="s">
        <v>3612</v>
      </c>
      <c r="E2025" s="115" t="s">
        <v>2573</v>
      </c>
    </row>
    <row r="2026" spans="1:5" x14ac:dyDescent="0.25">
      <c r="B2026" s="115" t="s">
        <v>3613</v>
      </c>
      <c r="D2026" s="115">
        <f>-208  -3868   -587</f>
        <v>-4663</v>
      </c>
      <c r="E2026" s="115" t="s">
        <v>3614</v>
      </c>
    </row>
    <row r="2027" spans="1:5" x14ac:dyDescent="0.25">
      <c r="B2027" s="115" t="s">
        <v>1400</v>
      </c>
      <c r="D2027" s="115" t="s">
        <v>1437</v>
      </c>
      <c r="E2027" s="115" t="s">
        <v>1141</v>
      </c>
    </row>
    <row r="2028" spans="1:5" x14ac:dyDescent="0.25">
      <c r="B2028" s="115" t="s">
        <v>3615</v>
      </c>
      <c r="D2028" s="115" t="s">
        <v>3616</v>
      </c>
      <c r="E2028" s="115" t="s">
        <v>1141</v>
      </c>
    </row>
    <row r="2029" spans="1:5" x14ac:dyDescent="0.25">
      <c r="B2029" s="115" t="s">
        <v>3617</v>
      </c>
      <c r="C2029" s="115" t="s">
        <v>1138</v>
      </c>
      <c r="D2029" s="115" t="s">
        <v>3618</v>
      </c>
      <c r="E2029" s="115" t="s">
        <v>3619</v>
      </c>
    </row>
    <row r="2030" spans="1:5" x14ac:dyDescent="0.25">
      <c r="B2030" s="115" t="s">
        <v>1481</v>
      </c>
      <c r="D2030" s="115" t="s">
        <v>2384</v>
      </c>
      <c r="E2030" s="115" t="s">
        <v>3620</v>
      </c>
    </row>
    <row r="2031" spans="1:5" x14ac:dyDescent="0.25">
      <c r="B2031" s="115" t="s">
        <v>1139</v>
      </c>
      <c r="D2031" s="115" t="s">
        <v>3621</v>
      </c>
      <c r="E2031" s="115" t="s">
        <v>3622</v>
      </c>
    </row>
    <row r="2032" spans="1:5" x14ac:dyDescent="0.25">
      <c r="B2032" s="115" t="s">
        <v>3623</v>
      </c>
      <c r="D2032" s="115" t="s">
        <v>3624</v>
      </c>
      <c r="E2032" s="115" t="s">
        <v>3625</v>
      </c>
    </row>
    <row r="2033" spans="1:5" x14ac:dyDescent="0.25">
      <c r="B2033" s="115" t="s">
        <v>1139</v>
      </c>
      <c r="D2033" s="115" t="s">
        <v>1422</v>
      </c>
      <c r="E2033" s="115" t="s">
        <v>3626</v>
      </c>
    </row>
    <row r="2034" spans="1:5" x14ac:dyDescent="0.25">
      <c r="B2034" s="115" t="s">
        <v>1139</v>
      </c>
      <c r="D2034" s="115" t="s">
        <v>1140</v>
      </c>
      <c r="E2034" s="115" t="s">
        <v>3627</v>
      </c>
    </row>
    <row r="2035" spans="1:5" x14ac:dyDescent="0.25">
      <c r="B2035" s="115" t="s">
        <v>1139</v>
      </c>
      <c r="D2035" s="115" t="s">
        <v>3628</v>
      </c>
      <c r="E2035" s="115" t="s">
        <v>3629</v>
      </c>
    </row>
    <row r="2036" spans="1:5" x14ac:dyDescent="0.25">
      <c r="B2036" s="115" t="s">
        <v>1251</v>
      </c>
      <c r="D2036" s="115">
        <f>-133    -89    -82    -1</f>
        <v>-305</v>
      </c>
      <c r="E2036" s="115" t="s">
        <v>3630</v>
      </c>
    </row>
    <row r="2037" spans="1:5" x14ac:dyDescent="0.25">
      <c r="B2037" s="115" t="s">
        <v>1139</v>
      </c>
      <c r="D2037" s="115" t="s">
        <v>3631</v>
      </c>
      <c r="E2037" s="115" t="s">
        <v>3632</v>
      </c>
    </row>
    <row r="2038" spans="1:5" x14ac:dyDescent="0.25">
      <c r="A2038" s="115">
        <v>1</v>
      </c>
      <c r="B2038" s="115" t="s">
        <v>3633</v>
      </c>
      <c r="D2038" s="115" t="s">
        <v>3634</v>
      </c>
      <c r="E2038" s="115" t="s">
        <v>3635</v>
      </c>
    </row>
    <row r="2039" spans="1:5" x14ac:dyDescent="0.25">
      <c r="B2039" s="115" t="s">
        <v>1139</v>
      </c>
      <c r="D2039" s="115" t="s">
        <v>3636</v>
      </c>
      <c r="E2039" s="115" t="s">
        <v>3637</v>
      </c>
    </row>
    <row r="2040" spans="1:5" x14ac:dyDescent="0.25">
      <c r="B2040" s="115" t="s">
        <v>1139</v>
      </c>
      <c r="D2040" s="115" t="s">
        <v>3638</v>
      </c>
      <c r="E2040" s="115" t="s">
        <v>3639</v>
      </c>
    </row>
    <row r="2041" spans="1:5" x14ac:dyDescent="0.25">
      <c r="A2041" s="115" t="s">
        <v>1138</v>
      </c>
      <c r="B2041" s="115" t="s">
        <v>3640</v>
      </c>
      <c r="D2041" s="115" t="s">
        <v>3641</v>
      </c>
      <c r="E2041" s="115" t="s">
        <v>3642</v>
      </c>
    </row>
    <row r="2042" spans="1:5" x14ac:dyDescent="0.25">
      <c r="B2042" s="115" t="s">
        <v>1388</v>
      </c>
      <c r="D2042" s="115" t="s">
        <v>3643</v>
      </c>
      <c r="E2042" s="115" t="s">
        <v>3644</v>
      </c>
    </row>
    <row r="2043" spans="1:5" x14ac:dyDescent="0.25">
      <c r="B2043" s="115" t="s">
        <v>1139</v>
      </c>
      <c r="D2043" s="115" t="s">
        <v>3645</v>
      </c>
      <c r="E2043" s="115" t="s">
        <v>3646</v>
      </c>
    </row>
    <row r="2044" spans="1:5" x14ac:dyDescent="0.25">
      <c r="B2044" s="115" t="s">
        <v>1139</v>
      </c>
      <c r="D2044" s="115" t="s">
        <v>3647</v>
      </c>
      <c r="E2044" s="115" t="s">
        <v>3648</v>
      </c>
    </row>
    <row r="2045" spans="1:5" x14ac:dyDescent="0.25">
      <c r="B2045" s="115" t="s">
        <v>3649</v>
      </c>
      <c r="D2045" s="115" t="s">
        <v>3650</v>
      </c>
      <c r="E2045" s="115" t="s">
        <v>2537</v>
      </c>
    </row>
    <row r="2046" spans="1:5" x14ac:dyDescent="0.25">
      <c r="B2046" s="115" t="s">
        <v>1139</v>
      </c>
      <c r="D2046" s="115" t="s">
        <v>3651</v>
      </c>
      <c r="E2046" s="115" t="s">
        <v>3652</v>
      </c>
    </row>
    <row r="2047" spans="1:5" x14ac:dyDescent="0.25">
      <c r="B2047" s="115" t="s">
        <v>1139</v>
      </c>
      <c r="D2047" s="115" t="s">
        <v>3653</v>
      </c>
      <c r="E2047" s="115" t="s">
        <v>3654</v>
      </c>
    </row>
    <row r="2048" spans="1:5" x14ac:dyDescent="0.25">
      <c r="B2048" s="115" t="s">
        <v>1139</v>
      </c>
      <c r="D2048" s="115" t="s">
        <v>3655</v>
      </c>
      <c r="E2048" s="115" t="s">
        <v>3656</v>
      </c>
    </row>
    <row r="2049" spans="1:5" x14ac:dyDescent="0.25">
      <c r="B2049" s="115" t="s">
        <v>1139</v>
      </c>
      <c r="D2049" s="115" t="s">
        <v>1140</v>
      </c>
      <c r="E2049" s="115" t="s">
        <v>3657</v>
      </c>
    </row>
    <row r="2050" spans="1:5" x14ac:dyDescent="0.25">
      <c r="B2050" s="115" t="s">
        <v>1139</v>
      </c>
      <c r="D2050" s="115" t="s">
        <v>3658</v>
      </c>
      <c r="E2050" s="115" t="s">
        <v>3659</v>
      </c>
    </row>
    <row r="2051" spans="1:5" x14ac:dyDescent="0.25">
      <c r="B2051" s="115" t="s">
        <v>1378</v>
      </c>
      <c r="D2051" s="115" t="s">
        <v>1140</v>
      </c>
      <c r="E2051" s="115" t="s">
        <v>2690</v>
      </c>
    </row>
    <row r="2052" spans="1:5" x14ac:dyDescent="0.25">
      <c r="B2052" s="115" t="s">
        <v>1660</v>
      </c>
      <c r="D2052" s="115" t="s">
        <v>1140</v>
      </c>
      <c r="E2052" s="115" t="s">
        <v>3660</v>
      </c>
    </row>
    <row r="2053" spans="1:5" x14ac:dyDescent="0.25">
      <c r="A2053" s="115">
        <v>1</v>
      </c>
      <c r="B2053" s="115" t="s">
        <v>3661</v>
      </c>
      <c r="D2053" s="115" t="s">
        <v>1187</v>
      </c>
      <c r="E2053" s="115" t="s">
        <v>3662</v>
      </c>
    </row>
    <row r="2054" spans="1:5" x14ac:dyDescent="0.25">
      <c r="B2054" s="115" t="s">
        <v>1139</v>
      </c>
      <c r="D2054" s="115" t="s">
        <v>3663</v>
      </c>
      <c r="E2054" s="115" t="s">
        <v>3664</v>
      </c>
    </row>
    <row r="2055" spans="1:5" x14ac:dyDescent="0.25">
      <c r="B2055" s="115" t="s">
        <v>3665</v>
      </c>
      <c r="D2055" s="115" t="s">
        <v>1140</v>
      </c>
      <c r="E2055" s="115" t="s">
        <v>3666</v>
      </c>
    </row>
    <row r="2056" spans="1:5" x14ac:dyDescent="0.25">
      <c r="A2056" s="115">
        <v>1</v>
      </c>
      <c r="B2056" s="115" t="s">
        <v>3667</v>
      </c>
      <c r="D2056" s="115" t="s">
        <v>3668</v>
      </c>
      <c r="E2056" s="115" t="s">
        <v>3669</v>
      </c>
    </row>
    <row r="2057" spans="1:5" x14ac:dyDescent="0.25">
      <c r="A2057" s="115">
        <v>-6</v>
      </c>
      <c r="B2057" s="115" t="s">
        <v>3670</v>
      </c>
      <c r="C2057" s="115" t="s">
        <v>1138</v>
      </c>
      <c r="D2057" s="115" t="s">
        <v>3671</v>
      </c>
      <c r="E2057" s="115" t="s">
        <v>3672</v>
      </c>
    </row>
    <row r="2058" spans="1:5" x14ac:dyDescent="0.25">
      <c r="A2058" s="115" t="s">
        <v>1138</v>
      </c>
      <c r="B2058" s="115" t="s">
        <v>3673</v>
      </c>
      <c r="D2058" s="115" t="s">
        <v>1140</v>
      </c>
      <c r="E2058" s="115" t="s">
        <v>3674</v>
      </c>
    </row>
    <row r="2059" spans="1:5" x14ac:dyDescent="0.25">
      <c r="A2059" s="115">
        <v>1</v>
      </c>
      <c r="B2059" s="115" t="s">
        <v>3675</v>
      </c>
      <c r="D2059" s="115" t="s">
        <v>3676</v>
      </c>
      <c r="E2059" s="115" t="s">
        <v>3677</v>
      </c>
    </row>
    <row r="2060" spans="1:5" x14ac:dyDescent="0.25">
      <c r="B2060" s="115" t="s">
        <v>3678</v>
      </c>
      <c r="D2060" s="115" t="s">
        <v>3679</v>
      </c>
      <c r="E2060" s="115" t="s">
        <v>3680</v>
      </c>
    </row>
    <row r="2061" spans="1:5" x14ac:dyDescent="0.25">
      <c r="B2061" s="115" t="s">
        <v>3681</v>
      </c>
      <c r="D2061" s="115" t="s">
        <v>1140</v>
      </c>
      <c r="E2061" s="115" t="s">
        <v>3682</v>
      </c>
    </row>
    <row r="2062" spans="1:5" x14ac:dyDescent="0.25">
      <c r="A2062" s="115">
        <v>1</v>
      </c>
      <c r="B2062" s="115" t="s">
        <v>3683</v>
      </c>
      <c r="D2062" s="115" t="s">
        <v>3684</v>
      </c>
      <c r="E2062" s="115" t="s">
        <v>3685</v>
      </c>
    </row>
    <row r="2063" spans="1:5" x14ac:dyDescent="0.25">
      <c r="B2063" s="115" t="s">
        <v>3686</v>
      </c>
      <c r="D2063" s="115" t="s">
        <v>3687</v>
      </c>
      <c r="E2063" s="115" t="s">
        <v>3688</v>
      </c>
    </row>
    <row r="2064" spans="1:5" x14ac:dyDescent="0.25">
      <c r="B2064" s="115" t="s">
        <v>1139</v>
      </c>
      <c r="D2064" s="115" t="s">
        <v>1140</v>
      </c>
      <c r="E2064" s="115" t="s">
        <v>3689</v>
      </c>
    </row>
    <row r="2065" spans="1:5" x14ac:dyDescent="0.25">
      <c r="A2065" s="115">
        <v>-6</v>
      </c>
      <c r="B2065" s="115" t="s">
        <v>1266</v>
      </c>
      <c r="D2065" s="115" t="s">
        <v>1140</v>
      </c>
      <c r="E2065" s="115" t="s">
        <v>3690</v>
      </c>
    </row>
    <row r="2066" spans="1:5" x14ac:dyDescent="0.25">
      <c r="A2066" s="115" t="s">
        <v>1138</v>
      </c>
      <c r="B2066" s="115" t="s">
        <v>3691</v>
      </c>
      <c r="D2066" s="115" t="s">
        <v>3692</v>
      </c>
      <c r="E2066" s="115" t="s">
        <v>3693</v>
      </c>
    </row>
    <row r="2067" spans="1:5" x14ac:dyDescent="0.25">
      <c r="B2067" s="115" t="s">
        <v>1139</v>
      </c>
      <c r="D2067" s="115" t="s">
        <v>3694</v>
      </c>
      <c r="E2067" s="115" t="s">
        <v>1141</v>
      </c>
    </row>
    <row r="2068" spans="1:5" x14ac:dyDescent="0.25">
      <c r="B2068" s="115" t="s">
        <v>1139</v>
      </c>
      <c r="D2068" s="115" t="s">
        <v>3695</v>
      </c>
      <c r="E2068" s="115" t="s">
        <v>3696</v>
      </c>
    </row>
    <row r="2069" spans="1:5" x14ac:dyDescent="0.25">
      <c r="A2069" s="115">
        <v>-1</v>
      </c>
      <c r="B2069" s="115" t="s">
        <v>3697</v>
      </c>
      <c r="D2069" s="115" t="s">
        <v>2893</v>
      </c>
      <c r="E2069" s="115" t="s">
        <v>3698</v>
      </c>
    </row>
    <row r="2070" spans="1:5" x14ac:dyDescent="0.25">
      <c r="B2070" s="115" t="s">
        <v>1139</v>
      </c>
      <c r="D2070" s="115" t="s">
        <v>3699</v>
      </c>
      <c r="E2070" s="115" t="s">
        <v>1141</v>
      </c>
    </row>
    <row r="2071" spans="1:5" x14ac:dyDescent="0.25">
      <c r="B2071" s="115" t="s">
        <v>1139</v>
      </c>
      <c r="D2071" s="115" t="s">
        <v>3700</v>
      </c>
      <c r="E2071" s="115" t="s">
        <v>3701</v>
      </c>
    </row>
    <row r="2072" spans="1:5" x14ac:dyDescent="0.25">
      <c r="B2072" s="115" t="s">
        <v>3702</v>
      </c>
      <c r="C2072" s="115" t="s">
        <v>1138</v>
      </c>
      <c r="D2072" s="115" t="s">
        <v>3703</v>
      </c>
      <c r="E2072" s="115" t="s">
        <v>3704</v>
      </c>
    </row>
    <row r="2073" spans="1:5" x14ac:dyDescent="0.25">
      <c r="B2073" s="115" t="s">
        <v>3705</v>
      </c>
      <c r="D2073" s="115" t="s">
        <v>3706</v>
      </c>
      <c r="E2073" s="115" t="s">
        <v>1819</v>
      </c>
    </row>
    <row r="2074" spans="1:5" x14ac:dyDescent="0.25">
      <c r="A2074" s="115">
        <v>-2</v>
      </c>
      <c r="B2074" s="115" t="s">
        <v>3707</v>
      </c>
      <c r="D2074" s="115" t="s">
        <v>3708</v>
      </c>
      <c r="E2074" s="115" t="s">
        <v>3709</v>
      </c>
    </row>
    <row r="2075" spans="1:5" x14ac:dyDescent="0.25">
      <c r="A2075" s="115">
        <v>-1</v>
      </c>
      <c r="B2075" s="115" t="s">
        <v>3710</v>
      </c>
      <c r="D2075" s="115" t="s">
        <v>3711</v>
      </c>
      <c r="E2075" s="115" t="s">
        <v>3712</v>
      </c>
    </row>
    <row r="2076" spans="1:5" x14ac:dyDescent="0.25">
      <c r="A2076" s="115" t="s">
        <v>1138</v>
      </c>
      <c r="B2076" s="115" t="s">
        <v>1548</v>
      </c>
      <c r="D2076" s="115" t="s">
        <v>3713</v>
      </c>
      <c r="E2076" s="115" t="s">
        <v>2690</v>
      </c>
    </row>
    <row r="2077" spans="1:5" x14ac:dyDescent="0.25">
      <c r="A2077" s="115" t="s">
        <v>1138</v>
      </c>
      <c r="B2077" s="115" t="s">
        <v>3714</v>
      </c>
      <c r="D2077" s="115" t="s">
        <v>3715</v>
      </c>
      <c r="E2077" s="115" t="s">
        <v>3716</v>
      </c>
    </row>
    <row r="2078" spans="1:5" x14ac:dyDescent="0.25">
      <c r="A2078" s="115">
        <v>-1</v>
      </c>
      <c r="B2078" s="115" t="s">
        <v>3717</v>
      </c>
      <c r="D2078" s="115" t="s">
        <v>3718</v>
      </c>
      <c r="E2078" s="115" t="s">
        <v>3719</v>
      </c>
    </row>
    <row r="2079" spans="1:5" x14ac:dyDescent="0.25">
      <c r="B2079" s="115" t="s">
        <v>3720</v>
      </c>
      <c r="D2079" s="115" t="s">
        <v>3721</v>
      </c>
      <c r="E2079" s="115" t="s">
        <v>2537</v>
      </c>
    </row>
    <row r="2080" spans="1:5" x14ac:dyDescent="0.25">
      <c r="A2080" s="115" t="s">
        <v>1138</v>
      </c>
      <c r="B2080" s="115" t="s">
        <v>3722</v>
      </c>
      <c r="D2080" s="115" t="s">
        <v>3723</v>
      </c>
      <c r="E2080" s="115" t="s">
        <v>3724</v>
      </c>
    </row>
    <row r="2081" spans="1:5" x14ac:dyDescent="0.25">
      <c r="A2081" s="115" t="s">
        <v>1138</v>
      </c>
      <c r="B2081" s="115" t="s">
        <v>3725</v>
      </c>
      <c r="D2081" s="115" t="s">
        <v>3726</v>
      </c>
      <c r="E2081" s="115" t="s">
        <v>3727</v>
      </c>
    </row>
    <row r="2082" spans="1:5" x14ac:dyDescent="0.25">
      <c r="B2082" s="115" t="s">
        <v>3728</v>
      </c>
      <c r="D2082" s="115" t="s">
        <v>3729</v>
      </c>
      <c r="E2082" s="115" t="s">
        <v>1141</v>
      </c>
    </row>
    <row r="2083" spans="1:5" x14ac:dyDescent="0.25">
      <c r="A2083" s="115" t="s">
        <v>1138</v>
      </c>
      <c r="B2083" s="115" t="s">
        <v>3730</v>
      </c>
      <c r="D2083" s="115" t="s">
        <v>3731</v>
      </c>
      <c r="E2083" s="115" t="s">
        <v>1141</v>
      </c>
    </row>
    <row r="2084" spans="1:5" x14ac:dyDescent="0.25">
      <c r="A2084" s="115">
        <v>-12</v>
      </c>
      <c r="B2084" s="115" t="s">
        <v>3732</v>
      </c>
      <c r="D2084" s="115" t="s">
        <v>3733</v>
      </c>
      <c r="E2084" s="115" t="s">
        <v>3734</v>
      </c>
    </row>
    <row r="2085" spans="1:5" x14ac:dyDescent="0.25">
      <c r="B2085" s="115" t="s">
        <v>3735</v>
      </c>
      <c r="D2085" s="115" t="s">
        <v>3736</v>
      </c>
      <c r="E2085" s="115" t="s">
        <v>3737</v>
      </c>
    </row>
    <row r="2086" spans="1:5" x14ac:dyDescent="0.25">
      <c r="B2086" s="115" t="s">
        <v>1139</v>
      </c>
      <c r="D2086" s="115" t="s">
        <v>1140</v>
      </c>
      <c r="E2086" s="115" t="s">
        <v>3738</v>
      </c>
    </row>
    <row r="2087" spans="1:5" x14ac:dyDescent="0.25">
      <c r="B2087" s="115" t="s">
        <v>3739</v>
      </c>
      <c r="D2087" s="115" t="s">
        <v>3740</v>
      </c>
      <c r="E2087" s="115" t="s">
        <v>3741</v>
      </c>
    </row>
    <row r="2088" spans="1:5" x14ac:dyDescent="0.25">
      <c r="B2088" s="115" t="s">
        <v>1601</v>
      </c>
      <c r="D2088" s="115" t="s">
        <v>3742</v>
      </c>
      <c r="E2088" s="115" t="s">
        <v>1141</v>
      </c>
    </row>
    <row r="2089" spans="1:5" x14ac:dyDescent="0.25">
      <c r="B2089" s="115" t="s">
        <v>1629</v>
      </c>
      <c r="D2089" s="115" t="s">
        <v>1140</v>
      </c>
      <c r="E2089" s="115" t="s">
        <v>3743</v>
      </c>
    </row>
    <row r="2090" spans="1:5" x14ac:dyDescent="0.25">
      <c r="B2090" s="115" t="s">
        <v>3744</v>
      </c>
      <c r="D2090" s="115" t="s">
        <v>1140</v>
      </c>
      <c r="E2090" s="115" t="s">
        <v>3745</v>
      </c>
    </row>
    <row r="2091" spans="1:5" x14ac:dyDescent="0.25">
      <c r="B2091" s="115" t="s">
        <v>3746</v>
      </c>
      <c r="D2091" s="115" t="s">
        <v>3747</v>
      </c>
      <c r="E2091" s="115" t="s">
        <v>3748</v>
      </c>
    </row>
    <row r="2092" spans="1:5" x14ac:dyDescent="0.25">
      <c r="B2092" s="115" t="s">
        <v>1630</v>
      </c>
      <c r="D2092" s="115" t="s">
        <v>3749</v>
      </c>
      <c r="E2092" s="115" t="s">
        <v>3750</v>
      </c>
    </row>
    <row r="2093" spans="1:5" x14ac:dyDescent="0.25">
      <c r="A2093" s="115" t="s">
        <v>1138</v>
      </c>
      <c r="B2093" s="115" t="s">
        <v>3751</v>
      </c>
      <c r="D2093" s="115" t="s">
        <v>3752</v>
      </c>
      <c r="E2093" s="115" t="s">
        <v>3753</v>
      </c>
    </row>
    <row r="2094" spans="1:5" x14ac:dyDescent="0.25">
      <c r="A2094" s="115">
        <v>-1</v>
      </c>
      <c r="B2094" s="115" t="s">
        <v>3754</v>
      </c>
      <c r="D2094" s="115" t="s">
        <v>3755</v>
      </c>
      <c r="E2094" s="115" t="s">
        <v>3756</v>
      </c>
    </row>
    <row r="2095" spans="1:5" x14ac:dyDescent="0.25">
      <c r="A2095" s="115" t="s">
        <v>1138</v>
      </c>
      <c r="B2095" s="115" t="s">
        <v>1145</v>
      </c>
      <c r="D2095" s="115" t="s">
        <v>2362</v>
      </c>
      <c r="E2095" s="115" t="s">
        <v>3757</v>
      </c>
    </row>
    <row r="2096" spans="1:5" x14ac:dyDescent="0.25">
      <c r="A2096" s="115" t="s">
        <v>1138</v>
      </c>
      <c r="B2096" s="115" t="s">
        <v>3758</v>
      </c>
      <c r="D2096" s="115" t="s">
        <v>3759</v>
      </c>
      <c r="E2096" s="115" t="s">
        <v>3760</v>
      </c>
    </row>
    <row r="2097" spans="1:5" x14ac:dyDescent="0.25">
      <c r="A2097" s="115">
        <v>-1</v>
      </c>
      <c r="B2097" s="115" t="s">
        <v>3761</v>
      </c>
      <c r="D2097" s="115" t="s">
        <v>3762</v>
      </c>
      <c r="E2097" s="115" t="s">
        <v>3763</v>
      </c>
    </row>
    <row r="2098" spans="1:5" x14ac:dyDescent="0.25">
      <c r="A2098" s="115" t="s">
        <v>1138</v>
      </c>
      <c r="B2098" s="115" t="s">
        <v>1180</v>
      </c>
      <c r="D2098" s="115" t="s">
        <v>3764</v>
      </c>
      <c r="E2098" s="115" t="s">
        <v>3765</v>
      </c>
    </row>
    <row r="2099" spans="1:5" x14ac:dyDescent="0.25">
      <c r="B2099" s="115" t="s">
        <v>1195</v>
      </c>
      <c r="D2099" s="115" t="s">
        <v>3766</v>
      </c>
      <c r="E2099" s="115" t="s">
        <v>3767</v>
      </c>
    </row>
    <row r="2100" spans="1:5" x14ac:dyDescent="0.25">
      <c r="A2100" s="115">
        <v>-1</v>
      </c>
      <c r="B2100" s="115" t="s">
        <v>1338</v>
      </c>
      <c r="D2100" s="115" t="s">
        <v>3768</v>
      </c>
      <c r="E2100" s="115" t="s">
        <v>3769</v>
      </c>
    </row>
    <row r="2101" spans="1:5" x14ac:dyDescent="0.25">
      <c r="B2101" s="115" t="s">
        <v>1139</v>
      </c>
      <c r="D2101" s="115" t="s">
        <v>3770</v>
      </c>
      <c r="E2101" s="115" t="s">
        <v>3771</v>
      </c>
    </row>
    <row r="2102" spans="1:5" x14ac:dyDescent="0.25">
      <c r="B2102" s="115" t="s">
        <v>1139</v>
      </c>
      <c r="D2102" s="115" t="s">
        <v>3772</v>
      </c>
      <c r="E2102" s="115" t="s">
        <v>3773</v>
      </c>
    </row>
    <row r="2103" spans="1:5" x14ac:dyDescent="0.25">
      <c r="A2103" s="115">
        <v>-19</v>
      </c>
      <c r="B2103" s="115" t="s">
        <v>3774</v>
      </c>
      <c r="D2103" s="115" t="s">
        <v>1140</v>
      </c>
      <c r="E2103" s="115" t="s">
        <v>1141</v>
      </c>
    </row>
    <row r="2104" spans="1:5" x14ac:dyDescent="0.25">
      <c r="B2104" s="115" t="s">
        <v>1139</v>
      </c>
      <c r="D2104" s="115" t="s">
        <v>1140</v>
      </c>
      <c r="E2104" s="115" t="s">
        <v>1141</v>
      </c>
    </row>
    <row r="2105" spans="1:5" x14ac:dyDescent="0.25">
      <c r="B2105" s="115" t="s">
        <v>1139</v>
      </c>
      <c r="D2105" s="115" t="s">
        <v>1140</v>
      </c>
      <c r="E2105" s="115" t="s">
        <v>1141</v>
      </c>
    </row>
    <row r="2106" spans="1:5" x14ac:dyDescent="0.25">
      <c r="B2106" s="115" t="s">
        <v>1139</v>
      </c>
      <c r="D2106" s="115" t="s">
        <v>1140</v>
      </c>
      <c r="E2106" s="115" t="s">
        <v>1141</v>
      </c>
    </row>
    <row r="2107" spans="1:5" x14ac:dyDescent="0.25">
      <c r="B2107" s="115" t="s">
        <v>1139</v>
      </c>
      <c r="D2107" s="115" t="s">
        <v>1140</v>
      </c>
      <c r="E2107" s="115" t="s">
        <v>1141</v>
      </c>
    </row>
    <row r="2108" spans="1:5" x14ac:dyDescent="0.25">
      <c r="B2108" s="115" t="s">
        <v>1139</v>
      </c>
      <c r="D2108" s="115" t="s">
        <v>1140</v>
      </c>
      <c r="E2108" s="115" t="s">
        <v>1141</v>
      </c>
    </row>
    <row r="2109" spans="1:5" x14ac:dyDescent="0.25">
      <c r="B2109" s="115" t="s">
        <v>1139</v>
      </c>
      <c r="D2109" s="115" t="s">
        <v>1140</v>
      </c>
      <c r="E2109" s="115" t="s">
        <v>1141</v>
      </c>
    </row>
    <row r="2110" spans="1:5" x14ac:dyDescent="0.25">
      <c r="B2110" s="115" t="s">
        <v>1139</v>
      </c>
      <c r="D2110" s="115" t="s">
        <v>1140</v>
      </c>
      <c r="E2110" s="115" t="s">
        <v>1141</v>
      </c>
    </row>
    <row r="2111" spans="1:5" x14ac:dyDescent="0.25">
      <c r="B2111" s="115" t="s">
        <v>1139</v>
      </c>
      <c r="D2111" s="115" t="s">
        <v>1140</v>
      </c>
      <c r="E2111" s="115" t="s">
        <v>1141</v>
      </c>
    </row>
    <row r="2112" spans="1:5" x14ac:dyDescent="0.25">
      <c r="B2112" s="115" t="s">
        <v>1139</v>
      </c>
      <c r="D2112" s="115" t="s">
        <v>1140</v>
      </c>
      <c r="E2112" s="115" t="s">
        <v>1141</v>
      </c>
    </row>
    <row r="2113" spans="2:5" x14ac:dyDescent="0.25">
      <c r="B2113" s="115" t="s">
        <v>1139</v>
      </c>
      <c r="D2113" s="115" t="s">
        <v>1140</v>
      </c>
      <c r="E2113" s="115" t="s">
        <v>1141</v>
      </c>
    </row>
    <row r="2114" spans="2:5" x14ac:dyDescent="0.25">
      <c r="B2114" s="115" t="s">
        <v>1139</v>
      </c>
      <c r="D2114" s="115" t="s">
        <v>1140</v>
      </c>
      <c r="E2114" s="115" t="s">
        <v>1141</v>
      </c>
    </row>
    <row r="2115" spans="2:5" x14ac:dyDescent="0.25">
      <c r="B2115" s="115" t="s">
        <v>1139</v>
      </c>
      <c r="D2115" s="115" t="s">
        <v>1140</v>
      </c>
      <c r="E2115" s="115" t="s">
        <v>1141</v>
      </c>
    </row>
    <row r="2116" spans="2:5" x14ac:dyDescent="0.25">
      <c r="B2116" s="115" t="s">
        <v>1139</v>
      </c>
      <c r="D2116" s="115" t="s">
        <v>1140</v>
      </c>
      <c r="E2116" s="115" t="s">
        <v>1141</v>
      </c>
    </row>
    <row r="2117" spans="2:5" x14ac:dyDescent="0.25">
      <c r="B2117" s="115" t="s">
        <v>1139</v>
      </c>
      <c r="D2117" s="115" t="s">
        <v>1140</v>
      </c>
      <c r="E2117" s="115" t="s">
        <v>1141</v>
      </c>
    </row>
    <row r="2118" spans="2:5" x14ac:dyDescent="0.25">
      <c r="B2118" s="115" t="s">
        <v>1139</v>
      </c>
      <c r="D2118" s="115" t="s">
        <v>1140</v>
      </c>
      <c r="E2118" s="115" t="s">
        <v>1141</v>
      </c>
    </row>
    <row r="2119" spans="2:5" x14ac:dyDescent="0.25">
      <c r="B2119" s="115" t="s">
        <v>1139</v>
      </c>
      <c r="D2119" s="115" t="s">
        <v>1140</v>
      </c>
      <c r="E2119" s="115" t="s">
        <v>1141</v>
      </c>
    </row>
    <row r="2120" spans="2:5" x14ac:dyDescent="0.25">
      <c r="B2120" s="115" t="s">
        <v>1139</v>
      </c>
      <c r="D2120" s="115" t="s">
        <v>1140</v>
      </c>
      <c r="E2120" s="115" t="s">
        <v>1141</v>
      </c>
    </row>
    <row r="2121" spans="2:5" x14ac:dyDescent="0.25">
      <c r="B2121" s="115" t="s">
        <v>1139</v>
      </c>
      <c r="D2121" s="115" t="s">
        <v>1140</v>
      </c>
      <c r="E2121" s="115" t="s">
        <v>1141</v>
      </c>
    </row>
    <row r="2122" spans="2:5" x14ac:dyDescent="0.25">
      <c r="B2122" s="115" t="s">
        <v>1139</v>
      </c>
      <c r="D2122" s="115" t="s">
        <v>1140</v>
      </c>
      <c r="E2122" s="115" t="s">
        <v>1141</v>
      </c>
    </row>
    <row r="2123" spans="2:5" x14ac:dyDescent="0.25">
      <c r="B2123" s="115" t="s">
        <v>1139</v>
      </c>
      <c r="D2123" s="115" t="s">
        <v>1140</v>
      </c>
      <c r="E2123" s="115" t="s">
        <v>1141</v>
      </c>
    </row>
    <row r="2124" spans="2:5" x14ac:dyDescent="0.25">
      <c r="B2124" s="115" t="s">
        <v>1139</v>
      </c>
      <c r="D2124" s="115" t="s">
        <v>1140</v>
      </c>
      <c r="E2124" s="115" t="s">
        <v>1141</v>
      </c>
    </row>
    <row r="2125" spans="2:5" x14ac:dyDescent="0.25">
      <c r="B2125" s="115" t="s">
        <v>1139</v>
      </c>
      <c r="D2125" s="115" t="s">
        <v>1140</v>
      </c>
      <c r="E2125" s="115" t="s">
        <v>1141</v>
      </c>
    </row>
    <row r="2126" spans="2:5" x14ac:dyDescent="0.25">
      <c r="B2126" s="115" t="s">
        <v>1139</v>
      </c>
      <c r="D2126" s="115" t="s">
        <v>1140</v>
      </c>
      <c r="E2126" s="115" t="s">
        <v>1141</v>
      </c>
    </row>
    <row r="2127" spans="2:5" x14ac:dyDescent="0.25">
      <c r="B2127" s="115" t="s">
        <v>1139</v>
      </c>
      <c r="D2127" s="115" t="s">
        <v>1140</v>
      </c>
      <c r="E2127" s="115" t="s">
        <v>1141</v>
      </c>
    </row>
    <row r="2128" spans="2:5" x14ac:dyDescent="0.25">
      <c r="B2128" s="115" t="s">
        <v>1139</v>
      </c>
      <c r="D2128" s="115" t="s">
        <v>1140</v>
      </c>
      <c r="E2128" s="115" t="s">
        <v>1141</v>
      </c>
    </row>
    <row r="2129" spans="2:5" x14ac:dyDescent="0.25">
      <c r="B2129" s="115" t="s">
        <v>1139</v>
      </c>
      <c r="D2129" s="115" t="s">
        <v>1140</v>
      </c>
      <c r="E2129" s="115" t="s">
        <v>1141</v>
      </c>
    </row>
    <row r="2130" spans="2:5" x14ac:dyDescent="0.25">
      <c r="B2130" s="115" t="s">
        <v>1139</v>
      </c>
      <c r="D2130" s="115" t="s">
        <v>1140</v>
      </c>
      <c r="E2130" s="115" t="s">
        <v>1141</v>
      </c>
    </row>
    <row r="2131" spans="2:5" x14ac:dyDescent="0.25">
      <c r="B2131" s="115" t="s">
        <v>1139</v>
      </c>
      <c r="D2131" s="115" t="s">
        <v>1140</v>
      </c>
      <c r="E2131" s="115" t="s">
        <v>1141</v>
      </c>
    </row>
    <row r="2132" spans="2:5" x14ac:dyDescent="0.25">
      <c r="B2132" s="115" t="s">
        <v>1139</v>
      </c>
      <c r="D2132" s="115" t="s">
        <v>1140</v>
      </c>
      <c r="E2132" s="115" t="s">
        <v>1141</v>
      </c>
    </row>
    <row r="2133" spans="2:5" x14ac:dyDescent="0.25">
      <c r="B2133" s="115" t="s">
        <v>1139</v>
      </c>
      <c r="D2133" s="115" t="s">
        <v>1140</v>
      </c>
      <c r="E2133" s="115" t="s">
        <v>1141</v>
      </c>
    </row>
    <row r="2134" spans="2:5" x14ac:dyDescent="0.25">
      <c r="B2134" s="115" t="s">
        <v>1139</v>
      </c>
      <c r="D2134" s="115" t="s">
        <v>1140</v>
      </c>
      <c r="E2134" s="115" t="s">
        <v>1141</v>
      </c>
    </row>
    <row r="2135" spans="2:5" x14ac:dyDescent="0.25">
      <c r="B2135" s="115" t="s">
        <v>1139</v>
      </c>
      <c r="D2135" s="115" t="s">
        <v>1140</v>
      </c>
      <c r="E2135" s="115" t="s">
        <v>1141</v>
      </c>
    </row>
    <row r="2136" spans="2:5" x14ac:dyDescent="0.25">
      <c r="B2136" s="115" t="s">
        <v>1139</v>
      </c>
      <c r="D2136" s="115" t="s">
        <v>1140</v>
      </c>
      <c r="E2136" s="115" t="s">
        <v>1141</v>
      </c>
    </row>
    <row r="2137" spans="2:5" x14ac:dyDescent="0.25">
      <c r="B2137" s="115" t="s">
        <v>1139</v>
      </c>
      <c r="D2137" s="115" t="s">
        <v>1140</v>
      </c>
      <c r="E2137" s="115" t="s">
        <v>1141</v>
      </c>
    </row>
    <row r="2138" spans="2:5" x14ac:dyDescent="0.25">
      <c r="B2138" s="115" t="s">
        <v>1139</v>
      </c>
      <c r="D2138" s="115" t="s">
        <v>1140</v>
      </c>
      <c r="E2138" s="115" t="s">
        <v>1141</v>
      </c>
    </row>
    <row r="2139" spans="2:5" x14ac:dyDescent="0.25">
      <c r="B2139" s="115" t="s">
        <v>1139</v>
      </c>
      <c r="D2139" s="115" t="s">
        <v>1140</v>
      </c>
      <c r="E2139" s="115" t="s">
        <v>1141</v>
      </c>
    </row>
    <row r="2140" spans="2:5" x14ac:dyDescent="0.25">
      <c r="B2140" s="115" t="s">
        <v>1139</v>
      </c>
      <c r="D2140" s="115" t="s">
        <v>1140</v>
      </c>
      <c r="E2140" s="115" t="s">
        <v>1141</v>
      </c>
    </row>
    <row r="2141" spans="2:5" x14ac:dyDescent="0.25">
      <c r="B2141" s="115" t="s">
        <v>1139</v>
      </c>
      <c r="D2141" s="115" t="s">
        <v>1140</v>
      </c>
      <c r="E2141" s="115" t="s">
        <v>1141</v>
      </c>
    </row>
    <row r="2142" spans="2:5" x14ac:dyDescent="0.25">
      <c r="B2142" s="115" t="s">
        <v>1139</v>
      </c>
      <c r="D2142" s="115" t="s">
        <v>1140</v>
      </c>
      <c r="E2142" s="115" t="s">
        <v>1141</v>
      </c>
    </row>
    <row r="2143" spans="2:5" x14ac:dyDescent="0.25">
      <c r="B2143" s="115" t="s">
        <v>1139</v>
      </c>
      <c r="D2143" s="115" t="s">
        <v>1140</v>
      </c>
      <c r="E2143" s="115" t="s">
        <v>1141</v>
      </c>
    </row>
    <row r="2144" spans="2:5" x14ac:dyDescent="0.25">
      <c r="B2144" s="115" t="s">
        <v>1139</v>
      </c>
      <c r="D2144" s="115" t="s">
        <v>1140</v>
      </c>
      <c r="E2144" s="115" t="s">
        <v>1141</v>
      </c>
    </row>
    <row r="2145" spans="2:5" x14ac:dyDescent="0.25">
      <c r="B2145" s="115" t="s">
        <v>1139</v>
      </c>
      <c r="D2145" s="115" t="s">
        <v>1140</v>
      </c>
      <c r="E2145" s="115" t="s">
        <v>1141</v>
      </c>
    </row>
    <row r="2146" spans="2:5" x14ac:dyDescent="0.25">
      <c r="B2146" s="115" t="s">
        <v>1139</v>
      </c>
      <c r="D2146" s="115" t="s">
        <v>1140</v>
      </c>
      <c r="E2146" s="115" t="s">
        <v>1141</v>
      </c>
    </row>
    <row r="2147" spans="2:5" x14ac:dyDescent="0.25">
      <c r="B2147" s="115" t="s">
        <v>1139</v>
      </c>
      <c r="D2147" s="115" t="s">
        <v>1140</v>
      </c>
      <c r="E2147" s="115" t="s">
        <v>1141</v>
      </c>
    </row>
    <row r="2148" spans="2:5" x14ac:dyDescent="0.25">
      <c r="B2148" s="115" t="s">
        <v>1139</v>
      </c>
      <c r="D2148" s="115" t="s">
        <v>1140</v>
      </c>
      <c r="E2148" s="115" t="s">
        <v>1141</v>
      </c>
    </row>
    <row r="2149" spans="2:5" x14ac:dyDescent="0.25">
      <c r="B2149" s="115" t="s">
        <v>1139</v>
      </c>
      <c r="D2149" s="115" t="s">
        <v>1140</v>
      </c>
      <c r="E2149" s="115" t="s">
        <v>1141</v>
      </c>
    </row>
    <row r="2150" spans="2:5" x14ac:dyDescent="0.25">
      <c r="B2150" s="115" t="s">
        <v>1139</v>
      </c>
      <c r="D2150" s="115" t="s">
        <v>1140</v>
      </c>
      <c r="E2150" s="115" t="s">
        <v>1141</v>
      </c>
    </row>
    <row r="2151" spans="2:5" x14ac:dyDescent="0.25">
      <c r="B2151" s="115" t="s">
        <v>1139</v>
      </c>
      <c r="D2151" s="115" t="s">
        <v>1140</v>
      </c>
      <c r="E2151" s="115" t="s">
        <v>1141</v>
      </c>
    </row>
    <row r="2152" spans="2:5" x14ac:dyDescent="0.25">
      <c r="B2152" s="115" t="s">
        <v>1139</v>
      </c>
      <c r="D2152" s="115" t="s">
        <v>1140</v>
      </c>
      <c r="E2152" s="115" t="s">
        <v>1141</v>
      </c>
    </row>
    <row r="2153" spans="2:5" x14ac:dyDescent="0.25">
      <c r="B2153" s="115" t="s">
        <v>1139</v>
      </c>
      <c r="D2153" s="115" t="s">
        <v>1140</v>
      </c>
      <c r="E2153" s="115" t="s">
        <v>1141</v>
      </c>
    </row>
    <row r="2154" spans="2:5" x14ac:dyDescent="0.25">
      <c r="B2154" s="115" t="s">
        <v>1139</v>
      </c>
      <c r="D2154" s="115" t="s">
        <v>1140</v>
      </c>
      <c r="E2154" s="115" t="s">
        <v>1141</v>
      </c>
    </row>
    <row r="2155" spans="2:5" x14ac:dyDescent="0.25">
      <c r="B2155" s="115" t="s">
        <v>1139</v>
      </c>
      <c r="D2155" s="115" t="s">
        <v>1140</v>
      </c>
      <c r="E2155" s="115" t="s">
        <v>1141</v>
      </c>
    </row>
    <row r="2156" spans="2:5" x14ac:dyDescent="0.25">
      <c r="B2156" s="115" t="s">
        <v>1139</v>
      </c>
      <c r="D2156" s="115" t="s">
        <v>1140</v>
      </c>
      <c r="E2156" s="115" t="s">
        <v>1141</v>
      </c>
    </row>
    <row r="2157" spans="2:5" x14ac:dyDescent="0.25">
      <c r="B2157" s="115" t="s">
        <v>1139</v>
      </c>
      <c r="D2157" s="115" t="s">
        <v>1140</v>
      </c>
      <c r="E2157" s="115" t="s">
        <v>1141</v>
      </c>
    </row>
    <row r="2158" spans="2:5" x14ac:dyDescent="0.25">
      <c r="B2158" s="115" t="s">
        <v>1139</v>
      </c>
      <c r="D2158" s="115" t="s">
        <v>1140</v>
      </c>
      <c r="E2158" s="115" t="s">
        <v>1141</v>
      </c>
    </row>
    <row r="2159" spans="2:5" x14ac:dyDescent="0.25">
      <c r="B2159" s="115" t="s">
        <v>1139</v>
      </c>
      <c r="D2159" s="115" t="s">
        <v>3775</v>
      </c>
      <c r="E2159" s="115" t="s">
        <v>3776</v>
      </c>
    </row>
    <row r="2160" spans="2:5" x14ac:dyDescent="0.25">
      <c r="B2160" s="115" t="s">
        <v>1526</v>
      </c>
      <c r="D2160" s="115" t="s">
        <v>1268</v>
      </c>
      <c r="E2160" s="115" t="s">
        <v>3777</v>
      </c>
    </row>
    <row r="2161" spans="1:5" x14ac:dyDescent="0.25">
      <c r="B2161" s="115" t="s">
        <v>1139</v>
      </c>
      <c r="D2161" s="115" t="s">
        <v>1140</v>
      </c>
      <c r="E2161" s="115" t="s">
        <v>3778</v>
      </c>
    </row>
    <row r="2162" spans="1:5" x14ac:dyDescent="0.25">
      <c r="B2162" s="115" t="s">
        <v>1589</v>
      </c>
      <c r="D2162" s="115" t="s">
        <v>3779</v>
      </c>
      <c r="E2162" s="115" t="s">
        <v>3780</v>
      </c>
    </row>
    <row r="2163" spans="1:5" x14ac:dyDescent="0.25">
      <c r="B2163" s="115" t="s">
        <v>1343</v>
      </c>
      <c r="D2163" s="115" t="s">
        <v>3781</v>
      </c>
      <c r="E2163" s="115" t="s">
        <v>1141</v>
      </c>
    </row>
    <row r="2164" spans="1:5" x14ac:dyDescent="0.25">
      <c r="B2164" s="115" t="s">
        <v>1630</v>
      </c>
      <c r="D2164" s="115" t="s">
        <v>1140</v>
      </c>
      <c r="E2164" s="115" t="s">
        <v>3782</v>
      </c>
    </row>
    <row r="2165" spans="1:5" x14ac:dyDescent="0.25">
      <c r="B2165" s="115" t="s">
        <v>3783</v>
      </c>
      <c r="D2165" s="115" t="s">
        <v>1140</v>
      </c>
      <c r="E2165" s="115" t="s">
        <v>3784</v>
      </c>
    </row>
    <row r="2166" spans="1:5" x14ac:dyDescent="0.25">
      <c r="B2166" s="115" t="s">
        <v>3785</v>
      </c>
      <c r="D2166" s="115" t="s">
        <v>3786</v>
      </c>
      <c r="E2166" s="115" t="s">
        <v>3787</v>
      </c>
    </row>
    <row r="2167" spans="1:5" x14ac:dyDescent="0.25">
      <c r="A2167" s="115" t="s">
        <v>1138</v>
      </c>
      <c r="B2167" s="115" t="s">
        <v>3788</v>
      </c>
      <c r="D2167" s="115" t="s">
        <v>3789</v>
      </c>
      <c r="E2167" s="115" t="s">
        <v>3790</v>
      </c>
    </row>
    <row r="2168" spans="1:5" x14ac:dyDescent="0.25">
      <c r="A2168" s="115" t="s">
        <v>1138</v>
      </c>
      <c r="B2168" s="115" t="s">
        <v>3791</v>
      </c>
      <c r="D2168" s="115" t="s">
        <v>3792</v>
      </c>
      <c r="E2168" s="115" t="s">
        <v>3793</v>
      </c>
    </row>
    <row r="2169" spans="1:5" x14ac:dyDescent="0.25">
      <c r="A2169" s="115" t="s">
        <v>1138</v>
      </c>
      <c r="B2169" s="115" t="s">
        <v>3794</v>
      </c>
      <c r="D2169" s="115" t="s">
        <v>3795</v>
      </c>
      <c r="E2169" s="115" t="s">
        <v>3796</v>
      </c>
    </row>
    <row r="2170" spans="1:5" x14ac:dyDescent="0.25">
      <c r="A2170" s="115" t="s">
        <v>1138</v>
      </c>
      <c r="B2170" s="115" t="s">
        <v>1342</v>
      </c>
      <c r="D2170" s="115" t="s">
        <v>1850</v>
      </c>
      <c r="E2170" s="115" t="s">
        <v>3797</v>
      </c>
    </row>
    <row r="2171" spans="1:5" x14ac:dyDescent="0.25">
      <c r="B2171" s="115" t="s">
        <v>3798</v>
      </c>
      <c r="D2171" s="115" t="s">
        <v>3799</v>
      </c>
      <c r="E2171" s="115" t="s">
        <v>3800</v>
      </c>
    </row>
    <row r="2172" spans="1:5" x14ac:dyDescent="0.25">
      <c r="A2172" s="115" t="s">
        <v>1138</v>
      </c>
      <c r="B2172" s="115" t="s">
        <v>3801</v>
      </c>
      <c r="D2172" s="115" t="s">
        <v>3802</v>
      </c>
      <c r="E2172" s="115" t="s">
        <v>3803</v>
      </c>
    </row>
    <row r="2173" spans="1:5" x14ac:dyDescent="0.25">
      <c r="A2173" s="115" t="s">
        <v>1138</v>
      </c>
      <c r="B2173" s="115" t="s">
        <v>1681</v>
      </c>
      <c r="D2173" s="115" t="s">
        <v>2625</v>
      </c>
      <c r="E2173" s="115" t="s">
        <v>3804</v>
      </c>
    </row>
    <row r="2174" spans="1:5" x14ac:dyDescent="0.25">
      <c r="B2174" s="115" t="s">
        <v>1646</v>
      </c>
      <c r="D2174" s="115" t="s">
        <v>3805</v>
      </c>
      <c r="E2174" s="115" t="s">
        <v>3806</v>
      </c>
    </row>
    <row r="2175" spans="1:5" x14ac:dyDescent="0.25">
      <c r="A2175" s="115" t="s">
        <v>1138</v>
      </c>
      <c r="B2175" s="115" t="s">
        <v>3807</v>
      </c>
      <c r="D2175" s="115" t="s">
        <v>3808</v>
      </c>
      <c r="E2175" s="115" t="s">
        <v>3809</v>
      </c>
    </row>
    <row r="2176" spans="1:5" x14ac:dyDescent="0.25">
      <c r="B2176" s="115" t="s">
        <v>1139</v>
      </c>
      <c r="D2176" s="115" t="s">
        <v>3810</v>
      </c>
      <c r="E2176" s="115" t="s">
        <v>3811</v>
      </c>
    </row>
    <row r="2177" spans="1:5" x14ac:dyDescent="0.25">
      <c r="B2177" s="115" t="s">
        <v>1139</v>
      </c>
      <c r="D2177" s="115" t="s">
        <v>3812</v>
      </c>
      <c r="E2177" s="115" t="s">
        <v>3813</v>
      </c>
    </row>
    <row r="2178" spans="1:5" x14ac:dyDescent="0.25">
      <c r="A2178" s="115">
        <v>-8</v>
      </c>
      <c r="B2178" s="115" t="s">
        <v>3814</v>
      </c>
      <c r="D2178" s="115" t="s">
        <v>1140</v>
      </c>
      <c r="E2178" s="115" t="s">
        <v>1141</v>
      </c>
    </row>
    <row r="2179" spans="1:5" x14ac:dyDescent="0.25">
      <c r="B2179" s="115" t="s">
        <v>1139</v>
      </c>
      <c r="D2179" s="115" t="s">
        <v>1140</v>
      </c>
      <c r="E2179" s="115" t="s">
        <v>1141</v>
      </c>
    </row>
    <row r="2180" spans="1:5" x14ac:dyDescent="0.25">
      <c r="B2180" s="115" t="s">
        <v>1139</v>
      </c>
      <c r="D2180" s="115" t="s">
        <v>1140</v>
      </c>
      <c r="E2180" s="115" t="s">
        <v>1141</v>
      </c>
    </row>
    <row r="2181" spans="1:5" x14ac:dyDescent="0.25">
      <c r="B2181" s="115" t="s">
        <v>1139</v>
      </c>
      <c r="D2181" s="115" t="s">
        <v>1140</v>
      </c>
      <c r="E2181" s="115" t="s">
        <v>1141</v>
      </c>
    </row>
    <row r="2182" spans="1:5" x14ac:dyDescent="0.25">
      <c r="B2182" s="115" t="s">
        <v>1139</v>
      </c>
      <c r="D2182" s="115" t="s">
        <v>1140</v>
      </c>
      <c r="E2182" s="115" t="s">
        <v>1141</v>
      </c>
    </row>
    <row r="2183" spans="1:5" x14ac:dyDescent="0.25">
      <c r="B2183" s="115" t="s">
        <v>1139</v>
      </c>
      <c r="D2183" s="115" t="s">
        <v>1140</v>
      </c>
      <c r="E2183" s="115" t="s">
        <v>1141</v>
      </c>
    </row>
    <row r="2184" spans="1:5" x14ac:dyDescent="0.25">
      <c r="B2184" s="115" t="s">
        <v>1139</v>
      </c>
      <c r="D2184" s="115" t="s">
        <v>1140</v>
      </c>
      <c r="E2184" s="115" t="s">
        <v>1141</v>
      </c>
    </row>
    <row r="2185" spans="1:5" x14ac:dyDescent="0.25">
      <c r="B2185" s="115" t="s">
        <v>1139</v>
      </c>
      <c r="D2185" s="115" t="s">
        <v>1140</v>
      </c>
      <c r="E2185" s="115" t="s">
        <v>1141</v>
      </c>
    </row>
    <row r="2186" spans="1:5" x14ac:dyDescent="0.25">
      <c r="B2186" s="115" t="s">
        <v>1139</v>
      </c>
      <c r="D2186" s="115" t="s">
        <v>1140</v>
      </c>
      <c r="E2186" s="115" t="s">
        <v>1141</v>
      </c>
    </row>
    <row r="2187" spans="1:5" x14ac:dyDescent="0.25">
      <c r="B2187" s="115" t="s">
        <v>1139</v>
      </c>
      <c r="D2187" s="115" t="s">
        <v>1140</v>
      </c>
      <c r="E2187" s="115" t="s">
        <v>1141</v>
      </c>
    </row>
    <row r="2188" spans="1:5" x14ac:dyDescent="0.25">
      <c r="B2188" s="115" t="s">
        <v>1139</v>
      </c>
      <c r="D2188" s="115" t="s">
        <v>1140</v>
      </c>
      <c r="E2188" s="115" t="s">
        <v>1141</v>
      </c>
    </row>
    <row r="2189" spans="1:5" x14ac:dyDescent="0.25">
      <c r="B2189" s="115" t="s">
        <v>1139</v>
      </c>
      <c r="D2189" s="115" t="s">
        <v>1140</v>
      </c>
      <c r="E2189" s="115" t="s">
        <v>1141</v>
      </c>
    </row>
    <row r="2190" spans="1:5" x14ac:dyDescent="0.25">
      <c r="B2190" s="115" t="s">
        <v>1139</v>
      </c>
      <c r="D2190" s="115" t="s">
        <v>1140</v>
      </c>
      <c r="E2190" s="115" t="s">
        <v>1141</v>
      </c>
    </row>
    <row r="2191" spans="1:5" x14ac:dyDescent="0.25">
      <c r="B2191" s="115" t="s">
        <v>1139</v>
      </c>
      <c r="D2191" s="115" t="s">
        <v>1140</v>
      </c>
      <c r="E2191" s="115" t="s">
        <v>1141</v>
      </c>
    </row>
    <row r="2192" spans="1:5" x14ac:dyDescent="0.25">
      <c r="B2192" s="115" t="s">
        <v>1139</v>
      </c>
      <c r="D2192" s="115" t="s">
        <v>1140</v>
      </c>
      <c r="E2192" s="115" t="s">
        <v>1141</v>
      </c>
    </row>
    <row r="2193" spans="1:5" x14ac:dyDescent="0.25">
      <c r="B2193" s="115" t="s">
        <v>1139</v>
      </c>
      <c r="D2193" s="115" t="s">
        <v>1140</v>
      </c>
      <c r="E2193" s="115" t="s">
        <v>1141</v>
      </c>
    </row>
    <row r="2194" spans="1:5" x14ac:dyDescent="0.25">
      <c r="B2194" s="115" t="s">
        <v>1139</v>
      </c>
      <c r="D2194" s="115" t="s">
        <v>1140</v>
      </c>
      <c r="E2194" s="115" t="s">
        <v>1141</v>
      </c>
    </row>
    <row r="2195" spans="1:5" x14ac:dyDescent="0.25">
      <c r="B2195" s="115" t="s">
        <v>1139</v>
      </c>
      <c r="D2195" s="115" t="s">
        <v>1140</v>
      </c>
      <c r="E2195" s="115" t="s">
        <v>1141</v>
      </c>
    </row>
    <row r="2196" spans="1:5" x14ac:dyDescent="0.25">
      <c r="B2196" s="115" t="s">
        <v>1139</v>
      </c>
      <c r="D2196" s="115" t="s">
        <v>1140</v>
      </c>
      <c r="E2196" s="115" t="s">
        <v>1141</v>
      </c>
    </row>
    <row r="2197" spans="1:5" x14ac:dyDescent="0.25">
      <c r="B2197" s="115" t="s">
        <v>1139</v>
      </c>
      <c r="D2197" s="115" t="s">
        <v>1140</v>
      </c>
      <c r="E2197" s="115" t="s">
        <v>3815</v>
      </c>
    </row>
    <row r="2198" spans="1:5" x14ac:dyDescent="0.25">
      <c r="B2198" s="115" t="s">
        <v>1139</v>
      </c>
      <c r="D2198" s="115" t="s">
        <v>3816</v>
      </c>
      <c r="E2198" s="115" t="s">
        <v>3817</v>
      </c>
    </row>
    <row r="2199" spans="1:5" x14ac:dyDescent="0.25">
      <c r="B2199" s="115" t="s">
        <v>1139</v>
      </c>
      <c r="D2199" s="115" t="s">
        <v>1140</v>
      </c>
      <c r="E2199" s="115" t="s">
        <v>3818</v>
      </c>
    </row>
    <row r="2200" spans="1:5" x14ac:dyDescent="0.25">
      <c r="B2200" s="115" t="s">
        <v>1139</v>
      </c>
      <c r="D2200" s="115" t="s">
        <v>3819</v>
      </c>
      <c r="E2200" s="115" t="s">
        <v>3820</v>
      </c>
    </row>
    <row r="2201" spans="1:5" x14ac:dyDescent="0.25">
      <c r="B2201" s="115" t="s">
        <v>3821</v>
      </c>
      <c r="D2201" s="115" t="s">
        <v>3822</v>
      </c>
      <c r="E2201" s="115" t="s">
        <v>2690</v>
      </c>
    </row>
    <row r="2202" spans="1:5" x14ac:dyDescent="0.25">
      <c r="B2202" s="115" t="s">
        <v>2497</v>
      </c>
      <c r="D2202" s="115" t="s">
        <v>1140</v>
      </c>
      <c r="E2202" s="115" t="s">
        <v>3823</v>
      </c>
    </row>
    <row r="2203" spans="1:5" x14ac:dyDescent="0.25">
      <c r="A2203" s="115">
        <v>2</v>
      </c>
      <c r="B2203" s="115" t="s">
        <v>1576</v>
      </c>
      <c r="D2203" s="115" t="s">
        <v>3824</v>
      </c>
      <c r="E2203" s="115" t="s">
        <v>3825</v>
      </c>
    </row>
    <row r="2204" spans="1:5" x14ac:dyDescent="0.25">
      <c r="B2204" s="115" t="s">
        <v>1139</v>
      </c>
      <c r="D2204" s="115" t="s">
        <v>3826</v>
      </c>
      <c r="E2204" s="115" t="s">
        <v>3827</v>
      </c>
    </row>
    <row r="2205" spans="1:5" x14ac:dyDescent="0.25">
      <c r="B2205" s="115" t="s">
        <v>3828</v>
      </c>
      <c r="D2205" s="115" t="s">
        <v>1140</v>
      </c>
      <c r="E2205" s="115" t="s">
        <v>3829</v>
      </c>
    </row>
    <row r="2206" spans="1:5" x14ac:dyDescent="0.25">
      <c r="A2206" s="115">
        <v>2</v>
      </c>
      <c r="B2206" s="115" t="s">
        <v>3830</v>
      </c>
      <c r="D2206" s="115" t="s">
        <v>3831</v>
      </c>
      <c r="E2206" s="115" t="s">
        <v>3832</v>
      </c>
    </row>
    <row r="2207" spans="1:5" x14ac:dyDescent="0.25">
      <c r="B2207" s="115" t="s">
        <v>3833</v>
      </c>
      <c r="D2207" s="115" t="s">
        <v>3834</v>
      </c>
      <c r="E2207" s="115" t="s">
        <v>3835</v>
      </c>
    </row>
    <row r="2208" spans="1:5" x14ac:dyDescent="0.25">
      <c r="B2208" s="115">
        <f>-16   -240</f>
        <v>-256</v>
      </c>
      <c r="D2208" s="115" t="s">
        <v>1140</v>
      </c>
      <c r="E2208" s="115" t="s">
        <v>3836</v>
      </c>
    </row>
    <row r="2209" spans="1:5" x14ac:dyDescent="0.25">
      <c r="A2209" s="115">
        <v>2</v>
      </c>
      <c r="B2209" s="115" t="s">
        <v>3837</v>
      </c>
      <c r="D2209" s="115" t="s">
        <v>3838</v>
      </c>
      <c r="E2209" s="115" t="s">
        <v>3839</v>
      </c>
    </row>
    <row r="2210" spans="1:5" x14ac:dyDescent="0.25">
      <c r="B2210" s="115" t="s">
        <v>1599</v>
      </c>
      <c r="C2210" s="115" t="s">
        <v>1138</v>
      </c>
      <c r="D2210" s="115" t="s">
        <v>3840</v>
      </c>
      <c r="E2210" s="115" t="s">
        <v>3841</v>
      </c>
    </row>
    <row r="2211" spans="1:5" x14ac:dyDescent="0.25">
      <c r="A2211" s="115" t="s">
        <v>1138</v>
      </c>
      <c r="B2211" s="115" t="s">
        <v>3842</v>
      </c>
      <c r="D2211" s="115" t="s">
        <v>1140</v>
      </c>
      <c r="E2211" s="115" t="s">
        <v>3843</v>
      </c>
    </row>
    <row r="2212" spans="1:5" x14ac:dyDescent="0.25">
      <c r="A2212" s="115">
        <v>2</v>
      </c>
      <c r="B2212" s="115" t="s">
        <v>3844</v>
      </c>
      <c r="D2212" s="115" t="s">
        <v>3845</v>
      </c>
      <c r="E2212" s="115" t="s">
        <v>3846</v>
      </c>
    </row>
    <row r="2213" spans="1:5" x14ac:dyDescent="0.25">
      <c r="B2213" s="115" t="s">
        <v>3847</v>
      </c>
      <c r="D2213" s="115" t="s">
        <v>1243</v>
      </c>
      <c r="E2213" s="115" t="s">
        <v>3848</v>
      </c>
    </row>
    <row r="2214" spans="1:5" x14ac:dyDescent="0.25">
      <c r="B2214" s="115" t="s">
        <v>1139</v>
      </c>
      <c r="D2214" s="115" t="s">
        <v>1140</v>
      </c>
      <c r="E2214" s="115" t="s">
        <v>3849</v>
      </c>
    </row>
    <row r="2215" spans="1:5" x14ac:dyDescent="0.25">
      <c r="A2215" s="115">
        <v>1</v>
      </c>
      <c r="B2215" s="115" t="s">
        <v>3850</v>
      </c>
      <c r="D2215" s="115" t="s">
        <v>1140</v>
      </c>
      <c r="E2215" s="115" t="s">
        <v>3851</v>
      </c>
    </row>
    <row r="2216" spans="1:5" x14ac:dyDescent="0.25">
      <c r="A2216" s="115">
        <v>-2</v>
      </c>
      <c r="B2216" s="115" t="s">
        <v>3852</v>
      </c>
      <c r="D2216" s="115" t="s">
        <v>3853</v>
      </c>
      <c r="E2216" s="115" t="s">
        <v>3854</v>
      </c>
    </row>
    <row r="2217" spans="1:5" x14ac:dyDescent="0.25">
      <c r="B2217" s="115" t="s">
        <v>1139</v>
      </c>
      <c r="D2217" s="115" t="s">
        <v>1140</v>
      </c>
      <c r="E2217" s="115" t="s">
        <v>1141</v>
      </c>
    </row>
    <row r="2218" spans="1:5" x14ac:dyDescent="0.25">
      <c r="B2218" s="115" t="s">
        <v>1139</v>
      </c>
      <c r="D2218" s="115" t="s">
        <v>1140</v>
      </c>
      <c r="E2218" s="115" t="s">
        <v>1141</v>
      </c>
    </row>
    <row r="2219" spans="1:5" x14ac:dyDescent="0.25">
      <c r="B2219" s="115" t="s">
        <v>1139</v>
      </c>
      <c r="D2219" s="115" t="s">
        <v>1140</v>
      </c>
      <c r="E2219" s="115" t="s">
        <v>1141</v>
      </c>
    </row>
    <row r="2220" spans="1:5" x14ac:dyDescent="0.25">
      <c r="B2220" s="115" t="s">
        <v>1139</v>
      </c>
      <c r="D2220" s="115" t="s">
        <v>1140</v>
      </c>
      <c r="E2220" s="115" t="s">
        <v>1141</v>
      </c>
    </row>
    <row r="2221" spans="1:5" x14ac:dyDescent="0.25">
      <c r="B2221" s="115" t="s">
        <v>1139</v>
      </c>
      <c r="D2221" s="115" t="s">
        <v>1140</v>
      </c>
      <c r="E2221" s="115" t="s">
        <v>1141</v>
      </c>
    </row>
    <row r="2222" spans="1:5" x14ac:dyDescent="0.25">
      <c r="B2222" s="115" t="s">
        <v>1139</v>
      </c>
      <c r="D2222" s="115" t="s">
        <v>1140</v>
      </c>
      <c r="E2222" s="115" t="s">
        <v>1141</v>
      </c>
    </row>
    <row r="2223" spans="1:5" x14ac:dyDescent="0.25">
      <c r="B2223" s="115" t="s">
        <v>1139</v>
      </c>
      <c r="D2223" s="115" t="s">
        <v>1140</v>
      </c>
      <c r="E2223" s="115" t="s">
        <v>1141</v>
      </c>
    </row>
    <row r="2224" spans="1:5" x14ac:dyDescent="0.25">
      <c r="B2224" s="115" t="s">
        <v>1139</v>
      </c>
      <c r="D2224" s="115" t="s">
        <v>1140</v>
      </c>
      <c r="E2224" s="115" t="s">
        <v>1141</v>
      </c>
    </row>
    <row r="2225" spans="2:5" x14ac:dyDescent="0.25">
      <c r="B2225" s="115" t="s">
        <v>1139</v>
      </c>
      <c r="D2225" s="115" t="s">
        <v>1140</v>
      </c>
      <c r="E2225" s="115" t="s">
        <v>1141</v>
      </c>
    </row>
    <row r="2226" spans="2:5" x14ac:dyDescent="0.25">
      <c r="B2226" s="115" t="s">
        <v>1139</v>
      </c>
      <c r="D2226" s="115" t="s">
        <v>1140</v>
      </c>
      <c r="E2226" s="115" t="s">
        <v>1141</v>
      </c>
    </row>
    <row r="2227" spans="2:5" x14ac:dyDescent="0.25">
      <c r="B2227" s="115" t="s">
        <v>1139</v>
      </c>
      <c r="D2227" s="115" t="s">
        <v>1140</v>
      </c>
      <c r="E2227" s="115" t="s">
        <v>1141</v>
      </c>
    </row>
    <row r="2228" spans="2:5" x14ac:dyDescent="0.25">
      <c r="B2228" s="115" t="s">
        <v>1139</v>
      </c>
      <c r="D2228" s="115" t="s">
        <v>1140</v>
      </c>
      <c r="E2228" s="115" t="s">
        <v>1141</v>
      </c>
    </row>
    <row r="2229" spans="2:5" x14ac:dyDescent="0.25">
      <c r="B2229" s="115" t="s">
        <v>1139</v>
      </c>
      <c r="D2229" s="115" t="s">
        <v>1140</v>
      </c>
      <c r="E2229" s="115" t="s">
        <v>1141</v>
      </c>
    </row>
    <row r="2230" spans="2:5" x14ac:dyDescent="0.25">
      <c r="B2230" s="115" t="s">
        <v>1139</v>
      </c>
      <c r="D2230" s="115" t="s">
        <v>1140</v>
      </c>
      <c r="E2230" s="115" t="s">
        <v>1141</v>
      </c>
    </row>
    <row r="2231" spans="2:5" x14ac:dyDescent="0.25">
      <c r="B2231" s="115" t="s">
        <v>1139</v>
      </c>
      <c r="D2231" s="115" t="s">
        <v>1140</v>
      </c>
      <c r="E2231" s="115" t="s">
        <v>1141</v>
      </c>
    </row>
    <row r="2232" spans="2:5" x14ac:dyDescent="0.25">
      <c r="B2232" s="115" t="s">
        <v>1139</v>
      </c>
      <c r="D2232" s="115" t="s">
        <v>1140</v>
      </c>
      <c r="E2232" s="115" t="s">
        <v>1141</v>
      </c>
    </row>
    <row r="2233" spans="2:5" x14ac:dyDescent="0.25">
      <c r="B2233" s="115" t="s">
        <v>1139</v>
      </c>
      <c r="D2233" s="115" t="s">
        <v>1140</v>
      </c>
      <c r="E2233" s="115" t="s">
        <v>1141</v>
      </c>
    </row>
    <row r="2234" spans="2:5" x14ac:dyDescent="0.25">
      <c r="B2234" s="115" t="s">
        <v>1139</v>
      </c>
      <c r="D2234" s="115" t="s">
        <v>1140</v>
      </c>
      <c r="E2234" s="115" t="s">
        <v>1141</v>
      </c>
    </row>
    <row r="2235" spans="2:5" x14ac:dyDescent="0.25">
      <c r="B2235" s="115" t="s">
        <v>1139</v>
      </c>
      <c r="D2235" s="115" t="s">
        <v>1140</v>
      </c>
      <c r="E2235" s="115" t="s">
        <v>1141</v>
      </c>
    </row>
    <row r="2236" spans="2:5" x14ac:dyDescent="0.25">
      <c r="B2236" s="115" t="s">
        <v>1139</v>
      </c>
      <c r="D2236" s="115" t="s">
        <v>1140</v>
      </c>
      <c r="E2236" s="115" t="s">
        <v>1141</v>
      </c>
    </row>
    <row r="2237" spans="2:5" x14ac:dyDescent="0.25">
      <c r="B2237" s="115" t="s">
        <v>1139</v>
      </c>
      <c r="D2237" s="115" t="s">
        <v>1140</v>
      </c>
      <c r="E2237" s="115" t="s">
        <v>1141</v>
      </c>
    </row>
    <row r="2238" spans="2:5" x14ac:dyDescent="0.25">
      <c r="B2238" s="115" t="s">
        <v>1139</v>
      </c>
      <c r="D2238" s="115" t="s">
        <v>1140</v>
      </c>
      <c r="E2238" s="115" t="s">
        <v>1141</v>
      </c>
    </row>
    <row r="2239" spans="2:5" x14ac:dyDescent="0.25">
      <c r="B2239" s="115" t="s">
        <v>1139</v>
      </c>
      <c r="D2239" s="115" t="s">
        <v>1140</v>
      </c>
      <c r="E2239" s="115" t="s">
        <v>1141</v>
      </c>
    </row>
    <row r="2240" spans="2:5" x14ac:dyDescent="0.25">
      <c r="B2240" s="115" t="s">
        <v>1139</v>
      </c>
      <c r="D2240" s="115" t="s">
        <v>1140</v>
      </c>
      <c r="E2240" s="115" t="s">
        <v>1141</v>
      </c>
    </row>
    <row r="2241" spans="2:5" x14ac:dyDescent="0.25">
      <c r="B2241" s="115" t="s">
        <v>1139</v>
      </c>
      <c r="D2241" s="115" t="s">
        <v>1140</v>
      </c>
      <c r="E2241" s="115" t="s">
        <v>1141</v>
      </c>
    </row>
    <row r="2242" spans="2:5" x14ac:dyDescent="0.25">
      <c r="B2242" s="115" t="s">
        <v>1139</v>
      </c>
      <c r="D2242" s="115" t="s">
        <v>1140</v>
      </c>
      <c r="E2242" s="115" t="s">
        <v>1141</v>
      </c>
    </row>
    <row r="2243" spans="2:5" x14ac:dyDescent="0.25">
      <c r="B2243" s="115" t="s">
        <v>1139</v>
      </c>
      <c r="D2243" s="115" t="s">
        <v>1140</v>
      </c>
      <c r="E2243" s="115" t="s">
        <v>1141</v>
      </c>
    </row>
    <row r="2244" spans="2:5" x14ac:dyDescent="0.25">
      <c r="B2244" s="115" t="s">
        <v>1139</v>
      </c>
      <c r="D2244" s="115" t="s">
        <v>1140</v>
      </c>
      <c r="E2244" s="115" t="s">
        <v>1141</v>
      </c>
    </row>
    <row r="2245" spans="2:5" x14ac:dyDescent="0.25">
      <c r="B2245" s="115" t="s">
        <v>1139</v>
      </c>
      <c r="D2245" s="115" t="s">
        <v>1140</v>
      </c>
      <c r="E2245" s="115" t="s">
        <v>1141</v>
      </c>
    </row>
    <row r="2246" spans="2:5" x14ac:dyDescent="0.25">
      <c r="B2246" s="115" t="s">
        <v>1139</v>
      </c>
      <c r="D2246" s="115" t="s">
        <v>1140</v>
      </c>
      <c r="E2246" s="115" t="s">
        <v>1141</v>
      </c>
    </row>
    <row r="2247" spans="2:5" x14ac:dyDescent="0.25">
      <c r="B2247" s="115" t="s">
        <v>1139</v>
      </c>
      <c r="D2247" s="115" t="s">
        <v>1140</v>
      </c>
      <c r="E2247" s="115" t="s">
        <v>1141</v>
      </c>
    </row>
    <row r="2248" spans="2:5" x14ac:dyDescent="0.25">
      <c r="B2248" s="115" t="s">
        <v>1139</v>
      </c>
      <c r="D2248" s="115" t="s">
        <v>1140</v>
      </c>
      <c r="E2248" s="115" t="s">
        <v>1141</v>
      </c>
    </row>
    <row r="2249" spans="2:5" x14ac:dyDescent="0.25">
      <c r="B2249" s="115" t="s">
        <v>1139</v>
      </c>
      <c r="D2249" s="115" t="s">
        <v>1140</v>
      </c>
      <c r="E2249" s="115" t="s">
        <v>1141</v>
      </c>
    </row>
    <row r="2250" spans="2:5" x14ac:dyDescent="0.25">
      <c r="B2250" s="115" t="s">
        <v>1139</v>
      </c>
      <c r="D2250" s="115" t="s">
        <v>1140</v>
      </c>
      <c r="E2250" s="115" t="s">
        <v>1141</v>
      </c>
    </row>
    <row r="2251" spans="2:5" x14ac:dyDescent="0.25">
      <c r="B2251" s="115" t="s">
        <v>1139</v>
      </c>
      <c r="D2251" s="115" t="s">
        <v>1140</v>
      </c>
      <c r="E2251" s="115" t="s">
        <v>1141</v>
      </c>
    </row>
    <row r="2252" spans="2:5" x14ac:dyDescent="0.25">
      <c r="B2252" s="115" t="s">
        <v>1139</v>
      </c>
      <c r="D2252" s="115" t="s">
        <v>1140</v>
      </c>
      <c r="E2252" s="115" t="s">
        <v>1141</v>
      </c>
    </row>
    <row r="2253" spans="2:5" x14ac:dyDescent="0.25">
      <c r="B2253" s="115" t="s">
        <v>1139</v>
      </c>
      <c r="D2253" s="115" t="s">
        <v>1140</v>
      </c>
      <c r="E2253" s="115" t="s">
        <v>1141</v>
      </c>
    </row>
    <row r="2254" spans="2:5" x14ac:dyDescent="0.25">
      <c r="B2254" s="115" t="s">
        <v>1139</v>
      </c>
      <c r="D2254" s="115" t="s">
        <v>1140</v>
      </c>
      <c r="E2254" s="115" t="s">
        <v>1141</v>
      </c>
    </row>
    <row r="2255" spans="2:5" x14ac:dyDescent="0.25">
      <c r="B2255" s="115" t="s">
        <v>1139</v>
      </c>
      <c r="D2255" s="115" t="s">
        <v>3855</v>
      </c>
      <c r="E2255" s="115" t="s">
        <v>3856</v>
      </c>
    </row>
    <row r="2256" spans="2:5" x14ac:dyDescent="0.25">
      <c r="B2256" s="115" t="s">
        <v>1656</v>
      </c>
      <c r="D2256" s="115" t="s">
        <v>3857</v>
      </c>
      <c r="E2256" s="115" t="s">
        <v>3858</v>
      </c>
    </row>
    <row r="2257" spans="1:5" x14ac:dyDescent="0.25">
      <c r="B2257" s="115" t="s">
        <v>1139</v>
      </c>
      <c r="D2257" s="115" t="s">
        <v>1140</v>
      </c>
      <c r="E2257" s="115" t="s">
        <v>3859</v>
      </c>
    </row>
    <row r="2258" spans="1:5" x14ac:dyDescent="0.25">
      <c r="B2258" s="115" t="s">
        <v>3860</v>
      </c>
      <c r="D2258" s="115" t="s">
        <v>3861</v>
      </c>
      <c r="E2258" s="115" t="s">
        <v>3862</v>
      </c>
    </row>
    <row r="2259" spans="1:5" x14ac:dyDescent="0.25">
      <c r="A2259" s="115" t="s">
        <v>1138</v>
      </c>
      <c r="B2259" s="115" t="s">
        <v>1287</v>
      </c>
      <c r="D2259" s="115" t="s">
        <v>3863</v>
      </c>
      <c r="E2259" s="115" t="s">
        <v>1141</v>
      </c>
    </row>
    <row r="2260" spans="1:5" x14ac:dyDescent="0.25">
      <c r="B2260" s="115" t="s">
        <v>1504</v>
      </c>
      <c r="D2260" s="115" t="s">
        <v>1140</v>
      </c>
      <c r="E2260" s="115" t="s">
        <v>3864</v>
      </c>
    </row>
    <row r="2261" spans="1:5" x14ac:dyDescent="0.25">
      <c r="B2261" s="115" t="s">
        <v>3865</v>
      </c>
      <c r="D2261" s="115" t="s">
        <v>1140</v>
      </c>
      <c r="E2261" s="115" t="s">
        <v>3866</v>
      </c>
    </row>
    <row r="2262" spans="1:5" x14ac:dyDescent="0.25">
      <c r="B2262" s="115" t="s">
        <v>1557</v>
      </c>
      <c r="D2262" s="115" t="s">
        <v>3867</v>
      </c>
      <c r="E2262" s="115" t="s">
        <v>3868</v>
      </c>
    </row>
    <row r="2263" spans="1:5" x14ac:dyDescent="0.25">
      <c r="A2263" s="115">
        <v>-1</v>
      </c>
      <c r="B2263" s="115" t="s">
        <v>1569</v>
      </c>
      <c r="D2263" s="115" t="s">
        <v>1848</v>
      </c>
      <c r="E2263" s="115" t="s">
        <v>3869</v>
      </c>
    </row>
    <row r="2264" spans="1:5" x14ac:dyDescent="0.25">
      <c r="B2264" s="115" t="s">
        <v>3870</v>
      </c>
      <c r="D2264" s="115" t="s">
        <v>3871</v>
      </c>
      <c r="E2264" s="115" t="s">
        <v>3872</v>
      </c>
    </row>
    <row r="2265" spans="1:5" x14ac:dyDescent="0.25">
      <c r="A2265" s="115" t="s">
        <v>1138</v>
      </c>
      <c r="B2265" s="115" t="s">
        <v>3873</v>
      </c>
      <c r="D2265" s="115" t="s">
        <v>3874</v>
      </c>
      <c r="E2265" s="115" t="s">
        <v>3875</v>
      </c>
    </row>
    <row r="2266" spans="1:5" x14ac:dyDescent="0.25">
      <c r="A2266" s="115">
        <v>-4</v>
      </c>
      <c r="B2266" s="115" t="s">
        <v>1407</v>
      </c>
      <c r="D2266" s="115" t="s">
        <v>3876</v>
      </c>
      <c r="E2266" s="115" t="s">
        <v>3877</v>
      </c>
    </row>
    <row r="2267" spans="1:5" x14ac:dyDescent="0.25">
      <c r="B2267" s="115" t="s">
        <v>3878</v>
      </c>
      <c r="D2267" s="115" t="s">
        <v>3879</v>
      </c>
      <c r="E2267" s="115" t="s">
        <v>3880</v>
      </c>
    </row>
    <row r="2268" spans="1:5" x14ac:dyDescent="0.25">
      <c r="B2268" s="115">
        <f>-70   -348</f>
        <v>-418</v>
      </c>
      <c r="D2268" s="115" t="s">
        <v>3881</v>
      </c>
      <c r="E2268" s="115" t="s">
        <v>3882</v>
      </c>
    </row>
    <row r="2269" spans="1:5" x14ac:dyDescent="0.25">
      <c r="A2269" s="115">
        <v>-6</v>
      </c>
      <c r="B2269" s="115" t="s">
        <v>3883</v>
      </c>
      <c r="D2269" s="115" t="s">
        <v>3810</v>
      </c>
      <c r="E2269" s="115" t="s">
        <v>3884</v>
      </c>
    </row>
    <row r="2270" spans="1:5" x14ac:dyDescent="0.25">
      <c r="B2270" s="115" t="s">
        <v>1321</v>
      </c>
      <c r="D2270" s="115" t="s">
        <v>3885</v>
      </c>
      <c r="E2270" s="115" t="s">
        <v>3886</v>
      </c>
    </row>
    <row r="2271" spans="1:5" x14ac:dyDescent="0.25">
      <c r="A2271" s="115" t="s">
        <v>1138</v>
      </c>
      <c r="B2271" s="115" t="s">
        <v>3887</v>
      </c>
      <c r="D2271" s="115" t="s">
        <v>3888</v>
      </c>
      <c r="E2271" s="115" t="s">
        <v>3889</v>
      </c>
    </row>
    <row r="2272" spans="1:5" x14ac:dyDescent="0.25">
      <c r="B2272" s="115" t="s">
        <v>1139</v>
      </c>
      <c r="D2272" s="115" t="s">
        <v>3014</v>
      </c>
      <c r="E2272" s="115" t="s">
        <v>3890</v>
      </c>
    </row>
    <row r="2273" spans="1:5" x14ac:dyDescent="0.25">
      <c r="B2273" s="115" t="s">
        <v>1139</v>
      </c>
      <c r="D2273" s="115" t="s">
        <v>3891</v>
      </c>
      <c r="E2273" s="115" t="s">
        <v>3892</v>
      </c>
    </row>
    <row r="2274" spans="1:5" x14ac:dyDescent="0.25">
      <c r="A2274" s="115">
        <v>-11</v>
      </c>
      <c r="B2274" s="115" t="s">
        <v>3893</v>
      </c>
      <c r="D2274" s="115" t="s">
        <v>3894</v>
      </c>
      <c r="E2274" s="115" t="s">
        <v>3895</v>
      </c>
    </row>
    <row r="2275" spans="1:5" x14ac:dyDescent="0.25">
      <c r="B2275" s="115" t="s">
        <v>1139</v>
      </c>
      <c r="D2275" s="115" t="s">
        <v>1140</v>
      </c>
      <c r="E2275" s="115" t="s">
        <v>1141</v>
      </c>
    </row>
    <row r="2276" spans="1:5" x14ac:dyDescent="0.25">
      <c r="B2276" s="115" t="s">
        <v>1139</v>
      </c>
      <c r="D2276" s="115" t="s">
        <v>1140</v>
      </c>
      <c r="E2276" s="115" t="s">
        <v>1141</v>
      </c>
    </row>
    <row r="2277" spans="1:5" x14ac:dyDescent="0.25">
      <c r="B2277" s="115" t="s">
        <v>1139</v>
      </c>
      <c r="D2277" s="115" t="s">
        <v>1140</v>
      </c>
      <c r="E2277" s="115" t="s">
        <v>1141</v>
      </c>
    </row>
    <row r="2278" spans="1:5" x14ac:dyDescent="0.25">
      <c r="B2278" s="115" t="s">
        <v>1139</v>
      </c>
      <c r="D2278" s="115" t="s">
        <v>1140</v>
      </c>
      <c r="E2278" s="115" t="s">
        <v>1141</v>
      </c>
    </row>
    <row r="2279" spans="1:5" x14ac:dyDescent="0.25">
      <c r="B2279" s="115" t="s">
        <v>1139</v>
      </c>
      <c r="D2279" s="115" t="s">
        <v>1140</v>
      </c>
      <c r="E2279" s="115" t="s">
        <v>1141</v>
      </c>
    </row>
    <row r="2280" spans="1:5" x14ac:dyDescent="0.25">
      <c r="B2280" s="115" t="s">
        <v>1139</v>
      </c>
      <c r="D2280" s="115" t="s">
        <v>1140</v>
      </c>
      <c r="E2280" s="115" t="s">
        <v>1141</v>
      </c>
    </row>
    <row r="2281" spans="1:5" x14ac:dyDescent="0.25">
      <c r="B2281" s="115" t="s">
        <v>1139</v>
      </c>
      <c r="D2281" s="115" t="s">
        <v>1140</v>
      </c>
      <c r="E2281" s="115" t="s">
        <v>1141</v>
      </c>
    </row>
    <row r="2282" spans="1:5" x14ac:dyDescent="0.25">
      <c r="B2282" s="115" t="s">
        <v>1139</v>
      </c>
      <c r="D2282" s="115" t="s">
        <v>1140</v>
      </c>
      <c r="E2282" s="115" t="s">
        <v>1141</v>
      </c>
    </row>
    <row r="2283" spans="1:5" x14ac:dyDescent="0.25">
      <c r="B2283" s="115" t="s">
        <v>1139</v>
      </c>
      <c r="D2283" s="115" t="s">
        <v>1140</v>
      </c>
      <c r="E2283" s="115" t="s">
        <v>1141</v>
      </c>
    </row>
    <row r="2284" spans="1:5" x14ac:dyDescent="0.25">
      <c r="B2284" s="115" t="s">
        <v>1139</v>
      </c>
      <c r="D2284" s="115" t="s">
        <v>1140</v>
      </c>
      <c r="E2284" s="115" t="s">
        <v>1141</v>
      </c>
    </row>
    <row r="2285" spans="1:5" x14ac:dyDescent="0.25">
      <c r="B2285" s="115" t="s">
        <v>1139</v>
      </c>
      <c r="D2285" s="115" t="s">
        <v>1140</v>
      </c>
      <c r="E2285" s="115" t="s">
        <v>1141</v>
      </c>
    </row>
    <row r="2286" spans="1:5" x14ac:dyDescent="0.25">
      <c r="B2286" s="115" t="s">
        <v>1139</v>
      </c>
      <c r="D2286" s="115" t="s">
        <v>1140</v>
      </c>
      <c r="E2286" s="115" t="s">
        <v>1141</v>
      </c>
    </row>
    <row r="2287" spans="1:5" x14ac:dyDescent="0.25">
      <c r="B2287" s="115" t="s">
        <v>1139</v>
      </c>
      <c r="D2287" s="115" t="s">
        <v>1140</v>
      </c>
      <c r="E2287" s="115" t="s">
        <v>1141</v>
      </c>
    </row>
    <row r="2288" spans="1:5" x14ac:dyDescent="0.25">
      <c r="B2288" s="115" t="s">
        <v>1139</v>
      </c>
      <c r="D2288" s="115" t="s">
        <v>1140</v>
      </c>
      <c r="E2288" s="115" t="s">
        <v>1141</v>
      </c>
    </row>
    <row r="2289" spans="2:5" x14ac:dyDescent="0.25">
      <c r="B2289" s="115" t="s">
        <v>1139</v>
      </c>
      <c r="D2289" s="115" t="s">
        <v>1140</v>
      </c>
      <c r="E2289" s="115" t="s">
        <v>1141</v>
      </c>
    </row>
    <row r="2290" spans="2:5" x14ac:dyDescent="0.25">
      <c r="B2290" s="115" t="s">
        <v>1139</v>
      </c>
      <c r="D2290" s="115" t="s">
        <v>1140</v>
      </c>
      <c r="E2290" s="115" t="s">
        <v>1141</v>
      </c>
    </row>
    <row r="2291" spans="2:5" x14ac:dyDescent="0.25">
      <c r="B2291" s="115" t="s">
        <v>1139</v>
      </c>
      <c r="D2291" s="115" t="s">
        <v>1140</v>
      </c>
      <c r="E2291" s="115" t="s">
        <v>1141</v>
      </c>
    </row>
    <row r="2292" spans="2:5" x14ac:dyDescent="0.25">
      <c r="B2292" s="115" t="s">
        <v>1139</v>
      </c>
      <c r="D2292" s="115" t="s">
        <v>1140</v>
      </c>
      <c r="E2292" s="115" t="s">
        <v>1141</v>
      </c>
    </row>
    <row r="2293" spans="2:5" x14ac:dyDescent="0.25">
      <c r="B2293" s="115" t="s">
        <v>1139</v>
      </c>
      <c r="D2293" s="115" t="s">
        <v>1140</v>
      </c>
      <c r="E2293" s="115" t="s">
        <v>1141</v>
      </c>
    </row>
    <row r="2294" spans="2:5" x14ac:dyDescent="0.25">
      <c r="B2294" s="115" t="s">
        <v>1139</v>
      </c>
      <c r="D2294" s="115" t="s">
        <v>1140</v>
      </c>
      <c r="E2294" s="115" t="s">
        <v>1141</v>
      </c>
    </row>
    <row r="2295" spans="2:5" x14ac:dyDescent="0.25">
      <c r="B2295" s="115" t="s">
        <v>1139</v>
      </c>
      <c r="D2295" s="115" t="s">
        <v>1140</v>
      </c>
      <c r="E2295" s="115" t="s">
        <v>1141</v>
      </c>
    </row>
    <row r="2296" spans="2:5" x14ac:dyDescent="0.25">
      <c r="B2296" s="115" t="s">
        <v>1139</v>
      </c>
      <c r="D2296" s="115" t="s">
        <v>1140</v>
      </c>
      <c r="E2296" s="115" t="s">
        <v>1141</v>
      </c>
    </row>
    <row r="2297" spans="2:5" x14ac:dyDescent="0.25">
      <c r="B2297" s="115" t="s">
        <v>1139</v>
      </c>
      <c r="D2297" s="115" t="s">
        <v>1140</v>
      </c>
      <c r="E2297" s="115" t="s">
        <v>1141</v>
      </c>
    </row>
    <row r="2298" spans="2:5" x14ac:dyDescent="0.25">
      <c r="B2298" s="115" t="s">
        <v>1139</v>
      </c>
      <c r="D2298" s="115" t="s">
        <v>1140</v>
      </c>
      <c r="E2298" s="115" t="s">
        <v>1141</v>
      </c>
    </row>
    <row r="2299" spans="2:5" x14ac:dyDescent="0.25">
      <c r="B2299" s="115" t="s">
        <v>1139</v>
      </c>
      <c r="D2299" s="115" t="s">
        <v>1140</v>
      </c>
      <c r="E2299" s="115" t="s">
        <v>1141</v>
      </c>
    </row>
    <row r="2300" spans="2:5" x14ac:dyDescent="0.25">
      <c r="B2300" s="115" t="s">
        <v>1139</v>
      </c>
      <c r="D2300" s="115" t="s">
        <v>1140</v>
      </c>
      <c r="E2300" s="115" t="s">
        <v>1141</v>
      </c>
    </row>
    <row r="2301" spans="2:5" x14ac:dyDescent="0.25">
      <c r="B2301" s="115" t="s">
        <v>1139</v>
      </c>
      <c r="D2301" s="115" t="s">
        <v>1140</v>
      </c>
      <c r="E2301" s="115" t="s">
        <v>1141</v>
      </c>
    </row>
    <row r="2302" spans="2:5" x14ac:dyDescent="0.25">
      <c r="B2302" s="115" t="s">
        <v>1139</v>
      </c>
      <c r="D2302" s="115" t="s">
        <v>1140</v>
      </c>
      <c r="E2302" s="115" t="s">
        <v>1141</v>
      </c>
    </row>
    <row r="2303" spans="2:5" x14ac:dyDescent="0.25">
      <c r="B2303" s="115" t="s">
        <v>1139</v>
      </c>
      <c r="D2303" s="115" t="s">
        <v>1140</v>
      </c>
      <c r="E2303" s="115" t="s">
        <v>1141</v>
      </c>
    </row>
    <row r="2304" spans="2:5" x14ac:dyDescent="0.25">
      <c r="B2304" s="115" t="s">
        <v>1139</v>
      </c>
      <c r="D2304" s="115" t="s">
        <v>1140</v>
      </c>
      <c r="E2304" s="115" t="s">
        <v>1141</v>
      </c>
    </row>
    <row r="2305" spans="2:5" x14ac:dyDescent="0.25">
      <c r="B2305" s="115" t="s">
        <v>1139</v>
      </c>
      <c r="D2305" s="115" t="s">
        <v>1140</v>
      </c>
      <c r="E2305" s="115" t="s">
        <v>1141</v>
      </c>
    </row>
    <row r="2306" spans="2:5" x14ac:dyDescent="0.25">
      <c r="B2306" s="115" t="s">
        <v>1139</v>
      </c>
      <c r="D2306" s="115" t="s">
        <v>1140</v>
      </c>
      <c r="E2306" s="115" t="s">
        <v>1141</v>
      </c>
    </row>
    <row r="2307" spans="2:5" x14ac:dyDescent="0.25">
      <c r="B2307" s="115" t="s">
        <v>1139</v>
      </c>
      <c r="D2307" s="115" t="s">
        <v>1140</v>
      </c>
      <c r="E2307" s="115" t="s">
        <v>1141</v>
      </c>
    </row>
    <row r="2308" spans="2:5" x14ac:dyDescent="0.25">
      <c r="B2308" s="115" t="s">
        <v>1139</v>
      </c>
      <c r="D2308" s="115" t="s">
        <v>1140</v>
      </c>
      <c r="E2308" s="115" t="s">
        <v>1141</v>
      </c>
    </row>
    <row r="2309" spans="2:5" x14ac:dyDescent="0.25">
      <c r="B2309" s="115" t="s">
        <v>1139</v>
      </c>
      <c r="D2309" s="115" t="s">
        <v>1140</v>
      </c>
      <c r="E2309" s="115" t="s">
        <v>1141</v>
      </c>
    </row>
    <row r="2310" spans="2:5" x14ac:dyDescent="0.25">
      <c r="B2310" s="115" t="s">
        <v>1139</v>
      </c>
      <c r="D2310" s="115" t="s">
        <v>1140</v>
      </c>
      <c r="E2310" s="115" t="s">
        <v>1141</v>
      </c>
    </row>
    <row r="2311" spans="2:5" x14ac:dyDescent="0.25">
      <c r="B2311" s="115" t="s">
        <v>1139</v>
      </c>
      <c r="D2311" s="115" t="s">
        <v>1140</v>
      </c>
      <c r="E2311" s="115" t="s">
        <v>1141</v>
      </c>
    </row>
    <row r="2312" spans="2:5" x14ac:dyDescent="0.25">
      <c r="B2312" s="115" t="s">
        <v>1139</v>
      </c>
      <c r="D2312" s="115" t="s">
        <v>1140</v>
      </c>
      <c r="E2312" s="115" t="s">
        <v>1141</v>
      </c>
    </row>
    <row r="2313" spans="2:5" x14ac:dyDescent="0.25">
      <c r="B2313" s="115" t="s">
        <v>1139</v>
      </c>
      <c r="D2313" s="115" t="s">
        <v>1140</v>
      </c>
      <c r="E2313" s="115" t="s">
        <v>1141</v>
      </c>
    </row>
    <row r="2314" spans="2:5" x14ac:dyDescent="0.25">
      <c r="B2314" s="115" t="s">
        <v>1139</v>
      </c>
      <c r="D2314" s="115" t="s">
        <v>1140</v>
      </c>
      <c r="E2314" s="115" t="s">
        <v>1141</v>
      </c>
    </row>
    <row r="2315" spans="2:5" x14ac:dyDescent="0.25">
      <c r="B2315" s="115" t="s">
        <v>1139</v>
      </c>
      <c r="D2315" s="115" t="s">
        <v>1140</v>
      </c>
      <c r="E2315" s="115" t="s">
        <v>1141</v>
      </c>
    </row>
    <row r="2316" spans="2:5" x14ac:dyDescent="0.25">
      <c r="B2316" s="115" t="s">
        <v>1139</v>
      </c>
      <c r="D2316" s="115" t="s">
        <v>1140</v>
      </c>
      <c r="E2316" s="115" t="s">
        <v>1141</v>
      </c>
    </row>
    <row r="2317" spans="2:5" x14ac:dyDescent="0.25">
      <c r="B2317" s="115" t="s">
        <v>1139</v>
      </c>
      <c r="D2317" s="115" t="s">
        <v>1140</v>
      </c>
      <c r="E2317" s="115" t="s">
        <v>1141</v>
      </c>
    </row>
    <row r="2318" spans="2:5" x14ac:dyDescent="0.25">
      <c r="B2318" s="115" t="s">
        <v>1139</v>
      </c>
      <c r="D2318" s="115" t="s">
        <v>1140</v>
      </c>
      <c r="E2318" s="115" t="s">
        <v>1141</v>
      </c>
    </row>
    <row r="2319" spans="2:5" x14ac:dyDescent="0.25">
      <c r="B2319" s="115" t="s">
        <v>1139</v>
      </c>
      <c r="D2319" s="115" t="s">
        <v>1140</v>
      </c>
      <c r="E2319" s="115" t="s">
        <v>1141</v>
      </c>
    </row>
    <row r="2320" spans="2:5" x14ac:dyDescent="0.25">
      <c r="B2320" s="115" t="s">
        <v>1139</v>
      </c>
      <c r="D2320" s="115" t="s">
        <v>1140</v>
      </c>
      <c r="E2320" s="115" t="s">
        <v>1141</v>
      </c>
    </row>
    <row r="2321" spans="2:5" x14ac:dyDescent="0.25">
      <c r="B2321" s="115" t="s">
        <v>1139</v>
      </c>
      <c r="D2321" s="115" t="s">
        <v>1140</v>
      </c>
      <c r="E2321" s="115" t="s">
        <v>1141</v>
      </c>
    </row>
    <row r="2322" spans="2:5" x14ac:dyDescent="0.25">
      <c r="B2322" s="115" t="s">
        <v>1139</v>
      </c>
      <c r="D2322" s="115" t="s">
        <v>1140</v>
      </c>
      <c r="E2322" s="115" t="s">
        <v>1141</v>
      </c>
    </row>
    <row r="2323" spans="2:5" x14ac:dyDescent="0.25">
      <c r="B2323" s="115" t="s">
        <v>1139</v>
      </c>
      <c r="D2323" s="115" t="s">
        <v>1140</v>
      </c>
      <c r="E2323" s="115" t="s">
        <v>1141</v>
      </c>
    </row>
    <row r="2324" spans="2:5" x14ac:dyDescent="0.25">
      <c r="B2324" s="115" t="s">
        <v>1139</v>
      </c>
      <c r="D2324" s="115" t="s">
        <v>1140</v>
      </c>
      <c r="E2324" s="115" t="s">
        <v>1141</v>
      </c>
    </row>
    <row r="2325" spans="2:5" x14ac:dyDescent="0.25">
      <c r="B2325" s="115" t="s">
        <v>1139</v>
      </c>
      <c r="D2325" s="115" t="s">
        <v>1140</v>
      </c>
      <c r="E2325" s="115" t="s">
        <v>1141</v>
      </c>
    </row>
    <row r="2326" spans="2:5" x14ac:dyDescent="0.25">
      <c r="B2326" s="115" t="s">
        <v>1139</v>
      </c>
      <c r="D2326" s="115" t="s">
        <v>1140</v>
      </c>
      <c r="E2326" s="115" t="s">
        <v>1141</v>
      </c>
    </row>
    <row r="2327" spans="2:5" x14ac:dyDescent="0.25">
      <c r="B2327" s="115" t="s">
        <v>1139</v>
      </c>
      <c r="D2327" s="115" t="s">
        <v>1140</v>
      </c>
      <c r="E2327" s="115" t="s">
        <v>1141</v>
      </c>
    </row>
    <row r="2328" spans="2:5" x14ac:dyDescent="0.25">
      <c r="B2328" s="115" t="s">
        <v>1139</v>
      </c>
      <c r="D2328" s="115" t="s">
        <v>1140</v>
      </c>
      <c r="E2328" s="115" t="s">
        <v>1141</v>
      </c>
    </row>
    <row r="2329" spans="2:5" x14ac:dyDescent="0.25">
      <c r="B2329" s="115" t="s">
        <v>1139</v>
      </c>
      <c r="D2329" s="115" t="s">
        <v>1140</v>
      </c>
      <c r="E2329" s="115" t="s">
        <v>1141</v>
      </c>
    </row>
    <row r="2330" spans="2:5" x14ac:dyDescent="0.25">
      <c r="B2330" s="115" t="s">
        <v>1139</v>
      </c>
      <c r="D2330" s="115" t="s">
        <v>1140</v>
      </c>
      <c r="E2330" s="115" t="s">
        <v>1141</v>
      </c>
    </row>
    <row r="2331" spans="2:5" x14ac:dyDescent="0.25">
      <c r="B2331" s="115" t="s">
        <v>1139</v>
      </c>
      <c r="D2331" s="115" t="s">
        <v>1140</v>
      </c>
      <c r="E2331" s="115" t="s">
        <v>1141</v>
      </c>
    </row>
    <row r="2332" spans="2:5" x14ac:dyDescent="0.25">
      <c r="B2332" s="115" t="s">
        <v>1139</v>
      </c>
      <c r="D2332" s="115" t="s">
        <v>1140</v>
      </c>
      <c r="E2332" s="115" t="s">
        <v>1141</v>
      </c>
    </row>
    <row r="2333" spans="2:5" x14ac:dyDescent="0.25">
      <c r="B2333" s="115" t="s">
        <v>1139</v>
      </c>
      <c r="D2333" s="115" t="s">
        <v>1140</v>
      </c>
      <c r="E2333" s="115" t="s">
        <v>1141</v>
      </c>
    </row>
    <row r="2334" spans="2:5" x14ac:dyDescent="0.25">
      <c r="B2334" s="115" t="s">
        <v>1139</v>
      </c>
      <c r="D2334" s="115" t="s">
        <v>1140</v>
      </c>
      <c r="E2334" s="115" t="s">
        <v>1141</v>
      </c>
    </row>
    <row r="2335" spans="2:5" x14ac:dyDescent="0.25">
      <c r="B2335" s="115" t="s">
        <v>1139</v>
      </c>
      <c r="D2335" s="115" t="s">
        <v>1140</v>
      </c>
      <c r="E2335" s="115" t="s">
        <v>1141</v>
      </c>
    </row>
    <row r="2336" spans="2:5" x14ac:dyDescent="0.25">
      <c r="B2336" s="115" t="s">
        <v>1139</v>
      </c>
      <c r="D2336" s="115" t="s">
        <v>1140</v>
      </c>
      <c r="E2336" s="115" t="s">
        <v>1141</v>
      </c>
    </row>
    <row r="2337" spans="2:5" x14ac:dyDescent="0.25">
      <c r="B2337" s="115" t="s">
        <v>1139</v>
      </c>
      <c r="D2337" s="115" t="s">
        <v>1140</v>
      </c>
      <c r="E2337" s="115" t="s">
        <v>1141</v>
      </c>
    </row>
    <row r="2338" spans="2:5" x14ac:dyDescent="0.25">
      <c r="B2338" s="115" t="s">
        <v>1139</v>
      </c>
      <c r="D2338" s="115" t="s">
        <v>1140</v>
      </c>
      <c r="E2338" s="115" t="s">
        <v>1141</v>
      </c>
    </row>
    <row r="2339" spans="2:5" x14ac:dyDescent="0.25">
      <c r="B2339" s="115" t="s">
        <v>1139</v>
      </c>
      <c r="D2339" s="115" t="s">
        <v>1140</v>
      </c>
      <c r="E2339" s="115" t="s">
        <v>1141</v>
      </c>
    </row>
    <row r="2340" spans="2:5" x14ac:dyDescent="0.25">
      <c r="B2340" s="115" t="s">
        <v>1139</v>
      </c>
      <c r="D2340" s="115" t="s">
        <v>1140</v>
      </c>
      <c r="E2340" s="115" t="s">
        <v>1141</v>
      </c>
    </row>
    <row r="2341" spans="2:5" x14ac:dyDescent="0.25">
      <c r="B2341" s="115" t="s">
        <v>1139</v>
      </c>
      <c r="D2341" s="115" t="s">
        <v>1140</v>
      </c>
      <c r="E2341" s="115" t="s">
        <v>1141</v>
      </c>
    </row>
    <row r="2342" spans="2:5" x14ac:dyDescent="0.25">
      <c r="B2342" s="115" t="s">
        <v>1139</v>
      </c>
      <c r="D2342" s="115" t="s">
        <v>1140</v>
      </c>
      <c r="E2342" s="115" t="s">
        <v>1141</v>
      </c>
    </row>
    <row r="2343" spans="2:5" x14ac:dyDescent="0.25">
      <c r="B2343" s="115" t="s">
        <v>1139</v>
      </c>
      <c r="D2343" s="115" t="s">
        <v>1140</v>
      </c>
      <c r="E2343" s="115" t="s">
        <v>1141</v>
      </c>
    </row>
    <row r="2344" spans="2:5" x14ac:dyDescent="0.25">
      <c r="B2344" s="115" t="s">
        <v>1139</v>
      </c>
      <c r="D2344" s="115" t="s">
        <v>1140</v>
      </c>
      <c r="E2344" s="115" t="s">
        <v>1141</v>
      </c>
    </row>
    <row r="2345" spans="2:5" x14ac:dyDescent="0.25">
      <c r="B2345" s="115" t="s">
        <v>1139</v>
      </c>
      <c r="D2345" s="115" t="s">
        <v>1140</v>
      </c>
      <c r="E2345" s="115" t="s">
        <v>1141</v>
      </c>
    </row>
    <row r="2346" spans="2:5" x14ac:dyDescent="0.25">
      <c r="B2346" s="115" t="s">
        <v>1139</v>
      </c>
      <c r="D2346" s="115" t="s">
        <v>1140</v>
      </c>
      <c r="E2346" s="115" t="s">
        <v>1141</v>
      </c>
    </row>
    <row r="2347" spans="2:5" x14ac:dyDescent="0.25">
      <c r="B2347" s="115" t="s">
        <v>1139</v>
      </c>
      <c r="D2347" s="115" t="s">
        <v>1140</v>
      </c>
      <c r="E2347" s="115" t="s">
        <v>1141</v>
      </c>
    </row>
    <row r="2348" spans="2:5" x14ac:dyDescent="0.25">
      <c r="B2348" s="115" t="s">
        <v>1139</v>
      </c>
      <c r="D2348" s="115" t="s">
        <v>1140</v>
      </c>
      <c r="E2348" s="115" t="s">
        <v>1141</v>
      </c>
    </row>
    <row r="2349" spans="2:5" x14ac:dyDescent="0.25">
      <c r="B2349" s="115" t="s">
        <v>1139</v>
      </c>
      <c r="D2349" s="115" t="s">
        <v>1140</v>
      </c>
      <c r="E2349" s="115" t="s">
        <v>1141</v>
      </c>
    </row>
    <row r="2350" spans="2:5" x14ac:dyDescent="0.25">
      <c r="B2350" s="115" t="s">
        <v>1139</v>
      </c>
      <c r="D2350" s="115" t="s">
        <v>1140</v>
      </c>
      <c r="E2350" s="115" t="s">
        <v>1141</v>
      </c>
    </row>
    <row r="2351" spans="2:5" x14ac:dyDescent="0.25">
      <c r="B2351" s="115" t="s">
        <v>1139</v>
      </c>
      <c r="D2351" s="115" t="s">
        <v>1140</v>
      </c>
      <c r="E2351" s="115" t="s">
        <v>1141</v>
      </c>
    </row>
    <row r="2352" spans="2:5" x14ac:dyDescent="0.25">
      <c r="B2352" s="115" t="s">
        <v>1139</v>
      </c>
      <c r="D2352" s="115" t="s">
        <v>1140</v>
      </c>
      <c r="E2352" s="115" t="s">
        <v>1141</v>
      </c>
    </row>
    <row r="2353" spans="1:5" x14ac:dyDescent="0.25">
      <c r="B2353" s="115" t="s">
        <v>1139</v>
      </c>
      <c r="D2353" s="115" t="s">
        <v>1140</v>
      </c>
      <c r="E2353" s="115" t="s">
        <v>1141</v>
      </c>
    </row>
    <row r="2354" spans="1:5" x14ac:dyDescent="0.25">
      <c r="B2354" s="115" t="s">
        <v>3896</v>
      </c>
      <c r="D2354" s="115" t="s">
        <v>3897</v>
      </c>
      <c r="E2354" s="115" t="s">
        <v>3898</v>
      </c>
    </row>
    <row r="2355" spans="1:5" x14ac:dyDescent="0.25">
      <c r="B2355" s="115" t="s">
        <v>1139</v>
      </c>
      <c r="D2355" s="115" t="s">
        <v>3899</v>
      </c>
      <c r="E2355" s="115" t="s">
        <v>1141</v>
      </c>
    </row>
    <row r="2356" spans="1:5" x14ac:dyDescent="0.25">
      <c r="B2356" s="115" t="s">
        <v>1139</v>
      </c>
      <c r="D2356" s="115" t="s">
        <v>3900</v>
      </c>
      <c r="E2356" s="115" t="s">
        <v>3901</v>
      </c>
    </row>
    <row r="2357" spans="1:5" x14ac:dyDescent="0.25">
      <c r="A2357" s="115" t="s">
        <v>1138</v>
      </c>
      <c r="B2357" s="115" t="s">
        <v>3902</v>
      </c>
      <c r="D2357" s="115" t="s">
        <v>1140</v>
      </c>
      <c r="E2357" s="115" t="s">
        <v>3903</v>
      </c>
    </row>
    <row r="2358" spans="1:5" x14ac:dyDescent="0.25">
      <c r="B2358" s="115" t="s">
        <v>1139</v>
      </c>
      <c r="D2358" s="115" t="s">
        <v>2338</v>
      </c>
      <c r="E2358" s="115" t="s">
        <v>2537</v>
      </c>
    </row>
    <row r="2359" spans="1:5" x14ac:dyDescent="0.25">
      <c r="B2359" s="115" t="s">
        <v>1139</v>
      </c>
      <c r="D2359" s="115" t="s">
        <v>3904</v>
      </c>
      <c r="E2359" s="115" t="s">
        <v>3905</v>
      </c>
    </row>
    <row r="2360" spans="1:5" x14ac:dyDescent="0.25">
      <c r="B2360" s="115" t="s">
        <v>1371</v>
      </c>
      <c r="D2360" s="115" t="s">
        <v>3906</v>
      </c>
      <c r="E2360" s="115" t="s">
        <v>3907</v>
      </c>
    </row>
    <row r="2361" spans="1:5" x14ac:dyDescent="0.25">
      <c r="A2361" s="115" t="s">
        <v>1138</v>
      </c>
      <c r="B2361" s="115" t="s">
        <v>3908</v>
      </c>
      <c r="D2361" s="115" t="s">
        <v>3909</v>
      </c>
      <c r="E2361" s="115" t="s">
        <v>2690</v>
      </c>
    </row>
    <row r="2362" spans="1:5" x14ac:dyDescent="0.25">
      <c r="A2362" s="115">
        <v>-2</v>
      </c>
      <c r="B2362" s="115" t="s">
        <v>3910</v>
      </c>
      <c r="D2362" s="115" t="s">
        <v>3911</v>
      </c>
      <c r="E2362" s="115" t="s">
        <v>3912</v>
      </c>
    </row>
    <row r="2363" spans="1:5" x14ac:dyDescent="0.25">
      <c r="B2363" s="115" t="s">
        <v>3913</v>
      </c>
      <c r="D2363" s="115" t="s">
        <v>3914</v>
      </c>
      <c r="E2363" s="115" t="s">
        <v>3915</v>
      </c>
    </row>
    <row r="2364" spans="1:5" x14ac:dyDescent="0.25">
      <c r="A2364" s="115" t="s">
        <v>1138</v>
      </c>
      <c r="B2364" s="115" t="s">
        <v>1287</v>
      </c>
      <c r="D2364" s="115" t="s">
        <v>3916</v>
      </c>
      <c r="E2364" s="115" t="s">
        <v>1894</v>
      </c>
    </row>
    <row r="2365" spans="1:5" x14ac:dyDescent="0.25">
      <c r="A2365" s="115">
        <v>-2</v>
      </c>
      <c r="B2365" s="115" t="s">
        <v>3917</v>
      </c>
      <c r="D2365" s="115" t="s">
        <v>3918</v>
      </c>
      <c r="E2365" s="115" t="s">
        <v>3919</v>
      </c>
    </row>
    <row r="2366" spans="1:5" x14ac:dyDescent="0.25">
      <c r="B2366" s="115" t="s">
        <v>3920</v>
      </c>
      <c r="D2366" s="115" t="s">
        <v>3921</v>
      </c>
      <c r="E2366" s="115" t="s">
        <v>3922</v>
      </c>
    </row>
    <row r="2367" spans="1:5" x14ac:dyDescent="0.25">
      <c r="B2367" s="115" t="s">
        <v>3923</v>
      </c>
      <c r="D2367" s="115" t="s">
        <v>3924</v>
      </c>
      <c r="E2367" s="115" t="s">
        <v>2260</v>
      </c>
    </row>
    <row r="2368" spans="1:5" x14ac:dyDescent="0.25">
      <c r="A2368" s="115">
        <v>-4</v>
      </c>
      <c r="B2368" s="115" t="s">
        <v>3925</v>
      </c>
      <c r="D2368" s="115" t="s">
        <v>3926</v>
      </c>
      <c r="E2368" s="115" t="s">
        <v>3927</v>
      </c>
    </row>
    <row r="2369" spans="1:5" x14ac:dyDescent="0.25">
      <c r="B2369" s="115" t="s">
        <v>3928</v>
      </c>
      <c r="D2369" s="115" t="s">
        <v>3929</v>
      </c>
      <c r="E2369" s="115" t="s">
        <v>3930</v>
      </c>
    </row>
    <row r="2370" spans="1:5" x14ac:dyDescent="0.25">
      <c r="A2370" s="115" t="s">
        <v>1138</v>
      </c>
      <c r="B2370" s="115" t="s">
        <v>1318</v>
      </c>
      <c r="D2370" s="115" t="s">
        <v>3931</v>
      </c>
      <c r="E2370" s="115" t="s">
        <v>1141</v>
      </c>
    </row>
    <row r="2371" spans="1:5" x14ac:dyDescent="0.25">
      <c r="A2371" s="115">
        <v>-5</v>
      </c>
      <c r="B2371" s="115" t="s">
        <v>3932</v>
      </c>
      <c r="D2371" s="115" t="s">
        <v>3933</v>
      </c>
      <c r="E2371" s="115" t="s">
        <v>1141</v>
      </c>
    </row>
    <row r="2372" spans="1:5" x14ac:dyDescent="0.25">
      <c r="A2372" s="115">
        <v>7</v>
      </c>
      <c r="B2372" s="115" t="s">
        <v>3934</v>
      </c>
      <c r="C2372" s="115" t="s">
        <v>1138</v>
      </c>
      <c r="D2372" s="115" t="s">
        <v>3935</v>
      </c>
      <c r="E2372" s="115" t="s">
        <v>3936</v>
      </c>
    </row>
    <row r="2373" spans="1:5" x14ac:dyDescent="0.25">
      <c r="A2373" s="115">
        <v>2</v>
      </c>
      <c r="B2373" s="115" t="s">
        <v>1520</v>
      </c>
      <c r="D2373" s="115" t="s">
        <v>3937</v>
      </c>
      <c r="E2373" s="115" t="s">
        <v>1759</v>
      </c>
    </row>
    <row r="2374" spans="1:5" x14ac:dyDescent="0.25">
      <c r="A2374" s="115">
        <v>1</v>
      </c>
      <c r="B2374" s="115" t="s">
        <v>3938</v>
      </c>
      <c r="C2374" s="115" t="s">
        <v>1138</v>
      </c>
      <c r="D2374" s="115" t="s">
        <v>3939</v>
      </c>
      <c r="E2374" s="115" t="s">
        <v>3940</v>
      </c>
    </row>
    <row r="2375" spans="1:5" x14ac:dyDescent="0.25">
      <c r="B2375" s="115" t="s">
        <v>1139</v>
      </c>
      <c r="D2375" s="115" t="s">
        <v>3941</v>
      </c>
      <c r="E2375" s="115" t="s">
        <v>1141</v>
      </c>
    </row>
    <row r="2376" spans="1:5" x14ac:dyDescent="0.25">
      <c r="B2376" s="115" t="s">
        <v>1139</v>
      </c>
      <c r="D2376" s="115" t="s">
        <v>3942</v>
      </c>
      <c r="E2376" s="115" t="s">
        <v>3943</v>
      </c>
    </row>
    <row r="2377" spans="1:5" x14ac:dyDescent="0.25">
      <c r="A2377" s="115">
        <v>-2</v>
      </c>
      <c r="B2377" s="115" t="s">
        <v>3944</v>
      </c>
      <c r="D2377" s="115" t="s">
        <v>3945</v>
      </c>
      <c r="E2377" s="115" t="s">
        <v>3946</v>
      </c>
    </row>
    <row r="2378" spans="1:5" x14ac:dyDescent="0.25">
      <c r="B2378" s="115" t="s">
        <v>1139</v>
      </c>
      <c r="D2378" s="115" t="s">
        <v>3947</v>
      </c>
      <c r="E2378" s="115" t="s">
        <v>1702</v>
      </c>
    </row>
    <row r="2379" spans="1:5" x14ac:dyDescent="0.25">
      <c r="B2379" s="115" t="s">
        <v>1139</v>
      </c>
      <c r="D2379" s="115" t="s">
        <v>3948</v>
      </c>
      <c r="E2379" s="115" t="s">
        <v>3949</v>
      </c>
    </row>
    <row r="2380" spans="1:5" x14ac:dyDescent="0.25">
      <c r="B2380" s="115" t="s">
        <v>3950</v>
      </c>
      <c r="D2380" s="115" t="s">
        <v>3951</v>
      </c>
      <c r="E2380" s="115" t="s">
        <v>3952</v>
      </c>
    </row>
    <row r="2381" spans="1:5" x14ac:dyDescent="0.25">
      <c r="B2381" s="115" t="s">
        <v>3953</v>
      </c>
      <c r="D2381" s="115" t="s">
        <v>3954</v>
      </c>
      <c r="E2381" s="115" t="s">
        <v>2690</v>
      </c>
    </row>
    <row r="2382" spans="1:5" x14ac:dyDescent="0.25">
      <c r="A2382" s="115">
        <v>1</v>
      </c>
      <c r="B2382" s="115" t="s">
        <v>3955</v>
      </c>
      <c r="D2382" s="115" t="s">
        <v>3956</v>
      </c>
      <c r="E2382" s="115" t="s">
        <v>3957</v>
      </c>
    </row>
    <row r="2383" spans="1:5" x14ac:dyDescent="0.25">
      <c r="A2383" s="115">
        <v>-1</v>
      </c>
      <c r="B2383" s="115" t="s">
        <v>3958</v>
      </c>
      <c r="D2383" s="115" t="s">
        <v>3959</v>
      </c>
      <c r="E2383" s="115" t="s">
        <v>3960</v>
      </c>
    </row>
    <row r="2384" spans="1:5" x14ac:dyDescent="0.25">
      <c r="A2384" s="115" t="s">
        <v>1138</v>
      </c>
      <c r="B2384" s="115" t="s">
        <v>1190</v>
      </c>
      <c r="D2384" s="115">
        <f>-185    -28    -17   -12</f>
        <v>-242</v>
      </c>
      <c r="E2384" s="115" t="s">
        <v>1859</v>
      </c>
    </row>
    <row r="2385" spans="1:5" x14ac:dyDescent="0.25">
      <c r="B2385" s="115" t="s">
        <v>3961</v>
      </c>
      <c r="D2385" s="115" t="s">
        <v>3962</v>
      </c>
      <c r="E2385" s="115" t="s">
        <v>3963</v>
      </c>
    </row>
    <row r="2386" spans="1:5" x14ac:dyDescent="0.25">
      <c r="A2386" s="115">
        <v>1</v>
      </c>
      <c r="B2386" s="115" t="s">
        <v>1573</v>
      </c>
      <c r="D2386" s="115" t="s">
        <v>3964</v>
      </c>
      <c r="E2386" s="115" t="s">
        <v>3965</v>
      </c>
    </row>
    <row r="2387" spans="1:5" x14ac:dyDescent="0.25">
      <c r="B2387" s="115" t="s">
        <v>1545</v>
      </c>
      <c r="D2387" s="115" t="s">
        <v>3966</v>
      </c>
      <c r="E2387" s="115" t="s">
        <v>2082</v>
      </c>
    </row>
    <row r="2388" spans="1:5" x14ac:dyDescent="0.25">
      <c r="B2388" s="115" t="s">
        <v>3967</v>
      </c>
      <c r="D2388" s="115" t="s">
        <v>3968</v>
      </c>
      <c r="E2388" s="115" t="s">
        <v>3969</v>
      </c>
    </row>
    <row r="2389" spans="1:5" x14ac:dyDescent="0.25">
      <c r="A2389" s="115" t="s">
        <v>1138</v>
      </c>
      <c r="B2389" s="115" t="s">
        <v>3970</v>
      </c>
      <c r="D2389" s="115" t="s">
        <v>3971</v>
      </c>
      <c r="E2389" s="115" t="s">
        <v>3972</v>
      </c>
    </row>
    <row r="2390" spans="1:5" x14ac:dyDescent="0.25">
      <c r="A2390" s="115" t="s">
        <v>1138</v>
      </c>
      <c r="B2390" s="115" t="s">
        <v>1462</v>
      </c>
      <c r="D2390" s="115" t="s">
        <v>3973</v>
      </c>
      <c r="E2390" s="115" t="s">
        <v>1141</v>
      </c>
    </row>
    <row r="2391" spans="1:5" x14ac:dyDescent="0.25">
      <c r="B2391" s="115" t="s">
        <v>3974</v>
      </c>
      <c r="D2391" s="115" t="s">
        <v>3975</v>
      </c>
      <c r="E2391" s="115" t="s">
        <v>1141</v>
      </c>
    </row>
    <row r="2392" spans="1:5" x14ac:dyDescent="0.25">
      <c r="A2392" s="115">
        <v>12</v>
      </c>
      <c r="B2392" s="115" t="s">
        <v>3976</v>
      </c>
      <c r="D2392" s="115" t="s">
        <v>3977</v>
      </c>
      <c r="E2392" s="115" t="s">
        <v>3978</v>
      </c>
    </row>
    <row r="2393" spans="1:5" x14ac:dyDescent="0.25">
      <c r="A2393" s="115">
        <v>3</v>
      </c>
      <c r="B2393" s="115" t="s">
        <v>1164</v>
      </c>
      <c r="D2393" s="115" t="s">
        <v>3979</v>
      </c>
      <c r="E2393" s="115" t="s">
        <v>1141</v>
      </c>
    </row>
    <row r="2394" spans="1:5" x14ac:dyDescent="0.25">
      <c r="A2394" s="115">
        <v>-5</v>
      </c>
      <c r="B2394" s="115" t="s">
        <v>3980</v>
      </c>
      <c r="D2394" s="115">
        <f>-249  -6304  -1852</f>
        <v>-8405</v>
      </c>
      <c r="E2394" s="115" t="s">
        <v>3981</v>
      </c>
    </row>
    <row r="2395" spans="1:5" x14ac:dyDescent="0.25">
      <c r="B2395" s="115" t="s">
        <v>1139</v>
      </c>
      <c r="D2395" s="115" t="s">
        <v>3982</v>
      </c>
      <c r="E2395" s="115" t="s">
        <v>1141</v>
      </c>
    </row>
    <row r="2396" spans="1:5" x14ac:dyDescent="0.25">
      <c r="B2396" s="115" t="s">
        <v>1139</v>
      </c>
      <c r="D2396" s="115" t="s">
        <v>3983</v>
      </c>
      <c r="E2396" s="115" t="s">
        <v>3984</v>
      </c>
    </row>
    <row r="2397" spans="1:5" x14ac:dyDescent="0.25">
      <c r="A2397" s="115" t="s">
        <v>1138</v>
      </c>
      <c r="B2397" s="115" t="s">
        <v>3985</v>
      </c>
      <c r="D2397" s="115" t="s">
        <v>3986</v>
      </c>
      <c r="E2397" s="115" t="s">
        <v>3987</v>
      </c>
    </row>
    <row r="2398" spans="1:5" x14ac:dyDescent="0.25">
      <c r="B2398" s="115" t="s">
        <v>1653</v>
      </c>
      <c r="D2398" s="115" t="s">
        <v>1140</v>
      </c>
      <c r="E2398" s="115" t="s">
        <v>3988</v>
      </c>
    </row>
    <row r="2399" spans="1:5" x14ac:dyDescent="0.25">
      <c r="B2399" s="115" t="s">
        <v>1139</v>
      </c>
      <c r="D2399" s="115" t="s">
        <v>3989</v>
      </c>
      <c r="E2399" s="115" t="s">
        <v>3990</v>
      </c>
    </row>
    <row r="2400" spans="1:5" x14ac:dyDescent="0.25">
      <c r="B2400" s="115" t="s">
        <v>1139</v>
      </c>
      <c r="D2400" s="115" t="s">
        <v>3991</v>
      </c>
      <c r="E2400" s="115" t="s">
        <v>3992</v>
      </c>
    </row>
    <row r="2401" spans="1:5" x14ac:dyDescent="0.25">
      <c r="B2401" s="115" t="s">
        <v>3993</v>
      </c>
      <c r="D2401" s="115" t="s">
        <v>3994</v>
      </c>
      <c r="E2401" s="115" t="s">
        <v>3995</v>
      </c>
    </row>
    <row r="2402" spans="1:5" x14ac:dyDescent="0.25">
      <c r="B2402" s="115" t="s">
        <v>3996</v>
      </c>
      <c r="D2402" s="115" t="s">
        <v>3997</v>
      </c>
      <c r="E2402" s="115" t="s">
        <v>3998</v>
      </c>
    </row>
    <row r="2403" spans="1:5" x14ac:dyDescent="0.25">
      <c r="A2403" s="115">
        <v>-1</v>
      </c>
      <c r="B2403" s="115" t="s">
        <v>3999</v>
      </c>
      <c r="D2403" s="115" t="s">
        <v>4000</v>
      </c>
      <c r="E2403" s="115" t="s">
        <v>4001</v>
      </c>
    </row>
    <row r="2404" spans="1:5" x14ac:dyDescent="0.25">
      <c r="B2404" s="115" t="s">
        <v>1644</v>
      </c>
      <c r="D2404" s="115" t="s">
        <v>4002</v>
      </c>
      <c r="E2404" s="115" t="s">
        <v>4003</v>
      </c>
    </row>
    <row r="2405" spans="1:5" x14ac:dyDescent="0.25">
      <c r="B2405" s="115" t="s">
        <v>4004</v>
      </c>
      <c r="D2405" s="115" t="s">
        <v>4005</v>
      </c>
      <c r="E2405" s="115" t="s">
        <v>4006</v>
      </c>
    </row>
    <row r="2406" spans="1:5" x14ac:dyDescent="0.25">
      <c r="A2406" s="115" t="s">
        <v>1138</v>
      </c>
      <c r="B2406" s="115" t="s">
        <v>4007</v>
      </c>
      <c r="D2406" s="115" t="s">
        <v>4008</v>
      </c>
      <c r="E2406" s="115" t="s">
        <v>4009</v>
      </c>
    </row>
    <row r="2407" spans="1:5" x14ac:dyDescent="0.25">
      <c r="B2407" s="115" t="s">
        <v>1139</v>
      </c>
      <c r="D2407" s="115" t="s">
        <v>4010</v>
      </c>
      <c r="E2407" s="115" t="s">
        <v>4011</v>
      </c>
    </row>
    <row r="2408" spans="1:5" x14ac:dyDescent="0.25">
      <c r="B2408" s="115" t="s">
        <v>4012</v>
      </c>
      <c r="D2408" s="115" t="s">
        <v>4013</v>
      </c>
      <c r="E2408" s="115" t="s">
        <v>4014</v>
      </c>
    </row>
    <row r="2409" spans="1:5" x14ac:dyDescent="0.25">
      <c r="A2409" s="115">
        <v>-1</v>
      </c>
      <c r="B2409" s="115" t="s">
        <v>4015</v>
      </c>
      <c r="D2409" s="115" t="s">
        <v>4016</v>
      </c>
      <c r="E2409" s="115" t="s">
        <v>4017</v>
      </c>
    </row>
    <row r="2410" spans="1:5" x14ac:dyDescent="0.25">
      <c r="B2410" s="115" t="s">
        <v>4018</v>
      </c>
      <c r="D2410" s="115" t="s">
        <v>1312</v>
      </c>
      <c r="E2410" s="115" t="s">
        <v>1141</v>
      </c>
    </row>
    <row r="2411" spans="1:5" x14ac:dyDescent="0.25">
      <c r="B2411" s="115" t="s">
        <v>4019</v>
      </c>
      <c r="D2411" s="115" t="s">
        <v>4020</v>
      </c>
      <c r="E2411" s="115" t="s">
        <v>1759</v>
      </c>
    </row>
    <row r="2412" spans="1:5" x14ac:dyDescent="0.25">
      <c r="B2412" s="115" t="s">
        <v>4021</v>
      </c>
      <c r="C2412" s="115">
        <v>1</v>
      </c>
      <c r="D2412" s="115" t="s">
        <v>4022</v>
      </c>
      <c r="E2412" s="115" t="s">
        <v>4023</v>
      </c>
    </row>
    <row r="2413" spans="1:5" x14ac:dyDescent="0.25">
      <c r="B2413" s="115" t="s">
        <v>4024</v>
      </c>
      <c r="D2413" s="115" t="s">
        <v>4025</v>
      </c>
      <c r="E2413" s="115" t="s">
        <v>4026</v>
      </c>
    </row>
    <row r="2414" spans="1:5" x14ac:dyDescent="0.25">
      <c r="B2414" s="115" t="s">
        <v>4027</v>
      </c>
      <c r="D2414" s="115" t="s">
        <v>4028</v>
      </c>
      <c r="E2414" s="115" t="s">
        <v>4029</v>
      </c>
    </row>
    <row r="2415" spans="1:5" x14ac:dyDescent="0.25">
      <c r="B2415" s="115" t="s">
        <v>4030</v>
      </c>
      <c r="D2415" s="115" t="s">
        <v>4031</v>
      </c>
      <c r="E2415" s="115" t="s">
        <v>4032</v>
      </c>
    </row>
    <row r="2416" spans="1:5" x14ac:dyDescent="0.25">
      <c r="B2416" s="115" t="s">
        <v>1139</v>
      </c>
      <c r="D2416" s="115" t="s">
        <v>4033</v>
      </c>
      <c r="E2416" s="115" t="s">
        <v>4034</v>
      </c>
    </row>
    <row r="2417" spans="1:5" x14ac:dyDescent="0.25">
      <c r="A2417" s="115">
        <v>-1</v>
      </c>
      <c r="B2417" s="115" t="s">
        <v>4035</v>
      </c>
      <c r="D2417" s="115" t="s">
        <v>4036</v>
      </c>
      <c r="E2417" s="115" t="s">
        <v>4037</v>
      </c>
    </row>
    <row r="2418" spans="1:5" x14ac:dyDescent="0.25">
      <c r="B2418" s="115" t="s">
        <v>1139</v>
      </c>
      <c r="D2418" s="115" t="s">
        <v>4038</v>
      </c>
      <c r="E2418" s="115" t="s">
        <v>4039</v>
      </c>
    </row>
    <row r="2419" spans="1:5" x14ac:dyDescent="0.25">
      <c r="B2419" s="115" t="s">
        <v>1139</v>
      </c>
      <c r="D2419" s="115" t="s">
        <v>1140</v>
      </c>
      <c r="E2419" s="115" t="s">
        <v>4040</v>
      </c>
    </row>
    <row r="2420" spans="1:5" x14ac:dyDescent="0.25">
      <c r="B2420" s="115" t="s">
        <v>1139</v>
      </c>
      <c r="D2420" s="115" t="s">
        <v>4041</v>
      </c>
      <c r="E2420" s="115" t="s">
        <v>4042</v>
      </c>
    </row>
    <row r="2421" spans="1:5" x14ac:dyDescent="0.25">
      <c r="A2421" s="115">
        <v>-2</v>
      </c>
      <c r="B2421" s="115" t="s">
        <v>1179</v>
      </c>
      <c r="D2421" s="115" t="s">
        <v>4043</v>
      </c>
      <c r="E2421" s="115" t="s">
        <v>4044</v>
      </c>
    </row>
    <row r="2422" spans="1:5" x14ac:dyDescent="0.25">
      <c r="B2422" s="115" t="s">
        <v>1139</v>
      </c>
      <c r="D2422" s="115" t="s">
        <v>4045</v>
      </c>
      <c r="E2422" s="115" t="s">
        <v>4046</v>
      </c>
    </row>
    <row r="2423" spans="1:5" x14ac:dyDescent="0.25">
      <c r="A2423" s="115">
        <v>-4</v>
      </c>
      <c r="B2423" s="115" t="s">
        <v>1445</v>
      </c>
      <c r="C2423" s="115" t="s">
        <v>1138</v>
      </c>
      <c r="D2423" s="115" t="s">
        <v>4047</v>
      </c>
      <c r="E2423" s="115" t="s">
        <v>4048</v>
      </c>
    </row>
    <row r="2424" spans="1:5" x14ac:dyDescent="0.25">
      <c r="B2424" s="115" t="s">
        <v>1139</v>
      </c>
      <c r="D2424" s="115" t="s">
        <v>4049</v>
      </c>
      <c r="E2424" s="115" t="s">
        <v>4050</v>
      </c>
    </row>
    <row r="2425" spans="1:5" x14ac:dyDescent="0.25">
      <c r="B2425" s="115" t="s">
        <v>1139</v>
      </c>
      <c r="D2425" s="115" t="s">
        <v>4051</v>
      </c>
      <c r="E2425" s="115" t="s">
        <v>4052</v>
      </c>
    </row>
    <row r="2426" spans="1:5" x14ac:dyDescent="0.25">
      <c r="A2426" s="115">
        <v>-5</v>
      </c>
      <c r="B2426" s="115" t="s">
        <v>4053</v>
      </c>
      <c r="C2426" s="115" t="s">
        <v>1138</v>
      </c>
      <c r="D2426" s="115" t="s">
        <v>4054</v>
      </c>
      <c r="E2426" s="115" t="s">
        <v>4055</v>
      </c>
    </row>
    <row r="2427" spans="1:5" x14ac:dyDescent="0.25">
      <c r="B2427" s="115" t="s">
        <v>4056</v>
      </c>
      <c r="D2427" s="115" t="s">
        <v>4057</v>
      </c>
      <c r="E2427" s="115" t="s">
        <v>4058</v>
      </c>
    </row>
    <row r="2428" spans="1:5" x14ac:dyDescent="0.25">
      <c r="B2428" s="115" t="s">
        <v>1139</v>
      </c>
      <c r="D2428" s="115" t="s">
        <v>4059</v>
      </c>
      <c r="E2428" s="115" t="s">
        <v>4060</v>
      </c>
    </row>
    <row r="2429" spans="1:5" x14ac:dyDescent="0.25">
      <c r="B2429" s="115" t="s">
        <v>1139</v>
      </c>
      <c r="D2429" s="115" t="s">
        <v>4061</v>
      </c>
      <c r="E2429" s="115" t="s">
        <v>4062</v>
      </c>
    </row>
    <row r="2430" spans="1:5" x14ac:dyDescent="0.25">
      <c r="B2430" s="115" t="s">
        <v>4063</v>
      </c>
      <c r="D2430" s="115" t="s">
        <v>4064</v>
      </c>
      <c r="E2430" s="115" t="s">
        <v>2082</v>
      </c>
    </row>
    <row r="2431" spans="1:5" x14ac:dyDescent="0.25">
      <c r="B2431" s="115" t="s">
        <v>1139</v>
      </c>
      <c r="D2431" s="115" t="s">
        <v>4065</v>
      </c>
      <c r="E2431" s="115" t="s">
        <v>4066</v>
      </c>
    </row>
    <row r="2432" spans="1:5" x14ac:dyDescent="0.25">
      <c r="B2432" s="115" t="s">
        <v>1139</v>
      </c>
      <c r="D2432" s="115" t="s">
        <v>4067</v>
      </c>
      <c r="E2432" s="115" t="s">
        <v>4068</v>
      </c>
    </row>
    <row r="2433" spans="1:5" x14ac:dyDescent="0.25">
      <c r="B2433" s="115" t="s">
        <v>1139</v>
      </c>
      <c r="D2433" s="115" t="s">
        <v>4069</v>
      </c>
      <c r="E2433" s="115" t="s">
        <v>4070</v>
      </c>
    </row>
    <row r="2434" spans="1:5" x14ac:dyDescent="0.25">
      <c r="B2434" s="115" t="s">
        <v>1139</v>
      </c>
      <c r="D2434" s="115" t="s">
        <v>4071</v>
      </c>
      <c r="E2434" s="115" t="s">
        <v>4072</v>
      </c>
    </row>
    <row r="2435" spans="1:5" x14ac:dyDescent="0.25">
      <c r="B2435" s="115" t="s">
        <v>1139</v>
      </c>
      <c r="D2435" s="115" t="s">
        <v>4073</v>
      </c>
      <c r="E2435" s="115" t="s">
        <v>4074</v>
      </c>
    </row>
    <row r="2436" spans="1:5" x14ac:dyDescent="0.25">
      <c r="B2436" s="115" t="s">
        <v>1139</v>
      </c>
      <c r="D2436" s="115" t="s">
        <v>1140</v>
      </c>
      <c r="E2436" s="115" t="s">
        <v>4075</v>
      </c>
    </row>
    <row r="2437" spans="1:5" x14ac:dyDescent="0.25">
      <c r="B2437" s="115" t="s">
        <v>1139</v>
      </c>
      <c r="D2437" s="115" t="s">
        <v>4076</v>
      </c>
      <c r="E2437" s="115" t="s">
        <v>4077</v>
      </c>
    </row>
    <row r="2438" spans="1:5" x14ac:dyDescent="0.25">
      <c r="B2438" s="115" t="s">
        <v>4078</v>
      </c>
      <c r="D2438" s="115" t="s">
        <v>4079</v>
      </c>
      <c r="E2438" s="115" t="s">
        <v>1702</v>
      </c>
    </row>
    <row r="2439" spans="1:5" x14ac:dyDescent="0.25">
      <c r="B2439" s="115" t="s">
        <v>3197</v>
      </c>
      <c r="D2439" s="115" t="s">
        <v>1140</v>
      </c>
      <c r="E2439" s="115" t="s">
        <v>4080</v>
      </c>
    </row>
    <row r="2440" spans="1:5" x14ac:dyDescent="0.25">
      <c r="A2440" s="115" t="s">
        <v>1138</v>
      </c>
      <c r="B2440" s="115" t="s">
        <v>1492</v>
      </c>
      <c r="C2440" s="115">
        <v>-1</v>
      </c>
      <c r="D2440" s="115" t="s">
        <v>4081</v>
      </c>
      <c r="E2440" s="115" t="s">
        <v>4082</v>
      </c>
    </row>
    <row r="2441" spans="1:5" x14ac:dyDescent="0.25">
      <c r="B2441" s="115" t="s">
        <v>1139</v>
      </c>
      <c r="D2441" s="115" t="s">
        <v>4083</v>
      </c>
      <c r="E2441" s="115" t="s">
        <v>4084</v>
      </c>
    </row>
    <row r="2442" spans="1:5" x14ac:dyDescent="0.25">
      <c r="B2442" s="115">
        <f>-45   -799</f>
        <v>-844</v>
      </c>
      <c r="D2442" s="115" t="s">
        <v>1140</v>
      </c>
      <c r="E2442" s="115" t="s">
        <v>4085</v>
      </c>
    </row>
    <row r="2443" spans="1:5" x14ac:dyDescent="0.25">
      <c r="A2443" s="115">
        <v>3</v>
      </c>
      <c r="B2443" s="115" t="s">
        <v>4086</v>
      </c>
      <c r="C2443" s="115">
        <v>-2</v>
      </c>
      <c r="D2443" s="115" t="s">
        <v>4087</v>
      </c>
      <c r="E2443" s="115" t="s">
        <v>4088</v>
      </c>
    </row>
    <row r="2444" spans="1:5" x14ac:dyDescent="0.25">
      <c r="B2444" s="115" t="s">
        <v>4089</v>
      </c>
      <c r="C2444" s="115" t="s">
        <v>1138</v>
      </c>
      <c r="D2444" s="115" t="s">
        <v>4090</v>
      </c>
      <c r="E2444" s="115" t="s">
        <v>4091</v>
      </c>
    </row>
    <row r="2445" spans="1:5" x14ac:dyDescent="0.25">
      <c r="A2445" s="115" t="s">
        <v>1138</v>
      </c>
      <c r="B2445" s="115" t="s">
        <v>4092</v>
      </c>
      <c r="D2445" s="115" t="s">
        <v>1140</v>
      </c>
      <c r="E2445" s="115" t="s">
        <v>4093</v>
      </c>
    </row>
    <row r="2446" spans="1:5" x14ac:dyDescent="0.25">
      <c r="A2446" s="115">
        <v>3</v>
      </c>
      <c r="B2446" s="115" t="s">
        <v>4094</v>
      </c>
      <c r="C2446" s="115">
        <v>-2</v>
      </c>
      <c r="D2446" s="115" t="s">
        <v>4095</v>
      </c>
      <c r="E2446" s="115" t="s">
        <v>4096</v>
      </c>
    </row>
    <row r="2447" spans="1:5" x14ac:dyDescent="0.25">
      <c r="B2447" s="115" t="s">
        <v>4097</v>
      </c>
      <c r="D2447" s="115" t="s">
        <v>4098</v>
      </c>
      <c r="E2447" s="115" t="s">
        <v>4099</v>
      </c>
    </row>
    <row r="2448" spans="1:5" x14ac:dyDescent="0.25">
      <c r="B2448" s="115" t="s">
        <v>4100</v>
      </c>
      <c r="D2448" s="115" t="s">
        <v>1140</v>
      </c>
      <c r="E2448" s="115" t="s">
        <v>4101</v>
      </c>
    </row>
    <row r="2449" spans="1:5" x14ac:dyDescent="0.25">
      <c r="B2449" s="115" t="s">
        <v>4102</v>
      </c>
      <c r="D2449" s="115" t="s">
        <v>1991</v>
      </c>
      <c r="E2449" s="115" t="s">
        <v>4103</v>
      </c>
    </row>
    <row r="2450" spans="1:5" x14ac:dyDescent="0.25">
      <c r="B2450" s="115" t="s">
        <v>4104</v>
      </c>
      <c r="D2450" s="115" t="s">
        <v>4105</v>
      </c>
      <c r="E2450" s="115" t="s">
        <v>4106</v>
      </c>
    </row>
    <row r="2451" spans="1:5" x14ac:dyDescent="0.25">
      <c r="B2451" s="115" t="s">
        <v>1139</v>
      </c>
      <c r="D2451" s="115" t="s">
        <v>1140</v>
      </c>
      <c r="E2451" s="115" t="s">
        <v>4107</v>
      </c>
    </row>
    <row r="2452" spans="1:5" x14ac:dyDescent="0.25">
      <c r="A2452" s="115">
        <v>-1</v>
      </c>
      <c r="B2452" s="115" t="s">
        <v>4108</v>
      </c>
      <c r="D2452" s="115" t="s">
        <v>1140</v>
      </c>
      <c r="E2452" s="115" t="s">
        <v>4109</v>
      </c>
    </row>
    <row r="2453" spans="1:5" x14ac:dyDescent="0.25">
      <c r="A2453" s="115">
        <v>-3</v>
      </c>
      <c r="B2453" s="115" t="s">
        <v>4110</v>
      </c>
      <c r="D2453" s="115" t="s">
        <v>4111</v>
      </c>
      <c r="E2453" s="115" t="s">
        <v>4112</v>
      </c>
    </row>
    <row r="2454" spans="1:5" x14ac:dyDescent="0.25">
      <c r="B2454" s="115" t="s">
        <v>4113</v>
      </c>
      <c r="D2454" s="115" t="s">
        <v>1140</v>
      </c>
      <c r="E2454" s="115" t="s">
        <v>4114</v>
      </c>
    </row>
    <row r="2455" spans="1:5" x14ac:dyDescent="0.25">
      <c r="A2455" s="115">
        <v>-1</v>
      </c>
      <c r="B2455" s="115" t="s">
        <v>4115</v>
      </c>
      <c r="C2455" s="115" t="s">
        <v>1138</v>
      </c>
      <c r="D2455" s="115" t="s">
        <v>4116</v>
      </c>
      <c r="E2455" s="115" t="s">
        <v>4117</v>
      </c>
    </row>
    <row r="2456" spans="1:5" x14ac:dyDescent="0.25">
      <c r="B2456" s="115" t="s">
        <v>1139</v>
      </c>
      <c r="D2456" s="115" t="s">
        <v>4118</v>
      </c>
      <c r="E2456" s="115" t="s">
        <v>1141</v>
      </c>
    </row>
    <row r="2457" spans="1:5" x14ac:dyDescent="0.25">
      <c r="B2457" s="115" t="s">
        <v>1139</v>
      </c>
      <c r="D2457" s="115" t="s">
        <v>4119</v>
      </c>
      <c r="E2457" s="115" t="s">
        <v>4120</v>
      </c>
    </row>
    <row r="2458" spans="1:5" x14ac:dyDescent="0.25">
      <c r="B2458" s="115" t="s">
        <v>4121</v>
      </c>
      <c r="D2458" s="115" t="s">
        <v>4122</v>
      </c>
      <c r="E2458" s="115" t="s">
        <v>4123</v>
      </c>
    </row>
    <row r="2459" spans="1:5" x14ac:dyDescent="0.25">
      <c r="B2459" s="115" t="s">
        <v>1139</v>
      </c>
      <c r="D2459" s="115" t="s">
        <v>4124</v>
      </c>
      <c r="E2459" s="115" t="s">
        <v>1759</v>
      </c>
    </row>
    <row r="2460" spans="1:5" x14ac:dyDescent="0.25">
      <c r="B2460" s="115" t="s">
        <v>1139</v>
      </c>
      <c r="D2460" s="115" t="s">
        <v>4125</v>
      </c>
      <c r="E2460" s="115" t="s">
        <v>4126</v>
      </c>
    </row>
    <row r="2461" spans="1:5" x14ac:dyDescent="0.25">
      <c r="B2461" s="115" t="s">
        <v>4127</v>
      </c>
      <c r="C2461" s="115" t="s">
        <v>1138</v>
      </c>
      <c r="D2461" s="115" t="s">
        <v>4128</v>
      </c>
      <c r="E2461" s="115" t="s">
        <v>4129</v>
      </c>
    </row>
    <row r="2462" spans="1:5" x14ac:dyDescent="0.25">
      <c r="A2462" s="115">
        <v>1</v>
      </c>
      <c r="B2462" s="115" t="s">
        <v>4130</v>
      </c>
      <c r="C2462" s="115" t="s">
        <v>1138</v>
      </c>
      <c r="D2462" s="115" t="s">
        <v>4131</v>
      </c>
      <c r="E2462" s="115" t="s">
        <v>1859</v>
      </c>
    </row>
    <row r="2463" spans="1:5" x14ac:dyDescent="0.25">
      <c r="B2463" s="115" t="s">
        <v>4132</v>
      </c>
      <c r="C2463" s="115">
        <v>1</v>
      </c>
      <c r="D2463" s="115" t="s">
        <v>4133</v>
      </c>
      <c r="E2463" s="115" t="s">
        <v>4134</v>
      </c>
    </row>
    <row r="2464" spans="1:5" x14ac:dyDescent="0.25">
      <c r="A2464" s="115">
        <v>-3</v>
      </c>
      <c r="B2464" s="115" t="s">
        <v>4135</v>
      </c>
      <c r="D2464" s="115" t="s">
        <v>4136</v>
      </c>
      <c r="E2464" s="115" t="s">
        <v>4137</v>
      </c>
    </row>
    <row r="2465" spans="1:5" x14ac:dyDescent="0.25">
      <c r="A2465" s="115">
        <v>2</v>
      </c>
      <c r="B2465" s="115" t="s">
        <v>4138</v>
      </c>
      <c r="D2465" s="115" t="s">
        <v>4139</v>
      </c>
      <c r="E2465" s="115" t="s">
        <v>1859</v>
      </c>
    </row>
    <row r="2466" spans="1:5" x14ac:dyDescent="0.25">
      <c r="A2466" s="115">
        <v>1</v>
      </c>
      <c r="B2466" s="115" t="s">
        <v>4140</v>
      </c>
      <c r="D2466" s="115" t="s">
        <v>4141</v>
      </c>
      <c r="E2466" s="115" t="s">
        <v>4142</v>
      </c>
    </row>
    <row r="2467" spans="1:5" x14ac:dyDescent="0.25">
      <c r="A2467" s="115">
        <v>-3</v>
      </c>
      <c r="B2467" s="115" t="s">
        <v>4143</v>
      </c>
      <c r="D2467" s="115" t="s">
        <v>4144</v>
      </c>
      <c r="E2467" s="115" t="s">
        <v>4145</v>
      </c>
    </row>
    <row r="2468" spans="1:5" x14ac:dyDescent="0.25">
      <c r="B2468" s="115" t="s">
        <v>4146</v>
      </c>
      <c r="D2468" s="115" t="s">
        <v>4147</v>
      </c>
      <c r="E2468" s="115" t="s">
        <v>1819</v>
      </c>
    </row>
    <row r="2469" spans="1:5" x14ac:dyDescent="0.25">
      <c r="B2469" s="115" t="s">
        <v>4148</v>
      </c>
      <c r="D2469" s="115" t="s">
        <v>4149</v>
      </c>
      <c r="E2469" s="115" t="s">
        <v>4150</v>
      </c>
    </row>
    <row r="2470" spans="1:5" x14ac:dyDescent="0.25">
      <c r="B2470" s="115" t="s">
        <v>4151</v>
      </c>
      <c r="C2470" s="115" t="s">
        <v>1138</v>
      </c>
      <c r="D2470" s="115" t="s">
        <v>4152</v>
      </c>
      <c r="E2470" s="115" t="s">
        <v>4153</v>
      </c>
    </row>
    <row r="2471" spans="1:5" x14ac:dyDescent="0.25">
      <c r="B2471" s="115" t="s">
        <v>4154</v>
      </c>
      <c r="D2471" s="115" t="s">
        <v>4155</v>
      </c>
      <c r="E2471" s="115" t="s">
        <v>1141</v>
      </c>
    </row>
    <row r="2472" spans="1:5" x14ac:dyDescent="0.25">
      <c r="A2472" s="115">
        <v>1</v>
      </c>
      <c r="B2472" s="115" t="s">
        <v>4156</v>
      </c>
      <c r="D2472" s="115" t="s">
        <v>4157</v>
      </c>
      <c r="E2472" s="115" t="s">
        <v>1141</v>
      </c>
    </row>
    <row r="2473" spans="1:5" x14ac:dyDescent="0.25">
      <c r="A2473" s="115">
        <v>4</v>
      </c>
      <c r="B2473" s="115" t="s">
        <v>4158</v>
      </c>
      <c r="C2473" s="115" t="s">
        <v>1138</v>
      </c>
      <c r="D2473" s="115" t="s">
        <v>4159</v>
      </c>
      <c r="E2473" s="115" t="s">
        <v>4160</v>
      </c>
    </row>
    <row r="2474" spans="1:5" x14ac:dyDescent="0.25">
      <c r="B2474" s="115" t="s">
        <v>1421</v>
      </c>
      <c r="C2474" s="115" t="s">
        <v>1138</v>
      </c>
      <c r="D2474" s="115" t="s">
        <v>4161</v>
      </c>
      <c r="E2474" s="115" t="s">
        <v>2690</v>
      </c>
    </row>
    <row r="2475" spans="1:5" x14ac:dyDescent="0.25">
      <c r="A2475" s="115">
        <v>-2</v>
      </c>
      <c r="B2475" s="115" t="s">
        <v>4162</v>
      </c>
      <c r="C2475" s="115">
        <v>2</v>
      </c>
      <c r="D2475" s="115" t="s">
        <v>4163</v>
      </c>
      <c r="E2475" s="115" t="s">
        <v>4164</v>
      </c>
    </row>
    <row r="2476" spans="1:5" x14ac:dyDescent="0.25">
      <c r="B2476" s="115" t="s">
        <v>4165</v>
      </c>
      <c r="D2476" s="115" t="s">
        <v>4166</v>
      </c>
      <c r="E2476" s="115" t="s">
        <v>4167</v>
      </c>
    </row>
    <row r="2477" spans="1:5" x14ac:dyDescent="0.25">
      <c r="B2477" s="115" t="s">
        <v>1139</v>
      </c>
      <c r="D2477" s="115" t="s">
        <v>1140</v>
      </c>
      <c r="E2477" s="115" t="s">
        <v>4168</v>
      </c>
    </row>
    <row r="2478" spans="1:5" x14ac:dyDescent="0.25">
      <c r="B2478" s="115" t="s">
        <v>4169</v>
      </c>
      <c r="D2478" s="115" t="s">
        <v>4170</v>
      </c>
      <c r="E2478" s="115" t="s">
        <v>4171</v>
      </c>
    </row>
    <row r="2479" spans="1:5" x14ac:dyDescent="0.25">
      <c r="A2479" s="115" t="s">
        <v>1138</v>
      </c>
      <c r="B2479" s="115" t="s">
        <v>1488</v>
      </c>
      <c r="D2479" s="115" t="s">
        <v>4172</v>
      </c>
      <c r="E2479" s="115" t="s">
        <v>1141</v>
      </c>
    </row>
    <row r="2480" spans="1:5" x14ac:dyDescent="0.25">
      <c r="A2480" s="115" t="s">
        <v>1138</v>
      </c>
      <c r="B2480" s="115" t="s">
        <v>4173</v>
      </c>
      <c r="D2480" s="115" t="s">
        <v>1140</v>
      </c>
      <c r="E2480" s="115" t="s">
        <v>4174</v>
      </c>
    </row>
    <row r="2481" spans="1:5" x14ac:dyDescent="0.25">
      <c r="B2481" s="115" t="s">
        <v>4175</v>
      </c>
      <c r="D2481" s="115" t="s">
        <v>1140</v>
      </c>
      <c r="E2481" s="115" t="s">
        <v>4176</v>
      </c>
    </row>
    <row r="2482" spans="1:5" x14ac:dyDescent="0.25">
      <c r="B2482" s="115" t="s">
        <v>4177</v>
      </c>
      <c r="D2482" s="115" t="s">
        <v>4178</v>
      </c>
      <c r="E2482" s="115" t="s">
        <v>4179</v>
      </c>
    </row>
    <row r="2483" spans="1:5" x14ac:dyDescent="0.25">
      <c r="A2483" s="115">
        <v>1</v>
      </c>
      <c r="B2483" s="115" t="s">
        <v>1484</v>
      </c>
      <c r="D2483" s="115" t="s">
        <v>4180</v>
      </c>
      <c r="E2483" s="115" t="s">
        <v>4181</v>
      </c>
    </row>
    <row r="2484" spans="1:5" x14ac:dyDescent="0.25">
      <c r="B2484" s="115" t="s">
        <v>4182</v>
      </c>
      <c r="D2484" s="115" t="s">
        <v>4183</v>
      </c>
      <c r="E2484" s="115" t="s">
        <v>4184</v>
      </c>
    </row>
    <row r="2485" spans="1:5" x14ac:dyDescent="0.25">
      <c r="B2485" s="115" t="s">
        <v>4185</v>
      </c>
      <c r="D2485" s="115" t="s">
        <v>4186</v>
      </c>
      <c r="E2485" s="115" t="s">
        <v>4187</v>
      </c>
    </row>
    <row r="2486" spans="1:5" x14ac:dyDescent="0.25">
      <c r="B2486" s="115" t="s">
        <v>1257</v>
      </c>
      <c r="D2486" s="115" t="s">
        <v>4188</v>
      </c>
      <c r="E2486" s="115" t="s">
        <v>4189</v>
      </c>
    </row>
    <row r="2487" spans="1:5" x14ac:dyDescent="0.25">
      <c r="A2487" s="115">
        <v>-4</v>
      </c>
      <c r="B2487" s="115" t="s">
        <v>4190</v>
      </c>
      <c r="C2487" s="115" t="s">
        <v>1138</v>
      </c>
      <c r="D2487" s="115" t="s">
        <v>4191</v>
      </c>
      <c r="E2487" s="115" t="s">
        <v>4192</v>
      </c>
    </row>
    <row r="2488" spans="1:5" x14ac:dyDescent="0.25">
      <c r="A2488" s="115">
        <v>-1</v>
      </c>
      <c r="B2488" s="115" t="s">
        <v>4193</v>
      </c>
      <c r="D2488" s="115" t="s">
        <v>4194</v>
      </c>
      <c r="E2488" s="115" t="s">
        <v>4195</v>
      </c>
    </row>
    <row r="2489" spans="1:5" x14ac:dyDescent="0.25">
      <c r="A2489" s="115" t="s">
        <v>1138</v>
      </c>
      <c r="B2489" s="115" t="s">
        <v>4196</v>
      </c>
      <c r="D2489" s="115" t="s">
        <v>4197</v>
      </c>
      <c r="E2489" s="115" t="s">
        <v>4198</v>
      </c>
    </row>
    <row r="2490" spans="1:5" x14ac:dyDescent="0.25">
      <c r="B2490" s="115" t="s">
        <v>1365</v>
      </c>
      <c r="D2490" s="115" t="s">
        <v>4199</v>
      </c>
      <c r="E2490" s="115" t="s">
        <v>4200</v>
      </c>
    </row>
    <row r="2491" spans="1:5" x14ac:dyDescent="0.25">
      <c r="B2491" s="115" t="s">
        <v>1163</v>
      </c>
      <c r="D2491" s="115" t="s">
        <v>4201</v>
      </c>
      <c r="E2491" s="115" t="s">
        <v>4202</v>
      </c>
    </row>
    <row r="2492" spans="1:5" x14ac:dyDescent="0.25">
      <c r="B2492" s="115" t="s">
        <v>1139</v>
      </c>
      <c r="D2492" s="115" t="s">
        <v>4203</v>
      </c>
      <c r="E2492" s="115" t="s">
        <v>4204</v>
      </c>
    </row>
    <row r="2493" spans="1:5" x14ac:dyDescent="0.25">
      <c r="B2493" s="115" t="s">
        <v>1139</v>
      </c>
      <c r="D2493" s="115" t="s">
        <v>4205</v>
      </c>
      <c r="E2493" s="115" t="s">
        <v>4206</v>
      </c>
    </row>
    <row r="2494" spans="1:5" x14ac:dyDescent="0.25">
      <c r="A2494" s="115">
        <v>-1</v>
      </c>
      <c r="B2494" s="115" t="s">
        <v>4207</v>
      </c>
      <c r="D2494" s="115" t="s">
        <v>4208</v>
      </c>
      <c r="E2494" s="115" t="s">
        <v>4209</v>
      </c>
    </row>
    <row r="2495" spans="1:5" x14ac:dyDescent="0.25">
      <c r="A2495" s="115" t="s">
        <v>1138</v>
      </c>
      <c r="B2495" s="115" t="s">
        <v>1444</v>
      </c>
      <c r="D2495" s="115" t="s">
        <v>4210</v>
      </c>
      <c r="E2495" s="115" t="s">
        <v>4211</v>
      </c>
    </row>
    <row r="2496" spans="1:5" x14ac:dyDescent="0.25">
      <c r="A2496" s="115">
        <v>33</v>
      </c>
      <c r="B2496" s="115" t="s">
        <v>4212</v>
      </c>
      <c r="D2496" s="115">
        <f>-117  -2631  -1517</f>
        <v>-4265</v>
      </c>
      <c r="E2496" s="115" t="s">
        <v>4213</v>
      </c>
    </row>
    <row r="2497" spans="1:5" x14ac:dyDescent="0.25">
      <c r="B2497" s="115" t="s">
        <v>1139</v>
      </c>
      <c r="D2497" s="115" t="s">
        <v>4214</v>
      </c>
      <c r="E2497" s="115" t="s">
        <v>1141</v>
      </c>
    </row>
    <row r="2498" spans="1:5" x14ac:dyDescent="0.25">
      <c r="B2498" s="115" t="s">
        <v>1139</v>
      </c>
      <c r="D2498" s="115" t="s">
        <v>4215</v>
      </c>
      <c r="E2498" s="115" t="s">
        <v>4216</v>
      </c>
    </row>
    <row r="2499" spans="1:5" x14ac:dyDescent="0.25">
      <c r="A2499" s="115">
        <v>-14</v>
      </c>
      <c r="B2499" s="115" t="s">
        <v>4217</v>
      </c>
      <c r="D2499" s="115" t="s">
        <v>1374</v>
      </c>
      <c r="E2499" s="115" t="s">
        <v>4218</v>
      </c>
    </row>
    <row r="2500" spans="1:5" x14ac:dyDescent="0.25">
      <c r="B2500" s="115" t="s">
        <v>4219</v>
      </c>
      <c r="D2500" s="115" t="s">
        <v>1140</v>
      </c>
      <c r="E2500" s="115" t="s">
        <v>4220</v>
      </c>
    </row>
    <row r="2501" spans="1:5" x14ac:dyDescent="0.25">
      <c r="B2501" s="115" t="s">
        <v>1139</v>
      </c>
      <c r="D2501" s="115" t="s">
        <v>4221</v>
      </c>
      <c r="E2501" s="115" t="s">
        <v>4222</v>
      </c>
    </row>
    <row r="2502" spans="1:5" x14ac:dyDescent="0.25">
      <c r="B2502" s="115" t="s">
        <v>1139</v>
      </c>
      <c r="D2502" s="115" t="s">
        <v>4223</v>
      </c>
      <c r="E2502" s="115" t="s">
        <v>4224</v>
      </c>
    </row>
    <row r="2503" spans="1:5" x14ac:dyDescent="0.25">
      <c r="B2503" s="115" t="s">
        <v>4225</v>
      </c>
      <c r="D2503" s="115" t="s">
        <v>4226</v>
      </c>
      <c r="E2503" s="115" t="s">
        <v>4227</v>
      </c>
    </row>
    <row r="2504" spans="1:5" x14ac:dyDescent="0.25">
      <c r="B2504" s="115" t="s">
        <v>1392</v>
      </c>
      <c r="D2504" s="115" t="s">
        <v>4228</v>
      </c>
      <c r="E2504" s="115" t="s">
        <v>4229</v>
      </c>
    </row>
    <row r="2505" spans="1:5" x14ac:dyDescent="0.25">
      <c r="A2505" s="115">
        <v>-31</v>
      </c>
      <c r="B2505" s="115" t="s">
        <v>4230</v>
      </c>
      <c r="D2505" s="115" t="s">
        <v>4231</v>
      </c>
      <c r="E2505" s="115" t="s">
        <v>4232</v>
      </c>
    </row>
    <row r="2506" spans="1:5" x14ac:dyDescent="0.25">
      <c r="A2506" s="115" t="s">
        <v>1138</v>
      </c>
      <c r="B2506" s="115" t="s">
        <v>4233</v>
      </c>
      <c r="D2506" s="115" t="s">
        <v>4234</v>
      </c>
      <c r="E2506" s="115" t="s">
        <v>4235</v>
      </c>
    </row>
    <row r="2507" spans="1:5" x14ac:dyDescent="0.25">
      <c r="B2507" s="115" t="s">
        <v>4236</v>
      </c>
      <c r="D2507" s="115" t="s">
        <v>4237</v>
      </c>
      <c r="E2507" s="115" t="s">
        <v>4238</v>
      </c>
    </row>
    <row r="2508" spans="1:5" x14ac:dyDescent="0.25">
      <c r="A2508" s="115">
        <v>-18</v>
      </c>
      <c r="B2508" s="115" t="s">
        <v>4239</v>
      </c>
      <c r="D2508" s="115" t="s">
        <v>1657</v>
      </c>
      <c r="E2508" s="115" t="s">
        <v>4240</v>
      </c>
    </row>
    <row r="2509" spans="1:5" x14ac:dyDescent="0.25">
      <c r="B2509" s="115" t="s">
        <v>1139</v>
      </c>
      <c r="D2509" s="115" t="s">
        <v>4241</v>
      </c>
      <c r="E2509" s="115" t="s">
        <v>4242</v>
      </c>
    </row>
    <row r="2510" spans="1:5" x14ac:dyDescent="0.25">
      <c r="B2510" s="115" t="s">
        <v>4243</v>
      </c>
      <c r="D2510" s="115" t="s">
        <v>4244</v>
      </c>
      <c r="E2510" s="115" t="s">
        <v>4245</v>
      </c>
    </row>
    <row r="2511" spans="1:5" x14ac:dyDescent="0.25">
      <c r="A2511" s="115">
        <v>-17</v>
      </c>
      <c r="B2511" s="115" t="s">
        <v>4246</v>
      </c>
      <c r="D2511" s="115" t="s">
        <v>4247</v>
      </c>
      <c r="E2511" s="115" t="s">
        <v>4248</v>
      </c>
    </row>
    <row r="2512" spans="1:5" x14ac:dyDescent="0.25">
      <c r="B2512" s="115" t="s">
        <v>4249</v>
      </c>
      <c r="D2512" s="115" t="s">
        <v>4250</v>
      </c>
      <c r="E2512" s="115" t="s">
        <v>1141</v>
      </c>
    </row>
    <row r="2513" spans="1:5" x14ac:dyDescent="0.25">
      <c r="B2513" s="115" t="s">
        <v>4251</v>
      </c>
      <c r="D2513" s="115" t="s">
        <v>4252</v>
      </c>
      <c r="E2513" s="115" t="s">
        <v>1859</v>
      </c>
    </row>
    <row r="2514" spans="1:5" x14ac:dyDescent="0.25">
      <c r="B2514" s="115" t="s">
        <v>4253</v>
      </c>
      <c r="D2514" s="115" t="s">
        <v>4254</v>
      </c>
      <c r="E2514" s="115" t="s">
        <v>4255</v>
      </c>
    </row>
    <row r="2515" spans="1:5" x14ac:dyDescent="0.25">
      <c r="B2515" s="115" t="s">
        <v>4256</v>
      </c>
      <c r="D2515" s="115" t="s">
        <v>1672</v>
      </c>
      <c r="E2515" s="115" t="s">
        <v>4257</v>
      </c>
    </row>
    <row r="2516" spans="1:5" x14ac:dyDescent="0.25">
      <c r="B2516" s="115" t="s">
        <v>4258</v>
      </c>
      <c r="D2516" s="115" t="s">
        <v>4259</v>
      </c>
      <c r="E2516" s="115" t="s">
        <v>4260</v>
      </c>
    </row>
    <row r="2517" spans="1:5" x14ac:dyDescent="0.25">
      <c r="A2517" s="115">
        <v>-3</v>
      </c>
      <c r="B2517" s="115" t="s">
        <v>4261</v>
      </c>
      <c r="D2517" s="115" t="s">
        <v>4262</v>
      </c>
      <c r="E2517" s="115" t="s">
        <v>4263</v>
      </c>
    </row>
    <row r="2518" spans="1:5" x14ac:dyDescent="0.25">
      <c r="B2518" s="115" t="s">
        <v>4264</v>
      </c>
      <c r="D2518" s="115" t="s">
        <v>1140</v>
      </c>
      <c r="E2518" s="115" t="s">
        <v>1141</v>
      </c>
    </row>
    <row r="2519" spans="1:5" x14ac:dyDescent="0.25">
      <c r="B2519" s="115" t="s">
        <v>4265</v>
      </c>
      <c r="D2519" s="115" t="s">
        <v>4266</v>
      </c>
      <c r="E2519" s="115" t="s">
        <v>4267</v>
      </c>
    </row>
    <row r="2520" spans="1:5" x14ac:dyDescent="0.25">
      <c r="B2520" s="115" t="s">
        <v>1139</v>
      </c>
      <c r="D2520" s="115" t="s">
        <v>4268</v>
      </c>
      <c r="E2520" s="115" t="s">
        <v>4269</v>
      </c>
    </row>
    <row r="2521" spans="1:5" x14ac:dyDescent="0.25">
      <c r="B2521" s="115" t="s">
        <v>1139</v>
      </c>
      <c r="D2521" s="115" t="s">
        <v>1537</v>
      </c>
      <c r="E2521" s="115" t="s">
        <v>1141</v>
      </c>
    </row>
    <row r="2522" spans="1:5" x14ac:dyDescent="0.25">
      <c r="B2522" s="115" t="s">
        <v>4270</v>
      </c>
      <c r="C2522" s="115" t="s">
        <v>1138</v>
      </c>
      <c r="D2522" s="115" t="s">
        <v>4271</v>
      </c>
      <c r="E2522" s="115" t="s">
        <v>4272</v>
      </c>
    </row>
    <row r="2523" spans="1:5" x14ac:dyDescent="0.25">
      <c r="A2523" s="115" t="s">
        <v>1138</v>
      </c>
      <c r="B2523" s="115" t="s">
        <v>4273</v>
      </c>
      <c r="D2523" s="115" t="s">
        <v>4274</v>
      </c>
      <c r="E2523" s="115" t="s">
        <v>4275</v>
      </c>
    </row>
    <row r="2524" spans="1:5" x14ac:dyDescent="0.25">
      <c r="A2524" s="115">
        <v>1</v>
      </c>
      <c r="B2524" s="115" t="s">
        <v>4276</v>
      </c>
      <c r="D2524" s="115" t="s">
        <v>4277</v>
      </c>
      <c r="E2524" s="115" t="s">
        <v>4278</v>
      </c>
    </row>
    <row r="2525" spans="1:5" x14ac:dyDescent="0.25">
      <c r="A2525" s="115">
        <v>7</v>
      </c>
      <c r="B2525" s="115" t="s">
        <v>4279</v>
      </c>
      <c r="D2525" s="115" t="s">
        <v>4280</v>
      </c>
      <c r="E2525" s="115" t="s">
        <v>4281</v>
      </c>
    </row>
    <row r="2526" spans="1:5" x14ac:dyDescent="0.25">
      <c r="B2526" s="115" t="s">
        <v>4282</v>
      </c>
      <c r="D2526" s="115" t="s">
        <v>4283</v>
      </c>
      <c r="E2526" s="115" t="s">
        <v>4284</v>
      </c>
    </row>
    <row r="2527" spans="1:5" x14ac:dyDescent="0.25">
      <c r="A2527" s="115" t="s">
        <v>1138</v>
      </c>
      <c r="B2527" s="115" t="s">
        <v>4285</v>
      </c>
      <c r="D2527" s="115" t="s">
        <v>4286</v>
      </c>
      <c r="E2527" s="115" t="s">
        <v>4287</v>
      </c>
    </row>
    <row r="2528" spans="1:5" x14ac:dyDescent="0.25">
      <c r="B2528" s="115" t="s">
        <v>4288</v>
      </c>
      <c r="D2528" s="115">
        <f>-324  -2323  -3306  -439</f>
        <v>-6392</v>
      </c>
      <c r="E2528" s="115" t="s">
        <v>4289</v>
      </c>
    </row>
    <row r="2529" spans="1:5" x14ac:dyDescent="0.25">
      <c r="B2529" s="115" t="s">
        <v>1476</v>
      </c>
      <c r="D2529" s="115" t="s">
        <v>4290</v>
      </c>
      <c r="E2529" s="115" t="s">
        <v>4291</v>
      </c>
    </row>
    <row r="2530" spans="1:5" x14ac:dyDescent="0.25">
      <c r="B2530" s="115" t="s">
        <v>4292</v>
      </c>
      <c r="D2530" s="115" t="s">
        <v>4293</v>
      </c>
      <c r="E2530" s="115" t="s">
        <v>4294</v>
      </c>
    </row>
    <row r="2531" spans="1:5" x14ac:dyDescent="0.25">
      <c r="B2531" s="115" t="s">
        <v>4295</v>
      </c>
      <c r="C2531" s="115" t="s">
        <v>1138</v>
      </c>
      <c r="D2531" s="115" t="s">
        <v>4296</v>
      </c>
      <c r="E2531" s="115" t="s">
        <v>4297</v>
      </c>
    </row>
    <row r="2532" spans="1:5" x14ac:dyDescent="0.25">
      <c r="A2532" s="115" t="s">
        <v>1138</v>
      </c>
      <c r="B2532" s="115" t="s">
        <v>4298</v>
      </c>
      <c r="D2532" s="115" t="s">
        <v>4299</v>
      </c>
      <c r="E2532" s="115" t="s">
        <v>4300</v>
      </c>
    </row>
    <row r="2533" spans="1:5" x14ac:dyDescent="0.25">
      <c r="A2533" s="115" t="s">
        <v>1138</v>
      </c>
      <c r="B2533" s="115" t="s">
        <v>4301</v>
      </c>
      <c r="D2533" s="115" t="s">
        <v>1140</v>
      </c>
      <c r="E2533" s="115" t="s">
        <v>4302</v>
      </c>
    </row>
    <row r="2534" spans="1:5" x14ac:dyDescent="0.25">
      <c r="B2534" s="115" t="s">
        <v>4303</v>
      </c>
      <c r="C2534" s="115" t="s">
        <v>1138</v>
      </c>
      <c r="D2534" s="115" t="s">
        <v>4304</v>
      </c>
      <c r="E2534" s="115" t="s">
        <v>4305</v>
      </c>
    </row>
    <row r="2535" spans="1:5" x14ac:dyDescent="0.25">
      <c r="B2535" s="115" t="s">
        <v>4306</v>
      </c>
      <c r="D2535" s="115" t="s">
        <v>4307</v>
      </c>
      <c r="E2535" s="115" t="s">
        <v>4308</v>
      </c>
    </row>
    <row r="2536" spans="1:5" x14ac:dyDescent="0.25">
      <c r="A2536" s="115">
        <v>-1</v>
      </c>
      <c r="B2536" s="115" t="s">
        <v>1217</v>
      </c>
      <c r="D2536" s="115" t="s">
        <v>4309</v>
      </c>
      <c r="E2536" s="115" t="s">
        <v>4310</v>
      </c>
    </row>
    <row r="2537" spans="1:5" x14ac:dyDescent="0.25">
      <c r="A2537" s="115">
        <v>6</v>
      </c>
      <c r="B2537" s="115" t="s">
        <v>4311</v>
      </c>
      <c r="C2537" s="115">
        <v>1</v>
      </c>
      <c r="D2537" s="115" t="s">
        <v>4312</v>
      </c>
      <c r="E2537" s="115" t="s">
        <v>1702</v>
      </c>
    </row>
    <row r="2538" spans="1:5" x14ac:dyDescent="0.25">
      <c r="B2538" s="115" t="s">
        <v>1139</v>
      </c>
      <c r="D2538" s="115" t="s">
        <v>1140</v>
      </c>
      <c r="E2538" s="115" t="s">
        <v>1141</v>
      </c>
    </row>
    <row r="2539" spans="1:5" x14ac:dyDescent="0.25">
      <c r="B2539" s="115" t="s">
        <v>1139</v>
      </c>
      <c r="D2539" s="115" t="s">
        <v>1140</v>
      </c>
      <c r="E2539" s="115" t="s">
        <v>1141</v>
      </c>
    </row>
    <row r="2540" spans="1:5" x14ac:dyDescent="0.25">
      <c r="B2540" s="115" t="s">
        <v>1139</v>
      </c>
      <c r="D2540" s="115" t="s">
        <v>1140</v>
      </c>
      <c r="E2540" s="115" t="s">
        <v>1141</v>
      </c>
    </row>
    <row r="2541" spans="1:5" x14ac:dyDescent="0.25">
      <c r="B2541" s="115" t="s">
        <v>1139</v>
      </c>
      <c r="D2541" s="115" t="s">
        <v>1140</v>
      </c>
      <c r="E2541" s="115" t="s">
        <v>1141</v>
      </c>
    </row>
    <row r="2542" spans="1:5" x14ac:dyDescent="0.25">
      <c r="B2542" s="115" t="s">
        <v>1139</v>
      </c>
      <c r="D2542" s="115" t="s">
        <v>1140</v>
      </c>
      <c r="E2542" s="115" t="s">
        <v>1141</v>
      </c>
    </row>
    <row r="2543" spans="1:5" x14ac:dyDescent="0.25">
      <c r="B2543" s="115" t="s">
        <v>1139</v>
      </c>
      <c r="D2543" s="115" t="s">
        <v>1140</v>
      </c>
      <c r="E2543" s="115" t="s">
        <v>1141</v>
      </c>
    </row>
    <row r="2544" spans="1:5" x14ac:dyDescent="0.25">
      <c r="B2544" s="115" t="s">
        <v>1139</v>
      </c>
      <c r="D2544" s="115" t="s">
        <v>1140</v>
      </c>
      <c r="E2544" s="115" t="s">
        <v>1141</v>
      </c>
    </row>
    <row r="2545" spans="2:5" x14ac:dyDescent="0.25">
      <c r="B2545" s="115" t="s">
        <v>1139</v>
      </c>
      <c r="D2545" s="115" t="s">
        <v>1140</v>
      </c>
      <c r="E2545" s="115" t="s">
        <v>1141</v>
      </c>
    </row>
    <row r="2546" spans="2:5" x14ac:dyDescent="0.25">
      <c r="B2546" s="115" t="s">
        <v>1139</v>
      </c>
      <c r="D2546" s="115" t="s">
        <v>1140</v>
      </c>
      <c r="E2546" s="115" t="s">
        <v>1141</v>
      </c>
    </row>
    <row r="2547" spans="2:5" x14ac:dyDescent="0.25">
      <c r="B2547" s="115" t="s">
        <v>1139</v>
      </c>
      <c r="D2547" s="115" t="s">
        <v>1140</v>
      </c>
      <c r="E2547" s="115" t="s">
        <v>1141</v>
      </c>
    </row>
    <row r="2548" spans="2:5" x14ac:dyDescent="0.25">
      <c r="B2548" s="115" t="s">
        <v>1139</v>
      </c>
      <c r="D2548" s="115" t="s">
        <v>1140</v>
      </c>
      <c r="E2548" s="115" t="s">
        <v>1141</v>
      </c>
    </row>
    <row r="2549" spans="2:5" x14ac:dyDescent="0.25">
      <c r="B2549" s="115" t="s">
        <v>1139</v>
      </c>
      <c r="D2549" s="115" t="s">
        <v>1140</v>
      </c>
      <c r="E2549" s="115" t="s">
        <v>1141</v>
      </c>
    </row>
    <row r="2550" spans="2:5" x14ac:dyDescent="0.25">
      <c r="B2550" s="115" t="s">
        <v>1139</v>
      </c>
      <c r="D2550" s="115" t="s">
        <v>1140</v>
      </c>
      <c r="E2550" s="115" t="s">
        <v>1141</v>
      </c>
    </row>
    <row r="2551" spans="2:5" x14ac:dyDescent="0.25">
      <c r="B2551" s="115" t="s">
        <v>1139</v>
      </c>
      <c r="D2551" s="115" t="s">
        <v>1140</v>
      </c>
      <c r="E2551" s="115" t="s">
        <v>1141</v>
      </c>
    </row>
    <row r="2552" spans="2:5" x14ac:dyDescent="0.25">
      <c r="B2552" s="115" t="s">
        <v>1139</v>
      </c>
      <c r="D2552" s="115" t="s">
        <v>1140</v>
      </c>
      <c r="E2552" s="115" t="s">
        <v>1141</v>
      </c>
    </row>
    <row r="2553" spans="2:5" x14ac:dyDescent="0.25">
      <c r="B2553" s="115" t="s">
        <v>1139</v>
      </c>
      <c r="D2553" s="115" t="s">
        <v>1140</v>
      </c>
      <c r="E2553" s="115" t="s">
        <v>1141</v>
      </c>
    </row>
    <row r="2554" spans="2:5" x14ac:dyDescent="0.25">
      <c r="B2554" s="115" t="s">
        <v>1139</v>
      </c>
      <c r="D2554" s="115" t="s">
        <v>1140</v>
      </c>
      <c r="E2554" s="115" t="s">
        <v>1141</v>
      </c>
    </row>
    <row r="2555" spans="2:5" x14ac:dyDescent="0.25">
      <c r="B2555" s="115" t="s">
        <v>1139</v>
      </c>
      <c r="D2555" s="115" t="s">
        <v>1140</v>
      </c>
      <c r="E2555" s="115" t="s">
        <v>1141</v>
      </c>
    </row>
    <row r="2556" spans="2:5" x14ac:dyDescent="0.25">
      <c r="B2556" s="115" t="s">
        <v>1139</v>
      </c>
      <c r="D2556" s="115" t="s">
        <v>1140</v>
      </c>
      <c r="E2556" s="115" t="s">
        <v>1141</v>
      </c>
    </row>
    <row r="2557" spans="2:5" x14ac:dyDescent="0.25">
      <c r="B2557" s="115" t="s">
        <v>1139</v>
      </c>
      <c r="D2557" s="115" t="s">
        <v>1140</v>
      </c>
      <c r="E2557" s="115" t="s">
        <v>1141</v>
      </c>
    </row>
    <row r="2558" spans="2:5" x14ac:dyDescent="0.25">
      <c r="B2558" s="115" t="s">
        <v>1139</v>
      </c>
      <c r="D2558" s="115" t="s">
        <v>1140</v>
      </c>
      <c r="E2558" s="115" t="s">
        <v>1141</v>
      </c>
    </row>
    <row r="2559" spans="2:5" x14ac:dyDescent="0.25">
      <c r="B2559" s="115" t="s">
        <v>1139</v>
      </c>
      <c r="D2559" s="115" t="s">
        <v>1140</v>
      </c>
      <c r="E2559" s="115" t="s">
        <v>1141</v>
      </c>
    </row>
    <row r="2560" spans="2:5" x14ac:dyDescent="0.25">
      <c r="B2560" s="115" t="s">
        <v>1139</v>
      </c>
      <c r="D2560" s="115" t="s">
        <v>1140</v>
      </c>
      <c r="E2560" s="115" t="s">
        <v>1141</v>
      </c>
    </row>
    <row r="2561" spans="2:5" x14ac:dyDescent="0.25">
      <c r="B2561" s="115" t="s">
        <v>1139</v>
      </c>
      <c r="D2561" s="115" t="s">
        <v>1140</v>
      </c>
      <c r="E2561" s="115" t="s">
        <v>1141</v>
      </c>
    </row>
    <row r="2562" spans="2:5" x14ac:dyDescent="0.25">
      <c r="B2562" s="115" t="s">
        <v>1139</v>
      </c>
      <c r="D2562" s="115" t="s">
        <v>1140</v>
      </c>
      <c r="E2562" s="115" t="s">
        <v>1141</v>
      </c>
    </row>
    <row r="2563" spans="2:5" x14ac:dyDescent="0.25">
      <c r="B2563" s="115" t="s">
        <v>1139</v>
      </c>
      <c r="D2563" s="115" t="s">
        <v>1140</v>
      </c>
      <c r="E2563" s="115" t="s">
        <v>1141</v>
      </c>
    </row>
    <row r="2564" spans="2:5" x14ac:dyDescent="0.25">
      <c r="B2564" s="115" t="s">
        <v>1139</v>
      </c>
      <c r="D2564" s="115" t="s">
        <v>1140</v>
      </c>
      <c r="E2564" s="115" t="s">
        <v>1141</v>
      </c>
    </row>
    <row r="2565" spans="2:5" x14ac:dyDescent="0.25">
      <c r="B2565" s="115" t="s">
        <v>1139</v>
      </c>
      <c r="D2565" s="115" t="s">
        <v>1140</v>
      </c>
      <c r="E2565" s="115" t="s">
        <v>1141</v>
      </c>
    </row>
    <row r="2566" spans="2:5" x14ac:dyDescent="0.25">
      <c r="B2566" s="115" t="s">
        <v>1139</v>
      </c>
      <c r="D2566" s="115" t="s">
        <v>1140</v>
      </c>
      <c r="E2566" s="115" t="s">
        <v>1141</v>
      </c>
    </row>
    <row r="2567" spans="2:5" x14ac:dyDescent="0.25">
      <c r="B2567" s="115" t="s">
        <v>1139</v>
      </c>
      <c r="D2567" s="115" t="s">
        <v>1140</v>
      </c>
      <c r="E2567" s="115" t="s">
        <v>1141</v>
      </c>
    </row>
    <row r="2568" spans="2:5" x14ac:dyDescent="0.25">
      <c r="B2568" s="115" t="s">
        <v>1139</v>
      </c>
      <c r="D2568" s="115" t="s">
        <v>1140</v>
      </c>
      <c r="E2568" s="115" t="s">
        <v>1141</v>
      </c>
    </row>
    <row r="2569" spans="2:5" x14ac:dyDescent="0.25">
      <c r="B2569" s="115" t="s">
        <v>1139</v>
      </c>
      <c r="D2569" s="115" t="s">
        <v>1140</v>
      </c>
      <c r="E2569" s="115" t="s">
        <v>1141</v>
      </c>
    </row>
    <row r="2570" spans="2:5" x14ac:dyDescent="0.25">
      <c r="B2570" s="115" t="s">
        <v>1139</v>
      </c>
      <c r="D2570" s="115" t="s">
        <v>1140</v>
      </c>
      <c r="E2570" s="115" t="s">
        <v>1141</v>
      </c>
    </row>
    <row r="2571" spans="2:5" x14ac:dyDescent="0.25">
      <c r="B2571" s="115" t="s">
        <v>1139</v>
      </c>
      <c r="D2571" s="115" t="s">
        <v>1140</v>
      </c>
      <c r="E2571" s="115" t="s">
        <v>1141</v>
      </c>
    </row>
    <row r="2572" spans="2:5" x14ac:dyDescent="0.25">
      <c r="B2572" s="115" t="s">
        <v>1139</v>
      </c>
      <c r="D2572" s="115" t="s">
        <v>1140</v>
      </c>
      <c r="E2572" s="115" t="s">
        <v>1141</v>
      </c>
    </row>
    <row r="2573" spans="2:5" x14ac:dyDescent="0.25">
      <c r="B2573" s="115" t="s">
        <v>1139</v>
      </c>
      <c r="D2573" s="115" t="s">
        <v>1140</v>
      </c>
      <c r="E2573" s="115" t="s">
        <v>1141</v>
      </c>
    </row>
    <row r="2574" spans="2:5" x14ac:dyDescent="0.25">
      <c r="B2574" s="115" t="s">
        <v>1139</v>
      </c>
      <c r="D2574" s="115" t="s">
        <v>1140</v>
      </c>
      <c r="E2574" s="115" t="s">
        <v>1141</v>
      </c>
    </row>
    <row r="2575" spans="2:5" x14ac:dyDescent="0.25">
      <c r="B2575" s="115" t="s">
        <v>1139</v>
      </c>
      <c r="D2575" s="115" t="s">
        <v>1140</v>
      </c>
      <c r="E2575" s="115" t="s">
        <v>1141</v>
      </c>
    </row>
    <row r="2576" spans="2:5" x14ac:dyDescent="0.25">
      <c r="B2576" s="115" t="s">
        <v>1139</v>
      </c>
      <c r="D2576" s="115" t="s">
        <v>1140</v>
      </c>
      <c r="E2576" s="115" t="s">
        <v>1141</v>
      </c>
    </row>
    <row r="2577" spans="2:5" x14ac:dyDescent="0.25">
      <c r="B2577" s="115" t="s">
        <v>1139</v>
      </c>
      <c r="D2577" s="115" t="s">
        <v>1140</v>
      </c>
      <c r="E2577" s="115" t="s">
        <v>1141</v>
      </c>
    </row>
    <row r="2578" spans="2:5" x14ac:dyDescent="0.25">
      <c r="B2578" s="115" t="s">
        <v>1139</v>
      </c>
      <c r="D2578" s="115" t="s">
        <v>1140</v>
      </c>
      <c r="E2578" s="115" t="s">
        <v>1141</v>
      </c>
    </row>
    <row r="2579" spans="2:5" x14ac:dyDescent="0.25">
      <c r="B2579" s="115" t="s">
        <v>1139</v>
      </c>
      <c r="D2579" s="115" t="s">
        <v>1140</v>
      </c>
      <c r="E2579" s="115" t="s">
        <v>1141</v>
      </c>
    </row>
    <row r="2580" spans="2:5" x14ac:dyDescent="0.25">
      <c r="B2580" s="115" t="s">
        <v>1139</v>
      </c>
      <c r="D2580" s="115" t="s">
        <v>1140</v>
      </c>
      <c r="E2580" s="115" t="s">
        <v>1141</v>
      </c>
    </row>
    <row r="2581" spans="2:5" x14ac:dyDescent="0.25">
      <c r="B2581" s="115" t="s">
        <v>1139</v>
      </c>
      <c r="D2581" s="115" t="s">
        <v>1140</v>
      </c>
      <c r="E2581" s="115" t="s">
        <v>1141</v>
      </c>
    </row>
    <row r="2582" spans="2:5" x14ac:dyDescent="0.25">
      <c r="B2582" s="115" t="s">
        <v>1139</v>
      </c>
      <c r="D2582" s="115" t="s">
        <v>1140</v>
      </c>
      <c r="E2582" s="115" t="s">
        <v>1141</v>
      </c>
    </row>
    <row r="2583" spans="2:5" x14ac:dyDescent="0.25">
      <c r="B2583" s="115" t="s">
        <v>1139</v>
      </c>
      <c r="D2583" s="115" t="s">
        <v>1140</v>
      </c>
      <c r="E2583" s="115" t="s">
        <v>1141</v>
      </c>
    </row>
    <row r="2584" spans="2:5" x14ac:dyDescent="0.25">
      <c r="B2584" s="115" t="s">
        <v>1139</v>
      </c>
      <c r="D2584" s="115" t="s">
        <v>1140</v>
      </c>
      <c r="E2584" s="115" t="s">
        <v>1141</v>
      </c>
    </row>
    <row r="2585" spans="2:5" x14ac:dyDescent="0.25">
      <c r="B2585" s="115" t="s">
        <v>1139</v>
      </c>
      <c r="D2585" s="115" t="s">
        <v>1140</v>
      </c>
      <c r="E2585" s="115" t="s">
        <v>1141</v>
      </c>
    </row>
    <row r="2586" spans="2:5" x14ac:dyDescent="0.25">
      <c r="B2586" s="115" t="s">
        <v>1139</v>
      </c>
      <c r="D2586" s="115" t="s">
        <v>1140</v>
      </c>
      <c r="E2586" s="115" t="s">
        <v>1141</v>
      </c>
    </row>
    <row r="2587" spans="2:5" x14ac:dyDescent="0.25">
      <c r="B2587" s="115" t="s">
        <v>1139</v>
      </c>
      <c r="D2587" s="115" t="s">
        <v>1140</v>
      </c>
      <c r="E2587" s="115" t="s">
        <v>1141</v>
      </c>
    </row>
    <row r="2588" spans="2:5" x14ac:dyDescent="0.25">
      <c r="B2588" s="115" t="s">
        <v>1139</v>
      </c>
      <c r="D2588" s="115" t="s">
        <v>1140</v>
      </c>
      <c r="E2588" s="115" t="s">
        <v>1141</v>
      </c>
    </row>
    <row r="2589" spans="2:5" x14ac:dyDescent="0.25">
      <c r="B2589" s="115" t="s">
        <v>1139</v>
      </c>
      <c r="D2589" s="115" t="s">
        <v>1140</v>
      </c>
      <c r="E2589" s="115" t="s">
        <v>1141</v>
      </c>
    </row>
    <row r="2590" spans="2:5" x14ac:dyDescent="0.25">
      <c r="B2590" s="115" t="s">
        <v>1139</v>
      </c>
      <c r="D2590" s="115" t="s">
        <v>1140</v>
      </c>
      <c r="E2590" s="115" t="s">
        <v>1141</v>
      </c>
    </row>
    <row r="2591" spans="2:5" x14ac:dyDescent="0.25">
      <c r="B2591" s="115" t="s">
        <v>1139</v>
      </c>
      <c r="D2591" s="115" t="s">
        <v>1140</v>
      </c>
      <c r="E2591" s="115" t="s">
        <v>1141</v>
      </c>
    </row>
    <row r="2592" spans="2:5" x14ac:dyDescent="0.25">
      <c r="B2592" s="115" t="s">
        <v>1139</v>
      </c>
      <c r="D2592" s="115" t="s">
        <v>1140</v>
      </c>
      <c r="E2592" s="115" t="s">
        <v>1141</v>
      </c>
    </row>
    <row r="2593" spans="2:5" x14ac:dyDescent="0.25">
      <c r="B2593" s="115" t="s">
        <v>1139</v>
      </c>
      <c r="D2593" s="115" t="s">
        <v>1140</v>
      </c>
      <c r="E2593" s="115" t="s">
        <v>1141</v>
      </c>
    </row>
    <row r="2594" spans="2:5" x14ac:dyDescent="0.25">
      <c r="B2594" s="115" t="s">
        <v>1139</v>
      </c>
      <c r="D2594" s="115" t="s">
        <v>1140</v>
      </c>
      <c r="E2594" s="115" t="s">
        <v>1141</v>
      </c>
    </row>
    <row r="2595" spans="2:5" x14ac:dyDescent="0.25">
      <c r="B2595" s="115" t="s">
        <v>1139</v>
      </c>
      <c r="D2595" s="115" t="s">
        <v>1140</v>
      </c>
      <c r="E2595" s="115" t="s">
        <v>1141</v>
      </c>
    </row>
    <row r="2596" spans="2:5" x14ac:dyDescent="0.25">
      <c r="B2596" s="115" t="s">
        <v>1139</v>
      </c>
      <c r="D2596" s="115" t="s">
        <v>1140</v>
      </c>
      <c r="E2596" s="115" t="s">
        <v>1141</v>
      </c>
    </row>
    <row r="2597" spans="2:5" x14ac:dyDescent="0.25">
      <c r="B2597" s="115" t="s">
        <v>1139</v>
      </c>
      <c r="D2597" s="115" t="s">
        <v>1140</v>
      </c>
      <c r="E2597" s="115" t="s">
        <v>1141</v>
      </c>
    </row>
    <row r="2598" spans="2:5" x14ac:dyDescent="0.25">
      <c r="B2598" s="115" t="s">
        <v>1139</v>
      </c>
      <c r="D2598" s="115" t="s">
        <v>1140</v>
      </c>
      <c r="E2598" s="115" t="s">
        <v>1141</v>
      </c>
    </row>
    <row r="2599" spans="2:5" x14ac:dyDescent="0.25">
      <c r="B2599" s="115" t="s">
        <v>1139</v>
      </c>
      <c r="D2599" s="115" t="s">
        <v>1140</v>
      </c>
      <c r="E2599" s="115" t="s">
        <v>1141</v>
      </c>
    </row>
    <row r="2600" spans="2:5" x14ac:dyDescent="0.25">
      <c r="B2600" s="115" t="s">
        <v>1139</v>
      </c>
      <c r="D2600" s="115" t="s">
        <v>1140</v>
      </c>
      <c r="E2600" s="115" t="s">
        <v>1141</v>
      </c>
    </row>
    <row r="2601" spans="2:5" x14ac:dyDescent="0.25">
      <c r="B2601" s="115" t="s">
        <v>1139</v>
      </c>
      <c r="D2601" s="115" t="s">
        <v>1140</v>
      </c>
      <c r="E2601" s="115" t="s">
        <v>1141</v>
      </c>
    </row>
    <row r="2602" spans="2:5" x14ac:dyDescent="0.25">
      <c r="B2602" s="115" t="s">
        <v>1139</v>
      </c>
      <c r="D2602" s="115" t="s">
        <v>1140</v>
      </c>
      <c r="E2602" s="115" t="s">
        <v>1141</v>
      </c>
    </row>
    <row r="2603" spans="2:5" x14ac:dyDescent="0.25">
      <c r="B2603" s="115" t="s">
        <v>1139</v>
      </c>
      <c r="D2603" s="115" t="s">
        <v>1140</v>
      </c>
      <c r="E2603" s="115" t="s">
        <v>1141</v>
      </c>
    </row>
    <row r="2604" spans="2:5" x14ac:dyDescent="0.25">
      <c r="B2604" s="115" t="s">
        <v>1139</v>
      </c>
      <c r="D2604" s="115" t="s">
        <v>1140</v>
      </c>
      <c r="E2604" s="115" t="s">
        <v>1141</v>
      </c>
    </row>
    <row r="2605" spans="2:5" x14ac:dyDescent="0.25">
      <c r="B2605" s="115" t="s">
        <v>1139</v>
      </c>
      <c r="D2605" s="115" t="s">
        <v>1140</v>
      </c>
      <c r="E2605" s="115" t="s">
        <v>1141</v>
      </c>
    </row>
    <row r="2606" spans="2:5" x14ac:dyDescent="0.25">
      <c r="B2606" s="115" t="s">
        <v>1139</v>
      </c>
      <c r="D2606" s="115" t="s">
        <v>1140</v>
      </c>
      <c r="E2606" s="115" t="s">
        <v>1141</v>
      </c>
    </row>
    <row r="2607" spans="2:5" x14ac:dyDescent="0.25">
      <c r="B2607" s="115" t="s">
        <v>1139</v>
      </c>
      <c r="D2607" s="115" t="s">
        <v>1140</v>
      </c>
      <c r="E2607" s="115" t="s">
        <v>1141</v>
      </c>
    </row>
    <row r="2608" spans="2:5" x14ac:dyDescent="0.25">
      <c r="B2608" s="115" t="s">
        <v>1139</v>
      </c>
      <c r="D2608" s="115" t="s">
        <v>1140</v>
      </c>
      <c r="E2608" s="115" t="s">
        <v>1141</v>
      </c>
    </row>
    <row r="2609" spans="2:5" x14ac:dyDescent="0.25">
      <c r="B2609" s="115" t="s">
        <v>1139</v>
      </c>
      <c r="D2609" s="115" t="s">
        <v>1140</v>
      </c>
      <c r="E2609" s="115" t="s">
        <v>1141</v>
      </c>
    </row>
    <row r="2610" spans="2:5" x14ac:dyDescent="0.25">
      <c r="B2610" s="115" t="s">
        <v>1139</v>
      </c>
      <c r="D2610" s="115" t="s">
        <v>1140</v>
      </c>
      <c r="E2610" s="115" t="s">
        <v>1141</v>
      </c>
    </row>
    <row r="2611" spans="2:5" x14ac:dyDescent="0.25">
      <c r="B2611" s="115" t="s">
        <v>1139</v>
      </c>
      <c r="D2611" s="115" t="s">
        <v>1140</v>
      </c>
      <c r="E2611" s="115" t="s">
        <v>1141</v>
      </c>
    </row>
    <row r="2612" spans="2:5" x14ac:dyDescent="0.25">
      <c r="B2612" s="115" t="s">
        <v>1139</v>
      </c>
      <c r="D2612" s="115" t="s">
        <v>1140</v>
      </c>
      <c r="E2612" s="115" t="s">
        <v>1141</v>
      </c>
    </row>
    <row r="2613" spans="2:5" x14ac:dyDescent="0.25">
      <c r="B2613" s="115" t="s">
        <v>1139</v>
      </c>
      <c r="D2613" s="115" t="s">
        <v>1140</v>
      </c>
      <c r="E2613" s="115" t="s">
        <v>1141</v>
      </c>
    </row>
    <row r="2614" spans="2:5" x14ac:dyDescent="0.25">
      <c r="B2614" s="115" t="s">
        <v>1139</v>
      </c>
      <c r="D2614" s="115" t="s">
        <v>1140</v>
      </c>
      <c r="E2614" s="115" t="s">
        <v>1141</v>
      </c>
    </row>
    <row r="2615" spans="2:5" x14ac:dyDescent="0.25">
      <c r="B2615" s="115" t="s">
        <v>1139</v>
      </c>
      <c r="D2615" s="115" t="s">
        <v>1140</v>
      </c>
      <c r="E2615" s="115" t="s">
        <v>1141</v>
      </c>
    </row>
    <row r="2616" spans="2:5" x14ac:dyDescent="0.25">
      <c r="B2616" s="115" t="s">
        <v>1139</v>
      </c>
      <c r="D2616" s="115" t="s">
        <v>1140</v>
      </c>
      <c r="E2616" s="115" t="s">
        <v>1141</v>
      </c>
    </row>
    <row r="2617" spans="2:5" x14ac:dyDescent="0.25">
      <c r="B2617" s="115" t="s">
        <v>1139</v>
      </c>
      <c r="D2617" s="115" t="s">
        <v>1140</v>
      </c>
      <c r="E2617" s="115" t="s">
        <v>1141</v>
      </c>
    </row>
    <row r="2618" spans="2:5" x14ac:dyDescent="0.25">
      <c r="B2618" s="115" t="s">
        <v>1139</v>
      </c>
      <c r="D2618" s="115" t="s">
        <v>1140</v>
      </c>
      <c r="E2618" s="115" t="s">
        <v>1141</v>
      </c>
    </row>
    <row r="2619" spans="2:5" x14ac:dyDescent="0.25">
      <c r="B2619" s="115" t="s">
        <v>1139</v>
      </c>
      <c r="D2619" s="115" t="s">
        <v>1140</v>
      </c>
      <c r="E2619" s="115" t="s">
        <v>1141</v>
      </c>
    </row>
    <row r="2620" spans="2:5" x14ac:dyDescent="0.25">
      <c r="B2620" s="115" t="s">
        <v>1139</v>
      </c>
      <c r="D2620" s="115" t="s">
        <v>1140</v>
      </c>
      <c r="E2620" s="115" t="s">
        <v>1141</v>
      </c>
    </row>
    <row r="2621" spans="2:5" x14ac:dyDescent="0.25">
      <c r="B2621" s="115" t="s">
        <v>1139</v>
      </c>
      <c r="D2621" s="115" t="s">
        <v>1140</v>
      </c>
      <c r="E2621" s="115" t="s">
        <v>1141</v>
      </c>
    </row>
    <row r="2622" spans="2:5" x14ac:dyDescent="0.25">
      <c r="B2622" s="115" t="s">
        <v>1139</v>
      </c>
      <c r="D2622" s="115" t="s">
        <v>1140</v>
      </c>
      <c r="E2622" s="115" t="s">
        <v>1141</v>
      </c>
    </row>
    <row r="2623" spans="2:5" x14ac:dyDescent="0.25">
      <c r="B2623" s="115" t="s">
        <v>1139</v>
      </c>
      <c r="D2623" s="115" t="s">
        <v>1140</v>
      </c>
      <c r="E2623" s="115" t="s">
        <v>1141</v>
      </c>
    </row>
    <row r="2624" spans="2:5" x14ac:dyDescent="0.25">
      <c r="B2624" s="115" t="s">
        <v>1139</v>
      </c>
      <c r="D2624" s="115" t="s">
        <v>1140</v>
      </c>
      <c r="E2624" s="115" t="s">
        <v>1141</v>
      </c>
    </row>
    <row r="2625" spans="2:5" x14ac:dyDescent="0.25">
      <c r="B2625" s="115" t="s">
        <v>1139</v>
      </c>
      <c r="D2625" s="115" t="s">
        <v>1140</v>
      </c>
      <c r="E2625" s="115" t="s">
        <v>1141</v>
      </c>
    </row>
    <row r="2626" spans="2:5" x14ac:dyDescent="0.25">
      <c r="B2626" s="115" t="s">
        <v>1139</v>
      </c>
      <c r="D2626" s="115" t="s">
        <v>1140</v>
      </c>
      <c r="E2626" s="115" t="s">
        <v>1141</v>
      </c>
    </row>
    <row r="2627" spans="2:5" x14ac:dyDescent="0.25">
      <c r="B2627" s="115" t="s">
        <v>1139</v>
      </c>
      <c r="D2627" s="115" t="s">
        <v>1140</v>
      </c>
      <c r="E2627" s="115" t="s">
        <v>1141</v>
      </c>
    </row>
    <row r="2628" spans="2:5" x14ac:dyDescent="0.25">
      <c r="B2628" s="115" t="s">
        <v>1139</v>
      </c>
      <c r="D2628" s="115" t="s">
        <v>1140</v>
      </c>
      <c r="E2628" s="115" t="s">
        <v>1141</v>
      </c>
    </row>
    <row r="2629" spans="2:5" x14ac:dyDescent="0.25">
      <c r="B2629" s="115" t="s">
        <v>1139</v>
      </c>
      <c r="D2629" s="115" t="s">
        <v>1140</v>
      </c>
      <c r="E2629" s="115" t="s">
        <v>1141</v>
      </c>
    </row>
    <row r="2630" spans="2:5" x14ac:dyDescent="0.25">
      <c r="B2630" s="115" t="s">
        <v>1139</v>
      </c>
      <c r="D2630" s="115" t="s">
        <v>1140</v>
      </c>
      <c r="E2630" s="115" t="s">
        <v>1141</v>
      </c>
    </row>
    <row r="2631" spans="2:5" x14ac:dyDescent="0.25">
      <c r="B2631" s="115" t="s">
        <v>1139</v>
      </c>
      <c r="D2631" s="115" t="s">
        <v>1140</v>
      </c>
      <c r="E2631" s="115" t="s">
        <v>1141</v>
      </c>
    </row>
    <row r="2632" spans="2:5" x14ac:dyDescent="0.25">
      <c r="B2632" s="115" t="s">
        <v>1139</v>
      </c>
      <c r="D2632" s="115" t="s">
        <v>1140</v>
      </c>
      <c r="E2632" s="115" t="s">
        <v>1141</v>
      </c>
    </row>
    <row r="2633" spans="2:5" x14ac:dyDescent="0.25">
      <c r="B2633" s="115" t="s">
        <v>1139</v>
      </c>
      <c r="D2633" s="115" t="s">
        <v>1140</v>
      </c>
      <c r="E2633" s="115" t="s">
        <v>1141</v>
      </c>
    </row>
    <row r="2634" spans="2:5" x14ac:dyDescent="0.25">
      <c r="B2634" s="115" t="s">
        <v>1139</v>
      </c>
      <c r="D2634" s="115" t="s">
        <v>1140</v>
      </c>
      <c r="E2634" s="115" t="s">
        <v>1141</v>
      </c>
    </row>
    <row r="2635" spans="2:5" x14ac:dyDescent="0.25">
      <c r="B2635" s="115" t="s">
        <v>1139</v>
      </c>
      <c r="D2635" s="115" t="s">
        <v>1140</v>
      </c>
      <c r="E2635" s="115" t="s">
        <v>1141</v>
      </c>
    </row>
    <row r="2636" spans="2:5" x14ac:dyDescent="0.25">
      <c r="B2636" s="115" t="s">
        <v>1139</v>
      </c>
      <c r="D2636" s="115" t="s">
        <v>1140</v>
      </c>
      <c r="E2636" s="115" t="s">
        <v>1141</v>
      </c>
    </row>
    <row r="2637" spans="2:5" x14ac:dyDescent="0.25">
      <c r="B2637" s="115" t="s">
        <v>1139</v>
      </c>
      <c r="D2637" s="115" t="s">
        <v>1140</v>
      </c>
      <c r="E2637" s="115" t="s">
        <v>1141</v>
      </c>
    </row>
    <row r="2638" spans="2:5" x14ac:dyDescent="0.25">
      <c r="B2638" s="115" t="s">
        <v>1139</v>
      </c>
      <c r="D2638" s="115" t="s">
        <v>1140</v>
      </c>
      <c r="E2638" s="115" t="s">
        <v>1141</v>
      </c>
    </row>
    <row r="2639" spans="2:5" x14ac:dyDescent="0.25">
      <c r="B2639" s="115" t="s">
        <v>1139</v>
      </c>
      <c r="D2639" s="115" t="s">
        <v>1140</v>
      </c>
      <c r="E2639" s="115" t="s">
        <v>1141</v>
      </c>
    </row>
    <row r="2640" spans="2:5" x14ac:dyDescent="0.25">
      <c r="B2640" s="115" t="s">
        <v>1139</v>
      </c>
      <c r="D2640" s="115" t="s">
        <v>1140</v>
      </c>
      <c r="E2640" s="115" t="s">
        <v>1141</v>
      </c>
    </row>
    <row r="2641" spans="2:5" x14ac:dyDescent="0.25">
      <c r="B2641" s="115" t="s">
        <v>1139</v>
      </c>
      <c r="D2641" s="115" t="s">
        <v>1140</v>
      </c>
      <c r="E2641" s="115" t="s">
        <v>1141</v>
      </c>
    </row>
    <row r="2642" spans="2:5" x14ac:dyDescent="0.25">
      <c r="B2642" s="115" t="s">
        <v>1139</v>
      </c>
      <c r="D2642" s="115" t="s">
        <v>1140</v>
      </c>
      <c r="E2642" s="115" t="s">
        <v>1141</v>
      </c>
    </row>
    <row r="2643" spans="2:5" x14ac:dyDescent="0.25">
      <c r="B2643" s="115" t="s">
        <v>1139</v>
      </c>
      <c r="D2643" s="115" t="s">
        <v>1140</v>
      </c>
      <c r="E2643" s="115" t="s">
        <v>1141</v>
      </c>
    </row>
    <row r="2644" spans="2:5" x14ac:dyDescent="0.25">
      <c r="B2644" s="115" t="s">
        <v>1139</v>
      </c>
      <c r="D2644" s="115" t="s">
        <v>1140</v>
      </c>
      <c r="E2644" s="115" t="s">
        <v>1141</v>
      </c>
    </row>
    <row r="2645" spans="2:5" x14ac:dyDescent="0.25">
      <c r="B2645" s="115" t="s">
        <v>1139</v>
      </c>
      <c r="D2645" s="115" t="s">
        <v>1140</v>
      </c>
      <c r="E2645" s="115" t="s">
        <v>1141</v>
      </c>
    </row>
    <row r="2646" spans="2:5" x14ac:dyDescent="0.25">
      <c r="B2646" s="115" t="s">
        <v>1139</v>
      </c>
      <c r="D2646" s="115" t="s">
        <v>1140</v>
      </c>
      <c r="E2646" s="115" t="s">
        <v>1141</v>
      </c>
    </row>
    <row r="2647" spans="2:5" x14ac:dyDescent="0.25">
      <c r="B2647" s="115" t="s">
        <v>1139</v>
      </c>
      <c r="D2647" s="115" t="s">
        <v>1140</v>
      </c>
      <c r="E2647" s="115" t="s">
        <v>1141</v>
      </c>
    </row>
    <row r="2648" spans="2:5" x14ac:dyDescent="0.25">
      <c r="B2648" s="115" t="s">
        <v>1139</v>
      </c>
      <c r="D2648" s="115" t="s">
        <v>1140</v>
      </c>
      <c r="E2648" s="115" t="s">
        <v>1141</v>
      </c>
    </row>
    <row r="2649" spans="2:5" x14ac:dyDescent="0.25">
      <c r="B2649" s="115" t="s">
        <v>1139</v>
      </c>
      <c r="D2649" s="115" t="s">
        <v>1140</v>
      </c>
      <c r="E2649" s="115" t="s">
        <v>1141</v>
      </c>
    </row>
    <row r="2650" spans="2:5" x14ac:dyDescent="0.25">
      <c r="B2650" s="115" t="s">
        <v>1139</v>
      </c>
      <c r="D2650" s="115" t="s">
        <v>1140</v>
      </c>
      <c r="E2650" s="115" t="s">
        <v>1141</v>
      </c>
    </row>
    <row r="2651" spans="2:5" x14ac:dyDescent="0.25">
      <c r="B2651" s="115" t="s">
        <v>1139</v>
      </c>
      <c r="D2651" s="115" t="s">
        <v>1140</v>
      </c>
      <c r="E2651" s="115" t="s">
        <v>1141</v>
      </c>
    </row>
    <row r="2652" spans="2:5" x14ac:dyDescent="0.25">
      <c r="B2652" s="115" t="s">
        <v>1139</v>
      </c>
      <c r="D2652" s="115" t="s">
        <v>1140</v>
      </c>
      <c r="E2652" s="115" t="s">
        <v>1141</v>
      </c>
    </row>
    <row r="2653" spans="2:5" x14ac:dyDescent="0.25">
      <c r="B2653" s="115" t="s">
        <v>1139</v>
      </c>
      <c r="D2653" s="115" t="s">
        <v>1140</v>
      </c>
      <c r="E2653" s="115" t="s">
        <v>1141</v>
      </c>
    </row>
    <row r="2654" spans="2:5" x14ac:dyDescent="0.25">
      <c r="B2654" s="115" t="s">
        <v>1139</v>
      </c>
      <c r="D2654" s="115" t="s">
        <v>1140</v>
      </c>
      <c r="E2654" s="115" t="s">
        <v>1141</v>
      </c>
    </row>
    <row r="2655" spans="2:5" x14ac:dyDescent="0.25">
      <c r="B2655" s="115" t="s">
        <v>1139</v>
      </c>
      <c r="D2655" s="115" t="s">
        <v>1140</v>
      </c>
      <c r="E2655" s="115" t="s">
        <v>1141</v>
      </c>
    </row>
    <row r="2656" spans="2:5" x14ac:dyDescent="0.25">
      <c r="B2656" s="115" t="s">
        <v>1139</v>
      </c>
      <c r="D2656" s="115" t="s">
        <v>1140</v>
      </c>
      <c r="E2656" s="115" t="s">
        <v>1141</v>
      </c>
    </row>
    <row r="2657" spans="2:5" x14ac:dyDescent="0.25">
      <c r="B2657" s="115" t="s">
        <v>1139</v>
      </c>
      <c r="D2657" s="115" t="s">
        <v>1140</v>
      </c>
      <c r="E2657" s="115" t="s">
        <v>1141</v>
      </c>
    </row>
    <row r="2658" spans="2:5" x14ac:dyDescent="0.25">
      <c r="B2658" s="115" t="s">
        <v>1139</v>
      </c>
      <c r="D2658" s="115" t="s">
        <v>1140</v>
      </c>
      <c r="E2658" s="115" t="s">
        <v>1141</v>
      </c>
    </row>
    <row r="2659" spans="2:5" x14ac:dyDescent="0.25">
      <c r="B2659" s="115" t="s">
        <v>1139</v>
      </c>
      <c r="D2659" s="115" t="s">
        <v>1140</v>
      </c>
      <c r="E2659" s="115" t="s">
        <v>1141</v>
      </c>
    </row>
    <row r="2660" spans="2:5" x14ac:dyDescent="0.25">
      <c r="B2660" s="115" t="s">
        <v>1139</v>
      </c>
      <c r="D2660" s="115" t="s">
        <v>1140</v>
      </c>
      <c r="E2660" s="115" t="s">
        <v>1141</v>
      </c>
    </row>
    <row r="2661" spans="2:5" x14ac:dyDescent="0.25">
      <c r="B2661" s="115" t="s">
        <v>1139</v>
      </c>
      <c r="D2661" s="115" t="s">
        <v>1140</v>
      </c>
      <c r="E2661" s="115" t="s">
        <v>1141</v>
      </c>
    </row>
    <row r="2662" spans="2:5" x14ac:dyDescent="0.25">
      <c r="B2662" s="115" t="s">
        <v>1139</v>
      </c>
      <c r="D2662" s="115" t="s">
        <v>1140</v>
      </c>
      <c r="E2662" s="115" t="s">
        <v>1141</v>
      </c>
    </row>
    <row r="2663" spans="2:5" x14ac:dyDescent="0.25">
      <c r="B2663" s="115" t="s">
        <v>1139</v>
      </c>
      <c r="D2663" s="115" t="s">
        <v>1140</v>
      </c>
      <c r="E2663" s="115" t="s">
        <v>1141</v>
      </c>
    </row>
    <row r="2664" spans="2:5" x14ac:dyDescent="0.25">
      <c r="B2664" s="115" t="s">
        <v>1139</v>
      </c>
      <c r="D2664" s="115" t="s">
        <v>1140</v>
      </c>
      <c r="E2664" s="115" t="s">
        <v>1141</v>
      </c>
    </row>
    <row r="2665" spans="2:5" x14ac:dyDescent="0.25">
      <c r="B2665" s="115" t="s">
        <v>1139</v>
      </c>
      <c r="D2665" s="115" t="s">
        <v>1140</v>
      </c>
      <c r="E2665" s="115" t="s">
        <v>1141</v>
      </c>
    </row>
    <row r="2666" spans="2:5" x14ac:dyDescent="0.25">
      <c r="B2666" s="115" t="s">
        <v>1139</v>
      </c>
      <c r="D2666" s="115" t="s">
        <v>1140</v>
      </c>
      <c r="E2666" s="115" t="s">
        <v>1141</v>
      </c>
    </row>
    <row r="2667" spans="2:5" x14ac:dyDescent="0.25">
      <c r="B2667" s="115" t="s">
        <v>1139</v>
      </c>
      <c r="D2667" s="115" t="s">
        <v>1140</v>
      </c>
      <c r="E2667" s="115" t="s">
        <v>1141</v>
      </c>
    </row>
    <row r="2668" spans="2:5" x14ac:dyDescent="0.25">
      <c r="B2668" s="115" t="s">
        <v>1139</v>
      </c>
      <c r="D2668" s="115" t="s">
        <v>1140</v>
      </c>
      <c r="E2668" s="115" t="s">
        <v>1141</v>
      </c>
    </row>
    <row r="2669" spans="2:5" x14ac:dyDescent="0.25">
      <c r="B2669" s="115" t="s">
        <v>1139</v>
      </c>
      <c r="D2669" s="115" t="s">
        <v>1140</v>
      </c>
      <c r="E2669" s="115" t="s">
        <v>1141</v>
      </c>
    </row>
    <row r="2670" spans="2:5" x14ac:dyDescent="0.25">
      <c r="B2670" s="115" t="s">
        <v>1139</v>
      </c>
      <c r="D2670" s="115" t="s">
        <v>1140</v>
      </c>
      <c r="E2670" s="115" t="s">
        <v>1141</v>
      </c>
    </row>
    <row r="2671" spans="2:5" x14ac:dyDescent="0.25">
      <c r="B2671" s="115" t="s">
        <v>1139</v>
      </c>
      <c r="D2671" s="115" t="s">
        <v>1140</v>
      </c>
      <c r="E2671" s="115" t="s">
        <v>1141</v>
      </c>
    </row>
    <row r="2672" spans="2:5" x14ac:dyDescent="0.25">
      <c r="B2672" s="115" t="s">
        <v>1139</v>
      </c>
      <c r="D2672" s="115" t="s">
        <v>1140</v>
      </c>
      <c r="E2672" s="115" t="s">
        <v>1141</v>
      </c>
    </row>
    <row r="2673" spans="2:5" x14ac:dyDescent="0.25">
      <c r="B2673" s="115" t="s">
        <v>1139</v>
      </c>
      <c r="D2673" s="115" t="s">
        <v>1140</v>
      </c>
      <c r="E2673" s="115" t="s">
        <v>1141</v>
      </c>
    </row>
    <row r="2674" spans="2:5" x14ac:dyDescent="0.25">
      <c r="B2674" s="115" t="s">
        <v>1139</v>
      </c>
      <c r="D2674" s="115" t="s">
        <v>1140</v>
      </c>
      <c r="E2674" s="115" t="s">
        <v>1141</v>
      </c>
    </row>
    <row r="2675" spans="2:5" x14ac:dyDescent="0.25">
      <c r="B2675" s="115" t="s">
        <v>1139</v>
      </c>
      <c r="D2675" s="115" t="s">
        <v>1140</v>
      </c>
      <c r="E2675" s="115" t="s">
        <v>1141</v>
      </c>
    </row>
    <row r="2676" spans="2:5" x14ac:dyDescent="0.25">
      <c r="B2676" s="115" t="s">
        <v>1139</v>
      </c>
      <c r="D2676" s="115" t="s">
        <v>1140</v>
      </c>
      <c r="E2676" s="115" t="s">
        <v>1141</v>
      </c>
    </row>
    <row r="2677" spans="2:5" x14ac:dyDescent="0.25">
      <c r="B2677" s="115" t="s">
        <v>1139</v>
      </c>
      <c r="D2677" s="115" t="s">
        <v>1140</v>
      </c>
      <c r="E2677" s="115" t="s">
        <v>1141</v>
      </c>
    </row>
    <row r="2678" spans="2:5" x14ac:dyDescent="0.25">
      <c r="B2678" s="115" t="s">
        <v>1139</v>
      </c>
      <c r="D2678" s="115" t="s">
        <v>1140</v>
      </c>
      <c r="E2678" s="115" t="s">
        <v>1141</v>
      </c>
    </row>
    <row r="2679" spans="2:5" x14ac:dyDescent="0.25">
      <c r="B2679" s="115" t="s">
        <v>1139</v>
      </c>
      <c r="D2679" s="115" t="s">
        <v>1140</v>
      </c>
      <c r="E2679" s="115" t="s">
        <v>1141</v>
      </c>
    </row>
    <row r="2680" spans="2:5" x14ac:dyDescent="0.25">
      <c r="B2680" s="115" t="s">
        <v>1139</v>
      </c>
      <c r="D2680" s="115" t="s">
        <v>1140</v>
      </c>
      <c r="E2680" s="115" t="s">
        <v>1141</v>
      </c>
    </row>
    <row r="2681" spans="2:5" x14ac:dyDescent="0.25">
      <c r="B2681" s="115" t="s">
        <v>1139</v>
      </c>
      <c r="D2681" s="115" t="s">
        <v>1140</v>
      </c>
      <c r="E2681" s="115" t="s">
        <v>1141</v>
      </c>
    </row>
    <row r="2682" spans="2:5" x14ac:dyDescent="0.25">
      <c r="B2682" s="115" t="s">
        <v>1139</v>
      </c>
      <c r="D2682" s="115" t="s">
        <v>1140</v>
      </c>
      <c r="E2682" s="115" t="s">
        <v>1141</v>
      </c>
    </row>
    <row r="2683" spans="2:5" x14ac:dyDescent="0.25">
      <c r="B2683" s="115" t="s">
        <v>1139</v>
      </c>
      <c r="D2683" s="115" t="s">
        <v>1140</v>
      </c>
      <c r="E2683" s="115" t="s">
        <v>1141</v>
      </c>
    </row>
    <row r="2684" spans="2:5" x14ac:dyDescent="0.25">
      <c r="B2684" s="115" t="s">
        <v>1139</v>
      </c>
      <c r="D2684" s="115" t="s">
        <v>1140</v>
      </c>
      <c r="E2684" s="115" t="s">
        <v>1141</v>
      </c>
    </row>
    <row r="2685" spans="2:5" x14ac:dyDescent="0.25">
      <c r="B2685" s="115" t="s">
        <v>1139</v>
      </c>
      <c r="D2685" s="115" t="s">
        <v>1140</v>
      </c>
      <c r="E2685" s="115" t="s">
        <v>1141</v>
      </c>
    </row>
    <row r="2686" spans="2:5" x14ac:dyDescent="0.25">
      <c r="B2686" s="115" t="s">
        <v>4313</v>
      </c>
      <c r="D2686" s="115" t="s">
        <v>4314</v>
      </c>
      <c r="E2686" s="115" t="s">
        <v>4315</v>
      </c>
    </row>
    <row r="2687" spans="2:5" x14ac:dyDescent="0.25">
      <c r="B2687" s="115" t="s">
        <v>1139</v>
      </c>
      <c r="D2687" s="115" t="s">
        <v>4316</v>
      </c>
      <c r="E2687" s="115" t="s">
        <v>1141</v>
      </c>
    </row>
    <row r="2688" spans="2:5" x14ac:dyDescent="0.25">
      <c r="B2688" s="115" t="s">
        <v>1139</v>
      </c>
      <c r="D2688" s="115" t="s">
        <v>4317</v>
      </c>
      <c r="E2688" s="115" t="s">
        <v>4318</v>
      </c>
    </row>
    <row r="2689" spans="1:5" x14ac:dyDescent="0.25">
      <c r="B2689" s="115" t="s">
        <v>4319</v>
      </c>
      <c r="D2689" s="115" t="s">
        <v>3014</v>
      </c>
      <c r="E2689" s="115" t="s">
        <v>4320</v>
      </c>
    </row>
    <row r="2690" spans="1:5" x14ac:dyDescent="0.25">
      <c r="B2690" s="115" t="s">
        <v>1139</v>
      </c>
      <c r="D2690" s="115" t="s">
        <v>4321</v>
      </c>
      <c r="E2690" s="115" t="s">
        <v>2690</v>
      </c>
    </row>
    <row r="2691" spans="1:5" x14ac:dyDescent="0.25">
      <c r="B2691" s="115" t="s">
        <v>1139</v>
      </c>
      <c r="D2691" s="115" t="s">
        <v>4322</v>
      </c>
      <c r="E2691" s="115" t="s">
        <v>4323</v>
      </c>
    </row>
    <row r="2692" spans="1:5" x14ac:dyDescent="0.25">
      <c r="B2692" s="115" t="s">
        <v>1541</v>
      </c>
      <c r="D2692" s="115" t="s">
        <v>4324</v>
      </c>
      <c r="E2692" s="115" t="s">
        <v>4325</v>
      </c>
    </row>
    <row r="2693" spans="1:5" x14ac:dyDescent="0.25">
      <c r="A2693" s="115" t="s">
        <v>1138</v>
      </c>
      <c r="B2693" s="115" t="s">
        <v>4326</v>
      </c>
      <c r="D2693" s="115" t="s">
        <v>4327</v>
      </c>
      <c r="E2693" s="115" t="s">
        <v>1894</v>
      </c>
    </row>
    <row r="2694" spans="1:5" x14ac:dyDescent="0.25">
      <c r="A2694" s="115" t="s">
        <v>1138</v>
      </c>
      <c r="B2694" s="115" t="s">
        <v>4328</v>
      </c>
      <c r="C2694" s="115" t="s">
        <v>1138</v>
      </c>
      <c r="D2694" s="115" t="s">
        <v>4329</v>
      </c>
      <c r="E2694" s="115" t="s">
        <v>4330</v>
      </c>
    </row>
    <row r="2695" spans="1:5" x14ac:dyDescent="0.25">
      <c r="B2695" s="115" t="s">
        <v>4331</v>
      </c>
      <c r="D2695" s="115" t="s">
        <v>4332</v>
      </c>
      <c r="E2695" s="115" t="s">
        <v>4333</v>
      </c>
    </row>
    <row r="2696" spans="1:5" x14ac:dyDescent="0.25">
      <c r="A2696" s="115" t="s">
        <v>1138</v>
      </c>
      <c r="B2696" s="115" t="s">
        <v>1182</v>
      </c>
      <c r="D2696" s="115" t="s">
        <v>4334</v>
      </c>
      <c r="E2696" s="115" t="s">
        <v>1859</v>
      </c>
    </row>
    <row r="2697" spans="1:5" x14ac:dyDescent="0.25">
      <c r="A2697" s="115" t="s">
        <v>1138</v>
      </c>
      <c r="B2697" s="115" t="s">
        <v>4335</v>
      </c>
      <c r="D2697" s="115" t="s">
        <v>4336</v>
      </c>
      <c r="E2697" s="115" t="s">
        <v>4337</v>
      </c>
    </row>
    <row r="2698" spans="1:5" x14ac:dyDescent="0.25">
      <c r="A2698" s="115" t="s">
        <v>1138</v>
      </c>
      <c r="B2698" s="115" t="s">
        <v>1398</v>
      </c>
      <c r="D2698" s="115" t="s">
        <v>4338</v>
      </c>
      <c r="E2698" s="115" t="s">
        <v>4339</v>
      </c>
    </row>
    <row r="2699" spans="1:5" x14ac:dyDescent="0.25">
      <c r="B2699" s="115" t="s">
        <v>4340</v>
      </c>
      <c r="D2699" s="115" t="s">
        <v>4341</v>
      </c>
      <c r="E2699" s="115" t="s">
        <v>1859</v>
      </c>
    </row>
    <row r="2700" spans="1:5" x14ac:dyDescent="0.25">
      <c r="B2700" s="115" t="s">
        <v>4342</v>
      </c>
      <c r="D2700" s="115" t="s">
        <v>4343</v>
      </c>
      <c r="E2700" s="115" t="s">
        <v>4344</v>
      </c>
    </row>
    <row r="2701" spans="1:5" x14ac:dyDescent="0.25">
      <c r="A2701" s="115">
        <v>-2</v>
      </c>
      <c r="B2701" s="115" t="s">
        <v>4345</v>
      </c>
      <c r="D2701" s="115" t="s">
        <v>4346</v>
      </c>
      <c r="E2701" s="115" t="s">
        <v>4347</v>
      </c>
    </row>
    <row r="2702" spans="1:5" x14ac:dyDescent="0.25">
      <c r="A2702" s="115">
        <v>-3</v>
      </c>
      <c r="B2702" s="115" t="s">
        <v>1179</v>
      </c>
      <c r="C2702" s="115" t="s">
        <v>1138</v>
      </c>
      <c r="D2702" s="115" t="s">
        <v>4348</v>
      </c>
      <c r="E2702" s="115" t="s">
        <v>1141</v>
      </c>
    </row>
    <row r="2703" spans="1:5" x14ac:dyDescent="0.25">
      <c r="A2703" s="115" t="s">
        <v>1138</v>
      </c>
      <c r="B2703" s="115" t="s">
        <v>4349</v>
      </c>
      <c r="D2703" s="115" t="s">
        <v>4350</v>
      </c>
      <c r="E2703" s="115" t="s">
        <v>1141</v>
      </c>
    </row>
    <row r="2704" spans="1:5" x14ac:dyDescent="0.25">
      <c r="A2704" s="115" t="s">
        <v>1138</v>
      </c>
      <c r="B2704" s="115" t="s">
        <v>4351</v>
      </c>
      <c r="D2704" s="115" t="s">
        <v>4352</v>
      </c>
      <c r="E2704" s="115" t="s">
        <v>4353</v>
      </c>
    </row>
    <row r="2705" spans="1:5" x14ac:dyDescent="0.25">
      <c r="A2705" s="115" t="s">
        <v>1138</v>
      </c>
      <c r="B2705" s="115" t="s">
        <v>1213</v>
      </c>
      <c r="D2705" s="115" t="s">
        <v>4354</v>
      </c>
      <c r="E2705" s="115" t="s">
        <v>1702</v>
      </c>
    </row>
    <row r="2706" spans="1:5" x14ac:dyDescent="0.25">
      <c r="A2706" s="115">
        <v>-1</v>
      </c>
      <c r="B2706" s="115" t="s">
        <v>4355</v>
      </c>
      <c r="C2706" s="115" t="s">
        <v>1138</v>
      </c>
      <c r="D2706" s="115" t="s">
        <v>4356</v>
      </c>
      <c r="E2706" s="115" t="s">
        <v>4357</v>
      </c>
    </row>
    <row r="2707" spans="1:5" x14ac:dyDescent="0.25">
      <c r="B2707" s="115" t="s">
        <v>1139</v>
      </c>
      <c r="D2707" s="115" t="s">
        <v>1140</v>
      </c>
      <c r="E2707" s="115" t="s">
        <v>4358</v>
      </c>
    </row>
    <row r="2708" spans="1:5" x14ac:dyDescent="0.25">
      <c r="B2708" s="115" t="s">
        <v>1139</v>
      </c>
      <c r="D2708" s="115" t="s">
        <v>4359</v>
      </c>
      <c r="E2708" s="115" t="s">
        <v>4360</v>
      </c>
    </row>
    <row r="2709" spans="1:5" x14ac:dyDescent="0.25">
      <c r="B2709" s="115" t="s">
        <v>1139</v>
      </c>
      <c r="D2709" s="115" t="s">
        <v>1140</v>
      </c>
      <c r="E2709" s="115" t="s">
        <v>4361</v>
      </c>
    </row>
    <row r="2710" spans="1:5" x14ac:dyDescent="0.25">
      <c r="B2710" s="115" t="s">
        <v>1139</v>
      </c>
      <c r="D2710" s="115" t="s">
        <v>4362</v>
      </c>
      <c r="E2710" s="115" t="s">
        <v>4363</v>
      </c>
    </row>
    <row r="2711" spans="1:5" x14ac:dyDescent="0.25">
      <c r="B2711" s="115" t="s">
        <v>4364</v>
      </c>
      <c r="D2711" s="115" t="s">
        <v>4365</v>
      </c>
      <c r="E2711" s="115" t="s">
        <v>1894</v>
      </c>
    </row>
    <row r="2712" spans="1:5" x14ac:dyDescent="0.25">
      <c r="B2712" s="115" t="s">
        <v>1435</v>
      </c>
      <c r="D2712" s="115" t="s">
        <v>1140</v>
      </c>
      <c r="E2712" s="115" t="s">
        <v>4366</v>
      </c>
    </row>
    <row r="2713" spans="1:5" x14ac:dyDescent="0.25">
      <c r="A2713" s="115">
        <v>3</v>
      </c>
      <c r="B2713" s="115" t="s">
        <v>1496</v>
      </c>
      <c r="C2713" s="115" t="s">
        <v>1138</v>
      </c>
      <c r="D2713" s="115" t="s">
        <v>4367</v>
      </c>
      <c r="E2713" s="115" t="s">
        <v>4368</v>
      </c>
    </row>
    <row r="2714" spans="1:5" x14ac:dyDescent="0.25">
      <c r="B2714" s="115" t="s">
        <v>1139</v>
      </c>
      <c r="D2714" s="115" t="s">
        <v>4369</v>
      </c>
      <c r="E2714" s="115" t="s">
        <v>4370</v>
      </c>
    </row>
    <row r="2715" spans="1:5" x14ac:dyDescent="0.25">
      <c r="A2715" s="115" t="s">
        <v>1138</v>
      </c>
      <c r="B2715" s="115" t="s">
        <v>4371</v>
      </c>
      <c r="D2715" s="115" t="s">
        <v>1140</v>
      </c>
      <c r="E2715" s="115" t="s">
        <v>4372</v>
      </c>
    </row>
    <row r="2716" spans="1:5" x14ac:dyDescent="0.25">
      <c r="B2716" s="115" t="s">
        <v>4373</v>
      </c>
      <c r="D2716" s="115" t="s">
        <v>4374</v>
      </c>
      <c r="E2716" s="115" t="s">
        <v>4375</v>
      </c>
    </row>
    <row r="2717" spans="1:5" x14ac:dyDescent="0.25">
      <c r="B2717" s="115" t="s">
        <v>4376</v>
      </c>
      <c r="D2717" s="115" t="s">
        <v>4377</v>
      </c>
      <c r="E2717" s="115" t="s">
        <v>4378</v>
      </c>
    </row>
    <row r="2718" spans="1:5" x14ac:dyDescent="0.25">
      <c r="A2718" s="115" t="s">
        <v>1138</v>
      </c>
      <c r="B2718" s="115" t="s">
        <v>4379</v>
      </c>
      <c r="D2718" s="115" t="s">
        <v>1140</v>
      </c>
      <c r="E2718" s="115" t="s">
        <v>4380</v>
      </c>
    </row>
    <row r="2719" spans="1:5" x14ac:dyDescent="0.25">
      <c r="B2719" s="115" t="s">
        <v>4381</v>
      </c>
      <c r="D2719" s="115" t="s">
        <v>4382</v>
      </c>
      <c r="E2719" s="115" t="s">
        <v>4383</v>
      </c>
    </row>
    <row r="2720" spans="1:5" x14ac:dyDescent="0.25">
      <c r="B2720" s="115" t="s">
        <v>4384</v>
      </c>
      <c r="D2720" s="115" t="s">
        <v>4385</v>
      </c>
      <c r="E2720" s="115" t="s">
        <v>4386</v>
      </c>
    </row>
    <row r="2721" spans="1:5" x14ac:dyDescent="0.25">
      <c r="A2721" s="115">
        <v>-3</v>
      </c>
      <c r="B2721" s="115" t="s">
        <v>4387</v>
      </c>
      <c r="D2721" s="115" t="s">
        <v>1140</v>
      </c>
      <c r="E2721" s="115" t="s">
        <v>4388</v>
      </c>
    </row>
    <row r="2722" spans="1:5" x14ac:dyDescent="0.25">
      <c r="B2722" s="115" t="s">
        <v>4389</v>
      </c>
      <c r="D2722" s="115" t="s">
        <v>3621</v>
      </c>
      <c r="E2722" s="115" t="s">
        <v>4390</v>
      </c>
    </row>
    <row r="2723" spans="1:5" x14ac:dyDescent="0.25">
      <c r="B2723" s="115" t="s">
        <v>1310</v>
      </c>
      <c r="D2723" s="115" t="s">
        <v>4391</v>
      </c>
      <c r="E2723" s="115" t="s">
        <v>4392</v>
      </c>
    </row>
    <row r="2724" spans="1:5" x14ac:dyDescent="0.25">
      <c r="B2724" s="115" t="s">
        <v>1139</v>
      </c>
      <c r="D2724" s="115" t="s">
        <v>1140</v>
      </c>
      <c r="E2724" s="115" t="s">
        <v>4393</v>
      </c>
    </row>
    <row r="2725" spans="1:5" x14ac:dyDescent="0.25">
      <c r="B2725" s="115" t="s">
        <v>1385</v>
      </c>
      <c r="D2725" s="115" t="s">
        <v>1140</v>
      </c>
      <c r="E2725" s="115" t="s">
        <v>4394</v>
      </c>
    </row>
    <row r="2726" spans="1:5" x14ac:dyDescent="0.25">
      <c r="A2726" s="115" t="s">
        <v>1138</v>
      </c>
      <c r="B2726" s="115" t="s">
        <v>4395</v>
      </c>
      <c r="D2726" s="115" t="s">
        <v>4396</v>
      </c>
      <c r="E2726" s="115" t="s">
        <v>4397</v>
      </c>
    </row>
    <row r="2727" spans="1:5" x14ac:dyDescent="0.25">
      <c r="B2727" s="115" t="s">
        <v>4398</v>
      </c>
      <c r="D2727" s="115" t="s">
        <v>1140</v>
      </c>
      <c r="E2727" s="115" t="s">
        <v>4399</v>
      </c>
    </row>
    <row r="2728" spans="1:5" x14ac:dyDescent="0.25">
      <c r="A2728" s="115">
        <v>2</v>
      </c>
      <c r="B2728" s="115" t="s">
        <v>4400</v>
      </c>
      <c r="C2728" s="115" t="s">
        <v>1138</v>
      </c>
      <c r="D2728" s="115" t="s">
        <v>4401</v>
      </c>
      <c r="E2728" s="115" t="s">
        <v>1141</v>
      </c>
    </row>
    <row r="2729" spans="1:5" x14ac:dyDescent="0.25">
      <c r="B2729" s="115" t="s">
        <v>1139</v>
      </c>
      <c r="C2729" s="115">
        <v>1</v>
      </c>
      <c r="D2729" s="115" t="s">
        <v>4402</v>
      </c>
      <c r="E2729" s="115" t="s">
        <v>4403</v>
      </c>
    </row>
    <row r="2730" spans="1:5" x14ac:dyDescent="0.25">
      <c r="B2730" s="115" t="s">
        <v>1207</v>
      </c>
      <c r="D2730" s="115" t="s">
        <v>4404</v>
      </c>
      <c r="E2730" s="115" t="s">
        <v>4405</v>
      </c>
    </row>
    <row r="2731" spans="1:5" x14ac:dyDescent="0.25">
      <c r="B2731" s="115" t="s">
        <v>1139</v>
      </c>
      <c r="D2731" s="115" t="s">
        <v>2513</v>
      </c>
      <c r="E2731" s="115" t="s">
        <v>4406</v>
      </c>
    </row>
    <row r="2732" spans="1:5" x14ac:dyDescent="0.25">
      <c r="A2732" s="115" t="s">
        <v>1138</v>
      </c>
      <c r="B2732" s="115" t="s">
        <v>4407</v>
      </c>
      <c r="D2732" s="115" t="s">
        <v>4408</v>
      </c>
      <c r="E2732" s="115" t="s">
        <v>4409</v>
      </c>
    </row>
    <row r="2733" spans="1:5" x14ac:dyDescent="0.25">
      <c r="B2733" s="115" t="s">
        <v>1139</v>
      </c>
      <c r="D2733" s="115" t="s">
        <v>4410</v>
      </c>
      <c r="E2733" s="115" t="s">
        <v>4411</v>
      </c>
    </row>
    <row r="2734" spans="1:5" x14ac:dyDescent="0.25">
      <c r="B2734" s="115" t="s">
        <v>1139</v>
      </c>
      <c r="D2734" s="115" t="s">
        <v>1140</v>
      </c>
      <c r="E2734" s="115" t="s">
        <v>4412</v>
      </c>
    </row>
    <row r="2735" spans="1:5" x14ac:dyDescent="0.25">
      <c r="B2735" s="115" t="s">
        <v>1139</v>
      </c>
      <c r="D2735" s="115" t="s">
        <v>4413</v>
      </c>
      <c r="E2735" s="115" t="s">
        <v>4414</v>
      </c>
    </row>
    <row r="2736" spans="1:5" x14ac:dyDescent="0.25">
      <c r="B2736" s="115" t="s">
        <v>1230</v>
      </c>
      <c r="D2736" s="115" t="s">
        <v>4415</v>
      </c>
      <c r="E2736" s="115" t="s">
        <v>4416</v>
      </c>
    </row>
    <row r="2737" spans="1:5" x14ac:dyDescent="0.25">
      <c r="B2737" s="115" t="s">
        <v>1139</v>
      </c>
      <c r="D2737" s="115" t="s">
        <v>4417</v>
      </c>
      <c r="E2737" s="115" t="s">
        <v>4418</v>
      </c>
    </row>
    <row r="2738" spans="1:5" x14ac:dyDescent="0.25">
      <c r="A2738" s="115">
        <v>2</v>
      </c>
      <c r="B2738" s="115" t="s">
        <v>1203</v>
      </c>
      <c r="D2738" s="115" t="s">
        <v>4419</v>
      </c>
      <c r="E2738" s="115" t="s">
        <v>4420</v>
      </c>
    </row>
    <row r="2739" spans="1:5" x14ac:dyDescent="0.25">
      <c r="B2739" s="115" t="s">
        <v>1139</v>
      </c>
      <c r="D2739" s="115" t="s">
        <v>4421</v>
      </c>
      <c r="E2739" s="115" t="s">
        <v>4422</v>
      </c>
    </row>
    <row r="2740" spans="1:5" x14ac:dyDescent="0.25">
      <c r="B2740" s="115" t="s">
        <v>1139</v>
      </c>
      <c r="D2740" s="115" t="s">
        <v>4423</v>
      </c>
      <c r="E2740" s="115" t="s">
        <v>4424</v>
      </c>
    </row>
    <row r="2741" spans="1:5" x14ac:dyDescent="0.25">
      <c r="A2741" s="115" t="s">
        <v>1138</v>
      </c>
      <c r="B2741" s="115" t="s">
        <v>4425</v>
      </c>
      <c r="D2741" s="115" t="s">
        <v>4426</v>
      </c>
      <c r="E2741" s="115" t="s">
        <v>4427</v>
      </c>
    </row>
    <row r="2742" spans="1:5" x14ac:dyDescent="0.25">
      <c r="B2742" s="115" t="s">
        <v>4428</v>
      </c>
      <c r="D2742" s="115" t="s">
        <v>1436</v>
      </c>
      <c r="E2742" s="115" t="s">
        <v>4429</v>
      </c>
    </row>
    <row r="2743" spans="1:5" x14ac:dyDescent="0.25">
      <c r="B2743" s="115" t="s">
        <v>1139</v>
      </c>
      <c r="D2743" s="115" t="s">
        <v>4430</v>
      </c>
      <c r="E2743" s="115" t="s">
        <v>4431</v>
      </c>
    </row>
    <row r="2744" spans="1:5" x14ac:dyDescent="0.25">
      <c r="B2744" s="115" t="s">
        <v>1139</v>
      </c>
      <c r="D2744" s="115" t="s">
        <v>4432</v>
      </c>
      <c r="E2744" s="115" t="s">
        <v>4433</v>
      </c>
    </row>
    <row r="2745" spans="1:5" x14ac:dyDescent="0.25">
      <c r="B2745" s="115" t="s">
        <v>4434</v>
      </c>
      <c r="D2745" s="115" t="s">
        <v>4435</v>
      </c>
      <c r="E2745" s="115" t="s">
        <v>1141</v>
      </c>
    </row>
    <row r="2746" spans="1:5" x14ac:dyDescent="0.25">
      <c r="B2746" s="115" t="s">
        <v>1139</v>
      </c>
      <c r="D2746" s="115" t="s">
        <v>4436</v>
      </c>
      <c r="E2746" s="115" t="s">
        <v>4437</v>
      </c>
    </row>
    <row r="2747" spans="1:5" x14ac:dyDescent="0.25">
      <c r="B2747" s="115" t="s">
        <v>1139</v>
      </c>
      <c r="D2747" s="115" t="s">
        <v>4438</v>
      </c>
      <c r="E2747" s="115" t="s">
        <v>4439</v>
      </c>
    </row>
    <row r="2748" spans="1:5" x14ac:dyDescent="0.25">
      <c r="B2748" s="115" t="s">
        <v>1139</v>
      </c>
      <c r="D2748" s="115" t="s">
        <v>4440</v>
      </c>
      <c r="E2748" s="115" t="s">
        <v>4441</v>
      </c>
    </row>
    <row r="2749" spans="1:5" x14ac:dyDescent="0.25">
      <c r="B2749" s="115" t="s">
        <v>1139</v>
      </c>
      <c r="D2749" s="115" t="s">
        <v>4442</v>
      </c>
      <c r="E2749" s="115" t="s">
        <v>4443</v>
      </c>
    </row>
    <row r="2750" spans="1:5" x14ac:dyDescent="0.25">
      <c r="A2750" s="115">
        <v>1</v>
      </c>
      <c r="B2750" s="115" t="s">
        <v>4444</v>
      </c>
      <c r="D2750" s="115" t="s">
        <v>1140</v>
      </c>
      <c r="E2750" s="115" t="s">
        <v>4445</v>
      </c>
    </row>
    <row r="2751" spans="1:5" x14ac:dyDescent="0.25">
      <c r="A2751" s="115">
        <v>-13</v>
      </c>
      <c r="B2751" s="115" t="s">
        <v>4446</v>
      </c>
      <c r="D2751" s="115" t="s">
        <v>4447</v>
      </c>
      <c r="E2751" s="115" t="s">
        <v>4448</v>
      </c>
    </row>
    <row r="2752" spans="1:5" x14ac:dyDescent="0.25">
      <c r="B2752" s="115" t="s">
        <v>1139</v>
      </c>
      <c r="D2752" s="115" t="s">
        <v>4449</v>
      </c>
      <c r="E2752" s="115" t="s">
        <v>1141</v>
      </c>
    </row>
    <row r="2753" spans="1:5" x14ac:dyDescent="0.25">
      <c r="B2753" s="115" t="s">
        <v>1139</v>
      </c>
      <c r="D2753" s="115" t="s">
        <v>4450</v>
      </c>
      <c r="E2753" s="115" t="s">
        <v>4451</v>
      </c>
    </row>
    <row r="2754" spans="1:5" x14ac:dyDescent="0.25">
      <c r="B2754" s="115" t="s">
        <v>4452</v>
      </c>
      <c r="D2754" s="115" t="s">
        <v>1319</v>
      </c>
      <c r="E2754" s="115" t="s">
        <v>4453</v>
      </c>
    </row>
    <row r="2755" spans="1:5" x14ac:dyDescent="0.25">
      <c r="B2755" s="115" t="s">
        <v>1151</v>
      </c>
      <c r="D2755" s="115" t="s">
        <v>1140</v>
      </c>
      <c r="E2755" s="115" t="s">
        <v>4454</v>
      </c>
    </row>
    <row r="2756" spans="1:5" x14ac:dyDescent="0.25">
      <c r="B2756" s="115" t="s">
        <v>1139</v>
      </c>
      <c r="D2756" s="115" t="s">
        <v>4455</v>
      </c>
      <c r="E2756" s="115" t="s">
        <v>4456</v>
      </c>
    </row>
    <row r="2757" spans="1:5" x14ac:dyDescent="0.25">
      <c r="B2757" s="115" t="s">
        <v>1139</v>
      </c>
      <c r="D2757" s="115" t="s">
        <v>4457</v>
      </c>
      <c r="E2757" s="115" t="s">
        <v>4458</v>
      </c>
    </row>
    <row r="2758" spans="1:5" x14ac:dyDescent="0.25">
      <c r="A2758" s="115">
        <v>-1</v>
      </c>
      <c r="B2758" s="115" t="s">
        <v>4459</v>
      </c>
      <c r="C2758" s="115">
        <v>-1</v>
      </c>
      <c r="D2758" s="115" t="s">
        <v>4460</v>
      </c>
      <c r="E2758" s="115" t="s">
        <v>4461</v>
      </c>
    </row>
    <row r="2759" spans="1:5" x14ac:dyDescent="0.25">
      <c r="B2759" s="115" t="s">
        <v>4462</v>
      </c>
      <c r="D2759" s="115" t="s">
        <v>4463</v>
      </c>
      <c r="E2759" s="115" t="s">
        <v>4464</v>
      </c>
    </row>
    <row r="2760" spans="1:5" x14ac:dyDescent="0.25">
      <c r="B2760" s="115" t="s">
        <v>4465</v>
      </c>
      <c r="D2760" s="115" t="s">
        <v>4466</v>
      </c>
      <c r="E2760" s="115" t="s">
        <v>4467</v>
      </c>
    </row>
    <row r="2761" spans="1:5" x14ac:dyDescent="0.25">
      <c r="B2761" s="115" t="s">
        <v>4468</v>
      </c>
      <c r="D2761" s="115" t="s">
        <v>4469</v>
      </c>
      <c r="E2761" s="115" t="s">
        <v>4470</v>
      </c>
    </row>
    <row r="2762" spans="1:5" x14ac:dyDescent="0.25">
      <c r="B2762" s="115" t="s">
        <v>1650</v>
      </c>
      <c r="D2762" s="115" t="s">
        <v>4471</v>
      </c>
      <c r="E2762" s="115" t="s">
        <v>4472</v>
      </c>
    </row>
    <row r="2763" spans="1:5" x14ac:dyDescent="0.25">
      <c r="A2763" s="115" t="s">
        <v>1138</v>
      </c>
      <c r="B2763" s="115" t="s">
        <v>4473</v>
      </c>
      <c r="D2763" s="115" t="s">
        <v>4474</v>
      </c>
      <c r="E2763" s="115" t="s">
        <v>4475</v>
      </c>
    </row>
    <row r="2764" spans="1:5" x14ac:dyDescent="0.25">
      <c r="B2764" s="115" t="s">
        <v>1139</v>
      </c>
      <c r="C2764" s="115">
        <v>-1</v>
      </c>
      <c r="D2764" s="115" t="s">
        <v>4476</v>
      </c>
      <c r="E2764" s="115" t="s">
        <v>4477</v>
      </c>
    </row>
    <row r="2765" spans="1:5" x14ac:dyDescent="0.25">
      <c r="B2765" s="115" t="s">
        <v>1306</v>
      </c>
      <c r="D2765" s="115" t="s">
        <v>4478</v>
      </c>
      <c r="E2765" s="115" t="s">
        <v>4479</v>
      </c>
    </row>
    <row r="2766" spans="1:5" x14ac:dyDescent="0.25">
      <c r="B2766" s="115" t="s">
        <v>4480</v>
      </c>
      <c r="D2766" s="115" t="s">
        <v>4481</v>
      </c>
      <c r="E2766" s="115" t="s">
        <v>4482</v>
      </c>
    </row>
    <row r="2767" spans="1:5" x14ac:dyDescent="0.25">
      <c r="B2767" s="115" t="s">
        <v>2765</v>
      </c>
      <c r="D2767" s="115" t="s">
        <v>4483</v>
      </c>
      <c r="E2767" s="115" t="s">
        <v>1141</v>
      </c>
    </row>
    <row r="2768" spans="1:5" x14ac:dyDescent="0.25">
      <c r="B2768" s="115" t="s">
        <v>1240</v>
      </c>
      <c r="D2768" s="115" t="s">
        <v>4484</v>
      </c>
      <c r="E2768" s="115" t="s">
        <v>1702</v>
      </c>
    </row>
    <row r="2769" spans="1:5" x14ac:dyDescent="0.25">
      <c r="B2769" s="115" t="s">
        <v>4485</v>
      </c>
      <c r="D2769" s="115" t="s">
        <v>4486</v>
      </c>
      <c r="E2769" s="115" t="s">
        <v>4487</v>
      </c>
    </row>
    <row r="2770" spans="1:5" x14ac:dyDescent="0.25">
      <c r="B2770" s="115" t="s">
        <v>4488</v>
      </c>
      <c r="D2770" s="115" t="s">
        <v>4489</v>
      </c>
      <c r="E2770" s="115" t="s">
        <v>4490</v>
      </c>
    </row>
    <row r="2771" spans="1:5" x14ac:dyDescent="0.25">
      <c r="B2771" s="115" t="s">
        <v>4491</v>
      </c>
      <c r="D2771" s="115" t="s">
        <v>4492</v>
      </c>
      <c r="E2771" s="115" t="s">
        <v>4493</v>
      </c>
    </row>
    <row r="2772" spans="1:5" x14ac:dyDescent="0.25">
      <c r="B2772" s="115" t="s">
        <v>1139</v>
      </c>
      <c r="D2772" s="115" t="s">
        <v>1140</v>
      </c>
      <c r="E2772" s="115" t="s">
        <v>4494</v>
      </c>
    </row>
    <row r="2773" spans="1:5" x14ac:dyDescent="0.25">
      <c r="B2773" s="115" t="s">
        <v>4495</v>
      </c>
      <c r="D2773" s="115" t="s">
        <v>4496</v>
      </c>
      <c r="E2773" s="115" t="s">
        <v>4497</v>
      </c>
    </row>
    <row r="2774" spans="1:5" x14ac:dyDescent="0.25">
      <c r="B2774" s="115" t="s">
        <v>1139</v>
      </c>
      <c r="D2774" s="115" t="s">
        <v>4498</v>
      </c>
      <c r="E2774" s="115" t="s">
        <v>1141</v>
      </c>
    </row>
    <row r="2775" spans="1:5" x14ac:dyDescent="0.25">
      <c r="B2775" s="115" t="s">
        <v>1139</v>
      </c>
      <c r="D2775" s="115" t="s">
        <v>4499</v>
      </c>
      <c r="E2775" s="115" t="s">
        <v>4500</v>
      </c>
    </row>
    <row r="2776" spans="1:5" x14ac:dyDescent="0.25">
      <c r="B2776" s="115" t="s">
        <v>4501</v>
      </c>
      <c r="D2776" s="115" t="s">
        <v>1848</v>
      </c>
      <c r="E2776" s="115" t="s">
        <v>1582</v>
      </c>
    </row>
    <row r="2777" spans="1:5" x14ac:dyDescent="0.25">
      <c r="B2777" s="115" t="s">
        <v>1139</v>
      </c>
      <c r="D2777" s="115" t="s">
        <v>3122</v>
      </c>
      <c r="E2777" s="115" t="s">
        <v>1759</v>
      </c>
    </row>
    <row r="2778" spans="1:5" x14ac:dyDescent="0.25">
      <c r="B2778" s="115" t="s">
        <v>1139</v>
      </c>
      <c r="D2778" s="115" t="s">
        <v>4502</v>
      </c>
      <c r="E2778" s="115" t="s">
        <v>4503</v>
      </c>
    </row>
    <row r="2779" spans="1:5" x14ac:dyDescent="0.25">
      <c r="B2779" s="115" t="s">
        <v>4504</v>
      </c>
      <c r="D2779" s="115" t="s">
        <v>4505</v>
      </c>
      <c r="E2779" s="115" t="s">
        <v>4506</v>
      </c>
    </row>
    <row r="2780" spans="1:5" x14ac:dyDescent="0.25">
      <c r="A2780" s="115">
        <v>-1</v>
      </c>
      <c r="B2780" s="115" t="s">
        <v>4507</v>
      </c>
      <c r="C2780" s="115">
        <v>-2</v>
      </c>
      <c r="D2780" s="115" t="s">
        <v>4508</v>
      </c>
      <c r="E2780" s="115" t="s">
        <v>2690</v>
      </c>
    </row>
    <row r="2781" spans="1:5" x14ac:dyDescent="0.25">
      <c r="A2781" s="115" t="s">
        <v>1138</v>
      </c>
      <c r="B2781" s="115" t="s">
        <v>4509</v>
      </c>
      <c r="D2781" s="115" t="s">
        <v>4510</v>
      </c>
      <c r="E2781" s="115" t="s">
        <v>4511</v>
      </c>
    </row>
    <row r="2782" spans="1:5" x14ac:dyDescent="0.25">
      <c r="A2782" s="115" t="s">
        <v>1138</v>
      </c>
      <c r="B2782" s="115" t="s">
        <v>4512</v>
      </c>
      <c r="D2782" s="115" t="s">
        <v>4513</v>
      </c>
      <c r="E2782" s="115" t="s">
        <v>4514</v>
      </c>
    </row>
    <row r="2783" spans="1:5" x14ac:dyDescent="0.25">
      <c r="A2783" s="115">
        <v>-2</v>
      </c>
      <c r="B2783" s="115" t="s">
        <v>1226</v>
      </c>
      <c r="C2783" s="115">
        <v>-1</v>
      </c>
      <c r="D2783" s="115" t="s">
        <v>4515</v>
      </c>
      <c r="E2783" s="115" t="s">
        <v>2690</v>
      </c>
    </row>
    <row r="2784" spans="1:5" x14ac:dyDescent="0.25">
      <c r="A2784" s="115" t="s">
        <v>1138</v>
      </c>
      <c r="B2784" s="115" t="s">
        <v>4516</v>
      </c>
      <c r="D2784" s="115" t="s">
        <v>4517</v>
      </c>
      <c r="E2784" s="115" t="s">
        <v>4518</v>
      </c>
    </row>
    <row r="2785" spans="1:5" x14ac:dyDescent="0.25">
      <c r="B2785" s="115" t="s">
        <v>4143</v>
      </c>
      <c r="D2785" s="115" t="s">
        <v>4519</v>
      </c>
      <c r="E2785" s="115" t="s">
        <v>4520</v>
      </c>
    </row>
    <row r="2786" spans="1:5" x14ac:dyDescent="0.25">
      <c r="B2786" s="115" t="s">
        <v>4521</v>
      </c>
      <c r="D2786" s="115" t="s">
        <v>4522</v>
      </c>
      <c r="E2786" s="115" t="s">
        <v>1141</v>
      </c>
    </row>
    <row r="2787" spans="1:5" x14ac:dyDescent="0.25">
      <c r="B2787" s="115" t="s">
        <v>4523</v>
      </c>
      <c r="D2787" s="115" t="s">
        <v>4524</v>
      </c>
      <c r="E2787" s="115" t="s">
        <v>4525</v>
      </c>
    </row>
    <row r="2788" spans="1:5" x14ac:dyDescent="0.25">
      <c r="A2788" s="115" t="s">
        <v>1138</v>
      </c>
      <c r="B2788" s="115" t="s">
        <v>4526</v>
      </c>
      <c r="D2788" s="115" t="s">
        <v>4527</v>
      </c>
      <c r="E2788" s="115" t="s">
        <v>4528</v>
      </c>
    </row>
    <row r="2789" spans="1:5" x14ac:dyDescent="0.25">
      <c r="A2789" s="115">
        <v>-2</v>
      </c>
      <c r="B2789" s="115" t="s">
        <v>3661</v>
      </c>
      <c r="C2789" s="115">
        <v>-1</v>
      </c>
      <c r="D2789" s="115" t="s">
        <v>4529</v>
      </c>
      <c r="E2789" s="115" t="s">
        <v>1141</v>
      </c>
    </row>
    <row r="2790" spans="1:5" x14ac:dyDescent="0.25">
      <c r="A2790" s="115" t="s">
        <v>1138</v>
      </c>
      <c r="B2790" s="115" t="s">
        <v>4530</v>
      </c>
      <c r="D2790" s="115" t="s">
        <v>4531</v>
      </c>
      <c r="E2790" s="115" t="s">
        <v>1141</v>
      </c>
    </row>
    <row r="2791" spans="1:5" x14ac:dyDescent="0.25">
      <c r="A2791" s="115">
        <v>-1</v>
      </c>
      <c r="B2791" s="115" t="s">
        <v>4532</v>
      </c>
      <c r="D2791" s="115" t="s">
        <v>4533</v>
      </c>
      <c r="E2791" s="115" t="s">
        <v>4534</v>
      </c>
    </row>
    <row r="2792" spans="1:5" x14ac:dyDescent="0.25">
      <c r="A2792" s="115">
        <v>-5</v>
      </c>
      <c r="B2792" s="115" t="s">
        <v>4535</v>
      </c>
      <c r="C2792" s="115">
        <v>-4</v>
      </c>
      <c r="D2792" s="115" t="s">
        <v>4536</v>
      </c>
      <c r="E2792" s="115" t="s">
        <v>1894</v>
      </c>
    </row>
    <row r="2793" spans="1:5" x14ac:dyDescent="0.25">
      <c r="A2793" s="115" t="s">
        <v>1138</v>
      </c>
      <c r="B2793" s="115" t="s">
        <v>4537</v>
      </c>
      <c r="D2793" s="115" t="s">
        <v>4538</v>
      </c>
      <c r="E2793" s="115" t="s">
        <v>4539</v>
      </c>
    </row>
    <row r="2794" spans="1:5" x14ac:dyDescent="0.25">
      <c r="B2794" s="115" t="s">
        <v>1139</v>
      </c>
      <c r="D2794" s="115" t="s">
        <v>1140</v>
      </c>
      <c r="E2794" s="115" t="s">
        <v>4540</v>
      </c>
    </row>
    <row r="2795" spans="1:5" x14ac:dyDescent="0.25">
      <c r="A2795" s="115">
        <v>-1</v>
      </c>
      <c r="B2795" s="115" t="s">
        <v>4541</v>
      </c>
      <c r="D2795" s="115" t="s">
        <v>4542</v>
      </c>
      <c r="E2795" s="115" t="s">
        <v>4543</v>
      </c>
    </row>
    <row r="2796" spans="1:5" x14ac:dyDescent="0.25">
      <c r="B2796" s="115" t="s">
        <v>1139</v>
      </c>
      <c r="D2796" s="115" t="s">
        <v>4544</v>
      </c>
      <c r="E2796" s="115" t="s">
        <v>1141</v>
      </c>
    </row>
    <row r="2797" spans="1:5" x14ac:dyDescent="0.25">
      <c r="B2797" s="115" t="s">
        <v>1139</v>
      </c>
      <c r="D2797" s="115" t="s">
        <v>4545</v>
      </c>
      <c r="E2797" s="115" t="s">
        <v>4546</v>
      </c>
    </row>
    <row r="2798" spans="1:5" x14ac:dyDescent="0.25">
      <c r="A2798" s="115">
        <v>2</v>
      </c>
      <c r="B2798" s="115" t="s">
        <v>4547</v>
      </c>
      <c r="D2798" s="115" t="s">
        <v>4548</v>
      </c>
      <c r="E2798" s="115" t="s">
        <v>4549</v>
      </c>
    </row>
    <row r="2799" spans="1:5" x14ac:dyDescent="0.25">
      <c r="B2799" s="115" t="s">
        <v>1139</v>
      </c>
      <c r="D2799" s="115" t="s">
        <v>4550</v>
      </c>
      <c r="E2799" s="115" t="s">
        <v>1894</v>
      </c>
    </row>
    <row r="2800" spans="1:5" x14ac:dyDescent="0.25">
      <c r="B2800" s="115" t="s">
        <v>1139</v>
      </c>
      <c r="D2800" s="115" t="s">
        <v>4551</v>
      </c>
      <c r="E2800" s="115" t="s">
        <v>4552</v>
      </c>
    </row>
    <row r="2801" spans="1:5" x14ac:dyDescent="0.25">
      <c r="B2801" s="115" t="s">
        <v>4553</v>
      </c>
      <c r="D2801" s="115" t="s">
        <v>4554</v>
      </c>
      <c r="E2801" s="115" t="s">
        <v>4555</v>
      </c>
    </row>
    <row r="2802" spans="1:5" x14ac:dyDescent="0.25">
      <c r="B2802" s="115" t="s">
        <v>4556</v>
      </c>
      <c r="D2802" s="115" t="s">
        <v>4557</v>
      </c>
      <c r="E2802" s="115" t="s">
        <v>2690</v>
      </c>
    </row>
    <row r="2803" spans="1:5" x14ac:dyDescent="0.25">
      <c r="B2803" s="115" t="s">
        <v>4558</v>
      </c>
      <c r="C2803" s="115" t="s">
        <v>1138</v>
      </c>
      <c r="D2803" s="115" t="s">
        <v>4559</v>
      </c>
      <c r="E2803" s="115" t="s">
        <v>4560</v>
      </c>
    </row>
    <row r="2804" spans="1:5" x14ac:dyDescent="0.25">
      <c r="A2804" s="115">
        <v>-3</v>
      </c>
      <c r="B2804" s="115" t="s">
        <v>4561</v>
      </c>
      <c r="D2804" s="115">
        <f>-930  -1278  -1106  -232</f>
        <v>-3546</v>
      </c>
      <c r="E2804" s="115" t="s">
        <v>4562</v>
      </c>
    </row>
    <row r="2805" spans="1:5" x14ac:dyDescent="0.25">
      <c r="A2805" s="115" t="s">
        <v>1138</v>
      </c>
      <c r="B2805" s="115" t="s">
        <v>4563</v>
      </c>
      <c r="D2805" s="115" t="s">
        <v>4564</v>
      </c>
      <c r="E2805" s="115" t="s">
        <v>2537</v>
      </c>
    </row>
    <row r="2806" spans="1:5" x14ac:dyDescent="0.25">
      <c r="A2806" s="115">
        <v>-1</v>
      </c>
      <c r="B2806" s="115" t="s">
        <v>4565</v>
      </c>
      <c r="D2806" s="115" t="s">
        <v>4566</v>
      </c>
      <c r="E2806" s="115" t="s">
        <v>4567</v>
      </c>
    </row>
    <row r="2807" spans="1:5" x14ac:dyDescent="0.25">
      <c r="A2807" s="115">
        <v>-1</v>
      </c>
      <c r="B2807" s="115" t="s">
        <v>1415</v>
      </c>
      <c r="D2807" s="115" t="s">
        <v>4568</v>
      </c>
      <c r="E2807" s="115" t="s">
        <v>4569</v>
      </c>
    </row>
    <row r="2808" spans="1:5" x14ac:dyDescent="0.25">
      <c r="B2808" s="115" t="s">
        <v>1341</v>
      </c>
      <c r="D2808" s="115" t="s">
        <v>4570</v>
      </c>
      <c r="E2808" s="115" t="s">
        <v>2537</v>
      </c>
    </row>
    <row r="2809" spans="1:5" x14ac:dyDescent="0.25">
      <c r="A2809" s="115" t="s">
        <v>1138</v>
      </c>
      <c r="B2809" s="115" t="s">
        <v>4571</v>
      </c>
      <c r="D2809" s="115" t="s">
        <v>4572</v>
      </c>
      <c r="E2809" s="115" t="s">
        <v>4573</v>
      </c>
    </row>
    <row r="2810" spans="1:5" x14ac:dyDescent="0.25">
      <c r="A2810" s="115">
        <v>1</v>
      </c>
      <c r="B2810" s="115" t="s">
        <v>4574</v>
      </c>
      <c r="D2810" s="115" t="s">
        <v>4575</v>
      </c>
      <c r="E2810" s="115" t="s">
        <v>4576</v>
      </c>
    </row>
    <row r="2811" spans="1:5" x14ac:dyDescent="0.25">
      <c r="B2811" s="115" t="s">
        <v>4577</v>
      </c>
      <c r="D2811" s="115" t="s">
        <v>1615</v>
      </c>
      <c r="E2811" s="115" t="s">
        <v>1141</v>
      </c>
    </row>
    <row r="2812" spans="1:5" x14ac:dyDescent="0.25">
      <c r="B2812" s="115" t="s">
        <v>4578</v>
      </c>
      <c r="D2812" s="115" t="s">
        <v>4579</v>
      </c>
      <c r="E2812" s="115" t="s">
        <v>1141</v>
      </c>
    </row>
    <row r="2813" spans="1:5" x14ac:dyDescent="0.25">
      <c r="A2813" s="115">
        <v>2</v>
      </c>
      <c r="B2813" s="115" t="s">
        <v>4580</v>
      </c>
      <c r="D2813" s="115" t="s">
        <v>4581</v>
      </c>
      <c r="E2813" s="115" t="s">
        <v>4582</v>
      </c>
    </row>
    <row r="2814" spans="1:5" x14ac:dyDescent="0.25">
      <c r="B2814" s="115" t="s">
        <v>4583</v>
      </c>
      <c r="D2814" s="115" t="s">
        <v>4584</v>
      </c>
      <c r="E2814" s="115" t="s">
        <v>2537</v>
      </c>
    </row>
    <row r="2815" spans="1:5" x14ac:dyDescent="0.25">
      <c r="A2815" s="115">
        <v>2</v>
      </c>
      <c r="B2815" s="115" t="s">
        <v>4585</v>
      </c>
      <c r="C2815" s="115" t="s">
        <v>1138</v>
      </c>
      <c r="D2815" s="115" t="s">
        <v>4586</v>
      </c>
      <c r="E2815" s="115" t="s">
        <v>4587</v>
      </c>
    </row>
    <row r="2816" spans="1:5" x14ac:dyDescent="0.25">
      <c r="B2816" s="115" t="s">
        <v>1139</v>
      </c>
      <c r="D2816" s="115" t="s">
        <v>1140</v>
      </c>
      <c r="E2816" s="115" t="s">
        <v>4588</v>
      </c>
    </row>
    <row r="2817" spans="1:5" x14ac:dyDescent="0.25">
      <c r="A2817" s="115" t="s">
        <v>1138</v>
      </c>
      <c r="B2817" s="115" t="s">
        <v>1439</v>
      </c>
      <c r="D2817" s="115" t="s">
        <v>1140</v>
      </c>
      <c r="E2817" s="115" t="s">
        <v>1141</v>
      </c>
    </row>
    <row r="2818" spans="1:5" x14ac:dyDescent="0.25">
      <c r="B2818" s="115" t="s">
        <v>1139</v>
      </c>
      <c r="D2818" s="115" t="s">
        <v>1140</v>
      </c>
      <c r="E2818" s="115" t="s">
        <v>1141</v>
      </c>
    </row>
    <row r="2819" spans="1:5" x14ac:dyDescent="0.25">
      <c r="B2819" s="115" t="s">
        <v>1139</v>
      </c>
      <c r="D2819" s="115" t="s">
        <v>1140</v>
      </c>
      <c r="E2819" s="115" t="s">
        <v>1141</v>
      </c>
    </row>
    <row r="2820" spans="1:5" x14ac:dyDescent="0.25">
      <c r="B2820" s="115" t="s">
        <v>1139</v>
      </c>
      <c r="D2820" s="115" t="s">
        <v>1140</v>
      </c>
      <c r="E2820" s="115" t="s">
        <v>1141</v>
      </c>
    </row>
    <row r="2821" spans="1:5" x14ac:dyDescent="0.25">
      <c r="B2821" s="115" t="s">
        <v>1139</v>
      </c>
      <c r="D2821" s="115" t="s">
        <v>1140</v>
      </c>
      <c r="E2821" s="115" t="s">
        <v>1141</v>
      </c>
    </row>
    <row r="2822" spans="1:5" x14ac:dyDescent="0.25">
      <c r="B2822" s="115" t="s">
        <v>1139</v>
      </c>
      <c r="D2822" s="115" t="s">
        <v>1140</v>
      </c>
      <c r="E2822" s="115" t="s">
        <v>1141</v>
      </c>
    </row>
    <row r="2823" spans="1:5" x14ac:dyDescent="0.25">
      <c r="B2823" s="115" t="s">
        <v>1139</v>
      </c>
      <c r="D2823" s="115" t="s">
        <v>1140</v>
      </c>
      <c r="E2823" s="115" t="s">
        <v>1141</v>
      </c>
    </row>
    <row r="2824" spans="1:5" x14ac:dyDescent="0.25">
      <c r="B2824" s="115" t="s">
        <v>1139</v>
      </c>
      <c r="D2824" s="115" t="s">
        <v>1140</v>
      </c>
      <c r="E2824" s="115" t="s">
        <v>1141</v>
      </c>
    </row>
    <row r="2825" spans="1:5" x14ac:dyDescent="0.25">
      <c r="B2825" s="115" t="s">
        <v>1139</v>
      </c>
      <c r="D2825" s="115" t="s">
        <v>1140</v>
      </c>
      <c r="E2825" s="115" t="s">
        <v>1141</v>
      </c>
    </row>
    <row r="2826" spans="1:5" x14ac:dyDescent="0.25">
      <c r="B2826" s="115" t="s">
        <v>1139</v>
      </c>
      <c r="D2826" s="115" t="s">
        <v>1140</v>
      </c>
      <c r="E2826" s="115" t="s">
        <v>1141</v>
      </c>
    </row>
    <row r="2827" spans="1:5" x14ac:dyDescent="0.25">
      <c r="B2827" s="115" t="s">
        <v>1139</v>
      </c>
      <c r="D2827" s="115" t="s">
        <v>1140</v>
      </c>
      <c r="E2827" s="115" t="s">
        <v>1141</v>
      </c>
    </row>
    <row r="2828" spans="1:5" x14ac:dyDescent="0.25">
      <c r="B2828" s="115" t="s">
        <v>1139</v>
      </c>
      <c r="D2828" s="115" t="s">
        <v>1140</v>
      </c>
      <c r="E2828" s="115" t="s">
        <v>1141</v>
      </c>
    </row>
    <row r="2829" spans="1:5" x14ac:dyDescent="0.25">
      <c r="B2829" s="115" t="s">
        <v>1139</v>
      </c>
      <c r="D2829" s="115" t="s">
        <v>1140</v>
      </c>
      <c r="E2829" s="115" t="s">
        <v>1141</v>
      </c>
    </row>
    <row r="2830" spans="1:5" x14ac:dyDescent="0.25">
      <c r="B2830" s="115" t="s">
        <v>1139</v>
      </c>
      <c r="D2830" s="115" t="s">
        <v>1140</v>
      </c>
      <c r="E2830" s="115" t="s">
        <v>1141</v>
      </c>
    </row>
    <row r="2831" spans="1:5" x14ac:dyDescent="0.25">
      <c r="B2831" s="115" t="s">
        <v>1139</v>
      </c>
      <c r="D2831" s="115" t="s">
        <v>1140</v>
      </c>
      <c r="E2831" s="115" t="s">
        <v>1141</v>
      </c>
    </row>
    <row r="2832" spans="1:5" x14ac:dyDescent="0.25">
      <c r="B2832" s="115" t="s">
        <v>1139</v>
      </c>
      <c r="D2832" s="115" t="s">
        <v>1140</v>
      </c>
      <c r="E2832" s="115" t="s">
        <v>1141</v>
      </c>
    </row>
    <row r="2833" spans="2:5" x14ac:dyDescent="0.25">
      <c r="B2833" s="115" t="s">
        <v>1139</v>
      </c>
      <c r="D2833" s="115" t="s">
        <v>1140</v>
      </c>
      <c r="E2833" s="115" t="s">
        <v>1141</v>
      </c>
    </row>
    <row r="2834" spans="2:5" x14ac:dyDescent="0.25">
      <c r="B2834" s="115" t="s">
        <v>1139</v>
      </c>
      <c r="D2834" s="115" t="s">
        <v>1140</v>
      </c>
      <c r="E2834" s="115" t="s">
        <v>1141</v>
      </c>
    </row>
    <row r="2835" spans="2:5" x14ac:dyDescent="0.25">
      <c r="B2835" s="115" t="s">
        <v>1139</v>
      </c>
      <c r="D2835" s="115" t="s">
        <v>1140</v>
      </c>
      <c r="E2835" s="115" t="s">
        <v>1141</v>
      </c>
    </row>
    <row r="2836" spans="2:5" x14ac:dyDescent="0.25">
      <c r="B2836" s="115" t="s">
        <v>1139</v>
      </c>
      <c r="D2836" s="115" t="s">
        <v>1140</v>
      </c>
      <c r="E2836" s="115" t="s">
        <v>1141</v>
      </c>
    </row>
    <row r="2837" spans="2:5" x14ac:dyDescent="0.25">
      <c r="B2837" s="115" t="s">
        <v>1139</v>
      </c>
      <c r="D2837" s="115" t="s">
        <v>1140</v>
      </c>
      <c r="E2837" s="115" t="s">
        <v>1141</v>
      </c>
    </row>
    <row r="2838" spans="2:5" x14ac:dyDescent="0.25">
      <c r="B2838" s="115" t="s">
        <v>1139</v>
      </c>
      <c r="D2838" s="115" t="s">
        <v>1140</v>
      </c>
      <c r="E2838" s="115" t="s">
        <v>1141</v>
      </c>
    </row>
    <row r="2839" spans="2:5" x14ac:dyDescent="0.25">
      <c r="B2839" s="115" t="s">
        <v>1139</v>
      </c>
      <c r="D2839" s="115" t="s">
        <v>1140</v>
      </c>
      <c r="E2839" s="115" t="s">
        <v>1141</v>
      </c>
    </row>
    <row r="2840" spans="2:5" x14ac:dyDescent="0.25">
      <c r="B2840" s="115" t="s">
        <v>1139</v>
      </c>
      <c r="D2840" s="115" t="s">
        <v>1140</v>
      </c>
      <c r="E2840" s="115" t="s">
        <v>1141</v>
      </c>
    </row>
    <row r="2841" spans="2:5" x14ac:dyDescent="0.25">
      <c r="B2841" s="115" t="s">
        <v>1139</v>
      </c>
      <c r="D2841" s="115" t="s">
        <v>1140</v>
      </c>
      <c r="E2841" s="115" t="s">
        <v>1141</v>
      </c>
    </row>
    <row r="2842" spans="2:5" x14ac:dyDescent="0.25">
      <c r="B2842" s="115" t="s">
        <v>1139</v>
      </c>
      <c r="D2842" s="115" t="s">
        <v>1140</v>
      </c>
      <c r="E2842" s="115" t="s">
        <v>1141</v>
      </c>
    </row>
    <row r="2843" spans="2:5" x14ac:dyDescent="0.25">
      <c r="B2843" s="115" t="s">
        <v>1139</v>
      </c>
      <c r="D2843" s="115" t="s">
        <v>1140</v>
      </c>
      <c r="E2843" s="115" t="s">
        <v>1141</v>
      </c>
    </row>
    <row r="2844" spans="2:5" x14ac:dyDescent="0.25">
      <c r="B2844" s="115" t="s">
        <v>1139</v>
      </c>
      <c r="D2844" s="115" t="s">
        <v>1140</v>
      </c>
      <c r="E2844" s="115" t="s">
        <v>1141</v>
      </c>
    </row>
    <row r="2845" spans="2:5" x14ac:dyDescent="0.25">
      <c r="B2845" s="115" t="s">
        <v>1139</v>
      </c>
      <c r="D2845" s="115" t="s">
        <v>1140</v>
      </c>
      <c r="E2845" s="115" t="s">
        <v>1141</v>
      </c>
    </row>
    <row r="2846" spans="2:5" x14ac:dyDescent="0.25">
      <c r="B2846" s="115" t="s">
        <v>1139</v>
      </c>
      <c r="D2846" s="115" t="s">
        <v>1140</v>
      </c>
      <c r="E2846" s="115" t="s">
        <v>1141</v>
      </c>
    </row>
    <row r="2847" spans="2:5" x14ac:dyDescent="0.25">
      <c r="B2847" s="115" t="s">
        <v>1139</v>
      </c>
      <c r="D2847" s="115" t="s">
        <v>1140</v>
      </c>
      <c r="E2847" s="115" t="s">
        <v>1141</v>
      </c>
    </row>
    <row r="2848" spans="2:5" x14ac:dyDescent="0.25">
      <c r="B2848" s="115" t="s">
        <v>1139</v>
      </c>
      <c r="D2848" s="115" t="s">
        <v>1140</v>
      </c>
      <c r="E2848" s="115" t="s">
        <v>1141</v>
      </c>
    </row>
    <row r="2849" spans="2:5" x14ac:dyDescent="0.25">
      <c r="B2849" s="115" t="s">
        <v>1139</v>
      </c>
      <c r="D2849" s="115" t="s">
        <v>1140</v>
      </c>
      <c r="E2849" s="115" t="s">
        <v>1141</v>
      </c>
    </row>
    <row r="2850" spans="2:5" x14ac:dyDescent="0.25">
      <c r="B2850" s="115" t="s">
        <v>1139</v>
      </c>
      <c r="D2850" s="115" t="s">
        <v>1140</v>
      </c>
      <c r="E2850" s="115" t="s">
        <v>1141</v>
      </c>
    </row>
    <row r="2851" spans="2:5" x14ac:dyDescent="0.25">
      <c r="B2851" s="115" t="s">
        <v>1139</v>
      </c>
      <c r="D2851" s="115" t="s">
        <v>1140</v>
      </c>
      <c r="E2851" s="115" t="s">
        <v>1141</v>
      </c>
    </row>
    <row r="2852" spans="2:5" x14ac:dyDescent="0.25">
      <c r="B2852" s="115" t="s">
        <v>1139</v>
      </c>
      <c r="D2852" s="115" t="s">
        <v>1140</v>
      </c>
      <c r="E2852" s="115" t="s">
        <v>1141</v>
      </c>
    </row>
    <row r="2853" spans="2:5" x14ac:dyDescent="0.25">
      <c r="B2853" s="115" t="s">
        <v>1139</v>
      </c>
      <c r="D2853" s="115" t="s">
        <v>1140</v>
      </c>
      <c r="E2853" s="115" t="s">
        <v>1141</v>
      </c>
    </row>
    <row r="2854" spans="2:5" x14ac:dyDescent="0.25">
      <c r="B2854" s="115" t="s">
        <v>1139</v>
      </c>
      <c r="D2854" s="115" t="s">
        <v>1140</v>
      </c>
      <c r="E2854" s="115" t="s">
        <v>1141</v>
      </c>
    </row>
    <row r="2855" spans="2:5" x14ac:dyDescent="0.25">
      <c r="B2855" s="115" t="s">
        <v>1139</v>
      </c>
      <c r="D2855" s="115" t="s">
        <v>1140</v>
      </c>
      <c r="E2855" s="115" t="s">
        <v>1141</v>
      </c>
    </row>
    <row r="2856" spans="2:5" x14ac:dyDescent="0.25">
      <c r="B2856" s="115" t="s">
        <v>1139</v>
      </c>
      <c r="D2856" s="115" t="s">
        <v>1140</v>
      </c>
      <c r="E2856" s="115" t="s">
        <v>1141</v>
      </c>
    </row>
    <row r="2857" spans="2:5" x14ac:dyDescent="0.25">
      <c r="B2857" s="115" t="s">
        <v>1139</v>
      </c>
      <c r="D2857" s="115" t="s">
        <v>1140</v>
      </c>
      <c r="E2857" s="115" t="s">
        <v>1141</v>
      </c>
    </row>
    <row r="2858" spans="2:5" x14ac:dyDescent="0.25">
      <c r="B2858" s="115" t="s">
        <v>1139</v>
      </c>
      <c r="D2858" s="115" t="s">
        <v>1140</v>
      </c>
      <c r="E2858" s="115" t="s">
        <v>1141</v>
      </c>
    </row>
    <row r="2859" spans="2:5" x14ac:dyDescent="0.25">
      <c r="B2859" s="115" t="s">
        <v>1139</v>
      </c>
      <c r="D2859" s="115" t="s">
        <v>1140</v>
      </c>
      <c r="E2859" s="115" t="s">
        <v>1141</v>
      </c>
    </row>
    <row r="2860" spans="2:5" x14ac:dyDescent="0.25">
      <c r="B2860" s="115" t="s">
        <v>1139</v>
      </c>
      <c r="D2860" s="115" t="s">
        <v>1140</v>
      </c>
      <c r="E2860" s="115" t="s">
        <v>1141</v>
      </c>
    </row>
    <row r="2861" spans="2:5" x14ac:dyDescent="0.25">
      <c r="B2861" s="115" t="s">
        <v>1139</v>
      </c>
      <c r="D2861" s="115" t="s">
        <v>1140</v>
      </c>
      <c r="E2861" s="115" t="s">
        <v>4589</v>
      </c>
    </row>
    <row r="2862" spans="2:5" x14ac:dyDescent="0.25">
      <c r="B2862" s="115" t="s">
        <v>1139</v>
      </c>
      <c r="D2862" s="115" t="s">
        <v>4590</v>
      </c>
      <c r="E2862" s="115" t="s">
        <v>4591</v>
      </c>
    </row>
    <row r="2863" spans="2:5" x14ac:dyDescent="0.25">
      <c r="B2863" s="115" t="s">
        <v>1139</v>
      </c>
      <c r="D2863" s="115" t="s">
        <v>1140</v>
      </c>
      <c r="E2863" s="115" t="s">
        <v>4592</v>
      </c>
    </row>
    <row r="2864" spans="2:5" x14ac:dyDescent="0.25">
      <c r="B2864" s="115" t="s">
        <v>1139</v>
      </c>
      <c r="D2864" s="115" t="s">
        <v>4593</v>
      </c>
      <c r="E2864" s="115" t="s">
        <v>4594</v>
      </c>
    </row>
    <row r="2865" spans="1:5" x14ac:dyDescent="0.25">
      <c r="B2865" s="115" t="s">
        <v>1299</v>
      </c>
      <c r="D2865" s="115" t="s">
        <v>2893</v>
      </c>
      <c r="E2865" s="115" t="s">
        <v>1819</v>
      </c>
    </row>
    <row r="2866" spans="1:5" x14ac:dyDescent="0.25">
      <c r="B2866" s="115" t="s">
        <v>1438</v>
      </c>
      <c r="D2866" s="115" t="s">
        <v>1140</v>
      </c>
      <c r="E2866" s="115" t="s">
        <v>4595</v>
      </c>
    </row>
    <row r="2867" spans="1:5" x14ac:dyDescent="0.25">
      <c r="B2867" s="115" t="s">
        <v>1213</v>
      </c>
      <c r="D2867" s="115" t="s">
        <v>1324</v>
      </c>
      <c r="E2867" s="115" t="s">
        <v>4596</v>
      </c>
    </row>
    <row r="2868" spans="1:5" x14ac:dyDescent="0.25">
      <c r="B2868" s="115" t="s">
        <v>1139</v>
      </c>
      <c r="D2868" s="115" t="s">
        <v>4597</v>
      </c>
      <c r="E2868" s="115" t="s">
        <v>4598</v>
      </c>
    </row>
    <row r="2869" spans="1:5" x14ac:dyDescent="0.25">
      <c r="B2869" s="115" t="s">
        <v>4599</v>
      </c>
      <c r="D2869" s="115" t="s">
        <v>1140</v>
      </c>
      <c r="E2869" s="115" t="s">
        <v>4600</v>
      </c>
    </row>
    <row r="2870" spans="1:5" x14ac:dyDescent="0.25">
      <c r="B2870" s="115" t="s">
        <v>4601</v>
      </c>
      <c r="D2870" s="115" t="s">
        <v>4602</v>
      </c>
      <c r="E2870" s="115" t="s">
        <v>4603</v>
      </c>
    </row>
    <row r="2871" spans="1:5" x14ac:dyDescent="0.25">
      <c r="B2871" s="115">
        <f>-63   -545</f>
        <v>-608</v>
      </c>
      <c r="D2871" s="115" t="s">
        <v>4604</v>
      </c>
      <c r="E2871" s="115" t="s">
        <v>4605</v>
      </c>
    </row>
    <row r="2872" spans="1:5" x14ac:dyDescent="0.25">
      <c r="B2872" s="115" t="s">
        <v>4606</v>
      </c>
      <c r="D2872" s="115" t="s">
        <v>1140</v>
      </c>
      <c r="E2872" s="115" t="s">
        <v>4607</v>
      </c>
    </row>
    <row r="2873" spans="1:5" x14ac:dyDescent="0.25">
      <c r="B2873" s="115" t="s">
        <v>4608</v>
      </c>
      <c r="C2873" s="115" t="s">
        <v>1138</v>
      </c>
      <c r="D2873" s="115" t="s">
        <v>4609</v>
      </c>
      <c r="E2873" s="115" t="s">
        <v>4610</v>
      </c>
    </row>
    <row r="2874" spans="1:5" x14ac:dyDescent="0.25">
      <c r="B2874" s="115" t="s">
        <v>4611</v>
      </c>
      <c r="D2874" s="115" t="s">
        <v>4612</v>
      </c>
      <c r="E2874" s="115" t="s">
        <v>4613</v>
      </c>
    </row>
    <row r="2875" spans="1:5" x14ac:dyDescent="0.25">
      <c r="B2875" s="115" t="s">
        <v>4614</v>
      </c>
      <c r="D2875" s="115" t="s">
        <v>1140</v>
      </c>
      <c r="E2875" s="115" t="s">
        <v>4615</v>
      </c>
    </row>
    <row r="2876" spans="1:5" x14ac:dyDescent="0.25">
      <c r="B2876" s="115" t="s">
        <v>4616</v>
      </c>
      <c r="D2876" s="115" t="s">
        <v>2384</v>
      </c>
      <c r="E2876" s="115" t="s">
        <v>4617</v>
      </c>
    </row>
    <row r="2877" spans="1:5" x14ac:dyDescent="0.25">
      <c r="B2877" s="115" t="s">
        <v>4618</v>
      </c>
      <c r="D2877" s="115" t="s">
        <v>4619</v>
      </c>
      <c r="E2877" s="115" t="s">
        <v>4620</v>
      </c>
    </row>
    <row r="2878" spans="1:5" x14ac:dyDescent="0.25">
      <c r="B2878" s="115" t="s">
        <v>1139</v>
      </c>
      <c r="D2878" s="115" t="s">
        <v>1140</v>
      </c>
      <c r="E2878" s="115" t="s">
        <v>4621</v>
      </c>
    </row>
    <row r="2879" spans="1:5" x14ac:dyDescent="0.25">
      <c r="A2879" s="115" t="s">
        <v>1138</v>
      </c>
      <c r="B2879" s="115" t="s">
        <v>1505</v>
      </c>
      <c r="D2879" s="115" t="s">
        <v>1140</v>
      </c>
      <c r="E2879" s="115" t="s">
        <v>4622</v>
      </c>
    </row>
    <row r="2880" spans="1:5" x14ac:dyDescent="0.25">
      <c r="B2880" s="115">
        <f>-14   -218</f>
        <v>-232</v>
      </c>
      <c r="D2880" s="115" t="s">
        <v>4623</v>
      </c>
      <c r="E2880" s="115" t="s">
        <v>4624</v>
      </c>
    </row>
    <row r="2881" spans="1:5" x14ac:dyDescent="0.25">
      <c r="B2881" s="115" t="s">
        <v>4625</v>
      </c>
      <c r="D2881" s="115" t="s">
        <v>1140</v>
      </c>
      <c r="E2881" s="115" t="s">
        <v>4626</v>
      </c>
    </row>
    <row r="2882" spans="1:5" x14ac:dyDescent="0.25">
      <c r="A2882" s="115">
        <v>6</v>
      </c>
      <c r="B2882" s="115" t="s">
        <v>4627</v>
      </c>
      <c r="D2882" s="115" t="s">
        <v>4628</v>
      </c>
      <c r="E2882" s="115" t="s">
        <v>1141</v>
      </c>
    </row>
    <row r="2883" spans="1:5" x14ac:dyDescent="0.25">
      <c r="B2883" s="115" t="s">
        <v>1139</v>
      </c>
      <c r="D2883" s="115" t="s">
        <v>4629</v>
      </c>
      <c r="E2883" s="115" t="s">
        <v>4630</v>
      </c>
    </row>
    <row r="2884" spans="1:5" x14ac:dyDescent="0.25">
      <c r="B2884" s="115" t="s">
        <v>1139</v>
      </c>
      <c r="D2884" s="115" t="s">
        <v>1140</v>
      </c>
      <c r="E2884" s="115" t="s">
        <v>1141</v>
      </c>
    </row>
    <row r="2885" spans="1:5" x14ac:dyDescent="0.25">
      <c r="B2885" s="115" t="s">
        <v>1139</v>
      </c>
      <c r="D2885" s="115" t="s">
        <v>1140</v>
      </c>
      <c r="E2885" s="115" t="s">
        <v>1141</v>
      </c>
    </row>
    <row r="2886" spans="1:5" x14ac:dyDescent="0.25">
      <c r="B2886" s="115" t="s">
        <v>1139</v>
      </c>
      <c r="D2886" s="115" t="s">
        <v>1140</v>
      </c>
      <c r="E2886" s="115" t="s">
        <v>1141</v>
      </c>
    </row>
    <row r="2887" spans="1:5" x14ac:dyDescent="0.25">
      <c r="B2887" s="115" t="s">
        <v>1139</v>
      </c>
      <c r="D2887" s="115" t="s">
        <v>1140</v>
      </c>
      <c r="E2887" s="115" t="s">
        <v>1141</v>
      </c>
    </row>
    <row r="2888" spans="1:5" x14ac:dyDescent="0.25">
      <c r="B2888" s="115" t="s">
        <v>1139</v>
      </c>
      <c r="D2888" s="115" t="s">
        <v>1140</v>
      </c>
      <c r="E2888" s="115" t="s">
        <v>1141</v>
      </c>
    </row>
    <row r="2889" spans="1:5" x14ac:dyDescent="0.25">
      <c r="B2889" s="115" t="s">
        <v>1139</v>
      </c>
      <c r="D2889" s="115" t="s">
        <v>1140</v>
      </c>
      <c r="E2889" s="115" t="s">
        <v>1141</v>
      </c>
    </row>
    <row r="2890" spans="1:5" x14ac:dyDescent="0.25">
      <c r="B2890" s="115" t="s">
        <v>1139</v>
      </c>
      <c r="D2890" s="115" t="s">
        <v>1140</v>
      </c>
      <c r="E2890" s="115" t="s">
        <v>1141</v>
      </c>
    </row>
    <row r="2891" spans="1:5" x14ac:dyDescent="0.25">
      <c r="B2891" s="115" t="s">
        <v>1139</v>
      </c>
      <c r="D2891" s="115" t="s">
        <v>1140</v>
      </c>
      <c r="E2891" s="115" t="s">
        <v>1141</v>
      </c>
    </row>
    <row r="2892" spans="1:5" x14ac:dyDescent="0.25">
      <c r="B2892" s="115" t="s">
        <v>1139</v>
      </c>
      <c r="D2892" s="115" t="s">
        <v>1140</v>
      </c>
      <c r="E2892" s="115" t="s">
        <v>1141</v>
      </c>
    </row>
    <row r="2893" spans="1:5" x14ac:dyDescent="0.25">
      <c r="B2893" s="115" t="s">
        <v>1139</v>
      </c>
      <c r="D2893" s="115" t="s">
        <v>1140</v>
      </c>
      <c r="E2893" s="115" t="s">
        <v>1141</v>
      </c>
    </row>
    <row r="2894" spans="1:5" x14ac:dyDescent="0.25">
      <c r="B2894" s="115" t="s">
        <v>1139</v>
      </c>
      <c r="D2894" s="115" t="s">
        <v>1140</v>
      </c>
      <c r="E2894" s="115" t="s">
        <v>1141</v>
      </c>
    </row>
    <row r="2895" spans="1:5" x14ac:dyDescent="0.25">
      <c r="B2895" s="115" t="s">
        <v>1139</v>
      </c>
      <c r="D2895" s="115" t="s">
        <v>1140</v>
      </c>
      <c r="E2895" s="115" t="s">
        <v>1141</v>
      </c>
    </row>
    <row r="2896" spans="1:5" x14ac:dyDescent="0.25">
      <c r="B2896" s="115" t="s">
        <v>1139</v>
      </c>
      <c r="D2896" s="115" t="s">
        <v>1140</v>
      </c>
      <c r="E2896" s="115" t="s">
        <v>1141</v>
      </c>
    </row>
    <row r="2897" spans="1:5" x14ac:dyDescent="0.25">
      <c r="B2897" s="115" t="s">
        <v>1139</v>
      </c>
      <c r="D2897" s="115" t="s">
        <v>1140</v>
      </c>
      <c r="E2897" s="115" t="s">
        <v>1141</v>
      </c>
    </row>
    <row r="2898" spans="1:5" x14ac:dyDescent="0.25">
      <c r="B2898" s="115" t="s">
        <v>1139</v>
      </c>
      <c r="D2898" s="115" t="s">
        <v>1140</v>
      </c>
      <c r="E2898" s="115" t="s">
        <v>1141</v>
      </c>
    </row>
    <row r="2899" spans="1:5" x14ac:dyDescent="0.25">
      <c r="B2899" s="115" t="s">
        <v>1139</v>
      </c>
      <c r="D2899" s="115" t="s">
        <v>1140</v>
      </c>
      <c r="E2899" s="115" t="s">
        <v>1141</v>
      </c>
    </row>
    <row r="2900" spans="1:5" x14ac:dyDescent="0.25">
      <c r="B2900" s="115" t="s">
        <v>1139</v>
      </c>
      <c r="D2900" s="115" t="s">
        <v>1140</v>
      </c>
      <c r="E2900" s="115" t="s">
        <v>1141</v>
      </c>
    </row>
    <row r="2901" spans="1:5" x14ac:dyDescent="0.25">
      <c r="B2901" s="115" t="s">
        <v>1139</v>
      </c>
      <c r="D2901" s="115" t="s">
        <v>1140</v>
      </c>
      <c r="E2901" s="115" t="s">
        <v>1141</v>
      </c>
    </row>
    <row r="2902" spans="1:5" x14ac:dyDescent="0.25">
      <c r="B2902" s="115" t="s">
        <v>1139</v>
      </c>
      <c r="D2902" s="115" t="s">
        <v>1140</v>
      </c>
      <c r="E2902" s="115" t="s">
        <v>1141</v>
      </c>
    </row>
    <row r="2903" spans="1:5" x14ac:dyDescent="0.25">
      <c r="B2903" s="115" t="s">
        <v>1139</v>
      </c>
      <c r="D2903" s="115" t="s">
        <v>1140</v>
      </c>
      <c r="E2903" s="115" t="s">
        <v>1141</v>
      </c>
    </row>
    <row r="2904" spans="1:5" x14ac:dyDescent="0.25">
      <c r="B2904" s="115" t="s">
        <v>1139</v>
      </c>
      <c r="D2904" s="115" t="s">
        <v>1140</v>
      </c>
      <c r="E2904" s="115" t="s">
        <v>1141</v>
      </c>
    </row>
    <row r="2905" spans="1:5" x14ac:dyDescent="0.25">
      <c r="B2905" s="115" t="s">
        <v>1139</v>
      </c>
      <c r="D2905" s="115" t="s">
        <v>1140</v>
      </c>
      <c r="E2905" s="115" t="s">
        <v>1141</v>
      </c>
    </row>
    <row r="2906" spans="1:5" x14ac:dyDescent="0.25">
      <c r="B2906" s="115" t="s">
        <v>1139</v>
      </c>
      <c r="D2906" s="115" t="s">
        <v>4631</v>
      </c>
      <c r="E2906" s="115" t="s">
        <v>4632</v>
      </c>
    </row>
    <row r="2907" spans="1:5" x14ac:dyDescent="0.25">
      <c r="B2907" s="115" t="s">
        <v>4633</v>
      </c>
      <c r="D2907" s="115" t="s">
        <v>4634</v>
      </c>
      <c r="E2907" s="115" t="s">
        <v>4635</v>
      </c>
    </row>
    <row r="2908" spans="1:5" x14ac:dyDescent="0.25">
      <c r="B2908" s="115" t="s">
        <v>1139</v>
      </c>
      <c r="D2908" s="115" t="s">
        <v>1140</v>
      </c>
      <c r="E2908" s="115" t="s">
        <v>4636</v>
      </c>
    </row>
    <row r="2909" spans="1:5" x14ac:dyDescent="0.25">
      <c r="B2909" s="115" t="s">
        <v>1598</v>
      </c>
      <c r="D2909" s="115" t="s">
        <v>4637</v>
      </c>
      <c r="E2909" s="115" t="s">
        <v>2321</v>
      </c>
    </row>
    <row r="2910" spans="1:5" x14ac:dyDescent="0.25">
      <c r="A2910" s="115">
        <v>4</v>
      </c>
      <c r="B2910" s="115" t="s">
        <v>4638</v>
      </c>
      <c r="D2910" s="115" t="s">
        <v>4639</v>
      </c>
      <c r="E2910" s="115" t="s">
        <v>1141</v>
      </c>
    </row>
    <row r="2911" spans="1:5" x14ac:dyDescent="0.25">
      <c r="B2911" s="115" t="s">
        <v>1201</v>
      </c>
      <c r="D2911" s="115" t="s">
        <v>1140</v>
      </c>
      <c r="E2911" s="115" t="s">
        <v>4640</v>
      </c>
    </row>
    <row r="2912" spans="1:5" x14ac:dyDescent="0.25">
      <c r="B2912" s="115" t="s">
        <v>4641</v>
      </c>
      <c r="D2912" s="115" t="s">
        <v>1140</v>
      </c>
      <c r="E2912" s="115" t="s">
        <v>4642</v>
      </c>
    </row>
    <row r="2913" spans="1:5" x14ac:dyDescent="0.25">
      <c r="B2913" s="115" t="s">
        <v>4643</v>
      </c>
      <c r="D2913" s="115" t="s">
        <v>4644</v>
      </c>
      <c r="E2913" s="115" t="s">
        <v>4645</v>
      </c>
    </row>
    <row r="2914" spans="1:5" x14ac:dyDescent="0.25">
      <c r="B2914" s="115" t="s">
        <v>1316</v>
      </c>
      <c r="D2914" s="115" t="s">
        <v>4646</v>
      </c>
      <c r="E2914" s="115" t="s">
        <v>4647</v>
      </c>
    </row>
    <row r="2915" spans="1:5" x14ac:dyDescent="0.25">
      <c r="A2915" s="115" t="s">
        <v>1138</v>
      </c>
      <c r="B2915" s="115" t="s">
        <v>4648</v>
      </c>
      <c r="C2915" s="115" t="s">
        <v>1138</v>
      </c>
      <c r="D2915" s="115" t="s">
        <v>4649</v>
      </c>
      <c r="E2915" s="115" t="s">
        <v>4650</v>
      </c>
    </row>
    <row r="2916" spans="1:5" x14ac:dyDescent="0.25">
      <c r="A2916" s="115">
        <v>5</v>
      </c>
      <c r="B2916" s="115" t="s">
        <v>4651</v>
      </c>
      <c r="D2916" s="115" t="s">
        <v>4652</v>
      </c>
      <c r="E2916" s="115" t="s">
        <v>4653</v>
      </c>
    </row>
    <row r="2917" spans="1:5" x14ac:dyDescent="0.25">
      <c r="B2917" s="115" t="s">
        <v>1459</v>
      </c>
      <c r="D2917" s="115" t="s">
        <v>4654</v>
      </c>
      <c r="E2917" s="115" t="s">
        <v>4655</v>
      </c>
    </row>
    <row r="2918" spans="1:5" x14ac:dyDescent="0.25">
      <c r="A2918" s="115" t="s">
        <v>1138</v>
      </c>
      <c r="B2918" s="115" t="s">
        <v>4656</v>
      </c>
      <c r="C2918" s="115" t="s">
        <v>1138</v>
      </c>
      <c r="D2918" s="115" t="s">
        <v>4657</v>
      </c>
      <c r="E2918" s="115" t="s">
        <v>4658</v>
      </c>
    </row>
    <row r="2919" spans="1:5" x14ac:dyDescent="0.25">
      <c r="A2919" s="115">
        <v>6</v>
      </c>
      <c r="B2919" s="115" t="s">
        <v>4659</v>
      </c>
      <c r="D2919" s="115" t="s">
        <v>4660</v>
      </c>
      <c r="E2919" s="115" t="s">
        <v>4661</v>
      </c>
    </row>
    <row r="2920" spans="1:5" x14ac:dyDescent="0.25">
      <c r="B2920" s="115" t="s">
        <v>4662</v>
      </c>
      <c r="D2920" s="115" t="s">
        <v>4663</v>
      </c>
      <c r="E2920" s="115" t="s">
        <v>4664</v>
      </c>
    </row>
    <row r="2921" spans="1:5" x14ac:dyDescent="0.25">
      <c r="B2921" s="115" t="s">
        <v>1451</v>
      </c>
      <c r="D2921" s="115" t="s">
        <v>4665</v>
      </c>
      <c r="E2921" s="115" t="s">
        <v>4666</v>
      </c>
    </row>
    <row r="2922" spans="1:5" x14ac:dyDescent="0.25">
      <c r="A2922" s="115">
        <v>5</v>
      </c>
      <c r="B2922" s="115" t="s">
        <v>4667</v>
      </c>
      <c r="D2922" s="115" t="s">
        <v>4668</v>
      </c>
      <c r="E2922" s="115" t="s">
        <v>4669</v>
      </c>
    </row>
    <row r="2923" spans="1:5" x14ac:dyDescent="0.25">
      <c r="B2923" s="115" t="s">
        <v>1139</v>
      </c>
      <c r="D2923" s="115" t="s">
        <v>4670</v>
      </c>
      <c r="E2923" s="115" t="s">
        <v>4671</v>
      </c>
    </row>
    <row r="2924" spans="1:5" x14ac:dyDescent="0.25">
      <c r="B2924" s="115" t="s">
        <v>1139</v>
      </c>
      <c r="D2924" s="115" t="s">
        <v>4672</v>
      </c>
      <c r="E2924" s="115" t="s">
        <v>4673</v>
      </c>
    </row>
    <row r="2925" spans="1:5" x14ac:dyDescent="0.25">
      <c r="A2925" s="115">
        <v>5</v>
      </c>
      <c r="B2925" s="115" t="s">
        <v>4674</v>
      </c>
      <c r="D2925" s="115" t="s">
        <v>4675</v>
      </c>
      <c r="E2925" s="115" t="s">
        <v>4676</v>
      </c>
    </row>
    <row r="2926" spans="1:5" x14ac:dyDescent="0.25">
      <c r="B2926" s="115" t="s">
        <v>4677</v>
      </c>
      <c r="D2926" s="115" t="s">
        <v>4678</v>
      </c>
      <c r="E2926" s="115" t="s">
        <v>4679</v>
      </c>
    </row>
    <row r="2927" spans="1:5" x14ac:dyDescent="0.25">
      <c r="A2927" s="115">
        <v>7</v>
      </c>
      <c r="B2927" s="115" t="s">
        <v>4680</v>
      </c>
      <c r="D2927" s="115" t="s">
        <v>4681</v>
      </c>
      <c r="E2927" s="115" t="s">
        <v>1141</v>
      </c>
    </row>
    <row r="2928" spans="1:5" x14ac:dyDescent="0.25">
      <c r="B2928" s="115" t="s">
        <v>4682</v>
      </c>
      <c r="D2928" s="115" t="s">
        <v>4683</v>
      </c>
      <c r="E2928" s="115" t="s">
        <v>4684</v>
      </c>
    </row>
    <row r="2929" spans="1:5" x14ac:dyDescent="0.25">
      <c r="B2929" s="115" t="s">
        <v>4685</v>
      </c>
      <c r="D2929" s="115" t="s">
        <v>4686</v>
      </c>
      <c r="E2929" s="115" t="s">
        <v>4687</v>
      </c>
    </row>
    <row r="2930" spans="1:5" x14ac:dyDescent="0.25">
      <c r="B2930" s="115" t="s">
        <v>1139</v>
      </c>
      <c r="D2930" s="115" t="s">
        <v>4688</v>
      </c>
      <c r="E2930" s="115" t="s">
        <v>1141</v>
      </c>
    </row>
    <row r="2931" spans="1:5" x14ac:dyDescent="0.25">
      <c r="B2931" s="115" t="s">
        <v>1139</v>
      </c>
      <c r="D2931" s="115" t="s">
        <v>4689</v>
      </c>
      <c r="E2931" s="115" t="s">
        <v>4690</v>
      </c>
    </row>
    <row r="2932" spans="1:5" x14ac:dyDescent="0.25">
      <c r="A2932" s="115">
        <v>1</v>
      </c>
      <c r="B2932" s="115" t="s">
        <v>4691</v>
      </c>
      <c r="D2932" s="115" t="s">
        <v>4692</v>
      </c>
      <c r="E2932" s="115" t="s">
        <v>4693</v>
      </c>
    </row>
    <row r="2933" spans="1:5" x14ac:dyDescent="0.25">
      <c r="B2933" s="115" t="s">
        <v>1317</v>
      </c>
      <c r="D2933" s="115" t="s">
        <v>1140</v>
      </c>
      <c r="E2933" s="115" t="s">
        <v>4694</v>
      </c>
    </row>
    <row r="2934" spans="1:5" x14ac:dyDescent="0.25">
      <c r="B2934" s="115" t="s">
        <v>1139</v>
      </c>
      <c r="D2934" s="115" t="s">
        <v>4695</v>
      </c>
      <c r="E2934" s="115" t="s">
        <v>4696</v>
      </c>
    </row>
    <row r="2935" spans="1:5" x14ac:dyDescent="0.25">
      <c r="B2935" s="115" t="s">
        <v>1139</v>
      </c>
      <c r="D2935" s="115" t="s">
        <v>4697</v>
      </c>
      <c r="E2935" s="115" t="s">
        <v>4698</v>
      </c>
    </row>
    <row r="2936" spans="1:5" x14ac:dyDescent="0.25">
      <c r="B2936" s="115" t="s">
        <v>4699</v>
      </c>
      <c r="D2936" s="115" t="s">
        <v>4700</v>
      </c>
      <c r="E2936" s="115" t="s">
        <v>4701</v>
      </c>
    </row>
    <row r="2937" spans="1:5" x14ac:dyDescent="0.25">
      <c r="B2937" s="115" t="s">
        <v>3491</v>
      </c>
      <c r="C2937" s="115">
        <v>-1</v>
      </c>
      <c r="D2937" s="115" t="s">
        <v>4702</v>
      </c>
      <c r="E2937" s="115" t="s">
        <v>4703</v>
      </c>
    </row>
    <row r="2938" spans="1:5" x14ac:dyDescent="0.25">
      <c r="A2938" s="115">
        <v>1</v>
      </c>
      <c r="B2938" s="115" t="s">
        <v>4704</v>
      </c>
      <c r="D2938" s="115" t="s">
        <v>4705</v>
      </c>
      <c r="E2938" s="115" t="s">
        <v>4706</v>
      </c>
    </row>
    <row r="2939" spans="1:5" x14ac:dyDescent="0.25">
      <c r="B2939" s="115" t="s">
        <v>4707</v>
      </c>
      <c r="D2939" s="115" t="s">
        <v>4708</v>
      </c>
      <c r="E2939" s="115" t="s">
        <v>4709</v>
      </c>
    </row>
    <row r="2940" spans="1:5" x14ac:dyDescent="0.25">
      <c r="B2940" s="115" t="s">
        <v>4710</v>
      </c>
      <c r="C2940" s="115">
        <v>-2</v>
      </c>
      <c r="D2940" s="115" t="s">
        <v>4711</v>
      </c>
      <c r="E2940" s="115" t="s">
        <v>4712</v>
      </c>
    </row>
    <row r="2941" spans="1:5" x14ac:dyDescent="0.25">
      <c r="A2941" s="115">
        <v>1</v>
      </c>
      <c r="B2941" s="115" t="s">
        <v>4713</v>
      </c>
      <c r="D2941" s="115" t="s">
        <v>4714</v>
      </c>
      <c r="E2941" s="115" t="s">
        <v>4715</v>
      </c>
    </row>
    <row r="2942" spans="1:5" x14ac:dyDescent="0.25">
      <c r="B2942" s="115" t="s">
        <v>1139</v>
      </c>
      <c r="D2942" s="115" t="s">
        <v>4716</v>
      </c>
      <c r="E2942" s="115" t="s">
        <v>4717</v>
      </c>
    </row>
    <row r="2943" spans="1:5" x14ac:dyDescent="0.25">
      <c r="B2943" s="115" t="s">
        <v>1313</v>
      </c>
      <c r="C2943" s="115">
        <v>-2</v>
      </c>
      <c r="D2943" s="115" t="s">
        <v>4718</v>
      </c>
      <c r="E2943" s="115" t="s">
        <v>4719</v>
      </c>
    </row>
    <row r="2944" spans="1:5" x14ac:dyDescent="0.25">
      <c r="B2944" s="115" t="s">
        <v>4720</v>
      </c>
      <c r="D2944" s="115" t="s">
        <v>4721</v>
      </c>
      <c r="E2944" s="115" t="s">
        <v>4722</v>
      </c>
    </row>
    <row r="2945" spans="1:5" x14ac:dyDescent="0.25">
      <c r="B2945" s="115" t="s">
        <v>4723</v>
      </c>
      <c r="D2945" s="115" t="s">
        <v>4724</v>
      </c>
      <c r="E2945" s="115" t="s">
        <v>1141</v>
      </c>
    </row>
    <row r="2946" spans="1:5" x14ac:dyDescent="0.25">
      <c r="B2946" s="115" t="s">
        <v>4725</v>
      </c>
      <c r="C2946" s="115">
        <v>-1</v>
      </c>
      <c r="D2946" s="115" t="s">
        <v>4726</v>
      </c>
      <c r="E2946" s="115" t="s">
        <v>2082</v>
      </c>
    </row>
    <row r="2947" spans="1:5" x14ac:dyDescent="0.25">
      <c r="B2947" s="115" t="s">
        <v>4727</v>
      </c>
      <c r="C2947" s="115" t="s">
        <v>1138</v>
      </c>
      <c r="D2947" s="115" t="s">
        <v>4728</v>
      </c>
      <c r="E2947" s="115" t="s">
        <v>4729</v>
      </c>
    </row>
    <row r="2948" spans="1:5" x14ac:dyDescent="0.25">
      <c r="B2948" s="115" t="s">
        <v>4730</v>
      </c>
      <c r="D2948" s="115" t="s">
        <v>4731</v>
      </c>
      <c r="E2948" s="115" t="s">
        <v>4732</v>
      </c>
    </row>
    <row r="2949" spans="1:5" x14ac:dyDescent="0.25">
      <c r="B2949" s="115" t="s">
        <v>4733</v>
      </c>
      <c r="C2949" s="115">
        <v>-2</v>
      </c>
      <c r="D2949" s="115" t="s">
        <v>4734</v>
      </c>
      <c r="E2949" s="115" t="s">
        <v>4735</v>
      </c>
    </row>
    <row r="2950" spans="1:5" x14ac:dyDescent="0.25">
      <c r="B2950" s="115" t="s">
        <v>1139</v>
      </c>
      <c r="D2950" s="115" t="s">
        <v>1140</v>
      </c>
      <c r="E2950" s="115" t="s">
        <v>4736</v>
      </c>
    </row>
    <row r="2951" spans="1:5" x14ac:dyDescent="0.25">
      <c r="A2951" s="115">
        <v>-6</v>
      </c>
      <c r="B2951" s="115" t="s">
        <v>4737</v>
      </c>
      <c r="D2951" s="115" t="s">
        <v>4738</v>
      </c>
      <c r="E2951" s="115" t="s">
        <v>4739</v>
      </c>
    </row>
    <row r="2952" spans="1:5" x14ac:dyDescent="0.25">
      <c r="B2952" s="115" t="s">
        <v>1139</v>
      </c>
      <c r="D2952" s="115" t="s">
        <v>1140</v>
      </c>
      <c r="E2952" s="115" t="s">
        <v>1141</v>
      </c>
    </row>
    <row r="2953" spans="1:5" x14ac:dyDescent="0.25">
      <c r="B2953" s="115" t="s">
        <v>1139</v>
      </c>
      <c r="D2953" s="115" t="s">
        <v>1140</v>
      </c>
      <c r="E2953" s="115" t="s">
        <v>1141</v>
      </c>
    </row>
    <row r="2954" spans="1:5" x14ac:dyDescent="0.25">
      <c r="B2954" s="115" t="s">
        <v>1139</v>
      </c>
      <c r="D2954" s="115" t="s">
        <v>1140</v>
      </c>
      <c r="E2954" s="115" t="s">
        <v>1141</v>
      </c>
    </row>
    <row r="2955" spans="1:5" x14ac:dyDescent="0.25">
      <c r="B2955" s="115" t="s">
        <v>1139</v>
      </c>
      <c r="D2955" s="115" t="s">
        <v>1140</v>
      </c>
      <c r="E2955" s="115" t="s">
        <v>1141</v>
      </c>
    </row>
    <row r="2956" spans="1:5" x14ac:dyDescent="0.25">
      <c r="B2956" s="115" t="s">
        <v>1139</v>
      </c>
      <c r="D2956" s="115" t="s">
        <v>1140</v>
      </c>
      <c r="E2956" s="115" t="s">
        <v>1141</v>
      </c>
    </row>
    <row r="2957" spans="1:5" x14ac:dyDescent="0.25">
      <c r="B2957" s="115" t="s">
        <v>1139</v>
      </c>
      <c r="D2957" s="115" t="s">
        <v>1140</v>
      </c>
      <c r="E2957" s="115" t="s">
        <v>1141</v>
      </c>
    </row>
    <row r="2958" spans="1:5" x14ac:dyDescent="0.25">
      <c r="B2958" s="115" t="s">
        <v>1139</v>
      </c>
      <c r="D2958" s="115" t="s">
        <v>1140</v>
      </c>
      <c r="E2958" s="115" t="s">
        <v>1141</v>
      </c>
    </row>
    <row r="2959" spans="1:5" x14ac:dyDescent="0.25">
      <c r="B2959" s="115" t="s">
        <v>1139</v>
      </c>
      <c r="D2959" s="115" t="s">
        <v>1140</v>
      </c>
      <c r="E2959" s="115" t="s">
        <v>1141</v>
      </c>
    </row>
    <row r="2960" spans="1:5" x14ac:dyDescent="0.25">
      <c r="B2960" s="115" t="s">
        <v>1139</v>
      </c>
      <c r="D2960" s="115" t="s">
        <v>1140</v>
      </c>
      <c r="E2960" s="115" t="s">
        <v>1141</v>
      </c>
    </row>
    <row r="2961" spans="2:5" x14ac:dyDescent="0.25">
      <c r="B2961" s="115" t="s">
        <v>1139</v>
      </c>
      <c r="D2961" s="160" t="s">
        <v>1140</v>
      </c>
      <c r="E2961" s="115" t="s">
        <v>1141</v>
      </c>
    </row>
    <row r="2962" spans="2:5" x14ac:dyDescent="0.25">
      <c r="B2962" s="115" t="s">
        <v>1139</v>
      </c>
      <c r="D2962" s="115" t="s">
        <v>1140</v>
      </c>
      <c r="E2962" s="115" t="s">
        <v>1141</v>
      </c>
    </row>
    <row r="2963" spans="2:5" x14ac:dyDescent="0.25">
      <c r="B2963" s="115" t="s">
        <v>1139</v>
      </c>
      <c r="D2963" s="115" t="s">
        <v>1140</v>
      </c>
      <c r="E2963" s="115" t="s">
        <v>1141</v>
      </c>
    </row>
    <row r="2964" spans="2:5" x14ac:dyDescent="0.25">
      <c r="B2964" s="115" t="s">
        <v>1139</v>
      </c>
      <c r="D2964" s="115" t="s">
        <v>1140</v>
      </c>
      <c r="E2964" s="115" t="s">
        <v>1141</v>
      </c>
    </row>
    <row r="2965" spans="2:5" x14ac:dyDescent="0.25">
      <c r="B2965" s="115" t="s">
        <v>1139</v>
      </c>
      <c r="D2965" s="115" t="s">
        <v>1140</v>
      </c>
      <c r="E2965" s="115" t="s">
        <v>1141</v>
      </c>
    </row>
    <row r="2966" spans="2:5" x14ac:dyDescent="0.25">
      <c r="B2966" s="115" t="s">
        <v>1139</v>
      </c>
      <c r="D2966" s="115" t="s">
        <v>1140</v>
      </c>
      <c r="E2966" s="115" t="s">
        <v>1141</v>
      </c>
    </row>
    <row r="2967" spans="2:5" x14ac:dyDescent="0.25">
      <c r="B2967" s="115" t="s">
        <v>1139</v>
      </c>
      <c r="D2967" s="115" t="s">
        <v>1140</v>
      </c>
      <c r="E2967" s="115" t="s">
        <v>1141</v>
      </c>
    </row>
    <row r="2968" spans="2:5" x14ac:dyDescent="0.25">
      <c r="B2968" s="115" t="s">
        <v>1139</v>
      </c>
      <c r="D2968" s="115" t="s">
        <v>1140</v>
      </c>
      <c r="E2968" s="115" t="s">
        <v>1141</v>
      </c>
    </row>
    <row r="2969" spans="2:5" x14ac:dyDescent="0.25">
      <c r="B2969" s="115" t="s">
        <v>1139</v>
      </c>
      <c r="D2969" s="115" t="s">
        <v>1140</v>
      </c>
      <c r="E2969" s="115" t="s">
        <v>1141</v>
      </c>
    </row>
    <row r="2970" spans="2:5" x14ac:dyDescent="0.25">
      <c r="B2970" s="115" t="s">
        <v>1139</v>
      </c>
      <c r="D2970" s="115" t="s">
        <v>1140</v>
      </c>
      <c r="E2970" s="115" t="s">
        <v>1141</v>
      </c>
    </row>
    <row r="2971" spans="2:5" x14ac:dyDescent="0.25">
      <c r="B2971" s="115" t="s">
        <v>1139</v>
      </c>
      <c r="D2971" s="115" t="s">
        <v>1140</v>
      </c>
      <c r="E2971" s="115" t="s">
        <v>1141</v>
      </c>
    </row>
    <row r="2972" spans="2:5" x14ac:dyDescent="0.25">
      <c r="B2972" s="115" t="s">
        <v>1139</v>
      </c>
      <c r="D2972" s="115" t="s">
        <v>1140</v>
      </c>
      <c r="E2972" s="115" t="s">
        <v>1141</v>
      </c>
    </row>
    <row r="2973" spans="2:5" x14ac:dyDescent="0.25">
      <c r="B2973" s="115" t="s">
        <v>1139</v>
      </c>
      <c r="D2973" s="115" t="s">
        <v>1140</v>
      </c>
      <c r="E2973" s="115" t="s">
        <v>1141</v>
      </c>
    </row>
    <row r="2974" spans="2:5" x14ac:dyDescent="0.25">
      <c r="B2974" s="115" t="s">
        <v>1139</v>
      </c>
      <c r="D2974" s="115" t="s">
        <v>1140</v>
      </c>
      <c r="E2974" s="115" t="s">
        <v>1141</v>
      </c>
    </row>
    <row r="2975" spans="2:5" x14ac:dyDescent="0.25">
      <c r="B2975" s="115" t="s">
        <v>1139</v>
      </c>
      <c r="D2975" s="115" t="s">
        <v>1140</v>
      </c>
      <c r="E2975" s="115" t="s">
        <v>1141</v>
      </c>
    </row>
    <row r="2976" spans="2:5" x14ac:dyDescent="0.25">
      <c r="B2976" s="115" t="s">
        <v>1139</v>
      </c>
      <c r="D2976" s="115" t="s">
        <v>1140</v>
      </c>
      <c r="E2976" s="115" t="s">
        <v>1141</v>
      </c>
    </row>
    <row r="2977" spans="2:5" x14ac:dyDescent="0.25">
      <c r="B2977" s="115" t="s">
        <v>1139</v>
      </c>
      <c r="D2977" s="115" t="s">
        <v>1140</v>
      </c>
      <c r="E2977" s="115" t="s">
        <v>1141</v>
      </c>
    </row>
    <row r="2978" spans="2:5" x14ac:dyDescent="0.25">
      <c r="B2978" s="115" t="s">
        <v>1139</v>
      </c>
      <c r="D2978" s="115" t="s">
        <v>1140</v>
      </c>
      <c r="E2978" s="115" t="s">
        <v>1141</v>
      </c>
    </row>
    <row r="2979" spans="2:5" x14ac:dyDescent="0.25">
      <c r="B2979" s="115" t="s">
        <v>1139</v>
      </c>
      <c r="D2979" s="115" t="s">
        <v>1140</v>
      </c>
      <c r="E2979" s="115" t="s">
        <v>1141</v>
      </c>
    </row>
    <row r="2980" spans="2:5" x14ac:dyDescent="0.25">
      <c r="B2980" s="115" t="s">
        <v>1139</v>
      </c>
      <c r="D2980" s="115" t="s">
        <v>1140</v>
      </c>
      <c r="E2980" s="115" t="s">
        <v>1141</v>
      </c>
    </row>
    <row r="2981" spans="2:5" x14ac:dyDescent="0.25">
      <c r="B2981" s="115" t="s">
        <v>1139</v>
      </c>
      <c r="D2981" s="115" t="s">
        <v>1140</v>
      </c>
      <c r="E2981" s="115" t="s">
        <v>1141</v>
      </c>
    </row>
    <row r="2982" spans="2:5" x14ac:dyDescent="0.25">
      <c r="B2982" s="115" t="s">
        <v>1139</v>
      </c>
      <c r="D2982" s="115" t="s">
        <v>1140</v>
      </c>
      <c r="E2982" s="115" t="s">
        <v>1141</v>
      </c>
    </row>
    <row r="2983" spans="2:5" x14ac:dyDescent="0.25">
      <c r="B2983" s="115" t="s">
        <v>1139</v>
      </c>
      <c r="D2983" s="115" t="s">
        <v>1140</v>
      </c>
      <c r="E2983" s="115" t="s">
        <v>1141</v>
      </c>
    </row>
    <row r="2984" spans="2:5" x14ac:dyDescent="0.25">
      <c r="B2984" s="115" t="s">
        <v>1139</v>
      </c>
      <c r="D2984" s="115" t="s">
        <v>1140</v>
      </c>
      <c r="E2984" s="115" t="s">
        <v>1141</v>
      </c>
    </row>
    <row r="2985" spans="2:5" x14ac:dyDescent="0.25">
      <c r="B2985" s="115" t="s">
        <v>1139</v>
      </c>
      <c r="D2985" s="115" t="s">
        <v>1140</v>
      </c>
      <c r="E2985" s="115" t="s">
        <v>1141</v>
      </c>
    </row>
    <row r="2986" spans="2:5" x14ac:dyDescent="0.25">
      <c r="B2986" s="115" t="s">
        <v>1139</v>
      </c>
      <c r="D2986" s="115" t="s">
        <v>1140</v>
      </c>
      <c r="E2986" s="115" t="s">
        <v>1141</v>
      </c>
    </row>
    <row r="2987" spans="2:5" x14ac:dyDescent="0.25">
      <c r="B2987" s="115" t="s">
        <v>1139</v>
      </c>
      <c r="D2987" s="115" t="s">
        <v>1140</v>
      </c>
      <c r="E2987" s="115" t="s">
        <v>1141</v>
      </c>
    </row>
    <row r="2988" spans="2:5" x14ac:dyDescent="0.25">
      <c r="B2988" s="115" t="s">
        <v>1139</v>
      </c>
      <c r="D2988" s="115" t="s">
        <v>1140</v>
      </c>
      <c r="E2988" s="115" t="s">
        <v>1141</v>
      </c>
    </row>
    <row r="2989" spans="2:5" x14ac:dyDescent="0.25">
      <c r="B2989" s="115" t="s">
        <v>1139</v>
      </c>
      <c r="D2989" s="115" t="s">
        <v>1140</v>
      </c>
      <c r="E2989" s="115" t="s">
        <v>1141</v>
      </c>
    </row>
    <row r="2990" spans="2:5" x14ac:dyDescent="0.25">
      <c r="B2990" s="115" t="s">
        <v>1139</v>
      </c>
      <c r="D2990" s="115" t="s">
        <v>1140</v>
      </c>
      <c r="E2990" s="115" t="s">
        <v>1141</v>
      </c>
    </row>
    <row r="2991" spans="2:5" x14ac:dyDescent="0.25">
      <c r="B2991" s="115" t="s">
        <v>1139</v>
      </c>
      <c r="D2991" s="115" t="s">
        <v>1140</v>
      </c>
      <c r="E2991" s="115" t="s">
        <v>1141</v>
      </c>
    </row>
    <row r="2992" spans="2:5" x14ac:dyDescent="0.25">
      <c r="B2992" s="115" t="s">
        <v>1139</v>
      </c>
      <c r="D2992" s="115" t="s">
        <v>1140</v>
      </c>
      <c r="E2992" s="115" t="s">
        <v>1141</v>
      </c>
    </row>
    <row r="2993" spans="2:5" x14ac:dyDescent="0.25">
      <c r="B2993" s="115" t="s">
        <v>1139</v>
      </c>
      <c r="D2993" s="115" t="s">
        <v>1140</v>
      </c>
      <c r="E2993" s="115" t="s">
        <v>1141</v>
      </c>
    </row>
    <row r="2994" spans="2:5" x14ac:dyDescent="0.25">
      <c r="B2994" s="115" t="s">
        <v>1139</v>
      </c>
      <c r="D2994" s="115" t="s">
        <v>1140</v>
      </c>
      <c r="E2994" s="115" t="s">
        <v>1141</v>
      </c>
    </row>
    <row r="2995" spans="2:5" x14ac:dyDescent="0.25">
      <c r="B2995" s="115" t="s">
        <v>1139</v>
      </c>
      <c r="D2995" s="115" t="s">
        <v>1140</v>
      </c>
      <c r="E2995" s="115" t="s">
        <v>1141</v>
      </c>
    </row>
    <row r="2996" spans="2:5" x14ac:dyDescent="0.25">
      <c r="B2996" s="115" t="s">
        <v>1139</v>
      </c>
      <c r="D2996" s="115" t="s">
        <v>1140</v>
      </c>
      <c r="E2996" s="115" t="s">
        <v>1141</v>
      </c>
    </row>
    <row r="2997" spans="2:5" x14ac:dyDescent="0.25">
      <c r="B2997" s="115" t="s">
        <v>1139</v>
      </c>
      <c r="D2997" s="115" t="s">
        <v>1140</v>
      </c>
      <c r="E2997" s="115" t="s">
        <v>1141</v>
      </c>
    </row>
    <row r="2998" spans="2:5" x14ac:dyDescent="0.25">
      <c r="B2998" s="115" t="s">
        <v>1139</v>
      </c>
      <c r="D2998" s="115" t="s">
        <v>1140</v>
      </c>
      <c r="E2998" s="115" t="s">
        <v>1141</v>
      </c>
    </row>
    <row r="2999" spans="2:5" x14ac:dyDescent="0.25">
      <c r="B2999" s="115" t="s">
        <v>1139</v>
      </c>
      <c r="D2999" s="115" t="s">
        <v>1140</v>
      </c>
      <c r="E2999" s="115" t="s">
        <v>1141</v>
      </c>
    </row>
    <row r="3000" spans="2:5" x14ac:dyDescent="0.25">
      <c r="B3000" s="115" t="s">
        <v>1139</v>
      </c>
      <c r="D3000" s="115" t="s">
        <v>1140</v>
      </c>
      <c r="E3000" s="115" t="s">
        <v>1141</v>
      </c>
    </row>
    <row r="3001" spans="2:5" x14ac:dyDescent="0.25">
      <c r="B3001" s="115" t="s">
        <v>1139</v>
      </c>
      <c r="D3001" s="115" t="s">
        <v>1140</v>
      </c>
      <c r="E3001" s="115" t="s">
        <v>1141</v>
      </c>
    </row>
    <row r="3002" spans="2:5" x14ac:dyDescent="0.25">
      <c r="B3002" s="115" t="s">
        <v>1139</v>
      </c>
      <c r="D3002" s="115" t="s">
        <v>1140</v>
      </c>
      <c r="E3002" s="115" t="s">
        <v>1141</v>
      </c>
    </row>
    <row r="3003" spans="2:5" x14ac:dyDescent="0.25">
      <c r="B3003" s="115" t="s">
        <v>1139</v>
      </c>
      <c r="D3003" s="115" t="s">
        <v>1140</v>
      </c>
      <c r="E3003" s="115" t="s">
        <v>1141</v>
      </c>
    </row>
    <row r="3004" spans="2:5" x14ac:dyDescent="0.25">
      <c r="B3004" s="115" t="s">
        <v>1139</v>
      </c>
      <c r="D3004" s="115" t="s">
        <v>1140</v>
      </c>
      <c r="E3004" s="115" t="s">
        <v>1141</v>
      </c>
    </row>
    <row r="3005" spans="2:5" x14ac:dyDescent="0.25">
      <c r="B3005" s="115" t="s">
        <v>1139</v>
      </c>
      <c r="D3005" s="115" t="s">
        <v>1140</v>
      </c>
      <c r="E3005" s="115" t="s">
        <v>1141</v>
      </c>
    </row>
    <row r="3006" spans="2:5" x14ac:dyDescent="0.25">
      <c r="B3006" s="115" t="s">
        <v>1139</v>
      </c>
      <c r="D3006" s="115" t="s">
        <v>1140</v>
      </c>
      <c r="E3006" s="115" t="s">
        <v>1141</v>
      </c>
    </row>
    <row r="3007" spans="2:5" x14ac:dyDescent="0.25">
      <c r="B3007" s="115" t="s">
        <v>1139</v>
      </c>
      <c r="D3007" s="115" t="s">
        <v>1140</v>
      </c>
      <c r="E3007" s="115" t="s">
        <v>1141</v>
      </c>
    </row>
    <row r="3008" spans="2:5" x14ac:dyDescent="0.25">
      <c r="B3008" s="115" t="s">
        <v>1139</v>
      </c>
      <c r="D3008" s="115" t="s">
        <v>1140</v>
      </c>
      <c r="E3008" s="115" t="s">
        <v>1141</v>
      </c>
    </row>
    <row r="3009" spans="2:5" x14ac:dyDescent="0.25">
      <c r="B3009" s="115" t="s">
        <v>1139</v>
      </c>
      <c r="D3009" s="115" t="s">
        <v>1140</v>
      </c>
      <c r="E3009" s="115" t="s">
        <v>1141</v>
      </c>
    </row>
    <row r="3010" spans="2:5" x14ac:dyDescent="0.25">
      <c r="B3010" s="115" t="s">
        <v>1139</v>
      </c>
      <c r="D3010" s="115" t="s">
        <v>1140</v>
      </c>
      <c r="E3010" s="115" t="s">
        <v>1141</v>
      </c>
    </row>
    <row r="3011" spans="2:5" x14ac:dyDescent="0.25">
      <c r="B3011" s="115" t="s">
        <v>1139</v>
      </c>
      <c r="D3011" s="115" t="s">
        <v>1140</v>
      </c>
      <c r="E3011" s="115" t="s">
        <v>1141</v>
      </c>
    </row>
    <row r="3012" spans="2:5" x14ac:dyDescent="0.25">
      <c r="B3012" s="115" t="s">
        <v>1139</v>
      </c>
      <c r="D3012" s="115" t="s">
        <v>1140</v>
      </c>
      <c r="E3012" s="115" t="s">
        <v>1141</v>
      </c>
    </row>
    <row r="3013" spans="2:5" x14ac:dyDescent="0.25">
      <c r="B3013" s="115" t="s">
        <v>1139</v>
      </c>
      <c r="D3013" s="115" t="s">
        <v>1140</v>
      </c>
      <c r="E3013" s="115" t="s">
        <v>1141</v>
      </c>
    </row>
    <row r="3014" spans="2:5" x14ac:dyDescent="0.25">
      <c r="B3014" s="115" t="s">
        <v>1139</v>
      </c>
      <c r="D3014" s="115" t="s">
        <v>1140</v>
      </c>
      <c r="E3014" s="115" t="s">
        <v>1141</v>
      </c>
    </row>
    <row r="3015" spans="2:5" x14ac:dyDescent="0.25">
      <c r="B3015" s="115" t="s">
        <v>1139</v>
      </c>
      <c r="D3015" s="115" t="s">
        <v>1140</v>
      </c>
      <c r="E3015" s="115" t="s">
        <v>1141</v>
      </c>
    </row>
    <row r="3016" spans="2:5" x14ac:dyDescent="0.25">
      <c r="B3016" s="115" t="s">
        <v>1139</v>
      </c>
      <c r="D3016" s="115" t="s">
        <v>1140</v>
      </c>
      <c r="E3016" s="115" t="s">
        <v>1141</v>
      </c>
    </row>
    <row r="3017" spans="2:5" x14ac:dyDescent="0.25">
      <c r="B3017" s="115" t="s">
        <v>1139</v>
      </c>
      <c r="D3017" s="115" t="s">
        <v>1140</v>
      </c>
      <c r="E3017" s="115" t="s">
        <v>1141</v>
      </c>
    </row>
    <row r="3018" spans="2:5" x14ac:dyDescent="0.25">
      <c r="B3018" s="115" t="s">
        <v>1139</v>
      </c>
      <c r="D3018" s="115" t="s">
        <v>1140</v>
      </c>
      <c r="E3018" s="115" t="s">
        <v>1141</v>
      </c>
    </row>
    <row r="3019" spans="2:5" x14ac:dyDescent="0.25">
      <c r="B3019" s="115" t="s">
        <v>1139</v>
      </c>
      <c r="D3019" s="115" t="s">
        <v>1140</v>
      </c>
      <c r="E3019" s="115" t="s">
        <v>1141</v>
      </c>
    </row>
    <row r="3020" spans="2:5" x14ac:dyDescent="0.25">
      <c r="B3020" s="115" t="s">
        <v>1139</v>
      </c>
      <c r="D3020" s="115" t="s">
        <v>1140</v>
      </c>
      <c r="E3020" s="115" t="s">
        <v>1141</v>
      </c>
    </row>
    <row r="3021" spans="2:5" x14ac:dyDescent="0.25">
      <c r="B3021" s="115" t="s">
        <v>1139</v>
      </c>
      <c r="D3021" s="115" t="s">
        <v>1140</v>
      </c>
      <c r="E3021" s="115" t="s">
        <v>1141</v>
      </c>
    </row>
    <row r="3022" spans="2:5" x14ac:dyDescent="0.25">
      <c r="B3022" s="115" t="s">
        <v>1139</v>
      </c>
      <c r="D3022" s="115" t="s">
        <v>1140</v>
      </c>
      <c r="E3022" s="115" t="s">
        <v>1141</v>
      </c>
    </row>
    <row r="3023" spans="2:5" x14ac:dyDescent="0.25">
      <c r="B3023" s="115" t="s">
        <v>1139</v>
      </c>
      <c r="D3023" s="115" t="s">
        <v>1140</v>
      </c>
      <c r="E3023" s="115" t="s">
        <v>1141</v>
      </c>
    </row>
    <row r="3024" spans="2:5" x14ac:dyDescent="0.25">
      <c r="B3024" s="115" t="s">
        <v>1139</v>
      </c>
      <c r="D3024" s="115" t="s">
        <v>1140</v>
      </c>
      <c r="E3024" s="115" t="s">
        <v>1141</v>
      </c>
    </row>
    <row r="3025" spans="2:5" x14ac:dyDescent="0.25">
      <c r="B3025" s="115" t="s">
        <v>1139</v>
      </c>
      <c r="D3025" s="115" t="s">
        <v>1140</v>
      </c>
      <c r="E3025" s="115" t="s">
        <v>1141</v>
      </c>
    </row>
    <row r="3026" spans="2:5" x14ac:dyDescent="0.25">
      <c r="B3026" s="115" t="s">
        <v>1139</v>
      </c>
      <c r="D3026" s="115" t="s">
        <v>1140</v>
      </c>
      <c r="E3026" s="115" t="s">
        <v>1141</v>
      </c>
    </row>
    <row r="3027" spans="2:5" x14ac:dyDescent="0.25">
      <c r="B3027" s="115" t="s">
        <v>1139</v>
      </c>
      <c r="D3027" s="115" t="s">
        <v>1140</v>
      </c>
      <c r="E3027" s="115" t="s">
        <v>1141</v>
      </c>
    </row>
    <row r="3028" spans="2:5" x14ac:dyDescent="0.25">
      <c r="B3028" s="115" t="s">
        <v>1139</v>
      </c>
      <c r="D3028" s="115" t="s">
        <v>1140</v>
      </c>
      <c r="E3028" s="115" t="s">
        <v>1141</v>
      </c>
    </row>
    <row r="3029" spans="2:5" x14ac:dyDescent="0.25">
      <c r="B3029" s="115" t="s">
        <v>1139</v>
      </c>
      <c r="D3029" s="115" t="s">
        <v>1140</v>
      </c>
      <c r="E3029" s="115" t="s">
        <v>1141</v>
      </c>
    </row>
    <row r="3030" spans="2:5" x14ac:dyDescent="0.25">
      <c r="B3030" s="115" t="s">
        <v>1139</v>
      </c>
      <c r="D3030" s="115" t="s">
        <v>1140</v>
      </c>
      <c r="E3030" s="115" t="s">
        <v>1141</v>
      </c>
    </row>
    <row r="3031" spans="2:5" x14ac:dyDescent="0.25">
      <c r="B3031" s="115" t="s">
        <v>1139</v>
      </c>
      <c r="D3031" s="115" t="s">
        <v>1140</v>
      </c>
      <c r="E3031" s="115" t="s">
        <v>1141</v>
      </c>
    </row>
    <row r="3032" spans="2:5" x14ac:dyDescent="0.25">
      <c r="B3032" s="115" t="s">
        <v>1139</v>
      </c>
      <c r="D3032" s="115" t="s">
        <v>1140</v>
      </c>
      <c r="E3032" s="115" t="s">
        <v>1141</v>
      </c>
    </row>
    <row r="3033" spans="2:5" x14ac:dyDescent="0.25">
      <c r="B3033" s="115" t="s">
        <v>1139</v>
      </c>
      <c r="D3033" s="115" t="s">
        <v>1140</v>
      </c>
      <c r="E3033" s="115" t="s">
        <v>1141</v>
      </c>
    </row>
    <row r="3034" spans="2:5" x14ac:dyDescent="0.25">
      <c r="B3034" s="115" t="s">
        <v>1139</v>
      </c>
      <c r="D3034" s="115" t="s">
        <v>1140</v>
      </c>
      <c r="E3034" s="115" t="s">
        <v>1141</v>
      </c>
    </row>
    <row r="3035" spans="2:5" x14ac:dyDescent="0.25">
      <c r="B3035" s="115" t="s">
        <v>1139</v>
      </c>
      <c r="D3035" s="115" t="s">
        <v>1140</v>
      </c>
      <c r="E3035" s="115" t="s">
        <v>1141</v>
      </c>
    </row>
    <row r="3036" spans="2:5" x14ac:dyDescent="0.25">
      <c r="B3036" s="115" t="s">
        <v>1139</v>
      </c>
      <c r="D3036" s="115" t="s">
        <v>1140</v>
      </c>
      <c r="E3036" s="115" t="s">
        <v>1141</v>
      </c>
    </row>
    <row r="3037" spans="2:5" x14ac:dyDescent="0.25">
      <c r="B3037" s="115" t="s">
        <v>1139</v>
      </c>
      <c r="D3037" s="115" t="s">
        <v>1140</v>
      </c>
      <c r="E3037" s="115" t="s">
        <v>1141</v>
      </c>
    </row>
    <row r="3038" spans="2:5" x14ac:dyDescent="0.25">
      <c r="B3038" s="115" t="s">
        <v>1139</v>
      </c>
      <c r="D3038" s="115" t="s">
        <v>1140</v>
      </c>
      <c r="E3038" s="115" t="s">
        <v>1141</v>
      </c>
    </row>
    <row r="3039" spans="2:5" x14ac:dyDescent="0.25">
      <c r="B3039" s="115" t="s">
        <v>1139</v>
      </c>
      <c r="D3039" s="115" t="s">
        <v>1140</v>
      </c>
      <c r="E3039" s="115" t="s">
        <v>1141</v>
      </c>
    </row>
    <row r="3040" spans="2:5" x14ac:dyDescent="0.25">
      <c r="B3040" s="115" t="s">
        <v>1139</v>
      </c>
      <c r="D3040" s="115" t="s">
        <v>1140</v>
      </c>
      <c r="E3040" s="115" t="s">
        <v>1141</v>
      </c>
    </row>
    <row r="3041" spans="2:5" x14ac:dyDescent="0.25">
      <c r="B3041" s="115" t="s">
        <v>1139</v>
      </c>
      <c r="D3041" s="115" t="s">
        <v>1140</v>
      </c>
      <c r="E3041" s="115" t="s">
        <v>1141</v>
      </c>
    </row>
    <row r="3042" spans="2:5" x14ac:dyDescent="0.25">
      <c r="B3042" s="115" t="s">
        <v>1139</v>
      </c>
      <c r="D3042" s="115" t="s">
        <v>1140</v>
      </c>
      <c r="E3042" s="115" t="s">
        <v>1141</v>
      </c>
    </row>
    <row r="3043" spans="2:5" x14ac:dyDescent="0.25">
      <c r="B3043" s="115" t="s">
        <v>1139</v>
      </c>
      <c r="D3043" s="115" t="s">
        <v>1140</v>
      </c>
      <c r="E3043" s="115" t="s">
        <v>1141</v>
      </c>
    </row>
    <row r="3044" spans="2:5" x14ac:dyDescent="0.25">
      <c r="B3044" s="115" t="s">
        <v>1139</v>
      </c>
      <c r="D3044" s="115" t="s">
        <v>1140</v>
      </c>
      <c r="E3044" s="115" t="s">
        <v>1141</v>
      </c>
    </row>
    <row r="3045" spans="2:5" x14ac:dyDescent="0.25">
      <c r="B3045" s="115" t="s">
        <v>1139</v>
      </c>
      <c r="D3045" s="115" t="s">
        <v>1140</v>
      </c>
      <c r="E3045" s="115" t="s">
        <v>1141</v>
      </c>
    </row>
    <row r="3046" spans="2:5" x14ac:dyDescent="0.25">
      <c r="B3046" s="115" t="s">
        <v>1139</v>
      </c>
      <c r="D3046" s="115" t="s">
        <v>1140</v>
      </c>
      <c r="E3046" s="115" t="s">
        <v>1141</v>
      </c>
    </row>
    <row r="3047" spans="2:5" x14ac:dyDescent="0.25">
      <c r="B3047" s="115" t="s">
        <v>1139</v>
      </c>
      <c r="D3047" s="115" t="s">
        <v>1140</v>
      </c>
      <c r="E3047" s="115" t="s">
        <v>1141</v>
      </c>
    </row>
    <row r="3048" spans="2:5" x14ac:dyDescent="0.25">
      <c r="B3048" s="115" t="s">
        <v>1139</v>
      </c>
      <c r="D3048" s="115" t="s">
        <v>1140</v>
      </c>
      <c r="E3048" s="115" t="s">
        <v>1141</v>
      </c>
    </row>
    <row r="3049" spans="2:5" x14ac:dyDescent="0.25">
      <c r="B3049" s="115" t="s">
        <v>1139</v>
      </c>
      <c r="D3049" s="115" t="s">
        <v>1140</v>
      </c>
      <c r="E3049" s="115" t="s">
        <v>1141</v>
      </c>
    </row>
    <row r="3050" spans="2:5" x14ac:dyDescent="0.25">
      <c r="B3050" s="115" t="s">
        <v>1139</v>
      </c>
      <c r="D3050" s="115" t="s">
        <v>1140</v>
      </c>
      <c r="E3050" s="115" t="s">
        <v>1141</v>
      </c>
    </row>
    <row r="3051" spans="2:5" x14ac:dyDescent="0.25">
      <c r="B3051" s="115" t="s">
        <v>1139</v>
      </c>
      <c r="D3051" s="115" t="s">
        <v>1140</v>
      </c>
      <c r="E3051" s="115" t="s">
        <v>1141</v>
      </c>
    </row>
    <row r="3052" spans="2:5" x14ac:dyDescent="0.25">
      <c r="B3052" s="115" t="s">
        <v>1139</v>
      </c>
      <c r="D3052" s="115" t="s">
        <v>1140</v>
      </c>
      <c r="E3052" s="115" t="s">
        <v>1141</v>
      </c>
    </row>
    <row r="3053" spans="2:5" x14ac:dyDescent="0.25">
      <c r="B3053" s="115" t="s">
        <v>1139</v>
      </c>
      <c r="D3053" s="115" t="s">
        <v>1140</v>
      </c>
      <c r="E3053" s="115" t="s">
        <v>1141</v>
      </c>
    </row>
    <row r="3054" spans="2:5" x14ac:dyDescent="0.25">
      <c r="B3054" s="115" t="s">
        <v>1139</v>
      </c>
      <c r="D3054" s="115" t="s">
        <v>1140</v>
      </c>
      <c r="E3054" s="115" t="s">
        <v>1141</v>
      </c>
    </row>
    <row r="3055" spans="2:5" x14ac:dyDescent="0.25">
      <c r="B3055" s="115" t="s">
        <v>1139</v>
      </c>
      <c r="D3055" s="115" t="s">
        <v>1140</v>
      </c>
      <c r="E3055" s="115" t="s">
        <v>1141</v>
      </c>
    </row>
    <row r="3056" spans="2:5" x14ac:dyDescent="0.25">
      <c r="B3056" s="115" t="s">
        <v>1139</v>
      </c>
      <c r="D3056" s="115" t="s">
        <v>1140</v>
      </c>
      <c r="E3056" s="115" t="s">
        <v>1141</v>
      </c>
    </row>
    <row r="3057" spans="1:5" x14ac:dyDescent="0.25">
      <c r="B3057" s="115" t="s">
        <v>1139</v>
      </c>
      <c r="D3057" s="115" t="s">
        <v>1140</v>
      </c>
      <c r="E3057" s="115" t="s">
        <v>1141</v>
      </c>
    </row>
    <row r="3058" spans="1:5" x14ac:dyDescent="0.25">
      <c r="B3058" s="115" t="s">
        <v>1139</v>
      </c>
      <c r="D3058" s="115" t="s">
        <v>1140</v>
      </c>
      <c r="E3058" s="115" t="s">
        <v>1141</v>
      </c>
    </row>
    <row r="3059" spans="1:5" x14ac:dyDescent="0.25">
      <c r="B3059" s="115" t="s">
        <v>1139</v>
      </c>
      <c r="D3059" s="115" t="s">
        <v>1140</v>
      </c>
      <c r="E3059" s="115" t="s">
        <v>1141</v>
      </c>
    </row>
    <row r="3060" spans="1:5" x14ac:dyDescent="0.25">
      <c r="B3060" s="115" t="s">
        <v>1139</v>
      </c>
      <c r="D3060" s="115" t="s">
        <v>1140</v>
      </c>
      <c r="E3060" s="115" t="s">
        <v>1141</v>
      </c>
    </row>
    <row r="3061" spans="1:5" x14ac:dyDescent="0.25">
      <c r="B3061" s="115" t="s">
        <v>1139</v>
      </c>
      <c r="D3061" s="115" t="s">
        <v>1140</v>
      </c>
      <c r="E3061" s="115" t="s">
        <v>1141</v>
      </c>
    </row>
    <row r="3062" spans="1:5" x14ac:dyDescent="0.25">
      <c r="B3062" s="115" t="s">
        <v>1139</v>
      </c>
      <c r="D3062" s="115" t="s">
        <v>1140</v>
      </c>
      <c r="E3062" s="115" t="s">
        <v>1141</v>
      </c>
    </row>
    <row r="3063" spans="1:5" x14ac:dyDescent="0.25">
      <c r="B3063" s="115" t="s">
        <v>1139</v>
      </c>
      <c r="D3063" s="115" t="s">
        <v>1140</v>
      </c>
      <c r="E3063" s="115" t="s">
        <v>1141</v>
      </c>
    </row>
    <row r="3064" spans="1:5" x14ac:dyDescent="0.25">
      <c r="B3064" s="115" t="s">
        <v>1139</v>
      </c>
      <c r="D3064" s="115" t="s">
        <v>1140</v>
      </c>
      <c r="E3064" s="115" t="s">
        <v>1141</v>
      </c>
    </row>
    <row r="3065" spans="1:5" x14ac:dyDescent="0.25">
      <c r="B3065" s="115" t="s">
        <v>1139</v>
      </c>
      <c r="D3065" s="115" t="s">
        <v>1140</v>
      </c>
      <c r="E3065" s="115" t="s">
        <v>1141</v>
      </c>
    </row>
    <row r="3066" spans="1:5" x14ac:dyDescent="0.25">
      <c r="B3066" s="115" t="s">
        <v>1139</v>
      </c>
      <c r="D3066" s="115" t="s">
        <v>1140</v>
      </c>
      <c r="E3066" s="115" t="s">
        <v>4740</v>
      </c>
    </row>
    <row r="3067" spans="1:5" x14ac:dyDescent="0.25">
      <c r="A3067" s="115" t="s">
        <v>1138</v>
      </c>
      <c r="B3067" s="115" t="s">
        <v>4741</v>
      </c>
      <c r="D3067" s="115" t="s">
        <v>4742</v>
      </c>
      <c r="E3067" s="115" t="s">
        <v>4743</v>
      </c>
    </row>
    <row r="3068" spans="1:5" x14ac:dyDescent="0.25">
      <c r="B3068" s="115">
        <f>-69    -66</f>
        <v>-135</v>
      </c>
      <c r="D3068" s="115" t="s">
        <v>1140</v>
      </c>
      <c r="E3068" s="115" t="s">
        <v>1141</v>
      </c>
    </row>
    <row r="3069" spans="1:5" x14ac:dyDescent="0.25">
      <c r="B3069" s="115" t="s">
        <v>4744</v>
      </c>
      <c r="D3069" s="115" t="s">
        <v>4745</v>
      </c>
      <c r="E3069" s="115" t="s">
        <v>4746</v>
      </c>
    </row>
    <row r="3070" spans="1:5" x14ac:dyDescent="0.25">
      <c r="B3070" s="115" t="s">
        <v>1139</v>
      </c>
      <c r="D3070" s="115" t="s">
        <v>4747</v>
      </c>
      <c r="E3070" s="115" t="s">
        <v>4748</v>
      </c>
    </row>
    <row r="3071" spans="1:5" x14ac:dyDescent="0.25">
      <c r="B3071" s="115" t="s">
        <v>1139</v>
      </c>
      <c r="D3071" s="115" t="s">
        <v>4749</v>
      </c>
      <c r="E3071" s="115" t="s">
        <v>1141</v>
      </c>
    </row>
    <row r="3072" spans="1:5" x14ac:dyDescent="0.25">
      <c r="B3072" s="115" t="s">
        <v>4750</v>
      </c>
      <c r="D3072" s="115" t="s">
        <v>4751</v>
      </c>
      <c r="E3072" s="115" t="s">
        <v>4752</v>
      </c>
    </row>
    <row r="3073" spans="1:5" x14ac:dyDescent="0.25">
      <c r="A3073" s="115" t="s">
        <v>1138</v>
      </c>
      <c r="B3073" s="115" t="s">
        <v>4753</v>
      </c>
      <c r="D3073" s="115" t="s">
        <v>4754</v>
      </c>
      <c r="E3073" s="115" t="s">
        <v>4755</v>
      </c>
    </row>
    <row r="3074" spans="1:5" x14ac:dyDescent="0.25">
      <c r="B3074" s="115" t="s">
        <v>4756</v>
      </c>
      <c r="D3074" s="115" t="s">
        <v>4757</v>
      </c>
      <c r="E3074" s="115" t="s">
        <v>4758</v>
      </c>
    </row>
    <row r="3075" spans="1:5" x14ac:dyDescent="0.25">
      <c r="A3075" s="115">
        <v>1</v>
      </c>
      <c r="B3075" s="115" t="s">
        <v>4759</v>
      </c>
      <c r="D3075" s="115" t="s">
        <v>4760</v>
      </c>
      <c r="E3075" s="115" t="s">
        <v>4761</v>
      </c>
    </row>
    <row r="3076" spans="1:5" x14ac:dyDescent="0.25">
      <c r="A3076" s="115" t="s">
        <v>1138</v>
      </c>
      <c r="B3076" s="115" t="s">
        <v>4762</v>
      </c>
      <c r="D3076" s="115" t="s">
        <v>4763</v>
      </c>
      <c r="E3076" s="115" t="s">
        <v>4764</v>
      </c>
    </row>
    <row r="3077" spans="1:5" x14ac:dyDescent="0.25">
      <c r="B3077" s="115" t="s">
        <v>4765</v>
      </c>
      <c r="D3077" s="115" t="s">
        <v>4766</v>
      </c>
      <c r="E3077" s="115" t="s">
        <v>4767</v>
      </c>
    </row>
    <row r="3078" spans="1:5" x14ac:dyDescent="0.25">
      <c r="B3078" s="115" t="s">
        <v>4768</v>
      </c>
      <c r="D3078" s="115" t="s">
        <v>4769</v>
      </c>
      <c r="E3078" s="115" t="s">
        <v>4770</v>
      </c>
    </row>
    <row r="3079" spans="1:5" x14ac:dyDescent="0.25">
      <c r="B3079" s="115" t="s">
        <v>1606</v>
      </c>
      <c r="D3079" s="115" t="s">
        <v>4771</v>
      </c>
      <c r="E3079" s="115" t="s">
        <v>4772</v>
      </c>
    </row>
    <row r="3080" spans="1:5" x14ac:dyDescent="0.25">
      <c r="B3080" s="115" t="s">
        <v>4773</v>
      </c>
      <c r="D3080" s="115" t="s">
        <v>4774</v>
      </c>
      <c r="E3080" s="115" t="s">
        <v>4775</v>
      </c>
    </row>
    <row r="3081" spans="1:5" x14ac:dyDescent="0.25">
      <c r="B3081" s="115" t="s">
        <v>4776</v>
      </c>
      <c r="D3081" s="115" t="s">
        <v>4777</v>
      </c>
      <c r="E3081" s="115" t="s">
        <v>4778</v>
      </c>
    </row>
    <row r="3082" spans="1:5" x14ac:dyDescent="0.25">
      <c r="A3082" s="115" t="s">
        <v>1138</v>
      </c>
      <c r="B3082" s="115" t="s">
        <v>4779</v>
      </c>
      <c r="D3082" s="115" t="s">
        <v>4780</v>
      </c>
      <c r="E3082" s="115" t="s">
        <v>4781</v>
      </c>
    </row>
    <row r="3083" spans="1:5" x14ac:dyDescent="0.25">
      <c r="B3083" s="115" t="s">
        <v>1679</v>
      </c>
      <c r="D3083" s="115" t="s">
        <v>1140</v>
      </c>
      <c r="E3083" s="115" t="s">
        <v>4782</v>
      </c>
    </row>
    <row r="3084" spans="1:5" x14ac:dyDescent="0.25">
      <c r="B3084" s="115" t="s">
        <v>4783</v>
      </c>
      <c r="D3084" s="115" t="s">
        <v>4784</v>
      </c>
      <c r="E3084" s="115" t="s">
        <v>4785</v>
      </c>
    </row>
    <row r="3085" spans="1:5" x14ac:dyDescent="0.25">
      <c r="A3085" s="115">
        <v>-1</v>
      </c>
      <c r="B3085" s="115" t="s">
        <v>4786</v>
      </c>
      <c r="C3085" s="115" t="s">
        <v>1138</v>
      </c>
      <c r="D3085" s="115" t="s">
        <v>4787</v>
      </c>
      <c r="E3085" s="115" t="s">
        <v>4788</v>
      </c>
    </row>
    <row r="3086" spans="1:5" x14ac:dyDescent="0.25">
      <c r="B3086" s="115" t="s">
        <v>4789</v>
      </c>
      <c r="D3086" s="115" t="s">
        <v>4790</v>
      </c>
      <c r="E3086" s="115" t="s">
        <v>4791</v>
      </c>
    </row>
    <row r="3087" spans="1:5" x14ac:dyDescent="0.25">
      <c r="A3087" s="115">
        <v>2</v>
      </c>
      <c r="B3087" s="115" t="s">
        <v>4792</v>
      </c>
      <c r="D3087" s="115" t="s">
        <v>4793</v>
      </c>
      <c r="E3087" s="115" t="s">
        <v>4794</v>
      </c>
    </row>
    <row r="3088" spans="1:5" x14ac:dyDescent="0.25">
      <c r="B3088" s="115" t="s">
        <v>1139</v>
      </c>
      <c r="D3088" s="115" t="s">
        <v>4795</v>
      </c>
      <c r="E3088" s="115" t="s">
        <v>4796</v>
      </c>
    </row>
    <row r="3089" spans="1:5" x14ac:dyDescent="0.25">
      <c r="B3089" s="115" t="s">
        <v>1139</v>
      </c>
      <c r="D3089" s="115" t="s">
        <v>4797</v>
      </c>
      <c r="E3089" s="115" t="s">
        <v>2082</v>
      </c>
    </row>
    <row r="3090" spans="1:5" x14ac:dyDescent="0.25">
      <c r="B3090" s="115" t="s">
        <v>4798</v>
      </c>
      <c r="C3090" s="115" t="s">
        <v>1138</v>
      </c>
      <c r="D3090" s="115" t="s">
        <v>4799</v>
      </c>
      <c r="E3090" s="115" t="s">
        <v>4800</v>
      </c>
    </row>
    <row r="3091" spans="1:5" x14ac:dyDescent="0.25">
      <c r="B3091" s="115" t="s">
        <v>1139</v>
      </c>
      <c r="D3091" s="115" t="s">
        <v>4801</v>
      </c>
      <c r="E3091" s="115" t="s">
        <v>1141</v>
      </c>
    </row>
    <row r="3092" spans="1:5" x14ac:dyDescent="0.25">
      <c r="B3092" s="115" t="s">
        <v>1139</v>
      </c>
      <c r="D3092" s="115" t="s">
        <v>4802</v>
      </c>
      <c r="E3092" s="115" t="s">
        <v>4803</v>
      </c>
    </row>
    <row r="3093" spans="1:5" x14ac:dyDescent="0.25">
      <c r="A3093" s="115">
        <v>-1</v>
      </c>
      <c r="B3093" s="115" t="s">
        <v>4804</v>
      </c>
      <c r="D3093" s="115" t="s">
        <v>1683</v>
      </c>
      <c r="E3093" s="115" t="s">
        <v>4805</v>
      </c>
    </row>
    <row r="3094" spans="1:5" x14ac:dyDescent="0.25">
      <c r="A3094" s="115">
        <v>1</v>
      </c>
      <c r="B3094" s="115" t="s">
        <v>1573</v>
      </c>
      <c r="D3094" s="115" t="s">
        <v>1140</v>
      </c>
      <c r="E3094" s="115" t="s">
        <v>4806</v>
      </c>
    </row>
    <row r="3095" spans="1:5" x14ac:dyDescent="0.25">
      <c r="B3095" s="115" t="s">
        <v>1139</v>
      </c>
      <c r="D3095" s="115" t="s">
        <v>4807</v>
      </c>
      <c r="E3095" s="115" t="s">
        <v>4808</v>
      </c>
    </row>
    <row r="3096" spans="1:5" x14ac:dyDescent="0.25">
      <c r="B3096" s="115" t="s">
        <v>1139</v>
      </c>
      <c r="C3096" s="115">
        <v>1</v>
      </c>
      <c r="D3096" s="115" t="s">
        <v>4809</v>
      </c>
      <c r="E3096" s="115" t="s">
        <v>4810</v>
      </c>
    </row>
    <row r="3097" spans="1:5" x14ac:dyDescent="0.25">
      <c r="A3097" s="115">
        <v>1</v>
      </c>
      <c r="B3097" s="115" t="s">
        <v>4811</v>
      </c>
      <c r="D3097" s="115" t="s">
        <v>4812</v>
      </c>
      <c r="E3097" s="115" t="s">
        <v>4813</v>
      </c>
    </row>
    <row r="3098" spans="1:5" x14ac:dyDescent="0.25">
      <c r="B3098" s="115" t="s">
        <v>4814</v>
      </c>
      <c r="C3098" s="115" t="s">
        <v>1138</v>
      </c>
      <c r="D3098" s="115" t="s">
        <v>4815</v>
      </c>
      <c r="E3098" s="115" t="s">
        <v>4816</v>
      </c>
    </row>
    <row r="3099" spans="1:5" x14ac:dyDescent="0.25">
      <c r="A3099" s="115">
        <v>-2</v>
      </c>
      <c r="B3099" s="115" t="s">
        <v>4817</v>
      </c>
      <c r="D3099" s="115" t="s">
        <v>4818</v>
      </c>
      <c r="E3099" s="115" t="s">
        <v>4819</v>
      </c>
    </row>
    <row r="3100" spans="1:5" x14ac:dyDescent="0.25">
      <c r="A3100" s="115" t="s">
        <v>1138</v>
      </c>
      <c r="B3100" s="115" t="s">
        <v>4820</v>
      </c>
      <c r="D3100" s="115" t="s">
        <v>4821</v>
      </c>
      <c r="E3100" s="115" t="s">
        <v>4822</v>
      </c>
    </row>
    <row r="3101" spans="1:5" x14ac:dyDescent="0.25">
      <c r="B3101" s="115" t="s">
        <v>4428</v>
      </c>
      <c r="D3101" s="115" t="s">
        <v>4823</v>
      </c>
      <c r="E3101" s="115" t="s">
        <v>4824</v>
      </c>
    </row>
    <row r="3102" spans="1:5" x14ac:dyDescent="0.25">
      <c r="A3102" s="115">
        <v>-1</v>
      </c>
      <c r="B3102" s="115" t="s">
        <v>4825</v>
      </c>
      <c r="D3102" s="115" t="s">
        <v>4826</v>
      </c>
      <c r="E3102" s="115" t="s">
        <v>4827</v>
      </c>
    </row>
    <row r="3103" spans="1:5" x14ac:dyDescent="0.25">
      <c r="B3103" s="115" t="s">
        <v>1139</v>
      </c>
      <c r="D3103" s="115" t="s">
        <v>4828</v>
      </c>
      <c r="E3103" s="115" t="s">
        <v>4829</v>
      </c>
    </row>
    <row r="3104" spans="1:5" x14ac:dyDescent="0.25">
      <c r="B3104" s="115" t="s">
        <v>1481</v>
      </c>
      <c r="D3104" s="115" t="s">
        <v>4830</v>
      </c>
      <c r="E3104" s="115" t="s">
        <v>4831</v>
      </c>
    </row>
    <row r="3105" spans="1:5" x14ac:dyDescent="0.25">
      <c r="A3105" s="115">
        <v>-3</v>
      </c>
      <c r="B3105" s="115" t="s">
        <v>4832</v>
      </c>
      <c r="D3105" s="115" t="s">
        <v>4833</v>
      </c>
      <c r="E3105" s="115" t="s">
        <v>4834</v>
      </c>
    </row>
    <row r="3106" spans="1:5" x14ac:dyDescent="0.25">
      <c r="B3106" s="115" t="s">
        <v>4835</v>
      </c>
      <c r="D3106" s="115" t="s">
        <v>4836</v>
      </c>
      <c r="E3106" s="115" t="s">
        <v>1141</v>
      </c>
    </row>
    <row r="3107" spans="1:5" x14ac:dyDescent="0.25">
      <c r="B3107" s="115" t="s">
        <v>3746</v>
      </c>
      <c r="D3107" s="115" t="s">
        <v>4837</v>
      </c>
      <c r="E3107" s="115" t="s">
        <v>1141</v>
      </c>
    </row>
    <row r="3108" spans="1:5" x14ac:dyDescent="0.25">
      <c r="B3108" s="115" t="s">
        <v>4838</v>
      </c>
      <c r="D3108" s="115" t="s">
        <v>4839</v>
      </c>
      <c r="E3108" s="115" t="s">
        <v>4840</v>
      </c>
    </row>
    <row r="3109" spans="1:5" x14ac:dyDescent="0.25">
      <c r="B3109" s="115" t="s">
        <v>4841</v>
      </c>
      <c r="D3109" s="115" t="s">
        <v>4842</v>
      </c>
      <c r="E3109" s="115" t="s">
        <v>4843</v>
      </c>
    </row>
    <row r="3110" spans="1:5" x14ac:dyDescent="0.25">
      <c r="B3110" s="115" t="s">
        <v>4844</v>
      </c>
      <c r="C3110" s="115" t="s">
        <v>1138</v>
      </c>
      <c r="D3110" s="115" t="s">
        <v>4845</v>
      </c>
      <c r="E3110" s="115" t="s">
        <v>4846</v>
      </c>
    </row>
    <row r="3111" spans="1:5" x14ac:dyDescent="0.25">
      <c r="B3111" s="115" t="s">
        <v>1139</v>
      </c>
      <c r="D3111" s="115" t="s">
        <v>1140</v>
      </c>
      <c r="E3111" s="115" t="s">
        <v>4847</v>
      </c>
    </row>
    <row r="3112" spans="1:5" x14ac:dyDescent="0.25">
      <c r="A3112" s="115" t="s">
        <v>1138</v>
      </c>
      <c r="B3112" s="115" t="s">
        <v>4848</v>
      </c>
      <c r="C3112" s="115" t="s">
        <v>1138</v>
      </c>
      <c r="D3112" s="115" t="s">
        <v>4849</v>
      </c>
      <c r="E3112" s="115" t="s">
        <v>4850</v>
      </c>
    </row>
    <row r="3113" spans="1:5" x14ac:dyDescent="0.25">
      <c r="B3113" s="115" t="s">
        <v>1139</v>
      </c>
      <c r="D3113" s="115" t="s">
        <v>4851</v>
      </c>
      <c r="E3113" s="115" t="s">
        <v>1141</v>
      </c>
    </row>
    <row r="3114" spans="1:5" x14ac:dyDescent="0.25">
      <c r="B3114" s="115" t="s">
        <v>1139</v>
      </c>
      <c r="D3114" s="115" t="s">
        <v>1140</v>
      </c>
      <c r="E3114" s="115" t="s">
        <v>1141</v>
      </c>
    </row>
    <row r="3115" spans="1:5" x14ac:dyDescent="0.25">
      <c r="B3115" s="115" t="s">
        <v>1139</v>
      </c>
      <c r="D3115" s="115" t="s">
        <v>1140</v>
      </c>
      <c r="E3115" s="115" t="s">
        <v>1141</v>
      </c>
    </row>
    <row r="3116" spans="1:5" x14ac:dyDescent="0.25">
      <c r="B3116" s="115" t="s">
        <v>1139</v>
      </c>
      <c r="D3116" s="115" t="s">
        <v>1140</v>
      </c>
      <c r="E3116" s="115" t="s">
        <v>1141</v>
      </c>
    </row>
    <row r="3117" spans="1:5" x14ac:dyDescent="0.25">
      <c r="B3117" s="115" t="s">
        <v>1139</v>
      </c>
      <c r="D3117" s="115" t="s">
        <v>1140</v>
      </c>
      <c r="E3117" s="115" t="s">
        <v>1141</v>
      </c>
    </row>
    <row r="3118" spans="1:5" x14ac:dyDescent="0.25">
      <c r="B3118" s="115" t="s">
        <v>1139</v>
      </c>
      <c r="D3118" s="115" t="s">
        <v>1140</v>
      </c>
      <c r="E3118" s="115" t="s">
        <v>1141</v>
      </c>
    </row>
    <row r="3119" spans="1:5" x14ac:dyDescent="0.25">
      <c r="B3119" s="115" t="s">
        <v>1139</v>
      </c>
      <c r="D3119" s="115" t="s">
        <v>1140</v>
      </c>
      <c r="E3119" s="115" t="s">
        <v>1141</v>
      </c>
    </row>
    <row r="3120" spans="1:5" x14ac:dyDescent="0.25">
      <c r="B3120" s="115" t="s">
        <v>1139</v>
      </c>
      <c r="D3120" s="115" t="s">
        <v>1140</v>
      </c>
      <c r="E3120" s="115" t="s">
        <v>1141</v>
      </c>
    </row>
    <row r="3121" spans="2:5" x14ac:dyDescent="0.25">
      <c r="B3121" s="115" t="s">
        <v>1139</v>
      </c>
      <c r="D3121" s="115" t="s">
        <v>1140</v>
      </c>
      <c r="E3121" s="115" t="s">
        <v>1141</v>
      </c>
    </row>
    <row r="3122" spans="2:5" x14ac:dyDescent="0.25">
      <c r="B3122" s="115" t="s">
        <v>1139</v>
      </c>
      <c r="D3122" s="115" t="s">
        <v>1140</v>
      </c>
      <c r="E3122" s="115" t="s">
        <v>1141</v>
      </c>
    </row>
    <row r="3123" spans="2:5" x14ac:dyDescent="0.25">
      <c r="B3123" s="115" t="s">
        <v>1139</v>
      </c>
      <c r="D3123" s="115" t="s">
        <v>1140</v>
      </c>
      <c r="E3123" s="115" t="s">
        <v>1141</v>
      </c>
    </row>
    <row r="3124" spans="2:5" x14ac:dyDescent="0.25">
      <c r="B3124" s="115" t="s">
        <v>1139</v>
      </c>
      <c r="D3124" s="115" t="s">
        <v>1140</v>
      </c>
      <c r="E3124" s="115" t="s">
        <v>1141</v>
      </c>
    </row>
    <row r="3125" spans="2:5" x14ac:dyDescent="0.25">
      <c r="B3125" s="115" t="s">
        <v>1139</v>
      </c>
      <c r="D3125" s="115" t="s">
        <v>1140</v>
      </c>
      <c r="E3125" s="115" t="s">
        <v>1141</v>
      </c>
    </row>
    <row r="3126" spans="2:5" x14ac:dyDescent="0.25">
      <c r="B3126" s="115" t="s">
        <v>1139</v>
      </c>
      <c r="D3126" s="115" t="s">
        <v>1140</v>
      </c>
      <c r="E3126" s="115" t="s">
        <v>1141</v>
      </c>
    </row>
    <row r="3127" spans="2:5" x14ac:dyDescent="0.25">
      <c r="B3127" s="115" t="s">
        <v>1139</v>
      </c>
      <c r="D3127" s="115" t="s">
        <v>1140</v>
      </c>
      <c r="E3127" s="115" t="s">
        <v>1141</v>
      </c>
    </row>
    <row r="3128" spans="2:5" x14ac:dyDescent="0.25">
      <c r="B3128" s="115" t="s">
        <v>1139</v>
      </c>
      <c r="D3128" s="115" t="s">
        <v>1140</v>
      </c>
      <c r="E3128" s="115" t="s">
        <v>1141</v>
      </c>
    </row>
    <row r="3129" spans="2:5" x14ac:dyDescent="0.25">
      <c r="B3129" s="115" t="s">
        <v>1139</v>
      </c>
      <c r="D3129" s="115" t="s">
        <v>1140</v>
      </c>
      <c r="E3129" s="115" t="s">
        <v>1141</v>
      </c>
    </row>
    <row r="3130" spans="2:5" x14ac:dyDescent="0.25">
      <c r="B3130" s="115" t="s">
        <v>1139</v>
      </c>
      <c r="D3130" s="115" t="s">
        <v>1140</v>
      </c>
      <c r="E3130" s="115" t="s">
        <v>1141</v>
      </c>
    </row>
    <row r="3131" spans="2:5" x14ac:dyDescent="0.25">
      <c r="B3131" s="115" t="s">
        <v>1139</v>
      </c>
      <c r="D3131" s="115" t="s">
        <v>1140</v>
      </c>
      <c r="E3131" s="115" t="s">
        <v>1141</v>
      </c>
    </row>
    <row r="3132" spans="2:5" x14ac:dyDescent="0.25">
      <c r="B3132" s="115" t="s">
        <v>1139</v>
      </c>
      <c r="D3132" s="115" t="s">
        <v>1140</v>
      </c>
      <c r="E3132" s="115" t="s">
        <v>1141</v>
      </c>
    </row>
    <row r="3133" spans="2:5" x14ac:dyDescent="0.25">
      <c r="B3133" s="115" t="s">
        <v>1139</v>
      </c>
      <c r="D3133" s="115" t="s">
        <v>1140</v>
      </c>
      <c r="E3133" s="115" t="s">
        <v>1141</v>
      </c>
    </row>
    <row r="3134" spans="2:5" x14ac:dyDescent="0.25">
      <c r="B3134" s="115" t="s">
        <v>1139</v>
      </c>
      <c r="D3134" s="115" t="s">
        <v>1140</v>
      </c>
      <c r="E3134" s="115" t="s">
        <v>1141</v>
      </c>
    </row>
    <row r="3135" spans="2:5" x14ac:dyDescent="0.25">
      <c r="B3135" s="115" t="s">
        <v>1139</v>
      </c>
      <c r="D3135" s="115" t="s">
        <v>1140</v>
      </c>
      <c r="E3135" s="115" t="s">
        <v>1141</v>
      </c>
    </row>
    <row r="3136" spans="2:5" x14ac:dyDescent="0.25">
      <c r="B3136" s="115" t="s">
        <v>1139</v>
      </c>
      <c r="D3136" s="115" t="s">
        <v>1140</v>
      </c>
      <c r="E3136" s="115" t="s">
        <v>1141</v>
      </c>
    </row>
    <row r="3137" spans="2:5" x14ac:dyDescent="0.25">
      <c r="B3137" s="115" t="s">
        <v>1139</v>
      </c>
      <c r="D3137" s="115" t="s">
        <v>1140</v>
      </c>
      <c r="E3137" s="115" t="s">
        <v>1141</v>
      </c>
    </row>
    <row r="3138" spans="2:5" x14ac:dyDescent="0.25">
      <c r="B3138" s="115" t="s">
        <v>1139</v>
      </c>
      <c r="D3138" s="115" t="s">
        <v>1140</v>
      </c>
      <c r="E3138" s="115" t="s">
        <v>1141</v>
      </c>
    </row>
    <row r="3139" spans="2:5" x14ac:dyDescent="0.25">
      <c r="B3139" s="115" t="s">
        <v>1139</v>
      </c>
      <c r="D3139" s="115" t="s">
        <v>1140</v>
      </c>
      <c r="E3139" s="115" t="s">
        <v>1141</v>
      </c>
    </row>
    <row r="3140" spans="2:5" x14ac:dyDescent="0.25">
      <c r="B3140" s="115" t="s">
        <v>1139</v>
      </c>
      <c r="D3140" s="115" t="s">
        <v>1140</v>
      </c>
      <c r="E3140" s="115" t="s">
        <v>1141</v>
      </c>
    </row>
    <row r="3141" spans="2:5" x14ac:dyDescent="0.25">
      <c r="B3141" s="115" t="s">
        <v>1139</v>
      </c>
      <c r="D3141" s="115" t="s">
        <v>1140</v>
      </c>
      <c r="E3141" s="115" t="s">
        <v>1141</v>
      </c>
    </row>
    <row r="3142" spans="2:5" x14ac:dyDescent="0.25">
      <c r="B3142" s="115" t="s">
        <v>1139</v>
      </c>
      <c r="D3142" s="115" t="s">
        <v>1140</v>
      </c>
      <c r="E3142" s="115" t="s">
        <v>1141</v>
      </c>
    </row>
    <row r="3143" spans="2:5" x14ac:dyDescent="0.25">
      <c r="B3143" s="115" t="s">
        <v>1139</v>
      </c>
      <c r="D3143" s="115" t="s">
        <v>1140</v>
      </c>
      <c r="E3143" s="115" t="s">
        <v>1141</v>
      </c>
    </row>
    <row r="3144" spans="2:5" x14ac:dyDescent="0.25">
      <c r="B3144" s="115" t="s">
        <v>1139</v>
      </c>
      <c r="D3144" s="115" t="s">
        <v>1140</v>
      </c>
      <c r="E3144" s="115" t="s">
        <v>1141</v>
      </c>
    </row>
    <row r="3145" spans="2:5" x14ac:dyDescent="0.25">
      <c r="B3145" s="115" t="s">
        <v>1139</v>
      </c>
      <c r="D3145" s="115" t="s">
        <v>1140</v>
      </c>
      <c r="E3145" s="115" t="s">
        <v>1141</v>
      </c>
    </row>
    <row r="3146" spans="2:5" x14ac:dyDescent="0.25">
      <c r="B3146" s="115" t="s">
        <v>1139</v>
      </c>
      <c r="D3146" s="115" t="s">
        <v>1140</v>
      </c>
      <c r="E3146" s="115" t="s">
        <v>1141</v>
      </c>
    </row>
    <row r="3147" spans="2:5" x14ac:dyDescent="0.25">
      <c r="B3147" s="115" t="s">
        <v>1139</v>
      </c>
      <c r="D3147" s="115" t="s">
        <v>1140</v>
      </c>
      <c r="E3147" s="115" t="s">
        <v>1141</v>
      </c>
    </row>
    <row r="3148" spans="2:5" x14ac:dyDescent="0.25">
      <c r="B3148" s="115" t="s">
        <v>1139</v>
      </c>
      <c r="D3148" s="115" t="s">
        <v>1140</v>
      </c>
      <c r="E3148" s="115" t="s">
        <v>1141</v>
      </c>
    </row>
    <row r="3149" spans="2:5" x14ac:dyDescent="0.25">
      <c r="B3149" s="115" t="s">
        <v>1139</v>
      </c>
      <c r="D3149" s="115" t="s">
        <v>1140</v>
      </c>
      <c r="E3149" s="115" t="s">
        <v>1141</v>
      </c>
    </row>
    <row r="3150" spans="2:5" x14ac:dyDescent="0.25">
      <c r="B3150" s="115" t="s">
        <v>1139</v>
      </c>
      <c r="D3150" s="115" t="s">
        <v>1140</v>
      </c>
      <c r="E3150" s="115" t="s">
        <v>1141</v>
      </c>
    </row>
    <row r="3151" spans="2:5" x14ac:dyDescent="0.25">
      <c r="B3151" s="115" t="s">
        <v>1139</v>
      </c>
      <c r="D3151" s="115" t="s">
        <v>1140</v>
      </c>
      <c r="E3151" s="115" t="s">
        <v>1141</v>
      </c>
    </row>
    <row r="3152" spans="2:5" x14ac:dyDescent="0.25">
      <c r="B3152" s="115" t="s">
        <v>1139</v>
      </c>
      <c r="D3152" s="115" t="s">
        <v>1140</v>
      </c>
      <c r="E3152" s="115" t="s">
        <v>1141</v>
      </c>
    </row>
    <row r="3153" spans="2:5" x14ac:dyDescent="0.25">
      <c r="B3153" s="115" t="s">
        <v>1139</v>
      </c>
      <c r="D3153" s="115" t="s">
        <v>1140</v>
      </c>
      <c r="E3153" s="115" t="s">
        <v>1141</v>
      </c>
    </row>
    <row r="3154" spans="2:5" x14ac:dyDescent="0.25">
      <c r="B3154" s="115" t="s">
        <v>1139</v>
      </c>
      <c r="D3154" s="115" t="s">
        <v>1140</v>
      </c>
      <c r="E3154" s="115" t="s">
        <v>1141</v>
      </c>
    </row>
    <row r="3155" spans="2:5" x14ac:dyDescent="0.25">
      <c r="B3155" s="115" t="s">
        <v>1139</v>
      </c>
      <c r="D3155" s="115" t="s">
        <v>1140</v>
      </c>
      <c r="E3155" s="115" t="s">
        <v>1141</v>
      </c>
    </row>
    <row r="3156" spans="2:5" x14ac:dyDescent="0.25">
      <c r="B3156" s="115" t="s">
        <v>1139</v>
      </c>
      <c r="D3156" s="115" t="s">
        <v>1140</v>
      </c>
      <c r="E3156" s="115" t="s">
        <v>1141</v>
      </c>
    </row>
    <row r="3157" spans="2:5" x14ac:dyDescent="0.25">
      <c r="B3157" s="115" t="s">
        <v>1139</v>
      </c>
      <c r="D3157" s="115" t="s">
        <v>1140</v>
      </c>
      <c r="E3157" s="115" t="s">
        <v>1141</v>
      </c>
    </row>
    <row r="3158" spans="2:5" x14ac:dyDescent="0.25">
      <c r="B3158" s="115" t="s">
        <v>1139</v>
      </c>
      <c r="D3158" s="115" t="s">
        <v>1140</v>
      </c>
      <c r="E3158" s="115" t="s">
        <v>1141</v>
      </c>
    </row>
    <row r="3159" spans="2:5" x14ac:dyDescent="0.25">
      <c r="B3159" s="115" t="s">
        <v>1139</v>
      </c>
      <c r="D3159" s="115" t="s">
        <v>1140</v>
      </c>
      <c r="E3159" s="115" t="s">
        <v>1141</v>
      </c>
    </row>
    <row r="3160" spans="2:5" x14ac:dyDescent="0.25">
      <c r="B3160" s="115" t="s">
        <v>1139</v>
      </c>
      <c r="D3160" s="115" t="s">
        <v>1140</v>
      </c>
      <c r="E3160" s="115" t="s">
        <v>1141</v>
      </c>
    </row>
    <row r="3161" spans="2:5" x14ac:dyDescent="0.25">
      <c r="B3161" s="115" t="s">
        <v>1139</v>
      </c>
      <c r="D3161" s="115" t="s">
        <v>1140</v>
      </c>
      <c r="E3161" s="115" t="s">
        <v>1141</v>
      </c>
    </row>
    <row r="3162" spans="2:5" x14ac:dyDescent="0.25">
      <c r="B3162" s="115" t="s">
        <v>1139</v>
      </c>
      <c r="D3162" s="115" t="s">
        <v>1140</v>
      </c>
      <c r="E3162" s="115" t="s">
        <v>1141</v>
      </c>
    </row>
    <row r="3163" spans="2:5" x14ac:dyDescent="0.25">
      <c r="B3163" s="115" t="s">
        <v>1139</v>
      </c>
      <c r="D3163" s="115" t="s">
        <v>1140</v>
      </c>
      <c r="E3163" s="115" t="s">
        <v>1141</v>
      </c>
    </row>
    <row r="3164" spans="2:5" x14ac:dyDescent="0.25">
      <c r="B3164" s="115" t="s">
        <v>1139</v>
      </c>
      <c r="D3164" s="115" t="s">
        <v>1140</v>
      </c>
      <c r="E3164" s="115" t="s">
        <v>1141</v>
      </c>
    </row>
    <row r="3165" spans="2:5" x14ac:dyDescent="0.25">
      <c r="B3165" s="115" t="s">
        <v>1139</v>
      </c>
      <c r="D3165" s="115" t="s">
        <v>1140</v>
      </c>
      <c r="E3165" s="115" t="s">
        <v>1141</v>
      </c>
    </row>
    <row r="3166" spans="2:5" x14ac:dyDescent="0.25">
      <c r="B3166" s="115" t="s">
        <v>1139</v>
      </c>
      <c r="D3166" s="115" t="s">
        <v>1140</v>
      </c>
      <c r="E3166" s="115" t="s">
        <v>1141</v>
      </c>
    </row>
    <row r="3167" spans="2:5" x14ac:dyDescent="0.25">
      <c r="B3167" s="115" t="s">
        <v>1139</v>
      </c>
      <c r="D3167" s="115" t="s">
        <v>1140</v>
      </c>
      <c r="E3167" s="115" t="s">
        <v>1141</v>
      </c>
    </row>
    <row r="3168" spans="2:5" x14ac:dyDescent="0.25">
      <c r="B3168" s="115" t="s">
        <v>1139</v>
      </c>
      <c r="D3168" s="115" t="s">
        <v>1140</v>
      </c>
      <c r="E3168" s="115" t="s">
        <v>1141</v>
      </c>
    </row>
    <row r="3169" spans="2:5" x14ac:dyDescent="0.25">
      <c r="B3169" s="115" t="s">
        <v>1139</v>
      </c>
      <c r="D3169" s="115" t="s">
        <v>1140</v>
      </c>
      <c r="E3169" s="115" t="s">
        <v>1141</v>
      </c>
    </row>
    <row r="3170" spans="2:5" x14ac:dyDescent="0.25">
      <c r="B3170" s="115" t="s">
        <v>1139</v>
      </c>
      <c r="D3170" s="115" t="s">
        <v>1140</v>
      </c>
      <c r="E3170" s="115" t="s">
        <v>1141</v>
      </c>
    </row>
    <row r="3171" spans="2:5" x14ac:dyDescent="0.25">
      <c r="B3171" s="115" t="s">
        <v>1139</v>
      </c>
      <c r="D3171" s="115" t="s">
        <v>1140</v>
      </c>
      <c r="E3171" s="115" t="s">
        <v>1141</v>
      </c>
    </row>
    <row r="3172" spans="2:5" x14ac:dyDescent="0.25">
      <c r="B3172" s="115" t="s">
        <v>1139</v>
      </c>
      <c r="D3172" s="115" t="s">
        <v>1140</v>
      </c>
      <c r="E3172" s="115" t="s">
        <v>1141</v>
      </c>
    </row>
    <row r="3173" spans="2:5" x14ac:dyDescent="0.25">
      <c r="B3173" s="115" t="s">
        <v>1139</v>
      </c>
      <c r="D3173" s="115" t="s">
        <v>1140</v>
      </c>
      <c r="E3173" s="115" t="s">
        <v>1141</v>
      </c>
    </row>
    <row r="3174" spans="2:5" x14ac:dyDescent="0.25">
      <c r="B3174" s="115" t="s">
        <v>1139</v>
      </c>
      <c r="D3174" s="115" t="s">
        <v>1140</v>
      </c>
      <c r="E3174" s="115" t="s">
        <v>1141</v>
      </c>
    </row>
    <row r="3175" spans="2:5" x14ac:dyDescent="0.25">
      <c r="B3175" s="115" t="s">
        <v>1139</v>
      </c>
      <c r="D3175" s="115" t="s">
        <v>1140</v>
      </c>
      <c r="E3175" s="115" t="s">
        <v>1141</v>
      </c>
    </row>
    <row r="3176" spans="2:5" x14ac:dyDescent="0.25">
      <c r="B3176" s="115" t="s">
        <v>1139</v>
      </c>
      <c r="D3176" s="115" t="s">
        <v>1140</v>
      </c>
      <c r="E3176" s="115" t="s">
        <v>1141</v>
      </c>
    </row>
    <row r="3177" spans="2:5" x14ac:dyDescent="0.25">
      <c r="B3177" s="115" t="s">
        <v>1139</v>
      </c>
      <c r="D3177" s="115" t="s">
        <v>1140</v>
      </c>
      <c r="E3177" s="115" t="s">
        <v>1141</v>
      </c>
    </row>
    <row r="3178" spans="2:5" x14ac:dyDescent="0.25">
      <c r="B3178" s="115" t="s">
        <v>1139</v>
      </c>
      <c r="D3178" s="115" t="s">
        <v>1140</v>
      </c>
      <c r="E3178" s="115" t="s">
        <v>1141</v>
      </c>
    </row>
    <row r="3179" spans="2:5" x14ac:dyDescent="0.25">
      <c r="B3179" s="115" t="s">
        <v>1139</v>
      </c>
      <c r="D3179" s="115" t="s">
        <v>1140</v>
      </c>
      <c r="E3179" s="115" t="s">
        <v>1141</v>
      </c>
    </row>
    <row r="3180" spans="2:5" x14ac:dyDescent="0.25">
      <c r="B3180" s="115" t="s">
        <v>1139</v>
      </c>
      <c r="D3180" s="115" t="s">
        <v>1140</v>
      </c>
      <c r="E3180" s="115" t="s">
        <v>1141</v>
      </c>
    </row>
    <row r="3181" spans="2:5" x14ac:dyDescent="0.25">
      <c r="B3181" s="115" t="s">
        <v>1139</v>
      </c>
      <c r="D3181" s="115" t="s">
        <v>1140</v>
      </c>
      <c r="E3181" s="115" t="s">
        <v>1141</v>
      </c>
    </row>
    <row r="3182" spans="2:5" x14ac:dyDescent="0.25">
      <c r="B3182" s="115" t="s">
        <v>1139</v>
      </c>
      <c r="D3182" s="115" t="s">
        <v>1140</v>
      </c>
      <c r="E3182" s="115" t="s">
        <v>1141</v>
      </c>
    </row>
    <row r="3183" spans="2:5" x14ac:dyDescent="0.25">
      <c r="B3183" s="115" t="s">
        <v>1139</v>
      </c>
      <c r="D3183" s="115" t="s">
        <v>1140</v>
      </c>
      <c r="E3183" s="115" t="s">
        <v>1141</v>
      </c>
    </row>
    <row r="3184" spans="2:5" x14ac:dyDescent="0.25">
      <c r="B3184" s="115" t="s">
        <v>1139</v>
      </c>
      <c r="D3184" s="115" t="s">
        <v>1140</v>
      </c>
      <c r="E3184" s="115" t="s">
        <v>1141</v>
      </c>
    </row>
    <row r="3185" spans="2:5" x14ac:dyDescent="0.25">
      <c r="B3185" s="115" t="s">
        <v>1139</v>
      </c>
      <c r="D3185" s="115" t="s">
        <v>1140</v>
      </c>
      <c r="E3185" s="115" t="s">
        <v>1141</v>
      </c>
    </row>
    <row r="3186" spans="2:5" x14ac:dyDescent="0.25">
      <c r="B3186" s="115" t="s">
        <v>1139</v>
      </c>
      <c r="D3186" s="115" t="s">
        <v>1140</v>
      </c>
      <c r="E3186" s="115" t="s">
        <v>1141</v>
      </c>
    </row>
    <row r="3187" spans="2:5" x14ac:dyDescent="0.25">
      <c r="B3187" s="115" t="s">
        <v>1139</v>
      </c>
      <c r="D3187" s="115" t="s">
        <v>1140</v>
      </c>
      <c r="E3187" s="115" t="s">
        <v>1141</v>
      </c>
    </row>
    <row r="3188" spans="2:5" x14ac:dyDescent="0.25">
      <c r="B3188" s="115" t="s">
        <v>1139</v>
      </c>
      <c r="D3188" s="115" t="s">
        <v>1140</v>
      </c>
      <c r="E3188" s="115" t="s">
        <v>1141</v>
      </c>
    </row>
    <row r="3189" spans="2:5" x14ac:dyDescent="0.25">
      <c r="B3189" s="115" t="s">
        <v>1139</v>
      </c>
      <c r="D3189" s="115" t="s">
        <v>1140</v>
      </c>
      <c r="E3189" s="115" t="s">
        <v>1141</v>
      </c>
    </row>
    <row r="3190" spans="2:5" x14ac:dyDescent="0.25">
      <c r="B3190" s="115" t="s">
        <v>1139</v>
      </c>
      <c r="D3190" s="115" t="s">
        <v>1140</v>
      </c>
      <c r="E3190" s="115" t="s">
        <v>1141</v>
      </c>
    </row>
    <row r="3191" spans="2:5" x14ac:dyDescent="0.25">
      <c r="B3191" s="115" t="s">
        <v>1139</v>
      </c>
      <c r="D3191" s="115" t="s">
        <v>1140</v>
      </c>
      <c r="E3191" s="115" t="s">
        <v>1141</v>
      </c>
    </row>
    <row r="3192" spans="2:5" x14ac:dyDescent="0.25">
      <c r="B3192" s="115" t="s">
        <v>1139</v>
      </c>
      <c r="D3192" s="115" t="s">
        <v>1140</v>
      </c>
      <c r="E3192" s="115" t="s">
        <v>1141</v>
      </c>
    </row>
    <row r="3193" spans="2:5" x14ac:dyDescent="0.25">
      <c r="B3193" s="115" t="s">
        <v>1139</v>
      </c>
      <c r="D3193" s="115" t="s">
        <v>1140</v>
      </c>
      <c r="E3193" s="115" t="s">
        <v>1141</v>
      </c>
    </row>
    <row r="3194" spans="2:5" x14ac:dyDescent="0.25">
      <c r="B3194" s="115" t="s">
        <v>1139</v>
      </c>
      <c r="D3194" s="115" t="s">
        <v>1140</v>
      </c>
      <c r="E3194" s="115" t="s">
        <v>1141</v>
      </c>
    </row>
    <row r="3195" spans="2:5" x14ac:dyDescent="0.25">
      <c r="B3195" s="115" t="s">
        <v>1139</v>
      </c>
      <c r="D3195" s="115" t="s">
        <v>1140</v>
      </c>
      <c r="E3195" s="115" t="s">
        <v>1141</v>
      </c>
    </row>
    <row r="3196" spans="2:5" x14ac:dyDescent="0.25">
      <c r="B3196" s="115" t="s">
        <v>1139</v>
      </c>
      <c r="D3196" s="115" t="s">
        <v>1140</v>
      </c>
      <c r="E3196" s="115" t="s">
        <v>1141</v>
      </c>
    </row>
    <row r="3197" spans="2:5" x14ac:dyDescent="0.25">
      <c r="B3197" s="115" t="s">
        <v>1139</v>
      </c>
      <c r="D3197" s="115" t="s">
        <v>1140</v>
      </c>
      <c r="E3197" s="115" t="s">
        <v>1141</v>
      </c>
    </row>
    <row r="3198" spans="2:5" x14ac:dyDescent="0.25">
      <c r="B3198" s="115" t="s">
        <v>1139</v>
      </c>
      <c r="D3198" s="115" t="s">
        <v>1140</v>
      </c>
      <c r="E3198" s="115" t="s">
        <v>1141</v>
      </c>
    </row>
    <row r="3199" spans="2:5" x14ac:dyDescent="0.25">
      <c r="B3199" s="115" t="s">
        <v>1139</v>
      </c>
      <c r="D3199" s="115" t="s">
        <v>1140</v>
      </c>
      <c r="E3199" s="115" t="s">
        <v>1141</v>
      </c>
    </row>
    <row r="3200" spans="2:5" x14ac:dyDescent="0.25">
      <c r="B3200" s="115" t="s">
        <v>1139</v>
      </c>
      <c r="D3200" s="115" t="s">
        <v>1140</v>
      </c>
      <c r="E3200" s="115" t="s">
        <v>1141</v>
      </c>
    </row>
    <row r="3201" spans="2:5" x14ac:dyDescent="0.25">
      <c r="B3201" s="115" t="s">
        <v>1139</v>
      </c>
      <c r="D3201" s="115" t="s">
        <v>1140</v>
      </c>
      <c r="E3201" s="115" t="s">
        <v>1141</v>
      </c>
    </row>
    <row r="3202" spans="2:5" x14ac:dyDescent="0.25">
      <c r="B3202" s="115" t="s">
        <v>1139</v>
      </c>
      <c r="D3202" s="115" t="s">
        <v>1140</v>
      </c>
      <c r="E3202" s="115" t="s">
        <v>1141</v>
      </c>
    </row>
    <row r="3203" spans="2:5" x14ac:dyDescent="0.25">
      <c r="B3203" s="115" t="s">
        <v>1139</v>
      </c>
      <c r="D3203" s="115" t="s">
        <v>1140</v>
      </c>
      <c r="E3203" s="115" t="s">
        <v>1141</v>
      </c>
    </row>
    <row r="3204" spans="2:5" x14ac:dyDescent="0.25">
      <c r="B3204" s="115" t="s">
        <v>1139</v>
      </c>
      <c r="D3204" s="115" t="s">
        <v>1140</v>
      </c>
      <c r="E3204" s="115" t="s">
        <v>1141</v>
      </c>
    </row>
    <row r="3205" spans="2:5" x14ac:dyDescent="0.25">
      <c r="B3205" s="115" t="s">
        <v>1139</v>
      </c>
      <c r="D3205" s="115" t="s">
        <v>1140</v>
      </c>
      <c r="E3205" s="115" t="s">
        <v>1141</v>
      </c>
    </row>
    <row r="3206" spans="2:5" x14ac:dyDescent="0.25">
      <c r="B3206" s="115" t="s">
        <v>1139</v>
      </c>
      <c r="D3206" s="115" t="s">
        <v>1140</v>
      </c>
      <c r="E3206" s="115" t="s">
        <v>1141</v>
      </c>
    </row>
    <row r="3207" spans="2:5" x14ac:dyDescent="0.25">
      <c r="B3207" s="115" t="s">
        <v>1139</v>
      </c>
      <c r="D3207" s="115" t="s">
        <v>1140</v>
      </c>
      <c r="E3207" s="115" t="s">
        <v>1141</v>
      </c>
    </row>
    <row r="3208" spans="2:5" x14ac:dyDescent="0.25">
      <c r="B3208" s="115" t="s">
        <v>1139</v>
      </c>
      <c r="D3208" s="115" t="s">
        <v>1140</v>
      </c>
      <c r="E3208" s="115" t="s">
        <v>1141</v>
      </c>
    </row>
    <row r="3209" spans="2:5" x14ac:dyDescent="0.25">
      <c r="B3209" s="115" t="s">
        <v>1139</v>
      </c>
      <c r="D3209" s="115" t="s">
        <v>1140</v>
      </c>
      <c r="E3209" s="115" t="s">
        <v>1141</v>
      </c>
    </row>
    <row r="3210" spans="2:5" x14ac:dyDescent="0.25">
      <c r="B3210" s="115" t="s">
        <v>1139</v>
      </c>
      <c r="D3210" s="115" t="s">
        <v>1140</v>
      </c>
      <c r="E3210" s="115" t="s">
        <v>1141</v>
      </c>
    </row>
    <row r="3211" spans="2:5" x14ac:dyDescent="0.25">
      <c r="B3211" s="115" t="s">
        <v>1139</v>
      </c>
      <c r="D3211" s="115" t="s">
        <v>1140</v>
      </c>
      <c r="E3211" s="115" t="s">
        <v>1141</v>
      </c>
    </row>
    <row r="3212" spans="2:5" x14ac:dyDescent="0.25">
      <c r="B3212" s="115" t="s">
        <v>1139</v>
      </c>
      <c r="D3212" s="115" t="s">
        <v>1140</v>
      </c>
      <c r="E3212" s="115" t="s">
        <v>1141</v>
      </c>
    </row>
    <row r="3213" spans="2:5" x14ac:dyDescent="0.25">
      <c r="B3213" s="115" t="s">
        <v>1139</v>
      </c>
      <c r="D3213" s="115" t="s">
        <v>1140</v>
      </c>
      <c r="E3213" s="115" t="s">
        <v>1141</v>
      </c>
    </row>
    <row r="3214" spans="2:5" x14ac:dyDescent="0.25">
      <c r="B3214" s="115" t="s">
        <v>1139</v>
      </c>
      <c r="D3214" s="115" t="s">
        <v>1140</v>
      </c>
      <c r="E3214" s="115" t="s">
        <v>1141</v>
      </c>
    </row>
    <row r="3215" spans="2:5" x14ac:dyDescent="0.25">
      <c r="B3215" s="115" t="s">
        <v>1139</v>
      </c>
      <c r="D3215" s="115" t="s">
        <v>1140</v>
      </c>
      <c r="E3215" s="115" t="s">
        <v>1141</v>
      </c>
    </row>
    <row r="3216" spans="2:5" x14ac:dyDescent="0.25">
      <c r="B3216" s="115" t="s">
        <v>1139</v>
      </c>
      <c r="D3216" s="115" t="s">
        <v>1140</v>
      </c>
      <c r="E3216" s="115" t="s">
        <v>1141</v>
      </c>
    </row>
    <row r="3217" spans="2:5" x14ac:dyDescent="0.25">
      <c r="B3217" s="115" t="s">
        <v>1139</v>
      </c>
      <c r="D3217" s="115" t="s">
        <v>1140</v>
      </c>
      <c r="E3217" s="115" t="s">
        <v>1141</v>
      </c>
    </row>
    <row r="3218" spans="2:5" x14ac:dyDescent="0.25">
      <c r="B3218" s="115" t="s">
        <v>1139</v>
      </c>
      <c r="D3218" s="115" t="s">
        <v>1140</v>
      </c>
      <c r="E3218" s="115" t="s">
        <v>1141</v>
      </c>
    </row>
    <row r="3219" spans="2:5" x14ac:dyDescent="0.25">
      <c r="B3219" s="115" t="s">
        <v>1139</v>
      </c>
      <c r="D3219" s="115" t="s">
        <v>1140</v>
      </c>
      <c r="E3219" s="115" t="s">
        <v>1141</v>
      </c>
    </row>
    <row r="3220" spans="2:5" x14ac:dyDescent="0.25">
      <c r="B3220" s="115" t="s">
        <v>1139</v>
      </c>
      <c r="D3220" s="115" t="s">
        <v>1140</v>
      </c>
      <c r="E3220" s="115" t="s">
        <v>1141</v>
      </c>
    </row>
    <row r="3221" spans="2:5" x14ac:dyDescent="0.25">
      <c r="B3221" s="115" t="s">
        <v>1139</v>
      </c>
      <c r="D3221" s="115" t="s">
        <v>1140</v>
      </c>
      <c r="E3221" s="115" t="s">
        <v>1141</v>
      </c>
    </row>
    <row r="3222" spans="2:5" x14ac:dyDescent="0.25">
      <c r="B3222" s="115" t="s">
        <v>1139</v>
      </c>
      <c r="D3222" s="115" t="s">
        <v>1140</v>
      </c>
      <c r="E3222" s="115" t="s">
        <v>1141</v>
      </c>
    </row>
    <row r="3223" spans="2:5" x14ac:dyDescent="0.25">
      <c r="B3223" s="115" t="s">
        <v>1139</v>
      </c>
      <c r="D3223" s="115" t="s">
        <v>1140</v>
      </c>
      <c r="E3223" s="115" t="s">
        <v>1141</v>
      </c>
    </row>
    <row r="3224" spans="2:5" x14ac:dyDescent="0.25">
      <c r="B3224" s="115" t="s">
        <v>1139</v>
      </c>
      <c r="D3224" s="115" t="s">
        <v>1140</v>
      </c>
      <c r="E3224" s="115" t="s">
        <v>1141</v>
      </c>
    </row>
    <row r="3225" spans="2:5" x14ac:dyDescent="0.25">
      <c r="B3225" s="115" t="s">
        <v>1139</v>
      </c>
      <c r="D3225" s="115" t="s">
        <v>1140</v>
      </c>
      <c r="E3225" s="115" t="s">
        <v>1141</v>
      </c>
    </row>
    <row r="3226" spans="2:5" x14ac:dyDescent="0.25">
      <c r="B3226" s="115" t="s">
        <v>1139</v>
      </c>
      <c r="D3226" s="115" t="s">
        <v>1140</v>
      </c>
      <c r="E3226" s="115" t="s">
        <v>1141</v>
      </c>
    </row>
    <row r="3227" spans="2:5" x14ac:dyDescent="0.25">
      <c r="B3227" s="115" t="s">
        <v>1139</v>
      </c>
      <c r="D3227" s="115" t="s">
        <v>1140</v>
      </c>
      <c r="E3227" s="115" t="s">
        <v>1141</v>
      </c>
    </row>
    <row r="3228" spans="2:5" x14ac:dyDescent="0.25">
      <c r="B3228" s="115" t="s">
        <v>1139</v>
      </c>
      <c r="D3228" s="115" t="s">
        <v>1140</v>
      </c>
      <c r="E3228" s="115" t="s">
        <v>1141</v>
      </c>
    </row>
    <row r="3229" spans="2:5" x14ac:dyDescent="0.25">
      <c r="B3229" s="115" t="s">
        <v>1139</v>
      </c>
      <c r="D3229" s="115" t="s">
        <v>1140</v>
      </c>
      <c r="E3229" s="115" t="s">
        <v>1141</v>
      </c>
    </row>
    <row r="3230" spans="2:5" x14ac:dyDescent="0.25">
      <c r="B3230" s="115" t="s">
        <v>1139</v>
      </c>
      <c r="D3230" s="115" t="s">
        <v>1140</v>
      </c>
      <c r="E3230" s="115" t="s">
        <v>1141</v>
      </c>
    </row>
    <row r="3231" spans="2:5" x14ac:dyDescent="0.25">
      <c r="B3231" s="115" t="s">
        <v>1139</v>
      </c>
      <c r="D3231" s="115" t="s">
        <v>1140</v>
      </c>
      <c r="E3231" s="115" t="s">
        <v>1141</v>
      </c>
    </row>
    <row r="3232" spans="2:5" x14ac:dyDescent="0.25">
      <c r="B3232" s="115" t="s">
        <v>1139</v>
      </c>
      <c r="D3232" s="115" t="s">
        <v>1140</v>
      </c>
      <c r="E3232" s="115" t="s">
        <v>1141</v>
      </c>
    </row>
    <row r="3233" spans="2:5" x14ac:dyDescent="0.25">
      <c r="B3233" s="115" t="s">
        <v>1139</v>
      </c>
      <c r="D3233" s="115" t="s">
        <v>1140</v>
      </c>
      <c r="E3233" s="115" t="s">
        <v>1141</v>
      </c>
    </row>
    <row r="3234" spans="2:5" x14ac:dyDescent="0.25">
      <c r="B3234" s="115" t="s">
        <v>1139</v>
      </c>
      <c r="D3234" s="115" t="s">
        <v>1140</v>
      </c>
      <c r="E3234" s="115" t="s">
        <v>1141</v>
      </c>
    </row>
    <row r="3235" spans="2:5" x14ac:dyDescent="0.25">
      <c r="B3235" s="115" t="s">
        <v>1139</v>
      </c>
      <c r="D3235" s="115" t="s">
        <v>1140</v>
      </c>
      <c r="E3235" s="115" t="s">
        <v>1141</v>
      </c>
    </row>
    <row r="3236" spans="2:5" x14ac:dyDescent="0.25">
      <c r="B3236" s="115" t="s">
        <v>1139</v>
      </c>
      <c r="D3236" s="115" t="s">
        <v>1140</v>
      </c>
      <c r="E3236" s="115" t="s">
        <v>1141</v>
      </c>
    </row>
    <row r="3237" spans="2:5" x14ac:dyDescent="0.25">
      <c r="B3237" s="115" t="s">
        <v>1139</v>
      </c>
      <c r="D3237" s="115" t="s">
        <v>1140</v>
      </c>
      <c r="E3237" s="115" t="s">
        <v>1141</v>
      </c>
    </row>
    <row r="3238" spans="2:5" x14ac:dyDescent="0.25">
      <c r="B3238" s="115" t="s">
        <v>1139</v>
      </c>
      <c r="D3238" s="115" t="s">
        <v>1140</v>
      </c>
      <c r="E3238" s="115" t="s">
        <v>1141</v>
      </c>
    </row>
    <row r="3239" spans="2:5" x14ac:dyDescent="0.25">
      <c r="B3239" s="115" t="s">
        <v>1139</v>
      </c>
      <c r="D3239" s="115" t="s">
        <v>1140</v>
      </c>
      <c r="E3239" s="115" t="s">
        <v>1141</v>
      </c>
    </row>
    <row r="3240" spans="2:5" x14ac:dyDescent="0.25">
      <c r="B3240" s="115" t="s">
        <v>1139</v>
      </c>
      <c r="D3240" s="115" t="s">
        <v>1140</v>
      </c>
      <c r="E3240" s="115" t="s">
        <v>1141</v>
      </c>
    </row>
    <row r="3241" spans="2:5" x14ac:dyDescent="0.25">
      <c r="B3241" s="115" t="s">
        <v>1139</v>
      </c>
      <c r="D3241" s="115" t="s">
        <v>1140</v>
      </c>
      <c r="E3241" s="115" t="s">
        <v>1141</v>
      </c>
    </row>
    <row r="3242" spans="2:5" x14ac:dyDescent="0.25">
      <c r="B3242" s="115" t="s">
        <v>1139</v>
      </c>
      <c r="D3242" s="115" t="s">
        <v>1140</v>
      </c>
      <c r="E3242" s="115" t="s">
        <v>1141</v>
      </c>
    </row>
    <row r="3243" spans="2:5" x14ac:dyDescent="0.25">
      <c r="B3243" s="115" t="s">
        <v>1139</v>
      </c>
      <c r="D3243" s="115" t="s">
        <v>1140</v>
      </c>
      <c r="E3243" s="115" t="s">
        <v>1141</v>
      </c>
    </row>
    <row r="3244" spans="2:5" x14ac:dyDescent="0.25">
      <c r="B3244" s="115" t="s">
        <v>1139</v>
      </c>
      <c r="D3244" s="115" t="s">
        <v>1140</v>
      </c>
      <c r="E3244" s="115" t="s">
        <v>1141</v>
      </c>
    </row>
    <row r="3245" spans="2:5" x14ac:dyDescent="0.25">
      <c r="B3245" s="115" t="s">
        <v>1139</v>
      </c>
      <c r="D3245" s="115" t="s">
        <v>1140</v>
      </c>
      <c r="E3245" s="115" t="s">
        <v>1141</v>
      </c>
    </row>
    <row r="3246" spans="2:5" x14ac:dyDescent="0.25">
      <c r="B3246" s="115" t="s">
        <v>1139</v>
      </c>
      <c r="D3246" s="115" t="s">
        <v>1140</v>
      </c>
      <c r="E3246" s="115" t="s">
        <v>1141</v>
      </c>
    </row>
    <row r="3247" spans="2:5" x14ac:dyDescent="0.25">
      <c r="B3247" s="115" t="s">
        <v>1139</v>
      </c>
      <c r="D3247" s="115" t="s">
        <v>1140</v>
      </c>
      <c r="E3247" s="115" t="s">
        <v>1141</v>
      </c>
    </row>
    <row r="3248" spans="2:5" x14ac:dyDescent="0.25">
      <c r="B3248" s="115" t="s">
        <v>1139</v>
      </c>
      <c r="D3248" s="115" t="s">
        <v>1140</v>
      </c>
      <c r="E3248" s="115" t="s">
        <v>1141</v>
      </c>
    </row>
    <row r="3249" spans="2:5" x14ac:dyDescent="0.25">
      <c r="B3249" s="115" t="s">
        <v>1139</v>
      </c>
      <c r="D3249" s="115" t="s">
        <v>1140</v>
      </c>
      <c r="E3249" s="115" t="s">
        <v>1141</v>
      </c>
    </row>
    <row r="3250" spans="2:5" x14ac:dyDescent="0.25">
      <c r="B3250" s="115" t="s">
        <v>1139</v>
      </c>
      <c r="D3250" s="115" t="s">
        <v>1140</v>
      </c>
      <c r="E3250" s="115" t="s">
        <v>1141</v>
      </c>
    </row>
    <row r="3251" spans="2:5" x14ac:dyDescent="0.25">
      <c r="B3251" s="115" t="s">
        <v>1139</v>
      </c>
      <c r="D3251" s="115" t="s">
        <v>1140</v>
      </c>
      <c r="E3251" s="115" t="s">
        <v>1141</v>
      </c>
    </row>
    <row r="3252" spans="2:5" x14ac:dyDescent="0.25">
      <c r="B3252" s="115" t="s">
        <v>1139</v>
      </c>
      <c r="D3252" s="115" t="s">
        <v>1140</v>
      </c>
      <c r="E3252" s="115" t="s">
        <v>1141</v>
      </c>
    </row>
    <row r="3253" spans="2:5" x14ac:dyDescent="0.25">
      <c r="B3253" s="115" t="s">
        <v>1139</v>
      </c>
      <c r="D3253" s="115" t="s">
        <v>1140</v>
      </c>
      <c r="E3253" s="115" t="s">
        <v>1141</v>
      </c>
    </row>
    <row r="3254" spans="2:5" x14ac:dyDescent="0.25">
      <c r="B3254" s="115" t="s">
        <v>1139</v>
      </c>
      <c r="D3254" s="115" t="s">
        <v>1140</v>
      </c>
      <c r="E3254" s="115" t="s">
        <v>1141</v>
      </c>
    </row>
    <row r="3255" spans="2:5" x14ac:dyDescent="0.25">
      <c r="B3255" s="115" t="s">
        <v>1139</v>
      </c>
      <c r="D3255" s="115" t="s">
        <v>1140</v>
      </c>
      <c r="E3255" s="115" t="s">
        <v>1141</v>
      </c>
    </row>
    <row r="3256" spans="2:5" x14ac:dyDescent="0.25">
      <c r="B3256" s="115" t="s">
        <v>1139</v>
      </c>
      <c r="D3256" s="115" t="s">
        <v>1140</v>
      </c>
      <c r="E3256" s="115" t="s">
        <v>1141</v>
      </c>
    </row>
    <row r="3257" spans="2:5" x14ac:dyDescent="0.25">
      <c r="B3257" s="115" t="s">
        <v>1139</v>
      </c>
      <c r="D3257" s="115" t="s">
        <v>1140</v>
      </c>
      <c r="E3257" s="115" t="s">
        <v>1141</v>
      </c>
    </row>
    <row r="3258" spans="2:5" x14ac:dyDescent="0.25">
      <c r="B3258" s="115" t="s">
        <v>1139</v>
      </c>
      <c r="D3258" s="115" t="s">
        <v>1140</v>
      </c>
      <c r="E3258" s="115" t="s">
        <v>1141</v>
      </c>
    </row>
    <row r="3259" spans="2:5" x14ac:dyDescent="0.25">
      <c r="B3259" s="115" t="s">
        <v>1139</v>
      </c>
      <c r="D3259" s="115" t="s">
        <v>1140</v>
      </c>
      <c r="E3259" s="115" t="s">
        <v>1141</v>
      </c>
    </row>
    <row r="3260" spans="2:5" x14ac:dyDescent="0.25">
      <c r="B3260" s="115" t="s">
        <v>1139</v>
      </c>
      <c r="D3260" s="115" t="s">
        <v>1140</v>
      </c>
      <c r="E3260" s="115" t="s">
        <v>1141</v>
      </c>
    </row>
    <row r="3261" spans="2:5" x14ac:dyDescent="0.25">
      <c r="B3261" s="115" t="s">
        <v>1139</v>
      </c>
      <c r="D3261" s="115" t="s">
        <v>1140</v>
      </c>
      <c r="E3261" s="115" t="s">
        <v>1141</v>
      </c>
    </row>
    <row r="3262" spans="2:5" x14ac:dyDescent="0.25">
      <c r="B3262" s="115" t="s">
        <v>1139</v>
      </c>
      <c r="D3262" s="115" t="s">
        <v>1140</v>
      </c>
      <c r="E3262" s="115" t="s">
        <v>1141</v>
      </c>
    </row>
    <row r="3263" spans="2:5" x14ac:dyDescent="0.25">
      <c r="B3263" s="115" t="s">
        <v>1139</v>
      </c>
      <c r="D3263" s="115" t="s">
        <v>1140</v>
      </c>
      <c r="E3263" s="115" t="s">
        <v>1141</v>
      </c>
    </row>
    <row r="3264" spans="2:5" x14ac:dyDescent="0.25">
      <c r="B3264" s="115" t="s">
        <v>1139</v>
      </c>
      <c r="D3264" s="115" t="s">
        <v>1140</v>
      </c>
      <c r="E3264" s="115" t="s">
        <v>1141</v>
      </c>
    </row>
    <row r="3265" spans="2:5" x14ac:dyDescent="0.25">
      <c r="B3265" s="115" t="s">
        <v>1139</v>
      </c>
      <c r="D3265" s="115" t="s">
        <v>1140</v>
      </c>
      <c r="E3265" s="115" t="s">
        <v>1141</v>
      </c>
    </row>
    <row r="3266" spans="2:5" x14ac:dyDescent="0.25">
      <c r="B3266" s="115" t="s">
        <v>1139</v>
      </c>
      <c r="D3266" s="115" t="s">
        <v>1140</v>
      </c>
      <c r="E3266" s="115" t="s">
        <v>1141</v>
      </c>
    </row>
    <row r="3267" spans="2:5" x14ac:dyDescent="0.25">
      <c r="B3267" s="115" t="s">
        <v>1139</v>
      </c>
      <c r="D3267" s="115" t="s">
        <v>1140</v>
      </c>
      <c r="E3267" s="115" t="s">
        <v>1141</v>
      </c>
    </row>
    <row r="3268" spans="2:5" x14ac:dyDescent="0.25">
      <c r="B3268" s="115" t="s">
        <v>1139</v>
      </c>
      <c r="D3268" s="115" t="s">
        <v>1140</v>
      </c>
      <c r="E3268" s="115" t="s">
        <v>1141</v>
      </c>
    </row>
    <row r="3269" spans="2:5" x14ac:dyDescent="0.25">
      <c r="B3269" s="115" t="s">
        <v>1139</v>
      </c>
      <c r="D3269" s="115" t="s">
        <v>1140</v>
      </c>
      <c r="E3269" s="115" t="s">
        <v>1141</v>
      </c>
    </row>
    <row r="3270" spans="2:5" x14ac:dyDescent="0.25">
      <c r="B3270" s="115" t="s">
        <v>1139</v>
      </c>
      <c r="D3270" s="115" t="s">
        <v>1140</v>
      </c>
      <c r="E3270" s="115" t="s">
        <v>1141</v>
      </c>
    </row>
    <row r="3271" spans="2:5" x14ac:dyDescent="0.25">
      <c r="B3271" s="115" t="s">
        <v>1139</v>
      </c>
      <c r="D3271" s="115" t="s">
        <v>1140</v>
      </c>
      <c r="E3271" s="115" t="s">
        <v>1141</v>
      </c>
    </row>
    <row r="3272" spans="2:5" x14ac:dyDescent="0.25">
      <c r="B3272" s="115" t="s">
        <v>1139</v>
      </c>
      <c r="D3272" s="115" t="s">
        <v>1140</v>
      </c>
      <c r="E3272" s="115" t="s">
        <v>1141</v>
      </c>
    </row>
    <row r="3273" spans="2:5" x14ac:dyDescent="0.25">
      <c r="B3273" s="115" t="s">
        <v>1139</v>
      </c>
      <c r="D3273" s="115" t="s">
        <v>1140</v>
      </c>
      <c r="E3273" s="115" t="s">
        <v>1141</v>
      </c>
    </row>
    <row r="3274" spans="2:5" x14ac:dyDescent="0.25">
      <c r="B3274" s="115" t="s">
        <v>1139</v>
      </c>
      <c r="D3274" s="115" t="s">
        <v>1140</v>
      </c>
      <c r="E3274" s="115" t="s">
        <v>1141</v>
      </c>
    </row>
    <row r="3275" spans="2:5" x14ac:dyDescent="0.25">
      <c r="B3275" s="115" t="s">
        <v>1139</v>
      </c>
      <c r="D3275" s="115" t="s">
        <v>1140</v>
      </c>
      <c r="E3275" s="115" t="s">
        <v>1141</v>
      </c>
    </row>
    <row r="3276" spans="2:5" x14ac:dyDescent="0.25">
      <c r="B3276" s="115" t="s">
        <v>1139</v>
      </c>
      <c r="D3276" s="115" t="s">
        <v>1140</v>
      </c>
      <c r="E3276" s="115" t="s">
        <v>1141</v>
      </c>
    </row>
    <row r="3277" spans="2:5" x14ac:dyDescent="0.25">
      <c r="B3277" s="115" t="s">
        <v>1139</v>
      </c>
      <c r="D3277" s="115" t="s">
        <v>1140</v>
      </c>
      <c r="E3277" s="115" t="s">
        <v>1141</v>
      </c>
    </row>
    <row r="3278" spans="2:5" x14ac:dyDescent="0.25">
      <c r="B3278" s="115" t="s">
        <v>1139</v>
      </c>
      <c r="D3278" s="115" t="s">
        <v>1140</v>
      </c>
      <c r="E3278" s="115" t="s">
        <v>1141</v>
      </c>
    </row>
    <row r="3279" spans="2:5" x14ac:dyDescent="0.25">
      <c r="B3279" s="115" t="s">
        <v>1139</v>
      </c>
      <c r="D3279" s="115" t="s">
        <v>1140</v>
      </c>
      <c r="E3279" s="115" t="s">
        <v>1141</v>
      </c>
    </row>
    <row r="3280" spans="2:5" x14ac:dyDescent="0.25">
      <c r="B3280" s="115" t="s">
        <v>1139</v>
      </c>
      <c r="D3280" s="115" t="s">
        <v>1140</v>
      </c>
      <c r="E3280" s="115" t="s">
        <v>1141</v>
      </c>
    </row>
    <row r="3281" spans="2:5" x14ac:dyDescent="0.25">
      <c r="B3281" s="115" t="s">
        <v>1139</v>
      </c>
      <c r="D3281" s="115" t="s">
        <v>1140</v>
      </c>
      <c r="E3281" s="115" t="s">
        <v>1141</v>
      </c>
    </row>
    <row r="3282" spans="2:5" x14ac:dyDescent="0.25">
      <c r="B3282" s="115" t="s">
        <v>1139</v>
      </c>
      <c r="D3282" s="115" t="s">
        <v>1140</v>
      </c>
      <c r="E3282" s="115" t="s">
        <v>1141</v>
      </c>
    </row>
    <row r="3283" spans="2:5" x14ac:dyDescent="0.25">
      <c r="B3283" s="115" t="s">
        <v>1139</v>
      </c>
      <c r="D3283" s="115" t="s">
        <v>1140</v>
      </c>
      <c r="E3283" s="115" t="s">
        <v>1141</v>
      </c>
    </row>
    <row r="3284" spans="2:5" x14ac:dyDescent="0.25">
      <c r="B3284" s="115" t="s">
        <v>1139</v>
      </c>
      <c r="D3284" s="115" t="s">
        <v>1140</v>
      </c>
      <c r="E3284" s="115" t="s">
        <v>1141</v>
      </c>
    </row>
    <row r="3285" spans="2:5" x14ac:dyDescent="0.25">
      <c r="B3285" s="115" t="s">
        <v>1139</v>
      </c>
      <c r="D3285" s="115" t="s">
        <v>1140</v>
      </c>
      <c r="E3285" s="115" t="s">
        <v>1141</v>
      </c>
    </row>
    <row r="3286" spans="2:5" x14ac:dyDescent="0.25">
      <c r="B3286" s="115" t="s">
        <v>1139</v>
      </c>
      <c r="D3286" s="115" t="s">
        <v>1140</v>
      </c>
      <c r="E3286" s="115" t="s">
        <v>1141</v>
      </c>
    </row>
    <row r="3287" spans="2:5" x14ac:dyDescent="0.25">
      <c r="B3287" s="115" t="s">
        <v>1139</v>
      </c>
      <c r="D3287" s="115" t="s">
        <v>1140</v>
      </c>
      <c r="E3287" s="115" t="s">
        <v>1141</v>
      </c>
    </row>
    <row r="3288" spans="2:5" x14ac:dyDescent="0.25">
      <c r="B3288" s="115" t="s">
        <v>1139</v>
      </c>
      <c r="D3288" s="115" t="s">
        <v>1140</v>
      </c>
      <c r="E3288" s="115" t="s">
        <v>1141</v>
      </c>
    </row>
    <row r="3289" spans="2:5" x14ac:dyDescent="0.25">
      <c r="B3289" s="115" t="s">
        <v>1139</v>
      </c>
      <c r="D3289" s="115" t="s">
        <v>1140</v>
      </c>
      <c r="E3289" s="115" t="s">
        <v>1141</v>
      </c>
    </row>
    <row r="3290" spans="2:5" x14ac:dyDescent="0.25">
      <c r="B3290" s="115" t="s">
        <v>1139</v>
      </c>
      <c r="D3290" s="115" t="s">
        <v>1140</v>
      </c>
      <c r="E3290" s="115" t="s">
        <v>1141</v>
      </c>
    </row>
    <row r="3291" spans="2:5" x14ac:dyDescent="0.25">
      <c r="B3291" s="115" t="s">
        <v>1139</v>
      </c>
      <c r="D3291" s="115" t="s">
        <v>1140</v>
      </c>
      <c r="E3291" s="115" t="s">
        <v>1141</v>
      </c>
    </row>
    <row r="3292" spans="2:5" x14ac:dyDescent="0.25">
      <c r="B3292" s="115" t="s">
        <v>1139</v>
      </c>
      <c r="D3292" s="115" t="s">
        <v>1140</v>
      </c>
      <c r="E3292" s="115" t="s">
        <v>1141</v>
      </c>
    </row>
    <row r="3293" spans="2:5" x14ac:dyDescent="0.25">
      <c r="B3293" s="115" t="s">
        <v>1139</v>
      </c>
      <c r="D3293" s="115" t="s">
        <v>1140</v>
      </c>
      <c r="E3293" s="115" t="s">
        <v>1141</v>
      </c>
    </row>
    <row r="3294" spans="2:5" x14ac:dyDescent="0.25">
      <c r="B3294" s="115" t="s">
        <v>1139</v>
      </c>
      <c r="D3294" s="115" t="s">
        <v>1140</v>
      </c>
      <c r="E3294" s="115" t="s">
        <v>1141</v>
      </c>
    </row>
    <row r="3295" spans="2:5" x14ac:dyDescent="0.25">
      <c r="B3295" s="115" t="s">
        <v>1139</v>
      </c>
      <c r="D3295" s="115" t="s">
        <v>1140</v>
      </c>
      <c r="E3295" s="115" t="s">
        <v>1141</v>
      </c>
    </row>
    <row r="3296" spans="2:5" x14ac:dyDescent="0.25">
      <c r="B3296" s="115" t="s">
        <v>1139</v>
      </c>
      <c r="D3296" s="115" t="s">
        <v>1140</v>
      </c>
      <c r="E3296" s="115" t="s">
        <v>1141</v>
      </c>
    </row>
    <row r="3297" spans="2:5" x14ac:dyDescent="0.25">
      <c r="B3297" s="115" t="s">
        <v>1139</v>
      </c>
      <c r="D3297" s="115" t="s">
        <v>1140</v>
      </c>
      <c r="E3297" s="115" t="s">
        <v>1141</v>
      </c>
    </row>
    <row r="3298" spans="2:5" x14ac:dyDescent="0.25">
      <c r="B3298" s="115" t="s">
        <v>1139</v>
      </c>
      <c r="D3298" s="115" t="s">
        <v>1140</v>
      </c>
      <c r="E3298" s="115" t="s">
        <v>1141</v>
      </c>
    </row>
    <row r="3299" spans="2:5" x14ac:dyDescent="0.25">
      <c r="B3299" s="115" t="s">
        <v>1139</v>
      </c>
      <c r="D3299" s="115" t="s">
        <v>1140</v>
      </c>
      <c r="E3299" s="115" t="s">
        <v>1141</v>
      </c>
    </row>
    <row r="3300" spans="2:5" x14ac:dyDescent="0.25">
      <c r="B3300" s="115" t="s">
        <v>1139</v>
      </c>
      <c r="D3300" s="115" t="s">
        <v>1140</v>
      </c>
      <c r="E3300" s="115" t="s">
        <v>1141</v>
      </c>
    </row>
    <row r="3301" spans="2:5" x14ac:dyDescent="0.25">
      <c r="B3301" s="115" t="s">
        <v>1139</v>
      </c>
      <c r="D3301" s="115" t="s">
        <v>1140</v>
      </c>
      <c r="E3301" s="115" t="s">
        <v>1141</v>
      </c>
    </row>
    <row r="3302" spans="2:5" x14ac:dyDescent="0.25">
      <c r="B3302" s="115" t="s">
        <v>1139</v>
      </c>
      <c r="D3302" s="115" t="s">
        <v>1140</v>
      </c>
      <c r="E3302" s="115" t="s">
        <v>1141</v>
      </c>
    </row>
    <row r="3303" spans="2:5" x14ac:dyDescent="0.25">
      <c r="B3303" s="115" t="s">
        <v>1139</v>
      </c>
      <c r="D3303" s="115" t="s">
        <v>1140</v>
      </c>
      <c r="E3303" s="115" t="s">
        <v>1141</v>
      </c>
    </row>
    <row r="3304" spans="2:5" x14ac:dyDescent="0.25">
      <c r="B3304" s="115" t="s">
        <v>1139</v>
      </c>
      <c r="D3304" s="115" t="s">
        <v>1140</v>
      </c>
      <c r="E3304" s="115" t="s">
        <v>1141</v>
      </c>
    </row>
    <row r="3305" spans="2:5" x14ac:dyDescent="0.25">
      <c r="B3305" s="115" t="s">
        <v>1139</v>
      </c>
      <c r="D3305" s="115" t="s">
        <v>1140</v>
      </c>
      <c r="E3305" s="115" t="s">
        <v>1141</v>
      </c>
    </row>
    <row r="3306" spans="2:5" x14ac:dyDescent="0.25">
      <c r="B3306" s="115" t="s">
        <v>1139</v>
      </c>
      <c r="D3306" s="115" t="s">
        <v>1140</v>
      </c>
      <c r="E3306" s="115" t="s">
        <v>1141</v>
      </c>
    </row>
    <row r="3307" spans="2:5" x14ac:dyDescent="0.25">
      <c r="B3307" s="115" t="s">
        <v>1139</v>
      </c>
      <c r="D3307" s="115" t="s">
        <v>1140</v>
      </c>
      <c r="E3307" s="115" t="s">
        <v>1141</v>
      </c>
    </row>
    <row r="3308" spans="2:5" x14ac:dyDescent="0.25">
      <c r="B3308" s="115" t="s">
        <v>1139</v>
      </c>
      <c r="D3308" s="115" t="s">
        <v>1140</v>
      </c>
      <c r="E3308" s="115" t="s">
        <v>1141</v>
      </c>
    </row>
    <row r="3309" spans="2:5" x14ac:dyDescent="0.25">
      <c r="B3309" s="115" t="s">
        <v>1139</v>
      </c>
      <c r="D3309" s="115" t="s">
        <v>1140</v>
      </c>
      <c r="E3309" s="115" t="s">
        <v>1141</v>
      </c>
    </row>
    <row r="3310" spans="2:5" x14ac:dyDescent="0.25">
      <c r="B3310" s="115" t="s">
        <v>1139</v>
      </c>
      <c r="D3310" s="115" t="s">
        <v>1140</v>
      </c>
      <c r="E3310" s="115" t="s">
        <v>1141</v>
      </c>
    </row>
    <row r="3311" spans="2:5" x14ac:dyDescent="0.25">
      <c r="B3311" s="115" t="s">
        <v>1139</v>
      </c>
      <c r="D3311" s="115" t="s">
        <v>1140</v>
      </c>
      <c r="E3311" s="115" t="s">
        <v>1141</v>
      </c>
    </row>
    <row r="3312" spans="2:5" x14ac:dyDescent="0.25">
      <c r="B3312" s="115" t="s">
        <v>1139</v>
      </c>
      <c r="D3312" s="115" t="s">
        <v>1140</v>
      </c>
      <c r="E3312" s="115" t="s">
        <v>1141</v>
      </c>
    </row>
    <row r="3313" spans="2:5" x14ac:dyDescent="0.25">
      <c r="B3313" s="115" t="s">
        <v>1139</v>
      </c>
      <c r="D3313" s="115" t="s">
        <v>1140</v>
      </c>
      <c r="E3313" s="115" t="s">
        <v>1141</v>
      </c>
    </row>
    <row r="3314" spans="2:5" x14ac:dyDescent="0.25">
      <c r="B3314" s="115" t="s">
        <v>1139</v>
      </c>
      <c r="D3314" s="115" t="s">
        <v>1140</v>
      </c>
      <c r="E3314" s="115" t="s">
        <v>1141</v>
      </c>
    </row>
    <row r="3315" spans="2:5" x14ac:dyDescent="0.25">
      <c r="B3315" s="115" t="s">
        <v>1139</v>
      </c>
      <c r="D3315" s="115" t="s">
        <v>1140</v>
      </c>
      <c r="E3315" s="115" t="s">
        <v>1141</v>
      </c>
    </row>
    <row r="3316" spans="2:5" x14ac:dyDescent="0.25">
      <c r="B3316" s="115" t="s">
        <v>1139</v>
      </c>
      <c r="D3316" s="115" t="s">
        <v>1140</v>
      </c>
      <c r="E3316" s="115" t="s">
        <v>1141</v>
      </c>
    </row>
    <row r="3317" spans="2:5" x14ac:dyDescent="0.25">
      <c r="B3317" s="115" t="s">
        <v>1139</v>
      </c>
      <c r="D3317" s="115" t="s">
        <v>1140</v>
      </c>
      <c r="E3317" s="115" t="s">
        <v>1141</v>
      </c>
    </row>
    <row r="3318" spans="2:5" x14ac:dyDescent="0.25">
      <c r="B3318" s="115" t="s">
        <v>1139</v>
      </c>
      <c r="D3318" s="115" t="s">
        <v>1140</v>
      </c>
      <c r="E3318" s="115" t="s">
        <v>1141</v>
      </c>
    </row>
    <row r="3319" spans="2:5" x14ac:dyDescent="0.25">
      <c r="B3319" s="115" t="s">
        <v>1139</v>
      </c>
      <c r="D3319" s="115" t="s">
        <v>1140</v>
      </c>
      <c r="E3319" s="115" t="s">
        <v>1141</v>
      </c>
    </row>
    <row r="3320" spans="2:5" x14ac:dyDescent="0.25">
      <c r="B3320" s="115" t="s">
        <v>1139</v>
      </c>
      <c r="D3320" s="115" t="s">
        <v>1140</v>
      </c>
      <c r="E3320" s="115" t="s">
        <v>1141</v>
      </c>
    </row>
    <row r="3321" spans="2:5" x14ac:dyDescent="0.25">
      <c r="B3321" s="115" t="s">
        <v>1139</v>
      </c>
      <c r="D3321" s="115" t="s">
        <v>1140</v>
      </c>
      <c r="E3321" s="115" t="s">
        <v>1141</v>
      </c>
    </row>
    <row r="3322" spans="2:5" x14ac:dyDescent="0.25">
      <c r="B3322" s="115" t="s">
        <v>1139</v>
      </c>
      <c r="D3322" s="115" t="s">
        <v>1140</v>
      </c>
      <c r="E3322" s="115" t="s">
        <v>1141</v>
      </c>
    </row>
    <row r="3323" spans="2:5" x14ac:dyDescent="0.25">
      <c r="B3323" s="115" t="s">
        <v>1139</v>
      </c>
      <c r="D3323" s="115" t="s">
        <v>1140</v>
      </c>
      <c r="E3323" s="115" t="s">
        <v>1141</v>
      </c>
    </row>
    <row r="3324" spans="2:5" x14ac:dyDescent="0.25">
      <c r="B3324" s="115" t="s">
        <v>1139</v>
      </c>
      <c r="D3324" s="115" t="s">
        <v>1140</v>
      </c>
      <c r="E3324" s="115" t="s">
        <v>1141</v>
      </c>
    </row>
    <row r="3325" spans="2:5" x14ac:dyDescent="0.25">
      <c r="B3325" s="115" t="s">
        <v>1139</v>
      </c>
      <c r="D3325" s="115" t="s">
        <v>1140</v>
      </c>
      <c r="E3325" s="115" t="s">
        <v>1141</v>
      </c>
    </row>
    <row r="3326" spans="2:5" x14ac:dyDescent="0.25">
      <c r="B3326" s="115" t="s">
        <v>1139</v>
      </c>
      <c r="D3326" s="115" t="s">
        <v>1140</v>
      </c>
      <c r="E3326" s="115" t="s">
        <v>1141</v>
      </c>
    </row>
    <row r="3327" spans="2:5" x14ac:dyDescent="0.25">
      <c r="B3327" s="115" t="s">
        <v>1139</v>
      </c>
      <c r="D3327" s="115" t="s">
        <v>1140</v>
      </c>
      <c r="E3327" s="115" t="s">
        <v>1141</v>
      </c>
    </row>
    <row r="3328" spans="2:5" x14ac:dyDescent="0.25">
      <c r="B3328" s="115" t="s">
        <v>1139</v>
      </c>
      <c r="D3328" s="115" t="s">
        <v>1140</v>
      </c>
      <c r="E3328" s="115" t="s">
        <v>1141</v>
      </c>
    </row>
    <row r="3329" spans="2:5" x14ac:dyDescent="0.25">
      <c r="B3329" s="115" t="s">
        <v>1139</v>
      </c>
      <c r="D3329" s="115" t="s">
        <v>1140</v>
      </c>
      <c r="E3329" s="115" t="s">
        <v>1141</v>
      </c>
    </row>
    <row r="3330" spans="2:5" x14ac:dyDescent="0.25">
      <c r="B3330" s="115" t="s">
        <v>1139</v>
      </c>
      <c r="D3330" s="115" t="s">
        <v>1140</v>
      </c>
      <c r="E3330" s="115" t="s">
        <v>1141</v>
      </c>
    </row>
    <row r="3331" spans="2:5" x14ac:dyDescent="0.25">
      <c r="B3331" s="115" t="s">
        <v>1139</v>
      </c>
      <c r="D3331" s="115" t="s">
        <v>1140</v>
      </c>
      <c r="E3331" s="115" t="s">
        <v>1141</v>
      </c>
    </row>
    <row r="3332" spans="2:5" x14ac:dyDescent="0.25">
      <c r="B3332" s="115" t="s">
        <v>1139</v>
      </c>
      <c r="D3332" s="115" t="s">
        <v>1140</v>
      </c>
      <c r="E3332" s="115" t="s">
        <v>1141</v>
      </c>
    </row>
    <row r="3333" spans="2:5" x14ac:dyDescent="0.25">
      <c r="B3333" s="115" t="s">
        <v>1139</v>
      </c>
      <c r="D3333" s="115" t="s">
        <v>1140</v>
      </c>
      <c r="E3333" s="115" t="s">
        <v>1141</v>
      </c>
    </row>
    <row r="3334" spans="2:5" x14ac:dyDescent="0.25">
      <c r="B3334" s="115" t="s">
        <v>1139</v>
      </c>
      <c r="D3334" s="115" t="s">
        <v>1140</v>
      </c>
      <c r="E3334" s="115" t="s">
        <v>1141</v>
      </c>
    </row>
    <row r="3335" spans="2:5" x14ac:dyDescent="0.25">
      <c r="B3335" s="115" t="s">
        <v>1139</v>
      </c>
      <c r="D3335" s="115" t="s">
        <v>1140</v>
      </c>
      <c r="E3335" s="115" t="s">
        <v>1141</v>
      </c>
    </row>
    <row r="3336" spans="2:5" x14ac:dyDescent="0.25">
      <c r="B3336" s="115" t="s">
        <v>1139</v>
      </c>
      <c r="D3336" s="115" t="s">
        <v>1140</v>
      </c>
      <c r="E3336" s="115" t="s">
        <v>1141</v>
      </c>
    </row>
    <row r="3337" spans="2:5" x14ac:dyDescent="0.25">
      <c r="B3337" s="115" t="s">
        <v>1139</v>
      </c>
      <c r="D3337" s="115" t="s">
        <v>1140</v>
      </c>
      <c r="E3337" s="115" t="s">
        <v>1141</v>
      </c>
    </row>
    <row r="3338" spans="2:5" x14ac:dyDescent="0.25">
      <c r="B3338" s="115" t="s">
        <v>1139</v>
      </c>
      <c r="D3338" s="115" t="s">
        <v>1140</v>
      </c>
      <c r="E3338" s="115" t="s">
        <v>1141</v>
      </c>
    </row>
    <row r="3339" spans="2:5" x14ac:dyDescent="0.25">
      <c r="B3339" s="115" t="s">
        <v>1139</v>
      </c>
      <c r="D3339" s="115" t="s">
        <v>1140</v>
      </c>
      <c r="E3339" s="115" t="s">
        <v>1141</v>
      </c>
    </row>
    <row r="3340" spans="2:5" x14ac:dyDescent="0.25">
      <c r="B3340" s="115" t="s">
        <v>1139</v>
      </c>
      <c r="D3340" s="115" t="s">
        <v>1140</v>
      </c>
      <c r="E3340" s="115" t="s">
        <v>1141</v>
      </c>
    </row>
    <row r="3341" spans="2:5" x14ac:dyDescent="0.25">
      <c r="B3341" s="115" t="s">
        <v>1139</v>
      </c>
      <c r="D3341" s="115" t="s">
        <v>1140</v>
      </c>
      <c r="E3341" s="115" t="s">
        <v>1141</v>
      </c>
    </row>
    <row r="3342" spans="2:5" x14ac:dyDescent="0.25">
      <c r="B3342" s="115" t="s">
        <v>1139</v>
      </c>
      <c r="D3342" s="115" t="s">
        <v>1140</v>
      </c>
      <c r="E3342" s="115" t="s">
        <v>1141</v>
      </c>
    </row>
    <row r="3343" spans="2:5" x14ac:dyDescent="0.25">
      <c r="B3343" s="115" t="s">
        <v>1139</v>
      </c>
      <c r="D3343" s="115" t="s">
        <v>1140</v>
      </c>
      <c r="E3343" s="115" t="s">
        <v>1141</v>
      </c>
    </row>
    <row r="3344" spans="2:5" x14ac:dyDescent="0.25">
      <c r="B3344" s="115" t="s">
        <v>1139</v>
      </c>
      <c r="D3344" s="115" t="s">
        <v>1140</v>
      </c>
      <c r="E3344" s="115" t="s">
        <v>1141</v>
      </c>
    </row>
    <row r="3345" spans="2:5" x14ac:dyDescent="0.25">
      <c r="B3345" s="115" t="s">
        <v>1139</v>
      </c>
      <c r="D3345" s="115" t="s">
        <v>1140</v>
      </c>
      <c r="E3345" s="115" t="s">
        <v>1141</v>
      </c>
    </row>
    <row r="3346" spans="2:5" x14ac:dyDescent="0.25">
      <c r="B3346" s="115" t="s">
        <v>1139</v>
      </c>
      <c r="D3346" s="115" t="s">
        <v>1140</v>
      </c>
      <c r="E3346" s="115" t="s">
        <v>1141</v>
      </c>
    </row>
    <row r="3347" spans="2:5" x14ac:dyDescent="0.25">
      <c r="B3347" s="115" t="s">
        <v>1139</v>
      </c>
      <c r="D3347" s="115" t="s">
        <v>1140</v>
      </c>
      <c r="E3347" s="115" t="s">
        <v>1141</v>
      </c>
    </row>
    <row r="3348" spans="2:5" x14ac:dyDescent="0.25">
      <c r="B3348" s="115" t="s">
        <v>1139</v>
      </c>
      <c r="D3348" s="115" t="s">
        <v>1140</v>
      </c>
      <c r="E3348" s="115" t="s">
        <v>1141</v>
      </c>
    </row>
    <row r="3349" spans="2:5" x14ac:dyDescent="0.25">
      <c r="B3349" s="115" t="s">
        <v>1139</v>
      </c>
      <c r="D3349" s="115" t="s">
        <v>1140</v>
      </c>
      <c r="E3349" s="115" t="s">
        <v>1141</v>
      </c>
    </row>
    <row r="3350" spans="2:5" x14ac:dyDescent="0.25">
      <c r="B3350" s="115" t="s">
        <v>1139</v>
      </c>
      <c r="D3350" s="115" t="s">
        <v>1140</v>
      </c>
      <c r="E3350" s="115" t="s">
        <v>1141</v>
      </c>
    </row>
    <row r="3351" spans="2:5" x14ac:dyDescent="0.25">
      <c r="B3351" s="115" t="s">
        <v>1139</v>
      </c>
      <c r="D3351" s="115" t="s">
        <v>1140</v>
      </c>
      <c r="E3351" s="115" t="s">
        <v>1141</v>
      </c>
    </row>
    <row r="3352" spans="2:5" x14ac:dyDescent="0.25">
      <c r="B3352" s="115" t="s">
        <v>1139</v>
      </c>
      <c r="D3352" s="115" t="s">
        <v>1140</v>
      </c>
      <c r="E3352" s="115" t="s">
        <v>1141</v>
      </c>
    </row>
    <row r="3353" spans="2:5" x14ac:dyDescent="0.25">
      <c r="B3353" s="115" t="s">
        <v>1139</v>
      </c>
      <c r="D3353" s="115" t="s">
        <v>1140</v>
      </c>
      <c r="E3353" s="115" t="s">
        <v>1141</v>
      </c>
    </row>
    <row r="3354" spans="2:5" x14ac:dyDescent="0.25">
      <c r="B3354" s="115" t="s">
        <v>1139</v>
      </c>
      <c r="D3354" s="115" t="s">
        <v>1140</v>
      </c>
      <c r="E3354" s="115" t="s">
        <v>1141</v>
      </c>
    </row>
    <row r="3355" spans="2:5" x14ac:dyDescent="0.25">
      <c r="B3355" s="115" t="s">
        <v>1139</v>
      </c>
      <c r="D3355" s="115" t="s">
        <v>1140</v>
      </c>
      <c r="E3355" s="115" t="s">
        <v>1141</v>
      </c>
    </row>
    <row r="3356" spans="2:5" x14ac:dyDescent="0.25">
      <c r="B3356" s="115" t="s">
        <v>1139</v>
      </c>
      <c r="D3356" s="115" t="s">
        <v>1140</v>
      </c>
      <c r="E3356" s="115" t="s">
        <v>1141</v>
      </c>
    </row>
    <row r="3357" spans="2:5" x14ac:dyDescent="0.25">
      <c r="B3357" s="115" t="s">
        <v>1139</v>
      </c>
      <c r="D3357" s="115" t="s">
        <v>1140</v>
      </c>
      <c r="E3357" s="115" t="s">
        <v>1141</v>
      </c>
    </row>
    <row r="3358" spans="2:5" x14ac:dyDescent="0.25">
      <c r="B3358" s="115" t="s">
        <v>1139</v>
      </c>
      <c r="D3358" s="115" t="s">
        <v>1140</v>
      </c>
      <c r="E3358" s="115" t="s">
        <v>1141</v>
      </c>
    </row>
    <row r="3359" spans="2:5" x14ac:dyDescent="0.25">
      <c r="B3359" s="115" t="s">
        <v>1139</v>
      </c>
      <c r="D3359" s="115" t="s">
        <v>1140</v>
      </c>
      <c r="E3359" s="115" t="s">
        <v>1141</v>
      </c>
    </row>
    <row r="3360" spans="2:5" x14ac:dyDescent="0.25">
      <c r="B3360" s="115" t="s">
        <v>1139</v>
      </c>
      <c r="D3360" s="115" t="s">
        <v>1140</v>
      </c>
      <c r="E3360" s="115" t="s">
        <v>1141</v>
      </c>
    </row>
    <row r="3361" spans="2:5" x14ac:dyDescent="0.25">
      <c r="B3361" s="115" t="s">
        <v>1139</v>
      </c>
      <c r="D3361" s="115" t="s">
        <v>1140</v>
      </c>
      <c r="E3361" s="115" t="s">
        <v>1141</v>
      </c>
    </row>
    <row r="3362" spans="2:5" x14ac:dyDescent="0.25">
      <c r="B3362" s="115" t="s">
        <v>1139</v>
      </c>
      <c r="D3362" s="115" t="s">
        <v>1140</v>
      </c>
      <c r="E3362" s="115" t="s">
        <v>1141</v>
      </c>
    </row>
    <row r="3363" spans="2:5" x14ac:dyDescent="0.25">
      <c r="B3363" s="115" t="s">
        <v>1139</v>
      </c>
      <c r="D3363" s="115" t="s">
        <v>1140</v>
      </c>
      <c r="E3363" s="115" t="s">
        <v>1141</v>
      </c>
    </row>
    <row r="3364" spans="2:5" x14ac:dyDescent="0.25">
      <c r="B3364" s="115" t="s">
        <v>1139</v>
      </c>
      <c r="D3364" s="115" t="s">
        <v>1140</v>
      </c>
      <c r="E3364" s="115" t="s">
        <v>1141</v>
      </c>
    </row>
    <row r="3365" spans="2:5" x14ac:dyDescent="0.25">
      <c r="B3365" s="115" t="s">
        <v>1139</v>
      </c>
      <c r="D3365" s="115" t="s">
        <v>1140</v>
      </c>
      <c r="E3365" s="115" t="s">
        <v>1141</v>
      </c>
    </row>
    <row r="3366" spans="2:5" x14ac:dyDescent="0.25">
      <c r="B3366" s="115" t="s">
        <v>1139</v>
      </c>
      <c r="D3366" s="115" t="s">
        <v>1140</v>
      </c>
      <c r="E3366" s="115" t="s">
        <v>1141</v>
      </c>
    </row>
    <row r="3367" spans="2:5" x14ac:dyDescent="0.25">
      <c r="B3367" s="115" t="s">
        <v>1139</v>
      </c>
      <c r="D3367" s="115" t="s">
        <v>1140</v>
      </c>
      <c r="E3367" s="115" t="s">
        <v>1141</v>
      </c>
    </row>
    <row r="3368" spans="2:5" x14ac:dyDescent="0.25">
      <c r="B3368" s="115" t="s">
        <v>1139</v>
      </c>
      <c r="D3368" s="115" t="s">
        <v>1140</v>
      </c>
      <c r="E3368" s="115" t="s">
        <v>1141</v>
      </c>
    </row>
    <row r="3369" spans="2:5" x14ac:dyDescent="0.25">
      <c r="B3369" s="115" t="s">
        <v>1139</v>
      </c>
      <c r="D3369" s="115" t="s">
        <v>1140</v>
      </c>
      <c r="E3369" s="115" t="s">
        <v>1141</v>
      </c>
    </row>
    <row r="3370" spans="2:5" x14ac:dyDescent="0.25">
      <c r="B3370" s="115" t="s">
        <v>1139</v>
      </c>
      <c r="D3370" s="115" t="s">
        <v>1140</v>
      </c>
      <c r="E3370" s="115" t="s">
        <v>1141</v>
      </c>
    </row>
    <row r="3371" spans="2:5" x14ac:dyDescent="0.25">
      <c r="B3371" s="115" t="s">
        <v>1139</v>
      </c>
      <c r="D3371" s="115" t="s">
        <v>1140</v>
      </c>
      <c r="E3371" s="115" t="s">
        <v>1141</v>
      </c>
    </row>
    <row r="3372" spans="2:5" x14ac:dyDescent="0.25">
      <c r="B3372" s="115" t="s">
        <v>1139</v>
      </c>
      <c r="D3372" s="115" t="s">
        <v>1140</v>
      </c>
      <c r="E3372" s="115" t="s">
        <v>1141</v>
      </c>
    </row>
    <row r="3373" spans="2:5" x14ac:dyDescent="0.25">
      <c r="B3373" s="115" t="s">
        <v>1139</v>
      </c>
      <c r="D3373" s="115" t="s">
        <v>1140</v>
      </c>
      <c r="E3373" s="115" t="s">
        <v>1141</v>
      </c>
    </row>
    <row r="3374" spans="2:5" x14ac:dyDescent="0.25">
      <c r="B3374" s="115" t="s">
        <v>1139</v>
      </c>
      <c r="D3374" s="115" t="s">
        <v>1140</v>
      </c>
      <c r="E3374" s="115" t="s">
        <v>1141</v>
      </c>
    </row>
    <row r="3375" spans="2:5" x14ac:dyDescent="0.25">
      <c r="B3375" s="115" t="s">
        <v>1139</v>
      </c>
      <c r="D3375" s="115" t="s">
        <v>1140</v>
      </c>
      <c r="E3375" s="115" t="s">
        <v>1141</v>
      </c>
    </row>
    <row r="3376" spans="2:5" x14ac:dyDescent="0.25">
      <c r="B3376" s="115" t="s">
        <v>1139</v>
      </c>
      <c r="D3376" s="115" t="s">
        <v>1140</v>
      </c>
      <c r="E3376" s="115" t="s">
        <v>1141</v>
      </c>
    </row>
    <row r="3377" spans="2:5" x14ac:dyDescent="0.25">
      <c r="B3377" s="115" t="s">
        <v>1139</v>
      </c>
      <c r="D3377" s="115" t="s">
        <v>1140</v>
      </c>
      <c r="E3377" s="115" t="s">
        <v>1141</v>
      </c>
    </row>
    <row r="3378" spans="2:5" x14ac:dyDescent="0.25">
      <c r="B3378" s="115" t="s">
        <v>1139</v>
      </c>
      <c r="D3378" s="115" t="s">
        <v>1140</v>
      </c>
      <c r="E3378" s="115" t="s">
        <v>1141</v>
      </c>
    </row>
    <row r="3379" spans="2:5" x14ac:dyDescent="0.25">
      <c r="B3379" s="115" t="s">
        <v>1139</v>
      </c>
      <c r="D3379" s="115" t="s">
        <v>1140</v>
      </c>
      <c r="E3379" s="115" t="s">
        <v>1141</v>
      </c>
    </row>
    <row r="3380" spans="2:5" x14ac:dyDescent="0.25">
      <c r="B3380" s="115" t="s">
        <v>1139</v>
      </c>
      <c r="D3380" s="115" t="s">
        <v>1140</v>
      </c>
      <c r="E3380" s="115" t="s">
        <v>1141</v>
      </c>
    </row>
    <row r="3381" spans="2:5" x14ac:dyDescent="0.25">
      <c r="B3381" s="115" t="s">
        <v>1139</v>
      </c>
      <c r="D3381" s="115" t="s">
        <v>1140</v>
      </c>
      <c r="E3381" s="115" t="s">
        <v>1141</v>
      </c>
    </row>
    <row r="3382" spans="2:5" x14ac:dyDescent="0.25">
      <c r="B3382" s="115" t="s">
        <v>1139</v>
      </c>
      <c r="D3382" s="115" t="s">
        <v>1140</v>
      </c>
      <c r="E3382" s="115" t="s">
        <v>1141</v>
      </c>
    </row>
    <row r="3383" spans="2:5" x14ac:dyDescent="0.25">
      <c r="B3383" s="115" t="s">
        <v>1139</v>
      </c>
      <c r="D3383" s="115" t="s">
        <v>1140</v>
      </c>
      <c r="E3383" s="115" t="s">
        <v>1141</v>
      </c>
    </row>
    <row r="3384" spans="2:5" x14ac:dyDescent="0.25">
      <c r="B3384" s="115" t="s">
        <v>1139</v>
      </c>
      <c r="D3384" s="115" t="s">
        <v>1140</v>
      </c>
      <c r="E3384" s="115" t="s">
        <v>1141</v>
      </c>
    </row>
    <row r="3385" spans="2:5" x14ac:dyDescent="0.25">
      <c r="B3385" s="115" t="s">
        <v>1139</v>
      </c>
      <c r="D3385" s="115" t="s">
        <v>1140</v>
      </c>
      <c r="E3385" s="115" t="s">
        <v>1141</v>
      </c>
    </row>
    <row r="3386" spans="2:5" x14ac:dyDescent="0.25">
      <c r="B3386" s="115" t="s">
        <v>1139</v>
      </c>
      <c r="D3386" s="115" t="s">
        <v>1140</v>
      </c>
      <c r="E3386" s="115" t="s">
        <v>1141</v>
      </c>
    </row>
    <row r="3387" spans="2:5" x14ac:dyDescent="0.25">
      <c r="B3387" s="115" t="s">
        <v>1139</v>
      </c>
      <c r="D3387" s="115" t="s">
        <v>1140</v>
      </c>
      <c r="E3387" s="115" t="s">
        <v>1141</v>
      </c>
    </row>
    <row r="3388" spans="2:5" x14ac:dyDescent="0.25">
      <c r="B3388" s="115" t="s">
        <v>1139</v>
      </c>
      <c r="D3388" s="115" t="s">
        <v>1140</v>
      </c>
      <c r="E3388" s="115" t="s">
        <v>1141</v>
      </c>
    </row>
    <row r="3389" spans="2:5" x14ac:dyDescent="0.25">
      <c r="B3389" s="115" t="s">
        <v>1139</v>
      </c>
      <c r="D3389" s="115" t="s">
        <v>1140</v>
      </c>
      <c r="E3389" s="115" t="s">
        <v>1141</v>
      </c>
    </row>
    <row r="3390" spans="2:5" x14ac:dyDescent="0.25">
      <c r="B3390" s="115" t="s">
        <v>1139</v>
      </c>
      <c r="D3390" s="115" t="s">
        <v>1140</v>
      </c>
      <c r="E3390" s="115" t="s">
        <v>1141</v>
      </c>
    </row>
    <row r="3391" spans="2:5" x14ac:dyDescent="0.25">
      <c r="B3391" s="115" t="s">
        <v>1139</v>
      </c>
      <c r="D3391" s="115" t="s">
        <v>1140</v>
      </c>
      <c r="E3391" s="115" t="s">
        <v>1141</v>
      </c>
    </row>
    <row r="3392" spans="2:5" x14ac:dyDescent="0.25">
      <c r="B3392" s="115" t="s">
        <v>1139</v>
      </c>
      <c r="D3392" s="115" t="s">
        <v>1140</v>
      </c>
      <c r="E3392" s="115" t="s">
        <v>1141</v>
      </c>
    </row>
    <row r="3393" spans="2:5" x14ac:dyDescent="0.25">
      <c r="B3393" s="115" t="s">
        <v>1139</v>
      </c>
      <c r="D3393" s="115" t="s">
        <v>1140</v>
      </c>
      <c r="E3393" s="115" t="s">
        <v>1141</v>
      </c>
    </row>
    <row r="3394" spans="2:5" x14ac:dyDescent="0.25">
      <c r="B3394" s="115" t="s">
        <v>1139</v>
      </c>
      <c r="D3394" s="115" t="s">
        <v>1140</v>
      </c>
      <c r="E3394" s="115" t="s">
        <v>1141</v>
      </c>
    </row>
    <row r="3395" spans="2:5" x14ac:dyDescent="0.25">
      <c r="B3395" s="115" t="s">
        <v>1139</v>
      </c>
      <c r="D3395" s="115" t="s">
        <v>1140</v>
      </c>
      <c r="E3395" s="115" t="s">
        <v>1141</v>
      </c>
    </row>
    <row r="3396" spans="2:5" x14ac:dyDescent="0.25">
      <c r="B3396" s="115" t="s">
        <v>1139</v>
      </c>
      <c r="D3396" s="115" t="s">
        <v>1140</v>
      </c>
      <c r="E3396" s="115" t="s">
        <v>1141</v>
      </c>
    </row>
    <row r="3397" spans="2:5" x14ac:dyDescent="0.25">
      <c r="B3397" s="115" t="s">
        <v>1139</v>
      </c>
      <c r="D3397" s="115" t="s">
        <v>1140</v>
      </c>
      <c r="E3397" s="115" t="s">
        <v>1141</v>
      </c>
    </row>
    <row r="3398" spans="2:5" x14ac:dyDescent="0.25">
      <c r="B3398" s="115" t="s">
        <v>1139</v>
      </c>
      <c r="D3398" s="115" t="s">
        <v>1140</v>
      </c>
      <c r="E3398" s="115" t="s">
        <v>1141</v>
      </c>
    </row>
    <row r="3399" spans="2:5" x14ac:dyDescent="0.25">
      <c r="B3399" s="115" t="s">
        <v>1139</v>
      </c>
      <c r="D3399" s="115" t="s">
        <v>1140</v>
      </c>
      <c r="E3399" s="115" t="s">
        <v>1141</v>
      </c>
    </row>
    <row r="3400" spans="2:5" x14ac:dyDescent="0.25">
      <c r="B3400" s="115" t="s">
        <v>1139</v>
      </c>
      <c r="D3400" s="115" t="s">
        <v>1140</v>
      </c>
      <c r="E3400" s="115" t="s">
        <v>1141</v>
      </c>
    </row>
    <row r="3401" spans="2:5" x14ac:dyDescent="0.25">
      <c r="B3401" s="115" t="s">
        <v>1139</v>
      </c>
      <c r="D3401" s="115" t="s">
        <v>1140</v>
      </c>
      <c r="E3401" s="115" t="s">
        <v>1141</v>
      </c>
    </row>
    <row r="3402" spans="2:5" x14ac:dyDescent="0.25">
      <c r="B3402" s="115" t="s">
        <v>1139</v>
      </c>
      <c r="D3402" s="115" t="s">
        <v>1140</v>
      </c>
      <c r="E3402" s="115" t="s">
        <v>1141</v>
      </c>
    </row>
    <row r="3403" spans="2:5" x14ac:dyDescent="0.25">
      <c r="B3403" s="115" t="s">
        <v>1139</v>
      </c>
      <c r="D3403" s="115" t="s">
        <v>1140</v>
      </c>
      <c r="E3403" s="115" t="s">
        <v>1141</v>
      </c>
    </row>
    <row r="3404" spans="2:5" x14ac:dyDescent="0.25">
      <c r="B3404" s="115" t="s">
        <v>1139</v>
      </c>
      <c r="D3404" s="115" t="s">
        <v>1140</v>
      </c>
      <c r="E3404" s="115" t="s">
        <v>1141</v>
      </c>
    </row>
    <row r="3405" spans="2:5" x14ac:dyDescent="0.25">
      <c r="B3405" s="115" t="s">
        <v>1139</v>
      </c>
      <c r="D3405" s="115" t="s">
        <v>1140</v>
      </c>
      <c r="E3405" s="115" t="s">
        <v>1141</v>
      </c>
    </row>
    <row r="3406" spans="2:5" x14ac:dyDescent="0.25">
      <c r="B3406" s="115" t="s">
        <v>1139</v>
      </c>
      <c r="D3406" s="115" t="s">
        <v>1140</v>
      </c>
      <c r="E3406" s="115" t="s">
        <v>1141</v>
      </c>
    </row>
    <row r="3407" spans="2:5" x14ac:dyDescent="0.25">
      <c r="B3407" s="115" t="s">
        <v>1139</v>
      </c>
      <c r="D3407" s="115" t="s">
        <v>1140</v>
      </c>
      <c r="E3407" s="115" t="s">
        <v>1141</v>
      </c>
    </row>
    <row r="3408" spans="2:5" x14ac:dyDescent="0.25">
      <c r="B3408" s="115" t="s">
        <v>1139</v>
      </c>
      <c r="D3408" s="115" t="s">
        <v>1140</v>
      </c>
      <c r="E3408" s="115" t="s">
        <v>1141</v>
      </c>
    </row>
    <row r="3409" spans="2:5" x14ac:dyDescent="0.25">
      <c r="B3409" s="115" t="s">
        <v>1139</v>
      </c>
      <c r="D3409" s="115" t="s">
        <v>1140</v>
      </c>
      <c r="E3409" s="115" t="s">
        <v>1141</v>
      </c>
    </row>
    <row r="3410" spans="2:5" x14ac:dyDescent="0.25">
      <c r="B3410" s="115" t="s">
        <v>1139</v>
      </c>
      <c r="D3410" s="115" t="s">
        <v>1140</v>
      </c>
      <c r="E3410" s="115" t="s">
        <v>1141</v>
      </c>
    </row>
    <row r="3411" spans="2:5" x14ac:dyDescent="0.25">
      <c r="B3411" s="115" t="s">
        <v>1139</v>
      </c>
      <c r="D3411" s="115" t="s">
        <v>1140</v>
      </c>
      <c r="E3411" s="115" t="s">
        <v>1141</v>
      </c>
    </row>
    <row r="3412" spans="2:5" x14ac:dyDescent="0.25">
      <c r="B3412" s="115" t="s">
        <v>1139</v>
      </c>
      <c r="D3412" s="115" t="s">
        <v>1140</v>
      </c>
      <c r="E3412" s="115" t="s">
        <v>1141</v>
      </c>
    </row>
    <row r="3413" spans="2:5" x14ac:dyDescent="0.25">
      <c r="B3413" s="115" t="s">
        <v>1139</v>
      </c>
      <c r="D3413" s="115" t="s">
        <v>1140</v>
      </c>
      <c r="E3413" s="115" t="s">
        <v>1141</v>
      </c>
    </row>
    <row r="3414" spans="2:5" x14ac:dyDescent="0.25">
      <c r="B3414" s="115" t="s">
        <v>1139</v>
      </c>
      <c r="D3414" s="115" t="s">
        <v>1140</v>
      </c>
      <c r="E3414" s="115" t="s">
        <v>1141</v>
      </c>
    </row>
    <row r="3415" spans="2:5" x14ac:dyDescent="0.25">
      <c r="B3415" s="115" t="s">
        <v>1139</v>
      </c>
      <c r="D3415" s="115" t="s">
        <v>1140</v>
      </c>
      <c r="E3415" s="115" t="s">
        <v>1141</v>
      </c>
    </row>
    <row r="3416" spans="2:5" x14ac:dyDescent="0.25">
      <c r="B3416" s="115" t="s">
        <v>1139</v>
      </c>
      <c r="D3416" s="115" t="s">
        <v>1140</v>
      </c>
      <c r="E3416" s="115" t="s">
        <v>1141</v>
      </c>
    </row>
    <row r="3417" spans="2:5" x14ac:dyDescent="0.25">
      <c r="B3417" s="115" t="s">
        <v>1139</v>
      </c>
      <c r="D3417" s="115" t="s">
        <v>1140</v>
      </c>
      <c r="E3417" s="115" t="s">
        <v>1141</v>
      </c>
    </row>
    <row r="3418" spans="2:5" x14ac:dyDescent="0.25">
      <c r="B3418" s="115" t="s">
        <v>1139</v>
      </c>
      <c r="D3418" s="115" t="s">
        <v>1140</v>
      </c>
      <c r="E3418" s="115" t="s">
        <v>1141</v>
      </c>
    </row>
    <row r="3419" spans="2:5" x14ac:dyDescent="0.25">
      <c r="B3419" s="115" t="s">
        <v>1139</v>
      </c>
      <c r="D3419" s="115" t="s">
        <v>1140</v>
      </c>
      <c r="E3419" s="115" t="s">
        <v>1141</v>
      </c>
    </row>
    <row r="3420" spans="2:5" x14ac:dyDescent="0.25">
      <c r="B3420" s="115" t="s">
        <v>1139</v>
      </c>
      <c r="D3420" s="115" t="s">
        <v>1140</v>
      </c>
      <c r="E3420" s="115" t="s">
        <v>1141</v>
      </c>
    </row>
    <row r="3421" spans="2:5" x14ac:dyDescent="0.25">
      <c r="B3421" s="115" t="s">
        <v>1139</v>
      </c>
      <c r="D3421" s="115" t="s">
        <v>1140</v>
      </c>
      <c r="E3421" s="115" t="s">
        <v>1141</v>
      </c>
    </row>
    <row r="3422" spans="2:5" x14ac:dyDescent="0.25">
      <c r="B3422" s="115" t="s">
        <v>1139</v>
      </c>
      <c r="D3422" s="115" t="s">
        <v>1140</v>
      </c>
      <c r="E3422" s="115" t="s">
        <v>1141</v>
      </c>
    </row>
    <row r="3423" spans="2:5" x14ac:dyDescent="0.25">
      <c r="B3423" s="115" t="s">
        <v>1139</v>
      </c>
      <c r="D3423" s="115" t="s">
        <v>1140</v>
      </c>
      <c r="E3423" s="115" t="s">
        <v>1141</v>
      </c>
    </row>
    <row r="3424" spans="2:5" x14ac:dyDescent="0.25">
      <c r="B3424" s="115" t="s">
        <v>1139</v>
      </c>
      <c r="D3424" s="115" t="s">
        <v>1140</v>
      </c>
      <c r="E3424" s="115" t="s">
        <v>1141</v>
      </c>
    </row>
    <row r="3425" spans="2:5" x14ac:dyDescent="0.25">
      <c r="B3425" s="115" t="s">
        <v>1139</v>
      </c>
      <c r="D3425" s="115" t="s">
        <v>1140</v>
      </c>
      <c r="E3425" s="115" t="s">
        <v>1141</v>
      </c>
    </row>
    <row r="3426" spans="2:5" x14ac:dyDescent="0.25">
      <c r="B3426" s="115" t="s">
        <v>1139</v>
      </c>
      <c r="D3426" s="115" t="s">
        <v>1140</v>
      </c>
      <c r="E3426" s="115" t="s">
        <v>1141</v>
      </c>
    </row>
    <row r="3427" spans="2:5" x14ac:dyDescent="0.25">
      <c r="B3427" s="115" t="s">
        <v>1139</v>
      </c>
      <c r="D3427" s="115" t="s">
        <v>1140</v>
      </c>
      <c r="E3427" s="115" t="s">
        <v>1141</v>
      </c>
    </row>
    <row r="3428" spans="2:5" x14ac:dyDescent="0.25">
      <c r="B3428" s="115" t="s">
        <v>1139</v>
      </c>
      <c r="D3428" s="115" t="s">
        <v>1140</v>
      </c>
      <c r="E3428" s="115" t="s">
        <v>1141</v>
      </c>
    </row>
    <row r="3429" spans="2:5" x14ac:dyDescent="0.25">
      <c r="B3429" s="115" t="s">
        <v>1139</v>
      </c>
      <c r="D3429" s="115" t="s">
        <v>1140</v>
      </c>
      <c r="E3429" s="115" t="s">
        <v>1141</v>
      </c>
    </row>
    <row r="3430" spans="2:5" x14ac:dyDescent="0.25">
      <c r="B3430" s="115" t="s">
        <v>1139</v>
      </c>
      <c r="D3430" s="115" t="s">
        <v>1140</v>
      </c>
      <c r="E3430" s="115" t="s">
        <v>1141</v>
      </c>
    </row>
    <row r="3431" spans="2:5" x14ac:dyDescent="0.25">
      <c r="B3431" s="115" t="s">
        <v>1139</v>
      </c>
      <c r="D3431" s="115" t="s">
        <v>1140</v>
      </c>
      <c r="E3431" s="115" t="s">
        <v>1141</v>
      </c>
    </row>
    <row r="3432" spans="2:5" x14ac:dyDescent="0.25">
      <c r="B3432" s="115" t="s">
        <v>1139</v>
      </c>
      <c r="D3432" s="115" t="s">
        <v>1140</v>
      </c>
      <c r="E3432" s="115" t="s">
        <v>1141</v>
      </c>
    </row>
    <row r="3433" spans="2:5" x14ac:dyDescent="0.25">
      <c r="B3433" s="115" t="s">
        <v>1139</v>
      </c>
      <c r="D3433" s="115" t="s">
        <v>1140</v>
      </c>
      <c r="E3433" s="115" t="s">
        <v>1141</v>
      </c>
    </row>
    <row r="3434" spans="2:5" x14ac:dyDescent="0.25">
      <c r="B3434" s="115" t="s">
        <v>1139</v>
      </c>
      <c r="D3434" s="115" t="s">
        <v>1140</v>
      </c>
      <c r="E3434" s="115" t="s">
        <v>1141</v>
      </c>
    </row>
    <row r="3435" spans="2:5" x14ac:dyDescent="0.25">
      <c r="B3435" s="115" t="s">
        <v>1139</v>
      </c>
      <c r="D3435" s="115" t="s">
        <v>1140</v>
      </c>
      <c r="E3435" s="115" t="s">
        <v>1141</v>
      </c>
    </row>
    <row r="3436" spans="2:5" x14ac:dyDescent="0.25">
      <c r="B3436" s="115" t="s">
        <v>1139</v>
      </c>
      <c r="D3436" s="115" t="s">
        <v>1140</v>
      </c>
      <c r="E3436" s="115" t="s">
        <v>1141</v>
      </c>
    </row>
    <row r="3437" spans="2:5" x14ac:dyDescent="0.25">
      <c r="B3437" s="115" t="s">
        <v>1139</v>
      </c>
      <c r="D3437" s="115" t="s">
        <v>1140</v>
      </c>
      <c r="E3437" s="115" t="s">
        <v>1141</v>
      </c>
    </row>
    <row r="3438" spans="2:5" x14ac:dyDescent="0.25">
      <c r="B3438" s="115" t="s">
        <v>1139</v>
      </c>
      <c r="D3438" s="115" t="s">
        <v>1140</v>
      </c>
      <c r="E3438" s="115" t="s">
        <v>1141</v>
      </c>
    </row>
    <row r="3439" spans="2:5" x14ac:dyDescent="0.25">
      <c r="B3439" s="115" t="s">
        <v>1139</v>
      </c>
      <c r="D3439" s="115" t="s">
        <v>1140</v>
      </c>
      <c r="E3439" s="115" t="s">
        <v>1141</v>
      </c>
    </row>
    <row r="3440" spans="2:5" x14ac:dyDescent="0.25">
      <c r="B3440" s="115" t="s">
        <v>1139</v>
      </c>
      <c r="D3440" s="115" t="s">
        <v>1140</v>
      </c>
      <c r="E3440" s="115" t="s">
        <v>1141</v>
      </c>
    </row>
    <row r="3441" spans="2:5" x14ac:dyDescent="0.25">
      <c r="B3441" s="115" t="s">
        <v>1139</v>
      </c>
      <c r="D3441" s="115" t="s">
        <v>1140</v>
      </c>
      <c r="E3441" s="115" t="s">
        <v>1141</v>
      </c>
    </row>
    <row r="3442" spans="2:5" x14ac:dyDescent="0.25">
      <c r="B3442" s="115" t="s">
        <v>1139</v>
      </c>
      <c r="D3442" s="115" t="s">
        <v>1140</v>
      </c>
      <c r="E3442" s="115" t="s">
        <v>1141</v>
      </c>
    </row>
    <row r="3443" spans="2:5" x14ac:dyDescent="0.25">
      <c r="B3443" s="115" t="s">
        <v>1139</v>
      </c>
      <c r="D3443" s="115" t="s">
        <v>1140</v>
      </c>
      <c r="E3443" s="115" t="s">
        <v>1141</v>
      </c>
    </row>
    <row r="3444" spans="2:5" x14ac:dyDescent="0.25">
      <c r="B3444" s="115" t="s">
        <v>1139</v>
      </c>
      <c r="D3444" s="115" t="s">
        <v>1140</v>
      </c>
      <c r="E3444" s="115" t="s">
        <v>1141</v>
      </c>
    </row>
    <row r="3445" spans="2:5" x14ac:dyDescent="0.25">
      <c r="B3445" s="115" t="s">
        <v>1139</v>
      </c>
      <c r="D3445" s="115" t="s">
        <v>1140</v>
      </c>
      <c r="E3445" s="115" t="s">
        <v>1141</v>
      </c>
    </row>
    <row r="3446" spans="2:5" x14ac:dyDescent="0.25">
      <c r="B3446" s="115" t="s">
        <v>1139</v>
      </c>
      <c r="D3446" s="115" t="s">
        <v>1140</v>
      </c>
      <c r="E3446" s="115" t="s">
        <v>1141</v>
      </c>
    </row>
    <row r="3447" spans="2:5" x14ac:dyDescent="0.25">
      <c r="B3447" s="115" t="s">
        <v>1139</v>
      </c>
      <c r="D3447" s="115" t="s">
        <v>1140</v>
      </c>
      <c r="E3447" s="115" t="s">
        <v>1141</v>
      </c>
    </row>
    <row r="3448" spans="2:5" x14ac:dyDescent="0.25">
      <c r="B3448" s="115" t="s">
        <v>1139</v>
      </c>
      <c r="D3448" s="115" t="s">
        <v>1140</v>
      </c>
      <c r="E3448" s="115" t="s">
        <v>1141</v>
      </c>
    </row>
    <row r="3449" spans="2:5" x14ac:dyDescent="0.25">
      <c r="B3449" s="115" t="s">
        <v>1139</v>
      </c>
      <c r="D3449" s="115" t="s">
        <v>1140</v>
      </c>
      <c r="E3449" s="115" t="s">
        <v>1141</v>
      </c>
    </row>
    <row r="3450" spans="2:5" x14ac:dyDescent="0.25">
      <c r="B3450" s="115" t="s">
        <v>1139</v>
      </c>
      <c r="D3450" s="115" t="s">
        <v>1140</v>
      </c>
      <c r="E3450" s="115" t="s">
        <v>1141</v>
      </c>
    </row>
    <row r="3451" spans="2:5" x14ac:dyDescent="0.25">
      <c r="B3451" s="115" t="s">
        <v>1139</v>
      </c>
      <c r="D3451" s="115" t="s">
        <v>1140</v>
      </c>
      <c r="E3451" s="115" t="s">
        <v>1141</v>
      </c>
    </row>
    <row r="3452" spans="2:5" x14ac:dyDescent="0.25">
      <c r="B3452" s="115" t="s">
        <v>1139</v>
      </c>
      <c r="D3452" s="115" t="s">
        <v>1140</v>
      </c>
      <c r="E3452" s="115" t="s">
        <v>1141</v>
      </c>
    </row>
    <row r="3453" spans="2:5" x14ac:dyDescent="0.25">
      <c r="B3453" s="115" t="s">
        <v>1139</v>
      </c>
      <c r="D3453" s="115" t="s">
        <v>1140</v>
      </c>
      <c r="E3453" s="115" t="s">
        <v>1141</v>
      </c>
    </row>
    <row r="3454" spans="2:5" x14ac:dyDescent="0.25">
      <c r="B3454" s="115" t="s">
        <v>1139</v>
      </c>
      <c r="D3454" s="115" t="s">
        <v>1140</v>
      </c>
      <c r="E3454" s="115" t="s">
        <v>1141</v>
      </c>
    </row>
    <row r="3455" spans="2:5" x14ac:dyDescent="0.25">
      <c r="B3455" s="115" t="s">
        <v>1139</v>
      </c>
      <c r="D3455" s="115" t="s">
        <v>1140</v>
      </c>
      <c r="E3455" s="115" t="s">
        <v>1141</v>
      </c>
    </row>
    <row r="3456" spans="2:5" x14ac:dyDescent="0.25">
      <c r="B3456" s="115" t="s">
        <v>1139</v>
      </c>
      <c r="D3456" s="115" t="s">
        <v>1140</v>
      </c>
      <c r="E3456" s="115" t="s">
        <v>1141</v>
      </c>
    </row>
    <row r="3457" spans="2:5" x14ac:dyDescent="0.25">
      <c r="B3457" s="115" t="s">
        <v>1139</v>
      </c>
      <c r="D3457" s="115" t="s">
        <v>1140</v>
      </c>
      <c r="E3457" s="115" t="s">
        <v>1141</v>
      </c>
    </row>
    <row r="3458" spans="2:5" x14ac:dyDescent="0.25">
      <c r="B3458" s="115" t="s">
        <v>1139</v>
      </c>
      <c r="D3458" s="115" t="s">
        <v>1140</v>
      </c>
      <c r="E3458" s="115" t="s">
        <v>1141</v>
      </c>
    </row>
    <row r="3459" spans="2:5" x14ac:dyDescent="0.25">
      <c r="B3459" s="115" t="s">
        <v>1139</v>
      </c>
      <c r="D3459" s="115" t="s">
        <v>1140</v>
      </c>
      <c r="E3459" s="115" t="s">
        <v>1141</v>
      </c>
    </row>
    <row r="3460" spans="2:5" x14ac:dyDescent="0.25">
      <c r="B3460" s="115" t="s">
        <v>1139</v>
      </c>
      <c r="D3460" s="115" t="s">
        <v>1140</v>
      </c>
      <c r="E3460" s="115" t="s">
        <v>1141</v>
      </c>
    </row>
    <row r="3461" spans="2:5" x14ac:dyDescent="0.25">
      <c r="B3461" s="115" t="s">
        <v>1139</v>
      </c>
      <c r="D3461" s="115" t="s">
        <v>1140</v>
      </c>
      <c r="E3461" s="115" t="s">
        <v>1141</v>
      </c>
    </row>
    <row r="3462" spans="2:5" x14ac:dyDescent="0.25">
      <c r="B3462" s="115" t="s">
        <v>1139</v>
      </c>
      <c r="D3462" s="115" t="s">
        <v>1140</v>
      </c>
      <c r="E3462" s="115" t="s">
        <v>1141</v>
      </c>
    </row>
    <row r="3463" spans="2:5" x14ac:dyDescent="0.25">
      <c r="B3463" s="115" t="s">
        <v>1139</v>
      </c>
      <c r="D3463" s="115" t="s">
        <v>1140</v>
      </c>
      <c r="E3463" s="115" t="s">
        <v>1141</v>
      </c>
    </row>
    <row r="3464" spans="2:5" x14ac:dyDescent="0.25">
      <c r="B3464" s="115" t="s">
        <v>1139</v>
      </c>
      <c r="D3464" s="115" t="s">
        <v>1140</v>
      </c>
      <c r="E3464" s="115" t="s">
        <v>1141</v>
      </c>
    </row>
    <row r="3465" spans="2:5" x14ac:dyDescent="0.25">
      <c r="B3465" s="115" t="s">
        <v>1139</v>
      </c>
      <c r="D3465" s="115" t="s">
        <v>1140</v>
      </c>
      <c r="E3465" s="115" t="s">
        <v>1141</v>
      </c>
    </row>
    <row r="3466" spans="2:5" x14ac:dyDescent="0.25">
      <c r="B3466" s="115" t="s">
        <v>1139</v>
      </c>
      <c r="D3466" s="115" t="s">
        <v>1140</v>
      </c>
      <c r="E3466" s="115" t="s">
        <v>1141</v>
      </c>
    </row>
    <row r="3467" spans="2:5" x14ac:dyDescent="0.25">
      <c r="B3467" s="115" t="s">
        <v>1139</v>
      </c>
      <c r="D3467" s="115" t="s">
        <v>1140</v>
      </c>
      <c r="E3467" s="115" t="s">
        <v>1141</v>
      </c>
    </row>
    <row r="3468" spans="2:5" x14ac:dyDescent="0.25">
      <c r="B3468" s="115" t="s">
        <v>1139</v>
      </c>
      <c r="D3468" s="115" t="s">
        <v>1140</v>
      </c>
      <c r="E3468" s="115" t="s">
        <v>1141</v>
      </c>
    </row>
    <row r="3469" spans="2:5" x14ac:dyDescent="0.25">
      <c r="B3469" s="115" t="s">
        <v>1139</v>
      </c>
      <c r="D3469" s="115" t="s">
        <v>1140</v>
      </c>
      <c r="E3469" s="115" t="s">
        <v>1141</v>
      </c>
    </row>
    <row r="3470" spans="2:5" x14ac:dyDescent="0.25">
      <c r="B3470" s="115" t="s">
        <v>1139</v>
      </c>
      <c r="D3470" s="115" t="s">
        <v>1140</v>
      </c>
      <c r="E3470" s="115" t="s">
        <v>1141</v>
      </c>
    </row>
    <row r="3471" spans="2:5" x14ac:dyDescent="0.25">
      <c r="B3471" s="115" t="s">
        <v>1139</v>
      </c>
      <c r="D3471" s="115" t="s">
        <v>1140</v>
      </c>
      <c r="E3471" s="115" t="s">
        <v>1141</v>
      </c>
    </row>
    <row r="3472" spans="2:5" x14ac:dyDescent="0.25">
      <c r="B3472" s="115" t="s">
        <v>1139</v>
      </c>
      <c r="D3472" s="115" t="s">
        <v>1140</v>
      </c>
      <c r="E3472" s="115" t="s">
        <v>1141</v>
      </c>
    </row>
    <row r="3473" spans="1:5" x14ac:dyDescent="0.25">
      <c r="B3473" s="115" t="s">
        <v>1139</v>
      </c>
      <c r="D3473" s="115" t="s">
        <v>1140</v>
      </c>
      <c r="E3473" s="115" t="s">
        <v>1141</v>
      </c>
    </row>
    <row r="3474" spans="1:5" x14ac:dyDescent="0.25">
      <c r="B3474" s="115" t="s">
        <v>1139</v>
      </c>
      <c r="D3474" s="115" t="s">
        <v>1140</v>
      </c>
      <c r="E3474" s="115" t="s">
        <v>1141</v>
      </c>
    </row>
    <row r="3475" spans="1:5" x14ac:dyDescent="0.25">
      <c r="B3475" s="115" t="s">
        <v>1139</v>
      </c>
      <c r="D3475" s="115" t="s">
        <v>1140</v>
      </c>
      <c r="E3475" s="115" t="s">
        <v>1141</v>
      </c>
    </row>
    <row r="3476" spans="1:5" x14ac:dyDescent="0.25">
      <c r="B3476" s="115" t="s">
        <v>1139</v>
      </c>
      <c r="D3476" s="115" t="s">
        <v>2172</v>
      </c>
      <c r="E3476" s="115" t="s">
        <v>4852</v>
      </c>
    </row>
    <row r="3477" spans="1:5" x14ac:dyDescent="0.25">
      <c r="B3477" s="115" t="s">
        <v>2241</v>
      </c>
      <c r="D3477" s="115" t="s">
        <v>1533</v>
      </c>
      <c r="E3477" s="115" t="s">
        <v>4853</v>
      </c>
    </row>
    <row r="3478" spans="1:5" x14ac:dyDescent="0.25">
      <c r="B3478" s="115" t="s">
        <v>1139</v>
      </c>
      <c r="D3478" s="115" t="s">
        <v>1140</v>
      </c>
      <c r="E3478" s="115" t="s">
        <v>4854</v>
      </c>
    </row>
    <row r="3479" spans="1:5" x14ac:dyDescent="0.25">
      <c r="B3479" s="115" t="s">
        <v>4855</v>
      </c>
      <c r="D3479" s="115" t="s">
        <v>4856</v>
      </c>
      <c r="E3479" s="115" t="s">
        <v>4857</v>
      </c>
    </row>
    <row r="3480" spans="1:5" x14ac:dyDescent="0.25">
      <c r="B3480" s="115" t="s">
        <v>1634</v>
      </c>
      <c r="D3480" s="115" t="s">
        <v>4858</v>
      </c>
      <c r="E3480" s="115" t="s">
        <v>1141</v>
      </c>
    </row>
    <row r="3481" spans="1:5" x14ac:dyDescent="0.25">
      <c r="B3481" s="115" t="s">
        <v>1465</v>
      </c>
      <c r="D3481" s="115" t="s">
        <v>1140</v>
      </c>
      <c r="E3481" s="115" t="s">
        <v>4859</v>
      </c>
    </row>
    <row r="3482" spans="1:5" x14ac:dyDescent="0.25">
      <c r="B3482" s="115" t="s">
        <v>4860</v>
      </c>
      <c r="D3482" s="115" t="s">
        <v>1140</v>
      </c>
      <c r="E3482" s="115" t="s">
        <v>4861</v>
      </c>
    </row>
    <row r="3483" spans="1:5" x14ac:dyDescent="0.25">
      <c r="B3483" s="115" t="s">
        <v>4862</v>
      </c>
      <c r="D3483" s="115" t="s">
        <v>4863</v>
      </c>
      <c r="E3483" s="115" t="s">
        <v>4864</v>
      </c>
    </row>
    <row r="3484" spans="1:5" x14ac:dyDescent="0.25">
      <c r="B3484" s="115" t="s">
        <v>1441</v>
      </c>
      <c r="D3484" s="115" t="s">
        <v>1830</v>
      </c>
      <c r="E3484" s="115" t="s">
        <v>4865</v>
      </c>
    </row>
    <row r="3485" spans="1:5" x14ac:dyDescent="0.25">
      <c r="B3485" s="115" t="s">
        <v>4866</v>
      </c>
      <c r="D3485" s="115" t="s">
        <v>4867</v>
      </c>
      <c r="E3485" s="115" t="s">
        <v>4868</v>
      </c>
    </row>
    <row r="3486" spans="1:5" x14ac:dyDescent="0.25">
      <c r="A3486" s="115" t="s">
        <v>1138</v>
      </c>
      <c r="B3486" s="115" t="s">
        <v>4869</v>
      </c>
      <c r="D3486" s="115" t="s">
        <v>4870</v>
      </c>
      <c r="E3486" s="115" t="s">
        <v>4871</v>
      </c>
    </row>
    <row r="3487" spans="1:5" x14ac:dyDescent="0.25">
      <c r="B3487" s="115" t="s">
        <v>1217</v>
      </c>
      <c r="D3487" s="115" t="s">
        <v>4124</v>
      </c>
      <c r="E3487" s="115" t="s">
        <v>4872</v>
      </c>
    </row>
    <row r="3488" spans="1:5" x14ac:dyDescent="0.25">
      <c r="A3488" s="115" t="s">
        <v>1138</v>
      </c>
      <c r="B3488" s="115" t="s">
        <v>4873</v>
      </c>
      <c r="D3488" s="115" t="s">
        <v>4874</v>
      </c>
      <c r="E3488" s="115" t="s">
        <v>4875</v>
      </c>
    </row>
    <row r="3489" spans="1:5" x14ac:dyDescent="0.25">
      <c r="A3489" s="115" t="s">
        <v>1138</v>
      </c>
      <c r="B3489" s="115" t="s">
        <v>4876</v>
      </c>
      <c r="D3489" s="115" t="s">
        <v>4877</v>
      </c>
      <c r="E3489" s="115" t="s">
        <v>4878</v>
      </c>
    </row>
    <row r="3490" spans="1:5" x14ac:dyDescent="0.25">
      <c r="B3490" s="115" t="s">
        <v>1253</v>
      </c>
      <c r="D3490" s="115" t="s">
        <v>1893</v>
      </c>
      <c r="E3490" s="115" t="s">
        <v>4879</v>
      </c>
    </row>
    <row r="3491" spans="1:5" x14ac:dyDescent="0.25">
      <c r="A3491" s="115">
        <v>-1</v>
      </c>
      <c r="B3491" s="115" t="s">
        <v>1302</v>
      </c>
      <c r="D3491" s="115" t="s">
        <v>4880</v>
      </c>
      <c r="E3491" s="115" t="s">
        <v>4881</v>
      </c>
    </row>
    <row r="3492" spans="1:5" x14ac:dyDescent="0.25">
      <c r="A3492" s="115" t="s">
        <v>1138</v>
      </c>
      <c r="B3492" s="115" t="s">
        <v>4882</v>
      </c>
      <c r="D3492" s="115" t="s">
        <v>4883</v>
      </c>
      <c r="E3492" s="115" t="s">
        <v>4884</v>
      </c>
    </row>
    <row r="3493" spans="1:5" x14ac:dyDescent="0.25">
      <c r="B3493" s="115" t="s">
        <v>1139</v>
      </c>
      <c r="D3493" s="115" t="s">
        <v>4885</v>
      </c>
      <c r="E3493" s="115" t="s">
        <v>4886</v>
      </c>
    </row>
    <row r="3494" spans="1:5" x14ac:dyDescent="0.25">
      <c r="B3494" s="115" t="s">
        <v>1139</v>
      </c>
      <c r="D3494" s="115" t="s">
        <v>4887</v>
      </c>
      <c r="E3494" s="115" t="s">
        <v>4888</v>
      </c>
    </row>
    <row r="3495" spans="1:5" x14ac:dyDescent="0.25">
      <c r="B3495" s="115">
        <f>-55    -43</f>
        <v>-98</v>
      </c>
      <c r="D3495" s="115" t="s">
        <v>3876</v>
      </c>
      <c r="E3495" s="115" t="s">
        <v>4889</v>
      </c>
    </row>
    <row r="3496" spans="1:5" x14ac:dyDescent="0.25">
      <c r="B3496" s="115" t="s">
        <v>4890</v>
      </c>
      <c r="D3496" s="115" t="s">
        <v>3770</v>
      </c>
      <c r="E3496" s="115" t="s">
        <v>4891</v>
      </c>
    </row>
    <row r="3497" spans="1:5" x14ac:dyDescent="0.25">
      <c r="A3497" s="115" t="s">
        <v>1138</v>
      </c>
      <c r="B3497" s="115" t="s">
        <v>4892</v>
      </c>
      <c r="D3497" s="115" t="s">
        <v>4893</v>
      </c>
      <c r="E3497" s="115" t="s">
        <v>1141</v>
      </c>
    </row>
    <row r="3498" spans="1:5" x14ac:dyDescent="0.25">
      <c r="B3498" s="115" t="s">
        <v>1535</v>
      </c>
      <c r="D3498" s="115" t="s">
        <v>4894</v>
      </c>
      <c r="E3498" s="115" t="s">
        <v>4895</v>
      </c>
    </row>
    <row r="3499" spans="1:5" x14ac:dyDescent="0.25">
      <c r="B3499" s="115" t="s">
        <v>1523</v>
      </c>
      <c r="D3499" s="115" t="s">
        <v>4896</v>
      </c>
      <c r="E3499" s="115" t="s">
        <v>4897</v>
      </c>
    </row>
    <row r="3500" spans="1:5" x14ac:dyDescent="0.25">
      <c r="B3500" s="115" t="s">
        <v>1139</v>
      </c>
      <c r="D3500" s="115" t="s">
        <v>1140</v>
      </c>
      <c r="E3500" s="115" t="s">
        <v>1141</v>
      </c>
    </row>
    <row r="3501" spans="1:5" x14ac:dyDescent="0.25">
      <c r="B3501" s="115" t="s">
        <v>1139</v>
      </c>
      <c r="D3501" s="115" t="s">
        <v>1140</v>
      </c>
      <c r="E3501" s="115" t="s">
        <v>1141</v>
      </c>
    </row>
    <row r="3502" spans="1:5" x14ac:dyDescent="0.25">
      <c r="B3502" s="115" t="s">
        <v>1139</v>
      </c>
      <c r="D3502" s="115" t="s">
        <v>1140</v>
      </c>
      <c r="E3502" s="115" t="s">
        <v>1141</v>
      </c>
    </row>
    <row r="3503" spans="1:5" x14ac:dyDescent="0.25">
      <c r="B3503" s="115" t="s">
        <v>1139</v>
      </c>
      <c r="D3503" s="115" t="s">
        <v>1140</v>
      </c>
      <c r="E3503" s="115" t="s">
        <v>1141</v>
      </c>
    </row>
    <row r="3504" spans="1:5" x14ac:dyDescent="0.25">
      <c r="B3504" s="115" t="s">
        <v>1139</v>
      </c>
      <c r="D3504" s="115" t="s">
        <v>1140</v>
      </c>
      <c r="E3504" s="115" t="s">
        <v>1141</v>
      </c>
    </row>
    <row r="3505" spans="2:5" x14ac:dyDescent="0.25">
      <c r="B3505" s="115" t="s">
        <v>1139</v>
      </c>
      <c r="D3505" s="115" t="s">
        <v>1140</v>
      </c>
      <c r="E3505" s="115" t="s">
        <v>1141</v>
      </c>
    </row>
    <row r="3506" spans="2:5" x14ac:dyDescent="0.25">
      <c r="B3506" s="115" t="s">
        <v>1139</v>
      </c>
      <c r="D3506" s="115" t="s">
        <v>1140</v>
      </c>
      <c r="E3506" s="115" t="s">
        <v>1141</v>
      </c>
    </row>
    <row r="3507" spans="2:5" x14ac:dyDescent="0.25">
      <c r="B3507" s="115" t="s">
        <v>1139</v>
      </c>
      <c r="D3507" s="115" t="s">
        <v>1140</v>
      </c>
      <c r="E3507" s="115" t="s">
        <v>1141</v>
      </c>
    </row>
    <row r="3508" spans="2:5" x14ac:dyDescent="0.25">
      <c r="B3508" s="115" t="s">
        <v>1139</v>
      </c>
      <c r="D3508" s="115" t="s">
        <v>1140</v>
      </c>
      <c r="E3508" s="115" t="s">
        <v>1141</v>
      </c>
    </row>
    <row r="3509" spans="2:5" x14ac:dyDescent="0.25">
      <c r="B3509" s="115" t="s">
        <v>1139</v>
      </c>
      <c r="D3509" s="115" t="s">
        <v>1140</v>
      </c>
      <c r="E3509" s="115" t="s">
        <v>1141</v>
      </c>
    </row>
    <row r="3510" spans="2:5" x14ac:dyDescent="0.25">
      <c r="B3510" s="115" t="s">
        <v>1139</v>
      </c>
      <c r="D3510" s="115" t="s">
        <v>1140</v>
      </c>
      <c r="E3510" s="115" t="s">
        <v>1141</v>
      </c>
    </row>
    <row r="3511" spans="2:5" x14ac:dyDescent="0.25">
      <c r="B3511" s="115" t="s">
        <v>1139</v>
      </c>
      <c r="D3511" s="115" t="s">
        <v>1140</v>
      </c>
      <c r="E3511" s="115" t="s">
        <v>1141</v>
      </c>
    </row>
    <row r="3512" spans="2:5" x14ac:dyDescent="0.25">
      <c r="B3512" s="115" t="s">
        <v>1139</v>
      </c>
      <c r="D3512" s="115" t="s">
        <v>1140</v>
      </c>
      <c r="E3512" s="115" t="s">
        <v>1141</v>
      </c>
    </row>
    <row r="3513" spans="2:5" x14ac:dyDescent="0.25">
      <c r="B3513" s="115" t="s">
        <v>1139</v>
      </c>
      <c r="D3513" s="115" t="s">
        <v>1140</v>
      </c>
      <c r="E3513" s="115" t="s">
        <v>1141</v>
      </c>
    </row>
    <row r="3514" spans="2:5" x14ac:dyDescent="0.25">
      <c r="B3514" s="115" t="s">
        <v>1139</v>
      </c>
      <c r="D3514" s="115" t="s">
        <v>1140</v>
      </c>
      <c r="E3514" s="115" t="s">
        <v>1141</v>
      </c>
    </row>
    <row r="3515" spans="2:5" x14ac:dyDescent="0.25">
      <c r="B3515" s="115" t="s">
        <v>1139</v>
      </c>
      <c r="D3515" s="115" t="s">
        <v>1140</v>
      </c>
      <c r="E3515" s="115" t="s">
        <v>1141</v>
      </c>
    </row>
    <row r="3516" spans="2:5" x14ac:dyDescent="0.25">
      <c r="B3516" s="115" t="s">
        <v>1139</v>
      </c>
      <c r="D3516" s="115" t="s">
        <v>1140</v>
      </c>
      <c r="E3516" s="115" t="s">
        <v>1141</v>
      </c>
    </row>
    <row r="3517" spans="2:5" x14ac:dyDescent="0.25">
      <c r="B3517" s="115" t="s">
        <v>1139</v>
      </c>
      <c r="D3517" s="115" t="s">
        <v>1140</v>
      </c>
      <c r="E3517" s="115" t="s">
        <v>1141</v>
      </c>
    </row>
    <row r="3518" spans="2:5" x14ac:dyDescent="0.25">
      <c r="B3518" s="115" t="s">
        <v>1139</v>
      </c>
      <c r="D3518" s="115" t="s">
        <v>1140</v>
      </c>
      <c r="E3518" s="115" t="s">
        <v>1141</v>
      </c>
    </row>
    <row r="3519" spans="2:5" x14ac:dyDescent="0.25">
      <c r="B3519" s="115" t="s">
        <v>1139</v>
      </c>
      <c r="D3519" s="115" t="s">
        <v>1140</v>
      </c>
      <c r="E3519" s="115" t="s">
        <v>1141</v>
      </c>
    </row>
    <row r="3520" spans="2:5" x14ac:dyDescent="0.25">
      <c r="B3520" s="115" t="s">
        <v>1139</v>
      </c>
      <c r="D3520" s="115" t="s">
        <v>1140</v>
      </c>
      <c r="E3520" s="115" t="s">
        <v>1141</v>
      </c>
    </row>
    <row r="3521" spans="2:5" x14ac:dyDescent="0.25">
      <c r="B3521" s="115" t="s">
        <v>1139</v>
      </c>
      <c r="D3521" s="115" t="s">
        <v>1140</v>
      </c>
      <c r="E3521" s="115" t="s">
        <v>1141</v>
      </c>
    </row>
    <row r="3522" spans="2:5" x14ac:dyDescent="0.25">
      <c r="B3522" s="115" t="s">
        <v>1139</v>
      </c>
      <c r="D3522" s="115" t="s">
        <v>1140</v>
      </c>
      <c r="E3522" s="115" t="s">
        <v>1141</v>
      </c>
    </row>
    <row r="3523" spans="2:5" x14ac:dyDescent="0.25">
      <c r="B3523" s="115" t="s">
        <v>1139</v>
      </c>
      <c r="D3523" s="115" t="s">
        <v>1140</v>
      </c>
      <c r="E3523" s="115" t="s">
        <v>1141</v>
      </c>
    </row>
    <row r="3524" spans="2:5" x14ac:dyDescent="0.25">
      <c r="B3524" s="115" t="s">
        <v>1139</v>
      </c>
      <c r="D3524" s="115" t="s">
        <v>1140</v>
      </c>
      <c r="E3524" s="115" t="s">
        <v>1141</v>
      </c>
    </row>
    <row r="3525" spans="2:5" x14ac:dyDescent="0.25">
      <c r="B3525" s="115" t="s">
        <v>1139</v>
      </c>
      <c r="D3525" s="115" t="s">
        <v>1140</v>
      </c>
      <c r="E3525" s="115" t="s">
        <v>1141</v>
      </c>
    </row>
    <row r="3526" spans="2:5" x14ac:dyDescent="0.25">
      <c r="B3526" s="115" t="s">
        <v>1139</v>
      </c>
      <c r="D3526" s="115" t="s">
        <v>1140</v>
      </c>
      <c r="E3526" s="115" t="s">
        <v>1141</v>
      </c>
    </row>
    <row r="3527" spans="2:5" x14ac:dyDescent="0.25">
      <c r="B3527" s="115" t="s">
        <v>1139</v>
      </c>
      <c r="D3527" s="115" t="s">
        <v>1140</v>
      </c>
      <c r="E3527" s="115" t="s">
        <v>1141</v>
      </c>
    </row>
    <row r="3528" spans="2:5" x14ac:dyDescent="0.25">
      <c r="B3528" s="115" t="s">
        <v>1139</v>
      </c>
      <c r="D3528" s="115" t="s">
        <v>1140</v>
      </c>
      <c r="E3528" s="115" t="s">
        <v>1141</v>
      </c>
    </row>
    <row r="3529" spans="2:5" x14ac:dyDescent="0.25">
      <c r="B3529" s="115" t="s">
        <v>1139</v>
      </c>
      <c r="D3529" s="115" t="s">
        <v>1140</v>
      </c>
      <c r="E3529" s="115" t="s">
        <v>1141</v>
      </c>
    </row>
    <row r="3530" spans="2:5" x14ac:dyDescent="0.25">
      <c r="B3530" s="115" t="s">
        <v>1139</v>
      </c>
      <c r="D3530" s="115" t="s">
        <v>1140</v>
      </c>
      <c r="E3530" s="115" t="s">
        <v>1141</v>
      </c>
    </row>
    <row r="3531" spans="2:5" x14ac:dyDescent="0.25">
      <c r="B3531" s="115" t="s">
        <v>1139</v>
      </c>
      <c r="D3531" s="115" t="s">
        <v>1140</v>
      </c>
      <c r="E3531" s="115" t="s">
        <v>1141</v>
      </c>
    </row>
    <row r="3532" spans="2:5" x14ac:dyDescent="0.25">
      <c r="B3532" s="115" t="s">
        <v>1139</v>
      </c>
      <c r="D3532" s="115" t="s">
        <v>1140</v>
      </c>
      <c r="E3532" s="115" t="s">
        <v>1141</v>
      </c>
    </row>
    <row r="3533" spans="2:5" x14ac:dyDescent="0.25">
      <c r="B3533" s="115" t="s">
        <v>1139</v>
      </c>
      <c r="D3533" s="115" t="s">
        <v>1140</v>
      </c>
      <c r="E3533" s="115" t="s">
        <v>1141</v>
      </c>
    </row>
    <row r="3534" spans="2:5" x14ac:dyDescent="0.25">
      <c r="B3534" s="115" t="s">
        <v>1139</v>
      </c>
      <c r="D3534" s="115" t="s">
        <v>1140</v>
      </c>
      <c r="E3534" s="115" t="s">
        <v>1141</v>
      </c>
    </row>
    <row r="3535" spans="2:5" x14ac:dyDescent="0.25">
      <c r="B3535" s="115" t="s">
        <v>1139</v>
      </c>
      <c r="D3535" s="115" t="s">
        <v>1140</v>
      </c>
      <c r="E3535" s="115" t="s">
        <v>1141</v>
      </c>
    </row>
    <row r="3536" spans="2:5" x14ac:dyDescent="0.25">
      <c r="B3536" s="115" t="s">
        <v>1139</v>
      </c>
      <c r="D3536" s="115" t="s">
        <v>1140</v>
      </c>
      <c r="E3536" s="115" t="s">
        <v>1141</v>
      </c>
    </row>
    <row r="3537" spans="2:5" x14ac:dyDescent="0.25">
      <c r="B3537" s="115" t="s">
        <v>1139</v>
      </c>
      <c r="D3537" s="115" t="s">
        <v>1140</v>
      </c>
      <c r="E3537" s="115" t="s">
        <v>1141</v>
      </c>
    </row>
    <row r="3538" spans="2:5" x14ac:dyDescent="0.25">
      <c r="B3538" s="115" t="s">
        <v>1139</v>
      </c>
      <c r="D3538" s="115" t="s">
        <v>1140</v>
      </c>
      <c r="E3538" s="115" t="s">
        <v>1141</v>
      </c>
    </row>
    <row r="3539" spans="2:5" x14ac:dyDescent="0.25">
      <c r="B3539" s="115" t="s">
        <v>1139</v>
      </c>
      <c r="D3539" s="115" t="s">
        <v>1140</v>
      </c>
      <c r="E3539" s="115" t="s">
        <v>1141</v>
      </c>
    </row>
    <row r="3540" spans="2:5" x14ac:dyDescent="0.25">
      <c r="B3540" s="115" t="s">
        <v>1139</v>
      </c>
      <c r="D3540" s="115" t="s">
        <v>1140</v>
      </c>
      <c r="E3540" s="115" t="s">
        <v>1141</v>
      </c>
    </row>
    <row r="3541" spans="2:5" x14ac:dyDescent="0.25">
      <c r="B3541" s="115" t="s">
        <v>1139</v>
      </c>
      <c r="D3541" s="115" t="s">
        <v>1140</v>
      </c>
      <c r="E3541" s="115" t="s">
        <v>1141</v>
      </c>
    </row>
    <row r="3542" spans="2:5" x14ac:dyDescent="0.25">
      <c r="B3542" s="115" t="s">
        <v>1139</v>
      </c>
      <c r="D3542" s="115" t="s">
        <v>1140</v>
      </c>
      <c r="E3542" s="115" t="s">
        <v>1141</v>
      </c>
    </row>
    <row r="3543" spans="2:5" x14ac:dyDescent="0.25">
      <c r="B3543" s="115" t="s">
        <v>1139</v>
      </c>
      <c r="D3543" s="115" t="s">
        <v>1140</v>
      </c>
      <c r="E3543" s="115" t="s">
        <v>1141</v>
      </c>
    </row>
    <row r="3544" spans="2:5" x14ac:dyDescent="0.25">
      <c r="B3544" s="115" t="s">
        <v>1139</v>
      </c>
      <c r="D3544" s="115" t="s">
        <v>1140</v>
      </c>
      <c r="E3544" s="115" t="s">
        <v>1141</v>
      </c>
    </row>
    <row r="3545" spans="2:5" x14ac:dyDescent="0.25">
      <c r="B3545" s="115" t="s">
        <v>1139</v>
      </c>
      <c r="D3545" s="115" t="s">
        <v>1140</v>
      </c>
      <c r="E3545" s="115" t="s">
        <v>1141</v>
      </c>
    </row>
    <row r="3546" spans="2:5" x14ac:dyDescent="0.25">
      <c r="B3546" s="115" t="s">
        <v>1139</v>
      </c>
      <c r="D3546" s="115" t="s">
        <v>1140</v>
      </c>
      <c r="E3546" s="115" t="s">
        <v>1141</v>
      </c>
    </row>
    <row r="3547" spans="2:5" x14ac:dyDescent="0.25">
      <c r="B3547" s="115" t="s">
        <v>1139</v>
      </c>
      <c r="D3547" s="115" t="s">
        <v>1140</v>
      </c>
      <c r="E3547" s="115" t="s">
        <v>1141</v>
      </c>
    </row>
    <row r="3548" spans="2:5" x14ac:dyDescent="0.25">
      <c r="B3548" s="115" t="s">
        <v>1139</v>
      </c>
      <c r="D3548" s="115" t="s">
        <v>1140</v>
      </c>
      <c r="E3548" s="115" t="s">
        <v>1141</v>
      </c>
    </row>
    <row r="3549" spans="2:5" x14ac:dyDescent="0.25">
      <c r="B3549" s="115" t="s">
        <v>1139</v>
      </c>
      <c r="D3549" s="115" t="s">
        <v>1140</v>
      </c>
      <c r="E3549" s="115" t="s">
        <v>1141</v>
      </c>
    </row>
    <row r="3550" spans="2:5" x14ac:dyDescent="0.25">
      <c r="B3550" s="115" t="s">
        <v>1139</v>
      </c>
      <c r="D3550" s="115" t="s">
        <v>1140</v>
      </c>
      <c r="E3550" s="115" t="s">
        <v>1141</v>
      </c>
    </row>
    <row r="3551" spans="2:5" x14ac:dyDescent="0.25">
      <c r="B3551" s="115" t="s">
        <v>1139</v>
      </c>
      <c r="D3551" s="115" t="s">
        <v>1140</v>
      </c>
      <c r="E3551" s="115" t="s">
        <v>1141</v>
      </c>
    </row>
    <row r="3552" spans="2:5" x14ac:dyDescent="0.25">
      <c r="B3552" s="115" t="s">
        <v>1139</v>
      </c>
      <c r="D3552" s="115" t="s">
        <v>1140</v>
      </c>
      <c r="E3552" s="115" t="s">
        <v>1141</v>
      </c>
    </row>
    <row r="3553" spans="2:5" x14ac:dyDescent="0.25">
      <c r="B3553" s="115" t="s">
        <v>1139</v>
      </c>
      <c r="D3553" s="115" t="s">
        <v>1140</v>
      </c>
      <c r="E3553" s="115" t="s">
        <v>1141</v>
      </c>
    </row>
    <row r="3554" spans="2:5" x14ac:dyDescent="0.25">
      <c r="B3554" s="115" t="s">
        <v>1139</v>
      </c>
      <c r="D3554" s="115" t="s">
        <v>1140</v>
      </c>
      <c r="E3554" s="115" t="s">
        <v>1141</v>
      </c>
    </row>
    <row r="3555" spans="2:5" x14ac:dyDescent="0.25">
      <c r="B3555" s="115" t="s">
        <v>1139</v>
      </c>
      <c r="D3555" s="115" t="s">
        <v>1140</v>
      </c>
      <c r="E3555" s="115" t="s">
        <v>1141</v>
      </c>
    </row>
    <row r="3556" spans="2:5" x14ac:dyDescent="0.25">
      <c r="B3556" s="115" t="s">
        <v>1139</v>
      </c>
      <c r="D3556" s="115" t="s">
        <v>1140</v>
      </c>
      <c r="E3556" s="115" t="s">
        <v>1141</v>
      </c>
    </row>
    <row r="3557" spans="2:5" x14ac:dyDescent="0.25">
      <c r="B3557" s="115" t="s">
        <v>1139</v>
      </c>
      <c r="D3557" s="115" t="s">
        <v>1140</v>
      </c>
      <c r="E3557" s="115" t="s">
        <v>1141</v>
      </c>
    </row>
    <row r="3558" spans="2:5" x14ac:dyDescent="0.25">
      <c r="B3558" s="115" t="s">
        <v>1139</v>
      </c>
      <c r="D3558" s="115" t="s">
        <v>1140</v>
      </c>
      <c r="E3558" s="115" t="s">
        <v>1141</v>
      </c>
    </row>
    <row r="3559" spans="2:5" x14ac:dyDescent="0.25">
      <c r="B3559" s="115" t="s">
        <v>1139</v>
      </c>
      <c r="D3559" s="115" t="s">
        <v>1140</v>
      </c>
      <c r="E3559" s="115" t="s">
        <v>1141</v>
      </c>
    </row>
    <row r="3560" spans="2:5" x14ac:dyDescent="0.25">
      <c r="B3560" s="115" t="s">
        <v>1139</v>
      </c>
      <c r="D3560" s="115" t="s">
        <v>1140</v>
      </c>
      <c r="E3560" s="115" t="s">
        <v>1141</v>
      </c>
    </row>
    <row r="3561" spans="2:5" x14ac:dyDescent="0.25">
      <c r="B3561" s="115" t="s">
        <v>1139</v>
      </c>
      <c r="D3561" s="115" t="s">
        <v>1140</v>
      </c>
      <c r="E3561" s="115" t="s">
        <v>1141</v>
      </c>
    </row>
    <row r="3562" spans="2:5" x14ac:dyDescent="0.25">
      <c r="B3562" s="115" t="s">
        <v>1139</v>
      </c>
      <c r="D3562" s="115" t="s">
        <v>1140</v>
      </c>
      <c r="E3562" s="115" t="s">
        <v>1141</v>
      </c>
    </row>
    <row r="3563" spans="2:5" x14ac:dyDescent="0.25">
      <c r="B3563" s="115" t="s">
        <v>1139</v>
      </c>
      <c r="D3563" s="115" t="s">
        <v>1140</v>
      </c>
      <c r="E3563" s="115" t="s">
        <v>1141</v>
      </c>
    </row>
    <row r="3564" spans="2:5" x14ac:dyDescent="0.25">
      <c r="B3564" s="115" t="s">
        <v>1139</v>
      </c>
      <c r="D3564" s="115" t="s">
        <v>1140</v>
      </c>
      <c r="E3564" s="115" t="s">
        <v>1141</v>
      </c>
    </row>
    <row r="3565" spans="2:5" x14ac:dyDescent="0.25">
      <c r="B3565" s="115" t="s">
        <v>1139</v>
      </c>
      <c r="D3565" s="115" t="s">
        <v>1140</v>
      </c>
      <c r="E3565" s="115" t="s">
        <v>1141</v>
      </c>
    </row>
    <row r="3566" spans="2:5" x14ac:dyDescent="0.25">
      <c r="B3566" s="115" t="s">
        <v>1139</v>
      </c>
      <c r="D3566" s="115" t="s">
        <v>1140</v>
      </c>
      <c r="E3566" s="115" t="s">
        <v>1141</v>
      </c>
    </row>
    <row r="3567" spans="2:5" x14ac:dyDescent="0.25">
      <c r="B3567" s="115" t="s">
        <v>1139</v>
      </c>
      <c r="D3567" s="115" t="s">
        <v>1140</v>
      </c>
      <c r="E3567" s="115" t="s">
        <v>1141</v>
      </c>
    </row>
    <row r="3568" spans="2:5" x14ac:dyDescent="0.25">
      <c r="B3568" s="115" t="s">
        <v>1139</v>
      </c>
      <c r="D3568" s="115" t="s">
        <v>1140</v>
      </c>
      <c r="E3568" s="115" t="s">
        <v>1141</v>
      </c>
    </row>
    <row r="3569" spans="2:5" x14ac:dyDescent="0.25">
      <c r="B3569" s="115" t="s">
        <v>1139</v>
      </c>
      <c r="D3569" s="115" t="s">
        <v>1140</v>
      </c>
      <c r="E3569" s="115" t="s">
        <v>1141</v>
      </c>
    </row>
    <row r="3570" spans="2:5" x14ac:dyDescent="0.25">
      <c r="B3570" s="115" t="s">
        <v>1139</v>
      </c>
      <c r="D3570" s="115" t="s">
        <v>1140</v>
      </c>
      <c r="E3570" s="115" t="s">
        <v>1141</v>
      </c>
    </row>
    <row r="3571" spans="2:5" x14ac:dyDescent="0.25">
      <c r="B3571" s="115" t="s">
        <v>1139</v>
      </c>
      <c r="D3571" s="115" t="s">
        <v>1140</v>
      </c>
      <c r="E3571" s="115" t="s">
        <v>1141</v>
      </c>
    </row>
    <row r="3572" spans="2:5" x14ac:dyDescent="0.25">
      <c r="B3572" s="115" t="s">
        <v>1139</v>
      </c>
      <c r="D3572" s="115" t="s">
        <v>1140</v>
      </c>
      <c r="E3572" s="115" t="s">
        <v>1141</v>
      </c>
    </row>
    <row r="3573" spans="2:5" x14ac:dyDescent="0.25">
      <c r="B3573" s="115" t="s">
        <v>1139</v>
      </c>
      <c r="D3573" s="115" t="s">
        <v>1140</v>
      </c>
      <c r="E3573" s="115" t="s">
        <v>1141</v>
      </c>
    </row>
    <row r="3574" spans="2:5" x14ac:dyDescent="0.25">
      <c r="B3574" s="115" t="s">
        <v>1139</v>
      </c>
      <c r="D3574" s="115" t="s">
        <v>1140</v>
      </c>
      <c r="E3574" s="115" t="s">
        <v>1141</v>
      </c>
    </row>
    <row r="3575" spans="2:5" x14ac:dyDescent="0.25">
      <c r="B3575" s="115" t="s">
        <v>1139</v>
      </c>
      <c r="D3575" s="115" t="s">
        <v>1140</v>
      </c>
      <c r="E3575" s="115" t="s">
        <v>1141</v>
      </c>
    </row>
    <row r="3576" spans="2:5" x14ac:dyDescent="0.25">
      <c r="B3576" s="115" t="s">
        <v>1139</v>
      </c>
      <c r="D3576" s="115" t="s">
        <v>1140</v>
      </c>
      <c r="E3576" s="115" t="s">
        <v>1141</v>
      </c>
    </row>
    <row r="3577" spans="2:5" x14ac:dyDescent="0.25">
      <c r="B3577" s="115" t="s">
        <v>1139</v>
      </c>
      <c r="D3577" s="115" t="s">
        <v>1140</v>
      </c>
      <c r="E3577" s="115" t="s">
        <v>1141</v>
      </c>
    </row>
    <row r="3578" spans="2:5" x14ac:dyDescent="0.25">
      <c r="B3578" s="115" t="s">
        <v>1139</v>
      </c>
      <c r="D3578" s="115" t="s">
        <v>1140</v>
      </c>
      <c r="E3578" s="115" t="s">
        <v>1141</v>
      </c>
    </row>
    <row r="3579" spans="2:5" x14ac:dyDescent="0.25">
      <c r="B3579" s="115" t="s">
        <v>1139</v>
      </c>
      <c r="D3579" s="115" t="s">
        <v>1140</v>
      </c>
      <c r="E3579" s="115" t="s">
        <v>1141</v>
      </c>
    </row>
    <row r="3580" spans="2:5" x14ac:dyDescent="0.25">
      <c r="B3580" s="115" t="s">
        <v>1139</v>
      </c>
      <c r="D3580" s="115" t="s">
        <v>1140</v>
      </c>
      <c r="E3580" s="115" t="s">
        <v>1141</v>
      </c>
    </row>
    <row r="3581" spans="2:5" x14ac:dyDescent="0.25">
      <c r="B3581" s="115" t="s">
        <v>1139</v>
      </c>
      <c r="D3581" s="115" t="s">
        <v>1140</v>
      </c>
      <c r="E3581" s="115" t="s">
        <v>1141</v>
      </c>
    </row>
    <row r="3582" spans="2:5" x14ac:dyDescent="0.25">
      <c r="B3582" s="115" t="s">
        <v>1139</v>
      </c>
      <c r="D3582" s="115" t="s">
        <v>1140</v>
      </c>
      <c r="E3582" s="115" t="s">
        <v>1141</v>
      </c>
    </row>
    <row r="3583" spans="2:5" x14ac:dyDescent="0.25">
      <c r="B3583" s="115" t="s">
        <v>1139</v>
      </c>
      <c r="D3583" s="115" t="s">
        <v>1140</v>
      </c>
      <c r="E3583" s="115" t="s">
        <v>1141</v>
      </c>
    </row>
    <row r="3584" spans="2:5" x14ac:dyDescent="0.25">
      <c r="B3584" s="115" t="s">
        <v>1139</v>
      </c>
      <c r="D3584" s="115" t="s">
        <v>1140</v>
      </c>
      <c r="E3584" s="115" t="s">
        <v>1141</v>
      </c>
    </row>
    <row r="3585" spans="2:5" x14ac:dyDescent="0.25">
      <c r="B3585" s="115" t="s">
        <v>1139</v>
      </c>
      <c r="D3585" s="115" t="s">
        <v>1140</v>
      </c>
      <c r="E3585" s="115" t="s">
        <v>1141</v>
      </c>
    </row>
    <row r="3586" spans="2:5" x14ac:dyDescent="0.25">
      <c r="B3586" s="115" t="s">
        <v>1139</v>
      </c>
      <c r="D3586" s="115" t="s">
        <v>1140</v>
      </c>
      <c r="E3586" s="115" t="s">
        <v>1141</v>
      </c>
    </row>
    <row r="3587" spans="2:5" x14ac:dyDescent="0.25">
      <c r="B3587" s="115" t="s">
        <v>1139</v>
      </c>
      <c r="D3587" s="115" t="s">
        <v>1140</v>
      </c>
      <c r="E3587" s="115" t="s">
        <v>1141</v>
      </c>
    </row>
    <row r="3588" spans="2:5" x14ac:dyDescent="0.25">
      <c r="B3588" s="115" t="s">
        <v>1139</v>
      </c>
      <c r="D3588" s="115" t="s">
        <v>1140</v>
      </c>
      <c r="E3588" s="115" t="s">
        <v>1141</v>
      </c>
    </row>
    <row r="3589" spans="2:5" x14ac:dyDescent="0.25">
      <c r="B3589" s="115" t="s">
        <v>1139</v>
      </c>
      <c r="D3589" s="115" t="s">
        <v>1140</v>
      </c>
      <c r="E3589" s="115" t="s">
        <v>1141</v>
      </c>
    </row>
    <row r="3590" spans="2:5" x14ac:dyDescent="0.25">
      <c r="B3590" s="115" t="s">
        <v>1139</v>
      </c>
      <c r="D3590" s="115" t="s">
        <v>1140</v>
      </c>
      <c r="E3590" s="115" t="s">
        <v>1141</v>
      </c>
    </row>
    <row r="3591" spans="2:5" x14ac:dyDescent="0.25">
      <c r="B3591" s="115" t="s">
        <v>1139</v>
      </c>
      <c r="D3591" s="115" t="s">
        <v>1140</v>
      </c>
      <c r="E3591" s="115" t="s">
        <v>1141</v>
      </c>
    </row>
    <row r="3592" spans="2:5" x14ac:dyDescent="0.25">
      <c r="B3592" s="115" t="s">
        <v>1139</v>
      </c>
      <c r="D3592" s="115" t="s">
        <v>1140</v>
      </c>
      <c r="E3592" s="115" t="s">
        <v>1141</v>
      </c>
    </row>
    <row r="3593" spans="2:5" x14ac:dyDescent="0.25">
      <c r="B3593" s="115" t="s">
        <v>1139</v>
      </c>
      <c r="D3593" s="115" t="s">
        <v>1140</v>
      </c>
      <c r="E3593" s="115" t="s">
        <v>1141</v>
      </c>
    </row>
    <row r="3594" spans="2:5" x14ac:dyDescent="0.25">
      <c r="B3594" s="115" t="s">
        <v>1139</v>
      </c>
      <c r="D3594" s="115" t="s">
        <v>1140</v>
      </c>
      <c r="E3594" s="115" t="s">
        <v>1141</v>
      </c>
    </row>
    <row r="3595" spans="2:5" x14ac:dyDescent="0.25">
      <c r="B3595" s="115" t="s">
        <v>1139</v>
      </c>
      <c r="D3595" s="115" t="s">
        <v>1140</v>
      </c>
      <c r="E3595" s="115" t="s">
        <v>1141</v>
      </c>
    </row>
    <row r="3596" spans="2:5" x14ac:dyDescent="0.25">
      <c r="B3596" s="115" t="s">
        <v>1139</v>
      </c>
      <c r="D3596" s="115" t="s">
        <v>1140</v>
      </c>
      <c r="E3596" s="115" t="s">
        <v>1141</v>
      </c>
    </row>
    <row r="3597" spans="2:5" x14ac:dyDescent="0.25">
      <c r="B3597" s="115" t="s">
        <v>1139</v>
      </c>
      <c r="D3597" s="115" t="s">
        <v>1140</v>
      </c>
      <c r="E3597" s="115" t="s">
        <v>1141</v>
      </c>
    </row>
    <row r="3598" spans="2:5" x14ac:dyDescent="0.25">
      <c r="B3598" s="115" t="s">
        <v>1139</v>
      </c>
      <c r="D3598" s="115" t="s">
        <v>1140</v>
      </c>
      <c r="E3598" s="115" t="s">
        <v>1141</v>
      </c>
    </row>
    <row r="3599" spans="2:5" x14ac:dyDescent="0.25">
      <c r="B3599" s="115" t="s">
        <v>1139</v>
      </c>
      <c r="D3599" s="115" t="s">
        <v>1140</v>
      </c>
      <c r="E3599" s="115" t="s">
        <v>1141</v>
      </c>
    </row>
    <row r="3600" spans="2:5" x14ac:dyDescent="0.25">
      <c r="B3600" s="115" t="s">
        <v>1139</v>
      </c>
      <c r="D3600" s="115" t="s">
        <v>1140</v>
      </c>
      <c r="E3600" s="115" t="s">
        <v>1141</v>
      </c>
    </row>
    <row r="3601" spans="1:5" x14ac:dyDescent="0.25">
      <c r="B3601" s="115" t="s">
        <v>1139</v>
      </c>
      <c r="D3601" s="115" t="s">
        <v>1140</v>
      </c>
      <c r="E3601" s="115" t="s">
        <v>1141</v>
      </c>
    </row>
    <row r="3602" spans="1:5" x14ac:dyDescent="0.25">
      <c r="B3602" s="115" t="s">
        <v>1139</v>
      </c>
      <c r="D3602" s="115" t="s">
        <v>4898</v>
      </c>
      <c r="E3602" s="115" t="s">
        <v>4899</v>
      </c>
    </row>
    <row r="3603" spans="1:5" x14ac:dyDescent="0.25">
      <c r="B3603" s="115" t="s">
        <v>4900</v>
      </c>
      <c r="D3603" s="115" t="s">
        <v>4901</v>
      </c>
      <c r="E3603" s="115" t="s">
        <v>4902</v>
      </c>
    </row>
    <row r="3604" spans="1:5" x14ac:dyDescent="0.25">
      <c r="B3604" s="115" t="s">
        <v>1139</v>
      </c>
      <c r="D3604" s="115" t="s">
        <v>1140</v>
      </c>
      <c r="E3604" s="115" t="s">
        <v>4903</v>
      </c>
    </row>
    <row r="3605" spans="1:5" x14ac:dyDescent="0.25">
      <c r="B3605" s="115" t="s">
        <v>4904</v>
      </c>
      <c r="C3605" s="115" t="s">
        <v>1138</v>
      </c>
      <c r="D3605" s="115" t="s">
        <v>4905</v>
      </c>
      <c r="E3605" s="115" t="s">
        <v>4906</v>
      </c>
    </row>
    <row r="3606" spans="1:5" x14ac:dyDescent="0.25">
      <c r="B3606" s="115" t="s">
        <v>1387</v>
      </c>
      <c r="D3606" s="115" t="s">
        <v>4907</v>
      </c>
      <c r="E3606" s="115" t="s">
        <v>1141</v>
      </c>
    </row>
    <row r="3607" spans="1:5" x14ac:dyDescent="0.25">
      <c r="B3607" s="115" t="s">
        <v>4908</v>
      </c>
      <c r="D3607" s="115" t="s">
        <v>1140</v>
      </c>
      <c r="E3607" s="115" t="s">
        <v>4909</v>
      </c>
    </row>
    <row r="3608" spans="1:5" x14ac:dyDescent="0.25">
      <c r="B3608" s="115" t="s">
        <v>4910</v>
      </c>
      <c r="D3608" s="115" t="s">
        <v>1140</v>
      </c>
      <c r="E3608" s="115" t="s">
        <v>4911</v>
      </c>
    </row>
    <row r="3609" spans="1:5" x14ac:dyDescent="0.25">
      <c r="B3609" s="115" t="s">
        <v>1507</v>
      </c>
      <c r="D3609" s="115" t="s">
        <v>4912</v>
      </c>
      <c r="E3609" s="115" t="s">
        <v>4913</v>
      </c>
    </row>
    <row r="3610" spans="1:5" x14ac:dyDescent="0.25">
      <c r="B3610" s="115" t="s">
        <v>1478</v>
      </c>
      <c r="D3610" s="115" t="s">
        <v>4914</v>
      </c>
      <c r="E3610" s="115" t="s">
        <v>4915</v>
      </c>
    </row>
    <row r="3611" spans="1:5" x14ac:dyDescent="0.25">
      <c r="A3611" s="115" t="s">
        <v>1138</v>
      </c>
      <c r="B3611" s="115" t="s">
        <v>4916</v>
      </c>
      <c r="D3611" s="115" t="s">
        <v>4917</v>
      </c>
      <c r="E3611" s="115" t="s">
        <v>4918</v>
      </c>
    </row>
    <row r="3612" spans="1:5" x14ac:dyDescent="0.25">
      <c r="A3612" s="115" t="s">
        <v>1138</v>
      </c>
      <c r="B3612" s="115" t="s">
        <v>4919</v>
      </c>
      <c r="D3612" s="115" t="s">
        <v>4920</v>
      </c>
      <c r="E3612" s="115" t="s">
        <v>4921</v>
      </c>
    </row>
    <row r="3613" spans="1:5" x14ac:dyDescent="0.25">
      <c r="B3613" s="115" t="s">
        <v>1242</v>
      </c>
      <c r="D3613" s="115" t="s">
        <v>4922</v>
      </c>
      <c r="E3613" s="115" t="s">
        <v>4923</v>
      </c>
    </row>
    <row r="3614" spans="1:5" x14ac:dyDescent="0.25">
      <c r="A3614" s="115">
        <v>-1</v>
      </c>
      <c r="B3614" s="115" t="s">
        <v>4924</v>
      </c>
      <c r="D3614" s="115">
        <f>-374   -275   -162   -35</f>
        <v>-846</v>
      </c>
      <c r="E3614" s="115" t="s">
        <v>4925</v>
      </c>
    </row>
    <row r="3615" spans="1:5" x14ac:dyDescent="0.25">
      <c r="A3615" s="115" t="s">
        <v>1138</v>
      </c>
      <c r="B3615" s="115" t="s">
        <v>4926</v>
      </c>
      <c r="D3615" s="115" t="s">
        <v>4927</v>
      </c>
      <c r="E3615" s="115" t="s">
        <v>4928</v>
      </c>
    </row>
    <row r="3616" spans="1:5" x14ac:dyDescent="0.25">
      <c r="B3616" s="115" t="s">
        <v>4929</v>
      </c>
      <c r="D3616" s="115" t="s">
        <v>4930</v>
      </c>
      <c r="E3616" s="115" t="s">
        <v>4931</v>
      </c>
    </row>
    <row r="3617" spans="1:5" x14ac:dyDescent="0.25">
      <c r="A3617" s="115" t="s">
        <v>1138</v>
      </c>
      <c r="B3617" s="115" t="s">
        <v>3717</v>
      </c>
      <c r="D3617" s="115" t="s">
        <v>4932</v>
      </c>
      <c r="E3617" s="115" t="s">
        <v>4933</v>
      </c>
    </row>
    <row r="3618" spans="1:5" x14ac:dyDescent="0.25">
      <c r="A3618" s="115" t="s">
        <v>1138</v>
      </c>
      <c r="B3618" s="115" t="s">
        <v>4934</v>
      </c>
      <c r="D3618" s="115" t="s">
        <v>4935</v>
      </c>
      <c r="E3618" s="115" t="s">
        <v>4936</v>
      </c>
    </row>
    <row r="3619" spans="1:5" x14ac:dyDescent="0.25">
      <c r="B3619" s="115" t="s">
        <v>1139</v>
      </c>
      <c r="D3619" s="115" t="s">
        <v>3508</v>
      </c>
      <c r="E3619" s="115" t="s">
        <v>4937</v>
      </c>
    </row>
    <row r="3620" spans="1:5" x14ac:dyDescent="0.25">
      <c r="B3620" s="115" t="s">
        <v>1139</v>
      </c>
      <c r="D3620" s="115" t="s">
        <v>4938</v>
      </c>
      <c r="E3620" s="115" t="s">
        <v>4939</v>
      </c>
    </row>
    <row r="3621" spans="1:5" x14ac:dyDescent="0.25">
      <c r="A3621" s="115" t="s">
        <v>1138</v>
      </c>
      <c r="B3621" s="115" t="s">
        <v>4940</v>
      </c>
      <c r="D3621" s="115" t="s">
        <v>4941</v>
      </c>
      <c r="E3621" s="115" t="s">
        <v>4942</v>
      </c>
    </row>
    <row r="3622" spans="1:5" x14ac:dyDescent="0.25">
      <c r="B3622" s="115" t="s">
        <v>1145</v>
      </c>
      <c r="D3622" s="115" t="s">
        <v>4943</v>
      </c>
      <c r="E3622" s="115" t="s">
        <v>4944</v>
      </c>
    </row>
    <row r="3623" spans="1:5" x14ac:dyDescent="0.25">
      <c r="B3623" s="115" t="s">
        <v>4945</v>
      </c>
      <c r="D3623" s="115" t="s">
        <v>4946</v>
      </c>
      <c r="E3623" s="115" t="s">
        <v>1141</v>
      </c>
    </row>
    <row r="3624" spans="1:5" x14ac:dyDescent="0.25">
      <c r="B3624" s="115" t="s">
        <v>4947</v>
      </c>
      <c r="D3624" s="115" t="s">
        <v>4948</v>
      </c>
      <c r="E3624" s="115" t="s">
        <v>4949</v>
      </c>
    </row>
    <row r="3625" spans="1:5" x14ac:dyDescent="0.25">
      <c r="B3625" s="115" t="s">
        <v>4950</v>
      </c>
      <c r="D3625" s="115" t="s">
        <v>4951</v>
      </c>
      <c r="E3625" s="115" t="s">
        <v>4952</v>
      </c>
    </row>
    <row r="3626" spans="1:5" x14ac:dyDescent="0.25">
      <c r="B3626" s="115" t="s">
        <v>1139</v>
      </c>
      <c r="D3626" s="115" t="s">
        <v>1140</v>
      </c>
      <c r="E3626" s="115" t="s">
        <v>1141</v>
      </c>
    </row>
    <row r="3627" spans="1:5" x14ac:dyDescent="0.25">
      <c r="B3627" s="115" t="s">
        <v>1139</v>
      </c>
      <c r="D3627" s="115" t="s">
        <v>3275</v>
      </c>
      <c r="E3627" s="115" t="s">
        <v>1141</v>
      </c>
    </row>
    <row r="3628" spans="1:5" x14ac:dyDescent="0.25">
      <c r="A3628" s="115">
        <v>-15</v>
      </c>
      <c r="B3628" s="115" t="s">
        <v>4953</v>
      </c>
      <c r="D3628" s="115" t="s">
        <v>4954</v>
      </c>
      <c r="E3628" s="115" t="s">
        <v>4955</v>
      </c>
    </row>
    <row r="3629" spans="1:5" x14ac:dyDescent="0.25">
      <c r="B3629" s="115" t="s">
        <v>1139</v>
      </c>
      <c r="D3629" s="115" t="s">
        <v>4956</v>
      </c>
      <c r="E3629" s="115" t="s">
        <v>1141</v>
      </c>
    </row>
    <row r="3630" spans="1:5" x14ac:dyDescent="0.25">
      <c r="B3630" s="115" t="s">
        <v>1139</v>
      </c>
      <c r="D3630" s="115" t="s">
        <v>4957</v>
      </c>
      <c r="E3630" s="115" t="s">
        <v>4958</v>
      </c>
    </row>
    <row r="3631" spans="1:5" x14ac:dyDescent="0.25">
      <c r="A3631" s="115">
        <v>-7</v>
      </c>
      <c r="B3631" s="115" t="s">
        <v>4959</v>
      </c>
      <c r="D3631" s="115" t="s">
        <v>4960</v>
      </c>
      <c r="E3631" s="115" t="s">
        <v>4961</v>
      </c>
    </row>
    <row r="3632" spans="1:5" x14ac:dyDescent="0.25">
      <c r="B3632" s="115" t="s">
        <v>1139</v>
      </c>
      <c r="D3632" s="115" t="s">
        <v>3378</v>
      </c>
      <c r="E3632" s="115" t="s">
        <v>1702</v>
      </c>
    </row>
    <row r="3633" spans="1:5" x14ac:dyDescent="0.25">
      <c r="B3633" s="115" t="s">
        <v>1139</v>
      </c>
      <c r="D3633" s="115" t="s">
        <v>4962</v>
      </c>
      <c r="E3633" s="115" t="s">
        <v>4963</v>
      </c>
    </row>
    <row r="3634" spans="1:5" x14ac:dyDescent="0.25">
      <c r="B3634" s="115" t="s">
        <v>1210</v>
      </c>
      <c r="D3634" s="115" t="s">
        <v>4964</v>
      </c>
      <c r="E3634" s="115" t="s">
        <v>4965</v>
      </c>
    </row>
    <row r="3635" spans="1:5" x14ac:dyDescent="0.25">
      <c r="B3635" s="115" t="s">
        <v>4966</v>
      </c>
      <c r="D3635" s="115" t="s">
        <v>4967</v>
      </c>
      <c r="E3635" s="115" t="s">
        <v>1141</v>
      </c>
    </row>
    <row r="3636" spans="1:5" x14ac:dyDescent="0.25">
      <c r="B3636" s="115" t="s">
        <v>4968</v>
      </c>
      <c r="D3636" s="115" t="s">
        <v>4969</v>
      </c>
      <c r="E3636" s="115" t="s">
        <v>4970</v>
      </c>
    </row>
    <row r="3637" spans="1:5" x14ac:dyDescent="0.25">
      <c r="A3637" s="115" t="s">
        <v>1138</v>
      </c>
      <c r="B3637" s="115" t="s">
        <v>4971</v>
      </c>
      <c r="D3637" s="115" t="s">
        <v>4972</v>
      </c>
      <c r="E3637" s="115" t="s">
        <v>4973</v>
      </c>
    </row>
    <row r="3638" spans="1:5" x14ac:dyDescent="0.25">
      <c r="B3638" s="115" t="s">
        <v>1521</v>
      </c>
      <c r="D3638" s="115" t="s">
        <v>4974</v>
      </c>
      <c r="E3638" s="115" t="s">
        <v>1702</v>
      </c>
    </row>
    <row r="3639" spans="1:5" x14ac:dyDescent="0.25">
      <c r="B3639" s="115" t="s">
        <v>4975</v>
      </c>
      <c r="D3639" s="115" t="s">
        <v>4976</v>
      </c>
      <c r="E3639" s="115" t="s">
        <v>4977</v>
      </c>
    </row>
    <row r="3640" spans="1:5" x14ac:dyDescent="0.25">
      <c r="B3640" s="115" t="s">
        <v>4978</v>
      </c>
      <c r="D3640" s="115" t="s">
        <v>4979</v>
      </c>
      <c r="E3640" s="115" t="s">
        <v>4980</v>
      </c>
    </row>
    <row r="3641" spans="1:5" x14ac:dyDescent="0.25">
      <c r="B3641" s="115" t="s">
        <v>1553</v>
      </c>
      <c r="D3641" s="115" t="s">
        <v>4981</v>
      </c>
      <c r="E3641" s="115" t="s">
        <v>2260</v>
      </c>
    </row>
    <row r="3642" spans="1:5" x14ac:dyDescent="0.25">
      <c r="B3642" s="115" t="s">
        <v>4982</v>
      </c>
      <c r="D3642" s="115" t="s">
        <v>4983</v>
      </c>
      <c r="E3642" s="115" t="s">
        <v>4984</v>
      </c>
    </row>
    <row r="3643" spans="1:5" x14ac:dyDescent="0.25">
      <c r="A3643" s="115" t="s">
        <v>1138</v>
      </c>
      <c r="B3643" s="115" t="s">
        <v>4985</v>
      </c>
      <c r="D3643" s="115" t="s">
        <v>4986</v>
      </c>
      <c r="E3643" s="115" t="s">
        <v>4987</v>
      </c>
    </row>
    <row r="3644" spans="1:5" x14ac:dyDescent="0.25">
      <c r="B3644" s="115" t="s">
        <v>1575</v>
      </c>
      <c r="D3644" s="115" t="s">
        <v>4988</v>
      </c>
      <c r="E3644" s="115" t="s">
        <v>1141</v>
      </c>
    </row>
    <row r="3645" spans="1:5" x14ac:dyDescent="0.25">
      <c r="B3645" s="115" t="s">
        <v>4989</v>
      </c>
      <c r="D3645" s="115" t="s">
        <v>4990</v>
      </c>
      <c r="E3645" s="115" t="s">
        <v>1141</v>
      </c>
    </row>
    <row r="3646" spans="1:5" x14ac:dyDescent="0.25">
      <c r="A3646" s="115">
        <v>-1</v>
      </c>
      <c r="B3646" s="115" t="s">
        <v>4991</v>
      </c>
      <c r="D3646" s="115" t="s">
        <v>4992</v>
      </c>
      <c r="E3646" s="115" t="s">
        <v>4993</v>
      </c>
    </row>
    <row r="3647" spans="1:5" x14ac:dyDescent="0.25">
      <c r="B3647" s="115" t="s">
        <v>1478</v>
      </c>
      <c r="D3647" s="115" t="s">
        <v>4994</v>
      </c>
      <c r="E3647" s="115" t="s">
        <v>2690</v>
      </c>
    </row>
    <row r="3648" spans="1:5" x14ac:dyDescent="0.25">
      <c r="B3648" s="115" t="s">
        <v>4995</v>
      </c>
      <c r="D3648" s="115" t="s">
        <v>4996</v>
      </c>
      <c r="E3648" s="115" t="s">
        <v>4997</v>
      </c>
    </row>
    <row r="3649" spans="2:5" x14ac:dyDescent="0.25">
      <c r="B3649" s="115" t="s">
        <v>1139</v>
      </c>
      <c r="D3649" s="115" t="s">
        <v>1140</v>
      </c>
      <c r="E3649" s="115" t="s">
        <v>4998</v>
      </c>
    </row>
    <row r="3650" spans="2:5" x14ac:dyDescent="0.25">
      <c r="B3650" s="115" t="s">
        <v>4999</v>
      </c>
      <c r="D3650" s="115" t="s">
        <v>5000</v>
      </c>
      <c r="E3650" s="115" t="s">
        <v>5001</v>
      </c>
    </row>
    <row r="3651" spans="2:5" x14ac:dyDescent="0.25">
      <c r="B3651" s="115" t="s">
        <v>1139</v>
      </c>
      <c r="D3651" s="115" t="s">
        <v>5002</v>
      </c>
      <c r="E3651" s="115" t="s">
        <v>1141</v>
      </c>
    </row>
    <row r="3652" spans="2:5" x14ac:dyDescent="0.25">
      <c r="B3652" s="115" t="s">
        <v>1139</v>
      </c>
      <c r="D3652" s="115" t="s">
        <v>1140</v>
      </c>
      <c r="E3652" s="115" t="s">
        <v>1141</v>
      </c>
    </row>
    <row r="3653" spans="2:5" x14ac:dyDescent="0.25">
      <c r="B3653" s="115" t="s">
        <v>5003</v>
      </c>
      <c r="D3653" s="115" t="s">
        <v>5004</v>
      </c>
      <c r="E3653" s="115" t="s">
        <v>2260</v>
      </c>
    </row>
    <row r="3654" spans="2:5" x14ac:dyDescent="0.25">
      <c r="B3654" s="115" t="s">
        <v>1139</v>
      </c>
      <c r="D3654" s="115" t="s">
        <v>1140</v>
      </c>
      <c r="E3654" s="115" t="s">
        <v>1141</v>
      </c>
    </row>
    <row r="3655" spans="2:5" x14ac:dyDescent="0.25">
      <c r="B3655" s="115" t="s">
        <v>1139</v>
      </c>
      <c r="D3655" s="115" t="s">
        <v>1140</v>
      </c>
      <c r="E3655" s="115" t="s">
        <v>1141</v>
      </c>
    </row>
    <row r="3656" spans="2:5" x14ac:dyDescent="0.25">
      <c r="B3656" s="115" t="s">
        <v>1139</v>
      </c>
      <c r="D3656" s="115" t="s">
        <v>1140</v>
      </c>
      <c r="E3656" s="115" t="s">
        <v>1141</v>
      </c>
    </row>
    <row r="3657" spans="2:5" x14ac:dyDescent="0.25">
      <c r="B3657" s="115" t="s">
        <v>1139</v>
      </c>
      <c r="D3657" s="115" t="s">
        <v>1140</v>
      </c>
      <c r="E3657" s="115" t="s">
        <v>1141</v>
      </c>
    </row>
    <row r="3658" spans="2:5" x14ac:dyDescent="0.25">
      <c r="B3658" s="115" t="s">
        <v>1139</v>
      </c>
      <c r="D3658" s="115" t="s">
        <v>1140</v>
      </c>
      <c r="E3658" s="115" t="s">
        <v>1141</v>
      </c>
    </row>
    <row r="3659" spans="2:5" x14ac:dyDescent="0.25">
      <c r="B3659" s="115" t="s">
        <v>1139</v>
      </c>
      <c r="D3659" s="115" t="s">
        <v>1140</v>
      </c>
      <c r="E3659" s="115" t="s">
        <v>1141</v>
      </c>
    </row>
    <row r="3660" spans="2:5" x14ac:dyDescent="0.25">
      <c r="B3660" s="115" t="s">
        <v>1139</v>
      </c>
      <c r="D3660" s="115" t="s">
        <v>1140</v>
      </c>
      <c r="E3660" s="115" t="s">
        <v>1141</v>
      </c>
    </row>
    <row r="3661" spans="2:5" x14ac:dyDescent="0.25">
      <c r="B3661" s="115" t="s">
        <v>1139</v>
      </c>
      <c r="D3661" s="115" t="s">
        <v>1140</v>
      </c>
      <c r="E3661" s="115" t="s">
        <v>1141</v>
      </c>
    </row>
    <row r="3662" spans="2:5" x14ac:dyDescent="0.25">
      <c r="B3662" s="115" t="s">
        <v>1139</v>
      </c>
      <c r="D3662" s="115" t="s">
        <v>1140</v>
      </c>
      <c r="E3662" s="115" t="s">
        <v>1141</v>
      </c>
    </row>
    <row r="3663" spans="2:5" x14ac:dyDescent="0.25">
      <c r="B3663" s="115" t="s">
        <v>1139</v>
      </c>
      <c r="D3663" s="115" t="s">
        <v>1140</v>
      </c>
      <c r="E3663" s="115" t="s">
        <v>1141</v>
      </c>
    </row>
    <row r="3664" spans="2:5" x14ac:dyDescent="0.25">
      <c r="B3664" s="115" t="s">
        <v>1139</v>
      </c>
      <c r="D3664" s="115" t="s">
        <v>1140</v>
      </c>
      <c r="E3664" s="115" t="s">
        <v>1141</v>
      </c>
    </row>
    <row r="3665" spans="2:5" x14ac:dyDescent="0.25">
      <c r="B3665" s="115" t="s">
        <v>1139</v>
      </c>
      <c r="D3665" s="115" t="s">
        <v>1140</v>
      </c>
      <c r="E3665" s="115" t="s">
        <v>1141</v>
      </c>
    </row>
    <row r="3666" spans="2:5" x14ac:dyDescent="0.25">
      <c r="B3666" s="115" t="s">
        <v>1139</v>
      </c>
      <c r="D3666" s="115" t="s">
        <v>1140</v>
      </c>
      <c r="E3666" s="115" t="s">
        <v>1141</v>
      </c>
    </row>
    <row r="3667" spans="2:5" x14ac:dyDescent="0.25">
      <c r="B3667" s="115" t="s">
        <v>1139</v>
      </c>
      <c r="D3667" s="115" t="s">
        <v>1140</v>
      </c>
      <c r="E3667" s="115" t="s">
        <v>1141</v>
      </c>
    </row>
    <row r="3668" spans="2:5" x14ac:dyDescent="0.25">
      <c r="B3668" s="115" t="s">
        <v>1139</v>
      </c>
      <c r="D3668" s="115" t="s">
        <v>1140</v>
      </c>
      <c r="E3668" s="115" t="s">
        <v>1141</v>
      </c>
    </row>
    <row r="3669" spans="2:5" x14ac:dyDescent="0.25">
      <c r="B3669" s="115" t="s">
        <v>1139</v>
      </c>
      <c r="D3669" s="115" t="s">
        <v>1140</v>
      </c>
      <c r="E3669" s="115" t="s">
        <v>1141</v>
      </c>
    </row>
    <row r="3670" spans="2:5" x14ac:dyDescent="0.25">
      <c r="B3670" s="115" t="s">
        <v>1139</v>
      </c>
      <c r="D3670" s="115" t="s">
        <v>1140</v>
      </c>
      <c r="E3670" s="115" t="s">
        <v>1141</v>
      </c>
    </row>
    <row r="3671" spans="2:5" x14ac:dyDescent="0.25">
      <c r="B3671" s="115" t="s">
        <v>1139</v>
      </c>
      <c r="D3671" s="115" t="s">
        <v>1140</v>
      </c>
      <c r="E3671" s="115" t="s">
        <v>1141</v>
      </c>
    </row>
    <row r="3672" spans="2:5" x14ac:dyDescent="0.25">
      <c r="B3672" s="115" t="s">
        <v>1139</v>
      </c>
      <c r="D3672" s="115" t="s">
        <v>1140</v>
      </c>
      <c r="E3672" s="115" t="s">
        <v>1141</v>
      </c>
    </row>
    <row r="3673" spans="2:5" x14ac:dyDescent="0.25">
      <c r="B3673" s="115" t="s">
        <v>1139</v>
      </c>
      <c r="D3673" s="115" t="s">
        <v>1140</v>
      </c>
      <c r="E3673" s="115" t="s">
        <v>1141</v>
      </c>
    </row>
    <row r="3674" spans="2:5" x14ac:dyDescent="0.25">
      <c r="B3674" s="115" t="s">
        <v>1139</v>
      </c>
      <c r="D3674" s="115" t="s">
        <v>1140</v>
      </c>
      <c r="E3674" s="115" t="s">
        <v>1141</v>
      </c>
    </row>
    <row r="3675" spans="2:5" x14ac:dyDescent="0.25">
      <c r="B3675" s="115" t="s">
        <v>1139</v>
      </c>
      <c r="D3675" s="115" t="s">
        <v>1140</v>
      </c>
      <c r="E3675" s="115" t="s">
        <v>1141</v>
      </c>
    </row>
    <row r="3676" spans="2:5" x14ac:dyDescent="0.25">
      <c r="B3676" s="115" t="s">
        <v>1139</v>
      </c>
      <c r="D3676" s="115" t="s">
        <v>1140</v>
      </c>
      <c r="E3676" s="115" t="s">
        <v>1141</v>
      </c>
    </row>
    <row r="3677" spans="2:5" x14ac:dyDescent="0.25">
      <c r="B3677" s="115" t="s">
        <v>1139</v>
      </c>
      <c r="D3677" s="115" t="s">
        <v>1140</v>
      </c>
      <c r="E3677" s="115" t="s">
        <v>1141</v>
      </c>
    </row>
    <row r="3678" spans="2:5" x14ac:dyDescent="0.25">
      <c r="B3678" s="115" t="s">
        <v>1139</v>
      </c>
      <c r="D3678" s="115" t="s">
        <v>1140</v>
      </c>
      <c r="E3678" s="115" t="s">
        <v>1141</v>
      </c>
    </row>
    <row r="3679" spans="2:5" x14ac:dyDescent="0.25">
      <c r="B3679" s="115" t="s">
        <v>1139</v>
      </c>
      <c r="D3679" s="115" t="s">
        <v>5005</v>
      </c>
      <c r="E3679" s="115" t="s">
        <v>5006</v>
      </c>
    </row>
    <row r="3680" spans="2:5" x14ac:dyDescent="0.25">
      <c r="B3680" s="115" t="s">
        <v>5007</v>
      </c>
      <c r="D3680" s="115" t="s">
        <v>5008</v>
      </c>
      <c r="E3680" s="115" t="s">
        <v>5009</v>
      </c>
    </row>
    <row r="3681" spans="1:5" x14ac:dyDescent="0.25">
      <c r="B3681" s="115" t="s">
        <v>1139</v>
      </c>
      <c r="D3681" s="115" t="s">
        <v>5010</v>
      </c>
      <c r="E3681" s="115" t="s">
        <v>5011</v>
      </c>
    </row>
    <row r="3682" spans="1:5" x14ac:dyDescent="0.25">
      <c r="A3682" s="115">
        <v>3</v>
      </c>
      <c r="B3682" s="115" t="s">
        <v>5012</v>
      </c>
      <c r="D3682" s="115" t="s">
        <v>5013</v>
      </c>
      <c r="E3682" s="115" t="s">
        <v>5014</v>
      </c>
    </row>
    <row r="3683" spans="1:5" x14ac:dyDescent="0.25">
      <c r="B3683" s="115" t="s">
        <v>1139</v>
      </c>
      <c r="D3683" s="115" t="s">
        <v>5015</v>
      </c>
      <c r="E3683" s="115" t="s">
        <v>5016</v>
      </c>
    </row>
    <row r="3684" spans="1:5" x14ac:dyDescent="0.25">
      <c r="B3684" s="115" t="s">
        <v>1139</v>
      </c>
      <c r="D3684" s="115" t="s">
        <v>1140</v>
      </c>
      <c r="E3684" s="115" t="s">
        <v>5017</v>
      </c>
    </row>
    <row r="3685" spans="1:5" x14ac:dyDescent="0.25">
      <c r="B3685" s="115" t="s">
        <v>1139</v>
      </c>
      <c r="D3685" s="115" t="s">
        <v>5018</v>
      </c>
      <c r="E3685" s="115" t="s">
        <v>5019</v>
      </c>
    </row>
    <row r="3686" spans="1:5" x14ac:dyDescent="0.25">
      <c r="A3686" s="115">
        <v>-2</v>
      </c>
      <c r="B3686" s="115" t="s">
        <v>5020</v>
      </c>
      <c r="D3686" s="115" t="s">
        <v>5021</v>
      </c>
      <c r="E3686" s="115" t="s">
        <v>5022</v>
      </c>
    </row>
    <row r="3687" spans="1:5" x14ac:dyDescent="0.25">
      <c r="B3687" s="115" t="s">
        <v>1139</v>
      </c>
      <c r="D3687" s="115" t="s">
        <v>5023</v>
      </c>
      <c r="E3687" s="115" t="s">
        <v>5024</v>
      </c>
    </row>
    <row r="3688" spans="1:5" x14ac:dyDescent="0.25">
      <c r="B3688" s="115" t="s">
        <v>5025</v>
      </c>
      <c r="D3688" s="115">
        <f>-99  -1245   -351    -9</f>
        <v>-1704</v>
      </c>
      <c r="E3688" s="115" t="s">
        <v>5026</v>
      </c>
    </row>
    <row r="3689" spans="1:5" x14ac:dyDescent="0.25">
      <c r="B3689" s="115" t="s">
        <v>1139</v>
      </c>
      <c r="D3689" s="115" t="s">
        <v>5027</v>
      </c>
      <c r="E3689" s="115" t="s">
        <v>5028</v>
      </c>
    </row>
    <row r="3690" spans="1:5" x14ac:dyDescent="0.25">
      <c r="B3690" s="115" t="s">
        <v>1139</v>
      </c>
      <c r="D3690" s="115" t="s">
        <v>5029</v>
      </c>
      <c r="E3690" s="115" t="s">
        <v>5030</v>
      </c>
    </row>
    <row r="3691" spans="1:5" x14ac:dyDescent="0.25">
      <c r="B3691" s="115" t="s">
        <v>5031</v>
      </c>
      <c r="D3691" s="115" t="s">
        <v>5032</v>
      </c>
      <c r="E3691" s="115" t="s">
        <v>5033</v>
      </c>
    </row>
    <row r="3692" spans="1:5" x14ac:dyDescent="0.25">
      <c r="B3692" s="115" t="s">
        <v>2773</v>
      </c>
      <c r="D3692" s="115" t="s">
        <v>5034</v>
      </c>
      <c r="E3692" s="115" t="s">
        <v>5035</v>
      </c>
    </row>
    <row r="3693" spans="1:5" x14ac:dyDescent="0.25">
      <c r="B3693" s="115" t="s">
        <v>1139</v>
      </c>
      <c r="D3693" s="115" t="s">
        <v>5036</v>
      </c>
      <c r="E3693" s="115" t="s">
        <v>5037</v>
      </c>
    </row>
    <row r="3694" spans="1:5" x14ac:dyDescent="0.25">
      <c r="B3694" s="115" t="s">
        <v>1139</v>
      </c>
      <c r="D3694" s="115" t="s">
        <v>5038</v>
      </c>
      <c r="E3694" s="115" t="s">
        <v>5039</v>
      </c>
    </row>
    <row r="3695" spans="1:5" x14ac:dyDescent="0.25">
      <c r="B3695" s="115" t="s">
        <v>5040</v>
      </c>
      <c r="D3695" s="115" t="s">
        <v>5041</v>
      </c>
      <c r="E3695" s="115" t="s">
        <v>1859</v>
      </c>
    </row>
    <row r="3696" spans="1:5" x14ac:dyDescent="0.25">
      <c r="B3696" s="115" t="s">
        <v>1139</v>
      </c>
      <c r="D3696" s="115" t="s">
        <v>5042</v>
      </c>
      <c r="E3696" s="115" t="s">
        <v>5043</v>
      </c>
    </row>
    <row r="3697" spans="1:5" x14ac:dyDescent="0.25">
      <c r="B3697" s="115" t="s">
        <v>1139</v>
      </c>
      <c r="D3697" s="115" t="s">
        <v>5044</v>
      </c>
      <c r="E3697" s="115" t="s">
        <v>5045</v>
      </c>
    </row>
    <row r="3698" spans="1:5" x14ac:dyDescent="0.25">
      <c r="B3698" s="115" t="s">
        <v>1139</v>
      </c>
      <c r="D3698" s="115" t="s">
        <v>5046</v>
      </c>
      <c r="E3698" s="115" t="s">
        <v>5047</v>
      </c>
    </row>
    <row r="3699" spans="1:5" x14ac:dyDescent="0.25">
      <c r="B3699" s="115" t="s">
        <v>1139</v>
      </c>
      <c r="D3699" s="115" t="s">
        <v>5048</v>
      </c>
      <c r="E3699" s="115" t="s">
        <v>5049</v>
      </c>
    </row>
    <row r="3700" spans="1:5" x14ac:dyDescent="0.25">
      <c r="A3700" s="115">
        <v>-1</v>
      </c>
      <c r="B3700" s="115" t="s">
        <v>5050</v>
      </c>
      <c r="D3700" s="115" t="s">
        <v>1140</v>
      </c>
      <c r="E3700" s="115" t="s">
        <v>5051</v>
      </c>
    </row>
    <row r="3701" spans="1:5" x14ac:dyDescent="0.25">
      <c r="A3701" s="115">
        <v>-2</v>
      </c>
      <c r="B3701" s="115" t="s">
        <v>5052</v>
      </c>
      <c r="C3701" s="115" t="s">
        <v>1138</v>
      </c>
      <c r="D3701" s="115" t="s">
        <v>5053</v>
      </c>
      <c r="E3701" s="115" t="s">
        <v>5054</v>
      </c>
    </row>
    <row r="3702" spans="1:5" x14ac:dyDescent="0.25">
      <c r="A3702" s="115">
        <v>1</v>
      </c>
      <c r="B3702" s="115" t="s">
        <v>1219</v>
      </c>
      <c r="D3702" s="115" t="s">
        <v>1140</v>
      </c>
      <c r="E3702" s="115" t="s">
        <v>5055</v>
      </c>
    </row>
    <row r="3703" spans="1:5" x14ac:dyDescent="0.25">
      <c r="B3703" s="115" t="s">
        <v>1139</v>
      </c>
      <c r="D3703" s="115" t="s">
        <v>1140</v>
      </c>
      <c r="E3703" s="115" t="s">
        <v>1141</v>
      </c>
    </row>
    <row r="3704" spans="1:5" x14ac:dyDescent="0.25">
      <c r="B3704" s="115" t="s">
        <v>1139</v>
      </c>
      <c r="D3704" s="115" t="s">
        <v>5056</v>
      </c>
      <c r="E3704" s="115" t="s">
        <v>5057</v>
      </c>
    </row>
    <row r="3705" spans="1:5" x14ac:dyDescent="0.25">
      <c r="B3705" s="115" t="s">
        <v>5058</v>
      </c>
      <c r="D3705" s="115" t="s">
        <v>5059</v>
      </c>
      <c r="E3705" s="115" t="s">
        <v>5060</v>
      </c>
    </row>
    <row r="3706" spans="1:5" x14ac:dyDescent="0.25">
      <c r="B3706" s="115" t="s">
        <v>1139</v>
      </c>
      <c r="D3706" s="115" t="s">
        <v>5061</v>
      </c>
      <c r="E3706" s="115" t="s">
        <v>1141</v>
      </c>
    </row>
    <row r="3707" spans="1:5" x14ac:dyDescent="0.25">
      <c r="B3707" s="115" t="s">
        <v>1139</v>
      </c>
      <c r="D3707" s="115" t="s">
        <v>5062</v>
      </c>
      <c r="E3707" s="115" t="s">
        <v>5063</v>
      </c>
    </row>
    <row r="3708" spans="1:5" x14ac:dyDescent="0.25">
      <c r="B3708" s="115" t="s">
        <v>5064</v>
      </c>
      <c r="D3708" s="115" t="s">
        <v>5065</v>
      </c>
      <c r="E3708" s="115" t="s">
        <v>5066</v>
      </c>
    </row>
    <row r="3709" spans="1:5" x14ac:dyDescent="0.25">
      <c r="B3709" s="115" t="s">
        <v>5067</v>
      </c>
      <c r="D3709" s="115" t="s">
        <v>1140</v>
      </c>
      <c r="E3709" s="115" t="s">
        <v>5068</v>
      </c>
    </row>
    <row r="3710" spans="1:5" x14ac:dyDescent="0.25">
      <c r="B3710" s="115" t="s">
        <v>1139</v>
      </c>
      <c r="D3710" s="115" t="s">
        <v>5069</v>
      </c>
      <c r="E3710" s="115" t="s">
        <v>5070</v>
      </c>
    </row>
    <row r="3711" spans="1:5" x14ac:dyDescent="0.25">
      <c r="B3711" s="115" t="s">
        <v>1139</v>
      </c>
      <c r="D3711" s="115" t="s">
        <v>5071</v>
      </c>
      <c r="E3711" s="115" t="s">
        <v>5072</v>
      </c>
    </row>
    <row r="3712" spans="1:5" x14ac:dyDescent="0.25">
      <c r="A3712" s="115" t="s">
        <v>1138</v>
      </c>
      <c r="B3712" s="115" t="s">
        <v>5073</v>
      </c>
      <c r="D3712" s="115" t="s">
        <v>5074</v>
      </c>
      <c r="E3712" s="115" t="s">
        <v>5075</v>
      </c>
    </row>
    <row r="3713" spans="1:5" x14ac:dyDescent="0.25">
      <c r="B3713" s="115" t="s">
        <v>2533</v>
      </c>
      <c r="D3713" s="115">
        <f>-761   -215  -6557 -3103</f>
        <v>-10636</v>
      </c>
      <c r="E3713" s="115" t="s">
        <v>5076</v>
      </c>
    </row>
    <row r="3714" spans="1:5" x14ac:dyDescent="0.25">
      <c r="A3714" s="115">
        <v>7</v>
      </c>
      <c r="B3714" s="115" t="s">
        <v>5077</v>
      </c>
      <c r="C3714" s="115">
        <v>1</v>
      </c>
      <c r="D3714" s="115" t="s">
        <v>5078</v>
      </c>
      <c r="E3714" s="115" t="s">
        <v>5079</v>
      </c>
    </row>
    <row r="3715" spans="1:5" x14ac:dyDescent="0.25">
      <c r="A3715" s="115">
        <v>1</v>
      </c>
      <c r="B3715" s="115" t="s">
        <v>5080</v>
      </c>
      <c r="D3715" s="115" t="s">
        <v>5081</v>
      </c>
      <c r="E3715" s="115" t="s">
        <v>5082</v>
      </c>
    </row>
    <row r="3716" spans="1:5" x14ac:dyDescent="0.25">
      <c r="B3716" s="115" t="s">
        <v>5083</v>
      </c>
      <c r="D3716" s="115" t="s">
        <v>5084</v>
      </c>
      <c r="E3716" s="115" t="s">
        <v>5085</v>
      </c>
    </row>
    <row r="3717" spans="1:5" x14ac:dyDescent="0.25">
      <c r="B3717" s="115">
        <f>-39   -497</f>
        <v>-536</v>
      </c>
      <c r="D3717" s="115" t="s">
        <v>5086</v>
      </c>
      <c r="E3717" s="115" t="s">
        <v>5087</v>
      </c>
    </row>
    <row r="3718" spans="1:5" x14ac:dyDescent="0.25">
      <c r="B3718" s="115" t="s">
        <v>1139</v>
      </c>
      <c r="D3718" s="115" t="s">
        <v>5088</v>
      </c>
      <c r="E3718" s="115" t="s">
        <v>5089</v>
      </c>
    </row>
    <row r="3719" spans="1:5" x14ac:dyDescent="0.25">
      <c r="B3719" s="115" t="s">
        <v>5090</v>
      </c>
      <c r="C3719" s="115" t="s">
        <v>1138</v>
      </c>
      <c r="D3719" s="115" t="s">
        <v>5091</v>
      </c>
      <c r="E3719" s="115" t="s">
        <v>5092</v>
      </c>
    </row>
    <row r="3720" spans="1:5" x14ac:dyDescent="0.25">
      <c r="B3720" s="115">
        <f>-56   -460</f>
        <v>-516</v>
      </c>
      <c r="D3720" s="115" t="s">
        <v>5093</v>
      </c>
      <c r="E3720" s="115" t="s">
        <v>5094</v>
      </c>
    </row>
    <row r="3721" spans="1:5" x14ac:dyDescent="0.25">
      <c r="B3721" s="115" t="s">
        <v>2802</v>
      </c>
      <c r="D3721" s="115" t="s">
        <v>5095</v>
      </c>
      <c r="E3721" s="115" t="s">
        <v>1141</v>
      </c>
    </row>
    <row r="3722" spans="1:5" x14ac:dyDescent="0.25">
      <c r="B3722" s="115" t="s">
        <v>5096</v>
      </c>
      <c r="C3722" s="115" t="s">
        <v>1138</v>
      </c>
      <c r="D3722" s="115" t="s">
        <v>5097</v>
      </c>
      <c r="E3722" s="115" t="s">
        <v>2537</v>
      </c>
    </row>
    <row r="3723" spans="1:5" x14ac:dyDescent="0.25">
      <c r="B3723" s="115" t="s">
        <v>5098</v>
      </c>
      <c r="C3723" s="115" t="s">
        <v>1138</v>
      </c>
      <c r="D3723" s="115" t="s">
        <v>5099</v>
      </c>
      <c r="E3723" s="115" t="s">
        <v>5100</v>
      </c>
    </row>
    <row r="3724" spans="1:5" x14ac:dyDescent="0.25">
      <c r="B3724" s="115" t="s">
        <v>5101</v>
      </c>
      <c r="D3724" s="115" t="s">
        <v>5102</v>
      </c>
      <c r="E3724" s="115" t="s">
        <v>5103</v>
      </c>
    </row>
    <row r="3725" spans="1:5" x14ac:dyDescent="0.25">
      <c r="B3725" s="115" t="s">
        <v>5104</v>
      </c>
      <c r="C3725" s="115" t="s">
        <v>1138</v>
      </c>
      <c r="D3725" s="115" t="s">
        <v>5105</v>
      </c>
      <c r="E3725" s="115" t="s">
        <v>5106</v>
      </c>
    </row>
    <row r="3726" spans="1:5" x14ac:dyDescent="0.25">
      <c r="B3726" s="115" t="s">
        <v>1139</v>
      </c>
      <c r="D3726" s="115" t="s">
        <v>1140</v>
      </c>
      <c r="E3726" s="115" t="s">
        <v>5107</v>
      </c>
    </row>
    <row r="3727" spans="1:5" x14ac:dyDescent="0.25">
      <c r="B3727" s="115" t="s">
        <v>5108</v>
      </c>
      <c r="D3727" s="115" t="s">
        <v>5109</v>
      </c>
      <c r="E3727" s="115" t="s">
        <v>5110</v>
      </c>
    </row>
    <row r="3728" spans="1:5" x14ac:dyDescent="0.25">
      <c r="B3728" s="115" t="s">
        <v>1139</v>
      </c>
      <c r="D3728" s="115" t="s">
        <v>5111</v>
      </c>
      <c r="E3728" s="115" t="s">
        <v>1859</v>
      </c>
    </row>
    <row r="3729" spans="1:5" x14ac:dyDescent="0.25">
      <c r="B3729" s="115" t="s">
        <v>1139</v>
      </c>
      <c r="D3729" s="115" t="s">
        <v>1140</v>
      </c>
      <c r="E3729" s="115" t="s">
        <v>1141</v>
      </c>
    </row>
    <row r="3730" spans="1:5" x14ac:dyDescent="0.25">
      <c r="B3730" s="115" t="s">
        <v>5112</v>
      </c>
      <c r="D3730" s="115" t="s">
        <v>1140</v>
      </c>
      <c r="E3730" s="115" t="s">
        <v>5113</v>
      </c>
    </row>
    <row r="3731" spans="1:5" x14ac:dyDescent="0.25">
      <c r="A3731" s="115">
        <v>-5</v>
      </c>
      <c r="B3731" s="115" t="s">
        <v>5114</v>
      </c>
      <c r="C3731" s="115" t="s">
        <v>1138</v>
      </c>
      <c r="D3731" s="115" t="s">
        <v>5115</v>
      </c>
      <c r="E3731" s="115" t="s">
        <v>5116</v>
      </c>
    </row>
    <row r="3732" spans="1:5" x14ac:dyDescent="0.25">
      <c r="B3732" s="115" t="s">
        <v>1139</v>
      </c>
      <c r="D3732" s="115" t="s">
        <v>5117</v>
      </c>
      <c r="E3732" s="115" t="s">
        <v>1141</v>
      </c>
    </row>
    <row r="3733" spans="1:5" x14ac:dyDescent="0.25">
      <c r="B3733" s="115" t="s">
        <v>1139</v>
      </c>
      <c r="D3733" s="115" t="s">
        <v>5118</v>
      </c>
      <c r="E3733" s="115" t="s">
        <v>5119</v>
      </c>
    </row>
    <row r="3734" spans="1:5" x14ac:dyDescent="0.25">
      <c r="A3734" s="115" t="s">
        <v>1138</v>
      </c>
      <c r="B3734" s="115" t="s">
        <v>5120</v>
      </c>
      <c r="D3734" s="115" t="s">
        <v>2421</v>
      </c>
      <c r="E3734" s="115" t="s">
        <v>5121</v>
      </c>
    </row>
    <row r="3735" spans="1:5" x14ac:dyDescent="0.25">
      <c r="B3735" s="115" t="s">
        <v>1139</v>
      </c>
      <c r="D3735" s="115" t="s">
        <v>3876</v>
      </c>
      <c r="E3735" s="115" t="s">
        <v>1702</v>
      </c>
    </row>
    <row r="3736" spans="1:5" x14ac:dyDescent="0.25">
      <c r="B3736" s="115" t="s">
        <v>1139</v>
      </c>
      <c r="D3736" s="115" t="s">
        <v>5122</v>
      </c>
      <c r="E3736" s="115" t="s">
        <v>1431</v>
      </c>
    </row>
    <row r="3737" spans="1:5" x14ac:dyDescent="0.25">
      <c r="B3737" s="115" t="s">
        <v>5123</v>
      </c>
      <c r="D3737" s="115" t="s">
        <v>5124</v>
      </c>
      <c r="E3737" s="115" t="s">
        <v>5125</v>
      </c>
    </row>
    <row r="3738" spans="1:5" x14ac:dyDescent="0.25">
      <c r="B3738" s="115" t="s">
        <v>5126</v>
      </c>
      <c r="D3738" s="115" t="s">
        <v>5127</v>
      </c>
      <c r="E3738" s="115" t="s">
        <v>1859</v>
      </c>
    </row>
    <row r="3739" spans="1:5" x14ac:dyDescent="0.25">
      <c r="B3739" s="115" t="s">
        <v>5128</v>
      </c>
      <c r="D3739" s="115" t="s">
        <v>5129</v>
      </c>
      <c r="E3739" s="115" t="s">
        <v>5130</v>
      </c>
    </row>
    <row r="3740" spans="1:5" x14ac:dyDescent="0.25">
      <c r="A3740" s="115">
        <v>-1</v>
      </c>
      <c r="B3740" s="115" t="s">
        <v>5131</v>
      </c>
      <c r="D3740" s="115" t="s">
        <v>5132</v>
      </c>
      <c r="E3740" s="115" t="s">
        <v>5133</v>
      </c>
    </row>
    <row r="3741" spans="1:5" x14ac:dyDescent="0.25">
      <c r="A3741" s="115" t="s">
        <v>1138</v>
      </c>
      <c r="B3741" s="115" t="s">
        <v>1229</v>
      </c>
      <c r="D3741" s="115" t="s">
        <v>5134</v>
      </c>
      <c r="E3741" s="115" t="s">
        <v>2082</v>
      </c>
    </row>
    <row r="3742" spans="1:5" x14ac:dyDescent="0.25">
      <c r="A3742" s="115">
        <v>1</v>
      </c>
      <c r="B3742" s="115" t="s">
        <v>5135</v>
      </c>
      <c r="D3742" s="115" t="s">
        <v>5136</v>
      </c>
      <c r="E3742" s="115" t="s">
        <v>5137</v>
      </c>
    </row>
    <row r="3743" spans="1:5" x14ac:dyDescent="0.25">
      <c r="A3743" s="115">
        <v>7</v>
      </c>
      <c r="B3743" s="115" t="s">
        <v>1432</v>
      </c>
      <c r="D3743" s="115" t="s">
        <v>5138</v>
      </c>
      <c r="E3743" s="115" t="s">
        <v>5139</v>
      </c>
    </row>
    <row r="3744" spans="1:5" x14ac:dyDescent="0.25">
      <c r="B3744" s="115" t="s">
        <v>5140</v>
      </c>
      <c r="D3744" s="115" t="s">
        <v>5141</v>
      </c>
      <c r="E3744" s="115" t="s">
        <v>1702</v>
      </c>
    </row>
    <row r="3745" spans="1:5" x14ac:dyDescent="0.25">
      <c r="A3745" s="115">
        <v>-7</v>
      </c>
      <c r="B3745" s="115" t="s">
        <v>5142</v>
      </c>
      <c r="D3745" s="115" t="s">
        <v>5143</v>
      </c>
      <c r="E3745" s="115" t="s">
        <v>5144</v>
      </c>
    </row>
    <row r="3746" spans="1:5" x14ac:dyDescent="0.25">
      <c r="A3746" s="115" t="s">
        <v>1138</v>
      </c>
      <c r="B3746" s="115" t="s">
        <v>5145</v>
      </c>
      <c r="D3746" s="115" t="s">
        <v>5146</v>
      </c>
      <c r="E3746" s="115" t="s">
        <v>5147</v>
      </c>
    </row>
    <row r="3747" spans="1:5" x14ac:dyDescent="0.25">
      <c r="B3747" s="115" t="s">
        <v>5148</v>
      </c>
      <c r="D3747" s="115" t="s">
        <v>1405</v>
      </c>
      <c r="E3747" s="115" t="s">
        <v>1141</v>
      </c>
    </row>
    <row r="3748" spans="1:5" x14ac:dyDescent="0.25">
      <c r="A3748" s="115">
        <v>1</v>
      </c>
      <c r="B3748" s="115" t="s">
        <v>5149</v>
      </c>
      <c r="D3748" s="115" t="s">
        <v>5150</v>
      </c>
      <c r="E3748" s="115" t="s">
        <v>1141</v>
      </c>
    </row>
    <row r="3749" spans="1:5" x14ac:dyDescent="0.25">
      <c r="A3749" s="115">
        <v>-3</v>
      </c>
      <c r="B3749" s="115" t="s">
        <v>5151</v>
      </c>
      <c r="C3749" s="115" t="s">
        <v>1138</v>
      </c>
      <c r="D3749" s="115" t="s">
        <v>5152</v>
      </c>
      <c r="E3749" s="115" t="s">
        <v>5153</v>
      </c>
    </row>
    <row r="3750" spans="1:5" x14ac:dyDescent="0.25">
      <c r="A3750" s="115" t="s">
        <v>1138</v>
      </c>
      <c r="B3750" s="115" t="s">
        <v>5154</v>
      </c>
      <c r="D3750" s="115" t="s">
        <v>5155</v>
      </c>
      <c r="E3750" s="115" t="s">
        <v>1759</v>
      </c>
    </row>
    <row r="3751" spans="1:5" x14ac:dyDescent="0.25">
      <c r="A3751" s="115">
        <v>1</v>
      </c>
      <c r="B3751" s="115" t="s">
        <v>5156</v>
      </c>
      <c r="D3751" s="115" t="s">
        <v>5157</v>
      </c>
      <c r="E3751" s="115" t="s">
        <v>5158</v>
      </c>
    </row>
    <row r="3752" spans="1:5" x14ac:dyDescent="0.25">
      <c r="B3752" s="115" t="s">
        <v>1139</v>
      </c>
      <c r="D3752" s="115" t="s">
        <v>1140</v>
      </c>
      <c r="E3752" s="115" t="s">
        <v>5159</v>
      </c>
    </row>
    <row r="3753" spans="1:5" x14ac:dyDescent="0.25">
      <c r="A3753" s="115" t="s">
        <v>1138</v>
      </c>
      <c r="B3753" s="115" t="s">
        <v>5160</v>
      </c>
      <c r="D3753" s="115" t="s">
        <v>5161</v>
      </c>
      <c r="E3753" s="115" t="s">
        <v>5162</v>
      </c>
    </row>
    <row r="3754" spans="1:5" x14ac:dyDescent="0.25">
      <c r="B3754" s="115" t="s">
        <v>1139</v>
      </c>
      <c r="D3754" s="115" t="s">
        <v>5163</v>
      </c>
      <c r="E3754" s="115" t="s">
        <v>1141</v>
      </c>
    </row>
    <row r="3755" spans="1:5" x14ac:dyDescent="0.25">
      <c r="B3755" s="115" t="s">
        <v>1139</v>
      </c>
      <c r="D3755" s="115" t="s">
        <v>1140</v>
      </c>
      <c r="E3755" s="115" t="s">
        <v>1141</v>
      </c>
    </row>
    <row r="3756" spans="1:5" x14ac:dyDescent="0.25">
      <c r="A3756" s="115">
        <v>1</v>
      </c>
      <c r="B3756" s="115" t="s">
        <v>5164</v>
      </c>
      <c r="D3756" s="115" t="s">
        <v>5165</v>
      </c>
      <c r="E3756" s="115" t="s">
        <v>5166</v>
      </c>
    </row>
    <row r="3757" spans="1:5" x14ac:dyDescent="0.25">
      <c r="A3757" s="115">
        <v>-2</v>
      </c>
      <c r="B3757" s="115" t="s">
        <v>5167</v>
      </c>
      <c r="D3757" s="115" t="s">
        <v>5168</v>
      </c>
      <c r="E3757" s="115" t="s">
        <v>5169</v>
      </c>
    </row>
    <row r="3758" spans="1:5" x14ac:dyDescent="0.25">
      <c r="B3758" s="115" t="s">
        <v>1139</v>
      </c>
      <c r="D3758" s="115" t="s">
        <v>5170</v>
      </c>
      <c r="E3758" s="115" t="s">
        <v>1141</v>
      </c>
    </row>
    <row r="3759" spans="1:5" x14ac:dyDescent="0.25">
      <c r="B3759" s="115" t="s">
        <v>1139</v>
      </c>
      <c r="D3759" s="115" t="s">
        <v>5171</v>
      </c>
      <c r="E3759" s="115" t="s">
        <v>5172</v>
      </c>
    </row>
    <row r="3760" spans="1:5" x14ac:dyDescent="0.25">
      <c r="A3760" s="115" t="s">
        <v>1138</v>
      </c>
      <c r="B3760" s="115" t="s">
        <v>5173</v>
      </c>
      <c r="D3760" s="115" t="s">
        <v>5174</v>
      </c>
      <c r="E3760" s="115" t="s">
        <v>5175</v>
      </c>
    </row>
    <row r="3761" spans="1:5" x14ac:dyDescent="0.25">
      <c r="B3761" s="115" t="s">
        <v>1139</v>
      </c>
      <c r="D3761" s="115" t="s">
        <v>1140</v>
      </c>
      <c r="E3761" s="115" t="s">
        <v>2690</v>
      </c>
    </row>
    <row r="3762" spans="1:5" x14ac:dyDescent="0.25">
      <c r="B3762" s="115" t="s">
        <v>1139</v>
      </c>
      <c r="D3762" s="115" t="s">
        <v>5176</v>
      </c>
      <c r="E3762" s="115" t="s">
        <v>5177</v>
      </c>
    </row>
    <row r="3763" spans="1:5" x14ac:dyDescent="0.25">
      <c r="B3763" s="115" t="s">
        <v>1543</v>
      </c>
      <c r="D3763" s="115" t="s">
        <v>5178</v>
      </c>
      <c r="E3763" s="115" t="s">
        <v>5179</v>
      </c>
    </row>
    <row r="3764" spans="1:5" x14ac:dyDescent="0.25">
      <c r="A3764" s="115" t="s">
        <v>1138</v>
      </c>
      <c r="B3764" s="115" t="s">
        <v>5180</v>
      </c>
      <c r="D3764" s="115" t="s">
        <v>5181</v>
      </c>
      <c r="E3764" s="115" t="s">
        <v>1141</v>
      </c>
    </row>
    <row r="3765" spans="1:5" x14ac:dyDescent="0.25">
      <c r="B3765" s="115" t="s">
        <v>5182</v>
      </c>
      <c r="D3765" s="115" t="s">
        <v>5183</v>
      </c>
      <c r="E3765" s="115" t="s">
        <v>5184</v>
      </c>
    </row>
    <row r="3766" spans="1:5" x14ac:dyDescent="0.25">
      <c r="A3766" s="115" t="s">
        <v>1138</v>
      </c>
      <c r="B3766" s="115" t="s">
        <v>5185</v>
      </c>
      <c r="D3766" s="115" t="s">
        <v>5186</v>
      </c>
      <c r="E3766" s="115" t="s">
        <v>5187</v>
      </c>
    </row>
    <row r="3767" spans="1:5" x14ac:dyDescent="0.25">
      <c r="A3767" s="115" t="s">
        <v>1138</v>
      </c>
      <c r="B3767" s="115" t="s">
        <v>1165</v>
      </c>
      <c r="D3767" s="115" t="s">
        <v>5188</v>
      </c>
      <c r="E3767" s="115" t="s">
        <v>2690</v>
      </c>
    </row>
    <row r="3768" spans="1:5" x14ac:dyDescent="0.25">
      <c r="B3768" s="115" t="s">
        <v>5189</v>
      </c>
      <c r="D3768" s="115" t="s">
        <v>5190</v>
      </c>
      <c r="E3768" s="115" t="s">
        <v>5191</v>
      </c>
    </row>
    <row r="3769" spans="1:5" x14ac:dyDescent="0.25">
      <c r="A3769" s="115" t="s">
        <v>1138</v>
      </c>
      <c r="B3769" s="115" t="s">
        <v>1467</v>
      </c>
      <c r="D3769" s="115" t="s">
        <v>5192</v>
      </c>
      <c r="E3769" s="115" t="s">
        <v>5193</v>
      </c>
    </row>
    <row r="3770" spans="1:5" x14ac:dyDescent="0.25">
      <c r="B3770" s="115" t="s">
        <v>5194</v>
      </c>
      <c r="D3770" s="115" t="s">
        <v>5195</v>
      </c>
      <c r="E3770" s="115" t="s">
        <v>2690</v>
      </c>
    </row>
    <row r="3771" spans="1:5" x14ac:dyDescent="0.25">
      <c r="B3771" s="115" t="s">
        <v>5196</v>
      </c>
      <c r="D3771" s="115" t="s">
        <v>5197</v>
      </c>
      <c r="E3771" s="115" t="s">
        <v>5198</v>
      </c>
    </row>
    <row r="3772" spans="1:5" x14ac:dyDescent="0.25">
      <c r="A3772" s="115">
        <v>1</v>
      </c>
      <c r="B3772" s="115" t="s">
        <v>5199</v>
      </c>
      <c r="D3772" s="115" t="s">
        <v>5200</v>
      </c>
      <c r="E3772" s="115" t="s">
        <v>5201</v>
      </c>
    </row>
    <row r="3773" spans="1:5" x14ac:dyDescent="0.25">
      <c r="A3773" s="115" t="s">
        <v>1138</v>
      </c>
      <c r="B3773" s="115" t="s">
        <v>1329</v>
      </c>
      <c r="C3773" s="115" t="s">
        <v>1138</v>
      </c>
      <c r="D3773" s="115" t="s">
        <v>5202</v>
      </c>
      <c r="E3773" s="115" t="s">
        <v>1141</v>
      </c>
    </row>
    <row r="3774" spans="1:5" x14ac:dyDescent="0.25">
      <c r="A3774" s="115">
        <v>-17</v>
      </c>
      <c r="B3774" s="115" t="s">
        <v>5203</v>
      </c>
      <c r="D3774" s="115" t="s">
        <v>5204</v>
      </c>
      <c r="E3774" s="115" t="s">
        <v>1141</v>
      </c>
    </row>
    <row r="3775" spans="1:5" x14ac:dyDescent="0.25">
      <c r="A3775" s="115">
        <v>-3</v>
      </c>
      <c r="B3775" s="115" t="s">
        <v>5205</v>
      </c>
      <c r="C3775" s="115" t="s">
        <v>1138</v>
      </c>
      <c r="D3775" s="115" t="s">
        <v>5206</v>
      </c>
      <c r="E3775" s="115" t="s">
        <v>5207</v>
      </c>
    </row>
    <row r="3776" spans="1:5" x14ac:dyDescent="0.25">
      <c r="A3776" s="115" t="s">
        <v>1138</v>
      </c>
      <c r="B3776" s="115" t="s">
        <v>1328</v>
      </c>
      <c r="D3776" s="115" t="s">
        <v>5208</v>
      </c>
      <c r="E3776" s="115" t="s">
        <v>2082</v>
      </c>
    </row>
    <row r="3777" spans="1:5" x14ac:dyDescent="0.25">
      <c r="B3777" s="115" t="s">
        <v>5209</v>
      </c>
      <c r="C3777" s="115" t="s">
        <v>1138</v>
      </c>
      <c r="D3777" s="115" t="s">
        <v>5210</v>
      </c>
      <c r="E3777" s="115" t="s">
        <v>5211</v>
      </c>
    </row>
    <row r="3778" spans="1:5" x14ac:dyDescent="0.25">
      <c r="B3778" s="115" t="s">
        <v>1139</v>
      </c>
      <c r="D3778" s="115" t="s">
        <v>1140</v>
      </c>
      <c r="E3778" s="115" t="s">
        <v>5212</v>
      </c>
    </row>
    <row r="3779" spans="1:5" x14ac:dyDescent="0.25">
      <c r="A3779" s="115">
        <v>1</v>
      </c>
      <c r="B3779" s="115" t="s">
        <v>5213</v>
      </c>
      <c r="D3779" s="115" t="s">
        <v>5214</v>
      </c>
      <c r="E3779" s="115" t="s">
        <v>5215</v>
      </c>
    </row>
    <row r="3780" spans="1:5" x14ac:dyDescent="0.25">
      <c r="B3780" s="115" t="s">
        <v>1139</v>
      </c>
      <c r="D3780" s="115" t="s">
        <v>5216</v>
      </c>
      <c r="E3780" s="115" t="s">
        <v>1141</v>
      </c>
    </row>
    <row r="3781" spans="1:5" x14ac:dyDescent="0.25">
      <c r="B3781" s="115" t="s">
        <v>1139</v>
      </c>
      <c r="D3781" s="115" t="s">
        <v>1140</v>
      </c>
      <c r="E3781" s="115" t="s">
        <v>1141</v>
      </c>
    </row>
    <row r="3782" spans="1:5" x14ac:dyDescent="0.25">
      <c r="A3782" s="115">
        <v>1</v>
      </c>
      <c r="B3782" s="115" t="s">
        <v>1443</v>
      </c>
      <c r="D3782" s="115" t="s">
        <v>5217</v>
      </c>
      <c r="E3782" s="115" t="s">
        <v>5218</v>
      </c>
    </row>
    <row r="3783" spans="1:5" x14ac:dyDescent="0.25">
      <c r="A3783" s="115">
        <v>31</v>
      </c>
      <c r="B3783" s="115" t="s">
        <v>5219</v>
      </c>
      <c r="C3783" s="115" t="s">
        <v>1138</v>
      </c>
      <c r="D3783" s="115" t="s">
        <v>5220</v>
      </c>
      <c r="E3783" s="115" t="s">
        <v>5221</v>
      </c>
    </row>
    <row r="3784" spans="1:5" x14ac:dyDescent="0.25">
      <c r="B3784" s="115" t="s">
        <v>1139</v>
      </c>
      <c r="D3784" s="115" t="s">
        <v>5222</v>
      </c>
      <c r="E3784" s="115" t="s">
        <v>1141</v>
      </c>
    </row>
    <row r="3785" spans="1:5" x14ac:dyDescent="0.25">
      <c r="B3785" s="115" t="s">
        <v>1139</v>
      </c>
      <c r="D3785" s="115" t="s">
        <v>5223</v>
      </c>
      <c r="E3785" s="115" t="s">
        <v>5224</v>
      </c>
    </row>
    <row r="3786" spans="1:5" x14ac:dyDescent="0.25">
      <c r="B3786" s="115" t="s">
        <v>5225</v>
      </c>
      <c r="D3786" s="115" t="s">
        <v>1663</v>
      </c>
      <c r="E3786" s="115" t="s">
        <v>5226</v>
      </c>
    </row>
    <row r="3787" spans="1:5" x14ac:dyDescent="0.25">
      <c r="B3787" s="115" t="s">
        <v>5227</v>
      </c>
      <c r="D3787" s="115" t="s">
        <v>1140</v>
      </c>
      <c r="E3787" s="115" t="s">
        <v>5228</v>
      </c>
    </row>
    <row r="3788" spans="1:5" x14ac:dyDescent="0.25">
      <c r="B3788" s="115" t="s">
        <v>1139</v>
      </c>
      <c r="D3788" s="115" t="s">
        <v>5229</v>
      </c>
      <c r="E3788" s="115" t="s">
        <v>5230</v>
      </c>
    </row>
    <row r="3789" spans="1:5" x14ac:dyDescent="0.25">
      <c r="B3789" s="115" t="s">
        <v>1139</v>
      </c>
      <c r="C3789" s="115" t="s">
        <v>1138</v>
      </c>
      <c r="D3789" s="115" t="s">
        <v>5231</v>
      </c>
      <c r="E3789" s="115" t="s">
        <v>5232</v>
      </c>
    </row>
    <row r="3790" spans="1:5" x14ac:dyDescent="0.25">
      <c r="B3790" s="115" t="s">
        <v>5233</v>
      </c>
      <c r="D3790" s="115" t="s">
        <v>5234</v>
      </c>
      <c r="E3790" s="115" t="s">
        <v>5235</v>
      </c>
    </row>
    <row r="3791" spans="1:5" x14ac:dyDescent="0.25">
      <c r="B3791" s="115" t="s">
        <v>5236</v>
      </c>
      <c r="D3791" s="115" t="s">
        <v>5237</v>
      </c>
      <c r="E3791" s="115" t="s">
        <v>5238</v>
      </c>
    </row>
    <row r="3792" spans="1:5" x14ac:dyDescent="0.25">
      <c r="A3792" s="115" t="s">
        <v>1138</v>
      </c>
      <c r="B3792" s="115" t="s">
        <v>5239</v>
      </c>
      <c r="C3792" s="115" t="s">
        <v>1138</v>
      </c>
      <c r="D3792" s="115" t="s">
        <v>5240</v>
      </c>
      <c r="E3792" s="115" t="s">
        <v>5241</v>
      </c>
    </row>
    <row r="3793" spans="2:5" x14ac:dyDescent="0.25">
      <c r="B3793" s="115" t="s">
        <v>5242</v>
      </c>
      <c r="D3793" s="115" t="s">
        <v>5243</v>
      </c>
      <c r="E3793" s="115" t="s">
        <v>5244</v>
      </c>
    </row>
    <row r="3794" spans="2:5" x14ac:dyDescent="0.25">
      <c r="B3794" s="115" t="s">
        <v>5245</v>
      </c>
      <c r="D3794" s="115" t="s">
        <v>5246</v>
      </c>
      <c r="E3794" s="115" t="s">
        <v>5247</v>
      </c>
    </row>
    <row r="3795" spans="2:5" x14ac:dyDescent="0.25">
      <c r="B3795" s="115">
        <f>-33   -597</f>
        <v>-630</v>
      </c>
      <c r="D3795" s="115" t="s">
        <v>5248</v>
      </c>
      <c r="E3795" s="115" t="s">
        <v>5249</v>
      </c>
    </row>
    <row r="3796" spans="2:5" x14ac:dyDescent="0.25">
      <c r="B3796" s="115" t="s">
        <v>1139</v>
      </c>
      <c r="D3796" s="115" t="s">
        <v>5250</v>
      </c>
      <c r="E3796" s="115" t="s">
        <v>5251</v>
      </c>
    </row>
    <row r="3797" spans="2:5" x14ac:dyDescent="0.25">
      <c r="B3797" s="115" t="s">
        <v>5252</v>
      </c>
      <c r="D3797" s="115" t="s">
        <v>5253</v>
      </c>
      <c r="E3797" s="115" t="s">
        <v>5254</v>
      </c>
    </row>
    <row r="3798" spans="2:5" x14ac:dyDescent="0.25">
      <c r="B3798" s="115" t="s">
        <v>5255</v>
      </c>
      <c r="D3798" s="115">
        <f>-954   -872   -771</f>
        <v>-2597</v>
      </c>
      <c r="E3798" s="115" t="s">
        <v>5256</v>
      </c>
    </row>
    <row r="3799" spans="2:5" x14ac:dyDescent="0.25">
      <c r="B3799" s="115" t="s">
        <v>5257</v>
      </c>
      <c r="D3799" s="115" t="s">
        <v>5258</v>
      </c>
      <c r="E3799" s="115" t="s">
        <v>1141</v>
      </c>
    </row>
    <row r="3800" spans="2:5" x14ac:dyDescent="0.25">
      <c r="B3800" s="115" t="s">
        <v>5259</v>
      </c>
      <c r="D3800" s="115" t="s">
        <v>5260</v>
      </c>
      <c r="E3800" s="115" t="s">
        <v>1859</v>
      </c>
    </row>
    <row r="3801" spans="2:5" x14ac:dyDescent="0.25">
      <c r="B3801" s="115" t="s">
        <v>5261</v>
      </c>
      <c r="D3801" s="115" t="s">
        <v>5262</v>
      </c>
      <c r="E3801" s="115" t="s">
        <v>5263</v>
      </c>
    </row>
    <row r="3802" spans="2:5" x14ac:dyDescent="0.25">
      <c r="B3802" s="115" t="s">
        <v>5264</v>
      </c>
      <c r="D3802" s="115" t="s">
        <v>5265</v>
      </c>
      <c r="E3802" s="115" t="s">
        <v>5266</v>
      </c>
    </row>
    <row r="3803" spans="2:5" x14ac:dyDescent="0.25">
      <c r="B3803" s="115" t="s">
        <v>5267</v>
      </c>
      <c r="D3803" s="115" t="s">
        <v>5268</v>
      </c>
      <c r="E3803" s="115" t="s">
        <v>5269</v>
      </c>
    </row>
    <row r="3804" spans="2:5" x14ac:dyDescent="0.25">
      <c r="B3804" s="115" t="s">
        <v>1139</v>
      </c>
      <c r="D3804" s="115" t="s">
        <v>1140</v>
      </c>
      <c r="E3804" s="115" t="s">
        <v>5270</v>
      </c>
    </row>
    <row r="3805" spans="2:5" x14ac:dyDescent="0.25">
      <c r="B3805" s="115" t="s">
        <v>5271</v>
      </c>
      <c r="D3805" s="115" t="s">
        <v>5272</v>
      </c>
      <c r="E3805" s="115" t="s">
        <v>5273</v>
      </c>
    </row>
    <row r="3806" spans="2:5" x14ac:dyDescent="0.25">
      <c r="B3806" s="115" t="s">
        <v>1139</v>
      </c>
      <c r="D3806" s="115" t="s">
        <v>5274</v>
      </c>
      <c r="E3806" s="115" t="s">
        <v>2082</v>
      </c>
    </row>
    <row r="3807" spans="2:5" x14ac:dyDescent="0.25">
      <c r="B3807" s="115" t="s">
        <v>1139</v>
      </c>
      <c r="D3807" s="115" t="s">
        <v>1140</v>
      </c>
      <c r="E3807" s="115" t="s">
        <v>1141</v>
      </c>
    </row>
    <row r="3808" spans="2:5" x14ac:dyDescent="0.25">
      <c r="B3808" s="115" t="s">
        <v>5275</v>
      </c>
      <c r="D3808" s="115" t="s">
        <v>1140</v>
      </c>
      <c r="E3808" s="115" t="s">
        <v>5276</v>
      </c>
    </row>
    <row r="3809" spans="1:5" x14ac:dyDescent="0.25">
      <c r="A3809" s="115">
        <v>-20</v>
      </c>
      <c r="B3809" s="115" t="s">
        <v>5277</v>
      </c>
      <c r="C3809" s="115">
        <v>-1</v>
      </c>
      <c r="D3809" s="115" t="s">
        <v>5278</v>
      </c>
      <c r="E3809" s="115" t="s">
        <v>5279</v>
      </c>
    </row>
    <row r="3810" spans="1:5" x14ac:dyDescent="0.25">
      <c r="B3810" s="115" t="s">
        <v>5280</v>
      </c>
      <c r="D3810" s="115" t="s">
        <v>5281</v>
      </c>
      <c r="E3810" s="115" t="s">
        <v>5282</v>
      </c>
    </row>
    <row r="3811" spans="1:5" x14ac:dyDescent="0.25">
      <c r="B3811" s="115" t="s">
        <v>1139</v>
      </c>
      <c r="D3811" s="115" t="s">
        <v>1848</v>
      </c>
      <c r="E3811" s="115" t="s">
        <v>5283</v>
      </c>
    </row>
    <row r="3812" spans="1:5" x14ac:dyDescent="0.25">
      <c r="A3812" s="115">
        <v>3</v>
      </c>
      <c r="B3812" s="115" t="s">
        <v>5284</v>
      </c>
      <c r="D3812" s="115" t="s">
        <v>5285</v>
      </c>
      <c r="E3812" s="115" t="s">
        <v>5286</v>
      </c>
    </row>
    <row r="3813" spans="1:5" x14ac:dyDescent="0.25">
      <c r="B3813" s="115" t="s">
        <v>1139</v>
      </c>
      <c r="D3813" s="115" t="s">
        <v>5287</v>
      </c>
      <c r="E3813" s="115" t="s">
        <v>1322</v>
      </c>
    </row>
    <row r="3814" spans="1:5" x14ac:dyDescent="0.25">
      <c r="B3814" s="115" t="s">
        <v>1139</v>
      </c>
      <c r="D3814" s="115" t="s">
        <v>1140</v>
      </c>
      <c r="E3814" s="115" t="s">
        <v>5288</v>
      </c>
    </row>
    <row r="3815" spans="1:5" x14ac:dyDescent="0.25">
      <c r="B3815" s="115" t="s">
        <v>1139</v>
      </c>
      <c r="D3815" s="115" t="s">
        <v>5289</v>
      </c>
      <c r="E3815" s="115" t="s">
        <v>5290</v>
      </c>
    </row>
    <row r="3816" spans="1:5" x14ac:dyDescent="0.25">
      <c r="B3816" s="115" t="s">
        <v>1648</v>
      </c>
      <c r="D3816" s="115">
        <f>-343   -855  -1035    -4</f>
        <v>-2237</v>
      </c>
      <c r="E3816" s="115" t="s">
        <v>5291</v>
      </c>
    </row>
    <row r="3817" spans="1:5" x14ac:dyDescent="0.25">
      <c r="B3817" s="115" t="s">
        <v>1139</v>
      </c>
      <c r="D3817" s="115" t="s">
        <v>5292</v>
      </c>
      <c r="E3817" s="115" t="s">
        <v>5293</v>
      </c>
    </row>
    <row r="3818" spans="1:5" x14ac:dyDescent="0.25">
      <c r="B3818" s="115" t="s">
        <v>1154</v>
      </c>
      <c r="D3818" s="115" t="s">
        <v>5294</v>
      </c>
      <c r="E3818" s="115" t="s">
        <v>5295</v>
      </c>
    </row>
    <row r="3819" spans="1:5" x14ac:dyDescent="0.25">
      <c r="B3819" s="115" t="s">
        <v>1139</v>
      </c>
      <c r="D3819" s="115" t="s">
        <v>5296</v>
      </c>
      <c r="E3819" s="115" t="s">
        <v>5297</v>
      </c>
    </row>
    <row r="3820" spans="1:5" x14ac:dyDescent="0.25">
      <c r="B3820" s="115" t="s">
        <v>1139</v>
      </c>
      <c r="D3820" s="115" t="s">
        <v>5298</v>
      </c>
      <c r="E3820" s="115" t="s">
        <v>5299</v>
      </c>
    </row>
    <row r="3821" spans="1:5" x14ac:dyDescent="0.25">
      <c r="B3821" s="115" t="s">
        <v>5300</v>
      </c>
      <c r="D3821" s="115" t="s">
        <v>5301</v>
      </c>
      <c r="E3821" s="115" t="s">
        <v>5302</v>
      </c>
    </row>
    <row r="3822" spans="1:5" x14ac:dyDescent="0.25">
      <c r="B3822" s="115" t="s">
        <v>5303</v>
      </c>
      <c r="D3822" s="115" t="s">
        <v>5304</v>
      </c>
      <c r="E3822" s="115" t="s">
        <v>5305</v>
      </c>
    </row>
    <row r="3823" spans="1:5" x14ac:dyDescent="0.25">
      <c r="B3823" s="115" t="s">
        <v>1139</v>
      </c>
      <c r="D3823" s="115" t="s">
        <v>5306</v>
      </c>
      <c r="E3823" s="115" t="s">
        <v>5307</v>
      </c>
    </row>
    <row r="3824" spans="1:5" x14ac:dyDescent="0.25">
      <c r="B3824" s="115" t="s">
        <v>1139</v>
      </c>
      <c r="D3824" s="115" t="s">
        <v>5308</v>
      </c>
      <c r="E3824" s="115" t="s">
        <v>5309</v>
      </c>
    </row>
    <row r="3825" spans="1:5" x14ac:dyDescent="0.25">
      <c r="B3825" s="115" t="s">
        <v>5310</v>
      </c>
      <c r="D3825" s="115" t="s">
        <v>5311</v>
      </c>
      <c r="E3825" s="115" t="s">
        <v>1141</v>
      </c>
    </row>
    <row r="3826" spans="1:5" x14ac:dyDescent="0.25">
      <c r="B3826" s="115" t="s">
        <v>1139</v>
      </c>
      <c r="D3826" s="115" t="s">
        <v>5312</v>
      </c>
      <c r="E3826" s="115" t="s">
        <v>5313</v>
      </c>
    </row>
    <row r="3827" spans="1:5" x14ac:dyDescent="0.25">
      <c r="B3827" s="115" t="s">
        <v>1139</v>
      </c>
      <c r="D3827" s="115" t="s">
        <v>5314</v>
      </c>
      <c r="E3827" s="115" t="s">
        <v>5315</v>
      </c>
    </row>
    <row r="3828" spans="1:5" x14ac:dyDescent="0.25">
      <c r="B3828" s="115" t="s">
        <v>1139</v>
      </c>
      <c r="D3828" s="115" t="s">
        <v>5316</v>
      </c>
      <c r="E3828" s="115" t="s">
        <v>5317</v>
      </c>
    </row>
    <row r="3829" spans="1:5" x14ac:dyDescent="0.25">
      <c r="B3829" s="115" t="s">
        <v>1139</v>
      </c>
      <c r="D3829" s="115" t="s">
        <v>5318</v>
      </c>
      <c r="E3829" s="115" t="s">
        <v>5319</v>
      </c>
    </row>
    <row r="3830" spans="1:5" x14ac:dyDescent="0.25">
      <c r="A3830" s="115" t="s">
        <v>1138</v>
      </c>
      <c r="B3830" s="115" t="s">
        <v>5320</v>
      </c>
      <c r="D3830" s="115" t="s">
        <v>1140</v>
      </c>
      <c r="E3830" s="115" t="s">
        <v>5321</v>
      </c>
    </row>
    <row r="3831" spans="1:5" x14ac:dyDescent="0.25">
      <c r="B3831" s="115" t="s">
        <v>5322</v>
      </c>
      <c r="D3831" s="115">
        <f>-96   -367   -260</f>
        <v>-723</v>
      </c>
      <c r="E3831" s="115" t="s">
        <v>5323</v>
      </c>
    </row>
    <row r="3832" spans="1:5" x14ac:dyDescent="0.25">
      <c r="A3832" s="115">
        <v>1</v>
      </c>
      <c r="B3832" s="115" t="s">
        <v>1255</v>
      </c>
      <c r="D3832" s="115" t="s">
        <v>1140</v>
      </c>
      <c r="E3832" s="115" t="s">
        <v>5324</v>
      </c>
    </row>
    <row r="3833" spans="1:5" x14ac:dyDescent="0.25">
      <c r="B3833" s="115" t="s">
        <v>1139</v>
      </c>
      <c r="D3833" s="115" t="s">
        <v>1140</v>
      </c>
      <c r="E3833" s="115" t="s">
        <v>1141</v>
      </c>
    </row>
    <row r="3834" spans="1:5" x14ac:dyDescent="0.25">
      <c r="B3834" s="115" t="s">
        <v>1139</v>
      </c>
      <c r="D3834" s="115" t="s">
        <v>5325</v>
      </c>
      <c r="E3834" s="115" t="s">
        <v>5326</v>
      </c>
    </row>
    <row r="3835" spans="1:5" x14ac:dyDescent="0.25">
      <c r="B3835" s="115" t="s">
        <v>5327</v>
      </c>
      <c r="C3835" s="115" t="s">
        <v>1138</v>
      </c>
      <c r="D3835" s="115" t="s">
        <v>5328</v>
      </c>
      <c r="E3835" s="115" t="s">
        <v>1141</v>
      </c>
    </row>
    <row r="3836" spans="1:5" x14ac:dyDescent="0.25">
      <c r="B3836" s="115" t="s">
        <v>1139</v>
      </c>
      <c r="D3836" s="115" t="s">
        <v>1140</v>
      </c>
      <c r="E3836" s="115" t="s">
        <v>1141</v>
      </c>
    </row>
    <row r="3837" spans="1:5" x14ac:dyDescent="0.25">
      <c r="B3837" s="115" t="s">
        <v>1139</v>
      </c>
      <c r="D3837" s="115" t="s">
        <v>1140</v>
      </c>
      <c r="E3837" s="115" t="s">
        <v>1141</v>
      </c>
    </row>
    <row r="3838" spans="1:5" x14ac:dyDescent="0.25">
      <c r="B3838" s="115" t="s">
        <v>1139</v>
      </c>
      <c r="D3838" s="115" t="s">
        <v>1140</v>
      </c>
      <c r="E3838" s="115" t="s">
        <v>1141</v>
      </c>
    </row>
    <row r="3839" spans="1:5" x14ac:dyDescent="0.25">
      <c r="B3839" s="115" t="s">
        <v>1139</v>
      </c>
      <c r="D3839" s="115" t="s">
        <v>1140</v>
      </c>
      <c r="E3839" s="115" t="s">
        <v>1141</v>
      </c>
    </row>
    <row r="3840" spans="1:5" x14ac:dyDescent="0.25">
      <c r="B3840" s="115" t="s">
        <v>1139</v>
      </c>
      <c r="D3840" s="115" t="s">
        <v>1140</v>
      </c>
      <c r="E3840" s="115" t="s">
        <v>1141</v>
      </c>
    </row>
    <row r="3841" spans="2:5" x14ac:dyDescent="0.25">
      <c r="B3841" s="115" t="s">
        <v>1139</v>
      </c>
      <c r="D3841" s="115" t="s">
        <v>1140</v>
      </c>
      <c r="E3841" s="115" t="s">
        <v>1141</v>
      </c>
    </row>
    <row r="3842" spans="2:5" x14ac:dyDescent="0.25">
      <c r="B3842" s="115" t="s">
        <v>1139</v>
      </c>
      <c r="D3842" s="115" t="s">
        <v>1140</v>
      </c>
      <c r="E3842" s="115" t="s">
        <v>1141</v>
      </c>
    </row>
    <row r="3843" spans="2:5" x14ac:dyDescent="0.25">
      <c r="B3843" s="115" t="s">
        <v>1139</v>
      </c>
      <c r="D3843" s="115" t="s">
        <v>1140</v>
      </c>
      <c r="E3843" s="115" t="s">
        <v>1141</v>
      </c>
    </row>
    <row r="3844" spans="2:5" x14ac:dyDescent="0.25">
      <c r="B3844" s="115" t="s">
        <v>1139</v>
      </c>
      <c r="D3844" s="115" t="s">
        <v>1140</v>
      </c>
      <c r="E3844" s="115" t="s">
        <v>1141</v>
      </c>
    </row>
    <row r="3845" spans="2:5" x14ac:dyDescent="0.25">
      <c r="B3845" s="115" t="s">
        <v>1139</v>
      </c>
      <c r="D3845" s="115" t="s">
        <v>1140</v>
      </c>
      <c r="E3845" s="115" t="s">
        <v>1141</v>
      </c>
    </row>
    <row r="3846" spans="2:5" x14ac:dyDescent="0.25">
      <c r="B3846" s="115" t="s">
        <v>1139</v>
      </c>
      <c r="D3846" s="115" t="s">
        <v>1140</v>
      </c>
      <c r="E3846" s="115" t="s">
        <v>1141</v>
      </c>
    </row>
    <row r="3847" spans="2:5" x14ac:dyDescent="0.25">
      <c r="B3847" s="115" t="s">
        <v>1139</v>
      </c>
      <c r="D3847" s="115" t="s">
        <v>1140</v>
      </c>
      <c r="E3847" s="115" t="s">
        <v>1141</v>
      </c>
    </row>
    <row r="3848" spans="2:5" x14ac:dyDescent="0.25">
      <c r="B3848" s="115" t="s">
        <v>1139</v>
      </c>
      <c r="D3848" s="115" t="s">
        <v>1140</v>
      </c>
      <c r="E3848" s="115" t="s">
        <v>1141</v>
      </c>
    </row>
    <row r="3849" spans="2:5" x14ac:dyDescent="0.25">
      <c r="B3849" s="115" t="s">
        <v>1139</v>
      </c>
      <c r="D3849" s="115" t="s">
        <v>1140</v>
      </c>
      <c r="E3849" s="115" t="s">
        <v>1141</v>
      </c>
    </row>
    <row r="3850" spans="2:5" x14ac:dyDescent="0.25">
      <c r="B3850" s="115" t="s">
        <v>1139</v>
      </c>
      <c r="D3850" s="115" t="s">
        <v>1140</v>
      </c>
      <c r="E3850" s="115" t="s">
        <v>1141</v>
      </c>
    </row>
    <row r="3851" spans="2:5" x14ac:dyDescent="0.25">
      <c r="B3851" s="115" t="s">
        <v>1139</v>
      </c>
      <c r="D3851" s="115" t="s">
        <v>1140</v>
      </c>
      <c r="E3851" s="115" t="s">
        <v>1141</v>
      </c>
    </row>
    <row r="3852" spans="2:5" x14ac:dyDescent="0.25">
      <c r="B3852" s="115" t="s">
        <v>1139</v>
      </c>
      <c r="D3852" s="115" t="s">
        <v>1140</v>
      </c>
      <c r="E3852" s="115" t="s">
        <v>1141</v>
      </c>
    </row>
    <row r="3853" spans="2:5" x14ac:dyDescent="0.25">
      <c r="B3853" s="115" t="s">
        <v>1139</v>
      </c>
      <c r="D3853" s="115" t="s">
        <v>1140</v>
      </c>
      <c r="E3853" s="115" t="s">
        <v>1141</v>
      </c>
    </row>
    <row r="3854" spans="2:5" x14ac:dyDescent="0.25">
      <c r="B3854" s="115" t="s">
        <v>1139</v>
      </c>
      <c r="D3854" s="115" t="s">
        <v>1140</v>
      </c>
      <c r="E3854" s="115" t="s">
        <v>1141</v>
      </c>
    </row>
    <row r="3855" spans="2:5" x14ac:dyDescent="0.25">
      <c r="B3855" s="115" t="s">
        <v>1139</v>
      </c>
      <c r="D3855" s="115" t="s">
        <v>1140</v>
      </c>
      <c r="E3855" s="115" t="s">
        <v>1141</v>
      </c>
    </row>
    <row r="3856" spans="2:5" x14ac:dyDescent="0.25">
      <c r="B3856" s="115" t="s">
        <v>1139</v>
      </c>
      <c r="D3856" s="115" t="s">
        <v>1140</v>
      </c>
      <c r="E3856" s="115" t="s">
        <v>1141</v>
      </c>
    </row>
    <row r="3857" spans="2:5" x14ac:dyDescent="0.25">
      <c r="B3857" s="115" t="s">
        <v>1139</v>
      </c>
      <c r="D3857" s="115" t="s">
        <v>1140</v>
      </c>
      <c r="E3857" s="115" t="s">
        <v>1141</v>
      </c>
    </row>
    <row r="3858" spans="2:5" x14ac:dyDescent="0.25">
      <c r="B3858" s="115" t="s">
        <v>1139</v>
      </c>
      <c r="D3858" s="115" t="s">
        <v>1140</v>
      </c>
      <c r="E3858" s="115" t="s">
        <v>1141</v>
      </c>
    </row>
    <row r="3859" spans="2:5" x14ac:dyDescent="0.25">
      <c r="B3859" s="115" t="s">
        <v>1139</v>
      </c>
      <c r="D3859" s="115" t="s">
        <v>1140</v>
      </c>
      <c r="E3859" s="115" t="s">
        <v>1141</v>
      </c>
    </row>
    <row r="3860" spans="2:5" x14ac:dyDescent="0.25">
      <c r="B3860" s="115" t="s">
        <v>1139</v>
      </c>
      <c r="D3860" s="115" t="s">
        <v>1140</v>
      </c>
      <c r="E3860" s="115" t="s">
        <v>1141</v>
      </c>
    </row>
    <row r="3861" spans="2:5" x14ac:dyDescent="0.25">
      <c r="B3861" s="115" t="s">
        <v>1139</v>
      </c>
      <c r="D3861" s="115" t="s">
        <v>1140</v>
      </c>
      <c r="E3861" s="115" t="s">
        <v>1141</v>
      </c>
    </row>
    <row r="3862" spans="2:5" x14ac:dyDescent="0.25">
      <c r="B3862" s="115" t="s">
        <v>1139</v>
      </c>
      <c r="D3862" s="115" t="s">
        <v>1140</v>
      </c>
      <c r="E3862" s="115" t="s">
        <v>1141</v>
      </c>
    </row>
    <row r="3863" spans="2:5" x14ac:dyDescent="0.25">
      <c r="B3863" s="115" t="s">
        <v>1139</v>
      </c>
      <c r="D3863" s="115" t="s">
        <v>1140</v>
      </c>
      <c r="E3863" s="115" t="s">
        <v>1141</v>
      </c>
    </row>
    <row r="3864" spans="2:5" x14ac:dyDescent="0.25">
      <c r="B3864" s="115" t="s">
        <v>1139</v>
      </c>
      <c r="D3864" s="115" t="s">
        <v>1140</v>
      </c>
      <c r="E3864" s="115" t="s">
        <v>1141</v>
      </c>
    </row>
    <row r="3865" spans="2:5" x14ac:dyDescent="0.25">
      <c r="B3865" s="115" t="s">
        <v>1139</v>
      </c>
      <c r="D3865" s="115" t="s">
        <v>1140</v>
      </c>
      <c r="E3865" s="115" t="s">
        <v>1141</v>
      </c>
    </row>
    <row r="3866" spans="2:5" x14ac:dyDescent="0.25">
      <c r="B3866" s="115" t="s">
        <v>1139</v>
      </c>
      <c r="D3866" s="115" t="s">
        <v>1140</v>
      </c>
      <c r="E3866" s="115" t="s">
        <v>1141</v>
      </c>
    </row>
    <row r="3867" spans="2:5" x14ac:dyDescent="0.25">
      <c r="B3867" s="115" t="s">
        <v>1139</v>
      </c>
      <c r="D3867" s="115" t="s">
        <v>1140</v>
      </c>
      <c r="E3867" s="115" t="s">
        <v>1141</v>
      </c>
    </row>
    <row r="3868" spans="2:5" x14ac:dyDescent="0.25">
      <c r="B3868" s="115" t="s">
        <v>1139</v>
      </c>
      <c r="D3868" s="115" t="s">
        <v>1140</v>
      </c>
      <c r="E3868" s="115" t="s">
        <v>1141</v>
      </c>
    </row>
    <row r="3869" spans="2:5" x14ac:dyDescent="0.25">
      <c r="B3869" s="115" t="s">
        <v>1139</v>
      </c>
      <c r="D3869" s="115" t="s">
        <v>1140</v>
      </c>
      <c r="E3869" s="115" t="s">
        <v>1141</v>
      </c>
    </row>
    <row r="3870" spans="2:5" x14ac:dyDescent="0.25">
      <c r="B3870" s="115" t="s">
        <v>1139</v>
      </c>
      <c r="D3870" s="115" t="s">
        <v>1140</v>
      </c>
      <c r="E3870" s="115" t="s">
        <v>1141</v>
      </c>
    </row>
    <row r="3871" spans="2:5" x14ac:dyDescent="0.25">
      <c r="B3871" s="115" t="s">
        <v>1139</v>
      </c>
      <c r="D3871" s="115" t="s">
        <v>1140</v>
      </c>
      <c r="E3871" s="115" t="s">
        <v>1141</v>
      </c>
    </row>
    <row r="3872" spans="2:5" x14ac:dyDescent="0.25">
      <c r="B3872" s="115" t="s">
        <v>1139</v>
      </c>
      <c r="D3872" s="115" t="s">
        <v>1140</v>
      </c>
      <c r="E3872" s="115" t="s">
        <v>1141</v>
      </c>
    </row>
    <row r="3873" spans="2:5" x14ac:dyDescent="0.25">
      <c r="B3873" s="115" t="s">
        <v>1139</v>
      </c>
      <c r="D3873" s="115" t="s">
        <v>1140</v>
      </c>
      <c r="E3873" s="115" t="s">
        <v>1141</v>
      </c>
    </row>
    <row r="3874" spans="2:5" x14ac:dyDescent="0.25">
      <c r="B3874" s="115" t="s">
        <v>1139</v>
      </c>
      <c r="D3874" s="115" t="s">
        <v>1140</v>
      </c>
      <c r="E3874" s="115" t="s">
        <v>1141</v>
      </c>
    </row>
    <row r="3875" spans="2:5" x14ac:dyDescent="0.25">
      <c r="B3875" s="115" t="s">
        <v>1139</v>
      </c>
      <c r="D3875" s="115" t="s">
        <v>1140</v>
      </c>
      <c r="E3875" s="115" t="s">
        <v>1141</v>
      </c>
    </row>
    <row r="3876" spans="2:5" x14ac:dyDescent="0.25">
      <c r="B3876" s="115" t="s">
        <v>1139</v>
      </c>
      <c r="D3876" s="115" t="s">
        <v>1140</v>
      </c>
      <c r="E3876" s="115" t="s">
        <v>1141</v>
      </c>
    </row>
    <row r="3877" spans="2:5" x14ac:dyDescent="0.25">
      <c r="B3877" s="115" t="s">
        <v>1139</v>
      </c>
      <c r="D3877" s="115" t="s">
        <v>1140</v>
      </c>
      <c r="E3877" s="115" t="s">
        <v>1141</v>
      </c>
    </row>
    <row r="3878" spans="2:5" x14ac:dyDescent="0.25">
      <c r="B3878" s="115" t="s">
        <v>1139</v>
      </c>
      <c r="D3878" s="115" t="s">
        <v>1140</v>
      </c>
      <c r="E3878" s="115" t="s">
        <v>1141</v>
      </c>
    </row>
    <row r="3879" spans="2:5" x14ac:dyDescent="0.25">
      <c r="B3879" s="115" t="s">
        <v>1139</v>
      </c>
      <c r="D3879" s="115" t="s">
        <v>1140</v>
      </c>
      <c r="E3879" s="115" t="s">
        <v>1141</v>
      </c>
    </row>
    <row r="3880" spans="2:5" x14ac:dyDescent="0.25">
      <c r="B3880" s="115" t="s">
        <v>1139</v>
      </c>
      <c r="D3880" s="115" t="s">
        <v>1140</v>
      </c>
      <c r="E3880" s="115" t="s">
        <v>1141</v>
      </c>
    </row>
    <row r="3881" spans="2:5" x14ac:dyDescent="0.25">
      <c r="B3881" s="115" t="s">
        <v>1139</v>
      </c>
      <c r="D3881" s="115" t="s">
        <v>1140</v>
      </c>
      <c r="E3881" s="115" t="s">
        <v>1141</v>
      </c>
    </row>
    <row r="3882" spans="2:5" x14ac:dyDescent="0.25">
      <c r="B3882" s="115" t="s">
        <v>1139</v>
      </c>
      <c r="D3882" s="115" t="s">
        <v>1140</v>
      </c>
      <c r="E3882" s="115" t="s">
        <v>1141</v>
      </c>
    </row>
    <row r="3883" spans="2:5" x14ac:dyDescent="0.25">
      <c r="B3883" s="115" t="s">
        <v>1139</v>
      </c>
      <c r="D3883" s="115" t="s">
        <v>1140</v>
      </c>
      <c r="E3883" s="115" t="s">
        <v>1141</v>
      </c>
    </row>
    <row r="3884" spans="2:5" x14ac:dyDescent="0.25">
      <c r="B3884" s="115" t="s">
        <v>1139</v>
      </c>
      <c r="D3884" s="115" t="s">
        <v>1140</v>
      </c>
      <c r="E3884" s="115" t="s">
        <v>1141</v>
      </c>
    </row>
    <row r="3885" spans="2:5" x14ac:dyDescent="0.25">
      <c r="B3885" s="115" t="s">
        <v>1139</v>
      </c>
      <c r="D3885" s="115" t="s">
        <v>1140</v>
      </c>
      <c r="E3885" s="115" t="s">
        <v>1141</v>
      </c>
    </row>
    <row r="3886" spans="2:5" x14ac:dyDescent="0.25">
      <c r="B3886" s="115" t="s">
        <v>1139</v>
      </c>
      <c r="D3886" s="115" t="s">
        <v>1140</v>
      </c>
      <c r="E3886" s="115" t="s">
        <v>1141</v>
      </c>
    </row>
    <row r="3887" spans="2:5" x14ac:dyDescent="0.25">
      <c r="B3887" s="115" t="s">
        <v>1139</v>
      </c>
      <c r="D3887" s="115" t="s">
        <v>1140</v>
      </c>
      <c r="E3887" s="115" t="s">
        <v>1141</v>
      </c>
    </row>
    <row r="3888" spans="2:5" x14ac:dyDescent="0.25">
      <c r="B3888" s="115" t="s">
        <v>1139</v>
      </c>
      <c r="D3888" s="115" t="s">
        <v>5329</v>
      </c>
      <c r="E3888" s="115" t="s">
        <v>5330</v>
      </c>
    </row>
    <row r="3889" spans="1:5" x14ac:dyDescent="0.25">
      <c r="B3889" s="115" t="s">
        <v>1390</v>
      </c>
      <c r="D3889" s="115" t="s">
        <v>5331</v>
      </c>
      <c r="E3889" s="115" t="s">
        <v>5332</v>
      </c>
    </row>
    <row r="3890" spans="1:5" x14ac:dyDescent="0.25">
      <c r="B3890" s="115" t="s">
        <v>1139</v>
      </c>
      <c r="D3890" s="115" t="s">
        <v>1140</v>
      </c>
      <c r="E3890" s="115" t="s">
        <v>5333</v>
      </c>
    </row>
    <row r="3891" spans="1:5" x14ac:dyDescent="0.25">
      <c r="B3891" s="115" t="s">
        <v>5334</v>
      </c>
      <c r="C3891" s="115">
        <v>-6</v>
      </c>
      <c r="D3891" s="115" t="s">
        <v>5335</v>
      </c>
      <c r="E3891" s="115" t="s">
        <v>5336</v>
      </c>
    </row>
    <row r="3892" spans="1:5" x14ac:dyDescent="0.25">
      <c r="A3892" s="115">
        <v>22</v>
      </c>
      <c r="B3892" s="115" t="s">
        <v>5337</v>
      </c>
      <c r="D3892" s="115" t="s">
        <v>5338</v>
      </c>
      <c r="E3892" s="115" t="s">
        <v>1141</v>
      </c>
    </row>
    <row r="3893" spans="1:5" x14ac:dyDescent="0.25">
      <c r="A3893" s="115">
        <v>2</v>
      </c>
      <c r="B3893" s="115" t="s">
        <v>1191</v>
      </c>
      <c r="D3893" s="115" t="s">
        <v>1140</v>
      </c>
      <c r="E3893" s="115" t="s">
        <v>5339</v>
      </c>
    </row>
    <row r="3894" spans="1:5" x14ac:dyDescent="0.25">
      <c r="B3894" s="115" t="s">
        <v>1613</v>
      </c>
      <c r="D3894" s="115" t="s">
        <v>1140</v>
      </c>
      <c r="E3894" s="115" t="s">
        <v>5340</v>
      </c>
    </row>
    <row r="3895" spans="1:5" x14ac:dyDescent="0.25">
      <c r="B3895" s="115" t="s">
        <v>5341</v>
      </c>
      <c r="D3895" s="115" t="s">
        <v>5342</v>
      </c>
      <c r="E3895" s="115" t="s">
        <v>5343</v>
      </c>
    </row>
    <row r="3896" spans="1:5" x14ac:dyDescent="0.25">
      <c r="A3896" s="115" t="s">
        <v>1138</v>
      </c>
      <c r="B3896" s="115" t="s">
        <v>1222</v>
      </c>
      <c r="D3896" s="115" t="s">
        <v>5344</v>
      </c>
      <c r="E3896" s="115" t="s">
        <v>5345</v>
      </c>
    </row>
    <row r="3897" spans="1:5" x14ac:dyDescent="0.25">
      <c r="A3897" s="115" t="s">
        <v>1138</v>
      </c>
      <c r="B3897" s="115" t="s">
        <v>5346</v>
      </c>
      <c r="D3897" s="115" t="s">
        <v>5347</v>
      </c>
      <c r="E3897" s="115" t="s">
        <v>5348</v>
      </c>
    </row>
    <row r="3898" spans="1:5" x14ac:dyDescent="0.25">
      <c r="B3898" s="115" t="s">
        <v>5349</v>
      </c>
      <c r="D3898" s="115" t="s">
        <v>5350</v>
      </c>
      <c r="E3898" s="115" t="s">
        <v>5351</v>
      </c>
    </row>
    <row r="3899" spans="1:5" x14ac:dyDescent="0.25">
      <c r="B3899" s="115" t="s">
        <v>1628</v>
      </c>
      <c r="D3899" s="115" t="s">
        <v>1850</v>
      </c>
      <c r="E3899" s="115" t="s">
        <v>5352</v>
      </c>
    </row>
    <row r="3900" spans="1:5" x14ac:dyDescent="0.25">
      <c r="A3900" s="115" t="s">
        <v>1138</v>
      </c>
      <c r="B3900" s="115" t="s">
        <v>5353</v>
      </c>
      <c r="D3900" s="115" t="s">
        <v>5354</v>
      </c>
      <c r="E3900" s="115" t="s">
        <v>5355</v>
      </c>
    </row>
    <row r="3901" spans="1:5" x14ac:dyDescent="0.25">
      <c r="A3901" s="115">
        <v>1</v>
      </c>
      <c r="B3901" s="115" t="s">
        <v>5356</v>
      </c>
      <c r="D3901" s="115" t="s">
        <v>1181</v>
      </c>
      <c r="E3901" s="115" t="s">
        <v>5357</v>
      </c>
    </row>
    <row r="3902" spans="1:5" x14ac:dyDescent="0.25">
      <c r="B3902" s="115" t="s">
        <v>1412</v>
      </c>
      <c r="D3902" s="115" t="s">
        <v>3810</v>
      </c>
      <c r="E3902" s="115" t="s">
        <v>5358</v>
      </c>
    </row>
    <row r="3903" spans="1:5" x14ac:dyDescent="0.25">
      <c r="A3903" s="115">
        <v>1</v>
      </c>
      <c r="B3903" s="115" t="s">
        <v>1228</v>
      </c>
      <c r="D3903" s="115" t="s">
        <v>5359</v>
      </c>
      <c r="E3903" s="115" t="s">
        <v>5360</v>
      </c>
    </row>
    <row r="3904" spans="1:5" x14ac:dyDescent="0.25">
      <c r="B3904" s="115" t="s">
        <v>1472</v>
      </c>
      <c r="D3904" s="115" t="s">
        <v>1612</v>
      </c>
      <c r="E3904" s="115" t="s">
        <v>5361</v>
      </c>
    </row>
    <row r="3905" spans="1:5" x14ac:dyDescent="0.25">
      <c r="B3905" s="115" t="s">
        <v>1139</v>
      </c>
      <c r="D3905" s="115" t="s">
        <v>1720</v>
      </c>
      <c r="E3905" s="115" t="s">
        <v>5362</v>
      </c>
    </row>
    <row r="3906" spans="1:5" x14ac:dyDescent="0.25">
      <c r="B3906" s="115" t="s">
        <v>1139</v>
      </c>
      <c r="D3906" s="115" t="s">
        <v>5363</v>
      </c>
      <c r="E3906" s="115" t="s">
        <v>5364</v>
      </c>
    </row>
    <row r="3907" spans="1:5" x14ac:dyDescent="0.25">
      <c r="B3907" s="115" t="s">
        <v>5365</v>
      </c>
      <c r="D3907" s="115" t="s">
        <v>3810</v>
      </c>
      <c r="E3907" s="115" t="s">
        <v>5366</v>
      </c>
    </row>
    <row r="3908" spans="1:5" x14ac:dyDescent="0.25">
      <c r="A3908" s="115" t="s">
        <v>1138</v>
      </c>
      <c r="B3908" s="115" t="s">
        <v>1325</v>
      </c>
      <c r="D3908" s="115" t="s">
        <v>5367</v>
      </c>
      <c r="E3908" s="115" t="s">
        <v>5368</v>
      </c>
    </row>
    <row r="3909" spans="1:5" x14ac:dyDescent="0.25">
      <c r="B3909" s="115" t="s">
        <v>5369</v>
      </c>
      <c r="C3909" s="115" t="s">
        <v>1138</v>
      </c>
      <c r="D3909" s="115" t="s">
        <v>5370</v>
      </c>
      <c r="E3909" s="115" t="s">
        <v>1141</v>
      </c>
    </row>
    <row r="3910" spans="1:5" x14ac:dyDescent="0.25">
      <c r="B3910" s="115" t="s">
        <v>1487</v>
      </c>
      <c r="D3910" s="115" t="s">
        <v>5371</v>
      </c>
      <c r="E3910" s="115" t="s">
        <v>5372</v>
      </c>
    </row>
    <row r="3911" spans="1:5" x14ac:dyDescent="0.25">
      <c r="B3911" s="115" t="s">
        <v>5373</v>
      </c>
      <c r="D3911" s="115" t="s">
        <v>5374</v>
      </c>
      <c r="E3911" s="115" t="s">
        <v>5375</v>
      </c>
    </row>
    <row r="3912" spans="1:5" x14ac:dyDescent="0.25">
      <c r="B3912" s="115" t="s">
        <v>1139</v>
      </c>
      <c r="D3912" s="115" t="s">
        <v>1140</v>
      </c>
      <c r="E3912" s="115" t="s">
        <v>1141</v>
      </c>
    </row>
    <row r="3913" spans="1:5" x14ac:dyDescent="0.25">
      <c r="B3913" s="115" t="s">
        <v>1139</v>
      </c>
      <c r="D3913" s="115" t="s">
        <v>5376</v>
      </c>
      <c r="E3913" s="115" t="s">
        <v>2537</v>
      </c>
    </row>
    <row r="3914" spans="1:5" x14ac:dyDescent="0.25">
      <c r="B3914" s="115" t="s">
        <v>5377</v>
      </c>
      <c r="D3914" s="115" t="s">
        <v>5378</v>
      </c>
      <c r="E3914" s="115" t="s">
        <v>5379</v>
      </c>
    </row>
    <row r="3915" spans="1:5" x14ac:dyDescent="0.25">
      <c r="B3915" s="115" t="s">
        <v>1162</v>
      </c>
      <c r="D3915" s="115" t="s">
        <v>5380</v>
      </c>
      <c r="E3915" s="115" t="s">
        <v>5381</v>
      </c>
    </row>
    <row r="3916" spans="1:5" x14ac:dyDescent="0.25">
      <c r="B3916" s="115" t="s">
        <v>1139</v>
      </c>
      <c r="D3916" s="115" t="s">
        <v>5382</v>
      </c>
      <c r="E3916" s="115" t="s">
        <v>1141</v>
      </c>
    </row>
    <row r="3917" spans="1:5" x14ac:dyDescent="0.25">
      <c r="B3917" s="115" t="s">
        <v>1139</v>
      </c>
      <c r="D3917" s="115" t="s">
        <v>5383</v>
      </c>
      <c r="E3917" s="115" t="s">
        <v>5384</v>
      </c>
    </row>
    <row r="3918" spans="1:5" x14ac:dyDescent="0.25">
      <c r="B3918" s="115" t="s">
        <v>5385</v>
      </c>
      <c r="D3918" s="115" t="s">
        <v>5386</v>
      </c>
      <c r="E3918" s="115" t="s">
        <v>5387</v>
      </c>
    </row>
    <row r="3919" spans="1:5" x14ac:dyDescent="0.25">
      <c r="A3919" s="115">
        <v>-3</v>
      </c>
      <c r="B3919" s="115" t="s">
        <v>5388</v>
      </c>
      <c r="D3919" s="115" t="s">
        <v>1140</v>
      </c>
      <c r="E3919" s="115" t="s">
        <v>5389</v>
      </c>
    </row>
    <row r="3920" spans="1:5" x14ac:dyDescent="0.25">
      <c r="B3920" s="115" t="s">
        <v>1139</v>
      </c>
      <c r="D3920" s="115" t="s">
        <v>5390</v>
      </c>
      <c r="E3920" s="115" t="s">
        <v>5391</v>
      </c>
    </row>
    <row r="3921" spans="1:5" x14ac:dyDescent="0.25">
      <c r="B3921" s="115" t="s">
        <v>1139</v>
      </c>
      <c r="C3921" s="115" t="s">
        <v>1138</v>
      </c>
      <c r="D3921" s="115" t="s">
        <v>5392</v>
      </c>
      <c r="E3921" s="115" t="s">
        <v>5393</v>
      </c>
    </row>
    <row r="3922" spans="1:5" x14ac:dyDescent="0.25">
      <c r="A3922" s="115">
        <v>7</v>
      </c>
      <c r="B3922" s="115" t="s">
        <v>5394</v>
      </c>
      <c r="D3922" s="115" t="s">
        <v>5395</v>
      </c>
      <c r="E3922" s="115" t="s">
        <v>5396</v>
      </c>
    </row>
    <row r="3923" spans="1:5" x14ac:dyDescent="0.25">
      <c r="B3923" s="115" t="s">
        <v>5397</v>
      </c>
      <c r="D3923" s="115" t="s">
        <v>5398</v>
      </c>
      <c r="E3923" s="115" t="s">
        <v>5399</v>
      </c>
    </row>
    <row r="3924" spans="1:5" x14ac:dyDescent="0.25">
      <c r="A3924" s="115">
        <v>2</v>
      </c>
      <c r="B3924" s="115" t="s">
        <v>5400</v>
      </c>
      <c r="D3924" s="115" t="s">
        <v>5401</v>
      </c>
      <c r="E3924" s="115" t="s">
        <v>5402</v>
      </c>
    </row>
    <row r="3925" spans="1:5" x14ac:dyDescent="0.25">
      <c r="B3925" s="115" t="s">
        <v>5403</v>
      </c>
      <c r="D3925" s="115" t="s">
        <v>5404</v>
      </c>
      <c r="E3925" s="115" t="s">
        <v>5405</v>
      </c>
    </row>
    <row r="3926" spans="1:5" x14ac:dyDescent="0.25">
      <c r="B3926" s="115" t="s">
        <v>1344</v>
      </c>
      <c r="D3926" s="115" t="s">
        <v>5406</v>
      </c>
      <c r="E3926" s="115" t="s">
        <v>5407</v>
      </c>
    </row>
    <row r="3927" spans="1:5" x14ac:dyDescent="0.25">
      <c r="A3927" s="115">
        <v>1</v>
      </c>
      <c r="B3927" s="115" t="s">
        <v>5408</v>
      </c>
      <c r="D3927" s="115" t="s">
        <v>1913</v>
      </c>
      <c r="E3927" s="115" t="s">
        <v>5409</v>
      </c>
    </row>
    <row r="3928" spans="1:5" x14ac:dyDescent="0.25">
      <c r="B3928" s="115" t="s">
        <v>1139</v>
      </c>
      <c r="D3928" s="115" t="s">
        <v>5410</v>
      </c>
      <c r="E3928" s="115" t="s">
        <v>5411</v>
      </c>
    </row>
    <row r="3929" spans="1:5" x14ac:dyDescent="0.25">
      <c r="B3929" s="115" t="s">
        <v>1637</v>
      </c>
      <c r="D3929" s="115" t="s">
        <v>5412</v>
      </c>
      <c r="E3929" s="115" t="s">
        <v>5413</v>
      </c>
    </row>
    <row r="3930" spans="1:5" x14ac:dyDescent="0.25">
      <c r="A3930" s="115">
        <v>2</v>
      </c>
      <c r="B3930" s="115" t="s">
        <v>5414</v>
      </c>
      <c r="D3930" s="115" t="s">
        <v>5415</v>
      </c>
      <c r="E3930" s="115" t="s">
        <v>5416</v>
      </c>
    </row>
    <row r="3931" spans="1:5" x14ac:dyDescent="0.25">
      <c r="B3931" s="115" t="s">
        <v>5417</v>
      </c>
      <c r="D3931" s="115" t="s">
        <v>1640</v>
      </c>
      <c r="E3931" s="115" t="s">
        <v>1141</v>
      </c>
    </row>
    <row r="3932" spans="1:5" x14ac:dyDescent="0.25">
      <c r="B3932" s="115" t="s">
        <v>5418</v>
      </c>
      <c r="D3932" s="115" t="s">
        <v>5419</v>
      </c>
      <c r="E3932" s="115" t="s">
        <v>2260</v>
      </c>
    </row>
    <row r="3933" spans="1:5" x14ac:dyDescent="0.25">
      <c r="B3933" s="115" t="s">
        <v>5420</v>
      </c>
      <c r="D3933" s="115" t="s">
        <v>5421</v>
      </c>
      <c r="E3933" s="115" t="s">
        <v>5422</v>
      </c>
    </row>
    <row r="3934" spans="1:5" x14ac:dyDescent="0.25">
      <c r="B3934" s="115" t="s">
        <v>5423</v>
      </c>
      <c r="D3934" s="115" t="s">
        <v>5424</v>
      </c>
      <c r="E3934" s="115" t="s">
        <v>5425</v>
      </c>
    </row>
    <row r="3935" spans="1:5" x14ac:dyDescent="0.25">
      <c r="B3935" s="115" t="s">
        <v>5426</v>
      </c>
      <c r="D3935" s="115" t="s">
        <v>5427</v>
      </c>
      <c r="E3935" s="115" t="s">
        <v>5428</v>
      </c>
    </row>
    <row r="3936" spans="1:5" x14ac:dyDescent="0.25">
      <c r="B3936" s="115" t="s">
        <v>1139</v>
      </c>
      <c r="D3936" s="115" t="s">
        <v>1140</v>
      </c>
      <c r="E3936" s="115" t="s">
        <v>5429</v>
      </c>
    </row>
    <row r="3937" spans="1:5" x14ac:dyDescent="0.25">
      <c r="A3937" s="115">
        <v>-2</v>
      </c>
      <c r="B3937" s="115" t="s">
        <v>5430</v>
      </c>
      <c r="D3937" s="115" t="s">
        <v>5431</v>
      </c>
      <c r="E3937" s="115" t="s">
        <v>5432</v>
      </c>
    </row>
    <row r="3938" spans="1:5" x14ac:dyDescent="0.25">
      <c r="B3938" s="115" t="s">
        <v>1139</v>
      </c>
      <c r="D3938" s="115" t="s">
        <v>5433</v>
      </c>
      <c r="E3938" s="115" t="s">
        <v>1141</v>
      </c>
    </row>
    <row r="3939" spans="1:5" x14ac:dyDescent="0.25">
      <c r="B3939" s="115" t="s">
        <v>1139</v>
      </c>
      <c r="D3939" s="115" t="s">
        <v>1140</v>
      </c>
      <c r="E3939" s="115" t="s">
        <v>1141</v>
      </c>
    </row>
    <row r="3940" spans="1:5" x14ac:dyDescent="0.25">
      <c r="B3940" s="115" t="s">
        <v>2290</v>
      </c>
      <c r="D3940" s="115" t="s">
        <v>1140</v>
      </c>
      <c r="E3940" s="115" t="s">
        <v>5434</v>
      </c>
    </row>
    <row r="3941" spans="1:5" x14ac:dyDescent="0.25">
      <c r="A3941" s="115">
        <v>11</v>
      </c>
      <c r="B3941" s="115" t="s">
        <v>5435</v>
      </c>
      <c r="C3941" s="115">
        <v>1</v>
      </c>
      <c r="D3941" s="115" t="s">
        <v>5436</v>
      </c>
      <c r="E3941" s="115" t="s">
        <v>5437</v>
      </c>
    </row>
    <row r="3942" spans="1:5" x14ac:dyDescent="0.25">
      <c r="B3942" s="115" t="s">
        <v>5438</v>
      </c>
      <c r="D3942" s="115" t="s">
        <v>5439</v>
      </c>
      <c r="E3942" s="115" t="s">
        <v>5440</v>
      </c>
    </row>
    <row r="3943" spans="1:5" x14ac:dyDescent="0.25">
      <c r="B3943" s="115" t="s">
        <v>5441</v>
      </c>
      <c r="D3943" s="115" t="s">
        <v>1140</v>
      </c>
      <c r="E3943" s="115" t="s">
        <v>1141</v>
      </c>
    </row>
    <row r="3944" spans="1:5" x14ac:dyDescent="0.25">
      <c r="B3944" s="115" t="s">
        <v>5442</v>
      </c>
      <c r="D3944" s="115" t="s">
        <v>5443</v>
      </c>
      <c r="E3944" s="115" t="s">
        <v>5444</v>
      </c>
    </row>
    <row r="3945" spans="1:5" x14ac:dyDescent="0.25">
      <c r="B3945" s="115" t="s">
        <v>1139</v>
      </c>
      <c r="D3945" s="115" t="s">
        <v>5445</v>
      </c>
      <c r="E3945" s="115" t="s">
        <v>5446</v>
      </c>
    </row>
    <row r="3946" spans="1:5" x14ac:dyDescent="0.25">
      <c r="B3946" s="115" t="s">
        <v>1139</v>
      </c>
      <c r="D3946" s="115" t="s">
        <v>5447</v>
      </c>
      <c r="E3946" s="115" t="s">
        <v>1141</v>
      </c>
    </row>
    <row r="3947" spans="1:5" x14ac:dyDescent="0.25">
      <c r="B3947" s="115" t="s">
        <v>5448</v>
      </c>
      <c r="C3947" s="115" t="s">
        <v>1138</v>
      </c>
      <c r="D3947" s="115" t="s">
        <v>5449</v>
      </c>
      <c r="E3947" s="115" t="s">
        <v>5450</v>
      </c>
    </row>
    <row r="3948" spans="1:5" x14ac:dyDescent="0.25">
      <c r="B3948" s="127">
        <v>41478</v>
      </c>
      <c r="D3948" s="115" t="s">
        <v>5451</v>
      </c>
      <c r="E3948" s="115" t="s">
        <v>5452</v>
      </c>
    </row>
    <row r="3949" spans="1:5" x14ac:dyDescent="0.25">
      <c r="A3949" s="115" t="s">
        <v>1138</v>
      </c>
      <c r="B3949" s="115" t="s">
        <v>5453</v>
      </c>
      <c r="D3949" s="115" t="s">
        <v>5454</v>
      </c>
      <c r="E3949" s="115" t="s">
        <v>5455</v>
      </c>
    </row>
    <row r="3950" spans="1:5" x14ac:dyDescent="0.25">
      <c r="A3950" s="115">
        <v>-1</v>
      </c>
      <c r="B3950" s="115" t="s">
        <v>5456</v>
      </c>
      <c r="C3950" s="115">
        <v>-2</v>
      </c>
      <c r="D3950" s="115" t="s">
        <v>5457</v>
      </c>
      <c r="E3950" s="115" t="s">
        <v>5458</v>
      </c>
    </row>
    <row r="3951" spans="1:5" x14ac:dyDescent="0.25">
      <c r="A3951" s="115">
        <v>4</v>
      </c>
      <c r="B3951" s="115" t="s">
        <v>5459</v>
      </c>
      <c r="D3951" s="115" t="s">
        <v>5460</v>
      </c>
      <c r="E3951" s="115" t="s">
        <v>5461</v>
      </c>
    </row>
    <row r="3952" spans="1:5" x14ac:dyDescent="0.25">
      <c r="B3952" s="115" t="s">
        <v>5462</v>
      </c>
      <c r="C3952" s="115" t="s">
        <v>1138</v>
      </c>
      <c r="D3952" s="115" t="s">
        <v>5463</v>
      </c>
      <c r="E3952" s="115" t="s">
        <v>5464</v>
      </c>
    </row>
    <row r="3953" spans="1:5" x14ac:dyDescent="0.25">
      <c r="B3953" s="115" t="s">
        <v>5465</v>
      </c>
      <c r="C3953" s="115" t="s">
        <v>1138</v>
      </c>
      <c r="D3953" s="115" t="s">
        <v>5466</v>
      </c>
      <c r="E3953" s="115" t="s">
        <v>5467</v>
      </c>
    </row>
    <row r="3954" spans="1:5" x14ac:dyDescent="0.25">
      <c r="B3954" s="115" t="s">
        <v>5468</v>
      </c>
      <c r="D3954" s="115" t="s">
        <v>5469</v>
      </c>
      <c r="E3954" s="115" t="s">
        <v>5470</v>
      </c>
    </row>
    <row r="3955" spans="1:5" x14ac:dyDescent="0.25">
      <c r="B3955" s="115" t="s">
        <v>1448</v>
      </c>
      <c r="D3955" s="115" t="s">
        <v>5471</v>
      </c>
      <c r="E3955" s="115" t="s">
        <v>5472</v>
      </c>
    </row>
    <row r="3956" spans="1:5" x14ac:dyDescent="0.25">
      <c r="B3956" s="115" t="s">
        <v>5473</v>
      </c>
      <c r="C3956" s="115" t="s">
        <v>1138</v>
      </c>
      <c r="D3956" s="115" t="s">
        <v>5474</v>
      </c>
      <c r="E3956" s="115" t="s">
        <v>5475</v>
      </c>
    </row>
    <row r="3957" spans="1:5" x14ac:dyDescent="0.25">
      <c r="B3957" s="115" t="s">
        <v>5476</v>
      </c>
      <c r="D3957" s="115" t="s">
        <v>5477</v>
      </c>
      <c r="E3957" s="115" t="s">
        <v>5478</v>
      </c>
    </row>
    <row r="3958" spans="1:5" x14ac:dyDescent="0.25">
      <c r="A3958" s="115" t="s">
        <v>1138</v>
      </c>
      <c r="B3958" s="115" t="s">
        <v>1215</v>
      </c>
      <c r="D3958" s="115" t="s">
        <v>1140</v>
      </c>
      <c r="E3958" s="115" t="s">
        <v>5479</v>
      </c>
    </row>
    <row r="3959" spans="1:5" x14ac:dyDescent="0.25">
      <c r="B3959" s="115" t="s">
        <v>5480</v>
      </c>
      <c r="D3959" s="115" t="s">
        <v>5481</v>
      </c>
      <c r="E3959" s="115" t="s">
        <v>5482</v>
      </c>
    </row>
    <row r="3960" spans="1:5" x14ac:dyDescent="0.25">
      <c r="A3960" s="115">
        <v>-2</v>
      </c>
      <c r="B3960" s="115" t="s">
        <v>5483</v>
      </c>
      <c r="C3960" s="115" t="s">
        <v>1138</v>
      </c>
      <c r="D3960" s="115" t="s">
        <v>5484</v>
      </c>
      <c r="E3960" s="115" t="s">
        <v>5485</v>
      </c>
    </row>
    <row r="3961" spans="1:5" x14ac:dyDescent="0.25">
      <c r="B3961" s="115" t="s">
        <v>1288</v>
      </c>
      <c r="D3961" s="115" t="s">
        <v>5486</v>
      </c>
      <c r="E3961" s="115" t="s">
        <v>5487</v>
      </c>
    </row>
    <row r="3962" spans="1:5" x14ac:dyDescent="0.25">
      <c r="A3962" s="115">
        <v>-6</v>
      </c>
      <c r="B3962" s="115" t="s">
        <v>5488</v>
      </c>
      <c r="C3962" s="115" t="s">
        <v>1138</v>
      </c>
      <c r="D3962" s="115" t="s">
        <v>5489</v>
      </c>
      <c r="E3962" s="115" t="s">
        <v>5490</v>
      </c>
    </row>
    <row r="3963" spans="1:5" x14ac:dyDescent="0.25">
      <c r="B3963" s="115" t="s">
        <v>1139</v>
      </c>
      <c r="D3963" s="115" t="s">
        <v>5491</v>
      </c>
      <c r="E3963" s="115" t="s">
        <v>5492</v>
      </c>
    </row>
    <row r="3964" spans="1:5" x14ac:dyDescent="0.25">
      <c r="B3964" s="115" t="s">
        <v>1139</v>
      </c>
      <c r="C3964" s="115" t="s">
        <v>1138</v>
      </c>
      <c r="D3964" s="115" t="s">
        <v>5493</v>
      </c>
      <c r="E3964" s="115" t="s">
        <v>1859</v>
      </c>
    </row>
    <row r="3965" spans="1:5" x14ac:dyDescent="0.25">
      <c r="B3965" s="115" t="s">
        <v>5494</v>
      </c>
      <c r="C3965" s="115" t="s">
        <v>1138</v>
      </c>
      <c r="D3965" s="115" t="s">
        <v>5495</v>
      </c>
      <c r="E3965" s="115" t="s">
        <v>1141</v>
      </c>
    </row>
    <row r="3966" spans="1:5" x14ac:dyDescent="0.25">
      <c r="B3966" s="115" t="s">
        <v>1139</v>
      </c>
      <c r="D3966" s="115" t="s">
        <v>1140</v>
      </c>
      <c r="E3966" s="115" t="s">
        <v>5496</v>
      </c>
    </row>
    <row r="3967" spans="1:5" x14ac:dyDescent="0.25">
      <c r="B3967" s="115" t="s">
        <v>1139</v>
      </c>
      <c r="D3967" s="115" t="s">
        <v>5497</v>
      </c>
      <c r="E3967" s="115" t="s">
        <v>5498</v>
      </c>
    </row>
    <row r="3968" spans="1:5" x14ac:dyDescent="0.25">
      <c r="A3968" s="115">
        <v>-8</v>
      </c>
      <c r="B3968" s="115" t="s">
        <v>5499</v>
      </c>
      <c r="D3968" s="115" t="s">
        <v>5500</v>
      </c>
      <c r="E3968" s="115" t="s">
        <v>5501</v>
      </c>
    </row>
    <row r="3969" spans="1:5" x14ac:dyDescent="0.25">
      <c r="B3969" s="115" t="s">
        <v>1139</v>
      </c>
      <c r="D3969" s="115" t="s">
        <v>5502</v>
      </c>
      <c r="E3969" s="115" t="s">
        <v>5503</v>
      </c>
    </row>
    <row r="3970" spans="1:5" x14ac:dyDescent="0.25">
      <c r="B3970" s="115" t="s">
        <v>1139</v>
      </c>
      <c r="D3970" s="115" t="s">
        <v>1140</v>
      </c>
      <c r="E3970" s="115" t="s">
        <v>5504</v>
      </c>
    </row>
    <row r="3971" spans="1:5" x14ac:dyDescent="0.25">
      <c r="B3971" s="115" t="s">
        <v>1139</v>
      </c>
      <c r="C3971" s="115" t="s">
        <v>1138</v>
      </c>
      <c r="D3971" s="115" t="s">
        <v>5505</v>
      </c>
      <c r="E3971" s="115" t="s">
        <v>5506</v>
      </c>
    </row>
    <row r="3972" spans="1:5" x14ac:dyDescent="0.25">
      <c r="B3972" s="115" t="s">
        <v>5507</v>
      </c>
      <c r="D3972" s="115" t="s">
        <v>5508</v>
      </c>
      <c r="E3972" s="115" t="s">
        <v>2260</v>
      </c>
    </row>
    <row r="3973" spans="1:5" x14ac:dyDescent="0.25">
      <c r="B3973" s="115" t="s">
        <v>5509</v>
      </c>
      <c r="D3973" s="115" t="s">
        <v>1140</v>
      </c>
      <c r="E3973" s="115" t="s">
        <v>5510</v>
      </c>
    </row>
    <row r="3974" spans="1:5" x14ac:dyDescent="0.25">
      <c r="A3974" s="115">
        <v>-6</v>
      </c>
      <c r="B3974" s="115" t="s">
        <v>1185</v>
      </c>
      <c r="D3974" s="115" t="s">
        <v>5511</v>
      </c>
      <c r="E3974" s="115" t="s">
        <v>5512</v>
      </c>
    </row>
    <row r="3975" spans="1:5" x14ac:dyDescent="0.25">
      <c r="B3975" s="115" t="s">
        <v>1139</v>
      </c>
      <c r="D3975" s="115" t="s">
        <v>5513</v>
      </c>
      <c r="E3975" s="115" t="s">
        <v>5514</v>
      </c>
    </row>
    <row r="3976" spans="1:5" x14ac:dyDescent="0.25">
      <c r="A3976" s="115" t="s">
        <v>1138</v>
      </c>
      <c r="B3976" s="115" t="s">
        <v>5515</v>
      </c>
      <c r="D3976" s="115" t="s">
        <v>1140</v>
      </c>
      <c r="E3976" s="115" t="s">
        <v>5516</v>
      </c>
    </row>
    <row r="3977" spans="1:5" x14ac:dyDescent="0.25">
      <c r="A3977" s="115">
        <v>-8</v>
      </c>
      <c r="B3977" s="115" t="s">
        <v>5517</v>
      </c>
      <c r="D3977" s="115" t="s">
        <v>5518</v>
      </c>
      <c r="E3977" s="115" t="s">
        <v>5519</v>
      </c>
    </row>
    <row r="3978" spans="1:5" x14ac:dyDescent="0.25">
      <c r="B3978" s="115" t="s">
        <v>5520</v>
      </c>
      <c r="D3978" s="115" t="s">
        <v>5521</v>
      </c>
      <c r="E3978" s="115" t="s">
        <v>5522</v>
      </c>
    </row>
    <row r="3979" spans="1:5" x14ac:dyDescent="0.25">
      <c r="B3979" s="115" t="s">
        <v>5523</v>
      </c>
      <c r="D3979" s="115" t="s">
        <v>1140</v>
      </c>
      <c r="E3979" s="115" t="s">
        <v>5524</v>
      </c>
    </row>
    <row r="3980" spans="1:5" x14ac:dyDescent="0.25">
      <c r="A3980" s="115">
        <v>-20</v>
      </c>
      <c r="B3980" s="115" t="s">
        <v>5525</v>
      </c>
      <c r="D3980" s="115" t="s">
        <v>5526</v>
      </c>
      <c r="E3980" s="115" t="s">
        <v>5527</v>
      </c>
    </row>
    <row r="3981" spans="1:5" x14ac:dyDescent="0.25">
      <c r="B3981" s="115" t="s">
        <v>5528</v>
      </c>
      <c r="C3981" s="115" t="s">
        <v>1138</v>
      </c>
      <c r="D3981" s="115" t="s">
        <v>5529</v>
      </c>
      <c r="E3981" s="115" t="s">
        <v>5530</v>
      </c>
    </row>
    <row r="3982" spans="1:5" x14ac:dyDescent="0.25">
      <c r="A3982" s="115">
        <v>-1</v>
      </c>
      <c r="B3982" s="115" t="s">
        <v>5531</v>
      </c>
      <c r="D3982" s="115" t="s">
        <v>1140</v>
      </c>
      <c r="E3982" s="115" t="s">
        <v>5532</v>
      </c>
    </row>
    <row r="3983" spans="1:5" x14ac:dyDescent="0.25">
      <c r="A3983" s="115">
        <v>-9</v>
      </c>
      <c r="B3983" s="115" t="s">
        <v>5533</v>
      </c>
      <c r="D3983" s="115" t="s">
        <v>5534</v>
      </c>
      <c r="E3983" s="115" t="s">
        <v>5535</v>
      </c>
    </row>
    <row r="3984" spans="1:5" x14ac:dyDescent="0.25">
      <c r="B3984" s="115" t="s">
        <v>5536</v>
      </c>
      <c r="D3984" s="115" t="s">
        <v>5537</v>
      </c>
      <c r="E3984" s="115" t="s">
        <v>5538</v>
      </c>
    </row>
    <row r="3985" spans="1:5" x14ac:dyDescent="0.25">
      <c r="B3985" s="115" t="s">
        <v>1139</v>
      </c>
      <c r="D3985" s="115" t="s">
        <v>1140</v>
      </c>
      <c r="E3985" s="115" t="s">
        <v>5539</v>
      </c>
    </row>
    <row r="3986" spans="1:5" x14ac:dyDescent="0.25">
      <c r="A3986" s="115">
        <v>3</v>
      </c>
      <c r="B3986" s="115" t="s">
        <v>1204</v>
      </c>
      <c r="D3986" s="115" t="s">
        <v>1140</v>
      </c>
      <c r="E3986" s="115" t="s">
        <v>5540</v>
      </c>
    </row>
    <row r="3987" spans="1:5" x14ac:dyDescent="0.25">
      <c r="A3987" s="115">
        <v>-2</v>
      </c>
      <c r="B3987" s="115" t="s">
        <v>5541</v>
      </c>
      <c r="D3987" s="115" t="s">
        <v>5542</v>
      </c>
      <c r="E3987" s="115" t="s">
        <v>5543</v>
      </c>
    </row>
    <row r="3988" spans="1:5" x14ac:dyDescent="0.25">
      <c r="B3988" s="115" t="s">
        <v>5544</v>
      </c>
      <c r="D3988" s="115" t="s">
        <v>1140</v>
      </c>
      <c r="E3988" s="115" t="s">
        <v>5545</v>
      </c>
    </row>
    <row r="3989" spans="1:5" x14ac:dyDescent="0.25">
      <c r="A3989" s="115">
        <v>-4</v>
      </c>
      <c r="B3989" s="115" t="s">
        <v>5546</v>
      </c>
      <c r="D3989" s="115" t="s">
        <v>5547</v>
      </c>
      <c r="E3989" s="115" t="s">
        <v>1141</v>
      </c>
    </row>
    <row r="3990" spans="1:5" x14ac:dyDescent="0.25">
      <c r="B3990" s="115" t="s">
        <v>1139</v>
      </c>
      <c r="C3990" s="115" t="s">
        <v>1138</v>
      </c>
      <c r="D3990" s="115" t="s">
        <v>5548</v>
      </c>
      <c r="E3990" s="115" t="s">
        <v>5549</v>
      </c>
    </row>
    <row r="3991" spans="1:5" x14ac:dyDescent="0.25">
      <c r="A3991" s="115">
        <v>-1</v>
      </c>
      <c r="B3991" s="115" t="s">
        <v>5550</v>
      </c>
      <c r="D3991" s="115" t="s">
        <v>5551</v>
      </c>
      <c r="E3991" s="115" t="s">
        <v>5552</v>
      </c>
    </row>
    <row r="3992" spans="1:5" x14ac:dyDescent="0.25">
      <c r="A3992" s="115">
        <v>-10</v>
      </c>
      <c r="B3992" s="115" t="s">
        <v>1588</v>
      </c>
      <c r="D3992" s="115" t="s">
        <v>1140</v>
      </c>
      <c r="E3992" s="115" t="s">
        <v>1141</v>
      </c>
    </row>
    <row r="3993" spans="1:5" x14ac:dyDescent="0.25">
      <c r="B3993" s="115" t="s">
        <v>1139</v>
      </c>
      <c r="D3993" s="115" t="s">
        <v>1140</v>
      </c>
      <c r="E3993" s="115" t="s">
        <v>5553</v>
      </c>
    </row>
    <row r="3994" spans="1:5" x14ac:dyDescent="0.25">
      <c r="B3994" s="115" t="s">
        <v>5554</v>
      </c>
      <c r="C3994" s="115" t="s">
        <v>1138</v>
      </c>
      <c r="D3994" s="115" t="s">
        <v>5555</v>
      </c>
      <c r="E3994" s="115" t="s">
        <v>5556</v>
      </c>
    </row>
    <row r="3995" spans="1:5" x14ac:dyDescent="0.25">
      <c r="B3995" s="115" t="s">
        <v>1139</v>
      </c>
      <c r="D3995" s="115" t="s">
        <v>5557</v>
      </c>
      <c r="E3995" s="115" t="s">
        <v>5558</v>
      </c>
    </row>
    <row r="3996" spans="1:5" x14ac:dyDescent="0.25">
      <c r="B3996" s="115" t="s">
        <v>5559</v>
      </c>
      <c r="D3996" s="115" t="s">
        <v>5560</v>
      </c>
      <c r="E3996" s="115" t="s">
        <v>5561</v>
      </c>
    </row>
    <row r="3997" spans="1:5" x14ac:dyDescent="0.25">
      <c r="B3997" s="115" t="s">
        <v>1139</v>
      </c>
      <c r="D3997" s="115" t="s">
        <v>1140</v>
      </c>
      <c r="E3997" s="115" t="s">
        <v>5562</v>
      </c>
    </row>
    <row r="3998" spans="1:5" x14ac:dyDescent="0.25">
      <c r="B3998" s="115" t="s">
        <v>5563</v>
      </c>
      <c r="C3998" s="115">
        <v>1</v>
      </c>
      <c r="D3998" s="115" t="s">
        <v>5564</v>
      </c>
      <c r="E3998" s="115" t="s">
        <v>5565</v>
      </c>
    </row>
    <row r="3999" spans="1:5" x14ac:dyDescent="0.25">
      <c r="A3999" s="115">
        <v>2</v>
      </c>
      <c r="B3999" s="115" t="s">
        <v>5566</v>
      </c>
      <c r="D3999" s="115" t="s">
        <v>5567</v>
      </c>
      <c r="E3999" s="115" t="s">
        <v>1141</v>
      </c>
    </row>
    <row r="4000" spans="1:5" x14ac:dyDescent="0.25">
      <c r="A4000" s="115" t="s">
        <v>1138</v>
      </c>
      <c r="B4000" s="115" t="s">
        <v>1617</v>
      </c>
      <c r="D4000" s="115" t="s">
        <v>1140</v>
      </c>
      <c r="E4000" s="115" t="s">
        <v>5568</v>
      </c>
    </row>
    <row r="4001" spans="1:5" x14ac:dyDescent="0.25">
      <c r="B4001" s="115" t="s">
        <v>5569</v>
      </c>
      <c r="D4001" s="115" t="s">
        <v>1140</v>
      </c>
      <c r="E4001" s="115" t="s">
        <v>5570</v>
      </c>
    </row>
    <row r="4002" spans="1:5" x14ac:dyDescent="0.25">
      <c r="B4002" s="115" t="s">
        <v>1477</v>
      </c>
      <c r="D4002" s="115" t="s">
        <v>5571</v>
      </c>
      <c r="E4002" s="115" t="s">
        <v>5572</v>
      </c>
    </row>
    <row r="4003" spans="1:5" x14ac:dyDescent="0.25">
      <c r="B4003" s="115" t="s">
        <v>1323</v>
      </c>
      <c r="D4003" s="115" t="s">
        <v>2058</v>
      </c>
      <c r="E4003" s="115" t="s">
        <v>5573</v>
      </c>
    </row>
    <row r="4004" spans="1:5" x14ac:dyDescent="0.25">
      <c r="B4004" s="115" t="s">
        <v>5574</v>
      </c>
      <c r="D4004" s="115" t="s">
        <v>5575</v>
      </c>
      <c r="E4004" s="115" t="s">
        <v>5576</v>
      </c>
    </row>
    <row r="4005" spans="1:5" x14ac:dyDescent="0.25">
      <c r="B4005" s="115">
        <f>-14   -138</f>
        <v>-152</v>
      </c>
      <c r="D4005" s="115" t="s">
        <v>5577</v>
      </c>
      <c r="E4005" s="115" t="s">
        <v>5578</v>
      </c>
    </row>
    <row r="4006" spans="1:5" x14ac:dyDescent="0.25">
      <c r="B4006" s="115" t="s">
        <v>5579</v>
      </c>
      <c r="D4006" s="115" t="s">
        <v>5580</v>
      </c>
      <c r="E4006" s="115" t="s">
        <v>5581</v>
      </c>
    </row>
    <row r="4007" spans="1:5" x14ac:dyDescent="0.25">
      <c r="B4007" s="115" t="s">
        <v>5582</v>
      </c>
      <c r="D4007" s="115" t="s">
        <v>5583</v>
      </c>
      <c r="E4007" s="115" t="s">
        <v>5584</v>
      </c>
    </row>
    <row r="4008" spans="1:5" x14ac:dyDescent="0.25">
      <c r="B4008" s="115" t="s">
        <v>5585</v>
      </c>
      <c r="D4008" s="115" t="s">
        <v>5586</v>
      </c>
      <c r="E4008" s="115" t="s">
        <v>5587</v>
      </c>
    </row>
    <row r="4009" spans="1:5" x14ac:dyDescent="0.25">
      <c r="B4009" s="115" t="s">
        <v>1332</v>
      </c>
      <c r="D4009" s="115" t="s">
        <v>2893</v>
      </c>
      <c r="E4009" s="115" t="s">
        <v>5588</v>
      </c>
    </row>
    <row r="4010" spans="1:5" x14ac:dyDescent="0.25">
      <c r="B4010" s="115" t="s">
        <v>1459</v>
      </c>
      <c r="D4010" s="115" t="s">
        <v>5589</v>
      </c>
      <c r="E4010" s="115" t="s">
        <v>5590</v>
      </c>
    </row>
    <row r="4011" spans="1:5" x14ac:dyDescent="0.25">
      <c r="A4011" s="115">
        <v>6</v>
      </c>
      <c r="B4011" s="115" t="s">
        <v>1382</v>
      </c>
      <c r="D4011" s="115" t="s">
        <v>5591</v>
      </c>
      <c r="E4011" s="115" t="s">
        <v>5592</v>
      </c>
    </row>
    <row r="4012" spans="1:5" x14ac:dyDescent="0.25">
      <c r="B4012" s="115" t="s">
        <v>1139</v>
      </c>
      <c r="D4012" s="115" t="s">
        <v>5593</v>
      </c>
      <c r="E4012" s="115" t="s">
        <v>5594</v>
      </c>
    </row>
    <row r="4013" spans="1:5" x14ac:dyDescent="0.25">
      <c r="B4013" s="115" t="s">
        <v>1139</v>
      </c>
      <c r="D4013" s="115" t="s">
        <v>5595</v>
      </c>
      <c r="E4013" s="115" t="s">
        <v>5596</v>
      </c>
    </row>
    <row r="4014" spans="1:5" x14ac:dyDescent="0.25">
      <c r="A4014" s="115">
        <v>-2</v>
      </c>
      <c r="B4014" s="115" t="s">
        <v>5597</v>
      </c>
      <c r="D4014" s="115" t="s">
        <v>5598</v>
      </c>
      <c r="E4014" s="115" t="s">
        <v>5599</v>
      </c>
    </row>
    <row r="4015" spans="1:5" x14ac:dyDescent="0.25">
      <c r="A4015" s="115">
        <v>-1</v>
      </c>
      <c r="B4015" s="115" t="s">
        <v>1497</v>
      </c>
      <c r="D4015" s="115" t="s">
        <v>5600</v>
      </c>
      <c r="E4015" s="115" t="s">
        <v>5601</v>
      </c>
    </row>
    <row r="4016" spans="1:5" x14ac:dyDescent="0.25">
      <c r="A4016" s="115">
        <v>-1</v>
      </c>
      <c r="B4016" s="115" t="s">
        <v>5602</v>
      </c>
      <c r="D4016" s="115" t="s">
        <v>5603</v>
      </c>
      <c r="E4016" s="115" t="s">
        <v>1141</v>
      </c>
    </row>
    <row r="4017" spans="1:5" x14ac:dyDescent="0.25">
      <c r="B4017" s="115" t="s">
        <v>5604</v>
      </c>
      <c r="D4017" s="115" t="s">
        <v>5605</v>
      </c>
      <c r="E4017" s="115" t="s">
        <v>5606</v>
      </c>
    </row>
    <row r="4018" spans="1:5" x14ac:dyDescent="0.25">
      <c r="B4018" s="115" t="s">
        <v>1349</v>
      </c>
      <c r="C4018" s="115" t="s">
        <v>1138</v>
      </c>
      <c r="D4018" s="115" t="s">
        <v>5607</v>
      </c>
      <c r="E4018" s="115" t="s">
        <v>5608</v>
      </c>
    </row>
    <row r="4019" spans="1:5" x14ac:dyDescent="0.25">
      <c r="B4019" s="115" t="s">
        <v>1139</v>
      </c>
      <c r="D4019" s="115" t="s">
        <v>1140</v>
      </c>
      <c r="E4019" s="115" t="s">
        <v>1141</v>
      </c>
    </row>
    <row r="4020" spans="1:5" x14ac:dyDescent="0.25">
      <c r="B4020" s="115" t="s">
        <v>1139</v>
      </c>
      <c r="D4020" s="115" t="s">
        <v>2513</v>
      </c>
      <c r="E4020" s="115" t="s">
        <v>1859</v>
      </c>
    </row>
    <row r="4021" spans="1:5" x14ac:dyDescent="0.25">
      <c r="B4021" s="115" t="s">
        <v>5609</v>
      </c>
      <c r="D4021" s="115" t="s">
        <v>5610</v>
      </c>
      <c r="E4021" s="115" t="s">
        <v>5611</v>
      </c>
    </row>
    <row r="4022" spans="1:5" x14ac:dyDescent="0.25">
      <c r="B4022" s="115" t="s">
        <v>5612</v>
      </c>
      <c r="C4022" s="115">
        <v>1</v>
      </c>
      <c r="D4022" s="115" t="s">
        <v>5613</v>
      </c>
      <c r="E4022" s="115" t="s">
        <v>5614</v>
      </c>
    </row>
    <row r="4023" spans="1:5" x14ac:dyDescent="0.25">
      <c r="B4023" s="115" t="s">
        <v>3061</v>
      </c>
      <c r="D4023" s="115" t="s">
        <v>5615</v>
      </c>
      <c r="E4023" s="115" t="s">
        <v>5616</v>
      </c>
    </row>
    <row r="4024" spans="1:5" x14ac:dyDescent="0.25">
      <c r="B4024" s="115" t="s">
        <v>1139</v>
      </c>
      <c r="D4024" s="115" t="s">
        <v>1140</v>
      </c>
      <c r="E4024" s="115" t="s">
        <v>5617</v>
      </c>
    </row>
    <row r="4025" spans="1:5" x14ac:dyDescent="0.25">
      <c r="B4025" s="115" t="s">
        <v>5618</v>
      </c>
      <c r="C4025" s="115">
        <v>-1</v>
      </c>
      <c r="D4025" s="115" t="s">
        <v>5619</v>
      </c>
      <c r="E4025" s="115" t="s">
        <v>5620</v>
      </c>
    </row>
    <row r="4026" spans="1:5" x14ac:dyDescent="0.25">
      <c r="A4026" s="115">
        <v>-8</v>
      </c>
      <c r="B4026" s="115" t="s">
        <v>5621</v>
      </c>
      <c r="D4026" s="115" t="s">
        <v>5622</v>
      </c>
      <c r="E4026" s="115" t="s">
        <v>1141</v>
      </c>
    </row>
    <row r="4027" spans="1:5" x14ac:dyDescent="0.25">
      <c r="B4027" s="115" t="s">
        <v>5623</v>
      </c>
      <c r="D4027" s="115" t="s">
        <v>1140</v>
      </c>
      <c r="E4027" s="115" t="s">
        <v>5624</v>
      </c>
    </row>
    <row r="4028" spans="1:5" x14ac:dyDescent="0.25">
      <c r="B4028" s="115" t="s">
        <v>1396</v>
      </c>
      <c r="D4028" s="115" t="s">
        <v>1140</v>
      </c>
      <c r="E4028" s="115" t="s">
        <v>5625</v>
      </c>
    </row>
    <row r="4029" spans="1:5" x14ac:dyDescent="0.25">
      <c r="B4029" s="115" t="s">
        <v>5626</v>
      </c>
      <c r="D4029" s="115" t="s">
        <v>5627</v>
      </c>
      <c r="E4029" s="115" t="s">
        <v>5628</v>
      </c>
    </row>
    <row r="4030" spans="1:5" x14ac:dyDescent="0.25">
      <c r="B4030" s="115" t="s">
        <v>5629</v>
      </c>
      <c r="D4030" s="115" t="s">
        <v>2340</v>
      </c>
      <c r="E4030" s="115" t="s">
        <v>5630</v>
      </c>
    </row>
    <row r="4031" spans="1:5" x14ac:dyDescent="0.25">
      <c r="B4031" s="115">
        <f>-53   -545</f>
        <v>-598</v>
      </c>
      <c r="D4031" s="115" t="s">
        <v>5631</v>
      </c>
      <c r="E4031" s="115" t="s">
        <v>5632</v>
      </c>
    </row>
    <row r="4032" spans="1:5" x14ac:dyDescent="0.25">
      <c r="A4032" s="115">
        <v>-4</v>
      </c>
      <c r="B4032" s="115" t="s">
        <v>5633</v>
      </c>
      <c r="D4032" s="115" t="s">
        <v>1307</v>
      </c>
      <c r="E4032" s="115" t="s">
        <v>5634</v>
      </c>
    </row>
    <row r="4033" spans="1:5" x14ac:dyDescent="0.25">
      <c r="A4033" s="115" t="s">
        <v>1138</v>
      </c>
      <c r="B4033" s="115" t="s">
        <v>1213</v>
      </c>
      <c r="D4033" s="115" t="s">
        <v>2035</v>
      </c>
      <c r="E4033" s="115" t="s">
        <v>5635</v>
      </c>
    </row>
    <row r="4034" spans="1:5" x14ac:dyDescent="0.25">
      <c r="A4034" s="115" t="s">
        <v>1138</v>
      </c>
      <c r="B4034" s="115" t="s">
        <v>5636</v>
      </c>
      <c r="D4034" s="115" t="s">
        <v>5637</v>
      </c>
      <c r="E4034" s="115" t="s">
        <v>5638</v>
      </c>
    </row>
    <row r="4035" spans="1:5" x14ac:dyDescent="0.25">
      <c r="A4035" s="115">
        <v>-5</v>
      </c>
      <c r="B4035" s="115" t="s">
        <v>5639</v>
      </c>
      <c r="D4035" s="115" t="s">
        <v>1362</v>
      </c>
      <c r="E4035" s="115" t="s">
        <v>5640</v>
      </c>
    </row>
    <row r="4036" spans="1:5" x14ac:dyDescent="0.25">
      <c r="A4036" s="115" t="s">
        <v>1138</v>
      </c>
      <c r="B4036" s="115" t="s">
        <v>1238</v>
      </c>
      <c r="D4036" s="115" t="s">
        <v>3947</v>
      </c>
      <c r="E4036" s="115" t="s">
        <v>5641</v>
      </c>
    </row>
    <row r="4037" spans="1:5" x14ac:dyDescent="0.25">
      <c r="B4037" s="115" t="s">
        <v>1509</v>
      </c>
      <c r="D4037" s="115" t="s">
        <v>5642</v>
      </c>
      <c r="E4037" s="115" t="s">
        <v>5643</v>
      </c>
    </row>
    <row r="4038" spans="1:5" x14ac:dyDescent="0.25">
      <c r="A4038" s="115">
        <v>-4</v>
      </c>
      <c r="B4038" s="115" t="s">
        <v>3850</v>
      </c>
      <c r="D4038" s="115" t="s">
        <v>5644</v>
      </c>
      <c r="E4038" s="115" t="s">
        <v>5645</v>
      </c>
    </row>
    <row r="4039" spans="1:5" x14ac:dyDescent="0.25">
      <c r="B4039" s="115" t="s">
        <v>1139</v>
      </c>
      <c r="D4039" s="115" t="s">
        <v>5646</v>
      </c>
      <c r="E4039" s="115" t="s">
        <v>5647</v>
      </c>
    </row>
    <row r="4040" spans="1:5" x14ac:dyDescent="0.25">
      <c r="B4040" s="115" t="s">
        <v>1139</v>
      </c>
      <c r="D4040" s="115" t="s">
        <v>5648</v>
      </c>
      <c r="E4040" s="115" t="s">
        <v>5649</v>
      </c>
    </row>
    <row r="4041" spans="1:5" x14ac:dyDescent="0.25">
      <c r="A4041" s="115">
        <v>-2</v>
      </c>
      <c r="B4041" s="115" t="s">
        <v>5650</v>
      </c>
      <c r="D4041" s="115" t="s">
        <v>5651</v>
      </c>
      <c r="E4041" s="115" t="s">
        <v>5652</v>
      </c>
    </row>
    <row r="4042" spans="1:5" x14ac:dyDescent="0.25">
      <c r="A4042" s="115">
        <v>1</v>
      </c>
      <c r="B4042" s="115" t="s">
        <v>1482</v>
      </c>
      <c r="D4042" s="115" t="s">
        <v>3394</v>
      </c>
      <c r="E4042" s="115" t="s">
        <v>5653</v>
      </c>
    </row>
    <row r="4043" spans="1:5" x14ac:dyDescent="0.25">
      <c r="A4043" s="115">
        <v>1</v>
      </c>
      <c r="B4043" s="115" t="s">
        <v>5654</v>
      </c>
      <c r="D4043" s="115" t="s">
        <v>5655</v>
      </c>
      <c r="E4043" s="115" t="s">
        <v>1141</v>
      </c>
    </row>
    <row r="4044" spans="1:5" x14ac:dyDescent="0.25">
      <c r="B4044" s="115" t="s">
        <v>5656</v>
      </c>
      <c r="D4044" s="115">
        <f>-141   -419   -199</f>
        <v>-759</v>
      </c>
      <c r="E4044" s="115" t="s">
        <v>5657</v>
      </c>
    </row>
    <row r="4045" spans="1:5" x14ac:dyDescent="0.25">
      <c r="B4045" s="115" t="s">
        <v>5658</v>
      </c>
      <c r="C4045" s="115" t="s">
        <v>1138</v>
      </c>
      <c r="D4045" s="115" t="s">
        <v>5659</v>
      </c>
      <c r="E4045" s="115" t="s">
        <v>5660</v>
      </c>
    </row>
    <row r="4046" spans="1:5" x14ac:dyDescent="0.25">
      <c r="B4046" s="115" t="s">
        <v>1139</v>
      </c>
      <c r="D4046" s="115" t="s">
        <v>1140</v>
      </c>
      <c r="E4046" s="115" t="s">
        <v>1141</v>
      </c>
    </row>
    <row r="4047" spans="1:5" x14ac:dyDescent="0.25">
      <c r="B4047" s="115" t="s">
        <v>1139</v>
      </c>
      <c r="D4047" s="115" t="s">
        <v>4124</v>
      </c>
      <c r="E4047" s="115" t="s">
        <v>1819</v>
      </c>
    </row>
    <row r="4048" spans="1:5" x14ac:dyDescent="0.25">
      <c r="A4048" s="115">
        <v>-1</v>
      </c>
      <c r="B4048" s="115" t="s">
        <v>5661</v>
      </c>
      <c r="D4048" s="115" t="s">
        <v>5662</v>
      </c>
      <c r="E4048" s="115" t="s">
        <v>5663</v>
      </c>
    </row>
    <row r="4049" spans="2:5" x14ac:dyDescent="0.25">
      <c r="B4049" s="115" t="s">
        <v>5664</v>
      </c>
      <c r="C4049" s="115">
        <v>-2</v>
      </c>
      <c r="D4049" s="115" t="s">
        <v>5665</v>
      </c>
      <c r="E4049" s="115" t="s">
        <v>2537</v>
      </c>
    </row>
    <row r="4050" spans="2:5" x14ac:dyDescent="0.25">
      <c r="B4050" s="115" t="s">
        <v>1139</v>
      </c>
      <c r="D4050" s="115" t="s">
        <v>1140</v>
      </c>
      <c r="E4050" s="115" t="s">
        <v>1141</v>
      </c>
    </row>
    <row r="4051" spans="2:5" x14ac:dyDescent="0.25">
      <c r="B4051" s="115" t="s">
        <v>1139</v>
      </c>
      <c r="D4051" s="115" t="s">
        <v>1140</v>
      </c>
      <c r="E4051" s="115" t="s">
        <v>1141</v>
      </c>
    </row>
    <row r="4052" spans="2:5" x14ac:dyDescent="0.25">
      <c r="B4052" s="115" t="s">
        <v>1139</v>
      </c>
      <c r="D4052" s="115" t="s">
        <v>1140</v>
      </c>
      <c r="E4052" s="115" t="s">
        <v>1141</v>
      </c>
    </row>
    <row r="4053" spans="2:5" x14ac:dyDescent="0.25">
      <c r="B4053" s="115" t="s">
        <v>1139</v>
      </c>
      <c r="D4053" s="115" t="s">
        <v>1140</v>
      </c>
      <c r="E4053" s="115" t="s">
        <v>1141</v>
      </c>
    </row>
    <row r="4054" spans="2:5" x14ac:dyDescent="0.25">
      <c r="B4054" s="115" t="s">
        <v>1139</v>
      </c>
      <c r="D4054" s="115" t="s">
        <v>1140</v>
      </c>
      <c r="E4054" s="115" t="s">
        <v>1141</v>
      </c>
    </row>
    <row r="4055" spans="2:5" x14ac:dyDescent="0.25">
      <c r="B4055" s="115" t="s">
        <v>1139</v>
      </c>
      <c r="D4055" s="115" t="s">
        <v>1140</v>
      </c>
      <c r="E4055" s="115" t="s">
        <v>1141</v>
      </c>
    </row>
    <row r="4056" spans="2:5" x14ac:dyDescent="0.25">
      <c r="B4056" s="115" t="s">
        <v>1139</v>
      </c>
      <c r="D4056" s="115" t="s">
        <v>1140</v>
      </c>
      <c r="E4056" s="115" t="s">
        <v>1141</v>
      </c>
    </row>
    <row r="4057" spans="2:5" x14ac:dyDescent="0.25">
      <c r="B4057" s="115" t="s">
        <v>1139</v>
      </c>
      <c r="D4057" s="115" t="s">
        <v>1140</v>
      </c>
      <c r="E4057" s="115" t="s">
        <v>1141</v>
      </c>
    </row>
    <row r="4058" spans="2:5" x14ac:dyDescent="0.25">
      <c r="B4058" s="115" t="s">
        <v>1139</v>
      </c>
      <c r="D4058" s="115" t="s">
        <v>1140</v>
      </c>
      <c r="E4058" s="115" t="s">
        <v>1141</v>
      </c>
    </row>
    <row r="4059" spans="2:5" x14ac:dyDescent="0.25">
      <c r="B4059" s="115" t="s">
        <v>1139</v>
      </c>
      <c r="D4059" s="115" t="s">
        <v>1140</v>
      </c>
      <c r="E4059" s="115" t="s">
        <v>1141</v>
      </c>
    </row>
    <row r="4060" spans="2:5" x14ac:dyDescent="0.25">
      <c r="B4060" s="115" t="s">
        <v>1139</v>
      </c>
      <c r="D4060" s="115" t="s">
        <v>1140</v>
      </c>
      <c r="E4060" s="115" t="s">
        <v>1141</v>
      </c>
    </row>
    <row r="4061" spans="2:5" x14ac:dyDescent="0.25">
      <c r="B4061" s="115" t="s">
        <v>1139</v>
      </c>
      <c r="D4061" s="115" t="s">
        <v>1140</v>
      </c>
      <c r="E4061" s="115" t="s">
        <v>1141</v>
      </c>
    </row>
    <row r="4062" spans="2:5" x14ac:dyDescent="0.25">
      <c r="B4062" s="115" t="s">
        <v>1139</v>
      </c>
      <c r="D4062" s="115" t="s">
        <v>1140</v>
      </c>
      <c r="E4062" s="115" t="s">
        <v>1141</v>
      </c>
    </row>
    <row r="4063" spans="2:5" x14ac:dyDescent="0.25">
      <c r="B4063" s="115" t="s">
        <v>1139</v>
      </c>
      <c r="D4063" s="115" t="s">
        <v>1140</v>
      </c>
      <c r="E4063" s="115" t="s">
        <v>1141</v>
      </c>
    </row>
    <row r="4064" spans="2:5" x14ac:dyDescent="0.25">
      <c r="B4064" s="115" t="s">
        <v>1139</v>
      </c>
      <c r="D4064" s="115" t="s">
        <v>1140</v>
      </c>
      <c r="E4064" s="115" t="s">
        <v>1141</v>
      </c>
    </row>
    <row r="4065" spans="1:5" x14ac:dyDescent="0.25">
      <c r="B4065" s="115" t="s">
        <v>1139</v>
      </c>
      <c r="D4065" s="115" t="s">
        <v>1140</v>
      </c>
      <c r="E4065" s="115" t="s">
        <v>1141</v>
      </c>
    </row>
    <row r="4066" spans="1:5" x14ac:dyDescent="0.25">
      <c r="B4066" s="115" t="s">
        <v>1139</v>
      </c>
      <c r="D4066" s="115" t="s">
        <v>1140</v>
      </c>
      <c r="E4066" s="115" t="s">
        <v>1141</v>
      </c>
    </row>
    <row r="4067" spans="1:5" x14ac:dyDescent="0.25">
      <c r="B4067" s="115" t="s">
        <v>1139</v>
      </c>
      <c r="D4067" s="115" t="s">
        <v>1140</v>
      </c>
      <c r="E4067" s="115" t="s">
        <v>1141</v>
      </c>
    </row>
    <row r="4068" spans="1:5" x14ac:dyDescent="0.25">
      <c r="B4068" s="115" t="s">
        <v>1139</v>
      </c>
      <c r="D4068" s="115" t="s">
        <v>1140</v>
      </c>
      <c r="E4068" s="115" t="s">
        <v>1141</v>
      </c>
    </row>
    <row r="4069" spans="1:5" x14ac:dyDescent="0.25">
      <c r="B4069" s="115" t="s">
        <v>1139</v>
      </c>
      <c r="D4069" s="115" t="s">
        <v>1140</v>
      </c>
      <c r="E4069" s="115" t="s">
        <v>1141</v>
      </c>
    </row>
    <row r="4070" spans="1:5" x14ac:dyDescent="0.25">
      <c r="B4070" s="115" t="s">
        <v>1139</v>
      </c>
      <c r="D4070" s="115" t="s">
        <v>1140</v>
      </c>
      <c r="E4070" s="115" t="s">
        <v>1141</v>
      </c>
    </row>
    <row r="4071" spans="1:5" x14ac:dyDescent="0.25">
      <c r="B4071" s="115" t="s">
        <v>1139</v>
      </c>
      <c r="D4071" s="115" t="s">
        <v>1140</v>
      </c>
      <c r="E4071" s="115" t="s">
        <v>1141</v>
      </c>
    </row>
    <row r="4072" spans="1:5" x14ac:dyDescent="0.25">
      <c r="B4072" s="115" t="s">
        <v>1139</v>
      </c>
      <c r="D4072" s="115" t="s">
        <v>1140</v>
      </c>
      <c r="E4072" s="115" t="s">
        <v>1141</v>
      </c>
    </row>
    <row r="4073" spans="1:5" x14ac:dyDescent="0.25">
      <c r="B4073" s="115" t="s">
        <v>1139</v>
      </c>
      <c r="D4073" s="115" t="s">
        <v>1140</v>
      </c>
      <c r="E4073" s="115" t="s">
        <v>1141</v>
      </c>
    </row>
    <row r="4074" spans="1:5" x14ac:dyDescent="0.25">
      <c r="B4074" s="115" t="s">
        <v>1139</v>
      </c>
      <c r="D4074" s="115" t="s">
        <v>1140</v>
      </c>
      <c r="E4074" s="115" t="s">
        <v>1141</v>
      </c>
    </row>
    <row r="4075" spans="1:5" x14ac:dyDescent="0.25">
      <c r="B4075" s="115" t="s">
        <v>1139</v>
      </c>
      <c r="D4075" s="115" t="s">
        <v>1140</v>
      </c>
      <c r="E4075" s="115" t="s">
        <v>1141</v>
      </c>
    </row>
    <row r="4076" spans="1:5" x14ac:dyDescent="0.25">
      <c r="B4076" s="115" t="s">
        <v>1139</v>
      </c>
      <c r="D4076" s="115" t="s">
        <v>1140</v>
      </c>
      <c r="E4076" s="115" t="s">
        <v>5666</v>
      </c>
    </row>
    <row r="4077" spans="1:5" x14ac:dyDescent="0.25">
      <c r="A4077" s="115">
        <v>-2</v>
      </c>
      <c r="B4077" s="115" t="s">
        <v>5667</v>
      </c>
      <c r="D4077" s="115" t="s">
        <v>5668</v>
      </c>
      <c r="E4077" s="115" t="s">
        <v>5669</v>
      </c>
    </row>
    <row r="4078" spans="1:5" x14ac:dyDescent="0.25">
      <c r="A4078" s="115">
        <v>2</v>
      </c>
      <c r="B4078" s="115" t="s">
        <v>5670</v>
      </c>
      <c r="D4078" s="115" t="s">
        <v>1140</v>
      </c>
      <c r="E4078" s="115" t="s">
        <v>1141</v>
      </c>
    </row>
    <row r="4079" spans="1:5" x14ac:dyDescent="0.25">
      <c r="B4079" s="115" t="s">
        <v>5671</v>
      </c>
      <c r="D4079" s="115" t="s">
        <v>5672</v>
      </c>
      <c r="E4079" s="115" t="s">
        <v>5673</v>
      </c>
    </row>
    <row r="4080" spans="1:5" x14ac:dyDescent="0.25">
      <c r="B4080" s="115" t="s">
        <v>1139</v>
      </c>
      <c r="D4080" s="115" t="s">
        <v>5674</v>
      </c>
      <c r="E4080" s="115" t="s">
        <v>5675</v>
      </c>
    </row>
    <row r="4081" spans="1:5" x14ac:dyDescent="0.25">
      <c r="B4081" s="115" t="s">
        <v>1139</v>
      </c>
      <c r="D4081" s="115" t="s">
        <v>5676</v>
      </c>
      <c r="E4081" s="115" t="s">
        <v>1141</v>
      </c>
    </row>
    <row r="4082" spans="1:5" x14ac:dyDescent="0.25">
      <c r="B4082" s="115" t="s">
        <v>5677</v>
      </c>
      <c r="C4082" s="115">
        <v>-4</v>
      </c>
      <c r="D4082" s="115" t="s">
        <v>5678</v>
      </c>
      <c r="E4082" s="115" t="s">
        <v>5679</v>
      </c>
    </row>
    <row r="4083" spans="1:5" x14ac:dyDescent="0.25">
      <c r="A4083" s="115">
        <v>7</v>
      </c>
      <c r="B4083" s="115" t="s">
        <v>5680</v>
      </c>
      <c r="D4083" s="115" t="s">
        <v>5681</v>
      </c>
      <c r="E4083" s="115" t="s">
        <v>5682</v>
      </c>
    </row>
    <row r="4084" spans="1:5" x14ac:dyDescent="0.25">
      <c r="A4084" s="115">
        <v>11</v>
      </c>
      <c r="B4084" s="115" t="s">
        <v>5683</v>
      </c>
      <c r="C4084" s="115">
        <v>1</v>
      </c>
      <c r="D4084" s="115" t="s">
        <v>5684</v>
      </c>
      <c r="E4084" s="115" t="s">
        <v>5685</v>
      </c>
    </row>
    <row r="4085" spans="1:5" x14ac:dyDescent="0.25">
      <c r="A4085" s="115">
        <v>34</v>
      </c>
      <c r="B4085" s="115" t="s">
        <v>5686</v>
      </c>
      <c r="C4085" s="115" t="s">
        <v>1138</v>
      </c>
      <c r="D4085" s="115" t="s">
        <v>5687</v>
      </c>
      <c r="E4085" s="115" t="s">
        <v>5688</v>
      </c>
    </row>
    <row r="4086" spans="1:5" x14ac:dyDescent="0.25">
      <c r="A4086" s="115" t="s">
        <v>1138</v>
      </c>
      <c r="B4086" s="115" t="s">
        <v>5689</v>
      </c>
      <c r="D4086" s="115" t="s">
        <v>5690</v>
      </c>
      <c r="E4086" s="115" t="s">
        <v>5691</v>
      </c>
    </row>
    <row r="4087" spans="1:5" x14ac:dyDescent="0.25">
      <c r="B4087" s="115">
        <f>-7   -523</f>
        <v>-530</v>
      </c>
      <c r="D4087" s="115" t="s">
        <v>5692</v>
      </c>
      <c r="E4087" s="115" t="s">
        <v>5693</v>
      </c>
    </row>
    <row r="4088" spans="1:5" x14ac:dyDescent="0.25">
      <c r="B4088" s="115" t="s">
        <v>5694</v>
      </c>
      <c r="C4088" s="115" t="s">
        <v>1138</v>
      </c>
      <c r="D4088" s="115" t="s">
        <v>5695</v>
      </c>
      <c r="E4088" s="115" t="s">
        <v>5696</v>
      </c>
    </row>
    <row r="4089" spans="1:5" x14ac:dyDescent="0.25">
      <c r="A4089" s="115" t="s">
        <v>1138</v>
      </c>
      <c r="B4089" s="115" t="s">
        <v>5697</v>
      </c>
      <c r="D4089" s="115" t="s">
        <v>5698</v>
      </c>
      <c r="E4089" s="115" t="s">
        <v>5699</v>
      </c>
    </row>
    <row r="4090" spans="1:5" x14ac:dyDescent="0.25">
      <c r="B4090" s="115" t="s">
        <v>5700</v>
      </c>
      <c r="D4090" s="115" t="s">
        <v>5701</v>
      </c>
      <c r="E4090" s="115" t="s">
        <v>5702</v>
      </c>
    </row>
    <row r="4091" spans="1:5" x14ac:dyDescent="0.25">
      <c r="B4091" s="115" t="s">
        <v>2913</v>
      </c>
      <c r="C4091" s="115" t="s">
        <v>1138</v>
      </c>
      <c r="D4091" s="115" t="s">
        <v>5703</v>
      </c>
      <c r="E4091" s="115" t="s">
        <v>5704</v>
      </c>
    </row>
    <row r="4092" spans="1:5" x14ac:dyDescent="0.25">
      <c r="A4092" s="115" t="s">
        <v>1138</v>
      </c>
      <c r="B4092" s="115" t="s">
        <v>5705</v>
      </c>
      <c r="D4092" s="115" t="s">
        <v>5706</v>
      </c>
      <c r="E4092" s="115" t="s">
        <v>5707</v>
      </c>
    </row>
    <row r="4093" spans="1:5" x14ac:dyDescent="0.25">
      <c r="B4093" s="115" t="s">
        <v>1251</v>
      </c>
      <c r="D4093" s="115" t="s">
        <v>1140</v>
      </c>
      <c r="E4093" s="115" t="s">
        <v>5708</v>
      </c>
    </row>
    <row r="4094" spans="1:5" x14ac:dyDescent="0.25">
      <c r="B4094" s="115" t="s">
        <v>5709</v>
      </c>
      <c r="D4094" s="115" t="s">
        <v>5710</v>
      </c>
      <c r="E4094" s="115" t="s">
        <v>5711</v>
      </c>
    </row>
    <row r="4095" spans="1:5" x14ac:dyDescent="0.25">
      <c r="A4095" s="115">
        <v>-2</v>
      </c>
      <c r="B4095" s="115" t="s">
        <v>5712</v>
      </c>
      <c r="C4095" s="115" t="s">
        <v>1138</v>
      </c>
      <c r="D4095" s="115" t="s">
        <v>5713</v>
      </c>
      <c r="E4095" s="115" t="s">
        <v>5714</v>
      </c>
    </row>
    <row r="4096" spans="1:5" x14ac:dyDescent="0.25">
      <c r="B4096" s="115" t="s">
        <v>1225</v>
      </c>
      <c r="D4096" s="115" t="s">
        <v>5715</v>
      </c>
      <c r="E4096" s="115" t="s">
        <v>5716</v>
      </c>
    </row>
    <row r="4097" spans="1:5" x14ac:dyDescent="0.25">
      <c r="A4097" s="115">
        <v>-1</v>
      </c>
      <c r="B4097" s="115" t="s">
        <v>5717</v>
      </c>
      <c r="D4097" s="115" t="s">
        <v>5718</v>
      </c>
      <c r="E4097" s="115" t="s">
        <v>5719</v>
      </c>
    </row>
    <row r="4098" spans="1:5" x14ac:dyDescent="0.25">
      <c r="B4098" s="115" t="s">
        <v>1139</v>
      </c>
      <c r="D4098" s="115" t="s">
        <v>5720</v>
      </c>
      <c r="E4098" s="115" t="s">
        <v>5721</v>
      </c>
    </row>
    <row r="4099" spans="1:5" x14ac:dyDescent="0.25">
      <c r="B4099" s="115" t="s">
        <v>1139</v>
      </c>
      <c r="D4099" s="115" t="s">
        <v>5722</v>
      </c>
      <c r="E4099" s="115" t="s">
        <v>2690</v>
      </c>
    </row>
    <row r="4100" spans="1:5" x14ac:dyDescent="0.25">
      <c r="B4100" s="115" t="s">
        <v>5723</v>
      </c>
      <c r="D4100" s="115" t="s">
        <v>5724</v>
      </c>
      <c r="E4100" s="115" t="s">
        <v>1141</v>
      </c>
    </row>
    <row r="4101" spans="1:5" x14ac:dyDescent="0.25">
      <c r="B4101" s="115" t="s">
        <v>1139</v>
      </c>
      <c r="D4101" s="115" t="s">
        <v>1140</v>
      </c>
      <c r="E4101" s="115" t="s">
        <v>5725</v>
      </c>
    </row>
    <row r="4102" spans="1:5" x14ac:dyDescent="0.25">
      <c r="B4102" s="115" t="s">
        <v>1139</v>
      </c>
      <c r="D4102" s="115" t="s">
        <v>5726</v>
      </c>
      <c r="E4102" s="115" t="s">
        <v>5727</v>
      </c>
    </row>
    <row r="4103" spans="1:5" x14ac:dyDescent="0.25">
      <c r="A4103" s="115">
        <v>1</v>
      </c>
      <c r="B4103" s="115" t="s">
        <v>5728</v>
      </c>
      <c r="D4103" s="115" t="s">
        <v>5729</v>
      </c>
      <c r="E4103" s="115" t="s">
        <v>5730</v>
      </c>
    </row>
    <row r="4104" spans="1:5" x14ac:dyDescent="0.25">
      <c r="B4104" s="115" t="s">
        <v>5731</v>
      </c>
      <c r="D4104" s="115" t="s">
        <v>5732</v>
      </c>
      <c r="E4104" s="115" t="s">
        <v>5733</v>
      </c>
    </row>
    <row r="4105" spans="1:5" x14ac:dyDescent="0.25">
      <c r="B4105" s="115" t="s">
        <v>1139</v>
      </c>
      <c r="D4105" s="115" t="s">
        <v>5734</v>
      </c>
      <c r="E4105" s="115" t="s">
        <v>1141</v>
      </c>
    </row>
    <row r="4106" spans="1:5" x14ac:dyDescent="0.25">
      <c r="B4106" s="115" t="s">
        <v>1139</v>
      </c>
      <c r="D4106" s="115" t="s">
        <v>5735</v>
      </c>
      <c r="E4106" s="115" t="s">
        <v>5736</v>
      </c>
    </row>
    <row r="4107" spans="1:5" x14ac:dyDescent="0.25">
      <c r="B4107" s="115" t="s">
        <v>5737</v>
      </c>
      <c r="D4107" s="115" t="s">
        <v>2022</v>
      </c>
      <c r="E4107" s="115" t="s">
        <v>5738</v>
      </c>
    </row>
    <row r="4108" spans="1:5" x14ac:dyDescent="0.25">
      <c r="A4108" s="115" t="s">
        <v>1138</v>
      </c>
      <c r="B4108" s="115" t="s">
        <v>1249</v>
      </c>
      <c r="D4108" s="115" t="s">
        <v>1140</v>
      </c>
      <c r="E4108" s="115" t="s">
        <v>5739</v>
      </c>
    </row>
    <row r="4109" spans="1:5" x14ac:dyDescent="0.25">
      <c r="B4109" s="115" t="s">
        <v>1139</v>
      </c>
      <c r="D4109" s="115" t="s">
        <v>5740</v>
      </c>
      <c r="E4109" s="115" t="s">
        <v>5741</v>
      </c>
    </row>
    <row r="4110" spans="1:5" x14ac:dyDescent="0.25">
      <c r="B4110" s="115" t="s">
        <v>1139</v>
      </c>
      <c r="D4110" s="115" t="s">
        <v>5742</v>
      </c>
      <c r="E4110" s="115" t="s">
        <v>5743</v>
      </c>
    </row>
    <row r="4111" spans="1:5" x14ac:dyDescent="0.25">
      <c r="B4111" s="115" t="s">
        <v>5744</v>
      </c>
      <c r="D4111" s="115" t="s">
        <v>5745</v>
      </c>
      <c r="E4111" s="115" t="s">
        <v>5746</v>
      </c>
    </row>
    <row r="4112" spans="1:5" x14ac:dyDescent="0.25">
      <c r="B4112" s="115" t="s">
        <v>5747</v>
      </c>
      <c r="D4112" s="115" t="s">
        <v>5748</v>
      </c>
      <c r="E4112" s="115" t="s">
        <v>5749</v>
      </c>
    </row>
    <row r="4113" spans="1:5" x14ac:dyDescent="0.25">
      <c r="B4113" s="115" t="s">
        <v>5750</v>
      </c>
      <c r="C4113" s="115" t="s">
        <v>1138</v>
      </c>
      <c r="D4113" s="115" t="s">
        <v>5751</v>
      </c>
      <c r="E4113" s="115" t="s">
        <v>5752</v>
      </c>
    </row>
    <row r="4114" spans="1:5" x14ac:dyDescent="0.25">
      <c r="A4114" s="115">
        <v>-5</v>
      </c>
      <c r="B4114" s="115" t="s">
        <v>5753</v>
      </c>
      <c r="D4114" s="115" t="s">
        <v>5754</v>
      </c>
      <c r="E4114" s="115" t="s">
        <v>5755</v>
      </c>
    </row>
    <row r="4115" spans="1:5" x14ac:dyDescent="0.25">
      <c r="B4115" s="115" t="s">
        <v>1177</v>
      </c>
      <c r="D4115" s="115" t="s">
        <v>5756</v>
      </c>
      <c r="E4115" s="115" t="s">
        <v>5757</v>
      </c>
    </row>
    <row r="4116" spans="1:5" x14ac:dyDescent="0.25">
      <c r="B4116" s="115" t="s">
        <v>5758</v>
      </c>
      <c r="D4116" s="115" t="s">
        <v>1534</v>
      </c>
      <c r="E4116" s="115" t="s">
        <v>5759</v>
      </c>
    </row>
    <row r="4117" spans="1:5" x14ac:dyDescent="0.25">
      <c r="B4117" s="115" t="s">
        <v>1139</v>
      </c>
      <c r="D4117" s="115" t="s">
        <v>5760</v>
      </c>
      <c r="E4117" s="115" t="s">
        <v>5761</v>
      </c>
    </row>
    <row r="4118" spans="1:5" x14ac:dyDescent="0.25">
      <c r="B4118" s="115" t="s">
        <v>5762</v>
      </c>
      <c r="D4118" s="115" t="s">
        <v>5763</v>
      </c>
      <c r="E4118" s="115" t="s">
        <v>5764</v>
      </c>
    </row>
    <row r="4119" spans="1:5" x14ac:dyDescent="0.25">
      <c r="B4119" s="115" t="s">
        <v>5765</v>
      </c>
      <c r="D4119" s="115" t="s">
        <v>5766</v>
      </c>
      <c r="E4119" s="115" t="s">
        <v>5767</v>
      </c>
    </row>
    <row r="4120" spans="1:5" x14ac:dyDescent="0.25">
      <c r="B4120" s="115" t="s">
        <v>1558</v>
      </c>
      <c r="D4120" s="115" t="s">
        <v>5768</v>
      </c>
      <c r="E4120" s="115" t="s">
        <v>1141</v>
      </c>
    </row>
    <row r="4121" spans="1:5" x14ac:dyDescent="0.25">
      <c r="B4121" s="115" t="s">
        <v>1687</v>
      </c>
      <c r="D4121" s="115" t="s">
        <v>5769</v>
      </c>
      <c r="E4121" s="115" t="s">
        <v>2082</v>
      </c>
    </row>
    <row r="4122" spans="1:5" x14ac:dyDescent="0.25">
      <c r="B4122" s="115" t="s">
        <v>5770</v>
      </c>
      <c r="C4122" s="115" t="s">
        <v>1138</v>
      </c>
      <c r="D4122" s="115" t="s">
        <v>5771</v>
      </c>
      <c r="E4122" s="115" t="s">
        <v>5772</v>
      </c>
    </row>
    <row r="4123" spans="1:5" x14ac:dyDescent="0.25">
      <c r="B4123" s="115" t="s">
        <v>5773</v>
      </c>
      <c r="D4123" s="115" t="s">
        <v>5774</v>
      </c>
      <c r="E4123" s="115" t="s">
        <v>5775</v>
      </c>
    </row>
    <row r="4124" spans="1:5" x14ac:dyDescent="0.25">
      <c r="B4124" s="115" t="s">
        <v>5776</v>
      </c>
      <c r="D4124" s="115" t="s">
        <v>5777</v>
      </c>
      <c r="E4124" s="115" t="s">
        <v>5778</v>
      </c>
    </row>
    <row r="4125" spans="1:5" x14ac:dyDescent="0.25">
      <c r="B4125" s="115" t="s">
        <v>1139</v>
      </c>
      <c r="D4125" s="115" t="s">
        <v>1140</v>
      </c>
      <c r="E4125" s="115" t="s">
        <v>5779</v>
      </c>
    </row>
    <row r="4126" spans="1:5" x14ac:dyDescent="0.25">
      <c r="B4126" s="115" t="s">
        <v>5780</v>
      </c>
      <c r="D4126" s="115" t="s">
        <v>5781</v>
      </c>
      <c r="E4126" s="115" t="s">
        <v>5782</v>
      </c>
    </row>
    <row r="4127" spans="1:5" x14ac:dyDescent="0.25">
      <c r="B4127" s="115" t="s">
        <v>1139</v>
      </c>
      <c r="D4127" s="115" t="s">
        <v>5783</v>
      </c>
      <c r="E4127" s="115" t="s">
        <v>1819</v>
      </c>
    </row>
    <row r="4128" spans="1:5" x14ac:dyDescent="0.25">
      <c r="B4128" s="115" t="s">
        <v>1139</v>
      </c>
      <c r="D4128" s="115" t="s">
        <v>1140</v>
      </c>
      <c r="E4128" s="115" t="s">
        <v>1141</v>
      </c>
    </row>
    <row r="4129" spans="1:5" x14ac:dyDescent="0.25">
      <c r="B4129" s="115" t="s">
        <v>5784</v>
      </c>
      <c r="D4129" s="115" t="s">
        <v>1140</v>
      </c>
      <c r="E4129" s="115" t="s">
        <v>5785</v>
      </c>
    </row>
    <row r="4130" spans="1:5" x14ac:dyDescent="0.25">
      <c r="A4130" s="115">
        <v>42</v>
      </c>
      <c r="B4130" s="115" t="s">
        <v>5786</v>
      </c>
      <c r="C4130" s="115">
        <v>1</v>
      </c>
      <c r="D4130" s="115" t="s">
        <v>5787</v>
      </c>
      <c r="E4130" s="115" t="s">
        <v>5788</v>
      </c>
    </row>
    <row r="4131" spans="1:5" x14ac:dyDescent="0.25">
      <c r="A4131" s="115">
        <v>14</v>
      </c>
      <c r="B4131" s="115" t="s">
        <v>5789</v>
      </c>
      <c r="C4131" s="115" t="s">
        <v>1138</v>
      </c>
      <c r="D4131" s="115" t="s">
        <v>5790</v>
      </c>
      <c r="E4131" s="115" t="s">
        <v>5791</v>
      </c>
    </row>
    <row r="4132" spans="1:5" x14ac:dyDescent="0.25">
      <c r="B4132" s="115" t="s">
        <v>1627</v>
      </c>
      <c r="D4132" s="115" t="s">
        <v>1531</v>
      </c>
      <c r="E4132" s="115" t="s">
        <v>5792</v>
      </c>
    </row>
    <row r="4133" spans="1:5" x14ac:dyDescent="0.25">
      <c r="B4133" s="115" t="s">
        <v>1139</v>
      </c>
      <c r="D4133" s="115" t="s">
        <v>1140</v>
      </c>
      <c r="E4133" s="115" t="s">
        <v>5793</v>
      </c>
    </row>
    <row r="4134" spans="1:5" x14ac:dyDescent="0.25">
      <c r="B4134" s="115" t="s">
        <v>5794</v>
      </c>
      <c r="D4134" s="115" t="s">
        <v>5795</v>
      </c>
      <c r="E4134" s="115" t="s">
        <v>5796</v>
      </c>
    </row>
    <row r="4135" spans="1:5" x14ac:dyDescent="0.25">
      <c r="B4135" s="115" t="s">
        <v>1471</v>
      </c>
      <c r="D4135" s="115" t="s">
        <v>5797</v>
      </c>
      <c r="E4135" s="115" t="s">
        <v>1141</v>
      </c>
    </row>
    <row r="4136" spans="1:5" x14ac:dyDescent="0.25">
      <c r="B4136" s="115" t="s">
        <v>1604</v>
      </c>
      <c r="D4136" s="115" t="s">
        <v>1140</v>
      </c>
      <c r="E4136" s="115" t="s">
        <v>5798</v>
      </c>
    </row>
    <row r="4137" spans="1:5" x14ac:dyDescent="0.25">
      <c r="B4137" s="115" t="s">
        <v>5799</v>
      </c>
      <c r="D4137" s="115" t="s">
        <v>1140</v>
      </c>
      <c r="E4137" s="115" t="s">
        <v>5800</v>
      </c>
    </row>
    <row r="4138" spans="1:5" x14ac:dyDescent="0.25">
      <c r="B4138" s="115" t="s">
        <v>5801</v>
      </c>
      <c r="D4138" s="115" t="s">
        <v>5802</v>
      </c>
      <c r="E4138" s="115" t="s">
        <v>5803</v>
      </c>
    </row>
    <row r="4139" spans="1:5" x14ac:dyDescent="0.25">
      <c r="A4139" s="115">
        <v>-1</v>
      </c>
      <c r="B4139" s="115" t="s">
        <v>1401</v>
      </c>
      <c r="D4139" s="115" t="s">
        <v>4079</v>
      </c>
      <c r="E4139" s="115" t="s">
        <v>5804</v>
      </c>
    </row>
    <row r="4140" spans="1:5" x14ac:dyDescent="0.25">
      <c r="B4140" s="115" t="s">
        <v>5805</v>
      </c>
      <c r="D4140" s="115" t="s">
        <v>5806</v>
      </c>
      <c r="E4140" s="115" t="s">
        <v>5807</v>
      </c>
    </row>
    <row r="4141" spans="1:5" x14ac:dyDescent="0.25">
      <c r="A4141" s="115">
        <v>-1</v>
      </c>
      <c r="B4141" s="115" t="s">
        <v>5808</v>
      </c>
      <c r="D4141" s="115" t="s">
        <v>5809</v>
      </c>
      <c r="E4141" s="115" t="s">
        <v>5810</v>
      </c>
    </row>
    <row r="4142" spans="1:5" x14ac:dyDescent="0.25">
      <c r="A4142" s="115" t="s">
        <v>1138</v>
      </c>
      <c r="B4142" s="115" t="s">
        <v>5811</v>
      </c>
      <c r="D4142" s="115" t="s">
        <v>4208</v>
      </c>
      <c r="E4142" s="115" t="s">
        <v>5812</v>
      </c>
    </row>
    <row r="4143" spans="1:5" x14ac:dyDescent="0.25">
      <c r="A4143" s="115">
        <v>-2</v>
      </c>
      <c r="B4143" s="115" t="s">
        <v>5813</v>
      </c>
      <c r="C4143" s="115" t="s">
        <v>1138</v>
      </c>
      <c r="D4143" s="115" t="s">
        <v>5814</v>
      </c>
      <c r="E4143" s="115" t="s">
        <v>5815</v>
      </c>
    </row>
    <row r="4144" spans="1:5" x14ac:dyDescent="0.25">
      <c r="A4144" s="115">
        <v>-2</v>
      </c>
      <c r="B4144" s="115" t="s">
        <v>5816</v>
      </c>
      <c r="D4144" s="115" t="s">
        <v>5817</v>
      </c>
      <c r="E4144" s="115" t="s">
        <v>5818</v>
      </c>
    </row>
    <row r="4145" spans="1:5" x14ac:dyDescent="0.25">
      <c r="A4145" s="115">
        <v>5</v>
      </c>
      <c r="B4145" s="115" t="s">
        <v>1458</v>
      </c>
      <c r="D4145" s="115" t="s">
        <v>5819</v>
      </c>
      <c r="E4145" s="115" t="s">
        <v>5820</v>
      </c>
    </row>
    <row r="4146" spans="1:5" x14ac:dyDescent="0.25">
      <c r="B4146" s="115" t="s">
        <v>1568</v>
      </c>
      <c r="D4146" s="115" t="s">
        <v>5821</v>
      </c>
      <c r="E4146" s="115" t="s">
        <v>5822</v>
      </c>
    </row>
    <row r="4147" spans="1:5" x14ac:dyDescent="0.25">
      <c r="A4147" s="115" t="s">
        <v>1138</v>
      </c>
      <c r="B4147" s="115" t="s">
        <v>5823</v>
      </c>
      <c r="D4147" s="115" t="s">
        <v>5824</v>
      </c>
      <c r="E4147" s="115" t="s">
        <v>5825</v>
      </c>
    </row>
    <row r="4148" spans="1:5" x14ac:dyDescent="0.25">
      <c r="B4148" s="115" t="s">
        <v>1139</v>
      </c>
      <c r="D4148" s="115" t="s">
        <v>2572</v>
      </c>
      <c r="E4148" s="115" t="s">
        <v>5826</v>
      </c>
    </row>
    <row r="4149" spans="1:5" x14ac:dyDescent="0.25">
      <c r="B4149" s="115" t="s">
        <v>1139</v>
      </c>
      <c r="D4149" s="115" t="s">
        <v>4678</v>
      </c>
      <c r="E4149" s="115" t="s">
        <v>5827</v>
      </c>
    </row>
    <row r="4150" spans="1:5" x14ac:dyDescent="0.25">
      <c r="A4150" s="115">
        <v>-4</v>
      </c>
      <c r="B4150" s="115" t="s">
        <v>5828</v>
      </c>
      <c r="D4150" s="115" t="s">
        <v>5829</v>
      </c>
      <c r="E4150" s="115" t="s">
        <v>5830</v>
      </c>
    </row>
    <row r="4151" spans="1:5" x14ac:dyDescent="0.25">
      <c r="A4151" s="115" t="s">
        <v>1138</v>
      </c>
      <c r="B4151" s="115" t="s">
        <v>5831</v>
      </c>
      <c r="D4151" s="115" t="s">
        <v>2682</v>
      </c>
      <c r="E4151" s="115" t="s">
        <v>5832</v>
      </c>
    </row>
    <row r="4152" spans="1:5" x14ac:dyDescent="0.25">
      <c r="A4152" s="115">
        <v>-1</v>
      </c>
      <c r="B4152" s="115" t="s">
        <v>5833</v>
      </c>
      <c r="D4152" s="115" t="s">
        <v>5834</v>
      </c>
      <c r="E4152" s="115" t="s">
        <v>1141</v>
      </c>
    </row>
    <row r="4153" spans="1:5" x14ac:dyDescent="0.25">
      <c r="B4153" s="115" t="s">
        <v>5835</v>
      </c>
      <c r="D4153" s="115" t="s">
        <v>5836</v>
      </c>
      <c r="E4153" s="115" t="s">
        <v>5837</v>
      </c>
    </row>
    <row r="4154" spans="1:5" x14ac:dyDescent="0.25">
      <c r="B4154" s="115" t="s">
        <v>5838</v>
      </c>
      <c r="C4154" s="115" t="s">
        <v>1138</v>
      </c>
      <c r="D4154" s="115" t="s">
        <v>5839</v>
      </c>
      <c r="E4154" s="115" t="s">
        <v>5840</v>
      </c>
    </row>
    <row r="4155" spans="1:5" x14ac:dyDescent="0.25">
      <c r="B4155" s="115" t="s">
        <v>1139</v>
      </c>
      <c r="D4155" s="115" t="s">
        <v>1140</v>
      </c>
      <c r="E4155" s="115" t="s">
        <v>1141</v>
      </c>
    </row>
    <row r="4156" spans="1:5" x14ac:dyDescent="0.25">
      <c r="B4156" s="115" t="s">
        <v>1139</v>
      </c>
      <c r="D4156" s="115" t="s">
        <v>5841</v>
      </c>
      <c r="E4156" s="115" t="s">
        <v>1141</v>
      </c>
    </row>
    <row r="4157" spans="1:5" x14ac:dyDescent="0.25">
      <c r="B4157" s="115" t="s">
        <v>5842</v>
      </c>
      <c r="D4157" s="115" t="s">
        <v>5843</v>
      </c>
      <c r="E4157" s="115" t="s">
        <v>5844</v>
      </c>
    </row>
    <row r="4158" spans="1:5" x14ac:dyDescent="0.25">
      <c r="B4158" s="115" t="s">
        <v>5845</v>
      </c>
      <c r="D4158" s="115" t="s">
        <v>5846</v>
      </c>
      <c r="E4158" s="115" t="s">
        <v>5847</v>
      </c>
    </row>
    <row r="4159" spans="1:5" x14ac:dyDescent="0.25">
      <c r="A4159" s="115" t="s">
        <v>1138</v>
      </c>
      <c r="B4159" s="115" t="s">
        <v>5848</v>
      </c>
      <c r="D4159" s="115" t="s">
        <v>5849</v>
      </c>
      <c r="E4159" s="115" t="s">
        <v>5850</v>
      </c>
    </row>
    <row r="4160" spans="1:5" x14ac:dyDescent="0.25">
      <c r="B4160" s="115" t="s">
        <v>1139</v>
      </c>
      <c r="D4160" s="115" t="s">
        <v>5851</v>
      </c>
      <c r="E4160" s="115" t="s">
        <v>1141</v>
      </c>
    </row>
    <row r="4161" spans="1:5" x14ac:dyDescent="0.25">
      <c r="B4161" s="115" t="s">
        <v>1139</v>
      </c>
      <c r="D4161" s="115" t="s">
        <v>5852</v>
      </c>
      <c r="E4161" s="115" t="s">
        <v>5853</v>
      </c>
    </row>
    <row r="4162" spans="1:5" x14ac:dyDescent="0.25">
      <c r="A4162" s="115" t="s">
        <v>1138</v>
      </c>
      <c r="B4162" s="115" t="s">
        <v>5854</v>
      </c>
      <c r="D4162" s="115" t="s">
        <v>5855</v>
      </c>
      <c r="E4162" s="115" t="s">
        <v>5856</v>
      </c>
    </row>
    <row r="4163" spans="1:5" x14ac:dyDescent="0.25">
      <c r="B4163" s="115" t="s">
        <v>1139</v>
      </c>
      <c r="D4163" s="115" t="s">
        <v>3122</v>
      </c>
      <c r="E4163" s="115" t="s">
        <v>1894</v>
      </c>
    </row>
    <row r="4164" spans="1:5" x14ac:dyDescent="0.25">
      <c r="B4164" s="115" t="s">
        <v>1139</v>
      </c>
      <c r="D4164" s="115" t="s">
        <v>5857</v>
      </c>
      <c r="E4164" s="115" t="s">
        <v>5858</v>
      </c>
    </row>
    <row r="4165" spans="1:5" x14ac:dyDescent="0.25">
      <c r="B4165" s="115" t="s">
        <v>5859</v>
      </c>
      <c r="D4165" s="115" t="s">
        <v>5860</v>
      </c>
      <c r="E4165" s="115" t="s">
        <v>5861</v>
      </c>
    </row>
    <row r="4166" spans="1:5" x14ac:dyDescent="0.25">
      <c r="A4166" s="115">
        <v>1</v>
      </c>
      <c r="B4166" s="115" t="s">
        <v>5862</v>
      </c>
      <c r="D4166" s="115" t="s">
        <v>5863</v>
      </c>
      <c r="E4166" s="115" t="s">
        <v>1894</v>
      </c>
    </row>
    <row r="4167" spans="1:5" x14ac:dyDescent="0.25">
      <c r="A4167" s="115" t="s">
        <v>1138</v>
      </c>
      <c r="B4167" s="115" t="s">
        <v>5864</v>
      </c>
      <c r="D4167" s="115" t="s">
        <v>5865</v>
      </c>
      <c r="E4167" s="115" t="s">
        <v>5866</v>
      </c>
    </row>
    <row r="4168" spans="1:5" x14ac:dyDescent="0.25">
      <c r="A4168" s="115">
        <v>-1</v>
      </c>
      <c r="B4168" s="115" t="s">
        <v>5867</v>
      </c>
      <c r="D4168" s="115" t="s">
        <v>5868</v>
      </c>
      <c r="E4168" s="115" t="s">
        <v>5869</v>
      </c>
    </row>
    <row r="4169" spans="1:5" x14ac:dyDescent="0.25">
      <c r="A4169" s="115" t="s">
        <v>1138</v>
      </c>
      <c r="B4169" s="115" t="s">
        <v>1408</v>
      </c>
      <c r="D4169" s="115" t="s">
        <v>5870</v>
      </c>
      <c r="E4169" s="115" t="s">
        <v>1859</v>
      </c>
    </row>
    <row r="4170" spans="1:5" x14ac:dyDescent="0.25">
      <c r="B4170" s="115" t="s">
        <v>5871</v>
      </c>
      <c r="D4170" s="115" t="s">
        <v>5872</v>
      </c>
      <c r="E4170" s="115" t="s">
        <v>5873</v>
      </c>
    </row>
    <row r="4171" spans="1:5" x14ac:dyDescent="0.25">
      <c r="A4171" s="115">
        <v>-1</v>
      </c>
      <c r="B4171" s="115" t="s">
        <v>1155</v>
      </c>
      <c r="D4171" s="115" t="s">
        <v>5874</v>
      </c>
      <c r="E4171" s="115" t="s">
        <v>5875</v>
      </c>
    </row>
    <row r="4172" spans="1:5" x14ac:dyDescent="0.25">
      <c r="B4172" s="115" t="s">
        <v>1609</v>
      </c>
      <c r="D4172" s="115" t="s">
        <v>5876</v>
      </c>
      <c r="E4172" s="115" t="s">
        <v>1702</v>
      </c>
    </row>
    <row r="4173" spans="1:5" x14ac:dyDescent="0.25">
      <c r="B4173" s="115" t="s">
        <v>5877</v>
      </c>
      <c r="D4173" s="115" t="s">
        <v>5878</v>
      </c>
      <c r="E4173" s="115" t="s">
        <v>5879</v>
      </c>
    </row>
    <row r="4174" spans="1:5" x14ac:dyDescent="0.25">
      <c r="A4174" s="115">
        <v>-2</v>
      </c>
      <c r="B4174" s="115" t="s">
        <v>5880</v>
      </c>
      <c r="D4174" s="115" t="s">
        <v>5881</v>
      </c>
      <c r="E4174" s="115" t="s">
        <v>5882</v>
      </c>
    </row>
    <row r="4175" spans="1:5" x14ac:dyDescent="0.25">
      <c r="A4175" s="115">
        <v>-12</v>
      </c>
      <c r="B4175" s="115" t="s">
        <v>1183</v>
      </c>
      <c r="C4175" s="115" t="s">
        <v>1138</v>
      </c>
      <c r="D4175" s="115" t="s">
        <v>5883</v>
      </c>
      <c r="E4175" s="115" t="s">
        <v>1141</v>
      </c>
    </row>
    <row r="4176" spans="1:5" x14ac:dyDescent="0.25">
      <c r="A4176" s="115" t="s">
        <v>1138</v>
      </c>
      <c r="B4176" s="115" t="s">
        <v>5884</v>
      </c>
      <c r="D4176" s="115" t="s">
        <v>5885</v>
      </c>
      <c r="E4176" s="115" t="s">
        <v>1141</v>
      </c>
    </row>
    <row r="4177" spans="1:5" x14ac:dyDescent="0.25">
      <c r="A4177" s="115">
        <v>-3</v>
      </c>
      <c r="B4177" s="115" t="s">
        <v>5886</v>
      </c>
      <c r="C4177" s="115" t="s">
        <v>1138</v>
      </c>
      <c r="D4177" s="115" t="s">
        <v>5887</v>
      </c>
      <c r="E4177" s="115" t="s">
        <v>5888</v>
      </c>
    </row>
    <row r="4178" spans="1:5" x14ac:dyDescent="0.25">
      <c r="A4178" s="115">
        <v>-1</v>
      </c>
      <c r="B4178" s="115" t="s">
        <v>5889</v>
      </c>
      <c r="D4178" s="115" t="s">
        <v>5890</v>
      </c>
      <c r="E4178" s="115" t="s">
        <v>2260</v>
      </c>
    </row>
    <row r="4179" spans="1:5" x14ac:dyDescent="0.25">
      <c r="A4179" s="115" t="s">
        <v>1138</v>
      </c>
      <c r="B4179" s="115" t="s">
        <v>5891</v>
      </c>
      <c r="C4179" s="115" t="s">
        <v>1138</v>
      </c>
      <c r="D4179" s="115" t="s">
        <v>5892</v>
      </c>
      <c r="E4179" s="115" t="s">
        <v>5893</v>
      </c>
    </row>
    <row r="4180" spans="1:5" x14ac:dyDescent="0.25">
      <c r="B4180" s="115" t="s">
        <v>1139</v>
      </c>
      <c r="D4180" s="115" t="s">
        <v>1140</v>
      </c>
      <c r="E4180" s="115" t="s">
        <v>5894</v>
      </c>
    </row>
    <row r="4181" spans="1:5" x14ac:dyDescent="0.25">
      <c r="A4181" s="115">
        <v>1</v>
      </c>
      <c r="B4181" s="115" t="s">
        <v>5895</v>
      </c>
      <c r="D4181" s="115" t="s">
        <v>5896</v>
      </c>
      <c r="E4181" s="115" t="s">
        <v>5897</v>
      </c>
    </row>
    <row r="4182" spans="1:5" x14ac:dyDescent="0.25">
      <c r="B4182" s="115" t="s">
        <v>1139</v>
      </c>
      <c r="D4182" s="115" t="s">
        <v>5898</v>
      </c>
      <c r="E4182" s="115" t="s">
        <v>1141</v>
      </c>
    </row>
    <row r="4183" spans="1:5" x14ac:dyDescent="0.25">
      <c r="B4183" s="115" t="s">
        <v>1139</v>
      </c>
      <c r="D4183" s="115" t="s">
        <v>1140</v>
      </c>
      <c r="E4183" s="115" t="s">
        <v>1141</v>
      </c>
    </row>
    <row r="4184" spans="1:5" x14ac:dyDescent="0.25">
      <c r="A4184" s="115" t="s">
        <v>1138</v>
      </c>
      <c r="B4184" s="115" t="s">
        <v>1197</v>
      </c>
      <c r="D4184" s="115" t="s">
        <v>5899</v>
      </c>
      <c r="E4184" s="115" t="s">
        <v>5900</v>
      </c>
    </row>
    <row r="4185" spans="1:5" x14ac:dyDescent="0.25">
      <c r="A4185" s="115">
        <v>17</v>
      </c>
      <c r="B4185" s="115" t="s">
        <v>5901</v>
      </c>
      <c r="D4185" s="115" t="s">
        <v>5902</v>
      </c>
      <c r="E4185" s="115" t="s">
        <v>5903</v>
      </c>
    </row>
    <row r="4186" spans="1:5" x14ac:dyDescent="0.25">
      <c r="A4186" s="115">
        <v>34</v>
      </c>
      <c r="B4186" s="115" t="s">
        <v>5904</v>
      </c>
      <c r="D4186" s="115" t="s">
        <v>5905</v>
      </c>
      <c r="E4186" s="115" t="s">
        <v>5906</v>
      </c>
    </row>
    <row r="4187" spans="1:5" x14ac:dyDescent="0.25">
      <c r="B4187" s="115" t="s">
        <v>1139</v>
      </c>
      <c r="D4187" s="115" t="s">
        <v>5907</v>
      </c>
      <c r="E4187" s="115" t="s">
        <v>5908</v>
      </c>
    </row>
    <row r="4188" spans="1:5" x14ac:dyDescent="0.25">
      <c r="B4188" s="115" t="s">
        <v>1139</v>
      </c>
      <c r="D4188" s="115" t="s">
        <v>1140</v>
      </c>
      <c r="E4188" s="115" t="s">
        <v>5909</v>
      </c>
    </row>
    <row r="4189" spans="1:5" x14ac:dyDescent="0.25">
      <c r="B4189" s="115" t="s">
        <v>1139</v>
      </c>
      <c r="D4189" s="115" t="s">
        <v>5910</v>
      </c>
      <c r="E4189" s="115" t="s">
        <v>5911</v>
      </c>
    </row>
    <row r="4190" spans="1:5" x14ac:dyDescent="0.25">
      <c r="B4190" s="115" t="s">
        <v>1358</v>
      </c>
      <c r="D4190" s="115" t="s">
        <v>1991</v>
      </c>
      <c r="E4190" s="115" t="s">
        <v>1859</v>
      </c>
    </row>
    <row r="4191" spans="1:5" x14ac:dyDescent="0.25">
      <c r="B4191" s="115" t="s">
        <v>1902</v>
      </c>
      <c r="D4191" s="115" t="s">
        <v>1140</v>
      </c>
      <c r="E4191" s="115" t="s">
        <v>5912</v>
      </c>
    </row>
    <row r="4192" spans="1:5" x14ac:dyDescent="0.25">
      <c r="A4192" s="115">
        <v>-20</v>
      </c>
      <c r="B4192" s="115" t="s">
        <v>3132</v>
      </c>
      <c r="C4192" s="115" t="s">
        <v>1138</v>
      </c>
      <c r="D4192" s="115" t="s">
        <v>5913</v>
      </c>
      <c r="E4192" s="115" t="s">
        <v>5914</v>
      </c>
    </row>
    <row r="4193" spans="1:5" x14ac:dyDescent="0.25">
      <c r="B4193" s="115" t="s">
        <v>1139</v>
      </c>
      <c r="D4193" s="115" t="s">
        <v>5915</v>
      </c>
      <c r="E4193" s="115" t="s">
        <v>5916</v>
      </c>
    </row>
    <row r="4194" spans="1:5" x14ac:dyDescent="0.25">
      <c r="B4194" s="115" t="s">
        <v>5917</v>
      </c>
      <c r="D4194" s="115" t="s">
        <v>1140</v>
      </c>
      <c r="E4194" s="115" t="s">
        <v>5918</v>
      </c>
    </row>
    <row r="4195" spans="1:5" x14ac:dyDescent="0.25">
      <c r="A4195" s="115">
        <v>-4</v>
      </c>
      <c r="B4195" s="115" t="s">
        <v>5919</v>
      </c>
      <c r="D4195" s="115" t="s">
        <v>5920</v>
      </c>
      <c r="E4195" s="115" t="s">
        <v>5921</v>
      </c>
    </row>
    <row r="4196" spans="1:5" x14ac:dyDescent="0.25">
      <c r="B4196" s="115">
        <f>-94  -1088</f>
        <v>-1182</v>
      </c>
      <c r="D4196" s="115" t="s">
        <v>5922</v>
      </c>
      <c r="E4196" s="115" t="s">
        <v>5923</v>
      </c>
    </row>
    <row r="4197" spans="1:5" x14ac:dyDescent="0.25">
      <c r="B4197" s="115" t="s">
        <v>5924</v>
      </c>
      <c r="D4197" s="115" t="s">
        <v>1140</v>
      </c>
      <c r="E4197" s="115" t="s">
        <v>5925</v>
      </c>
    </row>
    <row r="4198" spans="1:5" x14ac:dyDescent="0.25">
      <c r="A4198" s="115">
        <v>-4</v>
      </c>
      <c r="B4198" s="115" t="s">
        <v>5926</v>
      </c>
      <c r="D4198" s="115" t="s">
        <v>5927</v>
      </c>
      <c r="E4198" s="115" t="s">
        <v>5928</v>
      </c>
    </row>
    <row r="4199" spans="1:5" x14ac:dyDescent="0.25">
      <c r="B4199" s="115" t="s">
        <v>5929</v>
      </c>
      <c r="D4199" s="115" t="s">
        <v>5930</v>
      </c>
      <c r="E4199" s="115" t="s">
        <v>5931</v>
      </c>
    </row>
    <row r="4200" spans="1:5" x14ac:dyDescent="0.25">
      <c r="B4200" s="115">
        <f>-67   -366</f>
        <v>-433</v>
      </c>
      <c r="D4200" s="115" t="s">
        <v>1140</v>
      </c>
      <c r="E4200" s="115" t="s">
        <v>5932</v>
      </c>
    </row>
    <row r="4201" spans="1:5" x14ac:dyDescent="0.25">
      <c r="A4201" s="115">
        <v>-5</v>
      </c>
      <c r="B4201" s="115" t="s">
        <v>5933</v>
      </c>
      <c r="D4201" s="115" t="s">
        <v>2058</v>
      </c>
      <c r="E4201" s="115" t="s">
        <v>5934</v>
      </c>
    </row>
    <row r="4202" spans="1:5" x14ac:dyDescent="0.25">
      <c r="B4202" s="115" t="s">
        <v>5935</v>
      </c>
      <c r="D4202" s="115" t="s">
        <v>5936</v>
      </c>
      <c r="E4202" s="115" t="s">
        <v>5937</v>
      </c>
    </row>
    <row r="4203" spans="1:5" x14ac:dyDescent="0.25">
      <c r="B4203" s="115" t="s">
        <v>1139</v>
      </c>
      <c r="D4203" s="115" t="s">
        <v>1140</v>
      </c>
      <c r="E4203" s="115" t="s">
        <v>5938</v>
      </c>
    </row>
    <row r="4204" spans="1:5" x14ac:dyDescent="0.25">
      <c r="A4204" s="115">
        <v>2</v>
      </c>
      <c r="B4204" s="115" t="s">
        <v>1160</v>
      </c>
      <c r="D4204" s="115" t="s">
        <v>1140</v>
      </c>
      <c r="E4204" s="115" t="s">
        <v>5939</v>
      </c>
    </row>
    <row r="4205" spans="1:5" x14ac:dyDescent="0.25">
      <c r="A4205" s="115">
        <v>-2</v>
      </c>
      <c r="B4205" s="115" t="s">
        <v>5940</v>
      </c>
      <c r="C4205" s="115" t="s">
        <v>1138</v>
      </c>
      <c r="D4205" s="115" t="s">
        <v>5941</v>
      </c>
      <c r="E4205" s="115" t="s">
        <v>5942</v>
      </c>
    </row>
    <row r="4206" spans="1:5" x14ac:dyDescent="0.25">
      <c r="B4206" s="115" t="s">
        <v>5943</v>
      </c>
      <c r="D4206" s="115" t="s">
        <v>1140</v>
      </c>
      <c r="E4206" s="115" t="s">
        <v>5944</v>
      </c>
    </row>
    <row r="4207" spans="1:5" x14ac:dyDescent="0.25">
      <c r="B4207" s="115" t="s">
        <v>5945</v>
      </c>
      <c r="D4207" s="115" t="s">
        <v>5946</v>
      </c>
      <c r="E4207" s="115" t="s">
        <v>1141</v>
      </c>
    </row>
    <row r="4208" spans="1:5" x14ac:dyDescent="0.25">
      <c r="B4208" s="115" t="s">
        <v>1139</v>
      </c>
      <c r="D4208" s="115" t="s">
        <v>5947</v>
      </c>
      <c r="E4208" s="115" t="s">
        <v>5948</v>
      </c>
    </row>
    <row r="4209" spans="1:5" x14ac:dyDescent="0.25">
      <c r="A4209" s="115">
        <v>-1</v>
      </c>
      <c r="B4209" s="115" t="s">
        <v>1496</v>
      </c>
      <c r="D4209" s="115" t="s">
        <v>5949</v>
      </c>
      <c r="E4209" s="115" t="s">
        <v>5950</v>
      </c>
    </row>
    <row r="4210" spans="1:5" x14ac:dyDescent="0.25">
      <c r="B4210" s="115" t="s">
        <v>5951</v>
      </c>
      <c r="D4210" s="115" t="s">
        <v>1140</v>
      </c>
      <c r="E4210" s="115" t="s">
        <v>1141</v>
      </c>
    </row>
    <row r="4211" spans="1:5" x14ac:dyDescent="0.25">
      <c r="B4211" s="115" t="s">
        <v>1139</v>
      </c>
      <c r="D4211" s="115" t="s">
        <v>1140</v>
      </c>
      <c r="E4211" s="115" t="s">
        <v>5952</v>
      </c>
    </row>
    <row r="4212" spans="1:5" x14ac:dyDescent="0.25">
      <c r="B4212" s="115" t="s">
        <v>1289</v>
      </c>
      <c r="D4212" s="115" t="s">
        <v>5953</v>
      </c>
      <c r="E4212" s="115" t="s">
        <v>5954</v>
      </c>
    </row>
    <row r="4213" spans="1:5" x14ac:dyDescent="0.25">
      <c r="B4213" s="115" t="s">
        <v>1139</v>
      </c>
      <c r="D4213" s="115" t="s">
        <v>5955</v>
      </c>
      <c r="E4213" s="115" t="s">
        <v>5956</v>
      </c>
    </row>
    <row r="4214" spans="1:5" x14ac:dyDescent="0.25">
      <c r="A4214" s="115">
        <v>14</v>
      </c>
      <c r="B4214" s="115" t="s">
        <v>5957</v>
      </c>
      <c r="C4214" s="115">
        <v>1</v>
      </c>
      <c r="D4214" s="115" t="s">
        <v>5958</v>
      </c>
      <c r="E4214" s="115" t="s">
        <v>5959</v>
      </c>
    </row>
    <row r="4215" spans="1:5" x14ac:dyDescent="0.25">
      <c r="B4215" s="115" t="s">
        <v>5960</v>
      </c>
      <c r="D4215" s="115" t="s">
        <v>5961</v>
      </c>
      <c r="E4215" s="115" t="s">
        <v>5962</v>
      </c>
    </row>
    <row r="4216" spans="1:5" x14ac:dyDescent="0.25">
      <c r="B4216" s="115" t="s">
        <v>1139</v>
      </c>
      <c r="D4216" s="115" t="s">
        <v>3621</v>
      </c>
      <c r="E4216" s="115" t="s">
        <v>5963</v>
      </c>
    </row>
    <row r="4217" spans="1:5" x14ac:dyDescent="0.25">
      <c r="B4217" s="115" t="s">
        <v>5964</v>
      </c>
      <c r="D4217" s="115" t="s">
        <v>5965</v>
      </c>
      <c r="E4217" s="115" t="s">
        <v>5966</v>
      </c>
    </row>
    <row r="4218" spans="1:5" x14ac:dyDescent="0.25">
      <c r="B4218" s="115" t="s">
        <v>1139</v>
      </c>
      <c r="D4218" s="115" t="s">
        <v>1423</v>
      </c>
      <c r="E4218" s="115" t="s">
        <v>5967</v>
      </c>
    </row>
    <row r="4219" spans="1:5" x14ac:dyDescent="0.25">
      <c r="B4219" s="115" t="s">
        <v>1139</v>
      </c>
      <c r="D4219" s="115" t="s">
        <v>1140</v>
      </c>
      <c r="E4219" s="115" t="s">
        <v>5968</v>
      </c>
    </row>
    <row r="4220" spans="1:5" x14ac:dyDescent="0.25">
      <c r="B4220" s="115" t="s">
        <v>1139</v>
      </c>
      <c r="D4220" s="115" t="s">
        <v>5969</v>
      </c>
      <c r="E4220" s="115" t="s">
        <v>5970</v>
      </c>
    </row>
    <row r="4221" spans="1:5" x14ac:dyDescent="0.25">
      <c r="B4221" s="115" t="s">
        <v>1440</v>
      </c>
      <c r="D4221" s="115">
        <f>-292   -760    -52   -75</f>
        <v>-1179</v>
      </c>
      <c r="E4221" s="115" t="s">
        <v>5971</v>
      </c>
    </row>
    <row r="4222" spans="1:5" x14ac:dyDescent="0.25">
      <c r="B4222" s="115" t="s">
        <v>1139</v>
      </c>
      <c r="D4222" s="115" t="s">
        <v>5972</v>
      </c>
      <c r="E4222" s="115" t="s">
        <v>5973</v>
      </c>
    </row>
    <row r="4223" spans="1:5" x14ac:dyDescent="0.25">
      <c r="A4223" s="115">
        <v>26</v>
      </c>
      <c r="B4223" s="115" t="s">
        <v>1188</v>
      </c>
      <c r="C4223" s="115">
        <v>1</v>
      </c>
      <c r="D4223" s="115" t="s">
        <v>5974</v>
      </c>
      <c r="E4223" s="115" t="s">
        <v>5975</v>
      </c>
    </row>
    <row r="4224" spans="1:5" x14ac:dyDescent="0.25">
      <c r="B4224" s="115" t="s">
        <v>1139</v>
      </c>
      <c r="D4224" s="115" t="s">
        <v>5976</v>
      </c>
      <c r="E4224" s="115" t="s">
        <v>5977</v>
      </c>
    </row>
    <row r="4225" spans="1:5" x14ac:dyDescent="0.25">
      <c r="B4225" s="115" t="s">
        <v>1139</v>
      </c>
      <c r="D4225" s="115" t="s">
        <v>5978</v>
      </c>
      <c r="E4225" s="115" t="s">
        <v>5979</v>
      </c>
    </row>
    <row r="4226" spans="1:5" x14ac:dyDescent="0.25">
      <c r="A4226" s="115">
        <v>-1</v>
      </c>
      <c r="B4226" s="115" t="s">
        <v>5980</v>
      </c>
      <c r="D4226" s="115" t="s">
        <v>5981</v>
      </c>
      <c r="E4226" s="115" t="s">
        <v>5982</v>
      </c>
    </row>
    <row r="4227" spans="1:5" x14ac:dyDescent="0.25">
      <c r="B4227" s="115" t="s">
        <v>5983</v>
      </c>
      <c r="D4227" s="115" t="s">
        <v>5984</v>
      </c>
      <c r="E4227" s="115" t="s">
        <v>5985</v>
      </c>
    </row>
    <row r="4228" spans="1:5" x14ac:dyDescent="0.25">
      <c r="B4228" s="115" t="s">
        <v>1139</v>
      </c>
      <c r="D4228" s="115" t="s">
        <v>5986</v>
      </c>
      <c r="E4228" s="115" t="s">
        <v>5987</v>
      </c>
    </row>
    <row r="4229" spans="1:5" x14ac:dyDescent="0.25">
      <c r="B4229" s="115" t="s">
        <v>1139</v>
      </c>
      <c r="D4229" s="115" t="s">
        <v>5988</v>
      </c>
      <c r="E4229" s="115" t="s">
        <v>5989</v>
      </c>
    </row>
    <row r="4230" spans="1:5" x14ac:dyDescent="0.25">
      <c r="B4230" s="115" t="s">
        <v>1224</v>
      </c>
      <c r="D4230" s="115" t="s">
        <v>5990</v>
      </c>
      <c r="E4230" s="115" t="s">
        <v>1759</v>
      </c>
    </row>
    <row r="4231" spans="1:5" x14ac:dyDescent="0.25">
      <c r="B4231" s="115" t="s">
        <v>1139</v>
      </c>
      <c r="D4231" s="115" t="s">
        <v>5991</v>
      </c>
      <c r="E4231" s="115" t="s">
        <v>5992</v>
      </c>
    </row>
    <row r="4232" spans="1:5" x14ac:dyDescent="0.25">
      <c r="B4232" s="115" t="s">
        <v>1139</v>
      </c>
      <c r="D4232" s="115" t="s">
        <v>5993</v>
      </c>
      <c r="E4232" s="115" t="s">
        <v>5994</v>
      </c>
    </row>
    <row r="4233" spans="1:5" x14ac:dyDescent="0.25">
      <c r="B4233" s="115" t="s">
        <v>1139</v>
      </c>
      <c r="D4233" s="115" t="s">
        <v>5995</v>
      </c>
      <c r="E4233" s="115" t="s">
        <v>5996</v>
      </c>
    </row>
    <row r="4234" spans="1:5" x14ac:dyDescent="0.25">
      <c r="B4234" s="115" t="s">
        <v>1139</v>
      </c>
      <c r="D4234" s="115" t="s">
        <v>5997</v>
      </c>
      <c r="E4234" s="115" t="s">
        <v>5998</v>
      </c>
    </row>
    <row r="4235" spans="1:5" x14ac:dyDescent="0.25">
      <c r="A4235" s="115">
        <v>-2</v>
      </c>
      <c r="B4235" s="115" t="s">
        <v>5999</v>
      </c>
      <c r="D4235" s="115" t="s">
        <v>1140</v>
      </c>
      <c r="E4235" s="115" t="s">
        <v>6000</v>
      </c>
    </row>
    <row r="4236" spans="1:5" x14ac:dyDescent="0.25">
      <c r="A4236" s="115" t="s">
        <v>1138</v>
      </c>
      <c r="B4236" s="115" t="s">
        <v>6001</v>
      </c>
      <c r="D4236" s="115" t="s">
        <v>6002</v>
      </c>
      <c r="E4236" s="115" t="s">
        <v>6003</v>
      </c>
    </row>
    <row r="4237" spans="1:5" x14ac:dyDescent="0.25">
      <c r="B4237" s="115" t="s">
        <v>1674</v>
      </c>
      <c r="D4237" s="115" t="s">
        <v>1140</v>
      </c>
      <c r="E4237" s="115" t="s">
        <v>6004</v>
      </c>
    </row>
    <row r="4238" spans="1:5" x14ac:dyDescent="0.25">
      <c r="B4238" s="115" t="s">
        <v>1139</v>
      </c>
      <c r="D4238" s="115" t="s">
        <v>1140</v>
      </c>
      <c r="E4238" s="115" t="s">
        <v>1141</v>
      </c>
    </row>
    <row r="4239" spans="1:5" x14ac:dyDescent="0.25">
      <c r="B4239" s="115" t="s">
        <v>1139</v>
      </c>
      <c r="D4239" s="115" t="s">
        <v>1517</v>
      </c>
      <c r="E4239" s="115" t="s">
        <v>6005</v>
      </c>
    </row>
    <row r="4240" spans="1:5" x14ac:dyDescent="0.25">
      <c r="B4240" s="115" t="s">
        <v>6006</v>
      </c>
      <c r="C4240" s="115">
        <v>4</v>
      </c>
      <c r="D4240" s="115" t="s">
        <v>6007</v>
      </c>
      <c r="E4240" s="115" t="s">
        <v>6008</v>
      </c>
    </row>
    <row r="4241" spans="1:5" x14ac:dyDescent="0.25">
      <c r="A4241" s="115">
        <v>9</v>
      </c>
      <c r="B4241" s="115" t="s">
        <v>6009</v>
      </c>
      <c r="C4241" s="115">
        <v>1</v>
      </c>
      <c r="D4241" s="115" t="s">
        <v>6010</v>
      </c>
      <c r="E4241" s="115" t="s">
        <v>6011</v>
      </c>
    </row>
    <row r="4242" spans="1:5" x14ac:dyDescent="0.25">
      <c r="A4242" s="115">
        <v>9</v>
      </c>
      <c r="B4242" s="115" t="s">
        <v>6012</v>
      </c>
      <c r="D4242" s="115" t="s">
        <v>6013</v>
      </c>
      <c r="E4242" s="115" t="s">
        <v>6014</v>
      </c>
    </row>
    <row r="4243" spans="1:5" x14ac:dyDescent="0.25">
      <c r="B4243" s="115" t="s">
        <v>1139</v>
      </c>
      <c r="D4243" s="115" t="s">
        <v>6015</v>
      </c>
      <c r="E4243" s="115" t="s">
        <v>1141</v>
      </c>
    </row>
    <row r="4244" spans="1:5" x14ac:dyDescent="0.25">
      <c r="B4244" s="115" t="s">
        <v>1139</v>
      </c>
      <c r="D4244" s="115" t="s">
        <v>6016</v>
      </c>
      <c r="E4244" s="115" t="s">
        <v>6017</v>
      </c>
    </row>
    <row r="4245" spans="1:5" x14ac:dyDescent="0.25">
      <c r="A4245" s="115" t="s">
        <v>1138</v>
      </c>
      <c r="B4245" s="115" t="s">
        <v>6018</v>
      </c>
      <c r="D4245" s="115" t="s">
        <v>6019</v>
      </c>
      <c r="E4245" s="115" t="s">
        <v>5669</v>
      </c>
    </row>
    <row r="4246" spans="1:5" x14ac:dyDescent="0.25">
      <c r="B4246" s="115" t="s">
        <v>1223</v>
      </c>
      <c r="D4246" s="115" t="s">
        <v>1140</v>
      </c>
      <c r="E4246" s="115" t="s">
        <v>1647</v>
      </c>
    </row>
    <row r="4247" spans="1:5" x14ac:dyDescent="0.25">
      <c r="B4247" s="115" t="s">
        <v>1139</v>
      </c>
      <c r="D4247" s="115" t="s">
        <v>6020</v>
      </c>
      <c r="E4247" s="115" t="s">
        <v>6021</v>
      </c>
    </row>
    <row r="4248" spans="1:5" x14ac:dyDescent="0.25">
      <c r="B4248" s="115" t="s">
        <v>1139</v>
      </c>
      <c r="D4248" s="115" t="s">
        <v>6022</v>
      </c>
      <c r="E4248" s="115" t="s">
        <v>6023</v>
      </c>
    </row>
    <row r="4249" spans="1:5" x14ac:dyDescent="0.25">
      <c r="B4249" s="115" t="s">
        <v>6024</v>
      </c>
      <c r="D4249" s="115" t="s">
        <v>6025</v>
      </c>
      <c r="E4249" s="115" t="s">
        <v>6026</v>
      </c>
    </row>
    <row r="4250" spans="1:5" x14ac:dyDescent="0.25">
      <c r="B4250" s="115" t="s">
        <v>1586</v>
      </c>
      <c r="D4250" s="115" t="s">
        <v>6027</v>
      </c>
      <c r="E4250" s="115" t="s">
        <v>6028</v>
      </c>
    </row>
    <row r="4251" spans="1:5" x14ac:dyDescent="0.25">
      <c r="A4251" s="115">
        <v>1</v>
      </c>
      <c r="B4251" s="115" t="s">
        <v>6029</v>
      </c>
      <c r="D4251" s="115" t="s">
        <v>6030</v>
      </c>
      <c r="E4251" s="115" t="s">
        <v>6031</v>
      </c>
    </row>
    <row r="4252" spans="1:5" x14ac:dyDescent="0.25">
      <c r="B4252" s="115" t="s">
        <v>6032</v>
      </c>
      <c r="D4252" s="115" t="s">
        <v>6033</v>
      </c>
      <c r="E4252" s="115" t="s">
        <v>6034</v>
      </c>
    </row>
    <row r="4253" spans="1:5" x14ac:dyDescent="0.25">
      <c r="B4253" s="115" t="s">
        <v>6035</v>
      </c>
      <c r="D4253" s="115" t="s">
        <v>6036</v>
      </c>
      <c r="E4253" s="115" t="s">
        <v>6037</v>
      </c>
    </row>
    <row r="4254" spans="1:5" x14ac:dyDescent="0.25">
      <c r="A4254" s="115" t="s">
        <v>1138</v>
      </c>
      <c r="B4254" s="115" t="s">
        <v>6038</v>
      </c>
      <c r="D4254" s="115" t="s">
        <v>6039</v>
      </c>
      <c r="E4254" s="115" t="s">
        <v>6040</v>
      </c>
    </row>
    <row r="4255" spans="1:5" x14ac:dyDescent="0.25">
      <c r="B4255" s="115" t="s">
        <v>1139</v>
      </c>
      <c r="D4255" s="115" t="s">
        <v>6041</v>
      </c>
      <c r="E4255" s="115" t="s">
        <v>6042</v>
      </c>
    </row>
    <row r="4256" spans="1:5" x14ac:dyDescent="0.25">
      <c r="B4256" s="115" t="s">
        <v>6043</v>
      </c>
      <c r="D4256" s="115" t="s">
        <v>6044</v>
      </c>
      <c r="E4256" s="115" t="s">
        <v>6045</v>
      </c>
    </row>
    <row r="4257" spans="1:5" x14ac:dyDescent="0.25">
      <c r="B4257" s="115" t="s">
        <v>6046</v>
      </c>
      <c r="D4257" s="115" t="s">
        <v>6047</v>
      </c>
      <c r="E4257" s="115" t="s">
        <v>6048</v>
      </c>
    </row>
    <row r="4258" spans="1:5" x14ac:dyDescent="0.25">
      <c r="B4258" s="115" t="s">
        <v>1320</v>
      </c>
      <c r="D4258" s="115" t="s">
        <v>6049</v>
      </c>
      <c r="E4258" s="115" t="s">
        <v>1141</v>
      </c>
    </row>
    <row r="4259" spans="1:5" x14ac:dyDescent="0.25">
      <c r="B4259" s="115" t="s">
        <v>6050</v>
      </c>
      <c r="D4259" s="115" t="s">
        <v>6051</v>
      </c>
      <c r="E4259" s="115" t="s">
        <v>1859</v>
      </c>
    </row>
    <row r="4260" spans="1:5" x14ac:dyDescent="0.25">
      <c r="B4260" s="115" t="s">
        <v>6052</v>
      </c>
      <c r="C4260" s="115" t="s">
        <v>1138</v>
      </c>
      <c r="D4260" s="115" t="s">
        <v>6053</v>
      </c>
      <c r="E4260" s="115" t="s">
        <v>6054</v>
      </c>
    </row>
    <row r="4261" spans="1:5" x14ac:dyDescent="0.25">
      <c r="B4261" s="115" t="s">
        <v>1475</v>
      </c>
      <c r="D4261" s="115" t="s">
        <v>3857</v>
      </c>
      <c r="E4261" s="115" t="s">
        <v>6055</v>
      </c>
    </row>
    <row r="4262" spans="1:5" x14ac:dyDescent="0.25">
      <c r="B4262" s="115" t="s">
        <v>6056</v>
      </c>
      <c r="D4262" s="115" t="s">
        <v>6057</v>
      </c>
      <c r="E4262" s="115" t="s">
        <v>6058</v>
      </c>
    </row>
    <row r="4263" spans="1:5" x14ac:dyDescent="0.25">
      <c r="B4263" s="115" t="s">
        <v>1139</v>
      </c>
      <c r="D4263" s="115" t="s">
        <v>1140</v>
      </c>
      <c r="E4263" s="115" t="s">
        <v>6059</v>
      </c>
    </row>
    <row r="4264" spans="1:5" x14ac:dyDescent="0.25">
      <c r="A4264" s="115">
        <v>1</v>
      </c>
      <c r="B4264" s="115" t="s">
        <v>6060</v>
      </c>
      <c r="D4264" s="115" t="s">
        <v>6061</v>
      </c>
      <c r="E4264" s="115" t="s">
        <v>6062</v>
      </c>
    </row>
    <row r="4265" spans="1:5" x14ac:dyDescent="0.25">
      <c r="B4265" s="115" t="s">
        <v>1139</v>
      </c>
      <c r="D4265" s="115" t="s">
        <v>6063</v>
      </c>
      <c r="E4265" s="115" t="s">
        <v>2260</v>
      </c>
    </row>
    <row r="4266" spans="1:5" x14ac:dyDescent="0.25">
      <c r="B4266" s="115" t="s">
        <v>1139</v>
      </c>
      <c r="D4266" s="115" t="s">
        <v>1140</v>
      </c>
      <c r="E4266" s="115" t="s">
        <v>1141</v>
      </c>
    </row>
    <row r="4267" spans="1:5" x14ac:dyDescent="0.25">
      <c r="B4267" s="115" t="s">
        <v>6064</v>
      </c>
      <c r="D4267" s="115" t="s">
        <v>1140</v>
      </c>
      <c r="E4267" s="115" t="s">
        <v>6065</v>
      </c>
    </row>
    <row r="4268" spans="1:5" x14ac:dyDescent="0.25">
      <c r="A4268" s="115">
        <v>19</v>
      </c>
      <c r="B4268" s="115" t="s">
        <v>6066</v>
      </c>
      <c r="C4268" s="115">
        <v>2</v>
      </c>
      <c r="D4268" s="115" t="s">
        <v>6067</v>
      </c>
      <c r="E4268" s="115" t="s">
        <v>6068</v>
      </c>
    </row>
    <row r="4269" spans="1:5" x14ac:dyDescent="0.25">
      <c r="A4269" s="115">
        <v>37</v>
      </c>
      <c r="B4269" s="115" t="s">
        <v>6069</v>
      </c>
      <c r="D4269" s="115" t="s">
        <v>6070</v>
      </c>
      <c r="E4269" s="115" t="s">
        <v>6071</v>
      </c>
    </row>
    <row r="4270" spans="1:5" x14ac:dyDescent="0.25">
      <c r="A4270" s="115" t="s">
        <v>1138</v>
      </c>
      <c r="B4270" s="115" t="s">
        <v>6072</v>
      </c>
      <c r="D4270" s="115" t="s">
        <v>6073</v>
      </c>
      <c r="E4270" s="115" t="s">
        <v>6074</v>
      </c>
    </row>
    <row r="4271" spans="1:5" x14ac:dyDescent="0.25">
      <c r="B4271" s="115" t="s">
        <v>1139</v>
      </c>
      <c r="D4271" s="115" t="s">
        <v>6075</v>
      </c>
      <c r="E4271" s="115" t="s">
        <v>1141</v>
      </c>
    </row>
    <row r="4272" spans="1:5" x14ac:dyDescent="0.25">
      <c r="B4272" s="115" t="s">
        <v>1139</v>
      </c>
      <c r="D4272" s="115" t="s">
        <v>6076</v>
      </c>
      <c r="E4272" s="115" t="s">
        <v>6077</v>
      </c>
    </row>
    <row r="4273" spans="1:5" x14ac:dyDescent="0.25">
      <c r="A4273" s="115" t="s">
        <v>1138</v>
      </c>
      <c r="B4273" s="115" t="s">
        <v>6078</v>
      </c>
      <c r="D4273" s="115" t="s">
        <v>6079</v>
      </c>
      <c r="E4273" s="115" t="s">
        <v>6080</v>
      </c>
    </row>
    <row r="4274" spans="1:5" x14ac:dyDescent="0.25">
      <c r="B4274" s="115" t="s">
        <v>1139</v>
      </c>
      <c r="D4274" s="115" t="s">
        <v>3122</v>
      </c>
      <c r="E4274" s="115" t="s">
        <v>1894</v>
      </c>
    </row>
    <row r="4275" spans="1:5" x14ac:dyDescent="0.25">
      <c r="B4275" s="115" t="s">
        <v>1139</v>
      </c>
      <c r="D4275" s="115" t="s">
        <v>6081</v>
      </c>
      <c r="E4275" s="115" t="s">
        <v>6082</v>
      </c>
    </row>
    <row r="4276" spans="1:5" x14ac:dyDescent="0.25">
      <c r="B4276" s="115" t="s">
        <v>6083</v>
      </c>
      <c r="D4276" s="115" t="s">
        <v>6084</v>
      </c>
      <c r="E4276" s="115" t="s">
        <v>6085</v>
      </c>
    </row>
    <row r="4277" spans="1:5" x14ac:dyDescent="0.25">
      <c r="A4277" s="115" t="s">
        <v>1138</v>
      </c>
      <c r="B4277" s="115" t="s">
        <v>6086</v>
      </c>
      <c r="D4277" s="115" t="s">
        <v>6087</v>
      </c>
      <c r="E4277" s="115" t="s">
        <v>2537</v>
      </c>
    </row>
    <row r="4278" spans="1:5" x14ac:dyDescent="0.25">
      <c r="B4278" s="115" t="s">
        <v>6088</v>
      </c>
      <c r="D4278" s="115" t="s">
        <v>6089</v>
      </c>
      <c r="E4278" s="115" t="s">
        <v>6090</v>
      </c>
    </row>
    <row r="4279" spans="1:5" x14ac:dyDescent="0.25">
      <c r="B4279" s="115" t="s">
        <v>6091</v>
      </c>
      <c r="D4279" s="115" t="s">
        <v>6092</v>
      </c>
      <c r="E4279" s="115" t="s">
        <v>6093</v>
      </c>
    </row>
    <row r="4280" spans="1:5" x14ac:dyDescent="0.25">
      <c r="B4280" s="115" t="s">
        <v>6094</v>
      </c>
      <c r="D4280" s="115" t="s">
        <v>6095</v>
      </c>
      <c r="E4280" s="115" t="s">
        <v>2537</v>
      </c>
    </row>
    <row r="4281" spans="1:5" x14ac:dyDescent="0.25">
      <c r="A4281" s="115" t="s">
        <v>1138</v>
      </c>
      <c r="B4281" s="115" t="s">
        <v>6096</v>
      </c>
      <c r="D4281" s="115" t="s">
        <v>6097</v>
      </c>
      <c r="E4281" s="115" t="s">
        <v>6098</v>
      </c>
    </row>
    <row r="4282" spans="1:5" x14ac:dyDescent="0.25">
      <c r="A4282" s="115" t="s">
        <v>1138</v>
      </c>
      <c r="B4282" s="115" t="s">
        <v>6099</v>
      </c>
      <c r="D4282" s="115" t="s">
        <v>6100</v>
      </c>
      <c r="E4282" s="115" t="s">
        <v>6101</v>
      </c>
    </row>
    <row r="4283" spans="1:5" x14ac:dyDescent="0.25">
      <c r="B4283" s="115" t="s">
        <v>1315</v>
      </c>
      <c r="D4283" s="115" t="s">
        <v>6102</v>
      </c>
      <c r="E4283" s="115" t="s">
        <v>1894</v>
      </c>
    </row>
    <row r="4284" spans="1:5" x14ac:dyDescent="0.25">
      <c r="B4284" s="115" t="s">
        <v>6103</v>
      </c>
      <c r="D4284" s="115" t="s">
        <v>6104</v>
      </c>
      <c r="E4284" s="115" t="s">
        <v>1602</v>
      </c>
    </row>
    <row r="4285" spans="1:5" x14ac:dyDescent="0.25">
      <c r="A4285" s="115">
        <v>-1</v>
      </c>
      <c r="B4285" s="115" t="s">
        <v>6105</v>
      </c>
      <c r="C4285" s="115" t="s">
        <v>1138</v>
      </c>
      <c r="D4285" s="115" t="s">
        <v>6106</v>
      </c>
      <c r="E4285" s="115" t="s">
        <v>6107</v>
      </c>
    </row>
    <row r="4286" spans="1:5" x14ac:dyDescent="0.25">
      <c r="B4286" s="115" t="s">
        <v>1171</v>
      </c>
      <c r="D4286" s="115" t="s">
        <v>2022</v>
      </c>
      <c r="E4286" s="115" t="s">
        <v>1141</v>
      </c>
    </row>
    <row r="4287" spans="1:5" x14ac:dyDescent="0.25">
      <c r="B4287" s="115" t="s">
        <v>6108</v>
      </c>
      <c r="D4287" s="115" t="s">
        <v>6109</v>
      </c>
      <c r="E4287" s="115" t="s">
        <v>1141</v>
      </c>
    </row>
    <row r="4288" spans="1:5" x14ac:dyDescent="0.25">
      <c r="A4288" s="115">
        <v>-3</v>
      </c>
      <c r="B4288" s="115" t="s">
        <v>6110</v>
      </c>
      <c r="C4288" s="115" t="s">
        <v>1138</v>
      </c>
      <c r="D4288" s="115" t="s">
        <v>6111</v>
      </c>
      <c r="E4288" s="115" t="s">
        <v>6112</v>
      </c>
    </row>
    <row r="4289" spans="1:5" x14ac:dyDescent="0.25">
      <c r="A4289" s="115" t="s">
        <v>1138</v>
      </c>
      <c r="B4289" s="115" t="s">
        <v>1536</v>
      </c>
      <c r="D4289" s="115" t="s">
        <v>6113</v>
      </c>
      <c r="E4289" s="115" t="s">
        <v>1894</v>
      </c>
    </row>
    <row r="4290" spans="1:5" x14ac:dyDescent="0.25">
      <c r="A4290" s="115" t="s">
        <v>1138</v>
      </c>
      <c r="B4290" s="115" t="s">
        <v>6114</v>
      </c>
      <c r="C4290" s="115" t="s">
        <v>1138</v>
      </c>
      <c r="D4290" s="115" t="s">
        <v>6115</v>
      </c>
      <c r="E4290" s="115" t="s">
        <v>6116</v>
      </c>
    </row>
    <row r="4291" spans="1:5" x14ac:dyDescent="0.25">
      <c r="B4291" s="115" t="s">
        <v>1139</v>
      </c>
      <c r="D4291" s="115" t="s">
        <v>1140</v>
      </c>
      <c r="E4291" s="115" t="s">
        <v>6117</v>
      </c>
    </row>
    <row r="4292" spans="1:5" x14ac:dyDescent="0.25">
      <c r="B4292" s="115" t="s">
        <v>6118</v>
      </c>
      <c r="D4292" s="115" t="s">
        <v>6119</v>
      </c>
      <c r="E4292" s="115" t="s">
        <v>6120</v>
      </c>
    </row>
    <row r="4293" spans="1:5" x14ac:dyDescent="0.25">
      <c r="B4293" s="115" t="s">
        <v>1139</v>
      </c>
      <c r="D4293" s="115" t="s">
        <v>6121</v>
      </c>
      <c r="E4293" s="115" t="s">
        <v>1141</v>
      </c>
    </row>
    <row r="4294" spans="1:5" x14ac:dyDescent="0.25">
      <c r="B4294" s="115" t="s">
        <v>1139</v>
      </c>
      <c r="D4294" s="115" t="s">
        <v>1140</v>
      </c>
      <c r="E4294" s="115" t="s">
        <v>1141</v>
      </c>
    </row>
    <row r="4295" spans="1:5" x14ac:dyDescent="0.25">
      <c r="A4295" s="115" t="s">
        <v>1138</v>
      </c>
      <c r="B4295" s="115" t="s">
        <v>1142</v>
      </c>
      <c r="D4295" s="115" t="s">
        <v>1818</v>
      </c>
      <c r="E4295" s="115" t="s">
        <v>6122</v>
      </c>
    </row>
    <row r="4296" spans="1:5" x14ac:dyDescent="0.25">
      <c r="A4296" s="115">
        <v>19</v>
      </c>
      <c r="B4296" s="115" t="s">
        <v>6123</v>
      </c>
      <c r="D4296" s="115" t="s">
        <v>6124</v>
      </c>
      <c r="E4296" s="115" t="s">
        <v>6125</v>
      </c>
    </row>
    <row r="4297" spans="1:5" x14ac:dyDescent="0.25">
      <c r="A4297" s="115">
        <v>39</v>
      </c>
      <c r="B4297" s="115" t="s">
        <v>6126</v>
      </c>
      <c r="D4297" s="115" t="s">
        <v>6127</v>
      </c>
      <c r="E4297" s="115" t="s">
        <v>6128</v>
      </c>
    </row>
    <row r="4298" spans="1:5" x14ac:dyDescent="0.25">
      <c r="B4298" s="115" t="s">
        <v>6129</v>
      </c>
      <c r="D4298" s="115" t="s">
        <v>6130</v>
      </c>
      <c r="E4298" s="115" t="s">
        <v>6131</v>
      </c>
    </row>
    <row r="4299" spans="1:5" x14ac:dyDescent="0.25">
      <c r="B4299" s="115" t="s">
        <v>1139</v>
      </c>
      <c r="D4299" s="115" t="s">
        <v>6132</v>
      </c>
      <c r="E4299" s="115" t="s">
        <v>1141</v>
      </c>
    </row>
    <row r="4300" spans="1:5" x14ac:dyDescent="0.25">
      <c r="B4300" s="115" t="s">
        <v>1139</v>
      </c>
      <c r="D4300" s="115" t="s">
        <v>6133</v>
      </c>
      <c r="E4300" s="115" t="s">
        <v>6134</v>
      </c>
    </row>
    <row r="4301" spans="1:5" x14ac:dyDescent="0.25">
      <c r="A4301" s="115" t="s">
        <v>1138</v>
      </c>
      <c r="B4301" s="115" t="s">
        <v>6135</v>
      </c>
      <c r="D4301" s="115" t="s">
        <v>2777</v>
      </c>
      <c r="E4301" s="115" t="s">
        <v>6136</v>
      </c>
    </row>
    <row r="4302" spans="1:5" x14ac:dyDescent="0.25">
      <c r="B4302" s="115" t="s">
        <v>1139</v>
      </c>
      <c r="D4302" s="115" t="s">
        <v>1991</v>
      </c>
      <c r="E4302" s="115" t="s">
        <v>2690</v>
      </c>
    </row>
    <row r="4303" spans="1:5" x14ac:dyDescent="0.25">
      <c r="B4303" s="115" t="s">
        <v>1139</v>
      </c>
      <c r="D4303" s="115" t="s">
        <v>6137</v>
      </c>
      <c r="E4303" s="115" t="s">
        <v>6138</v>
      </c>
    </row>
    <row r="4304" spans="1:5" x14ac:dyDescent="0.25">
      <c r="B4304" s="115" t="s">
        <v>6139</v>
      </c>
      <c r="D4304" s="115" t="s">
        <v>6140</v>
      </c>
      <c r="E4304" s="115" t="s">
        <v>6141</v>
      </c>
    </row>
    <row r="4305" spans="1:5" x14ac:dyDescent="0.25">
      <c r="B4305" s="115" t="s">
        <v>6142</v>
      </c>
      <c r="D4305" s="115" t="s">
        <v>6143</v>
      </c>
      <c r="E4305" s="115" t="s">
        <v>1859</v>
      </c>
    </row>
    <row r="4306" spans="1:5" x14ac:dyDescent="0.25">
      <c r="A4306" s="115" t="s">
        <v>1138</v>
      </c>
      <c r="B4306" s="115" t="s">
        <v>6144</v>
      </c>
      <c r="D4306" s="115" t="s">
        <v>6145</v>
      </c>
      <c r="E4306" s="115" t="s">
        <v>6146</v>
      </c>
    </row>
    <row r="4307" spans="1:5" x14ac:dyDescent="0.25">
      <c r="A4307" s="115" t="s">
        <v>1138</v>
      </c>
      <c r="B4307" s="115" t="s">
        <v>6147</v>
      </c>
      <c r="D4307" s="115" t="s">
        <v>6148</v>
      </c>
      <c r="E4307" s="115" t="s">
        <v>6149</v>
      </c>
    </row>
    <row r="4308" spans="1:5" x14ac:dyDescent="0.25">
      <c r="A4308" s="115">
        <v>1</v>
      </c>
      <c r="B4308" s="115" t="s">
        <v>1367</v>
      </c>
      <c r="D4308" s="115" t="s">
        <v>6150</v>
      </c>
      <c r="E4308" s="115" t="s">
        <v>1141</v>
      </c>
    </row>
    <row r="4309" spans="1:5" x14ac:dyDescent="0.25">
      <c r="B4309" s="115" t="s">
        <v>6151</v>
      </c>
      <c r="D4309" s="115" t="s">
        <v>6152</v>
      </c>
      <c r="E4309" s="115" t="s">
        <v>6153</v>
      </c>
    </row>
    <row r="4310" spans="1:5" x14ac:dyDescent="0.25">
      <c r="B4310" s="115" t="s">
        <v>6154</v>
      </c>
      <c r="D4310" s="115" t="s">
        <v>6155</v>
      </c>
      <c r="E4310" s="115" t="s">
        <v>6156</v>
      </c>
    </row>
    <row r="4311" spans="1:5" x14ac:dyDescent="0.25">
      <c r="B4311" s="115" t="s">
        <v>6157</v>
      </c>
      <c r="D4311" s="115" t="s">
        <v>6158</v>
      </c>
      <c r="E4311" s="115" t="s">
        <v>1894</v>
      </c>
    </row>
    <row r="4312" spans="1:5" x14ac:dyDescent="0.25">
      <c r="B4312" s="115" t="s">
        <v>6159</v>
      </c>
      <c r="D4312" s="115" t="s">
        <v>6160</v>
      </c>
      <c r="E4312" s="115" t="s">
        <v>6161</v>
      </c>
    </row>
    <row r="4313" spans="1:5" x14ac:dyDescent="0.25">
      <c r="A4313" s="115" t="s">
        <v>1138</v>
      </c>
      <c r="B4313" s="115" t="s">
        <v>6162</v>
      </c>
      <c r="D4313" s="115" t="s">
        <v>6163</v>
      </c>
      <c r="E4313" s="115" t="s">
        <v>6164</v>
      </c>
    </row>
    <row r="4314" spans="1:5" x14ac:dyDescent="0.25">
      <c r="B4314" s="115" t="s">
        <v>6165</v>
      </c>
      <c r="D4314" s="115" t="s">
        <v>6166</v>
      </c>
      <c r="E4314" s="115" t="s">
        <v>1141</v>
      </c>
    </row>
    <row r="4315" spans="1:5" x14ac:dyDescent="0.25">
      <c r="B4315" s="115" t="s">
        <v>6167</v>
      </c>
      <c r="D4315" s="115" t="s">
        <v>6168</v>
      </c>
      <c r="E4315" s="115" t="s">
        <v>1141</v>
      </c>
    </row>
    <row r="4316" spans="1:5" x14ac:dyDescent="0.25">
      <c r="A4316" s="115">
        <v>-1</v>
      </c>
      <c r="B4316" s="115" t="s">
        <v>6169</v>
      </c>
      <c r="C4316" s="115" t="s">
        <v>1138</v>
      </c>
      <c r="D4316" s="115" t="s">
        <v>6170</v>
      </c>
      <c r="E4316" s="115" t="s">
        <v>6171</v>
      </c>
    </row>
    <row r="4317" spans="1:5" x14ac:dyDescent="0.25">
      <c r="A4317" s="115">
        <v>2</v>
      </c>
      <c r="B4317" s="115" t="s">
        <v>6172</v>
      </c>
      <c r="D4317" s="115" t="s">
        <v>6173</v>
      </c>
      <c r="E4317" s="115" t="s">
        <v>1894</v>
      </c>
    </row>
    <row r="4318" spans="1:5" x14ac:dyDescent="0.25">
      <c r="A4318" s="115" t="s">
        <v>1138</v>
      </c>
      <c r="B4318" s="115" t="s">
        <v>6174</v>
      </c>
      <c r="C4318" s="115" t="s">
        <v>1138</v>
      </c>
      <c r="D4318" s="115" t="s">
        <v>6175</v>
      </c>
      <c r="E4318" s="115" t="s">
        <v>6176</v>
      </c>
    </row>
    <row r="4319" spans="1:5" x14ac:dyDescent="0.25">
      <c r="B4319" s="115" t="s">
        <v>1139</v>
      </c>
      <c r="D4319" s="115" t="s">
        <v>1140</v>
      </c>
      <c r="E4319" s="115" t="s">
        <v>6177</v>
      </c>
    </row>
    <row r="4320" spans="1:5" x14ac:dyDescent="0.25">
      <c r="A4320" s="115">
        <v>-5</v>
      </c>
      <c r="B4320" s="115" t="s">
        <v>6178</v>
      </c>
      <c r="D4320" s="115" t="s">
        <v>6179</v>
      </c>
      <c r="E4320" s="115" t="s">
        <v>6180</v>
      </c>
    </row>
    <row r="4321" spans="1:5" x14ac:dyDescent="0.25">
      <c r="B4321" s="115" t="s">
        <v>1139</v>
      </c>
      <c r="D4321" s="115" t="s">
        <v>6181</v>
      </c>
      <c r="E4321" s="115" t="s">
        <v>1141</v>
      </c>
    </row>
    <row r="4322" spans="1:5" x14ac:dyDescent="0.25">
      <c r="B4322" s="115" t="s">
        <v>1139</v>
      </c>
      <c r="D4322" s="115" t="s">
        <v>1140</v>
      </c>
      <c r="E4322" s="115" t="s">
        <v>1141</v>
      </c>
    </row>
    <row r="4323" spans="1:5" x14ac:dyDescent="0.25">
      <c r="A4323" s="115" t="s">
        <v>1138</v>
      </c>
      <c r="B4323" s="115" t="s">
        <v>1600</v>
      </c>
      <c r="D4323" s="115" t="s">
        <v>2384</v>
      </c>
      <c r="E4323" s="115" t="s">
        <v>6182</v>
      </c>
    </row>
    <row r="4324" spans="1:5" x14ac:dyDescent="0.25">
      <c r="A4324" s="115">
        <v>12</v>
      </c>
      <c r="B4324" s="115" t="s">
        <v>6183</v>
      </c>
      <c r="D4324" s="115" t="s">
        <v>6184</v>
      </c>
      <c r="E4324" s="115" t="s">
        <v>6185</v>
      </c>
    </row>
    <row r="4325" spans="1:5" x14ac:dyDescent="0.25">
      <c r="A4325" s="115">
        <v>10</v>
      </c>
      <c r="B4325" s="115" t="s">
        <v>6186</v>
      </c>
      <c r="D4325" s="115" t="s">
        <v>6187</v>
      </c>
      <c r="E4325" s="115" t="s">
        <v>6188</v>
      </c>
    </row>
    <row r="4326" spans="1:5" x14ac:dyDescent="0.25">
      <c r="A4326" s="115">
        <v>13</v>
      </c>
      <c r="B4326" s="115" t="s">
        <v>6189</v>
      </c>
      <c r="D4326" s="115" t="s">
        <v>6190</v>
      </c>
      <c r="E4326" s="115" t="s">
        <v>6191</v>
      </c>
    </row>
    <row r="4327" spans="1:5" x14ac:dyDescent="0.25">
      <c r="B4327" s="115" t="s">
        <v>1139</v>
      </c>
      <c r="D4327" s="115" t="s">
        <v>6192</v>
      </c>
      <c r="E4327" s="115" t="s">
        <v>1141</v>
      </c>
    </row>
    <row r="4328" spans="1:5" x14ac:dyDescent="0.25">
      <c r="B4328" s="115" t="s">
        <v>1139</v>
      </c>
      <c r="D4328" s="115" t="s">
        <v>6193</v>
      </c>
      <c r="E4328" s="115" t="s">
        <v>6194</v>
      </c>
    </row>
    <row r="4329" spans="1:5" x14ac:dyDescent="0.25">
      <c r="B4329" s="115" t="s">
        <v>6195</v>
      </c>
      <c r="D4329" s="115" t="s">
        <v>1457</v>
      </c>
      <c r="E4329" s="115" t="s">
        <v>2652</v>
      </c>
    </row>
    <row r="4330" spans="1:5" x14ac:dyDescent="0.25">
      <c r="B4330" s="115" t="s">
        <v>1664</v>
      </c>
      <c r="D4330" s="115" t="s">
        <v>1140</v>
      </c>
      <c r="E4330" s="115" t="s">
        <v>6196</v>
      </c>
    </row>
    <row r="4331" spans="1:5" x14ac:dyDescent="0.25">
      <c r="B4331" s="115" t="s">
        <v>1139</v>
      </c>
      <c r="D4331" s="115" t="s">
        <v>6197</v>
      </c>
      <c r="E4331" s="115" t="s">
        <v>6198</v>
      </c>
    </row>
    <row r="4332" spans="1:5" x14ac:dyDescent="0.25">
      <c r="B4332" s="115" t="s">
        <v>1139</v>
      </c>
      <c r="D4332" s="115" t="s">
        <v>6199</v>
      </c>
      <c r="E4332" s="115" t="s">
        <v>6200</v>
      </c>
    </row>
    <row r="4333" spans="1:5" x14ac:dyDescent="0.25">
      <c r="A4333" s="115" t="s">
        <v>1138</v>
      </c>
      <c r="B4333" s="115" t="s">
        <v>6201</v>
      </c>
      <c r="D4333" s="115" t="s">
        <v>6202</v>
      </c>
      <c r="E4333" s="115" t="s">
        <v>6203</v>
      </c>
    </row>
    <row r="4334" spans="1:5" x14ac:dyDescent="0.25">
      <c r="B4334" s="115" t="s">
        <v>6204</v>
      </c>
      <c r="D4334" s="115" t="s">
        <v>6205</v>
      </c>
      <c r="E4334" s="115" t="s">
        <v>6206</v>
      </c>
    </row>
    <row r="4335" spans="1:5" x14ac:dyDescent="0.25">
      <c r="A4335" s="115">
        <v>1</v>
      </c>
      <c r="B4335" s="115" t="s">
        <v>6207</v>
      </c>
      <c r="D4335" s="115" t="s">
        <v>6208</v>
      </c>
      <c r="E4335" s="115" t="s">
        <v>6209</v>
      </c>
    </row>
    <row r="4336" spans="1:5" x14ac:dyDescent="0.25">
      <c r="B4336" s="115" t="s">
        <v>6210</v>
      </c>
      <c r="D4336" s="115" t="s">
        <v>6211</v>
      </c>
      <c r="E4336" s="115" t="s">
        <v>6212</v>
      </c>
    </row>
    <row r="4337" spans="1:5" x14ac:dyDescent="0.25">
      <c r="B4337" s="115" t="s">
        <v>1916</v>
      </c>
      <c r="D4337" s="115" t="s">
        <v>6213</v>
      </c>
      <c r="E4337" s="115" t="s">
        <v>6214</v>
      </c>
    </row>
    <row r="4338" spans="1:5" x14ac:dyDescent="0.25">
      <c r="B4338" s="115" t="s">
        <v>6215</v>
      </c>
      <c r="D4338" s="115" t="s">
        <v>1331</v>
      </c>
      <c r="E4338" s="115" t="s">
        <v>6216</v>
      </c>
    </row>
    <row r="4339" spans="1:5" x14ac:dyDescent="0.25">
      <c r="B4339" s="115" t="s">
        <v>1139</v>
      </c>
      <c r="D4339" s="115" t="s">
        <v>6217</v>
      </c>
      <c r="E4339" s="115" t="s">
        <v>6218</v>
      </c>
    </row>
    <row r="4340" spans="1:5" x14ac:dyDescent="0.25">
      <c r="B4340" s="115" t="s">
        <v>1309</v>
      </c>
      <c r="D4340" s="115" t="s">
        <v>6219</v>
      </c>
      <c r="E4340" s="115" t="s">
        <v>6220</v>
      </c>
    </row>
    <row r="4341" spans="1:5" x14ac:dyDescent="0.25">
      <c r="B4341" s="115" t="s">
        <v>6221</v>
      </c>
      <c r="D4341" s="115" t="s">
        <v>6222</v>
      </c>
      <c r="E4341" s="115" t="s">
        <v>6223</v>
      </c>
    </row>
    <row r="4342" spans="1:5" x14ac:dyDescent="0.25">
      <c r="B4342" s="115" t="s">
        <v>2571</v>
      </c>
      <c r="D4342" s="115" t="s">
        <v>1913</v>
      </c>
      <c r="E4342" s="115" t="s">
        <v>1141</v>
      </c>
    </row>
    <row r="4343" spans="1:5" x14ac:dyDescent="0.25">
      <c r="B4343" s="115" t="s">
        <v>6224</v>
      </c>
      <c r="D4343" s="115" t="s">
        <v>6225</v>
      </c>
      <c r="E4343" s="115" t="s">
        <v>1859</v>
      </c>
    </row>
    <row r="4344" spans="1:5" x14ac:dyDescent="0.25">
      <c r="B4344" s="115" t="s">
        <v>6226</v>
      </c>
      <c r="C4344" s="115" t="s">
        <v>1138</v>
      </c>
      <c r="D4344" s="115" t="s">
        <v>6227</v>
      </c>
      <c r="E4344" s="115" t="s">
        <v>6228</v>
      </c>
    </row>
    <row r="4345" spans="1:5" x14ac:dyDescent="0.25">
      <c r="B4345" s="115" t="s">
        <v>6229</v>
      </c>
      <c r="D4345" s="115" t="s">
        <v>6230</v>
      </c>
      <c r="E4345" s="115" t="s">
        <v>6231</v>
      </c>
    </row>
    <row r="4346" spans="1:5" x14ac:dyDescent="0.25">
      <c r="B4346" s="115" t="s">
        <v>4165</v>
      </c>
      <c r="D4346" s="115">
        <f>-138  -5710  -2747  -307</f>
        <v>-8902</v>
      </c>
      <c r="E4346" s="115" t="s">
        <v>6232</v>
      </c>
    </row>
    <row r="4347" spans="1:5" x14ac:dyDescent="0.25">
      <c r="B4347" s="115" t="s">
        <v>1139</v>
      </c>
      <c r="D4347" s="115" t="s">
        <v>1140</v>
      </c>
      <c r="E4347" s="115" t="s">
        <v>6233</v>
      </c>
    </row>
    <row r="4348" spans="1:5" x14ac:dyDescent="0.25">
      <c r="B4348" s="115" t="s">
        <v>6234</v>
      </c>
      <c r="D4348" s="115" t="s">
        <v>6235</v>
      </c>
      <c r="E4348" s="115" t="s">
        <v>6236</v>
      </c>
    </row>
    <row r="4349" spans="1:5" x14ac:dyDescent="0.25">
      <c r="B4349" s="115" t="s">
        <v>1139</v>
      </c>
      <c r="D4349" s="115" t="s">
        <v>6237</v>
      </c>
      <c r="E4349" s="115" t="s">
        <v>1859</v>
      </c>
    </row>
    <row r="4350" spans="1:5" x14ac:dyDescent="0.25">
      <c r="B4350" s="115" t="s">
        <v>1139</v>
      </c>
      <c r="D4350" s="115" t="s">
        <v>1140</v>
      </c>
      <c r="E4350" s="115" t="s">
        <v>1141</v>
      </c>
    </row>
    <row r="4351" spans="1:5" x14ac:dyDescent="0.25">
      <c r="B4351" s="115" t="s">
        <v>6238</v>
      </c>
      <c r="D4351" s="115" t="s">
        <v>1140</v>
      </c>
      <c r="E4351" s="115" t="s">
        <v>6239</v>
      </c>
    </row>
    <row r="4352" spans="1:5" x14ac:dyDescent="0.25">
      <c r="A4352" s="115">
        <v>47</v>
      </c>
      <c r="B4352" s="115" t="s">
        <v>6240</v>
      </c>
      <c r="C4352" s="115">
        <v>2</v>
      </c>
      <c r="D4352" s="115" t="s">
        <v>6241</v>
      </c>
      <c r="E4352" s="115" t="s">
        <v>6242</v>
      </c>
    </row>
    <row r="4353" spans="1:5" x14ac:dyDescent="0.25">
      <c r="A4353" s="115">
        <v>14</v>
      </c>
      <c r="B4353" s="115" t="s">
        <v>6243</v>
      </c>
      <c r="D4353" s="115" t="s">
        <v>6244</v>
      </c>
      <c r="E4353" s="115" t="s">
        <v>6245</v>
      </c>
    </row>
    <row r="4354" spans="1:5" x14ac:dyDescent="0.25">
      <c r="A4354" s="115">
        <v>26</v>
      </c>
      <c r="B4354" s="115" t="s">
        <v>6246</v>
      </c>
      <c r="C4354" s="115">
        <v>1</v>
      </c>
      <c r="D4354" s="115" t="s">
        <v>6247</v>
      </c>
      <c r="E4354" s="115" t="s">
        <v>6248</v>
      </c>
    </row>
    <row r="4355" spans="1:5" x14ac:dyDescent="0.25">
      <c r="B4355" s="115" t="s">
        <v>6249</v>
      </c>
      <c r="D4355" s="115" t="s">
        <v>3014</v>
      </c>
      <c r="E4355" s="115" t="s">
        <v>6250</v>
      </c>
    </row>
    <row r="4356" spans="1:5" x14ac:dyDescent="0.25">
      <c r="B4356" s="115" t="s">
        <v>1139</v>
      </c>
      <c r="D4356" s="115" t="s">
        <v>5580</v>
      </c>
      <c r="E4356" s="115" t="s">
        <v>6251</v>
      </c>
    </row>
    <row r="4357" spans="1:5" x14ac:dyDescent="0.25">
      <c r="B4357" s="115" t="s">
        <v>6252</v>
      </c>
      <c r="D4357" s="115" t="s">
        <v>6253</v>
      </c>
      <c r="E4357" s="115" t="s">
        <v>6254</v>
      </c>
    </row>
    <row r="4358" spans="1:5" x14ac:dyDescent="0.25">
      <c r="B4358" s="115" t="s">
        <v>1139</v>
      </c>
      <c r="D4358" s="115" t="s">
        <v>6255</v>
      </c>
      <c r="E4358" s="115" t="s">
        <v>6256</v>
      </c>
    </row>
    <row r="4359" spans="1:5" x14ac:dyDescent="0.25">
      <c r="B4359" s="115" t="s">
        <v>1139</v>
      </c>
      <c r="D4359" s="115" t="s">
        <v>1140</v>
      </c>
      <c r="E4359" s="115" t="s">
        <v>6257</v>
      </c>
    </row>
    <row r="4360" spans="1:5" x14ac:dyDescent="0.25">
      <c r="B4360" s="115" t="s">
        <v>1139</v>
      </c>
      <c r="D4360" s="115" t="s">
        <v>6258</v>
      </c>
      <c r="E4360" s="115" t="s">
        <v>6259</v>
      </c>
    </row>
    <row r="4361" spans="1:5" x14ac:dyDescent="0.25">
      <c r="B4361" s="115" t="s">
        <v>1263</v>
      </c>
      <c r="D4361" s="115" t="s">
        <v>6260</v>
      </c>
      <c r="E4361" s="115" t="s">
        <v>6261</v>
      </c>
    </row>
    <row r="4362" spans="1:5" x14ac:dyDescent="0.25">
      <c r="B4362" s="115" t="s">
        <v>1139</v>
      </c>
      <c r="D4362" s="115" t="s">
        <v>6262</v>
      </c>
      <c r="E4362" s="115" t="s">
        <v>6263</v>
      </c>
    </row>
    <row r="4363" spans="1:5" x14ac:dyDescent="0.25">
      <c r="A4363" s="115">
        <v>-1</v>
      </c>
      <c r="B4363" s="115" t="s">
        <v>1455</v>
      </c>
      <c r="C4363" s="115" t="s">
        <v>1138</v>
      </c>
      <c r="D4363" s="115" t="s">
        <v>6264</v>
      </c>
      <c r="E4363" s="115" t="s">
        <v>6265</v>
      </c>
    </row>
    <row r="4364" spans="1:5" x14ac:dyDescent="0.25">
      <c r="B4364" s="115" t="s">
        <v>1139</v>
      </c>
      <c r="D4364" s="115" t="s">
        <v>6266</v>
      </c>
      <c r="E4364" s="115" t="s">
        <v>6267</v>
      </c>
    </row>
    <row r="4365" spans="1:5" x14ac:dyDescent="0.25">
      <c r="B4365" s="115" t="s">
        <v>1139</v>
      </c>
      <c r="D4365" s="115" t="s">
        <v>6268</v>
      </c>
      <c r="E4365" s="115" t="s">
        <v>6269</v>
      </c>
    </row>
    <row r="4366" spans="1:5" x14ac:dyDescent="0.25">
      <c r="A4366" s="115">
        <v>25</v>
      </c>
      <c r="B4366" s="115" t="s">
        <v>6270</v>
      </c>
      <c r="D4366" s="115" t="s">
        <v>6271</v>
      </c>
      <c r="E4366" s="115" t="s">
        <v>6272</v>
      </c>
    </row>
    <row r="4367" spans="1:5" x14ac:dyDescent="0.25">
      <c r="B4367" s="115" t="s">
        <v>6273</v>
      </c>
      <c r="D4367" s="115" t="s">
        <v>6274</v>
      </c>
      <c r="E4367" s="115" t="s">
        <v>6275</v>
      </c>
    </row>
    <row r="4368" spans="1:5" x14ac:dyDescent="0.25">
      <c r="B4368" s="115" t="s">
        <v>1139</v>
      </c>
      <c r="D4368" s="115" t="s">
        <v>6276</v>
      </c>
      <c r="E4368" s="115" t="s">
        <v>6277</v>
      </c>
    </row>
    <row r="4369" spans="1:5" x14ac:dyDescent="0.25">
      <c r="B4369" s="115" t="s">
        <v>1139</v>
      </c>
      <c r="D4369" s="115" t="s">
        <v>6278</v>
      </c>
      <c r="E4369" s="115" t="s">
        <v>6279</v>
      </c>
    </row>
    <row r="4370" spans="1:5" x14ac:dyDescent="0.25">
      <c r="B4370" s="115" t="s">
        <v>3069</v>
      </c>
      <c r="D4370" s="115" t="s">
        <v>6280</v>
      </c>
      <c r="E4370" s="115" t="s">
        <v>1759</v>
      </c>
    </row>
    <row r="4371" spans="1:5" x14ac:dyDescent="0.25">
      <c r="B4371" s="115" t="s">
        <v>1139</v>
      </c>
      <c r="D4371" s="115" t="s">
        <v>6281</v>
      </c>
      <c r="E4371" s="115" t="s">
        <v>6282</v>
      </c>
    </row>
    <row r="4372" spans="1:5" x14ac:dyDescent="0.25">
      <c r="B4372" s="115" t="s">
        <v>1139</v>
      </c>
      <c r="D4372" s="115" t="s">
        <v>6283</v>
      </c>
      <c r="E4372" s="115" t="s">
        <v>6284</v>
      </c>
    </row>
    <row r="4373" spans="1:5" x14ac:dyDescent="0.25">
      <c r="B4373" s="115" t="s">
        <v>1139</v>
      </c>
      <c r="D4373" s="115" t="s">
        <v>6285</v>
      </c>
      <c r="E4373" s="115" t="s">
        <v>6286</v>
      </c>
    </row>
    <row r="4374" spans="1:5" x14ac:dyDescent="0.25">
      <c r="B4374" s="115" t="s">
        <v>1139</v>
      </c>
      <c r="D4374" s="115" t="s">
        <v>6287</v>
      </c>
      <c r="E4374" s="115" t="s">
        <v>6288</v>
      </c>
    </row>
    <row r="4375" spans="1:5" x14ac:dyDescent="0.25">
      <c r="A4375" s="115">
        <v>-2</v>
      </c>
      <c r="B4375" s="115" t="s">
        <v>6289</v>
      </c>
      <c r="D4375" s="115" t="s">
        <v>1140</v>
      </c>
      <c r="E4375" s="115" t="s">
        <v>6290</v>
      </c>
    </row>
    <row r="4376" spans="1:5" x14ac:dyDescent="0.25">
      <c r="A4376" s="115" t="s">
        <v>1138</v>
      </c>
      <c r="B4376" s="115" t="s">
        <v>6291</v>
      </c>
      <c r="C4376" s="115" t="s">
        <v>1138</v>
      </c>
      <c r="D4376" s="115" t="s">
        <v>6292</v>
      </c>
      <c r="E4376" s="115" t="s">
        <v>6293</v>
      </c>
    </row>
    <row r="4377" spans="1:5" x14ac:dyDescent="0.25">
      <c r="A4377" s="115">
        <v>1</v>
      </c>
      <c r="B4377" s="115" t="s">
        <v>1577</v>
      </c>
      <c r="D4377" s="115" t="s">
        <v>1140</v>
      </c>
      <c r="E4377" s="115" t="s">
        <v>6294</v>
      </c>
    </row>
    <row r="4378" spans="1:5" x14ac:dyDescent="0.25">
      <c r="B4378" s="115" t="s">
        <v>1139</v>
      </c>
      <c r="D4378" s="115" t="s">
        <v>1140</v>
      </c>
      <c r="E4378" s="115" t="s">
        <v>1141</v>
      </c>
    </row>
    <row r="4379" spans="1:5" x14ac:dyDescent="0.25">
      <c r="B4379" s="115" t="s">
        <v>1139</v>
      </c>
      <c r="D4379" s="115" t="s">
        <v>1970</v>
      </c>
      <c r="E4379" s="115" t="s">
        <v>6295</v>
      </c>
    </row>
    <row r="4380" spans="1:5" x14ac:dyDescent="0.25">
      <c r="B4380" s="115" t="s">
        <v>6296</v>
      </c>
      <c r="C4380" s="115">
        <v>1</v>
      </c>
      <c r="D4380" s="115" t="s">
        <v>6297</v>
      </c>
      <c r="E4380" s="115" t="s">
        <v>6298</v>
      </c>
    </row>
    <row r="4381" spans="1:5" x14ac:dyDescent="0.25">
      <c r="A4381" s="115">
        <v>10</v>
      </c>
      <c r="B4381" s="115" t="s">
        <v>6299</v>
      </c>
      <c r="C4381" s="115">
        <v>2</v>
      </c>
      <c r="D4381" s="115" t="s">
        <v>6300</v>
      </c>
      <c r="E4381" s="115" t="s">
        <v>6301</v>
      </c>
    </row>
    <row r="4382" spans="1:5" x14ac:dyDescent="0.25">
      <c r="A4382" s="115">
        <v>11</v>
      </c>
      <c r="B4382" s="115" t="s">
        <v>6302</v>
      </c>
      <c r="C4382" s="115">
        <v>3</v>
      </c>
      <c r="D4382" s="115" t="s">
        <v>6303</v>
      </c>
      <c r="E4382" s="115" t="s">
        <v>6304</v>
      </c>
    </row>
    <row r="4383" spans="1:5" x14ac:dyDescent="0.25">
      <c r="B4383" s="115" t="s">
        <v>1139</v>
      </c>
      <c r="D4383" s="115" t="s">
        <v>6305</v>
      </c>
      <c r="E4383" s="115" t="s">
        <v>6306</v>
      </c>
    </row>
    <row r="4384" spans="1:5" x14ac:dyDescent="0.25">
      <c r="B4384" s="115" t="s">
        <v>1139</v>
      </c>
      <c r="D4384" s="115" t="s">
        <v>1140</v>
      </c>
      <c r="E4384" s="115" t="s">
        <v>6307</v>
      </c>
    </row>
    <row r="4385" spans="1:5" x14ac:dyDescent="0.25">
      <c r="B4385" s="115" t="s">
        <v>1139</v>
      </c>
      <c r="D4385" s="115" t="s">
        <v>6308</v>
      </c>
      <c r="E4385" s="115" t="s">
        <v>6309</v>
      </c>
    </row>
    <row r="4386" spans="1:5" x14ac:dyDescent="0.25">
      <c r="B4386" s="115" t="s">
        <v>6310</v>
      </c>
      <c r="D4386" s="115" t="s">
        <v>1140</v>
      </c>
      <c r="E4386" s="115" t="s">
        <v>1819</v>
      </c>
    </row>
    <row r="4387" spans="1:5" x14ac:dyDescent="0.25">
      <c r="B4387" s="115" t="s">
        <v>1589</v>
      </c>
      <c r="D4387" s="115" t="s">
        <v>1140</v>
      </c>
      <c r="E4387" s="115" t="s">
        <v>6311</v>
      </c>
    </row>
    <row r="4388" spans="1:5" x14ac:dyDescent="0.25">
      <c r="A4388" s="115">
        <v>-6</v>
      </c>
      <c r="B4388" s="115" t="s">
        <v>1685</v>
      </c>
      <c r="D4388" s="115" t="s">
        <v>1495</v>
      </c>
      <c r="E4388" s="115" t="s">
        <v>6312</v>
      </c>
    </row>
    <row r="4389" spans="1:5" x14ac:dyDescent="0.25">
      <c r="B4389" s="115" t="s">
        <v>1139</v>
      </c>
      <c r="D4389" s="115" t="s">
        <v>6313</v>
      </c>
      <c r="E4389" s="115" t="s">
        <v>6314</v>
      </c>
    </row>
    <row r="4390" spans="1:5" x14ac:dyDescent="0.25">
      <c r="B4390" s="115" t="s">
        <v>6315</v>
      </c>
      <c r="D4390" s="115" t="s">
        <v>1140</v>
      </c>
      <c r="E4390" s="115" t="s">
        <v>6316</v>
      </c>
    </row>
    <row r="4391" spans="1:5" x14ac:dyDescent="0.25">
      <c r="A4391" s="115">
        <v>-5</v>
      </c>
      <c r="B4391" s="115" t="s">
        <v>6317</v>
      </c>
      <c r="D4391" s="115" t="s">
        <v>6318</v>
      </c>
      <c r="E4391" s="115" t="s">
        <v>6319</v>
      </c>
    </row>
    <row r="4392" spans="1:5" x14ac:dyDescent="0.25">
      <c r="B4392" s="115" t="s">
        <v>6320</v>
      </c>
      <c r="D4392" s="115" t="s">
        <v>6321</v>
      </c>
      <c r="E4392" s="115" t="s">
        <v>6322</v>
      </c>
    </row>
    <row r="4393" spans="1:5" x14ac:dyDescent="0.25">
      <c r="B4393" s="115" t="s">
        <v>6323</v>
      </c>
      <c r="D4393" s="115" t="s">
        <v>1140</v>
      </c>
      <c r="E4393" s="115" t="s">
        <v>6324</v>
      </c>
    </row>
    <row r="4394" spans="1:5" x14ac:dyDescent="0.25">
      <c r="A4394" s="115">
        <v>-6</v>
      </c>
      <c r="B4394" s="115" t="s">
        <v>6325</v>
      </c>
      <c r="D4394" s="115" t="s">
        <v>6326</v>
      </c>
      <c r="E4394" s="115" t="s">
        <v>6327</v>
      </c>
    </row>
    <row r="4395" spans="1:5" x14ac:dyDescent="0.25">
      <c r="B4395" s="115" t="s">
        <v>6328</v>
      </c>
      <c r="D4395" s="115" t="s">
        <v>6329</v>
      </c>
      <c r="E4395" s="115" t="s">
        <v>6330</v>
      </c>
    </row>
    <row r="4396" spans="1:5" x14ac:dyDescent="0.25">
      <c r="A4396" s="115" t="s">
        <v>1138</v>
      </c>
      <c r="B4396" s="115" t="s">
        <v>6331</v>
      </c>
      <c r="D4396" s="115" t="s">
        <v>1140</v>
      </c>
      <c r="E4396" s="115" t="s">
        <v>6332</v>
      </c>
    </row>
    <row r="4397" spans="1:5" x14ac:dyDescent="0.25">
      <c r="A4397" s="115">
        <v>-23</v>
      </c>
      <c r="B4397" s="115" t="s">
        <v>6333</v>
      </c>
      <c r="D4397" s="115" t="s">
        <v>5534</v>
      </c>
      <c r="E4397" s="115" t="s">
        <v>6334</v>
      </c>
    </row>
    <row r="4398" spans="1:5" x14ac:dyDescent="0.25">
      <c r="B4398" s="115" t="s">
        <v>6335</v>
      </c>
      <c r="D4398" s="115" t="s">
        <v>6336</v>
      </c>
      <c r="E4398" s="115" t="s">
        <v>6337</v>
      </c>
    </row>
    <row r="4399" spans="1:5" x14ac:dyDescent="0.25">
      <c r="B4399" s="115" t="s">
        <v>1139</v>
      </c>
      <c r="D4399" s="115" t="s">
        <v>1140</v>
      </c>
      <c r="E4399" s="115" t="s">
        <v>6338</v>
      </c>
    </row>
    <row r="4400" spans="1:5" x14ac:dyDescent="0.25">
      <c r="A4400" s="115">
        <v>5</v>
      </c>
      <c r="B4400" s="115" t="s">
        <v>1684</v>
      </c>
      <c r="D4400" s="115" t="s">
        <v>1140</v>
      </c>
      <c r="E4400" s="115" t="s">
        <v>6339</v>
      </c>
    </row>
    <row r="4401" spans="1:5" x14ac:dyDescent="0.25">
      <c r="A4401" s="115">
        <v>-4</v>
      </c>
      <c r="B4401" s="115" t="s">
        <v>6340</v>
      </c>
      <c r="C4401" s="115" t="s">
        <v>1138</v>
      </c>
      <c r="D4401" s="115" t="s">
        <v>6341</v>
      </c>
      <c r="E4401" s="115" t="s">
        <v>6342</v>
      </c>
    </row>
    <row r="4402" spans="1:5" x14ac:dyDescent="0.25">
      <c r="B4402" s="115" t="s">
        <v>6343</v>
      </c>
      <c r="D4402" s="115" t="s">
        <v>1140</v>
      </c>
      <c r="E4402" s="115" t="s">
        <v>6344</v>
      </c>
    </row>
    <row r="4403" spans="1:5" x14ac:dyDescent="0.25">
      <c r="A4403" s="115">
        <v>-1</v>
      </c>
      <c r="B4403" s="115" t="s">
        <v>6345</v>
      </c>
      <c r="C4403" s="115" t="s">
        <v>1138</v>
      </c>
      <c r="D4403" s="115" t="s">
        <v>6346</v>
      </c>
      <c r="E4403" s="115" t="s">
        <v>1141</v>
      </c>
    </row>
    <row r="4404" spans="1:5" x14ac:dyDescent="0.25">
      <c r="B4404" s="115" t="s">
        <v>1139</v>
      </c>
      <c r="D4404" s="115" t="s">
        <v>6347</v>
      </c>
      <c r="E4404" s="115" t="s">
        <v>6348</v>
      </c>
    </row>
    <row r="4405" spans="1:5" x14ac:dyDescent="0.25">
      <c r="A4405" s="115">
        <v>-1</v>
      </c>
      <c r="B4405" s="115" t="s">
        <v>6349</v>
      </c>
      <c r="C4405" s="115" t="s">
        <v>1138</v>
      </c>
      <c r="D4405" s="115" t="s">
        <v>6350</v>
      </c>
      <c r="E4405" s="115" t="s">
        <v>6351</v>
      </c>
    </row>
    <row r="4406" spans="1:5" x14ac:dyDescent="0.25">
      <c r="A4406" s="115">
        <v>1</v>
      </c>
      <c r="B4406" s="115" t="s">
        <v>1594</v>
      </c>
      <c r="D4406" s="115" t="s">
        <v>1140</v>
      </c>
      <c r="E4406" s="115" t="s">
        <v>1141</v>
      </c>
    </row>
    <row r="4407" spans="1:5" x14ac:dyDescent="0.25">
      <c r="B4407" s="115" t="s">
        <v>1139</v>
      </c>
      <c r="D4407" s="115" t="s">
        <v>1140</v>
      </c>
      <c r="E4407" s="115" t="s">
        <v>6352</v>
      </c>
    </row>
    <row r="4408" spans="1:5" x14ac:dyDescent="0.25">
      <c r="B4408" s="115" t="s">
        <v>6353</v>
      </c>
      <c r="D4408" s="115" t="s">
        <v>6354</v>
      </c>
      <c r="E4408" s="115" t="s">
        <v>6355</v>
      </c>
    </row>
    <row r="4409" spans="1:5" x14ac:dyDescent="0.25">
      <c r="B4409" s="115" t="s">
        <v>1139</v>
      </c>
      <c r="D4409" s="115" t="s">
        <v>6356</v>
      </c>
      <c r="E4409" s="115" t="s">
        <v>6357</v>
      </c>
    </row>
    <row r="4410" spans="1:5" x14ac:dyDescent="0.25">
      <c r="A4410" s="115">
        <v>20</v>
      </c>
      <c r="B4410" s="115" t="s">
        <v>6358</v>
      </c>
      <c r="C4410" s="115">
        <v>3</v>
      </c>
      <c r="D4410" s="115" t="s">
        <v>6359</v>
      </c>
      <c r="E4410" s="115" t="s">
        <v>6360</v>
      </c>
    </row>
    <row r="4411" spans="1:5" x14ac:dyDescent="0.25">
      <c r="B4411" s="115" t="s">
        <v>6361</v>
      </c>
      <c r="D4411" s="115" t="s">
        <v>6362</v>
      </c>
      <c r="E4411" s="115" t="s">
        <v>6363</v>
      </c>
    </row>
    <row r="4412" spans="1:5" x14ac:dyDescent="0.25">
      <c r="B4412" s="115" t="s">
        <v>1139</v>
      </c>
      <c r="D4412" s="115" t="s">
        <v>6364</v>
      </c>
      <c r="E4412" s="115" t="s">
        <v>1141</v>
      </c>
    </row>
    <row r="4413" spans="1:5" x14ac:dyDescent="0.25">
      <c r="B4413" s="115" t="s">
        <v>1139</v>
      </c>
      <c r="D4413" s="115" t="s">
        <v>6365</v>
      </c>
      <c r="E4413" s="115" t="s">
        <v>6366</v>
      </c>
    </row>
    <row r="4414" spans="1:5" x14ac:dyDescent="0.25">
      <c r="A4414" s="115" t="s">
        <v>1138</v>
      </c>
      <c r="B4414" s="115" t="s">
        <v>6367</v>
      </c>
      <c r="D4414" s="115" t="s">
        <v>1818</v>
      </c>
      <c r="E4414" s="115" t="s">
        <v>6368</v>
      </c>
    </row>
    <row r="4415" spans="1:5" x14ac:dyDescent="0.25">
      <c r="B4415" s="115" t="s">
        <v>1139</v>
      </c>
      <c r="D4415" s="115" t="s">
        <v>3621</v>
      </c>
      <c r="E4415" s="115" t="s">
        <v>2260</v>
      </c>
    </row>
    <row r="4416" spans="1:5" x14ac:dyDescent="0.25">
      <c r="B4416" s="115" t="s">
        <v>1139</v>
      </c>
      <c r="D4416" s="115" t="s">
        <v>6369</v>
      </c>
      <c r="E4416" s="115" t="s">
        <v>6370</v>
      </c>
    </row>
    <row r="4417" spans="1:5" x14ac:dyDescent="0.25">
      <c r="B4417" s="115" t="s">
        <v>6371</v>
      </c>
      <c r="D4417" s="115" t="s">
        <v>6372</v>
      </c>
      <c r="E4417" s="115" t="s">
        <v>6373</v>
      </c>
    </row>
    <row r="4418" spans="1:5" x14ac:dyDescent="0.25">
      <c r="A4418" s="115">
        <v>2</v>
      </c>
      <c r="B4418" s="115" t="s">
        <v>6374</v>
      </c>
      <c r="D4418" s="115" t="s">
        <v>6375</v>
      </c>
      <c r="E4418" s="115" t="s">
        <v>1819</v>
      </c>
    </row>
    <row r="4419" spans="1:5" x14ac:dyDescent="0.25">
      <c r="A4419" s="115">
        <v>-1</v>
      </c>
      <c r="B4419" s="115" t="s">
        <v>6376</v>
      </c>
      <c r="D4419" s="115" t="s">
        <v>6377</v>
      </c>
      <c r="E4419" s="115" t="s">
        <v>6378</v>
      </c>
    </row>
    <row r="4420" spans="1:5" x14ac:dyDescent="0.25">
      <c r="A4420" s="115" t="s">
        <v>1138</v>
      </c>
      <c r="B4420" s="115" t="s">
        <v>6379</v>
      </c>
      <c r="D4420" s="115" t="s">
        <v>6380</v>
      </c>
      <c r="E4420" s="115" t="s">
        <v>6381</v>
      </c>
    </row>
    <row r="4421" spans="1:5" x14ac:dyDescent="0.25">
      <c r="A4421" s="115">
        <v>1</v>
      </c>
      <c r="B4421" s="115" t="s">
        <v>6382</v>
      </c>
      <c r="D4421" s="115" t="s">
        <v>6383</v>
      </c>
      <c r="E4421" s="115" t="s">
        <v>1819</v>
      </c>
    </row>
    <row r="4422" spans="1:5" x14ac:dyDescent="0.25">
      <c r="B4422" s="115" t="s">
        <v>6384</v>
      </c>
      <c r="D4422" s="115" t="s">
        <v>6385</v>
      </c>
      <c r="E4422" s="115" t="s">
        <v>6386</v>
      </c>
    </row>
    <row r="4423" spans="1:5" x14ac:dyDescent="0.25">
      <c r="A4423" s="115" t="s">
        <v>1138</v>
      </c>
      <c r="B4423" s="115" t="s">
        <v>1486</v>
      </c>
      <c r="D4423" s="115" t="s">
        <v>6387</v>
      </c>
      <c r="E4423" s="115" t="s">
        <v>6388</v>
      </c>
    </row>
    <row r="4424" spans="1:5" x14ac:dyDescent="0.25">
      <c r="B4424" s="115" t="s">
        <v>6389</v>
      </c>
      <c r="D4424" s="115" t="s">
        <v>6390</v>
      </c>
      <c r="E4424" s="115" t="s">
        <v>1759</v>
      </c>
    </row>
    <row r="4425" spans="1:5" x14ac:dyDescent="0.25">
      <c r="B4425" s="115" t="s">
        <v>6391</v>
      </c>
      <c r="D4425" s="115" t="s">
        <v>6392</v>
      </c>
      <c r="E4425" s="115" t="s">
        <v>6393</v>
      </c>
    </row>
    <row r="4426" spans="1:5" x14ac:dyDescent="0.25">
      <c r="A4426" s="115" t="s">
        <v>1138</v>
      </c>
      <c r="B4426" s="115" t="s">
        <v>6394</v>
      </c>
      <c r="D4426" s="115" t="s">
        <v>6395</v>
      </c>
      <c r="E4426" s="115" t="s">
        <v>6396</v>
      </c>
    </row>
    <row r="4427" spans="1:5" x14ac:dyDescent="0.25">
      <c r="A4427" s="115">
        <v>-5</v>
      </c>
      <c r="B4427" s="115" t="s">
        <v>1304</v>
      </c>
      <c r="C4427" s="115" t="s">
        <v>1138</v>
      </c>
      <c r="D4427" s="115" t="s">
        <v>6397</v>
      </c>
      <c r="E4427" s="115" t="s">
        <v>1141</v>
      </c>
    </row>
    <row r="4428" spans="1:5" x14ac:dyDescent="0.25">
      <c r="B4428" s="115" t="s">
        <v>6398</v>
      </c>
      <c r="D4428" s="115" t="s">
        <v>6399</v>
      </c>
      <c r="E4428" s="115" t="s">
        <v>1141</v>
      </c>
    </row>
    <row r="4429" spans="1:5" x14ac:dyDescent="0.25">
      <c r="A4429" s="115">
        <v>-1</v>
      </c>
      <c r="B4429" s="115" t="s">
        <v>6400</v>
      </c>
      <c r="C4429" s="115" t="s">
        <v>1138</v>
      </c>
      <c r="D4429" s="115" t="s">
        <v>6401</v>
      </c>
      <c r="E4429" s="115" t="s">
        <v>6402</v>
      </c>
    </row>
    <row r="4430" spans="1:5" x14ac:dyDescent="0.25">
      <c r="A4430" s="115">
        <v>1</v>
      </c>
      <c r="B4430" s="115" t="s">
        <v>1510</v>
      </c>
      <c r="D4430" s="115" t="s">
        <v>6403</v>
      </c>
      <c r="E4430" s="115" t="s">
        <v>1894</v>
      </c>
    </row>
    <row r="4431" spans="1:5" x14ac:dyDescent="0.25">
      <c r="A4431" s="115" t="s">
        <v>1138</v>
      </c>
      <c r="B4431" s="115" t="s">
        <v>6404</v>
      </c>
      <c r="C4431" s="115" t="s">
        <v>1138</v>
      </c>
      <c r="D4431" s="115" t="s">
        <v>6405</v>
      </c>
      <c r="E4431" s="115" t="s">
        <v>6406</v>
      </c>
    </row>
    <row r="4432" spans="1:5" x14ac:dyDescent="0.25">
      <c r="B4432" s="115" t="s">
        <v>1139</v>
      </c>
      <c r="D4432" s="115" t="s">
        <v>1140</v>
      </c>
      <c r="E4432" s="115" t="s">
        <v>6407</v>
      </c>
    </row>
    <row r="4433" spans="1:5" x14ac:dyDescent="0.25">
      <c r="A4433" s="115">
        <v>-4</v>
      </c>
      <c r="B4433" s="115" t="s">
        <v>6408</v>
      </c>
      <c r="D4433" s="115" t="s">
        <v>6409</v>
      </c>
      <c r="E4433" s="115" t="s">
        <v>6410</v>
      </c>
    </row>
    <row r="4434" spans="1:5" x14ac:dyDescent="0.25">
      <c r="B4434" s="115" t="s">
        <v>1139</v>
      </c>
      <c r="D4434" s="115" t="s">
        <v>6411</v>
      </c>
      <c r="E4434" s="115" t="s">
        <v>1141</v>
      </c>
    </row>
    <row r="4435" spans="1:5" x14ac:dyDescent="0.25">
      <c r="B4435" s="115" t="s">
        <v>1139</v>
      </c>
      <c r="D4435" s="115" t="s">
        <v>1140</v>
      </c>
      <c r="E4435" s="115" t="s">
        <v>1141</v>
      </c>
    </row>
    <row r="4436" spans="1:5" x14ac:dyDescent="0.25">
      <c r="A4436" s="115" t="s">
        <v>1138</v>
      </c>
      <c r="B4436" s="115" t="s">
        <v>1261</v>
      </c>
      <c r="D4436" s="115" t="s">
        <v>3822</v>
      </c>
      <c r="E4436" s="115" t="s">
        <v>6412</v>
      </c>
    </row>
    <row r="4437" spans="1:5" x14ac:dyDescent="0.25">
      <c r="A4437" s="115">
        <v>9</v>
      </c>
      <c r="B4437" s="115" t="s">
        <v>6413</v>
      </c>
      <c r="D4437" s="115" t="s">
        <v>6414</v>
      </c>
      <c r="E4437" s="115" t="s">
        <v>6415</v>
      </c>
    </row>
    <row r="4438" spans="1:5" x14ac:dyDescent="0.25">
      <c r="A4438" s="115">
        <v>8</v>
      </c>
      <c r="B4438" s="115" t="s">
        <v>6416</v>
      </c>
      <c r="D4438" s="115" t="s">
        <v>6417</v>
      </c>
      <c r="E4438" s="115" t="s">
        <v>6418</v>
      </c>
    </row>
    <row r="4439" spans="1:5" x14ac:dyDescent="0.25">
      <c r="A4439" s="115">
        <v>10</v>
      </c>
      <c r="B4439" s="115" t="s">
        <v>6419</v>
      </c>
      <c r="C4439" s="115">
        <v>1</v>
      </c>
      <c r="D4439" s="115" t="s">
        <v>6420</v>
      </c>
      <c r="E4439" s="115" t="s">
        <v>6421</v>
      </c>
    </row>
    <row r="4440" spans="1:5" x14ac:dyDescent="0.25">
      <c r="B4440" s="115" t="s">
        <v>6422</v>
      </c>
      <c r="D4440" s="115" t="s">
        <v>6423</v>
      </c>
      <c r="E4440" s="115" t="s">
        <v>6424</v>
      </c>
    </row>
    <row r="4441" spans="1:5" x14ac:dyDescent="0.25">
      <c r="B4441" s="115" t="s">
        <v>1139</v>
      </c>
      <c r="D4441" s="115" t="s">
        <v>1140</v>
      </c>
      <c r="E4441" s="115" t="s">
        <v>6425</v>
      </c>
    </row>
    <row r="4442" spans="1:5" x14ac:dyDescent="0.25">
      <c r="B4442" s="115" t="s">
        <v>6426</v>
      </c>
      <c r="D4442" s="115" t="s">
        <v>6427</v>
      </c>
      <c r="E4442" s="115" t="s">
        <v>6428</v>
      </c>
    </row>
    <row r="4443" spans="1:5" x14ac:dyDescent="0.25">
      <c r="B4443" s="115" t="s">
        <v>6429</v>
      </c>
      <c r="D4443" s="115" t="s">
        <v>1214</v>
      </c>
      <c r="E4443" s="115" t="s">
        <v>1141</v>
      </c>
    </row>
    <row r="4444" spans="1:5" x14ac:dyDescent="0.25">
      <c r="B4444" s="115" t="s">
        <v>6430</v>
      </c>
      <c r="D4444" s="115" t="s">
        <v>1140</v>
      </c>
      <c r="E4444" s="115" t="s">
        <v>6431</v>
      </c>
    </row>
    <row r="4445" spans="1:5" x14ac:dyDescent="0.25">
      <c r="B4445" s="115" t="s">
        <v>6432</v>
      </c>
      <c r="D4445" s="115" t="s">
        <v>1140</v>
      </c>
      <c r="E4445" s="115" t="s">
        <v>6433</v>
      </c>
    </row>
    <row r="4446" spans="1:5" x14ac:dyDescent="0.25">
      <c r="B4446" s="115" t="s">
        <v>1403</v>
      </c>
      <c r="D4446" s="115" t="s">
        <v>6434</v>
      </c>
      <c r="E4446" s="115" t="s">
        <v>6435</v>
      </c>
    </row>
    <row r="4447" spans="1:5" x14ac:dyDescent="0.25">
      <c r="B4447" s="115" t="s">
        <v>6436</v>
      </c>
      <c r="D4447" s="115" t="s">
        <v>6437</v>
      </c>
      <c r="E4447" s="115" t="s">
        <v>6438</v>
      </c>
    </row>
    <row r="4448" spans="1:5" x14ac:dyDescent="0.25">
      <c r="A4448" s="115">
        <v>-1</v>
      </c>
      <c r="B4448" s="115" t="s">
        <v>6439</v>
      </c>
      <c r="D4448" s="115" t="s">
        <v>6440</v>
      </c>
      <c r="E4448" s="115" t="s">
        <v>6441</v>
      </c>
    </row>
    <row r="4449" spans="1:5" x14ac:dyDescent="0.25">
      <c r="A4449" s="115" t="s">
        <v>1138</v>
      </c>
      <c r="B4449" s="115" t="s">
        <v>6442</v>
      </c>
      <c r="D4449" s="115" t="s">
        <v>6443</v>
      </c>
      <c r="E4449" s="115" t="s">
        <v>6444</v>
      </c>
    </row>
    <row r="4450" spans="1:5" x14ac:dyDescent="0.25">
      <c r="B4450" s="115" t="s">
        <v>1171</v>
      </c>
      <c r="D4450" s="115" t="s">
        <v>6445</v>
      </c>
      <c r="E4450" s="115" t="s">
        <v>6446</v>
      </c>
    </row>
    <row r="4451" spans="1:5" x14ac:dyDescent="0.25">
      <c r="B4451" s="115" t="s">
        <v>6447</v>
      </c>
      <c r="D4451" s="115" t="s">
        <v>6448</v>
      </c>
      <c r="E4451" s="115" t="s">
        <v>6449</v>
      </c>
    </row>
    <row r="4452" spans="1:5" x14ac:dyDescent="0.25">
      <c r="A4452" s="115">
        <v>-1</v>
      </c>
      <c r="B4452" s="115" t="s">
        <v>6450</v>
      </c>
      <c r="D4452" s="115" t="s">
        <v>6451</v>
      </c>
      <c r="E4452" s="115" t="s">
        <v>6452</v>
      </c>
    </row>
    <row r="4453" spans="1:5" x14ac:dyDescent="0.25">
      <c r="B4453" s="115" t="s">
        <v>6453</v>
      </c>
      <c r="D4453" s="115" t="s">
        <v>2716</v>
      </c>
      <c r="E4453" s="115" t="s">
        <v>6454</v>
      </c>
    </row>
    <row r="4454" spans="1:5" x14ac:dyDescent="0.25">
      <c r="B4454" s="115" t="s">
        <v>1305</v>
      </c>
      <c r="D4454" s="115" t="s">
        <v>6455</v>
      </c>
      <c r="E4454" s="115" t="s">
        <v>6456</v>
      </c>
    </row>
    <row r="4455" spans="1:5" x14ac:dyDescent="0.25">
      <c r="A4455" s="115">
        <v>-2</v>
      </c>
      <c r="B4455" s="115" t="s">
        <v>6457</v>
      </c>
      <c r="D4455" s="115" t="s">
        <v>6458</v>
      </c>
      <c r="E4455" s="115" t="s">
        <v>6459</v>
      </c>
    </row>
    <row r="4456" spans="1:5" x14ac:dyDescent="0.25">
      <c r="B4456" s="115" t="s">
        <v>1139</v>
      </c>
      <c r="D4456" s="115" t="s">
        <v>5174</v>
      </c>
      <c r="E4456" s="115" t="s">
        <v>6460</v>
      </c>
    </row>
    <row r="4457" spans="1:5" x14ac:dyDescent="0.25">
      <c r="B4457" s="115" t="s">
        <v>1139</v>
      </c>
      <c r="D4457" s="115" t="s">
        <v>6461</v>
      </c>
      <c r="E4457" s="115" t="s">
        <v>6462</v>
      </c>
    </row>
    <row r="4458" spans="1:5" x14ac:dyDescent="0.25">
      <c r="A4458" s="115">
        <v>-3</v>
      </c>
      <c r="B4458" s="115" t="s">
        <v>6463</v>
      </c>
      <c r="D4458" s="115" t="s">
        <v>4887</v>
      </c>
      <c r="E4458" s="115" t="s">
        <v>6464</v>
      </c>
    </row>
    <row r="4459" spans="1:5" x14ac:dyDescent="0.25">
      <c r="A4459" s="115" t="s">
        <v>1138</v>
      </c>
      <c r="B4459" s="115" t="s">
        <v>1560</v>
      </c>
      <c r="D4459" s="115" t="s">
        <v>1860</v>
      </c>
      <c r="E4459" s="115" t="s">
        <v>6465</v>
      </c>
    </row>
    <row r="4460" spans="1:5" x14ac:dyDescent="0.25">
      <c r="A4460" s="115">
        <v>-2</v>
      </c>
      <c r="B4460" s="115" t="s">
        <v>6466</v>
      </c>
      <c r="C4460" s="115" t="s">
        <v>1138</v>
      </c>
      <c r="D4460" s="115" t="s">
        <v>6467</v>
      </c>
      <c r="E4460" s="115" t="s">
        <v>1141</v>
      </c>
    </row>
    <row r="4461" spans="1:5" x14ac:dyDescent="0.25">
      <c r="B4461" s="115" t="s">
        <v>1264</v>
      </c>
      <c r="D4461" s="115" t="s">
        <v>6468</v>
      </c>
      <c r="E4461" s="115" t="s">
        <v>6469</v>
      </c>
    </row>
    <row r="4462" spans="1:5" x14ac:dyDescent="0.25">
      <c r="B4462" s="115" t="s">
        <v>6470</v>
      </c>
      <c r="C4462" s="115" t="s">
        <v>1138</v>
      </c>
      <c r="D4462" s="115" t="s">
        <v>6471</v>
      </c>
      <c r="E4462" s="115" t="s">
        <v>6472</v>
      </c>
    </row>
    <row r="4463" spans="1:5" x14ac:dyDescent="0.25">
      <c r="B4463" s="115" t="s">
        <v>1139</v>
      </c>
      <c r="D4463" s="115" t="s">
        <v>1140</v>
      </c>
      <c r="E4463" s="115" t="s">
        <v>1141</v>
      </c>
    </row>
    <row r="4464" spans="1:5" x14ac:dyDescent="0.25">
      <c r="B4464" s="115" t="s">
        <v>1139</v>
      </c>
      <c r="D4464" s="115" t="s">
        <v>6473</v>
      </c>
      <c r="E4464" s="115" t="s">
        <v>2082</v>
      </c>
    </row>
    <row r="4465" spans="1:5" x14ac:dyDescent="0.25">
      <c r="B4465" s="115" t="s">
        <v>6474</v>
      </c>
      <c r="D4465" s="115" t="s">
        <v>6475</v>
      </c>
      <c r="E4465" s="115" t="s">
        <v>6476</v>
      </c>
    </row>
    <row r="4466" spans="1:5" x14ac:dyDescent="0.25">
      <c r="B4466" s="115" t="s">
        <v>5845</v>
      </c>
      <c r="D4466" s="115" t="s">
        <v>6477</v>
      </c>
      <c r="E4466" s="115" t="s">
        <v>6478</v>
      </c>
    </row>
    <row r="4467" spans="1:5" x14ac:dyDescent="0.25">
      <c r="A4467" s="115">
        <v>18</v>
      </c>
      <c r="B4467" s="115" t="s">
        <v>6479</v>
      </c>
      <c r="C4467" s="115">
        <v>1</v>
      </c>
      <c r="D4467" s="115" t="s">
        <v>6480</v>
      </c>
      <c r="E4467" s="115" t="s">
        <v>6481</v>
      </c>
    </row>
    <row r="4468" spans="1:5" x14ac:dyDescent="0.25">
      <c r="A4468" s="115">
        <v>8</v>
      </c>
      <c r="B4468" s="115" t="s">
        <v>6482</v>
      </c>
      <c r="D4468" s="115" t="s">
        <v>6483</v>
      </c>
      <c r="E4468" s="115" t="s">
        <v>6484</v>
      </c>
    </row>
    <row r="4469" spans="1:5" x14ac:dyDescent="0.25">
      <c r="B4469" s="115" t="s">
        <v>1139</v>
      </c>
      <c r="D4469" s="115" t="s">
        <v>6485</v>
      </c>
      <c r="E4469" s="115" t="s">
        <v>1141</v>
      </c>
    </row>
    <row r="4470" spans="1:5" x14ac:dyDescent="0.25">
      <c r="B4470" s="115" t="s">
        <v>1139</v>
      </c>
      <c r="D4470" s="115" t="s">
        <v>6486</v>
      </c>
      <c r="E4470" s="115" t="s">
        <v>6487</v>
      </c>
    </row>
    <row r="4471" spans="1:5" x14ac:dyDescent="0.25">
      <c r="B4471" s="115" t="s">
        <v>6488</v>
      </c>
      <c r="D4471" s="115" t="s">
        <v>6489</v>
      </c>
      <c r="E4471" s="115" t="s">
        <v>2480</v>
      </c>
    </row>
    <row r="4472" spans="1:5" x14ac:dyDescent="0.25">
      <c r="B4472" s="115" t="s">
        <v>1363</v>
      </c>
      <c r="D4472" s="115" t="s">
        <v>1140</v>
      </c>
      <c r="E4472" s="115" t="s">
        <v>6490</v>
      </c>
    </row>
    <row r="4473" spans="1:5" x14ac:dyDescent="0.25">
      <c r="B4473" s="115" t="s">
        <v>1139</v>
      </c>
      <c r="D4473" s="115" t="s">
        <v>6491</v>
      </c>
      <c r="E4473" s="115" t="s">
        <v>6492</v>
      </c>
    </row>
    <row r="4474" spans="1:5" x14ac:dyDescent="0.25">
      <c r="B4474" s="115" t="s">
        <v>1139</v>
      </c>
      <c r="D4474" s="115" t="s">
        <v>6493</v>
      </c>
      <c r="E4474" s="115" t="s">
        <v>6494</v>
      </c>
    </row>
    <row r="4475" spans="1:5" x14ac:dyDescent="0.25">
      <c r="B4475" s="115" t="s">
        <v>6495</v>
      </c>
      <c r="D4475" s="115" t="s">
        <v>6496</v>
      </c>
      <c r="E4475" s="115" t="s">
        <v>6497</v>
      </c>
    </row>
    <row r="4476" spans="1:5" x14ac:dyDescent="0.25">
      <c r="B4476" s="115" t="s">
        <v>6498</v>
      </c>
      <c r="D4476" s="115" t="s">
        <v>6499</v>
      </c>
      <c r="E4476" s="115" t="s">
        <v>6500</v>
      </c>
    </row>
    <row r="4477" spans="1:5" x14ac:dyDescent="0.25">
      <c r="B4477" s="115">
        <f>-25   -934</f>
        <v>-959</v>
      </c>
      <c r="D4477" s="115" t="s">
        <v>6501</v>
      </c>
      <c r="E4477" s="115" t="s">
        <v>6502</v>
      </c>
    </row>
    <row r="4478" spans="1:5" x14ac:dyDescent="0.25">
      <c r="B4478" s="115" t="s">
        <v>6503</v>
      </c>
      <c r="D4478" s="115" t="s">
        <v>6504</v>
      </c>
      <c r="E4478" s="115" t="s">
        <v>6505</v>
      </c>
    </row>
    <row r="4479" spans="1:5" x14ac:dyDescent="0.25">
      <c r="B4479" s="115" t="s">
        <v>6506</v>
      </c>
      <c r="D4479" s="115" t="s">
        <v>6507</v>
      </c>
      <c r="E4479" s="115" t="s">
        <v>6508</v>
      </c>
    </row>
    <row r="4480" spans="1:5" x14ac:dyDescent="0.25">
      <c r="B4480" s="115" t="s">
        <v>6509</v>
      </c>
      <c r="D4480" s="115" t="s">
        <v>6510</v>
      </c>
      <c r="E4480" s="115" t="s">
        <v>6511</v>
      </c>
    </row>
    <row r="4481" spans="1:5" x14ac:dyDescent="0.25">
      <c r="B4481" s="115" t="s">
        <v>1139</v>
      </c>
      <c r="D4481" s="115" t="s">
        <v>6512</v>
      </c>
      <c r="E4481" s="115" t="s">
        <v>6513</v>
      </c>
    </row>
    <row r="4482" spans="1:5" x14ac:dyDescent="0.25">
      <c r="B4482" s="115" t="s">
        <v>6514</v>
      </c>
      <c r="D4482" s="115" t="s">
        <v>6515</v>
      </c>
      <c r="E4482" s="115" t="s">
        <v>6516</v>
      </c>
    </row>
    <row r="4483" spans="1:5" x14ac:dyDescent="0.25">
      <c r="A4483" s="115">
        <v>1</v>
      </c>
      <c r="B4483" s="115" t="s">
        <v>6517</v>
      </c>
      <c r="D4483" s="115" t="s">
        <v>6518</v>
      </c>
      <c r="E4483" s="115" t="s">
        <v>6519</v>
      </c>
    </row>
    <row r="4484" spans="1:5" x14ac:dyDescent="0.25">
      <c r="B4484" s="115" t="s">
        <v>1153</v>
      </c>
      <c r="D4484" s="115" t="s">
        <v>1657</v>
      </c>
      <c r="E4484" s="115" t="s">
        <v>1141</v>
      </c>
    </row>
    <row r="4485" spans="1:5" x14ac:dyDescent="0.25">
      <c r="B4485" s="115" t="s">
        <v>1466</v>
      </c>
      <c r="D4485" s="115" t="s">
        <v>6520</v>
      </c>
      <c r="E4485" s="115" t="s">
        <v>2260</v>
      </c>
    </row>
    <row r="4486" spans="1:5" x14ac:dyDescent="0.25">
      <c r="B4486" s="115" t="s">
        <v>6521</v>
      </c>
      <c r="C4486" s="115" t="s">
        <v>1138</v>
      </c>
      <c r="D4486" s="115" t="s">
        <v>6522</v>
      </c>
      <c r="E4486" s="115" t="s">
        <v>6523</v>
      </c>
    </row>
    <row r="4487" spans="1:5" x14ac:dyDescent="0.25">
      <c r="B4487" s="115" t="s">
        <v>1284</v>
      </c>
      <c r="D4487" s="115" t="s">
        <v>1529</v>
      </c>
      <c r="E4487" s="115" t="s">
        <v>6524</v>
      </c>
    </row>
    <row r="4488" spans="1:5" x14ac:dyDescent="0.25">
      <c r="B4488" s="115" t="s">
        <v>1475</v>
      </c>
      <c r="D4488" s="115" t="s">
        <v>6525</v>
      </c>
      <c r="E4488" s="115" t="s">
        <v>6526</v>
      </c>
    </row>
    <row r="4489" spans="1:5" x14ac:dyDescent="0.25">
      <c r="B4489" s="115" t="s">
        <v>1139</v>
      </c>
      <c r="D4489" s="115" t="s">
        <v>1140</v>
      </c>
      <c r="E4489" s="115" t="s">
        <v>6527</v>
      </c>
    </row>
    <row r="4490" spans="1:5" x14ac:dyDescent="0.25">
      <c r="A4490" s="115">
        <v>1</v>
      </c>
      <c r="B4490" s="115" t="s">
        <v>6528</v>
      </c>
      <c r="D4490" s="115" t="s">
        <v>6529</v>
      </c>
      <c r="E4490" s="115" t="s">
        <v>6530</v>
      </c>
    </row>
    <row r="4491" spans="1:5" x14ac:dyDescent="0.25">
      <c r="B4491" s="115" t="s">
        <v>1139</v>
      </c>
      <c r="D4491" s="115" t="s">
        <v>6531</v>
      </c>
      <c r="E4491" s="115" t="s">
        <v>1702</v>
      </c>
    </row>
    <row r="4492" spans="1:5" x14ac:dyDescent="0.25">
      <c r="B4492" s="115" t="s">
        <v>1139</v>
      </c>
      <c r="D4492" s="115" t="s">
        <v>1140</v>
      </c>
      <c r="E4492" s="115" t="s">
        <v>1141</v>
      </c>
    </row>
    <row r="4493" spans="1:5" x14ac:dyDescent="0.25">
      <c r="B4493" s="115" t="s">
        <v>6532</v>
      </c>
      <c r="D4493" s="115" t="s">
        <v>1140</v>
      </c>
      <c r="E4493" s="115" t="s">
        <v>6533</v>
      </c>
    </row>
    <row r="4494" spans="1:5" x14ac:dyDescent="0.25">
      <c r="A4494" s="115">
        <v>17</v>
      </c>
      <c r="B4494" s="115" t="s">
        <v>6534</v>
      </c>
      <c r="C4494" s="115">
        <v>1</v>
      </c>
      <c r="D4494" s="115" t="s">
        <v>6535</v>
      </c>
      <c r="E4494" s="115" t="s">
        <v>6536</v>
      </c>
    </row>
    <row r="4495" spans="1:5" x14ac:dyDescent="0.25">
      <c r="A4495" s="115">
        <v>26</v>
      </c>
      <c r="B4495" s="115" t="s">
        <v>6537</v>
      </c>
      <c r="D4495" s="115" t="s">
        <v>6538</v>
      </c>
      <c r="E4495" s="115" t="s">
        <v>6539</v>
      </c>
    </row>
    <row r="4496" spans="1:5" x14ac:dyDescent="0.25">
      <c r="A4496" s="115">
        <v>33</v>
      </c>
      <c r="B4496" s="115" t="s">
        <v>6540</v>
      </c>
      <c r="C4496" s="115">
        <v>1</v>
      </c>
      <c r="D4496" s="115" t="s">
        <v>6541</v>
      </c>
      <c r="E4496" s="115" t="s">
        <v>6542</v>
      </c>
    </row>
    <row r="4497" spans="1:5" x14ac:dyDescent="0.25">
      <c r="B4497" s="115" t="s">
        <v>6543</v>
      </c>
      <c r="D4497" s="115" t="s">
        <v>6544</v>
      </c>
      <c r="E4497" s="115" t="s">
        <v>6545</v>
      </c>
    </row>
    <row r="4498" spans="1:5" x14ac:dyDescent="0.25">
      <c r="B4498" s="115" t="s">
        <v>6546</v>
      </c>
      <c r="D4498" s="115" t="s">
        <v>1140</v>
      </c>
      <c r="E4498" s="115" t="s">
        <v>1141</v>
      </c>
    </row>
    <row r="4499" spans="1:5" x14ac:dyDescent="0.25">
      <c r="B4499" s="115">
        <f>-94   -680</f>
        <v>-774</v>
      </c>
      <c r="D4499" s="115" t="s">
        <v>6547</v>
      </c>
      <c r="E4499" s="115" t="s">
        <v>6548</v>
      </c>
    </row>
    <row r="4500" spans="1:5" x14ac:dyDescent="0.25">
      <c r="B4500" s="115" t="s">
        <v>1139</v>
      </c>
      <c r="D4500" s="115" t="s">
        <v>6549</v>
      </c>
      <c r="E4500" s="115" t="s">
        <v>6550</v>
      </c>
    </row>
    <row r="4501" spans="1:5" x14ac:dyDescent="0.25">
      <c r="B4501" s="115" t="s">
        <v>1139</v>
      </c>
      <c r="D4501" s="115" t="s">
        <v>1668</v>
      </c>
      <c r="E4501" s="115" t="s">
        <v>1141</v>
      </c>
    </row>
    <row r="4502" spans="1:5" x14ac:dyDescent="0.25">
      <c r="B4502" s="115" t="s">
        <v>5423</v>
      </c>
      <c r="C4502" s="115" t="s">
        <v>1138</v>
      </c>
      <c r="D4502" s="115" t="s">
        <v>6551</v>
      </c>
      <c r="E4502" s="115" t="s">
        <v>1635</v>
      </c>
    </row>
    <row r="4503" spans="1:5" x14ac:dyDescent="0.25">
      <c r="A4503" s="115" t="s">
        <v>1138</v>
      </c>
      <c r="B4503" s="115" t="s">
        <v>6552</v>
      </c>
      <c r="D4503" s="115" t="s">
        <v>6553</v>
      </c>
      <c r="E4503" s="115" t="s">
        <v>6554</v>
      </c>
    </row>
    <row r="4504" spans="1:5" x14ac:dyDescent="0.25">
      <c r="A4504" s="115" t="s">
        <v>1138</v>
      </c>
      <c r="B4504" s="115" t="s">
        <v>6555</v>
      </c>
      <c r="D4504" s="115" t="s">
        <v>6556</v>
      </c>
      <c r="E4504" s="115" t="s">
        <v>6557</v>
      </c>
    </row>
    <row r="4505" spans="1:5" x14ac:dyDescent="0.25">
      <c r="B4505" s="115" t="s">
        <v>6558</v>
      </c>
      <c r="C4505" s="115" t="s">
        <v>1138</v>
      </c>
      <c r="D4505" s="115" t="s">
        <v>6559</v>
      </c>
      <c r="E4505" s="115" t="s">
        <v>6560</v>
      </c>
    </row>
    <row r="4506" spans="1:5" x14ac:dyDescent="0.25">
      <c r="A4506" s="115" t="s">
        <v>1138</v>
      </c>
      <c r="B4506" s="115" t="s">
        <v>6561</v>
      </c>
      <c r="D4506" s="115" t="s">
        <v>6562</v>
      </c>
      <c r="E4506" s="115" t="s">
        <v>6563</v>
      </c>
    </row>
    <row r="4507" spans="1:5" x14ac:dyDescent="0.25">
      <c r="A4507" s="115" t="s">
        <v>1138</v>
      </c>
      <c r="B4507" s="115" t="s">
        <v>6564</v>
      </c>
      <c r="D4507" s="115" t="s">
        <v>6565</v>
      </c>
      <c r="E4507" s="115" t="s">
        <v>6566</v>
      </c>
    </row>
    <row r="4508" spans="1:5" x14ac:dyDescent="0.25">
      <c r="B4508" s="115" t="s">
        <v>6567</v>
      </c>
      <c r="C4508" s="115" t="s">
        <v>1138</v>
      </c>
      <c r="D4508" s="115" t="s">
        <v>6568</v>
      </c>
      <c r="E4508" s="115" t="s">
        <v>6569</v>
      </c>
    </row>
    <row r="4509" spans="1:5" x14ac:dyDescent="0.25">
      <c r="A4509" s="115" t="s">
        <v>1138</v>
      </c>
      <c r="B4509" s="115" t="s">
        <v>6570</v>
      </c>
      <c r="D4509" s="115" t="s">
        <v>6571</v>
      </c>
      <c r="E4509" s="115" t="s">
        <v>6572</v>
      </c>
    </row>
    <row r="4510" spans="1:5" x14ac:dyDescent="0.25">
      <c r="B4510" s="115" t="s">
        <v>6573</v>
      </c>
      <c r="D4510" s="115" t="s">
        <v>6574</v>
      </c>
      <c r="E4510" s="115" t="s">
        <v>6575</v>
      </c>
    </row>
    <row r="4511" spans="1:5" x14ac:dyDescent="0.25">
      <c r="B4511" s="115" t="s">
        <v>6576</v>
      </c>
      <c r="C4511" s="115">
        <v>-2</v>
      </c>
      <c r="D4511" s="115" t="s">
        <v>6577</v>
      </c>
      <c r="E4511" s="115" t="s">
        <v>6578</v>
      </c>
    </row>
    <row r="4512" spans="1:5" x14ac:dyDescent="0.25">
      <c r="A4512" s="115">
        <v>9</v>
      </c>
      <c r="B4512" s="115" t="s">
        <v>6579</v>
      </c>
      <c r="D4512" s="115" t="s">
        <v>6580</v>
      </c>
      <c r="E4512" s="115" t="s">
        <v>6581</v>
      </c>
    </row>
    <row r="4513" spans="1:5" x14ac:dyDescent="0.25">
      <c r="A4513" s="115">
        <v>6</v>
      </c>
      <c r="B4513" s="115" t="s">
        <v>1464</v>
      </c>
      <c r="D4513" s="115" t="s">
        <v>1140</v>
      </c>
      <c r="E4513" s="115" t="s">
        <v>6582</v>
      </c>
    </row>
    <row r="4514" spans="1:5" x14ac:dyDescent="0.25">
      <c r="B4514" s="115" t="s">
        <v>6583</v>
      </c>
      <c r="D4514" s="115" t="s">
        <v>6584</v>
      </c>
      <c r="E4514" s="115" t="s">
        <v>6585</v>
      </c>
    </row>
    <row r="4515" spans="1:5" x14ac:dyDescent="0.25">
      <c r="A4515" s="115">
        <v>-2</v>
      </c>
      <c r="B4515" s="115" t="s">
        <v>6586</v>
      </c>
      <c r="C4515" s="115" t="s">
        <v>1138</v>
      </c>
      <c r="D4515" s="115" t="s">
        <v>6587</v>
      </c>
      <c r="E4515" s="115" t="s">
        <v>6588</v>
      </c>
    </row>
    <row r="4516" spans="1:5" x14ac:dyDescent="0.25">
      <c r="B4516" s="115" t="s">
        <v>1606</v>
      </c>
      <c r="D4516" s="115" t="s">
        <v>6589</v>
      </c>
      <c r="E4516" s="115" t="s">
        <v>6590</v>
      </c>
    </row>
    <row r="4517" spans="1:5" x14ac:dyDescent="0.25">
      <c r="A4517" s="115">
        <v>-3</v>
      </c>
      <c r="B4517" s="115" t="s">
        <v>6591</v>
      </c>
      <c r="D4517" s="115" t="s">
        <v>6592</v>
      </c>
      <c r="E4517" s="115" t="s">
        <v>6593</v>
      </c>
    </row>
    <row r="4518" spans="1:5" x14ac:dyDescent="0.25">
      <c r="B4518" s="115" t="s">
        <v>1139</v>
      </c>
      <c r="D4518" s="115" t="s">
        <v>6594</v>
      </c>
      <c r="E4518" s="115" t="s">
        <v>6595</v>
      </c>
    </row>
    <row r="4519" spans="1:5" x14ac:dyDescent="0.25">
      <c r="B4519" s="115" t="s">
        <v>1139</v>
      </c>
      <c r="C4519" s="115" t="s">
        <v>1138</v>
      </c>
      <c r="D4519" s="115" t="s">
        <v>6596</v>
      </c>
      <c r="E4519" s="115" t="s">
        <v>2537</v>
      </c>
    </row>
    <row r="4520" spans="1:5" x14ac:dyDescent="0.25">
      <c r="B4520" s="115" t="s">
        <v>6597</v>
      </c>
      <c r="D4520" s="115" t="s">
        <v>6598</v>
      </c>
      <c r="E4520" s="115" t="s">
        <v>1141</v>
      </c>
    </row>
    <row r="4521" spans="1:5" x14ac:dyDescent="0.25">
      <c r="B4521" s="115" t="s">
        <v>1139</v>
      </c>
      <c r="D4521" s="115" t="s">
        <v>1140</v>
      </c>
      <c r="E4521" s="115" t="s">
        <v>6599</v>
      </c>
    </row>
    <row r="4522" spans="1:5" x14ac:dyDescent="0.25">
      <c r="B4522" s="115" t="s">
        <v>1139</v>
      </c>
      <c r="D4522" s="115" t="s">
        <v>6600</v>
      </c>
      <c r="E4522" s="115" t="s">
        <v>6601</v>
      </c>
    </row>
    <row r="4523" spans="1:5" x14ac:dyDescent="0.25">
      <c r="B4523" s="115" t="s">
        <v>6602</v>
      </c>
      <c r="D4523" s="115" t="s">
        <v>6603</v>
      </c>
      <c r="E4523" s="115" t="s">
        <v>6604</v>
      </c>
    </row>
    <row r="4524" spans="1:5" x14ac:dyDescent="0.25">
      <c r="B4524" s="115" t="s">
        <v>6605</v>
      </c>
      <c r="C4524" s="115">
        <v>1</v>
      </c>
      <c r="D4524" s="115" t="s">
        <v>6606</v>
      </c>
      <c r="E4524" s="115" t="s">
        <v>6607</v>
      </c>
    </row>
    <row r="4525" spans="1:5" x14ac:dyDescent="0.25">
      <c r="A4525" s="115">
        <v>19</v>
      </c>
      <c r="B4525" s="115" t="s">
        <v>6608</v>
      </c>
      <c r="C4525" s="115">
        <v>2</v>
      </c>
      <c r="D4525" s="115" t="s">
        <v>6609</v>
      </c>
      <c r="E4525" s="115" t="s">
        <v>6610</v>
      </c>
    </row>
    <row r="4526" spans="1:5" x14ac:dyDescent="0.25">
      <c r="B4526" s="115" t="s">
        <v>1139</v>
      </c>
      <c r="D4526" s="115" t="s">
        <v>6611</v>
      </c>
      <c r="E4526" s="115" t="s">
        <v>6612</v>
      </c>
    </row>
    <row r="4527" spans="1:5" x14ac:dyDescent="0.25">
      <c r="B4527" s="115" t="s">
        <v>1139</v>
      </c>
      <c r="D4527" s="115" t="s">
        <v>1140</v>
      </c>
      <c r="E4527" s="115" t="s">
        <v>6613</v>
      </c>
    </row>
    <row r="4528" spans="1:5" x14ac:dyDescent="0.25">
      <c r="B4528" s="115" t="s">
        <v>1139</v>
      </c>
      <c r="D4528" s="115" t="s">
        <v>6614</v>
      </c>
      <c r="E4528" s="115" t="s">
        <v>6615</v>
      </c>
    </row>
    <row r="4529" spans="1:5" x14ac:dyDescent="0.25">
      <c r="B4529" s="115" t="s">
        <v>1175</v>
      </c>
      <c r="D4529" s="115" t="s">
        <v>6616</v>
      </c>
      <c r="E4529" s="115" t="s">
        <v>1859</v>
      </c>
    </row>
    <row r="4530" spans="1:5" x14ac:dyDescent="0.25">
      <c r="B4530" s="115" t="s">
        <v>1355</v>
      </c>
      <c r="D4530" s="115" t="s">
        <v>1140</v>
      </c>
      <c r="E4530" s="115" t="s">
        <v>6617</v>
      </c>
    </row>
    <row r="4531" spans="1:5" x14ac:dyDescent="0.25">
      <c r="A4531" s="115">
        <v>-22</v>
      </c>
      <c r="B4531" s="115" t="s">
        <v>6618</v>
      </c>
      <c r="D4531" s="115" t="s">
        <v>6619</v>
      </c>
      <c r="E4531" s="115" t="s">
        <v>6620</v>
      </c>
    </row>
    <row r="4532" spans="1:5" x14ac:dyDescent="0.25">
      <c r="B4532" s="115" t="s">
        <v>1139</v>
      </c>
      <c r="D4532" s="115" t="s">
        <v>6621</v>
      </c>
      <c r="E4532" s="115" t="s">
        <v>6622</v>
      </c>
    </row>
    <row r="4533" spans="1:5" x14ac:dyDescent="0.25">
      <c r="A4533" s="115" t="s">
        <v>1138</v>
      </c>
      <c r="B4533" s="115" t="s">
        <v>6623</v>
      </c>
      <c r="D4533" s="115" t="s">
        <v>1140</v>
      </c>
      <c r="E4533" s="115" t="s">
        <v>6624</v>
      </c>
    </row>
    <row r="4534" spans="1:5" x14ac:dyDescent="0.25">
      <c r="A4534" s="115">
        <v>-6</v>
      </c>
      <c r="B4534" s="115" t="s">
        <v>6625</v>
      </c>
      <c r="D4534" s="115" t="s">
        <v>6626</v>
      </c>
      <c r="E4534" s="115" t="s">
        <v>6627</v>
      </c>
    </row>
    <row r="4535" spans="1:5" x14ac:dyDescent="0.25">
      <c r="B4535" s="115" t="s">
        <v>6628</v>
      </c>
      <c r="D4535" s="115" t="s">
        <v>6629</v>
      </c>
      <c r="E4535" s="115" t="s">
        <v>6630</v>
      </c>
    </row>
    <row r="4536" spans="1:5" x14ac:dyDescent="0.25">
      <c r="B4536" s="115" t="s">
        <v>6631</v>
      </c>
      <c r="D4536" s="115" t="s">
        <v>1140</v>
      </c>
      <c r="E4536" s="115" t="s">
        <v>6632</v>
      </c>
    </row>
    <row r="4537" spans="1:5" x14ac:dyDescent="0.25">
      <c r="A4537" s="115">
        <v>-6</v>
      </c>
      <c r="B4537" s="115" t="s">
        <v>6633</v>
      </c>
      <c r="D4537" s="115" t="s">
        <v>6634</v>
      </c>
      <c r="E4537" s="115" t="s">
        <v>6635</v>
      </c>
    </row>
    <row r="4538" spans="1:5" x14ac:dyDescent="0.25">
      <c r="B4538" s="115" t="s">
        <v>6636</v>
      </c>
      <c r="D4538" s="115" t="s">
        <v>6637</v>
      </c>
      <c r="E4538" s="115" t="s">
        <v>6638</v>
      </c>
    </row>
    <row r="4539" spans="1:5" x14ac:dyDescent="0.25">
      <c r="B4539" s="115">
        <f>-36   -358</f>
        <v>-394</v>
      </c>
      <c r="D4539" s="115" t="s">
        <v>1140</v>
      </c>
      <c r="E4539" s="115" t="s">
        <v>6639</v>
      </c>
    </row>
    <row r="4540" spans="1:5" x14ac:dyDescent="0.25">
      <c r="A4540" s="115">
        <v>-8</v>
      </c>
      <c r="B4540" s="115" t="s">
        <v>6640</v>
      </c>
      <c r="D4540" s="115" t="s">
        <v>3014</v>
      </c>
      <c r="E4540" s="115" t="s">
        <v>6641</v>
      </c>
    </row>
    <row r="4541" spans="1:5" x14ac:dyDescent="0.25">
      <c r="B4541" s="115" t="s">
        <v>6642</v>
      </c>
      <c r="D4541" s="115" t="s">
        <v>6643</v>
      </c>
      <c r="E4541" s="115" t="s">
        <v>6644</v>
      </c>
    </row>
    <row r="4542" spans="1:5" x14ac:dyDescent="0.25">
      <c r="B4542" s="115" t="s">
        <v>1139</v>
      </c>
      <c r="D4542" s="115" t="s">
        <v>1140</v>
      </c>
      <c r="E4542" s="115" t="s">
        <v>6645</v>
      </c>
    </row>
    <row r="4543" spans="1:5" x14ac:dyDescent="0.25">
      <c r="A4543" s="115">
        <v>2</v>
      </c>
      <c r="B4543" s="115" t="s">
        <v>6646</v>
      </c>
      <c r="D4543" s="115" t="s">
        <v>1140</v>
      </c>
      <c r="E4543" s="115" t="s">
        <v>6647</v>
      </c>
    </row>
    <row r="4544" spans="1:5" x14ac:dyDescent="0.25">
      <c r="A4544" s="115">
        <v>-2</v>
      </c>
      <c r="B4544" s="115" t="s">
        <v>6648</v>
      </c>
      <c r="D4544" s="115" t="s">
        <v>1406</v>
      </c>
      <c r="E4544" s="115" t="s">
        <v>6649</v>
      </c>
    </row>
    <row r="4545" spans="1:5" x14ac:dyDescent="0.25">
      <c r="B4545" s="115" t="s">
        <v>6650</v>
      </c>
      <c r="D4545" s="115" t="s">
        <v>1140</v>
      </c>
      <c r="E4545" s="115" t="s">
        <v>6651</v>
      </c>
    </row>
    <row r="4546" spans="1:5" x14ac:dyDescent="0.25">
      <c r="A4546" s="115" t="s">
        <v>1138</v>
      </c>
      <c r="B4546" s="115" t="s">
        <v>6652</v>
      </c>
      <c r="D4546" s="115" t="s">
        <v>6653</v>
      </c>
      <c r="E4546" s="115" t="s">
        <v>1141</v>
      </c>
    </row>
    <row r="4547" spans="1:5" x14ac:dyDescent="0.25">
      <c r="B4547" s="115" t="s">
        <v>1139</v>
      </c>
      <c r="D4547" s="115" t="s">
        <v>6654</v>
      </c>
      <c r="E4547" s="115" t="s">
        <v>6655</v>
      </c>
    </row>
    <row r="4548" spans="1:5" x14ac:dyDescent="0.25">
      <c r="A4548" s="115" t="s">
        <v>1138</v>
      </c>
      <c r="B4548" s="115" t="s">
        <v>4662</v>
      </c>
      <c r="D4548" s="115" t="s">
        <v>6656</v>
      </c>
      <c r="E4548" s="115" t="s">
        <v>6657</v>
      </c>
    </row>
    <row r="4549" spans="1:5" x14ac:dyDescent="0.25">
      <c r="B4549" s="115" t="s">
        <v>1441</v>
      </c>
      <c r="D4549" s="115" t="s">
        <v>1140</v>
      </c>
      <c r="E4549" s="115" t="s">
        <v>1141</v>
      </c>
    </row>
    <row r="4550" spans="1:5" x14ac:dyDescent="0.25">
      <c r="B4550" s="115" t="s">
        <v>1139</v>
      </c>
      <c r="D4550" s="115" t="s">
        <v>1140</v>
      </c>
      <c r="E4550" s="115" t="s">
        <v>2532</v>
      </c>
    </row>
    <row r="4551" spans="1:5" x14ac:dyDescent="0.25">
      <c r="B4551" s="115" t="s">
        <v>1538</v>
      </c>
      <c r="D4551" s="115" t="s">
        <v>6658</v>
      </c>
      <c r="E4551" s="115" t="s">
        <v>6659</v>
      </c>
    </row>
    <row r="4552" spans="1:5" x14ac:dyDescent="0.25">
      <c r="B4552" s="115" t="s">
        <v>1139</v>
      </c>
      <c r="D4552" s="115" t="s">
        <v>6660</v>
      </c>
      <c r="E4552" s="115" t="s">
        <v>6661</v>
      </c>
    </row>
    <row r="4553" spans="1:5" x14ac:dyDescent="0.25">
      <c r="A4553" s="115">
        <v>16</v>
      </c>
      <c r="B4553" s="115" t="s">
        <v>6662</v>
      </c>
      <c r="C4553" s="115">
        <v>1</v>
      </c>
      <c r="D4553" s="115" t="s">
        <v>6663</v>
      </c>
      <c r="E4553" s="115" t="s">
        <v>6664</v>
      </c>
    </row>
    <row r="4554" spans="1:5" x14ac:dyDescent="0.25">
      <c r="A4554" s="115">
        <v>17</v>
      </c>
      <c r="B4554" s="115" t="s">
        <v>6665</v>
      </c>
      <c r="C4554" s="115">
        <v>1</v>
      </c>
      <c r="D4554" s="115" t="s">
        <v>6666</v>
      </c>
      <c r="E4554" s="115" t="s">
        <v>6667</v>
      </c>
    </row>
    <row r="4555" spans="1:5" x14ac:dyDescent="0.25">
      <c r="B4555" s="115" t="s">
        <v>1388</v>
      </c>
      <c r="D4555" s="115" t="s">
        <v>1375</v>
      </c>
      <c r="E4555" s="115" t="s">
        <v>6668</v>
      </c>
    </row>
    <row r="4556" spans="1:5" x14ac:dyDescent="0.25">
      <c r="B4556" s="115" t="s">
        <v>1139</v>
      </c>
      <c r="D4556" s="115" t="s">
        <v>1140</v>
      </c>
      <c r="E4556" s="115" t="s">
        <v>6669</v>
      </c>
    </row>
    <row r="4557" spans="1:5" x14ac:dyDescent="0.25">
      <c r="B4557" s="115" t="s">
        <v>1662</v>
      </c>
      <c r="D4557" s="115" t="s">
        <v>6670</v>
      </c>
      <c r="E4557" s="115" t="s">
        <v>6671</v>
      </c>
    </row>
    <row r="4558" spans="1:5" x14ac:dyDescent="0.25">
      <c r="B4558" s="115" t="s">
        <v>4577</v>
      </c>
      <c r="D4558" s="115" t="s">
        <v>1940</v>
      </c>
      <c r="E4558" s="115" t="s">
        <v>1141</v>
      </c>
    </row>
    <row r="4559" spans="1:5" x14ac:dyDescent="0.25">
      <c r="B4559" s="115" t="s">
        <v>1869</v>
      </c>
      <c r="D4559" s="115" t="s">
        <v>1140</v>
      </c>
      <c r="E4559" s="115" t="s">
        <v>6672</v>
      </c>
    </row>
    <row r="4560" spans="1:5" x14ac:dyDescent="0.25">
      <c r="B4560" s="115" t="s">
        <v>6673</v>
      </c>
      <c r="D4560" s="115" t="s">
        <v>1140</v>
      </c>
      <c r="E4560" s="115" t="s">
        <v>6674</v>
      </c>
    </row>
    <row r="4561" spans="1:5" x14ac:dyDescent="0.25">
      <c r="B4561" s="115" t="s">
        <v>1902</v>
      </c>
      <c r="D4561" s="115" t="s">
        <v>6675</v>
      </c>
      <c r="E4561" s="115" t="s">
        <v>6676</v>
      </c>
    </row>
    <row r="4562" spans="1:5" x14ac:dyDescent="0.25">
      <c r="B4562" s="115" t="s">
        <v>1594</v>
      </c>
      <c r="D4562" s="115" t="s">
        <v>6677</v>
      </c>
      <c r="E4562" s="115" t="s">
        <v>6678</v>
      </c>
    </row>
    <row r="4563" spans="1:5" x14ac:dyDescent="0.25">
      <c r="A4563" s="115">
        <v>-2</v>
      </c>
      <c r="B4563" s="115" t="s">
        <v>6679</v>
      </c>
      <c r="C4563" s="115" t="s">
        <v>1138</v>
      </c>
      <c r="D4563" s="115" t="s">
        <v>6680</v>
      </c>
      <c r="E4563" s="115" t="s">
        <v>6681</v>
      </c>
    </row>
    <row r="4564" spans="1:5" x14ac:dyDescent="0.25">
      <c r="A4564" s="115">
        <v>-2</v>
      </c>
      <c r="B4564" s="115" t="s">
        <v>6682</v>
      </c>
      <c r="D4564" s="115" t="s">
        <v>6683</v>
      </c>
      <c r="E4564" s="115" t="s">
        <v>6684</v>
      </c>
    </row>
    <row r="4565" spans="1:5" x14ac:dyDescent="0.25">
      <c r="B4565" s="115" t="s">
        <v>3717</v>
      </c>
      <c r="D4565" s="115" t="s">
        <v>6685</v>
      </c>
      <c r="E4565" s="115" t="s">
        <v>6686</v>
      </c>
    </row>
    <row r="4566" spans="1:5" x14ac:dyDescent="0.25">
      <c r="B4566" s="115" t="s">
        <v>6687</v>
      </c>
      <c r="D4566" s="115" t="s">
        <v>6688</v>
      </c>
      <c r="E4566" s="115" t="s">
        <v>6689</v>
      </c>
    </row>
    <row r="4567" spans="1:5" x14ac:dyDescent="0.25">
      <c r="A4567" s="115">
        <v>-1</v>
      </c>
      <c r="B4567" s="115" t="s">
        <v>6690</v>
      </c>
      <c r="D4567" s="115" t="s">
        <v>6691</v>
      </c>
      <c r="E4567" s="115" t="s">
        <v>6692</v>
      </c>
    </row>
    <row r="4568" spans="1:5" x14ac:dyDescent="0.25">
      <c r="B4568" s="115" t="s">
        <v>6693</v>
      </c>
      <c r="D4568" s="115" t="s">
        <v>6694</v>
      </c>
      <c r="E4568" s="115" t="s">
        <v>6695</v>
      </c>
    </row>
    <row r="4569" spans="1:5" x14ac:dyDescent="0.25">
      <c r="B4569" s="115" t="s">
        <v>1459</v>
      </c>
      <c r="D4569" s="115" t="s">
        <v>6696</v>
      </c>
      <c r="E4569" s="115" t="s">
        <v>6697</v>
      </c>
    </row>
    <row r="4570" spans="1:5" x14ac:dyDescent="0.25">
      <c r="A4570" s="115" t="s">
        <v>1138</v>
      </c>
      <c r="B4570" s="115" t="s">
        <v>1294</v>
      </c>
      <c r="D4570" s="115" t="s">
        <v>6698</v>
      </c>
      <c r="E4570" s="115" t="s">
        <v>6699</v>
      </c>
    </row>
    <row r="4571" spans="1:5" x14ac:dyDescent="0.25">
      <c r="B4571" s="115" t="s">
        <v>1139</v>
      </c>
      <c r="D4571" s="115" t="s">
        <v>6677</v>
      </c>
      <c r="E4571" s="115" t="s">
        <v>6700</v>
      </c>
    </row>
    <row r="4572" spans="1:5" x14ac:dyDescent="0.25">
      <c r="B4572" s="115" t="s">
        <v>1139</v>
      </c>
      <c r="D4572" s="115" t="s">
        <v>6701</v>
      </c>
      <c r="E4572" s="115" t="s">
        <v>6702</v>
      </c>
    </row>
    <row r="4573" spans="1:5" x14ac:dyDescent="0.25">
      <c r="A4573" s="115">
        <v>-6</v>
      </c>
      <c r="B4573" s="115" t="s">
        <v>6703</v>
      </c>
      <c r="D4573" s="115" t="s">
        <v>6704</v>
      </c>
      <c r="E4573" s="115" t="s">
        <v>6705</v>
      </c>
    </row>
    <row r="4574" spans="1:5" x14ac:dyDescent="0.25">
      <c r="A4574" s="115">
        <v>-2</v>
      </c>
      <c r="B4574" s="115" t="s">
        <v>3098</v>
      </c>
      <c r="D4574" s="115" t="s">
        <v>6706</v>
      </c>
      <c r="E4574" s="115" t="s">
        <v>6707</v>
      </c>
    </row>
    <row r="4575" spans="1:5" x14ac:dyDescent="0.25">
      <c r="A4575" s="115">
        <v>-2</v>
      </c>
      <c r="B4575" s="115" t="s">
        <v>6708</v>
      </c>
      <c r="C4575" s="115" t="s">
        <v>1138</v>
      </c>
      <c r="D4575" s="115" t="s">
        <v>6709</v>
      </c>
      <c r="E4575" s="115" t="s">
        <v>1141</v>
      </c>
    </row>
    <row r="4576" spans="1:5" x14ac:dyDescent="0.25">
      <c r="B4576" s="115" t="s">
        <v>1434</v>
      </c>
      <c r="D4576" s="115" t="s">
        <v>6710</v>
      </c>
      <c r="E4576" s="115" t="s">
        <v>6711</v>
      </c>
    </row>
    <row r="4577" spans="1:5" x14ac:dyDescent="0.25">
      <c r="B4577" s="115" t="s">
        <v>1544</v>
      </c>
      <c r="C4577" s="115" t="s">
        <v>1138</v>
      </c>
      <c r="D4577" s="115" t="s">
        <v>6712</v>
      </c>
      <c r="E4577" s="115" t="s">
        <v>6713</v>
      </c>
    </row>
    <row r="4578" spans="1:5" x14ac:dyDescent="0.25">
      <c r="B4578" s="115" t="s">
        <v>1139</v>
      </c>
      <c r="D4578" s="115" t="s">
        <v>1140</v>
      </c>
      <c r="E4578" s="115" t="s">
        <v>1141</v>
      </c>
    </row>
    <row r="4579" spans="1:5" x14ac:dyDescent="0.25">
      <c r="B4579" s="115" t="s">
        <v>1139</v>
      </c>
      <c r="D4579" s="115" t="s">
        <v>2759</v>
      </c>
      <c r="E4579" s="115" t="s">
        <v>2082</v>
      </c>
    </row>
    <row r="4580" spans="1:5" x14ac:dyDescent="0.25">
      <c r="B4580" s="115" t="s">
        <v>6714</v>
      </c>
      <c r="D4580" s="115" t="s">
        <v>6715</v>
      </c>
      <c r="E4580" s="115" t="s">
        <v>6716</v>
      </c>
    </row>
    <row r="4581" spans="1:5" x14ac:dyDescent="0.25">
      <c r="B4581" s="115" t="s">
        <v>6717</v>
      </c>
      <c r="C4581" s="115">
        <v>1</v>
      </c>
      <c r="D4581" s="115" t="s">
        <v>6718</v>
      </c>
      <c r="E4581" s="115" t="s">
        <v>6719</v>
      </c>
    </row>
    <row r="4582" spans="1:5" x14ac:dyDescent="0.25">
      <c r="A4582" s="115">
        <v>25</v>
      </c>
      <c r="B4582" s="115" t="s">
        <v>6720</v>
      </c>
      <c r="C4582" s="115">
        <v>1</v>
      </c>
      <c r="D4582" s="115" t="s">
        <v>6721</v>
      </c>
      <c r="E4582" s="115" t="s">
        <v>6722</v>
      </c>
    </row>
    <row r="4583" spans="1:5" x14ac:dyDescent="0.25">
      <c r="A4583" s="115">
        <v>12</v>
      </c>
      <c r="B4583" s="115" t="s">
        <v>6723</v>
      </c>
      <c r="C4583" s="115">
        <v>2</v>
      </c>
      <c r="D4583" s="115" t="s">
        <v>6724</v>
      </c>
      <c r="E4583" s="115" t="s">
        <v>6725</v>
      </c>
    </row>
    <row r="4584" spans="1:5" x14ac:dyDescent="0.25">
      <c r="B4584" s="115" t="s">
        <v>2241</v>
      </c>
      <c r="D4584" s="115" t="s">
        <v>1250</v>
      </c>
      <c r="E4584" s="115" t="s">
        <v>6726</v>
      </c>
    </row>
    <row r="4585" spans="1:5" x14ac:dyDescent="0.25">
      <c r="B4585" s="115" t="s">
        <v>1139</v>
      </c>
      <c r="D4585" s="115" t="s">
        <v>1140</v>
      </c>
      <c r="E4585" s="115" t="s">
        <v>6727</v>
      </c>
    </row>
    <row r="4586" spans="1:5" x14ac:dyDescent="0.25">
      <c r="B4586" s="115" t="s">
        <v>6728</v>
      </c>
      <c r="D4586" s="115" t="s">
        <v>6729</v>
      </c>
      <c r="E4586" s="115" t="s">
        <v>6730</v>
      </c>
    </row>
    <row r="4587" spans="1:5" x14ac:dyDescent="0.25">
      <c r="B4587" s="115" t="s">
        <v>1273</v>
      </c>
      <c r="D4587" s="115" t="s">
        <v>4858</v>
      </c>
      <c r="E4587" s="115" t="s">
        <v>1141</v>
      </c>
    </row>
    <row r="4588" spans="1:5" x14ac:dyDescent="0.25">
      <c r="B4588" s="115" t="s">
        <v>6731</v>
      </c>
      <c r="D4588" s="115" t="s">
        <v>1140</v>
      </c>
      <c r="E4588" s="115" t="s">
        <v>6732</v>
      </c>
    </row>
    <row r="4589" spans="1:5" x14ac:dyDescent="0.25">
      <c r="B4589" s="115" t="s">
        <v>6733</v>
      </c>
      <c r="D4589" s="115" t="s">
        <v>1140</v>
      </c>
      <c r="E4589" s="115" t="s">
        <v>6734</v>
      </c>
    </row>
    <row r="4590" spans="1:5" x14ac:dyDescent="0.25">
      <c r="B4590" s="115" t="s">
        <v>5569</v>
      </c>
      <c r="D4590" s="115" t="s">
        <v>6735</v>
      </c>
      <c r="E4590" s="115" t="s">
        <v>6736</v>
      </c>
    </row>
    <row r="4591" spans="1:5" x14ac:dyDescent="0.25">
      <c r="B4591" s="115" t="s">
        <v>1404</v>
      </c>
      <c r="D4591" s="115" t="s">
        <v>5010</v>
      </c>
      <c r="E4591" s="115" t="s">
        <v>6737</v>
      </c>
    </row>
    <row r="4592" spans="1:5" x14ac:dyDescent="0.25">
      <c r="B4592" s="115" t="s">
        <v>6738</v>
      </c>
      <c r="D4592" s="115" t="s">
        <v>6739</v>
      </c>
      <c r="E4592" s="115" t="s">
        <v>6740</v>
      </c>
    </row>
    <row r="4593" spans="1:5" x14ac:dyDescent="0.25">
      <c r="A4593" s="115">
        <v>-1</v>
      </c>
      <c r="B4593" s="115" t="s">
        <v>6741</v>
      </c>
      <c r="D4593" s="115" t="s">
        <v>6742</v>
      </c>
      <c r="E4593" s="115" t="s">
        <v>6743</v>
      </c>
    </row>
    <row r="4594" spans="1:5" x14ac:dyDescent="0.25">
      <c r="B4594" s="115" t="s">
        <v>1301</v>
      </c>
      <c r="D4594" s="115" t="s">
        <v>5855</v>
      </c>
      <c r="E4594" s="115" t="s">
        <v>6744</v>
      </c>
    </row>
    <row r="4595" spans="1:5" x14ac:dyDescent="0.25">
      <c r="A4595" s="115">
        <v>-2</v>
      </c>
      <c r="B4595" s="115" t="s">
        <v>6745</v>
      </c>
      <c r="C4595" s="115" t="s">
        <v>1138</v>
      </c>
      <c r="D4595" s="115" t="s">
        <v>6746</v>
      </c>
      <c r="E4595" s="115" t="s">
        <v>6747</v>
      </c>
    </row>
    <row r="4596" spans="1:5" x14ac:dyDescent="0.25">
      <c r="A4596" s="115">
        <v>-2</v>
      </c>
      <c r="B4596" s="115" t="s">
        <v>6748</v>
      </c>
      <c r="D4596" s="115" t="s">
        <v>6749</v>
      </c>
      <c r="E4596" s="115" t="s">
        <v>6750</v>
      </c>
    </row>
    <row r="4597" spans="1:5" x14ac:dyDescent="0.25">
      <c r="B4597" s="115" t="s">
        <v>1532</v>
      </c>
      <c r="D4597" s="115" t="s">
        <v>6751</v>
      </c>
      <c r="E4597" s="115" t="s">
        <v>6752</v>
      </c>
    </row>
    <row r="4598" spans="1:5" x14ac:dyDescent="0.25">
      <c r="B4598" s="115" t="s">
        <v>6753</v>
      </c>
      <c r="D4598" s="115" t="s">
        <v>6754</v>
      </c>
      <c r="E4598" s="115" t="s">
        <v>6755</v>
      </c>
    </row>
    <row r="4599" spans="1:5" x14ac:dyDescent="0.25">
      <c r="A4599" s="115" t="s">
        <v>1138</v>
      </c>
      <c r="B4599" s="115" t="s">
        <v>1279</v>
      </c>
      <c r="D4599" s="115" t="s">
        <v>6756</v>
      </c>
      <c r="E4599" s="115" t="s">
        <v>6757</v>
      </c>
    </row>
    <row r="4600" spans="1:5" x14ac:dyDescent="0.25">
      <c r="B4600" s="115" t="s">
        <v>1139</v>
      </c>
      <c r="D4600" s="115" t="s">
        <v>6437</v>
      </c>
      <c r="E4600" s="115" t="s">
        <v>6758</v>
      </c>
    </row>
    <row r="4601" spans="1:5" x14ac:dyDescent="0.25">
      <c r="B4601" s="115" t="s">
        <v>1139</v>
      </c>
      <c r="D4601" s="115" t="s">
        <v>6759</v>
      </c>
      <c r="E4601" s="115" t="s">
        <v>6760</v>
      </c>
    </row>
    <row r="4602" spans="1:5" x14ac:dyDescent="0.25">
      <c r="A4602" s="115">
        <v>-6</v>
      </c>
      <c r="B4602" s="115" t="s">
        <v>6761</v>
      </c>
      <c r="D4602" s="115" t="s">
        <v>6762</v>
      </c>
      <c r="E4602" s="115" t="s">
        <v>6763</v>
      </c>
    </row>
    <row r="4603" spans="1:5" x14ac:dyDescent="0.25">
      <c r="A4603" s="115">
        <v>-2</v>
      </c>
      <c r="B4603" s="115" t="s">
        <v>6764</v>
      </c>
      <c r="D4603" s="115" t="s">
        <v>6765</v>
      </c>
      <c r="E4603" s="115" t="s">
        <v>6766</v>
      </c>
    </row>
    <row r="4604" spans="1:5" x14ac:dyDescent="0.25">
      <c r="A4604" s="115">
        <v>-2</v>
      </c>
      <c r="B4604" s="115" t="s">
        <v>6767</v>
      </c>
      <c r="D4604" s="115" t="s">
        <v>6768</v>
      </c>
      <c r="E4604" s="115" t="s">
        <v>1141</v>
      </c>
    </row>
    <row r="4605" spans="1:5" x14ac:dyDescent="0.25">
      <c r="B4605" s="115" t="s">
        <v>6769</v>
      </c>
      <c r="D4605" s="115" t="s">
        <v>6770</v>
      </c>
      <c r="E4605" s="115" t="s">
        <v>6771</v>
      </c>
    </row>
    <row r="4606" spans="1:5" x14ac:dyDescent="0.25">
      <c r="B4606" s="115" t="s">
        <v>6772</v>
      </c>
      <c r="D4606" s="115" t="s">
        <v>6773</v>
      </c>
      <c r="E4606" s="115" t="s">
        <v>6774</v>
      </c>
    </row>
    <row r="4607" spans="1:5" x14ac:dyDescent="0.25">
      <c r="B4607" s="115" t="s">
        <v>1139</v>
      </c>
      <c r="D4607" s="115" t="s">
        <v>1140</v>
      </c>
      <c r="E4607" s="115" t="s">
        <v>1141</v>
      </c>
    </row>
    <row r="4608" spans="1:5" x14ac:dyDescent="0.25">
      <c r="B4608" s="115" t="s">
        <v>1139</v>
      </c>
      <c r="D4608" s="115" t="s">
        <v>2183</v>
      </c>
      <c r="E4608" s="115" t="s">
        <v>2690</v>
      </c>
    </row>
    <row r="4609" spans="1:5" x14ac:dyDescent="0.25">
      <c r="B4609" s="115" t="s">
        <v>6775</v>
      </c>
      <c r="D4609" s="115" t="s">
        <v>6776</v>
      </c>
      <c r="E4609" s="115" t="s">
        <v>6777</v>
      </c>
    </row>
    <row r="4610" spans="1:5" x14ac:dyDescent="0.25">
      <c r="B4610" s="115" t="s">
        <v>6778</v>
      </c>
      <c r="C4610" s="115">
        <v>1</v>
      </c>
      <c r="D4610" s="115" t="s">
        <v>6779</v>
      </c>
      <c r="E4610" s="115" t="s">
        <v>6780</v>
      </c>
    </row>
    <row r="4611" spans="1:5" x14ac:dyDescent="0.25">
      <c r="A4611" s="115">
        <v>37</v>
      </c>
      <c r="B4611" s="115" t="s">
        <v>6781</v>
      </c>
      <c r="C4611" s="115">
        <v>1</v>
      </c>
      <c r="D4611" s="115" t="s">
        <v>6782</v>
      </c>
      <c r="E4611" s="115" t="s">
        <v>6783</v>
      </c>
    </row>
    <row r="4612" spans="1:5" x14ac:dyDescent="0.25">
      <c r="A4612" s="115">
        <v>13</v>
      </c>
      <c r="B4612" s="115" t="s">
        <v>6784</v>
      </c>
      <c r="C4612" s="115">
        <v>3</v>
      </c>
      <c r="D4612" s="115" t="s">
        <v>6785</v>
      </c>
      <c r="E4612" s="115" t="s">
        <v>6786</v>
      </c>
    </row>
    <row r="4613" spans="1:5" x14ac:dyDescent="0.25">
      <c r="B4613" s="115" t="s">
        <v>1139</v>
      </c>
      <c r="D4613" s="115" t="s">
        <v>6787</v>
      </c>
      <c r="E4613" s="115" t="s">
        <v>6788</v>
      </c>
    </row>
    <row r="4614" spans="1:5" x14ac:dyDescent="0.25">
      <c r="B4614" s="115" t="s">
        <v>1139</v>
      </c>
      <c r="D4614" s="115" t="s">
        <v>1140</v>
      </c>
      <c r="E4614" s="115" t="s">
        <v>6789</v>
      </c>
    </row>
    <row r="4615" spans="1:5" x14ac:dyDescent="0.25">
      <c r="B4615" s="115" t="s">
        <v>1139</v>
      </c>
      <c r="D4615" s="115" t="s">
        <v>6790</v>
      </c>
      <c r="E4615" s="115" t="s">
        <v>6791</v>
      </c>
    </row>
    <row r="4616" spans="1:5" x14ac:dyDescent="0.25">
      <c r="B4616" s="115" t="s">
        <v>6792</v>
      </c>
      <c r="D4616" s="115" t="s">
        <v>1830</v>
      </c>
      <c r="E4616" s="115" t="s">
        <v>1759</v>
      </c>
    </row>
    <row r="4617" spans="1:5" x14ac:dyDescent="0.25">
      <c r="B4617" s="115" t="s">
        <v>1516</v>
      </c>
      <c r="D4617" s="115" t="s">
        <v>1140</v>
      </c>
      <c r="E4617" s="115" t="s">
        <v>6793</v>
      </c>
    </row>
    <row r="4618" spans="1:5" x14ac:dyDescent="0.25">
      <c r="A4618" s="115">
        <v>-7</v>
      </c>
      <c r="B4618" s="115" t="s">
        <v>1552</v>
      </c>
      <c r="D4618" s="115" t="s">
        <v>6794</v>
      </c>
      <c r="E4618" s="115" t="s">
        <v>6795</v>
      </c>
    </row>
    <row r="4619" spans="1:5" x14ac:dyDescent="0.25">
      <c r="B4619" s="115" t="s">
        <v>1139</v>
      </c>
      <c r="D4619" s="115" t="s">
        <v>6796</v>
      </c>
      <c r="E4619" s="115" t="s">
        <v>6797</v>
      </c>
    </row>
    <row r="4620" spans="1:5" x14ac:dyDescent="0.25">
      <c r="B4620" s="115" t="s">
        <v>6798</v>
      </c>
      <c r="D4620" s="115" t="s">
        <v>1140</v>
      </c>
      <c r="E4620" s="115" t="s">
        <v>6799</v>
      </c>
    </row>
    <row r="4621" spans="1:5" x14ac:dyDescent="0.25">
      <c r="A4621" s="115">
        <v>-7</v>
      </c>
      <c r="B4621" s="115" t="s">
        <v>6800</v>
      </c>
      <c r="D4621" s="115" t="s">
        <v>6801</v>
      </c>
      <c r="E4621" s="115" t="s">
        <v>6802</v>
      </c>
    </row>
    <row r="4622" spans="1:5" x14ac:dyDescent="0.25">
      <c r="B4622" s="115" t="s">
        <v>6803</v>
      </c>
      <c r="D4622" s="115" t="s">
        <v>6804</v>
      </c>
      <c r="E4622" s="115" t="s">
        <v>6805</v>
      </c>
    </row>
    <row r="4623" spans="1:5" x14ac:dyDescent="0.25">
      <c r="B4623" s="115">
        <f>-55    -43</f>
        <v>-98</v>
      </c>
      <c r="D4623" s="115" t="s">
        <v>1140</v>
      </c>
      <c r="E4623" s="115" t="s">
        <v>6806</v>
      </c>
    </row>
    <row r="4624" spans="1:5" x14ac:dyDescent="0.25">
      <c r="A4624" s="115">
        <v>-7</v>
      </c>
      <c r="B4624" s="115" t="s">
        <v>6807</v>
      </c>
      <c r="D4624" s="115" t="s">
        <v>6808</v>
      </c>
      <c r="E4624" s="115" t="s">
        <v>6809</v>
      </c>
    </row>
    <row r="4625" spans="1:5" x14ac:dyDescent="0.25">
      <c r="B4625" s="115" t="s">
        <v>6810</v>
      </c>
      <c r="D4625" s="115" t="s">
        <v>6811</v>
      </c>
      <c r="E4625" s="115" t="s">
        <v>6812</v>
      </c>
    </row>
    <row r="4626" spans="1:5" x14ac:dyDescent="0.25">
      <c r="B4626" s="115" t="s">
        <v>6813</v>
      </c>
      <c r="D4626" s="115" t="s">
        <v>1140</v>
      </c>
      <c r="E4626" s="115" t="s">
        <v>6814</v>
      </c>
    </row>
    <row r="4627" spans="1:5" x14ac:dyDescent="0.25">
      <c r="A4627" s="115">
        <v>-24</v>
      </c>
      <c r="B4627" s="115" t="s">
        <v>6815</v>
      </c>
      <c r="D4627" s="115" t="s">
        <v>6816</v>
      </c>
      <c r="E4627" s="115" t="s">
        <v>6817</v>
      </c>
    </row>
    <row r="4628" spans="1:5" x14ac:dyDescent="0.25">
      <c r="B4628" s="115" t="s">
        <v>6818</v>
      </c>
      <c r="D4628" s="115" t="s">
        <v>6819</v>
      </c>
      <c r="E4628" s="115" t="s">
        <v>6820</v>
      </c>
    </row>
    <row r="4629" spans="1:5" x14ac:dyDescent="0.25">
      <c r="B4629" s="115" t="s">
        <v>1139</v>
      </c>
      <c r="D4629" s="115" t="s">
        <v>1140</v>
      </c>
      <c r="E4629" s="115" t="s">
        <v>6821</v>
      </c>
    </row>
    <row r="4630" spans="1:5" x14ac:dyDescent="0.25">
      <c r="A4630" s="115">
        <v>6</v>
      </c>
      <c r="B4630" s="115" t="s">
        <v>1670</v>
      </c>
      <c r="D4630" s="115" t="s">
        <v>1140</v>
      </c>
      <c r="E4630" s="115" t="s">
        <v>6822</v>
      </c>
    </row>
    <row r="4631" spans="1:5" x14ac:dyDescent="0.25">
      <c r="A4631" s="115">
        <v>-3</v>
      </c>
      <c r="B4631" s="115" t="s">
        <v>6823</v>
      </c>
      <c r="C4631" s="115" t="s">
        <v>1138</v>
      </c>
      <c r="D4631" s="115" t="s">
        <v>6824</v>
      </c>
      <c r="E4631" s="115" t="s">
        <v>6825</v>
      </c>
    </row>
    <row r="4632" spans="1:5" x14ac:dyDescent="0.25">
      <c r="B4632" s="115" t="s">
        <v>6826</v>
      </c>
      <c r="D4632" s="115" t="s">
        <v>1140</v>
      </c>
      <c r="E4632" s="115" t="s">
        <v>6827</v>
      </c>
    </row>
    <row r="4633" spans="1:5" x14ac:dyDescent="0.25">
      <c r="A4633" s="115">
        <v>-1</v>
      </c>
      <c r="B4633" s="115" t="s">
        <v>6828</v>
      </c>
      <c r="C4633" s="115" t="s">
        <v>1138</v>
      </c>
      <c r="D4633" s="115" t="s">
        <v>6829</v>
      </c>
      <c r="E4633" s="115" t="s">
        <v>1141</v>
      </c>
    </row>
    <row r="4634" spans="1:5" x14ac:dyDescent="0.25">
      <c r="B4634" s="115" t="s">
        <v>1139</v>
      </c>
      <c r="D4634" s="115" t="s">
        <v>6830</v>
      </c>
      <c r="E4634" s="115" t="s">
        <v>6831</v>
      </c>
    </row>
    <row r="4635" spans="1:5" x14ac:dyDescent="0.25">
      <c r="A4635" s="115">
        <v>-1</v>
      </c>
      <c r="B4635" s="115" t="s">
        <v>1441</v>
      </c>
      <c r="C4635" s="115" t="s">
        <v>1138</v>
      </c>
      <c r="D4635" s="115" t="s">
        <v>6832</v>
      </c>
      <c r="E4635" s="115" t="s">
        <v>6833</v>
      </c>
    </row>
    <row r="4636" spans="1:5" x14ac:dyDescent="0.25">
      <c r="A4636" s="115">
        <v>1</v>
      </c>
      <c r="B4636" s="115" t="s">
        <v>1145</v>
      </c>
      <c r="D4636" s="115" t="s">
        <v>1140</v>
      </c>
      <c r="E4636" s="115" t="s">
        <v>1141</v>
      </c>
    </row>
    <row r="4637" spans="1:5" x14ac:dyDescent="0.25">
      <c r="B4637" s="115" t="s">
        <v>1139</v>
      </c>
      <c r="D4637" s="115" t="s">
        <v>1140</v>
      </c>
      <c r="E4637" s="115" t="s">
        <v>6834</v>
      </c>
    </row>
    <row r="4638" spans="1:5" x14ac:dyDescent="0.25">
      <c r="B4638" s="115" t="s">
        <v>6835</v>
      </c>
      <c r="D4638" s="115" t="s">
        <v>6836</v>
      </c>
      <c r="E4638" s="115" t="s">
        <v>6837</v>
      </c>
    </row>
    <row r="4639" spans="1:5" x14ac:dyDescent="0.25">
      <c r="B4639" s="115" t="s">
        <v>1139</v>
      </c>
      <c r="D4639" s="115" t="s">
        <v>6838</v>
      </c>
      <c r="E4639" s="115" t="s">
        <v>6839</v>
      </c>
    </row>
    <row r="4640" spans="1:5" x14ac:dyDescent="0.25">
      <c r="A4640" s="115">
        <v>25</v>
      </c>
      <c r="B4640" s="115" t="s">
        <v>6840</v>
      </c>
      <c r="C4640" s="115">
        <v>3</v>
      </c>
      <c r="D4640" s="115" t="s">
        <v>6841</v>
      </c>
      <c r="E4640" s="115" t="s">
        <v>6842</v>
      </c>
    </row>
    <row r="4641" spans="1:5" x14ac:dyDescent="0.25">
      <c r="A4641" s="115">
        <v>40</v>
      </c>
      <c r="B4641" s="115" t="s">
        <v>6843</v>
      </c>
      <c r="C4641" s="115">
        <v>2</v>
      </c>
      <c r="D4641" s="115" t="s">
        <v>6844</v>
      </c>
      <c r="E4641" s="115" t="s">
        <v>6845</v>
      </c>
    </row>
    <row r="4642" spans="1:5" x14ac:dyDescent="0.25">
      <c r="A4642" s="115">
        <v>-6</v>
      </c>
      <c r="B4642" s="115" t="s">
        <v>6846</v>
      </c>
      <c r="D4642" s="115" t="s">
        <v>6847</v>
      </c>
      <c r="E4642" s="115" t="s">
        <v>6848</v>
      </c>
    </row>
    <row r="4643" spans="1:5" x14ac:dyDescent="0.25">
      <c r="A4643" s="115">
        <v>1</v>
      </c>
      <c r="B4643" s="115" t="s">
        <v>6849</v>
      </c>
      <c r="D4643" s="115" t="s">
        <v>1140</v>
      </c>
      <c r="E4643" s="115" t="s">
        <v>1141</v>
      </c>
    </row>
    <row r="4644" spans="1:5" x14ac:dyDescent="0.25">
      <c r="A4644" s="115">
        <v>-1</v>
      </c>
      <c r="B4644" s="115" t="s">
        <v>6850</v>
      </c>
      <c r="D4644" s="115" t="s">
        <v>6851</v>
      </c>
      <c r="E4644" s="115" t="s">
        <v>6852</v>
      </c>
    </row>
    <row r="4645" spans="1:5" x14ac:dyDescent="0.25">
      <c r="B4645" s="115" t="s">
        <v>1139</v>
      </c>
      <c r="D4645" s="115" t="s">
        <v>6853</v>
      </c>
      <c r="E4645" s="115" t="s">
        <v>6854</v>
      </c>
    </row>
    <row r="4646" spans="1:5" x14ac:dyDescent="0.25">
      <c r="B4646" s="115" t="s">
        <v>1139</v>
      </c>
      <c r="D4646" s="115" t="s">
        <v>6855</v>
      </c>
      <c r="E4646" s="115" t="s">
        <v>1141</v>
      </c>
    </row>
    <row r="4647" spans="1:5" x14ac:dyDescent="0.25">
      <c r="B4647" s="115" t="s">
        <v>2765</v>
      </c>
      <c r="D4647" s="115" t="s">
        <v>6856</v>
      </c>
      <c r="E4647" s="115" t="s">
        <v>6857</v>
      </c>
    </row>
    <row r="4648" spans="1:5" x14ac:dyDescent="0.25">
      <c r="A4648" s="115">
        <v>-1</v>
      </c>
      <c r="B4648" s="115" t="s">
        <v>6858</v>
      </c>
      <c r="D4648" s="115" t="s">
        <v>6859</v>
      </c>
      <c r="E4648" s="115" t="s">
        <v>6860</v>
      </c>
    </row>
    <row r="4649" spans="1:5" x14ac:dyDescent="0.25">
      <c r="B4649" s="126">
        <v>18383</v>
      </c>
      <c r="D4649" s="115" t="s">
        <v>6861</v>
      </c>
      <c r="E4649" s="115" t="s">
        <v>6862</v>
      </c>
    </row>
    <row r="4650" spans="1:5" x14ac:dyDescent="0.25">
      <c r="B4650" s="115" t="s">
        <v>6863</v>
      </c>
      <c r="C4650" s="115" t="s">
        <v>1138</v>
      </c>
      <c r="D4650" s="115" t="s">
        <v>6864</v>
      </c>
      <c r="E4650" s="115" t="s">
        <v>6865</v>
      </c>
    </row>
    <row r="4651" spans="1:5" x14ac:dyDescent="0.25">
      <c r="B4651" s="115" t="s">
        <v>6866</v>
      </c>
      <c r="D4651" s="115" t="s">
        <v>6867</v>
      </c>
      <c r="E4651" s="115" t="s">
        <v>6868</v>
      </c>
    </row>
    <row r="4652" spans="1:5" x14ac:dyDescent="0.25">
      <c r="B4652" s="115" t="s">
        <v>6869</v>
      </c>
      <c r="D4652" s="115" t="s">
        <v>6870</v>
      </c>
      <c r="E4652" s="115" t="s">
        <v>6871</v>
      </c>
    </row>
    <row r="4653" spans="1:5" x14ac:dyDescent="0.25">
      <c r="B4653" s="115" t="s">
        <v>6872</v>
      </c>
      <c r="C4653" s="115" t="s">
        <v>1138</v>
      </c>
      <c r="D4653" s="115" t="s">
        <v>6873</v>
      </c>
      <c r="E4653" s="115" t="s">
        <v>6874</v>
      </c>
    </row>
    <row r="4654" spans="1:5" x14ac:dyDescent="0.25">
      <c r="B4654" s="115" t="s">
        <v>6875</v>
      </c>
      <c r="D4654" s="115" t="s">
        <v>6876</v>
      </c>
      <c r="E4654" s="115" t="s">
        <v>6877</v>
      </c>
    </row>
    <row r="4655" spans="1:5" x14ac:dyDescent="0.25">
      <c r="B4655" s="115" t="s">
        <v>1555</v>
      </c>
      <c r="D4655" s="115" t="s">
        <v>6878</v>
      </c>
      <c r="E4655" s="115" t="s">
        <v>6879</v>
      </c>
    </row>
    <row r="4656" spans="1:5" x14ac:dyDescent="0.25">
      <c r="B4656" s="115" t="s">
        <v>6880</v>
      </c>
      <c r="D4656" s="115" t="s">
        <v>6881</v>
      </c>
      <c r="E4656" s="115" t="s">
        <v>6882</v>
      </c>
    </row>
    <row r="4657" spans="1:5" x14ac:dyDescent="0.25">
      <c r="A4657" s="115" t="s">
        <v>1138</v>
      </c>
      <c r="B4657" s="115" t="s">
        <v>6883</v>
      </c>
      <c r="D4657" s="115" t="s">
        <v>6884</v>
      </c>
      <c r="E4657" s="115" t="s">
        <v>6885</v>
      </c>
    </row>
    <row r="4658" spans="1:5" x14ac:dyDescent="0.25">
      <c r="B4658" s="115" t="s">
        <v>2364</v>
      </c>
      <c r="D4658" s="115" t="s">
        <v>1140</v>
      </c>
      <c r="E4658" s="115" t="s">
        <v>6886</v>
      </c>
    </row>
    <row r="4659" spans="1:5" x14ac:dyDescent="0.25">
      <c r="B4659" s="115" t="s">
        <v>6887</v>
      </c>
      <c r="D4659" s="115" t="s">
        <v>6888</v>
      </c>
      <c r="E4659" s="115" t="s">
        <v>6889</v>
      </c>
    </row>
    <row r="4660" spans="1:5" x14ac:dyDescent="0.25">
      <c r="A4660" s="115">
        <v>-1</v>
      </c>
      <c r="B4660" s="115" t="s">
        <v>6890</v>
      </c>
      <c r="D4660" s="115" t="s">
        <v>6891</v>
      </c>
      <c r="E4660" s="115" t="s">
        <v>6892</v>
      </c>
    </row>
    <row r="4661" spans="1:5" x14ac:dyDescent="0.25">
      <c r="B4661" s="115" t="s">
        <v>6436</v>
      </c>
      <c r="D4661" s="115" t="s">
        <v>6893</v>
      </c>
      <c r="E4661" s="115" t="s">
        <v>6894</v>
      </c>
    </row>
    <row r="4662" spans="1:5" x14ac:dyDescent="0.25">
      <c r="A4662" s="115">
        <v>-1</v>
      </c>
      <c r="B4662" s="115" t="s">
        <v>6895</v>
      </c>
      <c r="D4662" s="115" t="s">
        <v>6896</v>
      </c>
      <c r="E4662" s="115" t="s">
        <v>6897</v>
      </c>
    </row>
    <row r="4663" spans="1:5" x14ac:dyDescent="0.25">
      <c r="B4663" s="115" t="s">
        <v>1139</v>
      </c>
      <c r="D4663" s="115" t="s">
        <v>6898</v>
      </c>
      <c r="E4663" s="115" t="s">
        <v>6899</v>
      </c>
    </row>
    <row r="4664" spans="1:5" x14ac:dyDescent="0.25">
      <c r="B4664" s="115" t="s">
        <v>1139</v>
      </c>
      <c r="D4664" s="115" t="s">
        <v>6900</v>
      </c>
      <c r="E4664" s="115" t="s">
        <v>1894</v>
      </c>
    </row>
    <row r="4665" spans="1:5" x14ac:dyDescent="0.25">
      <c r="B4665" s="115" t="s">
        <v>1595</v>
      </c>
      <c r="D4665" s="115" t="s">
        <v>6901</v>
      </c>
      <c r="E4665" s="115" t="s">
        <v>1141</v>
      </c>
    </row>
    <row r="4666" spans="1:5" x14ac:dyDescent="0.25">
      <c r="B4666" s="115" t="s">
        <v>1139</v>
      </c>
      <c r="D4666" s="115" t="s">
        <v>1140</v>
      </c>
      <c r="E4666" s="115" t="s">
        <v>6902</v>
      </c>
    </row>
    <row r="4667" spans="1:5" x14ac:dyDescent="0.25">
      <c r="B4667" s="115" t="s">
        <v>1139</v>
      </c>
      <c r="D4667" s="115" t="s">
        <v>6903</v>
      </c>
      <c r="E4667" s="115" t="s">
        <v>6904</v>
      </c>
    </row>
    <row r="4668" spans="1:5" x14ac:dyDescent="0.25">
      <c r="A4668" s="115">
        <v>-3</v>
      </c>
      <c r="B4668" s="115" t="s">
        <v>6905</v>
      </c>
      <c r="D4668" s="115" t="s">
        <v>6906</v>
      </c>
      <c r="E4668" s="115" t="s">
        <v>6907</v>
      </c>
    </row>
    <row r="4669" spans="1:5" x14ac:dyDescent="0.25">
      <c r="B4669" s="115" t="s">
        <v>6908</v>
      </c>
      <c r="D4669" s="115" t="s">
        <v>6909</v>
      </c>
      <c r="E4669" s="115" t="s">
        <v>6910</v>
      </c>
    </row>
    <row r="4670" spans="1:5" x14ac:dyDescent="0.25">
      <c r="A4670" s="115">
        <v>3</v>
      </c>
      <c r="B4670" s="115" t="s">
        <v>6911</v>
      </c>
      <c r="D4670" s="115" t="s">
        <v>6912</v>
      </c>
      <c r="E4670" s="115" t="s">
        <v>6913</v>
      </c>
    </row>
    <row r="4671" spans="1:5" x14ac:dyDescent="0.25">
      <c r="A4671" s="115">
        <v>2</v>
      </c>
      <c r="B4671" s="115" t="s">
        <v>6914</v>
      </c>
      <c r="D4671" s="115" t="s">
        <v>6915</v>
      </c>
      <c r="E4671" s="115" t="s">
        <v>6916</v>
      </c>
    </row>
    <row r="4672" spans="1:5" x14ac:dyDescent="0.25">
      <c r="B4672" s="115" t="s">
        <v>1139</v>
      </c>
      <c r="D4672" s="115" t="s">
        <v>6917</v>
      </c>
      <c r="E4672" s="115" t="s">
        <v>1141</v>
      </c>
    </row>
    <row r="4673" spans="1:5" x14ac:dyDescent="0.25">
      <c r="B4673" s="115" t="s">
        <v>1139</v>
      </c>
      <c r="D4673" s="115" t="s">
        <v>6918</v>
      </c>
      <c r="E4673" s="115" t="s">
        <v>6919</v>
      </c>
    </row>
    <row r="4674" spans="1:5" x14ac:dyDescent="0.25">
      <c r="A4674" s="115" t="s">
        <v>1138</v>
      </c>
      <c r="B4674" s="115" t="s">
        <v>6920</v>
      </c>
      <c r="D4674" s="115" t="s">
        <v>1359</v>
      </c>
      <c r="E4674" s="115" t="s">
        <v>6921</v>
      </c>
    </row>
    <row r="4675" spans="1:5" x14ac:dyDescent="0.25">
      <c r="A4675" s="115" t="s">
        <v>1138</v>
      </c>
      <c r="B4675" s="115" t="s">
        <v>1148</v>
      </c>
      <c r="D4675" s="115" t="s">
        <v>1140</v>
      </c>
      <c r="E4675" s="115" t="s">
        <v>6922</v>
      </c>
    </row>
    <row r="4676" spans="1:5" x14ac:dyDescent="0.25">
      <c r="B4676" s="115" t="s">
        <v>1139</v>
      </c>
      <c r="D4676" s="115" t="s">
        <v>6923</v>
      </c>
      <c r="E4676" s="115" t="s">
        <v>6924</v>
      </c>
    </row>
    <row r="4677" spans="1:5" x14ac:dyDescent="0.25">
      <c r="B4677" s="115" t="s">
        <v>1139</v>
      </c>
      <c r="D4677" s="115" t="s">
        <v>6925</v>
      </c>
      <c r="E4677" s="115" t="s">
        <v>6926</v>
      </c>
    </row>
    <row r="4678" spans="1:5" x14ac:dyDescent="0.25">
      <c r="A4678" s="115">
        <v>4</v>
      </c>
      <c r="B4678" s="115" t="s">
        <v>6927</v>
      </c>
      <c r="D4678" s="115" t="s">
        <v>6928</v>
      </c>
      <c r="E4678" s="115" t="s">
        <v>6929</v>
      </c>
    </row>
    <row r="4679" spans="1:5" x14ac:dyDescent="0.25">
      <c r="B4679" s="115" t="s">
        <v>6930</v>
      </c>
      <c r="D4679" s="115" t="s">
        <v>6931</v>
      </c>
      <c r="E4679" s="115" t="s">
        <v>6932</v>
      </c>
    </row>
    <row r="4680" spans="1:5" x14ac:dyDescent="0.25">
      <c r="A4680" s="115" t="s">
        <v>1138</v>
      </c>
      <c r="B4680" s="115" t="s">
        <v>6933</v>
      </c>
      <c r="C4680" s="115" t="s">
        <v>1138</v>
      </c>
      <c r="D4680" s="115" t="s">
        <v>6934</v>
      </c>
      <c r="E4680" s="115" t="s">
        <v>6935</v>
      </c>
    </row>
    <row r="4681" spans="1:5" x14ac:dyDescent="0.25">
      <c r="A4681" s="115" t="s">
        <v>1138</v>
      </c>
      <c r="B4681" s="115" t="s">
        <v>6936</v>
      </c>
      <c r="D4681" s="115" t="s">
        <v>6937</v>
      </c>
      <c r="E4681" s="115" t="s">
        <v>6938</v>
      </c>
    </row>
    <row r="4682" spans="1:5" x14ac:dyDescent="0.25">
      <c r="B4682" s="115" t="s">
        <v>6939</v>
      </c>
      <c r="C4682" s="115">
        <v>1</v>
      </c>
      <c r="D4682" s="115" t="s">
        <v>6940</v>
      </c>
      <c r="E4682" s="115" t="s">
        <v>6941</v>
      </c>
    </row>
    <row r="4683" spans="1:5" x14ac:dyDescent="0.25">
      <c r="A4683" s="115" t="s">
        <v>1138</v>
      </c>
      <c r="B4683" s="115" t="s">
        <v>6942</v>
      </c>
      <c r="D4683" s="115" t="s">
        <v>6943</v>
      </c>
      <c r="E4683" s="115" t="s">
        <v>6944</v>
      </c>
    </row>
    <row r="4684" spans="1:5" x14ac:dyDescent="0.25">
      <c r="B4684" s="115" t="s">
        <v>1139</v>
      </c>
      <c r="D4684" s="115" t="s">
        <v>6945</v>
      </c>
      <c r="E4684" s="115" t="s">
        <v>6946</v>
      </c>
    </row>
    <row r="4685" spans="1:5" x14ac:dyDescent="0.25">
      <c r="B4685" s="115" t="s">
        <v>1260</v>
      </c>
      <c r="C4685" s="115">
        <v>1</v>
      </c>
      <c r="D4685" s="115" t="s">
        <v>6947</v>
      </c>
      <c r="E4685" s="115" t="s">
        <v>6948</v>
      </c>
    </row>
    <row r="4686" spans="1:5" x14ac:dyDescent="0.25">
      <c r="A4686" s="115" t="s">
        <v>1138</v>
      </c>
      <c r="B4686" s="115" t="s">
        <v>6949</v>
      </c>
      <c r="D4686" s="115">
        <f>-673   -959   -379</f>
        <v>-2011</v>
      </c>
      <c r="E4686" s="115" t="s">
        <v>6950</v>
      </c>
    </row>
    <row r="4687" spans="1:5" x14ac:dyDescent="0.25">
      <c r="B4687" s="115" t="s">
        <v>6951</v>
      </c>
      <c r="D4687" s="115" t="s">
        <v>6952</v>
      </c>
      <c r="E4687" s="115" t="s">
        <v>1141</v>
      </c>
    </row>
    <row r="4688" spans="1:5" x14ac:dyDescent="0.25">
      <c r="B4688" s="115" t="s">
        <v>6953</v>
      </c>
      <c r="D4688" s="115" t="s">
        <v>6954</v>
      </c>
      <c r="E4688" s="115" t="s">
        <v>1859</v>
      </c>
    </row>
    <row r="4689" spans="1:5" x14ac:dyDescent="0.25">
      <c r="B4689" s="115" t="s">
        <v>6955</v>
      </c>
      <c r="D4689" s="115" t="s">
        <v>6956</v>
      </c>
      <c r="E4689" s="115" t="s">
        <v>6957</v>
      </c>
    </row>
    <row r="4690" spans="1:5" x14ac:dyDescent="0.25">
      <c r="B4690" s="115" t="s">
        <v>6958</v>
      </c>
      <c r="D4690" s="115" t="s">
        <v>6959</v>
      </c>
      <c r="E4690" s="115" t="s">
        <v>6960</v>
      </c>
    </row>
    <row r="4691" spans="1:5" x14ac:dyDescent="0.25">
      <c r="B4691" s="115" t="s">
        <v>1633</v>
      </c>
      <c r="C4691" s="115">
        <v>1</v>
      </c>
      <c r="D4691" s="115" t="s">
        <v>6961</v>
      </c>
      <c r="E4691" s="115" t="s">
        <v>6962</v>
      </c>
    </row>
    <row r="4692" spans="1:5" x14ac:dyDescent="0.25">
      <c r="B4692" s="115" t="s">
        <v>1139</v>
      </c>
      <c r="D4692" s="115" t="s">
        <v>1140</v>
      </c>
      <c r="E4692" s="115" t="s">
        <v>6963</v>
      </c>
    </row>
    <row r="4693" spans="1:5" x14ac:dyDescent="0.25">
      <c r="A4693" s="115">
        <v>-5</v>
      </c>
      <c r="B4693" s="115" t="s">
        <v>6964</v>
      </c>
      <c r="D4693" s="115" t="s">
        <v>6965</v>
      </c>
      <c r="E4693" s="115" t="s">
        <v>6966</v>
      </c>
    </row>
    <row r="4694" spans="1:5" x14ac:dyDescent="0.25">
      <c r="B4694" s="115" t="s">
        <v>1139</v>
      </c>
      <c r="D4694" s="115" t="s">
        <v>6967</v>
      </c>
      <c r="E4694" s="115" t="s">
        <v>2082</v>
      </c>
    </row>
    <row r="4695" spans="1:5" x14ac:dyDescent="0.25">
      <c r="B4695" s="115" t="s">
        <v>1139</v>
      </c>
      <c r="D4695" s="115" t="s">
        <v>1140</v>
      </c>
      <c r="E4695" s="115" t="s">
        <v>1141</v>
      </c>
    </row>
    <row r="4696" spans="1:5" x14ac:dyDescent="0.25">
      <c r="B4696" s="115" t="s">
        <v>6968</v>
      </c>
      <c r="D4696" s="115" t="s">
        <v>1140</v>
      </c>
      <c r="E4696" s="115" t="s">
        <v>6969</v>
      </c>
    </row>
    <row r="4697" spans="1:5" x14ac:dyDescent="0.25">
      <c r="A4697" s="115">
        <v>-1</v>
      </c>
      <c r="B4697" s="115" t="s">
        <v>6970</v>
      </c>
      <c r="D4697" s="115">
        <f>-585   -804   -925</f>
        <v>-2314</v>
      </c>
      <c r="E4697" s="115" t="s">
        <v>6971</v>
      </c>
    </row>
    <row r="4698" spans="1:5" x14ac:dyDescent="0.25">
      <c r="B4698" s="115" t="s">
        <v>6972</v>
      </c>
      <c r="D4698" s="115" t="s">
        <v>6973</v>
      </c>
      <c r="E4698" s="115" t="s">
        <v>6974</v>
      </c>
    </row>
    <row r="4699" spans="1:5" x14ac:dyDescent="0.25">
      <c r="A4699" s="115">
        <v>1</v>
      </c>
      <c r="B4699" s="115" t="s">
        <v>6975</v>
      </c>
      <c r="C4699" s="115" t="s">
        <v>1138</v>
      </c>
      <c r="D4699" s="115" t="s">
        <v>6976</v>
      </c>
      <c r="E4699" s="115" t="s">
        <v>6977</v>
      </c>
    </row>
    <row r="4700" spans="1:5" x14ac:dyDescent="0.25">
      <c r="A4700" s="115">
        <v>-3</v>
      </c>
      <c r="B4700" s="115" t="s">
        <v>6978</v>
      </c>
      <c r="D4700" s="115" t="s">
        <v>6979</v>
      </c>
      <c r="E4700" s="115" t="s">
        <v>6980</v>
      </c>
    </row>
    <row r="4701" spans="1:5" x14ac:dyDescent="0.25">
      <c r="B4701" s="115" t="s">
        <v>6981</v>
      </c>
      <c r="D4701" s="115" t="s">
        <v>6982</v>
      </c>
      <c r="E4701" s="115" t="s">
        <v>6983</v>
      </c>
    </row>
    <row r="4702" spans="1:5" x14ac:dyDescent="0.25">
      <c r="B4702" s="115" t="s">
        <v>1139</v>
      </c>
      <c r="D4702" s="115" t="s">
        <v>1140</v>
      </c>
      <c r="E4702" s="115" t="s">
        <v>6984</v>
      </c>
    </row>
    <row r="4703" spans="1:5" x14ac:dyDescent="0.25">
      <c r="B4703" s="115" t="s">
        <v>6985</v>
      </c>
      <c r="D4703" s="115" t="s">
        <v>6986</v>
      </c>
      <c r="E4703" s="115" t="s">
        <v>6987</v>
      </c>
    </row>
    <row r="4704" spans="1:5" x14ac:dyDescent="0.25">
      <c r="A4704" s="115">
        <v>1</v>
      </c>
      <c r="B4704" s="115" t="s">
        <v>1304</v>
      </c>
      <c r="D4704" s="115" t="s">
        <v>6988</v>
      </c>
      <c r="E4704" s="115" t="s">
        <v>1141</v>
      </c>
    </row>
    <row r="4705" spans="1:5" x14ac:dyDescent="0.25">
      <c r="A4705" s="115" t="s">
        <v>1138</v>
      </c>
      <c r="B4705" s="115" t="s">
        <v>1485</v>
      </c>
      <c r="D4705" s="115" t="s">
        <v>1140</v>
      </c>
      <c r="E4705" s="115" t="s">
        <v>6989</v>
      </c>
    </row>
    <row r="4706" spans="1:5" x14ac:dyDescent="0.25">
      <c r="B4706" s="115" t="s">
        <v>6990</v>
      </c>
      <c r="D4706" s="115" t="s">
        <v>1140</v>
      </c>
      <c r="E4706" s="115" t="s">
        <v>6991</v>
      </c>
    </row>
    <row r="4707" spans="1:5" x14ac:dyDescent="0.25">
      <c r="B4707" s="115" t="s">
        <v>6992</v>
      </c>
      <c r="D4707" s="115" t="s">
        <v>6993</v>
      </c>
      <c r="E4707" s="115" t="s">
        <v>6994</v>
      </c>
    </row>
    <row r="4708" spans="1:5" x14ac:dyDescent="0.25">
      <c r="B4708" s="115" t="s">
        <v>1211</v>
      </c>
      <c r="D4708" s="115" t="s">
        <v>6995</v>
      </c>
      <c r="E4708" s="115" t="s">
        <v>6996</v>
      </c>
    </row>
    <row r="4709" spans="1:5" x14ac:dyDescent="0.25">
      <c r="A4709" s="115">
        <v>6</v>
      </c>
      <c r="B4709" s="115" t="s">
        <v>6997</v>
      </c>
      <c r="C4709" s="115">
        <v>1</v>
      </c>
      <c r="D4709" s="115" t="s">
        <v>6998</v>
      </c>
      <c r="E4709" s="115" t="s">
        <v>6999</v>
      </c>
    </row>
    <row r="4710" spans="1:5" x14ac:dyDescent="0.25">
      <c r="A4710" s="115">
        <v>-1</v>
      </c>
      <c r="B4710" s="115" t="s">
        <v>7000</v>
      </c>
      <c r="D4710" s="115" t="s">
        <v>7001</v>
      </c>
      <c r="E4710" s="115" t="s">
        <v>7002</v>
      </c>
    </row>
    <row r="4711" spans="1:5" x14ac:dyDescent="0.25">
      <c r="A4711" s="115" t="s">
        <v>1138</v>
      </c>
      <c r="B4711" s="115" t="s">
        <v>1439</v>
      </c>
      <c r="D4711" s="115" t="s">
        <v>7003</v>
      </c>
      <c r="E4711" s="115" t="s">
        <v>7004</v>
      </c>
    </row>
    <row r="4712" spans="1:5" x14ac:dyDescent="0.25">
      <c r="A4712" s="115">
        <v>-1</v>
      </c>
      <c r="B4712" s="115" t="s">
        <v>7005</v>
      </c>
      <c r="C4712" s="115" t="s">
        <v>1138</v>
      </c>
      <c r="D4712" s="115" t="s">
        <v>7006</v>
      </c>
      <c r="E4712" s="115" t="s">
        <v>7007</v>
      </c>
    </row>
    <row r="4713" spans="1:5" x14ac:dyDescent="0.25">
      <c r="B4713" s="115" t="s">
        <v>7008</v>
      </c>
      <c r="D4713" s="115" t="s">
        <v>7009</v>
      </c>
      <c r="E4713" s="115" t="s">
        <v>7010</v>
      </c>
    </row>
    <row r="4714" spans="1:5" x14ac:dyDescent="0.25">
      <c r="B4714" s="115" t="s">
        <v>7011</v>
      </c>
      <c r="D4714" s="115" t="s">
        <v>2399</v>
      </c>
      <c r="E4714" s="115" t="s">
        <v>7012</v>
      </c>
    </row>
    <row r="4715" spans="1:5" x14ac:dyDescent="0.25">
      <c r="A4715" s="115">
        <v>1</v>
      </c>
      <c r="B4715" s="115" t="s">
        <v>7013</v>
      </c>
      <c r="D4715" s="115" t="s">
        <v>7014</v>
      </c>
      <c r="E4715" s="115" t="s">
        <v>7015</v>
      </c>
    </row>
    <row r="4716" spans="1:5" x14ac:dyDescent="0.25">
      <c r="A4716" s="115">
        <v>1</v>
      </c>
      <c r="B4716" s="115" t="s">
        <v>1401</v>
      </c>
      <c r="D4716" s="115" t="s">
        <v>7016</v>
      </c>
      <c r="E4716" s="115" t="s">
        <v>7017</v>
      </c>
    </row>
    <row r="4717" spans="1:5" x14ac:dyDescent="0.25">
      <c r="B4717" s="115" t="s">
        <v>1139</v>
      </c>
      <c r="D4717" s="115" t="s">
        <v>7018</v>
      </c>
      <c r="E4717" s="115" t="s">
        <v>7019</v>
      </c>
    </row>
    <row r="4718" spans="1:5" x14ac:dyDescent="0.25">
      <c r="B4718" s="115" t="s">
        <v>1139</v>
      </c>
      <c r="D4718" s="115" t="s">
        <v>6704</v>
      </c>
      <c r="E4718" s="115" t="s">
        <v>7020</v>
      </c>
    </row>
    <row r="4719" spans="1:5" x14ac:dyDescent="0.25">
      <c r="A4719" s="115">
        <v>3</v>
      </c>
      <c r="B4719" s="115" t="s">
        <v>7021</v>
      </c>
      <c r="D4719" s="115" t="s">
        <v>7022</v>
      </c>
      <c r="E4719" s="115" t="s">
        <v>7023</v>
      </c>
    </row>
    <row r="4720" spans="1:5" x14ac:dyDescent="0.25">
      <c r="A4720" s="115" t="s">
        <v>1138</v>
      </c>
      <c r="B4720" s="115" t="s">
        <v>1621</v>
      </c>
      <c r="D4720" s="115" t="s">
        <v>2259</v>
      </c>
      <c r="E4720" s="115" t="s">
        <v>7024</v>
      </c>
    </row>
    <row r="4721" spans="1:5" x14ac:dyDescent="0.25">
      <c r="A4721" s="115">
        <v>16</v>
      </c>
      <c r="B4721" s="115" t="s">
        <v>7025</v>
      </c>
      <c r="D4721" s="115" t="s">
        <v>7026</v>
      </c>
      <c r="E4721" s="115" t="s">
        <v>1141</v>
      </c>
    </row>
    <row r="4722" spans="1:5" x14ac:dyDescent="0.25">
      <c r="B4722" s="115" t="s">
        <v>7027</v>
      </c>
      <c r="D4722" s="115">
        <f>-295  -2852  -2134  -306</f>
        <v>-5587</v>
      </c>
      <c r="E4722" s="115" t="s">
        <v>7028</v>
      </c>
    </row>
    <row r="4723" spans="1:5" x14ac:dyDescent="0.25">
      <c r="B4723" s="115" t="s">
        <v>7029</v>
      </c>
      <c r="C4723" s="115">
        <v>-5</v>
      </c>
      <c r="D4723" s="115" t="s">
        <v>7030</v>
      </c>
      <c r="E4723" s="115" t="s">
        <v>7031</v>
      </c>
    </row>
    <row r="4724" spans="1:5" x14ac:dyDescent="0.25">
      <c r="B4724" s="115" t="s">
        <v>1139</v>
      </c>
      <c r="D4724" s="115" t="s">
        <v>1140</v>
      </c>
      <c r="E4724" s="115" t="s">
        <v>1141</v>
      </c>
    </row>
    <row r="4725" spans="1:5" x14ac:dyDescent="0.25">
      <c r="B4725" s="115" t="s">
        <v>1139</v>
      </c>
      <c r="D4725" s="115" t="s">
        <v>7032</v>
      </c>
      <c r="E4725" s="115" t="s">
        <v>1859</v>
      </c>
    </row>
    <row r="4726" spans="1:5" x14ac:dyDescent="0.25">
      <c r="B4726" s="115">
        <f>-76   -103</f>
        <v>-179</v>
      </c>
      <c r="D4726" s="115" t="s">
        <v>7033</v>
      </c>
      <c r="E4726" s="115" t="s">
        <v>7034</v>
      </c>
    </row>
    <row r="4727" spans="1:5" x14ac:dyDescent="0.25">
      <c r="B4727" s="115" t="s">
        <v>7035</v>
      </c>
      <c r="D4727" s="115" t="s">
        <v>7036</v>
      </c>
      <c r="E4727" s="115" t="s">
        <v>7037</v>
      </c>
    </row>
    <row r="4728" spans="1:5" x14ac:dyDescent="0.25">
      <c r="A4728" s="115">
        <v>2</v>
      </c>
      <c r="B4728" s="115" t="s">
        <v>7038</v>
      </c>
      <c r="C4728" s="115" t="s">
        <v>1138</v>
      </c>
      <c r="D4728" s="115" t="s">
        <v>7039</v>
      </c>
      <c r="E4728" s="115" t="s">
        <v>7040</v>
      </c>
    </row>
    <row r="4729" spans="1:5" x14ac:dyDescent="0.25">
      <c r="A4729" s="115">
        <v>1</v>
      </c>
      <c r="B4729" s="115" t="s">
        <v>7041</v>
      </c>
      <c r="D4729" s="115" t="s">
        <v>7042</v>
      </c>
      <c r="E4729" s="115" t="s">
        <v>7043</v>
      </c>
    </row>
    <row r="4730" spans="1:5" x14ac:dyDescent="0.25">
      <c r="A4730" s="115">
        <v>-7</v>
      </c>
      <c r="B4730" s="115" t="s">
        <v>7044</v>
      </c>
      <c r="C4730" s="115" t="s">
        <v>1138</v>
      </c>
      <c r="D4730" s="115" t="s">
        <v>7045</v>
      </c>
      <c r="E4730" s="115" t="s">
        <v>7046</v>
      </c>
    </row>
    <row r="4731" spans="1:5" x14ac:dyDescent="0.25">
      <c r="B4731" s="115" t="s">
        <v>1139</v>
      </c>
      <c r="D4731" s="115" t="s">
        <v>7047</v>
      </c>
      <c r="E4731" s="115" t="s">
        <v>1141</v>
      </c>
    </row>
    <row r="4732" spans="1:5" x14ac:dyDescent="0.25">
      <c r="B4732" s="115" t="s">
        <v>1139</v>
      </c>
      <c r="D4732" s="115" t="s">
        <v>7048</v>
      </c>
      <c r="E4732" s="115" t="s">
        <v>7049</v>
      </c>
    </row>
    <row r="4733" spans="1:5" x14ac:dyDescent="0.25">
      <c r="B4733" s="115" t="s">
        <v>7050</v>
      </c>
      <c r="D4733" s="115" t="s">
        <v>4180</v>
      </c>
      <c r="E4733" s="115" t="s">
        <v>7051</v>
      </c>
    </row>
    <row r="4734" spans="1:5" x14ac:dyDescent="0.25">
      <c r="B4734" s="115" t="s">
        <v>1139</v>
      </c>
      <c r="D4734" s="115" t="s">
        <v>1893</v>
      </c>
      <c r="E4734" s="115" t="s">
        <v>2260</v>
      </c>
    </row>
    <row r="4735" spans="1:5" x14ac:dyDescent="0.25">
      <c r="B4735" s="115" t="s">
        <v>1139</v>
      </c>
      <c r="D4735" s="115" t="s">
        <v>7052</v>
      </c>
      <c r="E4735" s="115" t="s">
        <v>7053</v>
      </c>
    </row>
    <row r="4736" spans="1:5" x14ac:dyDescent="0.25">
      <c r="B4736" s="115" t="s">
        <v>1199</v>
      </c>
      <c r="C4736" s="115" t="s">
        <v>1138</v>
      </c>
      <c r="D4736" s="115" t="s">
        <v>7054</v>
      </c>
      <c r="E4736" s="115" t="s">
        <v>7055</v>
      </c>
    </row>
    <row r="4737" spans="1:5" x14ac:dyDescent="0.25">
      <c r="A4737" s="115">
        <v>1</v>
      </c>
      <c r="B4737" s="115" t="s">
        <v>7056</v>
      </c>
      <c r="D4737" s="115" t="s">
        <v>7057</v>
      </c>
      <c r="E4737" s="115" t="s">
        <v>2537</v>
      </c>
    </row>
    <row r="4738" spans="1:5" x14ac:dyDescent="0.25">
      <c r="B4738" s="115" t="s">
        <v>7058</v>
      </c>
      <c r="D4738" s="115" t="s">
        <v>7059</v>
      </c>
      <c r="E4738" s="115" t="s">
        <v>7060</v>
      </c>
    </row>
    <row r="4739" spans="1:5" x14ac:dyDescent="0.25">
      <c r="A4739" s="115">
        <v>-3</v>
      </c>
      <c r="B4739" s="115" t="s">
        <v>7061</v>
      </c>
      <c r="D4739" s="115" t="s">
        <v>7062</v>
      </c>
      <c r="E4739" s="115" t="s">
        <v>7063</v>
      </c>
    </row>
    <row r="4740" spans="1:5" x14ac:dyDescent="0.25">
      <c r="B4740" s="115" t="s">
        <v>7064</v>
      </c>
      <c r="D4740" s="115" t="s">
        <v>7065</v>
      </c>
      <c r="E4740" s="115" t="s">
        <v>2537</v>
      </c>
    </row>
    <row r="4741" spans="1:5" x14ac:dyDescent="0.25">
      <c r="A4741" s="115">
        <v>1</v>
      </c>
      <c r="B4741" s="115" t="s">
        <v>7066</v>
      </c>
      <c r="D4741" s="115" t="s">
        <v>7067</v>
      </c>
      <c r="E4741" s="115" t="s">
        <v>7068</v>
      </c>
    </row>
    <row r="4742" spans="1:5" x14ac:dyDescent="0.25">
      <c r="A4742" s="115">
        <v>4</v>
      </c>
      <c r="B4742" s="115" t="s">
        <v>7069</v>
      </c>
      <c r="D4742" s="115" t="s">
        <v>7070</v>
      </c>
      <c r="E4742" s="115" t="s">
        <v>7071</v>
      </c>
    </row>
    <row r="4743" spans="1:5" x14ac:dyDescent="0.25">
      <c r="B4743" s="115" t="s">
        <v>7072</v>
      </c>
      <c r="D4743" s="115" t="s">
        <v>7073</v>
      </c>
      <c r="E4743" s="115" t="s">
        <v>1859</v>
      </c>
    </row>
    <row r="4744" spans="1:5" x14ac:dyDescent="0.25">
      <c r="A4744" s="115">
        <v>-6</v>
      </c>
      <c r="B4744" s="115" t="s">
        <v>7074</v>
      </c>
      <c r="D4744" s="115" t="s">
        <v>7075</v>
      </c>
      <c r="E4744" s="115" t="s">
        <v>6000</v>
      </c>
    </row>
    <row r="4745" spans="1:5" x14ac:dyDescent="0.25">
      <c r="A4745" s="115" t="s">
        <v>1138</v>
      </c>
      <c r="B4745" s="115" t="s">
        <v>7076</v>
      </c>
      <c r="C4745" s="115" t="s">
        <v>1138</v>
      </c>
      <c r="D4745" s="115" t="s">
        <v>7077</v>
      </c>
      <c r="E4745" s="115" t="s">
        <v>7078</v>
      </c>
    </row>
    <row r="4746" spans="1:5" x14ac:dyDescent="0.25">
      <c r="B4746" s="115" t="s">
        <v>1588</v>
      </c>
      <c r="D4746" s="115" t="s">
        <v>7079</v>
      </c>
      <c r="E4746" s="115" t="s">
        <v>1141</v>
      </c>
    </row>
    <row r="4747" spans="1:5" x14ac:dyDescent="0.25">
      <c r="A4747" s="115">
        <v>1</v>
      </c>
      <c r="B4747" s="115" t="s">
        <v>7080</v>
      </c>
      <c r="D4747" s="115" t="s">
        <v>7081</v>
      </c>
      <c r="E4747" s="115" t="s">
        <v>1141</v>
      </c>
    </row>
    <row r="4748" spans="1:5" x14ac:dyDescent="0.25">
      <c r="B4748" s="115" t="s">
        <v>7082</v>
      </c>
      <c r="C4748" s="115" t="s">
        <v>1138</v>
      </c>
      <c r="D4748" s="115" t="s">
        <v>7083</v>
      </c>
      <c r="E4748" s="115" t="s">
        <v>7084</v>
      </c>
    </row>
    <row r="4749" spans="1:5" x14ac:dyDescent="0.25">
      <c r="A4749" s="115">
        <v>1</v>
      </c>
      <c r="B4749" s="115" t="s">
        <v>1539</v>
      </c>
      <c r="D4749" s="115" t="s">
        <v>7085</v>
      </c>
      <c r="E4749" s="115" t="s">
        <v>1859</v>
      </c>
    </row>
    <row r="4750" spans="1:5" x14ac:dyDescent="0.25">
      <c r="B4750" s="115" t="s">
        <v>7086</v>
      </c>
      <c r="D4750" s="115" t="s">
        <v>7087</v>
      </c>
      <c r="E4750" s="115" t="s">
        <v>7088</v>
      </c>
    </row>
    <row r="4751" spans="1:5" x14ac:dyDescent="0.25">
      <c r="B4751" s="115" t="s">
        <v>1139</v>
      </c>
      <c r="D4751" s="115" t="s">
        <v>1140</v>
      </c>
      <c r="E4751" s="115" t="s">
        <v>7089</v>
      </c>
    </row>
    <row r="4752" spans="1:5" x14ac:dyDescent="0.25">
      <c r="A4752" s="115">
        <v>-5</v>
      </c>
      <c r="B4752" s="115" t="s">
        <v>7090</v>
      </c>
      <c r="D4752" s="115" t="s">
        <v>7091</v>
      </c>
      <c r="E4752" s="115" t="s">
        <v>7092</v>
      </c>
    </row>
    <row r="4753" spans="1:5" x14ac:dyDescent="0.25">
      <c r="B4753" s="115" t="s">
        <v>1139</v>
      </c>
      <c r="D4753" s="115" t="s">
        <v>7093</v>
      </c>
      <c r="E4753" s="115" t="s">
        <v>1141</v>
      </c>
    </row>
    <row r="4754" spans="1:5" x14ac:dyDescent="0.25">
      <c r="B4754" s="115" t="s">
        <v>1139</v>
      </c>
      <c r="D4754" s="115" t="s">
        <v>1140</v>
      </c>
      <c r="E4754" s="115" t="s">
        <v>1141</v>
      </c>
    </row>
    <row r="4755" spans="1:5" x14ac:dyDescent="0.25">
      <c r="A4755" s="115" t="s">
        <v>1138</v>
      </c>
      <c r="B4755" s="115" t="s">
        <v>1508</v>
      </c>
      <c r="D4755" s="115" t="s">
        <v>3876</v>
      </c>
      <c r="E4755" s="115" t="s">
        <v>7094</v>
      </c>
    </row>
    <row r="4756" spans="1:5" x14ac:dyDescent="0.25">
      <c r="A4756" s="115">
        <v>8</v>
      </c>
      <c r="B4756" s="115" t="s">
        <v>7095</v>
      </c>
      <c r="C4756" s="115" t="s">
        <v>1138</v>
      </c>
      <c r="D4756" s="115" t="s">
        <v>7096</v>
      </c>
      <c r="E4756" s="115" t="s">
        <v>7097</v>
      </c>
    </row>
    <row r="4757" spans="1:5" x14ac:dyDescent="0.25">
      <c r="A4757" s="115">
        <v>1</v>
      </c>
      <c r="B4757" s="115" t="s">
        <v>7098</v>
      </c>
      <c r="D4757" s="115" t="s">
        <v>7099</v>
      </c>
      <c r="E4757" s="115" t="s">
        <v>7100</v>
      </c>
    </row>
    <row r="4758" spans="1:5" x14ac:dyDescent="0.25">
      <c r="A4758" s="115">
        <v>1</v>
      </c>
      <c r="B4758" s="115" t="s">
        <v>7101</v>
      </c>
      <c r="D4758" s="115" t="s">
        <v>7102</v>
      </c>
      <c r="E4758" s="115" t="s">
        <v>7103</v>
      </c>
    </row>
    <row r="4759" spans="1:5" x14ac:dyDescent="0.25">
      <c r="A4759" s="115">
        <v>2</v>
      </c>
      <c r="B4759" s="115" t="s">
        <v>7104</v>
      </c>
      <c r="D4759" s="115" t="s">
        <v>7105</v>
      </c>
      <c r="E4759" s="115" t="s">
        <v>7106</v>
      </c>
    </row>
    <row r="4760" spans="1:5" x14ac:dyDescent="0.25">
      <c r="B4760" s="115" t="s">
        <v>1139</v>
      </c>
      <c r="D4760" s="115" t="s">
        <v>7107</v>
      </c>
      <c r="E4760" s="115" t="s">
        <v>7108</v>
      </c>
    </row>
    <row r="4761" spans="1:5" x14ac:dyDescent="0.25">
      <c r="B4761" s="115" t="s">
        <v>1139</v>
      </c>
      <c r="D4761" s="115" t="s">
        <v>1140</v>
      </c>
      <c r="E4761" s="115" t="s">
        <v>7109</v>
      </c>
    </row>
    <row r="4762" spans="1:5" x14ac:dyDescent="0.25">
      <c r="B4762" s="115" t="s">
        <v>1139</v>
      </c>
      <c r="D4762" s="115" t="s">
        <v>7110</v>
      </c>
      <c r="E4762" s="115" t="s">
        <v>7111</v>
      </c>
    </row>
    <row r="4763" spans="1:5" x14ac:dyDescent="0.25">
      <c r="B4763" s="115" t="s">
        <v>7112</v>
      </c>
      <c r="D4763" s="115" t="s">
        <v>1850</v>
      </c>
      <c r="E4763" s="115" t="s">
        <v>1859</v>
      </c>
    </row>
    <row r="4764" spans="1:5" x14ac:dyDescent="0.25">
      <c r="B4764" s="115" t="s">
        <v>1873</v>
      </c>
      <c r="D4764" s="115" t="s">
        <v>1140</v>
      </c>
      <c r="E4764" s="115" t="s">
        <v>7113</v>
      </c>
    </row>
    <row r="4765" spans="1:5" x14ac:dyDescent="0.25">
      <c r="A4765" s="115" t="s">
        <v>1138</v>
      </c>
      <c r="B4765" s="115" t="s">
        <v>7114</v>
      </c>
      <c r="D4765" s="115" t="s">
        <v>7115</v>
      </c>
      <c r="E4765" s="115" t="s">
        <v>7116</v>
      </c>
    </row>
    <row r="4766" spans="1:5" x14ac:dyDescent="0.25">
      <c r="B4766" s="115" t="s">
        <v>1139</v>
      </c>
      <c r="D4766" s="115" t="s">
        <v>7117</v>
      </c>
      <c r="E4766" s="115" t="s">
        <v>7118</v>
      </c>
    </row>
    <row r="4767" spans="1:5" x14ac:dyDescent="0.25">
      <c r="B4767" s="115" t="s">
        <v>7119</v>
      </c>
      <c r="D4767" s="115" t="s">
        <v>1140</v>
      </c>
      <c r="E4767" s="115" t="s">
        <v>7120</v>
      </c>
    </row>
    <row r="4768" spans="1:5" x14ac:dyDescent="0.25">
      <c r="B4768" s="115" t="s">
        <v>7121</v>
      </c>
      <c r="C4768" s="115" t="s">
        <v>1138</v>
      </c>
      <c r="D4768" s="115" t="s">
        <v>7122</v>
      </c>
      <c r="E4768" s="115" t="s">
        <v>7123</v>
      </c>
    </row>
    <row r="4769" spans="1:5" x14ac:dyDescent="0.25">
      <c r="B4769" s="115" t="s">
        <v>7124</v>
      </c>
      <c r="D4769" s="115" t="s">
        <v>7125</v>
      </c>
      <c r="E4769" s="115" t="s">
        <v>7126</v>
      </c>
    </row>
    <row r="4770" spans="1:5" x14ac:dyDescent="0.25">
      <c r="A4770" s="115" t="s">
        <v>1138</v>
      </c>
      <c r="B4770" s="115" t="s">
        <v>7127</v>
      </c>
      <c r="D4770" s="115" t="s">
        <v>1140</v>
      </c>
      <c r="E4770" s="115" t="s">
        <v>7128</v>
      </c>
    </row>
    <row r="4771" spans="1:5" x14ac:dyDescent="0.25">
      <c r="B4771" s="115" t="s">
        <v>7129</v>
      </c>
      <c r="C4771" s="115" t="s">
        <v>1138</v>
      </c>
      <c r="D4771" s="115" t="s">
        <v>7130</v>
      </c>
      <c r="E4771" s="115" t="s">
        <v>7131</v>
      </c>
    </row>
    <row r="4772" spans="1:5" x14ac:dyDescent="0.25">
      <c r="B4772" s="115" t="s">
        <v>4950</v>
      </c>
      <c r="D4772" s="115" t="s">
        <v>7132</v>
      </c>
      <c r="E4772" s="115" t="s">
        <v>7133</v>
      </c>
    </row>
    <row r="4773" spans="1:5" x14ac:dyDescent="0.25">
      <c r="B4773" s="115" t="s">
        <v>7134</v>
      </c>
      <c r="D4773" s="115" t="s">
        <v>1140</v>
      </c>
      <c r="E4773" s="115" t="s">
        <v>7135</v>
      </c>
    </row>
    <row r="4774" spans="1:5" x14ac:dyDescent="0.25">
      <c r="B4774" s="115" t="s">
        <v>7136</v>
      </c>
      <c r="D4774" s="115" t="s">
        <v>4031</v>
      </c>
      <c r="E4774" s="115" t="s">
        <v>7137</v>
      </c>
    </row>
    <row r="4775" spans="1:5" x14ac:dyDescent="0.25">
      <c r="B4775" s="115" t="s">
        <v>7138</v>
      </c>
      <c r="D4775" s="115" t="s">
        <v>7139</v>
      </c>
      <c r="E4775" s="115" t="s">
        <v>7140</v>
      </c>
    </row>
    <row r="4776" spans="1:5" x14ac:dyDescent="0.25">
      <c r="B4776" s="115" t="s">
        <v>1139</v>
      </c>
      <c r="D4776" s="115" t="s">
        <v>1140</v>
      </c>
      <c r="E4776" s="115" t="s">
        <v>7141</v>
      </c>
    </row>
    <row r="4777" spans="1:5" x14ac:dyDescent="0.25">
      <c r="A4777" s="115" t="s">
        <v>1138</v>
      </c>
      <c r="B4777" s="115" t="s">
        <v>1463</v>
      </c>
      <c r="D4777" s="115" t="s">
        <v>1140</v>
      </c>
      <c r="E4777" s="115" t="s">
        <v>7142</v>
      </c>
    </row>
    <row r="4778" spans="1:5" x14ac:dyDescent="0.25">
      <c r="A4778" s="115">
        <v>-1</v>
      </c>
      <c r="B4778" s="115" t="s">
        <v>7143</v>
      </c>
      <c r="C4778" s="115" t="s">
        <v>1138</v>
      </c>
      <c r="D4778" s="115" t="s">
        <v>7144</v>
      </c>
      <c r="E4778" s="115" t="s">
        <v>7145</v>
      </c>
    </row>
    <row r="4779" spans="1:5" x14ac:dyDescent="0.25">
      <c r="B4779" s="115" t="s">
        <v>7146</v>
      </c>
      <c r="D4779" s="115" t="s">
        <v>1140</v>
      </c>
      <c r="E4779" s="115" t="s">
        <v>7147</v>
      </c>
    </row>
    <row r="4780" spans="1:5" x14ac:dyDescent="0.25">
      <c r="A4780" s="115">
        <v>19</v>
      </c>
      <c r="B4780" s="115" t="s">
        <v>7148</v>
      </c>
      <c r="C4780" s="115">
        <v>1</v>
      </c>
      <c r="D4780" s="115" t="s">
        <v>7149</v>
      </c>
      <c r="E4780" s="115" t="s">
        <v>1141</v>
      </c>
    </row>
    <row r="4781" spans="1:5" x14ac:dyDescent="0.25">
      <c r="B4781" s="115" t="s">
        <v>1139</v>
      </c>
      <c r="C4781" s="115" t="s">
        <v>1138</v>
      </c>
      <c r="D4781" s="115" t="s">
        <v>7150</v>
      </c>
      <c r="E4781" s="115" t="s">
        <v>7151</v>
      </c>
    </row>
    <row r="4782" spans="1:5" x14ac:dyDescent="0.25">
      <c r="A4782" s="115">
        <v>1</v>
      </c>
      <c r="B4782" s="115" t="s">
        <v>7152</v>
      </c>
      <c r="D4782" s="115" t="s">
        <v>7153</v>
      </c>
      <c r="E4782" s="115" t="s">
        <v>7154</v>
      </c>
    </row>
    <row r="4783" spans="1:5" x14ac:dyDescent="0.25">
      <c r="B4783" s="115" t="s">
        <v>1623</v>
      </c>
      <c r="D4783" s="115" t="s">
        <v>1140</v>
      </c>
      <c r="E4783" s="115" t="s">
        <v>1141</v>
      </c>
    </row>
    <row r="4784" spans="1:5" x14ac:dyDescent="0.25">
      <c r="B4784" s="115" t="s">
        <v>1139</v>
      </c>
      <c r="D4784" s="115" t="s">
        <v>1140</v>
      </c>
      <c r="E4784" s="115" t="s">
        <v>7155</v>
      </c>
    </row>
    <row r="4785" spans="1:5" x14ac:dyDescent="0.25">
      <c r="B4785" s="115" t="s">
        <v>7156</v>
      </c>
      <c r="D4785" s="115" t="s">
        <v>7157</v>
      </c>
      <c r="E4785" s="115" t="s">
        <v>7158</v>
      </c>
    </row>
    <row r="4786" spans="1:5" x14ac:dyDescent="0.25">
      <c r="B4786" s="115" t="s">
        <v>1139</v>
      </c>
      <c r="D4786" s="115" t="s">
        <v>7159</v>
      </c>
      <c r="E4786" s="115" t="s">
        <v>7160</v>
      </c>
    </row>
    <row r="4787" spans="1:5" x14ac:dyDescent="0.25">
      <c r="A4787" s="115">
        <v>1</v>
      </c>
      <c r="B4787" s="115" t="s">
        <v>7161</v>
      </c>
      <c r="D4787" s="115" t="s">
        <v>7162</v>
      </c>
      <c r="E4787" s="115" t="s">
        <v>7163</v>
      </c>
    </row>
    <row r="4788" spans="1:5" x14ac:dyDescent="0.25">
      <c r="A4788" s="115">
        <v>1</v>
      </c>
      <c r="B4788" s="115" t="s">
        <v>7164</v>
      </c>
      <c r="D4788" s="115" t="s">
        <v>7165</v>
      </c>
      <c r="E4788" s="115" t="s">
        <v>7166</v>
      </c>
    </row>
    <row r="4789" spans="1:5" x14ac:dyDescent="0.25">
      <c r="A4789" s="115">
        <v>30</v>
      </c>
      <c r="B4789" s="115" t="s">
        <v>7167</v>
      </c>
      <c r="C4789" s="115">
        <v>3</v>
      </c>
      <c r="D4789" s="115" t="s">
        <v>7168</v>
      </c>
      <c r="E4789" s="115" t="s">
        <v>7169</v>
      </c>
    </row>
    <row r="4790" spans="1:5" x14ac:dyDescent="0.25">
      <c r="B4790" s="115" t="s">
        <v>1669</v>
      </c>
      <c r="D4790" s="115" t="s">
        <v>4321</v>
      </c>
      <c r="E4790" s="115" t="s">
        <v>7170</v>
      </c>
    </row>
    <row r="4791" spans="1:5" x14ac:dyDescent="0.25">
      <c r="B4791" s="115" t="s">
        <v>1139</v>
      </c>
      <c r="D4791" s="115" t="s">
        <v>7171</v>
      </c>
      <c r="E4791" s="115" t="s">
        <v>7172</v>
      </c>
    </row>
    <row r="4792" spans="1:5" x14ac:dyDescent="0.25">
      <c r="A4792" s="115">
        <v>1</v>
      </c>
      <c r="B4792" s="115" t="s">
        <v>7173</v>
      </c>
      <c r="D4792" s="115">
        <f>-793   -587    -45</f>
        <v>-1425</v>
      </c>
      <c r="E4792" s="115" t="s">
        <v>7174</v>
      </c>
    </row>
    <row r="4793" spans="1:5" x14ac:dyDescent="0.25">
      <c r="B4793" s="115" t="s">
        <v>1139</v>
      </c>
      <c r="D4793" s="115" t="s">
        <v>7175</v>
      </c>
      <c r="E4793" s="115" t="s">
        <v>7176</v>
      </c>
    </row>
    <row r="4794" spans="1:5" x14ac:dyDescent="0.25">
      <c r="B4794" s="115" t="s">
        <v>1139</v>
      </c>
      <c r="D4794" s="115" t="s">
        <v>1140</v>
      </c>
      <c r="E4794" s="115" t="s">
        <v>7177</v>
      </c>
    </row>
    <row r="4795" spans="1:5" x14ac:dyDescent="0.25">
      <c r="B4795" s="115" t="s">
        <v>1139</v>
      </c>
      <c r="D4795" s="115" t="s">
        <v>7178</v>
      </c>
      <c r="E4795" s="115" t="s">
        <v>7179</v>
      </c>
    </row>
    <row r="4796" spans="1:5" x14ac:dyDescent="0.25">
      <c r="B4796" s="115" t="s">
        <v>1237</v>
      </c>
      <c r="D4796" s="115" t="s">
        <v>7180</v>
      </c>
      <c r="E4796" s="115" t="s">
        <v>7181</v>
      </c>
    </row>
    <row r="4797" spans="1:5" x14ac:dyDescent="0.25">
      <c r="B4797" s="115" t="s">
        <v>1139</v>
      </c>
      <c r="D4797" s="115" t="s">
        <v>7182</v>
      </c>
      <c r="E4797" s="115" t="s">
        <v>7183</v>
      </c>
    </row>
    <row r="4798" spans="1:5" x14ac:dyDescent="0.25">
      <c r="A4798" s="115">
        <v>-4</v>
      </c>
      <c r="B4798" s="115" t="s">
        <v>7184</v>
      </c>
      <c r="D4798" s="115" t="s">
        <v>7185</v>
      </c>
      <c r="E4798" s="115" t="s">
        <v>7186</v>
      </c>
    </row>
    <row r="4799" spans="1:5" x14ac:dyDescent="0.25">
      <c r="B4799" s="115" t="s">
        <v>1139</v>
      </c>
      <c r="D4799" s="115" t="s">
        <v>7187</v>
      </c>
      <c r="E4799" s="115" t="s">
        <v>7188</v>
      </c>
    </row>
    <row r="4800" spans="1:5" x14ac:dyDescent="0.25">
      <c r="B4800" s="115" t="s">
        <v>1139</v>
      </c>
      <c r="D4800" s="115" t="s">
        <v>7189</v>
      </c>
      <c r="E4800" s="115" t="s">
        <v>7190</v>
      </c>
    </row>
    <row r="4801" spans="1:5" x14ac:dyDescent="0.25">
      <c r="A4801" s="115">
        <v>-6</v>
      </c>
      <c r="B4801" s="115" t="s">
        <v>7191</v>
      </c>
      <c r="C4801" s="115" t="s">
        <v>1138</v>
      </c>
      <c r="D4801" s="115" t="s">
        <v>7192</v>
      </c>
      <c r="E4801" s="115" t="s">
        <v>7193</v>
      </c>
    </row>
    <row r="4802" spans="1:5" x14ac:dyDescent="0.25">
      <c r="B4802" s="115" t="s">
        <v>7194</v>
      </c>
      <c r="D4802" s="115" t="s">
        <v>7195</v>
      </c>
      <c r="E4802" s="115" t="s">
        <v>7196</v>
      </c>
    </row>
    <row r="4803" spans="1:5" x14ac:dyDescent="0.25">
      <c r="B4803" s="115" t="s">
        <v>1139</v>
      </c>
      <c r="D4803" s="115" t="s">
        <v>7197</v>
      </c>
      <c r="E4803" s="115" t="s">
        <v>7198</v>
      </c>
    </row>
    <row r="4804" spans="1:5" x14ac:dyDescent="0.25">
      <c r="B4804" s="115" t="s">
        <v>1139</v>
      </c>
      <c r="D4804" s="115" t="s">
        <v>7199</v>
      </c>
      <c r="E4804" s="115" t="s">
        <v>7200</v>
      </c>
    </row>
    <row r="4805" spans="1:5" x14ac:dyDescent="0.25">
      <c r="B4805" s="115" t="s">
        <v>1583</v>
      </c>
      <c r="D4805" s="115" t="s">
        <v>7201</v>
      </c>
      <c r="E4805" s="115" t="s">
        <v>2690</v>
      </c>
    </row>
    <row r="4806" spans="1:5" x14ac:dyDescent="0.25">
      <c r="B4806" s="115" t="s">
        <v>1139</v>
      </c>
      <c r="D4806" s="115" t="s">
        <v>7202</v>
      </c>
      <c r="E4806" s="115" t="s">
        <v>7203</v>
      </c>
    </row>
    <row r="4807" spans="1:5" x14ac:dyDescent="0.25">
      <c r="B4807" s="115" t="s">
        <v>1139</v>
      </c>
      <c r="D4807" s="115" t="s">
        <v>7204</v>
      </c>
      <c r="E4807" s="115" t="s">
        <v>7205</v>
      </c>
    </row>
    <row r="4808" spans="1:5" x14ac:dyDescent="0.25">
      <c r="B4808" s="115" t="s">
        <v>1139</v>
      </c>
      <c r="D4808" s="115" t="s">
        <v>7206</v>
      </c>
      <c r="E4808" s="115" t="s">
        <v>7207</v>
      </c>
    </row>
    <row r="4809" spans="1:5" x14ac:dyDescent="0.25">
      <c r="B4809" s="115" t="s">
        <v>1139</v>
      </c>
      <c r="D4809" s="115" t="s">
        <v>7208</v>
      </c>
      <c r="E4809" s="115" t="s">
        <v>7209</v>
      </c>
    </row>
    <row r="4810" spans="1:5" x14ac:dyDescent="0.25">
      <c r="A4810" s="115">
        <v>4</v>
      </c>
      <c r="B4810" s="115" t="s">
        <v>7210</v>
      </c>
      <c r="D4810" s="115" t="s">
        <v>1140</v>
      </c>
      <c r="E4810" s="115" t="s">
        <v>7211</v>
      </c>
    </row>
    <row r="4811" spans="1:5" x14ac:dyDescent="0.25">
      <c r="A4811" s="115" t="s">
        <v>1138</v>
      </c>
      <c r="B4811" s="115" t="s">
        <v>7212</v>
      </c>
      <c r="C4811" s="115" t="s">
        <v>1138</v>
      </c>
      <c r="D4811" s="115" t="s">
        <v>7213</v>
      </c>
      <c r="E4811" s="115" t="s">
        <v>7214</v>
      </c>
    </row>
    <row r="4812" spans="1:5" x14ac:dyDescent="0.25">
      <c r="A4812" s="115">
        <v>-61</v>
      </c>
      <c r="B4812" s="115" t="s">
        <v>1293</v>
      </c>
      <c r="D4812" s="115" t="s">
        <v>1140</v>
      </c>
      <c r="E4812" s="115" t="s">
        <v>7215</v>
      </c>
    </row>
    <row r="4813" spans="1:5" x14ac:dyDescent="0.25">
      <c r="B4813" s="115" t="s">
        <v>1139</v>
      </c>
      <c r="D4813" s="115" t="s">
        <v>1140</v>
      </c>
      <c r="E4813" s="115" t="s">
        <v>1141</v>
      </c>
    </row>
    <row r="4814" spans="1:5" x14ac:dyDescent="0.25">
      <c r="B4814" s="115" t="s">
        <v>1139</v>
      </c>
      <c r="D4814" s="115" t="s">
        <v>7216</v>
      </c>
      <c r="E4814" s="115" t="s">
        <v>7217</v>
      </c>
    </row>
    <row r="4815" spans="1:5" x14ac:dyDescent="0.25">
      <c r="B4815" s="115" t="s">
        <v>7218</v>
      </c>
      <c r="D4815" s="115" t="s">
        <v>7219</v>
      </c>
      <c r="E4815" s="115" t="s">
        <v>7220</v>
      </c>
    </row>
    <row r="4816" spans="1:5" x14ac:dyDescent="0.25">
      <c r="A4816" s="115">
        <v>3</v>
      </c>
      <c r="B4816" s="115" t="s">
        <v>7221</v>
      </c>
      <c r="D4816" s="115" t="s">
        <v>7222</v>
      </c>
      <c r="E4816" s="115" t="s">
        <v>7223</v>
      </c>
    </row>
    <row r="4817" spans="1:5" x14ac:dyDescent="0.25">
      <c r="A4817" s="115">
        <v>2</v>
      </c>
      <c r="B4817" s="115" t="s">
        <v>7224</v>
      </c>
      <c r="D4817" s="115" t="s">
        <v>7225</v>
      </c>
      <c r="E4817" s="115" t="s">
        <v>7226</v>
      </c>
    </row>
    <row r="4818" spans="1:5" x14ac:dyDescent="0.25">
      <c r="A4818" s="115">
        <v>4</v>
      </c>
      <c r="B4818" s="115" t="s">
        <v>7227</v>
      </c>
      <c r="C4818" s="115" t="s">
        <v>1138</v>
      </c>
      <c r="D4818" s="115" t="s">
        <v>7228</v>
      </c>
      <c r="E4818" s="115" t="s">
        <v>7229</v>
      </c>
    </row>
    <row r="4819" spans="1:5" x14ac:dyDescent="0.25">
      <c r="A4819" s="115">
        <v>41</v>
      </c>
      <c r="B4819" s="115" t="s">
        <v>7230</v>
      </c>
      <c r="D4819" s="115" t="s">
        <v>7231</v>
      </c>
      <c r="E4819" s="115" t="s">
        <v>7232</v>
      </c>
    </row>
    <row r="4820" spans="1:5" x14ac:dyDescent="0.25">
      <c r="B4820" s="115" t="s">
        <v>1139</v>
      </c>
      <c r="D4820" s="115" t="s">
        <v>7233</v>
      </c>
      <c r="E4820" s="115" t="s">
        <v>1141</v>
      </c>
    </row>
    <row r="4821" spans="1:5" x14ac:dyDescent="0.25">
      <c r="B4821" s="115" t="s">
        <v>1139</v>
      </c>
      <c r="D4821" s="115" t="s">
        <v>7234</v>
      </c>
      <c r="E4821" s="115" t="s">
        <v>7235</v>
      </c>
    </row>
    <row r="4822" spans="1:5" x14ac:dyDescent="0.25">
      <c r="A4822" s="115">
        <v>1</v>
      </c>
      <c r="B4822" s="115" t="s">
        <v>7236</v>
      </c>
      <c r="D4822" s="115" t="s">
        <v>7237</v>
      </c>
      <c r="E4822" s="115" t="s">
        <v>7238</v>
      </c>
    </row>
    <row r="4823" spans="1:5" x14ac:dyDescent="0.25">
      <c r="A4823" s="115">
        <v>-1</v>
      </c>
      <c r="B4823" s="115" t="s">
        <v>6094</v>
      </c>
      <c r="D4823" s="115" t="s">
        <v>1140</v>
      </c>
      <c r="E4823" s="115" t="s">
        <v>7239</v>
      </c>
    </row>
    <row r="4824" spans="1:5" x14ac:dyDescent="0.25">
      <c r="B4824" s="115" t="s">
        <v>1139</v>
      </c>
      <c r="D4824" s="115" t="s">
        <v>7240</v>
      </c>
      <c r="E4824" s="115" t="s">
        <v>7241</v>
      </c>
    </row>
    <row r="4825" spans="1:5" x14ac:dyDescent="0.25">
      <c r="B4825" s="115" t="s">
        <v>1139</v>
      </c>
      <c r="D4825" s="115" t="s">
        <v>7242</v>
      </c>
      <c r="E4825" s="115" t="s">
        <v>7243</v>
      </c>
    </row>
    <row r="4826" spans="1:5" x14ac:dyDescent="0.25">
      <c r="A4826" s="115">
        <v>4</v>
      </c>
      <c r="B4826" s="115" t="s">
        <v>7244</v>
      </c>
      <c r="D4826" s="115" t="s">
        <v>7245</v>
      </c>
      <c r="E4826" s="115" t="s">
        <v>7246</v>
      </c>
    </row>
    <row r="4827" spans="1:5" x14ac:dyDescent="0.25">
      <c r="B4827" s="115" t="s">
        <v>5448</v>
      </c>
      <c r="C4827" s="115">
        <v>-1</v>
      </c>
      <c r="D4827" s="115" t="s">
        <v>7247</v>
      </c>
      <c r="E4827" s="115" t="s">
        <v>7248</v>
      </c>
    </row>
    <row r="4828" spans="1:5" x14ac:dyDescent="0.25">
      <c r="A4828" s="115">
        <v>2</v>
      </c>
      <c r="B4828" s="115" t="s">
        <v>7249</v>
      </c>
      <c r="C4828" s="115" t="s">
        <v>1138</v>
      </c>
      <c r="D4828" s="115" t="s">
        <v>7250</v>
      </c>
      <c r="E4828" s="115" t="s">
        <v>7251</v>
      </c>
    </row>
    <row r="4829" spans="1:5" x14ac:dyDescent="0.25">
      <c r="A4829" s="115" t="s">
        <v>1138</v>
      </c>
      <c r="B4829" s="115" t="s">
        <v>7252</v>
      </c>
      <c r="D4829" s="115" t="s">
        <v>7253</v>
      </c>
      <c r="E4829" s="115" t="s">
        <v>7254</v>
      </c>
    </row>
    <row r="4830" spans="1:5" x14ac:dyDescent="0.25">
      <c r="B4830" s="115" t="s">
        <v>7255</v>
      </c>
      <c r="D4830" s="115" t="s">
        <v>7256</v>
      </c>
      <c r="E4830" s="115" t="s">
        <v>7257</v>
      </c>
    </row>
    <row r="4831" spans="1:5" x14ac:dyDescent="0.25">
      <c r="A4831" s="115">
        <v>2</v>
      </c>
      <c r="B4831" s="115" t="s">
        <v>7258</v>
      </c>
      <c r="D4831" s="115" t="s">
        <v>7259</v>
      </c>
      <c r="E4831" s="115" t="s">
        <v>7260</v>
      </c>
    </row>
    <row r="4832" spans="1:5" x14ac:dyDescent="0.25">
      <c r="B4832" s="115" t="s">
        <v>1139</v>
      </c>
      <c r="D4832" s="115" t="s">
        <v>7261</v>
      </c>
      <c r="E4832" s="115" t="s">
        <v>7262</v>
      </c>
    </row>
    <row r="4833" spans="1:5" x14ac:dyDescent="0.25">
      <c r="B4833" s="115" t="s">
        <v>1847</v>
      </c>
      <c r="D4833" s="115" t="s">
        <v>7263</v>
      </c>
      <c r="E4833" s="115" t="s">
        <v>7264</v>
      </c>
    </row>
    <row r="4834" spans="1:5" x14ac:dyDescent="0.25">
      <c r="A4834" s="115">
        <v>1</v>
      </c>
      <c r="B4834" s="115" t="s">
        <v>7265</v>
      </c>
      <c r="D4834" s="115">
        <f>-614   -508   -365</f>
        <v>-1487</v>
      </c>
      <c r="E4834" s="115" t="s">
        <v>7266</v>
      </c>
    </row>
    <row r="4835" spans="1:5" x14ac:dyDescent="0.25">
      <c r="B4835" s="115" t="s">
        <v>1176</v>
      </c>
      <c r="D4835" s="115" t="s">
        <v>1241</v>
      </c>
      <c r="E4835" s="115" t="s">
        <v>1141</v>
      </c>
    </row>
    <row r="4836" spans="1:5" x14ac:dyDescent="0.25">
      <c r="B4836" s="115" t="s">
        <v>7267</v>
      </c>
      <c r="D4836" s="115" t="s">
        <v>7268</v>
      </c>
      <c r="E4836" s="115" t="s">
        <v>1702</v>
      </c>
    </row>
    <row r="4837" spans="1:5" x14ac:dyDescent="0.25">
      <c r="B4837" s="115" t="s">
        <v>7269</v>
      </c>
      <c r="C4837" s="115" t="s">
        <v>1138</v>
      </c>
      <c r="D4837" s="115" t="s">
        <v>7270</v>
      </c>
      <c r="E4837" s="115" t="s">
        <v>7271</v>
      </c>
    </row>
    <row r="4838" spans="1:5" x14ac:dyDescent="0.25">
      <c r="B4838" s="115" t="s">
        <v>7272</v>
      </c>
      <c r="D4838" s="115" t="s">
        <v>1593</v>
      </c>
      <c r="E4838" s="115" t="s">
        <v>7273</v>
      </c>
    </row>
    <row r="4839" spans="1:5" x14ac:dyDescent="0.25">
      <c r="B4839" s="115" t="s">
        <v>7274</v>
      </c>
      <c r="D4839" s="115" t="s">
        <v>7275</v>
      </c>
      <c r="E4839" s="115" t="s">
        <v>7276</v>
      </c>
    </row>
    <row r="4840" spans="1:5" x14ac:dyDescent="0.25">
      <c r="B4840" s="115" t="s">
        <v>1139</v>
      </c>
      <c r="D4840" s="115" t="s">
        <v>1140</v>
      </c>
      <c r="E4840" s="115" t="s">
        <v>7277</v>
      </c>
    </row>
    <row r="4841" spans="1:5" x14ac:dyDescent="0.25">
      <c r="B4841" s="115" t="s">
        <v>7278</v>
      </c>
      <c r="C4841" s="115" t="s">
        <v>1138</v>
      </c>
      <c r="D4841" s="115" t="s">
        <v>7279</v>
      </c>
      <c r="E4841" s="115" t="s">
        <v>7280</v>
      </c>
    </row>
    <row r="4842" spans="1:5" x14ac:dyDescent="0.25">
      <c r="B4842" s="115" t="s">
        <v>1139</v>
      </c>
      <c r="D4842" s="115" t="s">
        <v>7281</v>
      </c>
      <c r="E4842" s="115" t="s">
        <v>1859</v>
      </c>
    </row>
    <row r="4843" spans="1:5" x14ac:dyDescent="0.25">
      <c r="B4843" s="115" t="s">
        <v>1139</v>
      </c>
      <c r="D4843" s="115" t="s">
        <v>1140</v>
      </c>
      <c r="E4843" s="115" t="s">
        <v>1141</v>
      </c>
    </row>
    <row r="4844" spans="1:5" x14ac:dyDescent="0.25">
      <c r="B4844" s="115" t="s">
        <v>1220</v>
      </c>
      <c r="D4844" s="115" t="s">
        <v>1140</v>
      </c>
      <c r="E4844" s="115" t="s">
        <v>7282</v>
      </c>
    </row>
    <row r="4845" spans="1:5" x14ac:dyDescent="0.25">
      <c r="A4845" s="115">
        <v>1</v>
      </c>
      <c r="B4845" s="115" t="s">
        <v>7283</v>
      </c>
      <c r="D4845" s="115" t="s">
        <v>7284</v>
      </c>
      <c r="E4845" s="115" t="s">
        <v>7285</v>
      </c>
    </row>
    <row r="4846" spans="1:5" x14ac:dyDescent="0.25">
      <c r="A4846" s="115" t="s">
        <v>1138</v>
      </c>
      <c r="B4846" s="115" t="s">
        <v>7286</v>
      </c>
      <c r="C4846" s="115" t="s">
        <v>1138</v>
      </c>
      <c r="D4846" s="115" t="s">
        <v>7287</v>
      </c>
      <c r="E4846" s="115" t="s">
        <v>7288</v>
      </c>
    </row>
    <row r="4847" spans="1:5" x14ac:dyDescent="0.25">
      <c r="A4847" s="115">
        <v>1</v>
      </c>
      <c r="B4847" s="115" t="s">
        <v>7289</v>
      </c>
      <c r="C4847" s="115" t="s">
        <v>1138</v>
      </c>
      <c r="D4847" s="115" t="s">
        <v>7290</v>
      </c>
      <c r="E4847" s="115" t="s">
        <v>7291</v>
      </c>
    </row>
    <row r="4848" spans="1:5" x14ac:dyDescent="0.25">
      <c r="A4848" s="115">
        <v>-2</v>
      </c>
      <c r="B4848" s="115" t="s">
        <v>7292</v>
      </c>
      <c r="D4848" s="115" t="s">
        <v>7293</v>
      </c>
      <c r="E4848" s="115" t="s">
        <v>7294</v>
      </c>
    </row>
    <row r="4849" spans="1:5" x14ac:dyDescent="0.25">
      <c r="A4849" s="115">
        <v>-1</v>
      </c>
      <c r="B4849" s="115" t="s">
        <v>7295</v>
      </c>
      <c r="D4849" s="115" t="s">
        <v>7296</v>
      </c>
      <c r="E4849" s="115" t="s">
        <v>7297</v>
      </c>
    </row>
    <row r="4850" spans="1:5" x14ac:dyDescent="0.25">
      <c r="B4850" s="115" t="s">
        <v>1139</v>
      </c>
      <c r="D4850" s="115" t="s">
        <v>7298</v>
      </c>
      <c r="E4850" s="115" t="s">
        <v>1141</v>
      </c>
    </row>
    <row r="4851" spans="1:5" x14ac:dyDescent="0.25">
      <c r="B4851" s="115" t="s">
        <v>1139</v>
      </c>
      <c r="D4851" s="115" t="s">
        <v>7299</v>
      </c>
      <c r="E4851" s="115" t="s">
        <v>7300</v>
      </c>
    </row>
    <row r="4852" spans="1:5" x14ac:dyDescent="0.25">
      <c r="A4852" s="115">
        <v>2</v>
      </c>
      <c r="B4852" s="115" t="s">
        <v>7301</v>
      </c>
      <c r="D4852" s="115" t="s">
        <v>5855</v>
      </c>
      <c r="E4852" s="115" t="s">
        <v>7302</v>
      </c>
    </row>
    <row r="4853" spans="1:5" x14ac:dyDescent="0.25">
      <c r="B4853" s="115" t="s">
        <v>1139</v>
      </c>
      <c r="D4853" s="115" t="s">
        <v>7303</v>
      </c>
      <c r="E4853" s="115" t="s">
        <v>1894</v>
      </c>
    </row>
    <row r="4854" spans="1:5" x14ac:dyDescent="0.25">
      <c r="B4854" s="115" t="s">
        <v>1139</v>
      </c>
      <c r="D4854" s="115" t="s">
        <v>7304</v>
      </c>
      <c r="E4854" s="115" t="s">
        <v>7305</v>
      </c>
    </row>
    <row r="4855" spans="1:5" x14ac:dyDescent="0.25">
      <c r="B4855" s="115" t="s">
        <v>7306</v>
      </c>
      <c r="C4855" s="115" t="s">
        <v>1138</v>
      </c>
      <c r="D4855" s="115" t="s">
        <v>7307</v>
      </c>
      <c r="E4855" s="115" t="s">
        <v>7308</v>
      </c>
    </row>
    <row r="4856" spans="1:5" x14ac:dyDescent="0.25">
      <c r="A4856" s="115">
        <v>-1</v>
      </c>
      <c r="B4856" s="115" t="s">
        <v>7309</v>
      </c>
      <c r="D4856" s="115" t="s">
        <v>7310</v>
      </c>
      <c r="E4856" s="115" t="s">
        <v>2082</v>
      </c>
    </row>
    <row r="4857" spans="1:5" x14ac:dyDescent="0.25">
      <c r="A4857" s="115">
        <v>-1</v>
      </c>
      <c r="B4857" s="115" t="s">
        <v>7311</v>
      </c>
      <c r="C4857" s="115" t="s">
        <v>1138</v>
      </c>
      <c r="D4857" s="115" t="s">
        <v>7312</v>
      </c>
      <c r="E4857" s="115" t="s">
        <v>7313</v>
      </c>
    </row>
    <row r="4858" spans="1:5" x14ac:dyDescent="0.25">
      <c r="A4858" s="115">
        <v>-15</v>
      </c>
      <c r="B4858" s="115" t="s">
        <v>7314</v>
      </c>
      <c r="D4858" s="115" t="s">
        <v>7315</v>
      </c>
      <c r="E4858" s="115" t="s">
        <v>7316</v>
      </c>
    </row>
    <row r="4859" spans="1:5" x14ac:dyDescent="0.25">
      <c r="A4859" s="115" t="s">
        <v>1138</v>
      </c>
      <c r="B4859" s="115" t="s">
        <v>7317</v>
      </c>
      <c r="D4859" s="115" t="s">
        <v>7318</v>
      </c>
      <c r="E4859" s="115" t="s">
        <v>1819</v>
      </c>
    </row>
    <row r="4860" spans="1:5" x14ac:dyDescent="0.25">
      <c r="B4860" s="115" t="s">
        <v>7319</v>
      </c>
      <c r="D4860" s="115" t="s">
        <v>7320</v>
      </c>
      <c r="E4860" s="115" t="s">
        <v>7321</v>
      </c>
    </row>
    <row r="4861" spans="1:5" x14ac:dyDescent="0.25">
      <c r="A4861" s="115">
        <v>9</v>
      </c>
      <c r="B4861" s="115" t="s">
        <v>7322</v>
      </c>
      <c r="D4861" s="115" t="s">
        <v>7323</v>
      </c>
      <c r="E4861" s="115" t="s">
        <v>7324</v>
      </c>
    </row>
    <row r="4862" spans="1:5" x14ac:dyDescent="0.25">
      <c r="B4862" s="115" t="s">
        <v>1614</v>
      </c>
      <c r="D4862" s="115" t="s">
        <v>7325</v>
      </c>
      <c r="E4862" s="115" t="s">
        <v>2082</v>
      </c>
    </row>
    <row r="4863" spans="1:5" x14ac:dyDescent="0.25">
      <c r="B4863" s="115" t="s">
        <v>7326</v>
      </c>
      <c r="D4863" s="115" t="s">
        <v>7327</v>
      </c>
      <c r="E4863" s="115" t="s">
        <v>7328</v>
      </c>
    </row>
    <row r="4864" spans="1:5" x14ac:dyDescent="0.25">
      <c r="A4864" s="115">
        <v>3</v>
      </c>
      <c r="B4864" s="115" t="s">
        <v>7329</v>
      </c>
      <c r="C4864" s="115" t="s">
        <v>1138</v>
      </c>
      <c r="D4864" s="115" t="s">
        <v>7330</v>
      </c>
      <c r="E4864" s="115" t="s">
        <v>7331</v>
      </c>
    </row>
    <row r="4865" spans="1:5" x14ac:dyDescent="0.25">
      <c r="B4865" s="115" t="s">
        <v>6430</v>
      </c>
      <c r="D4865" s="115" t="s">
        <v>1652</v>
      </c>
      <c r="E4865" s="115" t="s">
        <v>1141</v>
      </c>
    </row>
    <row r="4866" spans="1:5" x14ac:dyDescent="0.25">
      <c r="A4866" s="115" t="s">
        <v>1138</v>
      </c>
      <c r="B4866" s="115" t="s">
        <v>7332</v>
      </c>
      <c r="D4866" s="115" t="s">
        <v>7333</v>
      </c>
      <c r="E4866" s="115" t="s">
        <v>1141</v>
      </c>
    </row>
    <row r="4867" spans="1:5" x14ac:dyDescent="0.25">
      <c r="A4867" s="115">
        <v>10</v>
      </c>
      <c r="B4867" s="115" t="s">
        <v>7334</v>
      </c>
      <c r="C4867" s="115" t="s">
        <v>1138</v>
      </c>
      <c r="D4867" s="115" t="s">
        <v>7335</v>
      </c>
      <c r="E4867" s="115" t="s">
        <v>7336</v>
      </c>
    </row>
    <row r="4868" spans="1:5" x14ac:dyDescent="0.25">
      <c r="A4868" s="115" t="s">
        <v>1138</v>
      </c>
      <c r="B4868" s="115" t="s">
        <v>7337</v>
      </c>
      <c r="D4868" s="115" t="s">
        <v>7338</v>
      </c>
      <c r="E4868" s="115" t="s">
        <v>1859</v>
      </c>
    </row>
    <row r="4869" spans="1:5" x14ac:dyDescent="0.25">
      <c r="A4869" s="115" t="s">
        <v>1138</v>
      </c>
      <c r="B4869" s="115" t="s">
        <v>7339</v>
      </c>
      <c r="C4869" s="115" t="s">
        <v>1138</v>
      </c>
      <c r="D4869" s="115" t="s">
        <v>7340</v>
      </c>
      <c r="E4869" s="115" t="s">
        <v>7341</v>
      </c>
    </row>
    <row r="4870" spans="1:5" x14ac:dyDescent="0.25">
      <c r="B4870" s="115" t="s">
        <v>1139</v>
      </c>
      <c r="D4870" s="115" t="s">
        <v>1140</v>
      </c>
      <c r="E4870" s="115" t="s">
        <v>7342</v>
      </c>
    </row>
    <row r="4871" spans="1:5" x14ac:dyDescent="0.25">
      <c r="A4871" s="115" t="s">
        <v>1138</v>
      </c>
      <c r="B4871" s="115" t="s">
        <v>7343</v>
      </c>
      <c r="D4871" s="115" t="s">
        <v>7344</v>
      </c>
      <c r="E4871" s="115" t="s">
        <v>7345</v>
      </c>
    </row>
    <row r="4872" spans="1:5" x14ac:dyDescent="0.25">
      <c r="B4872" s="115" t="s">
        <v>1139</v>
      </c>
      <c r="D4872" s="115" t="s">
        <v>7346</v>
      </c>
      <c r="E4872" s="115" t="s">
        <v>1141</v>
      </c>
    </row>
    <row r="4873" spans="1:5" x14ac:dyDescent="0.25">
      <c r="B4873" s="115" t="s">
        <v>1139</v>
      </c>
      <c r="D4873" s="115" t="s">
        <v>1140</v>
      </c>
      <c r="E4873" s="115" t="s">
        <v>1141</v>
      </c>
    </row>
    <row r="4874" spans="1:5" x14ac:dyDescent="0.25">
      <c r="A4874" s="115" t="s">
        <v>1138</v>
      </c>
      <c r="B4874" s="115" t="s">
        <v>1429</v>
      </c>
      <c r="D4874" s="115" t="s">
        <v>6816</v>
      </c>
      <c r="E4874" s="115" t="s">
        <v>7347</v>
      </c>
    </row>
    <row r="4875" spans="1:5" x14ac:dyDescent="0.25">
      <c r="A4875" s="115">
        <v>3</v>
      </c>
      <c r="B4875" s="115" t="s">
        <v>7348</v>
      </c>
      <c r="D4875" s="115" t="s">
        <v>7349</v>
      </c>
      <c r="E4875" s="115" t="s">
        <v>7350</v>
      </c>
    </row>
    <row r="4876" spans="1:5" x14ac:dyDescent="0.25">
      <c r="A4876" s="115">
        <v>2</v>
      </c>
      <c r="B4876" s="115" t="s">
        <v>7351</v>
      </c>
      <c r="D4876" s="115" t="s">
        <v>7352</v>
      </c>
      <c r="E4876" s="115" t="s">
        <v>7353</v>
      </c>
    </row>
    <row r="4877" spans="1:5" x14ac:dyDescent="0.25">
      <c r="A4877" s="115">
        <v>1</v>
      </c>
      <c r="B4877" s="115" t="s">
        <v>7354</v>
      </c>
      <c r="D4877" s="115" t="s">
        <v>7355</v>
      </c>
      <c r="E4877" s="115" t="s">
        <v>7356</v>
      </c>
    </row>
    <row r="4878" spans="1:5" x14ac:dyDescent="0.25">
      <c r="A4878" s="115">
        <v>2</v>
      </c>
      <c r="B4878" s="115" t="s">
        <v>7357</v>
      </c>
      <c r="D4878" s="115" t="s">
        <v>7358</v>
      </c>
      <c r="E4878" s="115" t="s">
        <v>7359</v>
      </c>
    </row>
    <row r="4879" spans="1:5" x14ac:dyDescent="0.25">
      <c r="A4879" s="115" t="s">
        <v>1138</v>
      </c>
      <c r="B4879" s="115" t="s">
        <v>7360</v>
      </c>
      <c r="D4879" s="115" t="s">
        <v>7361</v>
      </c>
      <c r="E4879" s="115" t="s">
        <v>7362</v>
      </c>
    </row>
    <row r="4880" spans="1:5" x14ac:dyDescent="0.25">
      <c r="B4880" s="115" t="s">
        <v>1139</v>
      </c>
      <c r="D4880" s="115" t="s">
        <v>7363</v>
      </c>
      <c r="E4880" s="115" t="s">
        <v>1141</v>
      </c>
    </row>
    <row r="4881" spans="1:5" x14ac:dyDescent="0.25">
      <c r="B4881" s="115" t="s">
        <v>1139</v>
      </c>
      <c r="D4881" s="115" t="s">
        <v>7364</v>
      </c>
      <c r="E4881" s="115" t="s">
        <v>7365</v>
      </c>
    </row>
    <row r="4882" spans="1:5" x14ac:dyDescent="0.25">
      <c r="A4882" s="115">
        <v>4</v>
      </c>
      <c r="B4882" s="115" t="s">
        <v>7366</v>
      </c>
      <c r="D4882" s="115" t="s">
        <v>7367</v>
      </c>
      <c r="E4882" s="115" t="s">
        <v>7368</v>
      </c>
    </row>
    <row r="4883" spans="1:5" x14ac:dyDescent="0.25">
      <c r="B4883" s="115" t="s">
        <v>1139</v>
      </c>
      <c r="D4883" s="115" t="s">
        <v>7369</v>
      </c>
      <c r="E4883" s="115" t="s">
        <v>1819</v>
      </c>
    </row>
    <row r="4884" spans="1:5" x14ac:dyDescent="0.25">
      <c r="B4884" s="115" t="s">
        <v>1139</v>
      </c>
      <c r="D4884" s="115" t="s">
        <v>7370</v>
      </c>
      <c r="E4884" s="115" t="s">
        <v>7371</v>
      </c>
    </row>
    <row r="4885" spans="1:5" x14ac:dyDescent="0.25">
      <c r="B4885" s="115" t="s">
        <v>7372</v>
      </c>
      <c r="C4885" s="115" t="s">
        <v>1138</v>
      </c>
      <c r="D4885" s="115" t="s">
        <v>7373</v>
      </c>
      <c r="E4885" s="115" t="s">
        <v>7374</v>
      </c>
    </row>
    <row r="4886" spans="1:5" x14ac:dyDescent="0.25">
      <c r="A4886" s="115" t="s">
        <v>1138</v>
      </c>
      <c r="B4886" s="115" t="s">
        <v>7375</v>
      </c>
      <c r="D4886" s="115" t="s">
        <v>7376</v>
      </c>
      <c r="E4886" s="115" t="s">
        <v>2260</v>
      </c>
    </row>
    <row r="4887" spans="1:5" x14ac:dyDescent="0.25">
      <c r="A4887" s="115" t="s">
        <v>1138</v>
      </c>
      <c r="B4887" s="115" t="s">
        <v>7377</v>
      </c>
      <c r="C4887" s="115" t="s">
        <v>1138</v>
      </c>
      <c r="D4887" s="115" t="s">
        <v>7378</v>
      </c>
      <c r="E4887" s="115" t="s">
        <v>7379</v>
      </c>
    </row>
    <row r="4888" spans="1:5" x14ac:dyDescent="0.25">
      <c r="A4888" s="115">
        <v>5</v>
      </c>
      <c r="B4888" s="115" t="s">
        <v>7380</v>
      </c>
      <c r="C4888" s="115" t="s">
        <v>1138</v>
      </c>
      <c r="D4888" s="115" t="s">
        <v>7381</v>
      </c>
      <c r="E4888" s="115" t="s">
        <v>7382</v>
      </c>
    </row>
    <row r="4889" spans="1:5" x14ac:dyDescent="0.25">
      <c r="B4889" s="115" t="s">
        <v>1196</v>
      </c>
      <c r="D4889" s="115" t="s">
        <v>7383</v>
      </c>
      <c r="E4889" s="115" t="s">
        <v>1859</v>
      </c>
    </row>
    <row r="4890" spans="1:5" x14ac:dyDescent="0.25">
      <c r="A4890" s="115">
        <v>-1</v>
      </c>
      <c r="B4890" s="115" t="s">
        <v>7384</v>
      </c>
      <c r="D4890" s="115" t="s">
        <v>7385</v>
      </c>
      <c r="E4890" s="115" t="s">
        <v>7386</v>
      </c>
    </row>
    <row r="4891" spans="1:5" x14ac:dyDescent="0.25">
      <c r="A4891" s="115">
        <v>-14</v>
      </c>
      <c r="B4891" s="115" t="s">
        <v>7387</v>
      </c>
      <c r="D4891" s="115" t="s">
        <v>7388</v>
      </c>
      <c r="E4891" s="115" t="s">
        <v>7389</v>
      </c>
    </row>
    <row r="4892" spans="1:5" x14ac:dyDescent="0.25">
      <c r="B4892" s="115" t="s">
        <v>7390</v>
      </c>
      <c r="D4892" s="115" t="s">
        <v>7391</v>
      </c>
      <c r="E4892" s="115" t="s">
        <v>1819</v>
      </c>
    </row>
    <row r="4893" spans="1:5" x14ac:dyDescent="0.25">
      <c r="A4893" s="115" t="s">
        <v>1138</v>
      </c>
      <c r="B4893" s="115" t="s">
        <v>7392</v>
      </c>
      <c r="D4893" s="115" t="s">
        <v>7393</v>
      </c>
      <c r="E4893" s="115" t="s">
        <v>7394</v>
      </c>
    </row>
    <row r="4894" spans="1:5" x14ac:dyDescent="0.25">
      <c r="A4894" s="115">
        <v>1</v>
      </c>
      <c r="B4894" s="115" t="s">
        <v>7395</v>
      </c>
      <c r="D4894" s="115" t="s">
        <v>7396</v>
      </c>
      <c r="E4894" s="115" t="s">
        <v>7397</v>
      </c>
    </row>
    <row r="4895" spans="1:5" x14ac:dyDescent="0.25">
      <c r="B4895" s="115" t="s">
        <v>1603</v>
      </c>
      <c r="D4895" s="115" t="s">
        <v>7398</v>
      </c>
      <c r="E4895" s="115" t="s">
        <v>1141</v>
      </c>
    </row>
    <row r="4896" spans="1:5" x14ac:dyDescent="0.25">
      <c r="A4896" s="115" t="s">
        <v>1138</v>
      </c>
      <c r="B4896" s="115" t="s">
        <v>7399</v>
      </c>
      <c r="D4896" s="115" t="s">
        <v>7400</v>
      </c>
      <c r="E4896" s="115" t="s">
        <v>1141</v>
      </c>
    </row>
    <row r="4897" spans="1:5" x14ac:dyDescent="0.25">
      <c r="A4897" s="115">
        <v>8</v>
      </c>
      <c r="B4897" s="115" t="s">
        <v>7401</v>
      </c>
      <c r="C4897" s="115" t="s">
        <v>1138</v>
      </c>
      <c r="D4897" s="115" t="s">
        <v>7402</v>
      </c>
      <c r="E4897" s="115" t="s">
        <v>7403</v>
      </c>
    </row>
    <row r="4898" spans="1:5" x14ac:dyDescent="0.25">
      <c r="A4898" s="115" t="s">
        <v>1138</v>
      </c>
      <c r="B4898" s="115" t="s">
        <v>1621</v>
      </c>
      <c r="D4898" s="115" t="s">
        <v>7404</v>
      </c>
      <c r="E4898" s="115" t="s">
        <v>1859</v>
      </c>
    </row>
    <row r="4899" spans="1:5" x14ac:dyDescent="0.25">
      <c r="A4899" s="115" t="s">
        <v>1138</v>
      </c>
      <c r="B4899" s="115" t="s">
        <v>7405</v>
      </c>
      <c r="C4899" s="115" t="s">
        <v>1138</v>
      </c>
      <c r="D4899" s="115" t="s">
        <v>7406</v>
      </c>
      <c r="E4899" s="115" t="s">
        <v>7407</v>
      </c>
    </row>
    <row r="4900" spans="1:5" x14ac:dyDescent="0.25">
      <c r="B4900" s="115" t="s">
        <v>1139</v>
      </c>
      <c r="D4900" s="115" t="s">
        <v>1140</v>
      </c>
      <c r="E4900" s="115" t="s">
        <v>7408</v>
      </c>
    </row>
    <row r="4901" spans="1:5" x14ac:dyDescent="0.25">
      <c r="A4901" s="115" t="s">
        <v>1138</v>
      </c>
      <c r="B4901" s="115" t="s">
        <v>7409</v>
      </c>
      <c r="D4901" s="115" t="s">
        <v>7410</v>
      </c>
      <c r="E4901" s="115" t="s">
        <v>7411</v>
      </c>
    </row>
    <row r="4902" spans="1:5" x14ac:dyDescent="0.25">
      <c r="B4902" s="115" t="s">
        <v>1139</v>
      </c>
      <c r="D4902" s="115" t="s">
        <v>7412</v>
      </c>
      <c r="E4902" s="115" t="s">
        <v>1141</v>
      </c>
    </row>
    <row r="4903" spans="1:5" x14ac:dyDescent="0.25">
      <c r="B4903" s="115" t="s">
        <v>1139</v>
      </c>
      <c r="D4903" s="115" t="s">
        <v>1140</v>
      </c>
      <c r="E4903" s="115" t="s">
        <v>1141</v>
      </c>
    </row>
    <row r="4904" spans="1:5" x14ac:dyDescent="0.25">
      <c r="A4904" s="115" t="s">
        <v>1138</v>
      </c>
      <c r="B4904" s="115" t="s">
        <v>4577</v>
      </c>
      <c r="D4904" s="115" t="s">
        <v>3122</v>
      </c>
      <c r="E4904" s="115" t="s">
        <v>7413</v>
      </c>
    </row>
    <row r="4905" spans="1:5" x14ac:dyDescent="0.25">
      <c r="A4905" s="115">
        <v>1</v>
      </c>
      <c r="B4905" s="115" t="s">
        <v>7414</v>
      </c>
      <c r="D4905" s="115" t="s">
        <v>7415</v>
      </c>
      <c r="E4905" s="115" t="s">
        <v>7416</v>
      </c>
    </row>
    <row r="4906" spans="1:5" x14ac:dyDescent="0.25">
      <c r="A4906" s="115">
        <v>2</v>
      </c>
      <c r="B4906" s="115" t="s">
        <v>7417</v>
      </c>
      <c r="D4906" s="115" t="s">
        <v>7418</v>
      </c>
      <c r="E4906" s="115" t="s">
        <v>7419</v>
      </c>
    </row>
    <row r="4907" spans="1:5" x14ac:dyDescent="0.25">
      <c r="A4907" s="115">
        <v>2</v>
      </c>
      <c r="B4907" s="115" t="s">
        <v>7420</v>
      </c>
      <c r="D4907" s="115" t="s">
        <v>7421</v>
      </c>
      <c r="E4907" s="115" t="s">
        <v>7422</v>
      </c>
    </row>
    <row r="4908" spans="1:5" x14ac:dyDescent="0.25">
      <c r="A4908" s="115">
        <v>3</v>
      </c>
      <c r="B4908" s="115" t="s">
        <v>7423</v>
      </c>
      <c r="D4908" s="115" t="s">
        <v>7424</v>
      </c>
      <c r="E4908" s="115" t="s">
        <v>7425</v>
      </c>
    </row>
    <row r="4909" spans="1:5" x14ac:dyDescent="0.25">
      <c r="A4909" s="115">
        <v>31</v>
      </c>
      <c r="B4909" s="115" t="s">
        <v>7426</v>
      </c>
      <c r="D4909" s="115" t="s">
        <v>7427</v>
      </c>
      <c r="E4909" s="115" t="s">
        <v>7428</v>
      </c>
    </row>
    <row r="4910" spans="1:5" x14ac:dyDescent="0.25">
      <c r="B4910" s="115" t="s">
        <v>1139</v>
      </c>
      <c r="D4910" s="115" t="s">
        <v>7429</v>
      </c>
      <c r="E4910" s="115" t="s">
        <v>1141</v>
      </c>
    </row>
    <row r="4911" spans="1:5" x14ac:dyDescent="0.25">
      <c r="B4911" s="115" t="s">
        <v>1139</v>
      </c>
      <c r="D4911" s="115" t="s">
        <v>7430</v>
      </c>
      <c r="E4911" s="115" t="s">
        <v>7431</v>
      </c>
    </row>
    <row r="4912" spans="1:5" x14ac:dyDescent="0.25">
      <c r="A4912" s="115">
        <v>3</v>
      </c>
      <c r="B4912" s="115" t="s">
        <v>7432</v>
      </c>
      <c r="D4912" s="115" t="s">
        <v>1559</v>
      </c>
      <c r="E4912" s="115" t="s">
        <v>7433</v>
      </c>
    </row>
    <row r="4913" spans="1:5" x14ac:dyDescent="0.25">
      <c r="B4913" s="115" t="s">
        <v>1304</v>
      </c>
      <c r="D4913" s="115" t="s">
        <v>1140</v>
      </c>
      <c r="E4913" s="115" t="s">
        <v>7434</v>
      </c>
    </row>
    <row r="4914" spans="1:5" x14ac:dyDescent="0.25">
      <c r="B4914" s="115" t="s">
        <v>1139</v>
      </c>
      <c r="D4914" s="115" t="s">
        <v>7435</v>
      </c>
      <c r="E4914" s="115" t="s">
        <v>7436</v>
      </c>
    </row>
    <row r="4915" spans="1:5" x14ac:dyDescent="0.25">
      <c r="B4915" s="115" t="s">
        <v>1139</v>
      </c>
      <c r="C4915" s="115" t="s">
        <v>1138</v>
      </c>
      <c r="D4915" s="115" t="s">
        <v>7437</v>
      </c>
      <c r="E4915" s="115" t="s">
        <v>7438</v>
      </c>
    </row>
    <row r="4916" spans="1:5" x14ac:dyDescent="0.25">
      <c r="A4916" s="115" t="s">
        <v>1138</v>
      </c>
      <c r="B4916" s="115" t="s">
        <v>7439</v>
      </c>
      <c r="D4916" s="115" t="s">
        <v>7440</v>
      </c>
      <c r="E4916" s="115" t="s">
        <v>7441</v>
      </c>
    </row>
    <row r="4917" spans="1:5" x14ac:dyDescent="0.25">
      <c r="B4917" s="115" t="s">
        <v>7442</v>
      </c>
      <c r="D4917" s="115" t="s">
        <v>7443</v>
      </c>
      <c r="E4917" s="115" t="s">
        <v>7444</v>
      </c>
    </row>
    <row r="4918" spans="1:5" x14ac:dyDescent="0.25">
      <c r="A4918" s="115">
        <v>1</v>
      </c>
      <c r="B4918" s="115" t="s">
        <v>7445</v>
      </c>
      <c r="C4918" s="115" t="s">
        <v>1138</v>
      </c>
      <c r="D4918" s="115" t="s">
        <v>7446</v>
      </c>
      <c r="E4918" s="115" t="s">
        <v>7447</v>
      </c>
    </row>
    <row r="4919" spans="1:5" x14ac:dyDescent="0.25">
      <c r="A4919" s="115" t="s">
        <v>1138</v>
      </c>
      <c r="B4919" s="115" t="s">
        <v>7448</v>
      </c>
      <c r="D4919" s="115" t="s">
        <v>7449</v>
      </c>
      <c r="E4919" s="115" t="s">
        <v>7450</v>
      </c>
    </row>
    <row r="4920" spans="1:5" x14ac:dyDescent="0.25">
      <c r="B4920" s="115" t="s">
        <v>7451</v>
      </c>
      <c r="D4920" s="115" t="s">
        <v>7452</v>
      </c>
      <c r="E4920" s="115" t="s">
        <v>7453</v>
      </c>
    </row>
    <row r="4921" spans="1:5" x14ac:dyDescent="0.25">
      <c r="A4921" s="115">
        <v>1</v>
      </c>
      <c r="B4921" s="115" t="s">
        <v>7454</v>
      </c>
      <c r="D4921" s="115" t="s">
        <v>7455</v>
      </c>
      <c r="E4921" s="115" t="s">
        <v>7456</v>
      </c>
    </row>
    <row r="4922" spans="1:5" x14ac:dyDescent="0.25">
      <c r="B4922" s="115" t="s">
        <v>1139</v>
      </c>
      <c r="D4922" s="115" t="s">
        <v>7457</v>
      </c>
      <c r="E4922" s="115" t="s">
        <v>7458</v>
      </c>
    </row>
    <row r="4923" spans="1:5" x14ac:dyDescent="0.25">
      <c r="B4923" s="115" t="s">
        <v>7459</v>
      </c>
      <c r="D4923" s="115" t="s">
        <v>7460</v>
      </c>
      <c r="E4923" s="115" t="s">
        <v>7461</v>
      </c>
    </row>
    <row r="4924" spans="1:5" x14ac:dyDescent="0.25">
      <c r="A4924" s="115">
        <v>-6</v>
      </c>
      <c r="B4924" s="115" t="s">
        <v>7462</v>
      </c>
      <c r="C4924" s="115" t="s">
        <v>1138</v>
      </c>
      <c r="D4924" s="115" t="s">
        <v>7463</v>
      </c>
      <c r="E4924" s="115" t="s">
        <v>7464</v>
      </c>
    </row>
    <row r="4925" spans="1:5" x14ac:dyDescent="0.25">
      <c r="B4925" s="115" t="s">
        <v>7465</v>
      </c>
      <c r="D4925" s="115" t="s">
        <v>7466</v>
      </c>
      <c r="E4925" s="115" t="s">
        <v>1141</v>
      </c>
    </row>
    <row r="4926" spans="1:5" x14ac:dyDescent="0.25">
      <c r="B4926" s="115" t="s">
        <v>7467</v>
      </c>
      <c r="C4926" s="115" t="s">
        <v>1138</v>
      </c>
      <c r="D4926" s="115" t="s">
        <v>7468</v>
      </c>
      <c r="E4926" s="115" t="s">
        <v>1141</v>
      </c>
    </row>
    <row r="4927" spans="1:5" x14ac:dyDescent="0.25">
      <c r="B4927" s="115" t="s">
        <v>7469</v>
      </c>
      <c r="C4927" s="115" t="s">
        <v>1138</v>
      </c>
      <c r="D4927" s="115" t="s">
        <v>7470</v>
      </c>
      <c r="E4927" s="115" t="s">
        <v>7471</v>
      </c>
    </row>
    <row r="4928" spans="1:5" x14ac:dyDescent="0.25">
      <c r="B4928" s="115" t="s">
        <v>1426</v>
      </c>
      <c r="D4928" s="115" t="s">
        <v>1794</v>
      </c>
      <c r="E4928" s="115" t="s">
        <v>7472</v>
      </c>
    </row>
    <row r="4929" spans="1:5" x14ac:dyDescent="0.25">
      <c r="B4929" s="115" t="s">
        <v>7473</v>
      </c>
      <c r="C4929" s="115">
        <v>1</v>
      </c>
      <c r="D4929" s="115" t="s">
        <v>7474</v>
      </c>
      <c r="E4929" s="115" t="s">
        <v>7475</v>
      </c>
    </row>
    <row r="4930" spans="1:5" x14ac:dyDescent="0.25">
      <c r="B4930" s="115" t="s">
        <v>1139</v>
      </c>
      <c r="D4930" s="115" t="s">
        <v>1140</v>
      </c>
      <c r="E4930" s="115" t="s">
        <v>7476</v>
      </c>
    </row>
    <row r="4931" spans="1:5" x14ac:dyDescent="0.25">
      <c r="B4931" s="115" t="s">
        <v>7477</v>
      </c>
      <c r="C4931" s="115">
        <v>-1</v>
      </c>
      <c r="D4931" s="115" t="s">
        <v>7478</v>
      </c>
      <c r="E4931" s="115" t="s">
        <v>7479</v>
      </c>
    </row>
    <row r="4932" spans="1:5" x14ac:dyDescent="0.25">
      <c r="B4932" s="115" t="s">
        <v>1139</v>
      </c>
      <c r="D4932" s="115" t="s">
        <v>7480</v>
      </c>
      <c r="E4932" s="115" t="s">
        <v>1819</v>
      </c>
    </row>
    <row r="4933" spans="1:5" x14ac:dyDescent="0.25">
      <c r="B4933" s="115" t="s">
        <v>1139</v>
      </c>
      <c r="D4933" s="115" t="s">
        <v>1140</v>
      </c>
      <c r="E4933" s="115" t="s">
        <v>1141</v>
      </c>
    </row>
    <row r="4934" spans="1:5" x14ac:dyDescent="0.25">
      <c r="B4934" s="115" t="s">
        <v>1474</v>
      </c>
      <c r="D4934" s="115" t="s">
        <v>1140</v>
      </c>
      <c r="E4934" s="115" t="s">
        <v>7481</v>
      </c>
    </row>
    <row r="4935" spans="1:5" x14ac:dyDescent="0.25">
      <c r="A4935" s="115">
        <v>2</v>
      </c>
      <c r="B4935" s="115" t="s">
        <v>7482</v>
      </c>
      <c r="D4935" s="115" t="s">
        <v>7483</v>
      </c>
      <c r="E4935" s="115" t="s">
        <v>7484</v>
      </c>
    </row>
    <row r="4936" spans="1:5" x14ac:dyDescent="0.25">
      <c r="B4936" s="115" t="s">
        <v>7485</v>
      </c>
      <c r="C4936" s="115" t="s">
        <v>1138</v>
      </c>
      <c r="D4936" s="115" t="s">
        <v>7486</v>
      </c>
      <c r="E4936" s="115" t="s">
        <v>7487</v>
      </c>
    </row>
    <row r="4937" spans="1:5" x14ac:dyDescent="0.25">
      <c r="A4937" s="115">
        <v>3</v>
      </c>
      <c r="B4937" s="115" t="s">
        <v>7488</v>
      </c>
      <c r="D4937" s="115" t="s">
        <v>7489</v>
      </c>
      <c r="E4937" s="115" t="s">
        <v>7490</v>
      </c>
    </row>
    <row r="4938" spans="1:5" x14ac:dyDescent="0.25">
      <c r="A4938" s="115">
        <v>1</v>
      </c>
      <c r="B4938" s="115" t="s">
        <v>7491</v>
      </c>
      <c r="D4938" s="115" t="s">
        <v>7492</v>
      </c>
      <c r="E4938" s="115" t="s">
        <v>7493</v>
      </c>
    </row>
    <row r="4939" spans="1:5" x14ac:dyDescent="0.25">
      <c r="A4939" s="115">
        <v>18</v>
      </c>
      <c r="B4939" s="115" t="s">
        <v>7494</v>
      </c>
      <c r="C4939" s="115">
        <v>2</v>
      </c>
      <c r="D4939" s="115" t="s">
        <v>7495</v>
      </c>
      <c r="E4939" s="115" t="s">
        <v>7496</v>
      </c>
    </row>
    <row r="4940" spans="1:5" x14ac:dyDescent="0.25">
      <c r="B4940" s="115" t="s">
        <v>1278</v>
      </c>
      <c r="D4940" s="115" t="s">
        <v>2100</v>
      </c>
      <c r="E4940" s="115" t="s">
        <v>7497</v>
      </c>
    </row>
    <row r="4941" spans="1:5" x14ac:dyDescent="0.25">
      <c r="B4941" s="115" t="s">
        <v>1139</v>
      </c>
      <c r="D4941" s="115" t="s">
        <v>7498</v>
      </c>
      <c r="E4941" s="115" t="s">
        <v>7499</v>
      </c>
    </row>
    <row r="4942" spans="1:5" x14ac:dyDescent="0.25">
      <c r="A4942" s="115">
        <v>-1</v>
      </c>
      <c r="B4942" s="115" t="s">
        <v>7500</v>
      </c>
      <c r="D4942" s="115" t="s">
        <v>7501</v>
      </c>
      <c r="E4942" s="115" t="s">
        <v>7502</v>
      </c>
    </row>
    <row r="4943" spans="1:5" x14ac:dyDescent="0.25">
      <c r="B4943" s="115" t="s">
        <v>1139</v>
      </c>
      <c r="D4943" s="115" t="s">
        <v>7503</v>
      </c>
      <c r="E4943" s="115" t="s">
        <v>7504</v>
      </c>
    </row>
    <row r="4944" spans="1:5" x14ac:dyDescent="0.25">
      <c r="B4944" s="115" t="s">
        <v>1139</v>
      </c>
      <c r="D4944" s="115" t="s">
        <v>1140</v>
      </c>
      <c r="E4944" s="115" t="s">
        <v>7505</v>
      </c>
    </row>
    <row r="4945" spans="1:5" x14ac:dyDescent="0.25">
      <c r="B4945" s="115" t="s">
        <v>1139</v>
      </c>
      <c r="D4945" s="115" t="s">
        <v>7506</v>
      </c>
      <c r="E4945" s="115" t="s">
        <v>7507</v>
      </c>
    </row>
    <row r="4946" spans="1:5" x14ac:dyDescent="0.25">
      <c r="A4946" s="115" t="s">
        <v>1138</v>
      </c>
      <c r="B4946" s="115" t="s">
        <v>7508</v>
      </c>
      <c r="C4946" s="115" t="s">
        <v>1138</v>
      </c>
      <c r="D4946" s="115" t="s">
        <v>7509</v>
      </c>
      <c r="E4946" s="115" t="s">
        <v>7510</v>
      </c>
    </row>
    <row r="4947" spans="1:5" x14ac:dyDescent="0.25">
      <c r="B4947" s="115" t="s">
        <v>1139</v>
      </c>
      <c r="D4947" s="115" t="s">
        <v>7511</v>
      </c>
      <c r="E4947" s="115" t="s">
        <v>7512</v>
      </c>
    </row>
    <row r="4948" spans="1:5" x14ac:dyDescent="0.25">
      <c r="A4948" s="115">
        <v>-1</v>
      </c>
      <c r="B4948" s="115" t="s">
        <v>1370</v>
      </c>
      <c r="D4948" s="115" t="s">
        <v>7513</v>
      </c>
      <c r="E4948" s="115" t="s">
        <v>7514</v>
      </c>
    </row>
    <row r="4949" spans="1:5" x14ac:dyDescent="0.25">
      <c r="B4949" s="115" t="s">
        <v>1139</v>
      </c>
      <c r="D4949" s="115" t="s">
        <v>7515</v>
      </c>
      <c r="E4949" s="115" t="s">
        <v>7516</v>
      </c>
    </row>
    <row r="4950" spans="1:5" x14ac:dyDescent="0.25">
      <c r="B4950" s="115" t="s">
        <v>1139</v>
      </c>
      <c r="D4950" s="115" t="s">
        <v>7517</v>
      </c>
      <c r="E4950" s="115" t="s">
        <v>7518</v>
      </c>
    </row>
    <row r="4951" spans="1:5" x14ac:dyDescent="0.25">
      <c r="B4951" s="115" t="s">
        <v>7519</v>
      </c>
      <c r="D4951" s="115" t="s">
        <v>7520</v>
      </c>
      <c r="E4951" s="115" t="s">
        <v>7521</v>
      </c>
    </row>
    <row r="4952" spans="1:5" x14ac:dyDescent="0.25">
      <c r="B4952" s="115" t="s">
        <v>6636</v>
      </c>
      <c r="D4952" s="115" t="s">
        <v>7522</v>
      </c>
      <c r="E4952" s="115" t="s">
        <v>7523</v>
      </c>
    </row>
    <row r="4953" spans="1:5" x14ac:dyDescent="0.25">
      <c r="B4953" s="115" t="s">
        <v>1139</v>
      </c>
      <c r="D4953" s="115" t="s">
        <v>7524</v>
      </c>
      <c r="E4953" s="115" t="s">
        <v>7525</v>
      </c>
    </row>
    <row r="4954" spans="1:5" x14ac:dyDescent="0.25">
      <c r="B4954" s="115" t="s">
        <v>1139</v>
      </c>
      <c r="D4954" s="115" t="s">
        <v>7526</v>
      </c>
      <c r="E4954" s="115" t="s">
        <v>7527</v>
      </c>
    </row>
    <row r="4955" spans="1:5" x14ac:dyDescent="0.25">
      <c r="B4955" s="115" t="s">
        <v>1258</v>
      </c>
      <c r="D4955" s="115" t="s">
        <v>7528</v>
      </c>
      <c r="E4955" s="115" t="s">
        <v>1759</v>
      </c>
    </row>
    <row r="4956" spans="1:5" x14ac:dyDescent="0.25">
      <c r="B4956" s="115" t="s">
        <v>1139</v>
      </c>
      <c r="D4956" s="115" t="s">
        <v>7529</v>
      </c>
      <c r="E4956" s="115" t="s">
        <v>7530</v>
      </c>
    </row>
    <row r="4957" spans="1:5" x14ac:dyDescent="0.25">
      <c r="B4957" s="115" t="s">
        <v>1139</v>
      </c>
      <c r="D4957" s="115" t="s">
        <v>7531</v>
      </c>
      <c r="E4957" s="115" t="s">
        <v>7532</v>
      </c>
    </row>
    <row r="4958" spans="1:5" x14ac:dyDescent="0.25">
      <c r="B4958" s="115" t="s">
        <v>1139</v>
      </c>
      <c r="D4958" s="115" t="s">
        <v>7533</v>
      </c>
      <c r="E4958" s="115" t="s">
        <v>7534</v>
      </c>
    </row>
    <row r="4959" spans="1:5" x14ac:dyDescent="0.25">
      <c r="B4959" s="115" t="s">
        <v>1139</v>
      </c>
      <c r="D4959" s="115" t="s">
        <v>7535</v>
      </c>
      <c r="E4959" s="115" t="s">
        <v>7536</v>
      </c>
    </row>
    <row r="4960" spans="1:5" x14ac:dyDescent="0.25">
      <c r="A4960" s="115">
        <v>-21</v>
      </c>
      <c r="B4960" s="115" t="s">
        <v>7537</v>
      </c>
      <c r="D4960" s="115" t="s">
        <v>1140</v>
      </c>
      <c r="E4960" s="115" t="s">
        <v>7538</v>
      </c>
    </row>
    <row r="4961" spans="1:5" x14ac:dyDescent="0.25">
      <c r="A4961" s="115">
        <v>2</v>
      </c>
      <c r="B4961" s="115" t="s">
        <v>7539</v>
      </c>
      <c r="D4961" s="115" t="s">
        <v>7540</v>
      </c>
      <c r="E4961" s="115" t="s">
        <v>7541</v>
      </c>
    </row>
    <row r="4962" spans="1:5" x14ac:dyDescent="0.25">
      <c r="A4962" s="115">
        <v>-37</v>
      </c>
      <c r="B4962" s="115" t="s">
        <v>7542</v>
      </c>
      <c r="D4962" s="115" t="s">
        <v>1140</v>
      </c>
      <c r="E4962" s="115" t="s">
        <v>7543</v>
      </c>
    </row>
    <row r="4963" spans="1:5" x14ac:dyDescent="0.25">
      <c r="B4963" s="115" t="s">
        <v>1139</v>
      </c>
      <c r="D4963" s="115" t="s">
        <v>1140</v>
      </c>
      <c r="E4963" s="115" t="s">
        <v>1141</v>
      </c>
    </row>
    <row r="4964" spans="1:5" x14ac:dyDescent="0.25">
      <c r="B4964" s="115" t="s">
        <v>1139</v>
      </c>
      <c r="D4964" s="115" t="s">
        <v>1502</v>
      </c>
      <c r="E4964" s="115" t="s">
        <v>7544</v>
      </c>
    </row>
    <row r="4965" spans="1:5" x14ac:dyDescent="0.25">
      <c r="B4965" s="115" t="s">
        <v>7545</v>
      </c>
      <c r="D4965" s="115" t="s">
        <v>7546</v>
      </c>
      <c r="E4965" s="115" t="s">
        <v>7547</v>
      </c>
    </row>
    <row r="4966" spans="1:5" x14ac:dyDescent="0.25">
      <c r="A4966" s="115">
        <v>1</v>
      </c>
      <c r="B4966" s="115" t="s">
        <v>7548</v>
      </c>
      <c r="C4966" s="115" t="s">
        <v>1138</v>
      </c>
      <c r="D4966" s="115" t="s">
        <v>7549</v>
      </c>
      <c r="E4966" s="115" t="s">
        <v>7550</v>
      </c>
    </row>
    <row r="4967" spans="1:5" x14ac:dyDescent="0.25">
      <c r="A4967" s="115">
        <v>1</v>
      </c>
      <c r="B4967" s="115" t="s">
        <v>7551</v>
      </c>
      <c r="D4967" s="115" t="s">
        <v>7552</v>
      </c>
      <c r="E4967" s="115" t="s">
        <v>7553</v>
      </c>
    </row>
    <row r="4968" spans="1:5" x14ac:dyDescent="0.25">
      <c r="A4968" s="115">
        <v>2</v>
      </c>
      <c r="B4968" s="115" t="s">
        <v>7554</v>
      </c>
      <c r="D4968" s="115" t="s">
        <v>7555</v>
      </c>
      <c r="E4968" s="115" t="s">
        <v>7556</v>
      </c>
    </row>
    <row r="4969" spans="1:5" x14ac:dyDescent="0.25">
      <c r="A4969" s="115">
        <v>23</v>
      </c>
      <c r="B4969" s="115" t="s">
        <v>7557</v>
      </c>
      <c r="C4969" s="115">
        <v>2</v>
      </c>
      <c r="D4969" s="115" t="s">
        <v>7558</v>
      </c>
      <c r="E4969" s="115" t="s">
        <v>7559</v>
      </c>
    </row>
    <row r="4970" spans="1:5" x14ac:dyDescent="0.25">
      <c r="B4970" s="115" t="s">
        <v>1139</v>
      </c>
      <c r="D4970" s="115" t="s">
        <v>7560</v>
      </c>
      <c r="E4970" s="115" t="s">
        <v>7561</v>
      </c>
    </row>
    <row r="4971" spans="1:5" x14ac:dyDescent="0.25">
      <c r="B4971" s="115" t="s">
        <v>1139</v>
      </c>
      <c r="D4971" s="115" t="s">
        <v>1140</v>
      </c>
      <c r="E4971" s="115" t="s">
        <v>7562</v>
      </c>
    </row>
    <row r="4972" spans="1:5" x14ac:dyDescent="0.25">
      <c r="B4972" s="115" t="s">
        <v>1139</v>
      </c>
      <c r="D4972" s="115" t="s">
        <v>7563</v>
      </c>
      <c r="E4972" s="115" t="s">
        <v>7564</v>
      </c>
    </row>
    <row r="4973" spans="1:5" x14ac:dyDescent="0.25">
      <c r="B4973" s="115" t="s">
        <v>7565</v>
      </c>
      <c r="D4973" s="115" t="s">
        <v>1860</v>
      </c>
      <c r="E4973" s="115" t="s">
        <v>1819</v>
      </c>
    </row>
    <row r="4974" spans="1:5" x14ac:dyDescent="0.25">
      <c r="B4974" s="115" t="s">
        <v>4950</v>
      </c>
      <c r="D4974" s="115" t="s">
        <v>1140</v>
      </c>
      <c r="E4974" s="115" t="s">
        <v>7566</v>
      </c>
    </row>
    <row r="4975" spans="1:5" x14ac:dyDescent="0.25">
      <c r="A4975" s="115">
        <v>1</v>
      </c>
      <c r="B4975" s="115" t="s">
        <v>1581</v>
      </c>
      <c r="C4975" s="115" t="s">
        <v>1138</v>
      </c>
      <c r="D4975" s="115" t="s">
        <v>7567</v>
      </c>
      <c r="E4975" s="115" t="s">
        <v>7568</v>
      </c>
    </row>
    <row r="4976" spans="1:5" x14ac:dyDescent="0.25">
      <c r="B4976" s="115" t="s">
        <v>1139</v>
      </c>
      <c r="C4976" s="115" t="s">
        <v>1138</v>
      </c>
      <c r="D4976" s="115" t="s">
        <v>7569</v>
      </c>
      <c r="E4976" s="115" t="s">
        <v>7570</v>
      </c>
    </row>
    <row r="4977" spans="1:5" x14ac:dyDescent="0.25">
      <c r="B4977" s="115" t="s">
        <v>7571</v>
      </c>
      <c r="D4977" s="115" t="s">
        <v>1140</v>
      </c>
      <c r="E4977" s="115" t="s">
        <v>7572</v>
      </c>
    </row>
    <row r="4978" spans="1:5" x14ac:dyDescent="0.25">
      <c r="B4978" s="115" t="s">
        <v>7573</v>
      </c>
      <c r="D4978" s="115" t="s">
        <v>7574</v>
      </c>
      <c r="E4978" s="115" t="s">
        <v>7575</v>
      </c>
    </row>
    <row r="4979" spans="1:5" x14ac:dyDescent="0.25">
      <c r="A4979" s="115" t="s">
        <v>1138</v>
      </c>
      <c r="B4979" s="115" t="s">
        <v>7576</v>
      </c>
      <c r="D4979" s="115" t="s">
        <v>7577</v>
      </c>
      <c r="E4979" s="115" t="s">
        <v>7578</v>
      </c>
    </row>
    <row r="4980" spans="1:5" x14ac:dyDescent="0.25">
      <c r="B4980" s="115" t="s">
        <v>7579</v>
      </c>
      <c r="D4980" s="115" t="s">
        <v>1140</v>
      </c>
      <c r="E4980" s="115" t="s">
        <v>7580</v>
      </c>
    </row>
    <row r="4981" spans="1:5" x14ac:dyDescent="0.25">
      <c r="B4981" s="115" t="s">
        <v>7581</v>
      </c>
      <c r="C4981" s="115" t="s">
        <v>1138</v>
      </c>
      <c r="D4981" s="115" t="s">
        <v>7582</v>
      </c>
      <c r="E4981" s="115" t="s">
        <v>7583</v>
      </c>
    </row>
    <row r="4982" spans="1:5" x14ac:dyDescent="0.25">
      <c r="B4982" s="115" t="s">
        <v>7584</v>
      </c>
      <c r="D4982" s="115" t="s">
        <v>7585</v>
      </c>
      <c r="E4982" s="115" t="s">
        <v>7586</v>
      </c>
    </row>
    <row r="4983" spans="1:5" x14ac:dyDescent="0.25">
      <c r="A4983" s="115" t="s">
        <v>1138</v>
      </c>
      <c r="B4983" s="115" t="s">
        <v>7587</v>
      </c>
      <c r="D4983" s="115" t="s">
        <v>1140</v>
      </c>
      <c r="E4983" s="115" t="s">
        <v>7588</v>
      </c>
    </row>
    <row r="4984" spans="1:5" x14ac:dyDescent="0.25">
      <c r="A4984" s="115" t="s">
        <v>1138</v>
      </c>
      <c r="B4984" s="115" t="s">
        <v>7589</v>
      </c>
      <c r="D4984" s="115" t="s">
        <v>6079</v>
      </c>
      <c r="E4984" s="115" t="s">
        <v>7590</v>
      </c>
    </row>
    <row r="4985" spans="1:5" x14ac:dyDescent="0.25">
      <c r="B4985" s="115" t="s">
        <v>1642</v>
      </c>
      <c r="D4985" s="115" t="s">
        <v>7591</v>
      </c>
      <c r="E4985" s="115" t="s">
        <v>7592</v>
      </c>
    </row>
    <row r="4986" spans="1:5" x14ac:dyDescent="0.25">
      <c r="B4986" s="115" t="s">
        <v>1139</v>
      </c>
      <c r="D4986" s="115" t="s">
        <v>1140</v>
      </c>
      <c r="E4986" s="115" t="s">
        <v>7593</v>
      </c>
    </row>
    <row r="4987" spans="1:5" x14ac:dyDescent="0.25">
      <c r="A4987" s="115" t="s">
        <v>1138</v>
      </c>
      <c r="B4987" s="115" t="s">
        <v>6753</v>
      </c>
      <c r="D4987" s="115" t="s">
        <v>1140</v>
      </c>
      <c r="E4987" s="115" t="s">
        <v>7594</v>
      </c>
    </row>
    <row r="4988" spans="1:5" x14ac:dyDescent="0.25">
      <c r="B4988" s="115" t="s">
        <v>7595</v>
      </c>
      <c r="D4988" s="115" t="s">
        <v>2022</v>
      </c>
      <c r="E4988" s="115" t="s">
        <v>7596</v>
      </c>
    </row>
    <row r="4989" spans="1:5" x14ac:dyDescent="0.25">
      <c r="B4989" s="115" t="s">
        <v>7597</v>
      </c>
      <c r="D4989" s="115" t="s">
        <v>1140</v>
      </c>
      <c r="E4989" s="115" t="s">
        <v>7598</v>
      </c>
    </row>
    <row r="4990" spans="1:5" x14ac:dyDescent="0.25">
      <c r="A4990" s="115">
        <v>1</v>
      </c>
      <c r="B4990" s="115" t="s">
        <v>7599</v>
      </c>
      <c r="D4990" s="115" t="s">
        <v>7600</v>
      </c>
      <c r="E4990" s="115" t="s">
        <v>1141</v>
      </c>
    </row>
    <row r="4991" spans="1:5" x14ac:dyDescent="0.25">
      <c r="B4991" s="115" t="s">
        <v>1139</v>
      </c>
      <c r="D4991" s="115" t="s">
        <v>7601</v>
      </c>
      <c r="E4991" s="115" t="s">
        <v>7602</v>
      </c>
    </row>
    <row r="4992" spans="1:5" x14ac:dyDescent="0.25">
      <c r="A4992" s="115">
        <v>-2</v>
      </c>
      <c r="B4992" s="115" t="s">
        <v>7603</v>
      </c>
      <c r="D4992" s="115" t="s">
        <v>7604</v>
      </c>
      <c r="E4992" s="115" t="s">
        <v>1512</v>
      </c>
    </row>
    <row r="4993" spans="1:5" x14ac:dyDescent="0.25">
      <c r="B4993" s="115" t="s">
        <v>1265</v>
      </c>
      <c r="D4993" s="115" t="s">
        <v>1140</v>
      </c>
      <c r="E4993" s="115" t="s">
        <v>1141</v>
      </c>
    </row>
    <row r="4994" spans="1:5" x14ac:dyDescent="0.25">
      <c r="B4994" s="115" t="s">
        <v>1139</v>
      </c>
      <c r="D4994" s="115" t="s">
        <v>1140</v>
      </c>
      <c r="E4994" s="115" t="s">
        <v>7605</v>
      </c>
    </row>
    <row r="4995" spans="1:5" x14ac:dyDescent="0.25">
      <c r="B4995" s="115" t="s">
        <v>1310</v>
      </c>
      <c r="D4995" s="115" t="s">
        <v>7606</v>
      </c>
      <c r="E4995" s="115" t="s">
        <v>7607</v>
      </c>
    </row>
    <row r="4996" spans="1:5" x14ac:dyDescent="0.25">
      <c r="B4996" s="115" t="s">
        <v>1139</v>
      </c>
      <c r="D4996" s="115" t="s">
        <v>7608</v>
      </c>
      <c r="E4996" s="115" t="s">
        <v>7609</v>
      </c>
    </row>
    <row r="4997" spans="1:5" x14ac:dyDescent="0.25">
      <c r="A4997" s="115">
        <v>-4</v>
      </c>
      <c r="B4997" s="115" t="s">
        <v>7610</v>
      </c>
      <c r="D4997" s="115" t="s">
        <v>7611</v>
      </c>
      <c r="E4997" s="115" t="s">
        <v>7612</v>
      </c>
    </row>
    <row r="4998" spans="1:5" x14ac:dyDescent="0.25">
      <c r="B4998" s="115" t="s">
        <v>7613</v>
      </c>
      <c r="D4998" s="115" t="s">
        <v>7614</v>
      </c>
      <c r="E4998" s="115" t="s">
        <v>7615</v>
      </c>
    </row>
    <row r="4999" spans="1:5" x14ac:dyDescent="0.25">
      <c r="A4999" s="115">
        <v>23</v>
      </c>
      <c r="B4999" s="115" t="s">
        <v>7616</v>
      </c>
      <c r="C4999" s="115">
        <v>1</v>
      </c>
      <c r="D4999" s="115" t="s">
        <v>7617</v>
      </c>
      <c r="E4999" s="115" t="s">
        <v>7618</v>
      </c>
    </row>
    <row r="5000" spans="1:5" x14ac:dyDescent="0.25">
      <c r="A5000" s="115">
        <v>-1</v>
      </c>
      <c r="B5000" s="115" t="s">
        <v>7619</v>
      </c>
      <c r="D5000" s="115" t="s">
        <v>7620</v>
      </c>
      <c r="E5000" s="115" t="s">
        <v>7621</v>
      </c>
    </row>
    <row r="5001" spans="1:5" x14ac:dyDescent="0.25">
      <c r="B5001" s="115" t="s">
        <v>1139</v>
      </c>
      <c r="D5001" s="115" t="s">
        <v>7622</v>
      </c>
      <c r="E5001" s="115" t="s">
        <v>1141</v>
      </c>
    </row>
    <row r="5002" spans="1:5" x14ac:dyDescent="0.25">
      <c r="B5002" s="115" t="s">
        <v>1139</v>
      </c>
      <c r="D5002" s="115" t="s">
        <v>7623</v>
      </c>
      <c r="E5002" s="115" t="s">
        <v>7624</v>
      </c>
    </row>
    <row r="5003" spans="1:5" x14ac:dyDescent="0.25">
      <c r="A5003" s="115" t="s">
        <v>1138</v>
      </c>
      <c r="B5003" s="115" t="s">
        <v>7625</v>
      </c>
      <c r="D5003" s="115" t="s">
        <v>7626</v>
      </c>
      <c r="E5003" s="115" t="s">
        <v>7627</v>
      </c>
    </row>
    <row r="5004" spans="1:5" x14ac:dyDescent="0.25">
      <c r="B5004" s="115" t="s">
        <v>1139</v>
      </c>
      <c r="D5004" s="115" t="s">
        <v>2362</v>
      </c>
      <c r="E5004" s="115" t="s">
        <v>1759</v>
      </c>
    </row>
    <row r="5005" spans="1:5" x14ac:dyDescent="0.25">
      <c r="B5005" s="115" t="s">
        <v>1139</v>
      </c>
      <c r="D5005" s="115" t="s">
        <v>7628</v>
      </c>
      <c r="E5005" s="115" t="s">
        <v>7629</v>
      </c>
    </row>
    <row r="5006" spans="1:5" x14ac:dyDescent="0.25">
      <c r="B5006" s="115" t="s">
        <v>7630</v>
      </c>
      <c r="C5006" s="115" t="s">
        <v>1138</v>
      </c>
      <c r="D5006" s="115" t="s">
        <v>7631</v>
      </c>
      <c r="E5006" s="115" t="s">
        <v>7632</v>
      </c>
    </row>
    <row r="5007" spans="1:5" x14ac:dyDescent="0.25">
      <c r="A5007" s="115">
        <v>1</v>
      </c>
      <c r="B5007" s="115" t="s">
        <v>7633</v>
      </c>
      <c r="D5007" s="115" t="s">
        <v>7634</v>
      </c>
      <c r="E5007" s="115" t="s">
        <v>1702</v>
      </c>
    </row>
    <row r="5008" spans="1:5" x14ac:dyDescent="0.25">
      <c r="A5008" s="115" t="s">
        <v>1138</v>
      </c>
      <c r="B5008" s="115" t="s">
        <v>7635</v>
      </c>
      <c r="D5008" s="115" t="s">
        <v>7636</v>
      </c>
      <c r="E5008" s="115" t="s">
        <v>7637</v>
      </c>
    </row>
    <row r="5009" spans="1:5" x14ac:dyDescent="0.25">
      <c r="A5009" s="115" t="s">
        <v>1138</v>
      </c>
      <c r="B5009" s="115" t="s">
        <v>7638</v>
      </c>
      <c r="D5009" s="115" t="s">
        <v>7639</v>
      </c>
      <c r="E5009" s="115" t="s">
        <v>7640</v>
      </c>
    </row>
    <row r="5010" spans="1:5" x14ac:dyDescent="0.25">
      <c r="A5010" s="115">
        <v>2</v>
      </c>
      <c r="B5010" s="115" t="s">
        <v>7641</v>
      </c>
      <c r="D5010" s="115" t="s">
        <v>7642</v>
      </c>
      <c r="E5010" s="115" t="s">
        <v>1894</v>
      </c>
    </row>
    <row r="5011" spans="1:5" x14ac:dyDescent="0.25">
      <c r="B5011" s="115">
        <f>-66  -3087</f>
        <v>-3153</v>
      </c>
      <c r="D5011" s="115" t="s">
        <v>7643</v>
      </c>
      <c r="E5011" s="115" t="s">
        <v>7644</v>
      </c>
    </row>
    <row r="5012" spans="1:5" x14ac:dyDescent="0.25">
      <c r="B5012" s="115" t="s">
        <v>7645</v>
      </c>
      <c r="D5012" s="115" t="s">
        <v>7646</v>
      </c>
      <c r="E5012" s="115" t="s">
        <v>7647</v>
      </c>
    </row>
    <row r="5013" spans="1:5" x14ac:dyDescent="0.25">
      <c r="B5013" s="115" t="s">
        <v>2857</v>
      </c>
      <c r="D5013" s="115" t="s">
        <v>7648</v>
      </c>
      <c r="E5013" s="115" t="s">
        <v>2690</v>
      </c>
    </row>
    <row r="5014" spans="1:5" x14ac:dyDescent="0.25">
      <c r="B5014" s="115" t="s">
        <v>7649</v>
      </c>
      <c r="D5014" s="115" t="s">
        <v>7650</v>
      </c>
      <c r="E5014" s="115" t="s">
        <v>7651</v>
      </c>
    </row>
    <row r="5015" spans="1:5" x14ac:dyDescent="0.25">
      <c r="B5015" s="115" t="s">
        <v>7652</v>
      </c>
      <c r="D5015" s="115" t="s">
        <v>7653</v>
      </c>
      <c r="E5015" s="115" t="s">
        <v>7654</v>
      </c>
    </row>
    <row r="5016" spans="1:5" x14ac:dyDescent="0.25">
      <c r="A5016" s="115">
        <v>1</v>
      </c>
      <c r="B5016" s="115" t="s">
        <v>1178</v>
      </c>
      <c r="D5016" s="115" t="s">
        <v>7655</v>
      </c>
      <c r="E5016" s="115" t="s">
        <v>1141</v>
      </c>
    </row>
    <row r="5017" spans="1:5" x14ac:dyDescent="0.25">
      <c r="B5017" s="115" t="s">
        <v>7656</v>
      </c>
      <c r="D5017" s="115" t="s">
        <v>7657</v>
      </c>
      <c r="E5017" s="115" t="s">
        <v>1141</v>
      </c>
    </row>
    <row r="5018" spans="1:5" x14ac:dyDescent="0.25">
      <c r="A5018" s="115" t="s">
        <v>1138</v>
      </c>
      <c r="B5018" s="115" t="s">
        <v>7658</v>
      </c>
      <c r="D5018" s="115" t="s">
        <v>7659</v>
      </c>
      <c r="E5018" s="115" t="s">
        <v>1193</v>
      </c>
    </row>
    <row r="5019" spans="1:5" x14ac:dyDescent="0.25">
      <c r="A5019" s="115">
        <v>5</v>
      </c>
      <c r="B5019" s="115" t="s">
        <v>1505</v>
      </c>
      <c r="D5019" s="115" t="s">
        <v>7660</v>
      </c>
      <c r="E5019" s="115" t="s">
        <v>2537</v>
      </c>
    </row>
    <row r="5020" spans="1:5" x14ac:dyDescent="0.25">
      <c r="B5020" s="115" t="s">
        <v>7661</v>
      </c>
      <c r="D5020" s="115" t="s">
        <v>7662</v>
      </c>
      <c r="E5020" s="115" t="s">
        <v>7663</v>
      </c>
    </row>
    <row r="5021" spans="1:5" x14ac:dyDescent="0.25">
      <c r="B5021" s="115" t="s">
        <v>1139</v>
      </c>
      <c r="D5021" s="115" t="s">
        <v>1140</v>
      </c>
      <c r="E5021" s="115" t="s">
        <v>7664</v>
      </c>
    </row>
    <row r="5022" spans="1:5" x14ac:dyDescent="0.25">
      <c r="A5022" s="115">
        <v>-4</v>
      </c>
      <c r="B5022" s="115" t="s">
        <v>7665</v>
      </c>
      <c r="D5022" s="115" t="s">
        <v>7666</v>
      </c>
      <c r="E5022" s="115" t="s">
        <v>7667</v>
      </c>
    </row>
    <row r="5023" spans="1:5" x14ac:dyDescent="0.25">
      <c r="B5023" s="115" t="s">
        <v>1139</v>
      </c>
      <c r="D5023" s="115" t="s">
        <v>7668</v>
      </c>
      <c r="E5023" s="115" t="s">
        <v>1141</v>
      </c>
    </row>
    <row r="5024" spans="1:5" x14ac:dyDescent="0.25">
      <c r="B5024" s="115" t="s">
        <v>1139</v>
      </c>
      <c r="D5024" s="115" t="s">
        <v>1140</v>
      </c>
      <c r="E5024" s="115" t="s">
        <v>1141</v>
      </c>
    </row>
    <row r="5025" spans="1:5" x14ac:dyDescent="0.25">
      <c r="B5025" s="115" t="s">
        <v>1276</v>
      </c>
      <c r="D5025" s="115" t="s">
        <v>3122</v>
      </c>
      <c r="E5025" s="115" t="s">
        <v>7669</v>
      </c>
    </row>
    <row r="5026" spans="1:5" x14ac:dyDescent="0.25">
      <c r="A5026" s="115">
        <v>-1</v>
      </c>
      <c r="B5026" s="115" t="s">
        <v>7670</v>
      </c>
      <c r="D5026" s="115" t="s">
        <v>7671</v>
      </c>
      <c r="E5026" s="115" t="s">
        <v>7672</v>
      </c>
    </row>
    <row r="5027" spans="1:5" x14ac:dyDescent="0.25">
      <c r="A5027" s="115" t="s">
        <v>1138</v>
      </c>
      <c r="B5027" s="115" t="s">
        <v>7673</v>
      </c>
      <c r="D5027" s="115" t="s">
        <v>7674</v>
      </c>
      <c r="E5027" s="115" t="s">
        <v>7675</v>
      </c>
    </row>
    <row r="5028" spans="1:5" x14ac:dyDescent="0.25">
      <c r="B5028" s="115" t="s">
        <v>7676</v>
      </c>
      <c r="C5028" s="115" t="s">
        <v>1138</v>
      </c>
      <c r="D5028" s="115" t="s">
        <v>7677</v>
      </c>
      <c r="E5028" s="115" t="s">
        <v>7678</v>
      </c>
    </row>
    <row r="5029" spans="1:5" x14ac:dyDescent="0.25">
      <c r="B5029" s="115">
        <f>-72   -566</f>
        <v>-638</v>
      </c>
      <c r="D5029" s="115" t="s">
        <v>7679</v>
      </c>
      <c r="E5029" s="115" t="s">
        <v>7680</v>
      </c>
    </row>
    <row r="5030" spans="1:5" x14ac:dyDescent="0.25">
      <c r="A5030" s="115">
        <v>10</v>
      </c>
      <c r="B5030" s="115" t="s">
        <v>7681</v>
      </c>
      <c r="D5030" s="115" t="s">
        <v>7682</v>
      </c>
      <c r="E5030" s="115" t="s">
        <v>7683</v>
      </c>
    </row>
    <row r="5031" spans="1:5" x14ac:dyDescent="0.25">
      <c r="B5031" s="115" t="s">
        <v>7684</v>
      </c>
      <c r="D5031" s="115" t="s">
        <v>1156</v>
      </c>
      <c r="E5031" s="115" t="s">
        <v>7685</v>
      </c>
    </row>
    <row r="5032" spans="1:5" x14ac:dyDescent="0.25">
      <c r="B5032" s="115" t="s">
        <v>1139</v>
      </c>
      <c r="D5032" s="115" t="s">
        <v>1140</v>
      </c>
      <c r="E5032" s="115" t="s">
        <v>7686</v>
      </c>
    </row>
    <row r="5033" spans="1:5" x14ac:dyDescent="0.25">
      <c r="B5033" s="115" t="s">
        <v>7687</v>
      </c>
      <c r="D5033" s="115">
        <f>-612   -178   -241   -75</f>
        <v>-1106</v>
      </c>
      <c r="E5033" s="115" t="s">
        <v>7688</v>
      </c>
    </row>
    <row r="5034" spans="1:5" x14ac:dyDescent="0.25">
      <c r="A5034" s="115">
        <v>1</v>
      </c>
      <c r="B5034" s="115" t="s">
        <v>1661</v>
      </c>
      <c r="D5034" s="115" t="s">
        <v>7689</v>
      </c>
      <c r="E5034" s="115" t="s">
        <v>1141</v>
      </c>
    </row>
    <row r="5035" spans="1:5" x14ac:dyDescent="0.25">
      <c r="B5035" s="115" t="s">
        <v>1575</v>
      </c>
      <c r="D5035" s="115" t="s">
        <v>1140</v>
      </c>
      <c r="E5035" s="115" t="s">
        <v>7690</v>
      </c>
    </row>
    <row r="5036" spans="1:5" x14ac:dyDescent="0.25">
      <c r="B5036" s="115" t="s">
        <v>7691</v>
      </c>
      <c r="D5036" s="115" t="s">
        <v>1140</v>
      </c>
      <c r="E5036" s="115" t="s">
        <v>7692</v>
      </c>
    </row>
    <row r="5037" spans="1:5" x14ac:dyDescent="0.25">
      <c r="B5037" s="115" t="s">
        <v>7693</v>
      </c>
      <c r="D5037" s="115" t="s">
        <v>7694</v>
      </c>
      <c r="E5037" s="115" t="s">
        <v>7695</v>
      </c>
    </row>
    <row r="5038" spans="1:5" x14ac:dyDescent="0.25">
      <c r="A5038" s="115" t="s">
        <v>1138</v>
      </c>
      <c r="B5038" s="115" t="s">
        <v>1500</v>
      </c>
      <c r="D5038" s="115" t="s">
        <v>7696</v>
      </c>
      <c r="E5038" s="115" t="s">
        <v>7697</v>
      </c>
    </row>
    <row r="5039" spans="1:5" x14ac:dyDescent="0.25">
      <c r="B5039" s="115">
        <f>-34   -478</f>
        <v>-512</v>
      </c>
      <c r="D5039" s="115" t="s">
        <v>7698</v>
      </c>
      <c r="E5039" s="115" t="s">
        <v>7699</v>
      </c>
    </row>
    <row r="5040" spans="1:5" x14ac:dyDescent="0.25">
      <c r="A5040" s="115" t="s">
        <v>1138</v>
      </c>
      <c r="B5040" s="115" t="s">
        <v>7700</v>
      </c>
      <c r="D5040" s="115" t="s">
        <v>7701</v>
      </c>
      <c r="E5040" s="115" t="s">
        <v>7702</v>
      </c>
    </row>
    <row r="5041" spans="1:5" x14ac:dyDescent="0.25">
      <c r="B5041" s="115" t="s">
        <v>1649</v>
      </c>
      <c r="D5041" s="115" t="s">
        <v>2983</v>
      </c>
      <c r="E5041" s="115" t="s">
        <v>7703</v>
      </c>
    </row>
    <row r="5042" spans="1:5" x14ac:dyDescent="0.25">
      <c r="B5042" s="115" t="s">
        <v>7704</v>
      </c>
      <c r="D5042" s="115" t="s">
        <v>7705</v>
      </c>
      <c r="E5042" s="115" t="s">
        <v>7706</v>
      </c>
    </row>
    <row r="5043" spans="1:5" x14ac:dyDescent="0.25">
      <c r="A5043" s="115" t="s">
        <v>1138</v>
      </c>
      <c r="B5043" s="115" t="s">
        <v>7707</v>
      </c>
      <c r="D5043" s="115" t="s">
        <v>7708</v>
      </c>
      <c r="E5043" s="115" t="s">
        <v>7709</v>
      </c>
    </row>
    <row r="5044" spans="1:5" x14ac:dyDescent="0.25">
      <c r="A5044" s="115" t="s">
        <v>1138</v>
      </c>
      <c r="B5044" s="115" t="s">
        <v>1168</v>
      </c>
      <c r="D5044" s="115" t="s">
        <v>3699</v>
      </c>
      <c r="E5044" s="115" t="s">
        <v>7710</v>
      </c>
    </row>
    <row r="5045" spans="1:5" x14ac:dyDescent="0.25">
      <c r="A5045" s="115" t="s">
        <v>1138</v>
      </c>
      <c r="B5045" s="115" t="s">
        <v>1379</v>
      </c>
      <c r="D5045" s="115" t="s">
        <v>7711</v>
      </c>
      <c r="E5045" s="115" t="s">
        <v>7712</v>
      </c>
    </row>
    <row r="5046" spans="1:5" x14ac:dyDescent="0.25">
      <c r="A5046" s="115" t="s">
        <v>1138</v>
      </c>
      <c r="B5046" s="115" t="s">
        <v>1442</v>
      </c>
      <c r="D5046" s="115" t="s">
        <v>7713</v>
      </c>
      <c r="E5046" s="115" t="s">
        <v>7714</v>
      </c>
    </row>
    <row r="5047" spans="1:5" x14ac:dyDescent="0.25">
      <c r="B5047" s="115" t="s">
        <v>1139</v>
      </c>
      <c r="D5047" s="115" t="s">
        <v>1932</v>
      </c>
      <c r="E5047" s="115" t="s">
        <v>7715</v>
      </c>
    </row>
    <row r="5048" spans="1:5" x14ac:dyDescent="0.25">
      <c r="B5048" s="115" t="s">
        <v>1139</v>
      </c>
      <c r="D5048" s="115" t="s">
        <v>7716</v>
      </c>
      <c r="E5048" s="115" t="s">
        <v>7717</v>
      </c>
    </row>
    <row r="5049" spans="1:5" x14ac:dyDescent="0.25">
      <c r="A5049" s="115">
        <v>-1</v>
      </c>
      <c r="B5049" s="115" t="s">
        <v>7718</v>
      </c>
      <c r="D5049" s="115" t="s">
        <v>7719</v>
      </c>
      <c r="E5049" s="115" t="s">
        <v>7720</v>
      </c>
    </row>
    <row r="5050" spans="1:5" x14ac:dyDescent="0.25">
      <c r="B5050" s="115" t="s">
        <v>1454</v>
      </c>
      <c r="D5050" s="115" t="s">
        <v>7721</v>
      </c>
      <c r="E5050" s="115" t="s">
        <v>7722</v>
      </c>
    </row>
    <row r="5051" spans="1:5" x14ac:dyDescent="0.25">
      <c r="A5051" s="115" t="s">
        <v>1138</v>
      </c>
      <c r="B5051" s="115" t="s">
        <v>7723</v>
      </c>
      <c r="D5051" s="115" t="s">
        <v>7724</v>
      </c>
      <c r="E5051" s="115" t="s">
        <v>1141</v>
      </c>
    </row>
    <row r="5052" spans="1:5" x14ac:dyDescent="0.25">
      <c r="B5052" s="115" t="s">
        <v>7725</v>
      </c>
      <c r="C5052" s="115" t="s">
        <v>1138</v>
      </c>
      <c r="D5052" s="115" t="s">
        <v>7726</v>
      </c>
      <c r="E5052" s="115" t="s">
        <v>7727</v>
      </c>
    </row>
    <row r="5053" spans="1:5" x14ac:dyDescent="0.25">
      <c r="B5053" s="115" t="s">
        <v>7728</v>
      </c>
      <c r="C5053" s="115">
        <v>-1</v>
      </c>
      <c r="D5053" s="115" t="s">
        <v>7729</v>
      </c>
      <c r="E5053" s="115" t="s">
        <v>7730</v>
      </c>
    </row>
    <row r="5054" spans="1:5" x14ac:dyDescent="0.25">
      <c r="B5054" s="115" t="s">
        <v>1139</v>
      </c>
      <c r="D5054" s="115" t="s">
        <v>1140</v>
      </c>
      <c r="E5054" s="115" t="s">
        <v>1141</v>
      </c>
    </row>
    <row r="5055" spans="1:5" x14ac:dyDescent="0.25">
      <c r="B5055" s="115" t="s">
        <v>1139</v>
      </c>
      <c r="D5055" s="115" t="s">
        <v>3749</v>
      </c>
      <c r="E5055" s="115" t="s">
        <v>2537</v>
      </c>
    </row>
    <row r="5056" spans="1:5" x14ac:dyDescent="0.25">
      <c r="B5056" s="115" t="s">
        <v>7731</v>
      </c>
      <c r="D5056" s="115" t="s">
        <v>7732</v>
      </c>
      <c r="E5056" s="115" t="s">
        <v>7733</v>
      </c>
    </row>
    <row r="5057" spans="1:5" x14ac:dyDescent="0.25">
      <c r="B5057" s="115" t="s">
        <v>1173</v>
      </c>
      <c r="C5057" s="115" t="s">
        <v>1138</v>
      </c>
      <c r="D5057" s="115" t="s">
        <v>7734</v>
      </c>
      <c r="E5057" s="115" t="s">
        <v>7735</v>
      </c>
    </row>
    <row r="5058" spans="1:5" x14ac:dyDescent="0.25">
      <c r="A5058" s="115">
        <v>1</v>
      </c>
      <c r="B5058" s="115" t="s">
        <v>7736</v>
      </c>
      <c r="D5058" s="115" t="s">
        <v>7737</v>
      </c>
      <c r="E5058" s="115" t="s">
        <v>7738</v>
      </c>
    </row>
    <row r="5059" spans="1:5" x14ac:dyDescent="0.25">
      <c r="A5059" s="115">
        <v>-17</v>
      </c>
      <c r="B5059" s="115" t="s">
        <v>7739</v>
      </c>
      <c r="D5059" s="115" t="s">
        <v>7740</v>
      </c>
      <c r="E5059" s="115" t="s">
        <v>7741</v>
      </c>
    </row>
    <row r="5060" spans="1:5" x14ac:dyDescent="0.25">
      <c r="A5060" s="115">
        <v>10</v>
      </c>
      <c r="B5060" s="115" t="s">
        <v>7742</v>
      </c>
      <c r="C5060" s="115">
        <v>1</v>
      </c>
      <c r="D5060" s="115" t="s">
        <v>7743</v>
      </c>
      <c r="E5060" s="115" t="s">
        <v>7744</v>
      </c>
    </row>
    <row r="5061" spans="1:5" x14ac:dyDescent="0.25">
      <c r="A5061" s="115">
        <v>23</v>
      </c>
      <c r="B5061" s="115" t="s">
        <v>7745</v>
      </c>
      <c r="D5061" s="115">
        <f>-949   -453   -137</f>
        <v>-1539</v>
      </c>
      <c r="E5061" s="115" t="s">
        <v>7746</v>
      </c>
    </row>
    <row r="5062" spans="1:5" x14ac:dyDescent="0.25">
      <c r="B5062" s="115" t="s">
        <v>1139</v>
      </c>
      <c r="D5062" s="115" t="s">
        <v>7747</v>
      </c>
      <c r="E5062" s="115" t="s">
        <v>1141</v>
      </c>
    </row>
    <row r="5063" spans="1:5" x14ac:dyDescent="0.25">
      <c r="B5063" s="115" t="s">
        <v>1139</v>
      </c>
      <c r="D5063" s="115" t="s">
        <v>7748</v>
      </c>
      <c r="E5063" s="115" t="s">
        <v>7749</v>
      </c>
    </row>
    <row r="5064" spans="1:5" x14ac:dyDescent="0.25">
      <c r="A5064" s="115" t="s">
        <v>1138</v>
      </c>
      <c r="B5064" s="115" t="s">
        <v>7750</v>
      </c>
      <c r="D5064" s="115" t="s">
        <v>7751</v>
      </c>
      <c r="E5064" s="115" t="s">
        <v>7752</v>
      </c>
    </row>
    <row r="5065" spans="1:5" x14ac:dyDescent="0.25">
      <c r="B5065" s="115" t="s">
        <v>4890</v>
      </c>
      <c r="D5065" s="115" t="s">
        <v>1140</v>
      </c>
      <c r="E5065" s="115" t="s">
        <v>7753</v>
      </c>
    </row>
    <row r="5066" spans="1:5" x14ac:dyDescent="0.25">
      <c r="B5066" s="115" t="s">
        <v>1139</v>
      </c>
      <c r="D5066" s="115" t="s">
        <v>7754</v>
      </c>
      <c r="E5066" s="115" t="s">
        <v>7755</v>
      </c>
    </row>
    <row r="5067" spans="1:5" x14ac:dyDescent="0.25">
      <c r="B5067" s="115" t="s">
        <v>1139</v>
      </c>
      <c r="D5067" s="115" t="s">
        <v>7756</v>
      </c>
      <c r="E5067" s="115" t="s">
        <v>7757</v>
      </c>
    </row>
    <row r="5068" spans="1:5" x14ac:dyDescent="0.25">
      <c r="A5068" s="115">
        <v>1</v>
      </c>
      <c r="B5068" s="115" t="s">
        <v>7758</v>
      </c>
      <c r="D5068" s="115" t="s">
        <v>7759</v>
      </c>
      <c r="E5068" s="115" t="s">
        <v>7760</v>
      </c>
    </row>
    <row r="5069" spans="1:5" x14ac:dyDescent="0.25">
      <c r="B5069" s="115" t="s">
        <v>7761</v>
      </c>
      <c r="C5069" s="115" t="s">
        <v>1138</v>
      </c>
      <c r="D5069" s="115" t="s">
        <v>7762</v>
      </c>
      <c r="E5069" s="115" t="s">
        <v>7763</v>
      </c>
    </row>
    <row r="5070" spans="1:5" x14ac:dyDescent="0.25">
      <c r="B5070" s="115" t="s">
        <v>7764</v>
      </c>
      <c r="D5070" s="115" t="s">
        <v>7765</v>
      </c>
      <c r="E5070" s="115" t="s">
        <v>7766</v>
      </c>
    </row>
    <row r="5071" spans="1:5" x14ac:dyDescent="0.25">
      <c r="B5071" s="115" t="s">
        <v>7767</v>
      </c>
      <c r="D5071" s="115" t="s">
        <v>7768</v>
      </c>
      <c r="E5071" s="115" t="s">
        <v>7769</v>
      </c>
    </row>
    <row r="5072" spans="1:5" x14ac:dyDescent="0.25">
      <c r="B5072" s="115" t="s">
        <v>1358</v>
      </c>
      <c r="C5072" s="115" t="s">
        <v>1138</v>
      </c>
      <c r="D5072" s="115" t="s">
        <v>7770</v>
      </c>
      <c r="E5072" s="115" t="s">
        <v>7771</v>
      </c>
    </row>
    <row r="5073" spans="1:5" x14ac:dyDescent="0.25">
      <c r="B5073" s="115">
        <f>-71   -613</f>
        <v>-684</v>
      </c>
      <c r="D5073" s="115" t="s">
        <v>7772</v>
      </c>
      <c r="E5073" s="115" t="s">
        <v>7773</v>
      </c>
    </row>
    <row r="5074" spans="1:5" x14ac:dyDescent="0.25">
      <c r="B5074" s="115" t="s">
        <v>1139</v>
      </c>
      <c r="D5074" s="115" t="s">
        <v>7774</v>
      </c>
      <c r="E5074" s="115" t="s">
        <v>7775</v>
      </c>
    </row>
    <row r="5075" spans="1:5" x14ac:dyDescent="0.25">
      <c r="B5075" s="115" t="s">
        <v>7776</v>
      </c>
      <c r="C5075" s="115" t="s">
        <v>1138</v>
      </c>
      <c r="D5075" s="115" t="s">
        <v>7777</v>
      </c>
      <c r="E5075" s="115" t="s">
        <v>7778</v>
      </c>
    </row>
    <row r="5076" spans="1:5" x14ac:dyDescent="0.25">
      <c r="B5076" s="115" t="s">
        <v>7779</v>
      </c>
      <c r="D5076" s="115" t="s">
        <v>7780</v>
      </c>
      <c r="E5076" s="115" t="s">
        <v>7781</v>
      </c>
    </row>
    <row r="5077" spans="1:5" x14ac:dyDescent="0.25">
      <c r="B5077" s="115" t="s">
        <v>7782</v>
      </c>
      <c r="D5077" s="115" t="s">
        <v>1590</v>
      </c>
      <c r="E5077" s="115" t="s">
        <v>1141</v>
      </c>
    </row>
    <row r="5078" spans="1:5" x14ac:dyDescent="0.25">
      <c r="B5078" s="115" t="s">
        <v>7783</v>
      </c>
      <c r="D5078" s="115" t="s">
        <v>7784</v>
      </c>
      <c r="E5078" s="115" t="s">
        <v>1819</v>
      </c>
    </row>
    <row r="5079" spans="1:5" x14ac:dyDescent="0.25">
      <c r="B5079" s="115" t="s">
        <v>7785</v>
      </c>
      <c r="C5079" s="115" t="s">
        <v>1138</v>
      </c>
      <c r="D5079" s="115" t="s">
        <v>7786</v>
      </c>
      <c r="E5079" s="115" t="s">
        <v>7787</v>
      </c>
    </row>
    <row r="5080" spans="1:5" x14ac:dyDescent="0.25">
      <c r="B5080" s="115" t="s">
        <v>7788</v>
      </c>
      <c r="D5080" s="115" t="s">
        <v>7789</v>
      </c>
      <c r="E5080" s="115" t="s">
        <v>7790</v>
      </c>
    </row>
    <row r="5081" spans="1:5" x14ac:dyDescent="0.25">
      <c r="B5081" s="115" t="s">
        <v>1452</v>
      </c>
      <c r="C5081" s="115" t="s">
        <v>1138</v>
      </c>
      <c r="D5081" s="115" t="s">
        <v>7791</v>
      </c>
      <c r="E5081" s="115" t="s">
        <v>7792</v>
      </c>
    </row>
    <row r="5082" spans="1:5" x14ac:dyDescent="0.25">
      <c r="B5082" s="115" t="s">
        <v>1139</v>
      </c>
      <c r="D5082" s="115" t="s">
        <v>1140</v>
      </c>
      <c r="E5082" s="115" t="s">
        <v>7793</v>
      </c>
    </row>
    <row r="5083" spans="1:5" x14ac:dyDescent="0.25">
      <c r="A5083" s="115">
        <v>-1</v>
      </c>
      <c r="B5083" s="115" t="s">
        <v>7794</v>
      </c>
      <c r="D5083" s="115" t="s">
        <v>7795</v>
      </c>
      <c r="E5083" s="115" t="s">
        <v>7796</v>
      </c>
    </row>
    <row r="5084" spans="1:5" x14ac:dyDescent="0.25">
      <c r="B5084" s="115" t="s">
        <v>1139</v>
      </c>
      <c r="D5084" s="115" t="s">
        <v>7797</v>
      </c>
      <c r="E5084" s="115" t="s">
        <v>1759</v>
      </c>
    </row>
    <row r="5085" spans="1:5" x14ac:dyDescent="0.25">
      <c r="B5085" s="115" t="s">
        <v>1139</v>
      </c>
      <c r="D5085" s="115" t="s">
        <v>1140</v>
      </c>
      <c r="E5085" s="115" t="s">
        <v>1141</v>
      </c>
    </row>
    <row r="5086" spans="1:5" x14ac:dyDescent="0.25">
      <c r="B5086" s="115" t="s">
        <v>7798</v>
      </c>
      <c r="D5086" s="115" t="s">
        <v>1140</v>
      </c>
      <c r="E5086" s="115" t="s">
        <v>7799</v>
      </c>
    </row>
    <row r="5087" spans="1:5" x14ac:dyDescent="0.25">
      <c r="A5087" s="115" t="s">
        <v>1138</v>
      </c>
      <c r="B5087" s="115" t="s">
        <v>7800</v>
      </c>
      <c r="D5087" s="115" t="s">
        <v>7801</v>
      </c>
      <c r="E5087" s="115" t="s">
        <v>7802</v>
      </c>
    </row>
    <row r="5088" spans="1:5" x14ac:dyDescent="0.25">
      <c r="A5088" s="115" t="s">
        <v>1138</v>
      </c>
      <c r="B5088" s="115" t="s">
        <v>7803</v>
      </c>
      <c r="D5088" s="115" t="s">
        <v>7804</v>
      </c>
      <c r="E5088" s="115" t="s">
        <v>7805</v>
      </c>
    </row>
    <row r="5089" spans="1:5" x14ac:dyDescent="0.25">
      <c r="B5089" s="115" t="s">
        <v>7806</v>
      </c>
      <c r="D5089" s="115" t="s">
        <v>7807</v>
      </c>
      <c r="E5089" s="115" t="s">
        <v>7808</v>
      </c>
    </row>
    <row r="5090" spans="1:5" x14ac:dyDescent="0.25">
      <c r="A5090" s="115">
        <v>-12</v>
      </c>
      <c r="B5090" s="115" t="s">
        <v>7809</v>
      </c>
      <c r="C5090" s="115" t="s">
        <v>1138</v>
      </c>
      <c r="D5090" s="115" t="s">
        <v>7810</v>
      </c>
      <c r="E5090" s="115" t="s">
        <v>7811</v>
      </c>
    </row>
    <row r="5091" spans="1:5" x14ac:dyDescent="0.25">
      <c r="A5091" s="115">
        <v>15</v>
      </c>
      <c r="B5091" s="115" t="s">
        <v>7812</v>
      </c>
      <c r="C5091" s="115">
        <v>1</v>
      </c>
      <c r="D5091" s="115" t="s">
        <v>7813</v>
      </c>
      <c r="E5091" s="115" t="s">
        <v>7814</v>
      </c>
    </row>
    <row r="5092" spans="1:5" x14ac:dyDescent="0.25">
      <c r="B5092" s="115" t="s">
        <v>7815</v>
      </c>
      <c r="D5092" s="115" t="s">
        <v>7816</v>
      </c>
      <c r="E5092" s="115" t="s">
        <v>7817</v>
      </c>
    </row>
    <row r="5093" spans="1:5" x14ac:dyDescent="0.25">
      <c r="B5093" s="115">
        <f>-39   -197</f>
        <v>-236</v>
      </c>
      <c r="D5093" s="115" t="s">
        <v>1140</v>
      </c>
      <c r="E5093" s="115" t="s">
        <v>1141</v>
      </c>
    </row>
    <row r="5094" spans="1:5" x14ac:dyDescent="0.25">
      <c r="A5094" s="115">
        <v>1</v>
      </c>
      <c r="B5094" s="115" t="s">
        <v>7818</v>
      </c>
      <c r="D5094" s="115" t="s">
        <v>7819</v>
      </c>
      <c r="E5094" s="115" t="s">
        <v>7820</v>
      </c>
    </row>
    <row r="5095" spans="1:5" x14ac:dyDescent="0.25">
      <c r="B5095" s="115" t="s">
        <v>1139</v>
      </c>
      <c r="D5095" s="115" t="s">
        <v>7821</v>
      </c>
      <c r="E5095" s="115" t="s">
        <v>7822</v>
      </c>
    </row>
    <row r="5096" spans="1:5" x14ac:dyDescent="0.25">
      <c r="B5096" s="115" t="s">
        <v>1139</v>
      </c>
      <c r="D5096" s="115" t="s">
        <v>7823</v>
      </c>
      <c r="E5096" s="115" t="s">
        <v>1141</v>
      </c>
    </row>
    <row r="5097" spans="1:5" x14ac:dyDescent="0.25">
      <c r="B5097" s="115" t="s">
        <v>7824</v>
      </c>
      <c r="C5097" s="115" t="s">
        <v>1138</v>
      </c>
      <c r="D5097" s="115" t="s">
        <v>7825</v>
      </c>
      <c r="E5097" s="115" t="s">
        <v>7826</v>
      </c>
    </row>
    <row r="5098" spans="1:5" x14ac:dyDescent="0.25">
      <c r="B5098" s="115" t="s">
        <v>7827</v>
      </c>
      <c r="D5098" s="115" t="s">
        <v>7828</v>
      </c>
      <c r="E5098" s="115" t="s">
        <v>7829</v>
      </c>
    </row>
    <row r="5099" spans="1:5" x14ac:dyDescent="0.25">
      <c r="B5099" s="115" t="s">
        <v>7830</v>
      </c>
      <c r="D5099" s="115" t="s">
        <v>7831</v>
      </c>
      <c r="E5099" s="115" t="s">
        <v>7832</v>
      </c>
    </row>
    <row r="5100" spans="1:5" x14ac:dyDescent="0.25">
      <c r="A5100" s="115" t="s">
        <v>1138</v>
      </c>
      <c r="B5100" s="115" t="s">
        <v>7833</v>
      </c>
      <c r="D5100" s="115" t="s">
        <v>7834</v>
      </c>
      <c r="E5100" s="115" t="s">
        <v>7835</v>
      </c>
    </row>
    <row r="5101" spans="1:5" x14ac:dyDescent="0.25">
      <c r="A5101" s="115">
        <v>-1</v>
      </c>
      <c r="B5101" s="115" t="s">
        <v>7836</v>
      </c>
      <c r="D5101" s="115">
        <f>-659   -844  -1746</f>
        <v>-3249</v>
      </c>
      <c r="E5101" s="115" t="s">
        <v>7837</v>
      </c>
    </row>
    <row r="5102" spans="1:5" x14ac:dyDescent="0.25">
      <c r="A5102" s="115" t="s">
        <v>1138</v>
      </c>
      <c r="B5102" s="115" t="s">
        <v>7838</v>
      </c>
      <c r="D5102" s="115" t="s">
        <v>7839</v>
      </c>
      <c r="E5102" s="115" t="s">
        <v>7840</v>
      </c>
    </row>
    <row r="5103" spans="1:5" x14ac:dyDescent="0.25">
      <c r="B5103" s="115" t="s">
        <v>7841</v>
      </c>
      <c r="D5103" s="115" t="s">
        <v>7842</v>
      </c>
      <c r="E5103" s="115" t="s">
        <v>7843</v>
      </c>
    </row>
    <row r="5104" spans="1:5" x14ac:dyDescent="0.25">
      <c r="A5104" s="115" t="s">
        <v>1138</v>
      </c>
      <c r="B5104" s="115" t="s">
        <v>1626</v>
      </c>
      <c r="D5104" s="115" t="s">
        <v>7844</v>
      </c>
      <c r="E5104" s="115" t="s">
        <v>7845</v>
      </c>
    </row>
    <row r="5105" spans="1:5" x14ac:dyDescent="0.25">
      <c r="B5105" s="115" t="s">
        <v>4798</v>
      </c>
      <c r="D5105" s="115" t="s">
        <v>7846</v>
      </c>
      <c r="E5105" s="115" t="s">
        <v>7847</v>
      </c>
    </row>
    <row r="5106" spans="1:5" x14ac:dyDescent="0.25">
      <c r="B5106" s="115" t="s">
        <v>7848</v>
      </c>
      <c r="C5106" s="115" t="s">
        <v>1138</v>
      </c>
      <c r="D5106" s="115" t="s">
        <v>7849</v>
      </c>
      <c r="E5106" s="115" t="s">
        <v>7850</v>
      </c>
    </row>
    <row r="5107" spans="1:5" x14ac:dyDescent="0.25">
      <c r="A5107" s="115" t="s">
        <v>1138</v>
      </c>
      <c r="B5107" s="115" t="s">
        <v>7851</v>
      </c>
      <c r="D5107" s="115" t="s">
        <v>7852</v>
      </c>
      <c r="E5107" s="115" t="s">
        <v>7853</v>
      </c>
    </row>
    <row r="5108" spans="1:5" x14ac:dyDescent="0.25">
      <c r="A5108" s="115" t="s">
        <v>1138</v>
      </c>
      <c r="B5108" s="115" t="s">
        <v>1190</v>
      </c>
      <c r="D5108" s="115" t="s">
        <v>1140</v>
      </c>
      <c r="E5108" s="115" t="s">
        <v>7854</v>
      </c>
    </row>
    <row r="5109" spans="1:5" x14ac:dyDescent="0.25">
      <c r="B5109" s="115" t="s">
        <v>7855</v>
      </c>
      <c r="D5109" s="115" t="s">
        <v>1610</v>
      </c>
      <c r="E5109" s="115" t="s">
        <v>7856</v>
      </c>
    </row>
    <row r="5110" spans="1:5" x14ac:dyDescent="0.25">
      <c r="B5110" s="115" t="s">
        <v>7857</v>
      </c>
      <c r="D5110" s="115" t="s">
        <v>7858</v>
      </c>
      <c r="E5110" s="115" t="s">
        <v>7859</v>
      </c>
    </row>
    <row r="5111" spans="1:5" x14ac:dyDescent="0.25">
      <c r="B5111" s="115" t="s">
        <v>1204</v>
      </c>
      <c r="D5111" s="115" t="s">
        <v>7860</v>
      </c>
      <c r="E5111" s="115" t="s">
        <v>7861</v>
      </c>
    </row>
    <row r="5112" spans="1:5" x14ac:dyDescent="0.25">
      <c r="A5112" s="115">
        <v>-1</v>
      </c>
      <c r="B5112" s="115" t="s">
        <v>7862</v>
      </c>
      <c r="C5112" s="115" t="s">
        <v>1138</v>
      </c>
      <c r="D5112" s="115" t="s">
        <v>7863</v>
      </c>
      <c r="E5112" s="115" t="s">
        <v>7864</v>
      </c>
    </row>
    <row r="5113" spans="1:5" x14ac:dyDescent="0.25">
      <c r="B5113" s="115" t="s">
        <v>1139</v>
      </c>
      <c r="D5113" s="115" t="s">
        <v>7865</v>
      </c>
      <c r="E5113" s="115" t="s">
        <v>7866</v>
      </c>
    </row>
    <row r="5114" spans="1:5" x14ac:dyDescent="0.25">
      <c r="B5114" s="115" t="s">
        <v>1139</v>
      </c>
      <c r="C5114" s="115" t="s">
        <v>1138</v>
      </c>
      <c r="D5114" s="115" t="s">
        <v>7867</v>
      </c>
      <c r="E5114" s="115" t="s">
        <v>1819</v>
      </c>
    </row>
    <row r="5115" spans="1:5" x14ac:dyDescent="0.25">
      <c r="B5115" s="115" t="s">
        <v>1638</v>
      </c>
      <c r="D5115" s="115" t="s">
        <v>7868</v>
      </c>
      <c r="E5115" s="115" t="s">
        <v>1141</v>
      </c>
    </row>
    <row r="5116" spans="1:5" x14ac:dyDescent="0.25">
      <c r="B5116" s="115" t="s">
        <v>1139</v>
      </c>
      <c r="D5116" s="115" t="s">
        <v>1140</v>
      </c>
      <c r="E5116" s="115" t="s">
        <v>7869</v>
      </c>
    </row>
    <row r="5117" spans="1:5" x14ac:dyDescent="0.25">
      <c r="B5117" s="115" t="s">
        <v>1139</v>
      </c>
      <c r="D5117" s="115" t="s">
        <v>7870</v>
      </c>
      <c r="E5117" s="115" t="s">
        <v>7871</v>
      </c>
    </row>
    <row r="5118" spans="1:5" x14ac:dyDescent="0.25">
      <c r="A5118" s="115">
        <v>1</v>
      </c>
      <c r="B5118" s="115" t="s">
        <v>7872</v>
      </c>
      <c r="D5118" s="115" t="s">
        <v>7873</v>
      </c>
      <c r="E5118" s="115" t="s">
        <v>7874</v>
      </c>
    </row>
    <row r="5119" spans="1:5" x14ac:dyDescent="0.25">
      <c r="B5119" s="115" t="s">
        <v>7875</v>
      </c>
      <c r="D5119" s="115" t="s">
        <v>7876</v>
      </c>
      <c r="E5119" s="115" t="s">
        <v>7877</v>
      </c>
    </row>
    <row r="5120" spans="1:5" x14ac:dyDescent="0.25">
      <c r="A5120" s="115">
        <v>-3</v>
      </c>
      <c r="B5120" s="115" t="s">
        <v>7878</v>
      </c>
      <c r="D5120" s="115" t="s">
        <v>7879</v>
      </c>
      <c r="E5120" s="115" t="s">
        <v>7880</v>
      </c>
    </row>
    <row r="5121" spans="1:5" x14ac:dyDescent="0.25">
      <c r="B5121" s="115" t="s">
        <v>7881</v>
      </c>
      <c r="C5121" s="115">
        <v>1</v>
      </c>
      <c r="D5121" s="115" t="s">
        <v>7882</v>
      </c>
      <c r="E5121" s="115" t="s">
        <v>7883</v>
      </c>
    </row>
    <row r="5122" spans="1:5" x14ac:dyDescent="0.25">
      <c r="A5122" s="115">
        <v>6</v>
      </c>
      <c r="B5122" s="115" t="s">
        <v>7884</v>
      </c>
      <c r="C5122" s="115">
        <v>3</v>
      </c>
      <c r="D5122" s="115" t="s">
        <v>7885</v>
      </c>
      <c r="E5122" s="115" t="s">
        <v>7886</v>
      </c>
    </row>
    <row r="5123" spans="1:5" x14ac:dyDescent="0.25">
      <c r="B5123" s="115" t="s">
        <v>1139</v>
      </c>
      <c r="D5123" s="115" t="s">
        <v>7887</v>
      </c>
      <c r="E5123" s="115" t="s">
        <v>7888</v>
      </c>
    </row>
    <row r="5124" spans="1:5" x14ac:dyDescent="0.25">
      <c r="B5124" s="115" t="s">
        <v>1139</v>
      </c>
      <c r="D5124" s="115" t="s">
        <v>1140</v>
      </c>
      <c r="E5124" s="115" t="s">
        <v>7889</v>
      </c>
    </row>
    <row r="5125" spans="1:5" x14ac:dyDescent="0.25">
      <c r="B5125" s="115" t="s">
        <v>1139</v>
      </c>
      <c r="D5125" s="115">
        <f>-252   -822   -104   -23</f>
        <v>-1201</v>
      </c>
      <c r="E5125" s="115" t="s">
        <v>7890</v>
      </c>
    </row>
    <row r="5126" spans="1:5" x14ac:dyDescent="0.25">
      <c r="B5126" s="115" t="s">
        <v>7891</v>
      </c>
      <c r="D5126" s="115" t="s">
        <v>6816</v>
      </c>
      <c r="E5126" s="115" t="s">
        <v>1819</v>
      </c>
    </row>
    <row r="5127" spans="1:5" x14ac:dyDescent="0.25">
      <c r="B5127" s="115" t="s">
        <v>7892</v>
      </c>
      <c r="D5127" s="115" t="s">
        <v>1140</v>
      </c>
      <c r="E5127" s="115" t="s">
        <v>7893</v>
      </c>
    </row>
    <row r="5128" spans="1:5" x14ac:dyDescent="0.25">
      <c r="A5128" s="115" t="s">
        <v>1138</v>
      </c>
      <c r="B5128" s="115" t="s">
        <v>1194</v>
      </c>
      <c r="D5128" s="115" t="s">
        <v>7894</v>
      </c>
      <c r="E5128" s="115" t="s">
        <v>7895</v>
      </c>
    </row>
    <row r="5129" spans="1:5" x14ac:dyDescent="0.25">
      <c r="B5129" s="115" t="s">
        <v>1139</v>
      </c>
      <c r="D5129" s="115" t="s">
        <v>7896</v>
      </c>
      <c r="E5129" s="115" t="s">
        <v>7897</v>
      </c>
    </row>
    <row r="5130" spans="1:5" x14ac:dyDescent="0.25">
      <c r="B5130" s="115">
        <f>-6    -81</f>
        <v>-87</v>
      </c>
      <c r="D5130" s="115" t="s">
        <v>1140</v>
      </c>
      <c r="E5130" s="115" t="s">
        <v>7898</v>
      </c>
    </row>
    <row r="5131" spans="1:5" x14ac:dyDescent="0.25">
      <c r="A5131" s="115" t="s">
        <v>1138</v>
      </c>
      <c r="B5131" s="115" t="s">
        <v>7899</v>
      </c>
      <c r="D5131" s="115" t="s">
        <v>7900</v>
      </c>
      <c r="E5131" s="115" t="s">
        <v>7901</v>
      </c>
    </row>
    <row r="5132" spans="1:5" x14ac:dyDescent="0.25">
      <c r="A5132" s="115" t="s">
        <v>1138</v>
      </c>
      <c r="B5132" s="115" t="s">
        <v>7902</v>
      </c>
      <c r="D5132" s="115" t="s">
        <v>7903</v>
      </c>
      <c r="E5132" s="115" t="s">
        <v>7904</v>
      </c>
    </row>
    <row r="5133" spans="1:5" x14ac:dyDescent="0.25">
      <c r="A5133" s="115" t="s">
        <v>1138</v>
      </c>
      <c r="B5133" s="115" t="s">
        <v>7905</v>
      </c>
      <c r="D5133" s="115" t="s">
        <v>1140</v>
      </c>
      <c r="E5133" s="115" t="s">
        <v>7906</v>
      </c>
    </row>
    <row r="5134" spans="1:5" x14ac:dyDescent="0.25">
      <c r="A5134" s="115" t="s">
        <v>1138</v>
      </c>
      <c r="B5134" s="115" t="s">
        <v>7907</v>
      </c>
      <c r="D5134" s="115" t="s">
        <v>7908</v>
      </c>
      <c r="E5134" s="115" t="s">
        <v>7909</v>
      </c>
    </row>
    <row r="5135" spans="1:5" x14ac:dyDescent="0.25">
      <c r="B5135" s="115" t="s">
        <v>7910</v>
      </c>
      <c r="D5135" s="115" t="s">
        <v>7911</v>
      </c>
      <c r="E5135" s="115" t="s">
        <v>7912</v>
      </c>
    </row>
    <row r="5136" spans="1:5" x14ac:dyDescent="0.25">
      <c r="B5136" s="115" t="s">
        <v>7913</v>
      </c>
      <c r="D5136" s="115" t="s">
        <v>1140</v>
      </c>
      <c r="E5136" s="115" t="s">
        <v>7914</v>
      </c>
    </row>
    <row r="5137" spans="1:5" x14ac:dyDescent="0.25">
      <c r="A5137" s="115" t="s">
        <v>1138</v>
      </c>
      <c r="B5137" s="115" t="s">
        <v>7915</v>
      </c>
      <c r="D5137" s="115" t="s">
        <v>6616</v>
      </c>
      <c r="E5137" s="115" t="s">
        <v>7916</v>
      </c>
    </row>
    <row r="5138" spans="1:5" x14ac:dyDescent="0.25">
      <c r="B5138" s="115" t="s">
        <v>7917</v>
      </c>
      <c r="D5138" s="115" t="s">
        <v>7918</v>
      </c>
      <c r="E5138" s="115" t="s">
        <v>7919</v>
      </c>
    </row>
    <row r="5139" spans="1:5" x14ac:dyDescent="0.25">
      <c r="B5139" s="115" t="s">
        <v>1139</v>
      </c>
      <c r="D5139" s="115" t="s">
        <v>1140</v>
      </c>
      <c r="E5139" s="115" t="s">
        <v>7920</v>
      </c>
    </row>
    <row r="5140" spans="1:5" x14ac:dyDescent="0.25">
      <c r="A5140" s="115" t="s">
        <v>1138</v>
      </c>
      <c r="B5140" s="115" t="s">
        <v>1470</v>
      </c>
      <c r="D5140" s="115" t="s">
        <v>1140</v>
      </c>
      <c r="E5140" s="115" t="s">
        <v>7921</v>
      </c>
    </row>
    <row r="5141" spans="1:5" x14ac:dyDescent="0.25">
      <c r="B5141" s="115" t="s">
        <v>7922</v>
      </c>
      <c r="D5141" s="115" t="s">
        <v>7923</v>
      </c>
      <c r="E5141" s="115" t="s">
        <v>7924</v>
      </c>
    </row>
    <row r="5142" spans="1:5" x14ac:dyDescent="0.25">
      <c r="B5142" s="115" t="s">
        <v>1916</v>
      </c>
      <c r="D5142" s="115" t="s">
        <v>1140</v>
      </c>
      <c r="E5142" s="115" t="s">
        <v>7925</v>
      </c>
    </row>
    <row r="5143" spans="1:5" x14ac:dyDescent="0.25">
      <c r="A5143" s="115">
        <v>-4</v>
      </c>
      <c r="B5143" s="115" t="s">
        <v>7926</v>
      </c>
      <c r="D5143" s="115" t="s">
        <v>7927</v>
      </c>
      <c r="E5143" s="115" t="s">
        <v>1141</v>
      </c>
    </row>
    <row r="5144" spans="1:5" x14ac:dyDescent="0.25">
      <c r="B5144" s="115" t="s">
        <v>1139</v>
      </c>
      <c r="D5144" s="115" t="s">
        <v>7928</v>
      </c>
      <c r="E5144" s="115" t="s">
        <v>7929</v>
      </c>
    </row>
    <row r="5145" spans="1:5" x14ac:dyDescent="0.25">
      <c r="A5145" s="115">
        <v>-3</v>
      </c>
      <c r="B5145" s="115" t="s">
        <v>1671</v>
      </c>
      <c r="D5145" s="115" t="s">
        <v>7930</v>
      </c>
      <c r="E5145" s="115" t="s">
        <v>6833</v>
      </c>
    </row>
    <row r="5146" spans="1:5" x14ac:dyDescent="0.25">
      <c r="B5146" s="115" t="s">
        <v>4219</v>
      </c>
      <c r="D5146" s="115" t="s">
        <v>1140</v>
      </c>
      <c r="E5146" s="115" t="s">
        <v>1141</v>
      </c>
    </row>
    <row r="5147" spans="1:5" x14ac:dyDescent="0.25">
      <c r="B5147" s="115" t="s">
        <v>1139</v>
      </c>
      <c r="D5147" s="115" t="s">
        <v>1140</v>
      </c>
      <c r="E5147" s="115" t="s">
        <v>7931</v>
      </c>
    </row>
    <row r="5148" spans="1:5" x14ac:dyDescent="0.25">
      <c r="B5148" s="115" t="s">
        <v>1248</v>
      </c>
      <c r="D5148" s="115" t="s">
        <v>7932</v>
      </c>
      <c r="E5148" s="115" t="s">
        <v>7933</v>
      </c>
    </row>
    <row r="5149" spans="1:5" x14ac:dyDescent="0.25">
      <c r="B5149" s="115" t="s">
        <v>1139</v>
      </c>
      <c r="D5149" s="115" t="s">
        <v>7934</v>
      </c>
      <c r="E5149" s="115" t="s">
        <v>7935</v>
      </c>
    </row>
    <row r="5150" spans="1:5" x14ac:dyDescent="0.25">
      <c r="B5150" s="115" t="s">
        <v>7936</v>
      </c>
      <c r="D5150" s="115" t="s">
        <v>7937</v>
      </c>
      <c r="E5150" s="115" t="s">
        <v>7938</v>
      </c>
    </row>
    <row r="5151" spans="1:5" x14ac:dyDescent="0.25">
      <c r="B5151" s="115" t="s">
        <v>7939</v>
      </c>
      <c r="C5151" s="115" t="s">
        <v>1138</v>
      </c>
      <c r="D5151" s="115" t="s">
        <v>7940</v>
      </c>
      <c r="E5151" s="115" t="s">
        <v>7941</v>
      </c>
    </row>
    <row r="5152" spans="1:5" x14ac:dyDescent="0.25">
      <c r="A5152" s="115">
        <v>8</v>
      </c>
      <c r="B5152" s="115" t="s">
        <v>7942</v>
      </c>
      <c r="C5152" s="115">
        <v>1</v>
      </c>
      <c r="D5152" s="115" t="s">
        <v>7943</v>
      </c>
      <c r="E5152" s="115" t="s">
        <v>7944</v>
      </c>
    </row>
    <row r="5153" spans="1:5" x14ac:dyDescent="0.25">
      <c r="A5153" s="115">
        <v>26</v>
      </c>
      <c r="B5153" s="115" t="s">
        <v>7945</v>
      </c>
      <c r="C5153" s="115">
        <v>2</v>
      </c>
      <c r="D5153" s="115" t="s">
        <v>7946</v>
      </c>
      <c r="E5153" s="115" t="s">
        <v>7947</v>
      </c>
    </row>
    <row r="5154" spans="1:5" x14ac:dyDescent="0.25">
      <c r="B5154" s="115" t="s">
        <v>1216</v>
      </c>
      <c r="D5154" s="115" t="s">
        <v>7948</v>
      </c>
      <c r="E5154" s="115" t="s">
        <v>7949</v>
      </c>
    </row>
    <row r="5155" spans="1:5" x14ac:dyDescent="0.25">
      <c r="B5155" s="115" t="s">
        <v>1139</v>
      </c>
      <c r="D5155" s="115" t="s">
        <v>1140</v>
      </c>
      <c r="E5155" s="115" t="s">
        <v>7950</v>
      </c>
    </row>
    <row r="5156" spans="1:5" x14ac:dyDescent="0.25">
      <c r="B5156" s="115" t="s">
        <v>7951</v>
      </c>
      <c r="C5156" s="115" t="s">
        <v>1138</v>
      </c>
      <c r="D5156" s="115" t="s">
        <v>7952</v>
      </c>
      <c r="E5156" s="115" t="s">
        <v>7953</v>
      </c>
    </row>
    <row r="5157" spans="1:5" x14ac:dyDescent="0.25">
      <c r="A5157" s="115">
        <v>1</v>
      </c>
      <c r="B5157" s="115" t="s">
        <v>1622</v>
      </c>
      <c r="D5157" s="115" t="s">
        <v>1427</v>
      </c>
      <c r="E5157" s="115" t="s">
        <v>1141</v>
      </c>
    </row>
    <row r="5158" spans="1:5" x14ac:dyDescent="0.25">
      <c r="A5158" s="115" t="s">
        <v>1138</v>
      </c>
      <c r="B5158" s="115" t="s">
        <v>1233</v>
      </c>
      <c r="D5158" s="115" t="s">
        <v>1140</v>
      </c>
      <c r="E5158" s="115" t="s">
        <v>7954</v>
      </c>
    </row>
    <row r="5159" spans="1:5" x14ac:dyDescent="0.25">
      <c r="B5159" s="115" t="s">
        <v>7955</v>
      </c>
      <c r="D5159" s="115" t="s">
        <v>1140</v>
      </c>
      <c r="E5159" s="115" t="s">
        <v>7956</v>
      </c>
    </row>
    <row r="5160" spans="1:5" x14ac:dyDescent="0.25">
      <c r="B5160" s="115" t="s">
        <v>7957</v>
      </c>
      <c r="D5160" s="115" t="s">
        <v>7958</v>
      </c>
      <c r="E5160" s="115" t="s">
        <v>7959</v>
      </c>
    </row>
    <row r="5161" spans="1:5" x14ac:dyDescent="0.25">
      <c r="A5161" s="115" t="s">
        <v>1138</v>
      </c>
      <c r="B5161" s="115" t="s">
        <v>1469</v>
      </c>
      <c r="D5161" s="115" t="s">
        <v>6079</v>
      </c>
      <c r="E5161" s="115" t="s">
        <v>7960</v>
      </c>
    </row>
    <row r="5162" spans="1:5" x14ac:dyDescent="0.25">
      <c r="A5162" s="115">
        <v>-1</v>
      </c>
      <c r="B5162" s="115" t="s">
        <v>7961</v>
      </c>
      <c r="D5162" s="115" t="s">
        <v>7962</v>
      </c>
      <c r="E5162" s="115" t="s">
        <v>7963</v>
      </c>
    </row>
    <row r="5163" spans="1:5" x14ac:dyDescent="0.25">
      <c r="A5163" s="115">
        <v>-2</v>
      </c>
      <c r="B5163" s="115" t="s">
        <v>7964</v>
      </c>
      <c r="D5163" s="115" t="s">
        <v>7965</v>
      </c>
      <c r="E5163" s="115" t="s">
        <v>7966</v>
      </c>
    </row>
    <row r="5164" spans="1:5" x14ac:dyDescent="0.25">
      <c r="B5164" s="115" t="s">
        <v>7967</v>
      </c>
      <c r="D5164" s="115" t="s">
        <v>4885</v>
      </c>
      <c r="E5164" s="115" t="s">
        <v>7968</v>
      </c>
    </row>
    <row r="5165" spans="1:5" x14ac:dyDescent="0.25">
      <c r="B5165" s="115" t="s">
        <v>7969</v>
      </c>
      <c r="D5165" s="115" t="s">
        <v>7970</v>
      </c>
      <c r="E5165" s="115" t="s">
        <v>7971</v>
      </c>
    </row>
    <row r="5166" spans="1:5" x14ac:dyDescent="0.25">
      <c r="A5166" s="115">
        <v>-1</v>
      </c>
      <c r="B5166" s="115" t="s">
        <v>7972</v>
      </c>
      <c r="D5166" s="115" t="s">
        <v>1411</v>
      </c>
      <c r="E5166" s="115" t="s">
        <v>7973</v>
      </c>
    </row>
    <row r="5167" spans="1:5" x14ac:dyDescent="0.25">
      <c r="B5167" s="115" t="s">
        <v>1539</v>
      </c>
      <c r="D5167" s="115" t="s">
        <v>3876</v>
      </c>
      <c r="E5167" s="115" t="s">
        <v>7974</v>
      </c>
    </row>
    <row r="5168" spans="1:5" x14ac:dyDescent="0.25">
      <c r="A5168" s="115">
        <v>1</v>
      </c>
      <c r="B5168" s="115" t="s">
        <v>7975</v>
      </c>
      <c r="D5168" s="115" t="s">
        <v>7976</v>
      </c>
      <c r="E5168" s="115" t="s">
        <v>7977</v>
      </c>
    </row>
    <row r="5169" spans="1:5" x14ac:dyDescent="0.25">
      <c r="A5169" s="115" t="s">
        <v>1138</v>
      </c>
      <c r="B5169" s="115" t="s">
        <v>1461</v>
      </c>
      <c r="D5169" s="115" t="s">
        <v>7978</v>
      </c>
      <c r="E5169" s="115" t="s">
        <v>7979</v>
      </c>
    </row>
    <row r="5170" spans="1:5" x14ac:dyDescent="0.25">
      <c r="B5170" s="115" t="s">
        <v>1139</v>
      </c>
      <c r="D5170" s="115" t="s">
        <v>4205</v>
      </c>
      <c r="E5170" s="115" t="s">
        <v>7980</v>
      </c>
    </row>
    <row r="5171" spans="1:5" x14ac:dyDescent="0.25">
      <c r="B5171" s="115" t="s">
        <v>1139</v>
      </c>
      <c r="D5171" s="115" t="s">
        <v>7981</v>
      </c>
      <c r="E5171" s="115" t="s">
        <v>7982</v>
      </c>
    </row>
    <row r="5172" spans="1:5" x14ac:dyDescent="0.25">
      <c r="A5172" s="115">
        <v>-4</v>
      </c>
      <c r="B5172" s="115" t="s">
        <v>7983</v>
      </c>
      <c r="D5172" s="115" t="s">
        <v>7984</v>
      </c>
      <c r="E5172" s="115" t="s">
        <v>7985</v>
      </c>
    </row>
    <row r="5173" spans="1:5" x14ac:dyDescent="0.25">
      <c r="A5173" s="115" t="s">
        <v>1138</v>
      </c>
      <c r="B5173" s="115" t="s">
        <v>7986</v>
      </c>
      <c r="D5173" s="115" t="s">
        <v>7032</v>
      </c>
      <c r="E5173" s="115" t="s">
        <v>7987</v>
      </c>
    </row>
    <row r="5174" spans="1:5" x14ac:dyDescent="0.25">
      <c r="A5174" s="115">
        <v>-1</v>
      </c>
      <c r="B5174" s="115" t="s">
        <v>7988</v>
      </c>
      <c r="D5174" s="115" t="s">
        <v>7989</v>
      </c>
      <c r="E5174" s="115" t="s">
        <v>1141</v>
      </c>
    </row>
    <row r="5175" spans="1:5" x14ac:dyDescent="0.25">
      <c r="B5175" s="115" t="s">
        <v>1286</v>
      </c>
      <c r="D5175" s="115" t="s">
        <v>7990</v>
      </c>
      <c r="E5175" s="115" t="s">
        <v>7991</v>
      </c>
    </row>
    <row r="5176" spans="1:5" x14ac:dyDescent="0.25">
      <c r="B5176" s="115" t="s">
        <v>7992</v>
      </c>
      <c r="C5176" s="115">
        <v>-2</v>
      </c>
      <c r="D5176" s="115" t="s">
        <v>7993</v>
      </c>
      <c r="E5176" s="115" t="s">
        <v>7994</v>
      </c>
    </row>
    <row r="5177" spans="1:5" x14ac:dyDescent="0.25">
      <c r="B5177" s="115" t="s">
        <v>1139</v>
      </c>
      <c r="D5177" s="115" t="s">
        <v>1140</v>
      </c>
      <c r="E5177" s="115" t="s">
        <v>1141</v>
      </c>
    </row>
    <row r="5178" spans="1:5" x14ac:dyDescent="0.25">
      <c r="B5178" s="115" t="s">
        <v>1139</v>
      </c>
      <c r="D5178" s="115" t="s">
        <v>2777</v>
      </c>
      <c r="E5178" s="115" t="s">
        <v>2260</v>
      </c>
    </row>
    <row r="5179" spans="1:5" x14ac:dyDescent="0.25">
      <c r="B5179" s="115" t="s">
        <v>7995</v>
      </c>
      <c r="D5179" s="115" t="s">
        <v>7996</v>
      </c>
      <c r="E5179" s="115" t="s">
        <v>7997</v>
      </c>
    </row>
    <row r="5180" spans="1:5" x14ac:dyDescent="0.25">
      <c r="B5180" s="115" t="s">
        <v>5418</v>
      </c>
      <c r="D5180" s="115" t="s">
        <v>7998</v>
      </c>
      <c r="E5180" s="115" t="s">
        <v>7999</v>
      </c>
    </row>
    <row r="5181" spans="1:5" x14ac:dyDescent="0.25">
      <c r="B5181" s="115" t="s">
        <v>8000</v>
      </c>
      <c r="D5181" s="115" t="s">
        <v>8001</v>
      </c>
      <c r="E5181" s="115" t="s">
        <v>8002</v>
      </c>
    </row>
    <row r="5182" spans="1:5" x14ac:dyDescent="0.25">
      <c r="A5182" s="115" t="s">
        <v>1138</v>
      </c>
      <c r="B5182" s="115" t="s">
        <v>8003</v>
      </c>
      <c r="D5182" s="115" t="s">
        <v>8004</v>
      </c>
      <c r="E5182" s="115" t="s">
        <v>8005</v>
      </c>
    </row>
    <row r="5183" spans="1:5" x14ac:dyDescent="0.25">
      <c r="A5183" s="115">
        <v>21</v>
      </c>
      <c r="B5183" s="115" t="s">
        <v>8006</v>
      </c>
      <c r="D5183" s="115" t="s">
        <v>8007</v>
      </c>
      <c r="E5183" s="115" t="s">
        <v>8008</v>
      </c>
    </row>
    <row r="5184" spans="1:5" x14ac:dyDescent="0.25">
      <c r="A5184" s="115">
        <v>35</v>
      </c>
      <c r="B5184" s="115" t="s">
        <v>8009</v>
      </c>
      <c r="C5184" s="115">
        <v>4</v>
      </c>
      <c r="D5184" s="115" t="s">
        <v>8010</v>
      </c>
      <c r="E5184" s="115" t="s">
        <v>8011</v>
      </c>
    </row>
    <row r="5185" spans="1:5" x14ac:dyDescent="0.25">
      <c r="B5185" s="115" t="s">
        <v>6567</v>
      </c>
      <c r="D5185" s="115" t="s">
        <v>1480</v>
      </c>
      <c r="E5185" s="115" t="s">
        <v>8012</v>
      </c>
    </row>
    <row r="5186" spans="1:5" x14ac:dyDescent="0.25">
      <c r="B5186" s="115" t="s">
        <v>1139</v>
      </c>
      <c r="D5186" s="115" t="s">
        <v>1140</v>
      </c>
      <c r="E5186" s="115" t="s">
        <v>8013</v>
      </c>
    </row>
    <row r="5187" spans="1:5" x14ac:dyDescent="0.25">
      <c r="B5187" s="115" t="s">
        <v>1572</v>
      </c>
      <c r="D5187" s="115">
        <f>-898    -34   -175   -70</f>
        <v>-1177</v>
      </c>
      <c r="E5187" s="115" t="s">
        <v>8014</v>
      </c>
    </row>
    <row r="5188" spans="1:5" x14ac:dyDescent="0.25">
      <c r="A5188" s="115">
        <v>1</v>
      </c>
      <c r="B5188" s="115" t="s">
        <v>8015</v>
      </c>
      <c r="D5188" s="115" t="s">
        <v>2768</v>
      </c>
      <c r="E5188" s="115" t="s">
        <v>1141</v>
      </c>
    </row>
    <row r="5189" spans="1:5" x14ac:dyDescent="0.25">
      <c r="B5189" s="115" t="s">
        <v>1607</v>
      </c>
      <c r="D5189" s="115" t="s">
        <v>1140</v>
      </c>
      <c r="E5189" s="115" t="s">
        <v>8016</v>
      </c>
    </row>
    <row r="5190" spans="1:5" x14ac:dyDescent="0.25">
      <c r="B5190" s="115" t="s">
        <v>8017</v>
      </c>
      <c r="D5190" s="115" t="s">
        <v>1140</v>
      </c>
      <c r="E5190" s="115" t="s">
        <v>8018</v>
      </c>
    </row>
    <row r="5191" spans="1:5" x14ac:dyDescent="0.25">
      <c r="B5191" s="115" t="s">
        <v>8019</v>
      </c>
      <c r="D5191" s="115" t="s">
        <v>8020</v>
      </c>
      <c r="E5191" s="115" t="s">
        <v>8021</v>
      </c>
    </row>
    <row r="5192" spans="1:5" x14ac:dyDescent="0.25">
      <c r="A5192" s="115" t="s">
        <v>1138</v>
      </c>
      <c r="B5192" s="115" t="s">
        <v>1169</v>
      </c>
      <c r="D5192" s="115" t="s">
        <v>3621</v>
      </c>
      <c r="E5192" s="115" t="s">
        <v>8022</v>
      </c>
    </row>
    <row r="5193" spans="1:5" x14ac:dyDescent="0.25">
      <c r="B5193" s="115" t="s">
        <v>8023</v>
      </c>
      <c r="D5193" s="115" t="s">
        <v>8024</v>
      </c>
      <c r="E5193" s="115" t="s">
        <v>8025</v>
      </c>
    </row>
    <row r="5194" spans="1:5" x14ac:dyDescent="0.25">
      <c r="A5194" s="115" t="s">
        <v>1138</v>
      </c>
      <c r="B5194" s="115" t="s">
        <v>8026</v>
      </c>
      <c r="D5194" s="115" t="s">
        <v>8027</v>
      </c>
      <c r="E5194" s="115" t="s">
        <v>8028</v>
      </c>
    </row>
    <row r="5195" spans="1:5" x14ac:dyDescent="0.25">
      <c r="B5195" s="115" t="s">
        <v>8029</v>
      </c>
      <c r="D5195" s="115" t="s">
        <v>1991</v>
      </c>
      <c r="E5195" s="115" t="s">
        <v>8030</v>
      </c>
    </row>
    <row r="5196" spans="1:5" x14ac:dyDescent="0.25">
      <c r="A5196" s="115" t="s">
        <v>1138</v>
      </c>
      <c r="B5196" s="115" t="s">
        <v>8031</v>
      </c>
      <c r="D5196" s="115" t="s">
        <v>8032</v>
      </c>
      <c r="E5196" s="115" t="s">
        <v>8033</v>
      </c>
    </row>
    <row r="5197" spans="1:5" x14ac:dyDescent="0.25">
      <c r="A5197" s="115">
        <v>1</v>
      </c>
      <c r="B5197" s="115" t="s">
        <v>8034</v>
      </c>
      <c r="D5197" s="115" t="s">
        <v>8035</v>
      </c>
      <c r="E5197" s="115" t="s">
        <v>8036</v>
      </c>
    </row>
    <row r="5198" spans="1:5" x14ac:dyDescent="0.25">
      <c r="A5198" s="115" t="s">
        <v>1138</v>
      </c>
      <c r="B5198" s="115" t="s">
        <v>1353</v>
      </c>
      <c r="D5198" s="115" t="s">
        <v>6765</v>
      </c>
      <c r="E5198" s="115" t="s">
        <v>8037</v>
      </c>
    </row>
    <row r="5199" spans="1:5" x14ac:dyDescent="0.25">
      <c r="A5199" s="115" t="s">
        <v>1138</v>
      </c>
      <c r="B5199" s="115" t="s">
        <v>1490</v>
      </c>
      <c r="D5199" s="115" t="s">
        <v>8038</v>
      </c>
      <c r="E5199" s="115" t="s">
        <v>8039</v>
      </c>
    </row>
    <row r="5200" spans="1:5" x14ac:dyDescent="0.25">
      <c r="B5200" s="115" t="s">
        <v>1472</v>
      </c>
      <c r="D5200" s="115" t="s">
        <v>8040</v>
      </c>
      <c r="E5200" s="115" t="s">
        <v>8041</v>
      </c>
    </row>
    <row r="5201" spans="1:5" x14ac:dyDescent="0.25">
      <c r="B5201" s="115" t="s">
        <v>1139</v>
      </c>
      <c r="D5201" s="115" t="s">
        <v>2338</v>
      </c>
      <c r="E5201" s="115" t="s">
        <v>8042</v>
      </c>
    </row>
    <row r="5202" spans="1:5" x14ac:dyDescent="0.25">
      <c r="B5202" s="115" t="s">
        <v>1139</v>
      </c>
      <c r="D5202" s="115" t="s">
        <v>4321</v>
      </c>
      <c r="E5202" s="115" t="s">
        <v>8043</v>
      </c>
    </row>
    <row r="5203" spans="1:5" x14ac:dyDescent="0.25">
      <c r="A5203" s="115">
        <v>-1</v>
      </c>
      <c r="B5203" s="115" t="s">
        <v>8044</v>
      </c>
      <c r="D5203" s="115" t="s">
        <v>3947</v>
      </c>
      <c r="E5203" s="115" t="s">
        <v>8045</v>
      </c>
    </row>
    <row r="5204" spans="1:5" x14ac:dyDescent="0.25">
      <c r="B5204" s="115" t="s">
        <v>1379</v>
      </c>
      <c r="D5204" s="115" t="s">
        <v>5010</v>
      </c>
      <c r="E5204" s="115" t="s">
        <v>8046</v>
      </c>
    </row>
    <row r="5205" spans="1:5" x14ac:dyDescent="0.25">
      <c r="A5205" s="115">
        <v>-1</v>
      </c>
      <c r="B5205" s="115" t="s">
        <v>8047</v>
      </c>
      <c r="D5205" s="115" t="s">
        <v>8048</v>
      </c>
      <c r="E5205" s="115" t="s">
        <v>1141</v>
      </c>
    </row>
    <row r="5206" spans="1:5" x14ac:dyDescent="0.25">
      <c r="B5206" s="115" t="s">
        <v>8049</v>
      </c>
      <c r="D5206" s="115" t="s">
        <v>8050</v>
      </c>
      <c r="E5206" s="115" t="s">
        <v>8051</v>
      </c>
    </row>
    <row r="5207" spans="1:5" x14ac:dyDescent="0.25">
      <c r="B5207" s="115" t="s">
        <v>8052</v>
      </c>
      <c r="C5207" s="115">
        <v>-1</v>
      </c>
      <c r="D5207" s="115" t="s">
        <v>8053</v>
      </c>
      <c r="E5207" s="115" t="s">
        <v>8054</v>
      </c>
    </row>
    <row r="5208" spans="1:5" x14ac:dyDescent="0.25">
      <c r="B5208" s="115" t="s">
        <v>1139</v>
      </c>
      <c r="D5208" s="115" t="s">
        <v>1140</v>
      </c>
      <c r="E5208" s="115" t="s">
        <v>1141</v>
      </c>
    </row>
    <row r="5209" spans="1:5" x14ac:dyDescent="0.25">
      <c r="B5209" s="115" t="s">
        <v>1139</v>
      </c>
      <c r="D5209" s="115" t="s">
        <v>6677</v>
      </c>
      <c r="E5209" s="115" t="s">
        <v>1759</v>
      </c>
    </row>
    <row r="5210" spans="1:5" x14ac:dyDescent="0.25">
      <c r="B5210" s="115" t="s">
        <v>8055</v>
      </c>
      <c r="D5210" s="115" t="s">
        <v>8056</v>
      </c>
      <c r="E5210" s="115" t="s">
        <v>8057</v>
      </c>
    </row>
    <row r="5211" spans="1:5" x14ac:dyDescent="0.25">
      <c r="B5211" s="115" t="s">
        <v>1608</v>
      </c>
      <c r="D5211" s="115" t="s">
        <v>8058</v>
      </c>
      <c r="E5211" s="115" t="s">
        <v>8059</v>
      </c>
    </row>
    <row r="5212" spans="1:5" x14ac:dyDescent="0.25">
      <c r="B5212" s="115" t="s">
        <v>8060</v>
      </c>
      <c r="D5212" s="115" t="s">
        <v>8061</v>
      </c>
      <c r="E5212" s="115" t="s">
        <v>8062</v>
      </c>
    </row>
    <row r="5213" spans="1:5" x14ac:dyDescent="0.25">
      <c r="A5213" s="115">
        <v>1</v>
      </c>
      <c r="B5213" s="115" t="s">
        <v>8063</v>
      </c>
      <c r="D5213" s="115" t="s">
        <v>8064</v>
      </c>
      <c r="E5213" s="115" t="s">
        <v>8065</v>
      </c>
    </row>
    <row r="5214" spans="1:5" x14ac:dyDescent="0.25">
      <c r="A5214" s="115">
        <v>11</v>
      </c>
      <c r="B5214" s="115" t="s">
        <v>8066</v>
      </c>
      <c r="C5214" s="115">
        <v>2</v>
      </c>
      <c r="D5214" s="115" t="s">
        <v>8067</v>
      </c>
      <c r="E5214" s="115" t="s">
        <v>8068</v>
      </c>
    </row>
    <row r="5215" spans="1:5" x14ac:dyDescent="0.25">
      <c r="A5215" s="115">
        <v>26</v>
      </c>
      <c r="B5215" s="115" t="s">
        <v>8069</v>
      </c>
      <c r="C5215" s="115">
        <v>2</v>
      </c>
      <c r="D5215" s="115" t="s">
        <v>8070</v>
      </c>
      <c r="E5215" s="115" t="s">
        <v>8071</v>
      </c>
    </row>
    <row r="5216" spans="1:5" x14ac:dyDescent="0.25">
      <c r="B5216" s="115" t="s">
        <v>1139</v>
      </c>
      <c r="D5216" s="115" t="s">
        <v>8072</v>
      </c>
      <c r="E5216" s="115" t="s">
        <v>8073</v>
      </c>
    </row>
    <row r="5217" spans="1:5" x14ac:dyDescent="0.25">
      <c r="B5217" s="115" t="s">
        <v>1139</v>
      </c>
      <c r="D5217" s="115" t="s">
        <v>1140</v>
      </c>
      <c r="E5217" s="115" t="s">
        <v>8074</v>
      </c>
    </row>
    <row r="5218" spans="1:5" x14ac:dyDescent="0.25">
      <c r="B5218" s="115" t="s">
        <v>1139</v>
      </c>
      <c r="D5218" s="115" t="s">
        <v>8075</v>
      </c>
      <c r="E5218" s="115" t="s">
        <v>8076</v>
      </c>
    </row>
    <row r="5219" spans="1:5" x14ac:dyDescent="0.25">
      <c r="B5219" s="115" t="s">
        <v>8077</v>
      </c>
      <c r="D5219" s="115" t="s">
        <v>3699</v>
      </c>
      <c r="E5219" s="115" t="s">
        <v>2537</v>
      </c>
    </row>
    <row r="5220" spans="1:5" x14ac:dyDescent="0.25">
      <c r="B5220" s="115" t="s">
        <v>8078</v>
      </c>
      <c r="D5220" s="115" t="s">
        <v>1140</v>
      </c>
      <c r="E5220" s="115" t="s">
        <v>8079</v>
      </c>
    </row>
    <row r="5221" spans="1:5" x14ac:dyDescent="0.25">
      <c r="A5221" s="115">
        <v>-1</v>
      </c>
      <c r="B5221" s="115" t="s">
        <v>1658</v>
      </c>
      <c r="D5221" s="115" t="s">
        <v>8080</v>
      </c>
      <c r="E5221" s="115" t="s">
        <v>8081</v>
      </c>
    </row>
    <row r="5222" spans="1:5" x14ac:dyDescent="0.25">
      <c r="B5222" s="115" t="s">
        <v>1139</v>
      </c>
      <c r="D5222" s="115" t="s">
        <v>8082</v>
      </c>
      <c r="E5222" s="115" t="s">
        <v>8083</v>
      </c>
    </row>
    <row r="5223" spans="1:5" x14ac:dyDescent="0.25">
      <c r="B5223" s="115" t="s">
        <v>8084</v>
      </c>
      <c r="D5223" s="115" t="s">
        <v>1140</v>
      </c>
      <c r="E5223" s="115" t="s">
        <v>8085</v>
      </c>
    </row>
    <row r="5224" spans="1:5" x14ac:dyDescent="0.25">
      <c r="A5224" s="115" t="s">
        <v>1138</v>
      </c>
      <c r="B5224" s="115" t="s">
        <v>8086</v>
      </c>
      <c r="D5224" s="115" t="s">
        <v>8087</v>
      </c>
      <c r="E5224" s="115" t="s">
        <v>8088</v>
      </c>
    </row>
    <row r="5225" spans="1:5" x14ac:dyDescent="0.25">
      <c r="A5225" s="115" t="s">
        <v>1138</v>
      </c>
      <c r="B5225" s="115" t="s">
        <v>8089</v>
      </c>
      <c r="D5225" s="115" t="s">
        <v>8090</v>
      </c>
      <c r="E5225" s="115" t="s">
        <v>8091</v>
      </c>
    </row>
    <row r="5226" spans="1:5" x14ac:dyDescent="0.25">
      <c r="B5226" s="115">
        <f>-20    -35</f>
        <v>-55</v>
      </c>
      <c r="D5226" s="115" t="s">
        <v>1140</v>
      </c>
      <c r="E5226" s="115" t="s">
        <v>8092</v>
      </c>
    </row>
    <row r="5227" spans="1:5" x14ac:dyDescent="0.25">
      <c r="B5227" s="115" t="s">
        <v>8093</v>
      </c>
      <c r="D5227" s="115" t="s">
        <v>8094</v>
      </c>
      <c r="E5227" s="115" t="s">
        <v>8095</v>
      </c>
    </row>
    <row r="5228" spans="1:5" x14ac:dyDescent="0.25">
      <c r="B5228" s="115" t="s">
        <v>8096</v>
      </c>
      <c r="C5228" s="115" t="s">
        <v>1138</v>
      </c>
      <c r="D5228" s="115" t="s">
        <v>8097</v>
      </c>
      <c r="E5228" s="115" t="s">
        <v>8098</v>
      </c>
    </row>
    <row r="5229" spans="1:5" x14ac:dyDescent="0.25">
      <c r="A5229" s="115" t="s">
        <v>1138</v>
      </c>
      <c r="B5229" s="115" t="s">
        <v>8099</v>
      </c>
      <c r="D5229" s="115" t="s">
        <v>1140</v>
      </c>
      <c r="E5229" s="115" t="s">
        <v>8100</v>
      </c>
    </row>
    <row r="5230" spans="1:5" x14ac:dyDescent="0.25">
      <c r="A5230" s="115" t="s">
        <v>1138</v>
      </c>
      <c r="B5230" s="115" t="s">
        <v>8101</v>
      </c>
      <c r="D5230" s="115" t="s">
        <v>2983</v>
      </c>
      <c r="E5230" s="115" t="s">
        <v>8102</v>
      </c>
    </row>
    <row r="5231" spans="1:5" x14ac:dyDescent="0.25">
      <c r="B5231" s="115" t="s">
        <v>8103</v>
      </c>
      <c r="D5231" s="115" t="s">
        <v>1919</v>
      </c>
      <c r="E5231" s="115" t="s">
        <v>8104</v>
      </c>
    </row>
    <row r="5232" spans="1:5" x14ac:dyDescent="0.25">
      <c r="B5232" s="115" t="s">
        <v>1139</v>
      </c>
      <c r="D5232" s="115" t="s">
        <v>1140</v>
      </c>
      <c r="E5232" s="115" t="s">
        <v>8105</v>
      </c>
    </row>
    <row r="5233" spans="1:5" x14ac:dyDescent="0.25">
      <c r="A5233" s="115" t="s">
        <v>1138</v>
      </c>
      <c r="B5233" s="115" t="s">
        <v>1215</v>
      </c>
      <c r="D5233" s="115" t="s">
        <v>1140</v>
      </c>
      <c r="E5233" s="115" t="s">
        <v>8106</v>
      </c>
    </row>
    <row r="5234" spans="1:5" x14ac:dyDescent="0.25">
      <c r="B5234" s="115" t="s">
        <v>8107</v>
      </c>
      <c r="D5234" s="115" t="s">
        <v>8108</v>
      </c>
      <c r="E5234" s="115" t="s">
        <v>8109</v>
      </c>
    </row>
    <row r="5235" spans="1:5" x14ac:dyDescent="0.25">
      <c r="B5235" s="115" t="s">
        <v>8110</v>
      </c>
      <c r="D5235" s="115" t="s">
        <v>1140</v>
      </c>
      <c r="E5235" s="115" t="s">
        <v>8111</v>
      </c>
    </row>
    <row r="5236" spans="1:5" x14ac:dyDescent="0.25">
      <c r="A5236" s="115">
        <v>-1</v>
      </c>
      <c r="B5236" s="115" t="s">
        <v>8112</v>
      </c>
      <c r="D5236" s="115" t="s">
        <v>8113</v>
      </c>
      <c r="E5236" s="115" t="s">
        <v>1141</v>
      </c>
    </row>
    <row r="5237" spans="1:5" x14ac:dyDescent="0.25">
      <c r="B5237" s="115" t="s">
        <v>1139</v>
      </c>
      <c r="C5237" s="115" t="s">
        <v>1138</v>
      </c>
      <c r="D5237" s="115" t="s">
        <v>8114</v>
      </c>
      <c r="E5237" s="115" t="s">
        <v>8115</v>
      </c>
    </row>
    <row r="5238" spans="1:5" x14ac:dyDescent="0.25">
      <c r="B5238" s="115" t="s">
        <v>8116</v>
      </c>
      <c r="D5238" s="115" t="s">
        <v>8117</v>
      </c>
      <c r="E5238" s="115" t="s">
        <v>8118</v>
      </c>
    </row>
    <row r="5239" spans="1:5" x14ac:dyDescent="0.25">
      <c r="B5239" s="115" t="s">
        <v>1667</v>
      </c>
      <c r="D5239" s="115" t="s">
        <v>1140</v>
      </c>
      <c r="E5239" s="115" t="s">
        <v>1141</v>
      </c>
    </row>
    <row r="5240" spans="1:5" x14ac:dyDescent="0.25">
      <c r="B5240" s="115" t="s">
        <v>1139</v>
      </c>
      <c r="D5240" s="115" t="s">
        <v>1140</v>
      </c>
      <c r="E5240" s="115" t="s">
        <v>8119</v>
      </c>
    </row>
    <row r="5241" spans="1:5" x14ac:dyDescent="0.25">
      <c r="B5241" s="115" t="s">
        <v>1310</v>
      </c>
      <c r="D5241" s="115" t="s">
        <v>8120</v>
      </c>
      <c r="E5241" s="115" t="s">
        <v>8121</v>
      </c>
    </row>
    <row r="5242" spans="1:5" x14ac:dyDescent="0.25">
      <c r="B5242" s="115" t="s">
        <v>1139</v>
      </c>
      <c r="D5242" s="115" t="s">
        <v>8122</v>
      </c>
      <c r="E5242" s="115" t="s">
        <v>8123</v>
      </c>
    </row>
    <row r="5243" spans="1:5" x14ac:dyDescent="0.25">
      <c r="B5243" s="115" t="s">
        <v>8124</v>
      </c>
      <c r="D5243" s="115" t="s">
        <v>8125</v>
      </c>
      <c r="E5243" s="115" t="s">
        <v>8126</v>
      </c>
    </row>
    <row r="5244" spans="1:5" x14ac:dyDescent="0.25">
      <c r="B5244" s="115" t="s">
        <v>8127</v>
      </c>
      <c r="D5244" s="115" t="s">
        <v>8128</v>
      </c>
      <c r="E5244" s="115" t="s">
        <v>8129</v>
      </c>
    </row>
    <row r="5245" spans="1:5" x14ac:dyDescent="0.25">
      <c r="A5245" s="115">
        <v>11</v>
      </c>
      <c r="B5245" s="115" t="s">
        <v>8130</v>
      </c>
      <c r="C5245" s="115">
        <v>2</v>
      </c>
      <c r="D5245" s="115" t="s">
        <v>8131</v>
      </c>
      <c r="E5245" s="115" t="s">
        <v>8132</v>
      </c>
    </row>
    <row r="5246" spans="1:5" x14ac:dyDescent="0.25">
      <c r="A5246" s="115">
        <v>37</v>
      </c>
      <c r="B5246" s="115" t="s">
        <v>8133</v>
      </c>
      <c r="C5246" s="115">
        <v>2</v>
      </c>
      <c r="D5246" s="115" t="s">
        <v>8134</v>
      </c>
      <c r="E5246" s="115" t="s">
        <v>8135</v>
      </c>
    </row>
    <row r="5247" spans="1:5" x14ac:dyDescent="0.25">
      <c r="A5247" s="115" t="s">
        <v>1138</v>
      </c>
      <c r="B5247" s="115" t="s">
        <v>8136</v>
      </c>
      <c r="D5247" s="115" t="s">
        <v>8137</v>
      </c>
      <c r="E5247" s="115" t="s">
        <v>8138</v>
      </c>
    </row>
    <row r="5248" spans="1:5" x14ac:dyDescent="0.25">
      <c r="A5248" s="115" t="s">
        <v>1138</v>
      </c>
      <c r="B5248" s="115" t="s">
        <v>8139</v>
      </c>
      <c r="D5248" s="115" t="s">
        <v>1140</v>
      </c>
      <c r="E5248" s="115" t="s">
        <v>1141</v>
      </c>
    </row>
    <row r="5249" spans="1:5" x14ac:dyDescent="0.25">
      <c r="A5249" s="115" t="s">
        <v>1138</v>
      </c>
      <c r="B5249" s="115" t="s">
        <v>8140</v>
      </c>
      <c r="D5249" s="115" t="s">
        <v>8141</v>
      </c>
      <c r="E5249" s="115" t="s">
        <v>8142</v>
      </c>
    </row>
    <row r="5250" spans="1:5" x14ac:dyDescent="0.25">
      <c r="B5250" s="115" t="s">
        <v>1139</v>
      </c>
      <c r="D5250" s="115" t="s">
        <v>8143</v>
      </c>
      <c r="E5250" s="115" t="s">
        <v>8144</v>
      </c>
    </row>
    <row r="5251" spans="1:5" x14ac:dyDescent="0.25">
      <c r="B5251" s="115" t="s">
        <v>1139</v>
      </c>
      <c r="D5251" s="115" t="s">
        <v>8145</v>
      </c>
      <c r="E5251" s="115" t="s">
        <v>1141</v>
      </c>
    </row>
    <row r="5252" spans="1:5" x14ac:dyDescent="0.25">
      <c r="B5252" s="115" t="s">
        <v>1368</v>
      </c>
      <c r="C5252" s="115">
        <v>-3</v>
      </c>
      <c r="D5252" s="115" t="s">
        <v>8146</v>
      </c>
      <c r="E5252" s="115" t="s">
        <v>1473</v>
      </c>
    </row>
    <row r="5253" spans="1:5" x14ac:dyDescent="0.25">
      <c r="A5253" s="115" t="s">
        <v>1138</v>
      </c>
      <c r="B5253" s="115" t="s">
        <v>8147</v>
      </c>
      <c r="D5253" s="115" t="s">
        <v>8148</v>
      </c>
      <c r="E5253" s="115" t="s">
        <v>8149</v>
      </c>
    </row>
    <row r="5254" spans="1:5" x14ac:dyDescent="0.25">
      <c r="A5254" s="115" t="s">
        <v>1138</v>
      </c>
      <c r="B5254" s="115" t="s">
        <v>8150</v>
      </c>
      <c r="D5254" s="115" t="s">
        <v>8151</v>
      </c>
      <c r="E5254" s="115" t="s">
        <v>8152</v>
      </c>
    </row>
    <row r="5255" spans="1:5" x14ac:dyDescent="0.25">
      <c r="B5255" s="115">
        <f>-54  -3039</f>
        <v>-3093</v>
      </c>
      <c r="C5255" s="115">
        <v>-4</v>
      </c>
      <c r="D5255" s="115" t="s">
        <v>8153</v>
      </c>
      <c r="E5255" s="115" t="s">
        <v>8154</v>
      </c>
    </row>
    <row r="5256" spans="1:5" x14ac:dyDescent="0.25">
      <c r="B5256" s="115">
        <f>-42     -5</f>
        <v>-47</v>
      </c>
      <c r="D5256" s="115" t="s">
        <v>8155</v>
      </c>
      <c r="E5256" s="115" t="s">
        <v>8156</v>
      </c>
    </row>
    <row r="5257" spans="1:5" x14ac:dyDescent="0.25">
      <c r="A5257" s="115" t="s">
        <v>1138</v>
      </c>
      <c r="B5257" s="115" t="s">
        <v>8157</v>
      </c>
      <c r="D5257" s="115" t="s">
        <v>8158</v>
      </c>
      <c r="E5257" s="115" t="s">
        <v>8159</v>
      </c>
    </row>
    <row r="5258" spans="1:5" x14ac:dyDescent="0.25">
      <c r="B5258" s="115" t="s">
        <v>8160</v>
      </c>
      <c r="C5258" s="115">
        <v>-4</v>
      </c>
      <c r="D5258" s="115" t="s">
        <v>8161</v>
      </c>
      <c r="E5258" s="115" t="s">
        <v>8162</v>
      </c>
    </row>
    <row r="5259" spans="1:5" x14ac:dyDescent="0.25">
      <c r="A5259" s="115" t="s">
        <v>1138</v>
      </c>
      <c r="B5259" s="115" t="s">
        <v>8163</v>
      </c>
      <c r="D5259" s="115" t="s">
        <v>8164</v>
      </c>
      <c r="E5259" s="115" t="s">
        <v>8165</v>
      </c>
    </row>
    <row r="5260" spans="1:5" x14ac:dyDescent="0.25">
      <c r="B5260" s="115" t="s">
        <v>1862</v>
      </c>
      <c r="D5260" s="115" t="s">
        <v>8166</v>
      </c>
      <c r="E5260" s="115" t="s">
        <v>8167</v>
      </c>
    </row>
    <row r="5261" spans="1:5" x14ac:dyDescent="0.25">
      <c r="B5261" s="115" t="s">
        <v>8168</v>
      </c>
      <c r="C5261" s="115">
        <v>-4</v>
      </c>
      <c r="D5261" s="115" t="s">
        <v>8169</v>
      </c>
      <c r="E5261" s="115" t="s">
        <v>8170</v>
      </c>
    </row>
    <row r="5262" spans="1:5" x14ac:dyDescent="0.25">
      <c r="A5262" s="115">
        <v>-1</v>
      </c>
      <c r="B5262" s="115" t="s">
        <v>8171</v>
      </c>
      <c r="D5262" s="115" t="s">
        <v>8172</v>
      </c>
      <c r="E5262" s="115" t="s">
        <v>8173</v>
      </c>
    </row>
    <row r="5263" spans="1:5" x14ac:dyDescent="0.25">
      <c r="A5263" s="115">
        <v>-1</v>
      </c>
      <c r="B5263" s="115" t="s">
        <v>3807</v>
      </c>
      <c r="D5263" s="115" t="s">
        <v>1140</v>
      </c>
      <c r="E5263" s="115" t="s">
        <v>8174</v>
      </c>
    </row>
    <row r="5264" spans="1:5" x14ac:dyDescent="0.25">
      <c r="B5264" s="115" t="s">
        <v>8175</v>
      </c>
      <c r="C5264" s="115">
        <v>-4</v>
      </c>
      <c r="D5264" s="115" t="s">
        <v>8176</v>
      </c>
      <c r="E5264" s="115" t="s">
        <v>8177</v>
      </c>
    </row>
    <row r="5265" spans="1:5" x14ac:dyDescent="0.25">
      <c r="A5265" s="115">
        <v>-1</v>
      </c>
      <c r="B5265" s="115" t="s">
        <v>8178</v>
      </c>
      <c r="D5265" s="115" t="s">
        <v>8179</v>
      </c>
      <c r="E5265" s="115" t="s">
        <v>8180</v>
      </c>
    </row>
    <row r="5266" spans="1:5" x14ac:dyDescent="0.25">
      <c r="A5266" s="115">
        <v>-1</v>
      </c>
      <c r="B5266" s="115" t="s">
        <v>1367</v>
      </c>
      <c r="D5266" s="115" t="s">
        <v>8181</v>
      </c>
      <c r="E5266" s="115" t="s">
        <v>8182</v>
      </c>
    </row>
    <row r="5267" spans="1:5" x14ac:dyDescent="0.25">
      <c r="A5267" s="115" t="s">
        <v>1138</v>
      </c>
      <c r="B5267" s="115" t="s">
        <v>8183</v>
      </c>
      <c r="D5267" s="115" t="s">
        <v>8184</v>
      </c>
      <c r="E5267" s="115" t="s">
        <v>8185</v>
      </c>
    </row>
    <row r="5268" spans="1:5" x14ac:dyDescent="0.25">
      <c r="B5268" s="115" t="s">
        <v>1139</v>
      </c>
      <c r="D5268" s="115" t="s">
        <v>8186</v>
      </c>
      <c r="E5268" s="115" t="s">
        <v>8187</v>
      </c>
    </row>
    <row r="5269" spans="1:5" x14ac:dyDescent="0.25">
      <c r="B5269" s="115" t="s">
        <v>1139</v>
      </c>
      <c r="D5269" s="115" t="s">
        <v>8188</v>
      </c>
      <c r="E5269" s="115" t="s">
        <v>2260</v>
      </c>
    </row>
    <row r="5270" spans="1:5" x14ac:dyDescent="0.25">
      <c r="B5270" s="115" t="s">
        <v>8189</v>
      </c>
      <c r="D5270" s="115" t="s">
        <v>8190</v>
      </c>
      <c r="E5270" s="115" t="s">
        <v>1141</v>
      </c>
    </row>
    <row r="5271" spans="1:5" x14ac:dyDescent="0.25">
      <c r="B5271" s="115" t="s">
        <v>1139</v>
      </c>
      <c r="D5271" s="115" t="s">
        <v>1140</v>
      </c>
      <c r="E5271" s="115" t="s">
        <v>8191</v>
      </c>
    </row>
    <row r="5272" spans="1:5" x14ac:dyDescent="0.25">
      <c r="B5272" s="115" t="s">
        <v>1139</v>
      </c>
      <c r="D5272" s="115" t="s">
        <v>8192</v>
      </c>
      <c r="E5272" s="115" t="s">
        <v>8193</v>
      </c>
    </row>
    <row r="5273" spans="1:5" x14ac:dyDescent="0.25">
      <c r="A5273" s="115">
        <v>12</v>
      </c>
      <c r="B5273" s="115" t="s">
        <v>8194</v>
      </c>
      <c r="D5273" s="115" t="s">
        <v>8195</v>
      </c>
      <c r="E5273" s="115" t="s">
        <v>8196</v>
      </c>
    </row>
    <row r="5274" spans="1:5" x14ac:dyDescent="0.25">
      <c r="B5274" s="115" t="s">
        <v>8197</v>
      </c>
      <c r="D5274" s="115" t="s">
        <v>8198</v>
      </c>
      <c r="E5274" s="115" t="s">
        <v>8199</v>
      </c>
    </row>
    <row r="5275" spans="1:5" x14ac:dyDescent="0.25">
      <c r="B5275" s="115" t="s">
        <v>8200</v>
      </c>
      <c r="C5275" s="115" t="s">
        <v>1138</v>
      </c>
      <c r="D5275" s="115" t="s">
        <v>8201</v>
      </c>
      <c r="E5275" s="115" t="s">
        <v>8202</v>
      </c>
    </row>
    <row r="5276" spans="1:5" x14ac:dyDescent="0.25">
      <c r="A5276" s="115">
        <v>-1</v>
      </c>
      <c r="B5276" s="115" t="s">
        <v>8203</v>
      </c>
      <c r="D5276" s="115" t="s">
        <v>8204</v>
      </c>
      <c r="E5276" s="115" t="s">
        <v>8205</v>
      </c>
    </row>
    <row r="5277" spans="1:5" x14ac:dyDescent="0.25">
      <c r="B5277" s="115" t="s">
        <v>8206</v>
      </c>
      <c r="D5277" s="115" t="s">
        <v>8207</v>
      </c>
      <c r="E5277" s="115" t="s">
        <v>8208</v>
      </c>
    </row>
    <row r="5278" spans="1:5" x14ac:dyDescent="0.25">
      <c r="A5278" s="115">
        <v>1</v>
      </c>
      <c r="B5278" s="115" t="s">
        <v>8209</v>
      </c>
      <c r="C5278" s="115">
        <v>-3</v>
      </c>
      <c r="D5278" s="115" t="s">
        <v>8210</v>
      </c>
      <c r="E5278" s="115" t="s">
        <v>8211</v>
      </c>
    </row>
    <row r="5279" spans="1:5" x14ac:dyDescent="0.25">
      <c r="B5279" s="115" t="s">
        <v>1139</v>
      </c>
      <c r="D5279" s="115" t="s">
        <v>8212</v>
      </c>
      <c r="E5279" s="115" t="s">
        <v>1141</v>
      </c>
    </row>
    <row r="5280" spans="1:5" x14ac:dyDescent="0.25">
      <c r="B5280" s="115" t="s">
        <v>1139</v>
      </c>
      <c r="D5280" s="115" t="s">
        <v>8213</v>
      </c>
      <c r="E5280" s="115" t="s">
        <v>8214</v>
      </c>
    </row>
    <row r="5281" spans="1:5" x14ac:dyDescent="0.25">
      <c r="B5281" s="115">
        <f>-72   -748</f>
        <v>-820</v>
      </c>
      <c r="D5281" s="115" t="s">
        <v>8215</v>
      </c>
      <c r="E5281" s="115" t="s">
        <v>8216</v>
      </c>
    </row>
    <row r="5282" spans="1:5" x14ac:dyDescent="0.25">
      <c r="B5282" s="115" t="s">
        <v>8217</v>
      </c>
      <c r="D5282" s="115" t="s">
        <v>1140</v>
      </c>
      <c r="E5282" s="115" t="s">
        <v>8218</v>
      </c>
    </row>
    <row r="5283" spans="1:5" x14ac:dyDescent="0.25">
      <c r="B5283" s="115" t="s">
        <v>1139</v>
      </c>
      <c r="D5283" s="115" t="s">
        <v>8219</v>
      </c>
      <c r="E5283" s="115" t="s">
        <v>8220</v>
      </c>
    </row>
    <row r="5284" spans="1:5" x14ac:dyDescent="0.25">
      <c r="B5284" s="115" t="s">
        <v>1139</v>
      </c>
      <c r="D5284" s="115">
        <f>-692   -765   -371</f>
        <v>-1828</v>
      </c>
      <c r="E5284" s="115" t="s">
        <v>8221</v>
      </c>
    </row>
    <row r="5285" spans="1:5" x14ac:dyDescent="0.25">
      <c r="B5285" s="115" t="s">
        <v>8222</v>
      </c>
      <c r="D5285" s="115" t="s">
        <v>8223</v>
      </c>
      <c r="E5285" s="115" t="s">
        <v>8224</v>
      </c>
    </row>
    <row r="5286" spans="1:5" x14ac:dyDescent="0.25">
      <c r="B5286" s="115" t="s">
        <v>4018</v>
      </c>
      <c r="D5286" s="115" t="s">
        <v>8225</v>
      </c>
      <c r="E5286" s="115" t="s">
        <v>8226</v>
      </c>
    </row>
    <row r="5287" spans="1:5" x14ac:dyDescent="0.25">
      <c r="B5287" s="115" t="s">
        <v>8227</v>
      </c>
      <c r="D5287" s="115">
        <f>-896   -200   -148    -7</f>
        <v>-1251</v>
      </c>
      <c r="E5287" s="115" t="s">
        <v>8228</v>
      </c>
    </row>
    <row r="5288" spans="1:5" x14ac:dyDescent="0.25">
      <c r="A5288" s="115" t="s">
        <v>1138</v>
      </c>
      <c r="B5288" s="115" t="s">
        <v>8229</v>
      </c>
      <c r="D5288" s="115" t="s">
        <v>8230</v>
      </c>
      <c r="E5288" s="115" t="s">
        <v>8231</v>
      </c>
    </row>
    <row r="5289" spans="1:5" x14ac:dyDescent="0.25">
      <c r="B5289" s="115" t="s">
        <v>1281</v>
      </c>
      <c r="D5289" s="115" t="s">
        <v>8232</v>
      </c>
      <c r="E5289" s="115" t="s">
        <v>8233</v>
      </c>
    </row>
    <row r="5290" spans="1:5" x14ac:dyDescent="0.25">
      <c r="B5290" s="115" t="s">
        <v>8234</v>
      </c>
      <c r="D5290" s="115" t="s">
        <v>8235</v>
      </c>
      <c r="E5290" s="115" t="s">
        <v>8236</v>
      </c>
    </row>
    <row r="5291" spans="1:5" x14ac:dyDescent="0.25">
      <c r="B5291" s="115" t="s">
        <v>1139</v>
      </c>
      <c r="D5291" s="115" t="s">
        <v>8237</v>
      </c>
      <c r="E5291" s="115" t="s">
        <v>8238</v>
      </c>
    </row>
    <row r="5292" spans="1:5" x14ac:dyDescent="0.25">
      <c r="B5292" s="115" t="s">
        <v>1295</v>
      </c>
      <c r="D5292" s="115" t="s">
        <v>8239</v>
      </c>
      <c r="E5292" s="115" t="s">
        <v>8240</v>
      </c>
    </row>
    <row r="5293" spans="1:5" x14ac:dyDescent="0.25">
      <c r="A5293" s="115" t="s">
        <v>1138</v>
      </c>
      <c r="B5293" s="115" t="s">
        <v>8241</v>
      </c>
      <c r="D5293" s="115">
        <f>-624  -1340   -880</f>
        <v>-2844</v>
      </c>
      <c r="E5293" s="115" t="s">
        <v>8242</v>
      </c>
    </row>
    <row r="5294" spans="1:5" x14ac:dyDescent="0.25">
      <c r="B5294" s="115" t="s">
        <v>8243</v>
      </c>
      <c r="D5294" s="115" t="s">
        <v>8244</v>
      </c>
      <c r="E5294" s="115" t="s">
        <v>1141</v>
      </c>
    </row>
    <row r="5295" spans="1:5" x14ac:dyDescent="0.25">
      <c r="B5295" s="115" t="s">
        <v>8245</v>
      </c>
      <c r="D5295" s="115" t="s">
        <v>8246</v>
      </c>
      <c r="E5295" s="115" t="s">
        <v>2082</v>
      </c>
    </row>
    <row r="5296" spans="1:5" x14ac:dyDescent="0.25">
      <c r="B5296" s="115" t="s">
        <v>8247</v>
      </c>
      <c r="C5296" s="115" t="s">
        <v>1138</v>
      </c>
      <c r="D5296" s="115" t="s">
        <v>8248</v>
      </c>
      <c r="E5296" s="115" t="s">
        <v>8249</v>
      </c>
    </row>
    <row r="5297" spans="1:5" x14ac:dyDescent="0.25">
      <c r="B5297" s="115" t="s">
        <v>8250</v>
      </c>
      <c r="D5297" s="115" t="s">
        <v>8251</v>
      </c>
      <c r="E5297" s="115" t="s">
        <v>8252</v>
      </c>
    </row>
    <row r="5298" spans="1:5" x14ac:dyDescent="0.25">
      <c r="B5298" s="115" t="s">
        <v>8253</v>
      </c>
      <c r="D5298" s="115" t="s">
        <v>8254</v>
      </c>
      <c r="E5298" s="115" t="s">
        <v>8255</v>
      </c>
    </row>
    <row r="5299" spans="1:5" x14ac:dyDescent="0.25">
      <c r="B5299" s="115" t="s">
        <v>1139</v>
      </c>
      <c r="D5299" s="115" t="s">
        <v>1140</v>
      </c>
      <c r="E5299" s="115" t="s">
        <v>8256</v>
      </c>
    </row>
    <row r="5300" spans="1:5" x14ac:dyDescent="0.25">
      <c r="B5300" s="115" t="s">
        <v>8257</v>
      </c>
      <c r="D5300" s="115" t="s">
        <v>8258</v>
      </c>
      <c r="E5300" s="115" t="s">
        <v>8259</v>
      </c>
    </row>
    <row r="5301" spans="1:5" x14ac:dyDescent="0.25">
      <c r="B5301" s="115" t="s">
        <v>1139</v>
      </c>
      <c r="D5301" s="115" t="s">
        <v>8260</v>
      </c>
      <c r="E5301" s="115" t="s">
        <v>1894</v>
      </c>
    </row>
    <row r="5302" spans="1:5" x14ac:dyDescent="0.25">
      <c r="B5302" s="115" t="s">
        <v>1139</v>
      </c>
      <c r="D5302" s="115" t="s">
        <v>1140</v>
      </c>
      <c r="E5302" s="115" t="s">
        <v>1141</v>
      </c>
    </row>
    <row r="5303" spans="1:5" x14ac:dyDescent="0.25">
      <c r="B5303" s="115" t="s">
        <v>8261</v>
      </c>
      <c r="D5303" s="115" t="s">
        <v>1140</v>
      </c>
      <c r="E5303" s="115" t="s">
        <v>8262</v>
      </c>
    </row>
    <row r="5304" spans="1:5" x14ac:dyDescent="0.25">
      <c r="A5304" s="115">
        <v>-18</v>
      </c>
      <c r="B5304" s="115" t="s">
        <v>8263</v>
      </c>
      <c r="C5304" s="115" t="s">
        <v>1138</v>
      </c>
      <c r="D5304" s="115" t="s">
        <v>8264</v>
      </c>
      <c r="E5304" s="115" t="s">
        <v>8265</v>
      </c>
    </row>
    <row r="5305" spans="1:5" x14ac:dyDescent="0.25">
      <c r="A5305" s="115">
        <v>-1</v>
      </c>
      <c r="B5305" s="115" t="s">
        <v>8266</v>
      </c>
      <c r="D5305" s="115" t="s">
        <v>8267</v>
      </c>
      <c r="E5305" s="115" t="s">
        <v>8268</v>
      </c>
    </row>
    <row r="5306" spans="1:5" x14ac:dyDescent="0.25">
      <c r="B5306" s="115" t="s">
        <v>8269</v>
      </c>
      <c r="D5306" s="115" t="s">
        <v>8270</v>
      </c>
      <c r="E5306" s="115" t="s">
        <v>8271</v>
      </c>
    </row>
    <row r="5307" spans="1:5" x14ac:dyDescent="0.25">
      <c r="B5307" s="115" t="s">
        <v>8272</v>
      </c>
      <c r="D5307" s="115" t="s">
        <v>8273</v>
      </c>
      <c r="E5307" s="115" t="s">
        <v>8274</v>
      </c>
    </row>
    <row r="5308" spans="1:5" x14ac:dyDescent="0.25">
      <c r="A5308" s="115" t="s">
        <v>1138</v>
      </c>
      <c r="B5308" s="115" t="s">
        <v>8275</v>
      </c>
      <c r="D5308" s="115" t="s">
        <v>8276</v>
      </c>
      <c r="E5308" s="115" t="s">
        <v>8277</v>
      </c>
    </row>
    <row r="5309" spans="1:5" x14ac:dyDescent="0.25">
      <c r="B5309" s="115" t="s">
        <v>8278</v>
      </c>
      <c r="D5309" s="115" t="s">
        <v>8279</v>
      </c>
      <c r="E5309" s="115" t="s">
        <v>8280</v>
      </c>
    </row>
    <row r="5310" spans="1:5" x14ac:dyDescent="0.25">
      <c r="B5310" s="115" t="s">
        <v>5007</v>
      </c>
      <c r="D5310" s="115" t="s">
        <v>8281</v>
      </c>
      <c r="E5310" s="115" t="s">
        <v>8282</v>
      </c>
    </row>
    <row r="5311" spans="1:5" x14ac:dyDescent="0.25">
      <c r="B5311" s="115" t="s">
        <v>1139</v>
      </c>
      <c r="D5311" s="115" t="s">
        <v>1140</v>
      </c>
      <c r="E5311" s="115" t="s">
        <v>8283</v>
      </c>
    </row>
    <row r="5312" spans="1:5" x14ac:dyDescent="0.25">
      <c r="B5312" s="115" t="s">
        <v>8284</v>
      </c>
      <c r="C5312" s="115">
        <v>-4</v>
      </c>
      <c r="D5312" s="115" t="s">
        <v>8285</v>
      </c>
      <c r="E5312" s="115" t="s">
        <v>8286</v>
      </c>
    </row>
    <row r="5313" spans="1:5" x14ac:dyDescent="0.25">
      <c r="A5313" s="115">
        <v>1</v>
      </c>
      <c r="B5313" s="115" t="s">
        <v>1489</v>
      </c>
      <c r="D5313" s="115" t="s">
        <v>1243</v>
      </c>
      <c r="E5313" s="115" t="s">
        <v>1141</v>
      </c>
    </row>
    <row r="5314" spans="1:5" x14ac:dyDescent="0.25">
      <c r="A5314" s="115" t="s">
        <v>1138</v>
      </c>
      <c r="B5314" s="115" t="s">
        <v>1565</v>
      </c>
      <c r="D5314" s="115" t="s">
        <v>1140</v>
      </c>
      <c r="E5314" s="115" t="s">
        <v>8287</v>
      </c>
    </row>
    <row r="5315" spans="1:5" x14ac:dyDescent="0.25">
      <c r="B5315" s="115" t="s">
        <v>6139</v>
      </c>
      <c r="D5315" s="115" t="s">
        <v>1140</v>
      </c>
      <c r="E5315" s="115" t="s">
        <v>8288</v>
      </c>
    </row>
    <row r="5316" spans="1:5" x14ac:dyDescent="0.25">
      <c r="B5316" s="115" t="s">
        <v>8289</v>
      </c>
      <c r="D5316" s="115" t="s">
        <v>8290</v>
      </c>
      <c r="E5316" s="115" t="s">
        <v>8291</v>
      </c>
    </row>
    <row r="5317" spans="1:5" x14ac:dyDescent="0.25">
      <c r="B5317" s="115" t="s">
        <v>1251</v>
      </c>
      <c r="D5317" s="115" t="s">
        <v>6079</v>
      </c>
      <c r="E5317" s="115" t="s">
        <v>8292</v>
      </c>
    </row>
    <row r="5318" spans="1:5" x14ac:dyDescent="0.25">
      <c r="B5318" s="115">
        <f>-39   -356</f>
        <v>-395</v>
      </c>
      <c r="D5318" s="115" t="s">
        <v>8293</v>
      </c>
      <c r="E5318" s="115" t="s">
        <v>8294</v>
      </c>
    </row>
    <row r="5319" spans="1:5" x14ac:dyDescent="0.25">
      <c r="A5319" s="115">
        <v>3</v>
      </c>
      <c r="B5319" s="115" t="s">
        <v>8295</v>
      </c>
      <c r="D5319" s="115" t="s">
        <v>8296</v>
      </c>
      <c r="E5319" s="115" t="s">
        <v>8297</v>
      </c>
    </row>
    <row r="5320" spans="1:5" x14ac:dyDescent="0.25">
      <c r="A5320" s="115" t="s">
        <v>1138</v>
      </c>
      <c r="B5320" s="115" t="s">
        <v>3449</v>
      </c>
      <c r="D5320" s="115" t="s">
        <v>5010</v>
      </c>
      <c r="E5320" s="115" t="s">
        <v>8298</v>
      </c>
    </row>
    <row r="5321" spans="1:5" x14ac:dyDescent="0.25">
      <c r="B5321" s="115" t="s">
        <v>8299</v>
      </c>
      <c r="D5321" s="115" t="s">
        <v>8300</v>
      </c>
      <c r="E5321" s="115" t="s">
        <v>8301</v>
      </c>
    </row>
    <row r="5322" spans="1:5" x14ac:dyDescent="0.25">
      <c r="A5322" s="115">
        <v>3</v>
      </c>
      <c r="B5322" s="115" t="s">
        <v>8302</v>
      </c>
      <c r="D5322" s="115" t="s">
        <v>8303</v>
      </c>
      <c r="E5322" s="115" t="s">
        <v>8304</v>
      </c>
    </row>
    <row r="5323" spans="1:5" x14ac:dyDescent="0.25">
      <c r="A5323" s="115" t="s">
        <v>1138</v>
      </c>
      <c r="B5323" s="115" t="s">
        <v>1222</v>
      </c>
      <c r="D5323" s="115" t="s">
        <v>8305</v>
      </c>
      <c r="E5323" s="115" t="s">
        <v>8306</v>
      </c>
    </row>
    <row r="5324" spans="1:5" x14ac:dyDescent="0.25">
      <c r="B5324" s="115" t="s">
        <v>1566</v>
      </c>
      <c r="D5324" s="115" t="s">
        <v>8307</v>
      </c>
      <c r="E5324" s="115" t="s">
        <v>8308</v>
      </c>
    </row>
    <row r="5325" spans="1:5" x14ac:dyDescent="0.25">
      <c r="A5325" s="115">
        <v>4</v>
      </c>
      <c r="B5325" s="115" t="s">
        <v>1666</v>
      </c>
      <c r="D5325" s="115" t="s">
        <v>8309</v>
      </c>
      <c r="E5325" s="115" t="s">
        <v>8310</v>
      </c>
    </row>
    <row r="5326" spans="1:5" x14ac:dyDescent="0.25">
      <c r="B5326" s="115" t="s">
        <v>1139</v>
      </c>
      <c r="D5326" s="115" t="s">
        <v>8311</v>
      </c>
      <c r="E5326" s="115" t="s">
        <v>8312</v>
      </c>
    </row>
    <row r="5327" spans="1:5" x14ac:dyDescent="0.25">
      <c r="B5327" s="115" t="s">
        <v>1139</v>
      </c>
      <c r="D5327" s="115" t="s">
        <v>8313</v>
      </c>
      <c r="E5327" s="115" t="s">
        <v>8314</v>
      </c>
    </row>
    <row r="5328" spans="1:5" x14ac:dyDescent="0.25">
      <c r="A5328" s="115">
        <v>1</v>
      </c>
      <c r="B5328" s="115" t="s">
        <v>8315</v>
      </c>
      <c r="D5328" s="115" t="s">
        <v>8316</v>
      </c>
      <c r="E5328" s="115" t="s">
        <v>8317</v>
      </c>
    </row>
    <row r="5329" spans="1:5" x14ac:dyDescent="0.25">
      <c r="A5329" s="115" t="s">
        <v>1138</v>
      </c>
      <c r="B5329" s="115" t="s">
        <v>8318</v>
      </c>
      <c r="D5329" s="115" t="s">
        <v>8319</v>
      </c>
      <c r="E5329" s="115" t="s">
        <v>8320</v>
      </c>
    </row>
    <row r="5330" spans="1:5" x14ac:dyDescent="0.25">
      <c r="B5330" s="115">
        <f>-27   -791</f>
        <v>-818</v>
      </c>
      <c r="D5330" s="115" t="s">
        <v>8321</v>
      </c>
      <c r="E5330" s="115" t="s">
        <v>1141</v>
      </c>
    </row>
    <row r="5331" spans="1:5" x14ac:dyDescent="0.25">
      <c r="B5331" s="115" t="s">
        <v>8322</v>
      </c>
      <c r="D5331" s="115" t="s">
        <v>8323</v>
      </c>
      <c r="E5331" s="115" t="s">
        <v>8324</v>
      </c>
    </row>
    <row r="5332" spans="1:5" x14ac:dyDescent="0.25">
      <c r="B5332" s="115" t="s">
        <v>8325</v>
      </c>
      <c r="D5332" s="115" t="s">
        <v>8326</v>
      </c>
      <c r="E5332" s="115" t="s">
        <v>8327</v>
      </c>
    </row>
    <row r="5333" spans="1:5" x14ac:dyDescent="0.25">
      <c r="B5333" s="115" t="s">
        <v>1139</v>
      </c>
      <c r="D5333" s="115" t="s">
        <v>1140</v>
      </c>
      <c r="E5333" s="115" t="s">
        <v>1141</v>
      </c>
    </row>
    <row r="5334" spans="1:5" x14ac:dyDescent="0.25">
      <c r="B5334" s="115" t="s">
        <v>1139</v>
      </c>
      <c r="D5334" s="115" t="s">
        <v>8328</v>
      </c>
      <c r="E5334" s="115" t="s">
        <v>1702</v>
      </c>
    </row>
    <row r="5335" spans="1:5" x14ac:dyDescent="0.25">
      <c r="A5335" s="115">
        <v>1</v>
      </c>
      <c r="B5335" s="115" t="s">
        <v>8329</v>
      </c>
      <c r="D5335" s="115" t="s">
        <v>8330</v>
      </c>
      <c r="E5335" s="115" t="s">
        <v>8331</v>
      </c>
    </row>
    <row r="5336" spans="1:5" x14ac:dyDescent="0.25">
      <c r="B5336" s="115" t="s">
        <v>8332</v>
      </c>
      <c r="D5336" s="115">
        <f>-898  -1701  -2436  -278</f>
        <v>-5313</v>
      </c>
      <c r="E5336" s="115" t="s">
        <v>8333</v>
      </c>
    </row>
    <row r="5337" spans="1:5" x14ac:dyDescent="0.25">
      <c r="B5337" s="115" t="s">
        <v>8334</v>
      </c>
      <c r="D5337" s="115" t="s">
        <v>8335</v>
      </c>
      <c r="E5337" s="115" t="s">
        <v>8336</v>
      </c>
    </row>
    <row r="5338" spans="1:5" x14ac:dyDescent="0.25">
      <c r="B5338" s="115" t="s">
        <v>8337</v>
      </c>
      <c r="D5338" s="115" t="s">
        <v>8338</v>
      </c>
      <c r="E5338" s="115" t="s">
        <v>8339</v>
      </c>
    </row>
    <row r="5339" spans="1:5" x14ac:dyDescent="0.25">
      <c r="A5339" s="115" t="s">
        <v>1138</v>
      </c>
      <c r="B5339" s="115" t="s">
        <v>8340</v>
      </c>
      <c r="D5339" s="115" t="s">
        <v>8341</v>
      </c>
      <c r="E5339" s="115" t="s">
        <v>8342</v>
      </c>
    </row>
    <row r="5340" spans="1:5" x14ac:dyDescent="0.25">
      <c r="B5340" s="115" t="s">
        <v>8343</v>
      </c>
      <c r="D5340" s="115" t="s">
        <v>8344</v>
      </c>
      <c r="E5340" s="115" t="s">
        <v>8345</v>
      </c>
    </row>
    <row r="5341" spans="1:5" x14ac:dyDescent="0.25">
      <c r="A5341" s="115" t="s">
        <v>1138</v>
      </c>
      <c r="B5341" s="115" t="s">
        <v>8346</v>
      </c>
      <c r="D5341" s="115" t="s">
        <v>8347</v>
      </c>
      <c r="E5341" s="115" t="s">
        <v>8348</v>
      </c>
    </row>
    <row r="5342" spans="1:5" x14ac:dyDescent="0.25">
      <c r="B5342" s="115" t="s">
        <v>1139</v>
      </c>
      <c r="D5342" s="115" t="s">
        <v>8349</v>
      </c>
      <c r="E5342" s="115" t="s">
        <v>1141</v>
      </c>
    </row>
    <row r="5343" spans="1:5" x14ac:dyDescent="0.25">
      <c r="B5343" s="115" t="s">
        <v>1139</v>
      </c>
      <c r="D5343" s="115" t="s">
        <v>8350</v>
      </c>
      <c r="E5343" s="115" t="s">
        <v>8351</v>
      </c>
    </row>
    <row r="5344" spans="1:5" x14ac:dyDescent="0.25">
      <c r="A5344" s="115" t="s">
        <v>1138</v>
      </c>
      <c r="B5344" s="115" t="s">
        <v>8352</v>
      </c>
      <c r="D5344" s="115" t="s">
        <v>4180</v>
      </c>
      <c r="E5344" s="115" t="s">
        <v>8353</v>
      </c>
    </row>
    <row r="5345" spans="1:5" x14ac:dyDescent="0.25">
      <c r="B5345" s="115" t="s">
        <v>1139</v>
      </c>
      <c r="D5345" s="115" t="s">
        <v>3699</v>
      </c>
      <c r="E5345" s="115" t="s">
        <v>2537</v>
      </c>
    </row>
    <row r="5346" spans="1:5" x14ac:dyDescent="0.25">
      <c r="B5346" s="115" t="s">
        <v>1139</v>
      </c>
      <c r="D5346" s="115" t="s">
        <v>8354</v>
      </c>
      <c r="E5346" s="115" t="s">
        <v>8355</v>
      </c>
    </row>
    <row r="5347" spans="1:5" x14ac:dyDescent="0.25">
      <c r="B5347" s="115" t="s">
        <v>1184</v>
      </c>
      <c r="D5347" s="115" t="s">
        <v>8356</v>
      </c>
      <c r="E5347" s="115" t="s">
        <v>8357</v>
      </c>
    </row>
    <row r="5348" spans="1:5" x14ac:dyDescent="0.25">
      <c r="B5348" s="115" t="s">
        <v>8358</v>
      </c>
      <c r="D5348" s="115" t="s">
        <v>8359</v>
      </c>
      <c r="E5348" s="115" t="s">
        <v>1859</v>
      </c>
    </row>
    <row r="5349" spans="1:5" x14ac:dyDescent="0.25">
      <c r="B5349" s="115" t="s">
        <v>8360</v>
      </c>
      <c r="D5349" s="115" t="s">
        <v>8361</v>
      </c>
      <c r="E5349" s="115" t="s">
        <v>8362</v>
      </c>
    </row>
    <row r="5350" spans="1:5" x14ac:dyDescent="0.25">
      <c r="A5350" s="115">
        <v>-1</v>
      </c>
      <c r="B5350" s="115" t="s">
        <v>8363</v>
      </c>
      <c r="D5350" s="115" t="s">
        <v>8364</v>
      </c>
      <c r="E5350" s="115" t="s">
        <v>8365</v>
      </c>
    </row>
    <row r="5351" spans="1:5" x14ac:dyDescent="0.25">
      <c r="A5351" s="115" t="s">
        <v>1138</v>
      </c>
      <c r="B5351" s="115" t="s">
        <v>1189</v>
      </c>
      <c r="D5351" s="115" t="s">
        <v>8366</v>
      </c>
      <c r="E5351" s="115" t="s">
        <v>1141</v>
      </c>
    </row>
    <row r="5352" spans="1:5" x14ac:dyDescent="0.25">
      <c r="B5352" s="115" t="s">
        <v>8367</v>
      </c>
      <c r="D5352" s="115" t="s">
        <v>8368</v>
      </c>
      <c r="E5352" s="115" t="s">
        <v>8369</v>
      </c>
    </row>
    <row r="5353" spans="1:5" x14ac:dyDescent="0.25">
      <c r="A5353" s="115" t="s">
        <v>1138</v>
      </c>
      <c r="B5353" s="115" t="s">
        <v>8370</v>
      </c>
      <c r="D5353" s="115" t="s">
        <v>8371</v>
      </c>
      <c r="E5353" s="115" t="s">
        <v>8372</v>
      </c>
    </row>
    <row r="5354" spans="1:5" x14ac:dyDescent="0.25">
      <c r="B5354" s="115" t="s">
        <v>1847</v>
      </c>
      <c r="D5354" s="115" t="s">
        <v>8373</v>
      </c>
      <c r="E5354" s="115" t="s">
        <v>1819</v>
      </c>
    </row>
    <row r="5355" spans="1:5" x14ac:dyDescent="0.25">
      <c r="B5355" s="115" t="s">
        <v>8374</v>
      </c>
      <c r="D5355" s="115" t="s">
        <v>8375</v>
      </c>
      <c r="E5355" s="115" t="s">
        <v>8376</v>
      </c>
    </row>
    <row r="5356" spans="1:5" x14ac:dyDescent="0.25">
      <c r="A5356" s="115">
        <v>-1</v>
      </c>
      <c r="B5356" s="115" t="s">
        <v>8377</v>
      </c>
      <c r="C5356" s="115" t="s">
        <v>1138</v>
      </c>
      <c r="D5356" s="115" t="s">
        <v>8378</v>
      </c>
      <c r="E5356" s="115" t="s">
        <v>8379</v>
      </c>
    </row>
    <row r="5357" spans="1:5" x14ac:dyDescent="0.25">
      <c r="A5357" s="115" t="s">
        <v>1138</v>
      </c>
      <c r="B5357" s="115" t="s">
        <v>8380</v>
      </c>
      <c r="C5357" s="115" t="s">
        <v>1138</v>
      </c>
      <c r="D5357" s="115" t="s">
        <v>8381</v>
      </c>
      <c r="E5357" s="115" t="s">
        <v>1141</v>
      </c>
    </row>
    <row r="5358" spans="1:5" x14ac:dyDescent="0.25">
      <c r="A5358" s="115">
        <v>1</v>
      </c>
      <c r="B5358" s="115" t="s">
        <v>8382</v>
      </c>
      <c r="D5358" s="115" t="s">
        <v>8383</v>
      </c>
      <c r="E5358" s="115" t="s">
        <v>1141</v>
      </c>
    </row>
    <row r="5359" spans="1:5" x14ac:dyDescent="0.25">
      <c r="A5359" s="115">
        <v>-3</v>
      </c>
      <c r="B5359" s="115" t="s">
        <v>8384</v>
      </c>
      <c r="C5359" s="115" t="s">
        <v>1138</v>
      </c>
      <c r="D5359" s="115" t="s">
        <v>8385</v>
      </c>
      <c r="E5359" s="115" t="s">
        <v>8386</v>
      </c>
    </row>
    <row r="5360" spans="1:5" x14ac:dyDescent="0.25">
      <c r="A5360" s="115">
        <v>-1</v>
      </c>
      <c r="B5360" s="115" t="s">
        <v>8387</v>
      </c>
      <c r="C5360" s="115" t="s">
        <v>1138</v>
      </c>
      <c r="D5360" s="115" t="s">
        <v>8388</v>
      </c>
      <c r="E5360" s="115" t="s">
        <v>2082</v>
      </c>
    </row>
    <row r="5361" spans="1:5" x14ac:dyDescent="0.25">
      <c r="B5361" s="115" t="s">
        <v>8389</v>
      </c>
      <c r="C5361" s="115" t="s">
        <v>1138</v>
      </c>
      <c r="D5361" s="115" t="s">
        <v>8390</v>
      </c>
      <c r="E5361" s="115" t="s">
        <v>8391</v>
      </c>
    </row>
    <row r="5362" spans="1:5" x14ac:dyDescent="0.25">
      <c r="B5362" s="115" t="s">
        <v>1139</v>
      </c>
      <c r="D5362" s="115" t="s">
        <v>1140</v>
      </c>
      <c r="E5362" s="115" t="s">
        <v>8392</v>
      </c>
    </row>
    <row r="5363" spans="1:5" x14ac:dyDescent="0.25">
      <c r="A5363" s="115">
        <v>1</v>
      </c>
      <c r="B5363" s="115" t="s">
        <v>8393</v>
      </c>
      <c r="D5363" s="115" t="s">
        <v>1493</v>
      </c>
      <c r="E5363" s="115" t="s">
        <v>8394</v>
      </c>
    </row>
    <row r="5364" spans="1:5" x14ac:dyDescent="0.25">
      <c r="B5364" s="115" t="s">
        <v>1139</v>
      </c>
      <c r="D5364" s="115" t="s">
        <v>8395</v>
      </c>
      <c r="E5364" s="115" t="s">
        <v>1141</v>
      </c>
    </row>
    <row r="5365" spans="1:5" x14ac:dyDescent="0.25">
      <c r="B5365" s="115" t="s">
        <v>1139</v>
      </c>
      <c r="D5365" s="115" t="s">
        <v>1140</v>
      </c>
      <c r="E5365" s="115" t="s">
        <v>1141</v>
      </c>
    </row>
    <row r="5366" spans="1:5" x14ac:dyDescent="0.25">
      <c r="A5366" s="115">
        <v>-1</v>
      </c>
      <c r="B5366" s="115" t="s">
        <v>5337</v>
      </c>
      <c r="D5366" s="115" t="s">
        <v>8396</v>
      </c>
      <c r="E5366" s="115" t="s">
        <v>8397</v>
      </c>
    </row>
    <row r="5367" spans="1:5" x14ac:dyDescent="0.25">
      <c r="A5367" s="115">
        <v>-7</v>
      </c>
      <c r="B5367" s="115" t="s">
        <v>8398</v>
      </c>
      <c r="C5367" s="115">
        <v>1</v>
      </c>
      <c r="D5367" s="115" t="s">
        <v>8399</v>
      </c>
      <c r="E5367" s="115" t="s">
        <v>8400</v>
      </c>
    </row>
    <row r="5368" spans="1:5" x14ac:dyDescent="0.25">
      <c r="A5368" s="115">
        <v>-2</v>
      </c>
      <c r="B5368" s="115" t="s">
        <v>8401</v>
      </c>
      <c r="D5368" s="115" t="s">
        <v>8402</v>
      </c>
      <c r="E5368" s="115" t="s">
        <v>8403</v>
      </c>
    </row>
    <row r="5369" spans="1:5" x14ac:dyDescent="0.25">
      <c r="A5369" s="115" t="s">
        <v>1138</v>
      </c>
      <c r="B5369" s="115" t="s">
        <v>8404</v>
      </c>
      <c r="D5369" s="115" t="s">
        <v>8405</v>
      </c>
      <c r="E5369" s="115" t="s">
        <v>8406</v>
      </c>
    </row>
    <row r="5370" spans="1:5" x14ac:dyDescent="0.25">
      <c r="B5370" s="115" t="s">
        <v>8407</v>
      </c>
      <c r="D5370" s="115">
        <f>-691   -488   -280   -70</f>
        <v>-1529</v>
      </c>
      <c r="E5370" s="115" t="s">
        <v>8408</v>
      </c>
    </row>
    <row r="5371" spans="1:5" x14ac:dyDescent="0.25">
      <c r="A5371" s="115" t="s">
        <v>1138</v>
      </c>
      <c r="B5371" s="115" t="s">
        <v>8409</v>
      </c>
      <c r="D5371" s="115" t="s">
        <v>8410</v>
      </c>
      <c r="E5371" s="115" t="s">
        <v>8411</v>
      </c>
    </row>
    <row r="5372" spans="1:5" x14ac:dyDescent="0.25">
      <c r="A5372" s="115">
        <v>1</v>
      </c>
      <c r="B5372" s="115" t="s">
        <v>8412</v>
      </c>
      <c r="D5372" s="115" t="s">
        <v>8413</v>
      </c>
      <c r="E5372" s="115" t="s">
        <v>8414</v>
      </c>
    </row>
    <row r="5373" spans="1:5" x14ac:dyDescent="0.25">
      <c r="B5373" s="115" t="s">
        <v>1139</v>
      </c>
      <c r="D5373" s="115" t="s">
        <v>8415</v>
      </c>
      <c r="E5373" s="115" t="s">
        <v>8416</v>
      </c>
    </row>
    <row r="5374" spans="1:5" x14ac:dyDescent="0.25">
      <c r="B5374" s="115" t="s">
        <v>1139</v>
      </c>
      <c r="D5374" s="115" t="s">
        <v>1140</v>
      </c>
      <c r="E5374" s="115" t="s">
        <v>8417</v>
      </c>
    </row>
    <row r="5375" spans="1:5" x14ac:dyDescent="0.25">
      <c r="B5375" s="115" t="s">
        <v>1139</v>
      </c>
      <c r="D5375" s="115" t="s">
        <v>8418</v>
      </c>
      <c r="E5375" s="115" t="s">
        <v>8419</v>
      </c>
    </row>
    <row r="5376" spans="1:5" x14ac:dyDescent="0.25">
      <c r="B5376" s="115" t="s">
        <v>1618</v>
      </c>
      <c r="D5376" s="115" t="s">
        <v>3122</v>
      </c>
      <c r="E5376" s="115" t="s">
        <v>1702</v>
      </c>
    </row>
    <row r="5377" spans="1:5" x14ac:dyDescent="0.25">
      <c r="B5377" s="115" t="s">
        <v>8420</v>
      </c>
      <c r="D5377" s="115" t="s">
        <v>1140</v>
      </c>
      <c r="E5377" s="115" t="s">
        <v>8421</v>
      </c>
    </row>
    <row r="5378" spans="1:5" x14ac:dyDescent="0.25">
      <c r="A5378" s="115">
        <v>-46</v>
      </c>
      <c r="B5378" s="115" t="s">
        <v>1524</v>
      </c>
      <c r="D5378" s="115" t="s">
        <v>8422</v>
      </c>
      <c r="E5378" s="115" t="s">
        <v>8423</v>
      </c>
    </row>
    <row r="5379" spans="1:5" x14ac:dyDescent="0.25">
      <c r="B5379" s="115" t="s">
        <v>1139</v>
      </c>
      <c r="D5379" s="115" t="s">
        <v>8424</v>
      </c>
      <c r="E5379" s="115" t="s">
        <v>8425</v>
      </c>
    </row>
    <row r="5380" spans="1:5" x14ac:dyDescent="0.25">
      <c r="B5380" s="115" t="s">
        <v>8426</v>
      </c>
      <c r="D5380" s="115" t="s">
        <v>1140</v>
      </c>
      <c r="E5380" s="115" t="s">
        <v>8427</v>
      </c>
    </row>
    <row r="5381" spans="1:5" x14ac:dyDescent="0.25">
      <c r="A5381" s="115">
        <v>-50</v>
      </c>
      <c r="B5381" s="115" t="s">
        <v>8428</v>
      </c>
      <c r="D5381" s="115" t="s">
        <v>8429</v>
      </c>
      <c r="E5381" s="115" t="s">
        <v>8430</v>
      </c>
    </row>
    <row r="5382" spans="1:5" x14ac:dyDescent="0.25">
      <c r="B5382" s="115" t="s">
        <v>8431</v>
      </c>
      <c r="D5382" s="115" t="s">
        <v>8432</v>
      </c>
      <c r="E5382" s="115" t="s">
        <v>8433</v>
      </c>
    </row>
    <row r="5383" spans="1:5" x14ac:dyDescent="0.25">
      <c r="B5383" s="115" t="s">
        <v>8434</v>
      </c>
      <c r="D5383" s="115" t="s">
        <v>1140</v>
      </c>
      <c r="E5383" s="115" t="s">
        <v>8435</v>
      </c>
    </row>
    <row r="5384" spans="1:5" x14ac:dyDescent="0.25">
      <c r="A5384" s="115">
        <v>-51</v>
      </c>
      <c r="B5384" s="115" t="s">
        <v>8436</v>
      </c>
      <c r="D5384" s="115" t="s">
        <v>8437</v>
      </c>
      <c r="E5384" s="115" t="s">
        <v>8438</v>
      </c>
    </row>
    <row r="5385" spans="1:5" x14ac:dyDescent="0.25">
      <c r="B5385" s="115" t="s">
        <v>8439</v>
      </c>
      <c r="D5385" s="115" t="s">
        <v>8440</v>
      </c>
      <c r="E5385" s="115" t="s">
        <v>8441</v>
      </c>
    </row>
    <row r="5386" spans="1:5" x14ac:dyDescent="0.25">
      <c r="B5386" s="115" t="s">
        <v>8442</v>
      </c>
      <c r="D5386" s="115" t="s">
        <v>1140</v>
      </c>
      <c r="E5386" s="115" t="s">
        <v>8443</v>
      </c>
    </row>
    <row r="5387" spans="1:5" x14ac:dyDescent="0.25">
      <c r="A5387" s="115">
        <v>-48</v>
      </c>
      <c r="B5387" s="115" t="s">
        <v>8444</v>
      </c>
      <c r="D5387" s="115" t="s">
        <v>5841</v>
      </c>
      <c r="E5387" s="115" t="s">
        <v>8445</v>
      </c>
    </row>
    <row r="5388" spans="1:5" x14ac:dyDescent="0.25">
      <c r="B5388" s="115" t="s">
        <v>8446</v>
      </c>
      <c r="D5388" s="115" t="s">
        <v>8447</v>
      </c>
      <c r="E5388" s="115" t="s">
        <v>8448</v>
      </c>
    </row>
    <row r="5389" spans="1:5" x14ac:dyDescent="0.25">
      <c r="B5389" s="115" t="s">
        <v>1139</v>
      </c>
      <c r="D5389" s="115" t="s">
        <v>1140</v>
      </c>
      <c r="E5389" s="115" t="s">
        <v>8449</v>
      </c>
    </row>
    <row r="5390" spans="1:5" x14ac:dyDescent="0.25">
      <c r="A5390" s="115">
        <v>-57</v>
      </c>
      <c r="B5390" s="115" t="s">
        <v>8450</v>
      </c>
      <c r="D5390" s="115" t="s">
        <v>1140</v>
      </c>
      <c r="E5390" s="115" t="s">
        <v>8451</v>
      </c>
    </row>
    <row r="5391" spans="1:5" x14ac:dyDescent="0.25">
      <c r="A5391" s="115">
        <v>-1</v>
      </c>
      <c r="B5391" s="115" t="s">
        <v>8452</v>
      </c>
      <c r="D5391" s="115" t="s">
        <v>8453</v>
      </c>
      <c r="E5391" s="115" t="s">
        <v>8454</v>
      </c>
    </row>
    <row r="5392" spans="1:5" x14ac:dyDescent="0.25">
      <c r="B5392" s="115" t="s">
        <v>8455</v>
      </c>
      <c r="D5392" s="115" t="s">
        <v>1140</v>
      </c>
      <c r="E5392" s="115" t="s">
        <v>8456</v>
      </c>
    </row>
    <row r="5393" spans="1:5" x14ac:dyDescent="0.25">
      <c r="A5393" s="115">
        <v>-1</v>
      </c>
      <c r="B5393" s="115" t="s">
        <v>8457</v>
      </c>
      <c r="C5393" s="115" t="s">
        <v>1138</v>
      </c>
      <c r="D5393" s="115" t="s">
        <v>8458</v>
      </c>
      <c r="E5393" s="115" t="s">
        <v>1141</v>
      </c>
    </row>
    <row r="5394" spans="1:5" x14ac:dyDescent="0.25">
      <c r="B5394" s="115" t="s">
        <v>1139</v>
      </c>
      <c r="D5394" s="115" t="s">
        <v>8459</v>
      </c>
      <c r="E5394" s="115" t="s">
        <v>8460</v>
      </c>
    </row>
    <row r="5395" spans="1:5" x14ac:dyDescent="0.25">
      <c r="B5395" s="115" t="s">
        <v>1459</v>
      </c>
      <c r="D5395" s="115" t="s">
        <v>8461</v>
      </c>
      <c r="E5395" s="115" t="s">
        <v>8462</v>
      </c>
    </row>
    <row r="5396" spans="1:5" x14ac:dyDescent="0.25">
      <c r="B5396" s="115" t="s">
        <v>1658</v>
      </c>
      <c r="D5396" s="115" t="s">
        <v>1140</v>
      </c>
      <c r="E5396" s="115" t="s">
        <v>1141</v>
      </c>
    </row>
    <row r="5397" spans="1:5" x14ac:dyDescent="0.25">
      <c r="B5397" s="115" t="s">
        <v>1139</v>
      </c>
      <c r="D5397" s="115" t="s">
        <v>1140</v>
      </c>
      <c r="E5397" s="115" t="s">
        <v>8463</v>
      </c>
    </row>
    <row r="5398" spans="1:5" x14ac:dyDescent="0.25">
      <c r="B5398" s="115" t="s">
        <v>8464</v>
      </c>
      <c r="D5398" s="115" t="s">
        <v>8465</v>
      </c>
      <c r="E5398" s="115" t="s">
        <v>8466</v>
      </c>
    </row>
    <row r="5399" spans="1:5" x14ac:dyDescent="0.25">
      <c r="B5399" s="115" t="s">
        <v>1139</v>
      </c>
      <c r="D5399" s="115" t="s">
        <v>8467</v>
      </c>
      <c r="E5399" s="115" t="s">
        <v>8468</v>
      </c>
    </row>
    <row r="5400" spans="1:5" x14ac:dyDescent="0.25">
      <c r="A5400" s="115" t="s">
        <v>1138</v>
      </c>
      <c r="B5400" s="115" t="s">
        <v>8469</v>
      </c>
      <c r="C5400" s="115" t="s">
        <v>1138</v>
      </c>
      <c r="D5400" s="115" t="s">
        <v>8470</v>
      </c>
      <c r="E5400" s="115" t="s">
        <v>8471</v>
      </c>
    </row>
    <row r="5401" spans="1:5" x14ac:dyDescent="0.25">
      <c r="A5401" s="115">
        <v>-2</v>
      </c>
      <c r="B5401" s="115" t="s">
        <v>8472</v>
      </c>
      <c r="D5401" s="115">
        <f>-265   -292   -519   -58</f>
        <v>-1134</v>
      </c>
      <c r="E5401" s="115" t="s">
        <v>8473</v>
      </c>
    </row>
    <row r="5402" spans="1:5" x14ac:dyDescent="0.25">
      <c r="A5402" s="115" t="s">
        <v>1138</v>
      </c>
      <c r="B5402" s="115" t="s">
        <v>8474</v>
      </c>
      <c r="C5402" s="115" t="s">
        <v>1138</v>
      </c>
      <c r="D5402" s="115" t="s">
        <v>8475</v>
      </c>
      <c r="E5402" s="115" t="s">
        <v>8476</v>
      </c>
    </row>
    <row r="5403" spans="1:5" x14ac:dyDescent="0.25">
      <c r="B5403" s="115" t="s">
        <v>8477</v>
      </c>
      <c r="D5403" s="115" t="s">
        <v>8478</v>
      </c>
      <c r="E5403" s="115" t="s">
        <v>8479</v>
      </c>
    </row>
    <row r="5404" spans="1:5" x14ac:dyDescent="0.25">
      <c r="A5404" s="115">
        <v>44</v>
      </c>
      <c r="B5404" s="115" t="s">
        <v>8480</v>
      </c>
      <c r="C5404" s="115">
        <v>4</v>
      </c>
      <c r="D5404" s="115" t="s">
        <v>8481</v>
      </c>
      <c r="E5404" s="115" t="s">
        <v>8482</v>
      </c>
    </row>
    <row r="5405" spans="1:5" x14ac:dyDescent="0.25">
      <c r="B5405" s="115" t="s">
        <v>8483</v>
      </c>
      <c r="D5405" s="115" t="s">
        <v>2302</v>
      </c>
      <c r="E5405" s="115" t="s">
        <v>8484</v>
      </c>
    </row>
    <row r="5406" spans="1:5" x14ac:dyDescent="0.25">
      <c r="B5406" s="115" t="s">
        <v>1139</v>
      </c>
      <c r="D5406" s="115" t="s">
        <v>8485</v>
      </c>
      <c r="E5406" s="115" t="s">
        <v>8486</v>
      </c>
    </row>
    <row r="5407" spans="1:5" x14ac:dyDescent="0.25">
      <c r="A5407" s="115">
        <v>-23</v>
      </c>
      <c r="B5407" s="115" t="s">
        <v>8487</v>
      </c>
      <c r="D5407" s="115" t="s">
        <v>8488</v>
      </c>
      <c r="E5407" s="115" t="s">
        <v>8489</v>
      </c>
    </row>
    <row r="5408" spans="1:5" x14ac:dyDescent="0.25">
      <c r="B5408" s="115" t="s">
        <v>1139</v>
      </c>
      <c r="D5408" s="115" t="s">
        <v>8490</v>
      </c>
      <c r="E5408" s="115" t="s">
        <v>8491</v>
      </c>
    </row>
    <row r="5409" spans="1:5" x14ac:dyDescent="0.25">
      <c r="B5409" s="115" t="s">
        <v>1139</v>
      </c>
      <c r="D5409" s="115" t="s">
        <v>1140</v>
      </c>
      <c r="E5409" s="115" t="s">
        <v>8492</v>
      </c>
    </row>
    <row r="5410" spans="1:5" x14ac:dyDescent="0.25">
      <c r="B5410" s="115" t="s">
        <v>1139</v>
      </c>
      <c r="D5410" s="115" t="s">
        <v>8493</v>
      </c>
      <c r="E5410" s="115" t="s">
        <v>8494</v>
      </c>
    </row>
    <row r="5411" spans="1:5" x14ac:dyDescent="0.25">
      <c r="B5411" s="115" t="s">
        <v>8495</v>
      </c>
      <c r="D5411" s="115" t="s">
        <v>8496</v>
      </c>
      <c r="E5411" s="115" t="s">
        <v>8497</v>
      </c>
    </row>
    <row r="5412" spans="1:5" x14ac:dyDescent="0.25">
      <c r="B5412" s="115" t="s">
        <v>1139</v>
      </c>
      <c r="D5412" s="115" t="s">
        <v>8498</v>
      </c>
      <c r="E5412" s="115" t="s">
        <v>8499</v>
      </c>
    </row>
    <row r="5413" spans="1:5" x14ac:dyDescent="0.25">
      <c r="B5413" s="115" t="s">
        <v>1649</v>
      </c>
      <c r="D5413" s="115" t="s">
        <v>8500</v>
      </c>
      <c r="E5413" s="115" t="s">
        <v>8501</v>
      </c>
    </row>
    <row r="5414" spans="1:5" x14ac:dyDescent="0.25">
      <c r="B5414" s="115" t="s">
        <v>1139</v>
      </c>
      <c r="D5414" s="115" t="s">
        <v>8502</v>
      </c>
      <c r="E5414" s="115" t="s">
        <v>8503</v>
      </c>
    </row>
    <row r="5415" spans="1:5" x14ac:dyDescent="0.25">
      <c r="B5415" s="115" t="s">
        <v>1139</v>
      </c>
      <c r="D5415" s="115" t="s">
        <v>8504</v>
      </c>
      <c r="E5415" s="115" t="s">
        <v>8505</v>
      </c>
    </row>
    <row r="5416" spans="1:5" x14ac:dyDescent="0.25">
      <c r="A5416" s="115" t="s">
        <v>1138</v>
      </c>
      <c r="B5416" s="115" t="s">
        <v>8506</v>
      </c>
      <c r="D5416" s="115" t="s">
        <v>8507</v>
      </c>
      <c r="E5416" s="115" t="s">
        <v>8508</v>
      </c>
    </row>
    <row r="5417" spans="1:5" x14ac:dyDescent="0.25">
      <c r="B5417" s="115" t="s">
        <v>2660</v>
      </c>
      <c r="D5417" s="115" t="s">
        <v>8509</v>
      </c>
      <c r="E5417" s="115" t="s">
        <v>8510</v>
      </c>
    </row>
    <row r="5418" spans="1:5" x14ac:dyDescent="0.25">
      <c r="B5418" s="115" t="s">
        <v>1139</v>
      </c>
      <c r="D5418" s="115" t="s">
        <v>8511</v>
      </c>
      <c r="E5418" s="115" t="s">
        <v>8512</v>
      </c>
    </row>
    <row r="5419" spans="1:5" x14ac:dyDescent="0.25">
      <c r="B5419" s="115" t="s">
        <v>1139</v>
      </c>
      <c r="D5419" s="115" t="s">
        <v>8513</v>
      </c>
      <c r="E5419" s="115" t="s">
        <v>8514</v>
      </c>
    </row>
    <row r="5420" spans="1:5" x14ac:dyDescent="0.25">
      <c r="B5420" s="115" t="s">
        <v>8515</v>
      </c>
      <c r="D5420" s="115" t="s">
        <v>8516</v>
      </c>
      <c r="E5420" s="115" t="s">
        <v>1894</v>
      </c>
    </row>
    <row r="5421" spans="1:5" x14ac:dyDescent="0.25">
      <c r="B5421" s="115" t="s">
        <v>1139</v>
      </c>
      <c r="D5421" s="115" t="s">
        <v>8517</v>
      </c>
      <c r="E5421" s="115" t="s">
        <v>8518</v>
      </c>
    </row>
    <row r="5422" spans="1:5" x14ac:dyDescent="0.25">
      <c r="B5422" s="115" t="s">
        <v>1139</v>
      </c>
      <c r="D5422" s="115" t="s">
        <v>8519</v>
      </c>
      <c r="E5422" s="115" t="s">
        <v>8520</v>
      </c>
    </row>
    <row r="5423" spans="1:5" x14ac:dyDescent="0.25">
      <c r="B5423" s="115" t="s">
        <v>1139</v>
      </c>
      <c r="D5423" s="115" t="s">
        <v>8521</v>
      </c>
      <c r="E5423" s="115" t="s">
        <v>8522</v>
      </c>
    </row>
    <row r="5424" spans="1:5" x14ac:dyDescent="0.25">
      <c r="B5424" s="115" t="s">
        <v>1139</v>
      </c>
      <c r="D5424" s="115" t="s">
        <v>8523</v>
      </c>
      <c r="E5424" s="115" t="s">
        <v>8524</v>
      </c>
    </row>
    <row r="5425" spans="1:5" x14ac:dyDescent="0.25">
      <c r="B5425" s="115" t="s">
        <v>8525</v>
      </c>
      <c r="D5425" s="115" t="s">
        <v>1140</v>
      </c>
      <c r="E5425" s="115" t="s">
        <v>8526</v>
      </c>
    </row>
    <row r="5426" spans="1:5" x14ac:dyDescent="0.25">
      <c r="A5426" s="115" t="s">
        <v>1138</v>
      </c>
      <c r="B5426" s="115" t="s">
        <v>8527</v>
      </c>
      <c r="D5426" s="115" t="s">
        <v>8528</v>
      </c>
      <c r="E5426" s="115" t="s">
        <v>8529</v>
      </c>
    </row>
    <row r="5427" spans="1:5" x14ac:dyDescent="0.25">
      <c r="A5427" s="115" t="s">
        <v>1138</v>
      </c>
      <c r="B5427" s="115" t="s">
        <v>1468</v>
      </c>
      <c r="D5427" s="115" t="s">
        <v>1140</v>
      </c>
      <c r="E5427" s="115" t="s">
        <v>8530</v>
      </c>
    </row>
    <row r="5428" spans="1:5" x14ac:dyDescent="0.25">
      <c r="B5428" s="115" t="s">
        <v>1139</v>
      </c>
      <c r="D5428" s="115" t="s">
        <v>1140</v>
      </c>
      <c r="E5428" s="115" t="s">
        <v>1141</v>
      </c>
    </row>
    <row r="5429" spans="1:5" x14ac:dyDescent="0.25">
      <c r="B5429" s="115" t="s">
        <v>1139</v>
      </c>
      <c r="D5429" s="115" t="s">
        <v>8531</v>
      </c>
      <c r="E5429" s="115" t="s">
        <v>8532</v>
      </c>
    </row>
    <row r="5430" spans="1:5" x14ac:dyDescent="0.25">
      <c r="B5430" s="115" t="s">
        <v>1555</v>
      </c>
      <c r="D5430" s="115" t="s">
        <v>8533</v>
      </c>
      <c r="E5430" s="115" t="s">
        <v>8534</v>
      </c>
    </row>
    <row r="5431" spans="1:5" x14ac:dyDescent="0.25">
      <c r="A5431" s="115">
        <v>-18</v>
      </c>
      <c r="B5431" s="115" t="s">
        <v>8535</v>
      </c>
      <c r="C5431" s="115" t="s">
        <v>1138</v>
      </c>
      <c r="D5431" s="115" t="s">
        <v>8536</v>
      </c>
      <c r="E5431" s="115" t="s">
        <v>8537</v>
      </c>
    </row>
    <row r="5432" spans="1:5" x14ac:dyDescent="0.25">
      <c r="B5432" s="115" t="s">
        <v>8538</v>
      </c>
      <c r="D5432" s="115" t="s">
        <v>8539</v>
      </c>
      <c r="E5432" s="115" t="s">
        <v>8540</v>
      </c>
    </row>
    <row r="5433" spans="1:5" x14ac:dyDescent="0.25">
      <c r="B5433" s="115" t="s">
        <v>8541</v>
      </c>
      <c r="D5433" s="115" t="s">
        <v>8542</v>
      </c>
      <c r="E5433" s="115" t="s">
        <v>8543</v>
      </c>
    </row>
    <row r="5434" spans="1:5" x14ac:dyDescent="0.25">
      <c r="A5434" s="115" t="s">
        <v>1138</v>
      </c>
      <c r="B5434" s="115" t="s">
        <v>8544</v>
      </c>
      <c r="D5434" s="115" t="s">
        <v>8545</v>
      </c>
      <c r="E5434" s="115" t="s">
        <v>8546</v>
      </c>
    </row>
    <row r="5435" spans="1:5" x14ac:dyDescent="0.25">
      <c r="B5435" s="115" t="s">
        <v>8547</v>
      </c>
      <c r="D5435" s="115" t="s">
        <v>8548</v>
      </c>
      <c r="E5435" s="115" t="s">
        <v>8549</v>
      </c>
    </row>
    <row r="5436" spans="1:5" x14ac:dyDescent="0.25">
      <c r="A5436" s="115">
        <v>18</v>
      </c>
      <c r="B5436" s="115" t="s">
        <v>8550</v>
      </c>
      <c r="C5436" s="115">
        <v>-2</v>
      </c>
      <c r="D5436" s="115" t="s">
        <v>8551</v>
      </c>
      <c r="E5436" s="115" t="s">
        <v>8552</v>
      </c>
    </row>
    <row r="5437" spans="1:5" x14ac:dyDescent="0.25">
      <c r="B5437" s="115" t="s">
        <v>1139</v>
      </c>
      <c r="D5437" s="115" t="s">
        <v>8553</v>
      </c>
      <c r="E5437" s="115" t="s">
        <v>1141</v>
      </c>
    </row>
    <row r="5438" spans="1:5" x14ac:dyDescent="0.25">
      <c r="B5438" s="115" t="s">
        <v>1139</v>
      </c>
      <c r="D5438" s="115" t="s">
        <v>8554</v>
      </c>
      <c r="E5438" s="115" t="s">
        <v>8555</v>
      </c>
    </row>
    <row r="5439" spans="1:5" x14ac:dyDescent="0.25">
      <c r="A5439" s="115">
        <v>1</v>
      </c>
      <c r="B5439" s="115" t="s">
        <v>8556</v>
      </c>
      <c r="D5439" s="115" t="s">
        <v>4988</v>
      </c>
      <c r="E5439" s="115" t="s">
        <v>8557</v>
      </c>
    </row>
    <row r="5440" spans="1:5" x14ac:dyDescent="0.25">
      <c r="B5440" s="115" t="s">
        <v>1381</v>
      </c>
      <c r="D5440" s="115" t="s">
        <v>1140</v>
      </c>
      <c r="E5440" s="115" t="s">
        <v>8558</v>
      </c>
    </row>
    <row r="5441" spans="1:5" x14ac:dyDescent="0.25">
      <c r="B5441" s="115" t="s">
        <v>1139</v>
      </c>
      <c r="D5441" s="115" t="s">
        <v>8559</v>
      </c>
      <c r="E5441" s="115" t="s">
        <v>8560</v>
      </c>
    </row>
    <row r="5442" spans="1:5" x14ac:dyDescent="0.25">
      <c r="B5442" s="115" t="s">
        <v>1139</v>
      </c>
      <c r="D5442" s="115">
        <f>-882   -512   -261</f>
        <v>-1655</v>
      </c>
      <c r="E5442" s="115" t="s">
        <v>8561</v>
      </c>
    </row>
    <row r="5443" spans="1:5" x14ac:dyDescent="0.25">
      <c r="B5443" s="115" t="s">
        <v>8562</v>
      </c>
      <c r="D5443" s="115" t="s">
        <v>8563</v>
      </c>
      <c r="E5443" s="115" t="s">
        <v>8564</v>
      </c>
    </row>
    <row r="5444" spans="1:5" x14ac:dyDescent="0.25">
      <c r="B5444" s="115" t="s">
        <v>8565</v>
      </c>
      <c r="D5444" s="115" t="s">
        <v>8566</v>
      </c>
      <c r="E5444" s="115" t="s">
        <v>8567</v>
      </c>
    </row>
    <row r="5445" spans="1:5" x14ac:dyDescent="0.25">
      <c r="A5445" s="115">
        <v>2</v>
      </c>
      <c r="B5445" s="115" t="s">
        <v>8568</v>
      </c>
      <c r="D5445" s="115" t="s">
        <v>8569</v>
      </c>
      <c r="E5445" s="115" t="s">
        <v>8570</v>
      </c>
    </row>
    <row r="5446" spans="1:5" x14ac:dyDescent="0.25">
      <c r="B5446" s="115" t="s">
        <v>8571</v>
      </c>
      <c r="D5446" s="115" t="s">
        <v>8572</v>
      </c>
      <c r="E5446" s="115" t="s">
        <v>8573</v>
      </c>
    </row>
    <row r="5447" spans="1:5" x14ac:dyDescent="0.25">
      <c r="B5447" s="115" t="s">
        <v>8574</v>
      </c>
      <c r="D5447" s="115" t="s">
        <v>8575</v>
      </c>
      <c r="E5447" s="115" t="s">
        <v>8576</v>
      </c>
    </row>
    <row r="5448" spans="1:5" x14ac:dyDescent="0.25">
      <c r="B5448" s="115" t="s">
        <v>8577</v>
      </c>
      <c r="D5448" s="115" t="s">
        <v>8578</v>
      </c>
      <c r="E5448" s="115" t="s">
        <v>8579</v>
      </c>
    </row>
    <row r="5449" spans="1:5" x14ac:dyDescent="0.25">
      <c r="B5449" s="115" t="s">
        <v>1139</v>
      </c>
      <c r="D5449" s="115" t="s">
        <v>8580</v>
      </c>
      <c r="E5449" s="115" t="s">
        <v>8581</v>
      </c>
    </row>
    <row r="5450" spans="1:5" x14ac:dyDescent="0.25">
      <c r="B5450" s="115" t="s">
        <v>8582</v>
      </c>
      <c r="D5450" s="115" t="s">
        <v>8583</v>
      </c>
      <c r="E5450" s="115" t="s">
        <v>8584</v>
      </c>
    </row>
    <row r="5451" spans="1:5" x14ac:dyDescent="0.25">
      <c r="B5451" s="115" t="s">
        <v>8585</v>
      </c>
      <c r="D5451" s="115">
        <f>-171  -1078   -555</f>
        <v>-1804</v>
      </c>
      <c r="E5451" s="115" t="s">
        <v>8586</v>
      </c>
    </row>
    <row r="5452" spans="1:5" x14ac:dyDescent="0.25">
      <c r="B5452" s="115" t="s">
        <v>8587</v>
      </c>
      <c r="D5452" s="115" t="s">
        <v>8588</v>
      </c>
      <c r="E5452" s="115" t="s">
        <v>1141</v>
      </c>
    </row>
    <row r="5453" spans="1:5" x14ac:dyDescent="0.25">
      <c r="B5453" s="115" t="s">
        <v>8589</v>
      </c>
      <c r="D5453" s="115" t="s">
        <v>8590</v>
      </c>
      <c r="E5453" s="115" t="s">
        <v>2537</v>
      </c>
    </row>
    <row r="5454" spans="1:5" x14ac:dyDescent="0.25">
      <c r="B5454" s="115" t="s">
        <v>8591</v>
      </c>
      <c r="C5454" s="115" t="s">
        <v>1138</v>
      </c>
      <c r="D5454" s="115" t="s">
        <v>8592</v>
      </c>
      <c r="E5454" s="115" t="s">
        <v>8593</v>
      </c>
    </row>
    <row r="5455" spans="1:5" x14ac:dyDescent="0.25">
      <c r="B5455" s="115" t="s">
        <v>8594</v>
      </c>
      <c r="D5455" s="115" t="s">
        <v>8595</v>
      </c>
      <c r="E5455" s="115" t="s">
        <v>8596</v>
      </c>
    </row>
    <row r="5456" spans="1:5" x14ac:dyDescent="0.25">
      <c r="B5456" s="115" t="s">
        <v>8597</v>
      </c>
      <c r="D5456" s="115" t="s">
        <v>8598</v>
      </c>
      <c r="E5456" s="115" t="s">
        <v>8599</v>
      </c>
    </row>
    <row r="5457" spans="1:5" x14ac:dyDescent="0.25">
      <c r="B5457" s="115" t="s">
        <v>1139</v>
      </c>
      <c r="D5457" s="115" t="s">
        <v>1140</v>
      </c>
      <c r="E5457" s="115" t="s">
        <v>8600</v>
      </c>
    </row>
    <row r="5458" spans="1:5" x14ac:dyDescent="0.25">
      <c r="B5458" s="115" t="s">
        <v>8601</v>
      </c>
      <c r="D5458" s="115" t="s">
        <v>8602</v>
      </c>
      <c r="E5458" s="115" t="s">
        <v>8603</v>
      </c>
    </row>
    <row r="5459" spans="1:5" x14ac:dyDescent="0.25">
      <c r="B5459" s="115" t="s">
        <v>1139</v>
      </c>
      <c r="D5459" s="115" t="s">
        <v>8604</v>
      </c>
      <c r="E5459" s="115" t="s">
        <v>1141</v>
      </c>
    </row>
    <row r="5460" spans="1:5" x14ac:dyDescent="0.25">
      <c r="B5460" s="115" t="s">
        <v>1139</v>
      </c>
      <c r="D5460" s="115" t="s">
        <v>1140</v>
      </c>
      <c r="E5460" s="115" t="s">
        <v>1141</v>
      </c>
    </row>
    <row r="5461" spans="1:5" x14ac:dyDescent="0.25">
      <c r="B5461" s="115" t="s">
        <v>8605</v>
      </c>
      <c r="D5461" s="115" t="s">
        <v>1140</v>
      </c>
      <c r="E5461" s="115" t="s">
        <v>8606</v>
      </c>
    </row>
    <row r="5462" spans="1:5" x14ac:dyDescent="0.25">
      <c r="A5462" s="115">
        <v>-1</v>
      </c>
      <c r="B5462" s="115" t="s">
        <v>8607</v>
      </c>
      <c r="C5462" s="115" t="s">
        <v>1138</v>
      </c>
      <c r="D5462" s="115" t="s">
        <v>8608</v>
      </c>
      <c r="E5462" s="115" t="s">
        <v>8609</v>
      </c>
    </row>
    <row r="5463" spans="1:5" x14ac:dyDescent="0.25">
      <c r="A5463" s="115">
        <v>-7</v>
      </c>
      <c r="B5463" s="115" t="s">
        <v>8610</v>
      </c>
      <c r="C5463" s="115">
        <v>2</v>
      </c>
      <c r="D5463" s="115" t="s">
        <v>8611</v>
      </c>
      <c r="E5463" s="115" t="s">
        <v>8612</v>
      </c>
    </row>
    <row r="5464" spans="1:5" x14ac:dyDescent="0.25">
      <c r="B5464" s="115" t="s">
        <v>8613</v>
      </c>
      <c r="D5464" s="115" t="s">
        <v>8614</v>
      </c>
      <c r="E5464" s="115" t="s">
        <v>8615</v>
      </c>
    </row>
    <row r="5465" spans="1:5" x14ac:dyDescent="0.25">
      <c r="B5465" s="115" t="s">
        <v>8616</v>
      </c>
      <c r="D5465" s="115" t="s">
        <v>8617</v>
      </c>
      <c r="E5465" s="115" t="s">
        <v>8618</v>
      </c>
    </row>
    <row r="5466" spans="1:5" x14ac:dyDescent="0.25">
      <c r="B5466" s="115" t="s">
        <v>8619</v>
      </c>
      <c r="D5466" s="115" t="s">
        <v>8620</v>
      </c>
      <c r="E5466" s="115" t="s">
        <v>8621</v>
      </c>
    </row>
    <row r="5467" spans="1:5" x14ac:dyDescent="0.25">
      <c r="B5467" s="115" t="s">
        <v>8622</v>
      </c>
      <c r="D5467" s="115" t="s">
        <v>8623</v>
      </c>
      <c r="E5467" s="115" t="s">
        <v>8624</v>
      </c>
    </row>
    <row r="5468" spans="1:5" x14ac:dyDescent="0.25">
      <c r="B5468" s="115">
        <f>-70 -26273</f>
        <v>-26343</v>
      </c>
      <c r="D5468" s="115" t="s">
        <v>8625</v>
      </c>
      <c r="E5468" s="115" t="s">
        <v>8626</v>
      </c>
    </row>
    <row r="5469" spans="1:5" x14ac:dyDescent="0.25">
      <c r="B5469" s="115" t="s">
        <v>1139</v>
      </c>
      <c r="D5469" s="115" t="s">
        <v>8627</v>
      </c>
      <c r="E5469" s="115" t="s">
        <v>1141</v>
      </c>
    </row>
    <row r="5470" spans="1:5" x14ac:dyDescent="0.25">
      <c r="B5470" s="115" t="s">
        <v>1139</v>
      </c>
      <c r="D5470" s="115" t="s">
        <v>8628</v>
      </c>
      <c r="E5470" s="115" t="s">
        <v>8629</v>
      </c>
    </row>
    <row r="5471" spans="1:5" x14ac:dyDescent="0.25">
      <c r="A5471" s="115">
        <v>1</v>
      </c>
      <c r="B5471" s="115" t="s">
        <v>8630</v>
      </c>
      <c r="D5471" s="115" t="s">
        <v>4885</v>
      </c>
      <c r="E5471" s="115" t="s">
        <v>8631</v>
      </c>
    </row>
    <row r="5472" spans="1:5" x14ac:dyDescent="0.25">
      <c r="B5472" s="115" t="s">
        <v>1139</v>
      </c>
      <c r="D5472" s="115" t="s">
        <v>2362</v>
      </c>
      <c r="E5472" s="115" t="s">
        <v>2082</v>
      </c>
    </row>
    <row r="5473" spans="1:5" x14ac:dyDescent="0.25">
      <c r="B5473" s="115" t="s">
        <v>1139</v>
      </c>
      <c r="D5473" s="115" t="s">
        <v>8632</v>
      </c>
      <c r="E5473" s="115" t="s">
        <v>8633</v>
      </c>
    </row>
    <row r="5474" spans="1:5" x14ac:dyDescent="0.25">
      <c r="B5474" s="115" t="s">
        <v>1207</v>
      </c>
      <c r="D5474" s="115" t="s">
        <v>8634</v>
      </c>
      <c r="E5474" s="115" t="s">
        <v>8635</v>
      </c>
    </row>
    <row r="5475" spans="1:5" x14ac:dyDescent="0.25">
      <c r="B5475" s="115" t="s">
        <v>8636</v>
      </c>
      <c r="D5475" s="115" t="s">
        <v>8637</v>
      </c>
      <c r="E5475" s="115" t="s">
        <v>1141</v>
      </c>
    </row>
    <row r="5476" spans="1:5" x14ac:dyDescent="0.25">
      <c r="B5476" s="115" t="s">
        <v>8638</v>
      </c>
      <c r="D5476" s="115" t="s">
        <v>8639</v>
      </c>
      <c r="E5476" s="115" t="s">
        <v>8640</v>
      </c>
    </row>
    <row r="5477" spans="1:5" x14ac:dyDescent="0.25">
      <c r="A5477" s="115" t="s">
        <v>1138</v>
      </c>
      <c r="B5477" s="115" t="s">
        <v>8641</v>
      </c>
      <c r="D5477" s="115" t="s">
        <v>8642</v>
      </c>
      <c r="E5477" s="115" t="s">
        <v>8643</v>
      </c>
    </row>
    <row r="5478" spans="1:5" x14ac:dyDescent="0.25">
      <c r="A5478" s="115" t="s">
        <v>1138</v>
      </c>
      <c r="B5478" s="115" t="s">
        <v>8644</v>
      </c>
      <c r="D5478" s="115" t="s">
        <v>8645</v>
      </c>
      <c r="E5478" s="115" t="s">
        <v>1141</v>
      </c>
    </row>
    <row r="5479" spans="1:5" x14ac:dyDescent="0.25">
      <c r="B5479" s="115" t="s">
        <v>8646</v>
      </c>
      <c r="D5479" s="115" t="s">
        <v>8647</v>
      </c>
      <c r="E5479" s="115" t="s">
        <v>8648</v>
      </c>
    </row>
    <row r="5480" spans="1:5" x14ac:dyDescent="0.25">
      <c r="A5480" s="115">
        <v>2</v>
      </c>
      <c r="B5480" s="115" t="s">
        <v>1577</v>
      </c>
      <c r="D5480" s="115" t="s">
        <v>8649</v>
      </c>
      <c r="E5480" s="115" t="s">
        <v>8650</v>
      </c>
    </row>
    <row r="5481" spans="1:5" x14ac:dyDescent="0.25">
      <c r="B5481" s="115" t="s">
        <v>5194</v>
      </c>
      <c r="D5481" s="115" t="s">
        <v>8651</v>
      </c>
      <c r="E5481" s="115" t="s">
        <v>1859</v>
      </c>
    </row>
    <row r="5482" spans="1:5" x14ac:dyDescent="0.25">
      <c r="B5482" s="115" t="s">
        <v>8652</v>
      </c>
      <c r="D5482" s="115" t="s">
        <v>8653</v>
      </c>
      <c r="E5482" s="115" t="s">
        <v>8654</v>
      </c>
    </row>
    <row r="5483" spans="1:5" x14ac:dyDescent="0.25">
      <c r="B5483" s="115" t="s">
        <v>8655</v>
      </c>
      <c r="C5483" s="115" t="s">
        <v>1138</v>
      </c>
      <c r="D5483" s="115" t="s">
        <v>8656</v>
      </c>
      <c r="E5483" s="115" t="s">
        <v>8657</v>
      </c>
    </row>
    <row r="5484" spans="1:5" x14ac:dyDescent="0.25">
      <c r="A5484" s="115" t="s">
        <v>1138</v>
      </c>
      <c r="B5484" s="115" t="s">
        <v>8658</v>
      </c>
      <c r="C5484" s="115" t="s">
        <v>1138</v>
      </c>
      <c r="D5484" s="115" t="s">
        <v>8659</v>
      </c>
      <c r="E5484" s="115" t="s">
        <v>1141</v>
      </c>
    </row>
    <row r="5485" spans="1:5" x14ac:dyDescent="0.25">
      <c r="A5485" s="115">
        <v>1</v>
      </c>
      <c r="B5485" s="115" t="s">
        <v>8660</v>
      </c>
      <c r="D5485" s="115" t="s">
        <v>8661</v>
      </c>
      <c r="E5485" s="115" t="s">
        <v>1141</v>
      </c>
    </row>
    <row r="5486" spans="1:5" x14ac:dyDescent="0.25">
      <c r="A5486" s="115">
        <v>-4</v>
      </c>
      <c r="B5486" s="115" t="s">
        <v>8662</v>
      </c>
      <c r="D5486" s="115" t="s">
        <v>8663</v>
      </c>
      <c r="E5486" s="115" t="s">
        <v>8664</v>
      </c>
    </row>
    <row r="5487" spans="1:5" x14ac:dyDescent="0.25">
      <c r="A5487" s="115">
        <v>-1</v>
      </c>
      <c r="B5487" s="115" t="s">
        <v>8665</v>
      </c>
      <c r="C5487" s="115" t="s">
        <v>1138</v>
      </c>
      <c r="D5487" s="115" t="s">
        <v>8666</v>
      </c>
      <c r="E5487" s="115" t="s">
        <v>1819</v>
      </c>
    </row>
    <row r="5488" spans="1:5" x14ac:dyDescent="0.25">
      <c r="A5488" s="115">
        <v>1</v>
      </c>
      <c r="B5488" s="115" t="s">
        <v>8667</v>
      </c>
      <c r="D5488" s="115" t="s">
        <v>8668</v>
      </c>
      <c r="E5488" s="115" t="s">
        <v>8669</v>
      </c>
    </row>
    <row r="5489" spans="1:5" x14ac:dyDescent="0.25">
      <c r="B5489" s="115" t="s">
        <v>1139</v>
      </c>
      <c r="D5489" s="115" t="s">
        <v>1140</v>
      </c>
      <c r="E5489" s="115" t="s">
        <v>8670</v>
      </c>
    </row>
    <row r="5490" spans="1:5" x14ac:dyDescent="0.25">
      <c r="B5490" s="115" t="s">
        <v>8671</v>
      </c>
      <c r="D5490" s="115" t="s">
        <v>8672</v>
      </c>
      <c r="E5490" s="115" t="s">
        <v>8673</v>
      </c>
    </row>
    <row r="5491" spans="1:5" x14ac:dyDescent="0.25">
      <c r="B5491" s="115" t="s">
        <v>1139</v>
      </c>
      <c r="D5491" s="115" t="s">
        <v>8674</v>
      </c>
      <c r="E5491" s="115" t="s">
        <v>1141</v>
      </c>
    </row>
    <row r="5492" spans="1:5" x14ac:dyDescent="0.25">
      <c r="B5492" s="115" t="s">
        <v>1139</v>
      </c>
      <c r="D5492" s="115" t="s">
        <v>1140</v>
      </c>
      <c r="E5492" s="115" t="s">
        <v>1141</v>
      </c>
    </row>
    <row r="5493" spans="1:5" x14ac:dyDescent="0.25">
      <c r="A5493" s="115">
        <v>-1</v>
      </c>
      <c r="B5493" s="115" t="s">
        <v>1330</v>
      </c>
      <c r="D5493" s="115" t="s">
        <v>8675</v>
      </c>
      <c r="E5493" s="115" t="s">
        <v>8676</v>
      </c>
    </row>
    <row r="5494" spans="1:5" x14ac:dyDescent="0.25">
      <c r="A5494" s="115">
        <v>-2</v>
      </c>
      <c r="B5494" s="115" t="s">
        <v>8677</v>
      </c>
      <c r="D5494" s="115" t="s">
        <v>8678</v>
      </c>
      <c r="E5494" s="115" t="s">
        <v>8679</v>
      </c>
    </row>
    <row r="5495" spans="1:5" x14ac:dyDescent="0.25">
      <c r="A5495" s="115">
        <v>-10</v>
      </c>
      <c r="B5495" s="115" t="s">
        <v>8680</v>
      </c>
      <c r="D5495" s="115" t="s">
        <v>8681</v>
      </c>
      <c r="E5495" s="115" t="s">
        <v>8682</v>
      </c>
    </row>
    <row r="5496" spans="1:5" x14ac:dyDescent="0.25">
      <c r="A5496" s="115">
        <v>-1</v>
      </c>
      <c r="B5496" s="115" t="s">
        <v>8683</v>
      </c>
      <c r="D5496" s="115" t="s">
        <v>8684</v>
      </c>
      <c r="E5496" s="115" t="s">
        <v>8685</v>
      </c>
    </row>
    <row r="5497" spans="1:5" x14ac:dyDescent="0.25">
      <c r="B5497" s="115" t="s">
        <v>8686</v>
      </c>
      <c r="C5497" s="115" t="s">
        <v>1138</v>
      </c>
      <c r="D5497" s="115" t="s">
        <v>8687</v>
      </c>
      <c r="E5497" s="115" t="s">
        <v>8688</v>
      </c>
    </row>
    <row r="5498" spans="1:5" x14ac:dyDescent="0.25">
      <c r="A5498" s="115" t="s">
        <v>1138</v>
      </c>
      <c r="B5498" s="115" t="s">
        <v>8689</v>
      </c>
      <c r="D5498" s="115" t="s">
        <v>8690</v>
      </c>
      <c r="E5498" s="115" t="s">
        <v>8691</v>
      </c>
    </row>
    <row r="5499" spans="1:5" x14ac:dyDescent="0.25">
      <c r="A5499" s="115">
        <v>1</v>
      </c>
      <c r="B5499" s="115" t="s">
        <v>8692</v>
      </c>
      <c r="D5499" s="115" t="s">
        <v>8693</v>
      </c>
      <c r="E5499" s="115" t="s">
        <v>8694</v>
      </c>
    </row>
    <row r="5500" spans="1:5" x14ac:dyDescent="0.25">
      <c r="A5500" s="115" t="s">
        <v>1138</v>
      </c>
      <c r="B5500" s="115" t="s">
        <v>8695</v>
      </c>
      <c r="D5500" s="115" t="s">
        <v>8696</v>
      </c>
      <c r="E5500" s="115" t="s">
        <v>8697</v>
      </c>
    </row>
    <row r="5501" spans="1:5" x14ac:dyDescent="0.25">
      <c r="B5501" s="115" t="s">
        <v>1139</v>
      </c>
      <c r="D5501" s="115" t="s">
        <v>8698</v>
      </c>
      <c r="E5501" s="115" t="s">
        <v>1141</v>
      </c>
    </row>
    <row r="5502" spans="1:5" x14ac:dyDescent="0.25">
      <c r="B5502" s="115" t="s">
        <v>1139</v>
      </c>
      <c r="D5502" s="115" t="s">
        <v>8699</v>
      </c>
      <c r="E5502" s="115" t="s">
        <v>8700</v>
      </c>
    </row>
    <row r="5503" spans="1:5" x14ac:dyDescent="0.25">
      <c r="B5503" s="115" t="s">
        <v>8701</v>
      </c>
      <c r="D5503" s="115" t="s">
        <v>5508</v>
      </c>
      <c r="E5503" s="115" t="s">
        <v>8702</v>
      </c>
    </row>
    <row r="5504" spans="1:5" x14ac:dyDescent="0.25">
      <c r="B5504" s="115" t="s">
        <v>1139</v>
      </c>
      <c r="D5504" s="115" t="s">
        <v>2058</v>
      </c>
      <c r="E5504" s="115" t="s">
        <v>2082</v>
      </c>
    </row>
    <row r="5505" spans="1:5" x14ac:dyDescent="0.25">
      <c r="B5505" s="115" t="s">
        <v>1139</v>
      </c>
      <c r="D5505" s="115" t="s">
        <v>8703</v>
      </c>
      <c r="E5505" s="115" t="s">
        <v>8704</v>
      </c>
    </row>
    <row r="5506" spans="1:5" x14ac:dyDescent="0.25">
      <c r="B5506" s="115" t="s">
        <v>8705</v>
      </c>
      <c r="D5506" s="115" t="s">
        <v>8706</v>
      </c>
      <c r="E5506" s="115" t="s">
        <v>8707</v>
      </c>
    </row>
    <row r="5507" spans="1:5" x14ac:dyDescent="0.25">
      <c r="B5507" s="115" t="s">
        <v>8708</v>
      </c>
      <c r="D5507" s="115" t="s">
        <v>8709</v>
      </c>
      <c r="E5507" s="115" t="s">
        <v>1702</v>
      </c>
    </row>
    <row r="5508" spans="1:5" x14ac:dyDescent="0.25">
      <c r="B5508" s="115" t="s">
        <v>8710</v>
      </c>
      <c r="D5508" s="115" t="s">
        <v>8711</v>
      </c>
      <c r="E5508" s="115" t="s">
        <v>8712</v>
      </c>
    </row>
    <row r="5509" spans="1:5" x14ac:dyDescent="0.25">
      <c r="A5509" s="115">
        <v>-2</v>
      </c>
      <c r="B5509" s="115" t="s">
        <v>8713</v>
      </c>
      <c r="D5509" s="115" t="s">
        <v>8714</v>
      </c>
      <c r="E5509" s="115" t="s">
        <v>8715</v>
      </c>
    </row>
    <row r="5510" spans="1:5" x14ac:dyDescent="0.25">
      <c r="A5510" s="115" t="s">
        <v>1138</v>
      </c>
      <c r="B5510" s="115" t="s">
        <v>1428</v>
      </c>
      <c r="D5510" s="115" t="s">
        <v>8716</v>
      </c>
      <c r="E5510" s="115" t="s">
        <v>1702</v>
      </c>
    </row>
    <row r="5511" spans="1:5" x14ac:dyDescent="0.25">
      <c r="B5511" s="115" t="s">
        <v>8717</v>
      </c>
      <c r="D5511" s="115" t="s">
        <v>8718</v>
      </c>
      <c r="E5511" s="115" t="s">
        <v>8719</v>
      </c>
    </row>
    <row r="5512" spans="1:5" x14ac:dyDescent="0.25">
      <c r="A5512" s="115">
        <v>-1</v>
      </c>
      <c r="B5512" s="115" t="s">
        <v>1280</v>
      </c>
      <c r="D5512" s="115" t="s">
        <v>8720</v>
      </c>
      <c r="E5512" s="115" t="s">
        <v>8721</v>
      </c>
    </row>
    <row r="5513" spans="1:5" x14ac:dyDescent="0.25">
      <c r="B5513" s="115" t="s">
        <v>8722</v>
      </c>
      <c r="D5513" s="115" t="s">
        <v>8723</v>
      </c>
      <c r="E5513" s="115" t="s">
        <v>1819</v>
      </c>
    </row>
    <row r="5514" spans="1:5" x14ac:dyDescent="0.25">
      <c r="B5514" s="115" t="s">
        <v>8724</v>
      </c>
      <c r="D5514" s="115" t="s">
        <v>8725</v>
      </c>
      <c r="E5514" s="115" t="s">
        <v>8726</v>
      </c>
    </row>
    <row r="5515" spans="1:5" x14ac:dyDescent="0.25">
      <c r="A5515" s="115" t="s">
        <v>1138</v>
      </c>
      <c r="B5515" s="115" t="s">
        <v>8727</v>
      </c>
      <c r="C5515" s="115" t="s">
        <v>1138</v>
      </c>
      <c r="D5515" s="115" t="s">
        <v>8728</v>
      </c>
      <c r="E5515" s="115" t="s">
        <v>8729</v>
      </c>
    </row>
    <row r="5516" spans="1:5" x14ac:dyDescent="0.25">
      <c r="A5516" s="115">
        <v>-1</v>
      </c>
      <c r="B5516" s="115" t="s">
        <v>1409</v>
      </c>
      <c r="C5516" s="115" t="s">
        <v>1138</v>
      </c>
      <c r="D5516" s="115" t="s">
        <v>8730</v>
      </c>
      <c r="E5516" s="115" t="s">
        <v>1141</v>
      </c>
    </row>
    <row r="5517" spans="1:5" x14ac:dyDescent="0.25">
      <c r="A5517" s="115">
        <v>2</v>
      </c>
      <c r="B5517" s="115" t="s">
        <v>8731</v>
      </c>
      <c r="D5517" s="115" t="s">
        <v>8732</v>
      </c>
      <c r="E5517" s="115" t="s">
        <v>1141</v>
      </c>
    </row>
    <row r="5518" spans="1:5" x14ac:dyDescent="0.25">
      <c r="A5518" s="115">
        <v>-6</v>
      </c>
      <c r="B5518" s="115" t="s">
        <v>8733</v>
      </c>
      <c r="D5518" s="115" t="s">
        <v>8734</v>
      </c>
      <c r="E5518" s="115" t="s">
        <v>8735</v>
      </c>
    </row>
    <row r="5519" spans="1:5" x14ac:dyDescent="0.25">
      <c r="A5519" s="115">
        <v>-1</v>
      </c>
      <c r="B5519" s="115" t="s">
        <v>3293</v>
      </c>
      <c r="C5519" s="115" t="s">
        <v>1138</v>
      </c>
      <c r="D5519" s="115" t="s">
        <v>8736</v>
      </c>
      <c r="E5519" s="115" t="s">
        <v>2082</v>
      </c>
    </row>
    <row r="5520" spans="1:5" x14ac:dyDescent="0.25">
      <c r="A5520" s="115">
        <v>1</v>
      </c>
      <c r="B5520" s="115" t="s">
        <v>8737</v>
      </c>
      <c r="D5520" s="115" t="s">
        <v>8738</v>
      </c>
      <c r="E5520" s="115" t="s">
        <v>8739</v>
      </c>
    </row>
    <row r="5521" spans="1:5" x14ac:dyDescent="0.25">
      <c r="B5521" s="115" t="s">
        <v>1139</v>
      </c>
      <c r="D5521" s="115" t="s">
        <v>1140</v>
      </c>
      <c r="E5521" s="115" t="s">
        <v>8740</v>
      </c>
    </row>
    <row r="5522" spans="1:5" x14ac:dyDescent="0.25">
      <c r="B5522" s="115" t="s">
        <v>8741</v>
      </c>
      <c r="D5522" s="115" t="s">
        <v>1146</v>
      </c>
      <c r="E5522" s="115" t="s">
        <v>8742</v>
      </c>
    </row>
    <row r="5523" spans="1:5" x14ac:dyDescent="0.25">
      <c r="B5523" s="115" t="s">
        <v>1139</v>
      </c>
      <c r="D5523" s="115" t="s">
        <v>8743</v>
      </c>
      <c r="E5523" s="115" t="s">
        <v>1141</v>
      </c>
    </row>
    <row r="5524" spans="1:5" x14ac:dyDescent="0.25">
      <c r="B5524" s="115" t="s">
        <v>1139</v>
      </c>
      <c r="D5524" s="115" t="s">
        <v>1140</v>
      </c>
      <c r="E5524" s="115" t="s">
        <v>1141</v>
      </c>
    </row>
    <row r="5525" spans="1:5" x14ac:dyDescent="0.25">
      <c r="A5525" s="115" t="s">
        <v>1138</v>
      </c>
      <c r="B5525" s="115" t="s">
        <v>1398</v>
      </c>
      <c r="D5525" s="115" t="s">
        <v>8744</v>
      </c>
      <c r="E5525" s="115" t="s">
        <v>8745</v>
      </c>
    </row>
    <row r="5526" spans="1:5" x14ac:dyDescent="0.25">
      <c r="A5526" s="115">
        <v>-2</v>
      </c>
      <c r="B5526" s="115" t="s">
        <v>8746</v>
      </c>
      <c r="D5526" s="115" t="s">
        <v>8747</v>
      </c>
      <c r="E5526" s="115" t="s">
        <v>8748</v>
      </c>
    </row>
    <row r="5527" spans="1:5" x14ac:dyDescent="0.25">
      <c r="A5527" s="115">
        <v>-40</v>
      </c>
      <c r="B5527" s="115" t="s">
        <v>8749</v>
      </c>
      <c r="D5527" s="115" t="s">
        <v>8750</v>
      </c>
      <c r="E5527" s="115" t="s">
        <v>8751</v>
      </c>
    </row>
    <row r="5528" spans="1:5" x14ac:dyDescent="0.25">
      <c r="A5528" s="115" t="s">
        <v>1138</v>
      </c>
      <c r="B5528" s="115" t="s">
        <v>8752</v>
      </c>
      <c r="D5528" s="115" t="s">
        <v>8753</v>
      </c>
      <c r="E5528" s="115" t="s">
        <v>8754</v>
      </c>
    </row>
    <row r="5529" spans="1:5" x14ac:dyDescent="0.25">
      <c r="A5529" s="115" t="s">
        <v>1138</v>
      </c>
      <c r="B5529" s="115" t="s">
        <v>8755</v>
      </c>
      <c r="D5529" s="115">
        <f>-893   -532   -128   -33</f>
        <v>-1586</v>
      </c>
      <c r="E5529" s="115" t="s">
        <v>8756</v>
      </c>
    </row>
    <row r="5530" spans="1:5" x14ac:dyDescent="0.25">
      <c r="A5530" s="115">
        <v>-1</v>
      </c>
      <c r="B5530" s="115" t="s">
        <v>8757</v>
      </c>
      <c r="D5530" s="115" t="s">
        <v>8758</v>
      </c>
      <c r="E5530" s="115" t="s">
        <v>8759</v>
      </c>
    </row>
    <row r="5531" spans="1:5" x14ac:dyDescent="0.25">
      <c r="A5531" s="115">
        <v>1</v>
      </c>
      <c r="B5531" s="115" t="s">
        <v>8760</v>
      </c>
      <c r="D5531" s="115" t="s">
        <v>8761</v>
      </c>
      <c r="E5531" s="115" t="s">
        <v>8762</v>
      </c>
    </row>
    <row r="5532" spans="1:5" x14ac:dyDescent="0.25">
      <c r="A5532" s="115">
        <v>34</v>
      </c>
      <c r="B5532" s="115" t="s">
        <v>8763</v>
      </c>
      <c r="C5532" s="115">
        <v>-3</v>
      </c>
      <c r="D5532" s="115" t="s">
        <v>8764</v>
      </c>
      <c r="E5532" s="115" t="s">
        <v>8765</v>
      </c>
    </row>
    <row r="5533" spans="1:5" x14ac:dyDescent="0.25">
      <c r="B5533" s="115" t="s">
        <v>1139</v>
      </c>
      <c r="D5533" s="115" t="s">
        <v>8766</v>
      </c>
      <c r="E5533" s="115" t="s">
        <v>1141</v>
      </c>
    </row>
    <row r="5534" spans="1:5" x14ac:dyDescent="0.25">
      <c r="B5534" s="115" t="s">
        <v>1139</v>
      </c>
      <c r="D5534" s="115" t="s">
        <v>8767</v>
      </c>
      <c r="E5534" s="115" t="s">
        <v>8768</v>
      </c>
    </row>
    <row r="5535" spans="1:5" x14ac:dyDescent="0.25">
      <c r="B5535" s="115" t="s">
        <v>8769</v>
      </c>
      <c r="D5535" s="115" t="s">
        <v>8770</v>
      </c>
      <c r="E5535" s="115" t="s">
        <v>8771</v>
      </c>
    </row>
    <row r="5536" spans="1:5" x14ac:dyDescent="0.25">
      <c r="A5536" s="115" t="s">
        <v>1138</v>
      </c>
      <c r="B5536" s="115" t="s">
        <v>1508</v>
      </c>
      <c r="D5536" s="115" t="s">
        <v>1140</v>
      </c>
      <c r="E5536" s="115" t="s">
        <v>8772</v>
      </c>
    </row>
    <row r="5537" spans="1:5" x14ac:dyDescent="0.25">
      <c r="B5537" s="115" t="s">
        <v>1139</v>
      </c>
      <c r="D5537" s="115" t="s">
        <v>8773</v>
      </c>
      <c r="E5537" s="115" t="s">
        <v>8774</v>
      </c>
    </row>
    <row r="5538" spans="1:5" x14ac:dyDescent="0.25">
      <c r="B5538" s="115" t="s">
        <v>1139</v>
      </c>
      <c r="D5538" s="115">
        <f>-937   -601   -254</f>
        <v>-1792</v>
      </c>
      <c r="E5538" s="115" t="s">
        <v>8775</v>
      </c>
    </row>
    <row r="5539" spans="1:5" x14ac:dyDescent="0.25">
      <c r="B5539" s="115" t="s">
        <v>8776</v>
      </c>
      <c r="D5539" s="115">
        <f>-21   -296   -789   -33</f>
        <v>-1139</v>
      </c>
      <c r="E5539" s="115" t="s">
        <v>8777</v>
      </c>
    </row>
    <row r="5540" spans="1:5" x14ac:dyDescent="0.25">
      <c r="B5540" s="115" t="s">
        <v>1624</v>
      </c>
      <c r="D5540" s="115" t="s">
        <v>8778</v>
      </c>
      <c r="E5540" s="115" t="s">
        <v>8779</v>
      </c>
    </row>
    <row r="5541" spans="1:5" x14ac:dyDescent="0.25">
      <c r="A5541" s="115">
        <v>1</v>
      </c>
      <c r="B5541" s="115" t="s">
        <v>8780</v>
      </c>
      <c r="D5541" s="115" t="s">
        <v>8781</v>
      </c>
      <c r="E5541" s="115" t="s">
        <v>8782</v>
      </c>
    </row>
    <row r="5542" spans="1:5" x14ac:dyDescent="0.25">
      <c r="B5542" s="115">
        <f>-33   -328</f>
        <v>-361</v>
      </c>
      <c r="D5542" s="115" t="s">
        <v>8783</v>
      </c>
      <c r="E5542" s="115" t="s">
        <v>8784</v>
      </c>
    </row>
    <row r="5543" spans="1:5" x14ac:dyDescent="0.25">
      <c r="B5543" s="115" t="s">
        <v>8785</v>
      </c>
      <c r="D5543" s="115" t="s">
        <v>8786</v>
      </c>
      <c r="E5543" s="115" t="s">
        <v>8787</v>
      </c>
    </row>
    <row r="5544" spans="1:5" x14ac:dyDescent="0.25">
      <c r="B5544" s="115" t="s">
        <v>8788</v>
      </c>
      <c r="D5544" s="115" t="s">
        <v>8789</v>
      </c>
      <c r="E5544" s="115" t="s">
        <v>8790</v>
      </c>
    </row>
    <row r="5545" spans="1:5" x14ac:dyDescent="0.25">
      <c r="B5545" s="115" t="s">
        <v>1139</v>
      </c>
      <c r="D5545" s="115" t="s">
        <v>8791</v>
      </c>
      <c r="E5545" s="115" t="s">
        <v>8792</v>
      </c>
    </row>
    <row r="5546" spans="1:5" x14ac:dyDescent="0.25">
      <c r="B5546" s="115" t="s">
        <v>8793</v>
      </c>
      <c r="D5546" s="115" t="s">
        <v>8794</v>
      </c>
      <c r="E5546" s="115" t="s">
        <v>8795</v>
      </c>
    </row>
    <row r="5547" spans="1:5" x14ac:dyDescent="0.25">
      <c r="A5547" s="115">
        <v>1</v>
      </c>
      <c r="B5547" s="115" t="s">
        <v>8796</v>
      </c>
      <c r="D5547" s="115">
        <f>-207  -1202   -818</f>
        <v>-2227</v>
      </c>
      <c r="E5547" s="115" t="s">
        <v>8797</v>
      </c>
    </row>
    <row r="5548" spans="1:5" x14ac:dyDescent="0.25">
      <c r="B5548" s="115" t="s">
        <v>8798</v>
      </c>
      <c r="D5548" s="115" t="s">
        <v>8799</v>
      </c>
      <c r="E5548" s="115" t="s">
        <v>1141</v>
      </c>
    </row>
    <row r="5549" spans="1:5" x14ac:dyDescent="0.25">
      <c r="B5549" s="115" t="s">
        <v>8800</v>
      </c>
      <c r="D5549" s="115" t="s">
        <v>8801</v>
      </c>
      <c r="E5549" s="115" t="s">
        <v>1141</v>
      </c>
    </row>
    <row r="5550" spans="1:5" x14ac:dyDescent="0.25">
      <c r="B5550" s="115" t="s">
        <v>8802</v>
      </c>
      <c r="C5550" s="115" t="s">
        <v>1138</v>
      </c>
      <c r="D5550" s="115" t="s">
        <v>8803</v>
      </c>
      <c r="E5550" s="115" t="s">
        <v>8804</v>
      </c>
    </row>
    <row r="5551" spans="1:5" x14ac:dyDescent="0.25">
      <c r="B5551" s="115" t="s">
        <v>8805</v>
      </c>
      <c r="D5551" s="115" t="s">
        <v>8806</v>
      </c>
      <c r="E5551" s="115" t="s">
        <v>8807</v>
      </c>
    </row>
    <row r="5552" spans="1:5" x14ac:dyDescent="0.25">
      <c r="B5552" s="115" t="s">
        <v>8808</v>
      </c>
      <c r="D5552" s="115" t="s">
        <v>8809</v>
      </c>
      <c r="E5552" s="115" t="s">
        <v>8810</v>
      </c>
    </row>
    <row r="5553" spans="1:5" x14ac:dyDescent="0.25">
      <c r="B5553" s="115" t="s">
        <v>1139</v>
      </c>
      <c r="D5553" s="115" t="s">
        <v>1140</v>
      </c>
      <c r="E5553" s="115" t="s">
        <v>8811</v>
      </c>
    </row>
    <row r="5554" spans="1:5" x14ac:dyDescent="0.25">
      <c r="A5554" s="115" t="s">
        <v>1138</v>
      </c>
      <c r="B5554" s="115" t="s">
        <v>8812</v>
      </c>
      <c r="D5554" s="115" t="s">
        <v>8813</v>
      </c>
      <c r="E5554" s="115" t="s">
        <v>8814</v>
      </c>
    </row>
    <row r="5555" spans="1:5" x14ac:dyDescent="0.25">
      <c r="B5555" s="115" t="s">
        <v>1139</v>
      </c>
      <c r="D5555" s="115" t="s">
        <v>8815</v>
      </c>
      <c r="E5555" s="115" t="s">
        <v>2082</v>
      </c>
    </row>
    <row r="5556" spans="1:5" x14ac:dyDescent="0.25">
      <c r="B5556" s="115" t="s">
        <v>1139</v>
      </c>
      <c r="D5556" s="115" t="s">
        <v>1140</v>
      </c>
      <c r="E5556" s="115" t="s">
        <v>1141</v>
      </c>
    </row>
    <row r="5557" spans="1:5" x14ac:dyDescent="0.25">
      <c r="B5557" s="115" t="s">
        <v>3112</v>
      </c>
      <c r="D5557" s="115" t="s">
        <v>1140</v>
      </c>
      <c r="E5557" s="115" t="s">
        <v>8816</v>
      </c>
    </row>
    <row r="5558" spans="1:5" x14ac:dyDescent="0.25">
      <c r="A5558" s="115">
        <v>-2</v>
      </c>
      <c r="B5558" s="115" t="s">
        <v>8817</v>
      </c>
      <c r="C5558" s="115" t="s">
        <v>1138</v>
      </c>
      <c r="D5558" s="115" t="s">
        <v>8818</v>
      </c>
      <c r="E5558" s="115" t="s">
        <v>8819</v>
      </c>
    </row>
    <row r="5559" spans="1:5" x14ac:dyDescent="0.25">
      <c r="A5559" s="115">
        <v>-3</v>
      </c>
      <c r="B5559" s="115" t="s">
        <v>8820</v>
      </c>
      <c r="D5559" s="115" t="s">
        <v>8821</v>
      </c>
      <c r="E5559" s="115" t="s">
        <v>8822</v>
      </c>
    </row>
    <row r="5560" spans="1:5" x14ac:dyDescent="0.25">
      <c r="A5560" s="115">
        <v>-2</v>
      </c>
      <c r="B5560" s="115" t="s">
        <v>8823</v>
      </c>
      <c r="C5560" s="115" t="s">
        <v>1138</v>
      </c>
      <c r="D5560" s="115" t="s">
        <v>8824</v>
      </c>
      <c r="E5560" s="115" t="s">
        <v>8825</v>
      </c>
    </row>
    <row r="5561" spans="1:5" x14ac:dyDescent="0.25">
      <c r="A5561" s="115">
        <v>-1</v>
      </c>
      <c r="B5561" s="115" t="s">
        <v>8826</v>
      </c>
      <c r="C5561" s="115" t="s">
        <v>1138</v>
      </c>
      <c r="D5561" s="115" t="s">
        <v>8827</v>
      </c>
      <c r="E5561" s="115" t="s">
        <v>8828</v>
      </c>
    </row>
    <row r="5562" spans="1:5" x14ac:dyDescent="0.25">
      <c r="A5562" s="115" t="s">
        <v>1138</v>
      </c>
      <c r="B5562" s="115" t="s">
        <v>8829</v>
      </c>
      <c r="C5562" s="115" t="s">
        <v>1138</v>
      </c>
      <c r="D5562" s="115" t="s">
        <v>8830</v>
      </c>
      <c r="E5562" s="115" t="s">
        <v>8831</v>
      </c>
    </row>
    <row r="5563" spans="1:5" x14ac:dyDescent="0.25">
      <c r="B5563" s="115" t="s">
        <v>8832</v>
      </c>
      <c r="D5563" s="115" t="s">
        <v>8833</v>
      </c>
      <c r="E5563" s="115" t="s">
        <v>8834</v>
      </c>
    </row>
    <row r="5564" spans="1:5" x14ac:dyDescent="0.25">
      <c r="A5564" s="115">
        <v>33</v>
      </c>
      <c r="B5564" s="115" t="s">
        <v>8835</v>
      </c>
      <c r="C5564" s="115">
        <v>3</v>
      </c>
      <c r="D5564" s="115" t="s">
        <v>8836</v>
      </c>
      <c r="E5564" s="115" t="s">
        <v>8837</v>
      </c>
    </row>
    <row r="5565" spans="1:5" x14ac:dyDescent="0.25">
      <c r="B5565" s="115" t="s">
        <v>1248</v>
      </c>
      <c r="D5565" s="115" t="s">
        <v>6816</v>
      </c>
      <c r="E5565" s="115" t="s">
        <v>8838</v>
      </c>
    </row>
    <row r="5566" spans="1:5" x14ac:dyDescent="0.25">
      <c r="B5566" s="115" t="s">
        <v>1139</v>
      </c>
      <c r="D5566" s="115" t="s">
        <v>2625</v>
      </c>
      <c r="E5566" s="115" t="s">
        <v>8839</v>
      </c>
    </row>
    <row r="5567" spans="1:5" x14ac:dyDescent="0.25">
      <c r="A5567" s="115">
        <v>-39</v>
      </c>
      <c r="B5567" s="115" t="s">
        <v>1601</v>
      </c>
      <c r="D5567" s="115" t="s">
        <v>8840</v>
      </c>
      <c r="E5567" s="115" t="s">
        <v>8841</v>
      </c>
    </row>
    <row r="5568" spans="1:5" x14ac:dyDescent="0.25">
      <c r="B5568" s="115" t="s">
        <v>1139</v>
      </c>
      <c r="D5568" s="115" t="s">
        <v>6619</v>
      </c>
      <c r="E5568" s="115" t="s">
        <v>1856</v>
      </c>
    </row>
    <row r="5569" spans="1:5" x14ac:dyDescent="0.25">
      <c r="B5569" s="115" t="s">
        <v>1139</v>
      </c>
      <c r="D5569" s="115" t="s">
        <v>1140</v>
      </c>
      <c r="E5569" s="115" t="s">
        <v>8842</v>
      </c>
    </row>
    <row r="5570" spans="1:5" x14ac:dyDescent="0.25">
      <c r="B5570" s="115" t="s">
        <v>1139</v>
      </c>
      <c r="D5570" s="115" t="s">
        <v>8843</v>
      </c>
      <c r="E5570" s="115" t="s">
        <v>8844</v>
      </c>
    </row>
    <row r="5571" spans="1:5" x14ac:dyDescent="0.25">
      <c r="A5571" s="115" t="s">
        <v>1138</v>
      </c>
      <c r="B5571" s="115" t="s">
        <v>8845</v>
      </c>
      <c r="D5571" s="115" t="s">
        <v>8846</v>
      </c>
      <c r="E5571" s="115" t="s">
        <v>8847</v>
      </c>
    </row>
    <row r="5572" spans="1:5" x14ac:dyDescent="0.25">
      <c r="B5572" s="115" t="s">
        <v>1139</v>
      </c>
      <c r="D5572" s="115" t="s">
        <v>8848</v>
      </c>
      <c r="E5572" s="115" t="s">
        <v>8849</v>
      </c>
    </row>
    <row r="5573" spans="1:5" x14ac:dyDescent="0.25">
      <c r="B5573" s="115" t="s">
        <v>8850</v>
      </c>
      <c r="D5573" s="115" t="s">
        <v>8851</v>
      </c>
      <c r="E5573" s="115" t="s">
        <v>8852</v>
      </c>
    </row>
    <row r="5574" spans="1:5" x14ac:dyDescent="0.25">
      <c r="B5574" s="115" t="s">
        <v>1139</v>
      </c>
      <c r="C5574" s="115" t="s">
        <v>1138</v>
      </c>
      <c r="D5574" s="115" t="s">
        <v>8853</v>
      </c>
      <c r="E5574" s="115" t="s">
        <v>8854</v>
      </c>
    </row>
    <row r="5575" spans="1:5" x14ac:dyDescent="0.25">
      <c r="B5575" s="115" t="s">
        <v>1139</v>
      </c>
      <c r="D5575" s="115" t="s">
        <v>8855</v>
      </c>
      <c r="E5575" s="115" t="s">
        <v>8856</v>
      </c>
    </row>
    <row r="5576" spans="1:5" x14ac:dyDescent="0.25">
      <c r="B5576" s="115" t="s">
        <v>8857</v>
      </c>
      <c r="D5576" s="115" t="s">
        <v>8858</v>
      </c>
      <c r="E5576" s="115" t="s">
        <v>8859</v>
      </c>
    </row>
    <row r="5577" spans="1:5" x14ac:dyDescent="0.25">
      <c r="B5577" s="115" t="s">
        <v>3491</v>
      </c>
      <c r="D5577" s="115" t="s">
        <v>8860</v>
      </c>
      <c r="E5577" s="115" t="s">
        <v>8861</v>
      </c>
    </row>
    <row r="5578" spans="1:5" x14ac:dyDescent="0.25">
      <c r="B5578" s="115" t="s">
        <v>1139</v>
      </c>
      <c r="D5578" s="115" t="s">
        <v>8862</v>
      </c>
      <c r="E5578" s="115" t="s">
        <v>8863</v>
      </c>
    </row>
    <row r="5579" spans="1:5" x14ac:dyDescent="0.25">
      <c r="B5579" s="115" t="s">
        <v>1139</v>
      </c>
      <c r="D5579" s="115" t="s">
        <v>8864</v>
      </c>
      <c r="E5579" s="115" t="s">
        <v>8865</v>
      </c>
    </row>
    <row r="5580" spans="1:5" x14ac:dyDescent="0.25">
      <c r="B5580" s="115" t="s">
        <v>5559</v>
      </c>
      <c r="D5580" s="115" t="s">
        <v>8866</v>
      </c>
      <c r="E5580" s="115" t="s">
        <v>2537</v>
      </c>
    </row>
    <row r="5581" spans="1:5" x14ac:dyDescent="0.25">
      <c r="B5581" s="115" t="s">
        <v>1139</v>
      </c>
      <c r="D5581" s="115" t="s">
        <v>8867</v>
      </c>
      <c r="E5581" s="115" t="s">
        <v>8868</v>
      </c>
    </row>
    <row r="5582" spans="1:5" x14ac:dyDescent="0.25">
      <c r="B5582" s="115" t="s">
        <v>1139</v>
      </c>
      <c r="D5582" s="115" t="s">
        <v>8869</v>
      </c>
      <c r="E5582" s="115" t="s">
        <v>8870</v>
      </c>
    </row>
    <row r="5583" spans="1:5" x14ac:dyDescent="0.25">
      <c r="B5583" s="115" t="s">
        <v>1139</v>
      </c>
      <c r="D5583" s="115" t="s">
        <v>8871</v>
      </c>
      <c r="E5583" s="115" t="s">
        <v>8872</v>
      </c>
    </row>
    <row r="5584" spans="1:5" x14ac:dyDescent="0.25">
      <c r="B5584" s="115" t="s">
        <v>1139</v>
      </c>
      <c r="D5584" s="115" t="s">
        <v>8873</v>
      </c>
      <c r="E5584" s="115" t="s">
        <v>8874</v>
      </c>
    </row>
    <row r="5585" spans="1:5" x14ac:dyDescent="0.25">
      <c r="A5585" s="115" t="s">
        <v>1138</v>
      </c>
      <c r="B5585" s="115" t="s">
        <v>8875</v>
      </c>
      <c r="D5585" s="115" t="s">
        <v>1140</v>
      </c>
      <c r="E5585" s="115" t="s">
        <v>8876</v>
      </c>
    </row>
    <row r="5586" spans="1:5" x14ac:dyDescent="0.25">
      <c r="B5586" s="115" t="s">
        <v>8877</v>
      </c>
      <c r="D5586" s="115" t="s">
        <v>8878</v>
      </c>
      <c r="E5586" s="115" t="s">
        <v>8879</v>
      </c>
    </row>
    <row r="5587" spans="1:5" x14ac:dyDescent="0.25">
      <c r="B5587" s="115" t="s">
        <v>1259</v>
      </c>
      <c r="D5587" s="115" t="s">
        <v>1140</v>
      </c>
      <c r="E5587" s="115" t="s">
        <v>8880</v>
      </c>
    </row>
    <row r="5588" spans="1:5" x14ac:dyDescent="0.25">
      <c r="B5588" s="115" t="s">
        <v>1139</v>
      </c>
      <c r="D5588" s="115" t="s">
        <v>1140</v>
      </c>
      <c r="E5588" s="115" t="s">
        <v>1141</v>
      </c>
    </row>
    <row r="5589" spans="1:5" x14ac:dyDescent="0.25">
      <c r="B5589" s="115" t="s">
        <v>1139</v>
      </c>
      <c r="D5589" s="115" t="s">
        <v>8881</v>
      </c>
      <c r="E5589" s="115" t="s">
        <v>8882</v>
      </c>
    </row>
    <row r="5590" spans="1:5" x14ac:dyDescent="0.25">
      <c r="B5590" s="115" t="s">
        <v>8883</v>
      </c>
      <c r="C5590" s="115" t="s">
        <v>1138</v>
      </c>
      <c r="D5590" s="115" t="s">
        <v>8884</v>
      </c>
      <c r="E5590" s="115" t="s">
        <v>8885</v>
      </c>
    </row>
    <row r="5591" spans="1:5" x14ac:dyDescent="0.25">
      <c r="A5591" s="115">
        <v>7</v>
      </c>
      <c r="B5591" s="115" t="s">
        <v>8886</v>
      </c>
      <c r="D5591" s="115" t="s">
        <v>8887</v>
      </c>
      <c r="E5591" s="115" t="s">
        <v>8888</v>
      </c>
    </row>
    <row r="5592" spans="1:5" x14ac:dyDescent="0.25">
      <c r="A5592" s="115">
        <v>-2</v>
      </c>
      <c r="B5592" s="115" t="s">
        <v>8889</v>
      </c>
      <c r="D5592" s="115" t="s">
        <v>8890</v>
      </c>
      <c r="E5592" s="115" t="s">
        <v>8891</v>
      </c>
    </row>
    <row r="5593" spans="1:5" x14ac:dyDescent="0.25">
      <c r="B5593" s="115" t="s">
        <v>8892</v>
      </c>
      <c r="D5593" s="115" t="s">
        <v>8893</v>
      </c>
      <c r="E5593" s="115" t="s">
        <v>8894</v>
      </c>
    </row>
    <row r="5594" spans="1:5" x14ac:dyDescent="0.25">
      <c r="A5594" s="115" t="s">
        <v>1138</v>
      </c>
      <c r="B5594" s="115" t="s">
        <v>8895</v>
      </c>
      <c r="D5594" s="115">
        <f>-789   -697    -52    -5</f>
        <v>-1543</v>
      </c>
      <c r="E5594" s="115" t="s">
        <v>8896</v>
      </c>
    </row>
    <row r="5595" spans="1:5" x14ac:dyDescent="0.25">
      <c r="B5595" s="115" t="s">
        <v>8897</v>
      </c>
      <c r="D5595" s="115" t="s">
        <v>8898</v>
      </c>
      <c r="E5595" s="115" t="s">
        <v>8899</v>
      </c>
    </row>
    <row r="5596" spans="1:5" x14ac:dyDescent="0.25">
      <c r="A5596" s="115">
        <v>37</v>
      </c>
      <c r="B5596" s="115" t="s">
        <v>8900</v>
      </c>
      <c r="C5596" s="115">
        <v>3</v>
      </c>
      <c r="D5596" s="115" t="s">
        <v>8901</v>
      </c>
      <c r="E5596" s="115" t="s">
        <v>8902</v>
      </c>
    </row>
    <row r="5597" spans="1:5" x14ac:dyDescent="0.25">
      <c r="B5597" s="115" t="s">
        <v>1139</v>
      </c>
      <c r="D5597" s="115" t="s">
        <v>8903</v>
      </c>
      <c r="E5597" s="115" t="s">
        <v>8904</v>
      </c>
    </row>
    <row r="5598" spans="1:5" x14ac:dyDescent="0.25">
      <c r="B5598" s="115" t="s">
        <v>1139</v>
      </c>
      <c r="D5598" s="115" t="s">
        <v>1140</v>
      </c>
      <c r="E5598" s="115" t="s">
        <v>8905</v>
      </c>
    </row>
    <row r="5599" spans="1:5" x14ac:dyDescent="0.25">
      <c r="B5599" s="115" t="s">
        <v>1139</v>
      </c>
      <c r="D5599" s="115" t="s">
        <v>8906</v>
      </c>
      <c r="E5599" s="115" t="s">
        <v>8907</v>
      </c>
    </row>
    <row r="5600" spans="1:5" x14ac:dyDescent="0.25">
      <c r="B5600" s="115" t="s">
        <v>1547</v>
      </c>
      <c r="D5600" s="115" t="s">
        <v>4124</v>
      </c>
      <c r="E5600" s="115" t="s">
        <v>1819</v>
      </c>
    </row>
    <row r="5601" spans="1:5" x14ac:dyDescent="0.25">
      <c r="B5601" s="115" t="s">
        <v>1873</v>
      </c>
      <c r="D5601" s="115" t="s">
        <v>1140</v>
      </c>
      <c r="E5601" s="115" t="s">
        <v>8908</v>
      </c>
    </row>
    <row r="5602" spans="1:5" x14ac:dyDescent="0.25">
      <c r="A5602" s="115">
        <v>-57</v>
      </c>
      <c r="B5602" s="115" t="s">
        <v>1491</v>
      </c>
      <c r="D5602" s="115" t="s">
        <v>8909</v>
      </c>
      <c r="E5602" s="115" t="s">
        <v>8910</v>
      </c>
    </row>
    <row r="5603" spans="1:5" x14ac:dyDescent="0.25">
      <c r="B5603" s="115" t="s">
        <v>1139</v>
      </c>
      <c r="C5603" s="115" t="s">
        <v>1138</v>
      </c>
      <c r="D5603" s="115" t="s">
        <v>8911</v>
      </c>
      <c r="E5603" s="115" t="s">
        <v>8912</v>
      </c>
    </row>
    <row r="5604" spans="1:5" x14ac:dyDescent="0.25">
      <c r="B5604" s="115">
        <f>-66  -1083</f>
        <v>-1149</v>
      </c>
      <c r="D5604" s="115" t="s">
        <v>1140</v>
      </c>
      <c r="E5604" s="115" t="s">
        <v>8913</v>
      </c>
    </row>
    <row r="5605" spans="1:5" x14ac:dyDescent="0.25">
      <c r="A5605" s="115">
        <v>-51</v>
      </c>
      <c r="B5605" s="115" t="s">
        <v>8914</v>
      </c>
      <c r="D5605" s="115" t="s">
        <v>8915</v>
      </c>
      <c r="E5605" s="115" t="s">
        <v>8916</v>
      </c>
    </row>
    <row r="5606" spans="1:5" x14ac:dyDescent="0.25">
      <c r="B5606" s="115">
        <f>-10   -774</f>
        <v>-784</v>
      </c>
      <c r="D5606" s="115" t="s">
        <v>8917</v>
      </c>
      <c r="E5606" s="115" t="s">
        <v>8918</v>
      </c>
    </row>
    <row r="5607" spans="1:5" x14ac:dyDescent="0.25">
      <c r="A5607" s="115" t="s">
        <v>1138</v>
      </c>
      <c r="B5607" s="115" t="s">
        <v>8919</v>
      </c>
      <c r="D5607" s="115" t="s">
        <v>1140</v>
      </c>
      <c r="E5607" s="115" t="s">
        <v>8920</v>
      </c>
    </row>
    <row r="5608" spans="1:5" x14ac:dyDescent="0.25">
      <c r="A5608" s="115">
        <v>-54</v>
      </c>
      <c r="B5608" s="115" t="s">
        <v>8921</v>
      </c>
      <c r="D5608" s="115" t="s">
        <v>8922</v>
      </c>
      <c r="E5608" s="115" t="s">
        <v>8923</v>
      </c>
    </row>
    <row r="5609" spans="1:5" x14ac:dyDescent="0.25">
      <c r="B5609" s="115" t="s">
        <v>8924</v>
      </c>
      <c r="D5609" s="115" t="s">
        <v>8925</v>
      </c>
      <c r="E5609" s="115" t="s">
        <v>8926</v>
      </c>
    </row>
    <row r="5610" spans="1:5" x14ac:dyDescent="0.25">
      <c r="A5610" s="115">
        <v>3</v>
      </c>
      <c r="B5610" s="115" t="s">
        <v>8927</v>
      </c>
      <c r="D5610" s="115" t="s">
        <v>1140</v>
      </c>
      <c r="E5610" s="115" t="s">
        <v>8928</v>
      </c>
    </row>
    <row r="5611" spans="1:5" x14ac:dyDescent="0.25">
      <c r="A5611" s="115">
        <v>-50</v>
      </c>
      <c r="B5611" s="115" t="s">
        <v>8929</v>
      </c>
      <c r="D5611" s="115" t="s">
        <v>3855</v>
      </c>
      <c r="E5611" s="115" t="s">
        <v>8930</v>
      </c>
    </row>
    <row r="5612" spans="1:5" x14ac:dyDescent="0.25">
      <c r="B5612" s="115" t="s">
        <v>8931</v>
      </c>
      <c r="D5612" s="115" t="s">
        <v>8932</v>
      </c>
      <c r="E5612" s="115" t="s">
        <v>8933</v>
      </c>
    </row>
    <row r="5613" spans="1:5" x14ac:dyDescent="0.25">
      <c r="B5613" s="115" t="s">
        <v>1139</v>
      </c>
      <c r="D5613" s="115" t="s">
        <v>1140</v>
      </c>
      <c r="E5613" s="115" t="s">
        <v>8934</v>
      </c>
    </row>
    <row r="5614" spans="1:5" x14ac:dyDescent="0.25">
      <c r="A5614" s="115">
        <v>-54</v>
      </c>
      <c r="B5614" s="115" t="s">
        <v>1631</v>
      </c>
      <c r="D5614" s="115" t="s">
        <v>1140</v>
      </c>
      <c r="E5614" s="115" t="s">
        <v>8935</v>
      </c>
    </row>
    <row r="5615" spans="1:5" x14ac:dyDescent="0.25">
      <c r="B5615" s="115" t="s">
        <v>8936</v>
      </c>
      <c r="D5615" s="115" t="s">
        <v>8937</v>
      </c>
      <c r="E5615" s="115" t="s">
        <v>8938</v>
      </c>
    </row>
    <row r="5616" spans="1:5" x14ac:dyDescent="0.25">
      <c r="B5616" s="115" t="s">
        <v>8939</v>
      </c>
      <c r="D5616" s="115" t="s">
        <v>1140</v>
      </c>
      <c r="E5616" s="115" t="s">
        <v>8940</v>
      </c>
    </row>
    <row r="5617" spans="1:5" x14ac:dyDescent="0.25">
      <c r="B5617" s="115" t="s">
        <v>8941</v>
      </c>
      <c r="D5617" s="115" t="s">
        <v>8942</v>
      </c>
      <c r="E5617" s="115" t="s">
        <v>1141</v>
      </c>
    </row>
    <row r="5618" spans="1:5" x14ac:dyDescent="0.25">
      <c r="B5618" s="115" t="s">
        <v>1139</v>
      </c>
      <c r="C5618" s="115" t="s">
        <v>1138</v>
      </c>
      <c r="D5618" s="115" t="s">
        <v>8943</v>
      </c>
      <c r="E5618" s="115" t="s">
        <v>8944</v>
      </c>
    </row>
    <row r="5619" spans="1:5" x14ac:dyDescent="0.25">
      <c r="B5619" s="115" t="s">
        <v>1251</v>
      </c>
      <c r="D5619" s="115" t="s">
        <v>8945</v>
      </c>
      <c r="E5619" s="115" t="s">
        <v>8946</v>
      </c>
    </row>
    <row r="5620" spans="1:5" x14ac:dyDescent="0.25">
      <c r="A5620" s="115">
        <v>-1</v>
      </c>
      <c r="B5620" s="115" t="s">
        <v>1497</v>
      </c>
      <c r="D5620" s="115" t="s">
        <v>1140</v>
      </c>
      <c r="E5620" s="115" t="s">
        <v>1141</v>
      </c>
    </row>
    <row r="5621" spans="1:5" x14ac:dyDescent="0.25">
      <c r="B5621" s="115" t="s">
        <v>1139</v>
      </c>
      <c r="D5621" s="115" t="s">
        <v>1140</v>
      </c>
      <c r="E5621" s="115" t="s">
        <v>8947</v>
      </c>
    </row>
    <row r="5622" spans="1:5" x14ac:dyDescent="0.25">
      <c r="B5622" s="115" t="s">
        <v>1314</v>
      </c>
      <c r="D5622" s="115" t="s">
        <v>8948</v>
      </c>
      <c r="E5622" s="115" t="s">
        <v>8949</v>
      </c>
    </row>
    <row r="5623" spans="1:5" x14ac:dyDescent="0.25">
      <c r="B5623" s="115" t="s">
        <v>1139</v>
      </c>
      <c r="D5623" s="115" t="s">
        <v>8950</v>
      </c>
      <c r="E5623" s="115" t="s">
        <v>8951</v>
      </c>
    </row>
    <row r="5624" spans="1:5" x14ac:dyDescent="0.25">
      <c r="A5624" s="115">
        <v>3</v>
      </c>
      <c r="B5624" s="115" t="s">
        <v>8952</v>
      </c>
      <c r="D5624" s="115" t="s">
        <v>8953</v>
      </c>
      <c r="E5624" s="115" t="s">
        <v>8954</v>
      </c>
    </row>
    <row r="5625" spans="1:5" x14ac:dyDescent="0.25">
      <c r="A5625" s="115" t="s">
        <v>1138</v>
      </c>
      <c r="B5625" s="115" t="s">
        <v>8955</v>
      </c>
      <c r="D5625" s="115" t="s">
        <v>8956</v>
      </c>
      <c r="E5625" s="115" t="s">
        <v>8957</v>
      </c>
    </row>
    <row r="5626" spans="1:5" x14ac:dyDescent="0.25">
      <c r="A5626" s="115">
        <v>-1</v>
      </c>
      <c r="B5626" s="115" t="s">
        <v>8958</v>
      </c>
      <c r="D5626" s="115">
        <f>-32   -362   -454  -161</f>
        <v>-1009</v>
      </c>
      <c r="E5626" s="115" t="s">
        <v>8959</v>
      </c>
    </row>
    <row r="5627" spans="1:5" x14ac:dyDescent="0.25">
      <c r="B5627" s="115" t="s">
        <v>8960</v>
      </c>
      <c r="D5627" s="115" t="s">
        <v>8961</v>
      </c>
      <c r="E5627" s="115" t="s">
        <v>8962</v>
      </c>
    </row>
    <row r="5628" spans="1:5" x14ac:dyDescent="0.25">
      <c r="A5628" s="115">
        <v>36</v>
      </c>
      <c r="B5628" s="115" t="s">
        <v>8963</v>
      </c>
      <c r="C5628" s="115">
        <v>3</v>
      </c>
      <c r="D5628" s="115" t="s">
        <v>8964</v>
      </c>
      <c r="E5628" s="115" t="s">
        <v>8965</v>
      </c>
    </row>
    <row r="5629" spans="1:5" x14ac:dyDescent="0.25">
      <c r="B5629" s="115" t="s">
        <v>8966</v>
      </c>
      <c r="D5629" s="115" t="s">
        <v>8967</v>
      </c>
      <c r="E5629" s="115" t="s">
        <v>8968</v>
      </c>
    </row>
    <row r="5630" spans="1:5" x14ac:dyDescent="0.25">
      <c r="B5630" s="115" t="s">
        <v>1139</v>
      </c>
      <c r="D5630" s="115" t="s">
        <v>8969</v>
      </c>
      <c r="E5630" s="115" t="s">
        <v>1141</v>
      </c>
    </row>
    <row r="5631" spans="1:5" x14ac:dyDescent="0.25">
      <c r="B5631" s="115" t="s">
        <v>1139</v>
      </c>
      <c r="D5631" s="115" t="s">
        <v>8970</v>
      </c>
      <c r="E5631" s="115" t="s">
        <v>8971</v>
      </c>
    </row>
    <row r="5632" spans="1:5" x14ac:dyDescent="0.25">
      <c r="B5632" s="115" t="s">
        <v>8972</v>
      </c>
      <c r="D5632" s="115" t="s">
        <v>2893</v>
      </c>
      <c r="E5632" s="115" t="s">
        <v>8973</v>
      </c>
    </row>
    <row r="5633" spans="1:5" x14ac:dyDescent="0.25">
      <c r="B5633" s="115" t="s">
        <v>1139</v>
      </c>
      <c r="D5633" s="115" t="s">
        <v>2777</v>
      </c>
      <c r="E5633" s="115" t="s">
        <v>1141</v>
      </c>
    </row>
    <row r="5634" spans="1:5" x14ac:dyDescent="0.25">
      <c r="B5634" s="115" t="s">
        <v>1139</v>
      </c>
      <c r="D5634" s="115" t="s">
        <v>8974</v>
      </c>
      <c r="E5634" s="115" t="s">
        <v>5266</v>
      </c>
    </row>
    <row r="5635" spans="1:5" x14ac:dyDescent="0.25">
      <c r="B5635" s="115" t="s">
        <v>1420</v>
      </c>
      <c r="D5635" s="115" t="s">
        <v>8975</v>
      </c>
      <c r="E5635" s="115" t="s">
        <v>8976</v>
      </c>
    </row>
    <row r="5636" spans="1:5" x14ac:dyDescent="0.25">
      <c r="A5636" s="115">
        <v>2</v>
      </c>
      <c r="B5636" s="115" t="s">
        <v>8977</v>
      </c>
      <c r="D5636" s="115" t="s">
        <v>8978</v>
      </c>
      <c r="E5636" s="115" t="s">
        <v>1859</v>
      </c>
    </row>
    <row r="5637" spans="1:5" x14ac:dyDescent="0.25">
      <c r="A5637" s="115">
        <v>-2</v>
      </c>
      <c r="B5637" s="115" t="s">
        <v>8979</v>
      </c>
      <c r="D5637" s="115">
        <f>-394   -510 -49374    -6</f>
        <v>-50284</v>
      </c>
      <c r="E5637" s="115" t="s">
        <v>8980</v>
      </c>
    </row>
    <row r="5638" spans="1:5" x14ac:dyDescent="0.25">
      <c r="A5638" s="115" t="s">
        <v>1138</v>
      </c>
      <c r="B5638" s="115" t="s">
        <v>8981</v>
      </c>
      <c r="D5638" s="115" t="s">
        <v>8982</v>
      </c>
      <c r="E5638" s="115" t="s">
        <v>8983</v>
      </c>
    </row>
    <row r="5639" spans="1:5" x14ac:dyDescent="0.25">
      <c r="B5639" s="115" t="s">
        <v>5003</v>
      </c>
      <c r="D5639" s="115" t="s">
        <v>8984</v>
      </c>
      <c r="E5639" s="115" t="s">
        <v>1759</v>
      </c>
    </row>
    <row r="5640" spans="1:5" x14ac:dyDescent="0.25">
      <c r="B5640" s="115" t="s">
        <v>8985</v>
      </c>
      <c r="D5640" s="115" t="s">
        <v>8986</v>
      </c>
      <c r="E5640" s="115" t="s">
        <v>8987</v>
      </c>
    </row>
    <row r="5641" spans="1:5" x14ac:dyDescent="0.25">
      <c r="A5641" s="115" t="s">
        <v>1138</v>
      </c>
      <c r="B5641" s="115" t="s">
        <v>1659</v>
      </c>
      <c r="D5641" s="115" t="s">
        <v>8988</v>
      </c>
      <c r="E5641" s="115" t="s">
        <v>8989</v>
      </c>
    </row>
    <row r="5642" spans="1:5" x14ac:dyDescent="0.25">
      <c r="B5642" s="115" t="s">
        <v>8990</v>
      </c>
      <c r="D5642" s="115" t="s">
        <v>8991</v>
      </c>
      <c r="E5642" s="115" t="s">
        <v>1894</v>
      </c>
    </row>
    <row r="5643" spans="1:5" x14ac:dyDescent="0.25">
      <c r="B5643" s="115" t="s">
        <v>8992</v>
      </c>
      <c r="D5643" s="115" t="s">
        <v>8993</v>
      </c>
      <c r="E5643" s="115" t="s">
        <v>8994</v>
      </c>
    </row>
    <row r="5644" spans="1:5" x14ac:dyDescent="0.25">
      <c r="A5644" s="115" t="s">
        <v>1138</v>
      </c>
      <c r="B5644" s="115" t="s">
        <v>8995</v>
      </c>
      <c r="D5644" s="115" t="s">
        <v>8996</v>
      </c>
      <c r="E5644" s="115" t="s">
        <v>8997</v>
      </c>
    </row>
    <row r="5645" spans="1:5" x14ac:dyDescent="0.25">
      <c r="A5645" s="115">
        <v>-9</v>
      </c>
      <c r="B5645" s="115" t="s">
        <v>8998</v>
      </c>
      <c r="C5645" s="115" t="s">
        <v>1138</v>
      </c>
      <c r="D5645" s="115" t="s">
        <v>8999</v>
      </c>
      <c r="E5645" s="115" t="s">
        <v>1141</v>
      </c>
    </row>
    <row r="5646" spans="1:5" x14ac:dyDescent="0.25">
      <c r="A5646" s="115">
        <v>2</v>
      </c>
      <c r="B5646" s="115" t="s">
        <v>9000</v>
      </c>
      <c r="D5646" s="115" t="s">
        <v>9001</v>
      </c>
      <c r="E5646" s="115" t="s">
        <v>1141</v>
      </c>
    </row>
    <row r="5647" spans="1:5" x14ac:dyDescent="0.25">
      <c r="A5647" s="115">
        <v>-2</v>
      </c>
      <c r="B5647" s="115" t="s">
        <v>9002</v>
      </c>
      <c r="C5647" s="115" t="s">
        <v>1138</v>
      </c>
      <c r="D5647" s="115" t="s">
        <v>9003</v>
      </c>
      <c r="E5647" s="115" t="s">
        <v>9004</v>
      </c>
    </row>
    <row r="5648" spans="1:5" x14ac:dyDescent="0.25">
      <c r="A5648" s="115">
        <v>-1</v>
      </c>
      <c r="B5648" s="115" t="s">
        <v>9005</v>
      </c>
      <c r="C5648" s="115" t="s">
        <v>1138</v>
      </c>
      <c r="D5648" s="115" t="s">
        <v>9006</v>
      </c>
      <c r="E5648" s="115" t="s">
        <v>2537</v>
      </c>
    </row>
    <row r="5649" spans="1:5" x14ac:dyDescent="0.25">
      <c r="A5649" s="115">
        <v>1</v>
      </c>
      <c r="B5649" s="115" t="s">
        <v>9007</v>
      </c>
      <c r="D5649" s="115" t="s">
        <v>9008</v>
      </c>
      <c r="E5649" s="115" t="s">
        <v>9009</v>
      </c>
    </row>
    <row r="5650" spans="1:5" x14ac:dyDescent="0.25">
      <c r="B5650" s="115" t="s">
        <v>1139</v>
      </c>
      <c r="D5650" s="115" t="s">
        <v>1140</v>
      </c>
      <c r="E5650" s="115" t="s">
        <v>9010</v>
      </c>
    </row>
    <row r="5651" spans="1:5" x14ac:dyDescent="0.25">
      <c r="B5651" s="115" t="s">
        <v>9011</v>
      </c>
      <c r="D5651" s="115" t="s">
        <v>9012</v>
      </c>
      <c r="E5651" s="115" t="s">
        <v>9013</v>
      </c>
    </row>
    <row r="5652" spans="1:5" x14ac:dyDescent="0.25">
      <c r="B5652" s="115" t="s">
        <v>1139</v>
      </c>
      <c r="D5652" s="115" t="s">
        <v>9014</v>
      </c>
      <c r="E5652" s="115" t="s">
        <v>1141</v>
      </c>
    </row>
    <row r="5653" spans="1:5" x14ac:dyDescent="0.25">
      <c r="B5653" s="115" t="s">
        <v>1139</v>
      </c>
      <c r="D5653" s="115" t="s">
        <v>1140</v>
      </c>
      <c r="E5653" s="115" t="s">
        <v>1141</v>
      </c>
    </row>
    <row r="5654" spans="1:5" x14ac:dyDescent="0.25">
      <c r="A5654" s="115">
        <v>-1</v>
      </c>
      <c r="B5654" s="115" t="s">
        <v>1218</v>
      </c>
      <c r="D5654" s="115" t="s">
        <v>3130</v>
      </c>
      <c r="E5654" s="115" t="s">
        <v>9015</v>
      </c>
    </row>
    <row r="5655" spans="1:5" x14ac:dyDescent="0.25">
      <c r="A5655" s="115">
        <v>-1</v>
      </c>
      <c r="B5655" s="115" t="s">
        <v>9016</v>
      </c>
      <c r="D5655" s="115" t="s">
        <v>9017</v>
      </c>
      <c r="E5655" s="115" t="s">
        <v>9018</v>
      </c>
    </row>
    <row r="5656" spans="1:5" x14ac:dyDescent="0.25">
      <c r="A5656" s="115">
        <v>-2</v>
      </c>
      <c r="B5656" s="115" t="s">
        <v>9019</v>
      </c>
      <c r="D5656" s="115" t="s">
        <v>9020</v>
      </c>
      <c r="E5656" s="115" t="s">
        <v>9021</v>
      </c>
    </row>
    <row r="5657" spans="1:5" x14ac:dyDescent="0.25">
      <c r="A5657" s="115">
        <v>1</v>
      </c>
      <c r="B5657" s="115" t="s">
        <v>9022</v>
      </c>
      <c r="D5657" s="115" t="s">
        <v>9023</v>
      </c>
      <c r="E5657" s="115" t="s">
        <v>9024</v>
      </c>
    </row>
    <row r="5658" spans="1:5" x14ac:dyDescent="0.25">
      <c r="B5658" s="115" t="s">
        <v>9025</v>
      </c>
      <c r="D5658" s="115" t="s">
        <v>9026</v>
      </c>
      <c r="E5658" s="115" t="s">
        <v>9027</v>
      </c>
    </row>
    <row r="5659" spans="1:5" x14ac:dyDescent="0.25">
      <c r="A5659" s="115" t="s">
        <v>1138</v>
      </c>
      <c r="B5659" s="115" t="s">
        <v>9028</v>
      </c>
      <c r="D5659" s="115" t="s">
        <v>9029</v>
      </c>
      <c r="E5659" s="115" t="s">
        <v>9030</v>
      </c>
    </row>
    <row r="5660" spans="1:5" x14ac:dyDescent="0.25">
      <c r="B5660" s="115" t="s">
        <v>9031</v>
      </c>
      <c r="D5660" s="115" t="s">
        <v>9032</v>
      </c>
      <c r="E5660" s="115" t="s">
        <v>9033</v>
      </c>
    </row>
    <row r="5661" spans="1:5" x14ac:dyDescent="0.25">
      <c r="A5661" s="115">
        <v>25</v>
      </c>
      <c r="B5661" s="115" t="s">
        <v>9034</v>
      </c>
      <c r="C5661" s="115">
        <v>3</v>
      </c>
      <c r="D5661" s="115" t="s">
        <v>9035</v>
      </c>
      <c r="E5661" s="115" t="s">
        <v>9036</v>
      </c>
    </row>
    <row r="5662" spans="1:5" x14ac:dyDescent="0.25">
      <c r="B5662" s="115" t="s">
        <v>1210</v>
      </c>
      <c r="D5662" s="115" t="s">
        <v>9037</v>
      </c>
      <c r="E5662" s="115" t="s">
        <v>9038</v>
      </c>
    </row>
    <row r="5663" spans="1:5" x14ac:dyDescent="0.25">
      <c r="B5663" s="115" t="s">
        <v>1139</v>
      </c>
      <c r="D5663" s="115" t="s">
        <v>1140</v>
      </c>
      <c r="E5663" s="115" t="s">
        <v>9039</v>
      </c>
    </row>
    <row r="5664" spans="1:5" x14ac:dyDescent="0.25">
      <c r="B5664" s="115" t="s">
        <v>9040</v>
      </c>
      <c r="C5664" s="115">
        <v>-3</v>
      </c>
      <c r="D5664" s="115" t="s">
        <v>9041</v>
      </c>
      <c r="E5664" s="115" t="s">
        <v>9042</v>
      </c>
    </row>
    <row r="5665" spans="1:5" x14ac:dyDescent="0.25">
      <c r="B5665" s="115" t="s">
        <v>1587</v>
      </c>
      <c r="D5665" s="115" t="s">
        <v>9043</v>
      </c>
      <c r="E5665" s="115" t="s">
        <v>1141</v>
      </c>
    </row>
    <row r="5666" spans="1:5" x14ac:dyDescent="0.25">
      <c r="B5666" s="115" t="s">
        <v>5067</v>
      </c>
      <c r="D5666" s="115" t="s">
        <v>1140</v>
      </c>
      <c r="E5666" s="115" t="s">
        <v>9044</v>
      </c>
    </row>
    <row r="5667" spans="1:5" x14ac:dyDescent="0.25">
      <c r="B5667" s="115" t="s">
        <v>9045</v>
      </c>
      <c r="D5667" s="115" t="s">
        <v>1140</v>
      </c>
      <c r="E5667" s="115" t="s">
        <v>9046</v>
      </c>
    </row>
    <row r="5668" spans="1:5" x14ac:dyDescent="0.25">
      <c r="B5668" s="115" t="s">
        <v>1376</v>
      </c>
      <c r="D5668" s="115" t="s">
        <v>9047</v>
      </c>
      <c r="E5668" s="115" t="s">
        <v>9048</v>
      </c>
    </row>
    <row r="5669" spans="1:5" x14ac:dyDescent="0.25">
      <c r="B5669" s="115" t="s">
        <v>1239</v>
      </c>
      <c r="D5669" s="115" t="s">
        <v>9049</v>
      </c>
      <c r="E5669" s="115" t="s">
        <v>9050</v>
      </c>
    </row>
    <row r="5670" spans="1:5" x14ac:dyDescent="0.25">
      <c r="B5670" s="115" t="s">
        <v>9051</v>
      </c>
      <c r="D5670" s="115" t="s">
        <v>9052</v>
      </c>
      <c r="E5670" s="115" t="s">
        <v>9053</v>
      </c>
    </row>
    <row r="5671" spans="1:5" x14ac:dyDescent="0.25">
      <c r="A5671" s="115" t="s">
        <v>1138</v>
      </c>
      <c r="B5671" s="115" t="s">
        <v>9054</v>
      </c>
      <c r="D5671" s="115" t="s">
        <v>9055</v>
      </c>
      <c r="E5671" s="115" t="s">
        <v>9056</v>
      </c>
    </row>
    <row r="5672" spans="1:5" x14ac:dyDescent="0.25">
      <c r="A5672" s="115" t="s">
        <v>1138</v>
      </c>
      <c r="B5672" s="115" t="s">
        <v>9057</v>
      </c>
      <c r="D5672" s="115" t="s">
        <v>1991</v>
      </c>
      <c r="E5672" s="115" t="s">
        <v>9058</v>
      </c>
    </row>
    <row r="5673" spans="1:5" x14ac:dyDescent="0.25">
      <c r="B5673" s="126">
        <v>12419</v>
      </c>
      <c r="D5673" s="115" t="s">
        <v>9059</v>
      </c>
      <c r="E5673" s="115" t="s">
        <v>9060</v>
      </c>
    </row>
    <row r="5674" spans="1:5" x14ac:dyDescent="0.25">
      <c r="A5674" s="115" t="s">
        <v>1138</v>
      </c>
      <c r="B5674" s="115" t="s">
        <v>9061</v>
      </c>
      <c r="D5674" s="115" t="s">
        <v>9062</v>
      </c>
      <c r="E5674" s="115" t="s">
        <v>9063</v>
      </c>
    </row>
    <row r="5675" spans="1:5" x14ac:dyDescent="0.25">
      <c r="B5675" s="115" t="s">
        <v>1675</v>
      </c>
      <c r="D5675" s="115" t="s">
        <v>3275</v>
      </c>
      <c r="E5675" s="115" t="s">
        <v>9064</v>
      </c>
    </row>
    <row r="5676" spans="1:5" x14ac:dyDescent="0.25">
      <c r="B5676" s="115" t="s">
        <v>1489</v>
      </c>
      <c r="D5676" s="115" t="s">
        <v>9065</v>
      </c>
      <c r="E5676" s="115" t="s">
        <v>9066</v>
      </c>
    </row>
    <row r="5677" spans="1:5" x14ac:dyDescent="0.25">
      <c r="B5677" s="115" t="s">
        <v>1144</v>
      </c>
      <c r="D5677" s="115" t="s">
        <v>9067</v>
      </c>
      <c r="E5677" s="115" t="s">
        <v>9068</v>
      </c>
    </row>
    <row r="5678" spans="1:5" x14ac:dyDescent="0.25">
      <c r="B5678" s="115" t="s">
        <v>1139</v>
      </c>
      <c r="D5678" s="115" t="s">
        <v>9069</v>
      </c>
      <c r="E5678" s="115" t="s">
        <v>9070</v>
      </c>
    </row>
    <row r="5679" spans="1:5" x14ac:dyDescent="0.25">
      <c r="B5679" s="115" t="s">
        <v>1139</v>
      </c>
      <c r="D5679" s="115" t="s">
        <v>9071</v>
      </c>
      <c r="E5679" s="115" t="s">
        <v>9072</v>
      </c>
    </row>
    <row r="5680" spans="1:5" x14ac:dyDescent="0.25">
      <c r="A5680" s="115">
        <v>-3</v>
      </c>
      <c r="B5680" s="115" t="s">
        <v>9073</v>
      </c>
      <c r="D5680" s="115" t="s">
        <v>9074</v>
      </c>
      <c r="E5680" s="115" t="s">
        <v>9075</v>
      </c>
    </row>
    <row r="5681" spans="1:5" x14ac:dyDescent="0.25">
      <c r="A5681" s="115">
        <v>1</v>
      </c>
      <c r="B5681" s="115" t="s">
        <v>1158</v>
      </c>
      <c r="D5681" s="115" t="s">
        <v>9076</v>
      </c>
      <c r="E5681" s="115" t="s">
        <v>9077</v>
      </c>
    </row>
    <row r="5682" spans="1:5" x14ac:dyDescent="0.25">
      <c r="A5682" s="115">
        <v>-1</v>
      </c>
      <c r="B5682" s="115" t="s">
        <v>9078</v>
      </c>
      <c r="D5682" s="115" t="s">
        <v>9079</v>
      </c>
      <c r="E5682" s="115" t="s">
        <v>1141</v>
      </c>
    </row>
    <row r="5683" spans="1:5" x14ac:dyDescent="0.25">
      <c r="B5683" s="115" t="s">
        <v>9080</v>
      </c>
      <c r="D5683" s="115" t="s">
        <v>9081</v>
      </c>
      <c r="E5683" s="115" t="s">
        <v>9082</v>
      </c>
    </row>
    <row r="5684" spans="1:5" x14ac:dyDescent="0.25">
      <c r="B5684" s="115" t="s">
        <v>7798</v>
      </c>
      <c r="D5684" s="115" t="s">
        <v>1525</v>
      </c>
      <c r="E5684" s="115" t="s">
        <v>9083</v>
      </c>
    </row>
    <row r="5685" spans="1:5" x14ac:dyDescent="0.25">
      <c r="B5685" s="115" t="s">
        <v>1139</v>
      </c>
      <c r="D5685" s="115" t="s">
        <v>1140</v>
      </c>
      <c r="E5685" s="115" t="s">
        <v>1141</v>
      </c>
    </row>
    <row r="5686" spans="1:5" x14ac:dyDescent="0.25">
      <c r="B5686" s="115" t="s">
        <v>1139</v>
      </c>
      <c r="D5686" s="115" t="s">
        <v>2682</v>
      </c>
      <c r="E5686" s="115" t="s">
        <v>2537</v>
      </c>
    </row>
    <row r="5687" spans="1:5" x14ac:dyDescent="0.25">
      <c r="B5687" s="115" t="s">
        <v>9084</v>
      </c>
      <c r="D5687" s="115" t="s">
        <v>9085</v>
      </c>
      <c r="E5687" s="115" t="s">
        <v>9086</v>
      </c>
    </row>
    <row r="5688" spans="1:5" x14ac:dyDescent="0.25">
      <c r="B5688" s="115" t="s">
        <v>4491</v>
      </c>
      <c r="D5688" s="115" t="s">
        <v>9087</v>
      </c>
      <c r="E5688" s="115" t="s">
        <v>9088</v>
      </c>
    </row>
    <row r="5689" spans="1:5" x14ac:dyDescent="0.25">
      <c r="A5689" s="115">
        <v>1</v>
      </c>
      <c r="B5689" s="115" t="s">
        <v>9089</v>
      </c>
      <c r="D5689" s="115" t="s">
        <v>9090</v>
      </c>
      <c r="E5689" s="115" t="s">
        <v>9091</v>
      </c>
    </row>
    <row r="5690" spans="1:5" x14ac:dyDescent="0.25">
      <c r="A5690" s="115">
        <v>2</v>
      </c>
      <c r="B5690" s="115" t="s">
        <v>9092</v>
      </c>
      <c r="D5690" s="115" t="s">
        <v>9093</v>
      </c>
      <c r="E5690" s="115" t="s">
        <v>9094</v>
      </c>
    </row>
    <row r="5691" spans="1:5" x14ac:dyDescent="0.25">
      <c r="A5691" s="115" t="s">
        <v>1138</v>
      </c>
      <c r="B5691" s="115" t="s">
        <v>9095</v>
      </c>
      <c r="D5691" s="115" t="s">
        <v>9096</v>
      </c>
      <c r="E5691" s="115" t="s">
        <v>9097</v>
      </c>
    </row>
    <row r="5692" spans="1:5" x14ac:dyDescent="0.25">
      <c r="A5692" s="115" t="s">
        <v>1138</v>
      </c>
      <c r="B5692" s="115" t="s">
        <v>9098</v>
      </c>
      <c r="D5692" s="115" t="s">
        <v>9099</v>
      </c>
      <c r="E5692" s="115" t="s">
        <v>9100</v>
      </c>
    </row>
    <row r="5693" spans="1:5" x14ac:dyDescent="0.25">
      <c r="A5693" s="115">
        <v>35</v>
      </c>
      <c r="B5693" s="115" t="s">
        <v>9101</v>
      </c>
      <c r="C5693" s="115">
        <v>3</v>
      </c>
      <c r="D5693" s="115" t="s">
        <v>9102</v>
      </c>
      <c r="E5693" s="115" t="s">
        <v>9103</v>
      </c>
    </row>
    <row r="5694" spans="1:5" x14ac:dyDescent="0.25">
      <c r="A5694" s="115">
        <v>34</v>
      </c>
      <c r="B5694" s="115" t="s">
        <v>9104</v>
      </c>
      <c r="C5694" s="115">
        <v>-3</v>
      </c>
      <c r="D5694" s="115" t="s">
        <v>9105</v>
      </c>
      <c r="E5694" s="115" t="s">
        <v>9106</v>
      </c>
    </row>
    <row r="5695" spans="1:5" x14ac:dyDescent="0.25">
      <c r="B5695" s="115" t="s">
        <v>1139</v>
      </c>
      <c r="D5695" s="115" t="s">
        <v>9107</v>
      </c>
      <c r="E5695" s="115" t="s">
        <v>1141</v>
      </c>
    </row>
    <row r="5696" spans="1:5" x14ac:dyDescent="0.25">
      <c r="B5696" s="115" t="s">
        <v>1139</v>
      </c>
      <c r="D5696" s="115" t="s">
        <v>9108</v>
      </c>
      <c r="E5696" s="115" t="s">
        <v>9109</v>
      </c>
    </row>
    <row r="5697" spans="1:5" x14ac:dyDescent="0.25">
      <c r="B5697" s="115" t="s">
        <v>9110</v>
      </c>
      <c r="D5697" s="115" t="s">
        <v>9111</v>
      </c>
      <c r="E5697" s="115" t="s">
        <v>9112</v>
      </c>
    </row>
    <row r="5698" spans="1:5" x14ac:dyDescent="0.25">
      <c r="B5698" s="115" t="s">
        <v>1157</v>
      </c>
      <c r="D5698" s="115" t="s">
        <v>1140</v>
      </c>
      <c r="E5698" s="115" t="s">
        <v>9113</v>
      </c>
    </row>
    <row r="5699" spans="1:5" x14ac:dyDescent="0.25">
      <c r="B5699" s="115" t="s">
        <v>1139</v>
      </c>
      <c r="D5699" s="115" t="s">
        <v>9114</v>
      </c>
      <c r="E5699" s="115" t="s">
        <v>9115</v>
      </c>
    </row>
    <row r="5700" spans="1:5" x14ac:dyDescent="0.25">
      <c r="B5700" s="115" t="s">
        <v>1139</v>
      </c>
      <c r="D5700" s="115" t="s">
        <v>9116</v>
      </c>
      <c r="E5700" s="115" t="s">
        <v>9117</v>
      </c>
    </row>
    <row r="5701" spans="1:5" x14ac:dyDescent="0.25">
      <c r="B5701" s="115" t="s">
        <v>9118</v>
      </c>
      <c r="D5701" s="115" t="s">
        <v>9119</v>
      </c>
      <c r="E5701" s="115" t="s">
        <v>9120</v>
      </c>
    </row>
    <row r="5702" spans="1:5" x14ac:dyDescent="0.25">
      <c r="B5702" s="115" t="s">
        <v>9121</v>
      </c>
      <c r="D5702" s="115" t="s">
        <v>9122</v>
      </c>
      <c r="E5702" s="115" t="s">
        <v>9123</v>
      </c>
    </row>
    <row r="5703" spans="1:5" x14ac:dyDescent="0.25">
      <c r="A5703" s="115">
        <v>1</v>
      </c>
      <c r="B5703" s="115" t="s">
        <v>9124</v>
      </c>
      <c r="D5703" s="115" t="s">
        <v>9125</v>
      </c>
      <c r="E5703" s="115" t="s">
        <v>9126</v>
      </c>
    </row>
    <row r="5704" spans="1:5" x14ac:dyDescent="0.25">
      <c r="A5704" s="115" t="s">
        <v>1138</v>
      </c>
      <c r="B5704" s="115" t="s">
        <v>9127</v>
      </c>
      <c r="D5704" s="115" t="s">
        <v>9128</v>
      </c>
      <c r="E5704" s="115" t="s">
        <v>9129</v>
      </c>
    </row>
    <row r="5705" spans="1:5" x14ac:dyDescent="0.25">
      <c r="B5705" s="115" t="s">
        <v>1916</v>
      </c>
      <c r="D5705" s="115" t="s">
        <v>9130</v>
      </c>
      <c r="E5705" s="115" t="s">
        <v>9131</v>
      </c>
    </row>
    <row r="5706" spans="1:5" x14ac:dyDescent="0.25">
      <c r="B5706" s="115" t="s">
        <v>9132</v>
      </c>
      <c r="D5706" s="115" t="s">
        <v>9133</v>
      </c>
      <c r="E5706" s="115" t="s">
        <v>9134</v>
      </c>
    </row>
    <row r="5707" spans="1:5" x14ac:dyDescent="0.25">
      <c r="B5707" s="115" t="s">
        <v>1139</v>
      </c>
      <c r="D5707" s="115" t="s">
        <v>9135</v>
      </c>
      <c r="E5707" s="115" t="s">
        <v>9136</v>
      </c>
    </row>
    <row r="5708" spans="1:5" x14ac:dyDescent="0.25">
      <c r="B5708" s="115" t="s">
        <v>9137</v>
      </c>
      <c r="D5708" s="115" t="s">
        <v>9138</v>
      </c>
      <c r="E5708" s="115" t="s">
        <v>9139</v>
      </c>
    </row>
    <row r="5709" spans="1:5" x14ac:dyDescent="0.25">
      <c r="A5709" s="115" t="s">
        <v>1138</v>
      </c>
      <c r="B5709" s="115" t="s">
        <v>9140</v>
      </c>
      <c r="D5709" s="115" t="s">
        <v>9141</v>
      </c>
      <c r="E5709" s="115" t="s">
        <v>9142</v>
      </c>
    </row>
    <row r="5710" spans="1:5" x14ac:dyDescent="0.25">
      <c r="B5710" s="115" t="s">
        <v>8189</v>
      </c>
      <c r="D5710" s="115" t="s">
        <v>9143</v>
      </c>
      <c r="E5710" s="115" t="s">
        <v>1141</v>
      </c>
    </row>
    <row r="5711" spans="1:5" x14ac:dyDescent="0.25">
      <c r="B5711" s="115" t="s">
        <v>9144</v>
      </c>
      <c r="D5711" s="115" t="s">
        <v>9145</v>
      </c>
      <c r="E5711" s="115" t="s">
        <v>2537</v>
      </c>
    </row>
    <row r="5712" spans="1:5" x14ac:dyDescent="0.25">
      <c r="B5712" s="115" t="s">
        <v>9146</v>
      </c>
      <c r="C5712" s="115" t="s">
        <v>1138</v>
      </c>
      <c r="D5712" s="115" t="s">
        <v>9147</v>
      </c>
      <c r="E5712" s="115" t="s">
        <v>9148</v>
      </c>
    </row>
    <row r="5713" spans="1:5" x14ac:dyDescent="0.25">
      <c r="B5713" s="115" t="s">
        <v>9149</v>
      </c>
      <c r="D5713" s="115" t="s">
        <v>9150</v>
      </c>
      <c r="E5713" s="115" t="s">
        <v>9151</v>
      </c>
    </row>
    <row r="5714" spans="1:5" x14ac:dyDescent="0.25">
      <c r="B5714" s="115" t="s">
        <v>9152</v>
      </c>
      <c r="C5714" s="115" t="s">
        <v>1138</v>
      </c>
      <c r="D5714" s="115" t="s">
        <v>9153</v>
      </c>
      <c r="E5714" s="115" t="s">
        <v>9154</v>
      </c>
    </row>
    <row r="5715" spans="1:5" x14ac:dyDescent="0.25">
      <c r="B5715" s="115" t="s">
        <v>1139</v>
      </c>
      <c r="D5715" s="115" t="s">
        <v>1140</v>
      </c>
      <c r="E5715" s="115" t="s">
        <v>9155</v>
      </c>
    </row>
    <row r="5716" spans="1:5" x14ac:dyDescent="0.25">
      <c r="A5716" s="115" t="s">
        <v>1138</v>
      </c>
      <c r="B5716" s="115" t="s">
        <v>9156</v>
      </c>
      <c r="D5716" s="115" t="s">
        <v>9157</v>
      </c>
      <c r="E5716" s="115" t="s">
        <v>9158</v>
      </c>
    </row>
    <row r="5717" spans="1:5" x14ac:dyDescent="0.25">
      <c r="B5717" s="115" t="s">
        <v>1139</v>
      </c>
      <c r="D5717" s="115" t="s">
        <v>9159</v>
      </c>
      <c r="E5717" s="115" t="s">
        <v>1819</v>
      </c>
    </row>
    <row r="5718" spans="1:5" x14ac:dyDescent="0.25">
      <c r="B5718" s="115" t="s">
        <v>1139</v>
      </c>
      <c r="D5718" s="115" t="s">
        <v>1140</v>
      </c>
      <c r="E5718" s="115" t="s">
        <v>1141</v>
      </c>
    </row>
    <row r="5719" spans="1:5" x14ac:dyDescent="0.25">
      <c r="B5719" s="115" t="s">
        <v>9160</v>
      </c>
      <c r="D5719" s="115" t="s">
        <v>1140</v>
      </c>
      <c r="E5719" s="115" t="s">
        <v>9161</v>
      </c>
    </row>
    <row r="5720" spans="1:5" x14ac:dyDescent="0.25">
      <c r="A5720" s="115">
        <v>8</v>
      </c>
      <c r="B5720" s="115" t="s">
        <v>9162</v>
      </c>
      <c r="D5720" s="115" t="s">
        <v>9163</v>
      </c>
      <c r="E5720" s="115" t="s">
        <v>9164</v>
      </c>
    </row>
    <row r="5721" spans="1:5" x14ac:dyDescent="0.25">
      <c r="A5721" s="115">
        <v>7</v>
      </c>
      <c r="B5721" s="115" t="s">
        <v>9165</v>
      </c>
      <c r="C5721" s="115" t="s">
        <v>1138</v>
      </c>
      <c r="D5721" s="115" t="s">
        <v>9166</v>
      </c>
      <c r="E5721" s="115" t="s">
        <v>9167</v>
      </c>
    </row>
    <row r="5722" spans="1:5" x14ac:dyDescent="0.25">
      <c r="A5722" s="115">
        <v>-1</v>
      </c>
      <c r="B5722" s="115" t="s">
        <v>9168</v>
      </c>
      <c r="D5722" s="115" t="s">
        <v>9169</v>
      </c>
      <c r="E5722" s="115" t="s">
        <v>9170</v>
      </c>
    </row>
    <row r="5723" spans="1:5" x14ac:dyDescent="0.25">
      <c r="B5723" s="115" t="s">
        <v>9171</v>
      </c>
      <c r="D5723" s="115" t="s">
        <v>9172</v>
      </c>
      <c r="E5723" s="115" t="s">
        <v>9173</v>
      </c>
    </row>
    <row r="5724" spans="1:5" x14ac:dyDescent="0.25">
      <c r="A5724" s="115" t="s">
        <v>1138</v>
      </c>
      <c r="B5724" s="115" t="s">
        <v>9174</v>
      </c>
      <c r="D5724" s="115" t="s">
        <v>9175</v>
      </c>
      <c r="E5724" s="115" t="s">
        <v>9176</v>
      </c>
    </row>
    <row r="5725" spans="1:5" x14ac:dyDescent="0.25">
      <c r="B5725" s="115" t="s">
        <v>9177</v>
      </c>
      <c r="D5725" s="115" t="s">
        <v>9178</v>
      </c>
      <c r="E5725" s="115" t="s">
        <v>9179</v>
      </c>
    </row>
    <row r="5726" spans="1:5" x14ac:dyDescent="0.25">
      <c r="A5726" s="115">
        <v>33</v>
      </c>
      <c r="B5726" s="115" t="s">
        <v>9180</v>
      </c>
      <c r="C5726" s="115">
        <v>3</v>
      </c>
      <c r="D5726" s="115" t="s">
        <v>9181</v>
      </c>
      <c r="E5726" s="115" t="s">
        <v>9182</v>
      </c>
    </row>
    <row r="5727" spans="1:5" x14ac:dyDescent="0.25">
      <c r="B5727" s="127">
        <v>41545</v>
      </c>
      <c r="D5727" s="115" t="s">
        <v>4858</v>
      </c>
      <c r="E5727" s="115" t="s">
        <v>9183</v>
      </c>
    </row>
    <row r="5728" spans="1:5" x14ac:dyDescent="0.25">
      <c r="B5728" s="115" t="s">
        <v>9184</v>
      </c>
      <c r="D5728" s="115" t="s">
        <v>1140</v>
      </c>
      <c r="E5728" s="115" t="s">
        <v>1141</v>
      </c>
    </row>
    <row r="5729" spans="1:5" x14ac:dyDescent="0.25">
      <c r="B5729" s="115" t="s">
        <v>9185</v>
      </c>
      <c r="D5729" s="115" t="s">
        <v>9186</v>
      </c>
      <c r="E5729" s="115" t="s">
        <v>9187</v>
      </c>
    </row>
    <row r="5730" spans="1:5" x14ac:dyDescent="0.25">
      <c r="B5730" s="115" t="s">
        <v>1139</v>
      </c>
      <c r="D5730" s="115" t="s">
        <v>9188</v>
      </c>
      <c r="E5730" s="115" t="s">
        <v>9189</v>
      </c>
    </row>
    <row r="5731" spans="1:5" x14ac:dyDescent="0.25">
      <c r="B5731" s="115" t="s">
        <v>1139</v>
      </c>
      <c r="D5731" s="115" t="s">
        <v>9190</v>
      </c>
      <c r="E5731" s="115" t="s">
        <v>1141</v>
      </c>
    </row>
    <row r="5732" spans="1:5" x14ac:dyDescent="0.25">
      <c r="B5732" s="115" t="s">
        <v>1386</v>
      </c>
      <c r="C5732" s="115">
        <v>-5</v>
      </c>
      <c r="D5732" s="115" t="s">
        <v>9191</v>
      </c>
      <c r="E5732" s="115" t="s">
        <v>9192</v>
      </c>
    </row>
    <row r="5733" spans="1:5" x14ac:dyDescent="0.25">
      <c r="B5733" s="115" t="s">
        <v>9193</v>
      </c>
      <c r="D5733" s="115" t="s">
        <v>9194</v>
      </c>
      <c r="E5733" s="115" t="s">
        <v>9195</v>
      </c>
    </row>
    <row r="5734" spans="1:5" x14ac:dyDescent="0.25">
      <c r="A5734" s="115" t="s">
        <v>1138</v>
      </c>
      <c r="B5734" s="115" t="s">
        <v>9196</v>
      </c>
      <c r="D5734" s="115" t="s">
        <v>9197</v>
      </c>
      <c r="E5734" s="115" t="s">
        <v>9198</v>
      </c>
    </row>
    <row r="5735" spans="1:5" x14ac:dyDescent="0.25">
      <c r="B5735" s="115" t="s">
        <v>9199</v>
      </c>
      <c r="C5735" s="115">
        <v>-6</v>
      </c>
      <c r="D5735" s="115" t="s">
        <v>9200</v>
      </c>
      <c r="E5735" s="115" t="s">
        <v>9201</v>
      </c>
    </row>
    <row r="5736" spans="1:5" x14ac:dyDescent="0.25">
      <c r="A5736" s="115">
        <v>1</v>
      </c>
      <c r="B5736" s="115" t="s">
        <v>9202</v>
      </c>
      <c r="D5736" s="115" t="s">
        <v>9203</v>
      </c>
      <c r="E5736" s="115" t="s">
        <v>9204</v>
      </c>
    </row>
    <row r="5737" spans="1:5" x14ac:dyDescent="0.25">
      <c r="A5737" s="115">
        <v>1</v>
      </c>
      <c r="B5737" s="115" t="s">
        <v>9205</v>
      </c>
      <c r="D5737" s="115" t="s">
        <v>9206</v>
      </c>
      <c r="E5737" s="115" t="s">
        <v>9207</v>
      </c>
    </row>
    <row r="5738" spans="1:5" x14ac:dyDescent="0.25">
      <c r="B5738" s="115" t="s">
        <v>1530</v>
      </c>
      <c r="C5738" s="115">
        <v>-6</v>
      </c>
      <c r="D5738" s="115" t="s">
        <v>9208</v>
      </c>
      <c r="E5738" s="115" t="s">
        <v>9209</v>
      </c>
    </row>
    <row r="5739" spans="1:5" x14ac:dyDescent="0.25">
      <c r="B5739" s="115" t="s">
        <v>1363</v>
      </c>
      <c r="D5739" s="115" t="s">
        <v>9210</v>
      </c>
      <c r="E5739" s="115" t="s">
        <v>9211</v>
      </c>
    </row>
    <row r="5740" spans="1:5" x14ac:dyDescent="0.25">
      <c r="B5740" s="115" t="s">
        <v>1173</v>
      </c>
      <c r="D5740" s="115" t="s">
        <v>9212</v>
      </c>
      <c r="E5740" s="115" t="s">
        <v>9213</v>
      </c>
    </row>
    <row r="5741" spans="1:5" x14ac:dyDescent="0.25">
      <c r="B5741" s="115" t="s">
        <v>9214</v>
      </c>
      <c r="C5741" s="115">
        <v>-6</v>
      </c>
      <c r="D5741" s="115" t="s">
        <v>9215</v>
      </c>
      <c r="E5741" s="115" t="s">
        <v>9216</v>
      </c>
    </row>
    <row r="5742" spans="1:5" x14ac:dyDescent="0.25">
      <c r="A5742" s="115">
        <v>-3</v>
      </c>
      <c r="B5742" s="115" t="s">
        <v>9217</v>
      </c>
      <c r="D5742" s="115" t="s">
        <v>9218</v>
      </c>
      <c r="E5742" s="115" t="s">
        <v>9219</v>
      </c>
    </row>
    <row r="5743" spans="1:5" x14ac:dyDescent="0.25">
      <c r="A5743" s="115" t="s">
        <v>1138</v>
      </c>
      <c r="B5743" s="115" t="s">
        <v>1232</v>
      </c>
      <c r="D5743" s="115" t="s">
        <v>1140</v>
      </c>
      <c r="E5743" s="115" t="s">
        <v>9220</v>
      </c>
    </row>
    <row r="5744" spans="1:5" x14ac:dyDescent="0.25">
      <c r="B5744" s="115" t="s">
        <v>9221</v>
      </c>
      <c r="C5744" s="115">
        <v>-6</v>
      </c>
      <c r="D5744" s="115" t="s">
        <v>9222</v>
      </c>
      <c r="E5744" s="115" t="s">
        <v>9223</v>
      </c>
    </row>
    <row r="5745" spans="1:5" x14ac:dyDescent="0.25">
      <c r="A5745" s="115">
        <v>-1</v>
      </c>
      <c r="B5745" s="115" t="s">
        <v>9224</v>
      </c>
      <c r="D5745" s="115" t="s">
        <v>9225</v>
      </c>
      <c r="E5745" s="115" t="s">
        <v>9226</v>
      </c>
    </row>
    <row r="5746" spans="1:5" x14ac:dyDescent="0.25">
      <c r="A5746" s="115">
        <v>-1</v>
      </c>
      <c r="B5746" s="115" t="s">
        <v>1236</v>
      </c>
      <c r="D5746" s="115" t="s">
        <v>9227</v>
      </c>
      <c r="E5746" s="115" t="s">
        <v>9228</v>
      </c>
    </row>
    <row r="5747" spans="1:5" x14ac:dyDescent="0.25">
      <c r="A5747" s="115">
        <v>1</v>
      </c>
      <c r="B5747" s="115" t="s">
        <v>9229</v>
      </c>
      <c r="D5747" s="115" t="s">
        <v>9230</v>
      </c>
      <c r="E5747" s="115" t="s">
        <v>9231</v>
      </c>
    </row>
    <row r="5748" spans="1:5" x14ac:dyDescent="0.25">
      <c r="B5748" s="115" t="s">
        <v>1139</v>
      </c>
      <c r="D5748" s="115" t="s">
        <v>9232</v>
      </c>
      <c r="E5748" s="115" t="s">
        <v>9233</v>
      </c>
    </row>
    <row r="5749" spans="1:5" x14ac:dyDescent="0.25">
      <c r="B5749" s="115" t="s">
        <v>1139</v>
      </c>
      <c r="D5749" s="115" t="s">
        <v>9234</v>
      </c>
      <c r="E5749" s="115" t="s">
        <v>1894</v>
      </c>
    </row>
    <row r="5750" spans="1:5" x14ac:dyDescent="0.25">
      <c r="B5750" s="115" t="s">
        <v>9235</v>
      </c>
      <c r="D5750" s="115" t="s">
        <v>9236</v>
      </c>
      <c r="E5750" s="115" t="s">
        <v>1141</v>
      </c>
    </row>
    <row r="5751" spans="1:5" x14ac:dyDescent="0.25">
      <c r="B5751" s="115" t="s">
        <v>1139</v>
      </c>
      <c r="D5751" s="115" t="s">
        <v>1140</v>
      </c>
      <c r="E5751" s="115" t="s">
        <v>9237</v>
      </c>
    </row>
    <row r="5752" spans="1:5" x14ac:dyDescent="0.25">
      <c r="B5752" s="115" t="s">
        <v>1139</v>
      </c>
      <c r="D5752" s="115" t="s">
        <v>9238</v>
      </c>
      <c r="E5752" s="115" t="s">
        <v>9239</v>
      </c>
    </row>
    <row r="5753" spans="1:5" x14ac:dyDescent="0.25">
      <c r="A5753" s="115">
        <v>-2</v>
      </c>
      <c r="B5753" s="115" t="s">
        <v>9240</v>
      </c>
      <c r="D5753" s="115" t="s">
        <v>9241</v>
      </c>
      <c r="E5753" s="115" t="s">
        <v>9242</v>
      </c>
    </row>
    <row r="5754" spans="1:5" x14ac:dyDescent="0.25">
      <c r="B5754" s="115" t="s">
        <v>9243</v>
      </c>
      <c r="D5754" s="115" t="s">
        <v>9244</v>
      </c>
      <c r="E5754" s="115" t="s">
        <v>9245</v>
      </c>
    </row>
    <row r="5755" spans="1:5" x14ac:dyDescent="0.25">
      <c r="A5755" s="115">
        <v>2</v>
      </c>
      <c r="B5755" s="115" t="s">
        <v>9246</v>
      </c>
      <c r="C5755" s="115" t="s">
        <v>1138</v>
      </c>
      <c r="D5755" s="115" t="s">
        <v>9247</v>
      </c>
      <c r="E5755" s="115" t="s">
        <v>9248</v>
      </c>
    </row>
    <row r="5756" spans="1:5" x14ac:dyDescent="0.25">
      <c r="B5756" s="115" t="s">
        <v>9249</v>
      </c>
      <c r="D5756" s="115" t="s">
        <v>9250</v>
      </c>
      <c r="E5756" s="115" t="s">
        <v>9251</v>
      </c>
    </row>
    <row r="5757" spans="1:5" x14ac:dyDescent="0.25">
      <c r="A5757" s="115" t="s">
        <v>1138</v>
      </c>
      <c r="B5757" s="115" t="s">
        <v>9252</v>
      </c>
      <c r="D5757" s="115" t="s">
        <v>9253</v>
      </c>
      <c r="E5757" s="115" t="s">
        <v>9254</v>
      </c>
    </row>
    <row r="5758" spans="1:5" x14ac:dyDescent="0.25">
      <c r="B5758" s="115" t="s">
        <v>9255</v>
      </c>
      <c r="C5758" s="115">
        <v>3</v>
      </c>
      <c r="D5758" s="115" t="s">
        <v>9256</v>
      </c>
      <c r="E5758" s="115" t="s">
        <v>9257</v>
      </c>
    </row>
    <row r="5759" spans="1:5" x14ac:dyDescent="0.25">
      <c r="A5759" s="115">
        <v>40</v>
      </c>
      <c r="B5759" s="115" t="s">
        <v>9258</v>
      </c>
      <c r="C5759" s="115">
        <v>4</v>
      </c>
      <c r="D5759" s="115" t="s">
        <v>9259</v>
      </c>
      <c r="E5759" s="115" t="s">
        <v>9260</v>
      </c>
    </row>
    <row r="5760" spans="1:5" x14ac:dyDescent="0.25">
      <c r="B5760" s="115" t="s">
        <v>1139</v>
      </c>
      <c r="D5760" s="115" t="s">
        <v>9261</v>
      </c>
      <c r="E5760" s="115" t="s">
        <v>9262</v>
      </c>
    </row>
    <row r="5761" spans="1:5" x14ac:dyDescent="0.25">
      <c r="B5761" s="115" t="s">
        <v>1139</v>
      </c>
      <c r="D5761" s="115" t="s">
        <v>1140</v>
      </c>
      <c r="E5761" s="115" t="s">
        <v>9263</v>
      </c>
    </row>
    <row r="5762" spans="1:5" x14ac:dyDescent="0.25">
      <c r="B5762" s="115" t="s">
        <v>1139</v>
      </c>
      <c r="D5762" s="115" t="s">
        <v>9264</v>
      </c>
      <c r="E5762" s="115" t="s">
        <v>9265</v>
      </c>
    </row>
    <row r="5763" spans="1:5" x14ac:dyDescent="0.25">
      <c r="B5763" s="115" t="s">
        <v>9266</v>
      </c>
      <c r="D5763" s="115" t="s">
        <v>3122</v>
      </c>
      <c r="E5763" s="115" t="s">
        <v>1759</v>
      </c>
    </row>
    <row r="5764" spans="1:5" x14ac:dyDescent="0.25">
      <c r="B5764" s="115" t="s">
        <v>5007</v>
      </c>
      <c r="D5764" s="115" t="s">
        <v>1140</v>
      </c>
      <c r="E5764" s="115" t="s">
        <v>9267</v>
      </c>
    </row>
    <row r="5765" spans="1:5" x14ac:dyDescent="0.25">
      <c r="A5765" s="115">
        <v>-55</v>
      </c>
      <c r="B5765" s="115" t="s">
        <v>1147</v>
      </c>
      <c r="D5765" s="115" t="s">
        <v>1274</v>
      </c>
      <c r="E5765" s="115" t="s">
        <v>9268</v>
      </c>
    </row>
    <row r="5766" spans="1:5" x14ac:dyDescent="0.25">
      <c r="B5766" s="115" t="s">
        <v>1139</v>
      </c>
      <c r="D5766" s="115" t="s">
        <v>9269</v>
      </c>
      <c r="E5766" s="115" t="s">
        <v>9270</v>
      </c>
    </row>
    <row r="5767" spans="1:5" x14ac:dyDescent="0.25">
      <c r="B5767" s="115">
        <f>-6    -50</f>
        <v>-56</v>
      </c>
      <c r="D5767" s="115" t="s">
        <v>1140</v>
      </c>
      <c r="E5767" s="115" t="s">
        <v>9271</v>
      </c>
    </row>
    <row r="5768" spans="1:5" x14ac:dyDescent="0.25">
      <c r="A5768" s="115">
        <v>-62</v>
      </c>
      <c r="B5768" s="115" t="s">
        <v>9272</v>
      </c>
      <c r="D5768" s="115" t="s">
        <v>9273</v>
      </c>
      <c r="E5768" s="115" t="s">
        <v>9274</v>
      </c>
    </row>
    <row r="5769" spans="1:5" x14ac:dyDescent="0.25">
      <c r="A5769" s="115" t="s">
        <v>1138</v>
      </c>
      <c r="B5769" s="115" t="s">
        <v>9275</v>
      </c>
      <c r="D5769" s="115" t="s">
        <v>9276</v>
      </c>
      <c r="E5769" s="115" t="s">
        <v>9277</v>
      </c>
    </row>
    <row r="5770" spans="1:5" x14ac:dyDescent="0.25">
      <c r="B5770" s="115" t="s">
        <v>9278</v>
      </c>
      <c r="D5770" s="115" t="s">
        <v>1140</v>
      </c>
      <c r="E5770" s="115" t="s">
        <v>9279</v>
      </c>
    </row>
    <row r="5771" spans="1:5" x14ac:dyDescent="0.25">
      <c r="A5771" s="115">
        <v>-60</v>
      </c>
      <c r="B5771" s="115" t="s">
        <v>9280</v>
      </c>
      <c r="D5771" s="115" t="s">
        <v>9281</v>
      </c>
      <c r="E5771" s="115" t="s">
        <v>9282</v>
      </c>
    </row>
    <row r="5772" spans="1:5" x14ac:dyDescent="0.25">
      <c r="B5772" s="115" t="s">
        <v>1665</v>
      </c>
      <c r="D5772" s="115" t="s">
        <v>9283</v>
      </c>
      <c r="E5772" s="115" t="s">
        <v>9284</v>
      </c>
    </row>
    <row r="5773" spans="1:5" x14ac:dyDescent="0.25">
      <c r="B5773" s="115" t="s">
        <v>9285</v>
      </c>
      <c r="D5773" s="115" t="s">
        <v>1140</v>
      </c>
      <c r="E5773" s="115" t="s">
        <v>9286</v>
      </c>
    </row>
    <row r="5774" spans="1:5" x14ac:dyDescent="0.25">
      <c r="A5774" s="115">
        <v>-57</v>
      </c>
      <c r="B5774" s="115" t="s">
        <v>9287</v>
      </c>
      <c r="D5774" s="115" t="s">
        <v>2302</v>
      </c>
      <c r="E5774" s="115" t="s">
        <v>9288</v>
      </c>
    </row>
    <row r="5775" spans="1:5" x14ac:dyDescent="0.25">
      <c r="B5775" s="115" t="s">
        <v>9289</v>
      </c>
      <c r="D5775" s="115" t="s">
        <v>9290</v>
      </c>
      <c r="E5775" s="115" t="s">
        <v>9291</v>
      </c>
    </row>
    <row r="5776" spans="1:5" x14ac:dyDescent="0.25">
      <c r="B5776" s="115" t="s">
        <v>1139</v>
      </c>
      <c r="D5776" s="115" t="s">
        <v>1140</v>
      </c>
      <c r="E5776" s="115" t="s">
        <v>9292</v>
      </c>
    </row>
    <row r="5777" spans="1:5" x14ac:dyDescent="0.25">
      <c r="A5777" s="115">
        <v>-68</v>
      </c>
      <c r="B5777" s="115" t="s">
        <v>1291</v>
      </c>
      <c r="D5777" s="115" t="s">
        <v>1140</v>
      </c>
      <c r="E5777" s="115" t="s">
        <v>9293</v>
      </c>
    </row>
    <row r="5778" spans="1:5" x14ac:dyDescent="0.25">
      <c r="A5778" s="115" t="s">
        <v>1138</v>
      </c>
      <c r="B5778" s="115" t="s">
        <v>9294</v>
      </c>
      <c r="D5778" s="115" t="s">
        <v>9295</v>
      </c>
      <c r="E5778" s="115" t="s">
        <v>9296</v>
      </c>
    </row>
    <row r="5779" spans="1:5" x14ac:dyDescent="0.25">
      <c r="B5779" s="115" t="s">
        <v>9297</v>
      </c>
      <c r="D5779" s="115" t="s">
        <v>1140</v>
      </c>
      <c r="E5779" s="115" t="s">
        <v>9298</v>
      </c>
    </row>
    <row r="5780" spans="1:5" x14ac:dyDescent="0.25">
      <c r="A5780" s="115">
        <v>1</v>
      </c>
      <c r="B5780" s="115" t="s">
        <v>9299</v>
      </c>
      <c r="D5780" s="115" t="s">
        <v>9300</v>
      </c>
      <c r="E5780" s="115" t="s">
        <v>1141</v>
      </c>
    </row>
    <row r="5781" spans="1:5" x14ac:dyDescent="0.25">
      <c r="B5781" s="115" t="s">
        <v>1139</v>
      </c>
      <c r="D5781" s="115" t="s">
        <v>9301</v>
      </c>
      <c r="E5781" s="115" t="s">
        <v>9302</v>
      </c>
    </row>
    <row r="5782" spans="1:5" x14ac:dyDescent="0.25">
      <c r="B5782" s="115" t="s">
        <v>6731</v>
      </c>
      <c r="D5782" s="115" t="s">
        <v>9303</v>
      </c>
      <c r="E5782" s="115" t="s">
        <v>9304</v>
      </c>
    </row>
    <row r="5783" spans="1:5" x14ac:dyDescent="0.25">
      <c r="A5783" s="115">
        <v>-2</v>
      </c>
      <c r="B5783" s="115" t="s">
        <v>1585</v>
      </c>
      <c r="D5783" s="115" t="s">
        <v>1140</v>
      </c>
      <c r="E5783" s="115" t="s">
        <v>1141</v>
      </c>
    </row>
    <row r="5784" spans="1:5" x14ac:dyDescent="0.25">
      <c r="B5784" s="115" t="s">
        <v>1139</v>
      </c>
      <c r="D5784" s="115" t="s">
        <v>1140</v>
      </c>
      <c r="E5784" s="115" t="s">
        <v>9305</v>
      </c>
    </row>
    <row r="5785" spans="1:5" x14ac:dyDescent="0.25">
      <c r="B5785" s="115" t="s">
        <v>1611</v>
      </c>
      <c r="D5785" s="115" t="s">
        <v>9306</v>
      </c>
      <c r="E5785" s="115" t="s">
        <v>9307</v>
      </c>
    </row>
    <row r="5786" spans="1:5" x14ac:dyDescent="0.25">
      <c r="B5786" s="115" t="s">
        <v>1139</v>
      </c>
      <c r="D5786" s="115" t="s">
        <v>9308</v>
      </c>
      <c r="E5786" s="115" t="s">
        <v>9309</v>
      </c>
    </row>
    <row r="5787" spans="1:5" x14ac:dyDescent="0.25">
      <c r="A5787" s="115">
        <v>2</v>
      </c>
      <c r="B5787" s="115" t="s">
        <v>9310</v>
      </c>
      <c r="D5787" s="115" t="s">
        <v>9311</v>
      </c>
      <c r="E5787" s="115" t="s">
        <v>9312</v>
      </c>
    </row>
    <row r="5788" spans="1:5" x14ac:dyDescent="0.25">
      <c r="A5788" s="115" t="s">
        <v>1138</v>
      </c>
      <c r="B5788" s="115" t="s">
        <v>9313</v>
      </c>
      <c r="D5788" s="115" t="s">
        <v>9314</v>
      </c>
      <c r="E5788" s="115" t="s">
        <v>9315</v>
      </c>
    </row>
    <row r="5789" spans="1:5" x14ac:dyDescent="0.25">
      <c r="B5789" s="115" t="s">
        <v>9316</v>
      </c>
      <c r="D5789" s="115" t="s">
        <v>9317</v>
      </c>
      <c r="E5789" s="115" t="s">
        <v>9318</v>
      </c>
    </row>
    <row r="5790" spans="1:5" x14ac:dyDescent="0.25">
      <c r="B5790" s="115" t="s">
        <v>9319</v>
      </c>
      <c r="D5790" s="115" t="s">
        <v>9320</v>
      </c>
      <c r="E5790" s="115" t="s">
        <v>9321</v>
      </c>
    </row>
    <row r="5791" spans="1:5" x14ac:dyDescent="0.25">
      <c r="A5791" s="115">
        <v>42</v>
      </c>
      <c r="B5791" s="115" t="s">
        <v>9322</v>
      </c>
      <c r="C5791" s="115">
        <v>4</v>
      </c>
      <c r="D5791" s="115" t="s">
        <v>9323</v>
      </c>
      <c r="E5791" s="115" t="s">
        <v>9324</v>
      </c>
    </row>
    <row r="5792" spans="1:5" x14ac:dyDescent="0.25">
      <c r="A5792" s="115">
        <v>47</v>
      </c>
      <c r="B5792" s="115" t="s">
        <v>9325</v>
      </c>
      <c r="C5792" s="115">
        <v>4</v>
      </c>
      <c r="D5792" s="115" t="s">
        <v>9326</v>
      </c>
      <c r="E5792" s="115" t="s">
        <v>9327</v>
      </c>
    </row>
    <row r="5793" spans="1:5" x14ac:dyDescent="0.25">
      <c r="B5793" s="115" t="s">
        <v>1369</v>
      </c>
      <c r="D5793" s="115" t="s">
        <v>9328</v>
      </c>
      <c r="E5793" s="115" t="s">
        <v>9329</v>
      </c>
    </row>
    <row r="5794" spans="1:5" x14ac:dyDescent="0.25">
      <c r="B5794" s="115" t="s">
        <v>1139</v>
      </c>
      <c r="D5794" s="115" t="s">
        <v>1140</v>
      </c>
      <c r="E5794" s="115" t="s">
        <v>9330</v>
      </c>
    </row>
    <row r="5795" spans="1:5" x14ac:dyDescent="0.25">
      <c r="B5795" s="115" t="s">
        <v>9331</v>
      </c>
      <c r="C5795" s="115">
        <v>-4</v>
      </c>
      <c r="D5795" s="115" t="s">
        <v>9332</v>
      </c>
      <c r="E5795" s="115" t="s">
        <v>9333</v>
      </c>
    </row>
    <row r="5796" spans="1:5" x14ac:dyDescent="0.25">
      <c r="B5796" s="115" t="s">
        <v>1252</v>
      </c>
      <c r="D5796" s="115" t="s">
        <v>1246</v>
      </c>
      <c r="E5796" s="115" t="s">
        <v>1141</v>
      </c>
    </row>
    <row r="5797" spans="1:5" x14ac:dyDescent="0.25">
      <c r="B5797" s="115" t="s">
        <v>1528</v>
      </c>
      <c r="D5797" s="115" t="s">
        <v>1140</v>
      </c>
      <c r="E5797" s="115" t="s">
        <v>9334</v>
      </c>
    </row>
    <row r="5798" spans="1:5" x14ac:dyDescent="0.25">
      <c r="B5798" s="115" t="s">
        <v>1216</v>
      </c>
      <c r="D5798" s="115" t="s">
        <v>1140</v>
      </c>
      <c r="E5798" s="115" t="s">
        <v>9335</v>
      </c>
    </row>
    <row r="5799" spans="1:5" x14ac:dyDescent="0.25">
      <c r="B5799" s="115" t="s">
        <v>9336</v>
      </c>
      <c r="D5799" s="115" t="s">
        <v>9337</v>
      </c>
      <c r="E5799" s="115" t="s">
        <v>9338</v>
      </c>
    </row>
    <row r="5800" spans="1:5" x14ac:dyDescent="0.25">
      <c r="A5800" s="115" t="s">
        <v>1138</v>
      </c>
      <c r="B5800" s="115" t="s">
        <v>1628</v>
      </c>
      <c r="D5800" s="115" t="s">
        <v>2625</v>
      </c>
      <c r="E5800" s="115" t="s">
        <v>9339</v>
      </c>
    </row>
    <row r="5801" spans="1:5" x14ac:dyDescent="0.25">
      <c r="B5801" s="115" t="s">
        <v>9340</v>
      </c>
      <c r="D5801" s="115" t="s">
        <v>9341</v>
      </c>
      <c r="E5801" s="115" t="s">
        <v>9342</v>
      </c>
    </row>
    <row r="5802" spans="1:5" x14ac:dyDescent="0.25">
      <c r="B5802" s="115" t="s">
        <v>9343</v>
      </c>
      <c r="D5802" s="115" t="s">
        <v>9344</v>
      </c>
      <c r="E5802" s="115" t="s">
        <v>9345</v>
      </c>
    </row>
    <row r="5803" spans="1:5" x14ac:dyDescent="0.25">
      <c r="B5803" s="115" t="s">
        <v>1321</v>
      </c>
      <c r="D5803" s="115" t="s">
        <v>1991</v>
      </c>
      <c r="E5803" s="115" t="s">
        <v>9346</v>
      </c>
    </row>
    <row r="5804" spans="1:5" x14ac:dyDescent="0.25">
      <c r="B5804" s="115" t="s">
        <v>9347</v>
      </c>
      <c r="D5804" s="115" t="s">
        <v>9348</v>
      </c>
      <c r="E5804" s="115" t="s">
        <v>9349</v>
      </c>
    </row>
    <row r="5805" spans="1:5" x14ac:dyDescent="0.25">
      <c r="A5805" s="115">
        <v>2</v>
      </c>
      <c r="B5805" s="115" t="s">
        <v>9350</v>
      </c>
      <c r="D5805" s="115" t="s">
        <v>5560</v>
      </c>
      <c r="E5805" s="115" t="s">
        <v>9351</v>
      </c>
    </row>
    <row r="5806" spans="1:5" x14ac:dyDescent="0.25">
      <c r="A5806" s="115" t="s">
        <v>1138</v>
      </c>
      <c r="B5806" s="115" t="s">
        <v>1415</v>
      </c>
      <c r="D5806" s="115" t="s">
        <v>9352</v>
      </c>
      <c r="E5806" s="115" t="s">
        <v>9353</v>
      </c>
    </row>
    <row r="5807" spans="1:5" x14ac:dyDescent="0.25">
      <c r="A5807" s="115" t="s">
        <v>1138</v>
      </c>
      <c r="B5807" s="115" t="s">
        <v>1302</v>
      </c>
      <c r="D5807" s="115" t="s">
        <v>9354</v>
      </c>
      <c r="E5807" s="115" t="s">
        <v>9355</v>
      </c>
    </row>
    <row r="5808" spans="1:5" x14ac:dyDescent="0.25">
      <c r="A5808" s="115">
        <v>1</v>
      </c>
      <c r="B5808" s="115" t="s">
        <v>1563</v>
      </c>
      <c r="D5808" s="115" t="s">
        <v>9356</v>
      </c>
      <c r="E5808" s="115" t="s">
        <v>9357</v>
      </c>
    </row>
    <row r="5809" spans="1:5" x14ac:dyDescent="0.25">
      <c r="B5809" s="115" t="s">
        <v>1139</v>
      </c>
      <c r="D5809" s="115" t="s">
        <v>9358</v>
      </c>
      <c r="E5809" s="115" t="s">
        <v>9359</v>
      </c>
    </row>
    <row r="5810" spans="1:5" x14ac:dyDescent="0.25">
      <c r="B5810" s="115" t="s">
        <v>1139</v>
      </c>
      <c r="D5810" s="115" t="s">
        <v>9360</v>
      </c>
      <c r="E5810" s="115" t="s">
        <v>9361</v>
      </c>
    </row>
    <row r="5811" spans="1:5" x14ac:dyDescent="0.25">
      <c r="A5811" s="115">
        <v>-1</v>
      </c>
      <c r="B5811" s="115" t="s">
        <v>9362</v>
      </c>
      <c r="D5811" s="115" t="s">
        <v>9363</v>
      </c>
      <c r="E5811" s="115" t="s">
        <v>9364</v>
      </c>
    </row>
    <row r="5812" spans="1:5" x14ac:dyDescent="0.25">
      <c r="A5812" s="115" t="s">
        <v>1138</v>
      </c>
      <c r="B5812" s="115" t="s">
        <v>1244</v>
      </c>
      <c r="D5812" s="115" t="s">
        <v>9365</v>
      </c>
      <c r="E5812" s="115" t="s">
        <v>9366</v>
      </c>
    </row>
    <row r="5813" spans="1:5" x14ac:dyDescent="0.25">
      <c r="B5813" s="115" t="s">
        <v>9367</v>
      </c>
      <c r="D5813" s="115" t="s">
        <v>9368</v>
      </c>
      <c r="E5813" s="115" t="s">
        <v>1141</v>
      </c>
    </row>
    <row r="5814" spans="1:5" x14ac:dyDescent="0.25">
      <c r="B5814" s="115" t="s">
        <v>9369</v>
      </c>
      <c r="D5814" s="115" t="s">
        <v>9370</v>
      </c>
      <c r="E5814" s="115" t="s">
        <v>9371</v>
      </c>
    </row>
    <row r="5815" spans="1:5" x14ac:dyDescent="0.25">
      <c r="B5815" s="115" t="s">
        <v>9372</v>
      </c>
      <c r="D5815" s="115" t="s">
        <v>9373</v>
      </c>
      <c r="E5815" s="115" t="s">
        <v>9374</v>
      </c>
    </row>
    <row r="5816" spans="1:5" x14ac:dyDescent="0.25">
      <c r="B5816" s="115" t="s">
        <v>1139</v>
      </c>
      <c r="D5816" s="115" t="s">
        <v>1140</v>
      </c>
      <c r="E5816" s="115" t="s">
        <v>1141</v>
      </c>
    </row>
    <row r="5817" spans="1:5" x14ac:dyDescent="0.25">
      <c r="B5817" s="115" t="s">
        <v>1139</v>
      </c>
      <c r="D5817" s="115" t="s">
        <v>9375</v>
      </c>
      <c r="E5817" s="115" t="s">
        <v>1819</v>
      </c>
    </row>
    <row r="5818" spans="1:5" x14ac:dyDescent="0.25">
      <c r="B5818" s="115" t="s">
        <v>9376</v>
      </c>
      <c r="D5818" s="115" t="s">
        <v>9377</v>
      </c>
      <c r="E5818" s="115" t="s">
        <v>9378</v>
      </c>
    </row>
    <row r="5819" spans="1:5" x14ac:dyDescent="0.25">
      <c r="B5819" s="115" t="s">
        <v>1384</v>
      </c>
      <c r="D5819" s="115" t="s">
        <v>9379</v>
      </c>
      <c r="E5819" s="115" t="s">
        <v>9380</v>
      </c>
    </row>
    <row r="5820" spans="1:5" x14ac:dyDescent="0.25">
      <c r="A5820" s="115">
        <v>1</v>
      </c>
      <c r="B5820" s="115" t="s">
        <v>9381</v>
      </c>
      <c r="D5820" s="115" t="s">
        <v>9382</v>
      </c>
      <c r="E5820" s="115" t="s">
        <v>9383</v>
      </c>
    </row>
    <row r="5821" spans="1:5" x14ac:dyDescent="0.25">
      <c r="B5821" s="115" t="s">
        <v>9384</v>
      </c>
      <c r="D5821" s="115" t="s">
        <v>9385</v>
      </c>
      <c r="E5821" s="115" t="s">
        <v>9386</v>
      </c>
    </row>
    <row r="5822" spans="1:5" x14ac:dyDescent="0.25">
      <c r="B5822" s="115" t="s">
        <v>9387</v>
      </c>
      <c r="D5822" s="115">
        <f>-358   -857    -73   -18</f>
        <v>-1306</v>
      </c>
      <c r="E5822" s="115" t="s">
        <v>9388</v>
      </c>
    </row>
    <row r="5823" spans="1:5" x14ac:dyDescent="0.25">
      <c r="B5823" s="115" t="s">
        <v>9389</v>
      </c>
      <c r="D5823" s="115" t="s">
        <v>9390</v>
      </c>
      <c r="E5823" s="115" t="s">
        <v>9391</v>
      </c>
    </row>
    <row r="5824" spans="1:5" x14ac:dyDescent="0.25">
      <c r="A5824" s="115">
        <v>38</v>
      </c>
      <c r="B5824" s="115" t="s">
        <v>9392</v>
      </c>
      <c r="C5824" s="115">
        <v>4</v>
      </c>
      <c r="D5824" s="115" t="s">
        <v>9393</v>
      </c>
      <c r="E5824" s="115" t="s">
        <v>9394</v>
      </c>
    </row>
    <row r="5825" spans="1:5" x14ac:dyDescent="0.25">
      <c r="A5825" s="115">
        <v>46</v>
      </c>
      <c r="B5825" s="115" t="s">
        <v>9395</v>
      </c>
      <c r="C5825" s="115">
        <v>5</v>
      </c>
      <c r="D5825" s="115" t="s">
        <v>9396</v>
      </c>
      <c r="E5825" s="115" t="s">
        <v>9397</v>
      </c>
    </row>
    <row r="5826" spans="1:5" x14ac:dyDescent="0.25">
      <c r="B5826" s="115" t="s">
        <v>1597</v>
      </c>
      <c r="D5826" s="115" t="s">
        <v>9398</v>
      </c>
      <c r="E5826" s="115" t="s">
        <v>9399</v>
      </c>
    </row>
    <row r="5827" spans="1:5" x14ac:dyDescent="0.25">
      <c r="B5827" s="115" t="s">
        <v>1139</v>
      </c>
      <c r="D5827" s="115" t="s">
        <v>1140</v>
      </c>
      <c r="E5827" s="115" t="s">
        <v>9400</v>
      </c>
    </row>
    <row r="5828" spans="1:5" x14ac:dyDescent="0.25">
      <c r="B5828" s="115" t="s">
        <v>1665</v>
      </c>
      <c r="C5828" s="115">
        <v>-4</v>
      </c>
      <c r="D5828" s="115" t="s">
        <v>9401</v>
      </c>
      <c r="E5828" s="115" t="s">
        <v>9402</v>
      </c>
    </row>
    <row r="5829" spans="1:5" x14ac:dyDescent="0.25">
      <c r="B5829" s="115" t="s">
        <v>1587</v>
      </c>
      <c r="D5829" s="115" t="s">
        <v>9403</v>
      </c>
      <c r="E5829" s="115" t="s">
        <v>1141</v>
      </c>
    </row>
    <row r="5830" spans="1:5" x14ac:dyDescent="0.25">
      <c r="B5830" s="115" t="s">
        <v>9404</v>
      </c>
      <c r="D5830" s="115" t="s">
        <v>1140</v>
      </c>
      <c r="E5830" s="115" t="s">
        <v>9405</v>
      </c>
    </row>
    <row r="5831" spans="1:5" x14ac:dyDescent="0.25">
      <c r="B5831" s="115" t="s">
        <v>1369</v>
      </c>
      <c r="D5831" s="115" t="s">
        <v>1140</v>
      </c>
      <c r="E5831" s="115" t="s">
        <v>9406</v>
      </c>
    </row>
    <row r="5832" spans="1:5" x14ac:dyDescent="0.25">
      <c r="B5832" s="115" t="s">
        <v>1269</v>
      </c>
      <c r="D5832" s="115" t="s">
        <v>9407</v>
      </c>
      <c r="E5832" s="115" t="s">
        <v>9408</v>
      </c>
    </row>
    <row r="5833" spans="1:5" x14ac:dyDescent="0.25">
      <c r="B5833" s="115" t="s">
        <v>9409</v>
      </c>
      <c r="D5833" s="115" t="s">
        <v>3822</v>
      </c>
      <c r="E5833" s="115" t="s">
        <v>9410</v>
      </c>
    </row>
    <row r="5834" spans="1:5" x14ac:dyDescent="0.25">
      <c r="A5834" s="115" t="s">
        <v>1138</v>
      </c>
      <c r="B5834" s="115" t="s">
        <v>9411</v>
      </c>
      <c r="D5834" s="115" t="s">
        <v>9412</v>
      </c>
      <c r="E5834" s="115" t="s">
        <v>9413</v>
      </c>
    </row>
    <row r="5835" spans="1:5" x14ac:dyDescent="0.25">
      <c r="A5835" s="115" t="s">
        <v>1138</v>
      </c>
      <c r="B5835" s="115" t="s">
        <v>9414</v>
      </c>
      <c r="D5835" s="115" t="s">
        <v>9415</v>
      </c>
      <c r="E5835" s="115" t="s">
        <v>9416</v>
      </c>
    </row>
    <row r="5836" spans="1:5" x14ac:dyDescent="0.25">
      <c r="B5836" s="115" t="s">
        <v>9417</v>
      </c>
      <c r="D5836" s="115" t="s">
        <v>2058</v>
      </c>
      <c r="E5836" s="115" t="s">
        <v>9418</v>
      </c>
    </row>
    <row r="5837" spans="1:5" x14ac:dyDescent="0.25">
      <c r="A5837" s="115" t="s">
        <v>1138</v>
      </c>
      <c r="B5837" s="115" t="s">
        <v>9419</v>
      </c>
      <c r="D5837" s="115" t="s">
        <v>9420</v>
      </c>
      <c r="E5837" s="115" t="s">
        <v>9421</v>
      </c>
    </row>
    <row r="5838" spans="1:5" x14ac:dyDescent="0.25">
      <c r="A5838" s="115">
        <v>-1</v>
      </c>
      <c r="B5838" s="115" t="s">
        <v>9422</v>
      </c>
      <c r="D5838" s="115" t="s">
        <v>9423</v>
      </c>
      <c r="E5838" s="115" t="s">
        <v>9424</v>
      </c>
    </row>
    <row r="5839" spans="1:5" x14ac:dyDescent="0.25">
      <c r="B5839" s="115" t="s">
        <v>7317</v>
      </c>
      <c r="D5839" s="115" t="s">
        <v>9425</v>
      </c>
      <c r="E5839" s="115" t="s">
        <v>9426</v>
      </c>
    </row>
    <row r="5840" spans="1:5" x14ac:dyDescent="0.25">
      <c r="B5840" s="115" t="s">
        <v>1339</v>
      </c>
      <c r="D5840" s="115" t="s">
        <v>9427</v>
      </c>
      <c r="E5840" s="115" t="s">
        <v>9428</v>
      </c>
    </row>
    <row r="5841" spans="1:5" x14ac:dyDescent="0.25">
      <c r="A5841" s="115">
        <v>1</v>
      </c>
      <c r="B5841" s="115" t="s">
        <v>1357</v>
      </c>
      <c r="D5841" s="115" t="s">
        <v>9429</v>
      </c>
      <c r="E5841" s="115" t="s">
        <v>9430</v>
      </c>
    </row>
    <row r="5842" spans="1:5" x14ac:dyDescent="0.25">
      <c r="B5842" s="115" t="s">
        <v>1139</v>
      </c>
      <c r="D5842" s="115" t="s">
        <v>5595</v>
      </c>
      <c r="E5842" s="115" t="s">
        <v>9431</v>
      </c>
    </row>
    <row r="5843" spans="1:5" x14ac:dyDescent="0.25">
      <c r="B5843" s="115" t="s">
        <v>1139</v>
      </c>
      <c r="D5843" s="115" t="s">
        <v>9432</v>
      </c>
      <c r="E5843" s="115" t="s">
        <v>9433</v>
      </c>
    </row>
    <row r="5844" spans="1:5" x14ac:dyDescent="0.25">
      <c r="A5844" s="115">
        <v>-1</v>
      </c>
      <c r="B5844" s="115" t="s">
        <v>9434</v>
      </c>
      <c r="D5844" s="115" t="s">
        <v>9435</v>
      </c>
      <c r="E5844" s="115" t="s">
        <v>9436</v>
      </c>
    </row>
    <row r="5845" spans="1:5" x14ac:dyDescent="0.25">
      <c r="A5845" s="115">
        <v>-1</v>
      </c>
      <c r="B5845" s="115" t="s">
        <v>9437</v>
      </c>
      <c r="D5845" s="115" t="s">
        <v>9438</v>
      </c>
      <c r="E5845" s="115" t="s">
        <v>9439</v>
      </c>
    </row>
    <row r="5846" spans="1:5" x14ac:dyDescent="0.25">
      <c r="A5846" s="115">
        <v>1</v>
      </c>
      <c r="B5846" s="115" t="s">
        <v>9440</v>
      </c>
      <c r="D5846" s="115" t="s">
        <v>9441</v>
      </c>
      <c r="E5846" s="115" t="s">
        <v>1141</v>
      </c>
    </row>
    <row r="5847" spans="1:5" x14ac:dyDescent="0.25">
      <c r="B5847" s="115" t="s">
        <v>1271</v>
      </c>
      <c r="D5847" s="115" t="s">
        <v>9442</v>
      </c>
      <c r="E5847" s="115" t="s">
        <v>9443</v>
      </c>
    </row>
    <row r="5848" spans="1:5" x14ac:dyDescent="0.25">
      <c r="B5848" s="115" t="s">
        <v>1543</v>
      </c>
      <c r="D5848" s="115" t="s">
        <v>9444</v>
      </c>
      <c r="E5848" s="115" t="s">
        <v>9445</v>
      </c>
    </row>
    <row r="5849" spans="1:5" x14ac:dyDescent="0.25">
      <c r="B5849" s="115" t="s">
        <v>1139</v>
      </c>
      <c r="D5849" s="115" t="s">
        <v>1140</v>
      </c>
      <c r="E5849" s="115" t="s">
        <v>1141</v>
      </c>
    </row>
    <row r="5850" spans="1:5" x14ac:dyDescent="0.25">
      <c r="B5850" s="115" t="s">
        <v>1139</v>
      </c>
      <c r="D5850" s="115" t="s">
        <v>3822</v>
      </c>
      <c r="E5850" s="115" t="s">
        <v>2260</v>
      </c>
    </row>
    <row r="5851" spans="1:5" x14ac:dyDescent="0.25">
      <c r="B5851" s="115" t="s">
        <v>9446</v>
      </c>
      <c r="D5851" s="115" t="s">
        <v>9447</v>
      </c>
      <c r="E5851" s="115" t="s">
        <v>9448</v>
      </c>
    </row>
    <row r="5852" spans="1:5" x14ac:dyDescent="0.25">
      <c r="B5852" s="115" t="s">
        <v>1327</v>
      </c>
      <c r="D5852" s="115" t="s">
        <v>9449</v>
      </c>
      <c r="E5852" s="115" t="s">
        <v>9450</v>
      </c>
    </row>
    <row r="5853" spans="1:5" x14ac:dyDescent="0.25">
      <c r="A5853" s="115">
        <v>1</v>
      </c>
      <c r="B5853" s="115" t="s">
        <v>9451</v>
      </c>
      <c r="D5853" s="115" t="s">
        <v>9452</v>
      </c>
      <c r="E5853" s="115" t="s">
        <v>9453</v>
      </c>
    </row>
    <row r="5854" spans="1:5" x14ac:dyDescent="0.25">
      <c r="B5854" s="115" t="s">
        <v>9454</v>
      </c>
      <c r="D5854" s="115" t="s">
        <v>9455</v>
      </c>
      <c r="E5854" s="115" t="s">
        <v>9456</v>
      </c>
    </row>
    <row r="5855" spans="1:5" x14ac:dyDescent="0.25">
      <c r="B5855" s="115" t="s">
        <v>9457</v>
      </c>
      <c r="D5855" s="115">
        <f>-1  -1574   -127   -19</f>
        <v>-1721</v>
      </c>
      <c r="E5855" s="115" t="s">
        <v>9458</v>
      </c>
    </row>
    <row r="5856" spans="1:5" x14ac:dyDescent="0.25">
      <c r="B5856" s="115" t="s">
        <v>9459</v>
      </c>
      <c r="D5856" s="115" t="s">
        <v>9460</v>
      </c>
      <c r="E5856" s="115" t="s">
        <v>9461</v>
      </c>
    </row>
    <row r="5857" spans="1:5" x14ac:dyDescent="0.25">
      <c r="A5857" s="115">
        <v>43</v>
      </c>
      <c r="B5857" s="115" t="s">
        <v>9462</v>
      </c>
      <c r="C5857" s="115">
        <v>4</v>
      </c>
      <c r="D5857" s="115" t="s">
        <v>9463</v>
      </c>
      <c r="E5857" s="115" t="s">
        <v>9464</v>
      </c>
    </row>
    <row r="5858" spans="1:5" x14ac:dyDescent="0.25">
      <c r="A5858" s="115">
        <v>43</v>
      </c>
      <c r="B5858" s="115" t="s">
        <v>9465</v>
      </c>
      <c r="C5858" s="115">
        <v>5</v>
      </c>
      <c r="D5858" s="115" t="s">
        <v>9466</v>
      </c>
      <c r="E5858" s="115" t="s">
        <v>9467</v>
      </c>
    </row>
    <row r="5859" spans="1:5" x14ac:dyDescent="0.25">
      <c r="B5859" s="115" t="s">
        <v>1139</v>
      </c>
      <c r="D5859" s="115" t="s">
        <v>9468</v>
      </c>
      <c r="E5859" s="115" t="s">
        <v>9469</v>
      </c>
    </row>
    <row r="5860" spans="1:5" x14ac:dyDescent="0.25">
      <c r="B5860" s="115" t="s">
        <v>1139</v>
      </c>
      <c r="D5860" s="115" t="s">
        <v>1140</v>
      </c>
      <c r="E5860" s="115" t="s">
        <v>9470</v>
      </c>
    </row>
    <row r="5861" spans="1:5" x14ac:dyDescent="0.25">
      <c r="B5861" s="115" t="s">
        <v>1139</v>
      </c>
      <c r="C5861" s="115" t="s">
        <v>1138</v>
      </c>
      <c r="D5861" s="115" t="s">
        <v>9471</v>
      </c>
      <c r="E5861" s="115" t="s">
        <v>9472</v>
      </c>
    </row>
    <row r="5862" spans="1:5" x14ac:dyDescent="0.25">
      <c r="B5862" s="115" t="s">
        <v>9473</v>
      </c>
      <c r="D5862" s="115" t="s">
        <v>2682</v>
      </c>
      <c r="E5862" s="115" t="s">
        <v>1894</v>
      </c>
    </row>
    <row r="5863" spans="1:5" x14ac:dyDescent="0.25">
      <c r="B5863" s="115" t="s">
        <v>9474</v>
      </c>
      <c r="D5863" s="115" t="s">
        <v>1140</v>
      </c>
      <c r="E5863" s="115" t="s">
        <v>9475</v>
      </c>
    </row>
    <row r="5864" spans="1:5" x14ac:dyDescent="0.25">
      <c r="A5864" s="115">
        <v>-78</v>
      </c>
      <c r="B5864" s="115" t="s">
        <v>9476</v>
      </c>
      <c r="D5864" s="115" t="s">
        <v>9477</v>
      </c>
      <c r="E5864" s="115" t="s">
        <v>9478</v>
      </c>
    </row>
    <row r="5865" spans="1:5" x14ac:dyDescent="0.25">
      <c r="B5865" s="115" t="s">
        <v>1139</v>
      </c>
      <c r="D5865" s="115" t="s">
        <v>9479</v>
      </c>
      <c r="E5865" s="115" t="s">
        <v>9480</v>
      </c>
    </row>
    <row r="5866" spans="1:5" x14ac:dyDescent="0.25">
      <c r="B5866" s="115" t="s">
        <v>9481</v>
      </c>
      <c r="D5866" s="115" t="s">
        <v>1140</v>
      </c>
      <c r="E5866" s="115" t="s">
        <v>9482</v>
      </c>
    </row>
    <row r="5867" spans="1:5" x14ac:dyDescent="0.25">
      <c r="A5867" s="115">
        <v>-85</v>
      </c>
      <c r="B5867" s="115" t="s">
        <v>9483</v>
      </c>
      <c r="D5867" s="115" t="s">
        <v>9484</v>
      </c>
      <c r="E5867" s="115" t="s">
        <v>9485</v>
      </c>
    </row>
    <row r="5868" spans="1:5" x14ac:dyDescent="0.25">
      <c r="B5868" s="115" t="s">
        <v>9486</v>
      </c>
      <c r="D5868" s="115" t="s">
        <v>9487</v>
      </c>
      <c r="E5868" s="115" t="s">
        <v>9488</v>
      </c>
    </row>
    <row r="5869" spans="1:5" x14ac:dyDescent="0.25">
      <c r="B5869" s="115" t="s">
        <v>9489</v>
      </c>
      <c r="D5869" s="115" t="s">
        <v>1140</v>
      </c>
      <c r="E5869" s="115" t="s">
        <v>9490</v>
      </c>
    </row>
    <row r="5870" spans="1:5" x14ac:dyDescent="0.25">
      <c r="A5870" s="115">
        <v>-87</v>
      </c>
      <c r="B5870" s="115" t="s">
        <v>9491</v>
      </c>
      <c r="D5870" s="115" t="s">
        <v>9492</v>
      </c>
      <c r="E5870" s="115" t="s">
        <v>9493</v>
      </c>
    </row>
    <row r="5871" spans="1:5" x14ac:dyDescent="0.25">
      <c r="B5871" s="115" t="s">
        <v>9494</v>
      </c>
      <c r="D5871" s="115" t="s">
        <v>9495</v>
      </c>
      <c r="E5871" s="115" t="s">
        <v>9496</v>
      </c>
    </row>
    <row r="5872" spans="1:5" x14ac:dyDescent="0.25">
      <c r="A5872" s="115">
        <v>1</v>
      </c>
      <c r="B5872" s="115" t="s">
        <v>9497</v>
      </c>
      <c r="D5872" s="115" t="s">
        <v>1140</v>
      </c>
      <c r="E5872" s="115" t="s">
        <v>9498</v>
      </c>
    </row>
    <row r="5873" spans="1:5" x14ac:dyDescent="0.25">
      <c r="A5873" s="115">
        <v>-83</v>
      </c>
      <c r="B5873" s="115" t="s">
        <v>9499</v>
      </c>
      <c r="D5873" s="115" t="s">
        <v>7716</v>
      </c>
      <c r="E5873" s="115" t="s">
        <v>9500</v>
      </c>
    </row>
    <row r="5874" spans="1:5" x14ac:dyDescent="0.25">
      <c r="B5874" s="115" t="s">
        <v>9501</v>
      </c>
      <c r="D5874" s="115" t="s">
        <v>9502</v>
      </c>
      <c r="E5874" s="115" t="s">
        <v>9503</v>
      </c>
    </row>
    <row r="5875" spans="1:5" x14ac:dyDescent="0.25">
      <c r="B5875" s="115" t="s">
        <v>1139</v>
      </c>
      <c r="D5875" s="115" t="s">
        <v>1140</v>
      </c>
      <c r="E5875" s="115" t="s">
        <v>9504</v>
      </c>
    </row>
    <row r="5876" spans="1:5" x14ac:dyDescent="0.25">
      <c r="A5876" s="115">
        <v>-91</v>
      </c>
      <c r="B5876" s="115" t="s">
        <v>7152</v>
      </c>
      <c r="D5876" s="115" t="s">
        <v>1140</v>
      </c>
      <c r="E5876" s="115" t="s">
        <v>9505</v>
      </c>
    </row>
    <row r="5877" spans="1:5" x14ac:dyDescent="0.25">
      <c r="B5877" s="115" t="s">
        <v>9506</v>
      </c>
      <c r="D5877" s="115" t="s">
        <v>9507</v>
      </c>
      <c r="E5877" s="115" t="s">
        <v>9508</v>
      </c>
    </row>
    <row r="5878" spans="1:5" x14ac:dyDescent="0.25">
      <c r="B5878" s="115" t="s">
        <v>9509</v>
      </c>
      <c r="D5878" s="115" t="s">
        <v>1140</v>
      </c>
      <c r="E5878" s="115" t="s">
        <v>9510</v>
      </c>
    </row>
    <row r="5879" spans="1:5" x14ac:dyDescent="0.25">
      <c r="B5879" s="115" t="s">
        <v>9511</v>
      </c>
      <c r="D5879" s="115" t="s">
        <v>9512</v>
      </c>
      <c r="E5879" s="115" t="s">
        <v>1141</v>
      </c>
    </row>
    <row r="5880" spans="1:5" x14ac:dyDescent="0.25">
      <c r="B5880" s="115" t="s">
        <v>1139</v>
      </c>
      <c r="D5880" s="115" t="s">
        <v>9513</v>
      </c>
      <c r="E5880" s="115" t="s">
        <v>9514</v>
      </c>
    </row>
    <row r="5881" spans="1:5" x14ac:dyDescent="0.25">
      <c r="B5881" s="115" t="s">
        <v>1564</v>
      </c>
      <c r="D5881" s="115" t="s">
        <v>9515</v>
      </c>
      <c r="E5881" s="115" t="s">
        <v>9516</v>
      </c>
    </row>
    <row r="5882" spans="1:5" x14ac:dyDescent="0.25">
      <c r="A5882" s="115" t="s">
        <v>1138</v>
      </c>
      <c r="B5882" s="115" t="s">
        <v>1275</v>
      </c>
      <c r="D5882" s="115" t="s">
        <v>1140</v>
      </c>
      <c r="E5882" s="115" t="s">
        <v>1141</v>
      </c>
    </row>
    <row r="5883" spans="1:5" x14ac:dyDescent="0.25">
      <c r="B5883" s="115" t="s">
        <v>1139</v>
      </c>
      <c r="D5883" s="115" t="s">
        <v>1140</v>
      </c>
      <c r="E5883" s="115" t="s">
        <v>9517</v>
      </c>
    </row>
    <row r="5884" spans="1:5" x14ac:dyDescent="0.25">
      <c r="B5884" s="115" t="s">
        <v>9518</v>
      </c>
      <c r="D5884" s="115" t="s">
        <v>9519</v>
      </c>
      <c r="E5884" s="115" t="s">
        <v>9520</v>
      </c>
    </row>
    <row r="5885" spans="1:5" x14ac:dyDescent="0.25">
      <c r="B5885" s="115" t="s">
        <v>1139</v>
      </c>
      <c r="D5885" s="115" t="s">
        <v>9521</v>
      </c>
      <c r="E5885" s="115" t="s">
        <v>9522</v>
      </c>
    </row>
    <row r="5886" spans="1:5" x14ac:dyDescent="0.25">
      <c r="B5886" s="115" t="s">
        <v>9523</v>
      </c>
      <c r="C5886" s="115" t="s">
        <v>1138</v>
      </c>
      <c r="D5886" s="115" t="s">
        <v>9524</v>
      </c>
      <c r="E5886" s="115" t="s">
        <v>9525</v>
      </c>
    </row>
    <row r="5887" spans="1:5" x14ac:dyDescent="0.25">
      <c r="A5887" s="115">
        <v>-1</v>
      </c>
      <c r="B5887" s="115" t="s">
        <v>9526</v>
      </c>
      <c r="D5887" s="115" t="s">
        <v>9527</v>
      </c>
      <c r="E5887" s="115" t="s">
        <v>9528</v>
      </c>
    </row>
    <row r="5888" spans="1:5" x14ac:dyDescent="0.25">
      <c r="A5888" s="115" t="s">
        <v>1138</v>
      </c>
      <c r="B5888" s="115" t="s">
        <v>9529</v>
      </c>
      <c r="D5888" s="115" t="s">
        <v>9530</v>
      </c>
      <c r="E5888" s="115" t="s">
        <v>9531</v>
      </c>
    </row>
    <row r="5889" spans="1:5" x14ac:dyDescent="0.25">
      <c r="B5889" s="115" t="s">
        <v>9532</v>
      </c>
      <c r="D5889" s="115" t="s">
        <v>9533</v>
      </c>
      <c r="E5889" s="115" t="s">
        <v>9534</v>
      </c>
    </row>
    <row r="5890" spans="1:5" x14ac:dyDescent="0.25">
      <c r="A5890" s="115">
        <v>58</v>
      </c>
      <c r="B5890" s="115" t="s">
        <v>9535</v>
      </c>
      <c r="C5890" s="115">
        <v>6</v>
      </c>
      <c r="D5890" s="115" t="s">
        <v>9536</v>
      </c>
      <c r="E5890" s="115" t="s">
        <v>9537</v>
      </c>
    </row>
    <row r="5891" spans="1:5" x14ac:dyDescent="0.25">
      <c r="A5891" s="115">
        <v>53</v>
      </c>
      <c r="B5891" s="115" t="s">
        <v>9538</v>
      </c>
      <c r="C5891" s="115">
        <v>5</v>
      </c>
      <c r="D5891" s="115" t="s">
        <v>9539</v>
      </c>
      <c r="E5891" s="115" t="s">
        <v>9540</v>
      </c>
    </row>
    <row r="5892" spans="1:5" x14ac:dyDescent="0.25">
      <c r="A5892" s="115" t="s">
        <v>1138</v>
      </c>
      <c r="B5892" s="115" t="s">
        <v>9541</v>
      </c>
      <c r="D5892" s="115" t="s">
        <v>8137</v>
      </c>
      <c r="E5892" s="115" t="s">
        <v>6921</v>
      </c>
    </row>
    <row r="5893" spans="1:5" x14ac:dyDescent="0.25">
      <c r="B5893" s="115">
        <f>-8   -434</f>
        <v>-442</v>
      </c>
      <c r="D5893" s="115" t="s">
        <v>1140</v>
      </c>
      <c r="E5893" s="115" t="s">
        <v>1141</v>
      </c>
    </row>
    <row r="5894" spans="1:5" x14ac:dyDescent="0.25">
      <c r="A5894" s="115" t="s">
        <v>1138</v>
      </c>
      <c r="B5894" s="115" t="s">
        <v>9542</v>
      </c>
      <c r="D5894" s="115" t="s">
        <v>9543</v>
      </c>
      <c r="E5894" s="115" t="s">
        <v>9544</v>
      </c>
    </row>
    <row r="5895" spans="1:5" x14ac:dyDescent="0.25">
      <c r="B5895" s="115" t="s">
        <v>1139</v>
      </c>
      <c r="D5895" s="115" t="s">
        <v>9545</v>
      </c>
      <c r="E5895" s="115" t="s">
        <v>9546</v>
      </c>
    </row>
    <row r="5896" spans="1:5" x14ac:dyDescent="0.25">
      <c r="B5896" s="115" t="s">
        <v>1139</v>
      </c>
      <c r="D5896" s="115" t="s">
        <v>9547</v>
      </c>
      <c r="E5896" s="115" t="s">
        <v>1141</v>
      </c>
    </row>
    <row r="5897" spans="1:5" x14ac:dyDescent="0.25">
      <c r="B5897" s="115" t="s">
        <v>9548</v>
      </c>
      <c r="C5897" s="115">
        <v>-8</v>
      </c>
      <c r="D5897" s="115" t="s">
        <v>9549</v>
      </c>
      <c r="E5897" s="115" t="s">
        <v>9550</v>
      </c>
    </row>
    <row r="5898" spans="1:5" x14ac:dyDescent="0.25">
      <c r="A5898" s="115" t="s">
        <v>1138</v>
      </c>
      <c r="B5898" s="115" t="s">
        <v>9551</v>
      </c>
      <c r="D5898" s="115" t="s">
        <v>9552</v>
      </c>
      <c r="E5898" s="115" t="s">
        <v>9553</v>
      </c>
    </row>
    <row r="5899" spans="1:5" x14ac:dyDescent="0.25">
      <c r="A5899" s="115" t="s">
        <v>1138</v>
      </c>
      <c r="B5899" s="115" t="s">
        <v>9554</v>
      </c>
      <c r="D5899" s="115" t="s">
        <v>9555</v>
      </c>
      <c r="E5899" s="115" t="s">
        <v>9556</v>
      </c>
    </row>
    <row r="5900" spans="1:5" x14ac:dyDescent="0.25">
      <c r="B5900" s="115" t="s">
        <v>9557</v>
      </c>
      <c r="C5900" s="115">
        <v>-8</v>
      </c>
      <c r="D5900" s="115" t="s">
        <v>9558</v>
      </c>
      <c r="E5900" s="115" t="s">
        <v>9559</v>
      </c>
    </row>
    <row r="5901" spans="1:5" x14ac:dyDescent="0.25">
      <c r="B5901" s="115" t="s">
        <v>9560</v>
      </c>
      <c r="D5901" s="115" t="s">
        <v>9561</v>
      </c>
      <c r="E5901" s="115" t="s">
        <v>9562</v>
      </c>
    </row>
    <row r="5902" spans="1:5" x14ac:dyDescent="0.25">
      <c r="A5902" s="115" t="s">
        <v>1138</v>
      </c>
      <c r="B5902" s="115" t="s">
        <v>9563</v>
      </c>
      <c r="D5902" s="115" t="s">
        <v>9564</v>
      </c>
      <c r="E5902" s="115" t="s">
        <v>9565</v>
      </c>
    </row>
    <row r="5903" spans="1:5" x14ac:dyDescent="0.25">
      <c r="B5903" s="115" t="s">
        <v>9566</v>
      </c>
      <c r="C5903" s="115">
        <v>-8</v>
      </c>
      <c r="D5903" s="115" t="s">
        <v>9567</v>
      </c>
      <c r="E5903" s="115" t="s">
        <v>9568</v>
      </c>
    </row>
    <row r="5904" spans="1:5" x14ac:dyDescent="0.25">
      <c r="A5904" s="115" t="s">
        <v>1138</v>
      </c>
      <c r="B5904" s="115" t="s">
        <v>1293</v>
      </c>
      <c r="D5904" s="115" t="s">
        <v>9569</v>
      </c>
      <c r="E5904" s="115" t="s">
        <v>9570</v>
      </c>
    </row>
    <row r="5905" spans="1:5" x14ac:dyDescent="0.25">
      <c r="B5905" s="115" t="s">
        <v>9571</v>
      </c>
      <c r="D5905" s="115" t="s">
        <v>9572</v>
      </c>
      <c r="E5905" s="115" t="s">
        <v>9573</v>
      </c>
    </row>
    <row r="5906" spans="1:5" x14ac:dyDescent="0.25">
      <c r="B5906" s="115" t="s">
        <v>9574</v>
      </c>
      <c r="C5906" s="115">
        <v>-8</v>
      </c>
      <c r="D5906" s="115" t="s">
        <v>9575</v>
      </c>
      <c r="E5906" s="115" t="s">
        <v>9576</v>
      </c>
    </row>
    <row r="5907" spans="1:5" x14ac:dyDescent="0.25">
      <c r="A5907" s="115">
        <v>-1</v>
      </c>
      <c r="B5907" s="115" t="s">
        <v>9577</v>
      </c>
      <c r="D5907" s="115" t="s">
        <v>9578</v>
      </c>
      <c r="E5907" s="115" t="s">
        <v>9579</v>
      </c>
    </row>
    <row r="5908" spans="1:5" x14ac:dyDescent="0.25">
      <c r="A5908" s="115">
        <v>-2</v>
      </c>
      <c r="B5908" s="115" t="s">
        <v>4929</v>
      </c>
      <c r="D5908" s="115" t="s">
        <v>1140</v>
      </c>
      <c r="E5908" s="115" t="s">
        <v>9580</v>
      </c>
    </row>
    <row r="5909" spans="1:5" x14ac:dyDescent="0.25">
      <c r="B5909" s="115" t="s">
        <v>5040</v>
      </c>
      <c r="C5909" s="115">
        <v>-9</v>
      </c>
      <c r="D5909" s="115" t="s">
        <v>9581</v>
      </c>
      <c r="E5909" s="115" t="s">
        <v>9582</v>
      </c>
    </row>
    <row r="5910" spans="1:5" x14ac:dyDescent="0.25">
      <c r="A5910" s="115">
        <v>-1</v>
      </c>
      <c r="B5910" s="115" t="s">
        <v>9583</v>
      </c>
      <c r="D5910" s="115" t="s">
        <v>9584</v>
      </c>
      <c r="E5910" s="115" t="s">
        <v>9585</v>
      </c>
    </row>
    <row r="5911" spans="1:5" x14ac:dyDescent="0.25">
      <c r="A5911" s="115">
        <v>-2</v>
      </c>
      <c r="B5911" s="115" t="s">
        <v>1678</v>
      </c>
      <c r="D5911" s="115" t="s">
        <v>9586</v>
      </c>
      <c r="E5911" s="115" t="s">
        <v>9587</v>
      </c>
    </row>
    <row r="5912" spans="1:5" x14ac:dyDescent="0.25">
      <c r="A5912" s="115">
        <v>1</v>
      </c>
      <c r="B5912" s="115" t="s">
        <v>9588</v>
      </c>
      <c r="D5912" s="115" t="s">
        <v>9589</v>
      </c>
      <c r="E5912" s="115" t="s">
        <v>9590</v>
      </c>
    </row>
    <row r="5913" spans="1:5" x14ac:dyDescent="0.25">
      <c r="B5913" s="115" t="s">
        <v>1139</v>
      </c>
      <c r="D5913" s="115" t="s">
        <v>9591</v>
      </c>
      <c r="E5913" s="115" t="s">
        <v>9592</v>
      </c>
    </row>
    <row r="5914" spans="1:5" x14ac:dyDescent="0.25">
      <c r="B5914" s="115" t="s">
        <v>1139</v>
      </c>
      <c r="D5914" s="115" t="s">
        <v>9593</v>
      </c>
      <c r="E5914" s="115" t="s">
        <v>2260</v>
      </c>
    </row>
    <row r="5915" spans="1:5" x14ac:dyDescent="0.25">
      <c r="B5915" s="115" t="s">
        <v>9594</v>
      </c>
      <c r="C5915" s="115" t="s">
        <v>1138</v>
      </c>
      <c r="D5915" s="115" t="s">
        <v>9595</v>
      </c>
      <c r="E5915" s="115" t="s">
        <v>1141</v>
      </c>
    </row>
    <row r="5916" spans="1:5" x14ac:dyDescent="0.25">
      <c r="B5916" s="115" t="s">
        <v>1139</v>
      </c>
      <c r="D5916" s="115" t="s">
        <v>1140</v>
      </c>
      <c r="E5916" s="115" t="s">
        <v>9596</v>
      </c>
    </row>
    <row r="5917" spans="1:5" x14ac:dyDescent="0.25">
      <c r="B5917" s="115" t="s">
        <v>1139</v>
      </c>
      <c r="D5917" s="115" t="s">
        <v>9597</v>
      </c>
      <c r="E5917" s="115" t="s">
        <v>9598</v>
      </c>
    </row>
    <row r="5918" spans="1:5" x14ac:dyDescent="0.25">
      <c r="A5918" s="115">
        <v>2</v>
      </c>
      <c r="B5918" s="115" t="s">
        <v>9599</v>
      </c>
      <c r="D5918" s="115" t="s">
        <v>9600</v>
      </c>
      <c r="E5918" s="115" t="s">
        <v>9601</v>
      </c>
    </row>
    <row r="5919" spans="1:5" x14ac:dyDescent="0.25">
      <c r="B5919" s="115" t="s">
        <v>9602</v>
      </c>
      <c r="D5919" s="115" t="s">
        <v>9603</v>
      </c>
      <c r="E5919" s="115" t="s">
        <v>9604</v>
      </c>
    </row>
    <row r="5920" spans="1:5" x14ac:dyDescent="0.25">
      <c r="B5920" s="115" t="s">
        <v>9605</v>
      </c>
      <c r="C5920" s="115" t="s">
        <v>1138</v>
      </c>
      <c r="D5920" s="115" t="s">
        <v>9606</v>
      </c>
      <c r="E5920" s="115" t="s">
        <v>9607</v>
      </c>
    </row>
    <row r="5921" spans="1:5" x14ac:dyDescent="0.25">
      <c r="A5921" s="115">
        <v>-1</v>
      </c>
      <c r="B5921" s="115" t="s">
        <v>9608</v>
      </c>
      <c r="D5921" s="115">
        <f>-253   -184   -183   -39</f>
        <v>-659</v>
      </c>
      <c r="E5921" s="115" t="s">
        <v>9609</v>
      </c>
    </row>
    <row r="5922" spans="1:5" x14ac:dyDescent="0.25">
      <c r="B5922" s="115" t="s">
        <v>9610</v>
      </c>
      <c r="D5922" s="115" t="s">
        <v>9611</v>
      </c>
      <c r="E5922" s="115" t="s">
        <v>9612</v>
      </c>
    </row>
    <row r="5923" spans="1:5" x14ac:dyDescent="0.25">
      <c r="B5923" s="115" t="s">
        <v>9613</v>
      </c>
      <c r="C5923" s="115">
        <v>5</v>
      </c>
      <c r="D5923" s="115" t="s">
        <v>9614</v>
      </c>
      <c r="E5923" s="115" t="s">
        <v>9615</v>
      </c>
    </row>
    <row r="5924" spans="1:5" x14ac:dyDescent="0.25">
      <c r="A5924" s="115">
        <v>54</v>
      </c>
      <c r="B5924" s="115" t="s">
        <v>9616</v>
      </c>
      <c r="C5924" s="115">
        <v>5</v>
      </c>
      <c r="D5924" s="115" t="s">
        <v>9617</v>
      </c>
      <c r="E5924" s="115" t="s">
        <v>9618</v>
      </c>
    </row>
    <row r="5925" spans="1:5" x14ac:dyDescent="0.25">
      <c r="A5925" s="115">
        <v>98</v>
      </c>
      <c r="B5925" s="115" t="s">
        <v>9619</v>
      </c>
      <c r="C5925" s="115">
        <v>-5</v>
      </c>
      <c r="D5925" s="115" t="s">
        <v>9620</v>
      </c>
      <c r="E5925" s="115" t="s">
        <v>9621</v>
      </c>
    </row>
    <row r="5926" spans="1:5" x14ac:dyDescent="0.25">
      <c r="B5926" s="115" t="s">
        <v>1139</v>
      </c>
      <c r="D5926" s="115" t="s">
        <v>9622</v>
      </c>
      <c r="E5926" s="115" t="s">
        <v>1141</v>
      </c>
    </row>
    <row r="5927" spans="1:5" x14ac:dyDescent="0.25">
      <c r="B5927" s="115" t="s">
        <v>1139</v>
      </c>
      <c r="D5927" s="115" t="s">
        <v>9623</v>
      </c>
      <c r="E5927" s="115" t="s">
        <v>9624</v>
      </c>
    </row>
    <row r="5928" spans="1:5" x14ac:dyDescent="0.25">
      <c r="B5928" s="115" t="s">
        <v>9625</v>
      </c>
      <c r="D5928" s="115" t="s">
        <v>9626</v>
      </c>
      <c r="E5928" s="115" t="s">
        <v>9627</v>
      </c>
    </row>
    <row r="5929" spans="1:5" x14ac:dyDescent="0.25">
      <c r="B5929" s="115" t="s">
        <v>9628</v>
      </c>
      <c r="D5929" s="115" t="s">
        <v>1140</v>
      </c>
      <c r="E5929" s="115" t="s">
        <v>9629</v>
      </c>
    </row>
    <row r="5930" spans="1:5" x14ac:dyDescent="0.25">
      <c r="B5930" s="115" t="s">
        <v>1139</v>
      </c>
      <c r="D5930" s="115" t="s">
        <v>9630</v>
      </c>
      <c r="E5930" s="115" t="s">
        <v>9631</v>
      </c>
    </row>
    <row r="5931" spans="1:5" x14ac:dyDescent="0.25">
      <c r="B5931" s="115" t="s">
        <v>1139</v>
      </c>
      <c r="D5931" s="115">
        <f>-504   -633   -287</f>
        <v>-1424</v>
      </c>
      <c r="E5931" s="115" t="s">
        <v>9632</v>
      </c>
    </row>
    <row r="5932" spans="1:5" x14ac:dyDescent="0.25">
      <c r="B5932" s="115" t="s">
        <v>9633</v>
      </c>
      <c r="D5932" s="115" t="s">
        <v>9634</v>
      </c>
      <c r="E5932" s="115" t="s">
        <v>9635</v>
      </c>
    </row>
    <row r="5933" spans="1:5" x14ac:dyDescent="0.25">
      <c r="B5933" s="115" t="s">
        <v>9636</v>
      </c>
      <c r="D5933" s="115" t="s">
        <v>9637</v>
      </c>
      <c r="E5933" s="115" t="s">
        <v>9638</v>
      </c>
    </row>
    <row r="5934" spans="1:5" x14ac:dyDescent="0.25">
      <c r="B5934" s="115" t="s">
        <v>9639</v>
      </c>
      <c r="D5934" s="115" t="s">
        <v>9640</v>
      </c>
      <c r="E5934" s="115" t="s">
        <v>9641</v>
      </c>
    </row>
    <row r="5935" spans="1:5" x14ac:dyDescent="0.25">
      <c r="B5935" s="115">
        <f>-47   -622</f>
        <v>-669</v>
      </c>
      <c r="D5935" s="115" t="s">
        <v>9642</v>
      </c>
      <c r="E5935" s="115" t="s">
        <v>9643</v>
      </c>
    </row>
    <row r="5936" spans="1:5" x14ac:dyDescent="0.25">
      <c r="B5936" s="115" t="s">
        <v>9644</v>
      </c>
      <c r="D5936" s="115" t="s">
        <v>9645</v>
      </c>
      <c r="E5936" s="115" t="s">
        <v>9646</v>
      </c>
    </row>
    <row r="5937" spans="1:5" x14ac:dyDescent="0.25">
      <c r="B5937" s="115" t="s">
        <v>9647</v>
      </c>
      <c r="D5937" s="115" t="s">
        <v>1340</v>
      </c>
      <c r="E5937" s="115" t="s">
        <v>9648</v>
      </c>
    </row>
    <row r="5938" spans="1:5" x14ac:dyDescent="0.25">
      <c r="B5938" s="115" t="s">
        <v>1139</v>
      </c>
      <c r="D5938" s="115" t="s">
        <v>9649</v>
      </c>
      <c r="E5938" s="115" t="s">
        <v>9650</v>
      </c>
    </row>
    <row r="5939" spans="1:5" x14ac:dyDescent="0.25">
      <c r="B5939" s="115" t="s">
        <v>9651</v>
      </c>
      <c r="D5939" s="115" t="s">
        <v>9652</v>
      </c>
      <c r="E5939" s="115" t="s">
        <v>9653</v>
      </c>
    </row>
    <row r="5940" spans="1:5" x14ac:dyDescent="0.25">
      <c r="A5940" s="115" t="s">
        <v>1138</v>
      </c>
      <c r="B5940" s="115" t="s">
        <v>9654</v>
      </c>
      <c r="D5940" s="115">
        <f>-74  -1787  -1033</f>
        <v>-2894</v>
      </c>
      <c r="E5940" s="115" t="s">
        <v>9655</v>
      </c>
    </row>
    <row r="5941" spans="1:5" x14ac:dyDescent="0.25">
      <c r="B5941" s="115" t="s">
        <v>9656</v>
      </c>
      <c r="D5941" s="115" t="s">
        <v>9657</v>
      </c>
      <c r="E5941" s="115" t="s">
        <v>1141</v>
      </c>
    </row>
    <row r="5942" spans="1:5" x14ac:dyDescent="0.25">
      <c r="B5942" s="115" t="s">
        <v>9658</v>
      </c>
      <c r="D5942" s="115" t="s">
        <v>9659</v>
      </c>
      <c r="E5942" s="115" t="s">
        <v>1702</v>
      </c>
    </row>
    <row r="5943" spans="1:5" x14ac:dyDescent="0.25">
      <c r="B5943" s="115" t="s">
        <v>9660</v>
      </c>
      <c r="C5943" s="115" t="s">
        <v>1138</v>
      </c>
      <c r="D5943" s="115" t="s">
        <v>9661</v>
      </c>
      <c r="E5943" s="115" t="s">
        <v>9662</v>
      </c>
    </row>
    <row r="5944" spans="1:5" x14ac:dyDescent="0.25">
      <c r="B5944" s="115" t="s">
        <v>9663</v>
      </c>
      <c r="D5944" s="115" t="s">
        <v>9664</v>
      </c>
      <c r="E5944" s="115" t="s">
        <v>9665</v>
      </c>
    </row>
    <row r="5945" spans="1:5" x14ac:dyDescent="0.25">
      <c r="B5945" s="115" t="s">
        <v>9666</v>
      </c>
      <c r="C5945" s="115" t="s">
        <v>1138</v>
      </c>
      <c r="D5945" s="115" t="s">
        <v>9667</v>
      </c>
      <c r="E5945" s="115" t="s">
        <v>9668</v>
      </c>
    </row>
    <row r="5946" spans="1:5" x14ac:dyDescent="0.25">
      <c r="B5946" s="115" t="s">
        <v>1139</v>
      </c>
      <c r="D5946" s="115" t="s">
        <v>1140</v>
      </c>
      <c r="E5946" s="115" t="s">
        <v>9669</v>
      </c>
    </row>
    <row r="5947" spans="1:5" x14ac:dyDescent="0.25">
      <c r="B5947" s="115" t="s">
        <v>7565</v>
      </c>
      <c r="D5947" s="115" t="s">
        <v>9670</v>
      </c>
      <c r="E5947" s="115" t="s">
        <v>9671</v>
      </c>
    </row>
    <row r="5948" spans="1:5" x14ac:dyDescent="0.25">
      <c r="B5948" s="115" t="s">
        <v>1139</v>
      </c>
      <c r="D5948" s="115" t="s">
        <v>9672</v>
      </c>
      <c r="E5948" s="115" t="s">
        <v>1702</v>
      </c>
    </row>
    <row r="5949" spans="1:5" x14ac:dyDescent="0.25">
      <c r="B5949" s="115" t="s">
        <v>1139</v>
      </c>
      <c r="D5949" s="115" t="s">
        <v>1140</v>
      </c>
      <c r="E5949" s="115" t="s">
        <v>1141</v>
      </c>
    </row>
    <row r="5950" spans="1:5" x14ac:dyDescent="0.25">
      <c r="B5950" s="115" t="s">
        <v>9673</v>
      </c>
      <c r="D5950" s="115" t="s">
        <v>1140</v>
      </c>
      <c r="E5950" s="115" t="s">
        <v>9674</v>
      </c>
    </row>
    <row r="5951" spans="1:5" x14ac:dyDescent="0.25">
      <c r="A5951" s="115">
        <v>1</v>
      </c>
      <c r="B5951" s="115" t="s">
        <v>9675</v>
      </c>
      <c r="C5951" s="115" t="s">
        <v>1138</v>
      </c>
      <c r="D5951" s="115" t="s">
        <v>9676</v>
      </c>
      <c r="E5951" s="115" t="s">
        <v>9677</v>
      </c>
    </row>
    <row r="5952" spans="1:5" x14ac:dyDescent="0.25">
      <c r="A5952" s="115">
        <v>1</v>
      </c>
      <c r="B5952" s="115" t="s">
        <v>9678</v>
      </c>
      <c r="C5952" s="115" t="s">
        <v>1138</v>
      </c>
      <c r="D5952" s="115" t="s">
        <v>9679</v>
      </c>
      <c r="E5952" s="115" t="s">
        <v>9680</v>
      </c>
    </row>
    <row r="5953" spans="1:5" x14ac:dyDescent="0.25">
      <c r="B5953" s="115" t="s">
        <v>9681</v>
      </c>
      <c r="D5953" s="115" t="s">
        <v>9682</v>
      </c>
      <c r="E5953" s="115" t="s">
        <v>9683</v>
      </c>
    </row>
    <row r="5954" spans="1:5" x14ac:dyDescent="0.25">
      <c r="B5954" s="115" t="s">
        <v>9684</v>
      </c>
      <c r="D5954" s="115" t="s">
        <v>9685</v>
      </c>
      <c r="E5954" s="115" t="s">
        <v>9686</v>
      </c>
    </row>
    <row r="5955" spans="1:5" x14ac:dyDescent="0.25">
      <c r="A5955" s="115" t="s">
        <v>1138</v>
      </c>
      <c r="B5955" s="115" t="s">
        <v>9687</v>
      </c>
      <c r="D5955" s="115" t="s">
        <v>9688</v>
      </c>
      <c r="E5955" s="115" t="s">
        <v>9689</v>
      </c>
    </row>
    <row r="5956" spans="1:5" x14ac:dyDescent="0.25">
      <c r="B5956" s="115" t="s">
        <v>9690</v>
      </c>
      <c r="D5956" s="115" t="s">
        <v>9691</v>
      </c>
      <c r="E5956" s="115" t="s">
        <v>9692</v>
      </c>
    </row>
    <row r="5957" spans="1:5" x14ac:dyDescent="0.25">
      <c r="A5957" s="115">
        <v>40</v>
      </c>
      <c r="B5957" s="115" t="s">
        <v>9693</v>
      </c>
      <c r="C5957" s="115">
        <v>4</v>
      </c>
      <c r="D5957" s="115" t="s">
        <v>9694</v>
      </c>
      <c r="E5957" s="115" t="s">
        <v>9695</v>
      </c>
    </row>
    <row r="5958" spans="1:5" x14ac:dyDescent="0.25">
      <c r="A5958" s="115">
        <v>57</v>
      </c>
      <c r="B5958" s="115" t="s">
        <v>9696</v>
      </c>
      <c r="C5958" s="115">
        <v>5</v>
      </c>
      <c r="D5958" s="115" t="s">
        <v>9697</v>
      </c>
      <c r="E5958" s="115" t="s">
        <v>9698</v>
      </c>
    </row>
    <row r="5959" spans="1:5" x14ac:dyDescent="0.25">
      <c r="B5959" s="115" t="s">
        <v>9699</v>
      </c>
      <c r="D5959" s="115" t="s">
        <v>9700</v>
      </c>
      <c r="E5959" s="115" t="s">
        <v>9701</v>
      </c>
    </row>
    <row r="5960" spans="1:5" x14ac:dyDescent="0.25">
      <c r="B5960" s="115" t="s">
        <v>1139</v>
      </c>
      <c r="D5960" s="115" t="s">
        <v>1140</v>
      </c>
      <c r="E5960" s="115" t="s">
        <v>9702</v>
      </c>
    </row>
    <row r="5961" spans="1:5" x14ac:dyDescent="0.25">
      <c r="B5961" s="115" t="s">
        <v>4611</v>
      </c>
      <c r="C5961" s="115">
        <v>-7</v>
      </c>
      <c r="D5961" s="115" t="s">
        <v>9703</v>
      </c>
      <c r="E5961" s="115" t="s">
        <v>9704</v>
      </c>
    </row>
    <row r="5962" spans="1:5" x14ac:dyDescent="0.25">
      <c r="A5962" s="115">
        <v>2</v>
      </c>
      <c r="B5962" s="115" t="s">
        <v>1407</v>
      </c>
      <c r="D5962" s="115" t="s">
        <v>9705</v>
      </c>
      <c r="E5962" s="115" t="s">
        <v>1141</v>
      </c>
    </row>
    <row r="5963" spans="1:5" x14ac:dyDescent="0.25">
      <c r="A5963" s="115" t="s">
        <v>1138</v>
      </c>
      <c r="B5963" s="115" t="s">
        <v>1232</v>
      </c>
      <c r="D5963" s="115" t="s">
        <v>1140</v>
      </c>
      <c r="E5963" s="115" t="s">
        <v>9706</v>
      </c>
    </row>
    <row r="5964" spans="1:5" x14ac:dyDescent="0.25">
      <c r="B5964" s="115" t="s">
        <v>3380</v>
      </c>
      <c r="D5964" s="115" t="s">
        <v>1140</v>
      </c>
      <c r="E5964" s="115" t="s">
        <v>9707</v>
      </c>
    </row>
    <row r="5965" spans="1:5" x14ac:dyDescent="0.25">
      <c r="B5965" s="115" t="s">
        <v>9708</v>
      </c>
      <c r="D5965" s="115" t="s">
        <v>9709</v>
      </c>
      <c r="E5965" s="115" t="s">
        <v>9710</v>
      </c>
    </row>
    <row r="5966" spans="1:5" x14ac:dyDescent="0.25">
      <c r="B5966" s="115" t="s">
        <v>1273</v>
      </c>
      <c r="D5966" s="115" t="s">
        <v>4197</v>
      </c>
      <c r="E5966" s="115" t="s">
        <v>9711</v>
      </c>
    </row>
    <row r="5967" spans="1:5" x14ac:dyDescent="0.25">
      <c r="A5967" s="115" t="s">
        <v>1138</v>
      </c>
      <c r="B5967" s="115" t="s">
        <v>9712</v>
      </c>
      <c r="D5967" s="115" t="s">
        <v>9713</v>
      </c>
      <c r="E5967" s="115" t="s">
        <v>9714</v>
      </c>
    </row>
    <row r="5968" spans="1:5" x14ac:dyDescent="0.25">
      <c r="A5968" s="115">
        <v>5</v>
      </c>
      <c r="B5968" s="115" t="s">
        <v>9715</v>
      </c>
      <c r="D5968" s="115" t="s">
        <v>9716</v>
      </c>
      <c r="E5968" s="115" t="s">
        <v>9717</v>
      </c>
    </row>
    <row r="5969" spans="1:5" x14ac:dyDescent="0.25">
      <c r="A5969" s="115" t="s">
        <v>1138</v>
      </c>
      <c r="B5969" s="115" t="s">
        <v>9718</v>
      </c>
      <c r="D5969" s="115" t="s">
        <v>3410</v>
      </c>
      <c r="E5969" s="115" t="s">
        <v>9719</v>
      </c>
    </row>
    <row r="5970" spans="1:5" x14ac:dyDescent="0.25">
      <c r="A5970" s="115" t="s">
        <v>1138</v>
      </c>
      <c r="B5970" s="115" t="s">
        <v>9720</v>
      </c>
      <c r="D5970" s="115" t="s">
        <v>9721</v>
      </c>
      <c r="E5970" s="115" t="s">
        <v>9722</v>
      </c>
    </row>
    <row r="5971" spans="1:5" x14ac:dyDescent="0.25">
      <c r="A5971" s="115">
        <v>5</v>
      </c>
      <c r="B5971" s="115" t="s">
        <v>9723</v>
      </c>
      <c r="D5971" s="115" t="s">
        <v>9724</v>
      </c>
      <c r="E5971" s="115" t="s">
        <v>9725</v>
      </c>
    </row>
    <row r="5972" spans="1:5" x14ac:dyDescent="0.25">
      <c r="A5972" s="115" t="s">
        <v>1138</v>
      </c>
      <c r="B5972" s="115" t="s">
        <v>1172</v>
      </c>
      <c r="D5972" s="115" t="s">
        <v>9726</v>
      </c>
      <c r="E5972" s="115" t="s">
        <v>9727</v>
      </c>
    </row>
    <row r="5973" spans="1:5" x14ac:dyDescent="0.25">
      <c r="B5973" s="115" t="s">
        <v>1646</v>
      </c>
      <c r="D5973" s="115" t="s">
        <v>9728</v>
      </c>
      <c r="E5973" s="115" t="s">
        <v>9729</v>
      </c>
    </row>
    <row r="5974" spans="1:5" x14ac:dyDescent="0.25">
      <c r="A5974" s="115">
        <v>7</v>
      </c>
      <c r="B5974" s="115" t="s">
        <v>9730</v>
      </c>
      <c r="D5974" s="115" t="s">
        <v>9731</v>
      </c>
      <c r="E5974" s="115" t="s">
        <v>9732</v>
      </c>
    </row>
    <row r="5975" spans="1:5" x14ac:dyDescent="0.25">
      <c r="B5975" s="115" t="s">
        <v>1139</v>
      </c>
      <c r="D5975" s="115" t="s">
        <v>9733</v>
      </c>
      <c r="E5975" s="115" t="s">
        <v>9734</v>
      </c>
    </row>
    <row r="5976" spans="1:5" x14ac:dyDescent="0.25">
      <c r="B5976" s="115" t="s">
        <v>1139</v>
      </c>
      <c r="D5976" s="115" t="s">
        <v>9735</v>
      </c>
      <c r="E5976" s="115" t="s">
        <v>9736</v>
      </c>
    </row>
    <row r="5977" spans="1:5" x14ac:dyDescent="0.25">
      <c r="A5977" s="115">
        <v>3</v>
      </c>
      <c r="B5977" s="115" t="s">
        <v>9737</v>
      </c>
      <c r="D5977" s="115" t="s">
        <v>9738</v>
      </c>
      <c r="E5977" s="115" t="s">
        <v>9739</v>
      </c>
    </row>
    <row r="5978" spans="1:5" x14ac:dyDescent="0.25">
      <c r="A5978" s="115" t="s">
        <v>1138</v>
      </c>
      <c r="B5978" s="115" t="s">
        <v>9437</v>
      </c>
      <c r="D5978" s="115" t="s">
        <v>9740</v>
      </c>
      <c r="E5978" s="115" t="s">
        <v>9741</v>
      </c>
    </row>
    <row r="5979" spans="1:5" x14ac:dyDescent="0.25">
      <c r="A5979" s="115">
        <v>1</v>
      </c>
      <c r="B5979" s="115" t="s">
        <v>9742</v>
      </c>
      <c r="D5979" s="115" t="s">
        <v>9743</v>
      </c>
      <c r="E5979" s="115" t="s">
        <v>1141</v>
      </c>
    </row>
    <row r="5980" spans="1:5" x14ac:dyDescent="0.25">
      <c r="B5980" s="115" t="s">
        <v>9744</v>
      </c>
      <c r="D5980" s="115" t="s">
        <v>9745</v>
      </c>
      <c r="E5980" s="115" t="s">
        <v>9746</v>
      </c>
    </row>
    <row r="5981" spans="1:5" x14ac:dyDescent="0.25">
      <c r="B5981" s="115" t="s">
        <v>9747</v>
      </c>
      <c r="C5981" s="115" t="s">
        <v>1138</v>
      </c>
      <c r="D5981" s="115" t="s">
        <v>9748</v>
      </c>
      <c r="E5981" s="115" t="s">
        <v>9749</v>
      </c>
    </row>
    <row r="5982" spans="1:5" x14ac:dyDescent="0.25">
      <c r="B5982" s="115" t="s">
        <v>1139</v>
      </c>
      <c r="D5982" s="115" t="s">
        <v>1140</v>
      </c>
      <c r="E5982" s="115" t="s">
        <v>1141</v>
      </c>
    </row>
    <row r="5983" spans="1:5" x14ac:dyDescent="0.25">
      <c r="B5983" s="115" t="s">
        <v>1139</v>
      </c>
      <c r="D5983" s="115" t="s">
        <v>7303</v>
      </c>
      <c r="E5983" s="115" t="s">
        <v>1859</v>
      </c>
    </row>
    <row r="5984" spans="1:5" x14ac:dyDescent="0.25">
      <c r="A5984" s="115">
        <v>3</v>
      </c>
      <c r="B5984" s="115" t="s">
        <v>9750</v>
      </c>
      <c r="D5984" s="115" t="s">
        <v>9751</v>
      </c>
      <c r="E5984" s="115" t="s">
        <v>9752</v>
      </c>
    </row>
    <row r="5985" spans="1:5" x14ac:dyDescent="0.25">
      <c r="B5985" s="115" t="s">
        <v>9753</v>
      </c>
      <c r="C5985" s="115" t="s">
        <v>1138</v>
      </c>
      <c r="D5985" s="115" t="s">
        <v>9754</v>
      </c>
      <c r="E5985" s="115" t="s">
        <v>9755</v>
      </c>
    </row>
    <row r="5986" spans="1:5" x14ac:dyDescent="0.25">
      <c r="A5986" s="115">
        <v>-6</v>
      </c>
      <c r="B5986" s="115" t="s">
        <v>9756</v>
      </c>
      <c r="C5986" s="115" t="s">
        <v>1138</v>
      </c>
      <c r="D5986" s="115" t="s">
        <v>9757</v>
      </c>
      <c r="E5986" s="115" t="s">
        <v>9758</v>
      </c>
    </row>
    <row r="5987" spans="1:5" x14ac:dyDescent="0.25">
      <c r="A5987" s="115">
        <v>-3</v>
      </c>
      <c r="B5987" s="115" t="s">
        <v>9759</v>
      </c>
      <c r="C5987" s="115" t="s">
        <v>1138</v>
      </c>
      <c r="D5987" s="115" t="s">
        <v>9760</v>
      </c>
      <c r="E5987" s="115" t="s">
        <v>9761</v>
      </c>
    </row>
    <row r="5988" spans="1:5" x14ac:dyDescent="0.25">
      <c r="A5988" s="115">
        <v>1</v>
      </c>
      <c r="B5988" s="115" t="s">
        <v>9762</v>
      </c>
      <c r="D5988" s="115" t="s">
        <v>9763</v>
      </c>
      <c r="E5988" s="115" t="s">
        <v>9764</v>
      </c>
    </row>
    <row r="5989" spans="1:5" x14ac:dyDescent="0.25">
      <c r="A5989" s="115">
        <v>1</v>
      </c>
      <c r="B5989" s="115" t="s">
        <v>9765</v>
      </c>
      <c r="D5989" s="115" t="s">
        <v>9766</v>
      </c>
      <c r="E5989" s="115" t="s">
        <v>9767</v>
      </c>
    </row>
    <row r="5990" spans="1:5" x14ac:dyDescent="0.25">
      <c r="A5990" s="115">
        <v>59</v>
      </c>
      <c r="B5990" s="115" t="s">
        <v>9768</v>
      </c>
      <c r="C5990" s="115">
        <v>5</v>
      </c>
      <c r="D5990" s="115" t="s">
        <v>9769</v>
      </c>
      <c r="E5990" s="115" t="s">
        <v>9770</v>
      </c>
    </row>
    <row r="5991" spans="1:5" x14ac:dyDescent="0.25">
      <c r="A5991" s="115">
        <v>49</v>
      </c>
      <c r="B5991" s="115" t="s">
        <v>9771</v>
      </c>
      <c r="C5991" s="115">
        <v>6</v>
      </c>
      <c r="D5991" s="115" t="s">
        <v>9772</v>
      </c>
      <c r="E5991" s="115" t="s">
        <v>9773</v>
      </c>
    </row>
    <row r="5992" spans="1:5" x14ac:dyDescent="0.25">
      <c r="A5992" s="115" t="s">
        <v>1138</v>
      </c>
      <c r="B5992" s="115" t="s">
        <v>9774</v>
      </c>
      <c r="D5992" s="115" t="s">
        <v>9775</v>
      </c>
      <c r="E5992" s="115" t="s">
        <v>9776</v>
      </c>
    </row>
    <row r="5993" spans="1:5" x14ac:dyDescent="0.25">
      <c r="B5993" s="115" t="s">
        <v>1139</v>
      </c>
      <c r="D5993" s="115" t="s">
        <v>9777</v>
      </c>
      <c r="E5993" s="115" t="s">
        <v>1141</v>
      </c>
    </row>
    <row r="5994" spans="1:5" x14ac:dyDescent="0.25">
      <c r="B5994" s="115" t="s">
        <v>1139</v>
      </c>
      <c r="D5994" s="115" t="s">
        <v>9778</v>
      </c>
      <c r="E5994" s="115" t="s">
        <v>9779</v>
      </c>
    </row>
    <row r="5995" spans="1:5" x14ac:dyDescent="0.25">
      <c r="A5995" s="115" t="s">
        <v>1138</v>
      </c>
      <c r="B5995" s="115" t="s">
        <v>9780</v>
      </c>
      <c r="D5995" s="115" t="s">
        <v>9781</v>
      </c>
      <c r="E5995" s="115" t="s">
        <v>9782</v>
      </c>
    </row>
    <row r="5996" spans="1:5" x14ac:dyDescent="0.25">
      <c r="B5996" s="115" t="s">
        <v>1139</v>
      </c>
      <c r="D5996" s="115" t="s">
        <v>2127</v>
      </c>
      <c r="E5996" s="115" t="s">
        <v>1859</v>
      </c>
    </row>
    <row r="5997" spans="1:5" x14ac:dyDescent="0.25">
      <c r="B5997" s="115" t="s">
        <v>1139</v>
      </c>
      <c r="D5997" s="115" t="s">
        <v>9783</v>
      </c>
      <c r="E5997" s="115" t="s">
        <v>9784</v>
      </c>
    </row>
    <row r="5998" spans="1:5" x14ac:dyDescent="0.25">
      <c r="B5998" s="115" t="s">
        <v>9785</v>
      </c>
      <c r="D5998" s="115" t="s">
        <v>9786</v>
      </c>
      <c r="E5998" s="115" t="s">
        <v>9787</v>
      </c>
    </row>
    <row r="5999" spans="1:5" x14ac:dyDescent="0.25">
      <c r="A5999" s="115" t="s">
        <v>1138</v>
      </c>
      <c r="B5999" s="115" t="s">
        <v>9788</v>
      </c>
      <c r="D5999" s="115" t="s">
        <v>9789</v>
      </c>
      <c r="E5999" s="115" t="s">
        <v>2260</v>
      </c>
    </row>
    <row r="6000" spans="1:5" x14ac:dyDescent="0.25">
      <c r="B6000" s="115" t="s">
        <v>9790</v>
      </c>
      <c r="D6000" s="115" t="s">
        <v>9791</v>
      </c>
      <c r="E6000" s="115" t="s">
        <v>9792</v>
      </c>
    </row>
    <row r="6001" spans="1:5" x14ac:dyDescent="0.25">
      <c r="A6001" s="115" t="s">
        <v>1138</v>
      </c>
      <c r="B6001" s="115" t="s">
        <v>9793</v>
      </c>
      <c r="D6001" s="115" t="s">
        <v>9794</v>
      </c>
      <c r="E6001" s="115" t="s">
        <v>9795</v>
      </c>
    </row>
    <row r="6002" spans="1:5" x14ac:dyDescent="0.25">
      <c r="A6002" s="115" t="s">
        <v>1138</v>
      </c>
      <c r="B6002" s="115" t="s">
        <v>7069</v>
      </c>
      <c r="D6002" s="115" t="s">
        <v>9796</v>
      </c>
      <c r="E6002" s="115" t="s">
        <v>2082</v>
      </c>
    </row>
    <row r="6003" spans="1:5" x14ac:dyDescent="0.25">
      <c r="B6003" s="115" t="s">
        <v>9797</v>
      </c>
      <c r="D6003" s="115" t="s">
        <v>9798</v>
      </c>
      <c r="E6003" s="115" t="s">
        <v>9799</v>
      </c>
    </row>
    <row r="6004" spans="1:5" x14ac:dyDescent="0.25">
      <c r="B6004" s="115" t="s">
        <v>1360</v>
      </c>
      <c r="D6004" s="115" t="s">
        <v>9800</v>
      </c>
      <c r="E6004" s="115" t="s">
        <v>9801</v>
      </c>
    </row>
    <row r="6005" spans="1:5" x14ac:dyDescent="0.25">
      <c r="B6005" s="115" t="s">
        <v>9802</v>
      </c>
      <c r="D6005" s="115" t="s">
        <v>9803</v>
      </c>
      <c r="E6005" s="115" t="s">
        <v>1759</v>
      </c>
    </row>
    <row r="6006" spans="1:5" x14ac:dyDescent="0.25">
      <c r="B6006" s="115" t="s">
        <v>9804</v>
      </c>
      <c r="D6006" s="115" t="s">
        <v>9805</v>
      </c>
      <c r="E6006" s="115" t="s">
        <v>9806</v>
      </c>
    </row>
    <row r="6007" spans="1:5" x14ac:dyDescent="0.25">
      <c r="A6007" s="115" t="s">
        <v>1138</v>
      </c>
      <c r="B6007" s="115" t="s">
        <v>9807</v>
      </c>
      <c r="C6007" s="115" t="s">
        <v>1138</v>
      </c>
      <c r="D6007" s="115" t="s">
        <v>9808</v>
      </c>
      <c r="E6007" s="115" t="s">
        <v>9809</v>
      </c>
    </row>
    <row r="6008" spans="1:5" x14ac:dyDescent="0.25">
      <c r="A6008" s="115">
        <v>-1</v>
      </c>
      <c r="B6008" s="115" t="s">
        <v>1562</v>
      </c>
      <c r="C6008" s="115" t="s">
        <v>1138</v>
      </c>
      <c r="D6008" s="115" t="s">
        <v>9810</v>
      </c>
      <c r="E6008" s="115" t="s">
        <v>1141</v>
      </c>
    </row>
    <row r="6009" spans="1:5" x14ac:dyDescent="0.25">
      <c r="A6009" s="115">
        <v>2</v>
      </c>
      <c r="B6009" s="115" t="s">
        <v>9811</v>
      </c>
      <c r="D6009" s="115" t="s">
        <v>9812</v>
      </c>
      <c r="E6009" s="115" t="s">
        <v>1141</v>
      </c>
    </row>
    <row r="6010" spans="1:5" x14ac:dyDescent="0.25">
      <c r="A6010" s="115">
        <v>-3</v>
      </c>
      <c r="B6010" s="115" t="s">
        <v>9813</v>
      </c>
      <c r="D6010" s="115" t="s">
        <v>9814</v>
      </c>
      <c r="E6010" s="115" t="s">
        <v>9815</v>
      </c>
    </row>
    <row r="6011" spans="1:5" x14ac:dyDescent="0.25">
      <c r="A6011" s="115">
        <v>-2</v>
      </c>
      <c r="B6011" s="115" t="s">
        <v>1591</v>
      </c>
      <c r="C6011" s="115" t="s">
        <v>1138</v>
      </c>
      <c r="D6011" s="115" t="s">
        <v>9816</v>
      </c>
      <c r="E6011" s="115" t="s">
        <v>1859</v>
      </c>
    </row>
    <row r="6012" spans="1:5" x14ac:dyDescent="0.25">
      <c r="A6012" s="115">
        <v>2</v>
      </c>
      <c r="B6012" s="115" t="s">
        <v>9817</v>
      </c>
      <c r="D6012" s="115" t="s">
        <v>9818</v>
      </c>
      <c r="E6012" s="115" t="s">
        <v>9819</v>
      </c>
    </row>
    <row r="6013" spans="1:5" x14ac:dyDescent="0.25">
      <c r="B6013" s="115" t="s">
        <v>1139</v>
      </c>
      <c r="D6013" s="115" t="s">
        <v>1140</v>
      </c>
      <c r="E6013" s="115" t="s">
        <v>9820</v>
      </c>
    </row>
    <row r="6014" spans="1:5" x14ac:dyDescent="0.25">
      <c r="A6014" s="115">
        <v>1</v>
      </c>
      <c r="B6014" s="115" t="s">
        <v>9821</v>
      </c>
      <c r="D6014" s="115" t="s">
        <v>9822</v>
      </c>
      <c r="E6014" s="115" t="s">
        <v>9823</v>
      </c>
    </row>
    <row r="6015" spans="1:5" x14ac:dyDescent="0.25">
      <c r="B6015" s="115" t="s">
        <v>1139</v>
      </c>
      <c r="D6015" s="115" t="s">
        <v>9824</v>
      </c>
      <c r="E6015" s="115" t="s">
        <v>1141</v>
      </c>
    </row>
    <row r="6016" spans="1:5" x14ac:dyDescent="0.25">
      <c r="B6016" s="115" t="s">
        <v>1139</v>
      </c>
      <c r="D6016" s="115" t="s">
        <v>1140</v>
      </c>
      <c r="E6016" s="115" t="s">
        <v>1141</v>
      </c>
    </row>
    <row r="6017" spans="1:5" x14ac:dyDescent="0.25">
      <c r="A6017" s="115">
        <v>-1</v>
      </c>
      <c r="B6017" s="115" t="s">
        <v>1446</v>
      </c>
      <c r="D6017" s="115" t="s">
        <v>2680</v>
      </c>
      <c r="E6017" s="115" t="s">
        <v>9825</v>
      </c>
    </row>
    <row r="6018" spans="1:5" x14ac:dyDescent="0.25">
      <c r="A6018" s="115">
        <v>-6</v>
      </c>
      <c r="B6018" s="115" t="s">
        <v>9826</v>
      </c>
      <c r="D6018" s="115" t="s">
        <v>9827</v>
      </c>
      <c r="E6018" s="115" t="s">
        <v>9828</v>
      </c>
    </row>
    <row r="6019" spans="1:5" x14ac:dyDescent="0.25">
      <c r="A6019" s="115">
        <v>-7</v>
      </c>
      <c r="B6019" s="115" t="s">
        <v>9829</v>
      </c>
      <c r="D6019" s="115" t="s">
        <v>9830</v>
      </c>
      <c r="E6019" s="115" t="s">
        <v>9831</v>
      </c>
    </row>
    <row r="6020" spans="1:5" x14ac:dyDescent="0.25">
      <c r="A6020" s="115">
        <v>-10</v>
      </c>
      <c r="B6020" s="115" t="s">
        <v>9832</v>
      </c>
      <c r="C6020" s="115" t="s">
        <v>1138</v>
      </c>
      <c r="D6020" s="115" t="s">
        <v>9833</v>
      </c>
      <c r="E6020" s="115" t="s">
        <v>9834</v>
      </c>
    </row>
    <row r="6021" spans="1:5" x14ac:dyDescent="0.25">
      <c r="A6021" s="115">
        <v>-9</v>
      </c>
      <c r="B6021" s="115" t="s">
        <v>9835</v>
      </c>
      <c r="C6021" s="115">
        <v>-1</v>
      </c>
      <c r="D6021" s="115" t="s">
        <v>9836</v>
      </c>
      <c r="E6021" s="115" t="s">
        <v>9837</v>
      </c>
    </row>
    <row r="6022" spans="1:5" x14ac:dyDescent="0.25">
      <c r="A6022" s="115" t="s">
        <v>1138</v>
      </c>
      <c r="B6022" s="115" t="s">
        <v>9838</v>
      </c>
      <c r="D6022" s="115" t="s">
        <v>9839</v>
      </c>
      <c r="E6022" s="115" t="s">
        <v>9840</v>
      </c>
    </row>
    <row r="6023" spans="1:5" x14ac:dyDescent="0.25">
      <c r="A6023" s="115">
        <v>1</v>
      </c>
      <c r="B6023" s="115" t="s">
        <v>9841</v>
      </c>
      <c r="D6023" s="115" t="s">
        <v>9842</v>
      </c>
      <c r="E6023" s="115" t="s">
        <v>9843</v>
      </c>
    </row>
    <row r="6024" spans="1:5" x14ac:dyDescent="0.25">
      <c r="A6024" s="115">
        <v>42</v>
      </c>
      <c r="B6024" s="115" t="s">
        <v>9844</v>
      </c>
      <c r="C6024" s="115">
        <v>5</v>
      </c>
      <c r="D6024" s="115" t="s">
        <v>9845</v>
      </c>
      <c r="E6024" s="115" t="s">
        <v>9846</v>
      </c>
    </row>
    <row r="6025" spans="1:5" x14ac:dyDescent="0.25">
      <c r="A6025" s="115">
        <v>59</v>
      </c>
      <c r="B6025" s="115" t="s">
        <v>9847</v>
      </c>
      <c r="C6025" s="115">
        <v>9</v>
      </c>
      <c r="D6025" s="115" t="s">
        <v>9848</v>
      </c>
      <c r="E6025" s="115" t="s">
        <v>9849</v>
      </c>
    </row>
    <row r="6026" spans="1:5" x14ac:dyDescent="0.25">
      <c r="B6026" s="115" t="s">
        <v>1139</v>
      </c>
      <c r="D6026" s="115" t="s">
        <v>9850</v>
      </c>
      <c r="E6026" s="115" t="s">
        <v>9851</v>
      </c>
    </row>
    <row r="6027" spans="1:5" x14ac:dyDescent="0.25">
      <c r="B6027" s="115" t="s">
        <v>1139</v>
      </c>
      <c r="D6027" s="115" t="s">
        <v>1140</v>
      </c>
      <c r="E6027" s="115" t="s">
        <v>9852</v>
      </c>
    </row>
    <row r="6028" spans="1:5" x14ac:dyDescent="0.25">
      <c r="B6028" s="115" t="s">
        <v>1139</v>
      </c>
      <c r="D6028" s="115" t="s">
        <v>9853</v>
      </c>
      <c r="E6028" s="115" t="s">
        <v>9854</v>
      </c>
    </row>
    <row r="6029" spans="1:5" x14ac:dyDescent="0.25">
      <c r="B6029" s="115" t="s">
        <v>9855</v>
      </c>
      <c r="D6029" s="115" t="s">
        <v>1848</v>
      </c>
      <c r="E6029" s="115" t="s">
        <v>2260</v>
      </c>
    </row>
    <row r="6030" spans="1:5" x14ac:dyDescent="0.25">
      <c r="B6030" s="115" t="s">
        <v>9856</v>
      </c>
      <c r="D6030" s="115" t="s">
        <v>1140</v>
      </c>
      <c r="E6030" s="115" t="s">
        <v>9857</v>
      </c>
    </row>
    <row r="6031" spans="1:5" x14ac:dyDescent="0.25">
      <c r="A6031" s="115">
        <v>-73</v>
      </c>
      <c r="B6031" s="115" t="s">
        <v>1498</v>
      </c>
      <c r="D6031" s="115" t="s">
        <v>9858</v>
      </c>
      <c r="E6031" s="115" t="s">
        <v>9859</v>
      </c>
    </row>
    <row r="6032" spans="1:5" x14ac:dyDescent="0.25">
      <c r="B6032" s="115" t="s">
        <v>1139</v>
      </c>
      <c r="D6032" s="115" t="s">
        <v>9860</v>
      </c>
      <c r="E6032" s="115" t="s">
        <v>9861</v>
      </c>
    </row>
    <row r="6033" spans="1:5" x14ac:dyDescent="0.25">
      <c r="B6033" s="115" t="s">
        <v>9862</v>
      </c>
      <c r="D6033" s="115" t="s">
        <v>1140</v>
      </c>
      <c r="E6033" s="115" t="s">
        <v>9863</v>
      </c>
    </row>
    <row r="6034" spans="1:5" x14ac:dyDescent="0.25">
      <c r="A6034" s="115">
        <v>-80</v>
      </c>
      <c r="B6034" s="115" t="s">
        <v>9864</v>
      </c>
      <c r="D6034" s="115" t="s">
        <v>9865</v>
      </c>
      <c r="E6034" s="115" t="s">
        <v>9866</v>
      </c>
    </row>
    <row r="6035" spans="1:5" x14ac:dyDescent="0.25">
      <c r="B6035" s="115" t="s">
        <v>9867</v>
      </c>
      <c r="D6035" s="115" t="s">
        <v>9868</v>
      </c>
      <c r="E6035" s="115" t="s">
        <v>9869</v>
      </c>
    </row>
    <row r="6036" spans="1:5" x14ac:dyDescent="0.25">
      <c r="B6036" s="115" t="s">
        <v>9870</v>
      </c>
      <c r="D6036" s="115" t="s">
        <v>1140</v>
      </c>
      <c r="E6036" s="115" t="s">
        <v>9871</v>
      </c>
    </row>
    <row r="6037" spans="1:5" x14ac:dyDescent="0.25">
      <c r="A6037" s="115">
        <v>-82</v>
      </c>
      <c r="B6037" s="115" t="s">
        <v>9872</v>
      </c>
      <c r="D6037" s="115" t="s">
        <v>9873</v>
      </c>
      <c r="E6037" s="115" t="s">
        <v>9874</v>
      </c>
    </row>
    <row r="6038" spans="1:5" x14ac:dyDescent="0.25">
      <c r="B6038" s="115" t="s">
        <v>9875</v>
      </c>
      <c r="D6038" s="115" t="s">
        <v>9876</v>
      </c>
      <c r="E6038" s="115" t="s">
        <v>9877</v>
      </c>
    </row>
    <row r="6039" spans="1:5" x14ac:dyDescent="0.25">
      <c r="B6039" s="126" t="s">
        <v>9878</v>
      </c>
      <c r="D6039" s="115" t="s">
        <v>1140</v>
      </c>
      <c r="E6039" s="115" t="s">
        <v>9879</v>
      </c>
    </row>
    <row r="6040" spans="1:5" x14ac:dyDescent="0.25">
      <c r="A6040" s="115">
        <v>-78</v>
      </c>
      <c r="B6040" s="115" t="s">
        <v>9880</v>
      </c>
      <c r="D6040" s="115" t="s">
        <v>2513</v>
      </c>
      <c r="E6040" s="115" t="s">
        <v>9881</v>
      </c>
    </row>
    <row r="6041" spans="1:5" x14ac:dyDescent="0.25">
      <c r="B6041" s="115" t="s">
        <v>9882</v>
      </c>
      <c r="D6041" s="115" t="s">
        <v>1506</v>
      </c>
      <c r="E6041" s="115" t="s">
        <v>9883</v>
      </c>
    </row>
    <row r="6042" spans="1:5" x14ac:dyDescent="0.25">
      <c r="B6042" s="115" t="s">
        <v>1139</v>
      </c>
      <c r="D6042" s="115" t="s">
        <v>1140</v>
      </c>
      <c r="E6042" s="115" t="s">
        <v>9884</v>
      </c>
    </row>
    <row r="6043" spans="1:5" x14ac:dyDescent="0.25">
      <c r="A6043" s="115">
        <v>-93</v>
      </c>
      <c r="B6043" s="115" t="s">
        <v>9885</v>
      </c>
      <c r="D6043" s="115" t="s">
        <v>1140</v>
      </c>
      <c r="E6043" s="115" t="s">
        <v>9886</v>
      </c>
    </row>
    <row r="6044" spans="1:5" x14ac:dyDescent="0.25">
      <c r="A6044" s="115">
        <v>2</v>
      </c>
      <c r="B6044" s="115" t="s">
        <v>9887</v>
      </c>
      <c r="D6044" s="115" t="s">
        <v>9888</v>
      </c>
      <c r="E6044" s="115" t="s">
        <v>9889</v>
      </c>
    </row>
    <row r="6045" spans="1:5" x14ac:dyDescent="0.25">
      <c r="B6045" s="115" t="s">
        <v>9890</v>
      </c>
      <c r="D6045" s="115" t="s">
        <v>1140</v>
      </c>
      <c r="E6045" s="115" t="s">
        <v>9891</v>
      </c>
    </row>
    <row r="6046" spans="1:5" x14ac:dyDescent="0.25">
      <c r="B6046" s="115" t="s">
        <v>9892</v>
      </c>
      <c r="D6046" s="115" t="s">
        <v>9893</v>
      </c>
      <c r="E6046" s="115" t="s">
        <v>1141</v>
      </c>
    </row>
    <row r="6047" spans="1:5" x14ac:dyDescent="0.25">
      <c r="B6047" s="115" t="s">
        <v>1139</v>
      </c>
      <c r="D6047" s="115" t="s">
        <v>9894</v>
      </c>
      <c r="E6047" s="115" t="s">
        <v>9895</v>
      </c>
    </row>
    <row r="6048" spans="1:5" x14ac:dyDescent="0.25">
      <c r="B6048" s="115" t="s">
        <v>9896</v>
      </c>
      <c r="D6048" s="115" t="s">
        <v>9897</v>
      </c>
      <c r="E6048" s="115" t="s">
        <v>9898</v>
      </c>
    </row>
    <row r="6049" spans="1:5" x14ac:dyDescent="0.25">
      <c r="A6049" s="115">
        <v>-2</v>
      </c>
      <c r="B6049" s="115" t="s">
        <v>1212</v>
      </c>
      <c r="D6049" s="115" t="s">
        <v>1140</v>
      </c>
      <c r="E6049" s="115" t="s">
        <v>1141</v>
      </c>
    </row>
    <row r="6050" spans="1:5" x14ac:dyDescent="0.25">
      <c r="B6050" s="115" t="s">
        <v>1139</v>
      </c>
      <c r="D6050" s="115" t="s">
        <v>1140</v>
      </c>
      <c r="E6050" s="115" t="s">
        <v>9899</v>
      </c>
    </row>
    <row r="6051" spans="1:5" x14ac:dyDescent="0.25">
      <c r="B6051" s="115" t="s">
        <v>9900</v>
      </c>
      <c r="D6051" s="115" t="s">
        <v>9901</v>
      </c>
      <c r="E6051" s="115" t="s">
        <v>9902</v>
      </c>
    </row>
    <row r="6052" spans="1:5" x14ac:dyDescent="0.25">
      <c r="B6052" s="115" t="s">
        <v>1139</v>
      </c>
      <c r="D6052" s="115" t="s">
        <v>9903</v>
      </c>
      <c r="E6052" s="115" t="s">
        <v>9904</v>
      </c>
    </row>
    <row r="6053" spans="1:5" x14ac:dyDescent="0.25">
      <c r="A6053" s="115">
        <v>-8</v>
      </c>
      <c r="B6053" s="115" t="s">
        <v>9905</v>
      </c>
      <c r="C6053" s="115">
        <v>-1</v>
      </c>
      <c r="D6053" s="115" t="s">
        <v>9906</v>
      </c>
      <c r="E6053" s="115" t="s">
        <v>9907</v>
      </c>
    </row>
    <row r="6054" spans="1:5" x14ac:dyDescent="0.25">
      <c r="A6054" s="115">
        <v>-12</v>
      </c>
      <c r="B6054" s="115" t="s">
        <v>9908</v>
      </c>
      <c r="C6054" s="115" t="s">
        <v>1138</v>
      </c>
      <c r="D6054" s="115" t="s">
        <v>9909</v>
      </c>
      <c r="E6054" s="115" t="s">
        <v>9910</v>
      </c>
    </row>
    <row r="6055" spans="1:5" x14ac:dyDescent="0.25">
      <c r="B6055" s="115">
        <f>-50    -27</f>
        <v>-77</v>
      </c>
      <c r="D6055" s="115">
        <f>-1   -239  -1460   -82</f>
        <v>-1782</v>
      </c>
      <c r="E6055" s="115" t="s">
        <v>9911</v>
      </c>
    </row>
    <row r="6056" spans="1:5" x14ac:dyDescent="0.25">
      <c r="A6056" s="115">
        <v>1</v>
      </c>
      <c r="B6056" s="115" t="s">
        <v>9912</v>
      </c>
      <c r="D6056" s="115" t="s">
        <v>9913</v>
      </c>
      <c r="E6056" s="115" t="s">
        <v>9914</v>
      </c>
    </row>
    <row r="6057" spans="1:5" x14ac:dyDescent="0.25">
      <c r="A6057" s="115">
        <v>51</v>
      </c>
      <c r="B6057" s="115" t="s">
        <v>9915</v>
      </c>
      <c r="C6057" s="115">
        <v>5</v>
      </c>
      <c r="D6057" s="115" t="s">
        <v>9916</v>
      </c>
      <c r="E6057" s="115" t="s">
        <v>9917</v>
      </c>
    </row>
    <row r="6058" spans="1:5" x14ac:dyDescent="0.25">
      <c r="A6058" s="115">
        <v>48</v>
      </c>
      <c r="B6058" s="115" t="s">
        <v>9918</v>
      </c>
      <c r="C6058" s="115">
        <v>4</v>
      </c>
      <c r="D6058" s="115" t="s">
        <v>9919</v>
      </c>
      <c r="E6058" s="115" t="s">
        <v>9920</v>
      </c>
    </row>
    <row r="6059" spans="1:5" x14ac:dyDescent="0.25">
      <c r="A6059" s="115">
        <v>96</v>
      </c>
      <c r="B6059" s="115" t="s">
        <v>9921</v>
      </c>
      <c r="C6059" s="115">
        <v>9</v>
      </c>
      <c r="D6059" s="115" t="s">
        <v>9922</v>
      </c>
      <c r="E6059" s="115" t="s">
        <v>9923</v>
      </c>
    </row>
    <row r="6060" spans="1:5" x14ac:dyDescent="0.25">
      <c r="B6060" s="115" t="s">
        <v>1391</v>
      </c>
      <c r="D6060" s="115" t="s">
        <v>3621</v>
      </c>
      <c r="E6060" s="115" t="s">
        <v>9924</v>
      </c>
    </row>
    <row r="6061" spans="1:5" x14ac:dyDescent="0.25">
      <c r="B6061" s="115" t="s">
        <v>1139</v>
      </c>
      <c r="D6061" s="115" t="s">
        <v>1816</v>
      </c>
      <c r="E6061" s="115" t="s">
        <v>9925</v>
      </c>
    </row>
    <row r="6062" spans="1:5" x14ac:dyDescent="0.25">
      <c r="A6062" s="115">
        <v>-65</v>
      </c>
      <c r="B6062" s="115" t="s">
        <v>9926</v>
      </c>
      <c r="D6062" s="115">
        <f>-97   -874   -104</f>
        <v>-1075</v>
      </c>
      <c r="E6062" s="115" t="s">
        <v>9927</v>
      </c>
    </row>
    <row r="6063" spans="1:5" x14ac:dyDescent="0.25">
      <c r="B6063" s="115" t="s">
        <v>1139</v>
      </c>
      <c r="D6063" s="115" t="s">
        <v>1231</v>
      </c>
      <c r="E6063" s="115" t="s">
        <v>9928</v>
      </c>
    </row>
    <row r="6064" spans="1:5" x14ac:dyDescent="0.25">
      <c r="B6064" s="115" t="s">
        <v>1139</v>
      </c>
      <c r="D6064" s="115" t="s">
        <v>1140</v>
      </c>
      <c r="E6064" s="115" t="s">
        <v>9929</v>
      </c>
    </row>
    <row r="6065" spans="1:5" x14ac:dyDescent="0.25">
      <c r="B6065" s="115" t="s">
        <v>1139</v>
      </c>
      <c r="D6065" s="115" t="s">
        <v>9930</v>
      </c>
      <c r="E6065" s="115" t="s">
        <v>9931</v>
      </c>
    </row>
    <row r="6066" spans="1:5" x14ac:dyDescent="0.25">
      <c r="A6066" s="115" t="s">
        <v>1138</v>
      </c>
      <c r="B6066" s="115" t="s">
        <v>1251</v>
      </c>
      <c r="D6066" s="115">
        <f>-22   -422    -26   -21</f>
        <v>-491</v>
      </c>
      <c r="E6066" s="115" t="s">
        <v>9932</v>
      </c>
    </row>
    <row r="6067" spans="1:5" x14ac:dyDescent="0.25">
      <c r="B6067" s="115" t="s">
        <v>1139</v>
      </c>
      <c r="D6067" s="115" t="s">
        <v>9933</v>
      </c>
      <c r="E6067" s="115" t="s">
        <v>9934</v>
      </c>
    </row>
    <row r="6068" spans="1:5" x14ac:dyDescent="0.25">
      <c r="A6068" s="115" t="s">
        <v>1138</v>
      </c>
      <c r="B6068" s="115" t="s">
        <v>1456</v>
      </c>
      <c r="D6068" s="115" t="s">
        <v>9935</v>
      </c>
      <c r="E6068" s="115" t="s">
        <v>9936</v>
      </c>
    </row>
    <row r="6069" spans="1:5" x14ac:dyDescent="0.25">
      <c r="B6069" s="115" t="s">
        <v>1139</v>
      </c>
      <c r="D6069" s="115" t="s">
        <v>9937</v>
      </c>
      <c r="E6069" s="115" t="s">
        <v>9938</v>
      </c>
    </row>
    <row r="6070" spans="1:5" x14ac:dyDescent="0.25">
      <c r="B6070" s="115" t="s">
        <v>1139</v>
      </c>
      <c r="D6070" s="115" t="s">
        <v>9939</v>
      </c>
      <c r="E6070" s="115" t="s">
        <v>9940</v>
      </c>
    </row>
    <row r="6071" spans="1:5" x14ac:dyDescent="0.25">
      <c r="A6071" s="115" t="s">
        <v>1138</v>
      </c>
      <c r="B6071" s="115" t="s">
        <v>9941</v>
      </c>
      <c r="D6071" s="115" t="s">
        <v>9942</v>
      </c>
      <c r="E6071" s="115" t="s">
        <v>9943</v>
      </c>
    </row>
    <row r="6072" spans="1:5" x14ac:dyDescent="0.25">
      <c r="B6072" s="115" t="s">
        <v>1518</v>
      </c>
      <c r="D6072" s="115" t="s">
        <v>9944</v>
      </c>
      <c r="E6072" s="115" t="s">
        <v>9945</v>
      </c>
    </row>
    <row r="6073" spans="1:5" x14ac:dyDescent="0.25">
      <c r="B6073" s="115" t="s">
        <v>1139</v>
      </c>
      <c r="D6073" s="115" t="s">
        <v>9946</v>
      </c>
      <c r="E6073" s="115" t="s">
        <v>9947</v>
      </c>
    </row>
    <row r="6074" spans="1:5" x14ac:dyDescent="0.25">
      <c r="B6074" s="115" t="s">
        <v>1139</v>
      </c>
      <c r="D6074" s="115">
        <f>-636  -1000   -156  -147</f>
        <v>-1939</v>
      </c>
      <c r="E6074" s="115" t="s">
        <v>9948</v>
      </c>
    </row>
    <row r="6075" spans="1:5" x14ac:dyDescent="0.25">
      <c r="B6075" s="115" t="s">
        <v>9949</v>
      </c>
      <c r="D6075" s="115" t="s">
        <v>9950</v>
      </c>
      <c r="E6075" s="115" t="s">
        <v>1819</v>
      </c>
    </row>
    <row r="6076" spans="1:5" x14ac:dyDescent="0.25">
      <c r="B6076" s="115" t="s">
        <v>1139</v>
      </c>
      <c r="D6076" s="115" t="s">
        <v>9951</v>
      </c>
      <c r="E6076" s="115" t="s">
        <v>9952</v>
      </c>
    </row>
    <row r="6077" spans="1:5" x14ac:dyDescent="0.25">
      <c r="B6077" s="115" t="s">
        <v>1139</v>
      </c>
      <c r="D6077" s="115" t="s">
        <v>9953</v>
      </c>
      <c r="E6077" s="115" t="s">
        <v>9954</v>
      </c>
    </row>
    <row r="6078" spans="1:5" x14ac:dyDescent="0.25">
      <c r="B6078" s="115" t="s">
        <v>1139</v>
      </c>
      <c r="D6078" s="115" t="s">
        <v>9955</v>
      </c>
      <c r="E6078" s="115" t="s">
        <v>9956</v>
      </c>
    </row>
    <row r="6079" spans="1:5" x14ac:dyDescent="0.25">
      <c r="B6079" s="115" t="s">
        <v>1139</v>
      </c>
      <c r="D6079" s="115" t="s">
        <v>9957</v>
      </c>
      <c r="E6079" s="115" t="s">
        <v>9958</v>
      </c>
    </row>
    <row r="6080" spans="1:5" x14ac:dyDescent="0.25">
      <c r="A6080" s="115">
        <v>1</v>
      </c>
      <c r="B6080" s="115" t="s">
        <v>9959</v>
      </c>
      <c r="D6080" s="115" t="s">
        <v>1140</v>
      </c>
      <c r="E6080" s="115" t="s">
        <v>9960</v>
      </c>
    </row>
    <row r="6081" spans="1:5" x14ac:dyDescent="0.25">
      <c r="B6081" s="115" t="s">
        <v>9961</v>
      </c>
      <c r="D6081" s="115" t="s">
        <v>9962</v>
      </c>
      <c r="E6081" s="115" t="s">
        <v>9963</v>
      </c>
    </row>
    <row r="6082" spans="1:5" x14ac:dyDescent="0.25">
      <c r="A6082" s="115">
        <v>10</v>
      </c>
      <c r="B6082" s="115" t="s">
        <v>1643</v>
      </c>
      <c r="D6082" s="115" t="s">
        <v>1140</v>
      </c>
      <c r="E6082" s="115" t="s">
        <v>9964</v>
      </c>
    </row>
    <row r="6083" spans="1:5" x14ac:dyDescent="0.25">
      <c r="B6083" s="115" t="s">
        <v>1139</v>
      </c>
      <c r="D6083" s="115" t="s">
        <v>1140</v>
      </c>
      <c r="E6083" s="115" t="s">
        <v>1141</v>
      </c>
    </row>
    <row r="6084" spans="1:5" x14ac:dyDescent="0.25">
      <c r="B6084" s="115" t="s">
        <v>1139</v>
      </c>
      <c r="D6084" s="115" t="s">
        <v>9965</v>
      </c>
      <c r="E6084" s="115" t="s">
        <v>9966</v>
      </c>
    </row>
    <row r="6085" spans="1:5" x14ac:dyDescent="0.25">
      <c r="B6085" s="115" t="s">
        <v>9967</v>
      </c>
      <c r="C6085" s="115">
        <v>-1</v>
      </c>
      <c r="D6085" s="115" t="s">
        <v>9968</v>
      </c>
      <c r="E6085" s="115" t="s">
        <v>9969</v>
      </c>
    </row>
    <row r="6086" spans="1:5" x14ac:dyDescent="0.25">
      <c r="A6086" s="115">
        <v>-6</v>
      </c>
      <c r="B6086" s="115" t="s">
        <v>9970</v>
      </c>
      <c r="C6086" s="115" t="s">
        <v>1138</v>
      </c>
      <c r="D6086" s="115" t="s">
        <v>9971</v>
      </c>
      <c r="E6086" s="115" t="s">
        <v>9972</v>
      </c>
    </row>
    <row r="6087" spans="1:5" x14ac:dyDescent="0.25">
      <c r="A6087" s="115">
        <v>-8</v>
      </c>
      <c r="B6087" s="115" t="s">
        <v>9973</v>
      </c>
      <c r="C6087" s="115">
        <v>-1</v>
      </c>
      <c r="D6087" s="115" t="s">
        <v>9974</v>
      </c>
      <c r="E6087" s="115" t="s">
        <v>9975</v>
      </c>
    </row>
    <row r="6088" spans="1:5" x14ac:dyDescent="0.25">
      <c r="A6088" s="115">
        <v>-12</v>
      </c>
      <c r="B6088" s="115" t="s">
        <v>9976</v>
      </c>
      <c r="C6088" s="115">
        <v>-1</v>
      </c>
      <c r="D6088" s="115" t="s">
        <v>9977</v>
      </c>
      <c r="E6088" s="115" t="s">
        <v>9978</v>
      </c>
    </row>
    <row r="6089" spans="1:5" x14ac:dyDescent="0.25">
      <c r="A6089" s="115">
        <v>-11</v>
      </c>
      <c r="B6089" s="115" t="s">
        <v>9979</v>
      </c>
      <c r="C6089" s="115" t="s">
        <v>1138</v>
      </c>
      <c r="D6089" s="115" t="s">
        <v>9980</v>
      </c>
      <c r="E6089" s="115" t="s">
        <v>9981</v>
      </c>
    </row>
    <row r="6090" spans="1:5" x14ac:dyDescent="0.25">
      <c r="A6090" s="115">
        <v>-7</v>
      </c>
      <c r="B6090" s="115" t="s">
        <v>9982</v>
      </c>
      <c r="C6090" s="115" t="s">
        <v>1138</v>
      </c>
      <c r="D6090" s="115" t="s">
        <v>9983</v>
      </c>
      <c r="E6090" s="115" t="s">
        <v>9984</v>
      </c>
    </row>
    <row r="6091" spans="1:5" x14ac:dyDescent="0.25">
      <c r="A6091" s="115">
        <v>54</v>
      </c>
      <c r="B6091" s="115" t="s">
        <v>9985</v>
      </c>
      <c r="C6091" s="115">
        <v>4</v>
      </c>
      <c r="D6091" s="115" t="s">
        <v>9986</v>
      </c>
      <c r="E6091" s="115" t="s">
        <v>9987</v>
      </c>
    </row>
    <row r="6092" spans="1:5" x14ac:dyDescent="0.25">
      <c r="A6092" s="115">
        <v>57</v>
      </c>
      <c r="B6092" s="115" t="s">
        <v>9988</v>
      </c>
      <c r="C6092" s="115">
        <v>5</v>
      </c>
      <c r="D6092" s="115" t="s">
        <v>9989</v>
      </c>
      <c r="E6092" s="115" t="s">
        <v>9990</v>
      </c>
    </row>
    <row r="6093" spans="1:5" x14ac:dyDescent="0.25">
      <c r="A6093" s="115">
        <v>89</v>
      </c>
      <c r="B6093" s="115" t="s">
        <v>9991</v>
      </c>
      <c r="C6093" s="115">
        <v>-4</v>
      </c>
      <c r="D6093" s="115" t="s">
        <v>9992</v>
      </c>
      <c r="E6093" s="115" t="s">
        <v>9993</v>
      </c>
    </row>
    <row r="6094" spans="1:5" x14ac:dyDescent="0.25">
      <c r="B6094" s="115" t="s">
        <v>1139</v>
      </c>
      <c r="D6094" s="115" t="s">
        <v>9994</v>
      </c>
      <c r="E6094" s="115" t="s">
        <v>1141</v>
      </c>
    </row>
    <row r="6095" spans="1:5" x14ac:dyDescent="0.25">
      <c r="B6095" s="115" t="s">
        <v>1139</v>
      </c>
      <c r="D6095" s="115" t="s">
        <v>9995</v>
      </c>
      <c r="E6095" s="115" t="s">
        <v>9996</v>
      </c>
    </row>
    <row r="6096" spans="1:5" x14ac:dyDescent="0.25">
      <c r="B6096" s="115" t="s">
        <v>9997</v>
      </c>
      <c r="D6096" s="115" t="s">
        <v>9998</v>
      </c>
      <c r="E6096" s="115" t="s">
        <v>9999</v>
      </c>
    </row>
    <row r="6097" spans="1:5" x14ac:dyDescent="0.25">
      <c r="B6097" s="115" t="s">
        <v>1476</v>
      </c>
      <c r="D6097" s="115" t="s">
        <v>1140</v>
      </c>
      <c r="E6097" s="115" t="s">
        <v>3905</v>
      </c>
    </row>
    <row r="6098" spans="1:5" x14ac:dyDescent="0.25">
      <c r="B6098" s="115" t="s">
        <v>1139</v>
      </c>
      <c r="D6098" s="115" t="s">
        <v>10000</v>
      </c>
      <c r="E6098" s="115" t="s">
        <v>10001</v>
      </c>
    </row>
    <row r="6099" spans="1:5" x14ac:dyDescent="0.25">
      <c r="B6099" s="115" t="s">
        <v>1139</v>
      </c>
      <c r="D6099" s="115" t="s">
        <v>10002</v>
      </c>
      <c r="E6099" s="115" t="s">
        <v>10003</v>
      </c>
    </row>
    <row r="6100" spans="1:5" x14ac:dyDescent="0.25">
      <c r="B6100" s="115">
        <f>-29   -446</f>
        <v>-475</v>
      </c>
      <c r="D6100" s="115">
        <f>-85   -272   -376   -10</f>
        <v>-743</v>
      </c>
      <c r="E6100" s="115" t="s">
        <v>10004</v>
      </c>
    </row>
    <row r="6101" spans="1:5" x14ac:dyDescent="0.25">
      <c r="B6101" s="115" t="s">
        <v>1571</v>
      </c>
      <c r="D6101" s="115" t="s">
        <v>10005</v>
      </c>
      <c r="E6101" s="115" t="s">
        <v>10006</v>
      </c>
    </row>
    <row r="6102" spans="1:5" x14ac:dyDescent="0.25">
      <c r="B6102" s="115" t="s">
        <v>10007</v>
      </c>
      <c r="D6102" s="115" t="s">
        <v>10008</v>
      </c>
      <c r="E6102" s="115" t="s">
        <v>10009</v>
      </c>
    </row>
    <row r="6103" spans="1:5" x14ac:dyDescent="0.25">
      <c r="A6103" s="115" t="s">
        <v>1138</v>
      </c>
      <c r="B6103" s="115" t="s">
        <v>10010</v>
      </c>
      <c r="D6103" s="115" t="s">
        <v>10011</v>
      </c>
      <c r="E6103" s="115" t="s">
        <v>10012</v>
      </c>
    </row>
    <row r="6104" spans="1:5" x14ac:dyDescent="0.25">
      <c r="B6104" s="115" t="s">
        <v>10013</v>
      </c>
      <c r="D6104" s="115" t="s">
        <v>10014</v>
      </c>
      <c r="E6104" s="115" t="s">
        <v>10015</v>
      </c>
    </row>
    <row r="6105" spans="1:5" x14ac:dyDescent="0.25">
      <c r="B6105" s="115" t="s">
        <v>10016</v>
      </c>
      <c r="D6105" s="115" t="s">
        <v>10017</v>
      </c>
      <c r="E6105" s="115" t="s">
        <v>10018</v>
      </c>
    </row>
    <row r="6106" spans="1:5" x14ac:dyDescent="0.25">
      <c r="B6106" s="115" t="s">
        <v>1139</v>
      </c>
      <c r="D6106" s="115" t="s">
        <v>10019</v>
      </c>
      <c r="E6106" s="115" t="s">
        <v>10020</v>
      </c>
    </row>
    <row r="6107" spans="1:5" x14ac:dyDescent="0.25">
      <c r="B6107" s="115" t="s">
        <v>1267</v>
      </c>
      <c r="C6107" s="115" t="s">
        <v>1138</v>
      </c>
      <c r="D6107" s="115" t="s">
        <v>10021</v>
      </c>
      <c r="E6107" s="115" t="s">
        <v>10022</v>
      </c>
    </row>
    <row r="6108" spans="1:5" x14ac:dyDescent="0.25">
      <c r="A6108" s="115" t="s">
        <v>1138</v>
      </c>
      <c r="B6108" s="115" t="s">
        <v>10023</v>
      </c>
      <c r="D6108" s="115">
        <f>-27  -1590  -1060</f>
        <v>-2677</v>
      </c>
      <c r="E6108" s="115" t="s">
        <v>10024</v>
      </c>
    </row>
    <row r="6109" spans="1:5" x14ac:dyDescent="0.25">
      <c r="B6109" s="115" t="s">
        <v>10025</v>
      </c>
      <c r="D6109" s="115" t="s">
        <v>10026</v>
      </c>
      <c r="E6109" s="115" t="s">
        <v>1141</v>
      </c>
    </row>
    <row r="6110" spans="1:5" x14ac:dyDescent="0.25">
      <c r="B6110" s="115" t="s">
        <v>10027</v>
      </c>
      <c r="C6110" s="115" t="s">
        <v>1138</v>
      </c>
      <c r="D6110" s="115" t="s">
        <v>10028</v>
      </c>
      <c r="E6110" s="115" t="s">
        <v>1759</v>
      </c>
    </row>
    <row r="6111" spans="1:5" x14ac:dyDescent="0.25">
      <c r="B6111" s="115" t="s">
        <v>5563</v>
      </c>
      <c r="D6111" s="115" t="s">
        <v>10029</v>
      </c>
      <c r="E6111" s="115" t="s">
        <v>10030</v>
      </c>
    </row>
    <row r="6112" spans="1:5" x14ac:dyDescent="0.25">
      <c r="B6112" s="115" t="s">
        <v>10031</v>
      </c>
      <c r="D6112" s="115" t="s">
        <v>10032</v>
      </c>
      <c r="E6112" s="115" t="s">
        <v>10033</v>
      </c>
    </row>
    <row r="6113" spans="1:5" x14ac:dyDescent="0.25">
      <c r="B6113" s="115" t="s">
        <v>10034</v>
      </c>
      <c r="C6113" s="115" t="s">
        <v>1138</v>
      </c>
      <c r="D6113" s="115" t="s">
        <v>10035</v>
      </c>
      <c r="E6113" s="115" t="s">
        <v>10036</v>
      </c>
    </row>
    <row r="6114" spans="1:5" x14ac:dyDescent="0.25">
      <c r="B6114" s="115" t="s">
        <v>1139</v>
      </c>
      <c r="D6114" s="115" t="s">
        <v>1140</v>
      </c>
      <c r="E6114" s="115" t="s">
        <v>10037</v>
      </c>
    </row>
    <row r="6115" spans="1:5" x14ac:dyDescent="0.25">
      <c r="B6115" s="115" t="s">
        <v>10038</v>
      </c>
      <c r="D6115" s="115" t="s">
        <v>10039</v>
      </c>
      <c r="E6115" s="115" t="s">
        <v>10040</v>
      </c>
    </row>
    <row r="6116" spans="1:5" x14ac:dyDescent="0.25">
      <c r="B6116" s="115" t="s">
        <v>1139</v>
      </c>
      <c r="D6116" s="115" t="s">
        <v>10041</v>
      </c>
      <c r="E6116" s="115" t="s">
        <v>1819</v>
      </c>
    </row>
    <row r="6117" spans="1:5" x14ac:dyDescent="0.25">
      <c r="B6117" s="115" t="s">
        <v>1139</v>
      </c>
      <c r="D6117" s="115" t="s">
        <v>1140</v>
      </c>
      <c r="E6117" s="115" t="s">
        <v>1141</v>
      </c>
    </row>
    <row r="6118" spans="1:5" x14ac:dyDescent="0.25">
      <c r="B6118" s="115" t="s">
        <v>1349</v>
      </c>
      <c r="D6118" s="115" t="s">
        <v>1140</v>
      </c>
      <c r="E6118" s="115" t="s">
        <v>10042</v>
      </c>
    </row>
    <row r="6119" spans="1:5" x14ac:dyDescent="0.25">
      <c r="A6119" s="115">
        <v>-14</v>
      </c>
      <c r="B6119" s="115" t="s">
        <v>10043</v>
      </c>
      <c r="C6119" s="115">
        <v>-1</v>
      </c>
      <c r="D6119" s="115" t="s">
        <v>10044</v>
      </c>
      <c r="E6119" s="115" t="s">
        <v>10045</v>
      </c>
    </row>
    <row r="6120" spans="1:5" x14ac:dyDescent="0.25">
      <c r="A6120" s="115">
        <v>-11</v>
      </c>
      <c r="B6120" s="115" t="s">
        <v>10046</v>
      </c>
      <c r="C6120" s="115" t="s">
        <v>1138</v>
      </c>
      <c r="D6120" s="115" t="s">
        <v>10047</v>
      </c>
      <c r="E6120" s="115" t="s">
        <v>10048</v>
      </c>
    </row>
    <row r="6121" spans="1:5" x14ac:dyDescent="0.25">
      <c r="A6121" s="115">
        <v>-19</v>
      </c>
      <c r="B6121" s="115" t="s">
        <v>10049</v>
      </c>
      <c r="C6121" s="115">
        <v>-1</v>
      </c>
      <c r="D6121" s="115" t="s">
        <v>10050</v>
      </c>
      <c r="E6121" s="115" t="s">
        <v>10051</v>
      </c>
    </row>
    <row r="6122" spans="1:5" x14ac:dyDescent="0.25">
      <c r="A6122" s="115">
        <v>-13</v>
      </c>
      <c r="B6122" s="115" t="s">
        <v>10052</v>
      </c>
      <c r="C6122" s="115">
        <v>-2</v>
      </c>
      <c r="D6122" s="115" t="s">
        <v>10053</v>
      </c>
      <c r="E6122" s="115" t="s">
        <v>10054</v>
      </c>
    </row>
    <row r="6123" spans="1:5" x14ac:dyDescent="0.25">
      <c r="A6123" s="115">
        <v>-5</v>
      </c>
      <c r="B6123" s="115" t="s">
        <v>10055</v>
      </c>
      <c r="C6123" s="115" t="s">
        <v>1138</v>
      </c>
      <c r="D6123" s="115" t="s">
        <v>10056</v>
      </c>
      <c r="E6123" s="115" t="s">
        <v>10057</v>
      </c>
    </row>
    <row r="6124" spans="1:5" x14ac:dyDescent="0.25">
      <c r="A6124" s="115">
        <v>-3</v>
      </c>
      <c r="B6124" s="115" t="s">
        <v>10058</v>
      </c>
      <c r="C6124" s="115" t="s">
        <v>1138</v>
      </c>
      <c r="D6124" s="115" t="s">
        <v>10059</v>
      </c>
      <c r="E6124" s="115" t="s">
        <v>10060</v>
      </c>
    </row>
    <row r="6125" spans="1:5" x14ac:dyDescent="0.25">
      <c r="A6125" s="115">
        <v>40</v>
      </c>
      <c r="B6125" s="115" t="s">
        <v>10061</v>
      </c>
      <c r="C6125" s="115">
        <v>4</v>
      </c>
      <c r="D6125" s="115" t="s">
        <v>10062</v>
      </c>
      <c r="E6125" s="115" t="s">
        <v>10063</v>
      </c>
    </row>
    <row r="6126" spans="1:5" x14ac:dyDescent="0.25">
      <c r="A6126" s="115">
        <v>55</v>
      </c>
      <c r="B6126" s="115" t="s">
        <v>10064</v>
      </c>
      <c r="C6126" s="115">
        <v>5</v>
      </c>
      <c r="D6126" s="115" t="s">
        <v>10065</v>
      </c>
      <c r="E6126" s="115" t="s">
        <v>10066</v>
      </c>
    </row>
    <row r="6127" spans="1:5" x14ac:dyDescent="0.25">
      <c r="A6127" s="115">
        <v>-6</v>
      </c>
      <c r="B6127" s="115" t="s">
        <v>10067</v>
      </c>
      <c r="D6127" s="115" t="s">
        <v>10068</v>
      </c>
      <c r="E6127" s="115" t="s">
        <v>10069</v>
      </c>
    </row>
    <row r="6128" spans="1:5" x14ac:dyDescent="0.25">
      <c r="B6128" s="115" t="s">
        <v>1139</v>
      </c>
      <c r="D6128" s="115" t="s">
        <v>10070</v>
      </c>
      <c r="E6128" s="115" t="s">
        <v>1141</v>
      </c>
    </row>
    <row r="6129" spans="1:5" x14ac:dyDescent="0.25">
      <c r="B6129" s="115" t="s">
        <v>1139</v>
      </c>
      <c r="D6129" s="115" t="s">
        <v>10071</v>
      </c>
      <c r="E6129" s="115" t="s">
        <v>10072</v>
      </c>
    </row>
    <row r="6130" spans="1:5" x14ac:dyDescent="0.25">
      <c r="A6130" s="115">
        <v>1</v>
      </c>
      <c r="B6130" s="115" t="s">
        <v>10073</v>
      </c>
      <c r="D6130" s="115" t="s">
        <v>10074</v>
      </c>
      <c r="E6130" s="115" t="s">
        <v>10075</v>
      </c>
    </row>
    <row r="6131" spans="1:5" x14ac:dyDescent="0.25">
      <c r="B6131" s="115" t="s">
        <v>1139</v>
      </c>
      <c r="D6131" s="115" t="s">
        <v>10076</v>
      </c>
      <c r="E6131" s="115" t="s">
        <v>2260</v>
      </c>
    </row>
    <row r="6132" spans="1:5" x14ac:dyDescent="0.25">
      <c r="B6132" s="115" t="s">
        <v>1139</v>
      </c>
      <c r="D6132" s="115" t="s">
        <v>10077</v>
      </c>
      <c r="E6132" s="115" t="s">
        <v>10078</v>
      </c>
    </row>
    <row r="6133" spans="1:5" x14ac:dyDescent="0.25">
      <c r="B6133" s="115" t="s">
        <v>10079</v>
      </c>
      <c r="D6133" s="115" t="s">
        <v>10080</v>
      </c>
      <c r="E6133" s="115" t="s">
        <v>10081</v>
      </c>
    </row>
    <row r="6134" spans="1:5" x14ac:dyDescent="0.25">
      <c r="B6134" s="115" t="s">
        <v>10082</v>
      </c>
      <c r="D6134" s="115" t="s">
        <v>10083</v>
      </c>
      <c r="E6134" s="115" t="s">
        <v>2082</v>
      </c>
    </row>
    <row r="6135" spans="1:5" x14ac:dyDescent="0.25">
      <c r="A6135" s="115">
        <v>2</v>
      </c>
      <c r="B6135" s="115" t="s">
        <v>10084</v>
      </c>
      <c r="D6135" s="115" t="s">
        <v>10085</v>
      </c>
      <c r="E6135" s="115" t="s">
        <v>10086</v>
      </c>
    </row>
    <row r="6136" spans="1:5" x14ac:dyDescent="0.25">
      <c r="A6136" s="115">
        <v>2</v>
      </c>
      <c r="B6136" s="115" t="s">
        <v>10087</v>
      </c>
      <c r="D6136" s="115">
        <f>-81   -451   -124 -3489</f>
        <v>-4145</v>
      </c>
      <c r="E6136" s="115" t="s">
        <v>10088</v>
      </c>
    </row>
    <row r="6137" spans="1:5" x14ac:dyDescent="0.25">
      <c r="B6137" s="115" t="s">
        <v>10089</v>
      </c>
      <c r="D6137" s="115" t="s">
        <v>10090</v>
      </c>
      <c r="E6137" s="115" t="s">
        <v>2537</v>
      </c>
    </row>
    <row r="6138" spans="1:5" x14ac:dyDescent="0.25">
      <c r="A6138" s="115">
        <v>-1</v>
      </c>
      <c r="B6138" s="115" t="s">
        <v>10091</v>
      </c>
      <c r="D6138" s="115" t="s">
        <v>10092</v>
      </c>
      <c r="E6138" s="115" t="s">
        <v>10093</v>
      </c>
    </row>
    <row r="6139" spans="1:5" x14ac:dyDescent="0.25">
      <c r="A6139" s="115">
        <v>3</v>
      </c>
      <c r="B6139" s="115" t="s">
        <v>1511</v>
      </c>
      <c r="D6139" s="115" t="s">
        <v>10094</v>
      </c>
      <c r="E6139" s="115" t="s">
        <v>10095</v>
      </c>
    </row>
    <row r="6140" spans="1:5" x14ac:dyDescent="0.25">
      <c r="B6140" s="115" t="s">
        <v>1592</v>
      </c>
      <c r="D6140" s="115" t="s">
        <v>10096</v>
      </c>
      <c r="E6140" s="115" t="s">
        <v>1894</v>
      </c>
    </row>
    <row r="6141" spans="1:5" x14ac:dyDescent="0.25">
      <c r="A6141" s="115">
        <v>-1</v>
      </c>
      <c r="B6141" s="115" t="s">
        <v>10097</v>
      </c>
      <c r="D6141" s="115" t="s">
        <v>10098</v>
      </c>
      <c r="E6141" s="115" t="s">
        <v>10099</v>
      </c>
    </row>
    <row r="6142" spans="1:5" x14ac:dyDescent="0.25">
      <c r="A6142" s="115">
        <v>1</v>
      </c>
      <c r="B6142" s="115" t="s">
        <v>10100</v>
      </c>
      <c r="D6142" s="115" t="s">
        <v>10101</v>
      </c>
      <c r="E6142" s="115" t="s">
        <v>10102</v>
      </c>
    </row>
    <row r="6143" spans="1:5" x14ac:dyDescent="0.25">
      <c r="B6143" s="115" t="s">
        <v>1550</v>
      </c>
      <c r="D6143" s="115" t="s">
        <v>10103</v>
      </c>
      <c r="E6143" s="115" t="s">
        <v>1141</v>
      </c>
    </row>
    <row r="6144" spans="1:5" x14ac:dyDescent="0.25">
      <c r="B6144" s="115" t="s">
        <v>10104</v>
      </c>
      <c r="D6144" s="115" t="s">
        <v>10105</v>
      </c>
      <c r="E6144" s="115" t="s">
        <v>1141</v>
      </c>
    </row>
    <row r="6145" spans="1:5" x14ac:dyDescent="0.25">
      <c r="A6145" s="115">
        <v>6</v>
      </c>
      <c r="B6145" s="115" t="s">
        <v>10106</v>
      </c>
      <c r="D6145" s="115" t="s">
        <v>10107</v>
      </c>
      <c r="E6145" s="115" t="s">
        <v>10108</v>
      </c>
    </row>
    <row r="6146" spans="1:5" x14ac:dyDescent="0.25">
      <c r="A6146" s="115">
        <v>2</v>
      </c>
      <c r="B6146" s="115" t="s">
        <v>10109</v>
      </c>
      <c r="D6146" s="115" t="s">
        <v>10110</v>
      </c>
      <c r="E6146" s="115" t="s">
        <v>1702</v>
      </c>
    </row>
    <row r="6147" spans="1:5" x14ac:dyDescent="0.25">
      <c r="A6147" s="115">
        <v>1</v>
      </c>
      <c r="B6147" s="115" t="s">
        <v>10111</v>
      </c>
      <c r="D6147" s="115" t="s">
        <v>10112</v>
      </c>
      <c r="E6147" s="115" t="s">
        <v>10113</v>
      </c>
    </row>
    <row r="6148" spans="1:5" x14ac:dyDescent="0.25">
      <c r="B6148" s="115" t="s">
        <v>1139</v>
      </c>
      <c r="D6148" s="115" t="s">
        <v>1140</v>
      </c>
      <c r="E6148" s="115" t="s">
        <v>10114</v>
      </c>
    </row>
    <row r="6149" spans="1:5" x14ac:dyDescent="0.25">
      <c r="A6149" s="115">
        <v>-1</v>
      </c>
      <c r="B6149" s="115" t="s">
        <v>10115</v>
      </c>
      <c r="D6149" s="115" t="s">
        <v>10116</v>
      </c>
      <c r="E6149" s="115" t="s">
        <v>10117</v>
      </c>
    </row>
    <row r="6150" spans="1:5" x14ac:dyDescent="0.25">
      <c r="B6150" s="115" t="s">
        <v>1139</v>
      </c>
      <c r="D6150" s="115" t="s">
        <v>10118</v>
      </c>
      <c r="E6150" s="115" t="s">
        <v>1141</v>
      </c>
    </row>
    <row r="6151" spans="1:5" x14ac:dyDescent="0.25">
      <c r="B6151" s="115" t="s">
        <v>1139</v>
      </c>
      <c r="D6151" s="115" t="s">
        <v>1140</v>
      </c>
      <c r="E6151" s="115" t="s">
        <v>1141</v>
      </c>
    </row>
    <row r="6152" spans="1:5" x14ac:dyDescent="0.25">
      <c r="B6152" s="115" t="s">
        <v>1166</v>
      </c>
      <c r="D6152" s="115" t="s">
        <v>4122</v>
      </c>
      <c r="E6152" s="115" t="s">
        <v>10119</v>
      </c>
    </row>
    <row r="6153" spans="1:5" x14ac:dyDescent="0.25">
      <c r="A6153" s="115">
        <v>2</v>
      </c>
      <c r="B6153" s="115" t="s">
        <v>10120</v>
      </c>
      <c r="D6153" s="115" t="s">
        <v>10121</v>
      </c>
      <c r="E6153" s="115" t="s">
        <v>10122</v>
      </c>
    </row>
    <row r="6154" spans="1:5" x14ac:dyDescent="0.25">
      <c r="B6154" s="115" t="s">
        <v>10123</v>
      </c>
      <c r="D6154" s="115" t="s">
        <v>10124</v>
      </c>
      <c r="E6154" s="115" t="s">
        <v>10125</v>
      </c>
    </row>
    <row r="6155" spans="1:5" x14ac:dyDescent="0.25">
      <c r="A6155" s="115">
        <v>3</v>
      </c>
      <c r="B6155" s="115" t="s">
        <v>10126</v>
      </c>
      <c r="D6155" s="115" t="s">
        <v>10127</v>
      </c>
      <c r="E6155" s="115" t="s">
        <v>10128</v>
      </c>
    </row>
    <row r="6156" spans="1:5" x14ac:dyDescent="0.25">
      <c r="A6156" s="115">
        <v>3</v>
      </c>
      <c r="B6156" s="115" t="s">
        <v>10129</v>
      </c>
      <c r="D6156" s="115" t="s">
        <v>10130</v>
      </c>
      <c r="E6156" s="115" t="s">
        <v>10131</v>
      </c>
    </row>
    <row r="6157" spans="1:5" x14ac:dyDescent="0.25">
      <c r="A6157" s="115">
        <v>1</v>
      </c>
      <c r="B6157" s="115" t="s">
        <v>10132</v>
      </c>
      <c r="D6157" s="115" t="s">
        <v>10133</v>
      </c>
      <c r="E6157" s="115" t="s">
        <v>10134</v>
      </c>
    </row>
    <row r="6158" spans="1:5" x14ac:dyDescent="0.25">
      <c r="A6158" s="115">
        <v>4</v>
      </c>
      <c r="B6158" s="115" t="s">
        <v>10135</v>
      </c>
      <c r="D6158" s="115" t="s">
        <v>10136</v>
      </c>
      <c r="E6158" s="115" t="s">
        <v>10137</v>
      </c>
    </row>
    <row r="6159" spans="1:5" x14ac:dyDescent="0.25">
      <c r="A6159" s="115">
        <v>-1</v>
      </c>
      <c r="B6159" s="115" t="s">
        <v>10138</v>
      </c>
      <c r="D6159" s="115" t="s">
        <v>10139</v>
      </c>
      <c r="E6159" s="115" t="s">
        <v>10140</v>
      </c>
    </row>
    <row r="6160" spans="1:5" x14ac:dyDescent="0.25">
      <c r="A6160" s="115" t="s">
        <v>1138</v>
      </c>
      <c r="B6160" s="115" t="s">
        <v>10141</v>
      </c>
      <c r="C6160" s="115" t="s">
        <v>1138</v>
      </c>
      <c r="D6160" s="115" t="s">
        <v>10142</v>
      </c>
      <c r="E6160" s="115" t="s">
        <v>10143</v>
      </c>
    </row>
    <row r="6161" spans="1:5" x14ac:dyDescent="0.25">
      <c r="A6161" s="115" t="s">
        <v>1138</v>
      </c>
      <c r="B6161" s="115" t="s">
        <v>10144</v>
      </c>
      <c r="D6161" s="115" t="s">
        <v>10145</v>
      </c>
      <c r="E6161" s="115" t="s">
        <v>10146</v>
      </c>
    </row>
    <row r="6162" spans="1:5" x14ac:dyDescent="0.25">
      <c r="B6162" s="115" t="s">
        <v>1139</v>
      </c>
      <c r="D6162" s="115" t="s">
        <v>10147</v>
      </c>
      <c r="E6162" s="115" t="s">
        <v>1141</v>
      </c>
    </row>
    <row r="6163" spans="1:5" x14ac:dyDescent="0.25">
      <c r="B6163" s="115" t="s">
        <v>1139</v>
      </c>
      <c r="D6163" s="115" t="s">
        <v>10148</v>
      </c>
      <c r="E6163" s="115" t="s">
        <v>10149</v>
      </c>
    </row>
    <row r="6164" spans="1:5" x14ac:dyDescent="0.25">
      <c r="B6164" s="115" t="s">
        <v>10150</v>
      </c>
      <c r="D6164" s="115" t="s">
        <v>1991</v>
      </c>
      <c r="E6164" s="115" t="s">
        <v>10151</v>
      </c>
    </row>
    <row r="6165" spans="1:5" x14ac:dyDescent="0.25">
      <c r="B6165" s="115" t="s">
        <v>1139</v>
      </c>
      <c r="D6165" s="115" t="s">
        <v>1850</v>
      </c>
      <c r="E6165" s="115" t="s">
        <v>1859</v>
      </c>
    </row>
    <row r="6166" spans="1:5" x14ac:dyDescent="0.25">
      <c r="B6166" s="115" t="s">
        <v>1139</v>
      </c>
      <c r="D6166" s="115" t="s">
        <v>10152</v>
      </c>
      <c r="E6166" s="115" t="s">
        <v>10153</v>
      </c>
    </row>
    <row r="6167" spans="1:5" x14ac:dyDescent="0.25">
      <c r="B6167" s="115" t="s">
        <v>6470</v>
      </c>
      <c r="D6167" s="115" t="s">
        <v>10154</v>
      </c>
      <c r="E6167" s="115" t="s">
        <v>10155</v>
      </c>
    </row>
    <row r="6168" spans="1:5" x14ac:dyDescent="0.25">
      <c r="B6168" s="115" t="s">
        <v>10156</v>
      </c>
      <c r="D6168" s="115" t="s">
        <v>10157</v>
      </c>
      <c r="E6168" s="115" t="s">
        <v>1141</v>
      </c>
    </row>
    <row r="6169" spans="1:5" x14ac:dyDescent="0.25">
      <c r="B6169" s="115" t="s">
        <v>10158</v>
      </c>
      <c r="D6169" s="115">
        <f>-557  -1376   -654   -80</f>
        <v>-2667</v>
      </c>
      <c r="E6169" s="115" t="s">
        <v>10159</v>
      </c>
    </row>
    <row r="6170" spans="1:5" x14ac:dyDescent="0.25">
      <c r="B6170" s="115" t="s">
        <v>10160</v>
      </c>
      <c r="D6170" s="115">
        <f>-506   -533   -264   -25</f>
        <v>-1328</v>
      </c>
      <c r="E6170" s="115" t="s">
        <v>10161</v>
      </c>
    </row>
    <row r="6171" spans="1:5" x14ac:dyDescent="0.25">
      <c r="B6171" s="115" t="s">
        <v>1186</v>
      </c>
      <c r="D6171" s="115" t="s">
        <v>10162</v>
      </c>
      <c r="E6171" s="115" t="s">
        <v>1859</v>
      </c>
    </row>
    <row r="6172" spans="1:5" x14ac:dyDescent="0.25">
      <c r="B6172" s="115" t="s">
        <v>10163</v>
      </c>
      <c r="D6172" s="115" t="s">
        <v>10164</v>
      </c>
      <c r="E6172" s="115" t="s">
        <v>10165</v>
      </c>
    </row>
    <row r="6173" spans="1:5" x14ac:dyDescent="0.25">
      <c r="B6173" s="115" t="s">
        <v>10166</v>
      </c>
      <c r="D6173" s="115" t="s">
        <v>10167</v>
      </c>
      <c r="E6173" s="115" t="s">
        <v>10168</v>
      </c>
    </row>
    <row r="6174" spans="1:5" x14ac:dyDescent="0.25">
      <c r="B6174" s="115" t="s">
        <v>10169</v>
      </c>
      <c r="D6174" s="115" t="s">
        <v>10170</v>
      </c>
      <c r="E6174" s="115" t="s">
        <v>2690</v>
      </c>
    </row>
    <row r="6175" spans="1:5" x14ac:dyDescent="0.25">
      <c r="B6175" s="115" t="s">
        <v>10171</v>
      </c>
      <c r="D6175" s="115" t="s">
        <v>10172</v>
      </c>
      <c r="E6175" s="115" t="s">
        <v>10173</v>
      </c>
    </row>
    <row r="6176" spans="1:5" x14ac:dyDescent="0.25">
      <c r="B6176" s="115" t="s">
        <v>10174</v>
      </c>
      <c r="D6176" s="115" t="s">
        <v>10175</v>
      </c>
      <c r="E6176" s="115" t="s">
        <v>10176</v>
      </c>
    </row>
    <row r="6177" spans="1:5" x14ac:dyDescent="0.25">
      <c r="B6177" s="115" t="s">
        <v>10177</v>
      </c>
      <c r="D6177" s="115" t="s">
        <v>10178</v>
      </c>
      <c r="E6177" s="115" t="s">
        <v>1141</v>
      </c>
    </row>
    <row r="6178" spans="1:5" x14ac:dyDescent="0.25">
      <c r="B6178" s="115" t="s">
        <v>10179</v>
      </c>
      <c r="D6178" s="115" t="s">
        <v>10180</v>
      </c>
      <c r="E6178" s="115" t="s">
        <v>1141</v>
      </c>
    </row>
    <row r="6179" spans="1:5" x14ac:dyDescent="0.25">
      <c r="A6179" s="115" t="s">
        <v>1138</v>
      </c>
      <c r="B6179" s="115" t="s">
        <v>10181</v>
      </c>
      <c r="D6179" s="115" t="s">
        <v>10182</v>
      </c>
      <c r="E6179" s="115" t="s">
        <v>10183</v>
      </c>
    </row>
    <row r="6180" spans="1:5" x14ac:dyDescent="0.25">
      <c r="B6180" s="115" t="s">
        <v>1256</v>
      </c>
      <c r="D6180" s="115" t="s">
        <v>10184</v>
      </c>
      <c r="E6180" s="115" t="s">
        <v>1859</v>
      </c>
    </row>
    <row r="6181" spans="1:5" x14ac:dyDescent="0.25">
      <c r="B6181" s="115" t="s">
        <v>10185</v>
      </c>
      <c r="D6181" s="115" t="s">
        <v>10186</v>
      </c>
      <c r="E6181" s="115" t="s">
        <v>10187</v>
      </c>
    </row>
    <row r="6182" spans="1:5" x14ac:dyDescent="0.25">
      <c r="B6182" s="115" t="s">
        <v>1139</v>
      </c>
      <c r="D6182" s="115" t="s">
        <v>1140</v>
      </c>
      <c r="E6182" s="115" t="s">
        <v>10188</v>
      </c>
    </row>
    <row r="6183" spans="1:5" x14ac:dyDescent="0.25">
      <c r="A6183" s="115" t="s">
        <v>1138</v>
      </c>
      <c r="B6183" s="115" t="s">
        <v>10189</v>
      </c>
      <c r="D6183" s="115" t="s">
        <v>10190</v>
      </c>
      <c r="E6183" s="115" t="s">
        <v>10191</v>
      </c>
    </row>
    <row r="6184" spans="1:5" x14ac:dyDescent="0.25">
      <c r="B6184" s="115" t="s">
        <v>1139</v>
      </c>
      <c r="D6184" s="115" t="s">
        <v>10192</v>
      </c>
      <c r="E6184" s="115" t="s">
        <v>1141</v>
      </c>
    </row>
    <row r="6185" spans="1:5" x14ac:dyDescent="0.25">
      <c r="B6185" s="115" t="s">
        <v>1139</v>
      </c>
      <c r="D6185" s="115" t="s">
        <v>1140</v>
      </c>
      <c r="E6185" s="115" t="s">
        <v>1141</v>
      </c>
    </row>
    <row r="6186" spans="1:5" x14ac:dyDescent="0.25">
      <c r="A6186" s="115">
        <v>5</v>
      </c>
      <c r="B6186" s="115" t="s">
        <v>1350</v>
      </c>
      <c r="D6186" s="115" t="s">
        <v>1991</v>
      </c>
      <c r="E6186" s="115" t="s">
        <v>10193</v>
      </c>
    </row>
    <row r="6187" spans="1:5" x14ac:dyDescent="0.25">
      <c r="A6187" s="115">
        <v>1</v>
      </c>
      <c r="B6187" s="115" t="s">
        <v>10194</v>
      </c>
      <c r="D6187" s="115" t="s">
        <v>10195</v>
      </c>
      <c r="E6187" s="115" t="s">
        <v>10196</v>
      </c>
    </row>
    <row r="6188" spans="1:5" x14ac:dyDescent="0.25">
      <c r="B6188" s="115" t="s">
        <v>10197</v>
      </c>
      <c r="D6188" s="115" t="s">
        <v>10198</v>
      </c>
      <c r="E6188" s="115" t="s">
        <v>10199</v>
      </c>
    </row>
    <row r="6189" spans="1:5" x14ac:dyDescent="0.25">
      <c r="B6189" s="115" t="s">
        <v>10200</v>
      </c>
      <c r="D6189" s="115" t="s">
        <v>10201</v>
      </c>
      <c r="E6189" s="115" t="s">
        <v>10202</v>
      </c>
    </row>
    <row r="6190" spans="1:5" x14ac:dyDescent="0.25">
      <c r="B6190" s="115" t="s">
        <v>10203</v>
      </c>
      <c r="D6190" s="115" t="s">
        <v>10204</v>
      </c>
      <c r="E6190" s="115" t="s">
        <v>10205</v>
      </c>
    </row>
    <row r="6191" spans="1:5" x14ac:dyDescent="0.25">
      <c r="B6191" s="115" t="s">
        <v>10206</v>
      </c>
      <c r="D6191" s="115" t="s">
        <v>10207</v>
      </c>
      <c r="E6191" s="115" t="s">
        <v>10208</v>
      </c>
    </row>
    <row r="6192" spans="1:5" x14ac:dyDescent="0.25">
      <c r="B6192" s="115" t="s">
        <v>10209</v>
      </c>
      <c r="D6192" s="115" t="s">
        <v>10210</v>
      </c>
      <c r="E6192" s="115" t="s">
        <v>10211</v>
      </c>
    </row>
    <row r="6193" spans="1:5" x14ac:dyDescent="0.25">
      <c r="B6193" s="115" t="s">
        <v>10212</v>
      </c>
      <c r="D6193" s="115">
        <f>-155    -88    -71    -5</f>
        <v>-319</v>
      </c>
      <c r="E6193" s="115" t="s">
        <v>10213</v>
      </c>
    </row>
    <row r="6194" spans="1:5" x14ac:dyDescent="0.25">
      <c r="B6194" s="115" t="s">
        <v>10214</v>
      </c>
      <c r="D6194" s="115" t="s">
        <v>10215</v>
      </c>
      <c r="E6194" s="115" t="s">
        <v>10216</v>
      </c>
    </row>
    <row r="6195" spans="1:5" x14ac:dyDescent="0.25">
      <c r="A6195" s="115">
        <v>-1</v>
      </c>
      <c r="B6195" s="115" t="s">
        <v>10217</v>
      </c>
      <c r="D6195" s="115" t="s">
        <v>10218</v>
      </c>
      <c r="E6195" s="115" t="s">
        <v>10219</v>
      </c>
    </row>
    <row r="6196" spans="1:5" x14ac:dyDescent="0.25">
      <c r="B6196" s="115" t="s">
        <v>1139</v>
      </c>
      <c r="D6196" s="115" t="s">
        <v>10220</v>
      </c>
      <c r="E6196" s="115" t="s">
        <v>1141</v>
      </c>
    </row>
    <row r="6197" spans="1:5" x14ac:dyDescent="0.25">
      <c r="B6197" s="115" t="s">
        <v>1139</v>
      </c>
      <c r="D6197" s="115" t="s">
        <v>10221</v>
      </c>
      <c r="E6197" s="115" t="s">
        <v>10222</v>
      </c>
    </row>
    <row r="6198" spans="1:5" x14ac:dyDescent="0.25">
      <c r="A6198" s="115" t="s">
        <v>1138</v>
      </c>
      <c r="B6198" s="115" t="s">
        <v>10223</v>
      </c>
      <c r="D6198" s="115" t="s">
        <v>7894</v>
      </c>
      <c r="E6198" s="115" t="s">
        <v>10224</v>
      </c>
    </row>
    <row r="6199" spans="1:5" x14ac:dyDescent="0.25">
      <c r="A6199" s="115" t="s">
        <v>1138</v>
      </c>
      <c r="B6199" s="115" t="s">
        <v>10225</v>
      </c>
      <c r="D6199" s="115" t="s">
        <v>1140</v>
      </c>
      <c r="E6199" s="115" t="s">
        <v>10226</v>
      </c>
    </row>
    <row r="6200" spans="1:5" x14ac:dyDescent="0.25">
      <c r="B6200" s="115" t="s">
        <v>1139</v>
      </c>
      <c r="D6200" s="115" t="s">
        <v>10227</v>
      </c>
      <c r="E6200" s="115" t="s">
        <v>10228</v>
      </c>
    </row>
    <row r="6201" spans="1:5" x14ac:dyDescent="0.25">
      <c r="B6201" s="115" t="s">
        <v>1139</v>
      </c>
      <c r="C6201" s="115" t="s">
        <v>1138</v>
      </c>
      <c r="D6201" s="115" t="s">
        <v>10229</v>
      </c>
      <c r="E6201" s="115" t="s">
        <v>10230</v>
      </c>
    </row>
    <row r="6202" spans="1:5" x14ac:dyDescent="0.25">
      <c r="B6202" s="115" t="s">
        <v>10231</v>
      </c>
      <c r="D6202" s="115" t="s">
        <v>10232</v>
      </c>
      <c r="E6202" s="115" t="s">
        <v>10233</v>
      </c>
    </row>
    <row r="6203" spans="1:5" x14ac:dyDescent="0.25">
      <c r="B6203" s="115" t="s">
        <v>10234</v>
      </c>
      <c r="D6203" s="115" t="s">
        <v>10235</v>
      </c>
      <c r="E6203" s="115" t="s">
        <v>10236</v>
      </c>
    </row>
    <row r="6204" spans="1:5" x14ac:dyDescent="0.25">
      <c r="B6204" s="115" t="s">
        <v>10237</v>
      </c>
      <c r="C6204" s="115" t="s">
        <v>1138</v>
      </c>
      <c r="D6204" s="115" t="s">
        <v>10238</v>
      </c>
      <c r="E6204" s="115" t="s">
        <v>10239</v>
      </c>
    </row>
    <row r="6205" spans="1:5" x14ac:dyDescent="0.25">
      <c r="B6205" s="115">
        <f>-79   -119</f>
        <v>-198</v>
      </c>
      <c r="D6205" s="115" t="s">
        <v>10240</v>
      </c>
      <c r="E6205" s="115" t="s">
        <v>10241</v>
      </c>
    </row>
    <row r="6206" spans="1:5" x14ac:dyDescent="0.25">
      <c r="B6206" s="115" t="s">
        <v>1289</v>
      </c>
      <c r="C6206" s="115" t="s">
        <v>1138</v>
      </c>
      <c r="D6206" s="115" t="s">
        <v>10242</v>
      </c>
      <c r="E6206" s="115" t="s">
        <v>10243</v>
      </c>
    </row>
    <row r="6207" spans="1:5" x14ac:dyDescent="0.25">
      <c r="B6207" s="115" t="s">
        <v>10244</v>
      </c>
      <c r="D6207" s="115" t="s">
        <v>10245</v>
      </c>
      <c r="E6207" s="115" t="s">
        <v>10246</v>
      </c>
    </row>
    <row r="6208" spans="1:5" x14ac:dyDescent="0.25">
      <c r="B6208" s="115" t="s">
        <v>1139</v>
      </c>
      <c r="D6208" s="115" t="s">
        <v>10247</v>
      </c>
      <c r="E6208" s="115" t="s">
        <v>10248</v>
      </c>
    </row>
    <row r="6209" spans="1:5" x14ac:dyDescent="0.25">
      <c r="B6209" s="115" t="s">
        <v>3061</v>
      </c>
      <c r="D6209" s="115" t="s">
        <v>10249</v>
      </c>
      <c r="E6209" s="115" t="s">
        <v>10250</v>
      </c>
    </row>
    <row r="6210" spans="1:5" x14ac:dyDescent="0.25">
      <c r="B6210" s="115" t="s">
        <v>10251</v>
      </c>
      <c r="D6210" s="115">
        <f>-353   -597   -483</f>
        <v>-1433</v>
      </c>
      <c r="E6210" s="115" t="s">
        <v>10252</v>
      </c>
    </row>
    <row r="6211" spans="1:5" x14ac:dyDescent="0.25">
      <c r="B6211" s="115" t="s">
        <v>1306</v>
      </c>
      <c r="D6211" s="115" t="s">
        <v>10253</v>
      </c>
      <c r="E6211" s="115" t="s">
        <v>1141</v>
      </c>
    </row>
    <row r="6212" spans="1:5" x14ac:dyDescent="0.25">
      <c r="B6212" s="115" t="s">
        <v>1309</v>
      </c>
      <c r="C6212" s="115" t="s">
        <v>1138</v>
      </c>
      <c r="D6212" s="115" t="s">
        <v>10254</v>
      </c>
      <c r="E6212" s="115" t="s">
        <v>1141</v>
      </c>
    </row>
    <row r="6213" spans="1:5" x14ac:dyDescent="0.25">
      <c r="B6213" s="115" t="s">
        <v>10255</v>
      </c>
      <c r="C6213" s="115" t="s">
        <v>1138</v>
      </c>
      <c r="D6213" s="115" t="s">
        <v>10256</v>
      </c>
      <c r="E6213" s="115" t="s">
        <v>10257</v>
      </c>
    </row>
    <row r="6214" spans="1:5" x14ac:dyDescent="0.25">
      <c r="B6214" s="115" t="s">
        <v>10258</v>
      </c>
      <c r="D6214" s="115" t="s">
        <v>1399</v>
      </c>
      <c r="E6214" s="115" t="s">
        <v>10259</v>
      </c>
    </row>
    <row r="6215" spans="1:5" x14ac:dyDescent="0.25">
      <c r="B6215" s="115" t="s">
        <v>10260</v>
      </c>
      <c r="D6215" s="115" t="s">
        <v>10261</v>
      </c>
      <c r="E6215" s="115" t="s">
        <v>10262</v>
      </c>
    </row>
    <row r="6216" spans="1:5" x14ac:dyDescent="0.25">
      <c r="B6216" s="115" t="s">
        <v>1139</v>
      </c>
      <c r="D6216" s="115" t="s">
        <v>1140</v>
      </c>
      <c r="E6216" s="115" t="s">
        <v>10263</v>
      </c>
    </row>
    <row r="6217" spans="1:5" x14ac:dyDescent="0.25">
      <c r="A6217" s="115" t="s">
        <v>1138</v>
      </c>
      <c r="B6217" s="115" t="s">
        <v>10264</v>
      </c>
      <c r="D6217" s="115" t="s">
        <v>10265</v>
      </c>
      <c r="E6217" s="115" t="s">
        <v>10266</v>
      </c>
    </row>
    <row r="6218" spans="1:5" x14ac:dyDescent="0.25">
      <c r="B6218" s="115" t="s">
        <v>1139</v>
      </c>
      <c r="D6218" s="115" t="s">
        <v>10267</v>
      </c>
      <c r="E6218" s="115" t="s">
        <v>1141</v>
      </c>
    </row>
    <row r="6219" spans="1:5" x14ac:dyDescent="0.25">
      <c r="B6219" s="115" t="s">
        <v>1139</v>
      </c>
      <c r="D6219" s="115" t="s">
        <v>1140</v>
      </c>
      <c r="E6219" s="115" t="s">
        <v>1141</v>
      </c>
    </row>
    <row r="6220" spans="1:5" x14ac:dyDescent="0.25">
      <c r="B6220" s="115" t="s">
        <v>10169</v>
      </c>
      <c r="D6220" s="115" t="s">
        <v>1140</v>
      </c>
      <c r="E6220" s="115" t="s">
        <v>10268</v>
      </c>
    </row>
    <row r="6221" spans="1:5" x14ac:dyDescent="0.25">
      <c r="A6221" s="115" t="s">
        <v>1138</v>
      </c>
      <c r="B6221" s="115" t="s">
        <v>10269</v>
      </c>
      <c r="D6221" s="115" t="s">
        <v>10270</v>
      </c>
      <c r="E6221" s="115" t="s">
        <v>10271</v>
      </c>
    </row>
    <row r="6222" spans="1:5" x14ac:dyDescent="0.25">
      <c r="B6222" s="115" t="s">
        <v>10272</v>
      </c>
      <c r="D6222" s="115" t="s">
        <v>10273</v>
      </c>
      <c r="E6222" s="115" t="s">
        <v>10274</v>
      </c>
    </row>
    <row r="6223" spans="1:5" x14ac:dyDescent="0.25">
      <c r="B6223" s="115" t="s">
        <v>10275</v>
      </c>
      <c r="D6223" s="115" t="s">
        <v>10276</v>
      </c>
      <c r="E6223" s="115" t="s">
        <v>10277</v>
      </c>
    </row>
    <row r="6224" spans="1:5" x14ac:dyDescent="0.25">
      <c r="B6224" s="115" t="s">
        <v>10278</v>
      </c>
      <c r="D6224" s="115" t="s">
        <v>10279</v>
      </c>
      <c r="E6224" s="115" t="s">
        <v>10280</v>
      </c>
    </row>
    <row r="6225" spans="1:5" x14ac:dyDescent="0.25">
      <c r="A6225" s="115">
        <v>-1</v>
      </c>
      <c r="B6225" s="115" t="s">
        <v>10281</v>
      </c>
      <c r="D6225" s="115" t="s">
        <v>10282</v>
      </c>
      <c r="E6225" s="115" t="s">
        <v>10283</v>
      </c>
    </row>
    <row r="6226" spans="1:5" x14ac:dyDescent="0.25">
      <c r="A6226" s="115">
        <v>-1</v>
      </c>
      <c r="B6226" s="115" t="s">
        <v>10284</v>
      </c>
      <c r="C6226" s="115" t="s">
        <v>1138</v>
      </c>
      <c r="D6226" s="115" t="s">
        <v>10285</v>
      </c>
      <c r="E6226" s="115" t="s">
        <v>10286</v>
      </c>
    </row>
    <row r="6227" spans="1:5" x14ac:dyDescent="0.25">
      <c r="B6227" s="115">
        <f>-70   -298</f>
        <v>-368</v>
      </c>
      <c r="D6227" s="115" t="s">
        <v>10287</v>
      </c>
      <c r="E6227" s="115" t="s">
        <v>10288</v>
      </c>
    </row>
    <row r="6228" spans="1:5" x14ac:dyDescent="0.25">
      <c r="B6228" s="115">
        <f>-7    -79</f>
        <v>-86</v>
      </c>
      <c r="D6228" s="115">
        <f>-48  -1070   -773   -64</f>
        <v>-1955</v>
      </c>
      <c r="E6228" s="115" t="s">
        <v>10289</v>
      </c>
    </row>
    <row r="6229" spans="1:5" x14ac:dyDescent="0.25">
      <c r="A6229" s="115" t="s">
        <v>1138</v>
      </c>
      <c r="B6229" s="115" t="s">
        <v>10290</v>
      </c>
      <c r="D6229" s="115">
        <f>-791  -1111   -923    -2</f>
        <v>-2827</v>
      </c>
      <c r="E6229" s="115" t="s">
        <v>10291</v>
      </c>
    </row>
    <row r="6230" spans="1:5" x14ac:dyDescent="0.25">
      <c r="B6230" s="115" t="s">
        <v>10292</v>
      </c>
      <c r="D6230" s="115" t="s">
        <v>4208</v>
      </c>
      <c r="E6230" s="115" t="s">
        <v>10293</v>
      </c>
    </row>
    <row r="6231" spans="1:5" x14ac:dyDescent="0.25">
      <c r="B6231" s="115" t="s">
        <v>1139</v>
      </c>
      <c r="D6231" s="115" t="s">
        <v>10294</v>
      </c>
      <c r="E6231" s="115" t="s">
        <v>10295</v>
      </c>
    </row>
    <row r="6232" spans="1:5" x14ac:dyDescent="0.25">
      <c r="A6232" s="115" t="s">
        <v>1138</v>
      </c>
      <c r="B6232" s="115" t="s">
        <v>10296</v>
      </c>
      <c r="D6232" s="115" t="s">
        <v>10297</v>
      </c>
      <c r="E6232" s="115" t="s">
        <v>10298</v>
      </c>
    </row>
    <row r="6233" spans="1:5" x14ac:dyDescent="0.25">
      <c r="B6233" s="115" t="s">
        <v>1139</v>
      </c>
      <c r="D6233" s="115" t="s">
        <v>10299</v>
      </c>
      <c r="E6233" s="115" t="s">
        <v>10300</v>
      </c>
    </row>
    <row r="6234" spans="1:5" x14ac:dyDescent="0.25">
      <c r="B6234" s="115" t="s">
        <v>1139</v>
      </c>
      <c r="D6234" s="115" t="s">
        <v>1140</v>
      </c>
      <c r="E6234" s="115" t="s">
        <v>10301</v>
      </c>
    </row>
    <row r="6235" spans="1:5" x14ac:dyDescent="0.25">
      <c r="B6235" s="115" t="s">
        <v>1139</v>
      </c>
      <c r="D6235" s="115" t="s">
        <v>10302</v>
      </c>
      <c r="E6235" s="115" t="s">
        <v>10303</v>
      </c>
    </row>
    <row r="6236" spans="1:5" x14ac:dyDescent="0.25">
      <c r="A6236" s="115" t="s">
        <v>1138</v>
      </c>
      <c r="B6236" s="115" t="s">
        <v>10304</v>
      </c>
      <c r="D6236" s="115" t="s">
        <v>10305</v>
      </c>
      <c r="E6236" s="115" t="s">
        <v>10306</v>
      </c>
    </row>
    <row r="6237" spans="1:5" x14ac:dyDescent="0.25">
      <c r="B6237" s="115" t="s">
        <v>1139</v>
      </c>
      <c r="D6237" s="115" t="s">
        <v>10307</v>
      </c>
      <c r="E6237" s="115" t="s">
        <v>10308</v>
      </c>
    </row>
    <row r="6238" spans="1:5" x14ac:dyDescent="0.25">
      <c r="A6238" s="115">
        <v>1</v>
      </c>
      <c r="B6238" s="115" t="s">
        <v>1372</v>
      </c>
      <c r="C6238" s="115" t="s">
        <v>1138</v>
      </c>
      <c r="D6238" s="115" t="s">
        <v>10309</v>
      </c>
      <c r="E6238" s="115" t="s">
        <v>10310</v>
      </c>
    </row>
    <row r="6239" spans="1:5" x14ac:dyDescent="0.25">
      <c r="B6239" s="115" t="s">
        <v>1139</v>
      </c>
      <c r="D6239" s="115" t="s">
        <v>10311</v>
      </c>
      <c r="E6239" s="115" t="s">
        <v>10312</v>
      </c>
    </row>
    <row r="6240" spans="1:5" x14ac:dyDescent="0.25">
      <c r="B6240" s="115" t="s">
        <v>1139</v>
      </c>
      <c r="D6240" s="115" t="s">
        <v>10313</v>
      </c>
      <c r="E6240" s="115" t="s">
        <v>10314</v>
      </c>
    </row>
    <row r="6241" spans="1:5" x14ac:dyDescent="0.25">
      <c r="B6241" s="115" t="s">
        <v>10315</v>
      </c>
      <c r="D6241" s="115" t="s">
        <v>10316</v>
      </c>
      <c r="E6241" s="115" t="s">
        <v>10317</v>
      </c>
    </row>
    <row r="6242" spans="1:5" x14ac:dyDescent="0.25">
      <c r="B6242" s="115" t="s">
        <v>1310</v>
      </c>
      <c r="D6242" s="115" t="s">
        <v>1580</v>
      </c>
      <c r="E6242" s="115" t="s">
        <v>10318</v>
      </c>
    </row>
    <row r="6243" spans="1:5" x14ac:dyDescent="0.25">
      <c r="B6243" s="115" t="s">
        <v>1139</v>
      </c>
      <c r="D6243" s="115" t="s">
        <v>10319</v>
      </c>
      <c r="E6243" s="115" t="s">
        <v>10320</v>
      </c>
    </row>
    <row r="6244" spans="1:5" x14ac:dyDescent="0.25">
      <c r="B6244" s="115" t="s">
        <v>1139</v>
      </c>
      <c r="D6244" s="115" t="s">
        <v>10321</v>
      </c>
      <c r="E6244" s="115" t="s">
        <v>10322</v>
      </c>
    </row>
    <row r="6245" spans="1:5" x14ac:dyDescent="0.25">
      <c r="B6245" s="115" t="s">
        <v>10323</v>
      </c>
      <c r="D6245" s="115" t="s">
        <v>10324</v>
      </c>
      <c r="E6245" s="115" t="s">
        <v>1859</v>
      </c>
    </row>
    <row r="6246" spans="1:5" x14ac:dyDescent="0.25">
      <c r="B6246" s="115" t="s">
        <v>1139</v>
      </c>
      <c r="D6246" s="115" t="s">
        <v>10325</v>
      </c>
      <c r="E6246" s="115" t="s">
        <v>10326</v>
      </c>
    </row>
    <row r="6247" spans="1:5" x14ac:dyDescent="0.25">
      <c r="B6247" s="115" t="s">
        <v>1139</v>
      </c>
      <c r="D6247" s="115" t="s">
        <v>10327</v>
      </c>
      <c r="E6247" s="115" t="s">
        <v>10328</v>
      </c>
    </row>
    <row r="6248" spans="1:5" x14ac:dyDescent="0.25">
      <c r="B6248" s="115" t="s">
        <v>1139</v>
      </c>
      <c r="D6248" s="115" t="s">
        <v>10329</v>
      </c>
      <c r="E6248" s="115" t="s">
        <v>10330</v>
      </c>
    </row>
    <row r="6249" spans="1:5" x14ac:dyDescent="0.25">
      <c r="B6249" s="115" t="s">
        <v>1139</v>
      </c>
      <c r="D6249" s="115" t="s">
        <v>10331</v>
      </c>
      <c r="E6249" s="115" t="s">
        <v>10332</v>
      </c>
    </row>
    <row r="6250" spans="1:5" x14ac:dyDescent="0.25">
      <c r="A6250" s="115">
        <v>1</v>
      </c>
      <c r="B6250" s="115" t="s">
        <v>10333</v>
      </c>
      <c r="D6250" s="115" t="s">
        <v>1140</v>
      </c>
      <c r="E6250" s="115" t="s">
        <v>10334</v>
      </c>
    </row>
    <row r="6251" spans="1:5" x14ac:dyDescent="0.25">
      <c r="A6251" s="115" t="s">
        <v>1138</v>
      </c>
      <c r="B6251" s="115" t="s">
        <v>10335</v>
      </c>
      <c r="D6251" s="115" t="s">
        <v>10336</v>
      </c>
      <c r="E6251" s="115" t="s">
        <v>10337</v>
      </c>
    </row>
    <row r="6252" spans="1:5" x14ac:dyDescent="0.25">
      <c r="A6252" s="115">
        <v>-3</v>
      </c>
      <c r="B6252" s="115" t="s">
        <v>1678</v>
      </c>
      <c r="D6252" s="115" t="s">
        <v>1140</v>
      </c>
      <c r="E6252" s="115" t="s">
        <v>10338</v>
      </c>
    </row>
    <row r="6253" spans="1:5" x14ac:dyDescent="0.25">
      <c r="B6253" s="115" t="s">
        <v>1139</v>
      </c>
      <c r="D6253" s="115" t="s">
        <v>1140</v>
      </c>
      <c r="E6253" s="115" t="s">
        <v>1141</v>
      </c>
    </row>
    <row r="6254" spans="1:5" x14ac:dyDescent="0.25">
      <c r="B6254" s="115" t="s">
        <v>1139</v>
      </c>
      <c r="D6254" s="115" t="s">
        <v>10339</v>
      </c>
      <c r="E6254" s="115" t="s">
        <v>10340</v>
      </c>
    </row>
    <row r="6255" spans="1:5" x14ac:dyDescent="0.25">
      <c r="B6255" s="115" t="s">
        <v>1680</v>
      </c>
      <c r="D6255" s="115" t="s">
        <v>10341</v>
      </c>
      <c r="E6255" s="115" t="s">
        <v>10342</v>
      </c>
    </row>
    <row r="6256" spans="1:5" x14ac:dyDescent="0.25">
      <c r="A6256" s="115">
        <v>-2</v>
      </c>
      <c r="B6256" s="115" t="s">
        <v>10343</v>
      </c>
      <c r="D6256" s="115" t="s">
        <v>10344</v>
      </c>
      <c r="E6256" s="115" t="s">
        <v>10345</v>
      </c>
    </row>
    <row r="6257" spans="1:5" x14ac:dyDescent="0.25">
      <c r="B6257" s="115" t="s">
        <v>10346</v>
      </c>
      <c r="D6257" s="115" t="s">
        <v>10347</v>
      </c>
      <c r="E6257" s="115" t="s">
        <v>10348</v>
      </c>
    </row>
    <row r="6258" spans="1:5" x14ac:dyDescent="0.25">
      <c r="A6258" s="115" t="s">
        <v>1138</v>
      </c>
      <c r="B6258" s="115" t="s">
        <v>10349</v>
      </c>
      <c r="D6258" s="115" t="s">
        <v>10350</v>
      </c>
      <c r="E6258" s="115" t="s">
        <v>10351</v>
      </c>
    </row>
    <row r="6259" spans="1:5" x14ac:dyDescent="0.25">
      <c r="A6259" s="115">
        <v>3</v>
      </c>
      <c r="B6259" s="115" t="s">
        <v>10352</v>
      </c>
      <c r="C6259" s="115" t="s">
        <v>1138</v>
      </c>
      <c r="D6259" s="115" t="s">
        <v>10353</v>
      </c>
      <c r="E6259" s="115" t="s">
        <v>10354</v>
      </c>
    </row>
    <row r="6260" spans="1:5" x14ac:dyDescent="0.25">
      <c r="A6260" s="115">
        <v>3</v>
      </c>
      <c r="B6260" s="115" t="s">
        <v>10355</v>
      </c>
      <c r="D6260" s="115" t="s">
        <v>10356</v>
      </c>
      <c r="E6260" s="115" t="s">
        <v>10357</v>
      </c>
    </row>
    <row r="6261" spans="1:5" x14ac:dyDescent="0.25">
      <c r="B6261" s="115" t="s">
        <v>10358</v>
      </c>
      <c r="D6261" s="115" t="s">
        <v>10359</v>
      </c>
      <c r="E6261" s="115" t="s">
        <v>10360</v>
      </c>
    </row>
    <row r="6262" spans="1:5" x14ac:dyDescent="0.25">
      <c r="B6262" s="115" t="s">
        <v>10361</v>
      </c>
      <c r="D6262" s="115" t="s">
        <v>10362</v>
      </c>
      <c r="E6262" s="115" t="s">
        <v>10363</v>
      </c>
    </row>
    <row r="6263" spans="1:5" x14ac:dyDescent="0.25">
      <c r="A6263" s="115">
        <v>1</v>
      </c>
      <c r="B6263" s="115" t="s">
        <v>10364</v>
      </c>
      <c r="D6263" s="115" t="s">
        <v>10365</v>
      </c>
      <c r="E6263" s="115" t="s">
        <v>10366</v>
      </c>
    </row>
    <row r="6264" spans="1:5" x14ac:dyDescent="0.25">
      <c r="B6264" s="115" t="s">
        <v>1139</v>
      </c>
      <c r="C6264" s="115" t="s">
        <v>1138</v>
      </c>
      <c r="D6264" s="115" t="s">
        <v>10367</v>
      </c>
      <c r="E6264" s="115" t="s">
        <v>10368</v>
      </c>
    </row>
    <row r="6265" spans="1:5" x14ac:dyDescent="0.25">
      <c r="B6265" s="115" t="s">
        <v>1139</v>
      </c>
      <c r="D6265" s="115" t="s">
        <v>1140</v>
      </c>
      <c r="E6265" s="115" t="s">
        <v>10369</v>
      </c>
    </row>
    <row r="6266" spans="1:5" x14ac:dyDescent="0.25">
      <c r="B6266" s="115" t="s">
        <v>1139</v>
      </c>
      <c r="D6266" s="115" t="s">
        <v>10370</v>
      </c>
      <c r="E6266" s="115" t="s">
        <v>10371</v>
      </c>
    </row>
    <row r="6267" spans="1:5" x14ac:dyDescent="0.25">
      <c r="B6267" s="115" t="s">
        <v>10372</v>
      </c>
      <c r="D6267" s="115" t="s">
        <v>5010</v>
      </c>
      <c r="E6267" s="115" t="s">
        <v>2082</v>
      </c>
    </row>
    <row r="6268" spans="1:5" x14ac:dyDescent="0.25">
      <c r="B6268" s="115" t="s">
        <v>2982</v>
      </c>
      <c r="D6268" s="115" t="s">
        <v>1140</v>
      </c>
      <c r="E6268" s="115" t="s">
        <v>10373</v>
      </c>
    </row>
    <row r="6269" spans="1:5" x14ac:dyDescent="0.25">
      <c r="A6269" s="115" t="s">
        <v>1138</v>
      </c>
      <c r="B6269" s="115" t="s">
        <v>10374</v>
      </c>
      <c r="C6269" s="115" t="s">
        <v>1138</v>
      </c>
      <c r="D6269" s="115" t="s">
        <v>10375</v>
      </c>
      <c r="E6269" s="115" t="s">
        <v>10376</v>
      </c>
    </row>
    <row r="6270" spans="1:5" x14ac:dyDescent="0.25">
      <c r="B6270" s="115" t="s">
        <v>1139</v>
      </c>
      <c r="D6270" s="115" t="s">
        <v>10377</v>
      </c>
      <c r="E6270" s="115" t="s">
        <v>10378</v>
      </c>
    </row>
    <row r="6271" spans="1:5" x14ac:dyDescent="0.25">
      <c r="A6271" s="115" t="s">
        <v>1138</v>
      </c>
      <c r="B6271" s="115" t="s">
        <v>10379</v>
      </c>
      <c r="D6271" s="115" t="s">
        <v>1140</v>
      </c>
      <c r="E6271" s="115" t="s">
        <v>10380</v>
      </c>
    </row>
    <row r="6272" spans="1:5" x14ac:dyDescent="0.25">
      <c r="A6272" s="115">
        <v>-2</v>
      </c>
      <c r="B6272" s="115" t="s">
        <v>10381</v>
      </c>
      <c r="C6272" s="115" t="s">
        <v>1138</v>
      </c>
      <c r="D6272" s="115" t="s">
        <v>10382</v>
      </c>
      <c r="E6272" s="115" t="s">
        <v>10383</v>
      </c>
    </row>
    <row r="6273" spans="1:5" x14ac:dyDescent="0.25">
      <c r="B6273" s="115" t="s">
        <v>10384</v>
      </c>
      <c r="D6273" s="115" t="s">
        <v>10385</v>
      </c>
      <c r="E6273" s="115" t="s">
        <v>10386</v>
      </c>
    </row>
    <row r="6274" spans="1:5" x14ac:dyDescent="0.25">
      <c r="B6274" s="115" t="s">
        <v>10387</v>
      </c>
      <c r="D6274" s="115" t="s">
        <v>1140</v>
      </c>
      <c r="E6274" s="115" t="s">
        <v>10388</v>
      </c>
    </row>
    <row r="6275" spans="1:5" x14ac:dyDescent="0.25">
      <c r="A6275" s="115">
        <v>-2</v>
      </c>
      <c r="B6275" s="115" t="s">
        <v>10389</v>
      </c>
      <c r="C6275" s="115" t="s">
        <v>1138</v>
      </c>
      <c r="D6275" s="115" t="s">
        <v>10390</v>
      </c>
      <c r="E6275" s="115" t="s">
        <v>10391</v>
      </c>
    </row>
    <row r="6276" spans="1:5" x14ac:dyDescent="0.25">
      <c r="B6276" s="115" t="s">
        <v>10392</v>
      </c>
      <c r="D6276" s="115" t="s">
        <v>10393</v>
      </c>
      <c r="E6276" s="115" t="s">
        <v>10394</v>
      </c>
    </row>
    <row r="6277" spans="1:5" x14ac:dyDescent="0.25">
      <c r="B6277" s="115" t="s">
        <v>10395</v>
      </c>
      <c r="D6277" s="115" t="s">
        <v>1140</v>
      </c>
      <c r="E6277" s="115" t="s">
        <v>10396</v>
      </c>
    </row>
    <row r="6278" spans="1:5" x14ac:dyDescent="0.25">
      <c r="A6278" s="115">
        <v>-1</v>
      </c>
      <c r="B6278" s="115" t="s">
        <v>10397</v>
      </c>
      <c r="D6278" s="115" t="s">
        <v>2983</v>
      </c>
      <c r="E6278" s="115" t="s">
        <v>10398</v>
      </c>
    </row>
    <row r="6279" spans="1:5" x14ac:dyDescent="0.25">
      <c r="B6279" s="115" t="s">
        <v>10399</v>
      </c>
      <c r="D6279" s="115" t="s">
        <v>10400</v>
      </c>
      <c r="E6279" s="115" t="s">
        <v>10401</v>
      </c>
    </row>
    <row r="6280" spans="1:5" x14ac:dyDescent="0.25">
      <c r="B6280" s="115" t="s">
        <v>1139</v>
      </c>
      <c r="D6280" s="115" t="s">
        <v>1140</v>
      </c>
      <c r="E6280" s="115" t="s">
        <v>10402</v>
      </c>
    </row>
    <row r="6281" spans="1:5" x14ac:dyDescent="0.25">
      <c r="A6281" s="115">
        <v>-2</v>
      </c>
      <c r="B6281" s="115" t="s">
        <v>10403</v>
      </c>
      <c r="D6281" s="115" t="s">
        <v>1140</v>
      </c>
      <c r="E6281" s="115" t="s">
        <v>10404</v>
      </c>
    </row>
    <row r="6282" spans="1:5" x14ac:dyDescent="0.25">
      <c r="A6282" s="115">
        <v>-1</v>
      </c>
      <c r="B6282" s="115" t="s">
        <v>10405</v>
      </c>
      <c r="D6282" s="115" t="s">
        <v>10406</v>
      </c>
      <c r="E6282" s="115" t="s">
        <v>10407</v>
      </c>
    </row>
    <row r="6283" spans="1:5" x14ac:dyDescent="0.25">
      <c r="B6283" s="115" t="s">
        <v>10408</v>
      </c>
      <c r="D6283" s="115" t="s">
        <v>1140</v>
      </c>
      <c r="E6283" s="115" t="s">
        <v>10409</v>
      </c>
    </row>
    <row r="6284" spans="1:5" x14ac:dyDescent="0.25">
      <c r="A6284" s="115">
        <v>8</v>
      </c>
      <c r="B6284" s="115" t="s">
        <v>10410</v>
      </c>
      <c r="D6284" s="115" t="s">
        <v>10411</v>
      </c>
      <c r="E6284" s="115" t="s">
        <v>1141</v>
      </c>
    </row>
    <row r="6285" spans="1:5" x14ac:dyDescent="0.25">
      <c r="B6285" s="115" t="s">
        <v>1139</v>
      </c>
      <c r="D6285" s="115" t="s">
        <v>10412</v>
      </c>
      <c r="E6285" s="115" t="s">
        <v>10413</v>
      </c>
    </row>
    <row r="6286" spans="1:5" x14ac:dyDescent="0.25">
      <c r="B6286" s="115" t="s">
        <v>10414</v>
      </c>
      <c r="D6286" s="115" t="s">
        <v>10415</v>
      </c>
      <c r="E6286" s="115" t="s">
        <v>10416</v>
      </c>
    </row>
    <row r="6287" spans="1:5" x14ac:dyDescent="0.25">
      <c r="A6287" s="115">
        <v>1</v>
      </c>
      <c r="B6287" s="115" t="s">
        <v>1641</v>
      </c>
      <c r="D6287" s="115" t="s">
        <v>1140</v>
      </c>
      <c r="E6287" s="115" t="s">
        <v>1141</v>
      </c>
    </row>
    <row r="6288" spans="1:5" x14ac:dyDescent="0.25">
      <c r="B6288" s="115" t="s">
        <v>1139</v>
      </c>
      <c r="D6288" s="115" t="s">
        <v>1140</v>
      </c>
      <c r="E6288" s="115" t="s">
        <v>10417</v>
      </c>
    </row>
    <row r="6289" spans="1:5" x14ac:dyDescent="0.25">
      <c r="B6289" s="115" t="s">
        <v>10418</v>
      </c>
      <c r="D6289" s="115" t="s">
        <v>10419</v>
      </c>
      <c r="E6289" s="115" t="s">
        <v>10420</v>
      </c>
    </row>
    <row r="6290" spans="1:5" x14ac:dyDescent="0.25">
      <c r="B6290" s="115" t="s">
        <v>1139</v>
      </c>
      <c r="D6290" s="115" t="s">
        <v>10421</v>
      </c>
      <c r="E6290" s="115" t="s">
        <v>10422</v>
      </c>
    </row>
    <row r="6291" spans="1:5" x14ac:dyDescent="0.25">
      <c r="B6291" s="115">
        <f>-23   -112</f>
        <v>-135</v>
      </c>
      <c r="D6291" s="115" t="s">
        <v>10423</v>
      </c>
      <c r="E6291" s="115" t="s">
        <v>10424</v>
      </c>
    </row>
    <row r="6292" spans="1:5" x14ac:dyDescent="0.25">
      <c r="A6292" s="115" t="s">
        <v>1138</v>
      </c>
      <c r="B6292" s="115" t="s">
        <v>10425</v>
      </c>
      <c r="D6292" s="115" t="s">
        <v>10426</v>
      </c>
      <c r="E6292" s="115" t="s">
        <v>10427</v>
      </c>
    </row>
    <row r="6293" spans="1:5" x14ac:dyDescent="0.25">
      <c r="A6293" s="115">
        <v>-12</v>
      </c>
      <c r="B6293" s="115" t="s">
        <v>10428</v>
      </c>
      <c r="C6293" s="115">
        <v>-1</v>
      </c>
      <c r="D6293" s="115" t="s">
        <v>10429</v>
      </c>
      <c r="E6293" s="115" t="s">
        <v>10430</v>
      </c>
    </row>
    <row r="6294" spans="1:5" x14ac:dyDescent="0.25">
      <c r="A6294" s="115">
        <v>23</v>
      </c>
      <c r="B6294" s="115" t="s">
        <v>10431</v>
      </c>
      <c r="C6294" s="115">
        <v>1</v>
      </c>
      <c r="D6294" s="115" t="s">
        <v>10432</v>
      </c>
      <c r="E6294" s="115" t="s">
        <v>10433</v>
      </c>
    </row>
    <row r="6295" spans="1:5" x14ac:dyDescent="0.25">
      <c r="A6295" s="115">
        <v>2</v>
      </c>
      <c r="B6295" s="115" t="s">
        <v>10434</v>
      </c>
      <c r="D6295" s="115" t="s">
        <v>10435</v>
      </c>
      <c r="E6295" s="115" t="s">
        <v>10436</v>
      </c>
    </row>
    <row r="6296" spans="1:5" x14ac:dyDescent="0.25">
      <c r="B6296" s="115" t="s">
        <v>10437</v>
      </c>
      <c r="D6296" s="115" t="s">
        <v>10438</v>
      </c>
      <c r="E6296" s="115" t="s">
        <v>10439</v>
      </c>
    </row>
    <row r="6297" spans="1:5" x14ac:dyDescent="0.25">
      <c r="A6297" s="115">
        <v>2</v>
      </c>
      <c r="B6297" s="115" t="s">
        <v>10440</v>
      </c>
      <c r="D6297" s="115" t="s">
        <v>10441</v>
      </c>
      <c r="E6297" s="115" t="s">
        <v>10442</v>
      </c>
    </row>
    <row r="6298" spans="1:5" x14ac:dyDescent="0.25">
      <c r="A6298" s="115">
        <v>8</v>
      </c>
      <c r="B6298" s="115" t="s">
        <v>10443</v>
      </c>
      <c r="D6298" s="115" t="s">
        <v>10444</v>
      </c>
      <c r="E6298" s="115" t="s">
        <v>10445</v>
      </c>
    </row>
    <row r="6299" spans="1:5" x14ac:dyDescent="0.25">
      <c r="B6299" s="115" t="s">
        <v>1139</v>
      </c>
      <c r="D6299" s="115" t="s">
        <v>10446</v>
      </c>
      <c r="E6299" s="115" t="s">
        <v>1141</v>
      </c>
    </row>
    <row r="6300" spans="1:5" x14ac:dyDescent="0.25">
      <c r="B6300" s="115" t="s">
        <v>1139</v>
      </c>
      <c r="D6300" s="115" t="s">
        <v>10447</v>
      </c>
      <c r="E6300" s="115" t="s">
        <v>10448</v>
      </c>
    </row>
    <row r="6301" spans="1:5" x14ac:dyDescent="0.25">
      <c r="A6301" s="115">
        <v>1</v>
      </c>
      <c r="B6301" s="115" t="s">
        <v>10449</v>
      </c>
      <c r="D6301" s="115" t="s">
        <v>10450</v>
      </c>
      <c r="E6301" s="115" t="s">
        <v>10451</v>
      </c>
    </row>
    <row r="6302" spans="1:5" x14ac:dyDescent="0.25">
      <c r="B6302" s="115" t="s">
        <v>1139</v>
      </c>
      <c r="D6302" s="115" t="s">
        <v>2127</v>
      </c>
      <c r="E6302" s="115" t="s">
        <v>1759</v>
      </c>
    </row>
    <row r="6303" spans="1:5" x14ac:dyDescent="0.25">
      <c r="B6303" s="115" t="s">
        <v>1139</v>
      </c>
      <c r="D6303" s="115" t="s">
        <v>10452</v>
      </c>
      <c r="E6303" s="115" t="s">
        <v>1245</v>
      </c>
    </row>
    <row r="6304" spans="1:5" x14ac:dyDescent="0.25">
      <c r="B6304" s="115" t="s">
        <v>10453</v>
      </c>
      <c r="D6304" s="115" t="s">
        <v>10454</v>
      </c>
      <c r="E6304" s="115" t="s">
        <v>10455</v>
      </c>
    </row>
    <row r="6305" spans="1:5" x14ac:dyDescent="0.25">
      <c r="A6305" s="115" t="s">
        <v>1138</v>
      </c>
      <c r="B6305" s="115" t="s">
        <v>10456</v>
      </c>
      <c r="C6305" s="115" t="s">
        <v>1138</v>
      </c>
      <c r="D6305" s="115" t="s">
        <v>10457</v>
      </c>
      <c r="E6305" s="115" t="s">
        <v>1702</v>
      </c>
    </row>
    <row r="6306" spans="1:5" x14ac:dyDescent="0.25">
      <c r="A6306" s="115">
        <v>5</v>
      </c>
      <c r="B6306" s="115" t="s">
        <v>10458</v>
      </c>
      <c r="D6306" s="115" t="s">
        <v>10459</v>
      </c>
      <c r="E6306" s="115" t="s">
        <v>10460</v>
      </c>
    </row>
    <row r="6307" spans="1:5" x14ac:dyDescent="0.25">
      <c r="A6307" s="115">
        <v>1</v>
      </c>
      <c r="B6307" s="115" t="s">
        <v>10461</v>
      </c>
      <c r="D6307" s="115" t="s">
        <v>10462</v>
      </c>
      <c r="E6307" s="115" t="s">
        <v>10463</v>
      </c>
    </row>
    <row r="6308" spans="1:5" x14ac:dyDescent="0.25">
      <c r="B6308" s="115" t="s">
        <v>1338</v>
      </c>
      <c r="D6308" s="115" t="s">
        <v>10464</v>
      </c>
      <c r="E6308" s="115" t="s">
        <v>2537</v>
      </c>
    </row>
    <row r="6309" spans="1:5" x14ac:dyDescent="0.25">
      <c r="B6309" s="115" t="s">
        <v>10465</v>
      </c>
      <c r="D6309" s="115" t="s">
        <v>10466</v>
      </c>
      <c r="E6309" s="115" t="s">
        <v>10467</v>
      </c>
    </row>
    <row r="6310" spans="1:5" x14ac:dyDescent="0.25">
      <c r="A6310" s="115">
        <v>3</v>
      </c>
      <c r="B6310" s="115" t="s">
        <v>1317</v>
      </c>
      <c r="D6310" s="115" t="s">
        <v>10468</v>
      </c>
      <c r="E6310" s="115" t="s">
        <v>10469</v>
      </c>
    </row>
    <row r="6311" spans="1:5" x14ac:dyDescent="0.25">
      <c r="B6311" s="115" t="s">
        <v>2660</v>
      </c>
      <c r="D6311" s="115" t="s">
        <v>10470</v>
      </c>
      <c r="E6311" s="115" t="s">
        <v>1894</v>
      </c>
    </row>
    <row r="6312" spans="1:5" x14ac:dyDescent="0.25">
      <c r="B6312" s="115" t="s">
        <v>10471</v>
      </c>
      <c r="D6312" s="115" t="s">
        <v>10472</v>
      </c>
      <c r="E6312" s="115" t="s">
        <v>10473</v>
      </c>
    </row>
    <row r="6313" spans="1:5" x14ac:dyDescent="0.25">
      <c r="A6313" s="115">
        <v>1</v>
      </c>
      <c r="B6313" s="115" t="s">
        <v>10474</v>
      </c>
      <c r="C6313" s="115" t="s">
        <v>1138</v>
      </c>
      <c r="D6313" s="115" t="s">
        <v>10475</v>
      </c>
      <c r="E6313" s="115" t="s">
        <v>10476</v>
      </c>
    </row>
    <row r="6314" spans="1:5" x14ac:dyDescent="0.25">
      <c r="B6314" s="115" t="s">
        <v>1478</v>
      </c>
      <c r="D6314" s="115" t="s">
        <v>1519</v>
      </c>
      <c r="E6314" s="115" t="s">
        <v>1141</v>
      </c>
    </row>
    <row r="6315" spans="1:5" x14ac:dyDescent="0.25">
      <c r="B6315" s="115" t="s">
        <v>10477</v>
      </c>
      <c r="D6315" s="115" t="s">
        <v>10478</v>
      </c>
      <c r="E6315" s="115" t="s">
        <v>1141</v>
      </c>
    </row>
    <row r="6316" spans="1:5" x14ac:dyDescent="0.25">
      <c r="A6316" s="115">
        <v>2</v>
      </c>
      <c r="B6316" s="115" t="s">
        <v>10479</v>
      </c>
      <c r="D6316" s="115" t="s">
        <v>10480</v>
      </c>
      <c r="E6316" s="115" t="s">
        <v>10481</v>
      </c>
    </row>
    <row r="6317" spans="1:5" x14ac:dyDescent="0.25">
      <c r="A6317" s="115">
        <v>1</v>
      </c>
      <c r="B6317" s="115" t="s">
        <v>1447</v>
      </c>
      <c r="D6317" s="115" t="s">
        <v>10482</v>
      </c>
      <c r="E6317" s="115" t="s">
        <v>1702</v>
      </c>
    </row>
    <row r="6318" spans="1:5" x14ac:dyDescent="0.25">
      <c r="A6318" s="115">
        <v>1</v>
      </c>
      <c r="B6318" s="115" t="s">
        <v>10483</v>
      </c>
      <c r="D6318" s="115" t="s">
        <v>10484</v>
      </c>
      <c r="E6318" s="115" t="s">
        <v>10485</v>
      </c>
    </row>
    <row r="6319" spans="1:5" x14ac:dyDescent="0.25">
      <c r="B6319" s="115" t="s">
        <v>1139</v>
      </c>
      <c r="D6319" s="115" t="s">
        <v>1140</v>
      </c>
      <c r="E6319" s="115" t="s">
        <v>10486</v>
      </c>
    </row>
    <row r="6320" spans="1:5" x14ac:dyDescent="0.25">
      <c r="A6320" s="115" t="s">
        <v>1138</v>
      </c>
      <c r="B6320" s="115" t="s">
        <v>10487</v>
      </c>
      <c r="D6320" s="115" t="s">
        <v>10488</v>
      </c>
      <c r="E6320" s="115" t="s">
        <v>10489</v>
      </c>
    </row>
    <row r="6321" spans="1:5" x14ac:dyDescent="0.25">
      <c r="B6321" s="115" t="s">
        <v>1139</v>
      </c>
      <c r="D6321" s="115" t="s">
        <v>10490</v>
      </c>
      <c r="E6321" s="115" t="s">
        <v>1141</v>
      </c>
    </row>
    <row r="6322" spans="1:5" x14ac:dyDescent="0.25">
      <c r="B6322" s="115" t="s">
        <v>1139</v>
      </c>
      <c r="D6322" s="115" t="s">
        <v>1140</v>
      </c>
      <c r="E6322" s="115" t="s">
        <v>1141</v>
      </c>
    </row>
    <row r="6323" spans="1:5" x14ac:dyDescent="0.25">
      <c r="B6323" s="115" t="s">
        <v>1441</v>
      </c>
      <c r="D6323" s="115" t="s">
        <v>8316</v>
      </c>
      <c r="E6323" s="115" t="s">
        <v>10491</v>
      </c>
    </row>
    <row r="6324" spans="1:5" x14ac:dyDescent="0.25">
      <c r="B6324" s="115" t="s">
        <v>10492</v>
      </c>
      <c r="D6324" s="115" t="s">
        <v>10493</v>
      </c>
      <c r="E6324" s="115" t="s">
        <v>10494</v>
      </c>
    </row>
    <row r="6325" spans="1:5" x14ac:dyDescent="0.25">
      <c r="A6325" s="115" t="s">
        <v>1138</v>
      </c>
      <c r="B6325" s="115" t="s">
        <v>10495</v>
      </c>
      <c r="D6325" s="115" t="s">
        <v>10496</v>
      </c>
      <c r="E6325" s="115" t="s">
        <v>10497</v>
      </c>
    </row>
    <row r="6326" spans="1:5" x14ac:dyDescent="0.25">
      <c r="A6326" s="115">
        <v>1</v>
      </c>
      <c r="B6326" s="115" t="s">
        <v>10498</v>
      </c>
      <c r="D6326" s="115" t="s">
        <v>10499</v>
      </c>
      <c r="E6326" s="115" t="s">
        <v>10500</v>
      </c>
    </row>
    <row r="6327" spans="1:5" x14ac:dyDescent="0.25">
      <c r="A6327" s="115">
        <v>2</v>
      </c>
      <c r="B6327" s="115" t="s">
        <v>10501</v>
      </c>
      <c r="D6327" s="115" t="s">
        <v>10502</v>
      </c>
      <c r="E6327" s="115" t="s">
        <v>10503</v>
      </c>
    </row>
    <row r="6328" spans="1:5" x14ac:dyDescent="0.25">
      <c r="A6328" s="115" t="s">
        <v>1138</v>
      </c>
      <c r="B6328" s="115" t="s">
        <v>10504</v>
      </c>
      <c r="D6328" s="115" t="s">
        <v>10505</v>
      </c>
      <c r="E6328" s="115" t="s">
        <v>10506</v>
      </c>
    </row>
    <row r="6329" spans="1:5" x14ac:dyDescent="0.25">
      <c r="A6329" s="115">
        <v>1</v>
      </c>
      <c r="B6329" s="115" t="s">
        <v>10507</v>
      </c>
      <c r="D6329" s="115" t="s">
        <v>10508</v>
      </c>
      <c r="E6329" s="115" t="s">
        <v>10509</v>
      </c>
    </row>
    <row r="6330" spans="1:5" x14ac:dyDescent="0.25">
      <c r="A6330" s="115">
        <v>-3</v>
      </c>
      <c r="B6330" s="115" t="s">
        <v>10510</v>
      </c>
      <c r="C6330" s="115" t="s">
        <v>1138</v>
      </c>
      <c r="D6330" s="115" t="s">
        <v>10511</v>
      </c>
      <c r="E6330" s="115" t="s">
        <v>10512</v>
      </c>
    </row>
    <row r="6331" spans="1:5" x14ac:dyDescent="0.25">
      <c r="A6331" s="115">
        <v>-1</v>
      </c>
      <c r="B6331" s="115" t="s">
        <v>10513</v>
      </c>
      <c r="C6331" s="115" t="s">
        <v>1138</v>
      </c>
      <c r="D6331" s="115" t="s">
        <v>10514</v>
      </c>
      <c r="E6331" s="115" t="s">
        <v>10515</v>
      </c>
    </row>
    <row r="6332" spans="1:5" x14ac:dyDescent="0.25">
      <c r="A6332" s="115">
        <v>19</v>
      </c>
      <c r="B6332" s="115" t="s">
        <v>10516</v>
      </c>
      <c r="C6332" s="115" t="s">
        <v>1138</v>
      </c>
      <c r="D6332" s="115" t="s">
        <v>10517</v>
      </c>
      <c r="E6332" s="115" t="s">
        <v>10518</v>
      </c>
    </row>
    <row r="6333" spans="1:5" x14ac:dyDescent="0.25">
      <c r="B6333" s="115" t="s">
        <v>10519</v>
      </c>
      <c r="D6333" s="115" t="s">
        <v>10520</v>
      </c>
      <c r="E6333" s="115" t="s">
        <v>10521</v>
      </c>
    </row>
    <row r="6334" spans="1:5" x14ac:dyDescent="0.25">
      <c r="B6334" s="115" t="s">
        <v>1139</v>
      </c>
      <c r="D6334" s="115" t="s">
        <v>1140</v>
      </c>
      <c r="E6334" s="115" t="s">
        <v>10522</v>
      </c>
    </row>
    <row r="6335" spans="1:5" x14ac:dyDescent="0.25">
      <c r="B6335" s="115" t="s">
        <v>3615</v>
      </c>
      <c r="D6335" s="115" t="s">
        <v>10523</v>
      </c>
      <c r="E6335" s="115" t="s">
        <v>10524</v>
      </c>
    </row>
    <row r="6336" spans="1:5" x14ac:dyDescent="0.25">
      <c r="A6336" s="115" t="s">
        <v>1138</v>
      </c>
      <c r="B6336" s="115" t="s">
        <v>1329</v>
      </c>
      <c r="D6336" s="115" t="s">
        <v>10525</v>
      </c>
      <c r="E6336" s="115" t="s">
        <v>1141</v>
      </c>
    </row>
    <row r="6337" spans="1:5" x14ac:dyDescent="0.25">
      <c r="B6337" s="115" t="s">
        <v>1161</v>
      </c>
      <c r="D6337" s="115" t="s">
        <v>1140</v>
      </c>
      <c r="E6337" s="115" t="s">
        <v>10526</v>
      </c>
    </row>
    <row r="6338" spans="1:5" x14ac:dyDescent="0.25">
      <c r="B6338" s="115" t="s">
        <v>1656</v>
      </c>
      <c r="D6338" s="115" t="s">
        <v>1140</v>
      </c>
      <c r="E6338" s="115" t="s">
        <v>10527</v>
      </c>
    </row>
    <row r="6339" spans="1:5" x14ac:dyDescent="0.25">
      <c r="B6339" s="115" t="s">
        <v>1570</v>
      </c>
      <c r="D6339" s="115" t="s">
        <v>10528</v>
      </c>
      <c r="E6339" s="115" t="s">
        <v>10529</v>
      </c>
    </row>
    <row r="6340" spans="1:5" x14ac:dyDescent="0.25">
      <c r="B6340" s="115" t="s">
        <v>1450</v>
      </c>
      <c r="D6340" s="115" t="s">
        <v>2893</v>
      </c>
      <c r="E6340" s="115" t="s">
        <v>10530</v>
      </c>
    </row>
    <row r="6341" spans="1:5" x14ac:dyDescent="0.25">
      <c r="A6341" s="115" t="s">
        <v>1138</v>
      </c>
      <c r="B6341" s="115" t="s">
        <v>10531</v>
      </c>
      <c r="D6341" s="115" t="s">
        <v>10532</v>
      </c>
      <c r="E6341" s="115" t="s">
        <v>10533</v>
      </c>
    </row>
    <row r="6342" spans="1:5" x14ac:dyDescent="0.25">
      <c r="B6342" s="115" t="s">
        <v>10534</v>
      </c>
      <c r="D6342" s="115" t="s">
        <v>10535</v>
      </c>
      <c r="E6342" s="115" t="s">
        <v>10536</v>
      </c>
    </row>
    <row r="6343" spans="1:5" x14ac:dyDescent="0.25">
      <c r="B6343" s="115" t="s">
        <v>1645</v>
      </c>
      <c r="D6343" s="115" t="s">
        <v>3014</v>
      </c>
      <c r="E6343" s="115" t="s">
        <v>10537</v>
      </c>
    </row>
    <row r="6344" spans="1:5" x14ac:dyDescent="0.25">
      <c r="A6344" s="115" t="s">
        <v>1138</v>
      </c>
      <c r="B6344" s="115" t="s">
        <v>10538</v>
      </c>
      <c r="D6344" s="115" t="s">
        <v>10539</v>
      </c>
      <c r="E6344" s="115" t="s">
        <v>10540</v>
      </c>
    </row>
    <row r="6345" spans="1:5" x14ac:dyDescent="0.25">
      <c r="B6345" s="115" t="s">
        <v>10541</v>
      </c>
      <c r="D6345" s="115" t="s">
        <v>1167</v>
      </c>
      <c r="E6345" s="115" t="s">
        <v>10542</v>
      </c>
    </row>
    <row r="6346" spans="1:5" x14ac:dyDescent="0.25">
      <c r="B6346" s="115" t="s">
        <v>1335</v>
      </c>
      <c r="D6346" s="115" t="s">
        <v>2574</v>
      </c>
      <c r="E6346" s="115" t="s">
        <v>10543</v>
      </c>
    </row>
    <row r="6347" spans="1:5" x14ac:dyDescent="0.25">
      <c r="B6347" s="115" t="s">
        <v>1298</v>
      </c>
      <c r="D6347" s="115" t="s">
        <v>10544</v>
      </c>
      <c r="E6347" s="115" t="s">
        <v>10545</v>
      </c>
    </row>
    <row r="6348" spans="1:5" x14ac:dyDescent="0.25">
      <c r="B6348" s="115" t="s">
        <v>1270</v>
      </c>
      <c r="D6348" s="115" t="s">
        <v>10546</v>
      </c>
      <c r="E6348" s="115" t="s">
        <v>10547</v>
      </c>
    </row>
    <row r="6349" spans="1:5" x14ac:dyDescent="0.25">
      <c r="B6349" s="115" t="s">
        <v>1139</v>
      </c>
      <c r="D6349" s="115" t="s">
        <v>1932</v>
      </c>
      <c r="E6349" s="115" t="s">
        <v>10548</v>
      </c>
    </row>
    <row r="6350" spans="1:5" x14ac:dyDescent="0.25">
      <c r="B6350" s="115" t="s">
        <v>1139</v>
      </c>
      <c r="D6350" s="115" t="s">
        <v>1828</v>
      </c>
      <c r="E6350" s="115" t="s">
        <v>10549</v>
      </c>
    </row>
    <row r="6351" spans="1:5" x14ac:dyDescent="0.25">
      <c r="B6351" s="115" t="s">
        <v>10550</v>
      </c>
      <c r="D6351" s="115" t="s">
        <v>1989</v>
      </c>
      <c r="E6351" s="115" t="s">
        <v>10551</v>
      </c>
    </row>
    <row r="6352" spans="1:5" x14ac:dyDescent="0.25">
      <c r="B6352" s="115" t="s">
        <v>2769</v>
      </c>
      <c r="D6352" s="115" t="s">
        <v>2682</v>
      </c>
      <c r="E6352" s="115" t="s">
        <v>10552</v>
      </c>
    </row>
    <row r="6353" spans="1:5" x14ac:dyDescent="0.25">
      <c r="B6353" s="115" t="s">
        <v>10553</v>
      </c>
      <c r="D6353" s="115" t="s">
        <v>10554</v>
      </c>
      <c r="E6353" s="115" t="s">
        <v>1141</v>
      </c>
    </row>
    <row r="6354" spans="1:5" x14ac:dyDescent="0.25">
      <c r="B6354" s="115" t="s">
        <v>1516</v>
      </c>
      <c r="D6354" s="115" t="s">
        <v>10555</v>
      </c>
      <c r="E6354" s="115" t="s">
        <v>10556</v>
      </c>
    </row>
    <row r="6355" spans="1:5" x14ac:dyDescent="0.25">
      <c r="B6355" s="115" t="s">
        <v>1656</v>
      </c>
      <c r="D6355" s="115" t="s">
        <v>10557</v>
      </c>
      <c r="E6355" s="115" t="s">
        <v>10558</v>
      </c>
    </row>
    <row r="6356" spans="1:5" x14ac:dyDescent="0.25">
      <c r="B6356" s="115" t="s">
        <v>1139</v>
      </c>
      <c r="D6356" s="115" t="s">
        <v>1140</v>
      </c>
      <c r="E6356" s="115" t="s">
        <v>1141</v>
      </c>
    </row>
    <row r="6357" spans="1:5" x14ac:dyDescent="0.25">
      <c r="B6357" s="115" t="s">
        <v>1139</v>
      </c>
      <c r="D6357" s="115" t="s">
        <v>10559</v>
      </c>
      <c r="E6357" s="115" t="s">
        <v>1702</v>
      </c>
    </row>
    <row r="6358" spans="1:5" x14ac:dyDescent="0.25">
      <c r="B6358" s="115">
        <f>-75   -203</f>
        <v>-278</v>
      </c>
      <c r="D6358" s="115" t="s">
        <v>10560</v>
      </c>
      <c r="E6358" s="115" t="s">
        <v>10561</v>
      </c>
    </row>
    <row r="6359" spans="1:5" x14ac:dyDescent="0.25">
      <c r="B6359" s="115" t="s">
        <v>10562</v>
      </c>
      <c r="D6359" s="115" t="s">
        <v>10563</v>
      </c>
      <c r="E6359" s="115" t="s">
        <v>10564</v>
      </c>
    </row>
    <row r="6360" spans="1:5" x14ac:dyDescent="0.25">
      <c r="B6360" s="115" t="s">
        <v>10565</v>
      </c>
      <c r="D6360" s="115" t="s">
        <v>10566</v>
      </c>
      <c r="E6360" s="115" t="s">
        <v>10567</v>
      </c>
    </row>
    <row r="6361" spans="1:5" x14ac:dyDescent="0.25">
      <c r="B6361" s="115" t="s">
        <v>10568</v>
      </c>
      <c r="D6361" s="115" t="s">
        <v>10569</v>
      </c>
      <c r="E6361" s="115" t="s">
        <v>10570</v>
      </c>
    </row>
    <row r="6362" spans="1:5" x14ac:dyDescent="0.25">
      <c r="B6362" s="115" t="s">
        <v>10571</v>
      </c>
      <c r="D6362" s="115" t="s">
        <v>10572</v>
      </c>
      <c r="E6362" s="115" t="s">
        <v>10573</v>
      </c>
    </row>
    <row r="6363" spans="1:5" x14ac:dyDescent="0.25">
      <c r="A6363" s="115" t="s">
        <v>1138</v>
      </c>
      <c r="B6363" s="115" t="s">
        <v>10574</v>
      </c>
      <c r="D6363" s="115">
        <f>-112   -282   -196</f>
        <v>-590</v>
      </c>
      <c r="E6363" s="115" t="s">
        <v>10575</v>
      </c>
    </row>
    <row r="6364" spans="1:5" x14ac:dyDescent="0.25">
      <c r="B6364" s="115" t="s">
        <v>10576</v>
      </c>
      <c r="D6364" s="115" t="s">
        <v>10577</v>
      </c>
      <c r="E6364" s="115" t="s">
        <v>10578</v>
      </c>
    </row>
    <row r="6365" spans="1:5" x14ac:dyDescent="0.25">
      <c r="B6365" s="115" t="s">
        <v>10579</v>
      </c>
      <c r="D6365" s="115" t="s">
        <v>10580</v>
      </c>
      <c r="E6365" s="115" t="s">
        <v>10581</v>
      </c>
    </row>
    <row r="6366" spans="1:5" x14ac:dyDescent="0.25">
      <c r="A6366" s="115" t="s">
        <v>1138</v>
      </c>
      <c r="B6366" s="115" t="s">
        <v>10582</v>
      </c>
      <c r="D6366" s="115" t="s">
        <v>10583</v>
      </c>
      <c r="E6366" s="115" t="s">
        <v>10584</v>
      </c>
    </row>
    <row r="6367" spans="1:5" x14ac:dyDescent="0.25">
      <c r="A6367" s="115">
        <v>-1</v>
      </c>
      <c r="B6367" s="115" t="s">
        <v>10585</v>
      </c>
      <c r="C6367" s="115" t="s">
        <v>1138</v>
      </c>
      <c r="D6367" s="115" t="s">
        <v>10586</v>
      </c>
      <c r="E6367" s="115" t="s">
        <v>10587</v>
      </c>
    </row>
    <row r="6368" spans="1:5" x14ac:dyDescent="0.25">
      <c r="B6368" s="115" t="s">
        <v>1139</v>
      </c>
      <c r="D6368" s="115" t="s">
        <v>10588</v>
      </c>
      <c r="E6368" s="115" t="s">
        <v>1141</v>
      </c>
    </row>
    <row r="6369" spans="1:5" x14ac:dyDescent="0.25">
      <c r="B6369" s="115" t="s">
        <v>1139</v>
      </c>
      <c r="D6369" s="115" t="s">
        <v>10589</v>
      </c>
      <c r="E6369" s="115" t="s">
        <v>10590</v>
      </c>
    </row>
    <row r="6370" spans="1:5" x14ac:dyDescent="0.25">
      <c r="B6370" s="115" t="s">
        <v>10591</v>
      </c>
      <c r="D6370" s="115" t="s">
        <v>10592</v>
      </c>
      <c r="E6370" s="115" t="s">
        <v>10593</v>
      </c>
    </row>
    <row r="6371" spans="1:5" x14ac:dyDescent="0.25">
      <c r="B6371" s="115" t="s">
        <v>10594</v>
      </c>
      <c r="D6371" s="115" t="s">
        <v>1140</v>
      </c>
      <c r="E6371" s="115" t="s">
        <v>10595</v>
      </c>
    </row>
    <row r="6372" spans="1:5" x14ac:dyDescent="0.25">
      <c r="B6372" s="115" t="s">
        <v>1139</v>
      </c>
      <c r="D6372" s="115" t="s">
        <v>10596</v>
      </c>
      <c r="E6372" s="115" t="s">
        <v>10597</v>
      </c>
    </row>
    <row r="6373" spans="1:5" x14ac:dyDescent="0.25">
      <c r="B6373" s="115" t="s">
        <v>1139</v>
      </c>
      <c r="C6373" s="115" t="s">
        <v>1138</v>
      </c>
      <c r="D6373" s="115" t="s">
        <v>10598</v>
      </c>
      <c r="E6373" s="115" t="s">
        <v>10599</v>
      </c>
    </row>
    <row r="6374" spans="1:5" x14ac:dyDescent="0.25">
      <c r="B6374" s="115" t="s">
        <v>10600</v>
      </c>
      <c r="D6374" s="115" t="s">
        <v>10601</v>
      </c>
      <c r="E6374" s="115" t="s">
        <v>10602</v>
      </c>
    </row>
    <row r="6375" spans="1:5" x14ac:dyDescent="0.25">
      <c r="B6375" s="115" t="s">
        <v>10603</v>
      </c>
      <c r="D6375" s="115" t="s">
        <v>10604</v>
      </c>
      <c r="E6375" s="115" t="s">
        <v>10605</v>
      </c>
    </row>
    <row r="6376" spans="1:5" x14ac:dyDescent="0.25">
      <c r="B6376" s="115" t="s">
        <v>10606</v>
      </c>
      <c r="C6376" s="115" t="s">
        <v>1138</v>
      </c>
      <c r="D6376" s="115" t="s">
        <v>10607</v>
      </c>
      <c r="E6376" s="115" t="s">
        <v>10608</v>
      </c>
    </row>
    <row r="6377" spans="1:5" x14ac:dyDescent="0.25">
      <c r="B6377" s="115" t="s">
        <v>10609</v>
      </c>
      <c r="D6377" s="115" t="s">
        <v>10610</v>
      </c>
      <c r="E6377" s="115" t="s">
        <v>10611</v>
      </c>
    </row>
    <row r="6378" spans="1:5" x14ac:dyDescent="0.25">
      <c r="B6378" s="115" t="s">
        <v>10612</v>
      </c>
      <c r="D6378" s="115" t="s">
        <v>10613</v>
      </c>
      <c r="E6378" s="115" t="s">
        <v>10614</v>
      </c>
    </row>
    <row r="6379" spans="1:5" x14ac:dyDescent="0.25">
      <c r="B6379" s="115" t="s">
        <v>10615</v>
      </c>
      <c r="D6379" s="115" t="s">
        <v>10616</v>
      </c>
      <c r="E6379" s="115" t="s">
        <v>10617</v>
      </c>
    </row>
    <row r="6380" spans="1:5" x14ac:dyDescent="0.25">
      <c r="B6380" s="115" t="s">
        <v>1139</v>
      </c>
      <c r="D6380" s="115" t="s">
        <v>10618</v>
      </c>
      <c r="E6380" s="115" t="s">
        <v>10619</v>
      </c>
    </row>
    <row r="6381" spans="1:5" x14ac:dyDescent="0.25">
      <c r="B6381" s="115" t="s">
        <v>10620</v>
      </c>
      <c r="D6381" s="115" t="s">
        <v>10621</v>
      </c>
      <c r="E6381" s="115" t="s">
        <v>10622</v>
      </c>
    </row>
    <row r="6382" spans="1:5" x14ac:dyDescent="0.25">
      <c r="A6382" s="115">
        <v>1</v>
      </c>
      <c r="B6382" s="115" t="s">
        <v>10623</v>
      </c>
      <c r="C6382" s="115" t="s">
        <v>1138</v>
      </c>
      <c r="D6382" s="115" t="s">
        <v>10624</v>
      </c>
      <c r="E6382" s="115" t="s">
        <v>10625</v>
      </c>
    </row>
    <row r="6383" spans="1:5" x14ac:dyDescent="0.25">
      <c r="B6383" s="115" t="s">
        <v>10626</v>
      </c>
      <c r="D6383" s="115" t="s">
        <v>10627</v>
      </c>
      <c r="E6383" s="115" t="s">
        <v>1141</v>
      </c>
    </row>
    <row r="6384" spans="1:5" x14ac:dyDescent="0.25">
      <c r="B6384" s="115" t="s">
        <v>10628</v>
      </c>
      <c r="D6384" s="115" t="s">
        <v>10629</v>
      </c>
      <c r="E6384" s="115" t="s">
        <v>2082</v>
      </c>
    </row>
    <row r="6385" spans="1:5" x14ac:dyDescent="0.25">
      <c r="B6385" s="115" t="s">
        <v>10630</v>
      </c>
      <c r="C6385" s="115" t="s">
        <v>1138</v>
      </c>
      <c r="D6385" s="115" t="s">
        <v>10631</v>
      </c>
      <c r="E6385" s="115" t="s">
        <v>10632</v>
      </c>
    </row>
    <row r="6386" spans="1:5" x14ac:dyDescent="0.25">
      <c r="B6386" s="115" t="s">
        <v>10633</v>
      </c>
      <c r="D6386" s="115" t="s">
        <v>10634</v>
      </c>
      <c r="E6386" s="115" t="s">
        <v>10635</v>
      </c>
    </row>
    <row r="6387" spans="1:5" x14ac:dyDescent="0.25">
      <c r="B6387" s="115" t="s">
        <v>10636</v>
      </c>
      <c r="D6387" s="115" t="s">
        <v>10637</v>
      </c>
      <c r="E6387" s="115" t="s">
        <v>10638</v>
      </c>
    </row>
    <row r="6388" spans="1:5" x14ac:dyDescent="0.25">
      <c r="B6388" s="115" t="s">
        <v>1139</v>
      </c>
      <c r="D6388" s="115" t="s">
        <v>1140</v>
      </c>
      <c r="E6388" s="115" t="s">
        <v>10639</v>
      </c>
    </row>
    <row r="6389" spans="1:5" x14ac:dyDescent="0.25">
      <c r="B6389" s="115">
        <f>-99  -1620</f>
        <v>-1719</v>
      </c>
      <c r="D6389" s="115" t="s">
        <v>10640</v>
      </c>
      <c r="E6389" s="115" t="s">
        <v>10641</v>
      </c>
    </row>
    <row r="6390" spans="1:5" x14ac:dyDescent="0.25">
      <c r="B6390" s="115" t="s">
        <v>1139</v>
      </c>
      <c r="D6390" s="115" t="s">
        <v>10642</v>
      </c>
      <c r="E6390" s="115" t="s">
        <v>1859</v>
      </c>
    </row>
    <row r="6391" spans="1:5" x14ac:dyDescent="0.25">
      <c r="B6391" s="115" t="s">
        <v>1139</v>
      </c>
      <c r="D6391" s="115" t="s">
        <v>1140</v>
      </c>
      <c r="E6391" s="115" t="s">
        <v>1141</v>
      </c>
    </row>
    <row r="6392" spans="1:5" x14ac:dyDescent="0.25">
      <c r="B6392" s="115" t="s">
        <v>10643</v>
      </c>
      <c r="D6392" s="115" t="s">
        <v>1140</v>
      </c>
      <c r="E6392" s="115" t="s">
        <v>10644</v>
      </c>
    </row>
    <row r="6393" spans="1:5" x14ac:dyDescent="0.25">
      <c r="B6393" s="115" t="s">
        <v>10645</v>
      </c>
      <c r="D6393" s="115" t="s">
        <v>10646</v>
      </c>
      <c r="E6393" s="115" t="s">
        <v>10647</v>
      </c>
    </row>
    <row r="6394" spans="1:5" x14ac:dyDescent="0.25">
      <c r="A6394" s="115" t="s">
        <v>1138</v>
      </c>
      <c r="B6394" s="115" t="s">
        <v>10648</v>
      </c>
      <c r="D6394" s="115" t="s">
        <v>10649</v>
      </c>
      <c r="E6394" s="115" t="s">
        <v>10650</v>
      </c>
    </row>
    <row r="6395" spans="1:5" x14ac:dyDescent="0.25">
      <c r="A6395" s="115" t="s">
        <v>1138</v>
      </c>
      <c r="B6395" s="115" t="s">
        <v>10651</v>
      </c>
      <c r="D6395" s="115">
        <f>-345   -440  -1200   -17</f>
        <v>-2002</v>
      </c>
      <c r="E6395" s="115" t="s">
        <v>10652</v>
      </c>
    </row>
    <row r="6396" spans="1:5" x14ac:dyDescent="0.25">
      <c r="A6396" s="115" t="s">
        <v>1138</v>
      </c>
      <c r="B6396" s="115" t="s">
        <v>10653</v>
      </c>
      <c r="D6396" s="115" t="s">
        <v>10654</v>
      </c>
      <c r="E6396" s="115" t="s">
        <v>10655</v>
      </c>
    </row>
    <row r="6397" spans="1:5" x14ac:dyDescent="0.25">
      <c r="A6397" s="115">
        <v>1</v>
      </c>
      <c r="B6397" s="115" t="s">
        <v>10656</v>
      </c>
      <c r="D6397" s="115" t="s">
        <v>10657</v>
      </c>
      <c r="E6397" s="115" t="s">
        <v>10658</v>
      </c>
    </row>
    <row r="6398" spans="1:5" x14ac:dyDescent="0.25">
      <c r="B6398" s="115" t="s">
        <v>10659</v>
      </c>
      <c r="D6398" s="115" t="s">
        <v>10660</v>
      </c>
      <c r="E6398" s="115" t="s">
        <v>10661</v>
      </c>
    </row>
    <row r="6399" spans="1:5" x14ac:dyDescent="0.25">
      <c r="A6399" s="115">
        <v>2</v>
      </c>
      <c r="B6399" s="115" t="s">
        <v>10662</v>
      </c>
      <c r="D6399" s="115" t="s">
        <v>10663</v>
      </c>
      <c r="E6399" s="115" t="s">
        <v>10664</v>
      </c>
    </row>
    <row r="6400" spans="1:5" x14ac:dyDescent="0.25">
      <c r="B6400" s="115" t="s">
        <v>10665</v>
      </c>
      <c r="D6400" s="115" t="s">
        <v>10666</v>
      </c>
      <c r="E6400" s="115" t="s">
        <v>10667</v>
      </c>
    </row>
    <row r="6401" spans="1:5" x14ac:dyDescent="0.25">
      <c r="A6401" s="115">
        <v>3</v>
      </c>
      <c r="B6401" s="115" t="s">
        <v>10668</v>
      </c>
      <c r="D6401" s="115" t="s">
        <v>10669</v>
      </c>
      <c r="E6401" s="115" t="s">
        <v>10670</v>
      </c>
    </row>
    <row r="6402" spans="1:5" x14ac:dyDescent="0.25">
      <c r="B6402" s="115" t="s">
        <v>10671</v>
      </c>
      <c r="D6402" s="115" t="s">
        <v>1326</v>
      </c>
      <c r="E6402" s="115" t="s">
        <v>10672</v>
      </c>
    </row>
    <row r="6403" spans="1:5" x14ac:dyDescent="0.25">
      <c r="A6403" s="115" t="s">
        <v>1138</v>
      </c>
      <c r="B6403" s="115" t="s">
        <v>10673</v>
      </c>
      <c r="D6403" s="115" t="s">
        <v>1140</v>
      </c>
      <c r="E6403" s="115" t="s">
        <v>1141</v>
      </c>
    </row>
    <row r="6404" spans="1:5" x14ac:dyDescent="0.25">
      <c r="A6404" s="115" t="s">
        <v>1138</v>
      </c>
      <c r="B6404" s="115" t="s">
        <v>10674</v>
      </c>
      <c r="D6404" s="115" t="s">
        <v>10675</v>
      </c>
      <c r="E6404" s="115" t="s">
        <v>10676</v>
      </c>
    </row>
    <row r="6405" spans="1:5" x14ac:dyDescent="0.25">
      <c r="B6405" s="115" t="s">
        <v>1139</v>
      </c>
      <c r="D6405" s="115" t="s">
        <v>10677</v>
      </c>
      <c r="E6405" s="115" t="s">
        <v>10678</v>
      </c>
    </row>
    <row r="6406" spans="1:5" x14ac:dyDescent="0.25">
      <c r="B6406" s="115" t="s">
        <v>1139</v>
      </c>
      <c r="D6406" s="115" t="s">
        <v>3888</v>
      </c>
      <c r="E6406" s="115" t="s">
        <v>1141</v>
      </c>
    </row>
    <row r="6407" spans="1:5" x14ac:dyDescent="0.25">
      <c r="B6407" s="115" t="s">
        <v>10679</v>
      </c>
      <c r="C6407" s="115" t="s">
        <v>1138</v>
      </c>
      <c r="D6407" s="115" t="s">
        <v>10680</v>
      </c>
      <c r="E6407" s="115" t="s">
        <v>10681</v>
      </c>
    </row>
    <row r="6408" spans="1:5" x14ac:dyDescent="0.25">
      <c r="A6408" s="115">
        <v>-1</v>
      </c>
      <c r="B6408" s="115" t="s">
        <v>10682</v>
      </c>
      <c r="D6408" s="115" t="s">
        <v>10683</v>
      </c>
      <c r="E6408" s="115" t="s">
        <v>10684</v>
      </c>
    </row>
    <row r="6409" spans="1:5" x14ac:dyDescent="0.25">
      <c r="A6409" s="115">
        <v>2</v>
      </c>
      <c r="B6409" s="115" t="s">
        <v>10685</v>
      </c>
      <c r="D6409" s="115" t="s">
        <v>10686</v>
      </c>
      <c r="E6409" s="115" t="s">
        <v>10687</v>
      </c>
    </row>
    <row r="6410" spans="1:5" x14ac:dyDescent="0.25">
      <c r="A6410" s="115">
        <v>2</v>
      </c>
      <c r="B6410" s="115" t="s">
        <v>10688</v>
      </c>
      <c r="D6410" s="115" t="s">
        <v>10689</v>
      </c>
      <c r="E6410" s="115" t="s">
        <v>10690</v>
      </c>
    </row>
    <row r="6411" spans="1:5" x14ac:dyDescent="0.25">
      <c r="A6411" s="115" t="s">
        <v>1138</v>
      </c>
      <c r="B6411" s="115" t="s">
        <v>10691</v>
      </c>
      <c r="D6411" s="115" t="s">
        <v>10692</v>
      </c>
      <c r="E6411" s="115" t="s">
        <v>10693</v>
      </c>
    </row>
    <row r="6412" spans="1:5" x14ac:dyDescent="0.25">
      <c r="A6412" s="115" t="s">
        <v>1138</v>
      </c>
      <c r="B6412" s="115" t="s">
        <v>10694</v>
      </c>
      <c r="D6412" s="115" t="s">
        <v>10695</v>
      </c>
      <c r="E6412" s="115" t="s">
        <v>10696</v>
      </c>
    </row>
    <row r="6413" spans="1:5" x14ac:dyDescent="0.25">
      <c r="B6413" s="115" t="s">
        <v>10697</v>
      </c>
      <c r="D6413" s="115" t="s">
        <v>10698</v>
      </c>
      <c r="E6413" s="115" t="s">
        <v>10699</v>
      </c>
    </row>
    <row r="6414" spans="1:5" x14ac:dyDescent="0.25">
      <c r="B6414" s="115" t="s">
        <v>10700</v>
      </c>
      <c r="D6414" s="115" t="s">
        <v>10701</v>
      </c>
      <c r="E6414" s="115" t="s">
        <v>10702</v>
      </c>
    </row>
    <row r="6415" spans="1:5" x14ac:dyDescent="0.25">
      <c r="B6415" s="115" t="s">
        <v>10703</v>
      </c>
      <c r="D6415" s="115" t="s">
        <v>10704</v>
      </c>
      <c r="E6415" s="115" t="s">
        <v>10705</v>
      </c>
    </row>
    <row r="6416" spans="1:5" x14ac:dyDescent="0.25">
      <c r="B6416" s="115" t="s">
        <v>10706</v>
      </c>
      <c r="D6416" s="115" t="s">
        <v>10707</v>
      </c>
      <c r="E6416" s="115" t="s">
        <v>10708</v>
      </c>
    </row>
    <row r="6417" spans="1:5" x14ac:dyDescent="0.25">
      <c r="B6417" s="115" t="s">
        <v>10709</v>
      </c>
      <c r="D6417" s="115" t="s">
        <v>10710</v>
      </c>
      <c r="E6417" s="115" t="s">
        <v>10711</v>
      </c>
    </row>
    <row r="6418" spans="1:5" x14ac:dyDescent="0.25">
      <c r="A6418" s="115" t="s">
        <v>1138</v>
      </c>
      <c r="B6418" s="115" t="s">
        <v>7114</v>
      </c>
      <c r="D6418" s="115" t="s">
        <v>1140</v>
      </c>
      <c r="E6418" s="115" t="s">
        <v>10712</v>
      </c>
    </row>
    <row r="6419" spans="1:5" x14ac:dyDescent="0.25">
      <c r="B6419" s="115" t="s">
        <v>10713</v>
      </c>
      <c r="D6419" s="115" t="s">
        <v>10714</v>
      </c>
      <c r="E6419" s="115" t="s">
        <v>10715</v>
      </c>
    </row>
    <row r="6420" spans="1:5" x14ac:dyDescent="0.25">
      <c r="A6420" s="115">
        <v>-1</v>
      </c>
      <c r="B6420" s="115" t="s">
        <v>10716</v>
      </c>
      <c r="D6420" s="115" t="s">
        <v>10717</v>
      </c>
      <c r="E6420" s="115" t="s">
        <v>10718</v>
      </c>
    </row>
    <row r="6421" spans="1:5" x14ac:dyDescent="0.25">
      <c r="A6421" s="115" t="s">
        <v>1138</v>
      </c>
      <c r="B6421" s="115" t="s">
        <v>1336</v>
      </c>
      <c r="D6421" s="115" t="s">
        <v>10719</v>
      </c>
      <c r="E6421" s="115" t="s">
        <v>10720</v>
      </c>
    </row>
    <row r="6422" spans="1:5" x14ac:dyDescent="0.25">
      <c r="A6422" s="115">
        <v>-2</v>
      </c>
      <c r="B6422" s="115" t="s">
        <v>10721</v>
      </c>
      <c r="D6422" s="115" t="s">
        <v>10722</v>
      </c>
      <c r="E6422" s="115" t="s">
        <v>10723</v>
      </c>
    </row>
    <row r="6423" spans="1:5" x14ac:dyDescent="0.25">
      <c r="B6423" s="115" t="s">
        <v>1139</v>
      </c>
      <c r="D6423" s="115" t="s">
        <v>10724</v>
      </c>
      <c r="E6423" s="115" t="s">
        <v>10725</v>
      </c>
    </row>
    <row r="6424" spans="1:5" x14ac:dyDescent="0.25">
      <c r="B6424" s="115" t="s">
        <v>1139</v>
      </c>
      <c r="D6424" s="115" t="s">
        <v>10726</v>
      </c>
      <c r="E6424" s="115" t="s">
        <v>1702</v>
      </c>
    </row>
    <row r="6425" spans="1:5" x14ac:dyDescent="0.25">
      <c r="B6425" s="115" t="s">
        <v>10727</v>
      </c>
      <c r="C6425" s="115" t="s">
        <v>1138</v>
      </c>
      <c r="D6425" s="115" t="s">
        <v>10728</v>
      </c>
      <c r="E6425" s="115" t="s">
        <v>1141</v>
      </c>
    </row>
    <row r="6426" spans="1:5" x14ac:dyDescent="0.25">
      <c r="B6426" s="115" t="s">
        <v>1139</v>
      </c>
      <c r="D6426" s="115" t="s">
        <v>1140</v>
      </c>
      <c r="E6426" s="115" t="s">
        <v>10729</v>
      </c>
    </row>
    <row r="6427" spans="1:5" x14ac:dyDescent="0.25">
      <c r="B6427" s="115" t="s">
        <v>1139</v>
      </c>
      <c r="D6427" s="115" t="s">
        <v>10730</v>
      </c>
      <c r="E6427" s="115" t="s">
        <v>10731</v>
      </c>
    </row>
    <row r="6428" spans="1:5" x14ac:dyDescent="0.25">
      <c r="A6428" s="115">
        <v>3</v>
      </c>
      <c r="B6428" s="115" t="s">
        <v>10732</v>
      </c>
      <c r="D6428" s="115" t="s">
        <v>10733</v>
      </c>
      <c r="E6428" s="115" t="s">
        <v>10734</v>
      </c>
    </row>
    <row r="6429" spans="1:5" x14ac:dyDescent="0.25">
      <c r="B6429" s="115" t="s">
        <v>10735</v>
      </c>
      <c r="D6429" s="115" t="s">
        <v>10736</v>
      </c>
      <c r="E6429" s="115" t="s">
        <v>10737</v>
      </c>
    </row>
    <row r="6430" spans="1:5" x14ac:dyDescent="0.25">
      <c r="A6430" s="115">
        <v>1</v>
      </c>
      <c r="B6430" s="115" t="s">
        <v>10738</v>
      </c>
      <c r="D6430" s="115" t="s">
        <v>10739</v>
      </c>
      <c r="E6430" s="115" t="s">
        <v>10740</v>
      </c>
    </row>
    <row r="6431" spans="1:5" x14ac:dyDescent="0.25">
      <c r="B6431" s="115" t="s">
        <v>10741</v>
      </c>
      <c r="D6431" s="115">
        <f>-26   -750   -342   -50</f>
        <v>-1168</v>
      </c>
      <c r="E6431" s="115" t="s">
        <v>10742</v>
      </c>
    </row>
    <row r="6432" spans="1:5" x14ac:dyDescent="0.25">
      <c r="A6432" s="115">
        <v>1</v>
      </c>
      <c r="B6432" s="115" t="s">
        <v>10743</v>
      </c>
      <c r="D6432" s="115" t="s">
        <v>10744</v>
      </c>
      <c r="E6432" s="115" t="s">
        <v>10745</v>
      </c>
    </row>
    <row r="6433" spans="1:5" x14ac:dyDescent="0.25">
      <c r="A6433" s="115" t="s">
        <v>1138</v>
      </c>
      <c r="B6433" s="115" t="s">
        <v>10746</v>
      </c>
      <c r="D6433" s="115" t="s">
        <v>10747</v>
      </c>
      <c r="E6433" s="115" t="s">
        <v>10748</v>
      </c>
    </row>
    <row r="6434" spans="1:5" x14ac:dyDescent="0.25">
      <c r="A6434" s="115">
        <v>-3</v>
      </c>
      <c r="B6434" s="115" t="s">
        <v>10749</v>
      </c>
      <c r="D6434" s="115" t="s">
        <v>10750</v>
      </c>
      <c r="E6434" s="115" t="s">
        <v>10751</v>
      </c>
    </row>
    <row r="6435" spans="1:5" x14ac:dyDescent="0.25">
      <c r="A6435" s="115" t="s">
        <v>1138</v>
      </c>
      <c r="B6435" s="115" t="s">
        <v>10752</v>
      </c>
      <c r="D6435" s="115">
        <f>-413  -1154   -837   -68</f>
        <v>-2472</v>
      </c>
      <c r="E6435" s="115" t="s">
        <v>10753</v>
      </c>
    </row>
    <row r="6436" spans="1:5" x14ac:dyDescent="0.25">
      <c r="A6436" s="115">
        <v>1</v>
      </c>
      <c r="B6436" s="115" t="s">
        <v>10754</v>
      </c>
      <c r="D6436" s="115" t="s">
        <v>10755</v>
      </c>
      <c r="E6436" s="115" t="s">
        <v>10756</v>
      </c>
    </row>
    <row r="6437" spans="1:5" x14ac:dyDescent="0.25">
      <c r="B6437" s="115" t="s">
        <v>1139</v>
      </c>
      <c r="D6437" s="115" t="s">
        <v>10757</v>
      </c>
      <c r="E6437" s="115" t="s">
        <v>10758</v>
      </c>
    </row>
    <row r="6438" spans="1:5" x14ac:dyDescent="0.25">
      <c r="B6438" s="115" t="s">
        <v>1139</v>
      </c>
      <c r="D6438" s="115" t="s">
        <v>1140</v>
      </c>
      <c r="E6438" s="115" t="s">
        <v>10759</v>
      </c>
    </row>
    <row r="6439" spans="1:5" x14ac:dyDescent="0.25">
      <c r="B6439" s="115" t="s">
        <v>1139</v>
      </c>
      <c r="D6439" s="115" t="s">
        <v>10760</v>
      </c>
      <c r="E6439" s="115" t="s">
        <v>10761</v>
      </c>
    </row>
    <row r="6440" spans="1:5" x14ac:dyDescent="0.25">
      <c r="B6440" s="115" t="s">
        <v>6224</v>
      </c>
      <c r="D6440" s="115" t="s">
        <v>4124</v>
      </c>
      <c r="E6440" s="115" t="s">
        <v>1859</v>
      </c>
    </row>
    <row r="6441" spans="1:5" x14ac:dyDescent="0.25">
      <c r="B6441" s="115" t="s">
        <v>10762</v>
      </c>
      <c r="D6441" s="115" t="s">
        <v>1140</v>
      </c>
      <c r="E6441" s="115" t="s">
        <v>10763</v>
      </c>
    </row>
    <row r="6442" spans="1:5" x14ac:dyDescent="0.25">
      <c r="A6442" s="115">
        <v>7</v>
      </c>
      <c r="B6442" s="115" t="s">
        <v>10764</v>
      </c>
      <c r="D6442" s="115" t="s">
        <v>10765</v>
      </c>
      <c r="E6442" s="115" t="s">
        <v>10766</v>
      </c>
    </row>
    <row r="6443" spans="1:5" x14ac:dyDescent="0.25">
      <c r="B6443" s="115" t="s">
        <v>1139</v>
      </c>
      <c r="D6443" s="115" t="s">
        <v>10767</v>
      </c>
      <c r="E6443" s="115" t="s">
        <v>10768</v>
      </c>
    </row>
    <row r="6444" spans="1:5" x14ac:dyDescent="0.25">
      <c r="A6444" s="115">
        <v>-1</v>
      </c>
      <c r="B6444" s="115" t="s">
        <v>10769</v>
      </c>
      <c r="D6444" s="115" t="s">
        <v>1140</v>
      </c>
      <c r="E6444" s="115" t="s">
        <v>10770</v>
      </c>
    </row>
    <row r="6445" spans="1:5" x14ac:dyDescent="0.25">
      <c r="A6445" s="115">
        <v>6</v>
      </c>
      <c r="B6445" s="115" t="s">
        <v>10771</v>
      </c>
      <c r="D6445" s="115" t="s">
        <v>10772</v>
      </c>
      <c r="E6445" s="115" t="s">
        <v>10773</v>
      </c>
    </row>
    <row r="6446" spans="1:5" x14ac:dyDescent="0.25">
      <c r="A6446" s="115" t="s">
        <v>1138</v>
      </c>
      <c r="B6446" s="115" t="s">
        <v>10774</v>
      </c>
      <c r="D6446" s="115" t="s">
        <v>10775</v>
      </c>
      <c r="E6446" s="115" t="s">
        <v>10776</v>
      </c>
    </row>
    <row r="6447" spans="1:5" x14ac:dyDescent="0.25">
      <c r="A6447" s="115" t="s">
        <v>1138</v>
      </c>
      <c r="B6447" s="115" t="s">
        <v>10777</v>
      </c>
      <c r="D6447" s="115" t="s">
        <v>1140</v>
      </c>
      <c r="E6447" s="115" t="s">
        <v>10778</v>
      </c>
    </row>
    <row r="6448" spans="1:5" x14ac:dyDescent="0.25">
      <c r="A6448" s="115">
        <v>6</v>
      </c>
      <c r="B6448" s="115" t="s">
        <v>10779</v>
      </c>
      <c r="D6448" s="115">
        <f>-242   -593   -603    -5</f>
        <v>-1443</v>
      </c>
      <c r="E6448" s="115" t="s">
        <v>10780</v>
      </c>
    </row>
    <row r="6449" spans="1:5" x14ac:dyDescent="0.25">
      <c r="B6449" s="115" t="s">
        <v>10781</v>
      </c>
      <c r="D6449" s="115" t="s">
        <v>10782</v>
      </c>
      <c r="E6449" s="115" t="s">
        <v>10783</v>
      </c>
    </row>
    <row r="6450" spans="1:5" x14ac:dyDescent="0.25">
      <c r="A6450" s="115">
        <v>-1</v>
      </c>
      <c r="B6450" s="115" t="s">
        <v>10784</v>
      </c>
      <c r="D6450" s="115" t="s">
        <v>1140</v>
      </c>
      <c r="E6450" s="115" t="s">
        <v>10785</v>
      </c>
    </row>
    <row r="6451" spans="1:5" x14ac:dyDescent="0.25">
      <c r="A6451" s="115">
        <v>5</v>
      </c>
      <c r="B6451" s="115" t="s">
        <v>10786</v>
      </c>
      <c r="D6451" s="115" t="s">
        <v>10787</v>
      </c>
      <c r="E6451" s="115" t="s">
        <v>10788</v>
      </c>
    </row>
    <row r="6452" spans="1:5" x14ac:dyDescent="0.25">
      <c r="B6452" s="115" t="s">
        <v>10789</v>
      </c>
      <c r="D6452" s="115" t="s">
        <v>1346</v>
      </c>
      <c r="E6452" s="115" t="s">
        <v>10790</v>
      </c>
    </row>
    <row r="6453" spans="1:5" x14ac:dyDescent="0.25">
      <c r="B6453" s="115" t="s">
        <v>1139</v>
      </c>
      <c r="D6453" s="115" t="s">
        <v>1140</v>
      </c>
      <c r="E6453" s="115" t="s">
        <v>10791</v>
      </c>
    </row>
    <row r="6454" spans="1:5" x14ac:dyDescent="0.25">
      <c r="A6454" s="115">
        <v>10</v>
      </c>
      <c r="B6454" s="115" t="s">
        <v>10792</v>
      </c>
      <c r="D6454" s="115" t="s">
        <v>1140</v>
      </c>
      <c r="E6454" s="115" t="s">
        <v>10793</v>
      </c>
    </row>
    <row r="6455" spans="1:5" x14ac:dyDescent="0.25">
      <c r="A6455" s="115" t="s">
        <v>1138</v>
      </c>
      <c r="B6455" s="115" t="s">
        <v>10794</v>
      </c>
      <c r="D6455" s="115" t="s">
        <v>10795</v>
      </c>
      <c r="E6455" s="115" t="s">
        <v>10796</v>
      </c>
    </row>
    <row r="6456" spans="1:5" x14ac:dyDescent="0.25">
      <c r="B6456" s="115" t="s">
        <v>1523</v>
      </c>
      <c r="D6456" s="115" t="s">
        <v>1140</v>
      </c>
      <c r="E6456" s="115" t="s">
        <v>10797</v>
      </c>
    </row>
    <row r="6457" spans="1:5" x14ac:dyDescent="0.25">
      <c r="A6457" s="115" t="s">
        <v>1138</v>
      </c>
      <c r="B6457" s="115" t="s">
        <v>10798</v>
      </c>
      <c r="D6457" s="115" t="s">
        <v>10799</v>
      </c>
      <c r="E6457" s="115" t="s">
        <v>1141</v>
      </c>
    </row>
    <row r="6458" spans="1:5" x14ac:dyDescent="0.25">
      <c r="B6458" s="115" t="s">
        <v>1139</v>
      </c>
      <c r="D6458" s="115" t="s">
        <v>10800</v>
      </c>
      <c r="E6458" s="115" t="s">
        <v>10801</v>
      </c>
    </row>
    <row r="6459" spans="1:5" x14ac:dyDescent="0.25">
      <c r="A6459" s="115" t="s">
        <v>1138</v>
      </c>
      <c r="B6459" s="115" t="s">
        <v>1300</v>
      </c>
      <c r="D6459" s="115" t="s">
        <v>10802</v>
      </c>
      <c r="E6459" s="115" t="s">
        <v>10803</v>
      </c>
    </row>
    <row r="6460" spans="1:5" x14ac:dyDescent="0.25">
      <c r="A6460" s="115">
        <v>-2</v>
      </c>
      <c r="B6460" s="115" t="s">
        <v>10804</v>
      </c>
      <c r="D6460" s="115" t="s">
        <v>1140</v>
      </c>
      <c r="E6460" s="115" t="s">
        <v>1141</v>
      </c>
    </row>
    <row r="6461" spans="1:5" x14ac:dyDescent="0.25">
      <c r="B6461" s="115" t="s">
        <v>1139</v>
      </c>
      <c r="D6461" s="115" t="s">
        <v>1140</v>
      </c>
      <c r="E6461" s="115" t="s">
        <v>10805</v>
      </c>
    </row>
    <row r="6462" spans="1:5" x14ac:dyDescent="0.25">
      <c r="B6462" s="115" t="s">
        <v>10806</v>
      </c>
      <c r="D6462" s="115" t="s">
        <v>10807</v>
      </c>
      <c r="E6462" s="115" t="s">
        <v>10808</v>
      </c>
    </row>
    <row r="6463" spans="1:5" x14ac:dyDescent="0.25">
      <c r="B6463" s="115" t="s">
        <v>1139</v>
      </c>
      <c r="D6463" s="115" t="s">
        <v>10809</v>
      </c>
      <c r="E6463" s="115" t="s">
        <v>10810</v>
      </c>
    </row>
    <row r="6464" spans="1:5" x14ac:dyDescent="0.25">
      <c r="B6464" s="115" t="s">
        <v>10811</v>
      </c>
      <c r="D6464" s="115" t="s">
        <v>10812</v>
      </c>
      <c r="E6464" s="115" t="s">
        <v>10813</v>
      </c>
    </row>
    <row r="6465" spans="1:5" x14ac:dyDescent="0.25">
      <c r="B6465" s="115" t="s">
        <v>10814</v>
      </c>
      <c r="D6465" s="115" t="s">
        <v>10815</v>
      </c>
      <c r="E6465" s="115" t="s">
        <v>10816</v>
      </c>
    </row>
    <row r="6466" spans="1:5" x14ac:dyDescent="0.25">
      <c r="A6466" s="115">
        <v>1</v>
      </c>
      <c r="B6466" s="115" t="s">
        <v>10817</v>
      </c>
      <c r="D6466" s="115" t="s">
        <v>10818</v>
      </c>
      <c r="E6466" s="115" t="s">
        <v>10819</v>
      </c>
    </row>
    <row r="6467" spans="1:5" x14ac:dyDescent="0.25">
      <c r="A6467" s="115">
        <v>-1</v>
      </c>
      <c r="B6467" s="115" t="s">
        <v>10820</v>
      </c>
      <c r="C6467" s="115" t="s">
        <v>1138</v>
      </c>
      <c r="D6467" s="115" t="s">
        <v>10821</v>
      </c>
      <c r="E6467" s="115" t="s">
        <v>10822</v>
      </c>
    </row>
    <row r="6468" spans="1:5" x14ac:dyDescent="0.25">
      <c r="A6468" s="115">
        <v>-26</v>
      </c>
      <c r="B6468" s="115" t="s">
        <v>10823</v>
      </c>
      <c r="C6468" s="115">
        <v>-2</v>
      </c>
      <c r="D6468" s="115" t="s">
        <v>10824</v>
      </c>
      <c r="E6468" s="115" t="s">
        <v>10825</v>
      </c>
    </row>
    <row r="6469" spans="1:5" x14ac:dyDescent="0.25">
      <c r="A6469" s="115">
        <v>-2</v>
      </c>
      <c r="B6469" s="115" t="s">
        <v>10826</v>
      </c>
      <c r="C6469" s="115" t="s">
        <v>1138</v>
      </c>
      <c r="D6469" s="115" t="s">
        <v>10827</v>
      </c>
      <c r="E6469" s="115" t="s">
        <v>10828</v>
      </c>
    </row>
    <row r="6470" spans="1:5" x14ac:dyDescent="0.25">
      <c r="A6470" s="115">
        <v>-21</v>
      </c>
      <c r="B6470" s="115" t="s">
        <v>10829</v>
      </c>
      <c r="C6470" s="115">
        <v>-2</v>
      </c>
      <c r="D6470" s="115" t="s">
        <v>10830</v>
      </c>
      <c r="E6470" s="115" t="s">
        <v>10831</v>
      </c>
    </row>
    <row r="6471" spans="1:5" x14ac:dyDescent="0.25">
      <c r="A6471" s="115">
        <v>-11</v>
      </c>
      <c r="B6471" s="115" t="s">
        <v>10832</v>
      </c>
      <c r="D6471" s="115" t="s">
        <v>10833</v>
      </c>
    </row>
    <row r="6691" spans="2:2" x14ac:dyDescent="0.25">
      <c r="B6691" s="126"/>
    </row>
    <row r="6811" spans="2:2" x14ac:dyDescent="0.25">
      <c r="B6811" s="126"/>
    </row>
    <row r="7294" spans="2:2" x14ac:dyDescent="0.25">
      <c r="B7294" s="127"/>
    </row>
  </sheetData>
  <pageMargins left="0.7" right="0.7" top="0.75" bottom="0.75" header="0.3" footer="0.3"/>
  <pageSetup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FFFF00"/>
  </sheetPr>
  <dimension ref="A1:M40"/>
  <sheetViews>
    <sheetView workbookViewId="0">
      <selection activeCell="J14" sqref="J14"/>
    </sheetView>
  </sheetViews>
  <sheetFormatPr defaultRowHeight="12.75" x14ac:dyDescent="0.2"/>
  <sheetData>
    <row r="1" spans="1:13" ht="15" x14ac:dyDescent="0.25">
      <c r="A1" s="198" t="s">
        <v>1022</v>
      </c>
      <c r="B1" s="199"/>
      <c r="C1" s="199"/>
      <c r="D1" s="199"/>
      <c r="E1" s="199"/>
      <c r="F1" s="199"/>
      <c r="G1" s="199"/>
      <c r="H1" s="199" t="s">
        <v>1023</v>
      </c>
      <c r="I1" s="199"/>
      <c r="J1" s="199"/>
      <c r="K1" s="207"/>
    </row>
    <row r="2" spans="1:13" ht="15" x14ac:dyDescent="0.25">
      <c r="A2" s="201">
        <v>1</v>
      </c>
      <c r="B2" s="202" t="s">
        <v>10835</v>
      </c>
      <c r="C2" s="202"/>
      <c r="D2" s="202"/>
      <c r="E2" s="202"/>
      <c r="F2" s="202"/>
      <c r="G2" s="202"/>
      <c r="H2" s="202"/>
      <c r="I2" s="202"/>
      <c r="J2" s="202"/>
      <c r="K2" s="208"/>
    </row>
    <row r="3" spans="1:13" ht="15" x14ac:dyDescent="0.25">
      <c r="A3" s="201">
        <v>2</v>
      </c>
      <c r="B3" s="202" t="s">
        <v>1024</v>
      </c>
      <c r="C3" s="202"/>
      <c r="D3" s="202"/>
      <c r="E3" s="202"/>
      <c r="F3" s="202"/>
      <c r="G3" s="202"/>
      <c r="H3" s="202"/>
      <c r="I3" s="202"/>
      <c r="J3" s="202"/>
      <c r="K3" s="208"/>
    </row>
    <row r="4" spans="1:13" ht="15" x14ac:dyDescent="0.25">
      <c r="A4" s="201">
        <v>3</v>
      </c>
      <c r="B4" s="202" t="s">
        <v>1025</v>
      </c>
      <c r="C4" s="202"/>
      <c r="D4" s="202"/>
      <c r="E4" s="202"/>
      <c r="F4" s="202"/>
      <c r="G4" s="202"/>
      <c r="H4" s="202"/>
      <c r="I4" s="202"/>
      <c r="J4" s="202"/>
      <c r="K4" s="208"/>
    </row>
    <row r="5" spans="1:13" ht="15" x14ac:dyDescent="0.25">
      <c r="A5" s="201">
        <v>4</v>
      </c>
      <c r="B5" s="202" t="s">
        <v>1688</v>
      </c>
      <c r="C5" s="202"/>
      <c r="D5" s="202"/>
      <c r="E5" s="202"/>
      <c r="F5" s="202"/>
      <c r="G5" s="202"/>
      <c r="H5" s="202"/>
      <c r="I5" s="202"/>
      <c r="J5" s="202"/>
      <c r="K5" s="208"/>
    </row>
    <row r="6" spans="1:13" ht="15" x14ac:dyDescent="0.25">
      <c r="A6" s="209"/>
      <c r="B6" s="204"/>
      <c r="C6" s="204"/>
      <c r="D6" s="204"/>
      <c r="E6" s="204"/>
      <c r="F6" s="204"/>
      <c r="G6" s="204"/>
      <c r="H6" s="204"/>
      <c r="I6" s="204"/>
      <c r="J6" s="204"/>
      <c r="K6" s="205"/>
      <c r="L6" s="115"/>
      <c r="M6" s="115"/>
    </row>
    <row r="7" spans="1:13" ht="15" x14ac:dyDescent="0.25">
      <c r="A7" s="115"/>
      <c r="B7" s="115"/>
      <c r="C7" s="115"/>
      <c r="D7" s="115"/>
      <c r="E7" s="115"/>
      <c r="F7" s="115"/>
      <c r="G7" s="115"/>
      <c r="H7" s="115"/>
      <c r="I7" s="115"/>
      <c r="J7" s="115"/>
      <c r="K7" s="115"/>
      <c r="L7" s="115"/>
      <c r="M7" s="115"/>
    </row>
    <row r="8" spans="1:13" ht="15" x14ac:dyDescent="0.25">
      <c r="A8" s="115" t="s">
        <v>210</v>
      </c>
      <c r="B8" s="115" t="s">
        <v>1120</v>
      </c>
      <c r="C8" s="115" t="s">
        <v>1121</v>
      </c>
      <c r="D8" s="115" t="s">
        <v>1122</v>
      </c>
      <c r="E8" s="115" t="s">
        <v>1123</v>
      </c>
      <c r="F8" s="115" t="s">
        <v>44</v>
      </c>
      <c r="G8" s="115" t="s">
        <v>1124</v>
      </c>
      <c r="H8" s="115"/>
      <c r="I8" s="115"/>
      <c r="J8" s="115"/>
      <c r="K8" s="115"/>
      <c r="L8" s="115"/>
      <c r="M8" s="115"/>
    </row>
    <row r="9" spans="1:13" ht="15" x14ac:dyDescent="0.25">
      <c r="A9" s="115" t="s">
        <v>1125</v>
      </c>
      <c r="B9" s="115" t="s">
        <v>1126</v>
      </c>
      <c r="C9" s="115" t="s">
        <v>1127</v>
      </c>
      <c r="D9" s="115" t="s">
        <v>1128</v>
      </c>
      <c r="E9" s="115">
        <v>4</v>
      </c>
      <c r="F9" s="116">
        <v>0.52747685185185189</v>
      </c>
      <c r="G9" s="115" t="s">
        <v>1129</v>
      </c>
      <c r="H9" s="115">
        <v>6</v>
      </c>
      <c r="I9" s="115" t="s">
        <v>1130</v>
      </c>
      <c r="J9" s="115">
        <v>12</v>
      </c>
      <c r="K9" s="115"/>
      <c r="L9" s="115"/>
      <c r="M9" s="115"/>
    </row>
    <row r="10" spans="1:13" ht="15" x14ac:dyDescent="0.25">
      <c r="A10" s="115" t="s">
        <v>316</v>
      </c>
      <c r="B10" s="115"/>
      <c r="C10" s="115"/>
      <c r="D10" s="115"/>
      <c r="E10" s="115"/>
      <c r="F10" s="115"/>
      <c r="G10" s="115"/>
      <c r="H10" s="115"/>
      <c r="I10" s="115"/>
      <c r="J10" s="115"/>
      <c r="K10" s="115"/>
      <c r="L10" s="115"/>
      <c r="M10" s="115"/>
    </row>
    <row r="11" spans="1:13" ht="15" x14ac:dyDescent="0.25">
      <c r="A11" s="115"/>
      <c r="B11" s="115">
        <v>1</v>
      </c>
      <c r="C11" s="115" t="s">
        <v>1105</v>
      </c>
      <c r="D11" s="115" t="s">
        <v>322</v>
      </c>
      <c r="E11" s="115">
        <v>1.2260140529550001</v>
      </c>
      <c r="F11" s="115">
        <v>0.230710861441</v>
      </c>
      <c r="G11" s="115"/>
      <c r="H11" s="115"/>
      <c r="I11" s="115"/>
      <c r="J11" s="115"/>
      <c r="K11" s="115"/>
      <c r="L11" s="115"/>
      <c r="M11" s="115"/>
    </row>
    <row r="12" spans="1:13" ht="15" x14ac:dyDescent="0.25">
      <c r="A12" s="115"/>
      <c r="B12" s="115">
        <v>3</v>
      </c>
      <c r="C12" s="115" t="s">
        <v>1106</v>
      </c>
      <c r="D12" s="115" t="s">
        <v>322</v>
      </c>
      <c r="E12" s="115">
        <v>0.58949163187999998</v>
      </c>
      <c r="F12" s="115">
        <v>0.61960484291200002</v>
      </c>
      <c r="G12" s="115"/>
      <c r="H12" s="115"/>
      <c r="I12" s="115"/>
      <c r="J12" s="115"/>
      <c r="K12" s="115"/>
      <c r="L12" s="115"/>
      <c r="M12" s="115"/>
    </row>
    <row r="13" spans="1:13" ht="15" x14ac:dyDescent="0.25">
      <c r="A13" s="115"/>
      <c r="B13" s="115">
        <v>4</v>
      </c>
      <c r="C13" s="115" t="s">
        <v>1107</v>
      </c>
      <c r="D13" s="115" t="s">
        <v>322</v>
      </c>
      <c r="E13" s="115">
        <v>0.13633704997000001</v>
      </c>
      <c r="F13" s="115">
        <v>0.499140793754</v>
      </c>
      <c r="G13" s="115"/>
      <c r="H13" s="115"/>
      <c r="I13" s="115"/>
      <c r="J13" s="115"/>
      <c r="K13" s="115"/>
      <c r="L13" s="115"/>
      <c r="M13" s="115"/>
    </row>
    <row r="14" spans="1:13" ht="15" x14ac:dyDescent="0.25">
      <c r="A14" s="115"/>
      <c r="B14" s="115">
        <v>6</v>
      </c>
      <c r="C14" s="115" t="s">
        <v>1108</v>
      </c>
      <c r="D14" s="115" t="s">
        <v>322</v>
      </c>
      <c r="E14" s="115">
        <v>0.30036927294999999</v>
      </c>
      <c r="F14" s="115">
        <v>0.23526160279200001</v>
      </c>
      <c r="G14" s="115"/>
      <c r="H14" s="115"/>
      <c r="I14" s="115"/>
      <c r="J14" s="115"/>
      <c r="K14" s="115"/>
      <c r="L14" s="115"/>
      <c r="M14" s="115"/>
    </row>
    <row r="15" spans="1:13" ht="15" x14ac:dyDescent="0.25">
      <c r="A15" s="115"/>
      <c r="B15" s="115">
        <v>8</v>
      </c>
      <c r="C15" s="115" t="s">
        <v>1109</v>
      </c>
      <c r="D15" s="115" t="s">
        <v>322</v>
      </c>
      <c r="E15" s="115">
        <v>0.39617773946000001</v>
      </c>
      <c r="F15" s="115">
        <v>0.24371580515399999</v>
      </c>
      <c r="G15" s="115"/>
      <c r="H15" s="115"/>
      <c r="I15" s="115"/>
      <c r="J15" s="115"/>
      <c r="K15" s="115"/>
      <c r="L15" s="115"/>
      <c r="M15" s="115"/>
    </row>
    <row r="16" spans="1:13" ht="15" x14ac:dyDescent="0.25">
      <c r="A16" s="115"/>
      <c r="B16" s="115">
        <v>10</v>
      </c>
      <c r="C16" s="115" t="s">
        <v>1110</v>
      </c>
      <c r="D16" s="115" t="s">
        <v>322</v>
      </c>
      <c r="E16" s="115">
        <v>0.57146970345199999</v>
      </c>
      <c r="F16" s="115">
        <v>0.22181389830000001</v>
      </c>
      <c r="G16" s="115"/>
      <c r="H16" s="115"/>
      <c r="I16" s="115"/>
      <c r="J16" s="115"/>
      <c r="K16" s="115"/>
      <c r="L16" s="115"/>
      <c r="M16" s="115"/>
    </row>
    <row r="17" spans="1:13" ht="15" x14ac:dyDescent="0.25">
      <c r="A17" s="115"/>
      <c r="B17" s="115">
        <v>13</v>
      </c>
      <c r="C17" s="115" t="s">
        <v>1111</v>
      </c>
      <c r="D17" s="115" t="s">
        <v>322</v>
      </c>
      <c r="E17" s="115">
        <v>0.12974858328</v>
      </c>
      <c r="F17" s="115">
        <v>0.26412407779500002</v>
      </c>
      <c r="G17" s="115"/>
      <c r="H17" s="115"/>
      <c r="I17" s="115"/>
      <c r="J17" s="115"/>
      <c r="K17" s="115"/>
      <c r="L17" s="115"/>
      <c r="M17" s="115"/>
    </row>
    <row r="18" spans="1:13" ht="15" x14ac:dyDescent="0.25">
      <c r="A18" s="115"/>
      <c r="B18" s="115">
        <v>15</v>
      </c>
      <c r="C18" s="115" t="s">
        <v>1112</v>
      </c>
      <c r="D18" s="115" t="s">
        <v>322</v>
      </c>
      <c r="E18" s="115">
        <v>5.5746620251300003</v>
      </c>
      <c r="F18" s="115">
        <v>0.139256633046</v>
      </c>
      <c r="G18" s="115"/>
      <c r="H18" s="115"/>
      <c r="I18" s="115"/>
      <c r="J18" s="115"/>
      <c r="K18" s="115"/>
      <c r="L18" s="115"/>
      <c r="M18" s="115"/>
    </row>
    <row r="19" spans="1:13" ht="15" x14ac:dyDescent="0.25">
      <c r="A19" s="115"/>
      <c r="B19" s="115">
        <v>16</v>
      </c>
      <c r="C19" s="115" t="s">
        <v>1113</v>
      </c>
      <c r="D19" s="115" t="s">
        <v>322</v>
      </c>
      <c r="E19" s="115">
        <v>1.3770632615239999</v>
      </c>
      <c r="F19" s="115">
        <v>0.11102883699</v>
      </c>
      <c r="G19" s="115"/>
      <c r="H19" s="115"/>
      <c r="I19" s="115"/>
      <c r="J19" s="115"/>
      <c r="K19" s="115"/>
      <c r="L19" s="115"/>
      <c r="M19" s="115"/>
    </row>
    <row r="20" spans="1:13" ht="15" x14ac:dyDescent="0.25">
      <c r="A20" s="115"/>
      <c r="B20" s="115">
        <v>18</v>
      </c>
      <c r="C20" s="115" t="s">
        <v>1114</v>
      </c>
      <c r="D20" s="115" t="s">
        <v>322</v>
      </c>
      <c r="E20" s="115">
        <v>1.7355257346820001</v>
      </c>
      <c r="F20" s="115">
        <v>0.163490879176</v>
      </c>
      <c r="G20" s="115"/>
      <c r="H20" s="115"/>
      <c r="I20" s="115"/>
      <c r="J20" s="115"/>
      <c r="K20" s="115"/>
      <c r="L20" s="115"/>
      <c r="M20" s="115"/>
    </row>
    <row r="21" spans="1:13" ht="15" x14ac:dyDescent="0.25">
      <c r="A21" s="115"/>
      <c r="B21" s="115">
        <v>22</v>
      </c>
      <c r="C21" s="115" t="s">
        <v>1115</v>
      </c>
      <c r="D21" s="115" t="s">
        <v>322</v>
      </c>
      <c r="E21" s="117">
        <v>2.89006440718E-2</v>
      </c>
      <c r="F21" s="115">
        <v>0.44987173359900001</v>
      </c>
      <c r="G21" s="115"/>
      <c r="H21" s="115"/>
      <c r="I21" s="115"/>
      <c r="J21" s="115"/>
      <c r="K21" s="115"/>
      <c r="L21" s="115"/>
      <c r="M21" s="115"/>
    </row>
    <row r="22" spans="1:13" ht="15" x14ac:dyDescent="0.25">
      <c r="A22" s="115"/>
      <c r="B22" s="115">
        <v>23</v>
      </c>
      <c r="C22" s="115" t="s">
        <v>1116</v>
      </c>
      <c r="D22" s="115" t="s">
        <v>322</v>
      </c>
      <c r="E22" s="117">
        <v>2.8305073313000001E-2</v>
      </c>
      <c r="F22" s="115">
        <v>0.11676786812000001</v>
      </c>
      <c r="G22" s="115"/>
      <c r="H22" s="115"/>
      <c r="I22" s="115"/>
      <c r="J22" s="115"/>
      <c r="K22" s="115"/>
      <c r="L22" s="115"/>
      <c r="M22" s="115"/>
    </row>
    <row r="23" spans="1:13" ht="15" x14ac:dyDescent="0.25">
      <c r="A23" s="115"/>
      <c r="B23" s="115">
        <v>32</v>
      </c>
      <c r="C23" s="115" t="s">
        <v>1117</v>
      </c>
      <c r="D23" s="115" t="s">
        <v>322</v>
      </c>
      <c r="E23" s="117">
        <v>-5.5020049285600003E-2</v>
      </c>
      <c r="F23" s="117">
        <v>2.6467336868399999E-2</v>
      </c>
      <c r="G23" s="115"/>
      <c r="H23" s="115"/>
      <c r="I23" s="115"/>
      <c r="J23" s="115"/>
      <c r="K23" s="115"/>
      <c r="L23" s="115"/>
      <c r="M23" s="115"/>
    </row>
    <row r="24" spans="1:13" ht="15" x14ac:dyDescent="0.25">
      <c r="A24" s="115"/>
      <c r="B24" s="115">
        <v>39</v>
      </c>
      <c r="C24" s="115" t="s">
        <v>1118</v>
      </c>
      <c r="D24" s="115" t="s">
        <v>322</v>
      </c>
      <c r="E24" s="115">
        <v>0.11888357382299999</v>
      </c>
      <c r="F24" s="117">
        <v>9.01918825112E-2</v>
      </c>
      <c r="G24" s="115"/>
      <c r="H24" s="115"/>
      <c r="I24" s="115"/>
      <c r="J24" s="115"/>
      <c r="K24" s="115"/>
      <c r="L24" s="115"/>
      <c r="M24" s="115"/>
    </row>
    <row r="25" spans="1:13" ht="15" x14ac:dyDescent="0.25">
      <c r="A25" s="115"/>
      <c r="B25" s="115">
        <v>50</v>
      </c>
      <c r="C25" s="115" t="s">
        <v>1119</v>
      </c>
      <c r="D25" s="115" t="s">
        <v>322</v>
      </c>
      <c r="E25" s="115">
        <v>1.3366248075</v>
      </c>
      <c r="F25" s="117">
        <v>9.8951200970600006E-2</v>
      </c>
      <c r="G25" s="115"/>
      <c r="H25" s="115"/>
      <c r="I25" s="115"/>
      <c r="J25" s="115"/>
      <c r="K25" s="115"/>
      <c r="L25" s="115"/>
      <c r="M25" s="115"/>
    </row>
    <row r="26" spans="1:13" ht="15" x14ac:dyDescent="0.25">
      <c r="A26" s="115">
        <v>-1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</row>
    <row r="27" spans="1:13" ht="15" x14ac:dyDescent="0.25">
      <c r="A27" s="115"/>
      <c r="B27" s="115">
        <v>2386</v>
      </c>
      <c r="C27" s="117">
        <v>-1566.3239440899999</v>
      </c>
      <c r="D27" s="117">
        <v>-2296.6794281500001</v>
      </c>
      <c r="E27" s="117">
        <v>-1376.0831929399999</v>
      </c>
      <c r="F27" s="115"/>
      <c r="G27" s="115"/>
      <c r="H27" s="115"/>
      <c r="I27" s="115"/>
      <c r="J27" s="115"/>
      <c r="K27" s="115"/>
      <c r="L27" s="115"/>
      <c r="M27" s="115"/>
    </row>
    <row r="28" spans="1:13" ht="15" x14ac:dyDescent="0.25">
      <c r="A28" s="115"/>
      <c r="B28" s="115">
        <v>16</v>
      </c>
      <c r="C28" s="115" t="s">
        <v>1131</v>
      </c>
      <c r="D28" s="115" t="s">
        <v>1129</v>
      </c>
      <c r="E28" s="115">
        <v>6</v>
      </c>
      <c r="F28" s="115" t="s">
        <v>1130</v>
      </c>
      <c r="G28" s="115">
        <v>12</v>
      </c>
      <c r="H28" s="115"/>
      <c r="I28" s="115"/>
      <c r="J28" s="115"/>
      <c r="K28" s="115"/>
      <c r="L28" s="115"/>
      <c r="M28" s="115"/>
    </row>
    <row r="29" spans="1:13" ht="15" x14ac:dyDescent="0.25">
      <c r="A29" s="115"/>
      <c r="B29" s="115">
        <v>30077</v>
      </c>
      <c r="C29" s="115">
        <v>40018</v>
      </c>
      <c r="D29" s="115">
        <v>18598</v>
      </c>
      <c r="E29" s="115">
        <v>80903</v>
      </c>
      <c r="F29" s="115">
        <v>34889</v>
      </c>
      <c r="G29" s="115">
        <v>44178</v>
      </c>
      <c r="H29" s="115">
        <v>77336</v>
      </c>
      <c r="I29" s="115">
        <v>34568</v>
      </c>
      <c r="J29" s="115">
        <v>43319</v>
      </c>
      <c r="K29" s="115">
        <v>83650</v>
      </c>
      <c r="L29" s="115"/>
      <c r="M29" s="115"/>
    </row>
    <row r="30" spans="1:13" ht="15" x14ac:dyDescent="0.25">
      <c r="A30" s="115"/>
      <c r="B30" s="115">
        <v>87036</v>
      </c>
      <c r="C30" s="115">
        <v>32697</v>
      </c>
      <c r="D30" s="115">
        <v>43142</v>
      </c>
      <c r="E30" s="115">
        <v>86266</v>
      </c>
      <c r="F30" s="115">
        <v>82841</v>
      </c>
      <c r="G30" s="115">
        <v>72192</v>
      </c>
      <c r="H30" s="115">
        <v>29915</v>
      </c>
      <c r="I30" s="115">
        <v>38390</v>
      </c>
      <c r="J30" s="115">
        <v>75373</v>
      </c>
      <c r="K30" s="115">
        <v>73156</v>
      </c>
      <c r="L30" s="115"/>
      <c r="M30" s="115"/>
    </row>
    <row r="31" spans="1:13" ht="15" x14ac:dyDescent="0.25">
      <c r="A31" s="115"/>
      <c r="B31" s="115">
        <v>76681</v>
      </c>
      <c r="C31" s="115">
        <v>7848</v>
      </c>
      <c r="D31" s="115">
        <v>-13554</v>
      </c>
      <c r="E31" s="115">
        <v>-12048</v>
      </c>
      <c r="F31" s="115">
        <v>-14751</v>
      </c>
      <c r="G31" s="115">
        <v>-18366</v>
      </c>
      <c r="H31" s="115">
        <v>4088</v>
      </c>
      <c r="I31" s="115">
        <v>-10198</v>
      </c>
      <c r="J31" s="115">
        <v>11363</v>
      </c>
      <c r="K31" s="115">
        <v>-451</v>
      </c>
      <c r="L31" s="115"/>
      <c r="M31" s="115"/>
    </row>
    <row r="32" spans="1:13" ht="15" x14ac:dyDescent="0.25">
      <c r="A32" s="115"/>
      <c r="B32" s="115">
        <v>2254</v>
      </c>
      <c r="C32" s="115">
        <v>8706</v>
      </c>
      <c r="D32" s="115">
        <v>8603</v>
      </c>
      <c r="E32" s="115">
        <v>13818</v>
      </c>
      <c r="F32" s="115">
        <v>7394</v>
      </c>
      <c r="G32" s="115">
        <v>16874</v>
      </c>
      <c r="H32" s="115">
        <v>8245</v>
      </c>
      <c r="I32" s="115">
        <v>-4866</v>
      </c>
      <c r="J32" s="115">
        <v>-4923</v>
      </c>
      <c r="K32" s="115">
        <v>-4390</v>
      </c>
      <c r="L32" s="115"/>
      <c r="M32" s="115"/>
    </row>
    <row r="33" spans="1:13" ht="15" x14ac:dyDescent="0.25">
      <c r="A33" s="115"/>
      <c r="B33" s="115">
        <v>-8061</v>
      </c>
      <c r="C33" s="115">
        <v>1783</v>
      </c>
      <c r="D33" s="115">
        <v>-2192</v>
      </c>
      <c r="E33" s="115">
        <v>25772</v>
      </c>
      <c r="F33" s="115">
        <v>-36156</v>
      </c>
      <c r="G33" s="115">
        <v>19695</v>
      </c>
      <c r="H33" s="115">
        <v>6173</v>
      </c>
      <c r="I33" s="115">
        <v>8145</v>
      </c>
      <c r="J33" s="115">
        <v>18094</v>
      </c>
      <c r="K33" s="115">
        <v>17831</v>
      </c>
      <c r="L33" s="115"/>
      <c r="M33" s="115"/>
    </row>
    <row r="34" spans="1:13" ht="15" x14ac:dyDescent="0.25">
      <c r="A34" s="115"/>
      <c r="B34" s="115">
        <v>20820</v>
      </c>
      <c r="C34" s="115">
        <v>15433</v>
      </c>
      <c r="D34" s="115">
        <v>1613</v>
      </c>
      <c r="E34" s="115">
        <v>5480</v>
      </c>
      <c r="F34" s="115">
        <v>1543</v>
      </c>
      <c r="G34" s="115">
        <v>21396</v>
      </c>
      <c r="H34" s="115">
        <v>5362</v>
      </c>
      <c r="I34" s="115">
        <v>9711</v>
      </c>
      <c r="J34" s="115">
        <v>20572</v>
      </c>
      <c r="K34" s="115">
        <v>19186</v>
      </c>
      <c r="L34" s="115"/>
      <c r="M34" s="115"/>
    </row>
    <row r="35" spans="1:13" ht="15" x14ac:dyDescent="0.25">
      <c r="A35" s="115"/>
      <c r="B35" s="115">
        <v>22502</v>
      </c>
      <c r="C35" s="115">
        <v>19975</v>
      </c>
      <c r="D35" s="115">
        <v>4884</v>
      </c>
      <c r="E35" s="115">
        <v>-5000</v>
      </c>
      <c r="F35" s="115">
        <v>865</v>
      </c>
      <c r="G35" s="115">
        <v>6500</v>
      </c>
      <c r="H35" s="115">
        <v>88224</v>
      </c>
      <c r="I35" s="115">
        <v>35199</v>
      </c>
      <c r="J35" s="115">
        <v>45638</v>
      </c>
      <c r="K35" s="115">
        <v>89877</v>
      </c>
      <c r="L35" s="115"/>
      <c r="M35" s="115"/>
    </row>
    <row r="36" spans="1:13" ht="15" x14ac:dyDescent="0.25">
      <c r="A36" s="115"/>
      <c r="B36" s="115">
        <v>86698</v>
      </c>
      <c r="C36" s="115">
        <v>92992</v>
      </c>
      <c r="D36" s="115">
        <v>79683</v>
      </c>
      <c r="E36" s="115">
        <v>-10978</v>
      </c>
      <c r="F36" s="115">
        <v>-590</v>
      </c>
      <c r="G36" s="115">
        <v>601</v>
      </c>
      <c r="H36" s="115">
        <v>18462</v>
      </c>
      <c r="I36" s="115">
        <v>17152</v>
      </c>
      <c r="J36" s="115">
        <v>-1595</v>
      </c>
      <c r="K36" s="115">
        <v>362</v>
      </c>
      <c r="L36" s="115"/>
      <c r="M36" s="115"/>
    </row>
    <row r="37" spans="1:13" ht="15" x14ac:dyDescent="0.25">
      <c r="A37" s="115"/>
      <c r="B37" s="115">
        <v>-79238</v>
      </c>
      <c r="C37" s="115">
        <v>-247</v>
      </c>
      <c r="D37" s="115">
        <v>-80</v>
      </c>
      <c r="E37" s="115">
        <v>-1525</v>
      </c>
      <c r="F37" s="115">
        <v>-395</v>
      </c>
      <c r="G37" s="115">
        <v>-3043</v>
      </c>
      <c r="H37" s="115">
        <v>-529</v>
      </c>
      <c r="I37" s="115">
        <v>-1104</v>
      </c>
      <c r="J37" s="115">
        <v>499</v>
      </c>
      <c r="K37" s="115">
        <v>986</v>
      </c>
      <c r="L37" s="115"/>
      <c r="M37" s="115"/>
    </row>
    <row r="38" spans="1:13" ht="15" x14ac:dyDescent="0.25">
      <c r="A38" s="115"/>
      <c r="B38" s="115">
        <v>-1452</v>
      </c>
      <c r="C38" s="115">
        <v>-88</v>
      </c>
      <c r="D38" s="115">
        <v>20609</v>
      </c>
      <c r="E38" s="115">
        <v>19373</v>
      </c>
      <c r="F38" s="115">
        <v>26065</v>
      </c>
      <c r="G38" s="115">
        <v>30333</v>
      </c>
      <c r="H38" s="115">
        <v>5312</v>
      </c>
      <c r="I38" s="115">
        <v>17905</v>
      </c>
      <c r="J38" s="115">
        <v>-64075</v>
      </c>
      <c r="K38" s="115">
        <v>-17862</v>
      </c>
      <c r="L38" s="115"/>
      <c r="M38" s="115"/>
    </row>
    <row r="39" spans="1:13" ht="15" x14ac:dyDescent="0.25">
      <c r="A39" s="115"/>
      <c r="B39" s="115">
        <v>-30496</v>
      </c>
      <c r="C39" s="115">
        <v>-1471</v>
      </c>
      <c r="D39" s="115">
        <v>-5383</v>
      </c>
      <c r="E39" s="115">
        <v>11030</v>
      </c>
      <c r="F39" s="115">
        <v>4193</v>
      </c>
      <c r="G39" s="115"/>
      <c r="H39" s="115"/>
      <c r="I39" s="115"/>
      <c r="J39" s="115"/>
      <c r="K39" s="115"/>
      <c r="L39" s="115"/>
      <c r="M39" s="115"/>
    </row>
    <row r="40" spans="1:13" ht="15" x14ac:dyDescent="0.25">
      <c r="A40" s="115"/>
      <c r="B40" s="115"/>
      <c r="C40" s="115"/>
      <c r="D40" s="115"/>
      <c r="E40" s="115"/>
      <c r="F40" s="115"/>
      <c r="G40" s="115"/>
      <c r="H40" s="115"/>
      <c r="I40" s="115"/>
      <c r="J40" s="115"/>
      <c r="K40" s="115"/>
      <c r="L40" s="115"/>
      <c r="M40" s="115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00B050"/>
  </sheetPr>
  <dimension ref="A1:AI384"/>
  <sheetViews>
    <sheetView topLeftCell="U1" zoomScaleNormal="100" workbookViewId="0">
      <selection activeCell="AI23" sqref="AI23"/>
    </sheetView>
  </sheetViews>
  <sheetFormatPr defaultColWidth="9" defaultRowHeight="15" x14ac:dyDescent="0.25"/>
  <cols>
    <col min="1" max="1" width="9" style="115" collapsed="1"/>
    <col min="2" max="2" width="12" style="115" bestFit="1" customWidth="1" collapsed="1"/>
    <col min="3" max="7" width="9.25" style="115" bestFit="1" customWidth="1" collapsed="1"/>
    <col min="8" max="8" width="12.625" style="115" bestFit="1" customWidth="1" collapsed="1"/>
    <col min="9" max="9" width="9" style="115" collapsed="1"/>
    <col min="10" max="11" width="12.5" style="115" bestFit="1" customWidth="1" collapsed="1"/>
    <col min="12" max="12" width="12.75" style="115" customWidth="1" collapsed="1"/>
    <col min="13" max="13" width="12.5" style="115" bestFit="1" customWidth="1" collapsed="1"/>
    <col min="14" max="17" width="9" style="115" collapsed="1"/>
    <col min="18" max="18" width="27.5" style="115" customWidth="1" collapsed="1"/>
    <col min="19" max="20" width="9" style="115" collapsed="1"/>
    <col min="21" max="22" width="12.5" style="115" bestFit="1" customWidth="1" collapsed="1"/>
    <col min="23" max="25" width="9" style="115" collapsed="1"/>
    <col min="26" max="27" width="13.5" style="115" bestFit="1" customWidth="1" collapsed="1"/>
    <col min="28" max="31" width="9" style="115" collapsed="1"/>
    <col min="32" max="32" width="78.125" style="115" bestFit="1" customWidth="1" collapsed="1"/>
    <col min="33" max="16384" width="9" style="115" collapsed="1"/>
  </cols>
  <sheetData>
    <row r="1" spans="1:35" x14ac:dyDescent="0.25">
      <c r="L1"/>
      <c r="M1" s="128" t="s">
        <v>10841</v>
      </c>
      <c r="S1" s="128" t="s">
        <v>10841</v>
      </c>
      <c r="X1" s="128" t="s">
        <v>1104</v>
      </c>
      <c r="AE1" s="128" t="s">
        <v>1036</v>
      </c>
    </row>
    <row r="2" spans="1:35" x14ac:dyDescent="0.25">
      <c r="A2" s="128" t="s">
        <v>1026</v>
      </c>
      <c r="F2" s="128" t="s">
        <v>1026</v>
      </c>
      <c r="G2" s="119" t="s">
        <v>1133</v>
      </c>
      <c r="H2" s="164">
        <v>0.5</v>
      </c>
      <c r="L2"/>
      <c r="N2" s="114" t="s">
        <v>10850</v>
      </c>
      <c r="O2"/>
      <c r="U2" s="173" t="s">
        <v>1033</v>
      </c>
      <c r="V2" s="173" t="s">
        <v>1034</v>
      </c>
      <c r="Z2" s="173" t="s">
        <v>1033</v>
      </c>
      <c r="AA2" s="173" t="s">
        <v>1034</v>
      </c>
      <c r="AG2" s="115" t="s">
        <v>1033</v>
      </c>
      <c r="AH2" s="115" t="s">
        <v>1034</v>
      </c>
    </row>
    <row r="3" spans="1:35" ht="15.75" thickBot="1" x14ac:dyDescent="0.3">
      <c r="A3" s="124"/>
      <c r="B3" s="124"/>
      <c r="C3" s="124"/>
      <c r="D3" s="124"/>
      <c r="E3" s="123"/>
      <c r="F3" s="143" t="s">
        <v>1035</v>
      </c>
      <c r="G3" s="124"/>
      <c r="H3" s="124"/>
      <c r="I3" s="1"/>
      <c r="J3" s="124"/>
      <c r="K3" s="124"/>
      <c r="L3" s="124"/>
      <c r="M3">
        <v>1</v>
      </c>
      <c r="N3" s="65" t="s">
        <v>10856</v>
      </c>
      <c r="O3"/>
      <c r="S3" s="137">
        <f>DayPatternCoefficients!A11</f>
        <v>100</v>
      </c>
      <c r="T3" s="137" t="str">
        <f>DayPatternCoefficients!B11</f>
        <v>W-TASC</v>
      </c>
      <c r="U3" s="138">
        <f>DayPatternCoefficients!D11</f>
        <v>0.758976817686</v>
      </c>
      <c r="V3" s="178">
        <f>_xlfn.IFNA(VLOOKUP(S3,$J$49:$L$91,3,FALSE),_xlfn.IFNA(VLOOKUP(S3,$F$5:$J$11,5,FALSE),_xlfn.IFNA(VLOOKUP(S3,$F$19:$J$25,5,FALSE),U3)))</f>
        <v>0.80622193987811852</v>
      </c>
      <c r="X3" s="146">
        <v>1</v>
      </c>
      <c r="Y3" s="146" t="s">
        <v>1105</v>
      </c>
      <c r="Z3" s="158">
        <f>WorkbasedSubtourGenerationCoeff!E11</f>
        <v>1.2260140529550001</v>
      </c>
      <c r="AA3" s="177">
        <f>J101</f>
        <v>1.3557904201870334</v>
      </c>
      <c r="AE3" s="115">
        <v>1</v>
      </c>
      <c r="AF3" s="115" t="s">
        <v>1041</v>
      </c>
      <c r="AG3" s="115">
        <v>0.42649170864199998</v>
      </c>
      <c r="AI3" s="115" t="s">
        <v>1066</v>
      </c>
    </row>
    <row r="4" spans="1:35" x14ac:dyDescent="0.25">
      <c r="A4" s="120" t="str">
        <f>Summary!A32</f>
        <v>Purpose</v>
      </c>
      <c r="B4" s="120" t="str">
        <f>Summary!B32</f>
        <v>ExpandSurv</v>
      </c>
      <c r="C4" s="120" t="str">
        <f>Summary!C32</f>
        <v>SynthPop</v>
      </c>
      <c r="D4" s="120" t="s">
        <v>1027</v>
      </c>
      <c r="E4" s="130"/>
      <c r="F4" s="120" t="s">
        <v>1021</v>
      </c>
      <c r="G4" s="120" t="s">
        <v>317</v>
      </c>
      <c r="H4" s="167" t="s">
        <v>1028</v>
      </c>
      <c r="I4" s="120" t="s">
        <v>1029</v>
      </c>
      <c r="J4" s="180" t="s">
        <v>1030</v>
      </c>
      <c r="K4" s="172" t="s">
        <v>10837</v>
      </c>
      <c r="L4" s="172" t="s">
        <v>10836</v>
      </c>
      <c r="M4">
        <v>2</v>
      </c>
      <c r="N4" s="65" t="s">
        <v>10853</v>
      </c>
      <c r="O4"/>
      <c r="S4" s="137">
        <f>DayPatternCoefficients!A12</f>
        <v>101</v>
      </c>
      <c r="T4" s="137" t="str">
        <f>DayPatternCoefficients!B12</f>
        <v>W-SASC</v>
      </c>
      <c r="U4" s="138">
        <f>DayPatternCoefficients!D12</f>
        <v>-0.54592920592799998</v>
      </c>
      <c r="V4" s="178">
        <f t="shared" ref="V4:V67" si="0">_xlfn.IFNA(VLOOKUP(S4,$J$49:$L$91,3,FALSE),_xlfn.IFNA(VLOOKUP(S4,$F$5:$J$11,5,FALSE),_xlfn.IFNA(VLOOKUP(S4,$F$19:$J$25,5,FALSE),U4)))</f>
        <v>-0.39373569096887384</v>
      </c>
      <c r="X4" s="146">
        <v>3</v>
      </c>
      <c r="Y4" s="146" t="s">
        <v>1106</v>
      </c>
      <c r="Z4" s="158">
        <f>WorkbasedSubtourGenerationCoeff!E12</f>
        <v>0.58949163187999998</v>
      </c>
      <c r="AA4" s="177">
        <f>J102</f>
        <v>0.48390463213003698</v>
      </c>
      <c r="AE4" s="115">
        <v>2</v>
      </c>
      <c r="AF4" s="115" t="s">
        <v>1042</v>
      </c>
      <c r="AG4" s="115">
        <v>0.52969549157399998</v>
      </c>
      <c r="AI4" s="115" t="s">
        <v>1066</v>
      </c>
    </row>
    <row r="5" spans="1:35" x14ac:dyDescent="0.25">
      <c r="A5" s="115" t="str">
        <f>Summary!A33</f>
        <v>work</v>
      </c>
      <c r="B5" s="125">
        <f>ToursByTourPurpose!F74</f>
        <v>1521221.4851286472</v>
      </c>
      <c r="C5" s="125">
        <f>ToursByTourPurpose!R74</f>
        <v>1384063</v>
      </c>
      <c r="D5" s="118">
        <f>B5/C5</f>
        <v>1.0990984406986151</v>
      </c>
      <c r="E5" s="123"/>
      <c r="F5" s="133">
        <v>100</v>
      </c>
      <c r="G5" s="129" t="s">
        <v>321</v>
      </c>
      <c r="H5" s="138">
        <f>VLOOKUP(F5,$S$3:$U$352,3,FALSE)</f>
        <v>0.758976817686</v>
      </c>
      <c r="I5" s="135">
        <f>$H$2*LN(D5)</f>
        <v>4.7245122192118516E-2</v>
      </c>
      <c r="J5" s="194">
        <f>H5+I5</f>
        <v>0.80622193987811852</v>
      </c>
      <c r="K5" s="196">
        <f>VLOOKUP(F5,$S$3:$V$352,4,FALSE)</f>
        <v>0.80622193987811852</v>
      </c>
      <c r="L5" s="168">
        <f>IF(J5=K5,0,1)</f>
        <v>0</v>
      </c>
      <c r="M5">
        <v>3</v>
      </c>
      <c r="N5" s="115" t="s">
        <v>10854</v>
      </c>
      <c r="S5" s="137">
        <f>DayPatternCoefficients!A13</f>
        <v>102</v>
      </c>
      <c r="T5" s="137" t="str">
        <f>DayPatternCoefficients!B13</f>
        <v>W-PTW</v>
      </c>
      <c r="U5" s="138">
        <f>DayPatternCoefficients!D13</f>
        <v>-1.3062598161100001</v>
      </c>
      <c r="V5" s="178">
        <f t="shared" si="0"/>
        <v>-1.303897636706282</v>
      </c>
      <c r="X5" s="146">
        <v>4</v>
      </c>
      <c r="Y5" s="146" t="s">
        <v>1107</v>
      </c>
      <c r="Z5" s="158">
        <f>WorkbasedSubtourGenerationCoeff!E13</f>
        <v>0.13633704997000001</v>
      </c>
      <c r="AA5" s="177">
        <f t="shared" ref="AA5:AA9" si="1">J103</f>
        <v>0.1309504003889892</v>
      </c>
      <c r="AE5" s="115">
        <v>3</v>
      </c>
      <c r="AF5" s="115" t="s">
        <v>1043</v>
      </c>
      <c r="AG5" s="115">
        <v>0.75024585208399996</v>
      </c>
      <c r="AI5" s="115" t="s">
        <v>1066</v>
      </c>
    </row>
    <row r="6" spans="1:35" x14ac:dyDescent="0.25">
      <c r="A6" s="115" t="str">
        <f>Summary!A34</f>
        <v>school</v>
      </c>
      <c r="B6" s="125">
        <f>ToursByTourPurpose!F75</f>
        <v>706170.74976834306</v>
      </c>
      <c r="C6" s="125">
        <f>ToursByTourPurpose!R75</f>
        <v>461103</v>
      </c>
      <c r="D6" s="118">
        <f t="shared" ref="D6:D13" si="2">B6/C6</f>
        <v>1.5314815773663217</v>
      </c>
      <c r="E6" s="123"/>
      <c r="F6" s="133">
        <v>200</v>
      </c>
      <c r="G6" s="129" t="s">
        <v>373</v>
      </c>
      <c r="H6" s="138">
        <f t="shared" ref="H6:H11" si="3">VLOOKUP(F6,$S$3:$U$352,3,FALSE)</f>
        <v>0.29382413067099999</v>
      </c>
      <c r="I6" s="135">
        <f t="shared" ref="I6:I11" si="4">$H$2*LN(D6)</f>
        <v>0.21311780903728786</v>
      </c>
      <c r="J6" s="194">
        <f t="shared" ref="J6:J11" si="5">H6+I6</f>
        <v>0.50694193970828783</v>
      </c>
      <c r="K6" s="196">
        <f t="shared" ref="K6:K11" si="6">VLOOKUP(F6,$S$3:$V$352,4,FALSE)</f>
        <v>0.50694193970828783</v>
      </c>
      <c r="L6" s="168">
        <f t="shared" ref="L6:L11" si="7">IF(J6=K6,0,1)</f>
        <v>0</v>
      </c>
      <c r="M6">
        <v>4</v>
      </c>
      <c r="N6" s="115" t="s">
        <v>10849</v>
      </c>
      <c r="S6" s="137">
        <f>DayPatternCoefficients!A14</f>
        <v>105</v>
      </c>
      <c r="T6" s="137" t="str">
        <f>DayPatternCoefficients!B14</f>
        <v>W-UNI</v>
      </c>
      <c r="U6" s="138">
        <f>DayPatternCoefficients!D14</f>
        <v>9.5</v>
      </c>
      <c r="V6" s="178">
        <f t="shared" si="0"/>
        <v>9.1390776567403549</v>
      </c>
      <c r="X6" s="146">
        <v>6</v>
      </c>
      <c r="Y6" s="146" t="s">
        <v>1108</v>
      </c>
      <c r="Z6" s="158">
        <f>WorkbasedSubtourGenerationCoeff!E14</f>
        <v>0.30036927294999999</v>
      </c>
      <c r="AA6" s="177">
        <f t="shared" si="1"/>
        <v>0.33098219090695202</v>
      </c>
      <c r="AE6" s="115">
        <v>4</v>
      </c>
      <c r="AF6" s="115" t="s">
        <v>1044</v>
      </c>
      <c r="AG6" s="115">
        <v>0.751938985542</v>
      </c>
      <c r="AI6" s="115" t="s">
        <v>1066</v>
      </c>
    </row>
    <row r="7" spans="1:35" x14ac:dyDescent="0.25">
      <c r="A7" s="115" t="str">
        <f>Summary!A35</f>
        <v>escort</v>
      </c>
      <c r="B7" s="125">
        <f>ToursByTourPurpose!F76</f>
        <v>547824.6158597942</v>
      </c>
      <c r="C7" s="125">
        <f>ToursByTourPurpose!R76</f>
        <v>471330</v>
      </c>
      <c r="D7" s="118">
        <f t="shared" si="2"/>
        <v>1.1622952408287064</v>
      </c>
      <c r="E7" s="123"/>
      <c r="F7" s="133">
        <v>300</v>
      </c>
      <c r="G7" s="129" t="s">
        <v>429</v>
      </c>
      <c r="H7" s="138">
        <f t="shared" si="3"/>
        <v>-2.8</v>
      </c>
      <c r="I7" s="135">
        <f t="shared" si="4"/>
        <v>7.5198353021951062E-2</v>
      </c>
      <c r="J7" s="194">
        <f t="shared" si="5"/>
        <v>-2.7248016469780487</v>
      </c>
      <c r="K7" s="196">
        <f t="shared" si="6"/>
        <v>-2.7248016469780487</v>
      </c>
      <c r="L7" s="168">
        <f t="shared" si="7"/>
        <v>0</v>
      </c>
      <c r="M7" s="115">
        <v>5</v>
      </c>
      <c r="N7" s="115" t="s">
        <v>10855</v>
      </c>
      <c r="S7" s="137">
        <f>DayPatternCoefficients!A15</f>
        <v>106</v>
      </c>
      <c r="T7" s="137" t="str">
        <f>DayPatternCoefficients!B15</f>
        <v>W-DAS</v>
      </c>
      <c r="U7" s="138">
        <f>DayPatternCoefficients!D15</f>
        <v>-1.3932</v>
      </c>
      <c r="V7" s="178">
        <f t="shared" si="0"/>
        <v>-1.4568678490374058</v>
      </c>
      <c r="X7" s="146">
        <v>8</v>
      </c>
      <c r="Y7" s="146" t="s">
        <v>1109</v>
      </c>
      <c r="Z7" s="158">
        <f>WorkbasedSubtourGenerationCoeff!E15</f>
        <v>0.39617773946000001</v>
      </c>
      <c r="AA7" s="177">
        <f t="shared" si="1"/>
        <v>0.34071615697106516</v>
      </c>
      <c r="AE7" s="115">
        <v>5</v>
      </c>
      <c r="AF7" s="115" t="s">
        <v>1045</v>
      </c>
      <c r="AG7" s="115">
        <v>0.75835463608200004</v>
      </c>
      <c r="AI7" s="115" t="s">
        <v>1066</v>
      </c>
    </row>
    <row r="8" spans="1:35" x14ac:dyDescent="0.25">
      <c r="A8" s="115" t="str">
        <f>Summary!A36</f>
        <v>pers.bus</v>
      </c>
      <c r="B8" s="125">
        <f>ToursByTourPurpose!F77</f>
        <v>637794.96573057375</v>
      </c>
      <c r="C8" s="125">
        <f>ToursByTourPurpose!R77</f>
        <v>523626</v>
      </c>
      <c r="D8" s="118">
        <f t="shared" si="2"/>
        <v>1.2180353262263022</v>
      </c>
      <c r="E8" s="123"/>
      <c r="F8" s="133">
        <v>400</v>
      </c>
      <c r="G8" s="129" t="s">
        <v>488</v>
      </c>
      <c r="H8" s="138">
        <f t="shared" si="3"/>
        <v>-2.0654832970500001</v>
      </c>
      <c r="I8" s="135">
        <f t="shared" si="4"/>
        <v>9.8619586168491605E-2</v>
      </c>
      <c r="J8" s="194">
        <f t="shared" si="5"/>
        <v>-1.9668637108815086</v>
      </c>
      <c r="K8" s="196">
        <f t="shared" si="6"/>
        <v>-1.9668637108815086</v>
      </c>
      <c r="L8" s="168">
        <f t="shared" si="7"/>
        <v>0</v>
      </c>
      <c r="S8" s="163">
        <f>DayPatternCoefficients!A16</f>
        <v>109</v>
      </c>
      <c r="T8" s="163" t="str">
        <f>DayPatternCoefficients!B16</f>
        <v>W-VLINC</v>
      </c>
      <c r="U8" s="157">
        <f>DayPatternCoefficients!D16</f>
        <v>-0.35</v>
      </c>
      <c r="V8" s="178">
        <f t="shared" si="0"/>
        <v>-0.35</v>
      </c>
      <c r="X8" s="146">
        <v>10</v>
      </c>
      <c r="Y8" s="146" t="s">
        <v>1110</v>
      </c>
      <c r="Z8" s="158">
        <f>WorkbasedSubtourGenerationCoeff!E16</f>
        <v>0.57146970345199999</v>
      </c>
      <c r="AA8" s="177">
        <f t="shared" si="1"/>
        <v>0.63081828456886113</v>
      </c>
      <c r="AE8" s="115">
        <v>6</v>
      </c>
      <c r="AF8" s="115" t="s">
        <v>1046</v>
      </c>
      <c r="AG8" s="115">
        <v>0.99547769337100001</v>
      </c>
      <c r="AI8" s="115" t="s">
        <v>1066</v>
      </c>
    </row>
    <row r="9" spans="1:35" x14ac:dyDescent="0.25">
      <c r="A9" s="115" t="str">
        <f>Summary!A37</f>
        <v>shop</v>
      </c>
      <c r="B9" s="125">
        <f>ToursByTourPurpose!F78</f>
        <v>642232.42719629034</v>
      </c>
      <c r="C9" s="125">
        <f>ToursByTourPurpose!R78</f>
        <v>559649</v>
      </c>
      <c r="D9" s="118">
        <f t="shared" si="2"/>
        <v>1.147562896022847</v>
      </c>
      <c r="E9" s="123"/>
      <c r="F9" s="133">
        <v>500</v>
      </c>
      <c r="G9" s="129" t="s">
        <v>547</v>
      </c>
      <c r="H9" s="138">
        <f t="shared" si="3"/>
        <v>-1.8648554903800001</v>
      </c>
      <c r="I9" s="135">
        <f t="shared" si="4"/>
        <v>6.882023639968117E-2</v>
      </c>
      <c r="J9" s="194">
        <f t="shared" si="5"/>
        <v>-1.7960352539803188</v>
      </c>
      <c r="K9" s="196">
        <f t="shared" si="6"/>
        <v>-1.7960352539803188</v>
      </c>
      <c r="L9" s="168">
        <f t="shared" si="7"/>
        <v>0</v>
      </c>
      <c r="N9" s="128" t="s">
        <v>10845</v>
      </c>
      <c r="S9" s="163">
        <f>DayPatternCoefficients!A17</f>
        <v>110</v>
      </c>
      <c r="T9" s="163" t="str">
        <f>DayPatternCoefficients!B17</f>
        <v>W-LOINC</v>
      </c>
      <c r="U9" s="157">
        <f>DayPatternCoefficients!D17</f>
        <v>0.116716171556</v>
      </c>
      <c r="V9" s="178">
        <f t="shared" si="0"/>
        <v>0.116716171556</v>
      </c>
      <c r="X9" s="146">
        <v>13</v>
      </c>
      <c r="Y9" s="146" t="s">
        <v>1111</v>
      </c>
      <c r="Z9" s="158">
        <f>WorkbasedSubtourGenerationCoeff!E17</f>
        <v>0.12974858328</v>
      </c>
      <c r="AA9" s="177">
        <f t="shared" si="1"/>
        <v>0.1596986471152545</v>
      </c>
      <c r="AE9" s="115">
        <v>7</v>
      </c>
      <c r="AF9" s="115" t="s">
        <v>1047</v>
      </c>
      <c r="AG9" s="115">
        <v>0.95328729751300001</v>
      </c>
      <c r="AI9" s="115" t="s">
        <v>1066</v>
      </c>
    </row>
    <row r="10" spans="1:35" x14ac:dyDescent="0.25">
      <c r="A10" s="115" t="str">
        <f>Summary!A38</f>
        <v>meal</v>
      </c>
      <c r="B10" s="125">
        <f>ToursByTourPurpose!F79</f>
        <v>196589.10236167419</v>
      </c>
      <c r="C10" s="125">
        <f>ToursByTourPurpose!R79</f>
        <v>160374</v>
      </c>
      <c r="D10" s="118">
        <f t="shared" si="2"/>
        <v>1.2258165435898225</v>
      </c>
      <c r="E10" s="123"/>
      <c r="F10" s="133">
        <v>600</v>
      </c>
      <c r="G10" s="129" t="s">
        <v>606</v>
      </c>
      <c r="H10" s="138">
        <f t="shared" si="3"/>
        <v>-3.1650076478</v>
      </c>
      <c r="I10" s="135">
        <f t="shared" si="4"/>
        <v>0.10180359406794429</v>
      </c>
      <c r="J10" s="194">
        <f t="shared" si="5"/>
        <v>-3.0632040537320555</v>
      </c>
      <c r="K10" s="196">
        <f t="shared" si="6"/>
        <v>-3.0632040537320555</v>
      </c>
      <c r="L10" s="168">
        <f t="shared" si="7"/>
        <v>0</v>
      </c>
      <c r="M10" s="115">
        <v>1</v>
      </c>
      <c r="N10" s="65" t="s">
        <v>10856</v>
      </c>
      <c r="S10" s="163">
        <f>DayPatternCoefficients!A18</f>
        <v>111</v>
      </c>
      <c r="T10" s="163" t="str">
        <f>DayPatternCoefficients!B18</f>
        <v>W-HIINC</v>
      </c>
      <c r="U10" s="157">
        <f>DayPatternCoefficients!D18</f>
        <v>0</v>
      </c>
      <c r="V10" s="178">
        <f t="shared" si="0"/>
        <v>0</v>
      </c>
      <c r="X10" s="115">
        <v>15</v>
      </c>
      <c r="Y10" s="115" t="s">
        <v>1112</v>
      </c>
      <c r="Z10" s="156">
        <f>WorkbasedSubtourGenerationCoeff!E18</f>
        <v>5.5746620251300003</v>
      </c>
      <c r="AA10" s="177">
        <f>Z10</f>
        <v>5.5746620251300003</v>
      </c>
      <c r="AE10" s="115">
        <v>8</v>
      </c>
      <c r="AF10" s="115" t="s">
        <v>1048</v>
      </c>
      <c r="AG10" s="115">
        <v>1.0428398506300001</v>
      </c>
      <c r="AI10" s="115" t="s">
        <v>1066</v>
      </c>
    </row>
    <row r="11" spans="1:35" ht="15.75" thickBot="1" x14ac:dyDescent="0.3">
      <c r="A11" s="115" t="str">
        <f>Summary!A39</f>
        <v>soc/rec</v>
      </c>
      <c r="B11" s="125">
        <f>ToursByTourPurpose!F80</f>
        <v>970001.03879933222</v>
      </c>
      <c r="C11" s="125">
        <f>ToursByTourPurpose!R80</f>
        <v>779167</v>
      </c>
      <c r="D11" s="118">
        <f t="shared" si="2"/>
        <v>1.2449205867283037</v>
      </c>
      <c r="E11" s="123"/>
      <c r="F11" s="134">
        <v>700</v>
      </c>
      <c r="G11" s="132" t="s">
        <v>665</v>
      </c>
      <c r="H11" s="169">
        <f t="shared" si="3"/>
        <v>-2.1192921546600001</v>
      </c>
      <c r="I11" s="136">
        <f t="shared" si="4"/>
        <v>0.10953587106093711</v>
      </c>
      <c r="J11" s="195">
        <f t="shared" si="5"/>
        <v>-2.0097562835990628</v>
      </c>
      <c r="K11" s="197">
        <f t="shared" si="6"/>
        <v>-2.0097562835990628</v>
      </c>
      <c r="L11" s="171">
        <f t="shared" si="7"/>
        <v>0</v>
      </c>
      <c r="M11" s="115">
        <v>2</v>
      </c>
      <c r="N11" s="115" t="s">
        <v>10859</v>
      </c>
      <c r="S11" s="163">
        <f>DayPatternCoefficients!A19</f>
        <v>112</v>
      </c>
      <c r="T11" s="163" t="str">
        <f>DayPatternCoefficients!B19</f>
        <v>W-CARSPD</v>
      </c>
      <c r="U11" s="157">
        <f>DayPatternCoefficients!D19</f>
        <v>8.7571558659900003E-2</v>
      </c>
      <c r="V11" s="178">
        <f t="shared" si="0"/>
        <v>8.7571558659900003E-2</v>
      </c>
      <c r="X11" s="115">
        <v>16</v>
      </c>
      <c r="Y11" s="115" t="s">
        <v>1113</v>
      </c>
      <c r="Z11" s="156">
        <f>WorkbasedSubtourGenerationCoeff!E19</f>
        <v>1.3770632615239999</v>
      </c>
      <c r="AA11" s="177">
        <f t="shared" ref="AA11:AA17" si="8">Z11</f>
        <v>1.3770632615239999</v>
      </c>
      <c r="AE11" s="115">
        <v>9</v>
      </c>
      <c r="AF11" s="115" t="s">
        <v>1049</v>
      </c>
      <c r="AG11" s="115">
        <v>0.32698344901800003</v>
      </c>
      <c r="AI11" s="115" t="s">
        <v>1066</v>
      </c>
    </row>
    <row r="12" spans="1:35" x14ac:dyDescent="0.25">
      <c r="A12" s="121" t="str">
        <f>Summary!A40</f>
        <v>workbased</v>
      </c>
      <c r="B12" s="141">
        <f>ToursByTourPurpose!F81</f>
        <v>161680.67599294573</v>
      </c>
      <c r="C12" s="141">
        <f>ToursByTourPurpose!R81</f>
        <v>145765</v>
      </c>
      <c r="D12" s="122">
        <f t="shared" si="2"/>
        <v>1.1091872259660807</v>
      </c>
      <c r="E12" s="123"/>
      <c r="F12" s="123"/>
      <c r="G12" s="123"/>
      <c r="H12" s="123"/>
      <c r="I12" s="123"/>
      <c r="J12" s="123"/>
      <c r="L12" s="119">
        <f>SUM(L5:L11)</f>
        <v>0</v>
      </c>
      <c r="M12" s="115">
        <v>3</v>
      </c>
      <c r="N12" s="115" t="s">
        <v>10846</v>
      </c>
      <c r="S12" s="163">
        <f>DayPatternCoefficients!A20</f>
        <v>113</v>
      </c>
      <c r="T12" s="163" t="str">
        <f>DayPatternCoefficients!B20</f>
        <v>W-ONLYAD</v>
      </c>
      <c r="U12" s="157">
        <f>DayPatternCoefficients!D20</f>
        <v>0</v>
      </c>
      <c r="V12" s="178">
        <f t="shared" si="0"/>
        <v>0</v>
      </c>
      <c r="X12" s="115">
        <v>18</v>
      </c>
      <c r="Y12" s="115" t="s">
        <v>1114</v>
      </c>
      <c r="Z12" s="156">
        <f>WorkbasedSubtourGenerationCoeff!E20</f>
        <v>1.7355257346820001</v>
      </c>
      <c r="AA12" s="177">
        <f t="shared" si="8"/>
        <v>1.7355257346820001</v>
      </c>
      <c r="AE12" s="115">
        <v>10</v>
      </c>
      <c r="AF12" s="115" t="s">
        <v>1050</v>
      </c>
      <c r="AG12" s="117">
        <v>-4.97436549984E-2</v>
      </c>
      <c r="AI12" s="115" t="s">
        <v>1066</v>
      </c>
    </row>
    <row r="13" spans="1:35" ht="15.75" thickBot="1" x14ac:dyDescent="0.3">
      <c r="A13" s="124" t="str">
        <f>Summary!A41</f>
        <v>Total</v>
      </c>
      <c r="B13" s="139">
        <f>SUM(B5:B12)</f>
        <v>5383515.0608376022</v>
      </c>
      <c r="C13" s="139">
        <f>SUM(C5:C12)</f>
        <v>4485077</v>
      </c>
      <c r="D13" s="140">
        <f t="shared" si="2"/>
        <v>1.2003171987543586</v>
      </c>
      <c r="E13" s="123"/>
      <c r="F13" s="123"/>
      <c r="G13" s="123"/>
      <c r="H13" s="123"/>
      <c r="I13" s="123"/>
      <c r="J13" s="123"/>
      <c r="M13" s="115">
        <v>4</v>
      </c>
      <c r="N13" s="115" t="s">
        <v>10843</v>
      </c>
      <c r="S13" s="163">
        <f>DayPatternCoefficients!A21</f>
        <v>114</v>
      </c>
      <c r="T13" s="163" t="str">
        <f>DayPatternCoefficients!B21</f>
        <v>W-ONLYWK</v>
      </c>
      <c r="U13" s="157">
        <f>DayPatternCoefficients!D21</f>
        <v>0</v>
      </c>
      <c r="V13" s="178">
        <f t="shared" si="0"/>
        <v>0</v>
      </c>
      <c r="X13" s="115">
        <v>22</v>
      </c>
      <c r="Y13" s="115" t="s">
        <v>1115</v>
      </c>
      <c r="Z13" s="156">
        <f>WorkbasedSubtourGenerationCoeff!E21</f>
        <v>2.89006440718E-2</v>
      </c>
      <c r="AA13" s="177">
        <f t="shared" si="8"/>
        <v>2.89006440718E-2</v>
      </c>
      <c r="AE13" s="115">
        <v>11</v>
      </c>
      <c r="AF13" s="115" t="s">
        <v>1051</v>
      </c>
      <c r="AG13" s="115">
        <v>0.97584168442800001</v>
      </c>
      <c r="AI13" s="115" t="s">
        <v>1066</v>
      </c>
    </row>
    <row r="14" spans="1:35" x14ac:dyDescent="0.25">
      <c r="E14" s="123"/>
      <c r="M14" s="115">
        <v>5</v>
      </c>
      <c r="N14" s="115" t="s">
        <v>10847</v>
      </c>
      <c r="S14" s="163">
        <f>DayPatternCoefficients!A22</f>
        <v>116</v>
      </c>
      <c r="T14" s="163" t="str">
        <f>DayPatternCoefficients!B22</f>
        <v>W-FEMNOC</v>
      </c>
      <c r="U14" s="157">
        <f>DayPatternCoefficients!D22</f>
        <v>0</v>
      </c>
      <c r="V14" s="178">
        <f t="shared" si="0"/>
        <v>0</v>
      </c>
      <c r="X14" s="115">
        <v>23</v>
      </c>
      <c r="Y14" s="115" t="s">
        <v>1116</v>
      </c>
      <c r="Z14" s="156">
        <f>WorkbasedSubtourGenerationCoeff!E22</f>
        <v>2.8305073313000001E-2</v>
      </c>
      <c r="AA14" s="177">
        <f t="shared" si="8"/>
        <v>2.8305073313000001E-2</v>
      </c>
      <c r="AE14" s="115">
        <v>12</v>
      </c>
      <c r="AF14" s="115" t="s">
        <v>1052</v>
      </c>
      <c r="AG14" s="115">
        <v>0.17427614586599999</v>
      </c>
      <c r="AI14" s="115" t="s">
        <v>1066</v>
      </c>
    </row>
    <row r="15" spans="1:35" x14ac:dyDescent="0.25">
      <c r="E15" s="123"/>
      <c r="M15" s="115">
        <v>6</v>
      </c>
      <c r="N15" s="115" t="s">
        <v>10848</v>
      </c>
      <c r="S15" s="163">
        <f>DayPatternCoefficients!A23</f>
        <v>117</v>
      </c>
      <c r="T15" s="163" t="str">
        <f>DayPatternCoefficients!B23</f>
        <v>W-FADCU5</v>
      </c>
      <c r="U15" s="157">
        <f>DayPatternCoefficients!D23</f>
        <v>-0.432666507935</v>
      </c>
      <c r="V15" s="178">
        <f t="shared" si="0"/>
        <v>-0.432666507935</v>
      </c>
      <c r="X15" s="115">
        <v>32</v>
      </c>
      <c r="Y15" s="115" t="s">
        <v>1117</v>
      </c>
      <c r="Z15" s="156">
        <f>WorkbasedSubtourGenerationCoeff!E23</f>
        <v>-5.5020049285600003E-2</v>
      </c>
      <c r="AA15" s="177">
        <f t="shared" si="8"/>
        <v>-5.5020049285600003E-2</v>
      </c>
      <c r="AE15" s="115">
        <v>16</v>
      </c>
      <c r="AF15" s="115" t="s">
        <v>1053</v>
      </c>
      <c r="AG15" s="115">
        <v>0.106206083683</v>
      </c>
      <c r="AI15" s="115" t="s">
        <v>1066</v>
      </c>
    </row>
    <row r="16" spans="1:35" x14ac:dyDescent="0.25">
      <c r="A16" s="128" t="s">
        <v>1102</v>
      </c>
      <c r="E16" s="123"/>
      <c r="F16" s="128" t="s">
        <v>1102</v>
      </c>
      <c r="G16" s="119" t="s">
        <v>1133</v>
      </c>
      <c r="H16" s="164">
        <f>H2</f>
        <v>0.5</v>
      </c>
      <c r="M16" s="115">
        <v>7</v>
      </c>
      <c r="N16" s="115" t="s">
        <v>10849</v>
      </c>
      <c r="S16" s="163">
        <f>DayPatternCoefficients!A24</f>
        <v>118</v>
      </c>
      <c r="T16" s="163" t="str">
        <f>DayPatternCoefficients!B24</f>
        <v>W-FAD515</v>
      </c>
      <c r="U16" s="157">
        <f>DayPatternCoefficients!D24</f>
        <v>-0.18505114192300001</v>
      </c>
      <c r="V16" s="178">
        <f t="shared" si="0"/>
        <v>-0.18505114192300001</v>
      </c>
      <c r="X16" s="115">
        <v>39</v>
      </c>
      <c r="Y16" s="115" t="s">
        <v>1118</v>
      </c>
      <c r="Z16" s="156">
        <f>WorkbasedSubtourGenerationCoeff!E24</f>
        <v>0.11888357382299999</v>
      </c>
      <c r="AA16" s="177">
        <f t="shared" si="8"/>
        <v>0.11888357382299999</v>
      </c>
      <c r="AE16" s="115">
        <v>17</v>
      </c>
      <c r="AF16" s="115" t="s">
        <v>1054</v>
      </c>
      <c r="AG16" s="115">
        <v>-0.86772791392500004</v>
      </c>
      <c r="AI16" s="115" t="s">
        <v>1066</v>
      </c>
    </row>
    <row r="17" spans="1:35" ht="15.75" thickBot="1" x14ac:dyDescent="0.3">
      <c r="A17" s="124"/>
      <c r="B17" s="124"/>
      <c r="C17" s="124"/>
      <c r="D17" s="124"/>
      <c r="E17" s="123"/>
      <c r="F17" s="143" t="s">
        <v>1035</v>
      </c>
      <c r="G17" s="124"/>
      <c r="H17" s="124"/>
      <c r="I17" s="124"/>
      <c r="J17" s="124"/>
      <c r="K17" s="124"/>
      <c r="L17" s="124"/>
      <c r="M17" s="115">
        <v>8</v>
      </c>
      <c r="N17" s="115" t="s">
        <v>10844</v>
      </c>
      <c r="S17" s="163">
        <f>DayPatternCoefficients!A25</f>
        <v>119</v>
      </c>
      <c r="T17" s="163" t="str">
        <f>DayPatternCoefficients!B25</f>
        <v>W-MADCU5</v>
      </c>
      <c r="U17" s="157">
        <f>DayPatternCoefficients!D25</f>
        <v>0</v>
      </c>
      <c r="V17" s="178">
        <f t="shared" si="0"/>
        <v>0</v>
      </c>
      <c r="X17" s="115">
        <v>50</v>
      </c>
      <c r="Y17" s="115" t="s">
        <v>1119</v>
      </c>
      <c r="Z17" s="156">
        <f>WorkbasedSubtourGenerationCoeff!E25</f>
        <v>1.3366248075</v>
      </c>
      <c r="AA17" s="177">
        <f t="shared" si="8"/>
        <v>1.3366248075</v>
      </c>
      <c r="AE17" s="115">
        <v>33</v>
      </c>
      <c r="AF17" s="115" t="s">
        <v>1056</v>
      </c>
      <c r="AG17" s="115">
        <v>-3.35946120388</v>
      </c>
      <c r="AI17" s="115" t="s">
        <v>1064</v>
      </c>
    </row>
    <row r="18" spans="1:35" x14ac:dyDescent="0.25">
      <c r="A18" s="120" t="str">
        <f>A4</f>
        <v>Purpose</v>
      </c>
      <c r="B18" s="120" t="str">
        <f t="shared" ref="B18:D18" si="9">B4</f>
        <v>ExpandSurv</v>
      </c>
      <c r="C18" s="120" t="str">
        <f t="shared" si="9"/>
        <v>SynthPop</v>
      </c>
      <c r="D18" s="120" t="str">
        <f t="shared" si="9"/>
        <v>Ratio</v>
      </c>
      <c r="E18" s="130"/>
      <c r="F18" s="120" t="s">
        <v>1021</v>
      </c>
      <c r="G18" s="120" t="s">
        <v>317</v>
      </c>
      <c r="H18" s="167" t="s">
        <v>1028</v>
      </c>
      <c r="I18" s="120" t="s">
        <v>1029</v>
      </c>
      <c r="J18" s="179" t="s">
        <v>1030</v>
      </c>
      <c r="K18" s="172" t="s">
        <v>10837</v>
      </c>
      <c r="L18" s="172" t="s">
        <v>10836</v>
      </c>
      <c r="S18" s="163">
        <f>DayPatternCoefficients!A26</f>
        <v>120</v>
      </c>
      <c r="T18" s="163" t="str">
        <f>DayPatternCoefficients!B26</f>
        <v>W-MAD515</v>
      </c>
      <c r="U18" s="157">
        <f>DayPatternCoefficients!D26</f>
        <v>0</v>
      </c>
      <c r="V18" s="178">
        <f t="shared" si="0"/>
        <v>0</v>
      </c>
      <c r="AE18" s="115">
        <v>34</v>
      </c>
      <c r="AF18" s="115" t="s">
        <v>1056</v>
      </c>
      <c r="AG18" s="115">
        <v>-0.91027883769600004</v>
      </c>
      <c r="AI18" s="115" t="s">
        <v>1065</v>
      </c>
    </row>
    <row r="19" spans="1:35" x14ac:dyDescent="0.25">
      <c r="A19" s="115" t="str">
        <f>A5</f>
        <v>work</v>
      </c>
      <c r="B19" s="125">
        <f>output_NHTS!W222</f>
        <v>291144.49219999998</v>
      </c>
      <c r="C19" s="125">
        <f>output!W222</f>
        <v>214741</v>
      </c>
      <c r="D19" s="118">
        <f>B19/C19</f>
        <v>1.3557936872790943</v>
      </c>
      <c r="E19" s="123"/>
      <c r="F19" s="133">
        <v>101</v>
      </c>
      <c r="G19" s="129" t="s">
        <v>324</v>
      </c>
      <c r="H19" s="138">
        <f>VLOOKUP(F19,$S$3:$U$352,3,FALSE)</f>
        <v>-0.54592920592799998</v>
      </c>
      <c r="I19" s="135">
        <f>$H$16*LN(D19)</f>
        <v>0.15219351495912614</v>
      </c>
      <c r="J19" s="194">
        <f>H19+I19</f>
        <v>-0.39373569096887384</v>
      </c>
      <c r="K19" s="196">
        <f>VLOOKUP(F19,$S$3:$V$352,4,FALSE)</f>
        <v>-0.39373569096887384</v>
      </c>
      <c r="L19" s="168">
        <f t="shared" ref="L19:L25" si="10">IF(J19=K19,0,1)</f>
        <v>0</v>
      </c>
      <c r="M19" s="128" t="s">
        <v>1104</v>
      </c>
      <c r="S19" s="163">
        <f>DayPatternCoefficients!A27</f>
        <v>121</v>
      </c>
      <c r="T19" s="163" t="str">
        <f>DayPatternCoefficients!B27</f>
        <v>W-AG1825</v>
      </c>
      <c r="U19" s="157">
        <f>DayPatternCoefficients!D27</f>
        <v>0</v>
      </c>
      <c r="V19" s="178">
        <f t="shared" si="0"/>
        <v>0</v>
      </c>
      <c r="AE19" s="115">
        <v>35</v>
      </c>
      <c r="AF19" s="115" t="s">
        <v>1056</v>
      </c>
      <c r="AG19" s="115">
        <v>-1.36681198819</v>
      </c>
      <c r="AI19" s="115" t="s">
        <v>1070</v>
      </c>
    </row>
    <row r="20" spans="1:35" x14ac:dyDescent="0.25">
      <c r="A20" s="115" t="str">
        <f t="shared" ref="A20:A27" si="11">A6</f>
        <v>school</v>
      </c>
      <c r="B20" s="125">
        <f>output_NHTS!W223</f>
        <v>46833.023399999998</v>
      </c>
      <c r="C20" s="125">
        <f>output!W223</f>
        <v>61736</v>
      </c>
      <c r="D20" s="118">
        <f t="shared" ref="D20:D27" si="12">B20/C20</f>
        <v>0.75860151937281328</v>
      </c>
      <c r="E20" s="123"/>
      <c r="F20" s="133">
        <v>201</v>
      </c>
      <c r="G20" s="129" t="s">
        <v>375</v>
      </c>
      <c r="H20" s="138">
        <f t="shared" ref="H20:H25" si="13">VLOOKUP(F20,$S$3:$U$352,3,FALSE)</f>
        <v>0.25052747176099999</v>
      </c>
      <c r="I20" s="135">
        <f t="shared" ref="I20:I25" si="14">$H$16*LN(D20)</f>
        <v>-0.13813932343255156</v>
      </c>
      <c r="J20" s="194">
        <f t="shared" ref="J20:J25" si="15">H20+I20</f>
        <v>0.11238814832844843</v>
      </c>
      <c r="K20" s="196">
        <f t="shared" ref="K20:K25" si="16">VLOOKUP(F20,$S$3:$V$352,4,FALSE)</f>
        <v>0.11238814832844843</v>
      </c>
      <c r="L20" s="168">
        <f t="shared" si="10"/>
        <v>0</v>
      </c>
      <c r="M20" s="115">
        <v>1</v>
      </c>
      <c r="N20" s="115" t="s">
        <v>1132</v>
      </c>
      <c r="S20" s="163">
        <f>DayPatternCoefficients!A28</f>
        <v>122</v>
      </c>
      <c r="T20" s="163" t="str">
        <f>DayPatternCoefficients!B28</f>
        <v>W-AG2635</v>
      </c>
      <c r="U20" s="157">
        <f>DayPatternCoefficients!D28</f>
        <v>0</v>
      </c>
      <c r="V20" s="178">
        <f t="shared" si="0"/>
        <v>0</v>
      </c>
      <c r="AE20" s="115">
        <v>36</v>
      </c>
      <c r="AF20" s="115" t="s">
        <v>1056</v>
      </c>
      <c r="AG20" s="115">
        <v>-0.91192691386699998</v>
      </c>
      <c r="AI20" s="115" t="s">
        <v>1078</v>
      </c>
    </row>
    <row r="21" spans="1:35" x14ac:dyDescent="0.25">
      <c r="A21" s="115" t="str">
        <f t="shared" si="11"/>
        <v>escort</v>
      </c>
      <c r="B21" s="125">
        <f>output_NHTS!W224</f>
        <v>411360.23770000006</v>
      </c>
      <c r="C21" s="125">
        <f>output!W224</f>
        <v>394085</v>
      </c>
      <c r="D21" s="118">
        <f t="shared" si="12"/>
        <v>1.0438363238895163</v>
      </c>
      <c r="E21" s="123"/>
      <c r="F21" s="133">
        <v>301</v>
      </c>
      <c r="G21" s="129" t="s">
        <v>431</v>
      </c>
      <c r="H21" s="138">
        <f t="shared" si="13"/>
        <v>-2</v>
      </c>
      <c r="I21" s="135">
        <f t="shared" si="14"/>
        <v>2.1451349642952432E-2</v>
      </c>
      <c r="J21" s="194">
        <f t="shared" si="15"/>
        <v>-1.9785486503570475</v>
      </c>
      <c r="K21" s="196">
        <f t="shared" si="16"/>
        <v>-1.9785486503570475</v>
      </c>
      <c r="L21" s="168">
        <f t="shared" si="10"/>
        <v>0</v>
      </c>
      <c r="M21" s="115">
        <v>2</v>
      </c>
      <c r="N21" s="115" t="s">
        <v>10857</v>
      </c>
      <c r="S21" s="163">
        <f>DayPatternCoefficients!A29</f>
        <v>123</v>
      </c>
      <c r="T21" s="163" t="str">
        <f>DayPatternCoefficients!B29</f>
        <v>W-AG5165</v>
      </c>
      <c r="U21" s="157">
        <f>DayPatternCoefficients!D29</f>
        <v>0</v>
      </c>
      <c r="V21" s="178">
        <f t="shared" si="0"/>
        <v>0</v>
      </c>
      <c r="AE21" s="115">
        <v>37</v>
      </c>
      <c r="AF21" s="115" t="s">
        <v>1056</v>
      </c>
      <c r="AG21" s="115">
        <v>-0.51005943175099999</v>
      </c>
      <c r="AI21" s="115" t="s">
        <v>1087</v>
      </c>
    </row>
    <row r="22" spans="1:35" x14ac:dyDescent="0.25">
      <c r="A22" s="115" t="str">
        <f t="shared" si="11"/>
        <v>pers.bus</v>
      </c>
      <c r="B22" s="125">
        <f>output_NHTS!W225</f>
        <v>827746.27960000001</v>
      </c>
      <c r="C22" s="125">
        <f>output!W225</f>
        <v>858689</v>
      </c>
      <c r="D22" s="118">
        <f t="shared" si="12"/>
        <v>0.96396516037820446</v>
      </c>
      <c r="E22" s="123"/>
      <c r="F22" s="133">
        <v>401</v>
      </c>
      <c r="G22" s="129" t="s">
        <v>490</v>
      </c>
      <c r="H22" s="138">
        <f t="shared" si="13"/>
        <v>-0.04</v>
      </c>
      <c r="I22" s="135">
        <f t="shared" si="14"/>
        <v>-1.8350062855595841E-2</v>
      </c>
      <c r="J22" s="194">
        <f t="shared" si="15"/>
        <v>-5.8350062855595838E-2</v>
      </c>
      <c r="K22" s="196">
        <f t="shared" si="16"/>
        <v>-5.8350062855595838E-2</v>
      </c>
      <c r="L22" s="168">
        <f t="shared" si="10"/>
        <v>0</v>
      </c>
      <c r="M22" s="115">
        <v>3</v>
      </c>
      <c r="N22" s="115" t="s">
        <v>10858</v>
      </c>
      <c r="S22" s="163">
        <f>DayPatternCoefficients!A30</f>
        <v>124</v>
      </c>
      <c r="T22" s="163" t="str">
        <f>DayPatternCoefficients!B30</f>
        <v>W-WAHOME</v>
      </c>
      <c r="U22" s="157">
        <f>DayPatternCoefficients!D30</f>
        <v>-5</v>
      </c>
      <c r="V22" s="178">
        <f t="shared" si="0"/>
        <v>-5</v>
      </c>
      <c r="AE22" s="115">
        <v>38</v>
      </c>
      <c r="AF22" s="115" t="s">
        <v>1091</v>
      </c>
      <c r="AG22" s="115">
        <v>-2.0855290326799998</v>
      </c>
      <c r="AI22" s="115" t="s">
        <v>1092</v>
      </c>
    </row>
    <row r="23" spans="1:35" x14ac:dyDescent="0.25">
      <c r="A23" s="115" t="str">
        <f t="shared" si="11"/>
        <v>shop</v>
      </c>
      <c r="B23" s="125">
        <f>output_NHTS!W226</f>
        <v>966471.8618999999</v>
      </c>
      <c r="C23" s="125">
        <f>output!W226</f>
        <v>1150290</v>
      </c>
      <c r="D23" s="118">
        <f t="shared" si="12"/>
        <v>0.84019843856766541</v>
      </c>
      <c r="E23" s="123"/>
      <c r="F23" s="133">
        <v>501</v>
      </c>
      <c r="G23" s="129" t="s">
        <v>549</v>
      </c>
      <c r="H23" s="138">
        <f t="shared" si="13"/>
        <v>0.68463974939799999</v>
      </c>
      <c r="I23" s="135">
        <f t="shared" si="14"/>
        <v>-8.7058589327061037E-2</v>
      </c>
      <c r="J23" s="194">
        <f t="shared" si="15"/>
        <v>0.59758116007093898</v>
      </c>
      <c r="K23" s="196">
        <f t="shared" si="16"/>
        <v>0.59758116007093898</v>
      </c>
      <c r="L23" s="168">
        <f t="shared" si="10"/>
        <v>0</v>
      </c>
      <c r="M23" s="115">
        <v>4</v>
      </c>
      <c r="N23" s="115" t="s">
        <v>10860</v>
      </c>
      <c r="S23" s="163">
        <f>DayPatternCoefficients!A31</f>
        <v>125</v>
      </c>
      <c r="T23" s="163" t="str">
        <f>DayPatternCoefficients!B31</f>
        <v>W-MIXDEN</v>
      </c>
      <c r="U23" s="157">
        <f>DayPatternCoefficients!D31</f>
        <v>0</v>
      </c>
      <c r="V23" s="178">
        <f t="shared" si="0"/>
        <v>0</v>
      </c>
      <c r="AE23" s="115">
        <v>39</v>
      </c>
      <c r="AF23" s="115" t="s">
        <v>1099</v>
      </c>
      <c r="AG23" s="115">
        <v>-0.96265564624099997</v>
      </c>
      <c r="AI23" s="115" t="s">
        <v>1100</v>
      </c>
    </row>
    <row r="24" spans="1:35" x14ac:dyDescent="0.25">
      <c r="A24" s="115" t="str">
        <f t="shared" si="11"/>
        <v>meal</v>
      </c>
      <c r="B24" s="125">
        <f>output_NHTS!W227</f>
        <v>425435.02549999999</v>
      </c>
      <c r="C24" s="125">
        <f>output!W227</f>
        <v>527047</v>
      </c>
      <c r="D24" s="118">
        <f t="shared" si="12"/>
        <v>0.80720509840678345</v>
      </c>
      <c r="E24" s="123"/>
      <c r="F24" s="133">
        <v>601</v>
      </c>
      <c r="G24" s="129" t="s">
        <v>608</v>
      </c>
      <c r="H24" s="138">
        <f t="shared" si="13"/>
        <v>-0.71412970660499997</v>
      </c>
      <c r="I24" s="135">
        <f t="shared" si="14"/>
        <v>-0.10708874689983626</v>
      </c>
      <c r="J24" s="194">
        <f t="shared" si="15"/>
        <v>-0.82121845350483624</v>
      </c>
      <c r="K24" s="196">
        <f t="shared" si="16"/>
        <v>-0.82121845350483624</v>
      </c>
      <c r="L24" s="168">
        <f t="shared" si="10"/>
        <v>0</v>
      </c>
      <c r="M24" s="115">
        <v>5</v>
      </c>
      <c r="N24" s="115" t="s">
        <v>10861</v>
      </c>
      <c r="S24" s="163">
        <f>DayPatternCoefficients!A32</f>
        <v>126</v>
      </c>
      <c r="T24" s="163" t="str">
        <f>DayPatternCoefficients!B32</f>
        <v>W-INTDEN</v>
      </c>
      <c r="U24" s="157">
        <f>DayPatternCoefficients!D32</f>
        <v>0</v>
      </c>
      <c r="V24" s="178">
        <f t="shared" si="0"/>
        <v>0</v>
      </c>
      <c r="AE24" s="115">
        <v>40</v>
      </c>
      <c r="AF24" s="115" t="s">
        <v>1055</v>
      </c>
      <c r="AG24" s="115">
        <v>0.14939280807899999</v>
      </c>
      <c r="AI24" s="115" t="s">
        <v>1066</v>
      </c>
    </row>
    <row r="25" spans="1:35" ht="15.75" thickBot="1" x14ac:dyDescent="0.3">
      <c r="A25" s="115" t="str">
        <f t="shared" si="11"/>
        <v>soc/rec</v>
      </c>
      <c r="B25" s="125">
        <f>output_NHTS!W228</f>
        <v>433476.60260000004</v>
      </c>
      <c r="C25" s="125">
        <f>output!W228</f>
        <v>585425</v>
      </c>
      <c r="D25" s="118">
        <f t="shared" si="12"/>
        <v>0.7404477133706282</v>
      </c>
      <c r="E25" s="123"/>
      <c r="F25" s="134">
        <v>701</v>
      </c>
      <c r="G25" s="132" t="s">
        <v>667</v>
      </c>
      <c r="H25" s="169">
        <f t="shared" si="13"/>
        <v>-0.4</v>
      </c>
      <c r="I25" s="136">
        <f t="shared" si="14"/>
        <v>-0.15025012883257424</v>
      </c>
      <c r="J25" s="195">
        <f t="shared" si="15"/>
        <v>-0.55025012883257429</v>
      </c>
      <c r="K25" s="197">
        <f t="shared" si="16"/>
        <v>-0.55025012883257429</v>
      </c>
      <c r="L25" s="171">
        <f t="shared" si="10"/>
        <v>0</v>
      </c>
      <c r="S25" s="163">
        <f>DayPatternCoefficients!A33</f>
        <v>127</v>
      </c>
      <c r="T25" s="163" t="str">
        <f>DayPatternCoefficients!B33</f>
        <v>W-ACCLOG</v>
      </c>
      <c r="U25" s="157">
        <f>DayPatternCoefficients!D33</f>
        <v>0.20857402136100001</v>
      </c>
      <c r="V25" s="178">
        <f t="shared" si="0"/>
        <v>0.20857402136100001</v>
      </c>
      <c r="AE25" s="115">
        <v>46</v>
      </c>
      <c r="AF25" s="115" t="s">
        <v>1055</v>
      </c>
      <c r="AG25" s="115">
        <v>-1.67372492356</v>
      </c>
      <c r="AI25" s="115" t="s">
        <v>1092</v>
      </c>
    </row>
    <row r="26" spans="1:35" x14ac:dyDescent="0.25">
      <c r="A26" s="121" t="str">
        <f t="shared" si="11"/>
        <v>workbased</v>
      </c>
      <c r="B26" s="142" t="s">
        <v>1031</v>
      </c>
      <c r="C26" s="142" t="s">
        <v>1031</v>
      </c>
      <c r="D26" s="142" t="s">
        <v>1031</v>
      </c>
      <c r="E26" s="131"/>
      <c r="F26" s="131"/>
      <c r="G26" s="131"/>
      <c r="L26" s="119">
        <f>SUM(L19:L25)</f>
        <v>0</v>
      </c>
      <c r="S26" s="163">
        <f>DayPatternCoefficients!A34</f>
        <v>128</v>
      </c>
      <c r="T26" s="163" t="str">
        <f>DayPatternCoefficients!B34</f>
        <v>W-T-LOGS</v>
      </c>
      <c r="U26" s="157">
        <f>DayPatternCoefficients!D34</f>
        <v>0.10871281166299999</v>
      </c>
      <c r="V26" s="178">
        <f t="shared" si="0"/>
        <v>0.10871281166299999</v>
      </c>
      <c r="AE26" s="115">
        <v>49</v>
      </c>
      <c r="AF26" s="115" t="s">
        <v>1079</v>
      </c>
      <c r="AG26" s="115">
        <v>-1.8826581679000001</v>
      </c>
      <c r="AI26" s="115" t="s">
        <v>1070</v>
      </c>
    </row>
    <row r="27" spans="1:35" ht="15.75" thickBot="1" x14ac:dyDescent="0.3">
      <c r="A27" s="124" t="str">
        <f t="shared" si="11"/>
        <v>Total</v>
      </c>
      <c r="B27" s="139">
        <f>SUM(B19:B25)</f>
        <v>3402467.5228999997</v>
      </c>
      <c r="C27" s="139">
        <f>SUM(C19:C25)</f>
        <v>3792013</v>
      </c>
      <c r="D27" s="140">
        <f t="shared" si="12"/>
        <v>0.89727211454707556</v>
      </c>
      <c r="E27" s="123"/>
      <c r="F27" s="123"/>
      <c r="G27" s="123"/>
      <c r="N27" s="128" t="s">
        <v>10838</v>
      </c>
      <c r="S27" s="163">
        <f>DayPatternCoefficients!A35</f>
        <v>129</v>
      </c>
      <c r="T27" s="163" t="str">
        <f>DayPatternCoefficients!B35</f>
        <v>W-S-LOGS</v>
      </c>
      <c r="U27" s="157">
        <f>DayPatternCoefficients!D35</f>
        <v>0</v>
      </c>
      <c r="V27" s="178">
        <f t="shared" si="0"/>
        <v>0</v>
      </c>
      <c r="AE27" s="115">
        <v>50</v>
      </c>
      <c r="AF27" s="115" t="s">
        <v>1079</v>
      </c>
      <c r="AG27" s="115">
        <v>-1.1201828115200001</v>
      </c>
      <c r="AI27" s="115" t="s">
        <v>1078</v>
      </c>
    </row>
    <row r="28" spans="1:35" x14ac:dyDescent="0.25">
      <c r="N28" s="115" t="s">
        <v>10839</v>
      </c>
      <c r="S28" s="137">
        <f>DayPatternCoefficients!A36</f>
        <v>151</v>
      </c>
      <c r="T28" s="137" t="str">
        <f>DayPatternCoefficients!B36</f>
        <v>W-FTW</v>
      </c>
      <c r="U28" s="138">
        <f>DayPatternCoefficients!D36</f>
        <v>0.1</v>
      </c>
      <c r="V28" s="178">
        <f t="shared" si="0"/>
        <v>0.83617127802017222</v>
      </c>
      <c r="AE28" s="115">
        <v>51</v>
      </c>
      <c r="AF28" s="115" t="s">
        <v>1079</v>
      </c>
      <c r="AG28" s="115">
        <v>-0.64615152716199997</v>
      </c>
      <c r="AI28" s="115" t="s">
        <v>1087</v>
      </c>
    </row>
    <row r="29" spans="1:35" x14ac:dyDescent="0.25">
      <c r="N29" s="115" t="s">
        <v>10840</v>
      </c>
      <c r="S29" s="137">
        <f>DayPatternCoefficients!A37</f>
        <v>200</v>
      </c>
      <c r="T29" s="137" t="str">
        <f>DayPatternCoefficients!B37</f>
        <v>S-TASC</v>
      </c>
      <c r="U29" s="138">
        <f>DayPatternCoefficients!D37</f>
        <v>0.29382413067099999</v>
      </c>
      <c r="V29" s="178">
        <f t="shared" si="0"/>
        <v>0.50694193970828783</v>
      </c>
      <c r="AE29" s="115">
        <v>52</v>
      </c>
      <c r="AF29" s="115" t="s">
        <v>1079</v>
      </c>
      <c r="AG29" s="115">
        <v>-2.0029030718700001</v>
      </c>
      <c r="AI29" s="115" t="s">
        <v>1092</v>
      </c>
    </row>
    <row r="30" spans="1:35" x14ac:dyDescent="0.25">
      <c r="A30" s="106" t="str">
        <f>ToursByTourPurpose!A1</f>
        <v>Table X.X</v>
      </c>
      <c r="B30" s="3"/>
      <c r="C30" s="3"/>
      <c r="D30" s="3"/>
      <c r="E30" s="3"/>
      <c r="F30" s="3"/>
      <c r="G30" s="3"/>
      <c r="H30" s="3"/>
      <c r="I30" s="3"/>
      <c r="J30" s="106" t="str">
        <f>ToursByTourPurpose!M1</f>
        <v>Table X.X</v>
      </c>
      <c r="K30" s="3"/>
      <c r="L30" s="3"/>
      <c r="M30" s="3"/>
      <c r="N30" s="3"/>
      <c r="O30" s="3"/>
      <c r="P30" s="3"/>
      <c r="Q30" s="3"/>
      <c r="S30" s="137">
        <f>DayPatternCoefficients!A38</f>
        <v>201</v>
      </c>
      <c r="T30" s="137" t="str">
        <f>DayPatternCoefficients!B38</f>
        <v>S-SASC</v>
      </c>
      <c r="U30" s="138">
        <f>DayPatternCoefficients!D38</f>
        <v>0.25052747176099999</v>
      </c>
      <c r="V30" s="178">
        <f t="shared" si="0"/>
        <v>0.11238814832844843</v>
      </c>
      <c r="AE30" s="115">
        <v>53</v>
      </c>
      <c r="AF30" s="115" t="s">
        <v>1079</v>
      </c>
      <c r="AG30" s="115">
        <v>-1.02594557043</v>
      </c>
      <c r="AI30" s="115" t="s">
        <v>1100</v>
      </c>
    </row>
    <row r="31" spans="1:35" x14ac:dyDescent="0.25">
      <c r="A31" s="106" t="str">
        <f>ToursByTourPurpose!A2</f>
        <v>OBSERVED TOTAL TOURS (by persontype)</v>
      </c>
      <c r="B31" s="3"/>
      <c r="C31" s="3"/>
      <c r="D31" s="3"/>
      <c r="E31" s="3"/>
      <c r="F31" s="3"/>
      <c r="G31" s="3"/>
      <c r="H31" s="3"/>
      <c r="I31" s="25"/>
      <c r="J31" s="106" t="str">
        <f>ToursByTourPurpose!M2</f>
        <v>ESTIMATED TOTAL TOURS (by persontype)</v>
      </c>
      <c r="K31" s="3"/>
      <c r="L31" s="3"/>
      <c r="M31" s="3"/>
      <c r="N31" s="3"/>
      <c r="O31" s="3"/>
      <c r="P31" s="3"/>
      <c r="Q31" s="3"/>
      <c r="S31" s="137">
        <f>DayPatternCoefficients!A39</f>
        <v>205</v>
      </c>
      <c r="T31" s="137" t="str">
        <f>DayPatternCoefficients!B39</f>
        <v>S-UNI</v>
      </c>
      <c r="U31" s="138">
        <f>DayPatternCoefficients!D39</f>
        <v>-0.5</v>
      </c>
      <c r="V31" s="178">
        <f t="shared" si="0"/>
        <v>-0.43517179164023012</v>
      </c>
      <c r="AE31" s="115">
        <v>57</v>
      </c>
      <c r="AF31" s="115" t="s">
        <v>1080</v>
      </c>
      <c r="AG31" s="115">
        <v>-1.15631148732</v>
      </c>
      <c r="AI31" s="115" t="s">
        <v>1078</v>
      </c>
    </row>
    <row r="32" spans="1:35" ht="15.75" thickBot="1" x14ac:dyDescent="0.3">
      <c r="A32" s="3"/>
      <c r="B32" s="4"/>
      <c r="C32" s="4"/>
      <c r="D32" s="4"/>
      <c r="E32" s="4"/>
      <c r="F32" s="4"/>
      <c r="G32" s="4"/>
      <c r="H32" s="4"/>
      <c r="I32" s="88"/>
      <c r="J32" s="3"/>
      <c r="K32" s="4"/>
      <c r="L32" s="4"/>
      <c r="M32" s="4"/>
      <c r="N32" s="4"/>
      <c r="O32" s="4"/>
      <c r="P32" s="4"/>
      <c r="Q32" s="4"/>
      <c r="S32" s="137">
        <f>DayPatternCoefficients!A40</f>
        <v>206</v>
      </c>
      <c r="T32" s="137" t="str">
        <f>DayPatternCoefficients!B40</f>
        <v>S-DAS</v>
      </c>
      <c r="U32" s="138">
        <f>DayPatternCoefficients!D40</f>
        <v>0.8</v>
      </c>
      <c r="V32" s="178">
        <f t="shared" si="0"/>
        <v>-3.4574881643575514E-2</v>
      </c>
      <c r="AE32" s="115">
        <v>58</v>
      </c>
      <c r="AF32" s="115" t="s">
        <v>1080</v>
      </c>
      <c r="AG32" s="115">
        <v>-0.64916308040199999</v>
      </c>
      <c r="AI32" s="115" t="s">
        <v>1087</v>
      </c>
    </row>
    <row r="33" spans="1:35" x14ac:dyDescent="0.25">
      <c r="A33" s="5" t="str">
        <f>ToursByTourPurpose!A4</f>
        <v>Purpose</v>
      </c>
      <c r="B33" s="6" t="str">
        <f>ToursByTourPurpose!B4</f>
        <v>ft worker</v>
      </c>
      <c r="C33" s="6" t="str">
        <f>ToursByTourPurpose!C4</f>
        <v>pt worker</v>
      </c>
      <c r="D33" s="6" t="str">
        <f>ToursByTourPurpose!D4</f>
        <v>retired</v>
      </c>
      <c r="E33" s="6" t="str">
        <f>ToursByTourPurpose!E4</f>
        <v>nonworker</v>
      </c>
      <c r="F33" s="6" t="str">
        <f>ToursByTourPurpose!F4</f>
        <v>uinv.stud</v>
      </c>
      <c r="G33" s="6" t="str">
        <f>ToursByTourPurpose!G4</f>
        <v>stud 16+</v>
      </c>
      <c r="H33" s="6" t="str">
        <f>ToursByTourPurpose!I4</f>
        <v>stud.5-15</v>
      </c>
      <c r="I33" s="89"/>
      <c r="J33" s="5" t="str">
        <f>ToursByTourPurpose!M4</f>
        <v>Purpose</v>
      </c>
      <c r="K33" s="6" t="str">
        <f>ToursByTourPurpose!N4</f>
        <v>ft worker</v>
      </c>
      <c r="L33" s="6" t="str">
        <f>ToursByTourPurpose!O4</f>
        <v>pt worker</v>
      </c>
      <c r="M33" s="6" t="str">
        <f>ToursByTourPurpose!P4</f>
        <v>retired</v>
      </c>
      <c r="N33" s="6" t="str">
        <f>ToursByTourPurpose!Q4</f>
        <v>nonworker</v>
      </c>
      <c r="O33" s="6" t="str">
        <f>ToursByTourPurpose!R4</f>
        <v>uinv.stud</v>
      </c>
      <c r="P33" s="6" t="str">
        <f>ToursByTourPurpose!S4</f>
        <v>stud 16+</v>
      </c>
      <c r="Q33" s="6" t="str">
        <f>ToursByTourPurpose!U4</f>
        <v>stud.5-15</v>
      </c>
      <c r="S33" s="137">
        <f>DayPatternCoefficients!A41</f>
        <v>207</v>
      </c>
      <c r="T33" s="137" t="str">
        <f>DayPatternCoefficients!B41</f>
        <v>S-PAS</v>
      </c>
      <c r="U33" s="138">
        <f>DayPatternCoefficients!D41</f>
        <v>1</v>
      </c>
      <c r="V33" s="178">
        <f t="shared" si="0"/>
        <v>5.9096865836555115E-2</v>
      </c>
      <c r="AE33" s="115">
        <v>59</v>
      </c>
      <c r="AF33" s="115" t="s">
        <v>1080</v>
      </c>
      <c r="AG33" s="115">
        <v>-2.1812774888600002</v>
      </c>
      <c r="AI33" s="115" t="s">
        <v>1092</v>
      </c>
    </row>
    <row r="34" spans="1:35" x14ac:dyDescent="0.25">
      <c r="A34" s="3" t="str">
        <f>ToursByTourPurpose!A5</f>
        <v>work</v>
      </c>
      <c r="B34" s="7">
        <f>ToursByTourPurpose!B5</f>
        <v>1231829.1316330649</v>
      </c>
      <c r="C34" s="7">
        <f>ToursByTourPurpose!C5</f>
        <v>178383.7378181894</v>
      </c>
      <c r="D34" s="7">
        <f>ToursByTourPurpose!D5</f>
        <v>14392.9637235555</v>
      </c>
      <c r="E34" s="7">
        <f>ToursByTourPurpose!E5</f>
        <v>33923.2678096499</v>
      </c>
      <c r="F34" s="7">
        <f>ToursByTourPurpose!F5</f>
        <v>59797.376519187397</v>
      </c>
      <c r="G34" s="7">
        <f>ToursByTourPurpose!G5</f>
        <v>2054.6708749999998</v>
      </c>
      <c r="H34" s="7">
        <f>ToursByTourPurpose!I5</f>
        <v>369.56625000000003</v>
      </c>
      <c r="I34" s="33"/>
      <c r="J34" s="3" t="str">
        <f>ToursByTourPurpose!M5</f>
        <v>work</v>
      </c>
      <c r="K34" s="7">
        <f>ToursByTourPurpose!N5</f>
        <v>1092985</v>
      </c>
      <c r="L34" s="7">
        <f>ToursByTourPurpose!O5</f>
        <v>169350</v>
      </c>
      <c r="M34" s="7">
        <f>ToursByTourPurpose!P5</f>
        <v>0</v>
      </c>
      <c r="N34" s="7">
        <f>ToursByTourPurpose!Q5</f>
        <v>0</v>
      </c>
      <c r="O34" s="7">
        <f>ToursByTourPurpose!R5</f>
        <v>117397</v>
      </c>
      <c r="P34" s="7">
        <f>ToursByTourPurpose!S5</f>
        <v>2226</v>
      </c>
      <c r="Q34" s="7">
        <f>ToursByTourPurpose!U5</f>
        <v>2105</v>
      </c>
      <c r="S34" s="163">
        <f>DayPatternCoefficients!A42</f>
        <v>208</v>
      </c>
      <c r="T34" s="163" t="str">
        <f>DayPatternCoefficients!B42</f>
        <v>S-CU5</v>
      </c>
      <c r="U34" s="157">
        <f>DayPatternCoefficients!D42</f>
        <v>4.3492068108000002</v>
      </c>
      <c r="V34" s="178">
        <f t="shared" si="0"/>
        <v>4.3492068108000002</v>
      </c>
      <c r="AE34" s="115">
        <v>60</v>
      </c>
      <c r="AF34" s="115" t="s">
        <v>1080</v>
      </c>
      <c r="AG34" s="115">
        <v>-1.6624340606700001</v>
      </c>
      <c r="AI34" s="115" t="s">
        <v>1100</v>
      </c>
    </row>
    <row r="35" spans="1:35" x14ac:dyDescent="0.25">
      <c r="A35" s="3" t="str">
        <f>ToursByTourPurpose!A6</f>
        <v>school</v>
      </c>
      <c r="B35" s="7">
        <f>ToursByTourPurpose!B6</f>
        <v>3669.9982898235999</v>
      </c>
      <c r="C35" s="7">
        <f>ToursByTourPurpose!C6</f>
        <v>36820.328636900202</v>
      </c>
      <c r="D35" s="7">
        <f>ToursByTourPurpose!D6</f>
        <v>862.99737015200003</v>
      </c>
      <c r="E35" s="7">
        <f>ToursByTourPurpose!E6</f>
        <v>67419.193959124299</v>
      </c>
      <c r="F35" s="7">
        <f>ToursByTourPurpose!F6</f>
        <v>49098.900137762997</v>
      </c>
      <c r="G35" s="7">
        <f>ToursByTourPurpose!G6</f>
        <v>66848.330499579999</v>
      </c>
      <c r="H35" s="7">
        <f>ToursByTourPurpose!I6</f>
        <v>429655.94500000001</v>
      </c>
      <c r="I35" s="33"/>
      <c r="J35" s="3" t="str">
        <f>ToursByTourPurpose!M6</f>
        <v>school</v>
      </c>
      <c r="K35" s="7">
        <f>ToursByTourPurpose!N6</f>
        <v>0</v>
      </c>
      <c r="L35" s="7">
        <f>ToursByTourPurpose!O6</f>
        <v>0</v>
      </c>
      <c r="M35" s="7">
        <f>ToursByTourPurpose!P6</f>
        <v>0</v>
      </c>
      <c r="N35" s="7">
        <f>ToursByTourPurpose!Q6</f>
        <v>0</v>
      </c>
      <c r="O35" s="7">
        <f>ToursByTourPurpose!R6</f>
        <v>94733</v>
      </c>
      <c r="P35" s="7">
        <f>ToursByTourPurpose!S6</f>
        <v>57885</v>
      </c>
      <c r="Q35" s="7">
        <f>ToursByTourPurpose!U6</f>
        <v>308485</v>
      </c>
      <c r="S35" s="163">
        <f>DayPatternCoefficients!A43</f>
        <v>209</v>
      </c>
      <c r="T35" s="163" t="str">
        <f>DayPatternCoefficients!B43</f>
        <v>S-VLINC</v>
      </c>
      <c r="U35" s="157">
        <f>DayPatternCoefficients!D43</f>
        <v>0</v>
      </c>
      <c r="V35" s="178">
        <f t="shared" si="0"/>
        <v>0</v>
      </c>
      <c r="AE35" s="115">
        <v>64</v>
      </c>
      <c r="AF35" s="115" t="s">
        <v>1081</v>
      </c>
      <c r="AG35" s="115">
        <v>-1.23583911171</v>
      </c>
      <c r="AI35" s="115" t="s">
        <v>1078</v>
      </c>
    </row>
    <row r="36" spans="1:35" x14ac:dyDescent="0.25">
      <c r="A36" s="3" t="str">
        <f>ToursByTourPurpose!A7</f>
        <v>escort</v>
      </c>
      <c r="B36" s="7">
        <f>ToursByTourPurpose!B7</f>
        <v>153471.41636279161</v>
      </c>
      <c r="C36" s="7">
        <f>ToursByTourPurpose!C7</f>
        <v>82463.497147033107</v>
      </c>
      <c r="D36" s="7">
        <f>ToursByTourPurpose!D7</f>
        <v>48167.527056826802</v>
      </c>
      <c r="E36" s="7">
        <f>ToursByTourPurpose!E7</f>
        <v>182539.1092436976</v>
      </c>
      <c r="F36" s="7">
        <f>ToursByTourPurpose!F7</f>
        <v>10050.8011274852</v>
      </c>
      <c r="G36" s="7">
        <f>ToursByTourPurpose!G7</f>
        <v>6819.7042969599997</v>
      </c>
      <c r="H36" s="7">
        <f>ToursByTourPurpose!I7</f>
        <v>27027.766625</v>
      </c>
      <c r="I36" s="33"/>
      <c r="J36" s="3" t="str">
        <f>ToursByTourPurpose!M7</f>
        <v>escort</v>
      </c>
      <c r="K36" s="7">
        <f>ToursByTourPurpose!N7</f>
        <v>152446</v>
      </c>
      <c r="L36" s="7">
        <f>ToursByTourPurpose!O7</f>
        <v>64218</v>
      </c>
      <c r="M36" s="7">
        <f>ToursByTourPurpose!P7</f>
        <v>43556</v>
      </c>
      <c r="N36" s="7">
        <f>ToursByTourPurpose!Q7</f>
        <v>120994</v>
      </c>
      <c r="O36" s="7">
        <f>ToursByTourPurpose!R7</f>
        <v>7578</v>
      </c>
      <c r="P36" s="7">
        <f>ToursByTourPurpose!S7</f>
        <v>3165</v>
      </c>
      <c r="Q36" s="7">
        <f>ToursByTourPurpose!U7</f>
        <v>24988</v>
      </c>
      <c r="S36" s="163">
        <f>DayPatternCoefficients!A44</f>
        <v>210</v>
      </c>
      <c r="T36" s="163" t="str">
        <f>DayPatternCoefficients!B44</f>
        <v>S-LOINC</v>
      </c>
      <c r="U36" s="157">
        <f>DayPatternCoefficients!D44</f>
        <v>0</v>
      </c>
      <c r="V36" s="178">
        <f t="shared" si="0"/>
        <v>0</v>
      </c>
      <c r="AE36" s="115">
        <v>65</v>
      </c>
      <c r="AF36" s="115" t="s">
        <v>1081</v>
      </c>
      <c r="AG36" s="115">
        <v>-0.32342873795299998</v>
      </c>
      <c r="AI36" s="115" t="s">
        <v>1087</v>
      </c>
    </row>
    <row r="37" spans="1:35" x14ac:dyDescent="0.25">
      <c r="A37" s="3" t="str">
        <f>ToursByTourPurpose!A8</f>
        <v>pers.bus</v>
      </c>
      <c r="B37" s="7">
        <f>ToursByTourPurpose!B8</f>
        <v>122173.16416570271</v>
      </c>
      <c r="C37" s="7">
        <f>ToursByTourPurpose!C8</f>
        <v>72916.477212112397</v>
      </c>
      <c r="D37" s="7">
        <f>ToursByTourPurpose!D8</f>
        <v>146810.24007650471</v>
      </c>
      <c r="E37" s="7">
        <f>ToursByTourPurpose!E8</f>
        <v>167782.501203322</v>
      </c>
      <c r="F37" s="7">
        <f>ToursByTourPurpose!F8</f>
        <v>15372.751822931899</v>
      </c>
      <c r="G37" s="7">
        <f>ToursByTourPurpose!G8</f>
        <v>4248.979875</v>
      </c>
      <c r="H37" s="7">
        <f>ToursByTourPurpose!I8</f>
        <v>53154.947749999999</v>
      </c>
      <c r="I37" s="33"/>
      <c r="J37" s="3" t="str">
        <f>ToursByTourPurpose!M8</f>
        <v>pers.bus</v>
      </c>
      <c r="K37" s="7">
        <f>ToursByTourPurpose!N8</f>
        <v>107080</v>
      </c>
      <c r="L37" s="7">
        <f>ToursByTourPurpose!O8</f>
        <v>62764</v>
      </c>
      <c r="M37" s="7">
        <f>ToursByTourPurpose!P8</f>
        <v>127547</v>
      </c>
      <c r="N37" s="7">
        <f>ToursByTourPurpose!Q8</f>
        <v>104167</v>
      </c>
      <c r="O37" s="7">
        <f>ToursByTourPurpose!R8</f>
        <v>9130</v>
      </c>
      <c r="P37" s="7">
        <f>ToursByTourPurpose!S8</f>
        <v>3577</v>
      </c>
      <c r="Q37" s="7">
        <f>ToursByTourPurpose!U8</f>
        <v>49369</v>
      </c>
      <c r="S37" s="163">
        <f>DayPatternCoefficients!A45</f>
        <v>211</v>
      </c>
      <c r="T37" s="163" t="str">
        <f>DayPatternCoefficients!B45</f>
        <v>S-HIINC</v>
      </c>
      <c r="U37" s="157">
        <f>DayPatternCoefficients!D45</f>
        <v>0</v>
      </c>
      <c r="V37" s="178">
        <f t="shared" si="0"/>
        <v>0</v>
      </c>
      <c r="AE37" s="115">
        <v>66</v>
      </c>
      <c r="AF37" s="115" t="s">
        <v>1081</v>
      </c>
      <c r="AG37" s="115">
        <v>-2.32428386605</v>
      </c>
      <c r="AI37" s="115" t="s">
        <v>1092</v>
      </c>
    </row>
    <row r="38" spans="1:35" x14ac:dyDescent="0.25">
      <c r="A38" s="3" t="str">
        <f>ToursByTourPurpose!A9</f>
        <v>shop</v>
      </c>
      <c r="B38" s="7">
        <f>ToursByTourPurpose!B9</f>
        <v>145356.1731477431</v>
      </c>
      <c r="C38" s="7">
        <f>ToursByTourPurpose!C9</f>
        <v>60688.3982383478</v>
      </c>
      <c r="D38" s="7">
        <f>ToursByTourPurpose!D9</f>
        <v>118741.07176251381</v>
      </c>
      <c r="E38" s="7">
        <f>ToursByTourPurpose!E9</f>
        <v>201261.09418675231</v>
      </c>
      <c r="F38" s="7">
        <f>ToursByTourPurpose!F9</f>
        <v>18924.400913539299</v>
      </c>
      <c r="G38" s="7">
        <f>ToursByTourPurpose!G9</f>
        <v>1043.620822394</v>
      </c>
      <c r="H38" s="7">
        <f>ToursByTourPurpose!I9</f>
        <v>30506.604875000001</v>
      </c>
      <c r="I38" s="33"/>
      <c r="J38" s="3" t="str">
        <f>ToursByTourPurpose!M9</f>
        <v>shop</v>
      </c>
      <c r="K38" s="7">
        <f>ToursByTourPurpose!N9</f>
        <v>144792</v>
      </c>
      <c r="L38" s="7">
        <f>ToursByTourPurpose!O9</f>
        <v>54552</v>
      </c>
      <c r="M38" s="7">
        <f>ToursByTourPurpose!P9</f>
        <v>107212</v>
      </c>
      <c r="N38" s="7">
        <f>ToursByTourPurpose!Q9</f>
        <v>124356</v>
      </c>
      <c r="O38" s="7">
        <f>ToursByTourPurpose!R9</f>
        <v>13001</v>
      </c>
      <c r="P38" s="7">
        <f>ToursByTourPurpose!S9</f>
        <v>1327</v>
      </c>
      <c r="Q38" s="7">
        <f>ToursByTourPurpose!U9</f>
        <v>33187</v>
      </c>
      <c r="S38" s="163">
        <f>DayPatternCoefficients!A46</f>
        <v>212</v>
      </c>
      <c r="T38" s="163" t="str">
        <f>DayPatternCoefficients!B46</f>
        <v>S-CARSPD</v>
      </c>
      <c r="U38" s="157">
        <f>DayPatternCoefficients!D46</f>
        <v>-3.1057751230199999E-3</v>
      </c>
      <c r="V38" s="178">
        <f t="shared" si="0"/>
        <v>-3.1057751230199999E-3</v>
      </c>
      <c r="AE38" s="115">
        <v>67</v>
      </c>
      <c r="AF38" s="115" t="s">
        <v>1081</v>
      </c>
      <c r="AG38" s="115">
        <v>-1.6578909769200001</v>
      </c>
      <c r="AI38" s="115" t="s">
        <v>1100</v>
      </c>
    </row>
    <row r="39" spans="1:35" x14ac:dyDescent="0.25">
      <c r="A39" s="3" t="str">
        <f>ToursByTourPurpose!A10</f>
        <v>meal</v>
      </c>
      <c r="B39" s="7">
        <f>ToursByTourPurpose!B10</f>
        <v>65465.9464893689</v>
      </c>
      <c r="C39" s="7">
        <f>ToursByTourPurpose!C10</f>
        <v>18638.991093766501</v>
      </c>
      <c r="D39" s="7">
        <f>ToursByTourPurpose!D10</f>
        <v>34260.6682424053</v>
      </c>
      <c r="E39" s="7">
        <f>ToursByTourPurpose!E10</f>
        <v>55082.730318585403</v>
      </c>
      <c r="F39" s="7">
        <f>ToursByTourPurpose!F10</f>
        <v>6164.8368425481003</v>
      </c>
      <c r="G39" s="7">
        <f>ToursByTourPurpose!G10</f>
        <v>0</v>
      </c>
      <c r="H39" s="7">
        <f>ToursByTourPurpose!I10</f>
        <v>10585.869124999999</v>
      </c>
      <c r="I39" s="33"/>
      <c r="J39" s="3" t="str">
        <f>ToursByTourPurpose!M10</f>
        <v>meal</v>
      </c>
      <c r="K39" s="7">
        <f>ToursByTourPurpose!N10</f>
        <v>53304</v>
      </c>
      <c r="L39" s="7">
        <f>ToursByTourPurpose!O10</f>
        <v>16514</v>
      </c>
      <c r="M39" s="7">
        <f>ToursByTourPurpose!P10</f>
        <v>29794</v>
      </c>
      <c r="N39" s="7">
        <f>ToursByTourPurpose!Q10</f>
        <v>31597</v>
      </c>
      <c r="O39" s="7">
        <f>ToursByTourPurpose!R10</f>
        <v>4212</v>
      </c>
      <c r="P39" s="7">
        <f>ToursByTourPurpose!S10</f>
        <v>3907</v>
      </c>
      <c r="Q39" s="7">
        <f>ToursByTourPurpose!U10</f>
        <v>12565</v>
      </c>
      <c r="S39" s="163">
        <f>DayPatternCoefficients!A47</f>
        <v>213</v>
      </c>
      <c r="T39" s="163" t="str">
        <f>DayPatternCoefficients!B47</f>
        <v>S-ONLYAD</v>
      </c>
      <c r="U39" s="157">
        <f>DayPatternCoefficients!D47</f>
        <v>0</v>
      </c>
      <c r="V39" s="178">
        <f t="shared" si="0"/>
        <v>0</v>
      </c>
      <c r="AE39" s="115">
        <v>71</v>
      </c>
      <c r="AF39" s="115" t="s">
        <v>1082</v>
      </c>
      <c r="AG39" s="115">
        <v>-1.3046209712800001</v>
      </c>
      <c r="AI39" s="115" t="s">
        <v>1078</v>
      </c>
    </row>
    <row r="40" spans="1:35" x14ac:dyDescent="0.25">
      <c r="A40" s="25" t="str">
        <f>ToursByTourPurpose!A11</f>
        <v>soc/rec</v>
      </c>
      <c r="B40" s="7">
        <f>ToursByTourPurpose!B11</f>
        <v>264868.2082641478</v>
      </c>
      <c r="C40" s="7">
        <f>ToursByTourPurpose!C11</f>
        <v>108053.957775123</v>
      </c>
      <c r="D40" s="7">
        <f>ToursByTourPurpose!D11</f>
        <v>126534.7591391584</v>
      </c>
      <c r="E40" s="7">
        <f>ToursByTourPurpose!E11</f>
        <v>214876.31032530771</v>
      </c>
      <c r="F40" s="7">
        <f>ToursByTourPurpose!F11</f>
        <v>22058.092900937299</v>
      </c>
      <c r="G40" s="7">
        <f>ToursByTourPurpose!G11</f>
        <v>14658.028019658001</v>
      </c>
      <c r="H40" s="7">
        <f>ToursByTourPurpose!I11</f>
        <v>117694.23700000001</v>
      </c>
      <c r="I40" s="33"/>
      <c r="J40" s="25" t="str">
        <f>ToursByTourPurpose!M11</f>
        <v>soc/rec</v>
      </c>
      <c r="K40" s="7">
        <f>ToursByTourPurpose!N11</f>
        <v>221874</v>
      </c>
      <c r="L40" s="7">
        <f>ToursByTourPurpose!O11</f>
        <v>93228</v>
      </c>
      <c r="M40" s="7">
        <f>ToursByTourPurpose!P11</f>
        <v>119426</v>
      </c>
      <c r="N40" s="7">
        <f>ToursByTourPurpose!Q11</f>
        <v>126244</v>
      </c>
      <c r="O40" s="7">
        <f>ToursByTourPurpose!R11</f>
        <v>18490</v>
      </c>
      <c r="P40" s="7">
        <f>ToursByTourPurpose!S11</f>
        <v>10062</v>
      </c>
      <c r="Q40" s="7">
        <f>ToursByTourPurpose!U11</f>
        <v>105631</v>
      </c>
      <c r="S40" s="163">
        <f>DayPatternCoefficients!A48</f>
        <v>214</v>
      </c>
      <c r="T40" s="163" t="str">
        <f>DayPatternCoefficients!B48</f>
        <v>S-ONLYWK</v>
      </c>
      <c r="U40" s="157">
        <f>DayPatternCoefficients!D48</f>
        <v>0</v>
      </c>
      <c r="V40" s="178">
        <f t="shared" si="0"/>
        <v>0</v>
      </c>
      <c r="AE40" s="115">
        <v>72</v>
      </c>
      <c r="AF40" s="115" t="s">
        <v>1082</v>
      </c>
      <c r="AG40" s="115">
        <v>-0.50321932343800002</v>
      </c>
      <c r="AI40" s="115" t="s">
        <v>1087</v>
      </c>
    </row>
    <row r="41" spans="1:35" x14ac:dyDescent="0.25">
      <c r="A41" s="25" t="str">
        <f>ToursByTourPurpose!A12</f>
        <v>workbased</v>
      </c>
      <c r="B41" s="7">
        <f>ToursByTourPurpose!B12</f>
        <v>149742.72662654379</v>
      </c>
      <c r="C41" s="7">
        <f>ToursByTourPurpose!C12</f>
        <v>6064.0429624323006</v>
      </c>
      <c r="D41" s="7">
        <f>ToursByTourPurpose!D12</f>
        <v>0</v>
      </c>
      <c r="E41" s="7">
        <f>ToursByTourPurpose!E12</f>
        <v>0</v>
      </c>
      <c r="F41" s="7">
        <f>ToursByTourPurpose!F12</f>
        <v>5873.9064039696004</v>
      </c>
      <c r="G41" s="7">
        <f>ToursByTourPurpose!G12</f>
        <v>0</v>
      </c>
      <c r="H41" s="7">
        <f>ToursByTourPurpose!I12</f>
        <v>0</v>
      </c>
      <c r="I41" s="33"/>
      <c r="J41" s="25" t="str">
        <f>ToursByTourPurpose!M12</f>
        <v>workbased</v>
      </c>
      <c r="K41" s="7">
        <f>ToursByTourPurpose!N12</f>
        <v>121333</v>
      </c>
      <c r="L41" s="7">
        <f>ToursByTourPurpose!O12</f>
        <v>13020</v>
      </c>
      <c r="M41" s="7">
        <f>ToursByTourPurpose!P12</f>
        <v>0</v>
      </c>
      <c r="N41" s="7">
        <f>ToursByTourPurpose!Q12</f>
        <v>0</v>
      </c>
      <c r="O41" s="7">
        <f>ToursByTourPurpose!R12</f>
        <v>11160</v>
      </c>
      <c r="P41" s="7">
        <f>ToursByTourPurpose!S12</f>
        <v>159</v>
      </c>
      <c r="Q41" s="7">
        <f>ToursByTourPurpose!U12</f>
        <v>93</v>
      </c>
      <c r="S41" s="163">
        <f>DayPatternCoefficients!A49</f>
        <v>216</v>
      </c>
      <c r="T41" s="163" t="str">
        <f>DayPatternCoefficients!B49</f>
        <v>S-FEMNOC</v>
      </c>
      <c r="U41" s="157">
        <f>DayPatternCoefficients!D49</f>
        <v>0</v>
      </c>
      <c r="V41" s="178">
        <f t="shared" si="0"/>
        <v>0</v>
      </c>
      <c r="AE41" s="115">
        <v>73</v>
      </c>
      <c r="AF41" s="115" t="s">
        <v>1082</v>
      </c>
      <c r="AG41" s="115">
        <v>-4.8332706841800004</v>
      </c>
      <c r="AI41" s="115" t="s">
        <v>1092</v>
      </c>
    </row>
    <row r="42" spans="1:35" ht="15.75" thickBot="1" x14ac:dyDescent="0.3">
      <c r="A42" s="10" t="str">
        <f>ToursByTourPurpose!A13</f>
        <v>Total</v>
      </c>
      <c r="B42" s="55">
        <f>ToursByTourPurpose!B13</f>
        <v>2136576.7649791865</v>
      </c>
      <c r="C42" s="55">
        <f>ToursByTourPurpose!C13</f>
        <v>564029.43088390469</v>
      </c>
      <c r="D42" s="55">
        <f>ToursByTourPurpose!D13</f>
        <v>489770.22737111652</v>
      </c>
      <c r="E42" s="55">
        <f>ToursByTourPurpose!E13</f>
        <v>922884.20704643917</v>
      </c>
      <c r="F42" s="55">
        <f>ToursByTourPurpose!F13</f>
        <v>187341.0666683618</v>
      </c>
      <c r="G42" s="55">
        <f>ToursByTourPurpose!G13</f>
        <v>95673.334388592004</v>
      </c>
      <c r="H42" s="55">
        <f>ToursByTourPurpose!I13</f>
        <v>668994.93662499986</v>
      </c>
      <c r="I42" s="54"/>
      <c r="J42" s="10" t="str">
        <f>ToursByTourPurpose!M13</f>
        <v>Total</v>
      </c>
      <c r="K42" s="55">
        <f>ToursByTourPurpose!N13</f>
        <v>1893814</v>
      </c>
      <c r="L42" s="55">
        <f>ToursByTourPurpose!O13</f>
        <v>473646</v>
      </c>
      <c r="M42" s="55">
        <f>ToursByTourPurpose!P13</f>
        <v>427535</v>
      </c>
      <c r="N42" s="55">
        <f>ToursByTourPurpose!Q13</f>
        <v>507358</v>
      </c>
      <c r="O42" s="55">
        <f>ToursByTourPurpose!R13</f>
        <v>275701</v>
      </c>
      <c r="P42" s="55">
        <f>ToursByTourPurpose!S13</f>
        <v>82308</v>
      </c>
      <c r="Q42" s="55">
        <f>ToursByTourPurpose!U13</f>
        <v>536423</v>
      </c>
      <c r="S42" s="163">
        <f>DayPatternCoefficients!A50</f>
        <v>217</v>
      </c>
      <c r="T42" s="163" t="str">
        <f>DayPatternCoefficients!B50</f>
        <v>S-FADCU5</v>
      </c>
      <c r="U42" s="157">
        <f>DayPatternCoefficients!D50</f>
        <v>-0.96794995874900003</v>
      </c>
      <c r="V42" s="178">
        <f t="shared" si="0"/>
        <v>-0.96794995874900003</v>
      </c>
      <c r="AE42" s="115">
        <v>74</v>
      </c>
      <c r="AF42" s="115" t="s">
        <v>1082</v>
      </c>
      <c r="AG42" s="115">
        <v>-1.52892590596</v>
      </c>
      <c r="AI42" s="115" t="s">
        <v>1100</v>
      </c>
    </row>
    <row r="43" spans="1:35" x14ac:dyDescent="0.25">
      <c r="I43" s="123"/>
      <c r="S43" s="163">
        <f>DayPatternCoefficients!A51</f>
        <v>218</v>
      </c>
      <c r="T43" s="163" t="str">
        <f>DayPatternCoefficients!B51</f>
        <v>S-FAD515</v>
      </c>
      <c r="U43" s="157">
        <f>DayPatternCoefficients!D51</f>
        <v>0</v>
      </c>
      <c r="V43" s="178">
        <f t="shared" si="0"/>
        <v>0</v>
      </c>
      <c r="AE43" s="115">
        <v>78</v>
      </c>
      <c r="AF43" s="115" t="s">
        <v>1083</v>
      </c>
      <c r="AG43" s="115">
        <v>-1.3486716266600001</v>
      </c>
      <c r="AI43" s="115" t="s">
        <v>1078</v>
      </c>
    </row>
    <row r="44" spans="1:35" x14ac:dyDescent="0.25">
      <c r="I44" s="123"/>
      <c r="S44" s="163">
        <f>DayPatternCoefficients!A52</f>
        <v>219</v>
      </c>
      <c r="T44" s="163" t="str">
        <f>DayPatternCoefficients!B52</f>
        <v>S-MADCU5</v>
      </c>
      <c r="U44" s="157">
        <f>DayPatternCoefficients!D52</f>
        <v>0</v>
      </c>
      <c r="V44" s="178">
        <f t="shared" si="0"/>
        <v>0</v>
      </c>
      <c r="AE44" s="115">
        <v>79</v>
      </c>
      <c r="AF44" s="115" t="s">
        <v>1083</v>
      </c>
      <c r="AG44" s="115">
        <v>-0.55978493524700002</v>
      </c>
      <c r="AI44" s="115" t="s">
        <v>1087</v>
      </c>
    </row>
    <row r="45" spans="1:35" x14ac:dyDescent="0.25">
      <c r="A45" s="106" t="s">
        <v>175</v>
      </c>
      <c r="B45" s="3"/>
      <c r="C45" s="3"/>
      <c r="D45" s="3"/>
      <c r="E45" s="3"/>
      <c r="F45" s="3"/>
      <c r="G45" s="3"/>
      <c r="H45" s="3"/>
      <c r="S45" s="163">
        <f>DayPatternCoefficients!A53</f>
        <v>220</v>
      </c>
      <c r="T45" s="163" t="str">
        <f>DayPatternCoefficients!B53</f>
        <v>S-MAD515</v>
      </c>
      <c r="U45" s="157">
        <f>DayPatternCoefficients!D53</f>
        <v>0</v>
      </c>
      <c r="V45" s="178">
        <f t="shared" si="0"/>
        <v>0</v>
      </c>
      <c r="AE45" s="115">
        <v>80</v>
      </c>
      <c r="AF45" s="115" t="s">
        <v>1083</v>
      </c>
      <c r="AG45" s="115">
        <v>-2.1204677092600002</v>
      </c>
      <c r="AI45" s="115" t="s">
        <v>1092</v>
      </c>
    </row>
    <row r="46" spans="1:35" x14ac:dyDescent="0.25">
      <c r="A46" s="106" t="s">
        <v>1040</v>
      </c>
      <c r="B46" s="3"/>
      <c r="C46" s="3"/>
      <c r="D46" s="3"/>
      <c r="E46" s="3"/>
      <c r="F46" s="3"/>
      <c r="G46" s="3"/>
      <c r="H46" s="3"/>
      <c r="J46" s="119" t="s">
        <v>10842</v>
      </c>
      <c r="S46" s="163">
        <f>DayPatternCoefficients!A54</f>
        <v>221</v>
      </c>
      <c r="T46" s="163" t="str">
        <f>DayPatternCoefficients!B54</f>
        <v>S-AG1825</v>
      </c>
      <c r="U46" s="157">
        <f>DayPatternCoefficients!D54</f>
        <v>0</v>
      </c>
      <c r="V46" s="178">
        <f t="shared" si="0"/>
        <v>0</v>
      </c>
      <c r="AE46" s="115">
        <v>81</v>
      </c>
      <c r="AF46" s="115" t="s">
        <v>1083</v>
      </c>
      <c r="AG46" s="115">
        <v>-1.10856035167</v>
      </c>
      <c r="AI46" s="115" t="s">
        <v>1100</v>
      </c>
    </row>
    <row r="47" spans="1:35" ht="15.75" thickBot="1" x14ac:dyDescent="0.3">
      <c r="A47" s="3"/>
      <c r="B47" s="4"/>
      <c r="C47" s="4"/>
      <c r="D47" s="4"/>
      <c r="E47" s="4"/>
      <c r="F47" s="4"/>
      <c r="G47" s="4"/>
      <c r="H47" s="4"/>
      <c r="I47" s="123"/>
      <c r="J47" s="143" t="s">
        <v>1035</v>
      </c>
      <c r="K47" s="124"/>
      <c r="L47" s="124"/>
      <c r="M47" s="124"/>
      <c r="N47" s="124"/>
      <c r="S47" s="163">
        <f>DayPatternCoefficients!A55</f>
        <v>222</v>
      </c>
      <c r="T47" s="163" t="str">
        <f>DayPatternCoefficients!B55</f>
        <v>S-AG2635</v>
      </c>
      <c r="U47" s="157">
        <f>DayPatternCoefficients!D55</f>
        <v>0</v>
      </c>
      <c r="V47" s="178">
        <f t="shared" si="0"/>
        <v>0</v>
      </c>
      <c r="AE47" s="115">
        <v>82</v>
      </c>
      <c r="AF47" s="115" t="s">
        <v>1057</v>
      </c>
      <c r="AG47" s="115">
        <v>1.03609977401</v>
      </c>
      <c r="AI47" s="115" t="s">
        <v>1064</v>
      </c>
    </row>
    <row r="48" spans="1:35" x14ac:dyDescent="0.25">
      <c r="A48" s="5" t="s">
        <v>159</v>
      </c>
      <c r="B48" s="6" t="s">
        <v>146</v>
      </c>
      <c r="C48" s="6" t="s">
        <v>147</v>
      </c>
      <c r="D48" s="6" t="s">
        <v>148</v>
      </c>
      <c r="E48" s="6" t="s">
        <v>243</v>
      </c>
      <c r="F48" s="6" t="s">
        <v>244</v>
      </c>
      <c r="G48" s="6" t="s">
        <v>245</v>
      </c>
      <c r="H48" s="6" t="s">
        <v>246</v>
      </c>
      <c r="I48" s="123"/>
      <c r="J48" s="165" t="s">
        <v>1021</v>
      </c>
      <c r="K48" s="120" t="s">
        <v>317</v>
      </c>
      <c r="L48" s="180" t="s">
        <v>1030</v>
      </c>
      <c r="M48" s="175" t="s">
        <v>10837</v>
      </c>
      <c r="N48" s="175" t="s">
        <v>10836</v>
      </c>
      <c r="S48" s="163">
        <f>DayPatternCoefficients!A56</f>
        <v>223</v>
      </c>
      <c r="T48" s="163" t="str">
        <f>DayPatternCoefficients!B56</f>
        <v>S-AG5165</v>
      </c>
      <c r="U48" s="157">
        <f>DayPatternCoefficients!D56</f>
        <v>-0.21568887136100001</v>
      </c>
      <c r="V48" s="178">
        <f t="shared" si="0"/>
        <v>-0.21568887136100001</v>
      </c>
      <c r="AE48" s="115">
        <v>83</v>
      </c>
      <c r="AF48" s="115" t="s">
        <v>1057</v>
      </c>
      <c r="AG48" s="115">
        <v>0.49617548671400002</v>
      </c>
      <c r="AI48" s="115" t="s">
        <v>1065</v>
      </c>
    </row>
    <row r="49" spans="1:35" x14ac:dyDescent="0.25">
      <c r="A49" s="3" t="s">
        <v>210</v>
      </c>
      <c r="B49" s="7">
        <v>151</v>
      </c>
      <c r="C49" s="7">
        <v>102</v>
      </c>
      <c r="D49" s="210" t="s">
        <v>1031</v>
      </c>
      <c r="E49" s="210" t="s">
        <v>1031</v>
      </c>
      <c r="F49" s="7">
        <v>105</v>
      </c>
      <c r="G49" s="7">
        <v>106</v>
      </c>
      <c r="H49" s="210" t="s">
        <v>1031</v>
      </c>
      <c r="J49" s="166">
        <v>151</v>
      </c>
      <c r="K49" s="129" t="str">
        <f>VLOOKUP(J49,$S$3:$U$352,2,FALSE)</f>
        <v>W-FTW</v>
      </c>
      <c r="L49" s="181">
        <f>B88</f>
        <v>0.83617127802017222</v>
      </c>
      <c r="M49" s="193">
        <f>VLOOKUP(J49,$S$3:$V$352,4,FALSE)</f>
        <v>0.83617127802017222</v>
      </c>
      <c r="N49" s="174">
        <f t="shared" ref="N49:N91" si="17">IF(L49=M49,0,1)</f>
        <v>0</v>
      </c>
      <c r="S49" s="163">
        <f>DayPatternCoefficients!A57</f>
        <v>224</v>
      </c>
      <c r="T49" s="163" t="str">
        <f>DayPatternCoefficients!B57</f>
        <v>S-WAHOME</v>
      </c>
      <c r="U49" s="157">
        <f>DayPatternCoefficients!D57</f>
        <v>0</v>
      </c>
      <c r="V49" s="178">
        <f t="shared" si="0"/>
        <v>0</v>
      </c>
      <c r="AE49" s="115">
        <v>84</v>
      </c>
      <c r="AF49" s="115" t="s">
        <v>1057</v>
      </c>
      <c r="AG49" s="115">
        <v>-0.23939659975899999</v>
      </c>
      <c r="AI49" s="115" t="s">
        <v>1070</v>
      </c>
    </row>
    <row r="50" spans="1:35" x14ac:dyDescent="0.25">
      <c r="A50" s="3" t="s">
        <v>211</v>
      </c>
      <c r="B50" s="7">
        <v>251</v>
      </c>
      <c r="C50" s="210" t="s">
        <v>1031</v>
      </c>
      <c r="D50" s="210" t="s">
        <v>1031</v>
      </c>
      <c r="E50" s="210" t="s">
        <v>1031</v>
      </c>
      <c r="F50" s="7">
        <v>205</v>
      </c>
      <c r="G50" s="7">
        <v>206</v>
      </c>
      <c r="H50" s="7">
        <v>207</v>
      </c>
      <c r="J50" s="166">
        <v>251</v>
      </c>
      <c r="K50" s="129" t="str">
        <f t="shared" ref="K50:K91" si="18">VLOOKUP(J50,$S$3:$U$352,2,FALSE)</f>
        <v>S-FTW</v>
      </c>
      <c r="L50" s="181" t="e">
        <f t="shared" ref="L50:L55" si="19">B89</f>
        <v>#DIV/0!</v>
      </c>
      <c r="M50" s="193" t="e">
        <f t="shared" ref="M50:M91" si="20">VLOOKUP(J50,$S$3:$V$352,4,FALSE)</f>
        <v>#DIV/0!</v>
      </c>
      <c r="N50" s="174" t="e">
        <f t="shared" si="17"/>
        <v>#DIV/0!</v>
      </c>
      <c r="S50" s="163">
        <f>DayPatternCoefficients!A58</f>
        <v>225</v>
      </c>
      <c r="T50" s="163" t="str">
        <f>DayPatternCoefficients!B58</f>
        <v>S-MIXDEN</v>
      </c>
      <c r="U50" s="157">
        <f>DayPatternCoefficients!D58</f>
        <v>0</v>
      </c>
      <c r="V50" s="178">
        <f t="shared" si="0"/>
        <v>0</v>
      </c>
      <c r="AE50" s="115">
        <v>85</v>
      </c>
      <c r="AF50" s="115" t="s">
        <v>1057</v>
      </c>
      <c r="AG50" s="115">
        <v>0.141816684612</v>
      </c>
      <c r="AI50" s="115" t="s">
        <v>1078</v>
      </c>
    </row>
    <row r="51" spans="1:35" x14ac:dyDescent="0.25">
      <c r="A51" s="3" t="s">
        <v>212</v>
      </c>
      <c r="B51" s="7">
        <v>351</v>
      </c>
      <c r="C51" s="7">
        <v>302</v>
      </c>
      <c r="D51" s="7">
        <v>303</v>
      </c>
      <c r="E51" s="7">
        <v>304</v>
      </c>
      <c r="F51" s="7">
        <v>305</v>
      </c>
      <c r="G51" s="7">
        <v>306</v>
      </c>
      <c r="H51" s="7">
        <v>307</v>
      </c>
      <c r="J51" s="166">
        <v>351</v>
      </c>
      <c r="K51" s="129" t="str">
        <f t="shared" si="18"/>
        <v>E-FTW</v>
      </c>
      <c r="L51" s="181">
        <f t="shared" si="19"/>
        <v>-8.8357245652327207E-2</v>
      </c>
      <c r="M51" s="193">
        <f t="shared" si="20"/>
        <v>-8.8357245652327207E-2</v>
      </c>
      <c r="N51" s="174">
        <f t="shared" si="17"/>
        <v>0</v>
      </c>
      <c r="S51" s="163">
        <f>DayPatternCoefficients!A59</f>
        <v>226</v>
      </c>
      <c r="T51" s="163" t="str">
        <f>DayPatternCoefficients!B59</f>
        <v>S-INTDEN</v>
      </c>
      <c r="U51" s="157">
        <f>DayPatternCoefficients!D59</f>
        <v>0</v>
      </c>
      <c r="V51" s="178">
        <f t="shared" si="0"/>
        <v>0</v>
      </c>
      <c r="AE51" s="115">
        <v>86</v>
      </c>
      <c r="AF51" s="115" t="s">
        <v>1057</v>
      </c>
      <c r="AG51" s="115">
        <v>-0.66113956890100001</v>
      </c>
      <c r="AI51" s="115" t="s">
        <v>1087</v>
      </c>
    </row>
    <row r="52" spans="1:35" x14ac:dyDescent="0.25">
      <c r="A52" s="3" t="s">
        <v>213</v>
      </c>
      <c r="B52" s="7">
        <v>451</v>
      </c>
      <c r="C52" s="7">
        <v>402</v>
      </c>
      <c r="D52" s="7">
        <v>403</v>
      </c>
      <c r="E52" s="7">
        <v>404</v>
      </c>
      <c r="F52" s="7">
        <v>405</v>
      </c>
      <c r="G52" s="7">
        <v>406</v>
      </c>
      <c r="H52" s="7">
        <v>407</v>
      </c>
      <c r="J52" s="166">
        <v>451</v>
      </c>
      <c r="K52" s="129" t="str">
        <f t="shared" si="18"/>
        <v>P-FTW</v>
      </c>
      <c r="L52" s="181">
        <f t="shared" si="19"/>
        <v>0.16213091771132185</v>
      </c>
      <c r="M52" s="193">
        <f t="shared" si="20"/>
        <v>0.16213091771132185</v>
      </c>
      <c r="N52" s="174">
        <f t="shared" si="17"/>
        <v>0</v>
      </c>
      <c r="S52" s="163">
        <f>DayPatternCoefficients!A60</f>
        <v>227</v>
      </c>
      <c r="T52" s="163" t="str">
        <f>DayPatternCoefficients!B60</f>
        <v>S-ACCLOG</v>
      </c>
      <c r="U52" s="157">
        <f>DayPatternCoefficients!D60</f>
        <v>0</v>
      </c>
      <c r="V52" s="178">
        <f t="shared" si="0"/>
        <v>0</v>
      </c>
      <c r="AE52" s="115">
        <v>87</v>
      </c>
      <c r="AF52" s="115" t="s">
        <v>1057</v>
      </c>
      <c r="AG52" s="115">
        <v>-0.187451161299</v>
      </c>
      <c r="AI52" s="115" t="s">
        <v>1092</v>
      </c>
    </row>
    <row r="53" spans="1:35" x14ac:dyDescent="0.25">
      <c r="A53" s="3" t="s">
        <v>214</v>
      </c>
      <c r="B53" s="7">
        <v>551</v>
      </c>
      <c r="C53" s="7">
        <v>502</v>
      </c>
      <c r="D53" s="7">
        <v>503</v>
      </c>
      <c r="E53" s="7">
        <v>504</v>
      </c>
      <c r="F53" s="7">
        <v>505</v>
      </c>
      <c r="G53" s="7">
        <v>506</v>
      </c>
      <c r="H53" s="7">
        <v>507</v>
      </c>
      <c r="J53" s="166">
        <v>551</v>
      </c>
      <c r="K53" s="129" t="str">
        <f t="shared" si="18"/>
        <v>H-FTW</v>
      </c>
      <c r="L53" s="181">
        <f t="shared" si="19"/>
        <v>-0.51326693660426259</v>
      </c>
      <c r="M53" s="193">
        <f t="shared" si="20"/>
        <v>-0.51326693660426259</v>
      </c>
      <c r="N53" s="174">
        <f t="shared" si="17"/>
        <v>0</v>
      </c>
      <c r="S53" s="163">
        <f>DayPatternCoefficients!A61</f>
        <v>228</v>
      </c>
      <c r="T53" s="163" t="str">
        <f>DayPatternCoefficients!B61</f>
        <v>S-T-LOGS</v>
      </c>
      <c r="U53" s="157">
        <f>DayPatternCoefficients!D61</f>
        <v>0.1</v>
      </c>
      <c r="V53" s="178">
        <f t="shared" si="0"/>
        <v>0.1</v>
      </c>
      <c r="AE53" s="115">
        <v>88</v>
      </c>
      <c r="AF53" s="115" t="s">
        <v>1057</v>
      </c>
      <c r="AG53" s="115">
        <v>-0.29525033118999999</v>
      </c>
      <c r="AI53" s="115" t="s">
        <v>1100</v>
      </c>
    </row>
    <row r="54" spans="1:35" x14ac:dyDescent="0.25">
      <c r="A54" s="3" t="s">
        <v>129</v>
      </c>
      <c r="B54" s="7">
        <v>651</v>
      </c>
      <c r="C54" s="7">
        <v>602</v>
      </c>
      <c r="D54" s="7">
        <v>603</v>
      </c>
      <c r="E54" s="7">
        <v>604</v>
      </c>
      <c r="F54" s="7">
        <v>605</v>
      </c>
      <c r="G54" s="7">
        <v>606</v>
      </c>
      <c r="H54" s="7">
        <v>607</v>
      </c>
      <c r="J54" s="166">
        <v>651</v>
      </c>
      <c r="K54" s="129" t="str">
        <f t="shared" si="18"/>
        <v>M-FTW</v>
      </c>
      <c r="L54" s="181">
        <f t="shared" si="19"/>
        <v>-4.9481424314039932</v>
      </c>
      <c r="M54" s="193">
        <f t="shared" si="20"/>
        <v>-4.9481424314039932</v>
      </c>
      <c r="N54" s="174">
        <f t="shared" si="17"/>
        <v>0</v>
      </c>
      <c r="S54" s="163">
        <f>DayPatternCoefficients!A62</f>
        <v>229</v>
      </c>
      <c r="T54" s="163" t="str">
        <f>DayPatternCoefficients!B62</f>
        <v>S-S-LOGS</v>
      </c>
      <c r="U54" s="157">
        <f>DayPatternCoefficients!D62</f>
        <v>0</v>
      </c>
      <c r="V54" s="178">
        <f t="shared" si="0"/>
        <v>0</v>
      </c>
      <c r="AE54" s="115">
        <v>89</v>
      </c>
      <c r="AF54" s="115" t="s">
        <v>1058</v>
      </c>
      <c r="AG54" s="115">
        <v>0.93398227069700002</v>
      </c>
      <c r="AI54" s="115" t="s">
        <v>1064</v>
      </c>
    </row>
    <row r="55" spans="1:35" ht="15.75" thickBot="1" x14ac:dyDescent="0.3">
      <c r="A55" s="15" t="s">
        <v>130</v>
      </c>
      <c r="B55" s="22">
        <v>751</v>
      </c>
      <c r="C55" s="22">
        <v>702</v>
      </c>
      <c r="D55" s="22">
        <v>703</v>
      </c>
      <c r="E55" s="22">
        <v>704</v>
      </c>
      <c r="F55" s="22">
        <v>705</v>
      </c>
      <c r="G55" s="22">
        <v>706</v>
      </c>
      <c r="H55" s="22">
        <v>707</v>
      </c>
      <c r="J55" s="166">
        <v>751</v>
      </c>
      <c r="K55" s="129" t="str">
        <f t="shared" si="18"/>
        <v>D-FTW</v>
      </c>
      <c r="L55" s="181">
        <f t="shared" si="19"/>
        <v>3.3793425367335449E-2</v>
      </c>
      <c r="M55" s="193">
        <f t="shared" si="20"/>
        <v>3.3793425367335449E-2</v>
      </c>
      <c r="N55" s="174">
        <f t="shared" si="17"/>
        <v>0</v>
      </c>
      <c r="S55" s="137">
        <f>DayPatternCoefficients!A63</f>
        <v>251</v>
      </c>
      <c r="T55" s="137" t="str">
        <f>DayPatternCoefficients!B63</f>
        <v>S-FTW</v>
      </c>
      <c r="U55" s="138">
        <f>DayPatternCoefficients!D63</f>
        <v>0</v>
      </c>
      <c r="V55" s="178" t="e">
        <f t="shared" si="0"/>
        <v>#DIV/0!</v>
      </c>
      <c r="AE55" s="115">
        <v>90</v>
      </c>
      <c r="AF55" s="115" t="s">
        <v>1067</v>
      </c>
      <c r="AG55" s="115">
        <v>-5</v>
      </c>
      <c r="AI55" s="115" t="s">
        <v>1065</v>
      </c>
    </row>
    <row r="56" spans="1:35" x14ac:dyDescent="0.25">
      <c r="J56" s="166">
        <v>102</v>
      </c>
      <c r="K56" s="129" t="str">
        <f t="shared" si="18"/>
        <v>W-PTW</v>
      </c>
      <c r="L56" s="182">
        <f>C88</f>
        <v>-1.303897636706282</v>
      </c>
      <c r="M56" s="193">
        <f t="shared" si="20"/>
        <v>-1.303897636706282</v>
      </c>
      <c r="N56" s="174">
        <f t="shared" si="17"/>
        <v>0</v>
      </c>
      <c r="S56" s="137">
        <f>DayPatternCoefficients!A64</f>
        <v>300</v>
      </c>
      <c r="T56" s="137" t="str">
        <f>DayPatternCoefficients!B64</f>
        <v>E-TASC</v>
      </c>
      <c r="U56" s="138">
        <f>DayPatternCoefficients!D64</f>
        <v>-2.8</v>
      </c>
      <c r="V56" s="178">
        <f t="shared" si="0"/>
        <v>-2.7248016469780487</v>
      </c>
      <c r="AE56" s="115">
        <v>91</v>
      </c>
      <c r="AF56" s="115" t="s">
        <v>1071</v>
      </c>
      <c r="AG56" s="115">
        <v>-0.46211489475700002</v>
      </c>
      <c r="AI56" s="115" t="s">
        <v>1070</v>
      </c>
    </row>
    <row r="57" spans="1:35" x14ac:dyDescent="0.25">
      <c r="J57" s="166">
        <v>302</v>
      </c>
      <c r="K57" s="129" t="str">
        <f t="shared" si="18"/>
        <v>E-PTW</v>
      </c>
      <c r="L57" s="182">
        <f>C90</f>
        <v>-0.21181422423461937</v>
      </c>
      <c r="M57" s="193">
        <f t="shared" si="20"/>
        <v>-0.21181422423461937</v>
      </c>
      <c r="N57" s="174">
        <f t="shared" si="17"/>
        <v>0</v>
      </c>
      <c r="S57" s="137">
        <f>DayPatternCoefficients!A65</f>
        <v>301</v>
      </c>
      <c r="T57" s="137" t="str">
        <f>DayPatternCoefficients!B65</f>
        <v>E-SASC</v>
      </c>
      <c r="U57" s="138">
        <f>DayPatternCoefficients!D65</f>
        <v>-2</v>
      </c>
      <c r="V57" s="178">
        <f t="shared" si="0"/>
        <v>-1.9785486503570475</v>
      </c>
      <c r="AE57" s="115">
        <v>92</v>
      </c>
      <c r="AF57" s="115" t="s">
        <v>1084</v>
      </c>
      <c r="AG57" s="115">
        <v>-0.86143782592100004</v>
      </c>
      <c r="AI57" s="115" t="s">
        <v>1078</v>
      </c>
    </row>
    <row r="58" spans="1:35" x14ac:dyDescent="0.25">
      <c r="A58" s="106" t="s">
        <v>175</v>
      </c>
      <c r="B58" s="3"/>
      <c r="C58" s="3"/>
      <c r="D58" s="3"/>
      <c r="E58" s="3"/>
      <c r="F58" s="3"/>
      <c r="G58" s="3"/>
      <c r="H58" s="3"/>
      <c r="J58" s="166">
        <v>402</v>
      </c>
      <c r="K58" s="129" t="str">
        <f t="shared" si="18"/>
        <v>P-PTW</v>
      </c>
      <c r="L58" s="182">
        <f t="shared" ref="L58:L61" si="21">C91</f>
        <v>2.5656695733519065E-2</v>
      </c>
      <c r="M58" s="193">
        <f t="shared" si="20"/>
        <v>2.5656695733519065E-2</v>
      </c>
      <c r="N58" s="174">
        <f t="shared" si="17"/>
        <v>0</v>
      </c>
      <c r="S58" s="137">
        <f>DayPatternCoefficients!A66</f>
        <v>302</v>
      </c>
      <c r="T58" s="137" t="str">
        <f>DayPatternCoefficients!B66</f>
        <v>E-PTW</v>
      </c>
      <c r="U58" s="138">
        <f>DayPatternCoefficients!D66</f>
        <v>0</v>
      </c>
      <c r="V58" s="178">
        <f t="shared" si="0"/>
        <v>-0.21181422423461937</v>
      </c>
      <c r="AE58" s="115">
        <v>93</v>
      </c>
      <c r="AF58" s="115" t="s">
        <v>1088</v>
      </c>
      <c r="AG58" s="115">
        <v>-1.81254617234</v>
      </c>
      <c r="AI58" s="115" t="s">
        <v>1087</v>
      </c>
    </row>
    <row r="59" spans="1:35" x14ac:dyDescent="0.25">
      <c r="A59" s="106" t="s">
        <v>1037</v>
      </c>
      <c r="B59" s="3"/>
      <c r="C59" s="3"/>
      <c r="D59" s="3"/>
      <c r="E59" s="3"/>
      <c r="F59" s="3"/>
      <c r="G59" s="3"/>
      <c r="H59" s="3"/>
      <c r="J59" s="166">
        <v>502</v>
      </c>
      <c r="K59" s="129" t="str">
        <f t="shared" si="18"/>
        <v>H-PTW</v>
      </c>
      <c r="L59" s="182">
        <f t="shared" si="21"/>
        <v>-0.37130524935709375</v>
      </c>
      <c r="M59" s="193">
        <f t="shared" si="20"/>
        <v>-0.37130524935709375</v>
      </c>
      <c r="N59" s="174">
        <f t="shared" si="17"/>
        <v>0</v>
      </c>
      <c r="S59" s="137">
        <f>DayPatternCoefficients!A67</f>
        <v>303</v>
      </c>
      <c r="T59" s="137" t="str">
        <f>DayPatternCoefficients!B67</f>
        <v>E-RET</v>
      </c>
      <c r="U59" s="138">
        <f>DayPatternCoefficients!D67</f>
        <v>-0.41781712126600001</v>
      </c>
      <c r="V59" s="178">
        <f t="shared" si="0"/>
        <v>1.2719630995282477E-2</v>
      </c>
      <c r="AE59" s="115">
        <v>94</v>
      </c>
      <c r="AF59" s="115" t="s">
        <v>1093</v>
      </c>
      <c r="AG59" s="115">
        <v>-2.1522853463799998</v>
      </c>
      <c r="AI59" s="115" t="s">
        <v>1092</v>
      </c>
    </row>
    <row r="60" spans="1:35" ht="15.75" thickBot="1" x14ac:dyDescent="0.3">
      <c r="A60" s="3"/>
      <c r="B60" s="4"/>
      <c r="C60" s="4"/>
      <c r="D60" s="4"/>
      <c r="E60" s="4"/>
      <c r="F60" s="4"/>
      <c r="G60" s="4"/>
      <c r="H60" s="4"/>
      <c r="J60" s="166">
        <v>602</v>
      </c>
      <c r="K60" s="129" t="str">
        <f t="shared" si="18"/>
        <v>M-PTW</v>
      </c>
      <c r="L60" s="182">
        <f t="shared" si="21"/>
        <v>9.6217909292551987E-3</v>
      </c>
      <c r="M60" s="193">
        <f t="shared" si="20"/>
        <v>9.6217909292551987E-3</v>
      </c>
      <c r="N60" s="174">
        <f t="shared" si="17"/>
        <v>0</v>
      </c>
      <c r="S60" s="137">
        <f>DayPatternCoefficients!A68</f>
        <v>304</v>
      </c>
      <c r="T60" s="137" t="str">
        <f>DayPatternCoefficients!B68</f>
        <v>E-NWA</v>
      </c>
      <c r="U60" s="138">
        <f>DayPatternCoefficients!D68</f>
        <v>0.3</v>
      </c>
      <c r="V60" s="178">
        <f t="shared" si="0"/>
        <v>0.16801256833877409</v>
      </c>
      <c r="AE60" s="115">
        <v>95</v>
      </c>
      <c r="AF60" s="115" t="s">
        <v>1101</v>
      </c>
      <c r="AG60" s="115">
        <v>-1.6486450373699999</v>
      </c>
      <c r="AI60" s="115" t="s">
        <v>1100</v>
      </c>
    </row>
    <row r="61" spans="1:35" x14ac:dyDescent="0.25">
      <c r="A61" s="5" t="s">
        <v>159</v>
      </c>
      <c r="B61" s="6" t="s">
        <v>146</v>
      </c>
      <c r="C61" s="6" t="s">
        <v>147</v>
      </c>
      <c r="D61" s="6" t="s">
        <v>148</v>
      </c>
      <c r="E61" s="6" t="s">
        <v>243</v>
      </c>
      <c r="F61" s="6" t="s">
        <v>244</v>
      </c>
      <c r="G61" s="6" t="s">
        <v>245</v>
      </c>
      <c r="H61" s="6" t="s">
        <v>246</v>
      </c>
      <c r="J61" s="166">
        <v>702</v>
      </c>
      <c r="K61" s="129" t="str">
        <f t="shared" si="18"/>
        <v>D-PTW</v>
      </c>
      <c r="L61" s="182">
        <f t="shared" si="21"/>
        <v>1.9023367286438893E-2</v>
      </c>
      <c r="M61" s="193">
        <f t="shared" si="20"/>
        <v>1.9023367286438893E-2</v>
      </c>
      <c r="N61" s="174">
        <f t="shared" si="17"/>
        <v>0</v>
      </c>
      <c r="S61" s="137">
        <f>DayPatternCoefficients!A69</f>
        <v>305</v>
      </c>
      <c r="T61" s="137" t="str">
        <f>DayPatternCoefficients!B69</f>
        <v>E-UNI</v>
      </c>
      <c r="U61" s="138">
        <f>DayPatternCoefficients!D69</f>
        <v>0</v>
      </c>
      <c r="V61" s="178">
        <f t="shared" si="0"/>
        <v>-0.21523067016332492</v>
      </c>
      <c r="AE61" s="115">
        <v>96</v>
      </c>
      <c r="AF61" s="115" t="s">
        <v>1059</v>
      </c>
      <c r="AG61" s="115">
        <v>-1.3894520502500001</v>
      </c>
      <c r="AI61" s="115" t="s">
        <v>1064</v>
      </c>
    </row>
    <row r="62" spans="1:35" x14ac:dyDescent="0.25">
      <c r="A62" s="3" t="s">
        <v>210</v>
      </c>
      <c r="B62" s="144">
        <f>U32</f>
        <v>0.8</v>
      </c>
      <c r="C62" s="144">
        <f>U5</f>
        <v>-1.3062598161100001</v>
      </c>
      <c r="D62" s="210" t="s">
        <v>1031</v>
      </c>
      <c r="E62" s="210" t="s">
        <v>1031</v>
      </c>
      <c r="F62" s="144">
        <f>U6</f>
        <v>9.5</v>
      </c>
      <c r="G62" s="144">
        <f>U7</f>
        <v>-1.3932</v>
      </c>
      <c r="H62" s="210" t="s">
        <v>1031</v>
      </c>
      <c r="J62" s="166">
        <v>303</v>
      </c>
      <c r="K62" s="129" t="str">
        <f t="shared" si="18"/>
        <v>E-RET</v>
      </c>
      <c r="L62" s="182">
        <f>D90</f>
        <v>1.2719630995282477E-2</v>
      </c>
      <c r="M62" s="193">
        <f t="shared" si="20"/>
        <v>1.2719630995282477E-2</v>
      </c>
      <c r="N62" s="174">
        <f t="shared" si="17"/>
        <v>0</v>
      </c>
      <c r="S62" s="137">
        <f>DayPatternCoefficients!A70</f>
        <v>306</v>
      </c>
      <c r="T62" s="137" t="str">
        <f>DayPatternCoefficients!B70</f>
        <v>E-DAS</v>
      </c>
      <c r="U62" s="138">
        <f>DayPatternCoefficients!D70</f>
        <v>0</v>
      </c>
      <c r="V62" s="178">
        <f t="shared" si="0"/>
        <v>-0.20171317964186164</v>
      </c>
      <c r="AE62" s="115">
        <v>103</v>
      </c>
      <c r="AF62" s="115" t="s">
        <v>1060</v>
      </c>
      <c r="AG62" s="115">
        <v>0.119796316892</v>
      </c>
      <c r="AI62" s="115" t="s">
        <v>1064</v>
      </c>
    </row>
    <row r="63" spans="1:35" x14ac:dyDescent="0.25">
      <c r="A63" s="3" t="s">
        <v>211</v>
      </c>
      <c r="B63" s="144">
        <f>U63</f>
        <v>0</v>
      </c>
      <c r="C63" s="210" t="s">
        <v>1031</v>
      </c>
      <c r="D63" s="210" t="s">
        <v>1031</v>
      </c>
      <c r="E63" s="210" t="s">
        <v>1031</v>
      </c>
      <c r="F63" s="144">
        <f>U35</f>
        <v>0</v>
      </c>
      <c r="G63" s="144">
        <f>U36</f>
        <v>0</v>
      </c>
      <c r="H63" s="144">
        <f>U37</f>
        <v>0</v>
      </c>
      <c r="J63" s="166">
        <v>403</v>
      </c>
      <c r="K63" s="129" t="str">
        <f t="shared" si="18"/>
        <v>P-RET</v>
      </c>
      <c r="L63" s="182">
        <f t="shared" ref="L63:L66" si="22">D91</f>
        <v>2.1018179372811592E-2</v>
      </c>
      <c r="M63" s="193">
        <f t="shared" si="20"/>
        <v>2.1018179372811592E-2</v>
      </c>
      <c r="N63" s="174">
        <f t="shared" si="17"/>
        <v>0</v>
      </c>
      <c r="S63" s="137">
        <f>DayPatternCoefficients!A71</f>
        <v>307</v>
      </c>
      <c r="T63" s="137" t="str">
        <f>DayPatternCoefficients!B71</f>
        <v>E-PAS</v>
      </c>
      <c r="U63" s="138">
        <f>DayPatternCoefficients!D71</f>
        <v>0</v>
      </c>
      <c r="V63" s="178">
        <f t="shared" si="0"/>
        <v>1.6353342176098976E-3</v>
      </c>
      <c r="AE63" s="115">
        <v>104</v>
      </c>
      <c r="AF63" s="115" t="s">
        <v>1060</v>
      </c>
      <c r="AG63" s="117">
        <v>-6.0874029466500001E-2</v>
      </c>
      <c r="AI63" s="115" t="s">
        <v>1065</v>
      </c>
    </row>
    <row r="64" spans="1:35" x14ac:dyDescent="0.25">
      <c r="A64" s="3" t="s">
        <v>212</v>
      </c>
      <c r="B64" s="144">
        <f>U97</f>
        <v>-5.4110020185400003E-2</v>
      </c>
      <c r="C64" s="144">
        <f>U66</f>
        <v>-0.29925114340999998</v>
      </c>
      <c r="D64" s="144">
        <f>U67</f>
        <v>0</v>
      </c>
      <c r="E64" s="144">
        <f>U68</f>
        <v>0</v>
      </c>
      <c r="F64" s="144">
        <f>U69</f>
        <v>-0.31883301010699999</v>
      </c>
      <c r="G64" s="144">
        <f>U70</f>
        <v>-0.547945531682</v>
      </c>
      <c r="H64" s="144">
        <f>U71</f>
        <v>0</v>
      </c>
      <c r="J64" s="166">
        <v>503</v>
      </c>
      <c r="K64" s="129" t="str">
        <f t="shared" si="18"/>
        <v>H-RET</v>
      </c>
      <c r="L64" s="182">
        <f t="shared" si="22"/>
        <v>1.6658417930191932E-2</v>
      </c>
      <c r="M64" s="193">
        <f t="shared" si="20"/>
        <v>1.6658417930191932E-2</v>
      </c>
      <c r="N64" s="174">
        <f t="shared" si="17"/>
        <v>0</v>
      </c>
      <c r="S64" s="137">
        <f>DayPatternCoefficients!A72</f>
        <v>308</v>
      </c>
      <c r="T64" s="137" t="str">
        <f>DayPatternCoefficients!B72</f>
        <v>E-CU5</v>
      </c>
      <c r="U64" s="138">
        <f>DayPatternCoefficients!D72</f>
        <v>0.5</v>
      </c>
      <c r="V64" s="178">
        <f t="shared" si="0"/>
        <v>0.5</v>
      </c>
      <c r="AE64" s="115">
        <v>105</v>
      </c>
      <c r="AF64" s="115" t="s">
        <v>1060</v>
      </c>
      <c r="AG64" s="117">
        <v>6.1875263468900002E-2</v>
      </c>
      <c r="AI64" s="115" t="s">
        <v>1070</v>
      </c>
    </row>
    <row r="65" spans="1:35" x14ac:dyDescent="0.25">
      <c r="A65" s="3" t="s">
        <v>213</v>
      </c>
      <c r="B65" s="144">
        <f>U131</f>
        <v>0.145509111734</v>
      </c>
      <c r="C65" s="144">
        <f>U100</f>
        <v>0</v>
      </c>
      <c r="D65" s="144">
        <f>U101</f>
        <v>0</v>
      </c>
      <c r="E65" s="144">
        <f>U102</f>
        <v>-0.139780975551</v>
      </c>
      <c r="F65" s="144">
        <f>U103</f>
        <v>-0.18567872516700001</v>
      </c>
      <c r="G65" s="144">
        <f>U104</f>
        <v>0</v>
      </c>
      <c r="H65" s="144">
        <f>U105</f>
        <v>-0.38992988658400002</v>
      </c>
      <c r="J65" s="166">
        <v>603</v>
      </c>
      <c r="K65" s="129" t="str">
        <f t="shared" si="18"/>
        <v>M-RET</v>
      </c>
      <c r="L65" s="182">
        <f t="shared" si="22"/>
        <v>1.894368635633488E-2</v>
      </c>
      <c r="M65" s="193">
        <f t="shared" si="20"/>
        <v>1.894368635633488E-2</v>
      </c>
      <c r="N65" s="174">
        <f t="shared" si="17"/>
        <v>0</v>
      </c>
      <c r="S65" s="163">
        <f>DayPatternCoefficients!A73</f>
        <v>309</v>
      </c>
      <c r="T65" s="163" t="str">
        <f>DayPatternCoefficients!B73</f>
        <v>E-VLINC</v>
      </c>
      <c r="U65" s="157">
        <f>DayPatternCoefficients!D73</f>
        <v>-0.232122656585</v>
      </c>
      <c r="V65" s="178">
        <f t="shared" si="0"/>
        <v>-0.232122656585</v>
      </c>
      <c r="AE65" s="115">
        <v>106</v>
      </c>
      <c r="AF65" s="115" t="s">
        <v>1060</v>
      </c>
      <c r="AG65" s="115">
        <v>-0.106693712249</v>
      </c>
      <c r="AI65" s="115" t="s">
        <v>1078</v>
      </c>
    </row>
    <row r="66" spans="1:35" x14ac:dyDescent="0.25">
      <c r="A66" s="3" t="s">
        <v>214</v>
      </c>
      <c r="B66" s="144">
        <f>U165</f>
        <v>-0.48080125201099999</v>
      </c>
      <c r="C66" s="144">
        <f>U134</f>
        <v>-0.39019421704099999</v>
      </c>
      <c r="D66" s="144">
        <f>U135</f>
        <v>0</v>
      </c>
      <c r="E66" s="144">
        <f>U136</f>
        <v>-0.664842450325</v>
      </c>
      <c r="F66" s="144">
        <f>U137</f>
        <v>-0.128206129379</v>
      </c>
      <c r="G66" s="144">
        <f>U138</f>
        <v>0.109643763442</v>
      </c>
      <c r="H66" s="144">
        <f>U139</f>
        <v>0</v>
      </c>
      <c r="J66" s="166">
        <v>703</v>
      </c>
      <c r="K66" s="129" t="str">
        <f t="shared" si="18"/>
        <v>D-RET</v>
      </c>
      <c r="L66" s="182">
        <f t="shared" si="22"/>
        <v>2.1243257721095983E-2</v>
      </c>
      <c r="M66" s="193">
        <f t="shared" si="20"/>
        <v>2.1243257721095983E-2</v>
      </c>
      <c r="N66" s="174">
        <f t="shared" si="17"/>
        <v>0</v>
      </c>
      <c r="S66" s="163">
        <f>DayPatternCoefficients!A74</f>
        <v>310</v>
      </c>
      <c r="T66" s="163" t="str">
        <f>DayPatternCoefficients!B74</f>
        <v>E-LOINC</v>
      </c>
      <c r="U66" s="157">
        <f>DayPatternCoefficients!D74</f>
        <v>-0.29925114340999998</v>
      </c>
      <c r="V66" s="178">
        <f t="shared" si="0"/>
        <v>-0.29925114340999998</v>
      </c>
      <c r="AE66" s="115">
        <v>107</v>
      </c>
      <c r="AF66" s="115" t="s">
        <v>1060</v>
      </c>
      <c r="AG66" s="115">
        <v>-0.149975354285</v>
      </c>
      <c r="AI66" s="115" t="s">
        <v>1087</v>
      </c>
    </row>
    <row r="67" spans="1:35" x14ac:dyDescent="0.25">
      <c r="A67" s="3" t="s">
        <v>129</v>
      </c>
      <c r="B67" s="144">
        <f>U199</f>
        <v>-5</v>
      </c>
      <c r="C67" s="144">
        <f>U168</f>
        <v>0</v>
      </c>
      <c r="D67" s="144">
        <f>U169</f>
        <v>0</v>
      </c>
      <c r="E67" s="144">
        <f>U170</f>
        <v>0</v>
      </c>
      <c r="F67" s="144">
        <f>U171</f>
        <v>0</v>
      </c>
      <c r="G67" s="144">
        <f>U172</f>
        <v>0.1</v>
      </c>
      <c r="H67" s="144">
        <f>U173</f>
        <v>2.7065283978900002E-2</v>
      </c>
      <c r="J67" s="166">
        <v>304</v>
      </c>
      <c r="K67" s="129" t="str">
        <f t="shared" si="18"/>
        <v>E-NWA</v>
      </c>
      <c r="L67" s="182">
        <f>E90</f>
        <v>0.16801256833877409</v>
      </c>
      <c r="M67" s="193">
        <f t="shared" si="20"/>
        <v>0.16801256833877409</v>
      </c>
      <c r="N67" s="174">
        <f t="shared" si="17"/>
        <v>0</v>
      </c>
      <c r="S67" s="163">
        <f>DayPatternCoefficients!A75</f>
        <v>311</v>
      </c>
      <c r="T67" s="163" t="str">
        <f>DayPatternCoefficients!B75</f>
        <v>E-HIINC</v>
      </c>
      <c r="U67" s="157">
        <f>DayPatternCoefficients!D75</f>
        <v>0</v>
      </c>
      <c r="V67" s="178">
        <f t="shared" si="0"/>
        <v>0</v>
      </c>
      <c r="AE67" s="115">
        <v>108</v>
      </c>
      <c r="AF67" s="115" t="s">
        <v>1060</v>
      </c>
      <c r="AG67" s="115">
        <v>-0.17908713325299999</v>
      </c>
      <c r="AI67" s="115" t="s">
        <v>1092</v>
      </c>
    </row>
    <row r="68" spans="1:35" ht="15.75" thickBot="1" x14ac:dyDescent="0.3">
      <c r="A68" s="15" t="s">
        <v>130</v>
      </c>
      <c r="B68" s="145">
        <f>U233</f>
        <v>0</v>
      </c>
      <c r="C68" s="145">
        <f>U202</f>
        <v>0</v>
      </c>
      <c r="D68" s="145">
        <f>U203</f>
        <v>4.7101136486500002E-2</v>
      </c>
      <c r="E68" s="145">
        <f>U204</f>
        <v>3.3043148208000001E-2</v>
      </c>
      <c r="F68" s="145">
        <f>U205</f>
        <v>-0.181999194674</v>
      </c>
      <c r="G68" s="145">
        <f>U206</f>
        <v>0.48216116208199999</v>
      </c>
      <c r="H68" s="145">
        <f>U207</f>
        <v>4.1439464708299997E-2</v>
      </c>
      <c r="J68" s="166">
        <v>404</v>
      </c>
      <c r="K68" s="129" t="str">
        <f t="shared" si="18"/>
        <v>P-NWA</v>
      </c>
      <c r="L68" s="182">
        <f t="shared" ref="L68:L71" si="23">E91</f>
        <v>4.9245793585115077E-2</v>
      </c>
      <c r="M68" s="193">
        <f t="shared" si="20"/>
        <v>4.9245793585115077E-2</v>
      </c>
      <c r="N68" s="174">
        <f t="shared" si="17"/>
        <v>0</v>
      </c>
      <c r="S68" s="163">
        <f>DayPatternCoefficients!A76</f>
        <v>312</v>
      </c>
      <c r="T68" s="163" t="str">
        <f>DayPatternCoefficients!B76</f>
        <v>E-CARSPD</v>
      </c>
      <c r="U68" s="157">
        <f>DayPatternCoefficients!D76</f>
        <v>0</v>
      </c>
      <c r="V68" s="178">
        <f t="shared" ref="V68:V131" si="24">_xlfn.IFNA(VLOOKUP(S68,$J$49:$L$91,3,FALSE),_xlfn.IFNA(VLOOKUP(S68,$F$5:$J$11,5,FALSE),_xlfn.IFNA(VLOOKUP(S68,$F$19:$J$25,5,FALSE),U68)))</f>
        <v>0</v>
      </c>
      <c r="AE68" s="115">
        <v>109</v>
      </c>
      <c r="AF68" s="115" t="s">
        <v>1060</v>
      </c>
      <c r="AG68" s="115">
        <v>-0.19212914375099999</v>
      </c>
      <c r="AI68" s="115" t="s">
        <v>1100</v>
      </c>
    </row>
    <row r="69" spans="1:35" x14ac:dyDescent="0.25">
      <c r="J69" s="166">
        <v>504</v>
      </c>
      <c r="K69" s="129" t="str">
        <f t="shared" si="18"/>
        <v>H-NWA</v>
      </c>
      <c r="L69" s="182">
        <f t="shared" si="23"/>
        <v>-0.45852525793334631</v>
      </c>
      <c r="M69" s="193">
        <f t="shared" si="20"/>
        <v>-0.45852525793334631</v>
      </c>
      <c r="N69" s="174">
        <f t="shared" si="17"/>
        <v>0</v>
      </c>
      <c r="S69" s="163">
        <f>DayPatternCoefficients!A77</f>
        <v>313</v>
      </c>
      <c r="T69" s="163" t="str">
        <f>DayPatternCoefficients!B77</f>
        <v>E-ONLYAD</v>
      </c>
      <c r="U69" s="157">
        <f>DayPatternCoefficients!D77</f>
        <v>-0.31883301010699999</v>
      </c>
      <c r="V69" s="178">
        <f t="shared" si="24"/>
        <v>-0.31883301010699999</v>
      </c>
      <c r="AE69" s="115">
        <v>110</v>
      </c>
      <c r="AF69" s="115" t="s">
        <v>1061</v>
      </c>
      <c r="AG69" s="115">
        <v>0.21578009019899999</v>
      </c>
      <c r="AI69" s="115" t="s">
        <v>1064</v>
      </c>
    </row>
    <row r="70" spans="1:35" x14ac:dyDescent="0.25">
      <c r="J70" s="166">
        <v>604</v>
      </c>
      <c r="K70" s="129" t="str">
        <f t="shared" si="18"/>
        <v>M-NWA</v>
      </c>
      <c r="L70" s="182">
        <f t="shared" si="23"/>
        <v>0.22698523462046272</v>
      </c>
      <c r="M70" s="193">
        <f t="shared" si="20"/>
        <v>0.22698523462046272</v>
      </c>
      <c r="N70" s="174">
        <f t="shared" si="17"/>
        <v>0</v>
      </c>
      <c r="S70" s="163">
        <f>DayPatternCoefficients!A78</f>
        <v>314</v>
      </c>
      <c r="T70" s="163" t="str">
        <f>DayPatternCoefficients!B78</f>
        <v>E-ONLYWK</v>
      </c>
      <c r="U70" s="157">
        <f>DayPatternCoefficients!D78</f>
        <v>-0.547945531682</v>
      </c>
      <c r="V70" s="178">
        <f t="shared" si="24"/>
        <v>-0.547945531682</v>
      </c>
      <c r="AE70" s="115">
        <v>111</v>
      </c>
      <c r="AF70" s="115" t="s">
        <v>1061</v>
      </c>
      <c r="AG70" s="115">
        <v>0.173611176344</v>
      </c>
      <c r="AI70" s="115" t="s">
        <v>1065</v>
      </c>
    </row>
    <row r="71" spans="1:35" x14ac:dyDescent="0.25">
      <c r="A71" s="106" t="s">
        <v>175</v>
      </c>
      <c r="B71" s="3"/>
      <c r="C71" s="3"/>
      <c r="D71" s="3"/>
      <c r="E71" s="3"/>
      <c r="F71" s="3"/>
      <c r="G71" s="3"/>
      <c r="H71" s="3"/>
      <c r="J71" s="166">
        <v>704</v>
      </c>
      <c r="K71" s="129" t="str">
        <f t="shared" si="18"/>
        <v>D-NWA</v>
      </c>
      <c r="L71" s="182">
        <f t="shared" si="23"/>
        <v>0.24419822242376862</v>
      </c>
      <c r="M71" s="193">
        <f t="shared" si="20"/>
        <v>0.24419822242376862</v>
      </c>
      <c r="N71" s="174">
        <f t="shared" si="17"/>
        <v>0</v>
      </c>
      <c r="S71" s="163">
        <f>DayPatternCoefficients!A79</f>
        <v>316</v>
      </c>
      <c r="T71" s="163" t="str">
        <f>DayPatternCoefficients!B79</f>
        <v>E-FEMNOC</v>
      </c>
      <c r="U71" s="157">
        <f>DayPatternCoefficients!D79</f>
        <v>0</v>
      </c>
      <c r="V71" s="178">
        <f t="shared" si="24"/>
        <v>0</v>
      </c>
      <c r="AE71" s="115">
        <v>112</v>
      </c>
      <c r="AF71" s="115" t="s">
        <v>1072</v>
      </c>
      <c r="AG71" s="117">
        <v>1.5375331316199999E-2</v>
      </c>
      <c r="AI71" s="115" t="s">
        <v>1070</v>
      </c>
    </row>
    <row r="72" spans="1:35" x14ac:dyDescent="0.25">
      <c r="A72" s="106" t="s">
        <v>1038</v>
      </c>
      <c r="B72" s="3"/>
      <c r="C72" s="3" t="s">
        <v>1133</v>
      </c>
      <c r="D72" s="176">
        <f>H2</f>
        <v>0.5</v>
      </c>
      <c r="E72" s="3"/>
      <c r="F72" s="3"/>
      <c r="G72" s="3"/>
      <c r="H72" s="3"/>
      <c r="J72" s="166">
        <v>105</v>
      </c>
      <c r="K72" s="129" t="str">
        <f t="shared" si="18"/>
        <v>W-UNI</v>
      </c>
      <c r="L72" s="182">
        <f>F88</f>
        <v>9.1390776567403549</v>
      </c>
      <c r="M72" s="193">
        <f t="shared" si="20"/>
        <v>9.1390776567403549</v>
      </c>
      <c r="N72" s="174">
        <f t="shared" si="17"/>
        <v>0</v>
      </c>
      <c r="S72" s="163">
        <f>DayPatternCoefficients!A80</f>
        <v>317</v>
      </c>
      <c r="T72" s="163" t="str">
        <f>DayPatternCoefficients!B80</f>
        <v>E-FADCU5</v>
      </c>
      <c r="U72" s="157">
        <f>DayPatternCoefficients!D80</f>
        <v>1.22669557621</v>
      </c>
      <c r="V72" s="178">
        <f t="shared" si="24"/>
        <v>1.22669557621</v>
      </c>
      <c r="AE72" s="115">
        <v>113</v>
      </c>
      <c r="AF72" s="115" t="s">
        <v>1061</v>
      </c>
      <c r="AG72" s="117">
        <v>7.5013924216099995E-2</v>
      </c>
      <c r="AI72" s="115" t="s">
        <v>1078</v>
      </c>
    </row>
    <row r="73" spans="1:35" ht="15.75" thickBot="1" x14ac:dyDescent="0.3">
      <c r="A73" s="3"/>
      <c r="B73" s="4"/>
      <c r="C73" s="4"/>
      <c r="D73" s="4"/>
      <c r="E73" s="4"/>
      <c r="F73" s="4"/>
      <c r="G73" s="4"/>
      <c r="H73" s="4"/>
      <c r="J73" s="166">
        <v>205</v>
      </c>
      <c r="K73" s="129" t="str">
        <f t="shared" si="18"/>
        <v>S-UNI</v>
      </c>
      <c r="L73" s="182">
        <f t="shared" ref="L73:L78" si="25">F89</f>
        <v>-0.43517179164023012</v>
      </c>
      <c r="M73" s="193">
        <f t="shared" si="20"/>
        <v>-0.43517179164023012</v>
      </c>
      <c r="N73" s="174">
        <f t="shared" si="17"/>
        <v>0</v>
      </c>
      <c r="S73" s="163">
        <f>DayPatternCoefficients!A81</f>
        <v>318</v>
      </c>
      <c r="T73" s="163" t="str">
        <f>DayPatternCoefficients!B81</f>
        <v>E-FAD515</v>
      </c>
      <c r="U73" s="157">
        <f>DayPatternCoefficients!D81</f>
        <v>1.7287074631199999</v>
      </c>
      <c r="V73" s="178">
        <f t="shared" si="24"/>
        <v>1.7287074631199999</v>
      </c>
      <c r="AE73" s="115">
        <v>114</v>
      </c>
      <c r="AF73" s="115" t="s">
        <v>1061</v>
      </c>
      <c r="AG73" s="117">
        <v>7.3351120189599994E-2</v>
      </c>
      <c r="AI73" s="115" t="s">
        <v>1087</v>
      </c>
    </row>
    <row r="74" spans="1:35" x14ac:dyDescent="0.25">
      <c r="A74" s="5" t="s">
        <v>159</v>
      </c>
      <c r="B74" s="6" t="s">
        <v>146</v>
      </c>
      <c r="C74" s="6" t="s">
        <v>147</v>
      </c>
      <c r="D74" s="6" t="s">
        <v>148</v>
      </c>
      <c r="E74" s="6" t="s">
        <v>243</v>
      </c>
      <c r="F74" s="6" t="s">
        <v>244</v>
      </c>
      <c r="G74" s="6" t="s">
        <v>245</v>
      </c>
      <c r="H74" s="6" t="s">
        <v>246</v>
      </c>
      <c r="J74" s="166">
        <v>305</v>
      </c>
      <c r="K74" s="129" t="str">
        <f t="shared" si="18"/>
        <v>E-UNI</v>
      </c>
      <c r="L74" s="182">
        <f t="shared" si="25"/>
        <v>-0.21523067016332492</v>
      </c>
      <c r="M74" s="193">
        <f t="shared" si="20"/>
        <v>-0.21523067016332492</v>
      </c>
      <c r="N74" s="174">
        <f t="shared" si="17"/>
        <v>0</v>
      </c>
      <c r="S74" s="163">
        <f>DayPatternCoefficients!A82</f>
        <v>319</v>
      </c>
      <c r="T74" s="163" t="str">
        <f>DayPatternCoefficients!B82</f>
        <v>E-MADCU5</v>
      </c>
      <c r="U74" s="157">
        <f>DayPatternCoefficients!D82</f>
        <v>0.84736851681500003</v>
      </c>
      <c r="V74" s="178">
        <f t="shared" si="24"/>
        <v>0.84736851681500003</v>
      </c>
      <c r="AE74" s="115">
        <v>115</v>
      </c>
      <c r="AF74" s="115" t="s">
        <v>1061</v>
      </c>
      <c r="AG74" s="117">
        <v>9.3983942987200003E-2</v>
      </c>
      <c r="AI74" s="115" t="s">
        <v>1092</v>
      </c>
    </row>
    <row r="75" spans="1:35" x14ac:dyDescent="0.25">
      <c r="A75" s="3" t="s">
        <v>210</v>
      </c>
      <c r="B75" s="144">
        <f>D72*(LN(B34/K34)-$I5)</f>
        <v>3.617127802017215E-2</v>
      </c>
      <c r="C75" s="144">
        <f>D72*(LN(C34/L34)-$I5)</f>
        <v>2.3621794037179886E-3</v>
      </c>
      <c r="D75" s="210" t="s">
        <v>1031</v>
      </c>
      <c r="E75" s="210" t="s">
        <v>1031</v>
      </c>
      <c r="F75" s="144">
        <f>D72*(LN(F34/O34)-$I5)</f>
        <v>-0.36092234325964601</v>
      </c>
      <c r="G75" s="144">
        <f>D72*(LN(G34/P34)-$I5)</f>
        <v>-6.3667849037405772E-2</v>
      </c>
      <c r="H75" s="210" t="s">
        <v>1031</v>
      </c>
      <c r="J75" s="166">
        <v>405</v>
      </c>
      <c r="K75" s="129" t="str">
        <f t="shared" si="18"/>
        <v>P-UNI</v>
      </c>
      <c r="L75" s="182">
        <f t="shared" si="25"/>
        <v>2.5526924496432152E-2</v>
      </c>
      <c r="M75" s="193">
        <f t="shared" si="20"/>
        <v>2.5526924496432152E-2</v>
      </c>
      <c r="N75" s="174">
        <f t="shared" si="17"/>
        <v>0</v>
      </c>
      <c r="S75" s="163">
        <f>DayPatternCoefficients!A83</f>
        <v>320</v>
      </c>
      <c r="T75" s="163" t="str">
        <f>DayPatternCoefficients!B83</f>
        <v>E-MAD515</v>
      </c>
      <c r="U75" s="157">
        <f>DayPatternCoefficients!D83</f>
        <v>1.2567390153</v>
      </c>
      <c r="V75" s="178">
        <f t="shared" si="24"/>
        <v>1.2567390153</v>
      </c>
      <c r="AE75" s="115">
        <v>116</v>
      </c>
      <c r="AF75" s="115" t="s">
        <v>1061</v>
      </c>
      <c r="AG75" s="115">
        <v>0.109678978272</v>
      </c>
      <c r="AI75" s="115" t="s">
        <v>1100</v>
      </c>
    </row>
    <row r="76" spans="1:35" x14ac:dyDescent="0.25">
      <c r="A76" s="3" t="s">
        <v>211</v>
      </c>
      <c r="B76" s="144" t="e">
        <f>D72*(LN(B35/K35)-$I6)</f>
        <v>#DIV/0!</v>
      </c>
      <c r="C76" s="210" t="s">
        <v>1031</v>
      </c>
      <c r="D76" s="210" t="s">
        <v>1031</v>
      </c>
      <c r="E76" s="210" t="s">
        <v>1031</v>
      </c>
      <c r="F76" s="144">
        <f>D72*(LN(F35/O35)-$I6)</f>
        <v>-0.43517179164023012</v>
      </c>
      <c r="G76" s="144">
        <f>D72*(LN(G35/P35)-$I6)</f>
        <v>-3.4574881643575514E-2</v>
      </c>
      <c r="H76" s="144">
        <f>D72*(LN(H35/Q35)-$I6)</f>
        <v>5.9096865836555115E-2</v>
      </c>
      <c r="J76" s="166">
        <v>505</v>
      </c>
      <c r="K76" s="129" t="str">
        <f t="shared" si="18"/>
        <v>H-UNI</v>
      </c>
      <c r="L76" s="182">
        <f t="shared" si="25"/>
        <v>2.5096685130596291E-2</v>
      </c>
      <c r="M76" s="193">
        <f t="shared" si="20"/>
        <v>2.5096685130596291E-2</v>
      </c>
      <c r="N76" s="174">
        <f t="shared" si="17"/>
        <v>0</v>
      </c>
      <c r="S76" s="163">
        <f>DayPatternCoefficients!A84</f>
        <v>321</v>
      </c>
      <c r="T76" s="163" t="str">
        <f>DayPatternCoefficients!B84</f>
        <v>E-AG1825</v>
      </c>
      <c r="U76" s="157">
        <f>DayPatternCoefficients!D84</f>
        <v>-0.05</v>
      </c>
      <c r="V76" s="178">
        <f t="shared" si="24"/>
        <v>-0.05</v>
      </c>
      <c r="AE76" s="115">
        <v>131</v>
      </c>
      <c r="AF76" s="115" t="s">
        <v>1062</v>
      </c>
      <c r="AG76" s="115">
        <v>1.1543530286899999</v>
      </c>
      <c r="AI76" s="115" t="s">
        <v>1064</v>
      </c>
    </row>
    <row r="77" spans="1:35" x14ac:dyDescent="0.25">
      <c r="A77" s="3" t="s">
        <v>212</v>
      </c>
      <c r="B77" s="144">
        <f>D72*(LN(B36/K36)-$I7)</f>
        <v>-3.4247225466927204E-2</v>
      </c>
      <c r="C77" s="144">
        <f>D72*(LN(C36/L36)-$I7)</f>
        <v>8.7436919175380601E-2</v>
      </c>
      <c r="D77" s="144">
        <f>D72*(LN(D36/M36)-$I7)</f>
        <v>1.2719630995282477E-2</v>
      </c>
      <c r="E77" s="144">
        <f>D72*(LN(E36/N36)-$I7)</f>
        <v>0.16801256833877409</v>
      </c>
      <c r="F77" s="144">
        <f>D72*(LN(F36/O36)-$I7)</f>
        <v>0.10360233994367507</v>
      </c>
      <c r="G77" s="144">
        <f>D72*(LN(G36/P36)-$I7)</f>
        <v>0.34623235204013836</v>
      </c>
      <c r="H77" s="144">
        <f>D72*(LN(H36/Q36)-$I7)</f>
        <v>1.6353342176098976E-3</v>
      </c>
      <c r="J77" s="166">
        <v>605</v>
      </c>
      <c r="K77" s="129" t="str">
        <f t="shared" si="18"/>
        <v>M-UNI</v>
      </c>
      <c r="L77" s="182">
        <f t="shared" si="25"/>
        <v>0.13956024140425966</v>
      </c>
      <c r="M77" s="193">
        <f t="shared" si="20"/>
        <v>0.13956024140425966</v>
      </c>
      <c r="N77" s="174">
        <f t="shared" si="17"/>
        <v>0</v>
      </c>
      <c r="S77" s="163">
        <f>DayPatternCoefficients!A85</f>
        <v>322</v>
      </c>
      <c r="T77" s="163" t="str">
        <f>DayPatternCoefficients!B85</f>
        <v>E-AG2635</v>
      </c>
      <c r="U77" s="157">
        <f>DayPatternCoefficients!D85</f>
        <v>-0.42222676147999999</v>
      </c>
      <c r="V77" s="178">
        <f t="shared" si="24"/>
        <v>-0.42222676147999999</v>
      </c>
      <c r="AE77" s="115">
        <v>138</v>
      </c>
      <c r="AF77" s="115" t="s">
        <v>1068</v>
      </c>
      <c r="AG77" s="115">
        <v>-0.89256110400499999</v>
      </c>
      <c r="AI77" s="115" t="s">
        <v>1065</v>
      </c>
    </row>
    <row r="78" spans="1:35" x14ac:dyDescent="0.25">
      <c r="A78" s="3" t="s">
        <v>213</v>
      </c>
      <c r="B78" s="144">
        <f>D72*(LN(B37/K37)-$I8)</f>
        <v>1.6621805977321845E-2</v>
      </c>
      <c r="C78" s="144">
        <f>D72*(LN(C37/L37)-$I8)</f>
        <v>2.5656695733519065E-2</v>
      </c>
      <c r="D78" s="144">
        <f>D72*(LN(D37/M37)-$I8)</f>
        <v>2.1018179372811592E-2</v>
      </c>
      <c r="E78" s="144">
        <f>D72*(LN(E37/N37)-$I8)</f>
        <v>0.18902676913611507</v>
      </c>
      <c r="F78" s="144">
        <f>D72*(LN(F37/O37)-$I8)</f>
        <v>0.21120564966343217</v>
      </c>
      <c r="G78" s="144">
        <f>D72*(LN(G37/P37)-$I8)</f>
        <v>3.6767439133759384E-2</v>
      </c>
      <c r="H78" s="144">
        <f>D72*(LN(H37/Q37)-$I8)</f>
        <v>-1.2365546126320182E-2</v>
      </c>
      <c r="J78" s="166">
        <v>705</v>
      </c>
      <c r="K78" s="129" t="str">
        <f t="shared" si="18"/>
        <v>D-UNI</v>
      </c>
      <c r="L78" s="182">
        <f t="shared" si="25"/>
        <v>-0.1485423731332457</v>
      </c>
      <c r="M78" s="193">
        <f t="shared" si="20"/>
        <v>-0.1485423731332457</v>
      </c>
      <c r="N78" s="174">
        <f t="shared" si="17"/>
        <v>0</v>
      </c>
      <c r="S78" s="163">
        <f>DayPatternCoefficients!A86</f>
        <v>323</v>
      </c>
      <c r="T78" s="163" t="str">
        <f>DayPatternCoefficients!B86</f>
        <v>E-AG5165</v>
      </c>
      <c r="U78" s="157">
        <f>DayPatternCoefficients!D86</f>
        <v>-0.511403528351</v>
      </c>
      <c r="V78" s="178">
        <f t="shared" si="24"/>
        <v>-0.511403528351</v>
      </c>
      <c r="AE78" s="115">
        <v>146</v>
      </c>
      <c r="AF78" s="115" t="s">
        <v>1073</v>
      </c>
      <c r="AG78" s="115">
        <v>0.53132948584100004</v>
      </c>
      <c r="AI78" s="115" t="s">
        <v>1070</v>
      </c>
    </row>
    <row r="79" spans="1:35" x14ac:dyDescent="0.25">
      <c r="A79" s="3" t="s">
        <v>214</v>
      </c>
      <c r="B79" s="144">
        <f>D72*(LN(B38/K38)-$I9)</f>
        <v>-3.2465684593262628E-2</v>
      </c>
      <c r="C79" s="144">
        <f>D72*(LN(C38/L38)-$I9)</f>
        <v>1.8888967683906223E-2</v>
      </c>
      <c r="D79" s="144">
        <f>D72*(LN(D38/M38)-$I9)</f>
        <v>1.6658417930191932E-2</v>
      </c>
      <c r="E79" s="144">
        <f>D72*(LN(E38/N38)-$I9)</f>
        <v>0.20631719239165372</v>
      </c>
      <c r="F79" s="144">
        <f>D72*(LN(F38/O38)-$I9)</f>
        <v>0.15330281450959629</v>
      </c>
      <c r="G79" s="144">
        <f>D72*(LN(G38/P38)-$I9)</f>
        <v>-0.15452238260095041</v>
      </c>
      <c r="H79" s="144">
        <f>D72*(LN(H38/Q38)-$I9)</f>
        <v>-7.6517627963599011E-2</v>
      </c>
      <c r="J79" s="166">
        <v>106</v>
      </c>
      <c r="K79" s="129" t="str">
        <f t="shared" si="18"/>
        <v>W-DAS</v>
      </c>
      <c r="L79" s="182">
        <f>G88</f>
        <v>-1.4568678490374058</v>
      </c>
      <c r="M79" s="193">
        <f t="shared" si="20"/>
        <v>-1.4568678490374058</v>
      </c>
      <c r="N79" s="174">
        <f t="shared" si="17"/>
        <v>0</v>
      </c>
      <c r="S79" s="163">
        <f>DayPatternCoefficients!A87</f>
        <v>324</v>
      </c>
      <c r="T79" s="163" t="str">
        <f>DayPatternCoefficients!B87</f>
        <v>E-WAHOME</v>
      </c>
      <c r="U79" s="157">
        <f>DayPatternCoefficients!D87</f>
        <v>0</v>
      </c>
      <c r="V79" s="178">
        <f t="shared" si="24"/>
        <v>0</v>
      </c>
      <c r="AE79" s="115">
        <v>147</v>
      </c>
      <c r="AF79" s="115" t="s">
        <v>1074</v>
      </c>
      <c r="AG79" s="115">
        <v>0.449535970974</v>
      </c>
      <c r="AI79" s="115" t="s">
        <v>1070</v>
      </c>
    </row>
    <row r="80" spans="1:35" x14ac:dyDescent="0.25">
      <c r="A80" s="3" t="s">
        <v>129</v>
      </c>
      <c r="B80" s="144">
        <f>D72*(LN(B39/K39)-$I10)</f>
        <v>5.1857568596006612E-2</v>
      </c>
      <c r="C80" s="144">
        <f>D72*(LN(C39/L39)-$I10)</f>
        <v>9.6217909292551987E-3</v>
      </c>
      <c r="D80" s="144">
        <f>D72*(LN(D39/M39)-$I10)</f>
        <v>1.894368635633488E-2</v>
      </c>
      <c r="E80" s="144">
        <f>D72*(LN(E39/N39)-$I10)</f>
        <v>0.22698523462046272</v>
      </c>
      <c r="F80" s="144">
        <f>D72*(LN(F39/O39)-$I10)</f>
        <v>0.13956024140425966</v>
      </c>
      <c r="G80" s="144">
        <f>IF(G39&gt;0,D72*(LN(G39/P39)-$I10),0)</f>
        <v>0</v>
      </c>
      <c r="H80" s="144">
        <f>D72*(LN(H39/Q39)-$I10)</f>
        <v>-0.13659937736538291</v>
      </c>
      <c r="J80" s="166">
        <v>206</v>
      </c>
      <c r="K80" s="129" t="str">
        <f t="shared" si="18"/>
        <v>S-DAS</v>
      </c>
      <c r="L80" s="182">
        <f t="shared" ref="L80:L85" si="26">G89</f>
        <v>-3.4574881643575514E-2</v>
      </c>
      <c r="M80" s="193">
        <f t="shared" si="20"/>
        <v>-3.4574881643575514E-2</v>
      </c>
      <c r="N80" s="174">
        <f t="shared" si="17"/>
        <v>0</v>
      </c>
      <c r="S80" s="163">
        <f>DayPatternCoefficients!A88</f>
        <v>325</v>
      </c>
      <c r="T80" s="163" t="str">
        <f>DayPatternCoefficients!B88</f>
        <v>E-MIXDEN</v>
      </c>
      <c r="U80" s="157">
        <f>DayPatternCoefficients!D88</f>
        <v>0</v>
      </c>
      <c r="V80" s="178">
        <f t="shared" si="24"/>
        <v>0</v>
      </c>
      <c r="AE80" s="115">
        <v>154</v>
      </c>
      <c r="AF80" s="115" t="s">
        <v>1068</v>
      </c>
      <c r="AG80" s="115">
        <v>-0.40669471784299999</v>
      </c>
      <c r="AI80" s="115" t="s">
        <v>1085</v>
      </c>
    </row>
    <row r="81" spans="1:35" ht="15.75" thickBot="1" x14ac:dyDescent="0.3">
      <c r="A81" s="15" t="s">
        <v>130</v>
      </c>
      <c r="B81" s="145">
        <f>D72*(LN(B40/K40)-$I11)</f>
        <v>3.3793425367335449E-2</v>
      </c>
      <c r="C81" s="145">
        <f>D72*(LN(C40/L40)-$I11)</f>
        <v>1.9023367286438893E-2</v>
      </c>
      <c r="D81" s="145">
        <f>D72*(LN(D40/M40)-$I11)</f>
        <v>-2.5857878765404019E-2</v>
      </c>
      <c r="E81" s="145">
        <f>D72*(LN(E40/N40)-$I11)</f>
        <v>0.21115507421576862</v>
      </c>
      <c r="F81" s="145">
        <f>D72*(LN(F40/O40)-$I11)</f>
        <v>3.3456821540754293E-2</v>
      </c>
      <c r="G81" s="145">
        <f>D72*(LN(G40/P40)-$I11)</f>
        <v>0.13334317496627673</v>
      </c>
      <c r="H81" s="145">
        <f>D72*(LN(H40/Q40)-$I11)</f>
        <v>-6.9885512881685818E-4</v>
      </c>
      <c r="J81" s="166">
        <v>306</v>
      </c>
      <c r="K81" s="129" t="str">
        <f t="shared" si="18"/>
        <v>E-DAS</v>
      </c>
      <c r="L81" s="182">
        <f t="shared" si="26"/>
        <v>-0.20171317964186164</v>
      </c>
      <c r="M81" s="193">
        <f t="shared" si="20"/>
        <v>-0.20171317964186164</v>
      </c>
      <c r="N81" s="174">
        <f t="shared" si="17"/>
        <v>0</v>
      </c>
      <c r="S81" s="163">
        <f>DayPatternCoefficients!A89</f>
        <v>326</v>
      </c>
      <c r="T81" s="163" t="str">
        <f>DayPatternCoefficients!B89</f>
        <v>E-INTDEN</v>
      </c>
      <c r="U81" s="157">
        <f>DayPatternCoefficients!D89</f>
        <v>0</v>
      </c>
      <c r="V81" s="178">
        <f t="shared" si="24"/>
        <v>0</v>
      </c>
      <c r="AE81" s="115">
        <v>155</v>
      </c>
      <c r="AF81" s="115" t="s">
        <v>1062</v>
      </c>
      <c r="AG81" s="115">
        <v>0.62763871095099999</v>
      </c>
      <c r="AI81" s="115" t="s">
        <v>1085</v>
      </c>
    </row>
    <row r="82" spans="1:35" x14ac:dyDescent="0.25">
      <c r="J82" s="166">
        <v>406</v>
      </c>
      <c r="K82" s="129" t="str">
        <f t="shared" si="18"/>
        <v>P-DAS</v>
      </c>
      <c r="L82" s="182">
        <f t="shared" si="26"/>
        <v>3.6767439133759384E-2</v>
      </c>
      <c r="M82" s="193">
        <f t="shared" si="20"/>
        <v>3.6767439133759384E-2</v>
      </c>
      <c r="N82" s="174">
        <f t="shared" si="17"/>
        <v>0</v>
      </c>
      <c r="S82" s="163">
        <f>DayPatternCoefficients!A90</f>
        <v>327</v>
      </c>
      <c r="T82" s="163" t="str">
        <f>DayPatternCoefficients!B90</f>
        <v>E-ACCLOG</v>
      </c>
      <c r="U82" s="157">
        <f>DayPatternCoefficients!D90</f>
        <v>0</v>
      </c>
      <c r="V82" s="178">
        <f t="shared" si="24"/>
        <v>0</v>
      </c>
      <c r="AE82" s="115">
        <v>162</v>
      </c>
      <c r="AF82" s="115" t="s">
        <v>1089</v>
      </c>
      <c r="AG82" s="115">
        <v>-0.61176239378700004</v>
      </c>
      <c r="AI82" s="115" t="s">
        <v>1087</v>
      </c>
    </row>
    <row r="83" spans="1:35" x14ac:dyDescent="0.25">
      <c r="J83" s="166">
        <v>506</v>
      </c>
      <c r="K83" s="129" t="str">
        <f t="shared" si="18"/>
        <v>H-DAS</v>
      </c>
      <c r="L83" s="182">
        <f t="shared" si="26"/>
        <v>-4.4878619158950417E-2</v>
      </c>
      <c r="M83" s="193">
        <f t="shared" si="20"/>
        <v>-4.4878619158950417E-2</v>
      </c>
      <c r="N83" s="174">
        <f t="shared" si="17"/>
        <v>0</v>
      </c>
      <c r="S83" s="163">
        <f>DayPatternCoefficients!A91</f>
        <v>328</v>
      </c>
      <c r="T83" s="163" t="str">
        <f>DayPatternCoefficients!B91</f>
        <v>E-T-LOGS</v>
      </c>
      <c r="U83" s="157">
        <f>DayPatternCoefficients!D91</f>
        <v>-4.0281415680200001E-2</v>
      </c>
      <c r="V83" s="178">
        <f t="shared" si="24"/>
        <v>-4.0281415680200001E-2</v>
      </c>
      <c r="AE83" s="115">
        <v>164</v>
      </c>
      <c r="AF83" s="115" t="s">
        <v>1090</v>
      </c>
      <c r="AG83" s="115">
        <v>0.29502698115600001</v>
      </c>
      <c r="AI83" s="115" t="s">
        <v>1087</v>
      </c>
    </row>
    <row r="84" spans="1:35" x14ac:dyDescent="0.25">
      <c r="A84" s="106" t="s">
        <v>175</v>
      </c>
      <c r="B84" s="3"/>
      <c r="C84" s="3"/>
      <c r="D84" s="3"/>
      <c r="E84" s="3"/>
      <c r="F84" s="3"/>
      <c r="G84" s="3"/>
      <c r="H84" s="3"/>
      <c r="J84" s="166">
        <v>606</v>
      </c>
      <c r="K84" s="129" t="str">
        <f t="shared" si="18"/>
        <v>M-DAS</v>
      </c>
      <c r="L84" s="182">
        <f t="shared" si="26"/>
        <v>0.1</v>
      </c>
      <c r="M84" s="193">
        <f t="shared" si="20"/>
        <v>0.1</v>
      </c>
      <c r="N84" s="174">
        <f t="shared" si="17"/>
        <v>0</v>
      </c>
      <c r="O84" s="149"/>
      <c r="P84" s="149"/>
      <c r="Q84" s="149"/>
      <c r="S84" s="163">
        <f>DayPatternCoefficients!A92</f>
        <v>329</v>
      </c>
      <c r="T84" s="163" t="str">
        <f>DayPatternCoefficients!B92</f>
        <v>E-S-LOGS</v>
      </c>
      <c r="U84" s="157">
        <f>DayPatternCoefficients!D92</f>
        <v>-1.79238721996E-2</v>
      </c>
      <c r="V84" s="178">
        <f t="shared" si="24"/>
        <v>-1.79238721996E-2</v>
      </c>
      <c r="AE84" s="115">
        <v>170</v>
      </c>
      <c r="AF84" s="115" t="s">
        <v>1094</v>
      </c>
      <c r="AG84" s="115">
        <v>-1.13679650073</v>
      </c>
      <c r="AI84" s="115" t="s">
        <v>1092</v>
      </c>
    </row>
    <row r="85" spans="1:35" x14ac:dyDescent="0.25">
      <c r="A85" s="106" t="s">
        <v>1039</v>
      </c>
      <c r="B85" s="3"/>
      <c r="E85" s="3"/>
      <c r="F85" s="3"/>
      <c r="G85" s="3"/>
      <c r="H85" s="3"/>
      <c r="J85" s="166">
        <v>706</v>
      </c>
      <c r="K85" s="129" t="str">
        <f t="shared" si="18"/>
        <v>D-DAS</v>
      </c>
      <c r="L85" s="182">
        <f t="shared" si="26"/>
        <v>0.61550433704827667</v>
      </c>
      <c r="M85" s="193">
        <f t="shared" si="20"/>
        <v>0.61550433704827667</v>
      </c>
      <c r="N85" s="174">
        <f t="shared" si="17"/>
        <v>0</v>
      </c>
      <c r="O85" s="149"/>
      <c r="P85" s="149"/>
      <c r="Q85" s="149"/>
      <c r="S85" s="137">
        <f>DayPatternCoefficients!A93</f>
        <v>351</v>
      </c>
      <c r="T85" s="137" t="str">
        <f>DayPatternCoefficients!B93</f>
        <v>E-FTW</v>
      </c>
      <c r="U85" s="138">
        <f>DayPatternCoefficients!D93</f>
        <v>0.231141115699</v>
      </c>
      <c r="V85" s="178">
        <f t="shared" si="24"/>
        <v>-8.8357245652327207E-2</v>
      </c>
      <c r="AE85" s="115">
        <v>171</v>
      </c>
      <c r="AF85" s="115" t="s">
        <v>1095</v>
      </c>
      <c r="AG85" s="115">
        <v>0.80187878989000005</v>
      </c>
      <c r="AI85" s="115" t="s">
        <v>1092</v>
      </c>
    </row>
    <row r="86" spans="1:35" ht="15.75" thickBot="1" x14ac:dyDescent="0.3">
      <c r="A86" s="3"/>
      <c r="B86" s="4"/>
      <c r="C86" s="4"/>
      <c r="D86" s="4"/>
      <c r="E86" s="4"/>
      <c r="F86" s="4"/>
      <c r="G86" s="4"/>
      <c r="H86" s="4"/>
      <c r="J86" s="166">
        <v>207</v>
      </c>
      <c r="K86" s="129" t="str">
        <f t="shared" si="18"/>
        <v>S-PAS</v>
      </c>
      <c r="L86" s="183">
        <f>H89</f>
        <v>5.9096865836555115E-2</v>
      </c>
      <c r="M86" s="193">
        <f t="shared" si="20"/>
        <v>5.9096865836555115E-2</v>
      </c>
      <c r="N86" s="174">
        <f t="shared" si="17"/>
        <v>0</v>
      </c>
      <c r="O86" s="148"/>
      <c r="P86" s="148"/>
      <c r="Q86" s="148"/>
      <c r="S86" s="137">
        <f>DayPatternCoefficients!A94</f>
        <v>400</v>
      </c>
      <c r="T86" s="137" t="str">
        <f>DayPatternCoefficients!B94</f>
        <v>P-TASC</v>
      </c>
      <c r="U86" s="138">
        <f>DayPatternCoefficients!D94</f>
        <v>-2.0654832970500001</v>
      </c>
      <c r="V86" s="178">
        <f t="shared" si="24"/>
        <v>-1.9668637108815086</v>
      </c>
      <c r="AE86" s="115">
        <v>172</v>
      </c>
      <c r="AF86" s="115" t="s">
        <v>1096</v>
      </c>
      <c r="AG86" s="115">
        <v>0.53036306282199996</v>
      </c>
      <c r="AI86" s="115" t="s">
        <v>1092</v>
      </c>
    </row>
    <row r="87" spans="1:35" x14ac:dyDescent="0.25">
      <c r="A87" s="5" t="s">
        <v>159</v>
      </c>
      <c r="B87" s="6" t="s">
        <v>146</v>
      </c>
      <c r="C87" s="6" t="s">
        <v>147</v>
      </c>
      <c r="D87" s="6" t="s">
        <v>148</v>
      </c>
      <c r="E87" s="6" t="s">
        <v>243</v>
      </c>
      <c r="F87" s="6" t="s">
        <v>244</v>
      </c>
      <c r="G87" s="6" t="s">
        <v>245</v>
      </c>
      <c r="H87" s="6" t="s">
        <v>246</v>
      </c>
      <c r="J87" s="166">
        <v>307</v>
      </c>
      <c r="K87" s="129" t="str">
        <f t="shared" si="18"/>
        <v>E-PAS</v>
      </c>
      <c r="L87" s="183">
        <f t="shared" ref="L87:L91" si="27">H90</f>
        <v>1.6353342176098976E-3</v>
      </c>
      <c r="M87" s="193">
        <f t="shared" si="20"/>
        <v>1.6353342176098976E-3</v>
      </c>
      <c r="N87" s="174">
        <f t="shared" si="17"/>
        <v>0</v>
      </c>
      <c r="O87" s="150"/>
      <c r="P87" s="150"/>
      <c r="Q87" s="150"/>
      <c r="S87" s="137">
        <f>DayPatternCoefficients!A95</f>
        <v>401</v>
      </c>
      <c r="T87" s="137" t="str">
        <f>DayPatternCoefficients!B95</f>
        <v>P-SASC</v>
      </c>
      <c r="U87" s="138">
        <f>DayPatternCoefficients!D95</f>
        <v>-0.04</v>
      </c>
      <c r="V87" s="178">
        <f t="shared" si="24"/>
        <v>-5.8350062855595838E-2</v>
      </c>
      <c r="AE87" s="115">
        <v>173</v>
      </c>
      <c r="AF87" s="115" t="s">
        <v>1094</v>
      </c>
      <c r="AG87" s="115">
        <v>-0.48533998618500002</v>
      </c>
      <c r="AI87" s="115" t="s">
        <v>1100</v>
      </c>
    </row>
    <row r="88" spans="1:35" x14ac:dyDescent="0.25">
      <c r="A88" s="3" t="s">
        <v>210</v>
      </c>
      <c r="B88" s="144">
        <f>B62+B75</f>
        <v>0.83617127802017222</v>
      </c>
      <c r="C88" s="144">
        <f>C62+C75</f>
        <v>-1.303897636706282</v>
      </c>
      <c r="D88" s="210" t="s">
        <v>1031</v>
      </c>
      <c r="E88" s="210" t="s">
        <v>1031</v>
      </c>
      <c r="F88" s="144">
        <f>F62+F75</f>
        <v>9.1390776567403549</v>
      </c>
      <c r="G88" s="144">
        <f>G62+G75</f>
        <v>-1.4568678490374058</v>
      </c>
      <c r="H88" s="210" t="s">
        <v>1031</v>
      </c>
      <c r="J88" s="166">
        <v>407</v>
      </c>
      <c r="K88" s="129" t="str">
        <f t="shared" si="18"/>
        <v>P-PAS</v>
      </c>
      <c r="L88" s="183">
        <f t="shared" si="27"/>
        <v>-0.4022954327103202</v>
      </c>
      <c r="M88" s="193">
        <f t="shared" si="20"/>
        <v>-0.4022954327103202</v>
      </c>
      <c r="N88" s="174">
        <f t="shared" si="17"/>
        <v>0</v>
      </c>
      <c r="O88" s="149"/>
      <c r="P88" s="149"/>
      <c r="Q88" s="149"/>
      <c r="S88" s="137">
        <f>DayPatternCoefficients!A96</f>
        <v>402</v>
      </c>
      <c r="T88" s="137" t="str">
        <f>DayPatternCoefficients!B96</f>
        <v>P-PTW</v>
      </c>
      <c r="U88" s="138">
        <f>DayPatternCoefficients!D96</f>
        <v>0.38470925344599999</v>
      </c>
      <c r="V88" s="178">
        <f t="shared" si="24"/>
        <v>2.5656695733519065E-2</v>
      </c>
      <c r="AE88" s="115">
        <v>174</v>
      </c>
      <c r="AF88" s="115" t="s">
        <v>1090</v>
      </c>
      <c r="AG88" s="115">
        <v>0.219330681704</v>
      </c>
      <c r="AI88" s="115" t="s">
        <v>1100</v>
      </c>
    </row>
    <row r="89" spans="1:35" x14ac:dyDescent="0.25">
      <c r="A89" s="3" t="s">
        <v>211</v>
      </c>
      <c r="B89" s="144" t="e">
        <f>B63+B76</f>
        <v>#DIV/0!</v>
      </c>
      <c r="C89" s="210" t="s">
        <v>1031</v>
      </c>
      <c r="D89" s="210" t="s">
        <v>1031</v>
      </c>
      <c r="E89" s="210" t="s">
        <v>1031</v>
      </c>
      <c r="F89" s="144">
        <f t="shared" ref="F89:H89" si="28">F63+F76</f>
        <v>-0.43517179164023012</v>
      </c>
      <c r="G89" s="144">
        <f t="shared" si="28"/>
        <v>-3.4574881643575514E-2</v>
      </c>
      <c r="H89" s="144">
        <f t="shared" si="28"/>
        <v>5.9096865836555115E-2</v>
      </c>
      <c r="J89" s="166">
        <v>507</v>
      </c>
      <c r="K89" s="129" t="str">
        <f t="shared" si="18"/>
        <v>H-PAS</v>
      </c>
      <c r="L89" s="183">
        <f t="shared" si="27"/>
        <v>-7.6517627963599011E-2</v>
      </c>
      <c r="M89" s="193">
        <f t="shared" si="20"/>
        <v>-7.6517627963599011E-2</v>
      </c>
      <c r="N89" s="174">
        <f t="shared" si="17"/>
        <v>0</v>
      </c>
      <c r="O89" s="149"/>
      <c r="P89" s="149"/>
      <c r="Q89" s="149"/>
      <c r="S89" s="137">
        <f>DayPatternCoefficients!A97</f>
        <v>403</v>
      </c>
      <c r="T89" s="137" t="str">
        <f>DayPatternCoefficients!B97</f>
        <v>P-RET</v>
      </c>
      <c r="U89" s="138">
        <f>DayPatternCoefficients!D97</f>
        <v>0.79017100603599999</v>
      </c>
      <c r="V89" s="178">
        <f t="shared" si="24"/>
        <v>2.1018179372811592E-2</v>
      </c>
      <c r="AE89" s="115">
        <v>175</v>
      </c>
      <c r="AF89" s="115" t="s">
        <v>1063</v>
      </c>
      <c r="AG89" s="115">
        <v>0.47838014869200002</v>
      </c>
      <c r="AI89" s="115" t="s">
        <v>1064</v>
      </c>
    </row>
    <row r="90" spans="1:35" x14ac:dyDescent="0.25">
      <c r="A90" s="3" t="s">
        <v>212</v>
      </c>
      <c r="B90" s="144">
        <f t="shared" ref="B90:H90" si="29">B64+B77</f>
        <v>-8.8357245652327207E-2</v>
      </c>
      <c r="C90" s="144">
        <f t="shared" si="29"/>
        <v>-0.21181422423461937</v>
      </c>
      <c r="D90" s="144">
        <f t="shared" si="29"/>
        <v>1.2719630995282477E-2</v>
      </c>
      <c r="E90" s="144">
        <f t="shared" si="29"/>
        <v>0.16801256833877409</v>
      </c>
      <c r="F90" s="144">
        <f t="shared" si="29"/>
        <v>-0.21523067016332492</v>
      </c>
      <c r="G90" s="144">
        <f t="shared" si="29"/>
        <v>-0.20171317964186164</v>
      </c>
      <c r="H90" s="144">
        <f t="shared" si="29"/>
        <v>1.6353342176098976E-3</v>
      </c>
      <c r="J90" s="166">
        <v>607</v>
      </c>
      <c r="K90" s="129" t="str">
        <f t="shared" si="18"/>
        <v>M-PAS</v>
      </c>
      <c r="L90" s="183">
        <f t="shared" si="27"/>
        <v>-0.10953409338648291</v>
      </c>
      <c r="M90" s="193">
        <f t="shared" si="20"/>
        <v>-0.10953409338648291</v>
      </c>
      <c r="N90" s="174">
        <f t="shared" si="17"/>
        <v>0</v>
      </c>
      <c r="O90" s="149"/>
      <c r="P90" s="149"/>
      <c r="Q90" s="149"/>
      <c r="S90" s="137">
        <f>DayPatternCoefficients!A98</f>
        <v>404</v>
      </c>
      <c r="T90" s="137" t="str">
        <f>DayPatternCoefficients!B98</f>
        <v>P-NWA</v>
      </c>
      <c r="U90" s="138">
        <f>DayPatternCoefficients!D98</f>
        <v>0.48129163966400001</v>
      </c>
      <c r="V90" s="178">
        <f t="shared" si="24"/>
        <v>4.9245793585115077E-2</v>
      </c>
      <c r="AE90" s="115">
        <v>181</v>
      </c>
      <c r="AF90" s="115" t="s">
        <v>1075</v>
      </c>
      <c r="AG90" s="115">
        <v>0.14237400597200001</v>
      </c>
      <c r="AI90" s="115" t="s">
        <v>1070</v>
      </c>
    </row>
    <row r="91" spans="1:35" ht="15.75" thickBot="1" x14ac:dyDescent="0.3">
      <c r="A91" s="3" t="s">
        <v>213</v>
      </c>
      <c r="B91" s="144">
        <f t="shared" ref="B91:H91" si="30">B65+B78</f>
        <v>0.16213091771132185</v>
      </c>
      <c r="C91" s="144">
        <f t="shared" si="30"/>
        <v>2.5656695733519065E-2</v>
      </c>
      <c r="D91" s="144">
        <f t="shared" si="30"/>
        <v>2.1018179372811592E-2</v>
      </c>
      <c r="E91" s="144">
        <f t="shared" si="30"/>
        <v>4.9245793585115077E-2</v>
      </c>
      <c r="F91" s="144">
        <f t="shared" si="30"/>
        <v>2.5526924496432152E-2</v>
      </c>
      <c r="G91" s="144">
        <f t="shared" si="30"/>
        <v>3.6767439133759384E-2</v>
      </c>
      <c r="H91" s="144">
        <f t="shared" si="30"/>
        <v>-0.4022954327103202</v>
      </c>
      <c r="J91" s="170">
        <v>707</v>
      </c>
      <c r="K91" s="132" t="str">
        <f t="shared" si="18"/>
        <v>D-PAS</v>
      </c>
      <c r="L91" s="184">
        <f t="shared" si="27"/>
        <v>4.0740609579483139E-2</v>
      </c>
      <c r="M91" s="192">
        <f t="shared" si="20"/>
        <v>4.0740609579483139E-2</v>
      </c>
      <c r="N91" s="171">
        <f t="shared" si="17"/>
        <v>0</v>
      </c>
      <c r="O91" s="149"/>
      <c r="P91" s="149"/>
      <c r="Q91" s="149"/>
      <c r="S91" s="137">
        <f>DayPatternCoefficients!A99</f>
        <v>405</v>
      </c>
      <c r="T91" s="137" t="str">
        <f>DayPatternCoefficients!B99</f>
        <v>P-UNI</v>
      </c>
      <c r="U91" s="138">
        <f>DayPatternCoefficients!D99</f>
        <v>1</v>
      </c>
      <c r="V91" s="178">
        <f t="shared" si="24"/>
        <v>2.5526924496432152E-2</v>
      </c>
      <c r="AE91" s="115">
        <v>183</v>
      </c>
      <c r="AF91" s="115" t="s">
        <v>1076</v>
      </c>
      <c r="AG91" s="115">
        <v>1.1661510393600001</v>
      </c>
      <c r="AI91" s="115" t="s">
        <v>1070</v>
      </c>
    </row>
    <row r="92" spans="1:35" x14ac:dyDescent="0.25">
      <c r="A92" s="3" t="s">
        <v>214</v>
      </c>
      <c r="B92" s="144">
        <f t="shared" ref="B92:H92" si="31">B66+B79</f>
        <v>-0.51326693660426259</v>
      </c>
      <c r="C92" s="144">
        <f t="shared" si="31"/>
        <v>-0.37130524935709375</v>
      </c>
      <c r="D92" s="144">
        <f t="shared" si="31"/>
        <v>1.6658417930191932E-2</v>
      </c>
      <c r="E92" s="144">
        <f t="shared" si="31"/>
        <v>-0.45852525793334631</v>
      </c>
      <c r="F92" s="144">
        <f t="shared" si="31"/>
        <v>2.5096685130596291E-2</v>
      </c>
      <c r="G92" s="144">
        <f t="shared" si="31"/>
        <v>-4.4878619158950417E-2</v>
      </c>
      <c r="H92" s="144">
        <f t="shared" si="31"/>
        <v>-7.6517627963599011E-2</v>
      </c>
      <c r="J92" s="149"/>
      <c r="K92" s="149"/>
      <c r="L92" s="149"/>
      <c r="M92" s="149"/>
      <c r="N92" s="148" t="e">
        <f>SUM(N49:N91)</f>
        <v>#DIV/0!</v>
      </c>
      <c r="O92" s="149"/>
      <c r="P92" s="149"/>
      <c r="Q92" s="149"/>
      <c r="S92" s="137">
        <f>DayPatternCoefficients!A100</f>
        <v>406</v>
      </c>
      <c r="T92" s="137" t="str">
        <f>DayPatternCoefficients!B100</f>
        <v>P-DAS</v>
      </c>
      <c r="U92" s="138">
        <f>DayPatternCoefficients!D100</f>
        <v>0.215923195688</v>
      </c>
      <c r="V92" s="178">
        <f t="shared" si="24"/>
        <v>3.6767439133759384E-2</v>
      </c>
      <c r="AE92" s="115">
        <v>184</v>
      </c>
      <c r="AF92" s="115" t="s">
        <v>1077</v>
      </c>
      <c r="AG92" s="115">
        <v>1.59404940426</v>
      </c>
      <c r="AI92" s="115" t="s">
        <v>1070</v>
      </c>
    </row>
    <row r="93" spans="1:35" x14ac:dyDescent="0.25">
      <c r="A93" s="3" t="s">
        <v>129</v>
      </c>
      <c r="B93" s="144">
        <f t="shared" ref="B93:H93" si="32">B67+B80</f>
        <v>-4.9481424314039932</v>
      </c>
      <c r="C93" s="144">
        <f t="shared" si="32"/>
        <v>9.6217909292551987E-3</v>
      </c>
      <c r="D93" s="144">
        <f t="shared" si="32"/>
        <v>1.894368635633488E-2</v>
      </c>
      <c r="E93" s="144">
        <f t="shared" si="32"/>
        <v>0.22698523462046272</v>
      </c>
      <c r="F93" s="144">
        <f t="shared" si="32"/>
        <v>0.13956024140425966</v>
      </c>
      <c r="G93" s="144">
        <f t="shared" si="32"/>
        <v>0.1</v>
      </c>
      <c r="H93" s="144">
        <f t="shared" si="32"/>
        <v>-0.10953409338648291</v>
      </c>
      <c r="J93" s="149"/>
      <c r="K93" s="149"/>
      <c r="L93" s="149"/>
      <c r="M93" s="149"/>
      <c r="N93" s="149"/>
      <c r="O93" s="149"/>
      <c r="P93" s="149"/>
      <c r="Q93" s="149"/>
      <c r="S93" s="137">
        <f>DayPatternCoefficients!A101</f>
        <v>407</v>
      </c>
      <c r="T93" s="137" t="str">
        <f>DayPatternCoefficients!B101</f>
        <v>P-PAS</v>
      </c>
      <c r="U93" s="138">
        <f>DayPatternCoefficients!D101</f>
        <v>0.107808678654</v>
      </c>
      <c r="V93" s="178">
        <f t="shared" si="24"/>
        <v>-0.4022954327103202</v>
      </c>
      <c r="AE93" s="115">
        <v>195</v>
      </c>
      <c r="AF93" s="115" t="s">
        <v>1086</v>
      </c>
      <c r="AG93" s="117">
        <v>4.5416395363000003E-2</v>
      </c>
      <c r="AI93" s="115" t="s">
        <v>1078</v>
      </c>
    </row>
    <row r="94" spans="1:35" ht="15.75" thickBot="1" x14ac:dyDescent="0.3">
      <c r="A94" s="15" t="s">
        <v>130</v>
      </c>
      <c r="B94" s="145">
        <f t="shared" ref="B94:H94" si="33">B68+B81</f>
        <v>3.3793425367335449E-2</v>
      </c>
      <c r="C94" s="145">
        <f t="shared" si="33"/>
        <v>1.9023367286438893E-2</v>
      </c>
      <c r="D94" s="145">
        <f t="shared" si="33"/>
        <v>2.1243257721095983E-2</v>
      </c>
      <c r="E94" s="145">
        <f t="shared" si="33"/>
        <v>0.24419822242376862</v>
      </c>
      <c r="F94" s="145">
        <f t="shared" si="33"/>
        <v>-0.1485423731332457</v>
      </c>
      <c r="G94" s="145">
        <f t="shared" si="33"/>
        <v>0.61550433704827667</v>
      </c>
      <c r="H94" s="145">
        <f t="shared" si="33"/>
        <v>4.0740609579483139E-2</v>
      </c>
      <c r="J94" s="149"/>
      <c r="K94" s="149"/>
      <c r="L94" s="149"/>
      <c r="M94" s="149"/>
      <c r="N94" s="149"/>
      <c r="O94" s="149"/>
      <c r="P94" s="149"/>
      <c r="Q94" s="149"/>
      <c r="S94" s="163">
        <f>DayPatternCoefficients!A102</f>
        <v>408</v>
      </c>
      <c r="T94" s="163" t="str">
        <f>DayPatternCoefficients!B102</f>
        <v>P-CU5</v>
      </c>
      <c r="U94" s="157">
        <f>DayPatternCoefficients!D102</f>
        <v>0.19371902950100001</v>
      </c>
      <c r="V94" s="178">
        <f t="shared" si="24"/>
        <v>0.19371902950100001</v>
      </c>
      <c r="AE94" s="115">
        <v>196</v>
      </c>
      <c r="AF94" s="115" t="s">
        <v>1076</v>
      </c>
      <c r="AG94" s="115">
        <v>0.14396484352399999</v>
      </c>
      <c r="AI94" s="115" t="s">
        <v>1085</v>
      </c>
    </row>
    <row r="95" spans="1:35" x14ac:dyDescent="0.25">
      <c r="J95" s="151"/>
      <c r="K95" s="151"/>
      <c r="L95" s="151"/>
      <c r="M95" s="151"/>
      <c r="N95" s="151"/>
      <c r="O95" s="151"/>
      <c r="P95" s="151"/>
      <c r="Q95" s="151"/>
      <c r="S95" s="163">
        <f>DayPatternCoefficients!A103</f>
        <v>409</v>
      </c>
      <c r="T95" s="163" t="str">
        <f>DayPatternCoefficients!B103</f>
        <v>P-VLINC</v>
      </c>
      <c r="U95" s="157">
        <f>DayPatternCoefficients!D103</f>
        <v>0.23285953464299999</v>
      </c>
      <c r="V95" s="178">
        <f t="shared" si="24"/>
        <v>0.23285953464299999</v>
      </c>
      <c r="AE95" s="115">
        <v>197</v>
      </c>
      <c r="AF95" s="115" t="s">
        <v>1077</v>
      </c>
      <c r="AG95" s="115">
        <v>0.21876493547600001</v>
      </c>
      <c r="AI95" s="115" t="s">
        <v>1078</v>
      </c>
    </row>
    <row r="96" spans="1:35" x14ac:dyDescent="0.25">
      <c r="J96" s="151"/>
      <c r="K96" s="151"/>
      <c r="L96" s="151"/>
      <c r="M96" s="151"/>
      <c r="N96" s="151"/>
      <c r="O96" s="151"/>
      <c r="P96" s="151"/>
      <c r="Q96" s="151"/>
      <c r="S96" s="163">
        <f>DayPatternCoefficients!A104</f>
        <v>410</v>
      </c>
      <c r="T96" s="163" t="str">
        <f>DayPatternCoefficients!B104</f>
        <v>P-LOINC</v>
      </c>
      <c r="U96" s="157">
        <f>DayPatternCoefficients!D104</f>
        <v>0.242866712762</v>
      </c>
      <c r="V96" s="178">
        <f t="shared" si="24"/>
        <v>0.242866712762</v>
      </c>
      <c r="AE96" s="115">
        <v>207</v>
      </c>
      <c r="AF96" s="115" t="s">
        <v>1075</v>
      </c>
      <c r="AG96" s="115">
        <v>0.114269623332</v>
      </c>
      <c r="AI96" s="115" t="s">
        <v>1087</v>
      </c>
    </row>
    <row r="97" spans="1:35" x14ac:dyDescent="0.25">
      <c r="J97" s="151"/>
      <c r="K97" s="151"/>
      <c r="L97" s="151"/>
      <c r="M97" s="151"/>
      <c r="N97" s="151"/>
      <c r="O97" s="151"/>
      <c r="P97" s="151"/>
      <c r="Q97" s="151"/>
      <c r="S97" s="163">
        <f>DayPatternCoefficients!A105</f>
        <v>411</v>
      </c>
      <c r="T97" s="163" t="str">
        <f>DayPatternCoefficients!B105</f>
        <v>P-HIINC</v>
      </c>
      <c r="U97" s="157">
        <f>DayPatternCoefficients!D105</f>
        <v>-5.4110020185400003E-2</v>
      </c>
      <c r="V97" s="178">
        <f t="shared" si="24"/>
        <v>-5.4110020185400003E-2</v>
      </c>
      <c r="AE97" s="115">
        <v>209</v>
      </c>
      <c r="AF97" s="115" t="s">
        <v>1076</v>
      </c>
      <c r="AG97" s="115">
        <v>0.249122719479</v>
      </c>
      <c r="AI97" s="115" t="s">
        <v>1087</v>
      </c>
    </row>
    <row r="98" spans="1:35" x14ac:dyDescent="0.25">
      <c r="A98" s="147" t="s">
        <v>1103</v>
      </c>
      <c r="B98" s="3"/>
      <c r="C98" s="3"/>
      <c r="D98" s="3"/>
      <c r="E98" s="3"/>
      <c r="F98" s="162" t="s">
        <v>1103</v>
      </c>
      <c r="G98" s="3" t="s">
        <v>1133</v>
      </c>
      <c r="H98" s="176">
        <v>0.5</v>
      </c>
      <c r="J98" s="151"/>
      <c r="K98" s="151"/>
      <c r="L98" s="151"/>
      <c r="M98" s="151"/>
      <c r="N98" s="151"/>
      <c r="O98" s="151"/>
      <c r="P98" s="151"/>
      <c r="Q98" s="151"/>
      <c r="S98" s="163">
        <f>DayPatternCoefficients!A106</f>
        <v>412</v>
      </c>
      <c r="T98" s="163" t="str">
        <f>DayPatternCoefficients!B106</f>
        <v>P-CARSPD</v>
      </c>
      <c r="U98" s="157">
        <f>DayPatternCoefficients!D106</f>
        <v>4.72182862768E-3</v>
      </c>
      <c r="V98" s="178">
        <f t="shared" si="24"/>
        <v>4.72182862768E-3</v>
      </c>
      <c r="AE98" s="115">
        <v>210</v>
      </c>
      <c r="AF98" s="115" t="s">
        <v>1077</v>
      </c>
      <c r="AG98" s="115">
        <v>0.25694206716599999</v>
      </c>
      <c r="AI98" s="115" t="s">
        <v>1087</v>
      </c>
    </row>
    <row r="99" spans="1:35" ht="15.75" thickBot="1" x14ac:dyDescent="0.3">
      <c r="A99" s="15"/>
      <c r="B99" s="15"/>
      <c r="C99" s="15"/>
      <c r="D99" s="15"/>
      <c r="E99" s="3"/>
      <c r="F99" s="143" t="s">
        <v>1035</v>
      </c>
      <c r="G99" s="124"/>
      <c r="H99" s="124"/>
      <c r="I99" s="1"/>
      <c r="J99" s="124"/>
      <c r="K99" s="185"/>
      <c r="L99" s="185"/>
      <c r="M99" s="151"/>
      <c r="N99" s="151"/>
      <c r="O99" s="151"/>
      <c r="P99" s="151"/>
      <c r="Q99" s="151"/>
      <c r="S99" s="163">
        <f>DayPatternCoefficients!A107</f>
        <v>413</v>
      </c>
      <c r="T99" s="163" t="str">
        <f>DayPatternCoefficients!B107</f>
        <v>P-ONLYAD</v>
      </c>
      <c r="U99" s="157">
        <f>DayPatternCoefficients!D107</f>
        <v>0.22859365528200001</v>
      </c>
      <c r="V99" s="178">
        <f t="shared" si="24"/>
        <v>0.22859365528200001</v>
      </c>
      <c r="AE99" s="115">
        <v>221</v>
      </c>
      <c r="AF99" s="115" t="s">
        <v>1086</v>
      </c>
      <c r="AG99" s="115">
        <v>0.12529901139999999</v>
      </c>
      <c r="AI99" s="115" t="s">
        <v>1092</v>
      </c>
    </row>
    <row r="100" spans="1:35" x14ac:dyDescent="0.25">
      <c r="A100" s="152" t="s">
        <v>159</v>
      </c>
      <c r="B100" s="152" t="s">
        <v>260</v>
      </c>
      <c r="C100" s="152" t="s">
        <v>261</v>
      </c>
      <c r="D100" s="152" t="s">
        <v>1027</v>
      </c>
      <c r="E100" s="3"/>
      <c r="F100" s="120" t="s">
        <v>1021</v>
      </c>
      <c r="G100" s="120" t="s">
        <v>317</v>
      </c>
      <c r="H100" s="167" t="s">
        <v>1028</v>
      </c>
      <c r="I100" s="165" t="s">
        <v>1029</v>
      </c>
      <c r="J100" s="180" t="s">
        <v>1030</v>
      </c>
      <c r="K100" s="186" t="s">
        <v>10837</v>
      </c>
      <c r="L100" s="186" t="s">
        <v>10836</v>
      </c>
      <c r="M100" s="151"/>
      <c r="N100" s="151"/>
      <c r="O100" s="151"/>
      <c r="P100" s="151"/>
      <c r="Q100" s="151"/>
      <c r="S100" s="163">
        <f>DayPatternCoefficients!A108</f>
        <v>414</v>
      </c>
      <c r="T100" s="163" t="str">
        <f>DayPatternCoefficients!B108</f>
        <v>P-ONLYWK</v>
      </c>
      <c r="U100" s="157">
        <f>DayPatternCoefficients!D108</f>
        <v>0</v>
      </c>
      <c r="V100" s="178">
        <f t="shared" si="24"/>
        <v>0</v>
      </c>
      <c r="AE100" s="115">
        <v>222</v>
      </c>
      <c r="AF100" s="115" t="s">
        <v>1076</v>
      </c>
      <c r="AG100" s="115">
        <v>0.51645107443399996</v>
      </c>
      <c r="AI100" s="115" t="s">
        <v>1092</v>
      </c>
    </row>
    <row r="101" spans="1:35" x14ac:dyDescent="0.25">
      <c r="A101" s="3" t="s">
        <v>117</v>
      </c>
      <c r="B101" s="7">
        <f>output_NHTS!D136</f>
        <v>34440.134282005201</v>
      </c>
      <c r="C101" s="7">
        <f>output!D136</f>
        <v>26567</v>
      </c>
      <c r="D101" s="153">
        <f>B101/C101</f>
        <v>1.2963501442392893</v>
      </c>
      <c r="E101" s="3"/>
      <c r="F101" s="3">
        <v>1</v>
      </c>
      <c r="G101" s="3" t="s">
        <v>117</v>
      </c>
      <c r="H101" s="189">
        <f>VLOOKUP(F101,$X$3:$Z$17,3,FALSE)</f>
        <v>1.2260140529550001</v>
      </c>
      <c r="I101" s="154">
        <f>$H$98*LN(D101)</f>
        <v>0.12977636723203337</v>
      </c>
      <c r="J101" s="187">
        <f>H101+I101</f>
        <v>1.3557904201870334</v>
      </c>
      <c r="K101" s="191">
        <f>VLOOKUP(F101,$X$3:$AA$17,4,FALSE)</f>
        <v>1.3557904201870334</v>
      </c>
      <c r="L101" s="168">
        <f>IF(J101=K101,0,1)</f>
        <v>0</v>
      </c>
      <c r="S101" s="163">
        <f>DayPatternCoefficients!A109</f>
        <v>416</v>
      </c>
      <c r="T101" s="163" t="str">
        <f>DayPatternCoefficients!B109</f>
        <v>P-FEMNOC</v>
      </c>
      <c r="U101" s="157">
        <f>DayPatternCoefficients!D109</f>
        <v>0</v>
      </c>
      <c r="V101" s="178">
        <f t="shared" si="24"/>
        <v>0</v>
      </c>
      <c r="AE101" s="115">
        <v>223</v>
      </c>
      <c r="AF101" s="115" t="s">
        <v>1077</v>
      </c>
      <c r="AG101" s="115">
        <v>0.61577891945899998</v>
      </c>
      <c r="AI101" s="115" t="s">
        <v>1092</v>
      </c>
    </row>
    <row r="102" spans="1:35" x14ac:dyDescent="0.25">
      <c r="A102" s="3" t="s">
        <v>118</v>
      </c>
      <c r="B102" s="7">
        <f>output_NHTS!D137</f>
        <v>591.03222056499999</v>
      </c>
      <c r="C102" s="7">
        <f>output!D137</f>
        <v>730</v>
      </c>
      <c r="D102" s="153">
        <f t="shared" ref="D102:D107" si="34">B102/C102</f>
        <v>0.80963317885616437</v>
      </c>
      <c r="E102" s="3"/>
      <c r="F102" s="3">
        <v>3</v>
      </c>
      <c r="G102" s="3" t="s">
        <v>118</v>
      </c>
      <c r="H102" s="189">
        <f t="shared" ref="H102:H107" si="35">VLOOKUP(F102,$X$3:$Z$17,3,FALSE)</f>
        <v>0.58949163187999998</v>
      </c>
      <c r="I102" s="154">
        <f>$H$98*LN(D102)</f>
        <v>-0.10558699974996297</v>
      </c>
      <c r="J102" s="187">
        <f t="shared" ref="J102:J107" si="36">H102+I102</f>
        <v>0.48390463213003698</v>
      </c>
      <c r="K102" s="191">
        <f t="shared" ref="K102:K107" si="37">VLOOKUP(F102,$X$3:$AA$17,4,FALSE)</f>
        <v>0.48390463213003698</v>
      </c>
      <c r="L102" s="168">
        <f t="shared" ref="L102:L107" si="38">IF(J102=K102,0,1)</f>
        <v>0</v>
      </c>
      <c r="S102" s="163">
        <f>DayPatternCoefficients!A110</f>
        <v>417</v>
      </c>
      <c r="T102" s="163" t="str">
        <f>DayPatternCoefficients!B110</f>
        <v>P-FADCU5</v>
      </c>
      <c r="U102" s="157">
        <f>DayPatternCoefficients!D110</f>
        <v>-0.139780975551</v>
      </c>
      <c r="V102" s="178">
        <f t="shared" si="24"/>
        <v>-0.139780975551</v>
      </c>
      <c r="AE102" s="115">
        <v>226</v>
      </c>
      <c r="AF102" s="115" t="s">
        <v>1097</v>
      </c>
      <c r="AG102" s="117">
        <v>2.2703091891400001E-2</v>
      </c>
      <c r="AI102" s="115" t="s">
        <v>1092</v>
      </c>
    </row>
    <row r="103" spans="1:35" x14ac:dyDescent="0.25">
      <c r="A103" s="3" t="s">
        <v>4</v>
      </c>
      <c r="B103" s="7">
        <f>output_NHTS!D138</f>
        <v>4908.8298129845998</v>
      </c>
      <c r="C103" s="7">
        <f>output!D138</f>
        <v>4962</v>
      </c>
      <c r="D103" s="153">
        <f t="shared" si="34"/>
        <v>0.98928452498681985</v>
      </c>
      <c r="E103" s="3"/>
      <c r="F103" s="3">
        <v>4</v>
      </c>
      <c r="G103" s="3" t="s">
        <v>4</v>
      </c>
      <c r="H103" s="189">
        <f t="shared" si="35"/>
        <v>0.13633704997000001</v>
      </c>
      <c r="I103" s="154">
        <f t="shared" ref="I103:I107" si="39">$H$98*LN(D103)</f>
        <v>-5.3866495810108031E-3</v>
      </c>
      <c r="J103" s="187">
        <f t="shared" si="36"/>
        <v>0.1309504003889892</v>
      </c>
      <c r="K103" s="191">
        <f t="shared" si="37"/>
        <v>0.1309504003889892</v>
      </c>
      <c r="L103" s="168">
        <f t="shared" si="38"/>
        <v>0</v>
      </c>
      <c r="S103" s="163">
        <f>DayPatternCoefficients!A111</f>
        <v>418</v>
      </c>
      <c r="T103" s="163" t="str">
        <f>DayPatternCoefficients!B111</f>
        <v>P-FAD515</v>
      </c>
      <c r="U103" s="157">
        <f>DayPatternCoefficients!D111</f>
        <v>-0.18567872516700001</v>
      </c>
      <c r="V103" s="178">
        <f t="shared" si="24"/>
        <v>-0.18567872516700001</v>
      </c>
      <c r="AE103" s="115">
        <v>228</v>
      </c>
      <c r="AF103" s="115" t="s">
        <v>1098</v>
      </c>
      <c r="AG103" s="115">
        <v>-0.124677687572</v>
      </c>
      <c r="AI103" s="115" t="s">
        <v>1092</v>
      </c>
    </row>
    <row r="104" spans="1:35" x14ac:dyDescent="0.25">
      <c r="A104" s="3" t="s">
        <v>5</v>
      </c>
      <c r="B104" s="7">
        <f>output_NHTS!D139</f>
        <v>18285.990491119301</v>
      </c>
      <c r="C104" s="7">
        <f>output!D139</f>
        <v>17200</v>
      </c>
      <c r="D104" s="153">
        <f t="shared" si="34"/>
        <v>1.0631389820418198</v>
      </c>
      <c r="E104" s="3"/>
      <c r="F104" s="3">
        <v>6</v>
      </c>
      <c r="G104" s="3" t="s">
        <v>5</v>
      </c>
      <c r="H104" s="189">
        <f t="shared" si="35"/>
        <v>0.30036927294999999</v>
      </c>
      <c r="I104" s="154">
        <f t="shared" si="39"/>
        <v>3.0612917956952063E-2</v>
      </c>
      <c r="J104" s="187">
        <f t="shared" si="36"/>
        <v>0.33098219090695202</v>
      </c>
      <c r="K104" s="191">
        <f t="shared" si="37"/>
        <v>0.33098219090695202</v>
      </c>
      <c r="L104" s="168">
        <f t="shared" si="38"/>
        <v>0</v>
      </c>
      <c r="S104" s="163">
        <f>DayPatternCoefficients!A112</f>
        <v>419</v>
      </c>
      <c r="T104" s="163" t="str">
        <f>DayPatternCoefficients!B112</f>
        <v>P-MADCU5</v>
      </c>
      <c r="U104" s="157">
        <f>DayPatternCoefficients!D112</f>
        <v>0</v>
      </c>
      <c r="V104" s="178">
        <f t="shared" si="24"/>
        <v>0</v>
      </c>
      <c r="AE104" s="115">
        <v>235</v>
      </c>
      <c r="AF104" s="115" t="s">
        <v>1076</v>
      </c>
      <c r="AG104" s="115">
        <v>0.29394375688000002</v>
      </c>
      <c r="AI104" s="115" t="s">
        <v>1100</v>
      </c>
    </row>
    <row r="105" spans="1:35" x14ac:dyDescent="0.25">
      <c r="A105" s="3" t="s">
        <v>6</v>
      </c>
      <c r="B105" s="7">
        <f>output_NHTS!D140</f>
        <v>15163.217305735101</v>
      </c>
      <c r="C105" s="7">
        <f>output!D140</f>
        <v>16942</v>
      </c>
      <c r="D105" s="153">
        <f t="shared" si="34"/>
        <v>0.89500751420936731</v>
      </c>
      <c r="E105" s="3"/>
      <c r="F105" s="3">
        <v>8</v>
      </c>
      <c r="G105" s="3" t="s">
        <v>6</v>
      </c>
      <c r="H105" s="189">
        <f t="shared" si="35"/>
        <v>0.39617773946000001</v>
      </c>
      <c r="I105" s="154">
        <f t="shared" si="39"/>
        <v>-5.5461582488934853E-2</v>
      </c>
      <c r="J105" s="187">
        <f t="shared" si="36"/>
        <v>0.34071615697106516</v>
      </c>
      <c r="K105" s="191">
        <f t="shared" si="37"/>
        <v>0.34071615697106516</v>
      </c>
      <c r="L105" s="168">
        <f t="shared" si="38"/>
        <v>0</v>
      </c>
      <c r="S105" s="163">
        <f>DayPatternCoefficients!A113</f>
        <v>420</v>
      </c>
      <c r="T105" s="163" t="str">
        <f>DayPatternCoefficients!B113</f>
        <v>P-MAD515</v>
      </c>
      <c r="U105" s="157">
        <f>DayPatternCoefficients!D113</f>
        <v>-0.38992988658400002</v>
      </c>
      <c r="V105" s="178">
        <f t="shared" si="24"/>
        <v>-0.38992988658400002</v>
      </c>
      <c r="AE105" s="115">
        <v>236</v>
      </c>
      <c r="AF105" s="115" t="s">
        <v>1077</v>
      </c>
      <c r="AG105" s="115">
        <v>0.352789652234</v>
      </c>
      <c r="AI105" s="115" t="s">
        <v>1100</v>
      </c>
    </row>
    <row r="106" spans="1:35" x14ac:dyDescent="0.25">
      <c r="A106" s="3" t="s">
        <v>7</v>
      </c>
      <c r="B106" s="7">
        <f>output_NHTS!D141</f>
        <v>70545.708240836</v>
      </c>
      <c r="C106" s="7">
        <f>output!D141</f>
        <v>62650</v>
      </c>
      <c r="D106" s="153">
        <f t="shared" si="34"/>
        <v>1.1260288625831765</v>
      </c>
      <c r="E106" s="3"/>
      <c r="F106" s="3">
        <v>10</v>
      </c>
      <c r="G106" s="3" t="s">
        <v>7</v>
      </c>
      <c r="H106" s="189">
        <f t="shared" si="35"/>
        <v>0.57146970345199999</v>
      </c>
      <c r="I106" s="154">
        <f t="shared" si="39"/>
        <v>5.9348581116861102E-2</v>
      </c>
      <c r="J106" s="187">
        <f t="shared" si="36"/>
        <v>0.63081828456886113</v>
      </c>
      <c r="K106" s="191">
        <f t="shared" si="37"/>
        <v>0.63081828456886113</v>
      </c>
      <c r="L106" s="168">
        <f t="shared" si="38"/>
        <v>0</v>
      </c>
      <c r="S106" s="163">
        <f>DayPatternCoefficients!A114</f>
        <v>421</v>
      </c>
      <c r="T106" s="163" t="str">
        <f>DayPatternCoefficients!B114</f>
        <v>P-AG1825</v>
      </c>
      <c r="U106" s="157">
        <f>DayPatternCoefficients!D114</f>
        <v>-0.51640682858599996</v>
      </c>
      <c r="V106" s="178">
        <f t="shared" si="24"/>
        <v>-0.51640682858599996</v>
      </c>
      <c r="AE106" s="115">
        <v>237</v>
      </c>
      <c r="AF106" s="115" t="s">
        <v>1069</v>
      </c>
      <c r="AG106" s="115">
        <v>-1.3902039335800001</v>
      </c>
      <c r="AI106" s="115" t="s">
        <v>1065</v>
      </c>
    </row>
    <row r="107" spans="1:35" ht="15.75" thickBot="1" x14ac:dyDescent="0.3">
      <c r="A107" s="15" t="s">
        <v>8</v>
      </c>
      <c r="B107" s="22">
        <f>output_NHTS!D142</f>
        <v>17745.763639700497</v>
      </c>
      <c r="C107" s="22">
        <f>output!D142</f>
        <v>16714</v>
      </c>
      <c r="D107" s="155">
        <f t="shared" si="34"/>
        <v>1.061730503751376</v>
      </c>
      <c r="E107" s="3"/>
      <c r="F107" s="15">
        <v>13</v>
      </c>
      <c r="G107" s="15" t="s">
        <v>8</v>
      </c>
      <c r="H107" s="190">
        <f t="shared" si="35"/>
        <v>0.12974858328</v>
      </c>
      <c r="I107" s="145">
        <f t="shared" si="39"/>
        <v>2.995006383525449E-2</v>
      </c>
      <c r="J107" s="188">
        <f t="shared" si="36"/>
        <v>0.1596986471152545</v>
      </c>
      <c r="K107" s="192">
        <f t="shared" si="37"/>
        <v>0.1596986471152545</v>
      </c>
      <c r="L107" s="171">
        <f t="shared" si="38"/>
        <v>0</v>
      </c>
      <c r="S107" s="163">
        <f>DayPatternCoefficients!A115</f>
        <v>422</v>
      </c>
      <c r="T107" s="163" t="str">
        <f>DayPatternCoefficients!B115</f>
        <v>P-AG2635</v>
      </c>
      <c r="U107" s="157">
        <f>DayPatternCoefficients!D115</f>
        <v>-0.240789136184</v>
      </c>
      <c r="V107" s="178">
        <f t="shared" si="24"/>
        <v>-0.240789136184</v>
      </c>
      <c r="AE107" s="115">
        <v>238</v>
      </c>
      <c r="AF107" s="115" t="s">
        <v>1069</v>
      </c>
      <c r="AG107" s="115">
        <v>0.31366055622900002</v>
      </c>
      <c r="AI107" s="115" t="s">
        <v>1070</v>
      </c>
    </row>
    <row r="108" spans="1:35" x14ac:dyDescent="0.25">
      <c r="L108" s="119">
        <f>SUM(L101:L107)</f>
        <v>0</v>
      </c>
      <c r="S108" s="163">
        <f>DayPatternCoefficients!A116</f>
        <v>423</v>
      </c>
      <c r="T108" s="163" t="str">
        <f>DayPatternCoefficients!B116</f>
        <v>P-AG5165</v>
      </c>
      <c r="U108" s="157">
        <f>DayPatternCoefficients!D116</f>
        <v>0.16802377205999999</v>
      </c>
      <c r="V108" s="178">
        <f t="shared" si="24"/>
        <v>0.16802377205999999</v>
      </c>
      <c r="AE108" s="115">
        <v>239</v>
      </c>
      <c r="AF108" s="115" t="s">
        <v>1069</v>
      </c>
      <c r="AG108" s="115">
        <v>0.61850625713600005</v>
      </c>
      <c r="AI108" s="115" t="s">
        <v>1092</v>
      </c>
    </row>
    <row r="109" spans="1:35" x14ac:dyDescent="0.25">
      <c r="S109" s="163">
        <f>DayPatternCoefficients!A117</f>
        <v>424</v>
      </c>
      <c r="T109" s="163" t="str">
        <f>DayPatternCoefficients!B117</f>
        <v>P-WAHOME</v>
      </c>
      <c r="U109" s="157">
        <f>DayPatternCoefficients!D117</f>
        <v>0</v>
      </c>
      <c r="V109" s="178">
        <f t="shared" si="24"/>
        <v>0</v>
      </c>
    </row>
    <row r="110" spans="1:35" x14ac:dyDescent="0.25">
      <c r="S110" s="163">
        <f>DayPatternCoefficients!A118</f>
        <v>425</v>
      </c>
      <c r="T110" s="163" t="str">
        <f>DayPatternCoefficients!B118</f>
        <v>P-MIXDEN</v>
      </c>
      <c r="U110" s="157">
        <f>DayPatternCoefficients!D118</f>
        <v>0</v>
      </c>
      <c r="V110" s="178">
        <f t="shared" si="24"/>
        <v>0</v>
      </c>
    </row>
    <row r="111" spans="1:35" x14ac:dyDescent="0.25">
      <c r="S111" s="163">
        <f>DayPatternCoefficients!A119</f>
        <v>426</v>
      </c>
      <c r="T111" s="163" t="str">
        <f>DayPatternCoefficients!B119</f>
        <v>P-INTDEN</v>
      </c>
      <c r="U111" s="157">
        <f>DayPatternCoefficients!D119</f>
        <v>0</v>
      </c>
      <c r="V111" s="178">
        <f t="shared" si="24"/>
        <v>0</v>
      </c>
    </row>
    <row r="112" spans="1:35" x14ac:dyDescent="0.25">
      <c r="S112" s="163">
        <f>DayPatternCoefficients!A120</f>
        <v>427</v>
      </c>
      <c r="T112" s="163" t="str">
        <f>DayPatternCoefficients!B120</f>
        <v>P-ACCLOG</v>
      </c>
      <c r="U112" s="157">
        <f>DayPatternCoefficients!D120</f>
        <v>0</v>
      </c>
      <c r="V112" s="178">
        <f t="shared" si="24"/>
        <v>0</v>
      </c>
    </row>
    <row r="113" spans="19:22" x14ac:dyDescent="0.25">
      <c r="S113" s="163">
        <f>DayPatternCoefficients!A121</f>
        <v>428</v>
      </c>
      <c r="T113" s="163" t="str">
        <f>DayPatternCoefficients!B121</f>
        <v>P-T-LOGS</v>
      </c>
      <c r="U113" s="157">
        <f>DayPatternCoefficients!D121</f>
        <v>-3.0323782283900001E-2</v>
      </c>
      <c r="V113" s="178">
        <f t="shared" si="24"/>
        <v>-3.0323782283900001E-2</v>
      </c>
    </row>
    <row r="114" spans="19:22" x14ac:dyDescent="0.25">
      <c r="S114" s="163">
        <f>DayPatternCoefficients!A122</f>
        <v>429</v>
      </c>
      <c r="T114" s="163" t="str">
        <f>DayPatternCoefficients!B122</f>
        <v>P-S-LOGS</v>
      </c>
      <c r="U114" s="157">
        <f>DayPatternCoefficients!D122</f>
        <v>-3.3157486963999998E-2</v>
      </c>
      <c r="V114" s="178">
        <f t="shared" si="24"/>
        <v>-3.3157486963999998E-2</v>
      </c>
    </row>
    <row r="115" spans="19:22" x14ac:dyDescent="0.25">
      <c r="S115" s="137">
        <f>DayPatternCoefficients!A123</f>
        <v>451</v>
      </c>
      <c r="T115" s="137" t="str">
        <f>DayPatternCoefficients!B123</f>
        <v>P-FTW</v>
      </c>
      <c r="U115" s="138">
        <f>DayPatternCoefficients!D123</f>
        <v>0</v>
      </c>
      <c r="V115" s="178">
        <f t="shared" si="24"/>
        <v>0.16213091771132185</v>
      </c>
    </row>
    <row r="116" spans="19:22" x14ac:dyDescent="0.25">
      <c r="S116" s="137">
        <f>DayPatternCoefficients!A124</f>
        <v>500</v>
      </c>
      <c r="T116" s="137" t="str">
        <f>DayPatternCoefficients!B124</f>
        <v>H-TASC</v>
      </c>
      <c r="U116" s="138">
        <f>DayPatternCoefficients!D124</f>
        <v>-1.8648554903800001</v>
      </c>
      <c r="V116" s="178">
        <f t="shared" si="24"/>
        <v>-1.7960352539803188</v>
      </c>
    </row>
    <row r="117" spans="19:22" x14ac:dyDescent="0.25">
      <c r="S117" s="137">
        <f>DayPatternCoefficients!A125</f>
        <v>501</v>
      </c>
      <c r="T117" s="137" t="str">
        <f>DayPatternCoefficients!B125</f>
        <v>H-SASC</v>
      </c>
      <c r="U117" s="138">
        <f>DayPatternCoefficients!D125</f>
        <v>0.68463974939799999</v>
      </c>
      <c r="V117" s="178">
        <f t="shared" si="24"/>
        <v>0.59758116007093898</v>
      </c>
    </row>
    <row r="118" spans="19:22" x14ac:dyDescent="0.25">
      <c r="S118" s="137">
        <f>DayPatternCoefficients!A126</f>
        <v>502</v>
      </c>
      <c r="T118" s="137" t="str">
        <f>DayPatternCoefficients!B126</f>
        <v>H-PTW</v>
      </c>
      <c r="U118" s="138">
        <f>DayPatternCoefficients!D126</f>
        <v>0.18</v>
      </c>
      <c r="V118" s="178">
        <f t="shared" si="24"/>
        <v>-0.37130524935709375</v>
      </c>
    </row>
    <row r="119" spans="19:22" x14ac:dyDescent="0.25">
      <c r="S119" s="137">
        <f>DayPatternCoefficients!A127</f>
        <v>503</v>
      </c>
      <c r="T119" s="137" t="str">
        <f>DayPatternCoefficients!B127</f>
        <v>H-RET</v>
      </c>
      <c r="U119" s="138">
        <f>DayPatternCoefficients!D127</f>
        <v>0.29169321065699999</v>
      </c>
      <c r="V119" s="178">
        <f t="shared" si="24"/>
        <v>1.6658417930191932E-2</v>
      </c>
    </row>
    <row r="120" spans="19:22" x14ac:dyDescent="0.25">
      <c r="S120" s="137">
        <f>DayPatternCoefficients!A128</f>
        <v>504</v>
      </c>
      <c r="T120" s="137" t="str">
        <f>DayPatternCoefficients!B128</f>
        <v>H-NWA</v>
      </c>
      <c r="U120" s="138">
        <f>DayPatternCoefficients!D128</f>
        <v>0.333741739378</v>
      </c>
      <c r="V120" s="178">
        <f t="shared" si="24"/>
        <v>-0.45852525793334631</v>
      </c>
    </row>
    <row r="121" spans="19:22" x14ac:dyDescent="0.25">
      <c r="S121" s="137">
        <f>DayPatternCoefficients!A129</f>
        <v>505</v>
      </c>
      <c r="T121" s="137" t="str">
        <f>DayPatternCoefficients!B129</f>
        <v>H-UNI</v>
      </c>
      <c r="U121" s="138">
        <f>DayPatternCoefficients!D129</f>
        <v>1.5</v>
      </c>
      <c r="V121" s="178">
        <f t="shared" si="24"/>
        <v>2.5096685130596291E-2</v>
      </c>
    </row>
    <row r="122" spans="19:22" x14ac:dyDescent="0.25">
      <c r="S122" s="137">
        <f>DayPatternCoefficients!A130</f>
        <v>506</v>
      </c>
      <c r="T122" s="137" t="str">
        <f>DayPatternCoefficients!B130</f>
        <v>H-DAS</v>
      </c>
      <c r="U122" s="138">
        <f>DayPatternCoefficients!D130</f>
        <v>-1.4398761743499999</v>
      </c>
      <c r="V122" s="178">
        <f t="shared" si="24"/>
        <v>-4.4878619158950417E-2</v>
      </c>
    </row>
    <row r="123" spans="19:22" x14ac:dyDescent="0.25">
      <c r="S123" s="137">
        <f>DayPatternCoefficients!A131</f>
        <v>507</v>
      </c>
      <c r="T123" s="137" t="str">
        <f>DayPatternCoefficients!B131</f>
        <v>H-PAS</v>
      </c>
      <c r="U123" s="138">
        <f>DayPatternCoefficients!D131</f>
        <v>-0.67158773351000001</v>
      </c>
      <c r="V123" s="178">
        <f t="shared" si="24"/>
        <v>-7.6517627963599011E-2</v>
      </c>
    </row>
    <row r="124" spans="19:22" x14ac:dyDescent="0.25">
      <c r="S124" s="163">
        <f>DayPatternCoefficients!A132</f>
        <v>508</v>
      </c>
      <c r="T124" s="163" t="str">
        <f>DayPatternCoefficients!B132</f>
        <v>H-CU5</v>
      </c>
      <c r="U124" s="157">
        <f>DayPatternCoefficients!D132</f>
        <v>-0.2</v>
      </c>
      <c r="V124" s="178">
        <f t="shared" si="24"/>
        <v>-0.2</v>
      </c>
    </row>
    <row r="125" spans="19:22" x14ac:dyDescent="0.25">
      <c r="S125" s="163">
        <f>DayPatternCoefficients!A133</f>
        <v>509</v>
      </c>
      <c r="T125" s="163" t="str">
        <f>DayPatternCoefficients!B133</f>
        <v>H-VLINC</v>
      </c>
      <c r="U125" s="157">
        <f>DayPatternCoefficients!D133</f>
        <v>0.19765755271499999</v>
      </c>
      <c r="V125" s="178">
        <f t="shared" si="24"/>
        <v>0.19765755271499999</v>
      </c>
    </row>
    <row r="126" spans="19:22" x14ac:dyDescent="0.25">
      <c r="S126" s="163">
        <f>DayPatternCoefficients!A134</f>
        <v>510</v>
      </c>
      <c r="T126" s="163" t="str">
        <f>DayPatternCoefficients!B134</f>
        <v>H-LOINC</v>
      </c>
      <c r="U126" s="157">
        <f>DayPatternCoefficients!D134</f>
        <v>0</v>
      </c>
      <c r="V126" s="178">
        <f t="shared" si="24"/>
        <v>0</v>
      </c>
    </row>
    <row r="127" spans="19:22" x14ac:dyDescent="0.25">
      <c r="S127" s="163">
        <f>DayPatternCoefficients!A135</f>
        <v>511</v>
      </c>
      <c r="T127" s="163" t="str">
        <f>DayPatternCoefficients!B135</f>
        <v>H-HIINC</v>
      </c>
      <c r="U127" s="157">
        <f>DayPatternCoefficients!D135</f>
        <v>0</v>
      </c>
      <c r="V127" s="178">
        <f t="shared" si="24"/>
        <v>0</v>
      </c>
    </row>
    <row r="128" spans="19:22" x14ac:dyDescent="0.25">
      <c r="S128" s="163">
        <f>DayPatternCoefficients!A136</f>
        <v>512</v>
      </c>
      <c r="T128" s="163" t="str">
        <f>DayPatternCoefficients!B136</f>
        <v>H-CARSPD</v>
      </c>
      <c r="U128" s="157">
        <f>DayPatternCoefficients!D136</f>
        <v>-9.62795835993E-2</v>
      </c>
      <c r="V128" s="178">
        <f t="shared" si="24"/>
        <v>-9.62795835993E-2</v>
      </c>
    </row>
    <row r="129" spans="19:22" x14ac:dyDescent="0.25">
      <c r="S129" s="163">
        <f>DayPatternCoefficients!A137</f>
        <v>513</v>
      </c>
      <c r="T129" s="163" t="str">
        <f>DayPatternCoefficients!B137</f>
        <v>H-ONLYAD</v>
      </c>
      <c r="U129" s="157">
        <f>DayPatternCoefficients!D137</f>
        <v>0.31837119660899998</v>
      </c>
      <c r="V129" s="178">
        <f t="shared" si="24"/>
        <v>0.31837119660899998</v>
      </c>
    </row>
    <row r="130" spans="19:22" x14ac:dyDescent="0.25">
      <c r="S130" s="163">
        <f>DayPatternCoefficients!A138</f>
        <v>514</v>
      </c>
      <c r="T130" s="163" t="str">
        <f>DayPatternCoefficients!B138</f>
        <v>H-ONLYWK</v>
      </c>
      <c r="U130" s="157">
        <f>DayPatternCoefficients!D138</f>
        <v>0</v>
      </c>
      <c r="V130" s="178">
        <f t="shared" si="24"/>
        <v>0</v>
      </c>
    </row>
    <row r="131" spans="19:22" x14ac:dyDescent="0.25">
      <c r="S131" s="163">
        <f>DayPatternCoefficients!A139</f>
        <v>516</v>
      </c>
      <c r="T131" s="163" t="str">
        <f>DayPatternCoefficients!B139</f>
        <v>H-FEMNOC</v>
      </c>
      <c r="U131" s="157">
        <f>DayPatternCoefficients!D139</f>
        <v>0.145509111734</v>
      </c>
      <c r="V131" s="178">
        <f t="shared" si="24"/>
        <v>0.145509111734</v>
      </c>
    </row>
    <row r="132" spans="19:22" x14ac:dyDescent="0.25">
      <c r="S132" s="163">
        <f>DayPatternCoefficients!A140</f>
        <v>517</v>
      </c>
      <c r="T132" s="163" t="str">
        <f>DayPatternCoefficients!B140</f>
        <v>H-FADCU5</v>
      </c>
      <c r="U132" s="157">
        <f>DayPatternCoefficients!D140</f>
        <v>0</v>
      </c>
      <c r="V132" s="178">
        <f t="shared" ref="V132:V195" si="40">_xlfn.IFNA(VLOOKUP(S132,$J$49:$L$91,3,FALSE),_xlfn.IFNA(VLOOKUP(S132,$F$5:$J$11,5,FALSE),_xlfn.IFNA(VLOOKUP(S132,$F$19:$J$25,5,FALSE),U132)))</f>
        <v>0</v>
      </c>
    </row>
    <row r="133" spans="19:22" x14ac:dyDescent="0.25">
      <c r="S133" s="163">
        <f>DayPatternCoefficients!A141</f>
        <v>518</v>
      </c>
      <c r="T133" s="163" t="str">
        <f>DayPatternCoefficients!B141</f>
        <v>H-FAD515</v>
      </c>
      <c r="U133" s="157">
        <f>DayPatternCoefficients!D141</f>
        <v>0</v>
      </c>
      <c r="V133" s="178">
        <f t="shared" si="40"/>
        <v>0</v>
      </c>
    </row>
    <row r="134" spans="19:22" x14ac:dyDescent="0.25">
      <c r="S134" s="163">
        <f>DayPatternCoefficients!A142</f>
        <v>519</v>
      </c>
      <c r="T134" s="163" t="str">
        <f>DayPatternCoefficients!B142</f>
        <v>H-MADCU5</v>
      </c>
      <c r="U134" s="157">
        <f>DayPatternCoefficients!D142</f>
        <v>-0.39019421704099999</v>
      </c>
      <c r="V134" s="178">
        <f t="shared" si="40"/>
        <v>-0.39019421704099999</v>
      </c>
    </row>
    <row r="135" spans="19:22" x14ac:dyDescent="0.25">
      <c r="S135" s="163">
        <f>DayPatternCoefficients!A143</f>
        <v>520</v>
      </c>
      <c r="T135" s="163" t="str">
        <f>DayPatternCoefficients!B143</f>
        <v>H-MAD515</v>
      </c>
      <c r="U135" s="157">
        <f>DayPatternCoefficients!D143</f>
        <v>0</v>
      </c>
      <c r="V135" s="178">
        <f t="shared" si="40"/>
        <v>0</v>
      </c>
    </row>
    <row r="136" spans="19:22" x14ac:dyDescent="0.25">
      <c r="S136" s="163">
        <f>DayPatternCoefficients!A144</f>
        <v>521</v>
      </c>
      <c r="T136" s="163" t="str">
        <f>DayPatternCoefficients!B144</f>
        <v>H-AG1825</v>
      </c>
      <c r="U136" s="157">
        <f>DayPatternCoefficients!D144</f>
        <v>-0.664842450325</v>
      </c>
      <c r="V136" s="178">
        <f t="shared" si="40"/>
        <v>-0.664842450325</v>
      </c>
    </row>
    <row r="137" spans="19:22" x14ac:dyDescent="0.25">
      <c r="S137" s="163">
        <f>DayPatternCoefficients!A145</f>
        <v>522</v>
      </c>
      <c r="T137" s="163" t="str">
        <f>DayPatternCoefficients!B145</f>
        <v>H-AG2635</v>
      </c>
      <c r="U137" s="157">
        <f>DayPatternCoefficients!D145</f>
        <v>-0.128206129379</v>
      </c>
      <c r="V137" s="178">
        <f t="shared" si="40"/>
        <v>-0.128206129379</v>
      </c>
    </row>
    <row r="138" spans="19:22" x14ac:dyDescent="0.25">
      <c r="S138" s="163">
        <f>DayPatternCoefficients!A146</f>
        <v>523</v>
      </c>
      <c r="T138" s="163" t="str">
        <f>DayPatternCoefficients!B146</f>
        <v>H-AG5165</v>
      </c>
      <c r="U138" s="157">
        <f>DayPatternCoefficients!D146</f>
        <v>0.109643763442</v>
      </c>
      <c r="V138" s="178">
        <f t="shared" si="40"/>
        <v>0.109643763442</v>
      </c>
    </row>
    <row r="139" spans="19:22" x14ac:dyDescent="0.25">
      <c r="S139" s="163">
        <f>DayPatternCoefficients!A147</f>
        <v>524</v>
      </c>
      <c r="T139" s="163" t="str">
        <f>DayPatternCoefficients!B147</f>
        <v>H-WAHOME</v>
      </c>
      <c r="U139" s="157">
        <f>DayPatternCoefficients!D147</f>
        <v>0</v>
      </c>
      <c r="V139" s="178">
        <f t="shared" si="40"/>
        <v>0</v>
      </c>
    </row>
    <row r="140" spans="19:22" x14ac:dyDescent="0.25">
      <c r="S140" s="163">
        <f>DayPatternCoefficients!A148</f>
        <v>525</v>
      </c>
      <c r="T140" s="163" t="str">
        <f>DayPatternCoefficients!B148</f>
        <v>H-MIXDEN</v>
      </c>
      <c r="U140" s="157">
        <f>DayPatternCoefficients!D148</f>
        <v>0</v>
      </c>
      <c r="V140" s="178">
        <f t="shared" si="40"/>
        <v>0</v>
      </c>
    </row>
    <row r="141" spans="19:22" x14ac:dyDescent="0.25">
      <c r="S141" s="163">
        <f>DayPatternCoefficients!A149</f>
        <v>526</v>
      </c>
      <c r="T141" s="163" t="str">
        <f>DayPatternCoefficients!B149</f>
        <v>H-INTDEN</v>
      </c>
      <c r="U141" s="157">
        <f>DayPatternCoefficients!D149</f>
        <v>0</v>
      </c>
      <c r="V141" s="178">
        <f t="shared" si="40"/>
        <v>0</v>
      </c>
    </row>
    <row r="142" spans="19:22" x14ac:dyDescent="0.25">
      <c r="S142" s="163">
        <f>DayPatternCoefficients!A150</f>
        <v>527</v>
      </c>
      <c r="T142" s="163" t="str">
        <f>DayPatternCoefficients!B150</f>
        <v>H-ACCLOG</v>
      </c>
      <c r="U142" s="157">
        <f>DayPatternCoefficients!D150</f>
        <v>0</v>
      </c>
      <c r="V142" s="178">
        <f t="shared" si="40"/>
        <v>0</v>
      </c>
    </row>
    <row r="143" spans="19:22" x14ac:dyDescent="0.25">
      <c r="S143" s="163">
        <f>DayPatternCoefficients!A151</f>
        <v>528</v>
      </c>
      <c r="T143" s="163" t="str">
        <f>DayPatternCoefficients!B151</f>
        <v>H-T-LOGS</v>
      </c>
      <c r="U143" s="157">
        <f>DayPatternCoefficients!D151</f>
        <v>-9.9077299202899993E-3</v>
      </c>
      <c r="V143" s="178">
        <f t="shared" si="40"/>
        <v>-9.9077299202899993E-3</v>
      </c>
    </row>
    <row r="144" spans="19:22" x14ac:dyDescent="0.25">
      <c r="S144" s="163">
        <f>DayPatternCoefficients!A152</f>
        <v>529</v>
      </c>
      <c r="T144" s="163" t="str">
        <f>DayPatternCoefficients!B152</f>
        <v>H-S-LOGS</v>
      </c>
      <c r="U144" s="157">
        <f>DayPatternCoefficients!D152</f>
        <v>-3.40075996586E-2</v>
      </c>
      <c r="V144" s="178">
        <f t="shared" si="40"/>
        <v>-3.40075996586E-2</v>
      </c>
    </row>
    <row r="145" spans="19:22" x14ac:dyDescent="0.25">
      <c r="S145" s="137">
        <f>DayPatternCoefficients!A153</f>
        <v>551</v>
      </c>
      <c r="T145" s="137" t="str">
        <f>DayPatternCoefficients!B153</f>
        <v>H-FTW</v>
      </c>
      <c r="U145" s="138">
        <f>DayPatternCoefficients!D153</f>
        <v>0</v>
      </c>
      <c r="V145" s="178">
        <f t="shared" si="40"/>
        <v>-0.51326693660426259</v>
      </c>
    </row>
    <row r="146" spans="19:22" x14ac:dyDescent="0.25">
      <c r="S146" s="137">
        <f>DayPatternCoefficients!A154</f>
        <v>600</v>
      </c>
      <c r="T146" s="137" t="str">
        <f>DayPatternCoefficients!B154</f>
        <v>M-TASC</v>
      </c>
      <c r="U146" s="138">
        <f>DayPatternCoefficients!D154</f>
        <v>-3.1650076478</v>
      </c>
      <c r="V146" s="178">
        <f t="shared" si="40"/>
        <v>-3.0632040537320555</v>
      </c>
    </row>
    <row r="147" spans="19:22" x14ac:dyDescent="0.25">
      <c r="S147" s="137">
        <f>DayPatternCoefficients!A155</f>
        <v>601</v>
      </c>
      <c r="T147" s="137" t="str">
        <f>DayPatternCoefficients!B155</f>
        <v>M-SASC</v>
      </c>
      <c r="U147" s="138">
        <f>DayPatternCoefficients!D155</f>
        <v>-0.71412970660499997</v>
      </c>
      <c r="V147" s="178">
        <f t="shared" si="40"/>
        <v>-0.82121845350483624</v>
      </c>
    </row>
    <row r="148" spans="19:22" x14ac:dyDescent="0.25">
      <c r="S148" s="137">
        <f>DayPatternCoefficients!A156</f>
        <v>602</v>
      </c>
      <c r="T148" s="137" t="str">
        <f>DayPatternCoefficients!B156</f>
        <v>M-PTW</v>
      </c>
      <c r="U148" s="138">
        <f>DayPatternCoefficients!D156</f>
        <v>-8.5904702712299996E-2</v>
      </c>
      <c r="V148" s="178">
        <f t="shared" si="40"/>
        <v>9.6217909292551987E-3</v>
      </c>
    </row>
    <row r="149" spans="19:22" x14ac:dyDescent="0.25">
      <c r="S149" s="137">
        <f>DayPatternCoefficients!A157</f>
        <v>603</v>
      </c>
      <c r="T149" s="137" t="str">
        <f>DayPatternCoefficients!B157</f>
        <v>M-RET</v>
      </c>
      <c r="U149" s="138">
        <f>DayPatternCoefficients!D157</f>
        <v>0</v>
      </c>
      <c r="V149" s="178">
        <f t="shared" si="40"/>
        <v>1.894368635633488E-2</v>
      </c>
    </row>
    <row r="150" spans="19:22" x14ac:dyDescent="0.25">
      <c r="S150" s="137">
        <f>DayPatternCoefficients!A158</f>
        <v>604</v>
      </c>
      <c r="T150" s="137" t="str">
        <f>DayPatternCoefficients!B158</f>
        <v>M-NWA</v>
      </c>
      <c r="U150" s="138">
        <f>DayPatternCoefficients!D158</f>
        <v>0</v>
      </c>
      <c r="V150" s="178">
        <f t="shared" si="40"/>
        <v>0.22698523462046272</v>
      </c>
    </row>
    <row r="151" spans="19:22" x14ac:dyDescent="0.25">
      <c r="S151" s="137">
        <f>DayPatternCoefficients!A159</f>
        <v>605</v>
      </c>
      <c r="T151" s="137" t="str">
        <f>DayPatternCoefficients!B159</f>
        <v>M-UNI</v>
      </c>
      <c r="U151" s="138">
        <f>DayPatternCoefficients!D159</f>
        <v>0.5</v>
      </c>
      <c r="V151" s="178">
        <f t="shared" si="40"/>
        <v>0.13956024140425966</v>
      </c>
    </row>
    <row r="152" spans="19:22" x14ac:dyDescent="0.25">
      <c r="S152" s="137">
        <f>DayPatternCoefficients!A160</f>
        <v>606</v>
      </c>
      <c r="T152" s="137" t="str">
        <f>DayPatternCoefficients!B160</f>
        <v>M-DAS</v>
      </c>
      <c r="U152" s="138">
        <f>DayPatternCoefficients!D160</f>
        <v>-0.93463365956900002</v>
      </c>
      <c r="V152" s="178">
        <f t="shared" si="40"/>
        <v>0.1</v>
      </c>
    </row>
    <row r="153" spans="19:22" x14ac:dyDescent="0.25">
      <c r="S153" s="137">
        <f>DayPatternCoefficients!A161</f>
        <v>607</v>
      </c>
      <c r="T153" s="137" t="str">
        <f>DayPatternCoefficients!B161</f>
        <v>M-PAS</v>
      </c>
      <c r="U153" s="138">
        <f>DayPatternCoefficients!D161</f>
        <v>-1.1748210207500001</v>
      </c>
      <c r="V153" s="178">
        <f t="shared" si="40"/>
        <v>-0.10953409338648291</v>
      </c>
    </row>
    <row r="154" spans="19:22" x14ac:dyDescent="0.25">
      <c r="S154" s="163">
        <f>DayPatternCoefficients!A162</f>
        <v>608</v>
      </c>
      <c r="T154" s="163" t="str">
        <f>DayPatternCoefficients!B162</f>
        <v>M-CU5</v>
      </c>
      <c r="U154" s="157">
        <f>DayPatternCoefficients!D162</f>
        <v>-0.691459195676</v>
      </c>
      <c r="V154" s="178">
        <f t="shared" si="40"/>
        <v>-0.691459195676</v>
      </c>
    </row>
    <row r="155" spans="19:22" x14ac:dyDescent="0.25">
      <c r="S155" s="163">
        <f>DayPatternCoefficients!A163</f>
        <v>609</v>
      </c>
      <c r="T155" s="163" t="str">
        <f>DayPatternCoefficients!B163</f>
        <v>M-VLINC</v>
      </c>
      <c r="U155" s="157">
        <f>DayPatternCoefficients!D163</f>
        <v>-0.29980229741199999</v>
      </c>
      <c r="V155" s="178">
        <f t="shared" si="40"/>
        <v>-0.29980229741199999</v>
      </c>
    </row>
    <row r="156" spans="19:22" x14ac:dyDescent="0.25">
      <c r="S156" s="163">
        <f>DayPatternCoefficients!A164</f>
        <v>610</v>
      </c>
      <c r="T156" s="163" t="str">
        <f>DayPatternCoefficients!B164</f>
        <v>M-LOINC</v>
      </c>
      <c r="U156" s="157">
        <f>DayPatternCoefficients!D164</f>
        <v>1.67667697238E-2</v>
      </c>
      <c r="V156" s="178">
        <f t="shared" si="40"/>
        <v>1.67667697238E-2</v>
      </c>
    </row>
    <row r="157" spans="19:22" x14ac:dyDescent="0.25">
      <c r="S157" s="163">
        <f>DayPatternCoefficients!A165</f>
        <v>611</v>
      </c>
      <c r="T157" s="163" t="str">
        <f>DayPatternCoefficients!B165</f>
        <v>M-HIINC</v>
      </c>
      <c r="U157" s="157">
        <f>DayPatternCoefficients!D165</f>
        <v>0</v>
      </c>
      <c r="V157" s="178">
        <f t="shared" si="40"/>
        <v>0</v>
      </c>
    </row>
    <row r="158" spans="19:22" x14ac:dyDescent="0.25">
      <c r="S158" s="163">
        <f>DayPatternCoefficients!A166</f>
        <v>612</v>
      </c>
      <c r="T158" s="163" t="str">
        <f>DayPatternCoefficients!B166</f>
        <v>M-CARSPD</v>
      </c>
      <c r="U158" s="157">
        <f>DayPatternCoefficients!D166</f>
        <v>-0.22841745929999999</v>
      </c>
      <c r="V158" s="178">
        <f t="shared" si="40"/>
        <v>-0.22841745929999999</v>
      </c>
    </row>
    <row r="159" spans="19:22" x14ac:dyDescent="0.25">
      <c r="S159" s="163">
        <f>DayPatternCoefficients!A167</f>
        <v>613</v>
      </c>
      <c r="T159" s="163" t="str">
        <f>DayPatternCoefficients!B167</f>
        <v>M-ONLYAD</v>
      </c>
      <c r="U159" s="157">
        <f>DayPatternCoefficients!D167</f>
        <v>0</v>
      </c>
      <c r="V159" s="178">
        <f t="shared" si="40"/>
        <v>0</v>
      </c>
    </row>
    <row r="160" spans="19:22" x14ac:dyDescent="0.25">
      <c r="S160" s="163">
        <f>DayPatternCoefficients!A168</f>
        <v>614</v>
      </c>
      <c r="T160" s="163" t="str">
        <f>DayPatternCoefficients!B168</f>
        <v>M-ONLYWK</v>
      </c>
      <c r="U160" s="157">
        <f>DayPatternCoefficients!D168</f>
        <v>0</v>
      </c>
      <c r="V160" s="178">
        <f t="shared" si="40"/>
        <v>0</v>
      </c>
    </row>
    <row r="161" spans="19:22" x14ac:dyDescent="0.25">
      <c r="S161" s="163">
        <f>DayPatternCoefficients!A169</f>
        <v>616</v>
      </c>
      <c r="T161" s="163" t="str">
        <f>DayPatternCoefficients!B169</f>
        <v>M-FEMNOC</v>
      </c>
      <c r="U161" s="157">
        <f>DayPatternCoefficients!D169</f>
        <v>-5.8983816757300002E-2</v>
      </c>
      <c r="V161" s="178">
        <f t="shared" si="40"/>
        <v>-5.8983816757300002E-2</v>
      </c>
    </row>
    <row r="162" spans="19:22" x14ac:dyDescent="0.25">
      <c r="S162" s="163">
        <f>DayPatternCoefficients!A170</f>
        <v>617</v>
      </c>
      <c r="T162" s="163" t="str">
        <f>DayPatternCoefficients!B170</f>
        <v>M-FADCU5</v>
      </c>
      <c r="U162" s="157">
        <f>DayPatternCoefficients!D170</f>
        <v>0</v>
      </c>
      <c r="V162" s="178">
        <f t="shared" si="40"/>
        <v>0</v>
      </c>
    </row>
    <row r="163" spans="19:22" x14ac:dyDescent="0.25">
      <c r="S163" s="163">
        <f>DayPatternCoefficients!A171</f>
        <v>618</v>
      </c>
      <c r="T163" s="163" t="str">
        <f>DayPatternCoefficients!B171</f>
        <v>M-FAD515</v>
      </c>
      <c r="U163" s="157">
        <f>DayPatternCoefficients!D171</f>
        <v>-0.59216940411100005</v>
      </c>
      <c r="V163" s="178">
        <f t="shared" si="40"/>
        <v>-0.59216940411100005</v>
      </c>
    </row>
    <row r="164" spans="19:22" x14ac:dyDescent="0.25">
      <c r="S164" s="163">
        <f>DayPatternCoefficients!A172</f>
        <v>619</v>
      </c>
      <c r="T164" s="163" t="str">
        <f>DayPatternCoefficients!B172</f>
        <v>M-MADCU5</v>
      </c>
      <c r="U164" s="157">
        <f>DayPatternCoefficients!D172</f>
        <v>0</v>
      </c>
      <c r="V164" s="178">
        <f t="shared" si="40"/>
        <v>0</v>
      </c>
    </row>
    <row r="165" spans="19:22" x14ac:dyDescent="0.25">
      <c r="S165" s="163">
        <f>DayPatternCoefficients!A173</f>
        <v>620</v>
      </c>
      <c r="T165" s="163" t="str">
        <f>DayPatternCoefficients!B173</f>
        <v>M-MAD515</v>
      </c>
      <c r="U165" s="157">
        <f>DayPatternCoefficients!D173</f>
        <v>-0.48080125201099999</v>
      </c>
      <c r="V165" s="178">
        <f t="shared" si="40"/>
        <v>-0.48080125201099999</v>
      </c>
    </row>
    <row r="166" spans="19:22" x14ac:dyDescent="0.25">
      <c r="S166" s="163">
        <f>DayPatternCoefficients!A174</f>
        <v>621</v>
      </c>
      <c r="T166" s="163" t="str">
        <f>DayPatternCoefficients!B174</f>
        <v>M-AG1825</v>
      </c>
      <c r="U166" s="157">
        <f>DayPatternCoefficients!D174</f>
        <v>0</v>
      </c>
      <c r="V166" s="178">
        <f t="shared" si="40"/>
        <v>0</v>
      </c>
    </row>
    <row r="167" spans="19:22" x14ac:dyDescent="0.25">
      <c r="S167" s="163">
        <f>DayPatternCoefficients!A175</f>
        <v>622</v>
      </c>
      <c r="T167" s="163" t="str">
        <f>DayPatternCoefficients!B175</f>
        <v>M-AG2635</v>
      </c>
      <c r="U167" s="157">
        <f>DayPatternCoefficients!D175</f>
        <v>0</v>
      </c>
      <c r="V167" s="178">
        <f t="shared" si="40"/>
        <v>0</v>
      </c>
    </row>
    <row r="168" spans="19:22" x14ac:dyDescent="0.25">
      <c r="S168" s="163">
        <f>DayPatternCoefficients!A176</f>
        <v>623</v>
      </c>
      <c r="T168" s="163" t="str">
        <f>DayPatternCoefficients!B176</f>
        <v>M-AG5165</v>
      </c>
      <c r="U168" s="157">
        <f>DayPatternCoefficients!D176</f>
        <v>0</v>
      </c>
      <c r="V168" s="178">
        <f t="shared" si="40"/>
        <v>0</v>
      </c>
    </row>
    <row r="169" spans="19:22" x14ac:dyDescent="0.25">
      <c r="S169" s="163">
        <f>DayPatternCoefficients!A177</f>
        <v>624</v>
      </c>
      <c r="T169" s="163" t="str">
        <f>DayPatternCoefficients!B177</f>
        <v>M-WAHOME</v>
      </c>
      <c r="U169" s="157">
        <f>DayPatternCoefficients!D177</f>
        <v>0</v>
      </c>
      <c r="V169" s="178">
        <f t="shared" si="40"/>
        <v>0</v>
      </c>
    </row>
    <row r="170" spans="19:22" x14ac:dyDescent="0.25">
      <c r="S170" s="163">
        <f>DayPatternCoefficients!A178</f>
        <v>625</v>
      </c>
      <c r="T170" s="163" t="str">
        <f>DayPatternCoefficients!B178</f>
        <v>M-MIXDEN</v>
      </c>
      <c r="U170" s="157">
        <f>DayPatternCoefficients!D178</f>
        <v>0</v>
      </c>
      <c r="V170" s="178">
        <f t="shared" si="40"/>
        <v>0</v>
      </c>
    </row>
    <row r="171" spans="19:22" x14ac:dyDescent="0.25">
      <c r="S171" s="163">
        <f>DayPatternCoefficients!A179</f>
        <v>626</v>
      </c>
      <c r="T171" s="163" t="str">
        <f>DayPatternCoefficients!B179</f>
        <v>M-INTDEN</v>
      </c>
      <c r="U171" s="157">
        <f>DayPatternCoefficients!D179</f>
        <v>0</v>
      </c>
      <c r="V171" s="178">
        <f t="shared" si="40"/>
        <v>0</v>
      </c>
    </row>
    <row r="172" spans="19:22" x14ac:dyDescent="0.25">
      <c r="S172" s="163">
        <f>DayPatternCoefficients!A180</f>
        <v>627</v>
      </c>
      <c r="T172" s="163" t="str">
        <f>DayPatternCoefficients!B180</f>
        <v>M-ACCLOG</v>
      </c>
      <c r="U172" s="157">
        <f>DayPatternCoefficients!D180</f>
        <v>0.1</v>
      </c>
      <c r="V172" s="178">
        <f t="shared" si="40"/>
        <v>0.1</v>
      </c>
    </row>
    <row r="173" spans="19:22" x14ac:dyDescent="0.25">
      <c r="S173" s="163">
        <f>DayPatternCoefficients!A181</f>
        <v>628</v>
      </c>
      <c r="T173" s="163" t="str">
        <f>DayPatternCoefficients!B181</f>
        <v>M-T-LOGS</v>
      </c>
      <c r="U173" s="157">
        <f>DayPatternCoefficients!D181</f>
        <v>2.7065283978900002E-2</v>
      </c>
      <c r="V173" s="178">
        <f t="shared" si="40"/>
        <v>2.7065283978900002E-2</v>
      </c>
    </row>
    <row r="174" spans="19:22" x14ac:dyDescent="0.25">
      <c r="S174" s="163">
        <f>DayPatternCoefficients!A182</f>
        <v>629</v>
      </c>
      <c r="T174" s="163" t="str">
        <f>DayPatternCoefficients!B182</f>
        <v>M-S-LOGS</v>
      </c>
      <c r="U174" s="157">
        <f>DayPatternCoefficients!D182</f>
        <v>-2.37266979579E-2</v>
      </c>
      <c r="V174" s="178">
        <f t="shared" si="40"/>
        <v>-2.37266979579E-2</v>
      </c>
    </row>
    <row r="175" spans="19:22" x14ac:dyDescent="0.25">
      <c r="S175" s="137">
        <f>DayPatternCoefficients!A183</f>
        <v>651</v>
      </c>
      <c r="T175" s="137" t="str">
        <f>DayPatternCoefficients!B183</f>
        <v>M-FTW</v>
      </c>
      <c r="U175" s="138">
        <f>DayPatternCoefficients!D183</f>
        <v>0</v>
      </c>
      <c r="V175" s="178">
        <f t="shared" si="40"/>
        <v>-4.9481424314039932</v>
      </c>
    </row>
    <row r="176" spans="19:22" x14ac:dyDescent="0.25">
      <c r="S176" s="137">
        <f>DayPatternCoefficients!A184</f>
        <v>700</v>
      </c>
      <c r="T176" s="137" t="str">
        <f>DayPatternCoefficients!B184</f>
        <v>D-TASC</v>
      </c>
      <c r="U176" s="138">
        <f>DayPatternCoefficients!D184</f>
        <v>-2.1192921546600001</v>
      </c>
      <c r="V176" s="178">
        <f t="shared" si="40"/>
        <v>-2.0097562835990628</v>
      </c>
    </row>
    <row r="177" spans="19:22" x14ac:dyDescent="0.25">
      <c r="S177" s="137">
        <f>DayPatternCoefficients!A185</f>
        <v>701</v>
      </c>
      <c r="T177" s="137" t="str">
        <f>DayPatternCoefficients!B185</f>
        <v>D-SASC</v>
      </c>
      <c r="U177" s="138">
        <f>DayPatternCoefficients!D185</f>
        <v>-0.4</v>
      </c>
      <c r="V177" s="178">
        <f t="shared" si="40"/>
        <v>-0.55025012883257429</v>
      </c>
    </row>
    <row r="178" spans="19:22" x14ac:dyDescent="0.25">
      <c r="S178" s="137">
        <f>DayPatternCoefficients!A186</f>
        <v>702</v>
      </c>
      <c r="T178" s="137" t="str">
        <f>DayPatternCoefficients!B186</f>
        <v>D-PTW</v>
      </c>
      <c r="U178" s="138">
        <f>DayPatternCoefficients!D186</f>
        <v>0.25</v>
      </c>
      <c r="V178" s="178">
        <f t="shared" si="40"/>
        <v>1.9023367286438893E-2</v>
      </c>
    </row>
    <row r="179" spans="19:22" x14ac:dyDescent="0.25">
      <c r="S179" s="137">
        <f>DayPatternCoefficients!A187</f>
        <v>703</v>
      </c>
      <c r="T179" s="137" t="str">
        <f>DayPatternCoefficients!B187</f>
        <v>D-RET</v>
      </c>
      <c r="U179" s="138">
        <f>DayPatternCoefficients!D187</f>
        <v>0</v>
      </c>
      <c r="V179" s="178">
        <f t="shared" si="40"/>
        <v>2.1243257721095983E-2</v>
      </c>
    </row>
    <row r="180" spans="19:22" x14ac:dyDescent="0.25">
      <c r="S180" s="137">
        <f>DayPatternCoefficients!A188</f>
        <v>704</v>
      </c>
      <c r="T180" s="137" t="str">
        <f>DayPatternCoefficients!B188</f>
        <v>D-NWA</v>
      </c>
      <c r="U180" s="138">
        <f>DayPatternCoefficients!D188</f>
        <v>0</v>
      </c>
      <c r="V180" s="178">
        <f t="shared" si="40"/>
        <v>0.24419822242376862</v>
      </c>
    </row>
    <row r="181" spans="19:22" x14ac:dyDescent="0.25">
      <c r="S181" s="137">
        <f>DayPatternCoefficients!A189</f>
        <v>705</v>
      </c>
      <c r="T181" s="137" t="str">
        <f>DayPatternCoefficients!B189</f>
        <v>D-UNI</v>
      </c>
      <c r="U181" s="138">
        <f>DayPatternCoefficients!D189</f>
        <v>0.4</v>
      </c>
      <c r="V181" s="178">
        <f t="shared" si="40"/>
        <v>-0.1485423731332457</v>
      </c>
    </row>
    <row r="182" spans="19:22" x14ac:dyDescent="0.25">
      <c r="S182" s="137">
        <f>DayPatternCoefficients!A190</f>
        <v>706</v>
      </c>
      <c r="T182" s="137" t="str">
        <f>DayPatternCoefficients!B190</f>
        <v>D-DAS</v>
      </c>
      <c r="U182" s="138">
        <f>DayPatternCoefficients!D190</f>
        <v>0</v>
      </c>
      <c r="V182" s="178">
        <f t="shared" si="40"/>
        <v>0.61550433704827667</v>
      </c>
    </row>
    <row r="183" spans="19:22" x14ac:dyDescent="0.25">
      <c r="S183" s="137">
        <f>DayPatternCoefficients!A191</f>
        <v>707</v>
      </c>
      <c r="T183" s="137" t="str">
        <f>DayPatternCoefficients!B191</f>
        <v>D-PAS</v>
      </c>
      <c r="U183" s="138">
        <f>DayPatternCoefficients!D191</f>
        <v>0.10984351682100001</v>
      </c>
      <c r="V183" s="178">
        <f t="shared" si="40"/>
        <v>4.0740609579483139E-2</v>
      </c>
    </row>
    <row r="184" spans="19:22" x14ac:dyDescent="0.25">
      <c r="S184" s="163">
        <f>DayPatternCoefficients!A192</f>
        <v>708</v>
      </c>
      <c r="T184" s="163" t="str">
        <f>DayPatternCoefficients!B192</f>
        <v>D-CU5</v>
      </c>
      <c r="U184" s="157">
        <f>DayPatternCoefficients!D192</f>
        <v>0.116602358763</v>
      </c>
      <c r="V184" s="178">
        <f t="shared" si="40"/>
        <v>0.116602358763</v>
      </c>
    </row>
    <row r="185" spans="19:22" x14ac:dyDescent="0.25">
      <c r="S185" s="163">
        <f>DayPatternCoefficients!A193</f>
        <v>709</v>
      </c>
      <c r="T185" s="163" t="str">
        <f>DayPatternCoefficients!B193</f>
        <v>D-VLINC</v>
      </c>
      <c r="U185" s="157">
        <f>DayPatternCoefficients!D193</f>
        <v>-0.37024939587599998</v>
      </c>
      <c r="V185" s="178">
        <f t="shared" si="40"/>
        <v>-0.37024939587599998</v>
      </c>
    </row>
    <row r="186" spans="19:22" x14ac:dyDescent="0.25">
      <c r="S186" s="163">
        <f>DayPatternCoefficients!A194</f>
        <v>710</v>
      </c>
      <c r="T186" s="163" t="str">
        <f>DayPatternCoefficients!B194</f>
        <v>D-LOINC</v>
      </c>
      <c r="U186" s="157">
        <f>DayPatternCoefficients!D194</f>
        <v>-2.8143568197899999E-2</v>
      </c>
      <c r="V186" s="178">
        <f t="shared" si="40"/>
        <v>-2.8143568197899999E-2</v>
      </c>
    </row>
    <row r="187" spans="19:22" x14ac:dyDescent="0.25">
      <c r="S187" s="163">
        <f>DayPatternCoefficients!A195</f>
        <v>711</v>
      </c>
      <c r="T187" s="163" t="str">
        <f>DayPatternCoefficients!B195</f>
        <v>D-HIINC</v>
      </c>
      <c r="U187" s="157">
        <f>DayPatternCoefficients!D195</f>
        <v>0.11288399086799999</v>
      </c>
      <c r="V187" s="178">
        <f t="shared" si="40"/>
        <v>0.11288399086799999</v>
      </c>
    </row>
    <row r="188" spans="19:22" x14ac:dyDescent="0.25">
      <c r="S188" s="163">
        <f>DayPatternCoefficients!A196</f>
        <v>712</v>
      </c>
      <c r="T188" s="163" t="str">
        <f>DayPatternCoefficients!B196</f>
        <v>D-CARSPD</v>
      </c>
      <c r="U188" s="157">
        <f>DayPatternCoefficients!D196</f>
        <v>0.19420487187800001</v>
      </c>
      <c r="V188" s="178">
        <f t="shared" si="40"/>
        <v>0.19420487187800001</v>
      </c>
    </row>
    <row r="189" spans="19:22" x14ac:dyDescent="0.25">
      <c r="S189" s="163">
        <f>DayPatternCoefficients!A197</f>
        <v>713</v>
      </c>
      <c r="T189" s="163" t="str">
        <f>DayPatternCoefficients!B197</f>
        <v>D-ONLYAD</v>
      </c>
      <c r="U189" s="157">
        <f>DayPatternCoefficients!D197</f>
        <v>-5.0667690583899999E-2</v>
      </c>
      <c r="V189" s="178">
        <f t="shared" si="40"/>
        <v>-5.0667690583899999E-2</v>
      </c>
    </row>
    <row r="190" spans="19:22" x14ac:dyDescent="0.25">
      <c r="S190" s="163">
        <f>DayPatternCoefficients!A198</f>
        <v>714</v>
      </c>
      <c r="T190" s="163" t="str">
        <f>DayPatternCoefficients!B198</f>
        <v>D-ONLYWK</v>
      </c>
      <c r="U190" s="157">
        <f>DayPatternCoefficients!D198</f>
        <v>0</v>
      </c>
      <c r="V190" s="178">
        <f t="shared" si="40"/>
        <v>0</v>
      </c>
    </row>
    <row r="191" spans="19:22" x14ac:dyDescent="0.25">
      <c r="S191" s="163">
        <f>DayPatternCoefficients!A199</f>
        <v>716</v>
      </c>
      <c r="T191" s="163" t="str">
        <f>DayPatternCoefficients!B199</f>
        <v>D-FEMNOC</v>
      </c>
      <c r="U191" s="157">
        <f>DayPatternCoefficients!D199</f>
        <v>0</v>
      </c>
      <c r="V191" s="178">
        <f t="shared" si="40"/>
        <v>0</v>
      </c>
    </row>
    <row r="192" spans="19:22" x14ac:dyDescent="0.25">
      <c r="S192" s="163">
        <f>DayPatternCoefficients!A200</f>
        <v>717</v>
      </c>
      <c r="T192" s="163" t="str">
        <f>DayPatternCoefficients!B200</f>
        <v>D-FADCU5</v>
      </c>
      <c r="U192" s="157">
        <f>DayPatternCoefficients!D200</f>
        <v>0</v>
      </c>
      <c r="V192" s="178">
        <f t="shared" si="40"/>
        <v>0</v>
      </c>
    </row>
    <row r="193" spans="19:22" x14ac:dyDescent="0.25">
      <c r="S193" s="163">
        <f>DayPatternCoefficients!A201</f>
        <v>718</v>
      </c>
      <c r="T193" s="163" t="str">
        <f>DayPatternCoefficients!B201</f>
        <v>D-FAD515</v>
      </c>
      <c r="U193" s="157">
        <f>DayPatternCoefficients!D201</f>
        <v>-0.24386623187299999</v>
      </c>
      <c r="V193" s="178">
        <f t="shared" si="40"/>
        <v>-0.24386623187299999</v>
      </c>
    </row>
    <row r="194" spans="19:22" x14ac:dyDescent="0.25">
      <c r="S194" s="163">
        <f>DayPatternCoefficients!A202</f>
        <v>719</v>
      </c>
      <c r="T194" s="163" t="str">
        <f>DayPatternCoefficients!B202</f>
        <v>D-MADCU5</v>
      </c>
      <c r="U194" s="157">
        <f>DayPatternCoefficients!D202</f>
        <v>0</v>
      </c>
      <c r="V194" s="178">
        <f t="shared" si="40"/>
        <v>0</v>
      </c>
    </row>
    <row r="195" spans="19:22" x14ac:dyDescent="0.25">
      <c r="S195" s="163">
        <f>DayPatternCoefficients!A203</f>
        <v>720</v>
      </c>
      <c r="T195" s="163" t="str">
        <f>DayPatternCoefficients!B203</f>
        <v>D-MAD515</v>
      </c>
      <c r="U195" s="157">
        <f>DayPatternCoefficients!D203</f>
        <v>-0.50528967094099997</v>
      </c>
      <c r="V195" s="178">
        <f t="shared" si="40"/>
        <v>-0.50528967094099997</v>
      </c>
    </row>
    <row r="196" spans="19:22" x14ac:dyDescent="0.25">
      <c r="S196" s="163">
        <f>DayPatternCoefficients!A204</f>
        <v>721</v>
      </c>
      <c r="T196" s="163" t="str">
        <f>DayPatternCoefficients!B204</f>
        <v>D-AG1825</v>
      </c>
      <c r="U196" s="157">
        <f>DayPatternCoefficients!D204</f>
        <v>0</v>
      </c>
      <c r="V196" s="178">
        <f t="shared" ref="V196:V259" si="41">_xlfn.IFNA(VLOOKUP(S196,$J$49:$L$91,3,FALSE),_xlfn.IFNA(VLOOKUP(S196,$F$5:$J$11,5,FALSE),_xlfn.IFNA(VLOOKUP(S196,$F$19:$J$25,5,FALSE),U196)))</f>
        <v>0</v>
      </c>
    </row>
    <row r="197" spans="19:22" x14ac:dyDescent="0.25">
      <c r="S197" s="163">
        <f>DayPatternCoefficients!A205</f>
        <v>722</v>
      </c>
      <c r="T197" s="163" t="str">
        <f>DayPatternCoefficients!B205</f>
        <v>D-AG2635</v>
      </c>
      <c r="U197" s="157">
        <f>DayPatternCoefficients!D205</f>
        <v>0</v>
      </c>
      <c r="V197" s="178">
        <f t="shared" si="41"/>
        <v>0</v>
      </c>
    </row>
    <row r="198" spans="19:22" x14ac:dyDescent="0.25">
      <c r="S198" s="163">
        <f>DayPatternCoefficients!A206</f>
        <v>723</v>
      </c>
      <c r="T198" s="163" t="str">
        <f>DayPatternCoefficients!B206</f>
        <v>D-AG5165</v>
      </c>
      <c r="U198" s="157">
        <f>DayPatternCoefficients!D206</f>
        <v>-9.4417426909799998E-2</v>
      </c>
      <c r="V198" s="178">
        <f t="shared" si="41"/>
        <v>-9.4417426909799998E-2</v>
      </c>
    </row>
    <row r="199" spans="19:22" x14ac:dyDescent="0.25">
      <c r="S199" s="163">
        <f>DayPatternCoefficients!A207</f>
        <v>724</v>
      </c>
      <c r="T199" s="163" t="str">
        <f>DayPatternCoefficients!B207</f>
        <v>D-WAHOME</v>
      </c>
      <c r="U199" s="157">
        <f>DayPatternCoefficients!D207</f>
        <v>-5</v>
      </c>
      <c r="V199" s="178">
        <f t="shared" si="41"/>
        <v>-5</v>
      </c>
    </row>
    <row r="200" spans="19:22" x14ac:dyDescent="0.25">
      <c r="S200" s="163">
        <f>DayPatternCoefficients!A208</f>
        <v>725</v>
      </c>
      <c r="T200" s="163" t="str">
        <f>DayPatternCoefficients!B208</f>
        <v>D-MIXDEN</v>
      </c>
      <c r="U200" s="157">
        <f>DayPatternCoefficients!D208</f>
        <v>0</v>
      </c>
      <c r="V200" s="178">
        <f t="shared" si="41"/>
        <v>0</v>
      </c>
    </row>
    <row r="201" spans="19:22" x14ac:dyDescent="0.25">
      <c r="S201" s="163">
        <f>DayPatternCoefficients!A209</f>
        <v>726</v>
      </c>
      <c r="T201" s="163" t="str">
        <f>DayPatternCoefficients!B209</f>
        <v>D-INTDEN</v>
      </c>
      <c r="U201" s="157">
        <f>DayPatternCoefficients!D209</f>
        <v>0</v>
      </c>
      <c r="V201" s="178">
        <f t="shared" si="41"/>
        <v>0</v>
      </c>
    </row>
    <row r="202" spans="19:22" x14ac:dyDescent="0.25">
      <c r="S202" s="163">
        <f>DayPatternCoefficients!A210</f>
        <v>727</v>
      </c>
      <c r="T202" s="163" t="str">
        <f>DayPatternCoefficients!B210</f>
        <v>D-ACCLOG</v>
      </c>
      <c r="U202" s="157">
        <f>DayPatternCoefficients!D210</f>
        <v>0</v>
      </c>
      <c r="V202" s="178">
        <f t="shared" si="41"/>
        <v>0</v>
      </c>
    </row>
    <row r="203" spans="19:22" x14ac:dyDescent="0.25">
      <c r="S203" s="163">
        <f>DayPatternCoefficients!A211</f>
        <v>728</v>
      </c>
      <c r="T203" s="163" t="str">
        <f>DayPatternCoefficients!B211</f>
        <v>D-T-LOGS</v>
      </c>
      <c r="U203" s="157">
        <f>DayPatternCoefficients!D211</f>
        <v>4.7101136486500002E-2</v>
      </c>
      <c r="V203" s="178">
        <f t="shared" si="41"/>
        <v>4.7101136486500002E-2</v>
      </c>
    </row>
    <row r="204" spans="19:22" x14ac:dyDescent="0.25">
      <c r="S204" s="163">
        <f>DayPatternCoefficients!A212</f>
        <v>729</v>
      </c>
      <c r="T204" s="163" t="str">
        <f>DayPatternCoefficients!B212</f>
        <v>D-S-LOGS</v>
      </c>
      <c r="U204" s="157">
        <f>DayPatternCoefficients!D212</f>
        <v>3.3043148208000001E-2</v>
      </c>
      <c r="V204" s="178">
        <f t="shared" si="41"/>
        <v>3.3043148208000001E-2</v>
      </c>
    </row>
    <row r="205" spans="19:22" x14ac:dyDescent="0.25">
      <c r="S205" s="137">
        <f>DayPatternCoefficients!A213</f>
        <v>751</v>
      </c>
      <c r="T205" s="137" t="str">
        <f>DayPatternCoefficients!B213</f>
        <v>D-FTW</v>
      </c>
      <c r="U205" s="138">
        <f>DayPatternCoefficients!D213</f>
        <v>-0.181999194674</v>
      </c>
      <c r="V205" s="178">
        <f t="shared" si="41"/>
        <v>3.3793425367335449E-2</v>
      </c>
    </row>
    <row r="206" spans="19:22" x14ac:dyDescent="0.25">
      <c r="S206" s="163">
        <f>DayPatternCoefficients!A214</f>
        <v>802</v>
      </c>
      <c r="T206" s="163" t="str">
        <f>DayPatternCoefficients!B214</f>
        <v>T-PTW</v>
      </c>
      <c r="U206" s="157">
        <f>DayPatternCoefficients!D214</f>
        <v>0.48216116208199999</v>
      </c>
      <c r="V206" s="178">
        <f t="shared" si="41"/>
        <v>0.48216116208199999</v>
      </c>
    </row>
    <row r="207" spans="19:22" x14ac:dyDescent="0.25">
      <c r="S207" s="163">
        <f>DayPatternCoefficients!A215</f>
        <v>803</v>
      </c>
      <c r="T207" s="163" t="str">
        <f>DayPatternCoefficients!B215</f>
        <v>T-RET</v>
      </c>
      <c r="U207" s="157">
        <f>DayPatternCoefficients!D215</f>
        <v>4.1439464708299997E-2</v>
      </c>
      <c r="V207" s="178">
        <f t="shared" si="41"/>
        <v>4.1439464708299997E-2</v>
      </c>
    </row>
    <row r="208" spans="19:22" x14ac:dyDescent="0.25">
      <c r="S208" s="163">
        <f>DayPatternCoefficients!A216</f>
        <v>804</v>
      </c>
      <c r="T208" s="163" t="str">
        <f>DayPatternCoefficients!B216</f>
        <v>T-NWA</v>
      </c>
      <c r="U208" s="157">
        <f>DayPatternCoefficients!D216</f>
        <v>6.9579968419499996E-2</v>
      </c>
      <c r="V208" s="178">
        <f t="shared" si="41"/>
        <v>6.9579968419499996E-2</v>
      </c>
    </row>
    <row r="209" spans="19:22" x14ac:dyDescent="0.25">
      <c r="S209" s="163">
        <f>DayPatternCoefficients!A217</f>
        <v>805</v>
      </c>
      <c r="T209" s="163" t="str">
        <f>DayPatternCoefficients!B217</f>
        <v>T-UNI</v>
      </c>
      <c r="U209" s="157">
        <f>DayPatternCoefficients!D217</f>
        <v>-0.43103620622200001</v>
      </c>
      <c r="V209" s="178">
        <f t="shared" si="41"/>
        <v>-0.43103620622200001</v>
      </c>
    </row>
    <row r="210" spans="19:22" x14ac:dyDescent="0.25">
      <c r="S210" s="163">
        <f>DayPatternCoefficients!A218</f>
        <v>806</v>
      </c>
      <c r="T210" s="163" t="str">
        <f>DayPatternCoefficients!B218</f>
        <v>T-DAS</v>
      </c>
      <c r="U210" s="157">
        <f>DayPatternCoefficients!D218</f>
        <v>0.18339092563000001</v>
      </c>
      <c r="V210" s="178">
        <f t="shared" si="41"/>
        <v>0.18339092563000001</v>
      </c>
    </row>
    <row r="211" spans="19:22" x14ac:dyDescent="0.25">
      <c r="S211" s="163">
        <f>DayPatternCoefficients!A219</f>
        <v>807</v>
      </c>
      <c r="T211" s="163" t="str">
        <f>DayPatternCoefficients!B219</f>
        <v>T-PAS</v>
      </c>
      <c r="U211" s="157">
        <f>DayPatternCoefficients!D219</f>
        <v>0.66879116640400005</v>
      </c>
      <c r="V211" s="178">
        <f t="shared" si="41"/>
        <v>0.66879116640400005</v>
      </c>
    </row>
    <row r="212" spans="19:22" x14ac:dyDescent="0.25">
      <c r="S212" s="163">
        <f>DayPatternCoefficients!A220</f>
        <v>808</v>
      </c>
      <c r="T212" s="163" t="str">
        <f>DayPatternCoefficients!B220</f>
        <v>T-CU5</v>
      </c>
      <c r="U212" s="157">
        <f>DayPatternCoefficients!D220</f>
        <v>0</v>
      </c>
      <c r="V212" s="178">
        <f t="shared" si="41"/>
        <v>0</v>
      </c>
    </row>
    <row r="213" spans="19:22" x14ac:dyDescent="0.25">
      <c r="S213" s="163">
        <f>DayPatternCoefficients!A221</f>
        <v>809</v>
      </c>
      <c r="T213" s="163" t="str">
        <f>DayPatternCoefficients!B221</f>
        <v>T-VLINC</v>
      </c>
      <c r="U213" s="157">
        <f>DayPatternCoefficients!D221</f>
        <v>0</v>
      </c>
      <c r="V213" s="178">
        <f t="shared" si="41"/>
        <v>0</v>
      </c>
    </row>
    <row r="214" spans="19:22" x14ac:dyDescent="0.25">
      <c r="S214" s="163">
        <f>DayPatternCoefficients!A222</f>
        <v>810</v>
      </c>
      <c r="T214" s="163" t="str">
        <f>DayPatternCoefficients!B222</f>
        <v>T-LOINC</v>
      </c>
      <c r="U214" s="157">
        <f>DayPatternCoefficients!D222</f>
        <v>0</v>
      </c>
      <c r="V214" s="178">
        <f t="shared" si="41"/>
        <v>0</v>
      </c>
    </row>
    <row r="215" spans="19:22" x14ac:dyDescent="0.25">
      <c r="S215" s="163">
        <f>DayPatternCoefficients!A223</f>
        <v>811</v>
      </c>
      <c r="T215" s="163" t="str">
        <f>DayPatternCoefficients!B223</f>
        <v>T-HIINC</v>
      </c>
      <c r="U215" s="157">
        <f>DayPatternCoefficients!D223</f>
        <v>0</v>
      </c>
      <c r="V215" s="178">
        <f t="shared" si="41"/>
        <v>0</v>
      </c>
    </row>
    <row r="216" spans="19:22" x14ac:dyDescent="0.25">
      <c r="S216" s="163">
        <f>DayPatternCoefficients!A224</f>
        <v>812</v>
      </c>
      <c r="T216" s="163" t="str">
        <f>DayPatternCoefficients!B224</f>
        <v>T-CARSPD</v>
      </c>
      <c r="U216" s="157">
        <f>DayPatternCoefficients!D224</f>
        <v>0</v>
      </c>
      <c r="V216" s="178">
        <f t="shared" si="41"/>
        <v>0</v>
      </c>
    </row>
    <row r="217" spans="19:22" x14ac:dyDescent="0.25">
      <c r="S217" s="163">
        <f>DayPatternCoefficients!A225</f>
        <v>813</v>
      </c>
      <c r="T217" s="163" t="str">
        <f>DayPatternCoefficients!B225</f>
        <v>T-ONLYAD</v>
      </c>
      <c r="U217" s="157">
        <f>DayPatternCoefficients!D225</f>
        <v>0.2</v>
      </c>
      <c r="V217" s="178">
        <f t="shared" si="41"/>
        <v>0.2</v>
      </c>
    </row>
    <row r="218" spans="19:22" x14ac:dyDescent="0.25">
      <c r="S218" s="163">
        <f>DayPatternCoefficients!A226</f>
        <v>814</v>
      </c>
      <c r="T218" s="163" t="str">
        <f>DayPatternCoefficients!B226</f>
        <v>T-ONLYWK</v>
      </c>
      <c r="U218" s="157">
        <f>DayPatternCoefficients!D226</f>
        <v>0.2</v>
      </c>
      <c r="V218" s="178">
        <f t="shared" si="41"/>
        <v>0.2</v>
      </c>
    </row>
    <row r="219" spans="19:22" x14ac:dyDescent="0.25">
      <c r="S219" s="163">
        <f>DayPatternCoefficients!A227</f>
        <v>816</v>
      </c>
      <c r="T219" s="163" t="str">
        <f>DayPatternCoefficients!B227</f>
        <v>T-FEMNOC</v>
      </c>
      <c r="U219" s="157">
        <f>DayPatternCoefficients!D227</f>
        <v>-0.133527374536</v>
      </c>
      <c r="V219" s="178">
        <f t="shared" si="41"/>
        <v>-0.133527374536</v>
      </c>
    </row>
    <row r="220" spans="19:22" x14ac:dyDescent="0.25">
      <c r="S220" s="163">
        <f>DayPatternCoefficients!A228</f>
        <v>817</v>
      </c>
      <c r="T220" s="163" t="str">
        <f>DayPatternCoefficients!B228</f>
        <v>T-FADCU5</v>
      </c>
      <c r="U220" s="157">
        <f>DayPatternCoefficients!D228</f>
        <v>-0.19409057072399999</v>
      </c>
      <c r="V220" s="178">
        <f t="shared" si="41"/>
        <v>-0.19409057072399999</v>
      </c>
    </row>
    <row r="221" spans="19:22" x14ac:dyDescent="0.25">
      <c r="S221" s="163">
        <f>DayPatternCoefficients!A229</f>
        <v>818</v>
      </c>
      <c r="T221" s="163" t="str">
        <f>DayPatternCoefficients!B229</f>
        <v>T-FAD515</v>
      </c>
      <c r="U221" s="157">
        <f>DayPatternCoefficients!D229</f>
        <v>0.3240162721</v>
      </c>
      <c r="V221" s="178">
        <f t="shared" si="41"/>
        <v>0.3240162721</v>
      </c>
    </row>
    <row r="222" spans="19:22" x14ac:dyDescent="0.25">
      <c r="S222" s="163">
        <f>DayPatternCoefficients!A230</f>
        <v>819</v>
      </c>
      <c r="T222" s="163" t="str">
        <f>DayPatternCoefficients!B230</f>
        <v>T-MADCU5</v>
      </c>
      <c r="U222" s="157">
        <f>DayPatternCoefficients!D230</f>
        <v>-0.30256536065299999</v>
      </c>
      <c r="V222" s="178">
        <f t="shared" si="41"/>
        <v>-0.30256536065299999</v>
      </c>
    </row>
    <row r="223" spans="19:22" x14ac:dyDescent="0.25">
      <c r="S223" s="163">
        <f>DayPatternCoefficients!A231</f>
        <v>820</v>
      </c>
      <c r="T223" s="163" t="str">
        <f>DayPatternCoefficients!B231</f>
        <v>T-MAD515</v>
      </c>
      <c r="U223" s="157">
        <f>DayPatternCoefficients!D231</f>
        <v>0.46909146537899998</v>
      </c>
      <c r="V223" s="178">
        <f t="shared" si="41"/>
        <v>0.46909146537899998</v>
      </c>
    </row>
    <row r="224" spans="19:22" x14ac:dyDescent="0.25">
      <c r="S224" s="163">
        <f>DayPatternCoefficients!A232</f>
        <v>821</v>
      </c>
      <c r="T224" s="163" t="str">
        <f>DayPatternCoefficients!B232</f>
        <v>T-AG1825</v>
      </c>
      <c r="U224" s="157">
        <f>DayPatternCoefficients!D232</f>
        <v>9.8106343641299998E-2</v>
      </c>
      <c r="V224" s="178">
        <f t="shared" si="41"/>
        <v>9.8106343641299998E-2</v>
      </c>
    </row>
    <row r="225" spans="19:22" x14ac:dyDescent="0.25">
      <c r="S225" s="163">
        <f>DayPatternCoefficients!A233</f>
        <v>822</v>
      </c>
      <c r="T225" s="163" t="str">
        <f>DayPatternCoefficients!B233</f>
        <v>T-AG2635</v>
      </c>
      <c r="U225" s="157">
        <f>DayPatternCoefficients!D233</f>
        <v>0.2</v>
      </c>
      <c r="V225" s="178">
        <f t="shared" si="41"/>
        <v>0.2</v>
      </c>
    </row>
    <row r="226" spans="19:22" x14ac:dyDescent="0.25">
      <c r="S226" s="163">
        <f>DayPatternCoefficients!A234</f>
        <v>823</v>
      </c>
      <c r="T226" s="163" t="str">
        <f>DayPatternCoefficients!B234</f>
        <v>T-AG5165</v>
      </c>
      <c r="U226" s="157">
        <f>DayPatternCoefficients!D234</f>
        <v>0</v>
      </c>
      <c r="V226" s="178">
        <f t="shared" si="41"/>
        <v>0</v>
      </c>
    </row>
    <row r="227" spans="19:22" x14ac:dyDescent="0.25">
      <c r="S227" s="163">
        <f>DayPatternCoefficients!A235</f>
        <v>824</v>
      </c>
      <c r="T227" s="163" t="str">
        <f>DayPatternCoefficients!B235</f>
        <v>T-WAHOME</v>
      </c>
      <c r="U227" s="157">
        <f>DayPatternCoefficients!D235</f>
        <v>1.7061575260799999</v>
      </c>
      <c r="V227" s="178">
        <f t="shared" si="41"/>
        <v>1.7061575260799999</v>
      </c>
    </row>
    <row r="228" spans="19:22" x14ac:dyDescent="0.25">
      <c r="S228" s="163">
        <f>DayPatternCoefficients!A236</f>
        <v>825</v>
      </c>
      <c r="T228" s="163" t="str">
        <f>DayPatternCoefficients!B236</f>
        <v>T-MIXDEN</v>
      </c>
      <c r="U228" s="157">
        <f>DayPatternCoefficients!D236</f>
        <v>0</v>
      </c>
      <c r="V228" s="178">
        <f t="shared" si="41"/>
        <v>0</v>
      </c>
    </row>
    <row r="229" spans="19:22" x14ac:dyDescent="0.25">
      <c r="S229" s="163">
        <f>DayPatternCoefficients!A237</f>
        <v>826</v>
      </c>
      <c r="T229" s="163" t="str">
        <f>DayPatternCoefficients!B237</f>
        <v>T-INTDEN</v>
      </c>
      <c r="U229" s="157">
        <f>DayPatternCoefficients!D237</f>
        <v>7.7639467671599999E-4</v>
      </c>
      <c r="V229" s="178">
        <f t="shared" si="41"/>
        <v>7.7639467671599999E-4</v>
      </c>
    </row>
    <row r="230" spans="19:22" x14ac:dyDescent="0.25">
      <c r="S230" s="163">
        <f>DayPatternCoefficients!A238</f>
        <v>827</v>
      </c>
      <c r="T230" s="163" t="str">
        <f>DayPatternCoefficients!B238</f>
        <v>T-ACCLOG</v>
      </c>
      <c r="U230" s="157">
        <f>DayPatternCoefficients!D238</f>
        <v>6.0680986142000001E-2</v>
      </c>
      <c r="V230" s="178">
        <f t="shared" si="41"/>
        <v>6.0680986142000001E-2</v>
      </c>
    </row>
    <row r="231" spans="19:22" x14ac:dyDescent="0.25">
      <c r="S231" s="163">
        <f>DayPatternCoefficients!A239</f>
        <v>851</v>
      </c>
      <c r="T231" s="163" t="str">
        <f>DayPatternCoefficients!B239</f>
        <v>T-FTW</v>
      </c>
      <c r="U231" s="157">
        <f>DayPatternCoefficients!D239</f>
        <v>0.1</v>
      </c>
      <c r="V231" s="178">
        <f t="shared" si="41"/>
        <v>0.1</v>
      </c>
    </row>
    <row r="232" spans="19:22" x14ac:dyDescent="0.25">
      <c r="S232" s="163">
        <f>DayPatternCoefficients!A240</f>
        <v>902</v>
      </c>
      <c r="T232" s="163" t="str">
        <f>DayPatternCoefficients!B240</f>
        <v>I-PTW</v>
      </c>
      <c r="U232" s="157">
        <f>DayPatternCoefficients!D240</f>
        <v>0</v>
      </c>
      <c r="V232" s="178">
        <f t="shared" si="41"/>
        <v>0</v>
      </c>
    </row>
    <row r="233" spans="19:22" x14ac:dyDescent="0.25">
      <c r="S233" s="163">
        <f>DayPatternCoefficients!A241</f>
        <v>903</v>
      </c>
      <c r="T233" s="163" t="str">
        <f>DayPatternCoefficients!B241</f>
        <v>I-RET</v>
      </c>
      <c r="U233" s="157">
        <f>DayPatternCoefficients!D241</f>
        <v>0</v>
      </c>
      <c r="V233" s="178">
        <f t="shared" si="41"/>
        <v>0</v>
      </c>
    </row>
    <row r="234" spans="19:22" x14ac:dyDescent="0.25">
      <c r="S234" s="163">
        <f>DayPatternCoefficients!A242</f>
        <v>904</v>
      </c>
      <c r="T234" s="163" t="str">
        <f>DayPatternCoefficients!B242</f>
        <v>I-NWA</v>
      </c>
      <c r="U234" s="157">
        <f>DayPatternCoefficients!D242</f>
        <v>0</v>
      </c>
      <c r="V234" s="178">
        <f t="shared" si="41"/>
        <v>0</v>
      </c>
    </row>
    <row r="235" spans="19:22" x14ac:dyDescent="0.25">
      <c r="S235" s="163">
        <f>DayPatternCoefficients!A243</f>
        <v>905</v>
      </c>
      <c r="T235" s="163" t="str">
        <f>DayPatternCoefficients!B243</f>
        <v>I-UNI</v>
      </c>
      <c r="U235" s="157">
        <f>DayPatternCoefficients!D243</f>
        <v>0.1</v>
      </c>
      <c r="V235" s="178">
        <f t="shared" si="41"/>
        <v>0.1</v>
      </c>
    </row>
    <row r="236" spans="19:22" x14ac:dyDescent="0.25">
      <c r="S236" s="163">
        <f>DayPatternCoefficients!A244</f>
        <v>906</v>
      </c>
      <c r="T236" s="163" t="str">
        <f>DayPatternCoefficients!B244</f>
        <v>I-DAS</v>
      </c>
      <c r="U236" s="157">
        <f>DayPatternCoefficients!D244</f>
        <v>-0.74970232918900004</v>
      </c>
      <c r="V236" s="178">
        <f t="shared" si="41"/>
        <v>-0.74970232918900004</v>
      </c>
    </row>
    <row r="237" spans="19:22" x14ac:dyDescent="0.25">
      <c r="S237" s="163">
        <f>DayPatternCoefficients!A245</f>
        <v>907</v>
      </c>
      <c r="T237" s="163" t="str">
        <f>DayPatternCoefficients!B245</f>
        <v>I-PAS</v>
      </c>
      <c r="U237" s="157">
        <f>DayPatternCoefficients!D245</f>
        <v>-0.45273598904899998</v>
      </c>
      <c r="V237" s="178">
        <f t="shared" si="41"/>
        <v>-0.45273598904899998</v>
      </c>
    </row>
    <row r="238" spans="19:22" x14ac:dyDescent="0.25">
      <c r="S238" s="163">
        <f>DayPatternCoefficients!A246</f>
        <v>908</v>
      </c>
      <c r="T238" s="163" t="str">
        <f>DayPatternCoefficients!B246</f>
        <v>I-CU5</v>
      </c>
      <c r="U238" s="157">
        <f>DayPatternCoefficients!D246</f>
        <v>0</v>
      </c>
      <c r="V238" s="178">
        <f t="shared" si="41"/>
        <v>0</v>
      </c>
    </row>
    <row r="239" spans="19:22" x14ac:dyDescent="0.25">
      <c r="S239" s="163">
        <f>DayPatternCoefficients!A247</f>
        <v>909</v>
      </c>
      <c r="T239" s="163" t="str">
        <f>DayPatternCoefficients!B247</f>
        <v>I-VLINC</v>
      </c>
      <c r="U239" s="157">
        <f>DayPatternCoefficients!D247</f>
        <v>0</v>
      </c>
      <c r="V239" s="178">
        <f t="shared" si="41"/>
        <v>0</v>
      </c>
    </row>
    <row r="240" spans="19:22" x14ac:dyDescent="0.25">
      <c r="S240" s="163">
        <f>DayPatternCoefficients!A248</f>
        <v>910</v>
      </c>
      <c r="T240" s="163" t="str">
        <f>DayPatternCoefficients!B248</f>
        <v>I-LOINC</v>
      </c>
      <c r="U240" s="157">
        <f>DayPatternCoefficients!D248</f>
        <v>0</v>
      </c>
      <c r="V240" s="178">
        <f t="shared" si="41"/>
        <v>0</v>
      </c>
    </row>
    <row r="241" spans="19:22" x14ac:dyDescent="0.25">
      <c r="S241" s="163">
        <f>DayPatternCoefficients!A249</f>
        <v>911</v>
      </c>
      <c r="T241" s="163" t="str">
        <f>DayPatternCoefficients!B249</f>
        <v>I-HIINC</v>
      </c>
      <c r="U241" s="157">
        <f>DayPatternCoefficients!D249</f>
        <v>0.1</v>
      </c>
      <c r="V241" s="178">
        <f t="shared" si="41"/>
        <v>0.1</v>
      </c>
    </row>
    <row r="242" spans="19:22" x14ac:dyDescent="0.25">
      <c r="S242" s="163">
        <f>DayPatternCoefficients!A250</f>
        <v>912</v>
      </c>
      <c r="T242" s="163" t="str">
        <f>DayPatternCoefficients!B250</f>
        <v>I-CARSPD</v>
      </c>
      <c r="U242" s="157">
        <f>DayPatternCoefficients!D250</f>
        <v>0</v>
      </c>
      <c r="V242" s="178">
        <f t="shared" si="41"/>
        <v>0</v>
      </c>
    </row>
    <row r="243" spans="19:22" x14ac:dyDescent="0.25">
      <c r="S243" s="163">
        <f>DayPatternCoefficients!A251</f>
        <v>913</v>
      </c>
      <c r="T243" s="163" t="str">
        <f>DayPatternCoefficients!B251</f>
        <v>I-ONLYAD</v>
      </c>
      <c r="U243" s="157">
        <f>DayPatternCoefficients!D251</f>
        <v>0</v>
      </c>
      <c r="V243" s="178">
        <f t="shared" si="41"/>
        <v>0</v>
      </c>
    </row>
    <row r="244" spans="19:22" x14ac:dyDescent="0.25">
      <c r="S244" s="163">
        <f>DayPatternCoefficients!A252</f>
        <v>914</v>
      </c>
      <c r="T244" s="163" t="str">
        <f>DayPatternCoefficients!B252</f>
        <v>I-ONLYWK</v>
      </c>
      <c r="U244" s="157">
        <f>DayPatternCoefficients!D252</f>
        <v>0</v>
      </c>
      <c r="V244" s="178">
        <f t="shared" si="41"/>
        <v>0</v>
      </c>
    </row>
    <row r="245" spans="19:22" x14ac:dyDescent="0.25">
      <c r="S245" s="163">
        <f>DayPatternCoefficients!A253</f>
        <v>916</v>
      </c>
      <c r="T245" s="163" t="str">
        <f>DayPatternCoefficients!B253</f>
        <v>I-FEMNOC</v>
      </c>
      <c r="U245" s="157">
        <f>DayPatternCoefficients!D253</f>
        <v>0</v>
      </c>
      <c r="V245" s="178">
        <f t="shared" si="41"/>
        <v>0</v>
      </c>
    </row>
    <row r="246" spans="19:22" x14ac:dyDescent="0.25">
      <c r="S246" s="163">
        <f>DayPatternCoefficients!A254</f>
        <v>917</v>
      </c>
      <c r="T246" s="163" t="str">
        <f>DayPatternCoefficients!B254</f>
        <v>I-FADCU5</v>
      </c>
      <c r="U246" s="157">
        <f>DayPatternCoefficients!D254</f>
        <v>0.1</v>
      </c>
      <c r="V246" s="178">
        <f t="shared" si="41"/>
        <v>0.1</v>
      </c>
    </row>
    <row r="247" spans="19:22" x14ac:dyDescent="0.25">
      <c r="S247" s="163">
        <f>DayPatternCoefficients!A255</f>
        <v>918</v>
      </c>
      <c r="T247" s="163" t="str">
        <f>DayPatternCoefficients!B255</f>
        <v>I-FAD515</v>
      </c>
      <c r="U247" s="157">
        <f>DayPatternCoefficients!D255</f>
        <v>0.1</v>
      </c>
      <c r="V247" s="178">
        <f t="shared" si="41"/>
        <v>0.1</v>
      </c>
    </row>
    <row r="248" spans="19:22" x14ac:dyDescent="0.25">
      <c r="S248" s="163">
        <f>DayPatternCoefficients!A256</f>
        <v>919</v>
      </c>
      <c r="T248" s="163" t="str">
        <f>DayPatternCoefficients!B256</f>
        <v>I-MADCU5</v>
      </c>
      <c r="U248" s="157">
        <f>DayPatternCoefficients!D256</f>
        <v>0.1</v>
      </c>
      <c r="V248" s="178">
        <f t="shared" si="41"/>
        <v>0.1</v>
      </c>
    </row>
    <row r="249" spans="19:22" x14ac:dyDescent="0.25">
      <c r="S249" s="163">
        <f>DayPatternCoefficients!A257</f>
        <v>920</v>
      </c>
      <c r="T249" s="163" t="str">
        <f>DayPatternCoefficients!B257</f>
        <v>I-MAD515</v>
      </c>
      <c r="U249" s="157">
        <f>DayPatternCoefficients!D257</f>
        <v>0.1</v>
      </c>
      <c r="V249" s="178">
        <f t="shared" si="41"/>
        <v>0.1</v>
      </c>
    </row>
    <row r="250" spans="19:22" x14ac:dyDescent="0.25">
      <c r="S250" s="163">
        <f>DayPatternCoefficients!A258</f>
        <v>921</v>
      </c>
      <c r="T250" s="163" t="str">
        <f>DayPatternCoefficients!B258</f>
        <v>I-AG1825</v>
      </c>
      <c r="U250" s="157">
        <f>DayPatternCoefficients!D258</f>
        <v>0</v>
      </c>
      <c r="V250" s="178">
        <f t="shared" si="41"/>
        <v>0</v>
      </c>
    </row>
    <row r="251" spans="19:22" x14ac:dyDescent="0.25">
      <c r="S251" s="163">
        <f>DayPatternCoefficients!A259</f>
        <v>922</v>
      </c>
      <c r="T251" s="163" t="str">
        <f>DayPatternCoefficients!B259</f>
        <v>I-AG2635</v>
      </c>
      <c r="U251" s="157">
        <f>DayPatternCoefficients!D259</f>
        <v>0</v>
      </c>
      <c r="V251" s="178">
        <f t="shared" si="41"/>
        <v>0</v>
      </c>
    </row>
    <row r="252" spans="19:22" x14ac:dyDescent="0.25">
      <c r="S252" s="163">
        <f>DayPatternCoefficients!A260</f>
        <v>923</v>
      </c>
      <c r="T252" s="163" t="str">
        <f>DayPatternCoefficients!B260</f>
        <v>I-AG5165</v>
      </c>
      <c r="U252" s="157">
        <f>DayPatternCoefficients!D260</f>
        <v>0</v>
      </c>
      <c r="V252" s="178">
        <f t="shared" si="41"/>
        <v>0</v>
      </c>
    </row>
    <row r="253" spans="19:22" x14ac:dyDescent="0.25">
      <c r="S253" s="163">
        <f>DayPatternCoefficients!A261</f>
        <v>924</v>
      </c>
      <c r="T253" s="163" t="str">
        <f>DayPatternCoefficients!B261</f>
        <v>I-WAHOME</v>
      </c>
      <c r="U253" s="157">
        <f>DayPatternCoefficients!D261</f>
        <v>1.0089226032800001</v>
      </c>
      <c r="V253" s="178">
        <f t="shared" si="41"/>
        <v>1.0089226032800001</v>
      </c>
    </row>
    <row r="254" spans="19:22" x14ac:dyDescent="0.25">
      <c r="S254" s="163">
        <f>DayPatternCoefficients!A262</f>
        <v>925</v>
      </c>
      <c r="T254" s="163" t="str">
        <f>DayPatternCoefficients!B262</f>
        <v>I-MIXDEN</v>
      </c>
      <c r="U254" s="157">
        <f>DayPatternCoefficients!D262</f>
        <v>0</v>
      </c>
      <c r="V254" s="178">
        <f t="shared" si="41"/>
        <v>0</v>
      </c>
    </row>
    <row r="255" spans="19:22" x14ac:dyDescent="0.25">
      <c r="S255" s="163">
        <f>DayPatternCoefficients!A263</f>
        <v>926</v>
      </c>
      <c r="T255" s="163" t="str">
        <f>DayPatternCoefficients!B263</f>
        <v>I-INTDEN</v>
      </c>
      <c r="U255" s="157">
        <f>DayPatternCoefficients!D263</f>
        <v>0</v>
      </c>
      <c r="V255" s="178">
        <f t="shared" si="41"/>
        <v>0</v>
      </c>
    </row>
    <row r="256" spans="19:22" x14ac:dyDescent="0.25">
      <c r="S256" s="163">
        <f>DayPatternCoefficients!A264</f>
        <v>927</v>
      </c>
      <c r="T256" s="163" t="str">
        <f>DayPatternCoefficients!B264</f>
        <v>I-ACCLOG</v>
      </c>
      <c r="U256" s="157">
        <f>DayPatternCoefficients!D264</f>
        <v>0</v>
      </c>
      <c r="V256" s="178">
        <f t="shared" si="41"/>
        <v>0</v>
      </c>
    </row>
    <row r="257" spans="19:22" x14ac:dyDescent="0.25">
      <c r="S257" s="163">
        <f>DayPatternCoefficients!A265</f>
        <v>951</v>
      </c>
      <c r="T257" s="163" t="str">
        <f>DayPatternCoefficients!B265</f>
        <v>I-FTW</v>
      </c>
      <c r="U257" s="157">
        <f>DayPatternCoefficients!D265</f>
        <v>0</v>
      </c>
      <c r="V257" s="178">
        <f t="shared" si="41"/>
        <v>0</v>
      </c>
    </row>
    <row r="258" spans="19:22" x14ac:dyDescent="0.25">
      <c r="S258" s="163">
        <f>DayPatternCoefficients!A266</f>
        <v>1010</v>
      </c>
      <c r="T258" s="163" t="str">
        <f>DayPatternCoefficients!B266</f>
        <v>TW/S-LS</v>
      </c>
      <c r="U258" s="157">
        <f>DayPatternCoefficients!D266</f>
        <v>0.46702494856799998</v>
      </c>
      <c r="V258" s="178">
        <f t="shared" si="41"/>
        <v>0.46702494856799998</v>
      </c>
    </row>
    <row r="259" spans="19:22" x14ac:dyDescent="0.25">
      <c r="S259" s="163">
        <f>DayPatternCoefficients!A267</f>
        <v>1011</v>
      </c>
      <c r="T259" s="163" t="str">
        <f>DayPatternCoefficients!B267</f>
        <v>T/S-W/W</v>
      </c>
      <c r="U259" s="157">
        <f>DayPatternCoefficients!D267</f>
        <v>0.35627106766599997</v>
      </c>
      <c r="V259" s="178">
        <f t="shared" si="41"/>
        <v>0.35627106766599997</v>
      </c>
    </row>
    <row r="260" spans="19:22" x14ac:dyDescent="0.25">
      <c r="S260" s="163">
        <f>DayPatternCoefficients!A268</f>
        <v>1012</v>
      </c>
      <c r="T260" s="163" t="str">
        <f>DayPatternCoefficients!B268</f>
        <v>T/S-W/S</v>
      </c>
      <c r="U260" s="157">
        <f>DayPatternCoefficients!D268</f>
        <v>0</v>
      </c>
      <c r="V260" s="178">
        <f t="shared" ref="V260:V323" si="42">_xlfn.IFNA(VLOOKUP(S260,$J$49:$L$91,3,FALSE),_xlfn.IFNA(VLOOKUP(S260,$F$5:$J$11,5,FALSE),_xlfn.IFNA(VLOOKUP(S260,$F$19:$J$25,5,FALSE),U260)))</f>
        <v>0</v>
      </c>
    </row>
    <row r="261" spans="19:22" x14ac:dyDescent="0.25">
      <c r="S261" s="163">
        <f>DayPatternCoefficients!A269</f>
        <v>1013</v>
      </c>
      <c r="T261" s="163" t="str">
        <f>DayPatternCoefficients!B269</f>
        <v>T/S-W/E</v>
      </c>
      <c r="U261" s="157">
        <f>DayPatternCoefficients!D269</f>
        <v>1.31138129947</v>
      </c>
      <c r="V261" s="178">
        <f t="shared" si="42"/>
        <v>1.31138129947</v>
      </c>
    </row>
    <row r="262" spans="19:22" x14ac:dyDescent="0.25">
      <c r="S262" s="163">
        <f>DayPatternCoefficients!A270</f>
        <v>1014</v>
      </c>
      <c r="T262" s="163" t="str">
        <f>DayPatternCoefficients!B270</f>
        <v>T/S-W/P</v>
      </c>
      <c r="U262" s="157">
        <f>DayPatternCoefficients!D270</f>
        <v>-0.22715085959799999</v>
      </c>
      <c r="V262" s="178">
        <f t="shared" si="42"/>
        <v>-0.22715085959799999</v>
      </c>
    </row>
    <row r="263" spans="19:22" x14ac:dyDescent="0.25">
      <c r="S263" s="163">
        <f>DayPatternCoefficients!A271</f>
        <v>1015</v>
      </c>
      <c r="T263" s="163" t="str">
        <f>DayPatternCoefficients!B271</f>
        <v>T/S-W/H</v>
      </c>
      <c r="U263" s="157">
        <f>DayPatternCoefficients!D271</f>
        <v>-0.38633537797900003</v>
      </c>
      <c r="V263" s="178">
        <f t="shared" si="42"/>
        <v>-0.38633537797900003</v>
      </c>
    </row>
    <row r="264" spans="19:22" x14ac:dyDescent="0.25">
      <c r="S264" s="163">
        <f>DayPatternCoefficients!A272</f>
        <v>1016</v>
      </c>
      <c r="T264" s="163" t="str">
        <f>DayPatternCoefficients!B272</f>
        <v>T/S-W/M</v>
      </c>
      <c r="U264" s="157">
        <f>DayPatternCoefficients!D272</f>
        <v>8.8964159717400002E-2</v>
      </c>
      <c r="V264" s="178">
        <f t="shared" si="42"/>
        <v>8.8964159717400002E-2</v>
      </c>
    </row>
    <row r="265" spans="19:22" x14ac:dyDescent="0.25">
      <c r="S265" s="163">
        <f>DayPatternCoefficients!A273</f>
        <v>1018</v>
      </c>
      <c r="T265" s="163" t="str">
        <f>DayPatternCoefficients!B273</f>
        <v>TW/S-HLS</v>
      </c>
      <c r="U265" s="157">
        <f>DayPatternCoefficients!D273</f>
        <v>-7.9538981434700007E-2</v>
      </c>
      <c r="V265" s="178">
        <f t="shared" si="42"/>
        <v>-7.9538981434700007E-2</v>
      </c>
    </row>
    <row r="266" spans="19:22" x14ac:dyDescent="0.25">
      <c r="S266" s="163">
        <f>DayPatternCoefficients!A274</f>
        <v>1019</v>
      </c>
      <c r="T266" s="163" t="str">
        <f>DayPatternCoefficients!B274</f>
        <v>TW/S-WLS</v>
      </c>
      <c r="U266" s="157">
        <f>DayPatternCoefficients!D274</f>
        <v>7.9494235797800003E-2</v>
      </c>
      <c r="V266" s="178">
        <f t="shared" si="42"/>
        <v>7.9494235797800003E-2</v>
      </c>
    </row>
    <row r="267" spans="19:22" x14ac:dyDescent="0.25">
      <c r="S267" s="163">
        <f>DayPatternCoefficients!A275</f>
        <v>1020</v>
      </c>
      <c r="T267" s="163" t="str">
        <f>DayPatternCoefficients!B275</f>
        <v>TS/S-LS</v>
      </c>
      <c r="U267" s="157">
        <f>DayPatternCoefficients!D275</f>
        <v>0</v>
      </c>
      <c r="V267" s="178">
        <f t="shared" si="42"/>
        <v>0</v>
      </c>
    </row>
    <row r="268" spans="19:22" x14ac:dyDescent="0.25">
      <c r="S268" s="163">
        <f>DayPatternCoefficients!A276</f>
        <v>1021</v>
      </c>
      <c r="T268" s="163" t="str">
        <f>DayPatternCoefficients!B276</f>
        <v>T/S-S/W</v>
      </c>
      <c r="U268" s="157">
        <f>DayPatternCoefficients!D276</f>
        <v>0</v>
      </c>
      <c r="V268" s="178">
        <f t="shared" si="42"/>
        <v>0</v>
      </c>
    </row>
    <row r="269" spans="19:22" x14ac:dyDescent="0.25">
      <c r="S269" s="163">
        <f>DayPatternCoefficients!A277</f>
        <v>1022</v>
      </c>
      <c r="T269" s="163" t="str">
        <f>DayPatternCoefficients!B277</f>
        <v>T/S-S/S</v>
      </c>
      <c r="U269" s="157">
        <f>DayPatternCoefficients!D277</f>
        <v>3.1456067642599998E-2</v>
      </c>
      <c r="V269" s="178">
        <f t="shared" si="42"/>
        <v>3.1456067642599998E-2</v>
      </c>
    </row>
    <row r="270" spans="19:22" x14ac:dyDescent="0.25">
      <c r="S270" s="163">
        <f>DayPatternCoefficients!A278</f>
        <v>1023</v>
      </c>
      <c r="T270" s="163" t="str">
        <f>DayPatternCoefficients!B278</f>
        <v>T/S-S/E</v>
      </c>
      <c r="U270" s="157">
        <f>DayPatternCoefficients!D278</f>
        <v>1.4072425159899999</v>
      </c>
      <c r="V270" s="178">
        <f t="shared" si="42"/>
        <v>1.4072425159899999</v>
      </c>
    </row>
    <row r="271" spans="19:22" x14ac:dyDescent="0.25">
      <c r="S271" s="163">
        <f>DayPatternCoefficients!A279</f>
        <v>1024</v>
      </c>
      <c r="T271" s="163" t="str">
        <f>DayPatternCoefficients!B279</f>
        <v>T/S-S/P</v>
      </c>
      <c r="U271" s="157">
        <f>DayPatternCoefficients!D279</f>
        <v>-0.26026898348499999</v>
      </c>
      <c r="V271" s="178">
        <f t="shared" si="42"/>
        <v>-0.26026898348499999</v>
      </c>
    </row>
    <row r="272" spans="19:22" x14ac:dyDescent="0.25">
      <c r="S272" s="163">
        <f>DayPatternCoefficients!A280</f>
        <v>1025</v>
      </c>
      <c r="T272" s="163" t="str">
        <f>DayPatternCoefficients!B280</f>
        <v>T/S-S/H</v>
      </c>
      <c r="U272" s="157">
        <f>DayPatternCoefficients!D280</f>
        <v>-0.32971865148700003</v>
      </c>
      <c r="V272" s="178">
        <f t="shared" si="42"/>
        <v>-0.32971865148700003</v>
      </c>
    </row>
    <row r="273" spans="19:22" x14ac:dyDescent="0.25">
      <c r="S273" s="163">
        <f>DayPatternCoefficients!A281</f>
        <v>1026</v>
      </c>
      <c r="T273" s="163" t="str">
        <f>DayPatternCoefficients!B281</f>
        <v>T/S-S/M</v>
      </c>
      <c r="U273" s="157">
        <f>DayPatternCoefficients!D281</f>
        <v>6.50875202667E-3</v>
      </c>
      <c r="V273" s="178">
        <f t="shared" si="42"/>
        <v>6.50875202667E-3</v>
      </c>
    </row>
    <row r="274" spans="19:22" x14ac:dyDescent="0.25">
      <c r="S274" s="163">
        <f>DayPatternCoefficients!A282</f>
        <v>1028</v>
      </c>
      <c r="T274" s="163" t="str">
        <f>DayPatternCoefficients!B282</f>
        <v>TS/S-HLS</v>
      </c>
      <c r="U274" s="157">
        <f>DayPatternCoefficients!D282</f>
        <v>1.13927128862E-2</v>
      </c>
      <c r="V274" s="178">
        <f t="shared" si="42"/>
        <v>1.13927128862E-2</v>
      </c>
    </row>
    <row r="275" spans="19:22" x14ac:dyDescent="0.25">
      <c r="S275" s="163">
        <f>DayPatternCoefficients!A283</f>
        <v>1029</v>
      </c>
      <c r="T275" s="163" t="str">
        <f>DayPatternCoefficients!B283</f>
        <v>TS/S-SLS</v>
      </c>
      <c r="U275" s="157">
        <f>DayPatternCoefficients!D283</f>
        <v>0</v>
      </c>
      <c r="V275" s="178">
        <f t="shared" si="42"/>
        <v>0</v>
      </c>
    </row>
    <row r="276" spans="19:22" x14ac:dyDescent="0.25">
      <c r="S276" s="163">
        <f>DayPatternCoefficients!A284</f>
        <v>1033</v>
      </c>
      <c r="T276" s="163" t="str">
        <f>DayPatternCoefficients!B284</f>
        <v>T/S-E/E</v>
      </c>
      <c r="U276" s="157">
        <f>DayPatternCoefficients!D284</f>
        <v>2.4989891222699998</v>
      </c>
      <c r="V276" s="178">
        <f t="shared" si="42"/>
        <v>2.4989891222699998</v>
      </c>
    </row>
    <row r="277" spans="19:22" x14ac:dyDescent="0.25">
      <c r="S277" s="163">
        <f>DayPatternCoefficients!A285</f>
        <v>1034</v>
      </c>
      <c r="T277" s="163" t="str">
        <f>DayPatternCoefficients!B285</f>
        <v>T/S-E/P</v>
      </c>
      <c r="U277" s="157">
        <f>DayPatternCoefficients!D285</f>
        <v>0.42155755741200002</v>
      </c>
      <c r="V277" s="178">
        <f t="shared" si="42"/>
        <v>0.42155755741200002</v>
      </c>
    </row>
    <row r="278" spans="19:22" x14ac:dyDescent="0.25">
      <c r="S278" s="163">
        <f>DayPatternCoefficients!A286</f>
        <v>1035</v>
      </c>
      <c r="T278" s="163" t="str">
        <f>DayPatternCoefficients!B286</f>
        <v>T/S-E/H</v>
      </c>
      <c r="U278" s="157">
        <f>DayPatternCoefficients!D286</f>
        <v>0.188249465196</v>
      </c>
      <c r="V278" s="178">
        <f t="shared" si="42"/>
        <v>0.188249465196</v>
      </c>
    </row>
    <row r="279" spans="19:22" x14ac:dyDescent="0.25">
      <c r="S279" s="163">
        <f>DayPatternCoefficients!A287</f>
        <v>1036</v>
      </c>
      <c r="T279" s="163" t="str">
        <f>DayPatternCoefficients!B287</f>
        <v>T/S-E/M</v>
      </c>
      <c r="U279" s="157">
        <f>DayPatternCoefficients!D287</f>
        <v>0.23932223079699999</v>
      </c>
      <c r="V279" s="178">
        <f t="shared" si="42"/>
        <v>0.23932223079699999</v>
      </c>
    </row>
    <row r="280" spans="19:22" x14ac:dyDescent="0.25">
      <c r="S280" s="163">
        <f>DayPatternCoefficients!A288</f>
        <v>1043</v>
      </c>
      <c r="T280" s="163" t="str">
        <f>DayPatternCoefficients!B288</f>
        <v>T/S-P/E</v>
      </c>
      <c r="U280" s="157">
        <f>DayPatternCoefficients!D288</f>
        <v>-0.31733811965499997</v>
      </c>
      <c r="V280" s="178">
        <f t="shared" si="42"/>
        <v>-0.31733811965499997</v>
      </c>
    </row>
    <row r="281" spans="19:22" x14ac:dyDescent="0.25">
      <c r="S281" s="163">
        <f>DayPatternCoefficients!A289</f>
        <v>1044</v>
      </c>
      <c r="T281" s="163" t="str">
        <f>DayPatternCoefficients!B289</f>
        <v>T/S-P/P</v>
      </c>
      <c r="U281" s="157">
        <f>DayPatternCoefficients!D289</f>
        <v>0.852308722982</v>
      </c>
      <c r="V281" s="178">
        <f t="shared" si="42"/>
        <v>0.852308722982</v>
      </c>
    </row>
    <row r="282" spans="19:22" x14ac:dyDescent="0.25">
      <c r="S282" s="163">
        <f>DayPatternCoefficients!A290</f>
        <v>1045</v>
      </c>
      <c r="T282" s="163" t="str">
        <f>DayPatternCoefficients!B290</f>
        <v>T/S-P/H</v>
      </c>
      <c r="U282" s="157">
        <f>DayPatternCoefficients!D290</f>
        <v>7.7300054790300004E-3</v>
      </c>
      <c r="V282" s="178">
        <f t="shared" si="42"/>
        <v>7.7300054790300004E-3</v>
      </c>
    </row>
    <row r="283" spans="19:22" x14ac:dyDescent="0.25">
      <c r="S283" s="163">
        <f>DayPatternCoefficients!A291</f>
        <v>1046</v>
      </c>
      <c r="T283" s="163" t="str">
        <f>DayPatternCoefficients!B291</f>
        <v>T/S-P/M</v>
      </c>
      <c r="U283" s="157">
        <f>DayPatternCoefficients!D291</f>
        <v>-0.17096234816700001</v>
      </c>
      <c r="V283" s="178">
        <f t="shared" si="42"/>
        <v>-0.17096234816700001</v>
      </c>
    </row>
    <row r="284" spans="19:22" x14ac:dyDescent="0.25">
      <c r="S284" s="163">
        <f>DayPatternCoefficients!A292</f>
        <v>1053</v>
      </c>
      <c r="T284" s="163" t="str">
        <f>DayPatternCoefficients!B292</f>
        <v>T/S-H/E</v>
      </c>
      <c r="U284" s="157">
        <f>DayPatternCoefficients!D292</f>
        <v>-0.32416023566300001</v>
      </c>
      <c r="V284" s="178">
        <f t="shared" si="42"/>
        <v>-0.32416023566300001</v>
      </c>
    </row>
    <row r="285" spans="19:22" x14ac:dyDescent="0.25">
      <c r="S285" s="163">
        <f>DayPatternCoefficients!A293</f>
        <v>1054</v>
      </c>
      <c r="T285" s="163" t="str">
        <f>DayPatternCoefficients!B293</f>
        <v>T/S-H/P</v>
      </c>
      <c r="U285" s="157">
        <f>DayPatternCoefficients!D293</f>
        <v>0.19022174198299999</v>
      </c>
      <c r="V285" s="178">
        <f t="shared" si="42"/>
        <v>0.19022174198299999</v>
      </c>
    </row>
    <row r="286" spans="19:22" x14ac:dyDescent="0.25">
      <c r="S286" s="163">
        <f>DayPatternCoefficients!A294</f>
        <v>1055</v>
      </c>
      <c r="T286" s="163" t="str">
        <f>DayPatternCoefficients!B294</f>
        <v>T/S-H/H</v>
      </c>
      <c r="U286" s="157">
        <f>DayPatternCoefficients!D294</f>
        <v>0.34703104835999998</v>
      </c>
      <c r="V286" s="178">
        <f t="shared" si="42"/>
        <v>0.34703104835999998</v>
      </c>
    </row>
    <row r="287" spans="19:22" x14ac:dyDescent="0.25">
      <c r="S287" s="163">
        <f>DayPatternCoefficients!A295</f>
        <v>1056</v>
      </c>
      <c r="T287" s="163" t="str">
        <f>DayPatternCoefficients!B295</f>
        <v>T/S-H/M</v>
      </c>
      <c r="U287" s="157">
        <f>DayPatternCoefficients!D295</f>
        <v>-9.1791021150699995E-2</v>
      </c>
      <c r="V287" s="178">
        <f t="shared" si="42"/>
        <v>-9.1791021150699995E-2</v>
      </c>
    </row>
    <row r="288" spans="19:22" x14ac:dyDescent="0.25">
      <c r="S288" s="163">
        <f>DayPatternCoefficients!A296</f>
        <v>1063</v>
      </c>
      <c r="T288" s="163" t="str">
        <f>DayPatternCoefficients!B296</f>
        <v>T/S-M/E</v>
      </c>
      <c r="U288" s="157">
        <f>DayPatternCoefficients!D296</f>
        <v>-4.4033147256099997E-2</v>
      </c>
      <c r="V288" s="178">
        <f t="shared" si="42"/>
        <v>-4.4033147256099997E-2</v>
      </c>
    </row>
    <row r="289" spans="19:22" x14ac:dyDescent="0.25">
      <c r="S289" s="163">
        <f>DayPatternCoefficients!A297</f>
        <v>1064</v>
      </c>
      <c r="T289" s="163" t="str">
        <f>DayPatternCoefficients!B297</f>
        <v>T/S-M/P</v>
      </c>
      <c r="U289" s="157">
        <f>DayPatternCoefficients!D297</f>
        <v>0.13328175857800001</v>
      </c>
      <c r="V289" s="178">
        <f t="shared" si="42"/>
        <v>0.13328175857800001</v>
      </c>
    </row>
    <row r="290" spans="19:22" x14ac:dyDescent="0.25">
      <c r="S290" s="163">
        <f>DayPatternCoefficients!A298</f>
        <v>1065</v>
      </c>
      <c r="T290" s="163" t="str">
        <f>DayPatternCoefficients!B298</f>
        <v>T/S-M/H</v>
      </c>
      <c r="U290" s="157">
        <f>DayPatternCoefficients!D298</f>
        <v>-9.9638367623800003E-2</v>
      </c>
      <c r="V290" s="178">
        <f t="shared" si="42"/>
        <v>-9.9638367623800003E-2</v>
      </c>
    </row>
    <row r="291" spans="19:22" x14ac:dyDescent="0.25">
      <c r="S291" s="163">
        <f>DayPatternCoefficients!A299</f>
        <v>1066</v>
      </c>
      <c r="T291" s="163" t="str">
        <f>DayPatternCoefficients!B299</f>
        <v>T/S-M/M</v>
      </c>
      <c r="U291" s="157">
        <f>DayPatternCoefficients!D299</f>
        <v>0.45879604656799999</v>
      </c>
      <c r="V291" s="178">
        <f t="shared" si="42"/>
        <v>0.45879604656799999</v>
      </c>
    </row>
    <row r="292" spans="19:22" x14ac:dyDescent="0.25">
      <c r="S292" s="163">
        <f>DayPatternCoefficients!A300</f>
        <v>1073</v>
      </c>
      <c r="T292" s="163" t="str">
        <f>DayPatternCoefficients!B300</f>
        <v>T/S-D/E</v>
      </c>
      <c r="U292" s="157">
        <f>DayPatternCoefficients!D300</f>
        <v>-0.18955960247199999</v>
      </c>
      <c r="V292" s="178">
        <f t="shared" si="42"/>
        <v>-0.18955960247199999</v>
      </c>
    </row>
    <row r="293" spans="19:22" x14ac:dyDescent="0.25">
      <c r="S293" s="163">
        <f>DayPatternCoefficients!A301</f>
        <v>1074</v>
      </c>
      <c r="T293" s="163" t="str">
        <f>DayPatternCoefficients!B301</f>
        <v>T/S-D/P</v>
      </c>
      <c r="U293" s="157">
        <f>DayPatternCoefficients!D301</f>
        <v>-9.7610811434499997E-3</v>
      </c>
      <c r="V293" s="178">
        <f t="shared" si="42"/>
        <v>-9.7610811434499997E-3</v>
      </c>
    </row>
    <row r="294" spans="19:22" x14ac:dyDescent="0.25">
      <c r="S294" s="163">
        <f>DayPatternCoefficients!A302</f>
        <v>1075</v>
      </c>
      <c r="T294" s="163" t="str">
        <f>DayPatternCoefficients!B302</f>
        <v>T/S-D/H</v>
      </c>
      <c r="U294" s="157">
        <f>DayPatternCoefficients!D302</f>
        <v>7.1526049743299999E-2</v>
      </c>
      <c r="V294" s="178">
        <f t="shared" si="42"/>
        <v>7.1526049743299999E-2</v>
      </c>
    </row>
    <row r="295" spans="19:22" x14ac:dyDescent="0.25">
      <c r="S295" s="163">
        <f>DayPatternCoefficients!A303</f>
        <v>1076</v>
      </c>
      <c r="T295" s="163" t="str">
        <f>DayPatternCoefficients!B303</f>
        <v>T/S-D/M</v>
      </c>
      <c r="U295" s="157">
        <f>DayPatternCoefficients!D303</f>
        <v>0.13756738340899999</v>
      </c>
      <c r="V295" s="178">
        <f t="shared" si="42"/>
        <v>0.13756738340899999</v>
      </c>
    </row>
    <row r="296" spans="19:22" x14ac:dyDescent="0.25">
      <c r="S296" s="163">
        <f>DayPatternCoefficients!A304</f>
        <v>1112</v>
      </c>
      <c r="T296" s="163" t="str">
        <f>DayPatternCoefficients!B304</f>
        <v>T/T-W/S</v>
      </c>
      <c r="U296" s="157">
        <f>DayPatternCoefficients!D304</f>
        <v>-2.5994126514599998</v>
      </c>
      <c r="V296" s="178">
        <f t="shared" si="42"/>
        <v>-2.5994126514599998</v>
      </c>
    </row>
    <row r="297" spans="19:22" x14ac:dyDescent="0.25">
      <c r="S297" s="163">
        <f>DayPatternCoefficients!A305</f>
        <v>1113</v>
      </c>
      <c r="T297" s="163" t="str">
        <f>DayPatternCoefficients!B305</f>
        <v>T/T-W/E</v>
      </c>
      <c r="U297" s="157">
        <f>DayPatternCoefficients!D305</f>
        <v>-1.71754382306</v>
      </c>
      <c r="V297" s="178">
        <f t="shared" si="42"/>
        <v>-1.71754382306</v>
      </c>
    </row>
    <row r="298" spans="19:22" x14ac:dyDescent="0.25">
      <c r="S298" s="163">
        <f>DayPatternCoefficients!A306</f>
        <v>1114</v>
      </c>
      <c r="T298" s="163" t="str">
        <f>DayPatternCoefficients!B306</f>
        <v>T/T-W/P</v>
      </c>
      <c r="U298" s="157">
        <f>DayPatternCoefficients!D306</f>
        <v>-1.26550258109</v>
      </c>
      <c r="V298" s="178">
        <f t="shared" si="42"/>
        <v>-1.26550258109</v>
      </c>
    </row>
    <row r="299" spans="19:22" x14ac:dyDescent="0.25">
      <c r="S299" s="163">
        <f>DayPatternCoefficients!A307</f>
        <v>1115</v>
      </c>
      <c r="T299" s="163" t="str">
        <f>DayPatternCoefficients!B307</f>
        <v>T/T-W/H</v>
      </c>
      <c r="U299" s="157">
        <f>DayPatternCoefficients!D307</f>
        <v>-1.2119912740300001</v>
      </c>
      <c r="V299" s="178">
        <f t="shared" si="42"/>
        <v>-1.2119912740300001</v>
      </c>
    </row>
    <row r="300" spans="19:22" x14ac:dyDescent="0.25">
      <c r="S300" s="163">
        <f>DayPatternCoefficients!A308</f>
        <v>1116</v>
      </c>
      <c r="T300" s="163" t="str">
        <f>DayPatternCoefficients!B308</f>
        <v>T/T-W/M</v>
      </c>
      <c r="U300" s="157">
        <f>DayPatternCoefficients!D308</f>
        <v>-0.79329386713299999</v>
      </c>
      <c r="V300" s="178">
        <f t="shared" si="42"/>
        <v>-0.79329386713299999</v>
      </c>
    </row>
    <row r="301" spans="19:22" x14ac:dyDescent="0.25">
      <c r="S301" s="163">
        <f>DayPatternCoefficients!A309</f>
        <v>1117</v>
      </c>
      <c r="T301" s="163" t="str">
        <f>DayPatternCoefficients!B309</f>
        <v>T/T-W/D</v>
      </c>
      <c r="U301" s="157">
        <f>DayPatternCoefficients!D309</f>
        <v>-0.52349938843999999</v>
      </c>
      <c r="V301" s="178">
        <f t="shared" si="42"/>
        <v>-0.52349938843999999</v>
      </c>
    </row>
    <row r="302" spans="19:22" x14ac:dyDescent="0.25">
      <c r="S302" s="163">
        <f>DayPatternCoefficients!A310</f>
        <v>1123</v>
      </c>
      <c r="T302" s="163" t="str">
        <f>DayPatternCoefficients!B310</f>
        <v>T/T-S/E</v>
      </c>
      <c r="U302" s="157">
        <f>DayPatternCoefficients!D310</f>
        <v>-1.3733550834799999</v>
      </c>
      <c r="V302" s="178">
        <f t="shared" si="42"/>
        <v>-1.3733550834799999</v>
      </c>
    </row>
    <row r="303" spans="19:22" x14ac:dyDescent="0.25">
      <c r="S303" s="163">
        <f>DayPatternCoefficients!A311</f>
        <v>1124</v>
      </c>
      <c r="T303" s="163" t="str">
        <f>DayPatternCoefficients!B311</f>
        <v>T/T-S/P</v>
      </c>
      <c r="U303" s="157">
        <f>DayPatternCoefficients!D311</f>
        <v>-1.06502176181</v>
      </c>
      <c r="V303" s="178">
        <f t="shared" si="42"/>
        <v>-1.06502176181</v>
      </c>
    </row>
    <row r="304" spans="19:22" x14ac:dyDescent="0.25">
      <c r="S304" s="163">
        <f>DayPatternCoefficients!A312</f>
        <v>1125</v>
      </c>
      <c r="T304" s="163" t="str">
        <f>DayPatternCoefficients!B312</f>
        <v>T/T-S/H</v>
      </c>
      <c r="U304" s="157">
        <f>DayPatternCoefficients!D312</f>
        <v>-1.1892653198600001</v>
      </c>
      <c r="V304" s="178">
        <f t="shared" si="42"/>
        <v>-1.1892653198600001</v>
      </c>
    </row>
    <row r="305" spans="19:22" x14ac:dyDescent="0.25">
      <c r="S305" s="163">
        <f>DayPatternCoefficients!A313</f>
        <v>1126</v>
      </c>
      <c r="T305" s="163" t="str">
        <f>DayPatternCoefficients!B313</f>
        <v>T/T-S/M</v>
      </c>
      <c r="U305" s="157">
        <f>DayPatternCoefficients!D313</f>
        <v>-0.74621794669599995</v>
      </c>
      <c r="V305" s="178">
        <f t="shared" si="42"/>
        <v>-0.74621794669599995</v>
      </c>
    </row>
    <row r="306" spans="19:22" x14ac:dyDescent="0.25">
      <c r="S306" s="163">
        <f>DayPatternCoefficients!A314</f>
        <v>1127</v>
      </c>
      <c r="T306" s="163" t="str">
        <f>DayPatternCoefficients!B314</f>
        <v>T/T-S/D</v>
      </c>
      <c r="U306" s="157">
        <f>DayPatternCoefficients!D314</f>
        <v>-0.72968899023</v>
      </c>
      <c r="V306" s="178">
        <f t="shared" si="42"/>
        <v>-0.72968899023</v>
      </c>
    </row>
    <row r="307" spans="19:22" x14ac:dyDescent="0.25">
      <c r="S307" s="163">
        <f>DayPatternCoefficients!A315</f>
        <v>1134</v>
      </c>
      <c r="T307" s="163" t="str">
        <f>DayPatternCoefficients!B315</f>
        <v>T/T-E/P</v>
      </c>
      <c r="U307" s="157">
        <f>DayPatternCoefficients!D315</f>
        <v>5.4528016064599998E-2</v>
      </c>
      <c r="V307" s="178">
        <f t="shared" si="42"/>
        <v>5.4528016064599998E-2</v>
      </c>
    </row>
    <row r="308" spans="19:22" x14ac:dyDescent="0.25">
      <c r="S308" s="163">
        <f>DayPatternCoefficients!A316</f>
        <v>1135</v>
      </c>
      <c r="T308" s="163" t="str">
        <f>DayPatternCoefficients!B316</f>
        <v>T/T-E/H</v>
      </c>
      <c r="U308" s="157">
        <f>DayPatternCoefficients!D316</f>
        <v>-7.8362597510999998E-2</v>
      </c>
      <c r="V308" s="178">
        <f t="shared" si="42"/>
        <v>-7.8362597510999998E-2</v>
      </c>
    </row>
    <row r="309" spans="19:22" x14ac:dyDescent="0.25">
      <c r="S309" s="163">
        <f>DayPatternCoefficients!A317</f>
        <v>1136</v>
      </c>
      <c r="T309" s="163" t="str">
        <f>DayPatternCoefficients!B317</f>
        <v>T/T-E/M</v>
      </c>
      <c r="U309" s="157">
        <f>DayPatternCoefficients!D317</f>
        <v>8.58579439458E-2</v>
      </c>
      <c r="V309" s="178">
        <f t="shared" si="42"/>
        <v>8.58579439458E-2</v>
      </c>
    </row>
    <row r="310" spans="19:22" x14ac:dyDescent="0.25">
      <c r="S310" s="163">
        <f>DayPatternCoefficients!A318</f>
        <v>1137</v>
      </c>
      <c r="T310" s="163" t="str">
        <f>DayPatternCoefficients!B318</f>
        <v>T/T-E/D</v>
      </c>
      <c r="U310" s="157">
        <f>DayPatternCoefficients!D318</f>
        <v>0.40109888872799998</v>
      </c>
      <c r="V310" s="178">
        <f t="shared" si="42"/>
        <v>0.40109888872799998</v>
      </c>
    </row>
    <row r="311" spans="19:22" x14ac:dyDescent="0.25">
      <c r="S311" s="163">
        <f>DayPatternCoefficients!A319</f>
        <v>1145</v>
      </c>
      <c r="T311" s="163" t="str">
        <f>DayPatternCoefficients!B319</f>
        <v>T/T-P/H</v>
      </c>
      <c r="U311" s="157">
        <f>DayPatternCoefficients!D319</f>
        <v>-0.131395429753</v>
      </c>
      <c r="V311" s="178">
        <f t="shared" si="42"/>
        <v>-0.131395429753</v>
      </c>
    </row>
    <row r="312" spans="19:22" x14ac:dyDescent="0.25">
      <c r="S312" s="163">
        <f>DayPatternCoefficients!A320</f>
        <v>1146</v>
      </c>
      <c r="T312" s="163" t="str">
        <f>DayPatternCoefficients!B320</f>
        <v>T/T-P/M</v>
      </c>
      <c r="U312" s="157">
        <f>DayPatternCoefficients!D320</f>
        <v>-1.4362851378E-2</v>
      </c>
      <c r="V312" s="178">
        <f t="shared" si="42"/>
        <v>-1.4362851378E-2</v>
      </c>
    </row>
    <row r="313" spans="19:22" x14ac:dyDescent="0.25">
      <c r="S313" s="163">
        <f>DayPatternCoefficients!A321</f>
        <v>1147</v>
      </c>
      <c r="T313" s="163" t="str">
        <f>DayPatternCoefficients!B321</f>
        <v>T/T-P/D</v>
      </c>
      <c r="U313" s="157">
        <f>DayPatternCoefficients!D321</f>
        <v>5.4348679202199997E-2</v>
      </c>
      <c r="V313" s="178">
        <f t="shared" si="42"/>
        <v>5.4348679202199997E-2</v>
      </c>
    </row>
    <row r="314" spans="19:22" x14ac:dyDescent="0.25">
      <c r="S314" s="163">
        <f>DayPatternCoefficients!A322</f>
        <v>1156</v>
      </c>
      <c r="T314" s="163" t="str">
        <f>DayPatternCoefficients!B322</f>
        <v>T/T-H/M</v>
      </c>
      <c r="U314" s="157">
        <f>DayPatternCoefficients!D322</f>
        <v>-2.98287847052E-2</v>
      </c>
      <c r="V314" s="178">
        <f t="shared" si="42"/>
        <v>-2.98287847052E-2</v>
      </c>
    </row>
    <row r="315" spans="19:22" x14ac:dyDescent="0.25">
      <c r="S315" s="163">
        <f>DayPatternCoefficients!A323</f>
        <v>1157</v>
      </c>
      <c r="T315" s="163" t="str">
        <f>DayPatternCoefficients!B323</f>
        <v>T/T-H/D</v>
      </c>
      <c r="U315" s="157">
        <f>DayPatternCoefficients!D323</f>
        <v>0.163451916709</v>
      </c>
      <c r="V315" s="178">
        <f t="shared" si="42"/>
        <v>0.163451916709</v>
      </c>
    </row>
    <row r="316" spans="19:22" x14ac:dyDescent="0.25">
      <c r="S316" s="163">
        <f>DayPatternCoefficients!A324</f>
        <v>1213</v>
      </c>
      <c r="T316" s="163" t="str">
        <f>DayPatternCoefficients!B324</f>
        <v>S/S-W/E</v>
      </c>
      <c r="U316" s="157">
        <f>DayPatternCoefficients!D324</f>
        <v>-0.58856263239899997</v>
      </c>
      <c r="V316" s="178">
        <f t="shared" si="42"/>
        <v>-0.58856263239899997</v>
      </c>
    </row>
    <row r="317" spans="19:22" x14ac:dyDescent="0.25">
      <c r="S317" s="163">
        <f>DayPatternCoefficients!A325</f>
        <v>1214</v>
      </c>
      <c r="T317" s="163" t="str">
        <f>DayPatternCoefficients!B325</f>
        <v>S/S-W/P</v>
      </c>
      <c r="U317" s="157">
        <f>DayPatternCoefficients!D325</f>
        <v>-0.24210518212900001</v>
      </c>
      <c r="V317" s="178">
        <f t="shared" si="42"/>
        <v>-0.24210518212900001</v>
      </c>
    </row>
    <row r="318" spans="19:22" x14ac:dyDescent="0.25">
      <c r="S318" s="163">
        <f>DayPatternCoefficients!A326</f>
        <v>1215</v>
      </c>
      <c r="T318" s="163" t="str">
        <f>DayPatternCoefficients!B326</f>
        <v>S/S-W/H</v>
      </c>
      <c r="U318" s="157">
        <f>DayPatternCoefficients!D326</f>
        <v>-0.44236569695599998</v>
      </c>
      <c r="V318" s="178">
        <f t="shared" si="42"/>
        <v>-0.44236569695599998</v>
      </c>
    </row>
    <row r="319" spans="19:22" x14ac:dyDescent="0.25">
      <c r="S319" s="163">
        <f>DayPatternCoefficients!A327</f>
        <v>1216</v>
      </c>
      <c r="T319" s="163" t="str">
        <f>DayPatternCoefficients!B327</f>
        <v>S/S-W/M</v>
      </c>
      <c r="U319" s="157">
        <f>DayPatternCoefficients!D327</f>
        <v>0.30457547522900003</v>
      </c>
      <c r="V319" s="178">
        <f t="shared" si="42"/>
        <v>0.30457547522900003</v>
      </c>
    </row>
    <row r="320" spans="19:22" x14ac:dyDescent="0.25">
      <c r="S320" s="163">
        <f>DayPatternCoefficients!A328</f>
        <v>1217</v>
      </c>
      <c r="T320" s="163" t="str">
        <f>DayPatternCoefficients!B328</f>
        <v>S/S-W/D</v>
      </c>
      <c r="U320" s="157">
        <f>DayPatternCoefficients!D328</f>
        <v>-0.38276467722899998</v>
      </c>
      <c r="V320" s="178">
        <f t="shared" si="42"/>
        <v>-0.38276467722899998</v>
      </c>
    </row>
    <row r="321" spans="19:22" x14ac:dyDescent="0.25">
      <c r="S321" s="163">
        <f>DayPatternCoefficients!A329</f>
        <v>1223</v>
      </c>
      <c r="T321" s="163" t="str">
        <f>DayPatternCoefficients!B329</f>
        <v>S/S-S/E</v>
      </c>
      <c r="U321" s="157">
        <f>DayPatternCoefficients!D329</f>
        <v>-1.4817002100900001</v>
      </c>
      <c r="V321" s="178">
        <f t="shared" si="42"/>
        <v>-1.4817002100900001</v>
      </c>
    </row>
    <row r="322" spans="19:22" x14ac:dyDescent="0.25">
      <c r="S322" s="163">
        <f>DayPatternCoefficients!A330</f>
        <v>1224</v>
      </c>
      <c r="T322" s="163" t="str">
        <f>DayPatternCoefficients!B330</f>
        <v>S/S-S/P</v>
      </c>
      <c r="U322" s="157">
        <f>DayPatternCoefficients!D330</f>
        <v>-0.33988648641800001</v>
      </c>
      <c r="V322" s="178">
        <f t="shared" si="42"/>
        <v>-0.33988648641800001</v>
      </c>
    </row>
    <row r="323" spans="19:22" x14ac:dyDescent="0.25">
      <c r="S323" s="163">
        <f>DayPatternCoefficients!A331</f>
        <v>1225</v>
      </c>
      <c r="T323" s="163" t="str">
        <f>DayPatternCoefficients!B331</f>
        <v>S/S-S/H</v>
      </c>
      <c r="U323" s="157">
        <f>DayPatternCoefficients!D331</f>
        <v>-0.68291840383500002</v>
      </c>
      <c r="V323" s="178">
        <f t="shared" si="42"/>
        <v>-0.68291840383500002</v>
      </c>
    </row>
    <row r="324" spans="19:22" x14ac:dyDescent="0.25">
      <c r="S324" s="163">
        <f>DayPatternCoefficients!A332</f>
        <v>1226</v>
      </c>
      <c r="T324" s="163" t="str">
        <f>DayPatternCoefficients!B332</f>
        <v>S/S-S/M</v>
      </c>
      <c r="U324" s="157">
        <f>DayPatternCoefficients!D332</f>
        <v>0.99448337865199998</v>
      </c>
      <c r="V324" s="178">
        <f t="shared" ref="V324:V352" si="43">_xlfn.IFNA(VLOOKUP(S324,$J$49:$L$91,3,FALSE),_xlfn.IFNA(VLOOKUP(S324,$F$5:$J$11,5,FALSE),_xlfn.IFNA(VLOOKUP(S324,$F$19:$J$25,5,FALSE),U324)))</f>
        <v>0.99448337865199998</v>
      </c>
    </row>
    <row r="325" spans="19:22" x14ac:dyDescent="0.25">
      <c r="S325" s="163">
        <f>DayPatternCoefficients!A333</f>
        <v>1227</v>
      </c>
      <c r="T325" s="163" t="str">
        <f>DayPatternCoefficients!B333</f>
        <v>S/S-S/D</v>
      </c>
      <c r="U325" s="157">
        <f>DayPatternCoefficients!D333</f>
        <v>-0.24271310233000001</v>
      </c>
      <c r="V325" s="178">
        <f t="shared" si="43"/>
        <v>-0.24271310233000001</v>
      </c>
    </row>
    <row r="326" spans="19:22" x14ac:dyDescent="0.25">
      <c r="S326" s="163">
        <f>DayPatternCoefficients!A334</f>
        <v>1234</v>
      </c>
      <c r="T326" s="163" t="str">
        <f>DayPatternCoefficients!B334</f>
        <v>S/S-E/P</v>
      </c>
      <c r="U326" s="157">
        <f>DayPatternCoefficients!D334</f>
        <v>-0.20743183744900001</v>
      </c>
      <c r="V326" s="178">
        <f t="shared" si="43"/>
        <v>-0.20743183744900001</v>
      </c>
    </row>
    <row r="327" spans="19:22" x14ac:dyDescent="0.25">
      <c r="S327" s="163">
        <f>DayPatternCoefficients!A335</f>
        <v>1235</v>
      </c>
      <c r="T327" s="163" t="str">
        <f>DayPatternCoefficients!B335</f>
        <v>S/S-E/H</v>
      </c>
      <c r="U327" s="157">
        <f>DayPatternCoefficients!D335</f>
        <v>-0.362858881134</v>
      </c>
      <c r="V327" s="178">
        <f t="shared" si="43"/>
        <v>-0.362858881134</v>
      </c>
    </row>
    <row r="328" spans="19:22" x14ac:dyDescent="0.25">
      <c r="S328" s="163">
        <f>DayPatternCoefficients!A336</f>
        <v>1236</v>
      </c>
      <c r="T328" s="163" t="str">
        <f>DayPatternCoefficients!B336</f>
        <v>S/S-E/M</v>
      </c>
      <c r="U328" s="157">
        <f>DayPatternCoefficients!D336</f>
        <v>-0.22587769484799999</v>
      </c>
      <c r="V328" s="178">
        <f t="shared" si="43"/>
        <v>-0.22587769484799999</v>
      </c>
    </row>
    <row r="329" spans="19:22" x14ac:dyDescent="0.25">
      <c r="S329" s="163">
        <f>DayPatternCoefficients!A337</f>
        <v>1237</v>
      </c>
      <c r="T329" s="163" t="str">
        <f>DayPatternCoefficients!B337</f>
        <v>S/S-E/D</v>
      </c>
      <c r="U329" s="157">
        <f>DayPatternCoefficients!D337</f>
        <v>2.8313275662500002E-2</v>
      </c>
      <c r="V329" s="178">
        <f t="shared" si="43"/>
        <v>2.8313275662500002E-2</v>
      </c>
    </row>
    <row r="330" spans="19:22" x14ac:dyDescent="0.25">
      <c r="S330" s="163">
        <f>DayPatternCoefficients!A338</f>
        <v>1245</v>
      </c>
      <c r="T330" s="163" t="str">
        <f>DayPatternCoefficients!B338</f>
        <v>S/S-P/H</v>
      </c>
      <c r="U330" s="157">
        <f>DayPatternCoefficients!D338</f>
        <v>-0.132943375374</v>
      </c>
      <c r="V330" s="178">
        <f t="shared" si="43"/>
        <v>-0.132943375374</v>
      </c>
    </row>
    <row r="331" spans="19:22" x14ac:dyDescent="0.25">
      <c r="S331" s="163">
        <f>DayPatternCoefficients!A339</f>
        <v>1246</v>
      </c>
      <c r="T331" s="163" t="str">
        <f>DayPatternCoefficients!B339</f>
        <v>S/S-P/M</v>
      </c>
      <c r="U331" s="157">
        <f>DayPatternCoefficients!D339</f>
        <v>-6.1171239687499997E-2</v>
      </c>
      <c r="V331" s="178">
        <f t="shared" si="43"/>
        <v>-6.1171239687499997E-2</v>
      </c>
    </row>
    <row r="332" spans="19:22" x14ac:dyDescent="0.25">
      <c r="S332" s="163">
        <f>DayPatternCoefficients!A340</f>
        <v>1247</v>
      </c>
      <c r="T332" s="163" t="str">
        <f>DayPatternCoefficients!B340</f>
        <v>S/S-P/D</v>
      </c>
      <c r="U332" s="157">
        <f>DayPatternCoefficients!D340</f>
        <v>-0.28246371089900002</v>
      </c>
      <c r="V332" s="178">
        <f t="shared" si="43"/>
        <v>-0.28246371089900002</v>
      </c>
    </row>
    <row r="333" spans="19:22" x14ac:dyDescent="0.25">
      <c r="S333" s="163">
        <f>DayPatternCoefficients!A341</f>
        <v>1256</v>
      </c>
      <c r="T333" s="163" t="str">
        <f>DayPatternCoefficients!B341</f>
        <v>S/S-H/M</v>
      </c>
      <c r="U333" s="157">
        <f>DayPatternCoefficients!D341</f>
        <v>-0.42730825529100003</v>
      </c>
      <c r="V333" s="178">
        <f t="shared" si="43"/>
        <v>-0.42730825529100003</v>
      </c>
    </row>
    <row r="334" spans="19:22" x14ac:dyDescent="0.25">
      <c r="S334" s="163">
        <f>DayPatternCoefficients!A342</f>
        <v>1257</v>
      </c>
      <c r="T334" s="163" t="str">
        <f>DayPatternCoefficients!B342</f>
        <v>S/S-H/D</v>
      </c>
      <c r="U334" s="157">
        <f>DayPatternCoefficients!D342</f>
        <v>-0.39541284004499999</v>
      </c>
      <c r="V334" s="178">
        <f t="shared" si="43"/>
        <v>-0.39541284004499999</v>
      </c>
    </row>
    <row r="335" spans="19:22" x14ac:dyDescent="0.25">
      <c r="S335" s="163">
        <f>DayPatternCoefficients!A343</f>
        <v>1311</v>
      </c>
      <c r="T335" s="163" t="str">
        <f>DayPatternCoefficients!B343</f>
        <v>NT/NS-1/1</v>
      </c>
      <c r="U335" s="157">
        <f>DayPatternCoefficients!D343</f>
        <v>-2.3636261105099998</v>
      </c>
      <c r="V335" s="178">
        <f t="shared" si="43"/>
        <v>-2.3636261105099998</v>
      </c>
    </row>
    <row r="336" spans="19:22" x14ac:dyDescent="0.25">
      <c r="S336" s="163">
        <f>DayPatternCoefficients!A344</f>
        <v>1312</v>
      </c>
      <c r="T336" s="163" t="str">
        <f>DayPatternCoefficients!B344</f>
        <v>NT/NS-1/2</v>
      </c>
      <c r="U336" s="157">
        <f>DayPatternCoefficients!D344</f>
        <v>-3.3984471460900001</v>
      </c>
      <c r="V336" s="178">
        <f t="shared" si="43"/>
        <v>-3.3984471460900001</v>
      </c>
    </row>
    <row r="337" spans="19:22" x14ac:dyDescent="0.25">
      <c r="S337" s="163">
        <f>DayPatternCoefficients!A345</f>
        <v>1313</v>
      </c>
      <c r="T337" s="163" t="str">
        <f>DayPatternCoefficients!B345</f>
        <v>NT/NS-1/3</v>
      </c>
      <c r="U337" s="157">
        <f>DayPatternCoefficients!D345</f>
        <v>-4.0690844656999996</v>
      </c>
      <c r="V337" s="178">
        <f t="shared" si="43"/>
        <v>-4.0690844656999996</v>
      </c>
    </row>
    <row r="338" spans="19:22" x14ac:dyDescent="0.25">
      <c r="S338" s="163">
        <f>DayPatternCoefficients!A346</f>
        <v>1321</v>
      </c>
      <c r="T338" s="163" t="str">
        <f>DayPatternCoefficients!B346</f>
        <v>NT/NS-2/1</v>
      </c>
      <c r="U338" s="157">
        <f>DayPatternCoefficients!D346</f>
        <v>-2.3291602995099998</v>
      </c>
      <c r="V338" s="178">
        <f t="shared" si="43"/>
        <v>-2.3291602995099998</v>
      </c>
    </row>
    <row r="339" spans="19:22" x14ac:dyDescent="0.25">
      <c r="S339" s="163">
        <f>DayPatternCoefficients!A347</f>
        <v>1322</v>
      </c>
      <c r="T339" s="163" t="str">
        <f>DayPatternCoefficients!B347</f>
        <v>NT/NS-2/2</v>
      </c>
      <c r="U339" s="157">
        <f>DayPatternCoefficients!D347</f>
        <v>-3.3320340260300001</v>
      </c>
      <c r="V339" s="178">
        <f t="shared" si="43"/>
        <v>-3.3320340260300001</v>
      </c>
    </row>
    <row r="340" spans="19:22" x14ac:dyDescent="0.25">
      <c r="S340" s="163">
        <f>DayPatternCoefficients!A348</f>
        <v>1323</v>
      </c>
      <c r="T340" s="163" t="str">
        <f>DayPatternCoefficients!B348</f>
        <v>NT/NS-2/3</v>
      </c>
      <c r="U340" s="157">
        <f>DayPatternCoefficients!D348</f>
        <v>-3.9915902374400001</v>
      </c>
      <c r="V340" s="178">
        <f t="shared" si="43"/>
        <v>-3.9915902374400001</v>
      </c>
    </row>
    <row r="341" spans="19:22" x14ac:dyDescent="0.25">
      <c r="S341" s="163">
        <f>DayPatternCoefficients!A349</f>
        <v>1331</v>
      </c>
      <c r="T341" s="163" t="str">
        <f>DayPatternCoefficients!B349</f>
        <v>NT/NS-3/1</v>
      </c>
      <c r="U341" s="157">
        <f>DayPatternCoefficients!D349</f>
        <v>-2.2118895961699998</v>
      </c>
      <c r="V341" s="178">
        <f t="shared" si="43"/>
        <v>-2.2118895961699998</v>
      </c>
    </row>
    <row r="342" spans="19:22" x14ac:dyDescent="0.25">
      <c r="S342" s="163">
        <f>DayPatternCoefficients!A350</f>
        <v>1332</v>
      </c>
      <c r="T342" s="163" t="str">
        <f>DayPatternCoefficients!B350</f>
        <v>NT/NS-3/2</v>
      </c>
      <c r="U342" s="157">
        <f>DayPatternCoefficients!D350</f>
        <v>-3.4027467696499998</v>
      </c>
      <c r="V342" s="178">
        <f t="shared" si="43"/>
        <v>-3.4027467696499998</v>
      </c>
    </row>
    <row r="343" spans="19:22" x14ac:dyDescent="0.25">
      <c r="S343" s="163">
        <f>DayPatternCoefficients!A351</f>
        <v>1401</v>
      </c>
      <c r="T343" s="163" t="str">
        <f>DayPatternCoefficients!B351</f>
        <v>TxCARSPD</v>
      </c>
      <c r="U343" s="157">
        <f>DayPatternCoefficients!D351</f>
        <v>0.105372392743</v>
      </c>
      <c r="V343" s="178">
        <f t="shared" si="43"/>
        <v>0.105372392743</v>
      </c>
    </row>
    <row r="344" spans="19:22" x14ac:dyDescent="0.25">
      <c r="S344" s="163">
        <f>DayPatternCoefficients!A352</f>
        <v>1402</v>
      </c>
      <c r="T344" s="163" t="str">
        <f>DayPatternCoefficients!B352</f>
        <v>TxWAHOME</v>
      </c>
      <c r="U344" s="157">
        <f>DayPatternCoefficients!D352</f>
        <v>-1.9733408504600001</v>
      </c>
      <c r="V344" s="178">
        <f t="shared" si="43"/>
        <v>-1.9733408504600001</v>
      </c>
    </row>
    <row r="345" spans="19:22" x14ac:dyDescent="0.25">
      <c r="S345" s="163">
        <f>DayPatternCoefficients!A353</f>
        <v>1403</v>
      </c>
      <c r="T345" s="163" t="str">
        <f>DayPatternCoefficients!B353</f>
        <v>TxMIXDEN</v>
      </c>
      <c r="U345" s="157">
        <f>DayPatternCoefficients!D353</f>
        <v>-9.4848733646700004E-2</v>
      </c>
      <c r="V345" s="178">
        <f t="shared" si="43"/>
        <v>-9.4848733646700004E-2</v>
      </c>
    </row>
    <row r="346" spans="19:22" x14ac:dyDescent="0.25">
      <c r="S346" s="163">
        <f>DayPatternCoefficients!A354</f>
        <v>1404</v>
      </c>
      <c r="T346" s="163" t="str">
        <f>DayPatternCoefficients!B354</f>
        <v>TxMDEN515</v>
      </c>
      <c r="U346" s="157">
        <f>DayPatternCoefficients!D354</f>
        <v>-0.32757978397600002</v>
      </c>
      <c r="V346" s="178">
        <f t="shared" si="43"/>
        <v>-0.32757978397600002</v>
      </c>
    </row>
    <row r="347" spans="19:22" x14ac:dyDescent="0.25">
      <c r="S347" s="163">
        <f>DayPatternCoefficients!A355</f>
        <v>1405</v>
      </c>
      <c r="T347" s="163" t="str">
        <f>DayPatternCoefficients!B355</f>
        <v>TxHLOGS</v>
      </c>
      <c r="U347" s="157">
        <f>DayPatternCoefficients!D355</f>
        <v>5.1200790919799996E-4</v>
      </c>
      <c r="V347" s="178">
        <f t="shared" si="43"/>
        <v>5.1200790919799996E-4</v>
      </c>
    </row>
    <row r="348" spans="19:22" x14ac:dyDescent="0.25">
      <c r="S348" s="163">
        <f>DayPatternCoefficients!A356</f>
        <v>1411</v>
      </c>
      <c r="T348" s="163" t="str">
        <f>DayPatternCoefficients!B356</f>
        <v>SxCARSPD</v>
      </c>
      <c r="U348" s="157">
        <f>DayPatternCoefficients!D356</f>
        <v>0.12070867719099999</v>
      </c>
      <c r="V348" s="178">
        <f t="shared" si="43"/>
        <v>0.12070867719099999</v>
      </c>
    </row>
    <row r="349" spans="19:22" x14ac:dyDescent="0.25">
      <c r="S349" s="163">
        <f>DayPatternCoefficients!A357</f>
        <v>1412</v>
      </c>
      <c r="T349" s="163" t="str">
        <f>DayPatternCoefficients!B357</f>
        <v>SxWAHOME</v>
      </c>
      <c r="U349" s="157">
        <f>DayPatternCoefficients!D357</f>
        <v>1.43935300972</v>
      </c>
      <c r="V349" s="178">
        <f t="shared" si="43"/>
        <v>1.43935300972</v>
      </c>
    </row>
    <row r="350" spans="19:22" x14ac:dyDescent="0.25">
      <c r="S350" s="163">
        <f>DayPatternCoefficients!A358</f>
        <v>1413</v>
      </c>
      <c r="T350" s="163" t="str">
        <f>DayPatternCoefficients!B358</f>
        <v>SxMIXDEN</v>
      </c>
      <c r="U350" s="157">
        <f>DayPatternCoefficients!D358</f>
        <v>5.8889368276700001E-2</v>
      </c>
      <c r="V350" s="178">
        <f t="shared" si="43"/>
        <v>5.8889368276700001E-2</v>
      </c>
    </row>
    <row r="351" spans="19:22" x14ac:dyDescent="0.25">
      <c r="S351" s="163">
        <f>DayPatternCoefficients!A359</f>
        <v>1414</v>
      </c>
      <c r="T351" s="163" t="str">
        <f>DayPatternCoefficients!B359</f>
        <v>SxMDEN515</v>
      </c>
      <c r="U351" s="157">
        <f>DayPatternCoefficients!D359</f>
        <v>-0.41526082283299998</v>
      </c>
      <c r="V351" s="178">
        <f t="shared" si="43"/>
        <v>-0.41526082283299998</v>
      </c>
    </row>
    <row r="352" spans="19:22" x14ac:dyDescent="0.25">
      <c r="S352" s="163">
        <f>DayPatternCoefficients!A360</f>
        <v>1415</v>
      </c>
      <c r="T352" s="163" t="str">
        <f>DayPatternCoefficients!B360</f>
        <v>SxHLOGS</v>
      </c>
      <c r="U352" s="157">
        <f>DayPatternCoefficients!D360</f>
        <v>1.2275638646799999E-2</v>
      </c>
      <c r="V352" s="178">
        <f t="shared" si="43"/>
        <v>1.2275638646799999E-2</v>
      </c>
    </row>
    <row r="353" spans="19:22" x14ac:dyDescent="0.25">
      <c r="S353" s="163"/>
      <c r="T353" s="163"/>
      <c r="U353" s="157"/>
      <c r="V353" s="157"/>
    </row>
    <row r="354" spans="19:22" x14ac:dyDescent="0.25">
      <c r="S354" s="163"/>
      <c r="T354" s="163"/>
      <c r="U354" s="157"/>
      <c r="V354" s="157"/>
    </row>
    <row r="355" spans="19:22" x14ac:dyDescent="0.25">
      <c r="S355" s="163"/>
      <c r="T355" s="163"/>
      <c r="U355" s="157"/>
      <c r="V355" s="157"/>
    </row>
    <row r="356" spans="19:22" x14ac:dyDescent="0.25">
      <c r="S356" s="163"/>
      <c r="T356" s="163"/>
      <c r="U356" s="157"/>
      <c r="V356" s="157"/>
    </row>
    <row r="357" spans="19:22" x14ac:dyDescent="0.25">
      <c r="S357" s="163"/>
      <c r="T357" s="163"/>
      <c r="U357" s="157"/>
      <c r="V357" s="157"/>
    </row>
    <row r="358" spans="19:22" x14ac:dyDescent="0.25">
      <c r="S358" s="163"/>
      <c r="T358" s="163"/>
      <c r="U358" s="157"/>
      <c r="V358" s="157"/>
    </row>
    <row r="359" spans="19:22" x14ac:dyDescent="0.25">
      <c r="S359" s="163"/>
      <c r="T359" s="163"/>
      <c r="U359" s="157"/>
      <c r="V359" s="157"/>
    </row>
    <row r="360" spans="19:22" x14ac:dyDescent="0.25">
      <c r="S360" s="163"/>
      <c r="T360" s="163"/>
      <c r="U360" s="157"/>
      <c r="V360" s="157"/>
    </row>
    <row r="361" spans="19:22" x14ac:dyDescent="0.25">
      <c r="S361" s="163"/>
      <c r="T361" s="163"/>
      <c r="U361" s="157"/>
      <c r="V361" s="157"/>
    </row>
    <row r="362" spans="19:22" x14ac:dyDescent="0.25">
      <c r="S362" s="163"/>
      <c r="T362" s="163"/>
      <c r="U362" s="157"/>
      <c r="V362" s="157"/>
    </row>
    <row r="363" spans="19:22" x14ac:dyDescent="0.25">
      <c r="S363" s="163"/>
      <c r="T363" s="163"/>
      <c r="U363" s="157"/>
      <c r="V363" s="157"/>
    </row>
    <row r="364" spans="19:22" x14ac:dyDescent="0.25">
      <c r="S364" s="163"/>
      <c r="T364" s="163"/>
      <c r="U364" s="157"/>
      <c r="V364" s="157"/>
    </row>
    <row r="365" spans="19:22" x14ac:dyDescent="0.25">
      <c r="S365" s="163"/>
      <c r="T365" s="163"/>
      <c r="U365" s="157"/>
      <c r="V365" s="157"/>
    </row>
    <row r="366" spans="19:22" x14ac:dyDescent="0.25">
      <c r="S366" s="163"/>
      <c r="T366" s="163"/>
      <c r="U366" s="157"/>
      <c r="V366" s="157"/>
    </row>
    <row r="367" spans="19:22" x14ac:dyDescent="0.25">
      <c r="S367" s="163"/>
      <c r="T367" s="163"/>
      <c r="U367" s="157"/>
      <c r="V367" s="157"/>
    </row>
    <row r="368" spans="19:22" x14ac:dyDescent="0.25">
      <c r="S368" s="163"/>
      <c r="T368" s="163"/>
      <c r="U368" s="157"/>
      <c r="V368" s="157"/>
    </row>
    <row r="369" spans="19:22" x14ac:dyDescent="0.25">
      <c r="S369" s="163"/>
      <c r="T369" s="163"/>
      <c r="U369" s="157"/>
      <c r="V369" s="157"/>
    </row>
    <row r="370" spans="19:22" x14ac:dyDescent="0.25">
      <c r="S370" s="163"/>
      <c r="T370" s="163"/>
      <c r="U370" s="157"/>
      <c r="V370" s="157"/>
    </row>
    <row r="371" spans="19:22" x14ac:dyDescent="0.25">
      <c r="S371" s="163"/>
      <c r="T371" s="163"/>
      <c r="U371" s="157"/>
      <c r="V371" s="157"/>
    </row>
    <row r="372" spans="19:22" x14ac:dyDescent="0.25">
      <c r="S372" s="163"/>
      <c r="T372" s="163"/>
      <c r="U372" s="157"/>
      <c r="V372" s="157"/>
    </row>
    <row r="373" spans="19:22" x14ac:dyDescent="0.25">
      <c r="S373" s="163"/>
      <c r="T373" s="163"/>
      <c r="U373" s="157"/>
      <c r="V373" s="157"/>
    </row>
    <row r="374" spans="19:22" x14ac:dyDescent="0.25">
      <c r="S374" s="163"/>
      <c r="T374" s="163"/>
      <c r="U374" s="157"/>
      <c r="V374" s="157"/>
    </row>
    <row r="375" spans="19:22" x14ac:dyDescent="0.25">
      <c r="S375" s="163"/>
      <c r="T375" s="163"/>
      <c r="U375" s="157"/>
      <c r="V375" s="157"/>
    </row>
    <row r="376" spans="19:22" x14ac:dyDescent="0.25">
      <c r="S376" s="163"/>
      <c r="T376" s="163"/>
      <c r="U376" s="157"/>
      <c r="V376" s="157"/>
    </row>
    <row r="377" spans="19:22" x14ac:dyDescent="0.25">
      <c r="S377" s="163"/>
      <c r="T377" s="163"/>
      <c r="U377" s="157"/>
      <c r="V377" s="157"/>
    </row>
    <row r="378" spans="19:22" x14ac:dyDescent="0.25">
      <c r="S378" s="163"/>
      <c r="T378" s="163"/>
      <c r="U378" s="157"/>
      <c r="V378" s="157"/>
    </row>
    <row r="379" spans="19:22" x14ac:dyDescent="0.25">
      <c r="S379" s="163"/>
      <c r="T379" s="163"/>
      <c r="U379" s="157"/>
      <c r="V379" s="157"/>
    </row>
    <row r="380" spans="19:22" x14ac:dyDescent="0.25">
      <c r="S380" s="163"/>
      <c r="T380" s="163"/>
      <c r="U380" s="157"/>
      <c r="V380" s="157"/>
    </row>
    <row r="381" spans="19:22" x14ac:dyDescent="0.25">
      <c r="S381" s="163"/>
      <c r="T381" s="163"/>
      <c r="U381" s="157"/>
      <c r="V381" s="157"/>
    </row>
    <row r="382" spans="19:22" x14ac:dyDescent="0.25">
      <c r="S382" s="163"/>
      <c r="T382" s="163"/>
      <c r="U382" s="157"/>
      <c r="V382" s="157"/>
    </row>
    <row r="383" spans="19:22" x14ac:dyDescent="0.25">
      <c r="S383" s="163"/>
      <c r="T383" s="163"/>
      <c r="U383" s="157"/>
      <c r="V383" s="157"/>
    </row>
    <row r="384" spans="19:22" x14ac:dyDescent="0.25">
      <c r="S384" s="163"/>
      <c r="T384" s="163"/>
      <c r="U384" s="157"/>
      <c r="V384" s="157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229</vt:i4>
      </vt:variant>
    </vt:vector>
  </HeadingPairs>
  <TitlesOfParts>
    <vt:vector size="246" baseType="lpstr">
      <vt:lpstr>Summary</vt:lpstr>
      <vt:lpstr>NumberOfTours</vt:lpstr>
      <vt:lpstr>TourStopCombos</vt:lpstr>
      <vt:lpstr>Tours&amp;StopsByPurpose</vt:lpstr>
      <vt:lpstr>ExactToursByPurpose (if&gt;0)</vt:lpstr>
      <vt:lpstr>ExactToursByPurpose</vt:lpstr>
      <vt:lpstr>ExactSubtours</vt:lpstr>
      <vt:lpstr>StopsByTourPurpose</vt:lpstr>
      <vt:lpstr>ToursByTourPurpose</vt:lpstr>
      <vt:lpstr>StopsByStopPurpose</vt:lpstr>
      <vt:lpstr>TripsByDestinationPurpose</vt:lpstr>
      <vt:lpstr>output</vt:lpstr>
      <vt:lpstr>output_NHTS</vt:lpstr>
      <vt:lpstr>CoeffDef</vt:lpstr>
      <vt:lpstr>DayPatternCoefficients</vt:lpstr>
      <vt:lpstr>WorkbasedSubtourGenerationCoeff</vt:lpstr>
      <vt:lpstr>calibration</vt:lpstr>
      <vt:lpstr>dpout1</vt:lpstr>
      <vt:lpstr>dpout10</vt:lpstr>
      <vt:lpstr>dpout11</vt:lpstr>
      <vt:lpstr>dpout12</vt:lpstr>
      <vt:lpstr>dpout13</vt:lpstr>
      <vt:lpstr>dpout14</vt:lpstr>
      <vt:lpstr>dpout15</vt:lpstr>
      <vt:lpstr>dpout16</vt:lpstr>
      <vt:lpstr>dpout17</vt:lpstr>
      <vt:lpstr>dpout18</vt:lpstr>
      <vt:lpstr>dpout19</vt:lpstr>
      <vt:lpstr>dpout2</vt:lpstr>
      <vt:lpstr>dpout20</vt:lpstr>
      <vt:lpstr>dpout21</vt:lpstr>
      <vt:lpstr>dpout22</vt:lpstr>
      <vt:lpstr>dpout23</vt:lpstr>
      <vt:lpstr>dpout24</vt:lpstr>
      <vt:lpstr>dpout25</vt:lpstr>
      <vt:lpstr>dpout26</vt:lpstr>
      <vt:lpstr>dpout27</vt:lpstr>
      <vt:lpstr>dpout28</vt:lpstr>
      <vt:lpstr>dpout29</vt:lpstr>
      <vt:lpstr>dpout3</vt:lpstr>
      <vt:lpstr>dpout30</vt:lpstr>
      <vt:lpstr>dpout31</vt:lpstr>
      <vt:lpstr>dpout32</vt:lpstr>
      <vt:lpstr>dpout33</vt:lpstr>
      <vt:lpstr>dpout34</vt:lpstr>
      <vt:lpstr>dpout35</vt:lpstr>
      <vt:lpstr>dpout36</vt:lpstr>
      <vt:lpstr>dpout37</vt:lpstr>
      <vt:lpstr>dpout4</vt:lpstr>
      <vt:lpstr>dpout5</vt:lpstr>
      <vt:lpstr>dpout6</vt:lpstr>
      <vt:lpstr>dpout7</vt:lpstr>
      <vt:lpstr>dpout8</vt:lpstr>
      <vt:lpstr>dpout9</vt:lpstr>
      <vt:lpstr>out_1</vt:lpstr>
      <vt:lpstr>out_10</vt:lpstr>
      <vt:lpstr>out_11</vt:lpstr>
      <vt:lpstr>out_12</vt:lpstr>
      <vt:lpstr>out_13</vt:lpstr>
      <vt:lpstr>out_14</vt:lpstr>
      <vt:lpstr>out_15</vt:lpstr>
      <vt:lpstr>out_16</vt:lpstr>
      <vt:lpstr>out_17</vt:lpstr>
      <vt:lpstr>out_18</vt:lpstr>
      <vt:lpstr>out_19</vt:lpstr>
      <vt:lpstr>out_2</vt:lpstr>
      <vt:lpstr>out_20</vt:lpstr>
      <vt:lpstr>out_21</vt:lpstr>
      <vt:lpstr>out_22</vt:lpstr>
      <vt:lpstr>out_23</vt:lpstr>
      <vt:lpstr>out_24</vt:lpstr>
      <vt:lpstr>out_25</vt:lpstr>
      <vt:lpstr>out_26</vt:lpstr>
      <vt:lpstr>out_27</vt:lpstr>
      <vt:lpstr>out_28</vt:lpstr>
      <vt:lpstr>out_29</vt:lpstr>
      <vt:lpstr>out_3</vt:lpstr>
      <vt:lpstr>out_30</vt:lpstr>
      <vt:lpstr>out_31</vt:lpstr>
      <vt:lpstr>out_32</vt:lpstr>
      <vt:lpstr>out_33</vt:lpstr>
      <vt:lpstr>out_34</vt:lpstr>
      <vt:lpstr>out_35</vt:lpstr>
      <vt:lpstr>out_36</vt:lpstr>
      <vt:lpstr>out_37</vt:lpstr>
      <vt:lpstr>out_38</vt:lpstr>
      <vt:lpstr>out_39</vt:lpstr>
      <vt:lpstr>out_4</vt:lpstr>
      <vt:lpstr>out_40</vt:lpstr>
      <vt:lpstr>out_41</vt:lpstr>
      <vt:lpstr>out_42</vt:lpstr>
      <vt:lpstr>out_43</vt:lpstr>
      <vt:lpstr>out_44</vt:lpstr>
      <vt:lpstr>out_45</vt:lpstr>
      <vt:lpstr>out_46</vt:lpstr>
      <vt:lpstr>out_47</vt:lpstr>
      <vt:lpstr>out_48</vt:lpstr>
      <vt:lpstr>out_49</vt:lpstr>
      <vt:lpstr>out_5</vt:lpstr>
      <vt:lpstr>out_50</vt:lpstr>
      <vt:lpstr>out_51</vt:lpstr>
      <vt:lpstr>out_52</vt:lpstr>
      <vt:lpstr>out_53</vt:lpstr>
      <vt:lpstr>out_54</vt:lpstr>
      <vt:lpstr>out_55</vt:lpstr>
      <vt:lpstr>out_56</vt:lpstr>
      <vt:lpstr>out_57</vt:lpstr>
      <vt:lpstr>out_58</vt:lpstr>
      <vt:lpstr>out_59</vt:lpstr>
      <vt:lpstr>out_6</vt:lpstr>
      <vt:lpstr>out_60</vt:lpstr>
      <vt:lpstr>out_61</vt:lpstr>
      <vt:lpstr>out_62</vt:lpstr>
      <vt:lpstr>out_63</vt:lpstr>
      <vt:lpstr>out_64</vt:lpstr>
      <vt:lpstr>out_65</vt:lpstr>
      <vt:lpstr>out_66</vt:lpstr>
      <vt:lpstr>out_67</vt:lpstr>
      <vt:lpstr>out_68</vt:lpstr>
      <vt:lpstr>out_69</vt:lpstr>
      <vt:lpstr>out_7</vt:lpstr>
      <vt:lpstr>out_70</vt:lpstr>
      <vt:lpstr>out_71</vt:lpstr>
      <vt:lpstr>out_72</vt:lpstr>
      <vt:lpstr>out_73</vt:lpstr>
      <vt:lpstr>out_74</vt:lpstr>
      <vt:lpstr>out_75</vt:lpstr>
      <vt:lpstr>out_76</vt:lpstr>
      <vt:lpstr>out_77</vt:lpstr>
      <vt:lpstr>out_78</vt:lpstr>
      <vt:lpstr>out_79</vt:lpstr>
      <vt:lpstr>out_8</vt:lpstr>
      <vt:lpstr>out_80</vt:lpstr>
      <vt:lpstr>out_81</vt:lpstr>
      <vt:lpstr>out_82</vt:lpstr>
      <vt:lpstr>out_83</vt:lpstr>
      <vt:lpstr>out_84</vt:lpstr>
      <vt:lpstr>out_85</vt:lpstr>
      <vt:lpstr>out_86</vt:lpstr>
      <vt:lpstr>out_87</vt:lpstr>
      <vt:lpstr>out_88</vt:lpstr>
      <vt:lpstr>out_89</vt:lpstr>
      <vt:lpstr>out_9</vt:lpstr>
      <vt:lpstr>out_90</vt:lpstr>
      <vt:lpstr>out_91</vt:lpstr>
      <vt:lpstr>out_92</vt:lpstr>
      <vt:lpstr>out_93</vt:lpstr>
      <vt:lpstr>out_94</vt:lpstr>
      <vt:lpstr>out_95</vt:lpstr>
      <vt:lpstr>out_96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out23</vt:lpstr>
      <vt:lpstr>out24</vt:lpstr>
      <vt:lpstr>out25</vt:lpstr>
      <vt:lpstr>out26</vt:lpstr>
      <vt:lpstr>out27</vt:lpstr>
      <vt:lpstr>out28</vt:lpstr>
      <vt:lpstr>out29</vt:lpstr>
      <vt:lpstr>out3</vt:lpstr>
      <vt:lpstr>out30</vt:lpstr>
      <vt:lpstr>out31</vt:lpstr>
      <vt:lpstr>out32</vt:lpstr>
      <vt:lpstr>out33</vt:lpstr>
      <vt:lpstr>out34</vt:lpstr>
      <vt:lpstr>out35</vt:lpstr>
      <vt:lpstr>out36</vt:lpstr>
      <vt:lpstr>out37</vt:lpstr>
      <vt:lpstr>out38</vt:lpstr>
      <vt:lpstr>out39</vt:lpstr>
      <vt:lpstr>out4</vt:lpstr>
      <vt:lpstr>out40</vt:lpstr>
      <vt:lpstr>out41</vt:lpstr>
      <vt:lpstr>out42</vt:lpstr>
      <vt:lpstr>out43</vt:lpstr>
      <vt:lpstr>out44</vt:lpstr>
      <vt:lpstr>out45</vt:lpstr>
      <vt:lpstr>out46</vt:lpstr>
      <vt:lpstr>out47</vt:lpstr>
      <vt:lpstr>out48</vt:lpstr>
      <vt:lpstr>out49</vt:lpstr>
      <vt:lpstr>out5</vt:lpstr>
      <vt:lpstr>out50</vt:lpstr>
      <vt:lpstr>out51</vt:lpstr>
      <vt:lpstr>out52</vt:lpstr>
      <vt:lpstr>out53</vt:lpstr>
      <vt:lpstr>out54</vt:lpstr>
      <vt:lpstr>out55</vt:lpstr>
      <vt:lpstr>out56</vt:lpstr>
      <vt:lpstr>out57</vt:lpstr>
      <vt:lpstr>out58</vt:lpstr>
      <vt:lpstr>out59</vt:lpstr>
      <vt:lpstr>out6</vt:lpstr>
      <vt:lpstr>out60</vt:lpstr>
      <vt:lpstr>out61</vt:lpstr>
      <vt:lpstr>out62</vt:lpstr>
      <vt:lpstr>out63</vt:lpstr>
      <vt:lpstr>out64</vt:lpstr>
      <vt:lpstr>out65</vt:lpstr>
      <vt:lpstr>out66</vt:lpstr>
      <vt:lpstr>out67</vt:lpstr>
      <vt:lpstr>out68</vt:lpstr>
      <vt:lpstr>out69</vt:lpstr>
      <vt:lpstr>out7</vt:lpstr>
      <vt:lpstr>out70</vt:lpstr>
      <vt:lpstr>out71</vt:lpstr>
      <vt:lpstr>out72</vt:lpstr>
      <vt:lpstr>out73</vt:lpstr>
      <vt:lpstr>out74</vt:lpstr>
      <vt:lpstr>out75</vt:lpstr>
      <vt:lpstr>out76</vt:lpstr>
      <vt:lpstr>out77</vt:lpstr>
      <vt:lpstr>out78</vt:lpstr>
      <vt:lpstr>out79</vt:lpstr>
      <vt:lpstr>out8</vt:lpstr>
      <vt:lpstr>out80</vt:lpstr>
      <vt:lpstr>out81</vt:lpstr>
      <vt:lpstr>out82</vt:lpstr>
      <vt:lpstr>out83</vt:lpstr>
      <vt:lpstr>out84</vt:lpstr>
      <vt:lpstr>out85</vt:lpstr>
      <vt:lpstr>out86</vt:lpstr>
      <vt:lpstr>out87</vt:lpstr>
      <vt:lpstr>out88</vt:lpstr>
      <vt:lpstr>out89</vt:lpstr>
      <vt:lpstr>out9</vt:lpstr>
      <vt:lpstr>out90</vt:lpstr>
      <vt:lpstr>out91</vt:lpstr>
      <vt:lpstr>out92</vt:lpstr>
      <vt:lpstr>out93</vt:lpstr>
      <vt:lpstr>out94</vt:lpstr>
      <vt:lpstr>out95</vt:lpstr>
      <vt:lpstr>out96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Castiglione</dc:creator>
  <cp:lastModifiedBy>Dong, Hu</cp:lastModifiedBy>
  <dcterms:created xsi:type="dcterms:W3CDTF">2008-04-30T13:33:45Z</dcterms:created>
  <dcterms:modified xsi:type="dcterms:W3CDTF">2019-11-04T22:16:02Z</dcterms:modified>
</cp:coreProperties>
</file>