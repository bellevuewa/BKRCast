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00995121-840C-447D-A550-494B80934380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All Purposes" sheetId="18" r:id="rId1"/>
    <sheet name="Workbased" sheetId="7" r:id="rId2"/>
    <sheet name="Work" sheetId="11" r:id="rId3"/>
    <sheet name="School" sheetId="12" r:id="rId4"/>
    <sheet name="Escort" sheetId="13" r:id="rId5"/>
    <sheet name="Personal_Business" sheetId="14" r:id="rId6"/>
    <sheet name="Shop" sheetId="15" r:id="rId7"/>
    <sheet name="Meal" sheetId="16" r:id="rId8"/>
    <sheet name="SocRec" sheetId="17" r:id="rId9"/>
    <sheet name="Documentation" sheetId="19" r:id="rId10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8" l="1"/>
  <c r="J11" i="7" l="1"/>
  <c r="J12" i="7"/>
  <c r="J13" i="7"/>
  <c r="J11" i="11"/>
  <c r="J12" i="11"/>
  <c r="J13" i="11"/>
  <c r="J11" i="12"/>
  <c r="J12" i="12"/>
  <c r="J13" i="12"/>
  <c r="J11" i="13"/>
  <c r="J12" i="13"/>
  <c r="J13" i="13"/>
  <c r="J11" i="14"/>
  <c r="J12" i="14"/>
  <c r="J13" i="14"/>
  <c r="J11" i="15"/>
  <c r="J12" i="15"/>
  <c r="J13" i="15"/>
  <c r="J11" i="16"/>
  <c r="J12" i="16"/>
  <c r="J13" i="16"/>
  <c r="J11" i="17"/>
  <c r="J12" i="17"/>
  <c r="J13" i="17"/>
  <c r="I13" i="18"/>
  <c r="H13" i="18"/>
  <c r="G13" i="18"/>
  <c r="F13" i="18"/>
  <c r="E13" i="18"/>
  <c r="D13" i="18"/>
  <c r="C13" i="18"/>
  <c r="B13" i="18"/>
  <c r="I12" i="18"/>
  <c r="H12" i="18"/>
  <c r="G12" i="18"/>
  <c r="F12" i="18"/>
  <c r="E12" i="18"/>
  <c r="D12" i="18"/>
  <c r="C12" i="18"/>
  <c r="B12" i="18"/>
  <c r="I11" i="18"/>
  <c r="H11" i="18"/>
  <c r="G11" i="18"/>
  <c r="F11" i="18"/>
  <c r="E11" i="18"/>
  <c r="D11" i="18"/>
  <c r="C11" i="18"/>
  <c r="B11" i="18"/>
  <c r="T13" i="18"/>
  <c r="S13" i="18"/>
  <c r="R13" i="18"/>
  <c r="Q13" i="18"/>
  <c r="P13" i="18"/>
  <c r="O13" i="18"/>
  <c r="N13" i="18"/>
  <c r="M13" i="18"/>
  <c r="T12" i="18"/>
  <c r="S12" i="18"/>
  <c r="R12" i="18"/>
  <c r="Q12" i="18"/>
  <c r="P12" i="18"/>
  <c r="O12" i="18"/>
  <c r="N12" i="18"/>
  <c r="M12" i="18"/>
  <c r="U11" i="7"/>
  <c r="U12" i="7"/>
  <c r="U13" i="7"/>
  <c r="U11" i="11"/>
  <c r="U12" i="11"/>
  <c r="U13" i="11"/>
  <c r="U11" i="12"/>
  <c r="U12" i="12"/>
  <c r="U13" i="12"/>
  <c r="U11" i="13"/>
  <c r="U12" i="13"/>
  <c r="U13" i="13"/>
  <c r="U11" i="14"/>
  <c r="U12" i="14"/>
  <c r="U13" i="14"/>
  <c r="U11" i="15"/>
  <c r="U12" i="15"/>
  <c r="U13" i="15"/>
  <c r="U11" i="16"/>
  <c r="U12" i="16"/>
  <c r="U13" i="16"/>
  <c r="U11" i="17"/>
  <c r="U12" i="17"/>
  <c r="U13" i="17"/>
  <c r="O11" i="18"/>
  <c r="P11" i="18"/>
  <c r="Q11" i="18"/>
  <c r="R11" i="18"/>
  <c r="S11" i="18"/>
  <c r="T11" i="18"/>
  <c r="N11" i="18"/>
  <c r="M11" i="18"/>
  <c r="T15" i="18"/>
  <c r="S15" i="18"/>
  <c r="R15" i="18"/>
  <c r="Q15" i="18"/>
  <c r="P15" i="18"/>
  <c r="O15" i="18"/>
  <c r="N15" i="18"/>
  <c r="M15" i="18"/>
  <c r="T14" i="18"/>
  <c r="S14" i="18"/>
  <c r="R14" i="18"/>
  <c r="Q14" i="18"/>
  <c r="P14" i="18"/>
  <c r="O14" i="18"/>
  <c r="N14" i="18"/>
  <c r="M14" i="18"/>
  <c r="T10" i="18"/>
  <c r="S10" i="18"/>
  <c r="R10" i="18"/>
  <c r="Q10" i="18"/>
  <c r="P10" i="18"/>
  <c r="O10" i="18"/>
  <c r="N10" i="18"/>
  <c r="M10" i="18"/>
  <c r="T9" i="18"/>
  <c r="S9" i="18"/>
  <c r="R9" i="18"/>
  <c r="Q9" i="18"/>
  <c r="P9" i="18"/>
  <c r="O9" i="18"/>
  <c r="N9" i="18"/>
  <c r="M9" i="18"/>
  <c r="T8" i="18"/>
  <c r="S8" i="18"/>
  <c r="R8" i="18"/>
  <c r="Q8" i="18"/>
  <c r="P8" i="18"/>
  <c r="O8" i="18"/>
  <c r="N8" i="18"/>
  <c r="M8" i="18"/>
  <c r="T7" i="18"/>
  <c r="S7" i="18"/>
  <c r="R7" i="18"/>
  <c r="Q7" i="18"/>
  <c r="P7" i="18"/>
  <c r="O7" i="18"/>
  <c r="N7" i="18"/>
  <c r="M7" i="18"/>
  <c r="T6" i="18"/>
  <c r="S6" i="18"/>
  <c r="R6" i="18"/>
  <c r="Q6" i="18"/>
  <c r="P6" i="18"/>
  <c r="O6" i="18"/>
  <c r="N6" i="18"/>
  <c r="M6" i="18"/>
  <c r="T5" i="18"/>
  <c r="S5" i="18"/>
  <c r="R5" i="18"/>
  <c r="Q5" i="18"/>
  <c r="P5" i="18"/>
  <c r="O5" i="18"/>
  <c r="N5" i="18"/>
  <c r="M5" i="18"/>
  <c r="I15" i="18"/>
  <c r="H15" i="18"/>
  <c r="G15" i="18"/>
  <c r="F15" i="18"/>
  <c r="E15" i="18"/>
  <c r="D15" i="18"/>
  <c r="C15" i="18"/>
  <c r="B15" i="18"/>
  <c r="I14" i="18"/>
  <c r="H14" i="18"/>
  <c r="G14" i="18"/>
  <c r="F14" i="18"/>
  <c r="E14" i="18"/>
  <c r="D14" i="18"/>
  <c r="C14" i="18"/>
  <c r="B14" i="18"/>
  <c r="I10" i="18"/>
  <c r="H10" i="18"/>
  <c r="G10" i="18"/>
  <c r="F10" i="18"/>
  <c r="E10" i="18"/>
  <c r="D10" i="18"/>
  <c r="C10" i="18"/>
  <c r="B10" i="18"/>
  <c r="I9" i="18"/>
  <c r="H9" i="18"/>
  <c r="G9" i="18"/>
  <c r="F9" i="18"/>
  <c r="E9" i="18"/>
  <c r="D9" i="18"/>
  <c r="C9" i="18"/>
  <c r="B9" i="18"/>
  <c r="I8" i="18"/>
  <c r="H8" i="18"/>
  <c r="G8" i="18"/>
  <c r="F8" i="18"/>
  <c r="E8" i="18"/>
  <c r="D8" i="18"/>
  <c r="C8" i="18"/>
  <c r="B8" i="18"/>
  <c r="I7" i="18"/>
  <c r="H7" i="18"/>
  <c r="G7" i="18"/>
  <c r="F7" i="18"/>
  <c r="E7" i="18"/>
  <c r="D7" i="18"/>
  <c r="C7" i="18"/>
  <c r="B7" i="18"/>
  <c r="I6" i="18"/>
  <c r="H6" i="18"/>
  <c r="G6" i="18"/>
  <c r="F6" i="18"/>
  <c r="E6" i="18"/>
  <c r="D6" i="18"/>
  <c r="C6" i="18"/>
  <c r="I5" i="18"/>
  <c r="H5" i="18"/>
  <c r="G5" i="18"/>
  <c r="F5" i="18"/>
  <c r="E5" i="18"/>
  <c r="D5" i="18"/>
  <c r="C5" i="18"/>
  <c r="B5" i="18"/>
  <c r="T16" i="17"/>
  <c r="T30" i="17" s="1"/>
  <c r="S16" i="17"/>
  <c r="S29" i="17" s="1"/>
  <c r="R16" i="17"/>
  <c r="R30" i="17" s="1"/>
  <c r="Q16" i="17"/>
  <c r="Q30" i="17" s="1"/>
  <c r="P16" i="17"/>
  <c r="P30" i="17" s="1"/>
  <c r="O16" i="17"/>
  <c r="O30" i="17" s="1"/>
  <c r="N16" i="17"/>
  <c r="N30" i="17" s="1"/>
  <c r="M16" i="17"/>
  <c r="M30" i="17" s="1"/>
  <c r="I16" i="17"/>
  <c r="I30" i="17" s="1"/>
  <c r="H16" i="17"/>
  <c r="H30" i="17" s="1"/>
  <c r="G16" i="17"/>
  <c r="G30" i="17" s="1"/>
  <c r="F16" i="17"/>
  <c r="F30" i="17" s="1"/>
  <c r="E16" i="17"/>
  <c r="E30" i="17" s="1"/>
  <c r="D16" i="17"/>
  <c r="D30" i="17" s="1"/>
  <c r="C16" i="17"/>
  <c r="C30" i="17" s="1"/>
  <c r="B16" i="17"/>
  <c r="B29" i="17" s="1"/>
  <c r="U15" i="17"/>
  <c r="J15" i="17"/>
  <c r="U14" i="17"/>
  <c r="J14" i="17"/>
  <c r="U10" i="17"/>
  <c r="J10" i="17"/>
  <c r="U9" i="17"/>
  <c r="J9" i="17"/>
  <c r="U8" i="17"/>
  <c r="J8" i="17"/>
  <c r="U7" i="17"/>
  <c r="J7" i="17"/>
  <c r="U6" i="17"/>
  <c r="J6" i="17"/>
  <c r="U5" i="17"/>
  <c r="J5" i="17"/>
  <c r="T16" i="16"/>
  <c r="T30" i="16" s="1"/>
  <c r="S16" i="16"/>
  <c r="S30" i="16" s="1"/>
  <c r="R16" i="16"/>
  <c r="R30" i="16" s="1"/>
  <c r="Q16" i="16"/>
  <c r="Q30" i="16" s="1"/>
  <c r="P16" i="16"/>
  <c r="P30" i="16" s="1"/>
  <c r="O16" i="16"/>
  <c r="O29" i="16" s="1"/>
  <c r="N16" i="16"/>
  <c r="N30" i="16" s="1"/>
  <c r="M16" i="16"/>
  <c r="M30" i="16" s="1"/>
  <c r="I16" i="16"/>
  <c r="I30" i="16" s="1"/>
  <c r="H16" i="16"/>
  <c r="H30" i="16" s="1"/>
  <c r="G16" i="16"/>
  <c r="G30" i="16" s="1"/>
  <c r="F16" i="16"/>
  <c r="F30" i="16" s="1"/>
  <c r="E16" i="16"/>
  <c r="E30" i="16" s="1"/>
  <c r="D16" i="16"/>
  <c r="D30" i="16" s="1"/>
  <c r="C16" i="16"/>
  <c r="C30" i="16" s="1"/>
  <c r="B16" i="16"/>
  <c r="B29" i="16" s="1"/>
  <c r="U15" i="16"/>
  <c r="J15" i="16"/>
  <c r="U14" i="16"/>
  <c r="J14" i="16"/>
  <c r="U10" i="16"/>
  <c r="J10" i="16"/>
  <c r="U9" i="16"/>
  <c r="J9" i="16"/>
  <c r="U8" i="16"/>
  <c r="J8" i="16"/>
  <c r="U7" i="16"/>
  <c r="J7" i="16"/>
  <c r="U6" i="16"/>
  <c r="J6" i="16"/>
  <c r="U5" i="16"/>
  <c r="J5" i="16"/>
  <c r="T16" i="15"/>
  <c r="T30" i="15" s="1"/>
  <c r="S16" i="15"/>
  <c r="S29" i="15" s="1"/>
  <c r="R16" i="15"/>
  <c r="R30" i="15" s="1"/>
  <c r="Q16" i="15"/>
  <c r="Q30" i="15" s="1"/>
  <c r="P16" i="15"/>
  <c r="P30" i="15" s="1"/>
  <c r="O16" i="15"/>
  <c r="O30" i="15" s="1"/>
  <c r="N16" i="15"/>
  <c r="N30" i="15" s="1"/>
  <c r="M16" i="15"/>
  <c r="M30" i="15" s="1"/>
  <c r="I16" i="15"/>
  <c r="I30" i="15" s="1"/>
  <c r="H16" i="15"/>
  <c r="H30" i="15" s="1"/>
  <c r="G16" i="15"/>
  <c r="G30" i="15" s="1"/>
  <c r="F16" i="15"/>
  <c r="F30" i="15" s="1"/>
  <c r="E16" i="15"/>
  <c r="E30" i="15" s="1"/>
  <c r="D16" i="15"/>
  <c r="D30" i="15" s="1"/>
  <c r="C16" i="15"/>
  <c r="C30" i="15" s="1"/>
  <c r="B16" i="15"/>
  <c r="B29" i="15" s="1"/>
  <c r="U15" i="15"/>
  <c r="J15" i="15"/>
  <c r="U14" i="15"/>
  <c r="J14" i="15"/>
  <c r="U10" i="15"/>
  <c r="J10" i="15"/>
  <c r="U9" i="15"/>
  <c r="J9" i="15"/>
  <c r="U8" i="15"/>
  <c r="J8" i="15"/>
  <c r="U7" i="15"/>
  <c r="J7" i="15"/>
  <c r="U6" i="15"/>
  <c r="J6" i="15"/>
  <c r="U5" i="15"/>
  <c r="J5" i="15"/>
  <c r="T16" i="14"/>
  <c r="T30" i="14" s="1"/>
  <c r="S16" i="14"/>
  <c r="S30" i="14" s="1"/>
  <c r="R16" i="14"/>
  <c r="R30" i="14" s="1"/>
  <c r="Q16" i="14"/>
  <c r="Q30" i="14" s="1"/>
  <c r="P16" i="14"/>
  <c r="P30" i="14" s="1"/>
  <c r="O16" i="14"/>
  <c r="O29" i="14" s="1"/>
  <c r="N16" i="14"/>
  <c r="N30" i="14" s="1"/>
  <c r="M16" i="14"/>
  <c r="M30" i="14" s="1"/>
  <c r="I16" i="14"/>
  <c r="I30" i="14" s="1"/>
  <c r="H16" i="14"/>
  <c r="H30" i="14" s="1"/>
  <c r="G16" i="14"/>
  <c r="G30" i="14" s="1"/>
  <c r="F16" i="14"/>
  <c r="F30" i="14" s="1"/>
  <c r="E16" i="14"/>
  <c r="E30" i="14" s="1"/>
  <c r="D16" i="14"/>
  <c r="D30" i="14" s="1"/>
  <c r="C16" i="14"/>
  <c r="C30" i="14" s="1"/>
  <c r="B16" i="14"/>
  <c r="B29" i="14" s="1"/>
  <c r="U15" i="14"/>
  <c r="J15" i="14"/>
  <c r="U14" i="14"/>
  <c r="J14" i="14"/>
  <c r="U10" i="14"/>
  <c r="J10" i="14"/>
  <c r="U9" i="14"/>
  <c r="J9" i="14"/>
  <c r="U8" i="14"/>
  <c r="J8" i="14"/>
  <c r="U7" i="14"/>
  <c r="J7" i="14"/>
  <c r="U6" i="14"/>
  <c r="J6" i="14"/>
  <c r="U5" i="14"/>
  <c r="J5" i="14"/>
  <c r="T16" i="13"/>
  <c r="T30" i="13" s="1"/>
  <c r="S16" i="13"/>
  <c r="S29" i="13" s="1"/>
  <c r="R16" i="13"/>
  <c r="R30" i="13" s="1"/>
  <c r="Q16" i="13"/>
  <c r="Q30" i="13" s="1"/>
  <c r="P16" i="13"/>
  <c r="P30" i="13" s="1"/>
  <c r="O16" i="13"/>
  <c r="O30" i="13" s="1"/>
  <c r="N16" i="13"/>
  <c r="N30" i="13" s="1"/>
  <c r="M16" i="13"/>
  <c r="M30" i="13" s="1"/>
  <c r="I16" i="13"/>
  <c r="I30" i="13" s="1"/>
  <c r="H16" i="13"/>
  <c r="H30" i="13" s="1"/>
  <c r="G16" i="13"/>
  <c r="G30" i="13" s="1"/>
  <c r="F16" i="13"/>
  <c r="F30" i="13" s="1"/>
  <c r="E16" i="13"/>
  <c r="E30" i="13" s="1"/>
  <c r="D16" i="13"/>
  <c r="D30" i="13" s="1"/>
  <c r="C16" i="13"/>
  <c r="C30" i="13" s="1"/>
  <c r="B16" i="13"/>
  <c r="B29" i="13" s="1"/>
  <c r="U15" i="13"/>
  <c r="J15" i="13"/>
  <c r="U14" i="13"/>
  <c r="J14" i="13"/>
  <c r="U10" i="13"/>
  <c r="J10" i="13"/>
  <c r="U9" i="13"/>
  <c r="J9" i="13"/>
  <c r="U8" i="13"/>
  <c r="J8" i="13"/>
  <c r="U7" i="13"/>
  <c r="J7" i="13"/>
  <c r="U6" i="13"/>
  <c r="J6" i="13"/>
  <c r="U5" i="13"/>
  <c r="J5" i="13"/>
  <c r="T16" i="12"/>
  <c r="T30" i="12" s="1"/>
  <c r="S16" i="12"/>
  <c r="S30" i="12" s="1"/>
  <c r="R16" i="12"/>
  <c r="R30" i="12" s="1"/>
  <c r="Q16" i="12"/>
  <c r="Q30" i="12" s="1"/>
  <c r="P16" i="12"/>
  <c r="P30" i="12" s="1"/>
  <c r="O16" i="12"/>
  <c r="O29" i="12" s="1"/>
  <c r="N16" i="12"/>
  <c r="N30" i="12" s="1"/>
  <c r="M16" i="12"/>
  <c r="M30" i="12" s="1"/>
  <c r="I16" i="12"/>
  <c r="I30" i="12" s="1"/>
  <c r="H16" i="12"/>
  <c r="H30" i="12" s="1"/>
  <c r="G16" i="12"/>
  <c r="G30" i="12" s="1"/>
  <c r="F16" i="12"/>
  <c r="F30" i="12" s="1"/>
  <c r="E16" i="12"/>
  <c r="E30" i="12" s="1"/>
  <c r="D16" i="12"/>
  <c r="D30" i="12" s="1"/>
  <c r="C16" i="12"/>
  <c r="C30" i="12" s="1"/>
  <c r="B16" i="12"/>
  <c r="B29" i="12" s="1"/>
  <c r="U15" i="12"/>
  <c r="J15" i="12"/>
  <c r="U14" i="12"/>
  <c r="J14" i="12"/>
  <c r="U10" i="12"/>
  <c r="J10" i="12"/>
  <c r="U9" i="12"/>
  <c r="J9" i="12"/>
  <c r="U8" i="12"/>
  <c r="J8" i="12"/>
  <c r="U7" i="12"/>
  <c r="J7" i="12"/>
  <c r="U6" i="12"/>
  <c r="J6" i="12"/>
  <c r="U5" i="12"/>
  <c r="J5" i="12"/>
  <c r="T16" i="11"/>
  <c r="T31" i="11" s="1"/>
  <c r="S16" i="11"/>
  <c r="S32" i="11" s="1"/>
  <c r="R16" i="11"/>
  <c r="R33" i="11" s="1"/>
  <c r="Q16" i="11"/>
  <c r="Q30" i="11" s="1"/>
  <c r="P16" i="11"/>
  <c r="P31" i="11" s="1"/>
  <c r="O16" i="11"/>
  <c r="O32" i="11" s="1"/>
  <c r="N16" i="11"/>
  <c r="N33" i="11" s="1"/>
  <c r="M16" i="11"/>
  <c r="M30" i="11" s="1"/>
  <c r="I16" i="11"/>
  <c r="I31" i="11" s="1"/>
  <c r="H16" i="11"/>
  <c r="H32" i="11" s="1"/>
  <c r="G16" i="11"/>
  <c r="G33" i="11" s="1"/>
  <c r="F16" i="11"/>
  <c r="F30" i="11" s="1"/>
  <c r="E16" i="11"/>
  <c r="E31" i="11" s="1"/>
  <c r="D16" i="11"/>
  <c r="D32" i="11" s="1"/>
  <c r="C16" i="11"/>
  <c r="C33" i="11" s="1"/>
  <c r="B16" i="11"/>
  <c r="B29" i="11" s="1"/>
  <c r="U15" i="11"/>
  <c r="J15" i="11"/>
  <c r="U14" i="11"/>
  <c r="J14" i="11"/>
  <c r="U10" i="11"/>
  <c r="J10" i="11"/>
  <c r="U9" i="11"/>
  <c r="J9" i="11"/>
  <c r="U8" i="11"/>
  <c r="J8" i="11"/>
  <c r="U7" i="11"/>
  <c r="J7" i="11"/>
  <c r="U6" i="11"/>
  <c r="J6" i="11"/>
  <c r="U5" i="11"/>
  <c r="J5" i="11"/>
  <c r="R16" i="7"/>
  <c r="R33" i="7" s="1"/>
  <c r="U8" i="7"/>
  <c r="U7" i="7"/>
  <c r="J8" i="7"/>
  <c r="J7" i="7"/>
  <c r="G16" i="7"/>
  <c r="G33" i="7" s="1"/>
  <c r="J15" i="7"/>
  <c r="J14" i="7"/>
  <c r="J10" i="7"/>
  <c r="J9" i="7"/>
  <c r="J6" i="7"/>
  <c r="J5" i="7"/>
  <c r="U15" i="7"/>
  <c r="U14" i="7"/>
  <c r="U10" i="7"/>
  <c r="U9" i="7"/>
  <c r="U6" i="7"/>
  <c r="U5" i="7"/>
  <c r="T16" i="7"/>
  <c r="T31" i="7" s="1"/>
  <c r="S16" i="7"/>
  <c r="S32" i="7" s="1"/>
  <c r="Q16" i="7"/>
  <c r="Q30" i="7" s="1"/>
  <c r="P16" i="7"/>
  <c r="P31" i="7" s="1"/>
  <c r="O16" i="7"/>
  <c r="O32" i="7" s="1"/>
  <c r="N16" i="7"/>
  <c r="N33" i="7" s="1"/>
  <c r="M16" i="7"/>
  <c r="M30" i="7" s="1"/>
  <c r="I16" i="7"/>
  <c r="I31" i="7" s="1"/>
  <c r="H16" i="7"/>
  <c r="H32" i="7" s="1"/>
  <c r="F16" i="7"/>
  <c r="F30" i="7" s="1"/>
  <c r="E16" i="7"/>
  <c r="E31" i="7" s="1"/>
  <c r="D16" i="7"/>
  <c r="D32" i="7" s="1"/>
  <c r="C16" i="7"/>
  <c r="C33" i="7" s="1"/>
  <c r="B16" i="7"/>
  <c r="B29" i="7" s="1"/>
  <c r="I16" i="18" l="1"/>
  <c r="I33" i="18" s="1"/>
  <c r="R16" i="18"/>
  <c r="R33" i="18" s="1"/>
  <c r="U13" i="18"/>
  <c r="N16" i="18"/>
  <c r="N33" i="18" s="1"/>
  <c r="F16" i="18"/>
  <c r="F33" i="18" s="1"/>
  <c r="M16" i="18"/>
  <c r="M33" i="18" s="1"/>
  <c r="E16" i="18"/>
  <c r="E30" i="18" s="1"/>
  <c r="B16" i="18"/>
  <c r="B33" i="18" s="1"/>
  <c r="O29" i="17"/>
  <c r="O28" i="14"/>
  <c r="O30" i="12"/>
  <c r="O47" i="12" s="1"/>
  <c r="O29" i="15"/>
  <c r="O28" i="12"/>
  <c r="Q47" i="7"/>
  <c r="O30" i="16"/>
  <c r="O47" i="16" s="1"/>
  <c r="O29" i="13"/>
  <c r="O28" i="7"/>
  <c r="O28" i="16"/>
  <c r="O30" i="14"/>
  <c r="O47" i="14" s="1"/>
  <c r="O29" i="11"/>
  <c r="C16" i="18"/>
  <c r="C33" i="18" s="1"/>
  <c r="G16" i="18"/>
  <c r="G33" i="18" s="1"/>
  <c r="S28" i="17"/>
  <c r="S30" i="17"/>
  <c r="S47" i="17" s="1"/>
  <c r="S29" i="16"/>
  <c r="S28" i="15"/>
  <c r="S30" i="15"/>
  <c r="S47" i="15" s="1"/>
  <c r="S29" i="14"/>
  <c r="S28" i="13"/>
  <c r="S30" i="13"/>
  <c r="S47" i="13" s="1"/>
  <c r="S29" i="12"/>
  <c r="S28" i="11"/>
  <c r="S30" i="11"/>
  <c r="J11" i="18"/>
  <c r="J12" i="18"/>
  <c r="J13" i="18"/>
  <c r="U11" i="18"/>
  <c r="O28" i="17"/>
  <c r="O28" i="15"/>
  <c r="O28" i="13"/>
  <c r="O28" i="11"/>
  <c r="O30" i="11"/>
  <c r="O30" i="7"/>
  <c r="S28" i="16"/>
  <c r="S28" i="14"/>
  <c r="S28" i="12"/>
  <c r="S29" i="11"/>
  <c r="O29" i="7"/>
  <c r="Q47" i="11"/>
  <c r="Q47" i="12"/>
  <c r="Q47" i="13"/>
  <c r="Q47" i="14"/>
  <c r="Q47" i="15"/>
  <c r="Q47" i="16"/>
  <c r="Q47" i="17"/>
  <c r="S47" i="16"/>
  <c r="S47" i="14"/>
  <c r="S47" i="12"/>
  <c r="P47" i="12"/>
  <c r="T47" i="12"/>
  <c r="P47" i="13"/>
  <c r="T47" i="13"/>
  <c r="P47" i="14"/>
  <c r="T47" i="14"/>
  <c r="P47" i="15"/>
  <c r="T47" i="15"/>
  <c r="P47" i="16"/>
  <c r="T47" i="16"/>
  <c r="P47" i="17"/>
  <c r="T47" i="17"/>
  <c r="N47" i="12"/>
  <c r="R47" i="12"/>
  <c r="N47" i="13"/>
  <c r="R47" i="13"/>
  <c r="N47" i="14"/>
  <c r="R47" i="14"/>
  <c r="N47" i="15"/>
  <c r="R47" i="15"/>
  <c r="N47" i="16"/>
  <c r="R47" i="16"/>
  <c r="N47" i="17"/>
  <c r="R47" i="17"/>
  <c r="O47" i="17"/>
  <c r="O47" i="15"/>
  <c r="O47" i="13"/>
  <c r="S16" i="18"/>
  <c r="S33" i="18" s="1"/>
  <c r="S29" i="7"/>
  <c r="F28" i="17"/>
  <c r="B30" i="17"/>
  <c r="M47" i="17" s="1"/>
  <c r="F28" i="16"/>
  <c r="B30" i="16"/>
  <c r="M47" i="16" s="1"/>
  <c r="F28" i="15"/>
  <c r="B30" i="15"/>
  <c r="M47" i="15" s="1"/>
  <c r="F28" i="14"/>
  <c r="B30" i="14"/>
  <c r="M47" i="14" s="1"/>
  <c r="F28" i="13"/>
  <c r="B30" i="13"/>
  <c r="M47" i="13" s="1"/>
  <c r="F28" i="12"/>
  <c r="B30" i="12"/>
  <c r="M47" i="12" s="1"/>
  <c r="F28" i="11"/>
  <c r="B30" i="11"/>
  <c r="M47" i="11" s="1"/>
  <c r="F28" i="7"/>
  <c r="B30" i="7"/>
  <c r="M47" i="7" s="1"/>
  <c r="M28" i="17"/>
  <c r="Q28" i="17"/>
  <c r="M29" i="17"/>
  <c r="M46" i="17" s="1"/>
  <c r="Q29" i="17"/>
  <c r="M28" i="16"/>
  <c r="Q28" i="16"/>
  <c r="M29" i="16"/>
  <c r="M46" i="16" s="1"/>
  <c r="Q29" i="16"/>
  <c r="M28" i="15"/>
  <c r="Q28" i="15"/>
  <c r="M29" i="15"/>
  <c r="M46" i="15" s="1"/>
  <c r="Q29" i="15"/>
  <c r="M28" i="14"/>
  <c r="Q28" i="14"/>
  <c r="M29" i="14"/>
  <c r="M46" i="14" s="1"/>
  <c r="Q29" i="14"/>
  <c r="M28" i="13"/>
  <c r="Q28" i="13"/>
  <c r="M29" i="13"/>
  <c r="M46" i="13" s="1"/>
  <c r="Q29" i="13"/>
  <c r="M28" i="12"/>
  <c r="Q28" i="12"/>
  <c r="M29" i="12"/>
  <c r="M46" i="12" s="1"/>
  <c r="Q29" i="12"/>
  <c r="M28" i="11"/>
  <c r="Q28" i="11"/>
  <c r="M29" i="11"/>
  <c r="M46" i="11" s="1"/>
  <c r="Q29" i="11"/>
  <c r="M28" i="7"/>
  <c r="Q28" i="7"/>
  <c r="M29" i="7"/>
  <c r="M46" i="7" s="1"/>
  <c r="Q29" i="7"/>
  <c r="D28" i="17"/>
  <c r="H28" i="17"/>
  <c r="D29" i="17"/>
  <c r="H29" i="17"/>
  <c r="S46" i="17" s="1"/>
  <c r="D28" i="16"/>
  <c r="H28" i="16"/>
  <c r="D29" i="16"/>
  <c r="O46" i="16" s="1"/>
  <c r="H29" i="16"/>
  <c r="D28" i="15"/>
  <c r="H28" i="15"/>
  <c r="D29" i="15"/>
  <c r="H29" i="15"/>
  <c r="S46" i="15" s="1"/>
  <c r="D28" i="14"/>
  <c r="H28" i="14"/>
  <c r="D29" i="14"/>
  <c r="O46" i="14" s="1"/>
  <c r="H29" i="14"/>
  <c r="D28" i="13"/>
  <c r="H28" i="13"/>
  <c r="D29" i="13"/>
  <c r="H29" i="13"/>
  <c r="S46" i="13" s="1"/>
  <c r="D28" i="12"/>
  <c r="H28" i="12"/>
  <c r="D29" i="12"/>
  <c r="O46" i="12" s="1"/>
  <c r="H29" i="12"/>
  <c r="D28" i="11"/>
  <c r="H28" i="11"/>
  <c r="D29" i="11"/>
  <c r="H29" i="11"/>
  <c r="D30" i="11"/>
  <c r="H30" i="11"/>
  <c r="D28" i="7"/>
  <c r="H28" i="7"/>
  <c r="D29" i="7"/>
  <c r="H29" i="7"/>
  <c r="D30" i="7"/>
  <c r="H30" i="7"/>
  <c r="S28" i="7"/>
  <c r="B28" i="17"/>
  <c r="F29" i="17"/>
  <c r="B28" i="16"/>
  <c r="F29" i="16"/>
  <c r="B28" i="15"/>
  <c r="F29" i="15"/>
  <c r="B28" i="14"/>
  <c r="F29" i="14"/>
  <c r="B28" i="13"/>
  <c r="F29" i="13"/>
  <c r="B28" i="12"/>
  <c r="F29" i="12"/>
  <c r="B28" i="11"/>
  <c r="F29" i="11"/>
  <c r="B28" i="7"/>
  <c r="F29" i="7"/>
  <c r="U12" i="18"/>
  <c r="P28" i="17"/>
  <c r="T28" i="17"/>
  <c r="P29" i="17"/>
  <c r="T29" i="17"/>
  <c r="P28" i="16"/>
  <c r="T28" i="16"/>
  <c r="P29" i="16"/>
  <c r="T29" i="16"/>
  <c r="P28" i="15"/>
  <c r="T28" i="15"/>
  <c r="P29" i="15"/>
  <c r="T29" i="15"/>
  <c r="P28" i="14"/>
  <c r="T28" i="14"/>
  <c r="P29" i="14"/>
  <c r="T29" i="14"/>
  <c r="P28" i="13"/>
  <c r="T28" i="13"/>
  <c r="P29" i="13"/>
  <c r="T29" i="13"/>
  <c r="P28" i="12"/>
  <c r="T28" i="12"/>
  <c r="P29" i="12"/>
  <c r="T29" i="12"/>
  <c r="P28" i="11"/>
  <c r="T28" i="11"/>
  <c r="P29" i="11"/>
  <c r="T29" i="11"/>
  <c r="P30" i="11"/>
  <c r="T30" i="11"/>
  <c r="P28" i="7"/>
  <c r="T28" i="7"/>
  <c r="P29" i="7"/>
  <c r="T29" i="7"/>
  <c r="P30" i="7"/>
  <c r="T30" i="7"/>
  <c r="C28" i="17"/>
  <c r="G28" i="17"/>
  <c r="C29" i="17"/>
  <c r="G29" i="17"/>
  <c r="C28" i="16"/>
  <c r="G28" i="16"/>
  <c r="C29" i="16"/>
  <c r="G29" i="16"/>
  <c r="C28" i="15"/>
  <c r="G28" i="15"/>
  <c r="C29" i="15"/>
  <c r="G29" i="15"/>
  <c r="C28" i="14"/>
  <c r="G28" i="14"/>
  <c r="C29" i="14"/>
  <c r="G29" i="14"/>
  <c r="C28" i="13"/>
  <c r="G28" i="13"/>
  <c r="C29" i="13"/>
  <c r="G29" i="13"/>
  <c r="C28" i="12"/>
  <c r="G28" i="12"/>
  <c r="C29" i="12"/>
  <c r="G29" i="12"/>
  <c r="C28" i="11"/>
  <c r="G28" i="11"/>
  <c r="C29" i="11"/>
  <c r="G29" i="11"/>
  <c r="C30" i="11"/>
  <c r="G30" i="11"/>
  <c r="C28" i="7"/>
  <c r="G28" i="7"/>
  <c r="C29" i="7"/>
  <c r="G29" i="7"/>
  <c r="C30" i="7"/>
  <c r="G30" i="7"/>
  <c r="S30" i="7"/>
  <c r="N28" i="17"/>
  <c r="R28" i="17"/>
  <c r="N29" i="17"/>
  <c r="R29" i="17"/>
  <c r="N28" i="16"/>
  <c r="R28" i="16"/>
  <c r="N29" i="16"/>
  <c r="R29" i="16"/>
  <c r="N28" i="15"/>
  <c r="R28" i="15"/>
  <c r="N29" i="15"/>
  <c r="R29" i="15"/>
  <c r="N28" i="14"/>
  <c r="R28" i="14"/>
  <c r="N29" i="14"/>
  <c r="R29" i="14"/>
  <c r="N28" i="13"/>
  <c r="R28" i="13"/>
  <c r="N29" i="13"/>
  <c r="R29" i="13"/>
  <c r="N28" i="12"/>
  <c r="R28" i="12"/>
  <c r="N29" i="12"/>
  <c r="R29" i="12"/>
  <c r="N28" i="11"/>
  <c r="R28" i="11"/>
  <c r="N29" i="11"/>
  <c r="R29" i="11"/>
  <c r="N30" i="11"/>
  <c r="R30" i="11"/>
  <c r="N28" i="7"/>
  <c r="R28" i="7"/>
  <c r="N29" i="7"/>
  <c r="R29" i="7"/>
  <c r="N30" i="7"/>
  <c r="R30" i="7"/>
  <c r="E28" i="17"/>
  <c r="I28" i="17"/>
  <c r="E29" i="17"/>
  <c r="I29" i="17"/>
  <c r="E28" i="16"/>
  <c r="I28" i="16"/>
  <c r="E29" i="16"/>
  <c r="I29" i="16"/>
  <c r="E28" i="15"/>
  <c r="I28" i="15"/>
  <c r="E29" i="15"/>
  <c r="I29" i="15"/>
  <c r="E28" i="14"/>
  <c r="I28" i="14"/>
  <c r="E29" i="14"/>
  <c r="I29" i="14"/>
  <c r="E28" i="13"/>
  <c r="I28" i="13"/>
  <c r="E29" i="13"/>
  <c r="I29" i="13"/>
  <c r="E28" i="12"/>
  <c r="I28" i="12"/>
  <c r="E29" i="12"/>
  <c r="I29" i="12"/>
  <c r="E28" i="11"/>
  <c r="I28" i="11"/>
  <c r="E29" i="11"/>
  <c r="I29" i="11"/>
  <c r="E30" i="11"/>
  <c r="I30" i="11"/>
  <c r="E28" i="7"/>
  <c r="I28" i="7"/>
  <c r="E29" i="7"/>
  <c r="I29" i="7"/>
  <c r="E30" i="7"/>
  <c r="I30" i="7"/>
  <c r="T16" i="18"/>
  <c r="T33" i="18" s="1"/>
  <c r="Q16" i="18"/>
  <c r="Q33" i="18" s="1"/>
  <c r="O16" i="18"/>
  <c r="O33" i="18" s="1"/>
  <c r="C31" i="12"/>
  <c r="C25" i="12"/>
  <c r="C23" i="12"/>
  <c r="C32" i="12"/>
  <c r="C26" i="12"/>
  <c r="C33" i="12"/>
  <c r="C27" i="12"/>
  <c r="C24" i="12"/>
  <c r="C22" i="12"/>
  <c r="G31" i="12"/>
  <c r="G25" i="12"/>
  <c r="G23" i="12"/>
  <c r="G22" i="12"/>
  <c r="G32" i="12"/>
  <c r="G26" i="12"/>
  <c r="G33" i="12"/>
  <c r="G27" i="12"/>
  <c r="G24" i="12"/>
  <c r="N31" i="12"/>
  <c r="N25" i="12"/>
  <c r="N23" i="12"/>
  <c r="N32" i="12"/>
  <c r="N26" i="12"/>
  <c r="N33" i="12"/>
  <c r="N27" i="12"/>
  <c r="N24" i="12"/>
  <c r="N22" i="12"/>
  <c r="R31" i="12"/>
  <c r="R25" i="12"/>
  <c r="R23" i="12"/>
  <c r="R32" i="12"/>
  <c r="R26" i="12"/>
  <c r="R33" i="12"/>
  <c r="R27" i="12"/>
  <c r="R24" i="12"/>
  <c r="R22" i="12"/>
  <c r="C33" i="13"/>
  <c r="C27" i="13"/>
  <c r="C32" i="13"/>
  <c r="C25" i="13"/>
  <c r="C23" i="13"/>
  <c r="C31" i="13"/>
  <c r="C26" i="13"/>
  <c r="C24" i="13"/>
  <c r="C22" i="13"/>
  <c r="G33" i="13"/>
  <c r="G27" i="13"/>
  <c r="G31" i="13"/>
  <c r="G26" i="13"/>
  <c r="G25" i="13"/>
  <c r="G23" i="13"/>
  <c r="G24" i="13"/>
  <c r="G32" i="13"/>
  <c r="G22" i="13"/>
  <c r="N33" i="13"/>
  <c r="N27" i="13"/>
  <c r="N24" i="13"/>
  <c r="N23" i="13"/>
  <c r="N32" i="13"/>
  <c r="N22" i="13"/>
  <c r="N31" i="13"/>
  <c r="N26" i="13"/>
  <c r="N25" i="13"/>
  <c r="R33" i="13"/>
  <c r="R27" i="13"/>
  <c r="R24" i="13"/>
  <c r="R32" i="13"/>
  <c r="R22" i="13"/>
  <c r="R31" i="13"/>
  <c r="R26" i="13"/>
  <c r="R25" i="13"/>
  <c r="R23" i="13"/>
  <c r="C33" i="14"/>
  <c r="C27" i="14"/>
  <c r="C24" i="14"/>
  <c r="C31" i="14"/>
  <c r="C25" i="14"/>
  <c r="C32" i="14"/>
  <c r="C23" i="14"/>
  <c r="C22" i="14"/>
  <c r="C26" i="14"/>
  <c r="G33" i="14"/>
  <c r="G27" i="14"/>
  <c r="G24" i="14"/>
  <c r="G31" i="14"/>
  <c r="G25" i="14"/>
  <c r="G23" i="14"/>
  <c r="G26" i="14"/>
  <c r="G22" i="14"/>
  <c r="G32" i="14"/>
  <c r="N33" i="14"/>
  <c r="N27" i="14"/>
  <c r="N24" i="14"/>
  <c r="N31" i="14"/>
  <c r="N25" i="14"/>
  <c r="N23" i="14"/>
  <c r="N26" i="14"/>
  <c r="N22" i="14"/>
  <c r="N32" i="14"/>
  <c r="R33" i="14"/>
  <c r="R27" i="14"/>
  <c r="R24" i="14"/>
  <c r="R31" i="14"/>
  <c r="R25" i="14"/>
  <c r="R23" i="14"/>
  <c r="R22" i="14"/>
  <c r="R32" i="14"/>
  <c r="R26" i="14"/>
  <c r="C33" i="15"/>
  <c r="C27" i="15"/>
  <c r="C24" i="15"/>
  <c r="C31" i="15"/>
  <c r="C25" i="15"/>
  <c r="C23" i="15"/>
  <c r="C22" i="15"/>
  <c r="C32" i="15"/>
  <c r="C26" i="15"/>
  <c r="G33" i="15"/>
  <c r="G27" i="15"/>
  <c r="G24" i="15"/>
  <c r="G31" i="15"/>
  <c r="G25" i="15"/>
  <c r="G23" i="15"/>
  <c r="G26" i="15"/>
  <c r="G22" i="15"/>
  <c r="G32" i="15"/>
  <c r="N24" i="15"/>
  <c r="N32" i="15"/>
  <c r="N26" i="15"/>
  <c r="N23" i="15"/>
  <c r="N25" i="15"/>
  <c r="N27" i="15"/>
  <c r="N31" i="15"/>
  <c r="N22" i="15"/>
  <c r="N33" i="15"/>
  <c r="R24" i="15"/>
  <c r="R32" i="15"/>
  <c r="R26" i="15"/>
  <c r="R23" i="15"/>
  <c r="R31" i="15"/>
  <c r="R22" i="15"/>
  <c r="R33" i="15"/>
  <c r="R25" i="15"/>
  <c r="R27" i="15"/>
  <c r="C33" i="16"/>
  <c r="C27" i="16"/>
  <c r="C24" i="16"/>
  <c r="C31" i="16"/>
  <c r="C25" i="16"/>
  <c r="C23" i="16"/>
  <c r="C22" i="16"/>
  <c r="C32" i="16"/>
  <c r="C26" i="16"/>
  <c r="G33" i="16"/>
  <c r="G27" i="16"/>
  <c r="G24" i="16"/>
  <c r="G31" i="16"/>
  <c r="G25" i="16"/>
  <c r="G23" i="16"/>
  <c r="G26" i="16"/>
  <c r="G22" i="16"/>
  <c r="G32" i="16"/>
  <c r="N33" i="16"/>
  <c r="N27" i="16"/>
  <c r="N24" i="16"/>
  <c r="N31" i="16"/>
  <c r="N25" i="16"/>
  <c r="N23" i="16"/>
  <c r="N26" i="16"/>
  <c r="N22" i="16"/>
  <c r="N32" i="16"/>
  <c r="R33" i="16"/>
  <c r="R27" i="16"/>
  <c r="R24" i="16"/>
  <c r="R31" i="16"/>
  <c r="R25" i="16"/>
  <c r="R23" i="16"/>
  <c r="R22" i="16"/>
  <c r="R32" i="16"/>
  <c r="R26" i="16"/>
  <c r="C33" i="17"/>
  <c r="C27" i="17"/>
  <c r="C24" i="17"/>
  <c r="C31" i="17"/>
  <c r="C25" i="17"/>
  <c r="C23" i="17"/>
  <c r="C22" i="17"/>
  <c r="C32" i="17"/>
  <c r="C26" i="17"/>
  <c r="G33" i="17"/>
  <c r="G27" i="17"/>
  <c r="G24" i="17"/>
  <c r="G31" i="17"/>
  <c r="G25" i="17"/>
  <c r="G23" i="17"/>
  <c r="G26" i="17"/>
  <c r="G22" i="17"/>
  <c r="G32" i="17"/>
  <c r="N33" i="17"/>
  <c r="N27" i="17"/>
  <c r="N24" i="17"/>
  <c r="N31" i="17"/>
  <c r="N25" i="17"/>
  <c r="N23" i="17"/>
  <c r="N26" i="17"/>
  <c r="N22" i="17"/>
  <c r="N32" i="17"/>
  <c r="R33" i="17"/>
  <c r="R27" i="17"/>
  <c r="R24" i="17"/>
  <c r="R31" i="17"/>
  <c r="R25" i="17"/>
  <c r="R23" i="17"/>
  <c r="R22" i="17"/>
  <c r="R32" i="17"/>
  <c r="R26" i="17"/>
  <c r="E22" i="7"/>
  <c r="I22" i="7"/>
  <c r="D23" i="7"/>
  <c r="H23" i="7"/>
  <c r="B24" i="7"/>
  <c r="F24" i="7"/>
  <c r="D25" i="7"/>
  <c r="H25" i="7"/>
  <c r="C26" i="7"/>
  <c r="G26" i="7"/>
  <c r="B27" i="7"/>
  <c r="F27" i="7"/>
  <c r="D31" i="7"/>
  <c r="H31" i="7"/>
  <c r="C32" i="7"/>
  <c r="G32" i="7"/>
  <c r="B33" i="7"/>
  <c r="F33" i="7"/>
  <c r="P22" i="7"/>
  <c r="T22" i="7"/>
  <c r="O23" i="7"/>
  <c r="S23" i="7"/>
  <c r="M24" i="7"/>
  <c r="Q24" i="7"/>
  <c r="O25" i="7"/>
  <c r="S25" i="7"/>
  <c r="N26" i="7"/>
  <c r="R26" i="7"/>
  <c r="M27" i="7"/>
  <c r="Q27" i="7"/>
  <c r="O31" i="7"/>
  <c r="S31" i="7"/>
  <c r="N32" i="7"/>
  <c r="R32" i="7"/>
  <c r="M33" i="7"/>
  <c r="Q33" i="7"/>
  <c r="E22" i="11"/>
  <c r="I22" i="11"/>
  <c r="D23" i="11"/>
  <c r="H23" i="11"/>
  <c r="B24" i="11"/>
  <c r="F24" i="11"/>
  <c r="D25" i="11"/>
  <c r="H25" i="11"/>
  <c r="C26" i="11"/>
  <c r="G26" i="11"/>
  <c r="B27" i="11"/>
  <c r="F27" i="11"/>
  <c r="D31" i="11"/>
  <c r="H31" i="11"/>
  <c r="C32" i="11"/>
  <c r="G32" i="11"/>
  <c r="B33" i="11"/>
  <c r="F33" i="11"/>
  <c r="P22" i="11"/>
  <c r="T22" i="11"/>
  <c r="O23" i="11"/>
  <c r="S23" i="11"/>
  <c r="M24" i="11"/>
  <c r="Q24" i="11"/>
  <c r="O25" i="11"/>
  <c r="S25" i="11"/>
  <c r="N26" i="11"/>
  <c r="R26" i="11"/>
  <c r="M27" i="11"/>
  <c r="Q27" i="11"/>
  <c r="O31" i="11"/>
  <c r="S31" i="11"/>
  <c r="N32" i="11"/>
  <c r="R32" i="11"/>
  <c r="M33" i="11"/>
  <c r="Q33" i="11"/>
  <c r="F32" i="12"/>
  <c r="F26" i="12"/>
  <c r="F33" i="12"/>
  <c r="F27" i="12"/>
  <c r="F24" i="12"/>
  <c r="F23" i="12"/>
  <c r="F22" i="12"/>
  <c r="F25" i="12"/>
  <c r="F31" i="12"/>
  <c r="M32" i="12"/>
  <c r="M26" i="12"/>
  <c r="M33" i="12"/>
  <c r="M27" i="12"/>
  <c r="M24" i="12"/>
  <c r="M22" i="12"/>
  <c r="M31" i="12"/>
  <c r="M25" i="12"/>
  <c r="M23" i="12"/>
  <c r="Q32" i="12"/>
  <c r="Q26" i="12"/>
  <c r="Q33" i="12"/>
  <c r="Q27" i="12"/>
  <c r="Q24" i="12"/>
  <c r="Q22" i="12"/>
  <c r="Q31" i="12"/>
  <c r="Q25" i="12"/>
  <c r="Q23" i="12"/>
  <c r="B31" i="13"/>
  <c r="B26" i="13"/>
  <c r="B24" i="13"/>
  <c r="B33" i="13"/>
  <c r="B22" i="13"/>
  <c r="B32" i="13"/>
  <c r="B27" i="13"/>
  <c r="B25" i="13"/>
  <c r="B23" i="13"/>
  <c r="F33" i="13"/>
  <c r="F24" i="13"/>
  <c r="F32" i="13"/>
  <c r="F27" i="13"/>
  <c r="F22" i="13"/>
  <c r="F31" i="13"/>
  <c r="F26" i="13"/>
  <c r="F25" i="13"/>
  <c r="F23" i="13"/>
  <c r="M22" i="13"/>
  <c r="M32" i="13"/>
  <c r="M27" i="13"/>
  <c r="M31" i="13"/>
  <c r="M26" i="13"/>
  <c r="M24" i="13"/>
  <c r="M25" i="13"/>
  <c r="M33" i="13"/>
  <c r="M23" i="13"/>
  <c r="Q22" i="13"/>
  <c r="Q31" i="13"/>
  <c r="Q26" i="13"/>
  <c r="Q24" i="13"/>
  <c r="Q25" i="13"/>
  <c r="Q33" i="13"/>
  <c r="Q23" i="13"/>
  <c r="Q32" i="13"/>
  <c r="Q27" i="13"/>
  <c r="B22" i="14"/>
  <c r="B32" i="14"/>
  <c r="B26" i="14"/>
  <c r="B31" i="14"/>
  <c r="B23" i="14"/>
  <c r="B33" i="14"/>
  <c r="B25" i="14"/>
  <c r="B24" i="14"/>
  <c r="B27" i="14"/>
  <c r="F22" i="14"/>
  <c r="F32" i="14"/>
  <c r="F26" i="14"/>
  <c r="F25" i="14"/>
  <c r="F27" i="14"/>
  <c r="F24" i="14"/>
  <c r="F31" i="14"/>
  <c r="F33" i="14"/>
  <c r="F23" i="14"/>
  <c r="M22" i="14"/>
  <c r="M32" i="14"/>
  <c r="M26" i="14"/>
  <c r="M25" i="14"/>
  <c r="M27" i="14"/>
  <c r="M31" i="14"/>
  <c r="M23" i="14"/>
  <c r="M33" i="14"/>
  <c r="M24" i="14"/>
  <c r="Q22" i="14"/>
  <c r="Q32" i="14"/>
  <c r="Q26" i="14"/>
  <c r="Q31" i="14"/>
  <c r="Q23" i="14"/>
  <c r="Q33" i="14"/>
  <c r="Q24" i="14"/>
  <c r="Q25" i="14"/>
  <c r="Q27" i="14"/>
  <c r="B22" i="15"/>
  <c r="B32" i="15"/>
  <c r="B26" i="15"/>
  <c r="B31" i="15"/>
  <c r="B23" i="15"/>
  <c r="B33" i="15"/>
  <c r="B24" i="15"/>
  <c r="B25" i="15"/>
  <c r="B27" i="15"/>
  <c r="F22" i="15"/>
  <c r="F32" i="15"/>
  <c r="F26" i="15"/>
  <c r="F25" i="15"/>
  <c r="F27" i="15"/>
  <c r="F31" i="15"/>
  <c r="F23" i="15"/>
  <c r="F33" i="15"/>
  <c r="F24" i="15"/>
  <c r="M31" i="15"/>
  <c r="M25" i="15"/>
  <c r="M22" i="15"/>
  <c r="M33" i="15"/>
  <c r="M27" i="15"/>
  <c r="M26" i="15"/>
  <c r="M32" i="15"/>
  <c r="M23" i="15"/>
  <c r="M24" i="15"/>
  <c r="Q31" i="15"/>
  <c r="Q25" i="15"/>
  <c r="Q22" i="15"/>
  <c r="Q33" i="15"/>
  <c r="Q27" i="15"/>
  <c r="Q32" i="15"/>
  <c r="Q23" i="15"/>
  <c r="Q24" i="15"/>
  <c r="Q26" i="15"/>
  <c r="B22" i="16"/>
  <c r="B32" i="16"/>
  <c r="B26" i="16"/>
  <c r="B31" i="16"/>
  <c r="B23" i="16"/>
  <c r="B33" i="16"/>
  <c r="B24" i="16"/>
  <c r="B25" i="16"/>
  <c r="B27" i="16"/>
  <c r="F22" i="16"/>
  <c r="F32" i="16"/>
  <c r="F26" i="16"/>
  <c r="F25" i="16"/>
  <c r="F27" i="16"/>
  <c r="F31" i="16"/>
  <c r="F23" i="16"/>
  <c r="F33" i="16"/>
  <c r="F24" i="16"/>
  <c r="M22" i="16"/>
  <c r="M32" i="16"/>
  <c r="M26" i="16"/>
  <c r="M25" i="16"/>
  <c r="M27" i="16"/>
  <c r="M31" i="16"/>
  <c r="M23" i="16"/>
  <c r="M33" i="16"/>
  <c r="M24" i="16"/>
  <c r="Q22" i="16"/>
  <c r="Q32" i="16"/>
  <c r="Q26" i="16"/>
  <c r="Q31" i="16"/>
  <c r="Q23" i="16"/>
  <c r="Q33" i="16"/>
  <c r="Q24" i="16"/>
  <c r="Q25" i="16"/>
  <c r="Q27" i="16"/>
  <c r="B22" i="17"/>
  <c r="B32" i="17"/>
  <c r="B26" i="17"/>
  <c r="B31" i="17"/>
  <c r="B23" i="17"/>
  <c r="B33" i="17"/>
  <c r="B24" i="17"/>
  <c r="B25" i="17"/>
  <c r="B27" i="17"/>
  <c r="F22" i="17"/>
  <c r="F32" i="17"/>
  <c r="F26" i="17"/>
  <c r="F25" i="17"/>
  <c r="F27" i="17"/>
  <c r="F31" i="17"/>
  <c r="F23" i="17"/>
  <c r="F33" i="17"/>
  <c r="F24" i="17"/>
  <c r="M22" i="17"/>
  <c r="M32" i="17"/>
  <c r="M26" i="17"/>
  <c r="M25" i="17"/>
  <c r="M27" i="17"/>
  <c r="M31" i="17"/>
  <c r="M23" i="17"/>
  <c r="M33" i="17"/>
  <c r="M24" i="17"/>
  <c r="Q22" i="17"/>
  <c r="Q32" i="17"/>
  <c r="Q26" i="17"/>
  <c r="Q31" i="17"/>
  <c r="Q23" i="17"/>
  <c r="Q33" i="17"/>
  <c r="Q24" i="17"/>
  <c r="Q25" i="17"/>
  <c r="Q27" i="17"/>
  <c r="D22" i="7"/>
  <c r="H22" i="7"/>
  <c r="C23" i="7"/>
  <c r="G23" i="7"/>
  <c r="E24" i="7"/>
  <c r="I24" i="7"/>
  <c r="C25" i="7"/>
  <c r="G25" i="7"/>
  <c r="B26" i="7"/>
  <c r="F26" i="7"/>
  <c r="E27" i="7"/>
  <c r="I27" i="7"/>
  <c r="C31" i="7"/>
  <c r="G31" i="7"/>
  <c r="B32" i="7"/>
  <c r="F32" i="7"/>
  <c r="E33" i="7"/>
  <c r="I33" i="7"/>
  <c r="O22" i="7"/>
  <c r="S22" i="7"/>
  <c r="N23" i="7"/>
  <c r="R23" i="7"/>
  <c r="P24" i="7"/>
  <c r="T24" i="7"/>
  <c r="N25" i="7"/>
  <c r="R25" i="7"/>
  <c r="M26" i="7"/>
  <c r="Q26" i="7"/>
  <c r="P27" i="7"/>
  <c r="T27" i="7"/>
  <c r="N31" i="7"/>
  <c r="R31" i="7"/>
  <c r="M32" i="7"/>
  <c r="Q32" i="7"/>
  <c r="P33" i="7"/>
  <c r="T33" i="7"/>
  <c r="D22" i="11"/>
  <c r="H22" i="11"/>
  <c r="C23" i="11"/>
  <c r="G23" i="11"/>
  <c r="E24" i="11"/>
  <c r="I24" i="11"/>
  <c r="C25" i="11"/>
  <c r="G25" i="11"/>
  <c r="B26" i="11"/>
  <c r="F26" i="11"/>
  <c r="E27" i="11"/>
  <c r="I27" i="11"/>
  <c r="C31" i="11"/>
  <c r="G31" i="11"/>
  <c r="B32" i="11"/>
  <c r="F32" i="11"/>
  <c r="E33" i="11"/>
  <c r="I33" i="11"/>
  <c r="O22" i="11"/>
  <c r="S22" i="11"/>
  <c r="N23" i="11"/>
  <c r="R23" i="11"/>
  <c r="P24" i="11"/>
  <c r="T24" i="11"/>
  <c r="N25" i="11"/>
  <c r="R25" i="11"/>
  <c r="M26" i="11"/>
  <c r="Q26" i="11"/>
  <c r="P27" i="11"/>
  <c r="T27" i="11"/>
  <c r="N31" i="11"/>
  <c r="R31" i="11"/>
  <c r="M32" i="11"/>
  <c r="Q32" i="11"/>
  <c r="P33" i="11"/>
  <c r="T33" i="11"/>
  <c r="B32" i="12"/>
  <c r="B26" i="12"/>
  <c r="B24" i="12"/>
  <c r="B33" i="12"/>
  <c r="B27" i="12"/>
  <c r="B22" i="12"/>
  <c r="B23" i="12"/>
  <c r="B31" i="12"/>
  <c r="B25" i="12"/>
  <c r="E33" i="12"/>
  <c r="E27" i="12"/>
  <c r="E24" i="12"/>
  <c r="E22" i="12"/>
  <c r="E31" i="12"/>
  <c r="E25" i="12"/>
  <c r="E23" i="12"/>
  <c r="E32" i="12"/>
  <c r="E26" i="12"/>
  <c r="I33" i="12"/>
  <c r="I27" i="12"/>
  <c r="I24" i="12"/>
  <c r="I22" i="12"/>
  <c r="I31" i="12"/>
  <c r="I25" i="12"/>
  <c r="I23" i="12"/>
  <c r="I26" i="12"/>
  <c r="I32" i="12"/>
  <c r="P33" i="12"/>
  <c r="P27" i="12"/>
  <c r="P24" i="12"/>
  <c r="P22" i="12"/>
  <c r="P31" i="12"/>
  <c r="P25" i="12"/>
  <c r="P23" i="12"/>
  <c r="P32" i="12"/>
  <c r="P26" i="12"/>
  <c r="T33" i="12"/>
  <c r="T27" i="12"/>
  <c r="T24" i="12"/>
  <c r="T22" i="12"/>
  <c r="T31" i="12"/>
  <c r="T25" i="12"/>
  <c r="T23" i="12"/>
  <c r="T32" i="12"/>
  <c r="T26" i="12"/>
  <c r="E31" i="13"/>
  <c r="E33" i="13"/>
  <c r="E24" i="13"/>
  <c r="E32" i="13"/>
  <c r="E27" i="13"/>
  <c r="E22" i="13"/>
  <c r="E26" i="13"/>
  <c r="E25" i="13"/>
  <c r="E23" i="13"/>
  <c r="I31" i="13"/>
  <c r="I32" i="13"/>
  <c r="I27" i="13"/>
  <c r="I24" i="13"/>
  <c r="I26" i="13"/>
  <c r="I22" i="13"/>
  <c r="I25" i="13"/>
  <c r="I23" i="13"/>
  <c r="I33" i="13"/>
  <c r="P31" i="13"/>
  <c r="P25" i="13"/>
  <c r="P23" i="13"/>
  <c r="P33" i="13"/>
  <c r="P32" i="13"/>
  <c r="P27" i="13"/>
  <c r="P26" i="13"/>
  <c r="P24" i="13"/>
  <c r="P22" i="13"/>
  <c r="T31" i="13"/>
  <c r="T25" i="13"/>
  <c r="T23" i="13"/>
  <c r="T33" i="13"/>
  <c r="T32" i="13"/>
  <c r="T27" i="13"/>
  <c r="T26" i="13"/>
  <c r="T24" i="13"/>
  <c r="T22" i="13"/>
  <c r="E31" i="14"/>
  <c r="E25" i="14"/>
  <c r="E23" i="14"/>
  <c r="E33" i="14"/>
  <c r="E27" i="14"/>
  <c r="E26" i="14"/>
  <c r="E24" i="14"/>
  <c r="E22" i="14"/>
  <c r="E32" i="14"/>
  <c r="I31" i="14"/>
  <c r="I25" i="14"/>
  <c r="I23" i="14"/>
  <c r="I33" i="14"/>
  <c r="I27" i="14"/>
  <c r="I32" i="14"/>
  <c r="I26" i="14"/>
  <c r="I24" i="14"/>
  <c r="I22" i="14"/>
  <c r="P31" i="14"/>
  <c r="P25" i="14"/>
  <c r="P23" i="14"/>
  <c r="P33" i="14"/>
  <c r="P27" i="14"/>
  <c r="P24" i="14"/>
  <c r="P32" i="14"/>
  <c r="P26" i="14"/>
  <c r="P22" i="14"/>
  <c r="T31" i="14"/>
  <c r="T25" i="14"/>
  <c r="T23" i="14"/>
  <c r="T33" i="14"/>
  <c r="T27" i="14"/>
  <c r="T24" i="14"/>
  <c r="T26" i="14"/>
  <c r="T22" i="14"/>
  <c r="T32" i="14"/>
  <c r="E31" i="15"/>
  <c r="E25" i="15"/>
  <c r="E23" i="15"/>
  <c r="E33" i="15"/>
  <c r="E27" i="15"/>
  <c r="E24" i="15"/>
  <c r="E26" i="15"/>
  <c r="E22" i="15"/>
  <c r="E32" i="15"/>
  <c r="I31" i="15"/>
  <c r="I25" i="15"/>
  <c r="I23" i="15"/>
  <c r="I33" i="15"/>
  <c r="I27" i="15"/>
  <c r="I24" i="15"/>
  <c r="I32" i="15"/>
  <c r="I26" i="15"/>
  <c r="I22" i="15"/>
  <c r="P32" i="15"/>
  <c r="P26" i="15"/>
  <c r="P23" i="15"/>
  <c r="P24" i="15"/>
  <c r="P33" i="15"/>
  <c r="P25" i="15"/>
  <c r="P27" i="15"/>
  <c r="P31" i="15"/>
  <c r="P22" i="15"/>
  <c r="T32" i="15"/>
  <c r="T26" i="15"/>
  <c r="T23" i="15"/>
  <c r="T24" i="15"/>
  <c r="T27" i="15"/>
  <c r="T31" i="15"/>
  <c r="T22" i="15"/>
  <c r="T33" i="15"/>
  <c r="T25" i="15"/>
  <c r="E31" i="16"/>
  <c r="E25" i="16"/>
  <c r="E23" i="16"/>
  <c r="E33" i="16"/>
  <c r="E27" i="16"/>
  <c r="E24" i="16"/>
  <c r="E26" i="16"/>
  <c r="E22" i="16"/>
  <c r="E32" i="16"/>
  <c r="I31" i="16"/>
  <c r="I25" i="16"/>
  <c r="I23" i="16"/>
  <c r="I33" i="16"/>
  <c r="I27" i="16"/>
  <c r="I24" i="16"/>
  <c r="I32" i="16"/>
  <c r="I26" i="16"/>
  <c r="I22" i="16"/>
  <c r="P31" i="16"/>
  <c r="P25" i="16"/>
  <c r="P23" i="16"/>
  <c r="P33" i="16"/>
  <c r="P27" i="16"/>
  <c r="P24" i="16"/>
  <c r="P32" i="16"/>
  <c r="P26" i="16"/>
  <c r="P22" i="16"/>
  <c r="T31" i="16"/>
  <c r="T25" i="16"/>
  <c r="T23" i="16"/>
  <c r="T33" i="16"/>
  <c r="T27" i="16"/>
  <c r="T24" i="16"/>
  <c r="T26" i="16"/>
  <c r="T22" i="16"/>
  <c r="T32" i="16"/>
  <c r="E31" i="17"/>
  <c r="E25" i="17"/>
  <c r="E23" i="17"/>
  <c r="E33" i="17"/>
  <c r="E27" i="17"/>
  <c r="E24" i="17"/>
  <c r="E26" i="17"/>
  <c r="E22" i="17"/>
  <c r="E32" i="17"/>
  <c r="I31" i="17"/>
  <c r="I25" i="17"/>
  <c r="I23" i="17"/>
  <c r="I33" i="17"/>
  <c r="I27" i="17"/>
  <c r="I24" i="17"/>
  <c r="I32" i="17"/>
  <c r="I26" i="17"/>
  <c r="I22" i="17"/>
  <c r="P31" i="17"/>
  <c r="P25" i="17"/>
  <c r="P23" i="17"/>
  <c r="P33" i="17"/>
  <c r="P27" i="17"/>
  <c r="P24" i="17"/>
  <c r="P32" i="17"/>
  <c r="P26" i="17"/>
  <c r="P22" i="17"/>
  <c r="T31" i="17"/>
  <c r="T25" i="17"/>
  <c r="T23" i="17"/>
  <c r="T33" i="17"/>
  <c r="T27" i="17"/>
  <c r="T24" i="17"/>
  <c r="T26" i="17"/>
  <c r="T22" i="17"/>
  <c r="T32" i="17"/>
  <c r="C22" i="7"/>
  <c r="G22" i="7"/>
  <c r="B23" i="7"/>
  <c r="F23" i="7"/>
  <c r="D24" i="7"/>
  <c r="H24" i="7"/>
  <c r="B25" i="7"/>
  <c r="F25" i="7"/>
  <c r="E26" i="7"/>
  <c r="I26" i="7"/>
  <c r="D27" i="7"/>
  <c r="H27" i="7"/>
  <c r="B31" i="7"/>
  <c r="F31" i="7"/>
  <c r="E32" i="7"/>
  <c r="I32" i="7"/>
  <c r="D33" i="7"/>
  <c r="H33" i="7"/>
  <c r="N22" i="7"/>
  <c r="R22" i="7"/>
  <c r="M23" i="7"/>
  <c r="Q23" i="7"/>
  <c r="O24" i="7"/>
  <c r="S24" i="7"/>
  <c r="M25" i="7"/>
  <c r="Q25" i="7"/>
  <c r="P26" i="7"/>
  <c r="T26" i="7"/>
  <c r="O27" i="7"/>
  <c r="S27" i="7"/>
  <c r="M31" i="7"/>
  <c r="Q31" i="7"/>
  <c r="P32" i="7"/>
  <c r="T32" i="7"/>
  <c r="O33" i="7"/>
  <c r="S33" i="7"/>
  <c r="C22" i="11"/>
  <c r="G22" i="11"/>
  <c r="B23" i="11"/>
  <c r="F23" i="11"/>
  <c r="D24" i="11"/>
  <c r="H24" i="11"/>
  <c r="B25" i="11"/>
  <c r="F25" i="11"/>
  <c r="E26" i="11"/>
  <c r="I26" i="11"/>
  <c r="D27" i="11"/>
  <c r="H27" i="11"/>
  <c r="B31" i="11"/>
  <c r="F31" i="11"/>
  <c r="E32" i="11"/>
  <c r="I32" i="11"/>
  <c r="D33" i="11"/>
  <c r="H33" i="11"/>
  <c r="N22" i="11"/>
  <c r="R22" i="11"/>
  <c r="M23" i="11"/>
  <c r="Q23" i="11"/>
  <c r="O24" i="11"/>
  <c r="S24" i="11"/>
  <c r="M25" i="11"/>
  <c r="Q25" i="11"/>
  <c r="P26" i="11"/>
  <c r="T26" i="11"/>
  <c r="O27" i="11"/>
  <c r="S27" i="11"/>
  <c r="M31" i="11"/>
  <c r="Q31" i="11"/>
  <c r="P32" i="11"/>
  <c r="T32" i="11"/>
  <c r="O33" i="11"/>
  <c r="S33" i="11"/>
  <c r="D22" i="12"/>
  <c r="D31" i="12"/>
  <c r="D25" i="12"/>
  <c r="D23" i="12"/>
  <c r="D32" i="12"/>
  <c r="D26" i="12"/>
  <c r="D33" i="12"/>
  <c r="D27" i="12"/>
  <c r="D24" i="12"/>
  <c r="H22" i="12"/>
  <c r="H23" i="12"/>
  <c r="H31" i="12"/>
  <c r="H25" i="12"/>
  <c r="H24" i="12"/>
  <c r="H32" i="12"/>
  <c r="H26" i="12"/>
  <c r="H33" i="12"/>
  <c r="H27" i="12"/>
  <c r="O22" i="12"/>
  <c r="O31" i="12"/>
  <c r="O25" i="12"/>
  <c r="O23" i="12"/>
  <c r="O32" i="12"/>
  <c r="O26" i="12"/>
  <c r="O33" i="12"/>
  <c r="O27" i="12"/>
  <c r="O24" i="12"/>
  <c r="S22" i="12"/>
  <c r="S31" i="12"/>
  <c r="S25" i="12"/>
  <c r="S23" i="12"/>
  <c r="S32" i="12"/>
  <c r="S26" i="12"/>
  <c r="S33" i="12"/>
  <c r="S27" i="12"/>
  <c r="S24" i="12"/>
  <c r="D32" i="13"/>
  <c r="D26" i="13"/>
  <c r="D27" i="13"/>
  <c r="D22" i="13"/>
  <c r="D25" i="13"/>
  <c r="D23" i="13"/>
  <c r="D31" i="13"/>
  <c r="D33" i="13"/>
  <c r="D24" i="13"/>
  <c r="H32" i="13"/>
  <c r="H26" i="13"/>
  <c r="H22" i="13"/>
  <c r="H31" i="13"/>
  <c r="H25" i="13"/>
  <c r="H23" i="13"/>
  <c r="H33" i="13"/>
  <c r="H27" i="13"/>
  <c r="H24" i="13"/>
  <c r="O32" i="13"/>
  <c r="O26" i="13"/>
  <c r="O33" i="13"/>
  <c r="O25" i="13"/>
  <c r="O27" i="13"/>
  <c r="O23" i="13"/>
  <c r="O24" i="13"/>
  <c r="O22" i="13"/>
  <c r="O31" i="13"/>
  <c r="S32" i="13"/>
  <c r="S26" i="13"/>
  <c r="S27" i="13"/>
  <c r="S23" i="13"/>
  <c r="S24" i="13"/>
  <c r="S22" i="13"/>
  <c r="S31" i="13"/>
  <c r="S33" i="13"/>
  <c r="S25" i="13"/>
  <c r="D32" i="14"/>
  <c r="D26" i="14"/>
  <c r="D27" i="14"/>
  <c r="D31" i="14"/>
  <c r="D33" i="14"/>
  <c r="D23" i="14"/>
  <c r="D25" i="14"/>
  <c r="D24" i="14"/>
  <c r="D22" i="14"/>
  <c r="H32" i="14"/>
  <c r="H26" i="14"/>
  <c r="H33" i="14"/>
  <c r="H25" i="14"/>
  <c r="H23" i="14"/>
  <c r="H27" i="14"/>
  <c r="H24" i="14"/>
  <c r="H22" i="14"/>
  <c r="H31" i="14"/>
  <c r="O32" i="14"/>
  <c r="O26" i="14"/>
  <c r="O22" i="14"/>
  <c r="O33" i="14"/>
  <c r="O24" i="14"/>
  <c r="O25" i="14"/>
  <c r="O27" i="14"/>
  <c r="O31" i="14"/>
  <c r="O23" i="14"/>
  <c r="S32" i="14"/>
  <c r="S26" i="14"/>
  <c r="S22" i="14"/>
  <c r="S27" i="14"/>
  <c r="S31" i="14"/>
  <c r="S23" i="14"/>
  <c r="S33" i="14"/>
  <c r="S24" i="14"/>
  <c r="S25" i="14"/>
  <c r="D32" i="15"/>
  <c r="D26" i="15"/>
  <c r="D22" i="15"/>
  <c r="D27" i="15"/>
  <c r="D31" i="15"/>
  <c r="D23" i="15"/>
  <c r="D33" i="15"/>
  <c r="D24" i="15"/>
  <c r="D25" i="15"/>
  <c r="H32" i="15"/>
  <c r="H26" i="15"/>
  <c r="H22" i="15"/>
  <c r="H33" i="15"/>
  <c r="H24" i="15"/>
  <c r="H25" i="15"/>
  <c r="H27" i="15"/>
  <c r="H31" i="15"/>
  <c r="H23" i="15"/>
  <c r="O33" i="15"/>
  <c r="O27" i="15"/>
  <c r="O31" i="15"/>
  <c r="O25" i="15"/>
  <c r="O22" i="15"/>
  <c r="O24" i="15"/>
  <c r="O26" i="15"/>
  <c r="O32" i="15"/>
  <c r="O23" i="15"/>
  <c r="S33" i="15"/>
  <c r="S27" i="15"/>
  <c r="S31" i="15"/>
  <c r="S25" i="15"/>
  <c r="S22" i="15"/>
  <c r="S32" i="15"/>
  <c r="S23" i="15"/>
  <c r="S24" i="15"/>
  <c r="S26" i="15"/>
  <c r="D32" i="16"/>
  <c r="D26" i="16"/>
  <c r="D22" i="16"/>
  <c r="D27" i="16"/>
  <c r="D31" i="16"/>
  <c r="D23" i="16"/>
  <c r="D33" i="16"/>
  <c r="D24" i="16"/>
  <c r="D25" i="16"/>
  <c r="H32" i="16"/>
  <c r="H26" i="16"/>
  <c r="H22" i="16"/>
  <c r="H33" i="16"/>
  <c r="H24" i="16"/>
  <c r="H25" i="16"/>
  <c r="H27" i="16"/>
  <c r="H31" i="16"/>
  <c r="H23" i="16"/>
  <c r="O32" i="16"/>
  <c r="O26" i="16"/>
  <c r="O22" i="16"/>
  <c r="O33" i="16"/>
  <c r="O24" i="16"/>
  <c r="O25" i="16"/>
  <c r="O27" i="16"/>
  <c r="O31" i="16"/>
  <c r="O23" i="16"/>
  <c r="S32" i="16"/>
  <c r="S26" i="16"/>
  <c r="S22" i="16"/>
  <c r="S27" i="16"/>
  <c r="S31" i="16"/>
  <c r="S23" i="16"/>
  <c r="S33" i="16"/>
  <c r="S24" i="16"/>
  <c r="S25" i="16"/>
  <c r="D32" i="17"/>
  <c r="D26" i="17"/>
  <c r="D22" i="17"/>
  <c r="D27" i="17"/>
  <c r="D31" i="17"/>
  <c r="D23" i="17"/>
  <c r="D33" i="17"/>
  <c r="D24" i="17"/>
  <c r="D25" i="17"/>
  <c r="H32" i="17"/>
  <c r="H26" i="17"/>
  <c r="H22" i="17"/>
  <c r="H33" i="17"/>
  <c r="H24" i="17"/>
  <c r="H25" i="17"/>
  <c r="H27" i="17"/>
  <c r="H31" i="17"/>
  <c r="H23" i="17"/>
  <c r="O32" i="17"/>
  <c r="O26" i="17"/>
  <c r="O22" i="17"/>
  <c r="O33" i="17"/>
  <c r="O24" i="17"/>
  <c r="O25" i="17"/>
  <c r="O27" i="17"/>
  <c r="O31" i="17"/>
  <c r="O23" i="17"/>
  <c r="S32" i="17"/>
  <c r="S26" i="17"/>
  <c r="S22" i="17"/>
  <c r="S27" i="17"/>
  <c r="S31" i="17"/>
  <c r="S23" i="17"/>
  <c r="S33" i="17"/>
  <c r="S24" i="17"/>
  <c r="S25" i="17"/>
  <c r="B22" i="7"/>
  <c r="F22" i="7"/>
  <c r="E23" i="7"/>
  <c r="I23" i="7"/>
  <c r="C24" i="7"/>
  <c r="G24" i="7"/>
  <c r="E25" i="7"/>
  <c r="I25" i="7"/>
  <c r="D26" i="7"/>
  <c r="H26" i="7"/>
  <c r="C27" i="7"/>
  <c r="G27" i="7"/>
  <c r="M22" i="7"/>
  <c r="Q22" i="7"/>
  <c r="P23" i="7"/>
  <c r="T23" i="7"/>
  <c r="N24" i="7"/>
  <c r="R24" i="7"/>
  <c r="P25" i="7"/>
  <c r="T25" i="7"/>
  <c r="O26" i="7"/>
  <c r="S26" i="7"/>
  <c r="N27" i="7"/>
  <c r="R27" i="7"/>
  <c r="B22" i="11"/>
  <c r="F22" i="11"/>
  <c r="E23" i="11"/>
  <c r="I23" i="11"/>
  <c r="C24" i="11"/>
  <c r="G24" i="11"/>
  <c r="E25" i="11"/>
  <c r="I25" i="11"/>
  <c r="D26" i="11"/>
  <c r="H26" i="11"/>
  <c r="C27" i="11"/>
  <c r="G27" i="11"/>
  <c r="M22" i="11"/>
  <c r="Q22" i="11"/>
  <c r="P23" i="11"/>
  <c r="T23" i="11"/>
  <c r="N24" i="11"/>
  <c r="R24" i="11"/>
  <c r="P25" i="11"/>
  <c r="T25" i="11"/>
  <c r="O26" i="11"/>
  <c r="S26" i="11"/>
  <c r="N27" i="11"/>
  <c r="R27" i="11"/>
  <c r="J16" i="7"/>
  <c r="J29" i="7" s="1"/>
  <c r="U5" i="18"/>
  <c r="U14" i="18"/>
  <c r="P16" i="18"/>
  <c r="P33" i="18" s="1"/>
  <c r="D16" i="18"/>
  <c r="D33" i="18" s="1"/>
  <c r="U6" i="18"/>
  <c r="U7" i="18"/>
  <c r="U8" i="18"/>
  <c r="U9" i="18"/>
  <c r="U10" i="18"/>
  <c r="U15" i="18"/>
  <c r="J6" i="18"/>
  <c r="J7" i="18"/>
  <c r="J8" i="18"/>
  <c r="J9" i="18"/>
  <c r="J10" i="18"/>
  <c r="J14" i="18"/>
  <c r="J15" i="18"/>
  <c r="H16" i="18"/>
  <c r="H33" i="18" s="1"/>
  <c r="J5" i="18"/>
  <c r="J16" i="17"/>
  <c r="J28" i="17" s="1"/>
  <c r="U16" i="17"/>
  <c r="U26" i="17" s="1"/>
  <c r="J16" i="16"/>
  <c r="J29" i="16" s="1"/>
  <c r="U16" i="16"/>
  <c r="J16" i="15"/>
  <c r="U16" i="15"/>
  <c r="J16" i="14"/>
  <c r="J29" i="14" s="1"/>
  <c r="U16" i="14"/>
  <c r="U30" i="14" s="1"/>
  <c r="J16" i="13"/>
  <c r="J30" i="13" s="1"/>
  <c r="U16" i="13"/>
  <c r="U26" i="13" s="1"/>
  <c r="J16" i="12"/>
  <c r="J30" i="12" s="1"/>
  <c r="U16" i="12"/>
  <c r="J16" i="11"/>
  <c r="J22" i="11" s="1"/>
  <c r="U16" i="11"/>
  <c r="U30" i="11" s="1"/>
  <c r="U16" i="7"/>
  <c r="U30" i="7" s="1"/>
  <c r="S45" i="13" l="1"/>
  <c r="N32" i="18"/>
  <c r="N22" i="18"/>
  <c r="G27" i="18"/>
  <c r="M31" i="18"/>
  <c r="M25" i="18"/>
  <c r="N25" i="18"/>
  <c r="B32" i="18"/>
  <c r="E23" i="18"/>
  <c r="E24" i="18"/>
  <c r="I22" i="18"/>
  <c r="F26" i="18"/>
  <c r="M23" i="18"/>
  <c r="R32" i="18"/>
  <c r="G32" i="18"/>
  <c r="M27" i="18"/>
  <c r="R27" i="18"/>
  <c r="R22" i="18"/>
  <c r="B31" i="18"/>
  <c r="N31" i="18"/>
  <c r="Q23" i="18"/>
  <c r="B23" i="18"/>
  <c r="N23" i="18"/>
  <c r="B22" i="18"/>
  <c r="Q25" i="18"/>
  <c r="B25" i="18"/>
  <c r="N27" i="18"/>
  <c r="N24" i="18"/>
  <c r="E22" i="18"/>
  <c r="E27" i="18"/>
  <c r="S32" i="18"/>
  <c r="M26" i="18"/>
  <c r="M22" i="18"/>
  <c r="E26" i="18"/>
  <c r="S45" i="12"/>
  <c r="Q45" i="12"/>
  <c r="F22" i="18"/>
  <c r="M32" i="18"/>
  <c r="S23" i="18"/>
  <c r="F32" i="18"/>
  <c r="F25" i="18"/>
  <c r="F23" i="18"/>
  <c r="R31" i="18"/>
  <c r="R25" i="18"/>
  <c r="R24" i="18"/>
  <c r="R23" i="18"/>
  <c r="I32" i="18"/>
  <c r="E33" i="18"/>
  <c r="P50" i="18" s="1"/>
  <c r="AA50" i="18" s="1"/>
  <c r="E31" i="18"/>
  <c r="B24" i="18"/>
  <c r="F31" i="18"/>
  <c r="I31" i="18"/>
  <c r="F27" i="18"/>
  <c r="I26" i="18"/>
  <c r="B27" i="18"/>
  <c r="I25" i="18"/>
  <c r="B26" i="18"/>
  <c r="I27" i="18"/>
  <c r="I30" i="18"/>
  <c r="I29" i="18"/>
  <c r="I28" i="18"/>
  <c r="F24" i="18"/>
  <c r="I24" i="18"/>
  <c r="I23" i="18"/>
  <c r="C27" i="18"/>
  <c r="C24" i="18"/>
  <c r="O45" i="7"/>
  <c r="O22" i="18"/>
  <c r="S47" i="11"/>
  <c r="Q45" i="7"/>
  <c r="Q32" i="18"/>
  <c r="Q26" i="18"/>
  <c r="R30" i="18"/>
  <c r="R29" i="18"/>
  <c r="Q45" i="16"/>
  <c r="E29" i="18"/>
  <c r="F29" i="18"/>
  <c r="R26" i="18"/>
  <c r="E25" i="18"/>
  <c r="R28" i="18"/>
  <c r="M24" i="18"/>
  <c r="N26" i="18"/>
  <c r="E32" i="18"/>
  <c r="B29" i="18"/>
  <c r="E28" i="18"/>
  <c r="S45" i="17"/>
  <c r="O45" i="17"/>
  <c r="N30" i="18"/>
  <c r="M28" i="18"/>
  <c r="N29" i="18"/>
  <c r="N28" i="18"/>
  <c r="O47" i="11"/>
  <c r="S46" i="11"/>
  <c r="S46" i="12"/>
  <c r="M30" i="18"/>
  <c r="O45" i="12"/>
  <c r="M29" i="18"/>
  <c r="B30" i="18"/>
  <c r="B28" i="18"/>
  <c r="S45" i="14"/>
  <c r="Q45" i="14"/>
  <c r="F30" i="18"/>
  <c r="O45" i="14"/>
  <c r="F28" i="18"/>
  <c r="S45" i="15"/>
  <c r="O46" i="11"/>
  <c r="O46" i="13"/>
  <c r="O46" i="15"/>
  <c r="O46" i="17"/>
  <c r="N46" i="11"/>
  <c r="N46" i="12"/>
  <c r="N46" i="13"/>
  <c r="N46" i="14"/>
  <c r="N46" i="15"/>
  <c r="N46" i="16"/>
  <c r="N46" i="17"/>
  <c r="T46" i="11"/>
  <c r="T46" i="12"/>
  <c r="T46" i="13"/>
  <c r="T46" i="14"/>
  <c r="T46" i="15"/>
  <c r="T46" i="16"/>
  <c r="T46" i="17"/>
  <c r="N47" i="7"/>
  <c r="N45" i="7"/>
  <c r="T47" i="7"/>
  <c r="T45" i="7"/>
  <c r="G22" i="18"/>
  <c r="S31" i="18"/>
  <c r="S25" i="18"/>
  <c r="G31" i="18"/>
  <c r="G23" i="18"/>
  <c r="N46" i="7"/>
  <c r="N47" i="11"/>
  <c r="N45" i="11"/>
  <c r="N45" i="12"/>
  <c r="N45" i="13"/>
  <c r="N45" i="14"/>
  <c r="S46" i="16"/>
  <c r="S30" i="18"/>
  <c r="O45" i="11"/>
  <c r="G29" i="18"/>
  <c r="S27" i="18"/>
  <c r="G25" i="18"/>
  <c r="G24" i="18"/>
  <c r="O45" i="15"/>
  <c r="O45" i="16"/>
  <c r="S26" i="18"/>
  <c r="S24" i="18"/>
  <c r="S22" i="18"/>
  <c r="G26" i="18"/>
  <c r="O47" i="7"/>
  <c r="T25" i="18"/>
  <c r="N45" i="15"/>
  <c r="N45" i="16"/>
  <c r="N45" i="17"/>
  <c r="O46" i="7"/>
  <c r="O45" i="13"/>
  <c r="U28" i="11"/>
  <c r="U28" i="17"/>
  <c r="U45" i="17" s="1"/>
  <c r="D28" i="18"/>
  <c r="U29" i="13"/>
  <c r="C29" i="18"/>
  <c r="P29" i="18"/>
  <c r="C22" i="18"/>
  <c r="C32" i="18"/>
  <c r="C25" i="18"/>
  <c r="C23" i="18"/>
  <c r="C31" i="18"/>
  <c r="R46" i="7"/>
  <c r="R47" i="11"/>
  <c r="R45" i="11"/>
  <c r="R45" i="12"/>
  <c r="R45" i="13"/>
  <c r="R45" i="14"/>
  <c r="R45" i="15"/>
  <c r="R45" i="16"/>
  <c r="R45" i="17"/>
  <c r="S45" i="11"/>
  <c r="S45" i="16"/>
  <c r="S29" i="18"/>
  <c r="D30" i="18"/>
  <c r="G28" i="18"/>
  <c r="C28" i="18"/>
  <c r="G30" i="18"/>
  <c r="J29" i="15"/>
  <c r="C26" i="18"/>
  <c r="S46" i="14"/>
  <c r="Q46" i="7"/>
  <c r="Q46" i="12"/>
  <c r="Q46" i="14"/>
  <c r="Q46" i="16"/>
  <c r="J28" i="7"/>
  <c r="S28" i="18"/>
  <c r="C30" i="18"/>
  <c r="U30" i="12"/>
  <c r="U47" i="12" s="1"/>
  <c r="U30" i="16"/>
  <c r="U26" i="11"/>
  <c r="U29" i="11"/>
  <c r="U29" i="15"/>
  <c r="T27" i="18"/>
  <c r="T46" i="7"/>
  <c r="T47" i="11"/>
  <c r="T45" i="11"/>
  <c r="T45" i="12"/>
  <c r="T45" i="13"/>
  <c r="T45" i="14"/>
  <c r="T45" i="15"/>
  <c r="T45" i="16"/>
  <c r="T45" i="17"/>
  <c r="S45" i="7"/>
  <c r="Q45" i="11"/>
  <c r="Q45" i="13"/>
  <c r="Q45" i="15"/>
  <c r="Q45" i="17"/>
  <c r="Q30" i="18"/>
  <c r="U30" i="13"/>
  <c r="U47" i="13" s="1"/>
  <c r="U29" i="17"/>
  <c r="O29" i="18"/>
  <c r="U29" i="14"/>
  <c r="U46" i="14" s="1"/>
  <c r="T28" i="18"/>
  <c r="J30" i="11"/>
  <c r="U47" i="11" s="1"/>
  <c r="D29" i="18"/>
  <c r="T29" i="18"/>
  <c r="Q28" i="18"/>
  <c r="U26" i="7"/>
  <c r="U28" i="7"/>
  <c r="J31" i="12"/>
  <c r="J28" i="12"/>
  <c r="J30" i="14"/>
  <c r="U47" i="14" s="1"/>
  <c r="J22" i="16"/>
  <c r="J28" i="16"/>
  <c r="T30" i="18"/>
  <c r="T32" i="18"/>
  <c r="T26" i="18"/>
  <c r="T24" i="18"/>
  <c r="P47" i="7"/>
  <c r="P45" i="7"/>
  <c r="P46" i="11"/>
  <c r="P46" i="12"/>
  <c r="P46" i="13"/>
  <c r="P46" i="14"/>
  <c r="P46" i="15"/>
  <c r="P46" i="16"/>
  <c r="P46" i="17"/>
  <c r="S46" i="7"/>
  <c r="J29" i="11"/>
  <c r="J30" i="16"/>
  <c r="U29" i="12"/>
  <c r="U30" i="17"/>
  <c r="J28" i="15"/>
  <c r="U28" i="13"/>
  <c r="P28" i="18"/>
  <c r="J30" i="15"/>
  <c r="H29" i="18"/>
  <c r="P30" i="18"/>
  <c r="P47" i="18" s="1"/>
  <c r="AA47" i="18" s="1"/>
  <c r="U28" i="16"/>
  <c r="U28" i="14"/>
  <c r="J22" i="13"/>
  <c r="J29" i="13"/>
  <c r="J22" i="17"/>
  <c r="J29" i="17"/>
  <c r="J27" i="7"/>
  <c r="J30" i="7"/>
  <c r="U47" i="7" s="1"/>
  <c r="Q46" i="11"/>
  <c r="Q46" i="13"/>
  <c r="Q46" i="15"/>
  <c r="Q46" i="17"/>
  <c r="U29" i="16"/>
  <c r="U46" i="16" s="1"/>
  <c r="U28" i="12"/>
  <c r="T23" i="18"/>
  <c r="R47" i="7"/>
  <c r="R45" i="7"/>
  <c r="R46" i="11"/>
  <c r="R46" i="12"/>
  <c r="R46" i="13"/>
  <c r="R46" i="14"/>
  <c r="R46" i="15"/>
  <c r="R46" i="16"/>
  <c r="R46" i="17"/>
  <c r="S47" i="7"/>
  <c r="P46" i="7"/>
  <c r="P47" i="11"/>
  <c r="P45" i="11"/>
  <c r="P45" i="12"/>
  <c r="P45" i="13"/>
  <c r="P45" i="14"/>
  <c r="P45" i="15"/>
  <c r="P45" i="16"/>
  <c r="P45" i="17"/>
  <c r="O30" i="18"/>
  <c r="M45" i="7"/>
  <c r="M45" i="11"/>
  <c r="M45" i="12"/>
  <c r="M45" i="13"/>
  <c r="M45" i="14"/>
  <c r="M45" i="15"/>
  <c r="M45" i="16"/>
  <c r="M45" i="17"/>
  <c r="J28" i="14"/>
  <c r="Q29" i="18"/>
  <c r="U28" i="15"/>
  <c r="J28" i="11"/>
  <c r="J30" i="17"/>
  <c r="J29" i="12"/>
  <c r="U29" i="7"/>
  <c r="U46" i="7" s="1"/>
  <c r="U30" i="15"/>
  <c r="J28" i="13"/>
  <c r="H30" i="18"/>
  <c r="H28" i="18"/>
  <c r="O28" i="18"/>
  <c r="Q31" i="18"/>
  <c r="Q22" i="18"/>
  <c r="Q27" i="18"/>
  <c r="Q24" i="18"/>
  <c r="T31" i="18"/>
  <c r="T22" i="18"/>
  <c r="O32" i="18"/>
  <c r="O31" i="18"/>
  <c r="O27" i="18"/>
  <c r="O26" i="18"/>
  <c r="O25" i="18"/>
  <c r="O24" i="18"/>
  <c r="O23" i="18"/>
  <c r="J24" i="15"/>
  <c r="J23" i="12"/>
  <c r="U25" i="13"/>
  <c r="J26" i="15"/>
  <c r="J23" i="16"/>
  <c r="J32" i="12"/>
  <c r="U23" i="15"/>
  <c r="J32" i="16"/>
  <c r="J27" i="13"/>
  <c r="U32" i="15"/>
  <c r="J22" i="14"/>
  <c r="J27" i="17"/>
  <c r="J25" i="14"/>
  <c r="U25" i="17"/>
  <c r="J22" i="12"/>
  <c r="J31" i="14"/>
  <c r="J24" i="17"/>
  <c r="J25" i="16"/>
  <c r="J27" i="15"/>
  <c r="J32" i="14"/>
  <c r="J23" i="14"/>
  <c r="J24" i="13"/>
  <c r="J25" i="12"/>
  <c r="U32" i="17"/>
  <c r="U23" i="17"/>
  <c r="U24" i="16"/>
  <c r="U25" i="15"/>
  <c r="U27" i="14"/>
  <c r="U32" i="13"/>
  <c r="U23" i="13"/>
  <c r="U24" i="12"/>
  <c r="J26" i="17"/>
  <c r="U43" i="17" s="1"/>
  <c r="J31" i="16"/>
  <c r="J26" i="13"/>
  <c r="U31" i="16"/>
  <c r="U22" i="16"/>
  <c r="U31" i="12"/>
  <c r="U22" i="12"/>
  <c r="J24" i="11"/>
  <c r="J31" i="7"/>
  <c r="U32" i="11"/>
  <c r="U23" i="11"/>
  <c r="U31" i="7"/>
  <c r="J26" i="7"/>
  <c r="U33" i="14"/>
  <c r="U33" i="11"/>
  <c r="U33" i="13"/>
  <c r="U33" i="15"/>
  <c r="U33" i="17"/>
  <c r="U33" i="7"/>
  <c r="J33" i="12"/>
  <c r="J33" i="14"/>
  <c r="J33" i="16"/>
  <c r="J25" i="17"/>
  <c r="J27" i="16"/>
  <c r="J32" i="15"/>
  <c r="J23" i="15"/>
  <c r="J24" i="14"/>
  <c r="J25" i="13"/>
  <c r="J27" i="12"/>
  <c r="J26" i="12"/>
  <c r="U24" i="17"/>
  <c r="U25" i="16"/>
  <c r="U27" i="15"/>
  <c r="U32" i="14"/>
  <c r="U23" i="14"/>
  <c r="U24" i="13"/>
  <c r="U25" i="12"/>
  <c r="J31" i="17"/>
  <c r="J26" i="14"/>
  <c r="J31" i="13"/>
  <c r="U31" i="17"/>
  <c r="U22" i="17"/>
  <c r="U26" i="14"/>
  <c r="U31" i="13"/>
  <c r="U22" i="13"/>
  <c r="J25" i="11"/>
  <c r="U22" i="7"/>
  <c r="U24" i="11"/>
  <c r="J26" i="11"/>
  <c r="U24" i="7"/>
  <c r="U31" i="11"/>
  <c r="U22" i="11"/>
  <c r="U39" i="11" s="1"/>
  <c r="J22" i="7"/>
  <c r="U33" i="12"/>
  <c r="U27" i="16"/>
  <c r="U24" i="14"/>
  <c r="U27" i="12"/>
  <c r="U26" i="15"/>
  <c r="U31" i="14"/>
  <c r="U22" i="14"/>
  <c r="J27" i="11"/>
  <c r="U25" i="7"/>
  <c r="U27" i="7"/>
  <c r="U25" i="11"/>
  <c r="J32" i="7"/>
  <c r="J31" i="11"/>
  <c r="U33" i="16"/>
  <c r="J33" i="11"/>
  <c r="J33" i="13"/>
  <c r="J33" i="15"/>
  <c r="J33" i="17"/>
  <c r="J33" i="7"/>
  <c r="J32" i="17"/>
  <c r="J23" i="17"/>
  <c r="J24" i="16"/>
  <c r="J25" i="15"/>
  <c r="J27" i="14"/>
  <c r="J32" i="13"/>
  <c r="J23" i="13"/>
  <c r="J24" i="12"/>
  <c r="U27" i="17"/>
  <c r="U32" i="16"/>
  <c r="U23" i="16"/>
  <c r="U24" i="15"/>
  <c r="U25" i="14"/>
  <c r="U27" i="13"/>
  <c r="U32" i="12"/>
  <c r="U23" i="12"/>
  <c r="J26" i="16"/>
  <c r="J31" i="15"/>
  <c r="J22" i="15"/>
  <c r="U26" i="16"/>
  <c r="U31" i="15"/>
  <c r="U22" i="15"/>
  <c r="U26" i="12"/>
  <c r="J32" i="11"/>
  <c r="J23" i="11"/>
  <c r="J23" i="7"/>
  <c r="U27" i="11"/>
  <c r="J25" i="7"/>
  <c r="U23" i="7"/>
  <c r="U32" i="7"/>
  <c r="J24" i="7"/>
  <c r="D26" i="18"/>
  <c r="D27" i="18"/>
  <c r="D25" i="18"/>
  <c r="H31" i="18"/>
  <c r="P26" i="18"/>
  <c r="P22" i="18"/>
  <c r="H24" i="18"/>
  <c r="H23" i="18"/>
  <c r="D32" i="18"/>
  <c r="H27" i="18"/>
  <c r="P32" i="18"/>
  <c r="P27" i="18"/>
  <c r="P25" i="18"/>
  <c r="P24" i="18"/>
  <c r="P23" i="18"/>
  <c r="D31" i="18"/>
  <c r="H26" i="18"/>
  <c r="H25" i="18"/>
  <c r="D24" i="18"/>
  <c r="D23" i="18"/>
  <c r="D22" i="18"/>
  <c r="H32" i="18"/>
  <c r="P31" i="18"/>
  <c r="H22" i="18"/>
  <c r="R50" i="7"/>
  <c r="O40" i="7"/>
  <c r="R43" i="7"/>
  <c r="Q48" i="7"/>
  <c r="S43" i="7"/>
  <c r="P48" i="7"/>
  <c r="N50" i="7"/>
  <c r="M41" i="7"/>
  <c r="P40" i="7"/>
  <c r="O50" i="7"/>
  <c r="N41" i="7"/>
  <c r="O49" i="7"/>
  <c r="S42" i="7"/>
  <c r="P49" i="7"/>
  <c r="T42" i="7"/>
  <c r="Q44" i="7"/>
  <c r="P39" i="7"/>
  <c r="M42" i="7"/>
  <c r="O41" i="7"/>
  <c r="M43" i="7"/>
  <c r="N42" i="7"/>
  <c r="P41" i="7"/>
  <c r="S49" i="7"/>
  <c r="O42" i="7"/>
  <c r="S50" i="7"/>
  <c r="M48" i="7"/>
  <c r="N44" i="7"/>
  <c r="O43" i="7"/>
  <c r="P42" i="7"/>
  <c r="T40" i="7"/>
  <c r="T50" i="7"/>
  <c r="M49" i="7"/>
  <c r="N48" i="7"/>
  <c r="O44" i="7"/>
  <c r="P43" i="7"/>
  <c r="M40" i="7"/>
  <c r="N39" i="7"/>
  <c r="N49" i="7"/>
  <c r="O48" i="7"/>
  <c r="P44" i="7"/>
  <c r="N40" i="7"/>
  <c r="O39" i="7"/>
  <c r="M50" i="17"/>
  <c r="S50" i="14"/>
  <c r="U16" i="18"/>
  <c r="J16" i="18"/>
  <c r="S50" i="17"/>
  <c r="O49" i="17"/>
  <c r="M49" i="17"/>
  <c r="O48" i="17"/>
  <c r="M48" i="17"/>
  <c r="O44" i="17"/>
  <c r="M44" i="17"/>
  <c r="O43" i="17"/>
  <c r="M43" i="17"/>
  <c r="O42" i="17"/>
  <c r="M42" i="17"/>
  <c r="O41" i="17"/>
  <c r="M41" i="17"/>
  <c r="O40" i="17"/>
  <c r="M40" i="17"/>
  <c r="O39" i="17"/>
  <c r="M39" i="17"/>
  <c r="T49" i="17"/>
  <c r="P49" i="17"/>
  <c r="N49" i="17"/>
  <c r="T48" i="17"/>
  <c r="P48" i="17"/>
  <c r="N48" i="17"/>
  <c r="T44" i="17"/>
  <c r="P44" i="17"/>
  <c r="N44" i="17"/>
  <c r="T43" i="17"/>
  <c r="P43" i="17"/>
  <c r="N43" i="17"/>
  <c r="T42" i="17"/>
  <c r="P42" i="17"/>
  <c r="N42" i="17"/>
  <c r="T41" i="17"/>
  <c r="P41" i="17"/>
  <c r="N41" i="17"/>
  <c r="T40" i="17"/>
  <c r="P40" i="17"/>
  <c r="N40" i="17"/>
  <c r="T39" i="17"/>
  <c r="P39" i="17"/>
  <c r="N39" i="17"/>
  <c r="N50" i="17"/>
  <c r="O50" i="17"/>
  <c r="S49" i="16"/>
  <c r="Q49" i="16"/>
  <c r="O49" i="16"/>
  <c r="S48" i="16"/>
  <c r="Q48" i="16"/>
  <c r="O48" i="16"/>
  <c r="S44" i="16"/>
  <c r="Q44" i="16"/>
  <c r="O44" i="16"/>
  <c r="S43" i="16"/>
  <c r="Q43" i="16"/>
  <c r="O43" i="16"/>
  <c r="S42" i="16"/>
  <c r="Q42" i="16"/>
  <c r="O42" i="16"/>
  <c r="S41" i="16"/>
  <c r="Q41" i="16"/>
  <c r="O41" i="16"/>
  <c r="S40" i="16"/>
  <c r="Q40" i="16"/>
  <c r="O40" i="16"/>
  <c r="S39" i="16"/>
  <c r="Q39" i="16"/>
  <c r="O39" i="16"/>
  <c r="R49" i="16"/>
  <c r="P49" i="16"/>
  <c r="N49" i="16"/>
  <c r="R48" i="16"/>
  <c r="P48" i="16"/>
  <c r="N48" i="16"/>
  <c r="R44" i="16"/>
  <c r="P44" i="16"/>
  <c r="N44" i="16"/>
  <c r="R43" i="16"/>
  <c r="P43" i="16"/>
  <c r="N43" i="16"/>
  <c r="R42" i="16"/>
  <c r="P42" i="16"/>
  <c r="N42" i="16"/>
  <c r="R41" i="16"/>
  <c r="P41" i="16"/>
  <c r="N41" i="16"/>
  <c r="R40" i="16"/>
  <c r="P40" i="16"/>
  <c r="N40" i="16"/>
  <c r="R39" i="16"/>
  <c r="P39" i="16"/>
  <c r="N39" i="16"/>
  <c r="S50" i="16"/>
  <c r="O50" i="16"/>
  <c r="T50" i="16"/>
  <c r="O49" i="15"/>
  <c r="O48" i="15"/>
  <c r="O44" i="15"/>
  <c r="O43" i="15"/>
  <c r="O42" i="15"/>
  <c r="O41" i="15"/>
  <c r="O40" i="15"/>
  <c r="O39" i="15"/>
  <c r="P49" i="15"/>
  <c r="N49" i="15"/>
  <c r="P48" i="15"/>
  <c r="N48" i="15"/>
  <c r="P44" i="15"/>
  <c r="N44" i="15"/>
  <c r="P43" i="15"/>
  <c r="N43" i="15"/>
  <c r="P42" i="15"/>
  <c r="N42" i="15"/>
  <c r="P41" i="15"/>
  <c r="N41" i="15"/>
  <c r="P40" i="15"/>
  <c r="N40" i="15"/>
  <c r="P39" i="15"/>
  <c r="N39" i="15"/>
  <c r="S50" i="15"/>
  <c r="O50" i="15"/>
  <c r="T50" i="15"/>
  <c r="P50" i="15"/>
  <c r="S49" i="14"/>
  <c r="S48" i="14"/>
  <c r="S44" i="14"/>
  <c r="S43" i="14"/>
  <c r="S42" i="14"/>
  <c r="S41" i="14"/>
  <c r="S40" i="14"/>
  <c r="S39" i="14"/>
  <c r="R49" i="14"/>
  <c r="R48" i="14"/>
  <c r="R44" i="14"/>
  <c r="R43" i="14"/>
  <c r="R42" i="14"/>
  <c r="R41" i="14"/>
  <c r="R40" i="14"/>
  <c r="R39" i="14"/>
  <c r="R50" i="14"/>
  <c r="N50" i="14"/>
  <c r="M50" i="14"/>
  <c r="T50" i="13"/>
  <c r="P50" i="13"/>
  <c r="S50" i="13"/>
  <c r="S49" i="12"/>
  <c r="O49" i="12"/>
  <c r="S48" i="12"/>
  <c r="O48" i="12"/>
  <c r="S44" i="12"/>
  <c r="O44" i="12"/>
  <c r="S43" i="12"/>
  <c r="O43" i="12"/>
  <c r="S42" i="12"/>
  <c r="O42" i="12"/>
  <c r="S41" i="12"/>
  <c r="O41" i="12"/>
  <c r="S40" i="12"/>
  <c r="O40" i="12"/>
  <c r="S39" i="12"/>
  <c r="O39" i="12"/>
  <c r="R49" i="12"/>
  <c r="R48" i="12"/>
  <c r="R44" i="12"/>
  <c r="R43" i="12"/>
  <c r="R42" i="12"/>
  <c r="R41" i="12"/>
  <c r="R40" i="12"/>
  <c r="R39" i="12"/>
  <c r="S50" i="12"/>
  <c r="O50" i="12"/>
  <c r="T50" i="12"/>
  <c r="P50" i="12"/>
  <c r="Q49" i="11"/>
  <c r="M49" i="11"/>
  <c r="Q48" i="11"/>
  <c r="M48" i="11"/>
  <c r="Q44" i="11"/>
  <c r="M44" i="11"/>
  <c r="Q43" i="11"/>
  <c r="M43" i="11"/>
  <c r="Q42" i="11"/>
  <c r="M42" i="11"/>
  <c r="Q41" i="11"/>
  <c r="M41" i="11"/>
  <c r="Q40" i="11"/>
  <c r="M40" i="11"/>
  <c r="Q39" i="11"/>
  <c r="M39" i="11"/>
  <c r="S50" i="11"/>
  <c r="O50" i="11"/>
  <c r="R50" i="11"/>
  <c r="M39" i="7"/>
  <c r="P48" i="18" l="1"/>
  <c r="AA48" i="18" s="1"/>
  <c r="P41" i="18"/>
  <c r="AA41" i="18" s="1"/>
  <c r="U45" i="11"/>
  <c r="T46" i="18"/>
  <c r="AE46" i="18" s="1"/>
  <c r="R45" i="18"/>
  <c r="AC45" i="18" s="1"/>
  <c r="P40" i="18"/>
  <c r="AA40" i="18" s="1"/>
  <c r="P43" i="18"/>
  <c r="AA43" i="18" s="1"/>
  <c r="P39" i="18"/>
  <c r="AA39" i="18" s="1"/>
  <c r="P44" i="18"/>
  <c r="AA44" i="18" s="1"/>
  <c r="R47" i="18"/>
  <c r="AC47" i="18" s="1"/>
  <c r="M45" i="18"/>
  <c r="X45" i="18" s="1"/>
  <c r="U41" i="15"/>
  <c r="T47" i="18"/>
  <c r="AE47" i="18" s="1"/>
  <c r="T45" i="18"/>
  <c r="AE45" i="18" s="1"/>
  <c r="Q45" i="18"/>
  <c r="AB45" i="18" s="1"/>
  <c r="Q46" i="18"/>
  <c r="AB46" i="18" s="1"/>
  <c r="P46" i="18"/>
  <c r="AA46" i="18" s="1"/>
  <c r="P42" i="18"/>
  <c r="AA42" i="18" s="1"/>
  <c r="M46" i="18"/>
  <c r="X46" i="18" s="1"/>
  <c r="R46" i="18"/>
  <c r="AC46" i="18" s="1"/>
  <c r="P45" i="18"/>
  <c r="AA45" i="18" s="1"/>
  <c r="N46" i="18"/>
  <c r="Y46" i="18" s="1"/>
  <c r="U48" i="17"/>
  <c r="P49" i="18"/>
  <c r="AA49" i="18" s="1"/>
  <c r="O45" i="18"/>
  <c r="Z45" i="18" s="1"/>
  <c r="M47" i="18"/>
  <c r="X47" i="18" s="1"/>
  <c r="N45" i="18"/>
  <c r="Y45" i="18" s="1"/>
  <c r="U49" i="16"/>
  <c r="U45" i="16"/>
  <c r="N47" i="18"/>
  <c r="Y47" i="18" s="1"/>
  <c r="Q47" i="18"/>
  <c r="AB47" i="18" s="1"/>
  <c r="U42" i="12"/>
  <c r="U39" i="12"/>
  <c r="U47" i="15"/>
  <c r="S47" i="18"/>
  <c r="AD47" i="18" s="1"/>
  <c r="S45" i="18"/>
  <c r="AD45" i="18" s="1"/>
  <c r="S46" i="18"/>
  <c r="AD46" i="18" s="1"/>
  <c r="U44" i="7"/>
  <c r="U45" i="7"/>
  <c r="U46" i="13"/>
  <c r="U46" i="15"/>
  <c r="U47" i="17"/>
  <c r="U46" i="11"/>
  <c r="U45" i="15"/>
  <c r="U42" i="15"/>
  <c r="O47" i="18"/>
  <c r="Z47" i="18" s="1"/>
  <c r="U46" i="12"/>
  <c r="U33" i="18"/>
  <c r="U30" i="18"/>
  <c r="U28" i="18"/>
  <c r="J33" i="18"/>
  <c r="J29" i="18"/>
  <c r="J28" i="18"/>
  <c r="J30" i="18"/>
  <c r="U40" i="11"/>
  <c r="U39" i="17"/>
  <c r="U39" i="16"/>
  <c r="U49" i="13"/>
  <c r="U45" i="13"/>
  <c r="O46" i="18"/>
  <c r="Z46" i="18" s="1"/>
  <c r="U47" i="16"/>
  <c r="U29" i="18"/>
  <c r="U43" i="11"/>
  <c r="U44" i="13"/>
  <c r="U45" i="12"/>
  <c r="U45" i="14"/>
  <c r="U46" i="17"/>
  <c r="U42" i="14"/>
  <c r="U50" i="7"/>
  <c r="U50" i="17"/>
  <c r="U50" i="11"/>
  <c r="U40" i="16"/>
  <c r="U44" i="16"/>
  <c r="U43" i="14"/>
  <c r="U49" i="17"/>
  <c r="U40" i="15"/>
  <c r="U44" i="12"/>
  <c r="U41" i="14"/>
  <c r="U49" i="11"/>
  <c r="U40" i="13"/>
  <c r="U41" i="16"/>
  <c r="U41" i="13"/>
  <c r="U42" i="16"/>
  <c r="U42" i="17"/>
  <c r="U40" i="7"/>
  <c r="U39" i="15"/>
  <c r="U48" i="7"/>
  <c r="U48" i="16"/>
  <c r="U41" i="17"/>
  <c r="U24" i="18"/>
  <c r="J26" i="18"/>
  <c r="U22" i="18"/>
  <c r="U27" i="18"/>
  <c r="J24" i="18"/>
  <c r="J27" i="18"/>
  <c r="J22" i="18"/>
  <c r="U23" i="18"/>
  <c r="U32" i="18"/>
  <c r="J31" i="18"/>
  <c r="U31" i="18"/>
  <c r="U25" i="18"/>
  <c r="J23" i="18"/>
  <c r="J25" i="18"/>
  <c r="J32" i="18"/>
  <c r="U26" i="18"/>
  <c r="U49" i="7"/>
  <c r="U43" i="7"/>
  <c r="T39" i="7"/>
  <c r="U42" i="7"/>
  <c r="Q43" i="7"/>
  <c r="M50" i="7"/>
  <c r="S40" i="7"/>
  <c r="Q50" i="7"/>
  <c r="T43" i="7"/>
  <c r="P50" i="7"/>
  <c r="M44" i="7"/>
  <c r="S48" i="7"/>
  <c r="R48" i="7"/>
  <c r="N43" i="7"/>
  <c r="S39" i="7"/>
  <c r="R39" i="7"/>
  <c r="Q39" i="7"/>
  <c r="R42" i="7"/>
  <c r="Q42" i="7"/>
  <c r="U39" i="7"/>
  <c r="R49" i="7"/>
  <c r="Q49" i="7"/>
  <c r="R44" i="7"/>
  <c r="T48" i="7"/>
  <c r="R41" i="7"/>
  <c r="Q41" i="7"/>
  <c r="R40" i="7"/>
  <c r="Q40" i="7"/>
  <c r="T41" i="7"/>
  <c r="S41" i="7"/>
  <c r="T49" i="7"/>
  <c r="T44" i="7"/>
  <c r="S44" i="7"/>
  <c r="U41" i="7"/>
  <c r="Q50" i="17"/>
  <c r="S39" i="17"/>
  <c r="S40" i="17"/>
  <c r="S41" i="17"/>
  <c r="S42" i="17"/>
  <c r="S43" i="17"/>
  <c r="S44" i="17"/>
  <c r="S48" i="17"/>
  <c r="S49" i="17"/>
  <c r="U44" i="17"/>
  <c r="R50" i="17"/>
  <c r="R39" i="17"/>
  <c r="R40" i="17"/>
  <c r="R41" i="17"/>
  <c r="R42" i="17"/>
  <c r="R43" i="17"/>
  <c r="R44" i="17"/>
  <c r="R48" i="17"/>
  <c r="R49" i="17"/>
  <c r="Q39" i="17"/>
  <c r="Q40" i="17"/>
  <c r="Q41" i="17"/>
  <c r="Q42" i="17"/>
  <c r="Q43" i="17"/>
  <c r="Q44" i="17"/>
  <c r="Q48" i="17"/>
  <c r="Q49" i="17"/>
  <c r="P50" i="16"/>
  <c r="M39" i="16"/>
  <c r="M40" i="16"/>
  <c r="M41" i="16"/>
  <c r="M42" i="16"/>
  <c r="M43" i="16"/>
  <c r="M44" i="16"/>
  <c r="M48" i="16"/>
  <c r="M49" i="16"/>
  <c r="U50" i="16"/>
  <c r="T39" i="16"/>
  <c r="T40" i="16"/>
  <c r="T41" i="16"/>
  <c r="T42" i="16"/>
  <c r="T43" i="16"/>
  <c r="T44" i="16"/>
  <c r="T48" i="16"/>
  <c r="T49" i="16"/>
  <c r="U48" i="15"/>
  <c r="S39" i="15"/>
  <c r="S40" i="15"/>
  <c r="S41" i="15"/>
  <c r="S42" i="15"/>
  <c r="S43" i="15"/>
  <c r="S44" i="15"/>
  <c r="S48" i="15"/>
  <c r="S49" i="15"/>
  <c r="U44" i="15"/>
  <c r="R39" i="15"/>
  <c r="R40" i="15"/>
  <c r="R41" i="15"/>
  <c r="R42" i="15"/>
  <c r="R43" i="15"/>
  <c r="R44" i="15"/>
  <c r="R48" i="15"/>
  <c r="R49" i="15"/>
  <c r="Q39" i="15"/>
  <c r="Q40" i="15"/>
  <c r="Q41" i="15"/>
  <c r="Q42" i="15"/>
  <c r="Q43" i="15"/>
  <c r="Q44" i="15"/>
  <c r="Q48" i="15"/>
  <c r="Q49" i="15"/>
  <c r="M39" i="15"/>
  <c r="M40" i="15"/>
  <c r="M41" i="15"/>
  <c r="M42" i="15"/>
  <c r="M43" i="15"/>
  <c r="M44" i="15"/>
  <c r="M48" i="15"/>
  <c r="M49" i="15"/>
  <c r="U50" i="15"/>
  <c r="U49" i="15"/>
  <c r="T39" i="15"/>
  <c r="T40" i="15"/>
  <c r="T41" i="15"/>
  <c r="T42" i="15"/>
  <c r="T43" i="15"/>
  <c r="T44" i="15"/>
  <c r="T48" i="15"/>
  <c r="T49" i="15"/>
  <c r="U39" i="14"/>
  <c r="M39" i="14"/>
  <c r="M40" i="14"/>
  <c r="M41" i="14"/>
  <c r="M42" i="14"/>
  <c r="M43" i="14"/>
  <c r="M44" i="14"/>
  <c r="M48" i="14"/>
  <c r="M49" i="14"/>
  <c r="U50" i="14"/>
  <c r="Q39" i="14"/>
  <c r="Q40" i="14"/>
  <c r="Q41" i="14"/>
  <c r="Q42" i="14"/>
  <c r="Q43" i="14"/>
  <c r="Q44" i="14"/>
  <c r="Q48" i="14"/>
  <c r="Q49" i="14"/>
  <c r="U48" i="14"/>
  <c r="N39" i="14"/>
  <c r="N40" i="14"/>
  <c r="N41" i="14"/>
  <c r="N42" i="14"/>
  <c r="N43" i="14"/>
  <c r="N44" i="14"/>
  <c r="N48" i="14"/>
  <c r="N49" i="14"/>
  <c r="U44" i="14"/>
  <c r="O39" i="14"/>
  <c r="O40" i="14"/>
  <c r="O41" i="14"/>
  <c r="O42" i="14"/>
  <c r="O43" i="14"/>
  <c r="O44" i="14"/>
  <c r="O48" i="14"/>
  <c r="O49" i="14"/>
  <c r="U49" i="14"/>
  <c r="U39" i="13"/>
  <c r="U48" i="13"/>
  <c r="O39" i="13"/>
  <c r="O40" i="13"/>
  <c r="O41" i="13"/>
  <c r="O42" i="13"/>
  <c r="O43" i="13"/>
  <c r="O44" i="13"/>
  <c r="O48" i="13"/>
  <c r="O49" i="13"/>
  <c r="S39" i="13"/>
  <c r="S40" i="13"/>
  <c r="S41" i="13"/>
  <c r="S42" i="13"/>
  <c r="S43" i="13"/>
  <c r="S44" i="13"/>
  <c r="S48" i="13"/>
  <c r="S49" i="13"/>
  <c r="O50" i="13"/>
  <c r="U42" i="13"/>
  <c r="U49" i="12"/>
  <c r="U41" i="12"/>
  <c r="N39" i="12"/>
  <c r="N40" i="12"/>
  <c r="N41" i="12"/>
  <c r="N42" i="12"/>
  <c r="N43" i="12"/>
  <c r="N44" i="12"/>
  <c r="N48" i="12"/>
  <c r="N49" i="12"/>
  <c r="U48" i="12"/>
  <c r="Q39" i="12"/>
  <c r="Q40" i="12"/>
  <c r="Q41" i="12"/>
  <c r="Q42" i="12"/>
  <c r="Q43" i="12"/>
  <c r="Q44" i="12"/>
  <c r="Q48" i="12"/>
  <c r="Q49" i="12"/>
  <c r="U40" i="12"/>
  <c r="P39" i="12"/>
  <c r="P40" i="12"/>
  <c r="P41" i="12"/>
  <c r="P42" i="12"/>
  <c r="P43" i="12"/>
  <c r="P44" i="12"/>
  <c r="P48" i="12"/>
  <c r="P49" i="12"/>
  <c r="M39" i="12"/>
  <c r="M40" i="12"/>
  <c r="M41" i="12"/>
  <c r="M42" i="12"/>
  <c r="M43" i="12"/>
  <c r="M44" i="12"/>
  <c r="M48" i="12"/>
  <c r="M49" i="12"/>
  <c r="U50" i="12"/>
  <c r="T39" i="12"/>
  <c r="T40" i="12"/>
  <c r="T41" i="12"/>
  <c r="T42" i="12"/>
  <c r="T43" i="12"/>
  <c r="T44" i="12"/>
  <c r="T48" i="12"/>
  <c r="T49" i="12"/>
  <c r="U41" i="11"/>
  <c r="S39" i="18"/>
  <c r="AD39" i="18" s="1"/>
  <c r="O39" i="11"/>
  <c r="O40" i="11"/>
  <c r="O41" i="11"/>
  <c r="O42" i="11"/>
  <c r="O43" i="11"/>
  <c r="O44" i="11"/>
  <c r="O48" i="11"/>
  <c r="O49" i="11"/>
  <c r="N39" i="11"/>
  <c r="N40" i="11"/>
  <c r="N41" i="11"/>
  <c r="N42" i="11"/>
  <c r="N43" i="11"/>
  <c r="N44" i="11"/>
  <c r="N48" i="11"/>
  <c r="N49" i="11"/>
  <c r="O50" i="18"/>
  <c r="Z50" i="18" s="1"/>
  <c r="R39" i="11"/>
  <c r="R40" i="11"/>
  <c r="R41" i="11"/>
  <c r="R42" i="11"/>
  <c r="R43" i="11"/>
  <c r="R44" i="11"/>
  <c r="R48" i="11"/>
  <c r="R49" i="11"/>
  <c r="N50" i="11"/>
  <c r="U44" i="11"/>
  <c r="U48" i="11"/>
  <c r="S39" i="11"/>
  <c r="S40" i="11"/>
  <c r="S41" i="11"/>
  <c r="S42" i="11"/>
  <c r="S43" i="11"/>
  <c r="S44" i="11"/>
  <c r="S48" i="11"/>
  <c r="S49" i="11"/>
  <c r="P50" i="11"/>
  <c r="M50" i="11"/>
  <c r="U40" i="17"/>
  <c r="T50" i="17"/>
  <c r="P50" i="17"/>
  <c r="U43" i="16"/>
  <c r="N50" i="16"/>
  <c r="Q50" i="16"/>
  <c r="R50" i="16"/>
  <c r="M50" i="16"/>
  <c r="U43" i="15"/>
  <c r="N50" i="15"/>
  <c r="Q50" i="15"/>
  <c r="R50" i="15"/>
  <c r="M50" i="15"/>
  <c r="P50" i="14"/>
  <c r="Q50" i="14"/>
  <c r="P39" i="14"/>
  <c r="T39" i="14"/>
  <c r="P40" i="14"/>
  <c r="T40" i="14"/>
  <c r="P41" i="14"/>
  <c r="T41" i="14"/>
  <c r="P42" i="14"/>
  <c r="T42" i="14"/>
  <c r="P43" i="14"/>
  <c r="T43" i="14"/>
  <c r="P44" i="14"/>
  <c r="T44" i="14"/>
  <c r="P48" i="14"/>
  <c r="T48" i="14"/>
  <c r="P49" i="14"/>
  <c r="T49" i="14"/>
  <c r="U40" i="14"/>
  <c r="T50" i="14"/>
  <c r="O50" i="14"/>
  <c r="M50" i="13"/>
  <c r="R50" i="13"/>
  <c r="P39" i="13"/>
  <c r="T39" i="13"/>
  <c r="P40" i="13"/>
  <c r="T40" i="13"/>
  <c r="P41" i="13"/>
  <c r="T41" i="13"/>
  <c r="P42" i="13"/>
  <c r="T42" i="13"/>
  <c r="P43" i="13"/>
  <c r="T43" i="13"/>
  <c r="P44" i="13"/>
  <c r="T44" i="13"/>
  <c r="P48" i="13"/>
  <c r="T48" i="13"/>
  <c r="P49" i="13"/>
  <c r="T49" i="13"/>
  <c r="Q50" i="13"/>
  <c r="U43" i="13"/>
  <c r="N50" i="13"/>
  <c r="N39" i="13"/>
  <c r="R39" i="13"/>
  <c r="N40" i="13"/>
  <c r="R40" i="13"/>
  <c r="N41" i="13"/>
  <c r="R41" i="13"/>
  <c r="N42" i="13"/>
  <c r="R42" i="13"/>
  <c r="N43" i="13"/>
  <c r="R43" i="13"/>
  <c r="N44" i="13"/>
  <c r="R44" i="13"/>
  <c r="N48" i="13"/>
  <c r="R48" i="13"/>
  <c r="N49" i="13"/>
  <c r="R49" i="13"/>
  <c r="M39" i="13"/>
  <c r="Q39" i="13"/>
  <c r="M40" i="13"/>
  <c r="Q40" i="13"/>
  <c r="M41" i="13"/>
  <c r="Q41" i="13"/>
  <c r="M42" i="13"/>
  <c r="Q42" i="13"/>
  <c r="M43" i="13"/>
  <c r="Q43" i="13"/>
  <c r="M44" i="13"/>
  <c r="Q44" i="13"/>
  <c r="M48" i="13"/>
  <c r="Q48" i="13"/>
  <c r="M49" i="13"/>
  <c r="Q49" i="13"/>
  <c r="U50" i="13"/>
  <c r="U43" i="12"/>
  <c r="N50" i="12"/>
  <c r="Q50" i="12"/>
  <c r="R50" i="12"/>
  <c r="M50" i="12"/>
  <c r="P39" i="11"/>
  <c r="T39" i="11"/>
  <c r="P40" i="11"/>
  <c r="T40" i="11"/>
  <c r="P41" i="11"/>
  <c r="T41" i="11"/>
  <c r="P42" i="11"/>
  <c r="T42" i="11"/>
  <c r="P43" i="11"/>
  <c r="T43" i="11"/>
  <c r="P44" i="11"/>
  <c r="T44" i="11"/>
  <c r="P48" i="11"/>
  <c r="T48" i="11"/>
  <c r="P49" i="11"/>
  <c r="T49" i="11"/>
  <c r="U42" i="11"/>
  <c r="T50" i="11"/>
  <c r="Q50" i="11"/>
  <c r="U43" i="18" l="1"/>
  <c r="AF43" i="18" s="1"/>
  <c r="U46" i="18"/>
  <c r="AF46" i="18" s="1"/>
  <c r="U50" i="18"/>
  <c r="AF50" i="18" s="1"/>
  <c r="U47" i="18"/>
  <c r="AF47" i="18" s="1"/>
  <c r="U45" i="18"/>
  <c r="AF45" i="18" s="1"/>
  <c r="M50" i="18"/>
  <c r="X50" i="18" s="1"/>
  <c r="T42" i="18"/>
  <c r="AE42" i="18" s="1"/>
  <c r="N41" i="18"/>
  <c r="Y41" i="18" s="1"/>
  <c r="T50" i="18"/>
  <c r="AE50" i="18" s="1"/>
  <c r="U40" i="18"/>
  <c r="AF40" i="18" s="1"/>
  <c r="U41" i="18"/>
  <c r="AF41" i="18" s="1"/>
  <c r="T43" i="18"/>
  <c r="AE43" i="18" s="1"/>
  <c r="M40" i="18"/>
  <c r="X40" i="18" s="1"/>
  <c r="T41" i="18"/>
  <c r="AE41" i="18" s="1"/>
  <c r="M39" i="18"/>
  <c r="X39" i="18" s="1"/>
  <c r="U39" i="18"/>
  <c r="AF39" i="18" s="1"/>
  <c r="T48" i="18"/>
  <c r="AE48" i="18" s="1"/>
  <c r="O40" i="18"/>
  <c r="Z40" i="18" s="1"/>
  <c r="T39" i="18"/>
  <c r="AE39" i="18" s="1"/>
  <c r="M48" i="18"/>
  <c r="X48" i="18" s="1"/>
  <c r="U42" i="18"/>
  <c r="AF42" i="18" s="1"/>
  <c r="Q48" i="18"/>
  <c r="AB48" i="18" s="1"/>
  <c r="Q49" i="18"/>
  <c r="AB49" i="18" s="1"/>
  <c r="S49" i="18"/>
  <c r="AD49" i="18" s="1"/>
  <c r="U49" i="18"/>
  <c r="AF49" i="18" s="1"/>
  <c r="T44" i="18"/>
  <c r="AE44" i="18" s="1"/>
  <c r="T49" i="18"/>
  <c r="AE49" i="18" s="1"/>
  <c r="N42" i="18"/>
  <c r="Y42" i="18" s="1"/>
  <c r="N43" i="18"/>
  <c r="Y43" i="18" s="1"/>
  <c r="Q39" i="18"/>
  <c r="AB39" i="18" s="1"/>
  <c r="M41" i="18"/>
  <c r="X41" i="18" s="1"/>
  <c r="T40" i="18"/>
  <c r="AE40" i="18" s="1"/>
  <c r="U48" i="18"/>
  <c r="AF48" i="18" s="1"/>
  <c r="U44" i="18"/>
  <c r="AF44" i="18" s="1"/>
  <c r="M43" i="18"/>
  <c r="X43" i="18" s="1"/>
  <c r="Q42" i="18"/>
  <c r="AB42" i="18" s="1"/>
  <c r="S40" i="18"/>
  <c r="AD40" i="18" s="1"/>
  <c r="N49" i="18"/>
  <c r="Y49" i="18" s="1"/>
  <c r="N40" i="18"/>
  <c r="Y40" i="18" s="1"/>
  <c r="R48" i="18"/>
  <c r="AC48" i="18" s="1"/>
  <c r="R39" i="18"/>
  <c r="AC39" i="18" s="1"/>
  <c r="S43" i="18"/>
  <c r="AD43" i="18" s="1"/>
  <c r="N50" i="18"/>
  <c r="Y50" i="18" s="1"/>
  <c r="O48" i="18"/>
  <c r="Z48" i="18" s="1"/>
  <c r="S50" i="18"/>
  <c r="AD50" i="18" s="1"/>
  <c r="R40" i="18"/>
  <c r="AC40" i="18" s="1"/>
  <c r="S44" i="18"/>
  <c r="AD44" i="18" s="1"/>
  <c r="R50" i="18"/>
  <c r="AC50" i="18" s="1"/>
  <c r="O39" i="18"/>
  <c r="Z39" i="18" s="1"/>
  <c r="Q43" i="18"/>
  <c r="AB43" i="18" s="1"/>
  <c r="N44" i="18"/>
  <c r="Y44" i="18" s="1"/>
  <c r="R41" i="18"/>
  <c r="AC41" i="18" s="1"/>
  <c r="S42" i="18"/>
  <c r="AD42" i="18" s="1"/>
  <c r="M44" i="18"/>
  <c r="X44" i="18" s="1"/>
  <c r="N48" i="18"/>
  <c r="Y48" i="18" s="1"/>
  <c r="N39" i="18"/>
  <c r="Y39" i="18" s="1"/>
  <c r="Q40" i="18"/>
  <c r="AB40" i="18" s="1"/>
  <c r="M49" i="18"/>
  <c r="X49" i="18" s="1"/>
  <c r="S41" i="18"/>
  <c r="AD41" i="18" s="1"/>
  <c r="R49" i="18"/>
  <c r="AC49" i="18" s="1"/>
  <c r="R42" i="18"/>
  <c r="AC42" i="18" s="1"/>
  <c r="O49" i="18"/>
  <c r="Z49" i="18" s="1"/>
  <c r="O42" i="18"/>
  <c r="Z42" i="18" s="1"/>
  <c r="R43" i="18"/>
  <c r="AC43" i="18" s="1"/>
  <c r="S48" i="18"/>
  <c r="AD48" i="18" s="1"/>
  <c r="O43" i="18"/>
  <c r="Z43" i="18" s="1"/>
  <c r="Q44" i="18"/>
  <c r="AB44" i="18" s="1"/>
  <c r="Q41" i="18"/>
  <c r="AB41" i="18" s="1"/>
  <c r="Q50" i="18"/>
  <c r="AB50" i="18" s="1"/>
  <c r="R44" i="18"/>
  <c r="AC44" i="18" s="1"/>
  <c r="M42" i="18"/>
  <c r="X42" i="18" s="1"/>
  <c r="O44" i="18"/>
  <c r="Z44" i="18" s="1"/>
  <c r="O41" i="18"/>
  <c r="Z41" i="18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<sst xmlns="http://schemas.openxmlformats.org/spreadsheetml/2006/main" count="1105" uniqueCount="60">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</sst>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5" fillId="5" borderId="0">
      <alignment wrapText="1"/>
    </xf>
    <xf numFmtId="165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5" fontId="5" fillId="0" borderId="0">
      <alignment wrapText="1"/>
    </xf>
  </cellStyleXfs>
  <cellXfs count="3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0" fillId="0" borderId="2" xfId="0" applyBorder="1"/>
    <xf numFmtId="0" fontId="0" fillId="0" borderId="2" xfId="0" applyBorder="1" applyAlignment="1">
      <alignment horizontal="center"/>
    </xf>
    <xf numFmtId="3" fontId="0" fillId="0" borderId="0" xfId="0" applyNumberFormat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2" xfId="0" applyNumberFormat="1" applyBorder="1"/>
    <xf numFmtId="0" fontId="0" fillId="0" borderId="0" xfId="0" applyBorder="1" applyAlignment="1">
      <alignment horizontal="center"/>
    </xf>
    <xf numFmtId="0" fontId="0" fillId="0" borderId="3" xfId="0" applyFill="1" applyBorder="1"/>
    <xf numFmtId="164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3" fontId="0" fillId="0" borderId="3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3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/>
    </xf>
    <xf numFmtId="0" fontId="0" fillId="4" borderId="0" xfId="0" applyFill="1"/>
    <xf numFmtId="3" fontId="0" fillId="4" borderId="1" xfId="0" applyNumberFormat="1" applyFill="1" applyBorder="1"/>
    <xf numFmtId="164" fontId="0" fillId="4" borderId="3" xfId="0" applyNumberFormat="1" applyFill="1" applyBorder="1"/>
    <xf numFmtId="0" fontId="4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8">
    <cellStyle name="Normal" xfId="0" builtin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theme/theme1.xml" Type="http://schemas.openxmlformats.org/officeDocument/2006/relationships/theme"/><Relationship Id="rId12" Target="styles.xml" Type="http://schemas.openxmlformats.org/officeDocument/2006/relationships/styles"/><Relationship Id="rId13" Target="sharedStrings.xml" Type="http://schemas.openxmlformats.org/officeDocument/2006/relationships/sharedStrings"/><Relationship Id="rId14" Target="calcChain.xml" Type="http://schemas.openxmlformats.org/officeDocument/2006/relationships/calcChain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  <col min="24" max="24" customWidth="true" width="25.0" collapsed="true"/>
    <col min="25" max="33" customWidth="true" width="10.73046875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>
        <f>SUM(Work!B5,Workbased!B5,School!B5,Escort!B5,Personal_Business!B5,Shop!B5,Meal!B5,SocRec!B5)</f>
        <v>4912807.2340688501</v>
      </c>
      <c r="C5" s="6">
        <f>SUM(Work!C5,Workbased!C5,School!C5,Escort!C5,Personal_Business!C5,Shop!C5,Meal!C5,SocRec!C5)</f>
        <v>742279.64206545323</v>
      </c>
      <c r="D5" s="6">
        <f>SUM(Work!D5,Workbased!D5,School!D5,Escort!D5,Personal_Business!D5,Shop!D5,Meal!D5,SocRec!D5)</f>
        <v>319823.31880495488</v>
      </c>
      <c r="E5" s="6">
        <f>SUM(Work!E5,Workbased!E5,School!E5,Escort!E5,Personal_Business!E5,Shop!E5,Meal!E5,SocRec!E5)</f>
        <v>102403.18352786377</v>
      </c>
      <c r="F5" s="6">
        <f>SUM(Work!F5,Workbased!F5,School!F5,Escort!F5,Personal_Business!F5,Shop!F5,Meal!F5,SocRec!F5)</f>
        <v>14139.133774352698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1225.2074361340001</v>
      </c>
      <c r="J5" s="6">
        <f>SUM(B5:I5)</f>
        <v>6092677.7196776085</v>
      </c>
      <c r="K5" s="6"/>
      <c r="L5" t="s">
        <v>1</v>
      </c>
      <c r="M5" s="6">
        <f>SUM(Work!M5,Workbased!M5,School!M5,Escort!M5,Personal_Business!M5,Shop!M5,Meal!M5,SocRec!M5)</f>
        <v>5294771</v>
      </c>
      <c r="N5" s="6">
        <f>SUM(Work!N5,Workbased!N5,School!N5,Escort!N5,Personal_Business!N5,Shop!N5,Meal!N5,SocRec!N5)</f>
        <v>879449</v>
      </c>
      <c r="O5" s="6">
        <f>SUM(Work!O5,Workbased!O5,School!O5,Escort!O5,Personal_Business!O5,Shop!O5,Meal!O5,SocRec!O5)</f>
        <v>376075</v>
      </c>
      <c r="P5" s="6">
        <f>SUM(Work!P5,Workbased!P5,School!P5,Escort!P5,Personal_Business!P5,Shop!P5,Meal!P5,SocRec!P5)</f>
        <v>114500</v>
      </c>
      <c r="Q5" s="6">
        <f>SUM(Work!Q5,Workbased!Q5,School!Q5,Escort!Q5,Personal_Business!Q5,Shop!Q5,Meal!Q5,SocRec!Q5)</f>
        <v>24097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1053</v>
      </c>
      <c r="U5" s="6">
        <f t="shared" ref="U5:U15" si="0">SUM(M5:T5)</f>
        <v>6689945</v>
      </c>
    </row>
    <row r="6" spans="1:21" x14ac:dyDescent="0.4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2570645.9807942421</v>
      </c>
      <c r="D6" s="6">
        <f>SUM(Work!D6,Workbased!D6,School!D6,Escort!D6,Personal_Business!D6,Shop!D6,Meal!D6,SocRec!D6)</f>
        <v>510299.52757705061</v>
      </c>
      <c r="E6" s="6">
        <f>SUM(Work!E6,Workbased!E6,School!E6,Escort!E6,Personal_Business!E6,Shop!E6,Meal!E6,SocRec!E6)</f>
        <v>4105.9080229216997</v>
      </c>
      <c r="F6" s="6">
        <f>SUM(Work!F6,Workbased!F6,School!F6,Escort!F6,Personal_Business!F6,Shop!F6,Meal!F6,SocRec!F6)</f>
        <v>70756.962624445601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41443.326479024006</v>
      </c>
      <c r="J6" s="6">
        <f t="shared" ref="J6:J15" si="1">SUM(B6:I6)</f>
        <v>3197251.7054976835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3097785</v>
      </c>
      <c r="O6" s="6">
        <f>SUM(Work!O6,Workbased!O6,School!O6,Escort!O6,Personal_Business!O6,Shop!O6,Meal!O6,SocRec!O6)</f>
        <v>587305</v>
      </c>
      <c r="P6" s="6">
        <f>SUM(Work!P6,Workbased!P6,School!P6,Escort!P6,Personal_Business!P6,Shop!P6,Meal!P6,SocRec!P6)</f>
        <v>8081</v>
      </c>
      <c r="Q6" s="6">
        <f>SUM(Work!Q6,Workbased!Q6,School!Q6,Escort!Q6,Personal_Business!Q6,Shop!Q6,Meal!Q6,SocRec!Q6)</f>
        <v>47394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54488</v>
      </c>
      <c r="U6" s="6">
        <f t="shared" si="0"/>
        <v>3795053</v>
      </c>
    </row>
    <row r="7" spans="1:21" x14ac:dyDescent="0.4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2279928.7427007793</v>
      </c>
      <c r="E7" s="6">
        <f>SUM(Work!E7,Workbased!E7,School!E7,Escort!E7,Personal_Business!E7,Shop!E7,Meal!E7,SocRec!E7)</f>
        <v>3536.5975385330003</v>
      </c>
      <c r="F7" s="6">
        <f>SUM(Work!F7,Workbased!F7,School!F7,Escort!F7,Personal_Business!F7,Shop!F7,Meal!F7,SocRec!F7)</f>
        <v>16442.458682125998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66371.082999999999</v>
      </c>
      <c r="J7" s="6">
        <f t="shared" si="1"/>
        <v>2366278.8819214385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2634044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22013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55065</v>
      </c>
      <c r="U7" s="6">
        <f t="shared" si="0"/>
        <v>2711122</v>
      </c>
    </row>
    <row r="8" spans="1:21" x14ac:dyDescent="0.4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98979.425015788482</v>
      </c>
      <c r="F8" s="6">
        <f>SUM(Work!F8,Workbased!F8,School!F8,Escort!F8,Personal_Business!F8,Shop!F8,Meal!F8,SocRec!F8)</f>
        <v>606060.60068406642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9930.1187767880001</v>
      </c>
      <c r="J8" s="6">
        <f t="shared" si="1"/>
        <v>714970.14447664295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92056</v>
      </c>
      <c r="Q8" s="6">
        <f>SUM(Work!Q8,Workbased!Q8,School!Q8,Escort!Q8,Personal_Business!Q8,Shop!Q8,Meal!Q8,SocRec!Q8)</f>
        <v>348826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158</v>
      </c>
      <c r="U8" s="6">
        <f t="shared" si="0"/>
        <v>441040</v>
      </c>
    </row>
    <row r="9" spans="1:21" x14ac:dyDescent="0.4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2479.7092862560999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t="shared" si="1"/>
        <v>2479.7092862560999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t="shared" si="0"/>
        <v>0</v>
      </c>
    </row>
    <row r="10" spans="1:21" x14ac:dyDescent="0.4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t="shared" si="1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t="shared" si="0"/>
        <v>0</v>
      </c>
    </row>
    <row r="11" spans="1:21" x14ac:dyDescent="0.4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t="shared" si="1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t="shared" si="0"/>
        <v>0</v>
      </c>
    </row>
    <row r="12" spans="1:21" x14ac:dyDescent="0.4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t="shared" si="1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t="shared" si="0"/>
        <v>0</v>
      </c>
    </row>
    <row r="13" spans="1:21" x14ac:dyDescent="0.4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330427.71211364598</v>
      </c>
      <c r="J13" s="6">
        <f t="shared" si="1"/>
        <v>330427.71211364598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347730</v>
      </c>
      <c r="U13" s="6">
        <f t="shared" si="0"/>
        <v>347730</v>
      </c>
    </row>
    <row r="14" spans="1:21" x14ac:dyDescent="0.45">
      <c r="A14" t="s">
        <v>4</v>
      </c>
      <c r="B14" s="6">
        <f>SUM(Work!B14,Workbased!B14,School!B14,Escort!B14,Personal_Business!B14,Shop!B14,Meal!B14,SocRec!B14)</f>
        <v>3124.7290846010001</v>
      </c>
      <c r="C14" s="6">
        <f>SUM(Work!C14,Workbased!C14,School!C14,Escort!C14,Personal_Business!C14,Shop!C14,Meal!C14,SocRec!C14)</f>
        <v>13309.757100214902</v>
      </c>
      <c r="D14" s="6">
        <f>SUM(Work!D14,Workbased!D14,School!D14,Escort!D14,Personal_Business!D14,Shop!D14,Meal!D14,SocRec!D14)</f>
        <v>10448.757249194001</v>
      </c>
      <c r="E14" s="6">
        <f>SUM(Work!E14,Workbased!E14,School!E14,Escort!E14,Personal_Business!E14,Shop!E14,Meal!E14,SocRec!E14)</f>
        <v>243.46345759299999</v>
      </c>
      <c r="F14" s="6">
        <f>SUM(Work!F14,Workbased!F14,School!F14,Escort!F14,Personal_Business!F14,Shop!F14,Meal!F14,SocRec!F14)</f>
        <v>8022.5949984507997</v>
      </c>
      <c r="G14" s="6">
        <f>SUM(Work!G14,Workbased!G14,School!G14,Escort!G14,Personal_Business!G14,Shop!G14,Meal!G14,SocRec!G14)</f>
        <v>167488.08024078258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3038.6592608359997</v>
      </c>
      <c r="J14" s="6">
        <f t="shared" si="1"/>
        <v>205676.04139167228</v>
      </c>
      <c r="K14" s="6"/>
      <c r="L14" t="s">
        <v>4</v>
      </c>
      <c r="M14" s="6">
        <f>SUM(Work!M14,Workbased!M14,School!M14,Escort!M14,Personal_Business!M14,Shop!M14,Meal!M14,SocRec!M14)</f>
        <v>4653</v>
      </c>
      <c r="N14" s="6">
        <f>SUM(Work!N14,Workbased!N14,School!N14,Escort!N14,Personal_Business!N14,Shop!N14,Meal!N14,SocRec!N14)</f>
        <v>14662</v>
      </c>
      <c r="O14" s="6">
        <f>SUM(Work!O14,Workbased!O14,School!O14,Escort!O14,Personal_Business!O14,Shop!O14,Meal!O14,SocRec!O14)</f>
        <v>12334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5748</v>
      </c>
      <c r="R14" s="6">
        <f>SUM(Work!R14,Workbased!R14,School!R14,Escort!R14,Personal_Business!R14,Shop!R14,Meal!R14,SocRec!R14)</f>
        <v>169375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2387</v>
      </c>
      <c r="U14" s="6">
        <f t="shared" si="0"/>
        <v>209159</v>
      </c>
    </row>
    <row r="15" spans="1:21" x14ac:dyDescent="0.45">
      <c r="A15" s="4" t="s">
        <v>5</v>
      </c>
      <c r="B15" s="6">
        <f>SUM(Work!B15,Workbased!B15,School!B15,Escort!B15,Personal_Business!B15,Shop!B15,Meal!B15,SocRec!B15)</f>
        <v>74657.8532573267</v>
      </c>
      <c r="C15" s="6">
        <f>SUM(Work!C15,Workbased!C15,School!C15,Escort!C15,Personal_Business!C15,Shop!C15,Meal!C15,SocRec!C15)</f>
        <v>55377.158052566097</v>
      </c>
      <c r="D15" s="6">
        <f>SUM(Work!D15,Workbased!D15,School!D15,Escort!D15,Personal_Business!D15,Shop!D15,Meal!D15,SocRec!D15)</f>
        <v>78971.674231611803</v>
      </c>
      <c r="E15" s="6">
        <f>SUM(Work!E15,Workbased!E15,School!E15,Escort!E15,Personal_Business!E15,Shop!E15,Meal!E15,SocRec!E15)</f>
        <v>12730.3133403764</v>
      </c>
      <c r="F15" s="6">
        <f>SUM(Work!F15,Workbased!F15,School!F15,Escort!F15,Personal_Business!F15,Shop!F15,Meal!F15,SocRec!F15)</f>
        <v>197490.87819161516</v>
      </c>
      <c r="G15" s="6">
        <f>SUM(Work!G15,Workbased!G15,School!G15,Escort!G15,Personal_Business!G15,Shop!G15,Meal!G15,SocRec!G15)</f>
        <v>13868.884492029802</v>
      </c>
      <c r="H15" s="6">
        <f>SUM(Work!H15,Workbased!H15,School!H15,Escort!H15,Personal_Business!H15,Shop!H15,Meal!H15,SocRec!H15)</f>
        <v>1437045.7247083341</v>
      </c>
      <c r="I15" s="6">
        <f>SUM(Work!I15,Workbased!I15,School!I15,Escort!I15,Personal_Business!I15,Shop!I15,Meal!I15,SocRec!I15)</f>
        <v>12129.539610361</v>
      </c>
      <c r="J15" s="6">
        <f t="shared" si="1"/>
        <v>1882272.0258842211</v>
      </c>
      <c r="K15" s="6"/>
      <c r="L15" s="4" t="s">
        <v>5</v>
      </c>
      <c r="M15" s="6">
        <f>SUM(Work!M15,Workbased!M15,School!M15,Escort!M15,Personal_Business!M15,Shop!M15,Meal!M15,SocRec!M15)</f>
        <v>274681</v>
      </c>
      <c r="N15" s="6">
        <f>SUM(Work!N15,Workbased!N15,School!N15,Escort!N15,Personal_Business!N15,Shop!N15,Meal!N15,SocRec!N15)</f>
        <v>200205</v>
      </c>
      <c r="O15" s="6">
        <f>SUM(Work!O15,Workbased!O15,School!O15,Escort!O15,Personal_Business!O15,Shop!O15,Meal!O15,SocRec!O15)</f>
        <v>132551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118932</v>
      </c>
      <c r="R15" s="6">
        <f>SUM(Work!R15,Workbased!R15,School!R15,Escort!R15,Personal_Business!R15,Shop!R15,Meal!R15,SocRec!R15)</f>
        <v>29723</v>
      </c>
      <c r="S15" s="6">
        <f>SUM(Work!S15,Workbased!S15,School!S15,Escort!S15,Personal_Business!S15,Shop!S15,Meal!S15,SocRec!S15)</f>
        <v>1331733</v>
      </c>
      <c r="T15" s="6">
        <f>SUM(Work!T15,Workbased!T15,School!T15,Escort!T15,Personal_Business!T15,Shop!T15,Meal!T15,SocRec!T15)</f>
        <v>18630</v>
      </c>
      <c r="U15" s="6">
        <f t="shared" si="0"/>
        <v>2106455</v>
      </c>
    </row>
    <row r="16" spans="1:21" ht="14.65" thickBot="1" x14ac:dyDescent="0.5">
      <c r="A16" s="12" t="s">
        <v>7</v>
      </c>
      <c r="B16" s="16">
        <f t="shared" ref="B16:J16" si="2">SUM(B5:B15)</f>
        <v>4990589.8164107772</v>
      </c>
      <c r="C16" s="16">
        <f t="shared" si="2"/>
        <v>3381612.5380124762</v>
      </c>
      <c r="D16" s="16">
        <f t="shared" si="2"/>
        <v>3199472.0205635908</v>
      </c>
      <c r="E16" s="16">
        <f t="shared" si="2"/>
        <v>221998.89090307633</v>
      </c>
      <c r="F16" s="16">
        <f t="shared" si="2"/>
        <v>915392.33824131289</v>
      </c>
      <c r="G16" s="16">
        <f t="shared" si="2"/>
        <v>181356.9647328124</v>
      </c>
      <c r="H16" s="16">
        <f t="shared" si="2"/>
        <v>1437045.7247083341</v>
      </c>
      <c r="I16" s="16">
        <f t="shared" si="2"/>
        <v>464565.64667678898</v>
      </c>
      <c r="J16" s="16">
        <f t="shared" si="2"/>
        <v>14792033.940249169</v>
      </c>
      <c r="L16" s="9" t="s">
        <v>7</v>
      </c>
      <c r="M16" s="16">
        <f t="shared" ref="M16:U16" si="3">SUM(M5:M15)</f>
        <v>5574105</v>
      </c>
      <c r="N16" s="16">
        <f t="shared" si="3"/>
        <v>4192101</v>
      </c>
      <c r="O16" s="16">
        <f t="shared" si="3"/>
        <v>3742309</v>
      </c>
      <c r="P16" s="16">
        <f t="shared" si="3"/>
        <v>214637</v>
      </c>
      <c r="Q16" s="16">
        <f t="shared" si="3"/>
        <v>567010</v>
      </c>
      <c r="R16" s="16">
        <f t="shared" si="3"/>
        <v>199098</v>
      </c>
      <c r="S16" s="16">
        <f t="shared" si="3"/>
        <v>1331733</v>
      </c>
      <c r="T16" s="16">
        <f t="shared" si="3"/>
        <v>479511</v>
      </c>
      <c r="U16" s="16">
        <f t="shared" si="3"/>
        <v>16300504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D33" si="4">B5/B$16</f>
        <v>0.9844141503903705</v>
      </c>
      <c r="C22" s="13">
        <f t="shared" si="4"/>
        <v>0.21950463978990448</v>
      </c>
      <c r="D22" s="13">
        <f t="shared" si="4"/>
        <v>9.9961280095400742E-2</v>
      </c>
      <c r="E22" s="13">
        <f t="shared" ref="E22:E33" si="5">IF(E$16&gt;0,E5/E$16,0)</f>
        <v>0.46127790598995616</v>
      </c>
      <c r="F22" s="13">
        <f t="shared" ref="F22:J33" si="6">F5/F$16</f>
        <v>1.5445982212957286E-2</v>
      </c>
      <c r="G22" s="13">
        <f t="shared" si="6"/>
        <v>0</v>
      </c>
      <c r="H22" s="13">
        <f t="shared" si="6"/>
        <v>0</v>
      </c>
      <c r="I22" s="13">
        <f t="shared" si="6"/>
        <v>2.6373182022785477E-3</v>
      </c>
      <c r="J22" s="13">
        <f t="shared" si="6"/>
        <v>0.411889111685947</v>
      </c>
      <c r="K22" s="6"/>
      <c r="L22" t="s">
        <v>1</v>
      </c>
      <c r="M22" s="13">
        <f t="shared" ref="M22:P22" si="7">M5/M$16</f>
        <v>0.94988720162250262</v>
      </c>
      <c r="N22" s="13">
        <f t="shared" si="7"/>
        <v>0.20978716877288978</v>
      </c>
      <c r="O22" s="13">
        <f t="shared" si="7"/>
        <v>0.10049277063973071</v>
      </c>
      <c r="P22" s="13">
        <f t="shared" si="7"/>
        <v>0.53345881651346228</v>
      </c>
      <c r="Q22" s="13">
        <f t="shared" ref="Q22:U33" si="8">Q5/Q$16</f>
        <v>4.24983686354738E-2</v>
      </c>
      <c r="R22" s="13">
        <f t="shared" si="8"/>
        <v>0</v>
      </c>
      <c r="S22" s="13">
        <f t="shared" si="8"/>
        <v>0</v>
      </c>
      <c r="T22" s="13">
        <f t="shared" si="8"/>
        <v>2.1959871619212073E-3</v>
      </c>
      <c r="U22" s="13">
        <f t="shared" si="8"/>
        <v>0.410413383537098</v>
      </c>
    </row>
    <row r="23" spans="1:21" x14ac:dyDescent="0.45">
      <c r="A23" t="s">
        <v>12</v>
      </c>
      <c r="B23" s="13">
        <f t="shared" si="4"/>
        <v>0</v>
      </c>
      <c r="C23" s="13">
        <f t="shared" si="4"/>
        <v>0.76018347811814213</v>
      </c>
      <c r="D23" s="13">
        <f t="shared" si="4"/>
        <v>0.15949491800436522</v>
      </c>
      <c r="E23" s="13">
        <f t="shared" si="5"/>
        <v>1.8495173584963179E-2</v>
      </c>
      <c r="F23" s="13">
        <f t="shared" si="6"/>
        <v>7.7296870061624737E-2</v>
      </c>
      <c r="G23" s="13">
        <f t="shared" si="6"/>
        <v>0</v>
      </c>
      <c r="H23" s="13">
        <f t="shared" si="6"/>
        <v>0</v>
      </c>
      <c r="I23" s="13">
        <f t="shared" si="6"/>
        <v>8.9208762583896484E-2</v>
      </c>
      <c r="J23" s="13">
        <f t="shared" si="6"/>
        <v>0.21614686110190376</v>
      </c>
      <c r="K23" s="6"/>
      <c r="L23" t="s">
        <v>12</v>
      </c>
      <c r="M23" s="13">
        <f t="shared" ref="M23:P23" si="9">M6/M$16</f>
        <v>0</v>
      </c>
      <c r="N23" s="13">
        <f t="shared" si="9"/>
        <v>0.73895762530530629</v>
      </c>
      <c r="O23" s="13">
        <f t="shared" si="9"/>
        <v>0.15693653303348282</v>
      </c>
      <c r="P23" s="13">
        <f t="shared" si="9"/>
        <v>3.7649613067644444E-2</v>
      </c>
      <c r="Q23" s="13">
        <f t="shared" si="8"/>
        <v>8.3585827410451313E-2</v>
      </c>
      <c r="R23" s="13">
        <f t="shared" si="8"/>
        <v>0</v>
      </c>
      <c r="S23" s="13">
        <f t="shared" si="8"/>
        <v>0</v>
      </c>
      <c r="T23" s="13">
        <f t="shared" si="8"/>
        <v>0.11363242970442805</v>
      </c>
      <c r="U23" s="13">
        <f t="shared" si="8"/>
        <v>0.23281813862933318</v>
      </c>
    </row>
    <row r="24" spans="1:21" x14ac:dyDescent="0.45">
      <c r="A24" t="s">
        <v>56</v>
      </c>
      <c r="B24" s="13">
        <f t="shared" si="4"/>
        <v>0</v>
      </c>
      <c r="C24" s="13">
        <f t="shared" si="4"/>
        <v>0</v>
      </c>
      <c r="D24" s="13">
        <f t="shared" si="4"/>
        <v>0.71259530574021623</v>
      </c>
      <c r="E24" s="13">
        <f t="shared" si="5"/>
        <v>1.5930699131632427E-2</v>
      </c>
      <c r="F24" s="13">
        <f t="shared" si="6"/>
        <v>1.796219827851726E-2</v>
      </c>
      <c r="G24" s="13">
        <f t="shared" si="6"/>
        <v>0</v>
      </c>
      <c r="H24" s="13">
        <f t="shared" si="6"/>
        <v>0</v>
      </c>
      <c r="I24" s="13">
        <f t="shared" si="6"/>
        <v>0.14286696288194589</v>
      </c>
      <c r="J24" s="13">
        <f t="shared" si="6"/>
        <v>0.1599698115539599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0.70385529361685528</v>
      </c>
      <c r="P24" s="13">
        <f t="shared" si="10"/>
        <v>0</v>
      </c>
      <c r="Q24" s="13">
        <f t="shared" si="8"/>
        <v>3.882294844888097E-2</v>
      </c>
      <c r="R24" s="13">
        <f t="shared" si="8"/>
        <v>0</v>
      </c>
      <c r="S24" s="13">
        <f t="shared" si="8"/>
        <v>0</v>
      </c>
      <c r="T24" s="13">
        <f t="shared" si="8"/>
        <v>0.11483573890901355</v>
      </c>
      <c r="U24" s="13">
        <f t="shared" si="8"/>
        <v>0.16632136037020695</v>
      </c>
    </row>
    <row r="25" spans="1:21" x14ac:dyDescent="0.45">
      <c r="A25" t="s">
        <v>51</v>
      </c>
      <c r="B25" s="13">
        <f t="shared" si="4"/>
        <v>0</v>
      </c>
      <c r="C25" s="13">
        <f t="shared" si="4"/>
        <v>0</v>
      </c>
      <c r="D25" s="13">
        <f t="shared" si="4"/>
        <v>0</v>
      </c>
      <c r="E25" s="13">
        <f t="shared" si="5"/>
        <v>0.44585549330065088</v>
      </c>
      <c r="F25" s="13">
        <f t="shared" si="6"/>
        <v>0.662077423379415</v>
      </c>
      <c r="G25" s="13">
        <f t="shared" si="6"/>
        <v>0</v>
      </c>
      <c r="H25" s="13">
        <f t="shared" si="6"/>
        <v>0</v>
      </c>
      <c r="I25" s="13">
        <f t="shared" si="6"/>
        <v>2.137506044155834E-2</v>
      </c>
      <c r="J25" s="13">
        <f t="shared" si="6"/>
        <v>4.83348096255517E-2</v>
      </c>
      <c r="K25" s="6"/>
      <c r="L25" t="s">
        <v>51</v>
      </c>
      <c r="M25" s="13">
        <f t="shared" ref="M25:P25" si="11">M8/M$16</f>
        <v>0</v>
      </c>
      <c r="N25" s="13">
        <f t="shared" si="11"/>
        <v>0</v>
      </c>
      <c r="O25" s="13">
        <f t="shared" si="11"/>
        <v>0</v>
      </c>
      <c r="P25" s="13">
        <f t="shared" si="11"/>
        <v>0.42889157041889331</v>
      </c>
      <c r="Q25" s="13">
        <f t="shared" si="8"/>
        <v>0.61520255374684751</v>
      </c>
      <c r="R25" s="13">
        <f t="shared" si="8"/>
        <v>0</v>
      </c>
      <c r="S25" s="13">
        <f t="shared" si="8"/>
        <v>0</v>
      </c>
      <c r="T25" s="13">
        <f t="shared" si="8"/>
        <v>3.2950234718285919E-4</v>
      </c>
      <c r="U25" s="13">
        <f t="shared" si="8"/>
        <v>2.7056832107767957E-2</v>
      </c>
    </row>
    <row r="26" spans="1:21" x14ac:dyDescent="0.45">
      <c r="A26" t="s">
        <v>52</v>
      </c>
      <c r="B26" s="13">
        <f t="shared" si="4"/>
        <v>0</v>
      </c>
      <c r="C26" s="13">
        <f t="shared" si="4"/>
        <v>0</v>
      </c>
      <c r="D26" s="13">
        <f t="shared" si="4"/>
        <v>0</v>
      </c>
      <c r="E26" s="13">
        <f t="shared" si="5"/>
        <v>0</v>
      </c>
      <c r="F26" s="13">
        <f t="shared" si="6"/>
        <v>2.7089032567393051E-3</v>
      </c>
      <c r="G26" s="13">
        <f t="shared" si="6"/>
        <v>0</v>
      </c>
      <c r="H26" s="13">
        <f t="shared" si="6"/>
        <v>0</v>
      </c>
      <c r="I26" s="13">
        <f t="shared" si="6"/>
        <v>0</v>
      </c>
      <c r="J26" s="13">
        <f t="shared" si="6"/>
        <v>1.6763815552834848E-4</v>
      </c>
      <c r="K26" s="6"/>
      <c r="L26" t="s">
        <v>52</v>
      </c>
      <c r="M26" s="13">
        <f t="shared" ref="M26:P26" si="12">M9/M$16</f>
        <v>0</v>
      </c>
      <c r="N26" s="13">
        <f t="shared" si="12"/>
        <v>0</v>
      </c>
      <c r="O26" s="13">
        <f t="shared" si="12"/>
        <v>0</v>
      </c>
      <c r="P26" s="13">
        <f t="shared" si="12"/>
        <v>0</v>
      </c>
      <c r="Q26" s="13">
        <f t="shared" si="8"/>
        <v>0</v>
      </c>
      <c r="R26" s="13">
        <f t="shared" si="8"/>
        <v>0</v>
      </c>
      <c r="S26" s="13">
        <f t="shared" si="8"/>
        <v>0</v>
      </c>
      <c r="T26" s="13">
        <f t="shared" si="8"/>
        <v>0</v>
      </c>
      <c r="U26" s="13">
        <f t="shared" si="8"/>
        <v>0</v>
      </c>
    </row>
    <row r="27" spans="1:21" x14ac:dyDescent="0.45">
      <c r="A27" t="s">
        <v>53</v>
      </c>
      <c r="B27" s="13">
        <f t="shared" si="4"/>
        <v>0</v>
      </c>
      <c r="C27" s="13">
        <f t="shared" si="4"/>
        <v>0</v>
      </c>
      <c r="D27" s="13">
        <f t="shared" si="4"/>
        <v>0</v>
      </c>
      <c r="E27" s="13">
        <f t="shared" si="5"/>
        <v>0</v>
      </c>
      <c r="F27" s="13">
        <f t="shared" si="6"/>
        <v>0</v>
      </c>
      <c r="G27" s="13">
        <f t="shared" si="6"/>
        <v>0</v>
      </c>
      <c r="H27" s="13">
        <f t="shared" si="6"/>
        <v>0</v>
      </c>
      <c r="I27" s="13">
        <f t="shared" si="6"/>
        <v>0</v>
      </c>
      <c r="J27" s="13">
        <f t="shared" si="6"/>
        <v>0</v>
      </c>
      <c r="K27" s="6"/>
      <c r="L27" t="s">
        <v>53</v>
      </c>
      <c r="M27" s="13">
        <f t="shared" ref="M27:P27" si="13">M10/M$16</f>
        <v>0</v>
      </c>
      <c r="N27" s="13">
        <f t="shared" si="13"/>
        <v>0</v>
      </c>
      <c r="O27" s="13">
        <f t="shared" si="13"/>
        <v>0</v>
      </c>
      <c r="P27" s="13">
        <f t="shared" si="13"/>
        <v>0</v>
      </c>
      <c r="Q27" s="13">
        <f t="shared" si="8"/>
        <v>0</v>
      </c>
      <c r="R27" s="13">
        <f t="shared" si="8"/>
        <v>0</v>
      </c>
      <c r="S27" s="13">
        <f t="shared" si="8"/>
        <v>0</v>
      </c>
      <c r="T27" s="13">
        <f t="shared" si="8"/>
        <v>0</v>
      </c>
      <c r="U27" s="13">
        <f t="shared" si="8"/>
        <v>0</v>
      </c>
    </row>
    <row r="28" spans="1:21" x14ac:dyDescent="0.45">
      <c r="A28" t="s">
        <v>54</v>
      </c>
      <c r="B28" s="13">
        <f t="shared" si="4"/>
        <v>0</v>
      </c>
      <c r="C28" s="13">
        <f t="shared" si="4"/>
        <v>0</v>
      </c>
      <c r="D28" s="13">
        <f t="shared" si="4"/>
        <v>0</v>
      </c>
      <c r="E28" s="13">
        <f t="shared" si="5"/>
        <v>0</v>
      </c>
      <c r="F28" s="13">
        <f t="shared" si="6"/>
        <v>0</v>
      </c>
      <c r="G28" s="13">
        <f t="shared" si="6"/>
        <v>0</v>
      </c>
      <c r="H28" s="13">
        <f t="shared" si="6"/>
        <v>0</v>
      </c>
      <c r="I28" s="13">
        <f t="shared" si="6"/>
        <v>0</v>
      </c>
      <c r="J28" s="13">
        <f t="shared" si="6"/>
        <v>0</v>
      </c>
      <c r="K28" s="6"/>
      <c r="L28" t="s">
        <v>54</v>
      </c>
      <c r="M28" s="13">
        <f t="shared" ref="M28:P28" si="14">M11/M$16</f>
        <v>0</v>
      </c>
      <c r="N28" s="13">
        <f t="shared" si="14"/>
        <v>0</v>
      </c>
      <c r="O28" s="13">
        <f t="shared" si="14"/>
        <v>0</v>
      </c>
      <c r="P28" s="13">
        <f t="shared" si="14"/>
        <v>0</v>
      </c>
      <c r="Q28" s="13">
        <f t="shared" si="8"/>
        <v>0</v>
      </c>
      <c r="R28" s="13">
        <f t="shared" si="8"/>
        <v>0</v>
      </c>
      <c r="S28" s="13">
        <f t="shared" si="8"/>
        <v>0</v>
      </c>
      <c r="T28" s="13">
        <f t="shared" si="8"/>
        <v>0</v>
      </c>
      <c r="U28" s="13">
        <f t="shared" si="8"/>
        <v>0</v>
      </c>
    </row>
    <row r="29" spans="1:21" x14ac:dyDescent="0.45">
      <c r="A29" t="s">
        <v>55</v>
      </c>
      <c r="B29" s="13">
        <f t="shared" si="4"/>
        <v>0</v>
      </c>
      <c r="C29" s="13">
        <f t="shared" si="4"/>
        <v>0</v>
      </c>
      <c r="D29" s="13">
        <f t="shared" si="4"/>
        <v>0</v>
      </c>
      <c r="E29" s="13">
        <f t="shared" si="5"/>
        <v>0</v>
      </c>
      <c r="F29" s="13">
        <f t="shared" si="6"/>
        <v>0</v>
      </c>
      <c r="G29" s="13">
        <f t="shared" si="6"/>
        <v>0</v>
      </c>
      <c r="H29" s="13">
        <f t="shared" si="6"/>
        <v>0</v>
      </c>
      <c r="I29" s="13">
        <f t="shared" si="6"/>
        <v>0</v>
      </c>
      <c r="J29" s="13">
        <f t="shared" si="6"/>
        <v>0</v>
      </c>
      <c r="K29" s="6"/>
      <c r="L29" t="s">
        <v>55</v>
      </c>
      <c r="M29" s="13">
        <f t="shared" ref="M29:P29" si="15">M12/M$16</f>
        <v>0</v>
      </c>
      <c r="N29" s="13">
        <f t="shared" si="15"/>
        <v>0</v>
      </c>
      <c r="O29" s="13">
        <f t="shared" si="15"/>
        <v>0</v>
      </c>
      <c r="P29" s="13">
        <f t="shared" si="15"/>
        <v>0</v>
      </c>
      <c r="Q29" s="13">
        <f t="shared" si="8"/>
        <v>0</v>
      </c>
      <c r="R29" s="13">
        <f t="shared" si="8"/>
        <v>0</v>
      </c>
      <c r="S29" s="13">
        <f t="shared" si="8"/>
        <v>0</v>
      </c>
      <c r="T29" s="13">
        <f t="shared" si="8"/>
        <v>0</v>
      </c>
      <c r="U29" s="13">
        <f t="shared" si="8"/>
        <v>0</v>
      </c>
    </row>
    <row r="30" spans="1:21" x14ac:dyDescent="0.45">
      <c r="A30" t="s">
        <v>24</v>
      </c>
      <c r="B30" s="13">
        <f t="shared" si="4"/>
        <v>0</v>
      </c>
      <c r="C30" s="13">
        <f t="shared" si="4"/>
        <v>0</v>
      </c>
      <c r="D30" s="13">
        <f t="shared" si="4"/>
        <v>0</v>
      </c>
      <c r="E30" s="13">
        <f t="shared" si="5"/>
        <v>0</v>
      </c>
      <c r="F30" s="13">
        <f t="shared" si="6"/>
        <v>0</v>
      </c>
      <c r="G30" s="13">
        <f t="shared" si="6"/>
        <v>0</v>
      </c>
      <c r="H30" s="13">
        <f t="shared" si="6"/>
        <v>0</v>
      </c>
      <c r="I30" s="13">
        <f t="shared" si="6"/>
        <v>0.71126161496726759</v>
      </c>
      <c r="J30" s="13">
        <f t="shared" si="6"/>
        <v>2.2338220250735848E-2</v>
      </c>
      <c r="K30" s="6"/>
      <c r="L30" t="s">
        <v>24</v>
      </c>
      <c r="M30" s="13">
        <f t="shared" ref="M30:P30" si="16">M13/M$16</f>
        <v>0</v>
      </c>
      <c r="N30" s="13">
        <f t="shared" si="16"/>
        <v>0</v>
      </c>
      <c r="O30" s="13">
        <f t="shared" si="16"/>
        <v>0</v>
      </c>
      <c r="P30" s="13">
        <f t="shared" si="16"/>
        <v>0</v>
      </c>
      <c r="Q30" s="13">
        <f t="shared" si="8"/>
        <v>0</v>
      </c>
      <c r="R30" s="13">
        <f t="shared" si="8"/>
        <v>0</v>
      </c>
      <c r="S30" s="13">
        <f t="shared" si="8"/>
        <v>0</v>
      </c>
      <c r="T30" s="13">
        <f t="shared" si="8"/>
        <v>0.72517627332845336</v>
      </c>
      <c r="U30" s="13">
        <f t="shared" si="8"/>
        <v>2.1332469229172299E-2</v>
      </c>
    </row>
    <row r="31" spans="1:21" x14ac:dyDescent="0.45">
      <c r="A31" t="s">
        <v>4</v>
      </c>
      <c r="B31" s="13">
        <f t="shared" si="4"/>
        <v>6.2612420566519314E-4</v>
      </c>
      <c r="C31" s="13">
        <f t="shared" si="4"/>
        <v>3.9359202009694571E-3</v>
      </c>
      <c r="D31" s="13">
        <f t="shared" si="4"/>
        <v>3.2657754723397895E-3</v>
      </c>
      <c r="E31" s="13">
        <f t="shared" si="5"/>
        <v>1.0966877203872833E-3</v>
      </c>
      <c r="F31" s="13">
        <f t="shared" si="6"/>
        <v>8.7641054696438892E-3</v>
      </c>
      <c r="G31" s="13">
        <f t="shared" si="6"/>
        <v>0.92352714706897299</v>
      </c>
      <c r="H31" s="13">
        <f t="shared" si="6"/>
        <v>0</v>
      </c>
      <c r="I31" s="13">
        <f t="shared" si="6"/>
        <v>6.5408608720267216E-3</v>
      </c>
      <c r="J31" s="13">
        <f t="shared" si="6"/>
        <v>1.3904513890549369E-2</v>
      </c>
      <c r="K31" s="6"/>
      <c r="L31" t="s">
        <v>4</v>
      </c>
      <c r="M31" s="13">
        <f t="shared" ref="M31:P31" si="17">M14/M$16</f>
        <v>8.3475284373006966E-4</v>
      </c>
      <c r="N31" s="13">
        <f t="shared" si="17"/>
        <v>3.4975302360320038E-3</v>
      </c>
      <c r="O31" s="13">
        <f t="shared" si="17"/>
        <v>3.2958261864533367E-3</v>
      </c>
      <c r="P31" s="13">
        <f t="shared" si="17"/>
        <v>0</v>
      </c>
      <c r="Q31" s="13">
        <f t="shared" si="8"/>
        <v>1.0137387347665826E-2</v>
      </c>
      <c r="R31" s="13">
        <f t="shared" si="8"/>
        <v>0.85071170981124877</v>
      </c>
      <c r="S31" s="13">
        <f t="shared" si="8"/>
        <v>0</v>
      </c>
      <c r="T31" s="13">
        <f t="shared" si="8"/>
        <v>4.9779879919334491E-3</v>
      </c>
      <c r="U31" s="13">
        <f t="shared" si="8"/>
        <v>1.2831443739408303E-2</v>
      </c>
    </row>
    <row r="32" spans="1:21" x14ac:dyDescent="0.45">
      <c r="A32" s="4" t="s">
        <v>5</v>
      </c>
      <c r="B32" s="14">
        <f t="shared" si="4"/>
        <v>1.4959725403964473E-2</v>
      </c>
      <c r="C32" s="14">
        <f t="shared" si="4"/>
        <v>1.6375961890984031E-2</v>
      </c>
      <c r="D32" s="14">
        <f t="shared" si="4"/>
        <v>2.4682720687677979E-2</v>
      </c>
      <c r="E32" s="13">
        <f t="shared" si="5"/>
        <v>5.734404027241017E-2</v>
      </c>
      <c r="F32" s="14">
        <f t="shared" si="6"/>
        <v>0.21574451734110237</v>
      </c>
      <c r="G32" s="14">
        <f t="shared" si="6"/>
        <v>7.6472852931026944E-2</v>
      </c>
      <c r="H32" s="14">
        <f t="shared" si="6"/>
        <v>1</v>
      </c>
      <c r="I32" s="14">
        <f t="shared" si="6"/>
        <v>2.61094200510264E-2</v>
      </c>
      <c r="J32" s="14">
        <f t="shared" si="6"/>
        <v>0.12724903373582405</v>
      </c>
      <c r="K32" s="6"/>
      <c r="L32" s="4" t="s">
        <v>5</v>
      </c>
      <c r="M32" s="14">
        <f t="shared" ref="M32:P32" si="18">M15/M$16</f>
        <v>4.9278045533767308E-2</v>
      </c>
      <c r="N32" s="14">
        <f t="shared" si="18"/>
        <v>4.7757675685771883E-2</v>
      </c>
      <c r="O32" s="14">
        <f t="shared" si="18"/>
        <v>3.5419576523477887E-2</v>
      </c>
      <c r="P32" s="14">
        <f t="shared" si="18"/>
        <v>0</v>
      </c>
      <c r="Q32" s="14">
        <f t="shared" si="8"/>
        <v>0.20975291441068059</v>
      </c>
      <c r="R32" s="14">
        <f t="shared" si="8"/>
        <v>0.14928829018875125</v>
      </c>
      <c r="S32" s="14">
        <f t="shared" si="8"/>
        <v>1</v>
      </c>
      <c r="T32" s="14">
        <f t="shared" si="8"/>
        <v>3.8852080557067514E-2</v>
      </c>
      <c r="U32" s="14">
        <f t="shared" si="8"/>
        <v>0.12922637238701332</v>
      </c>
    </row>
    <row r="33" spans="1:32" ht="14.65" thickBot="1" x14ac:dyDescent="0.5">
      <c r="A33" s="12" t="s">
        <v>7</v>
      </c>
      <c r="B33" s="15">
        <f t="shared" si="4"/>
        <v>1</v>
      </c>
      <c r="C33" s="15">
        <f t="shared" si="4"/>
        <v>1</v>
      </c>
      <c r="D33" s="15">
        <f t="shared" si="4"/>
        <v>1</v>
      </c>
      <c r="E33" s="15">
        <f t="shared" si="5"/>
        <v>1</v>
      </c>
      <c r="F33" s="15">
        <f t="shared" si="6"/>
        <v>1</v>
      </c>
      <c r="G33" s="15">
        <f t="shared" si="6"/>
        <v>1</v>
      </c>
      <c r="H33" s="15">
        <f t="shared" si="6"/>
        <v>1</v>
      </c>
      <c r="I33" s="15">
        <f t="shared" si="6"/>
        <v>1</v>
      </c>
      <c r="J33" s="15">
        <f t="shared" si="6"/>
        <v>1</v>
      </c>
      <c r="L33" s="9" t="s">
        <v>7</v>
      </c>
      <c r="M33" s="15">
        <f t="shared" ref="M33:P33" si="19">M16/M$16</f>
        <v>1</v>
      </c>
      <c r="N33" s="15">
        <f t="shared" si="19"/>
        <v>1</v>
      </c>
      <c r="O33" s="15">
        <f t="shared" si="19"/>
        <v>1</v>
      </c>
      <c r="P33" s="15">
        <f t="shared" si="19"/>
        <v>1</v>
      </c>
      <c r="Q33" s="15">
        <f t="shared" si="8"/>
        <v>1</v>
      </c>
      <c r="R33" s="15">
        <f t="shared" si="8"/>
        <v>1</v>
      </c>
      <c r="S33" s="15">
        <f t="shared" si="8"/>
        <v>1</v>
      </c>
      <c r="T33" s="15">
        <f t="shared" si="8"/>
        <v>1</v>
      </c>
      <c r="U33" s="15">
        <f t="shared" si="8"/>
        <v>1</v>
      </c>
    </row>
    <row r="36" spans="1:32" ht="14.65" thickBot="1" x14ac:dyDescent="0.5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4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45">
      <c r="L39" t="s">
        <v>1</v>
      </c>
      <c r="M39" s="13">
        <f t="shared" ref="M39:P44" si="20">M22-B22</f>
        <v>-3.4526948767867882E-2</v>
      </c>
      <c r="N39" s="13">
        <f t="shared" si="20"/>
        <v>-9.7174710170147005E-3</v>
      </c>
      <c r="O39" s="13">
        <f t="shared" si="20"/>
        <v>5.3149054432996556E-4</v>
      </c>
      <c r="P39" s="13">
        <f t="shared" si="20"/>
        <v>7.2180910523506114E-2</v>
      </c>
      <c r="Q39" s="13">
        <f t="shared" ref="Q39:Q50" si="21">Q22-F22</f>
        <v>2.7052386422516513E-2</v>
      </c>
      <c r="R39" s="13">
        <f t="shared" ref="R39:R50" si="22">R22-G22</f>
        <v>0</v>
      </c>
      <c r="S39" s="13">
        <f t="shared" ref="S39:S50" si="23">S22-H22</f>
        <v>0</v>
      </c>
      <c r="T39" s="13">
        <f t="shared" ref="T39:T50" si="24">T22-I22</f>
        <v>-4.413310403573404E-4</v>
      </c>
      <c r="U39" s="13">
        <f t="shared" ref="U39:U50" si="25">U22-J22</f>
        <v>-1.4757281488489982E-3</v>
      </c>
      <c r="W39" s="21" t="s">
        <v>1</v>
      </c>
      <c r="X39" s="22">
        <f>M39</f>
        <v>-3.4526948767867882E-2</v>
      </c>
      <c r="Y39" s="22">
        <f t="shared" ref="Y39:AF39" si="26">N39</f>
        <v>-9.7174710170147005E-3</v>
      </c>
      <c r="Z39" s="22">
        <f t="shared" si="26"/>
        <v>5.3149054432996556E-4</v>
      </c>
      <c r="AA39" s="22">
        <f t="shared" si="26"/>
        <v>7.2180910523506114E-2</v>
      </c>
      <c r="AB39" s="22">
        <f t="shared" si="26"/>
        <v>2.7052386422516513E-2</v>
      </c>
      <c r="AC39" s="22">
        <f t="shared" si="26"/>
        <v>0</v>
      </c>
      <c r="AD39" s="22">
        <f t="shared" si="26"/>
        <v>0</v>
      </c>
      <c r="AE39" s="22">
        <f t="shared" si="26"/>
        <v>-4.413310403573404E-4</v>
      </c>
      <c r="AF39" s="22">
        <f t="shared" si="26"/>
        <v>-1.4757281488489982E-3</v>
      </c>
    </row>
    <row r="40" spans="1:32" x14ac:dyDescent="0.45">
      <c r="L40" t="s">
        <v>9</v>
      </c>
      <c r="M40" s="13">
        <f t="shared" si="20"/>
        <v>0</v>
      </c>
      <c r="N40" s="13">
        <f t="shared" si="20"/>
        <v>-2.1225852812835844E-2</v>
      </c>
      <c r="O40" s="13">
        <f t="shared" si="20"/>
        <v>-2.5583849708823991E-3</v>
      </c>
      <c r="P40" s="13">
        <f t="shared" si="20"/>
        <v>1.9154439482681265E-2</v>
      </c>
      <c r="Q40" s="13">
        <f t="shared" si="21"/>
        <v>6.2889573488265765E-3</v>
      </c>
      <c r="R40" s="13">
        <f t="shared" si="22"/>
        <v>0</v>
      </c>
      <c r="S40" s="13">
        <f t="shared" si="23"/>
        <v>0</v>
      </c>
      <c r="T40" s="13">
        <f t="shared" si="24"/>
        <v>2.4423667120531567E-2</v>
      </c>
      <c r="U40" s="13">
        <f t="shared" si="25"/>
        <v>1.6671277527429418E-2</v>
      </c>
      <c r="W40" s="27" t="s">
        <v>9</v>
      </c>
      <c r="X40" s="22">
        <f t="shared" ref="X40:X49" si="27">M40</f>
        <v>0</v>
      </c>
      <c r="Y40" s="22">
        <f t="shared" ref="Y40:Y50" si="28">N40</f>
        <v>-2.1225852812835844E-2</v>
      </c>
      <c r="Z40" s="22">
        <f t="shared" ref="Z40:Z50" si="29">O40</f>
        <v>-2.5583849708823991E-3</v>
      </c>
      <c r="AA40" s="22">
        <f t="shared" ref="AA40:AA50" si="30">P40</f>
        <v>1.9154439482681265E-2</v>
      </c>
      <c r="AB40" s="22">
        <f t="shared" ref="AB40:AB50" si="31">Q40</f>
        <v>6.2889573488265765E-3</v>
      </c>
      <c r="AC40" s="22">
        <f t="shared" ref="AC40:AC50" si="32">R40</f>
        <v>0</v>
      </c>
      <c r="AD40" s="22">
        <f t="shared" ref="AD40:AD50" si="33">S40</f>
        <v>0</v>
      </c>
      <c r="AE40" s="22">
        <f t="shared" ref="AE40:AE50" si="34">T40</f>
        <v>2.4423667120531567E-2</v>
      </c>
      <c r="AF40" s="22">
        <f t="shared" ref="AF40:AF50" si="35">U40</f>
        <v>1.6671277527429418E-2</v>
      </c>
    </row>
    <row r="41" spans="1:32" x14ac:dyDescent="0.45">
      <c r="L41" t="s">
        <v>10</v>
      </c>
      <c r="M41" s="13">
        <f t="shared" si="20"/>
        <v>0</v>
      </c>
      <c r="N41" s="13">
        <f t="shared" si="20"/>
        <v>0</v>
      </c>
      <c r="O41" s="13">
        <f t="shared" si="20"/>
        <v>-8.7400121233609518E-3</v>
      </c>
      <c r="P41" s="13">
        <f t="shared" si="20"/>
        <v>-1.5930699131632427E-2</v>
      </c>
      <c r="Q41" s="13">
        <f t="shared" si="21"/>
        <v>2.086075017036371E-2</v>
      </c>
      <c r="R41" s="13">
        <f t="shared" si="22"/>
        <v>0</v>
      </c>
      <c r="S41" s="13">
        <f t="shared" si="23"/>
        <v>0</v>
      </c>
      <c r="T41" s="13">
        <f t="shared" si="24"/>
        <v>-2.803122397293234E-2</v>
      </c>
      <c r="U41" s="13">
        <f t="shared" si="25"/>
        <v>6.3515488162470546E-3</v>
      </c>
      <c r="W41" s="27" t="s">
        <v>10</v>
      </c>
      <c r="X41" s="22">
        <f t="shared" si="27"/>
        <v>0</v>
      </c>
      <c r="Y41" s="22">
        <f t="shared" si="28"/>
        <v>0</v>
      </c>
      <c r="Z41" s="22">
        <f t="shared" si="29"/>
        <v>-8.7400121233609518E-3</v>
      </c>
      <c r="AA41" s="22">
        <f t="shared" si="30"/>
        <v>-1.5930699131632427E-2</v>
      </c>
      <c r="AB41" s="22">
        <f t="shared" si="31"/>
        <v>2.086075017036371E-2</v>
      </c>
      <c r="AC41" s="22">
        <f t="shared" si="32"/>
        <v>0</v>
      </c>
      <c r="AD41" s="22">
        <f t="shared" si="33"/>
        <v>0</v>
      </c>
      <c r="AE41" s="22">
        <f t="shared" si="34"/>
        <v>-2.803122397293234E-2</v>
      </c>
      <c r="AF41" s="22">
        <f t="shared" si="35"/>
        <v>6.3515488162470546E-3</v>
      </c>
    </row>
    <row r="42" spans="1:32" x14ac:dyDescent="0.45">
      <c r="L42" t="s">
        <v>51</v>
      </c>
      <c r="M42" s="13">
        <f t="shared" si="20"/>
        <v>0</v>
      </c>
      <c r="N42" s="13">
        <f t="shared" si="20"/>
        <v>0</v>
      </c>
      <c r="O42" s="13">
        <f t="shared" si="20"/>
        <v>0</v>
      </c>
      <c r="P42" s="13">
        <f t="shared" si="20"/>
        <v>-1.6963922881757576E-2</v>
      </c>
      <c r="Q42" s="13">
        <f t="shared" si="21"/>
        <v>-4.6874869632567484E-2</v>
      </c>
      <c r="R42" s="13">
        <f t="shared" si="22"/>
        <v>0</v>
      </c>
      <c r="S42" s="13">
        <f t="shared" si="23"/>
        <v>0</v>
      </c>
      <c r="T42" s="13">
        <f t="shared" si="24"/>
        <v>-2.1045558094375482E-2</v>
      </c>
      <c r="U42" s="13">
        <f t="shared" si="25"/>
        <v>-2.1277977517783743E-2</v>
      </c>
      <c r="W42" t="s">
        <v>51</v>
      </c>
      <c r="X42" s="22">
        <f t="shared" si="27"/>
        <v>0</v>
      </c>
      <c r="Y42" s="22">
        <f t="shared" si="28"/>
        <v>0</v>
      </c>
      <c r="Z42" s="22">
        <f t="shared" si="29"/>
        <v>0</v>
      </c>
      <c r="AA42" s="22">
        <f t="shared" si="30"/>
        <v>-1.6963922881757576E-2</v>
      </c>
      <c r="AB42" s="22">
        <f t="shared" si="31"/>
        <v>-4.6874869632567484E-2</v>
      </c>
      <c r="AC42" s="22">
        <f t="shared" si="32"/>
        <v>0</v>
      </c>
      <c r="AD42" s="22">
        <f t="shared" si="33"/>
        <v>0</v>
      </c>
      <c r="AE42" s="22">
        <f t="shared" si="34"/>
        <v>-2.1045558094375482E-2</v>
      </c>
      <c r="AF42" s="22">
        <f t="shared" si="35"/>
        <v>-2.1277977517783743E-2</v>
      </c>
    </row>
    <row r="43" spans="1:32" x14ac:dyDescent="0.45">
      <c r="L43" t="s">
        <v>52</v>
      </c>
      <c r="M43" s="13">
        <f t="shared" si="20"/>
        <v>0</v>
      </c>
      <c r="N43" s="13">
        <f t="shared" si="20"/>
        <v>0</v>
      </c>
      <c r="O43" s="13">
        <f t="shared" si="20"/>
        <v>0</v>
      </c>
      <c r="P43" s="13">
        <f t="shared" si="20"/>
        <v>0</v>
      </c>
      <c r="Q43" s="13">
        <f t="shared" si="21"/>
        <v>-2.7089032567393051E-3</v>
      </c>
      <c r="R43" s="13">
        <f t="shared" si="22"/>
        <v>0</v>
      </c>
      <c r="S43" s="13">
        <f t="shared" si="23"/>
        <v>0</v>
      </c>
      <c r="T43" s="13">
        <f t="shared" si="24"/>
        <v>0</v>
      </c>
      <c r="U43" s="13">
        <f t="shared" si="25"/>
        <v>-1.6763815552834848E-4</v>
      </c>
      <c r="W43" t="s">
        <v>52</v>
      </c>
      <c r="X43" s="22">
        <f t="shared" si="27"/>
        <v>0</v>
      </c>
      <c r="Y43" s="22">
        <f t="shared" si="28"/>
        <v>0</v>
      </c>
      <c r="Z43" s="22">
        <f t="shared" si="29"/>
        <v>0</v>
      </c>
      <c r="AA43" s="22">
        <f t="shared" si="30"/>
        <v>0</v>
      </c>
      <c r="AB43" s="22">
        <f t="shared" si="31"/>
        <v>-2.7089032567393051E-3</v>
      </c>
      <c r="AC43" s="22">
        <f t="shared" si="32"/>
        <v>0</v>
      </c>
      <c r="AD43" s="22">
        <f t="shared" si="33"/>
        <v>0</v>
      </c>
      <c r="AE43" s="22">
        <f t="shared" si="34"/>
        <v>0</v>
      </c>
      <c r="AF43" s="22">
        <f t="shared" si="35"/>
        <v>-1.6763815552834848E-4</v>
      </c>
    </row>
    <row r="44" spans="1:32" x14ac:dyDescent="0.45">
      <c r="L44" t="s">
        <v>53</v>
      </c>
      <c r="M44" s="13">
        <f t="shared" si="20"/>
        <v>0</v>
      </c>
      <c r="N44" s="13">
        <f t="shared" si="20"/>
        <v>0</v>
      </c>
      <c r="O44" s="13">
        <f t="shared" si="20"/>
        <v>0</v>
      </c>
      <c r="P44" s="13">
        <f t="shared" si="20"/>
        <v>0</v>
      </c>
      <c r="Q44" s="13">
        <f t="shared" si="21"/>
        <v>0</v>
      </c>
      <c r="R44" s="13">
        <f t="shared" si="22"/>
        <v>0</v>
      </c>
      <c r="S44" s="13">
        <f t="shared" si="23"/>
        <v>0</v>
      </c>
      <c r="T44" s="13">
        <f t="shared" si="24"/>
        <v>0</v>
      </c>
      <c r="U44" s="13">
        <f t="shared" si="25"/>
        <v>0</v>
      </c>
      <c r="W44" t="s">
        <v>53</v>
      </c>
      <c r="X44" s="22">
        <f t="shared" si="27"/>
        <v>0</v>
      </c>
      <c r="Y44" s="22">
        <f t="shared" si="28"/>
        <v>0</v>
      </c>
      <c r="Z44" s="22">
        <f t="shared" si="29"/>
        <v>0</v>
      </c>
      <c r="AA44" s="22">
        <f t="shared" si="30"/>
        <v>0</v>
      </c>
      <c r="AB44" s="22">
        <f t="shared" si="31"/>
        <v>0</v>
      </c>
      <c r="AC44" s="22">
        <f t="shared" si="32"/>
        <v>0</v>
      </c>
      <c r="AD44" s="22">
        <f t="shared" si="33"/>
        <v>0</v>
      </c>
      <c r="AE44" s="22">
        <f t="shared" si="34"/>
        <v>0</v>
      </c>
      <c r="AF44" s="22">
        <f t="shared" si="35"/>
        <v>0</v>
      </c>
    </row>
    <row r="45" spans="1:32" x14ac:dyDescent="0.45">
      <c r="L45" t="s">
        <v>54</v>
      </c>
      <c r="M45" s="13">
        <f t="shared" ref="M45:M47" si="36">M28-B28</f>
        <v>0</v>
      </c>
      <c r="N45" s="13">
        <f t="shared" ref="N45:N47" si="37">N28-C28</f>
        <v>0</v>
      </c>
      <c r="O45" s="13">
        <f t="shared" ref="O45:O47" si="38">O28-D28</f>
        <v>0</v>
      </c>
      <c r="P45" s="13">
        <f t="shared" ref="P45:P47" si="39">P28-E28</f>
        <v>0</v>
      </c>
      <c r="Q45" s="13">
        <f t="shared" si="21"/>
        <v>0</v>
      </c>
      <c r="R45" s="13">
        <f t="shared" si="22"/>
        <v>0</v>
      </c>
      <c r="S45" s="13">
        <f t="shared" si="23"/>
        <v>0</v>
      </c>
      <c r="T45" s="13">
        <f t="shared" si="24"/>
        <v>0</v>
      </c>
      <c r="U45" s="13">
        <f t="shared" si="25"/>
        <v>0</v>
      </c>
      <c r="W45" t="s">
        <v>54</v>
      </c>
      <c r="X45" s="22">
        <f t="shared" si="27"/>
        <v>0</v>
      </c>
      <c r="Y45" s="22">
        <f t="shared" si="28"/>
        <v>0</v>
      </c>
      <c r="Z45" s="22">
        <f t="shared" si="29"/>
        <v>0</v>
      </c>
      <c r="AA45" s="22">
        <f t="shared" si="30"/>
        <v>0</v>
      </c>
      <c r="AB45" s="22">
        <f t="shared" si="31"/>
        <v>0</v>
      </c>
      <c r="AC45" s="22">
        <f t="shared" si="32"/>
        <v>0</v>
      </c>
      <c r="AD45" s="22">
        <f t="shared" si="33"/>
        <v>0</v>
      </c>
      <c r="AE45" s="22">
        <f t="shared" si="34"/>
        <v>0</v>
      </c>
      <c r="AF45" s="22">
        <f t="shared" si="35"/>
        <v>0</v>
      </c>
    </row>
    <row r="46" spans="1:32" x14ac:dyDescent="0.45">
      <c r="L46" t="s">
        <v>55</v>
      </c>
      <c r="M46" s="13">
        <f t="shared" si="36"/>
        <v>0</v>
      </c>
      <c r="N46" s="13">
        <f t="shared" si="37"/>
        <v>0</v>
      </c>
      <c r="O46" s="13">
        <f t="shared" si="38"/>
        <v>0</v>
      </c>
      <c r="P46" s="13">
        <f t="shared" si="39"/>
        <v>0</v>
      </c>
      <c r="Q46" s="13">
        <f t="shared" si="21"/>
        <v>0</v>
      </c>
      <c r="R46" s="13">
        <f t="shared" si="22"/>
        <v>0</v>
      </c>
      <c r="S46" s="13">
        <f t="shared" si="23"/>
        <v>0</v>
      </c>
      <c r="T46" s="13">
        <f t="shared" si="24"/>
        <v>0</v>
      </c>
      <c r="U46" s="13">
        <f t="shared" si="25"/>
        <v>0</v>
      </c>
      <c r="W46" t="s">
        <v>55</v>
      </c>
      <c r="X46" s="22">
        <f t="shared" si="27"/>
        <v>0</v>
      </c>
      <c r="Y46" s="22">
        <f t="shared" si="28"/>
        <v>0</v>
      </c>
      <c r="Z46" s="22">
        <f t="shared" si="29"/>
        <v>0</v>
      </c>
      <c r="AA46" s="22">
        <f t="shared" si="30"/>
        <v>0</v>
      </c>
      <c r="AB46" s="22">
        <f t="shared" si="31"/>
        <v>0</v>
      </c>
      <c r="AC46" s="22">
        <f t="shared" si="32"/>
        <v>0</v>
      </c>
      <c r="AD46" s="22">
        <f t="shared" si="33"/>
        <v>0</v>
      </c>
      <c r="AE46" s="22">
        <f t="shared" si="34"/>
        <v>0</v>
      </c>
      <c r="AF46" s="22">
        <f t="shared" si="35"/>
        <v>0</v>
      </c>
    </row>
    <row r="47" spans="1:32" x14ac:dyDescent="0.45">
      <c r="L47" t="s">
        <v>24</v>
      </c>
      <c r="M47" s="13">
        <f t="shared" si="36"/>
        <v>0</v>
      </c>
      <c r="N47" s="13">
        <f t="shared" si="37"/>
        <v>0</v>
      </c>
      <c r="O47" s="13">
        <f t="shared" si="38"/>
        <v>0</v>
      </c>
      <c r="P47" s="13">
        <f t="shared" si="39"/>
        <v>0</v>
      </c>
      <c r="Q47" s="13">
        <f t="shared" si="21"/>
        <v>0</v>
      </c>
      <c r="R47" s="13">
        <f t="shared" si="22"/>
        <v>0</v>
      </c>
      <c r="S47" s="13">
        <f t="shared" si="23"/>
        <v>0</v>
      </c>
      <c r="T47" s="13">
        <f t="shared" si="24"/>
        <v>1.3914658361185772E-2</v>
      </c>
      <c r="U47" s="13">
        <f t="shared" si="25"/>
        <v>-1.0057510215635487E-3</v>
      </c>
      <c r="W47" s="21" t="s">
        <v>24</v>
      </c>
      <c r="X47" s="22">
        <f t="shared" si="27"/>
        <v>0</v>
      </c>
      <c r="Y47" s="22">
        <f t="shared" si="28"/>
        <v>0</v>
      </c>
      <c r="Z47" s="22">
        <f t="shared" si="29"/>
        <v>0</v>
      </c>
      <c r="AA47" s="22">
        <f t="shared" si="30"/>
        <v>0</v>
      </c>
      <c r="AB47" s="22">
        <f t="shared" si="31"/>
        <v>0</v>
      </c>
      <c r="AC47" s="22">
        <f t="shared" si="32"/>
        <v>0</v>
      </c>
      <c r="AD47" s="22">
        <f t="shared" si="33"/>
        <v>0</v>
      </c>
      <c r="AE47" s="22">
        <f t="shared" si="34"/>
        <v>1.3914658361185772E-2</v>
      </c>
      <c r="AF47" s="22">
        <f t="shared" si="35"/>
        <v>-1.0057510215635487E-3</v>
      </c>
    </row>
    <row r="48" spans="1:32" x14ac:dyDescent="0.45">
      <c r="L48" t="s">
        <v>4</v>
      </c>
      <c r="M48" s="13">
        <f t="shared" ref="M48:P50" si="40">M31-B31</f>
        <v>2.0862863806487652E-4</v>
      </c>
      <c r="N48" s="13">
        <f t="shared" si="40"/>
        <v>-4.3838996493745326E-4</v>
      </c>
      <c r="O48" s="13">
        <f t="shared" si="40"/>
        <v>3.0050714113547157E-5</v>
      </c>
      <c r="P48" s="13">
        <f t="shared" si="40"/>
        <v>-1.0966877203872833E-3</v>
      </c>
      <c r="Q48" s="13">
        <f t="shared" si="21"/>
        <v>1.3732818780219369E-3</v>
      </c>
      <c r="R48" s="13">
        <f t="shared" si="22"/>
        <v>-7.2815437257724214E-2</v>
      </c>
      <c r="S48" s="13">
        <f t="shared" si="23"/>
        <v>0</v>
      </c>
      <c r="T48" s="13">
        <f t="shared" si="24"/>
        <v>-1.5628728800932724E-3</v>
      </c>
      <c r="U48" s="13">
        <f t="shared" si="25"/>
        <v>-1.0730701511410656E-3</v>
      </c>
      <c r="W48" s="27" t="s">
        <v>4</v>
      </c>
      <c r="X48" s="22">
        <f t="shared" si="27"/>
        <v>2.0862863806487652E-4</v>
      </c>
      <c r="Y48" s="22">
        <f t="shared" si="28"/>
        <v>-4.3838996493745326E-4</v>
      </c>
      <c r="Z48" s="22">
        <f t="shared" si="29"/>
        <v>3.0050714113547157E-5</v>
      </c>
      <c r="AA48" s="22">
        <f t="shared" si="30"/>
        <v>-1.0966877203872833E-3</v>
      </c>
      <c r="AB48" s="22">
        <f t="shared" si="31"/>
        <v>1.3732818780219369E-3</v>
      </c>
      <c r="AC48" s="22">
        <f t="shared" si="32"/>
        <v>-7.2815437257724214E-2</v>
      </c>
      <c r="AD48" s="22">
        <f t="shared" si="33"/>
        <v>0</v>
      </c>
      <c r="AE48" s="22">
        <f t="shared" si="34"/>
        <v>-1.5628728800932724E-3</v>
      </c>
      <c r="AF48" s="22">
        <f t="shared" si="35"/>
        <v>-1.0730701511410656E-3</v>
      </c>
    </row>
    <row r="49" spans="12:32" x14ac:dyDescent="0.45">
      <c r="L49" s="4" t="s">
        <v>5</v>
      </c>
      <c r="M49" s="17">
        <f t="shared" si="40"/>
        <v>3.4318320129802835E-2</v>
      </c>
      <c r="N49" s="17">
        <f t="shared" si="40"/>
        <v>3.1381713794787852E-2</v>
      </c>
      <c r="O49" s="17">
        <f t="shared" si="40"/>
        <v>1.0736855835799908E-2</v>
      </c>
      <c r="P49" s="17">
        <f t="shared" si="40"/>
        <v>-5.734404027241017E-2</v>
      </c>
      <c r="Q49" s="17">
        <f t="shared" si="21"/>
        <v>-5.9916029304217799E-3</v>
      </c>
      <c r="R49" s="17">
        <f t="shared" si="22"/>
        <v>7.2815437257724311E-2</v>
      </c>
      <c r="S49" s="17">
        <f t="shared" si="23"/>
        <v>0</v>
      </c>
      <c r="T49" s="17">
        <f t="shared" si="24"/>
        <v>1.2742660506041115E-2</v>
      </c>
      <c r="U49" s="13">
        <f t="shared" si="25"/>
        <v>1.9773386511892643E-3</v>
      </c>
      <c r="W49" s="20" t="s">
        <v>5</v>
      </c>
      <c r="X49" s="22">
        <f t="shared" si="27"/>
        <v>3.4318320129802835E-2</v>
      </c>
      <c r="Y49" s="22">
        <f t="shared" si="28"/>
        <v>3.1381713794787852E-2</v>
      </c>
      <c r="Z49" s="22">
        <f t="shared" si="29"/>
        <v>1.0736855835799908E-2</v>
      </c>
      <c r="AA49" s="22">
        <f t="shared" si="30"/>
        <v>-5.734404027241017E-2</v>
      </c>
      <c r="AB49" s="22">
        <f t="shared" si="31"/>
        <v>-5.9916029304217799E-3</v>
      </c>
      <c r="AC49" s="22">
        <f t="shared" si="32"/>
        <v>7.2815437257724311E-2</v>
      </c>
      <c r="AD49" s="22">
        <f t="shared" si="33"/>
        <v>0</v>
      </c>
      <c r="AE49" s="22">
        <f t="shared" si="34"/>
        <v>1.2742660506041115E-2</v>
      </c>
      <c r="AF49" s="22">
        <f t="shared" si="35"/>
        <v>1.9773386511892643E-3</v>
      </c>
    </row>
    <row r="50" spans="12:32" ht="14.65" thickBot="1" x14ac:dyDescent="0.5">
      <c r="L50" s="9" t="s">
        <v>7</v>
      </c>
      <c r="M50" s="15">
        <f t="shared" si="40"/>
        <v>0</v>
      </c>
      <c r="N50" s="15">
        <f t="shared" si="40"/>
        <v>0</v>
      </c>
      <c r="O50" s="15">
        <f t="shared" si="40"/>
        <v>0</v>
      </c>
      <c r="P50" s="15">
        <f t="shared" si="40"/>
        <v>0</v>
      </c>
      <c r="Q50" s="15">
        <f t="shared" si="21"/>
        <v>0</v>
      </c>
      <c r="R50" s="15">
        <f t="shared" si="22"/>
        <v>0</v>
      </c>
      <c r="S50" s="15">
        <f t="shared" si="23"/>
        <v>0</v>
      </c>
      <c r="T50" s="15">
        <f t="shared" si="24"/>
        <v>0</v>
      </c>
      <c r="U50" s="15">
        <f t="shared" si="25"/>
        <v>0</v>
      </c>
      <c r="W50" s="28" t="s">
        <v>7</v>
      </c>
      <c r="X50" s="29">
        <f>M50</f>
        <v>0</v>
      </c>
      <c r="Y50" s="29">
        <f t="shared" si="28"/>
        <v>0</v>
      </c>
      <c r="Z50" s="29">
        <f t="shared" si="29"/>
        <v>0</v>
      </c>
      <c r="AA50" s="29">
        <f t="shared" si="30"/>
        <v>0</v>
      </c>
      <c r="AB50" s="29">
        <f t="shared" si="31"/>
        <v>0</v>
      </c>
      <c r="AC50" s="29">
        <f t="shared" si="32"/>
        <v>0</v>
      </c>
      <c r="AD50" s="29">
        <f t="shared" si="33"/>
        <v>0</v>
      </c>
      <c r="AE50" s="29">
        <f t="shared" si="34"/>
        <v>0</v>
      </c>
      <c r="AF50" s="29">
        <f t="shared" si="35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150355.7020996967</v>
      </c>
      <c r="C5" s="6" t="n">
        <v>5631.8050819142</v>
      </c>
      <c r="D5" s="6" t="n">
        <v>960.6288860322001</v>
      </c>
      <c r="E5" s="6" t="n">
        <v>0.0</v>
      </c>
      <c r="F5" s="6" t="n">
        <v>18.7005063981</v>
      </c>
      <c r="G5" s="6" t="n">
        <v>0.0</v>
      </c>
      <c r="H5" s="6" t="n">
        <v>0.0</v>
      </c>
      <c r="I5" s="6" t="n">
        <v>0.0</v>
      </c>
      <c r="J5" s="6">
        <f>SUM(B5:I5)</f>
        <v>156966.83657404123</v>
      </c>
      <c r="K5" s="6"/>
      <c r="L5" t="s">
        <v>1</v>
      </c>
      <c r="M5" s="6" t="n">
        <v>218408.0</v>
      </c>
      <c r="N5" s="6" t="n">
        <v>4720.0</v>
      </c>
      <c r="O5" s="6" t="n">
        <v>1067.0</v>
      </c>
      <c r="P5" s="6" t="n">
        <v>0.0</v>
      </c>
      <c r="Q5" s="6" t="n">
        <v>53.0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224574</v>
      </c>
    </row>
    <row r="6" spans="1:21" x14ac:dyDescent="0.45">
      <c r="A6" t="s">
        <v>12</v>
      </c>
      <c r="B6" s="6" t="n">
        <v>0.0</v>
      </c>
      <c r="C6" s="6" t="n">
        <v>23421.8050977258</v>
      </c>
      <c r="D6" s="6" t="n">
        <v>18.7005063981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23440.5056041239</v>
      </c>
      <c r="K6" s="6"/>
      <c r="L6" t="s">
        <v>12</v>
      </c>
      <c r="M6" s="6" t="n">
        <v>0.0</v>
      </c>
      <c r="N6" s="6" t="n">
        <v>50338.0</v>
      </c>
      <c r="O6" s="6" t="n">
        <v>3453.0</v>
      </c>
      <c r="P6" s="6" t="n">
        <v>0.0</v>
      </c>
      <c r="Q6" s="6" t="n">
        <v>415.0</v>
      </c>
      <c r="R6" s="6" t="n">
        <v>0.0</v>
      </c>
      <c r="S6" s="6" t="n">
        <v>0.0</v>
      </c>
      <c r="T6" s="6" t="n">
        <v>0.0</v>
      </c>
      <c r="U6" s="6">
        <f t="shared" si="0"/>
        <v>54130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9172.823547946</v>
      </c>
      <c r="E7" s="6" t="n">
        <v>0.0</v>
      </c>
      <c r="F7" s="6" t="n">
        <v>174.354369882</v>
      </c>
      <c r="G7" s="6" t="n">
        <v>0.0</v>
      </c>
      <c r="H7" s="6" t="n">
        <v>0.0</v>
      </c>
      <c r="I7" s="6" t="n">
        <v>0.0</v>
      </c>
      <c r="J7" s="6">
        <f t="shared" si="1"/>
        <v>9347.1779178279994</v>
      </c>
      <c r="K7" s="6"/>
      <c r="L7" t="s">
        <v>56</v>
      </c>
      <c r="M7" s="6" t="n">
        <v>0.0</v>
      </c>
      <c r="N7" s="6" t="n">
        <v>0.0</v>
      </c>
      <c r="O7" s="6" t="n">
        <v>19281.0</v>
      </c>
      <c r="P7" s="6" t="n">
        <v>0.0</v>
      </c>
      <c r="Q7" s="6" t="n">
        <v>201.0</v>
      </c>
      <c r="R7" s="6" t="n">
        <v>0.0</v>
      </c>
      <c r="S7" s="6" t="n">
        <v>0.0</v>
      </c>
      <c r="T7" s="6" t="n">
        <v>0.0</v>
      </c>
      <c r="U7" s="6">
        <f t="shared" si="0"/>
        <v>19497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5050.2934779955</v>
      </c>
      <c r="G8" s="6" t="n">
        <v>0.0</v>
      </c>
      <c r="H8" s="6" t="n">
        <v>0.0</v>
      </c>
      <c r="I8" s="6" t="n">
        <v>0.0</v>
      </c>
      <c r="J8" s="6">
        <f t="shared" si="1"/>
        <v>5050.2934779955003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2657.0</v>
      </c>
      <c r="R8" s="6" t="n">
        <v>0.0</v>
      </c>
      <c r="S8" s="6" t="n">
        <v>0.0</v>
      </c>
      <c r="T8" s="6" t="n">
        <v>0.0</v>
      </c>
      <c r="U8" s="6">
        <f t="shared" si="0"/>
        <v>2772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236.004091738</v>
      </c>
      <c r="G9" s="6" t="n">
        <v>0.0</v>
      </c>
      <c r="H9" s="6" t="n">
        <v>0.0</v>
      </c>
      <c r="I9" s="6" t="n">
        <v>0.0</v>
      </c>
      <c r="J9" s="6">
        <f t="shared" si="1"/>
        <v>236.004091738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1949.997832852</v>
      </c>
      <c r="J13" s="6">
        <f t="shared" si="1"/>
        <v>1949.9978328520001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982.882297674</v>
      </c>
      <c r="H14" s="6" t="n">
        <v>0.0</v>
      </c>
      <c r="I14" s="6" t="n">
        <v>0.0</v>
      </c>
      <c r="J14" s="6">
        <f t="shared" si="1"/>
        <v>982.88229767400003</v>
      </c>
      <c r="K14" s="6"/>
      <c r="L14" t="s">
        <v>4</v>
      </c>
      <c r="M14" s="6" t="n">
        <v>159.0</v>
      </c>
      <c r="N14" s="6" t="n">
        <v>51.0</v>
      </c>
      <c r="O14" s="6" t="n">
        <v>15.0</v>
      </c>
      <c r="P14" s="6" t="n">
        <v>0.0</v>
      </c>
      <c r="Q14" s="6" t="n">
        <v>15.0</v>
      </c>
      <c r="R14" s="6" t="n">
        <v>824.0</v>
      </c>
      <c r="S14" s="6" t="n">
        <v>0.0</v>
      </c>
      <c r="T14" s="6" t="n">
        <v>0.0</v>
      </c>
      <c r="U14" s="6">
        <f t="shared" si="0"/>
        <v>1068</v>
      </c>
    </row>
    <row r="15" spans="1:21" x14ac:dyDescent="0.45">
      <c r="A15" s="4" t="s">
        <v>5</v>
      </c>
      <c r="B15" s="10" t="n">
        <v>1357.3149762110002</v>
      </c>
      <c r="C15" s="10" t="n">
        <v>554.3536225348</v>
      </c>
      <c r="D15" s="10" t="n">
        <v>0.0</v>
      </c>
      <c r="E15" s="10" t="n">
        <v>0.0</v>
      </c>
      <c r="F15" s="10" t="n">
        <v>2902.9889422654</v>
      </c>
      <c r="G15" s="10" t="n">
        <v>0.0</v>
      </c>
      <c r="H15" s="10" t="n">
        <v>146940.6154411948</v>
      </c>
      <c r="I15" s="10" t="n">
        <v>0.0</v>
      </c>
      <c r="J15" s="6">
        <f t="shared" si="1"/>
        <v>151755.27298220599</v>
      </c>
      <c r="K15" s="6"/>
      <c r="L15" s="4" t="s">
        <v>5</v>
      </c>
      <c r="M15" s="8" t="n">
        <v>1627.0</v>
      </c>
      <c r="N15" s="8" t="n">
        <v>341.0</v>
      </c>
      <c r="O15" s="8" t="n">
        <v>98.0</v>
      </c>
      <c r="P15" s="8" t="n">
        <v>0.0</v>
      </c>
      <c r="Q15" s="8" t="n">
        <v>143.0</v>
      </c>
      <c r="R15" s="8" t="n">
        <v>41.0</v>
      </c>
      <c r="S15" s="8" t="n">
        <v>132314.0</v>
      </c>
      <c r="T15" s="8" t="n">
        <v>0.0</v>
      </c>
      <c r="U15" s="6">
        <f t="shared" si="0"/>
        <v>134117</v>
      </c>
    </row>
    <row r="16" spans="1:21" ht="14.65" thickBot="1" x14ac:dyDescent="0.5">
      <c r="A16" s="12" t="s">
        <v>7</v>
      </c>
      <c r="B16" s="16">
        <f t="shared" ref="B16:J16" si="2">SUM(B5:B15)</f>
        <v>151713.0170759077</v>
      </c>
      <c r="C16" s="16">
        <f t="shared" si="2"/>
        <v>29607.9638021748</v>
      </c>
      <c r="D16" s="16">
        <f t="shared" si="2"/>
        <v>10152.1529403763</v>
      </c>
      <c r="E16" s="16">
        <f t="shared" si="2"/>
        <v>0</v>
      </c>
      <c r="F16" s="16">
        <f t="shared" si="2"/>
        <v>8382.341388279001</v>
      </c>
      <c r="G16" s="16">
        <f t="shared" si="2"/>
        <v>982.88229767400003</v>
      </c>
      <c r="H16" s="16">
        <f t="shared" si="2"/>
        <v>146940.61544119479</v>
      </c>
      <c r="I16" s="16">
        <f t="shared" si="2"/>
        <v>1949.9978328520001</v>
      </c>
      <c r="J16" s="16">
        <f t="shared" si="2"/>
        <v>349728.97077845864</v>
      </c>
      <c r="L16" s="9" t="s">
        <v>7</v>
      </c>
      <c r="M16" s="16">
        <f t="shared" ref="M16:U16" si="3">SUM(M5:M15)</f>
        <v>220339</v>
      </c>
      <c r="N16" s="16">
        <f t="shared" si="3"/>
        <v>55599</v>
      </c>
      <c r="O16" s="16">
        <f t="shared" si="3"/>
        <v>23848</v>
      </c>
      <c r="P16" s="16">
        <f t="shared" si="3"/>
        <v>0</v>
      </c>
      <c r="Q16" s="16">
        <f t="shared" si="3"/>
        <v>3690</v>
      </c>
      <c r="R16" s="16">
        <f t="shared" si="3"/>
        <v>869</v>
      </c>
      <c r="S16" s="16">
        <f t="shared" si="3"/>
        <v>131813</v>
      </c>
      <c r="T16" s="16">
        <f t="shared" si="3"/>
        <v>0</v>
      </c>
      <c r="U16" s="16">
        <f t="shared" si="3"/>
        <v>436158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0.99105340462953229</v>
      </c>
      <c r="C22" s="13">
        <f t="shared" si="4"/>
        <v>0.19021250902436343</v>
      </c>
      <c r="D22" s="13">
        <f t="shared" si="4"/>
        <v>9.4623169260154322E-2</v>
      </c>
      <c r="E22" s="13" t="e">
        <f t="shared" si="4"/>
        <v>#DIV/0!</v>
      </c>
      <c r="F22" s="13">
        <f t="shared" si="4"/>
        <v>2.2309406801599434E-3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0.44882423158896484</v>
      </c>
      <c r="K22" s="6"/>
      <c r="L22" t="s">
        <v>1</v>
      </c>
      <c r="M22" s="13">
        <f t="shared" ref="M22:P22" si="5">M5/M$16</f>
        <v>0.99185800062630769</v>
      </c>
      <c r="N22" s="13">
        <f t="shared" si="5"/>
        <v>8.7591503444306551E-2</v>
      </c>
      <c r="O22" s="13">
        <f t="shared" si="5"/>
        <v>4.5412613217041264E-2</v>
      </c>
      <c r="P22" s="13" t="e">
        <f t="shared" si="5"/>
        <v>#DIV/0!</v>
      </c>
      <c r="Q22" s="13">
        <f t="shared" ref="Q22:U33" si="6">Q5/Q$16</f>
        <v>2.0596205962059622E-2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0.51489139256874805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0.79106436545985614</v>
      </c>
      <c r="D23" s="13">
        <f t="shared" si="7"/>
        <v>1.8420237074764604E-3</v>
      </c>
      <c r="E23" s="13" t="e">
        <f t="shared" si="7"/>
        <v>#DIV/0!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6.7024775076390972E-2</v>
      </c>
      <c r="K23" s="6"/>
      <c r="L23" t="s">
        <v>12</v>
      </c>
      <c r="M23" s="13">
        <f t="shared" ref="M23:P23" si="8">M6/M$16</f>
        <v>0</v>
      </c>
      <c r="N23" s="13">
        <f t="shared" si="8"/>
        <v>0.90517815068616347</v>
      </c>
      <c r="O23" s="13">
        <f t="shared" si="8"/>
        <v>0.14097618248909763</v>
      </c>
      <c r="P23" s="13" t="e">
        <f t="shared" si="8"/>
        <v>#DIV/0!</v>
      </c>
      <c r="Q23" s="13">
        <f t="shared" si="6"/>
        <v>0.11951219512195121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0.12410640180851894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0.90353480703236921</v>
      </c>
      <c r="E24" s="13" t="e">
        <f t="shared" si="9"/>
        <v>#DIV/0!</v>
      </c>
      <c r="F24" s="13">
        <f t="shared" si="9"/>
        <v>2.0800199109737894E-2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2.6726919125465067E-2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0.80769875880576991</v>
      </c>
      <c r="P24" s="13" t="e">
        <f t="shared" si="10"/>
        <v>#DIV/0!</v>
      </c>
      <c r="Q24" s="13">
        <f t="shared" si="6"/>
        <v>6.3685636856368563E-2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4.470169067172905E-2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0.60249198213965705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1.4440592287090477E-2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0.75121951219512195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6.3554950270314882E-3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2.8154912906315617E-2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6.7481996476494513E-4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1</v>
      </c>
      <c r="J30" s="13">
        <f t="shared" si="21"/>
        <v>5.5757400609721215E-3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0</v>
      </c>
      <c r="J31" s="13">
        <f t="shared" si="23"/>
        <v>2.8104114322762882E-3</v>
      </c>
      <c r="K31" s="6"/>
      <c r="L31" t="s">
        <v>4</v>
      </c>
      <c r="M31" s="13">
        <f t="shared" ref="M31:P31" si="24">M14/M$16</f>
        <v>7.3069225148521147E-4</v>
      </c>
      <c r="N31" s="13">
        <f t="shared" si="24"/>
        <v>9.8922642493570029E-4</v>
      </c>
      <c r="O31" s="13">
        <f t="shared" si="24"/>
        <v>8.3864475008386442E-4</v>
      </c>
      <c r="P31" s="13" t="e">
        <f t="shared" si="24"/>
        <v>#DIV/0!</v>
      </c>
      <c r="Q31" s="13">
        <f t="shared" si="6"/>
        <v>3.7940379403794038E-3</v>
      </c>
      <c r="R31" s="13">
        <f t="shared" si="6"/>
        <v>0.94131185270425777</v>
      </c>
      <c r="S31" s="13">
        <f t="shared" si="6"/>
        <v>0</v>
      </c>
      <c r="T31" s="13" t="e">
        <f t="shared" si="6"/>
        <v>#DIV/0!</v>
      </c>
      <c r="U31" s="13">
        <f t="shared" si="6"/>
        <v>2.4486539281636469E-3</v>
      </c>
    </row>
    <row r="32" spans="1:21" x14ac:dyDescent="0.45">
      <c r="A32" s="4" t="s">
        <v>5</v>
      </c>
      <c r="B32" s="14">
        <f t="shared" ref="B32:J32" si="25">B15/B$16</f>
        <v>8.9465953704676807E-3</v>
      </c>
      <c r="C32" s="14">
        <f t="shared" si="25"/>
        <v>1.8723125515780353E-2</v>
      </c>
      <c r="D32" s="14">
        <f t="shared" si="25"/>
        <v>0</v>
      </c>
      <c r="E32" s="14" t="e">
        <f t="shared" si="25"/>
        <v>#DIV/0!</v>
      </c>
      <c r="F32" s="14">
        <f t="shared" si="25"/>
        <v>0.34632196516412939</v>
      </c>
      <c r="G32" s="14">
        <f t="shared" si="25"/>
        <v>0</v>
      </c>
      <c r="H32" s="14">
        <f t="shared" si="25"/>
        <v>1</v>
      </c>
      <c r="I32" s="14">
        <f t="shared" si="25"/>
        <v>0</v>
      </c>
      <c r="J32" s="14">
        <f t="shared" si="25"/>
        <v>0.43392251046407526</v>
      </c>
      <c r="K32" s="6"/>
      <c r="L32" s="4" t="s">
        <v>5</v>
      </c>
      <c r="M32" s="14">
        <f t="shared" ref="M32:P32" si="26">M15/M$16</f>
        <v>7.4113071222071444E-3</v>
      </c>
      <c r="N32" s="14">
        <f t="shared" si="26"/>
        <v>6.2411194445943273E-3</v>
      </c>
      <c r="O32" s="14">
        <f t="shared" si="26"/>
        <v>5.0738007380073799E-3</v>
      </c>
      <c r="P32" s="14" t="e">
        <f t="shared" si="26"/>
        <v>#DIV/0!</v>
      </c>
      <c r="Q32" s="14">
        <f t="shared" si="6"/>
        <v>4.1192411924119245E-2</v>
      </c>
      <c r="R32" s="14">
        <f t="shared" si="6"/>
        <v>5.8688147295742232E-2</v>
      </c>
      <c r="S32" s="14">
        <f t="shared" si="6"/>
        <v>1</v>
      </c>
      <c r="T32" s="14" t="e">
        <f t="shared" si="6"/>
        <v>#DIV/0!</v>
      </c>
      <c r="U32" s="14">
        <f t="shared" si="6"/>
        <v>0.30749636599580887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1" si="29">M22-B22</f>
        <v>8.045959967754035E-4</v>
      </c>
      <c r="N39" s="13">
        <f t="shared" si="29"/>
        <v>-0.10262100558005688</v>
      </c>
      <c r="O39" s="13">
        <f t="shared" si="29"/>
        <v>-4.9210556043113057E-2</v>
      </c>
      <c r="P39" s="13" t="e">
        <f t="shared" si="29"/>
        <v>#DIV/0!</v>
      </c>
      <c r="Q39" s="13">
        <f t="shared" ref="Q39:Q50" si="30">Q22-F22</f>
        <v>1.8365265281899679E-2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6.6067160979783213E-2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9</v>
      </c>
      <c r="M40" s="13">
        <f t="shared" si="29"/>
        <v>0</v>
      </c>
      <c r="N40" s="13">
        <f t="shared" si="29"/>
        <v>0.11411378522630733</v>
      </c>
      <c r="O40" s="13">
        <f t="shared" si="29"/>
        <v>0.13913415878162116</v>
      </c>
      <c r="P40" s="13" t="e">
        <f t="shared" si="29"/>
        <v>#DIV/0!</v>
      </c>
      <c r="Q40" s="13">
        <f t="shared" si="30"/>
        <v>0.11951219512195121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5.7081626732127966E-2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-9.5836048226599302E-2</v>
      </c>
      <c r="P41" s="13" t="e">
        <f t="shared" si="29"/>
        <v>#DIV/0!</v>
      </c>
      <c r="Q41" s="13">
        <f t="shared" si="30"/>
        <v>4.2885437746630672E-2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1.7974771546263982E-2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ref="M42:P42" si="35">M25-B25</f>
        <v>0</v>
      </c>
      <c r="N42" s="13">
        <f t="shared" si="35"/>
        <v>0</v>
      </c>
      <c r="O42" s="13">
        <f t="shared" si="35"/>
        <v>0</v>
      </c>
      <c r="P42" s="13" t="e">
        <f t="shared" si="35"/>
        <v>#DIV/0!</v>
      </c>
      <c r="Q42" s="13">
        <f t="shared" si="30"/>
        <v>0.14872753005546491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-8.0850972600589877E-3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ref="M43:P43" si="36">M26-B26</f>
        <v>0</v>
      </c>
      <c r="N43" s="13">
        <f t="shared" si="36"/>
        <v>0</v>
      </c>
      <c r="O43" s="13">
        <f t="shared" si="36"/>
        <v>0</v>
      </c>
      <c r="P43" s="13" t="e">
        <f t="shared" si="36"/>
        <v>#DIV/0!</v>
      </c>
      <c r="Q43" s="13">
        <f t="shared" si="30"/>
        <v>-2.8154912906315617E-2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-6.7481996476494513E-4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ref="M44:P44" si="37">M27-B27</f>
        <v>0</v>
      </c>
      <c r="N44" s="13">
        <f t="shared" si="37"/>
        <v>0</v>
      </c>
      <c r="O44" s="13">
        <f t="shared" si="37"/>
        <v>0</v>
      </c>
      <c r="P44" s="13" t="e">
        <f t="shared" si="37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8">M28-B28</f>
        <v>0</v>
      </c>
      <c r="N45" s="13">
        <f t="shared" ref="N45:N47" si="39">N28-C28</f>
        <v>0</v>
      </c>
      <c r="O45" s="13">
        <f t="shared" ref="O45:O47" si="40">O28-D28</f>
        <v>0</v>
      </c>
      <c r="P45" s="13" t="e">
        <f t="shared" ref="P45:P47" si="41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8"/>
        <v>0</v>
      </c>
      <c r="N46" s="13">
        <f t="shared" si="39"/>
        <v>0</v>
      </c>
      <c r="O46" s="13">
        <f t="shared" si="40"/>
        <v>0</v>
      </c>
      <c r="P46" s="13" t="e">
        <f t="shared" si="41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8"/>
        <v>0</v>
      </c>
      <c r="N47" s="13">
        <f t="shared" si="39"/>
        <v>0</v>
      </c>
      <c r="O47" s="13">
        <f t="shared" si="40"/>
        <v>0</v>
      </c>
      <c r="P47" s="13" t="e">
        <f t="shared" si="41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-5.5757400609721215E-3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48" si="42">M31-B31</f>
        <v>7.3069225148521147E-4</v>
      </c>
      <c r="N48" s="13">
        <f t="shared" si="42"/>
        <v>9.8922642493570029E-4</v>
      </c>
      <c r="O48" s="13">
        <f t="shared" si="42"/>
        <v>8.3864475008386442E-4</v>
      </c>
      <c r="P48" s="13" t="e">
        <f t="shared" si="42"/>
        <v>#DIV/0!</v>
      </c>
      <c r="Q48" s="13">
        <f t="shared" si="30"/>
        <v>3.7940379403794038E-3</v>
      </c>
      <c r="R48" s="13">
        <f t="shared" si="31"/>
        <v>-5.8688147295742232E-2</v>
      </c>
      <c r="S48" s="13">
        <f t="shared" si="32"/>
        <v>0</v>
      </c>
      <c r="T48" s="13" t="e">
        <f t="shared" si="33"/>
        <v>#DIV/0!</v>
      </c>
      <c r="U48" s="13">
        <f t="shared" si="34"/>
        <v>-3.6175750411264126E-4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ref="M49:P49" si="43">M32-B32</f>
        <v>-1.5352882482605364E-3</v>
      </c>
      <c r="N49" s="17">
        <f t="shared" si="43"/>
        <v>-1.2482006071186026E-2</v>
      </c>
      <c r="O49" s="17">
        <f t="shared" si="43"/>
        <v>5.0738007380073799E-3</v>
      </c>
      <c r="P49" s="17" t="e">
        <f t="shared" si="43"/>
        <v>#DIV/0!</v>
      </c>
      <c r="Q49" s="17">
        <f t="shared" si="30"/>
        <v>-0.30512955324001012</v>
      </c>
      <c r="R49" s="17">
        <f t="shared" si="31"/>
        <v>5.8688147295742232E-2</v>
      </c>
      <c r="S49" s="17">
        <f t="shared" si="32"/>
        <v>0</v>
      </c>
      <c r="T49" s="17" t="e">
        <f t="shared" si="33"/>
        <v>#DIV/0!</v>
      </c>
      <c r="U49" s="13">
        <f t="shared" si="34"/>
        <v>-0.12642614446826639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ref="M50:P50" si="44">M33-B33</f>
        <v>0</v>
      </c>
      <c r="N50" s="15">
        <f t="shared" si="44"/>
        <v>0</v>
      </c>
      <c r="O50" s="15">
        <f t="shared" si="44"/>
        <v>0</v>
      </c>
      <c r="P50" s="15" t="e">
        <f t="shared" si="44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2521413.820144816</v>
      </c>
      <c r="C5" s="6" t="n">
        <v>315672.173619434</v>
      </c>
      <c r="D5" s="6" t="n">
        <v>171792.02026340138</v>
      </c>
      <c r="E5" s="6" t="n">
        <v>82162.480811391</v>
      </c>
      <c r="F5" s="6" t="n">
        <v>11975.0879814352</v>
      </c>
      <c r="G5" s="6" t="n">
        <v>0.0</v>
      </c>
      <c r="H5" s="6" t="n">
        <v>0.0</v>
      </c>
      <c r="I5" s="6" t="n">
        <v>943.389811134</v>
      </c>
      <c r="J5" s="6">
        <f>SUM(B5:I5)</f>
        <v>3103958.9726316109</v>
      </c>
      <c r="K5" s="6"/>
      <c r="L5" t="s">
        <v>1</v>
      </c>
      <c r="M5" s="6" t="n">
        <v>3286192.0</v>
      </c>
      <c r="N5" s="6" t="n">
        <v>455924.0</v>
      </c>
      <c r="O5" s="6" t="n">
        <v>178676.0</v>
      </c>
      <c r="P5" s="6" t="n">
        <v>111674.0</v>
      </c>
      <c r="Q5" s="6" t="n">
        <v>21303.0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4013137</v>
      </c>
    </row>
    <row r="6" spans="1:21" x14ac:dyDescent="0.45">
      <c r="A6" t="s">
        <v>12</v>
      </c>
      <c r="B6" s="6" t="n">
        <v>0.0</v>
      </c>
      <c r="C6" s="6" t="n">
        <v>394904.102118488</v>
      </c>
      <c r="D6" s="6" t="n">
        <v>76279.6779927631</v>
      </c>
      <c r="E6" s="6" t="n">
        <v>3613.0797044182</v>
      </c>
      <c r="F6" s="6" t="n">
        <v>43281.7031971077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518078.56301277701</v>
      </c>
      <c r="K6" s="6"/>
      <c r="L6" t="s">
        <v>12</v>
      </c>
      <c r="M6" s="6" t="n">
        <v>0.0</v>
      </c>
      <c r="N6" s="6" t="n">
        <v>558406.0</v>
      </c>
      <c r="O6" s="6" t="n">
        <v>94161.0</v>
      </c>
      <c r="P6" s="6" t="n">
        <v>7957.0</v>
      </c>
      <c r="Q6" s="6" t="n">
        <v>32431.0</v>
      </c>
      <c r="R6" s="6" t="n">
        <v>0.0</v>
      </c>
      <c r="S6" s="6" t="n">
        <v>0.0</v>
      </c>
      <c r="T6" s="6" t="n">
        <v>0.0</v>
      </c>
      <c r="U6" s="6">
        <f t="shared" si="0"/>
        <v>691446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186818.3443331934</v>
      </c>
      <c r="E7" s="6" t="n">
        <v>3150.100015497</v>
      </c>
      <c r="F7" s="6" t="n">
        <v>9761.7991759413</v>
      </c>
      <c r="G7" s="6" t="n">
        <v>0.0</v>
      </c>
      <c r="H7" s="6" t="n">
        <v>0.0</v>
      </c>
      <c r="I7" s="6" t="n">
        <v>0.0</v>
      </c>
      <c r="J7" s="6">
        <f t="shared" si="1"/>
        <v>199730.24352463172</v>
      </c>
      <c r="K7" s="6"/>
      <c r="L7" t="s">
        <v>56</v>
      </c>
      <c r="M7" s="6" t="n">
        <v>0.0</v>
      </c>
      <c r="N7" s="6" t="n">
        <v>0.0</v>
      </c>
      <c r="O7" s="6" t="n">
        <v>331495.0</v>
      </c>
      <c r="P7" s="6" t="n">
        <v>0.0</v>
      </c>
      <c r="Q7" s="6" t="n">
        <v>14313.0</v>
      </c>
      <c r="R7" s="6" t="n">
        <v>0.0</v>
      </c>
      <c r="S7" s="6" t="n">
        <v>0.0</v>
      </c>
      <c r="T7" s="6" t="n">
        <v>0.0</v>
      </c>
      <c r="U7" s="6">
        <f t="shared" si="0"/>
        <v>375728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81166.0019543937</v>
      </c>
      <c r="F8" s="6" t="n">
        <v>324619.9786083393</v>
      </c>
      <c r="G8" s="6" t="n">
        <v>0.0</v>
      </c>
      <c r="H8" s="6" t="n">
        <v>0.0</v>
      </c>
      <c r="I8" s="6" t="n">
        <v>0.0</v>
      </c>
      <c r="J8" s="6">
        <f t="shared" si="1"/>
        <v>405785.98056273302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89604.0</v>
      </c>
      <c r="Q8" s="6" t="n">
        <v>257054.0</v>
      </c>
      <c r="R8" s="6" t="n">
        <v>0.0</v>
      </c>
      <c r="S8" s="6" t="n">
        <v>0.0</v>
      </c>
      <c r="T8" s="6" t="n">
        <v>0.0</v>
      </c>
      <c r="U8" s="6">
        <f t="shared" si="0"/>
        <v>352202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2053.6406139154</v>
      </c>
      <c r="G9" s="6" t="n">
        <v>0.0</v>
      </c>
      <c r="H9" s="6" t="n">
        <v>0.0</v>
      </c>
      <c r="I9" s="6" t="n">
        <v>0.0</v>
      </c>
      <c r="J9" s="6">
        <f t="shared" si="1"/>
        <v>2053.6406139154001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943.389811134</v>
      </c>
      <c r="J13" s="6">
        <f t="shared" si="1"/>
        <v>943.38981113399996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377.852839859</v>
      </c>
      <c r="C14" s="6" t="n">
        <v>4500.0708760463</v>
      </c>
      <c r="D14" s="6" t="n">
        <v>337.724647725</v>
      </c>
      <c r="E14" s="6" t="n">
        <v>243.463457593</v>
      </c>
      <c r="F14" s="6" t="n">
        <v>5162.3333646064</v>
      </c>
      <c r="G14" s="6" t="n">
        <v>85418.7367502272</v>
      </c>
      <c r="H14" s="6" t="n">
        <v>0.0</v>
      </c>
      <c r="I14" s="6" t="n">
        <v>0.0</v>
      </c>
      <c r="J14" s="6">
        <f t="shared" si="1"/>
        <v>96040.181936056892</v>
      </c>
      <c r="K14" s="6"/>
      <c r="L14" t="s">
        <v>4</v>
      </c>
      <c r="M14" s="6" t="n">
        <v>1900.0</v>
      </c>
      <c r="N14" s="6" t="n">
        <v>2505.0</v>
      </c>
      <c r="O14" s="6" t="n">
        <v>1483.0</v>
      </c>
      <c r="P14" s="6" t="n">
        <v>0.0</v>
      </c>
      <c r="Q14" s="6" t="n">
        <v>3648.0</v>
      </c>
      <c r="R14" s="6" t="n">
        <v>60353.0</v>
      </c>
      <c r="S14" s="6" t="n">
        <v>0.0</v>
      </c>
      <c r="T14" s="6" t="n">
        <v>0.0</v>
      </c>
      <c r="U14" s="6">
        <f t="shared" si="0"/>
        <v>72154</v>
      </c>
    </row>
    <row r="15" spans="1:21" x14ac:dyDescent="0.45">
      <c r="A15" s="4" t="s">
        <v>5</v>
      </c>
      <c r="B15" s="10" t="n">
        <v>38638.5485307275</v>
      </c>
      <c r="C15" s="10" t="n">
        <v>13595.2682804456</v>
      </c>
      <c r="D15" s="10" t="n">
        <v>12701.8796056518</v>
      </c>
      <c r="E15" s="10" t="n">
        <v>11538.0287264934</v>
      </c>
      <c r="F15" s="10" t="n">
        <v>99515.5727396599</v>
      </c>
      <c r="G15" s="10" t="n">
        <v>7405.1303635836</v>
      </c>
      <c r="H15" s="10" t="n">
        <v>90473.6092814888</v>
      </c>
      <c r="I15" s="10" t="n">
        <v>0.0</v>
      </c>
      <c r="J15" s="6">
        <f t="shared" si="1"/>
        <v>273868.0375280506</v>
      </c>
      <c r="K15" s="6"/>
      <c r="L15" s="4" t="s">
        <v>5</v>
      </c>
      <c r="M15" s="8" t="n">
        <v>253556.0</v>
      </c>
      <c r="N15" s="8" t="n">
        <v>138735.0</v>
      </c>
      <c r="O15" s="8" t="n">
        <v>80771.0</v>
      </c>
      <c r="P15" s="8" t="n">
        <v>0.0</v>
      </c>
      <c r="Q15" s="8" t="n">
        <v>98806.0</v>
      </c>
      <c r="R15" s="8" t="n">
        <v>23281.0</v>
      </c>
      <c r="S15" s="8" t="n">
        <v>52156.0</v>
      </c>
      <c r="T15" s="8" t="n">
        <v>0.0</v>
      </c>
      <c r="U15" s="6">
        <f t="shared" si="0"/>
        <v>647690</v>
      </c>
    </row>
    <row r="16" spans="1:21" ht="14.65" thickBot="1" x14ac:dyDescent="0.5">
      <c r="A16" s="12" t="s">
        <v>7</v>
      </c>
      <c r="B16" s="16">
        <f t="shared" ref="B16:J16" si="2">SUM(B5:B15)</f>
        <v>2560430.2215154027</v>
      </c>
      <c r="C16" s="16">
        <f t="shared" si="2"/>
        <v>728671.61489441385</v>
      </c>
      <c r="D16" s="16">
        <f t="shared" si="2"/>
        <v>447929.64684273471</v>
      </c>
      <c r="E16" s="16">
        <f t="shared" si="2"/>
        <v>181873.15466978625</v>
      </c>
      <c r="F16" s="16">
        <f t="shared" si="2"/>
        <v>496370.11568100529</v>
      </c>
      <c r="G16" s="16">
        <f t="shared" si="2"/>
        <v>92823.867113810789</v>
      </c>
      <c r="H16" s="16">
        <f t="shared" si="2"/>
        <v>90473.609281488796</v>
      </c>
      <c r="I16" s="16">
        <f t="shared" si="2"/>
        <v>1886.7796222679999</v>
      </c>
      <c r="J16" s="16">
        <f t="shared" si="2"/>
        <v>4600459.0096209105</v>
      </c>
      <c r="L16" s="9" t="s">
        <v>7</v>
      </c>
      <c r="M16" s="16">
        <f t="shared" ref="M16:U16" si="3">SUM(M5:M15)</f>
        <v>3493331</v>
      </c>
      <c r="N16" s="16">
        <f t="shared" si="3"/>
        <v>1143947</v>
      </c>
      <c r="O16" s="16">
        <f t="shared" si="3"/>
        <v>730691</v>
      </c>
      <c r="P16" s="16">
        <f t="shared" si="3"/>
        <v>214637</v>
      </c>
      <c r="Q16" s="16">
        <f t="shared" si="3"/>
        <v>432649</v>
      </c>
      <c r="R16" s="16">
        <f t="shared" si="3"/>
        <v>86006</v>
      </c>
      <c r="S16" s="16">
        <f t="shared" si="3"/>
        <v>51096</v>
      </c>
      <c r="T16" s="16">
        <f t="shared" si="3"/>
        <v>0</v>
      </c>
      <c r="U16" s="16">
        <f t="shared" si="3"/>
        <v>6152357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0.98476177907808993</v>
      </c>
      <c r="C22" s="13">
        <f t="shared" si="4"/>
        <v>0.43321596061509215</v>
      </c>
      <c r="D22" s="13">
        <f t="shared" si="4"/>
        <v>0.38352455898887283</v>
      </c>
      <c r="E22" s="13">
        <f t="shared" si="4"/>
        <v>0.45175705540802535</v>
      </c>
      <c r="F22" s="13">
        <f t="shared" si="4"/>
        <v>2.4125320205882518E-2</v>
      </c>
      <c r="G22" s="13">
        <f t="shared" si="4"/>
        <v>0</v>
      </c>
      <c r="H22" s="13">
        <f t="shared" si="4"/>
        <v>0</v>
      </c>
      <c r="I22" s="13">
        <f t="shared" si="4"/>
        <v>0.5</v>
      </c>
      <c r="J22" s="13">
        <f t="shared" si="4"/>
        <v>0.67470636433023778</v>
      </c>
      <c r="K22" s="6"/>
      <c r="L22" t="s">
        <v>1</v>
      </c>
      <c r="M22" s="13">
        <f t="shared" ref="M22:P22" si="5">M5/M$16</f>
        <v>0.92753477984193311</v>
      </c>
      <c r="N22" s="13">
        <f t="shared" si="5"/>
        <v>0.39363187280529605</v>
      </c>
      <c r="O22" s="13">
        <f t="shared" si="5"/>
        <v>0.25563884049481927</v>
      </c>
      <c r="P22" s="13">
        <f t="shared" si="5"/>
        <v>0.53345881651346228</v>
      </c>
      <c r="Q22" s="13">
        <f t="shared" ref="Q22:U33" si="6">Q5/Q$16</f>
        <v>4.937952011908036E-2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0.65229260915775855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0.5419507142126162</v>
      </c>
      <c r="D23" s="13">
        <f t="shared" si="7"/>
        <v>0.17029388103785062</v>
      </c>
      <c r="E23" s="13">
        <f t="shared" si="7"/>
        <v>1.9865931896206473E-2</v>
      </c>
      <c r="F23" s="13">
        <f t="shared" si="7"/>
        <v>8.7196432318908779E-2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0.11261453736014659</v>
      </c>
      <c r="K23" s="6"/>
      <c r="L23" t="s">
        <v>12</v>
      </c>
      <c r="M23" s="13">
        <f t="shared" ref="M23:P23" si="8">M6/M$16</f>
        <v>0</v>
      </c>
      <c r="N23" s="13">
        <f t="shared" si="8"/>
        <v>0.48296817946985304</v>
      </c>
      <c r="O23" s="13">
        <f t="shared" si="8"/>
        <v>0.13446450004174132</v>
      </c>
      <c r="P23" s="13">
        <f t="shared" si="8"/>
        <v>3.7649613067644444E-2</v>
      </c>
      <c r="Q23" s="13">
        <f t="shared" si="6"/>
        <v>7.5402924772737259E-2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0.11238717129061268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0.41707072896379227</v>
      </c>
      <c r="E24" s="13">
        <f t="shared" si="9"/>
        <v>1.7320313276670246E-2</v>
      </c>
      <c r="F24" s="13">
        <f t="shared" si="9"/>
        <v>1.9666371660083518E-2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4.3415285976233488E-2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0.49356978531280665</v>
      </c>
      <c r="P24" s="13">
        <f t="shared" si="10"/>
        <v>0</v>
      </c>
      <c r="Q24" s="13">
        <f t="shared" si="6"/>
        <v>3.4857355500648335E-2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6.1070578316570381E-2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0.44627807826702548</v>
      </c>
      <c r="F25" s="13">
        <f t="shared" si="11"/>
        <v>0.65398775702475598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8.8205542037026172E-2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>
        <f t="shared" si="12"/>
        <v>0.42889157041889331</v>
      </c>
      <c r="Q25" s="13">
        <f t="shared" si="6"/>
        <v>0.60128649320812022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5.7246677980487805E-2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4.1373171934371298E-3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4.4639906792357778E-4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>
        <f t="shared" si="14"/>
        <v>0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>
        <f t="shared" si="16"/>
        <v>0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>
        <f t="shared" si="18"/>
        <v>0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>
        <f t="shared" si="20"/>
        <v>0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0.5</v>
      </c>
      <c r="J30" s="13">
        <f t="shared" si="21"/>
        <v>2.0506427927324098E-4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>
        <f t="shared" si="22"/>
        <v>0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1.47573964985996E-4</v>
      </c>
      <c r="C31" s="13">
        <f t="shared" si="23"/>
        <v>6.1757186420639846E-3</v>
      </c>
      <c r="D31" s="13">
        <f t="shared" si="23"/>
        <v>7.5396806196124141E-4</v>
      </c>
      <c r="E31" s="13">
        <f t="shared" si="23"/>
        <v>1.3386442767490273E-3</v>
      </c>
      <c r="F31" s="13">
        <f t="shared" si="23"/>
        <v>1.0400169553970488E-2</v>
      </c>
      <c r="G31" s="13">
        <f t="shared" si="23"/>
        <v>0.92022385412467023</v>
      </c>
      <c r="H31" s="13">
        <f t="shared" si="23"/>
        <v>0</v>
      </c>
      <c r="I31" s="13">
        <f t="shared" si="23"/>
        <v>0</v>
      </c>
      <c r="J31" s="13">
        <f t="shared" si="23"/>
        <v>2.0876217293798006E-2</v>
      </c>
      <c r="K31" s="6"/>
      <c r="L31" t="s">
        <v>4</v>
      </c>
      <c r="M31" s="13">
        <f t="shared" ref="M31:P31" si="24">M14/M$16</f>
        <v>5.5391258372023723E-4</v>
      </c>
      <c r="N31" s="13">
        <f t="shared" si="24"/>
        <v>2.0910059644371638E-3</v>
      </c>
      <c r="O31" s="13">
        <f t="shared" si="24"/>
        <v>2.1500196389445058E-3</v>
      </c>
      <c r="P31" s="13">
        <f t="shared" si="24"/>
        <v>0</v>
      </c>
      <c r="Q31" s="13">
        <f t="shared" si="6"/>
        <v>8.5750804925008497E-3</v>
      </c>
      <c r="R31" s="13">
        <f t="shared" si="6"/>
        <v>0.7272283329070065</v>
      </c>
      <c r="S31" s="13">
        <f t="shared" si="6"/>
        <v>0</v>
      </c>
      <c r="T31" s="13" t="e">
        <f t="shared" si="6"/>
        <v>#DIV/0!</v>
      </c>
      <c r="U31" s="13">
        <f t="shared" si="6"/>
        <v>1.1727862996246804E-2</v>
      </c>
    </row>
    <row r="32" spans="1:21" x14ac:dyDescent="0.45">
      <c r="A32" s="4" t="s">
        <v>5</v>
      </c>
      <c r="B32" s="14">
        <f t="shared" ref="B32:J32" si="25">B15/B$16</f>
        <v>1.509064695692394E-2</v>
      </c>
      <c r="C32" s="14">
        <f t="shared" si="25"/>
        <v>1.8657606530227726E-2</v>
      </c>
      <c r="D32" s="14">
        <f t="shared" si="25"/>
        <v>2.8356862947522987E-2</v>
      </c>
      <c r="E32" s="14">
        <f t="shared" si="25"/>
        <v>6.3439976875323642E-2</v>
      </c>
      <c r="F32" s="14">
        <f t="shared" si="25"/>
        <v>0.20048663204296141</v>
      </c>
      <c r="G32" s="14">
        <f t="shared" si="25"/>
        <v>7.9776145875329829E-2</v>
      </c>
      <c r="H32" s="14">
        <f t="shared" si="25"/>
        <v>1</v>
      </c>
      <c r="I32" s="14">
        <f t="shared" si="25"/>
        <v>0</v>
      </c>
      <c r="J32" s="14">
        <f t="shared" si="25"/>
        <v>5.9530589655360934E-2</v>
      </c>
      <c r="K32" s="6"/>
      <c r="L32" s="4" t="s">
        <v>5</v>
      </c>
      <c r="M32" s="14">
        <f t="shared" ref="M32:P32" si="26">M15/M$16</f>
        <v>7.1911307574346661E-2</v>
      </c>
      <c r="N32" s="14">
        <f t="shared" si="26"/>
        <v>0.12130894176041372</v>
      </c>
      <c r="O32" s="14">
        <f t="shared" si="26"/>
        <v>0.11417685451168826</v>
      </c>
      <c r="P32" s="14">
        <f t="shared" si="26"/>
        <v>0</v>
      </c>
      <c r="Q32" s="14">
        <f t="shared" si="6"/>
        <v>0.230498625906913</v>
      </c>
      <c r="R32" s="14">
        <f t="shared" si="6"/>
        <v>0.2727716670929935</v>
      </c>
      <c r="S32" s="14">
        <f t="shared" si="6"/>
        <v>1</v>
      </c>
      <c r="T32" s="14" t="e">
        <f t="shared" si="6"/>
        <v>#DIV/0!</v>
      </c>
      <c r="U32" s="14">
        <f t="shared" si="6"/>
        <v>0.10527510025832376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>
        <f t="shared" si="28"/>
        <v>1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-5.7226999236156817E-2</v>
      </c>
      <c r="N39" s="13">
        <f t="shared" si="29"/>
        <v>-3.9584087809796109E-2</v>
      </c>
      <c r="O39" s="13">
        <f t="shared" si="29"/>
        <v>-0.12788571849405356</v>
      </c>
      <c r="P39" s="13">
        <f t="shared" si="29"/>
        <v>8.1701761105436921E-2</v>
      </c>
      <c r="Q39" s="13">
        <f t="shared" ref="Q39:Q50" si="30">Q22-F22</f>
        <v>2.5254199913197842E-2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-2.2413755172479233E-2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9</v>
      </c>
      <c r="M40" s="13">
        <f t="shared" si="29"/>
        <v>0</v>
      </c>
      <c r="N40" s="13">
        <f t="shared" si="29"/>
        <v>-5.898253474276316E-2</v>
      </c>
      <c r="O40" s="13">
        <f t="shared" si="29"/>
        <v>-3.58293809961093E-2</v>
      </c>
      <c r="P40" s="13">
        <f t="shared" si="29"/>
        <v>1.7783681171437971E-2</v>
      </c>
      <c r="Q40" s="13">
        <f t="shared" si="30"/>
        <v>-1.1793507546171519E-2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-2.2736606953391303E-4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7.6499056349014383E-2</v>
      </c>
      <c r="P41" s="13">
        <f t="shared" si="29"/>
        <v>-1.7320313276670246E-2</v>
      </c>
      <c r="Q41" s="13">
        <f t="shared" si="30"/>
        <v>1.5190983840564817E-2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1.7655292340336894E-2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>
        <f t="shared" si="29"/>
        <v>-1.7386507848132171E-2</v>
      </c>
      <c r="Q42" s="13">
        <f t="shared" si="30"/>
        <v>-5.2701263816635757E-2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-3.0958864056538367E-2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>
        <f t="shared" si="29"/>
        <v>0</v>
      </c>
      <c r="Q43" s="13">
        <f t="shared" si="30"/>
        <v>-4.1373171934371298E-3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-4.4639906792357778E-4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>
        <f t="shared" si="29"/>
        <v>0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>
        <f t="shared" ref="P45:P47" si="38">P28-E28</f>
        <v>0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>
        <f t="shared" si="38"/>
        <v>0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>
        <f t="shared" si="38"/>
        <v>0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-2.0506427927324098E-4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4.0633861873424126E-4</v>
      </c>
      <c r="N48" s="13">
        <f t="shared" si="39"/>
        <v>-4.0847126776268209E-3</v>
      </c>
      <c r="O48" s="13">
        <f t="shared" si="39"/>
        <v>1.3960515769832643E-3</v>
      </c>
      <c r="P48" s="13">
        <f t="shared" si="39"/>
        <v>-1.3386442767490273E-3</v>
      </c>
      <c r="Q48" s="13">
        <f t="shared" si="30"/>
        <v>-1.8250890614696386E-3</v>
      </c>
      <c r="R48" s="13">
        <f t="shared" si="31"/>
        <v>-0.19299552121766372</v>
      </c>
      <c r="S48" s="13">
        <f t="shared" si="32"/>
        <v>0</v>
      </c>
      <c r="T48" s="13" t="e">
        <f t="shared" si="33"/>
        <v>#DIV/0!</v>
      </c>
      <c r="U48" s="13">
        <f t="shared" si="34"/>
        <v>-9.1483542975512016E-3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5.6820660617422719E-2</v>
      </c>
      <c r="N49" s="17">
        <f t="shared" si="39"/>
        <v>0.10265133523018599</v>
      </c>
      <c r="O49" s="17">
        <f t="shared" si="39"/>
        <v>8.5819991564165268E-2</v>
      </c>
      <c r="P49" s="17">
        <f t="shared" si="39"/>
        <v>-6.3439976875323642E-2</v>
      </c>
      <c r="Q49" s="17">
        <f t="shared" si="30"/>
        <v>3.0011993863951592E-2</v>
      </c>
      <c r="R49" s="17">
        <f t="shared" si="31"/>
        <v>0.19299552121766367</v>
      </c>
      <c r="S49" s="17">
        <f t="shared" si="32"/>
        <v>0</v>
      </c>
      <c r="T49" s="17" t="e">
        <f t="shared" si="33"/>
        <v>#DIV/0!</v>
      </c>
      <c r="U49" s="13">
        <f t="shared" si="34"/>
        <v>4.5744510602962828E-2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>
        <f t="shared" si="39"/>
        <v>0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191216.3469383657</v>
      </c>
      <c r="C5" s="6" t="n">
        <v>25680.9980716375</v>
      </c>
      <c r="D5" s="6" t="n">
        <v>7303.2159044420005</v>
      </c>
      <c r="E5" s="6" t="n">
        <v>13884.148111251</v>
      </c>
      <c r="F5" s="6" t="n">
        <v>512.485125</v>
      </c>
      <c r="G5" s="6" t="n">
        <v>0.0</v>
      </c>
      <c r="H5" s="6" t="n">
        <v>0.0</v>
      </c>
      <c r="I5" s="6" t="n">
        <v>281.817625</v>
      </c>
      <c r="J5" s="6">
        <f>SUM(B5:I5)</f>
        <v>238879.01177569621</v>
      </c>
      <c r="K5" s="6"/>
      <c r="L5" t="s">
        <v>1</v>
      </c>
      <c r="M5" s="6" t="n">
        <v>178698.0</v>
      </c>
      <c r="N5" s="6" t="n">
        <v>12051.0</v>
      </c>
      <c r="O5" s="6" t="n">
        <v>10370.0</v>
      </c>
      <c r="P5" s="6" t="n">
        <v>0.0</v>
      </c>
      <c r="Q5" s="6" t="n">
        <v>2262.0</v>
      </c>
      <c r="R5" s="6" t="n">
        <v>0.0</v>
      </c>
      <c r="S5" s="6" t="n">
        <v>0.0</v>
      </c>
      <c r="T5" s="6" t="n">
        <v>1032.0</v>
      </c>
      <c r="U5" s="6">
        <f t="shared" ref="U5:U15" si="0">SUM(M5:T5)</f>
        <v>201050</v>
      </c>
    </row>
    <row r="6" spans="1:21" x14ac:dyDescent="0.45">
      <c r="A6" t="s">
        <v>12</v>
      </c>
      <c r="B6" s="6" t="n">
        <v>0.0</v>
      </c>
      <c r="C6" s="6" t="n">
        <v>245586.8328763987</v>
      </c>
      <c r="D6" s="6" t="n">
        <v>101925.186206801</v>
      </c>
      <c r="E6" s="6" t="n">
        <v>230.48097940399998</v>
      </c>
      <c r="F6" s="6" t="n">
        <v>9420.8072129187</v>
      </c>
      <c r="G6" s="6" t="n">
        <v>0.0</v>
      </c>
      <c r="H6" s="6" t="n">
        <v>0.0</v>
      </c>
      <c r="I6" s="6" t="n">
        <v>40783.694979024</v>
      </c>
      <c r="J6" s="6">
        <f t="shared" ref="J6:J15" si="1">SUM(B6:I6)</f>
        <v>397947.00225454639</v>
      </c>
      <c r="K6" s="6"/>
      <c r="L6" t="s">
        <v>12</v>
      </c>
      <c r="M6" s="6" t="n">
        <v>0.0</v>
      </c>
      <c r="N6" s="6" t="n">
        <v>267824.0</v>
      </c>
      <c r="O6" s="6" t="n">
        <v>87874.0</v>
      </c>
      <c r="P6" s="6" t="n">
        <v>0.0</v>
      </c>
      <c r="Q6" s="6" t="n">
        <v>7289.0</v>
      </c>
      <c r="R6" s="6" t="n">
        <v>0.0</v>
      </c>
      <c r="S6" s="6" t="n">
        <v>0.0</v>
      </c>
      <c r="T6" s="6" t="n">
        <v>54506.0</v>
      </c>
      <c r="U6" s="6">
        <f t="shared" si="0"/>
        <v>419170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422632.871873099</v>
      </c>
      <c r="E7" s="6" t="n">
        <v>9.9</v>
      </c>
      <c r="F7" s="6" t="n">
        <v>3552.719124046</v>
      </c>
      <c r="G7" s="6" t="n">
        <v>0.0</v>
      </c>
      <c r="H7" s="6" t="n">
        <v>0.0</v>
      </c>
      <c r="I7" s="6" t="n">
        <v>65452.671875</v>
      </c>
      <c r="J7" s="6">
        <f t="shared" si="1"/>
        <v>491648.16287214501</v>
      </c>
      <c r="K7" s="6"/>
      <c r="L7" t="s">
        <v>56</v>
      </c>
      <c r="M7" s="6" t="n">
        <v>0.0</v>
      </c>
      <c r="N7" s="6" t="n">
        <v>0.0</v>
      </c>
      <c r="O7" s="6" t="n">
        <v>395966.0</v>
      </c>
      <c r="P7" s="6" t="n">
        <v>0.0</v>
      </c>
      <c r="Q7" s="6" t="n">
        <v>3534.0</v>
      </c>
      <c r="R7" s="6" t="n">
        <v>0.0</v>
      </c>
      <c r="S7" s="6" t="n">
        <v>0.0</v>
      </c>
      <c r="T7" s="6" t="n">
        <v>54734.0</v>
      </c>
      <c r="U7" s="6">
        <f t="shared" si="0"/>
        <v>461680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11367.294639576</v>
      </c>
      <c r="F8" s="6" t="n">
        <v>77406.3334403086</v>
      </c>
      <c r="G8" s="6" t="n">
        <v>0.0</v>
      </c>
      <c r="H8" s="6" t="n">
        <v>0.0</v>
      </c>
      <c r="I8" s="6" t="n">
        <v>9930.118776788</v>
      </c>
      <c r="J8" s="6">
        <f t="shared" si="1"/>
        <v>98703.746856672602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41299.0</v>
      </c>
      <c r="R8" s="6" t="n">
        <v>0.0</v>
      </c>
      <c r="S8" s="6" t="n">
        <v>0.0</v>
      </c>
      <c r="T8" s="6" t="n">
        <v>179.0</v>
      </c>
      <c r="U8" s="6">
        <f t="shared" si="0"/>
        <v>43814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17.06375</v>
      </c>
      <c r="G9" s="6" t="n">
        <v>0.0</v>
      </c>
      <c r="H9" s="6" t="n">
        <v>0.0</v>
      </c>
      <c r="I9" s="6" t="n">
        <v>0.0</v>
      </c>
      <c r="J9" s="6">
        <f t="shared" si="1"/>
        <v>17.063749999999999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319263.434583824</v>
      </c>
      <c r="J13" s="6">
        <f t="shared" si="1"/>
        <v>319263.43458382401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347551.0</v>
      </c>
      <c r="U13" s="6">
        <f t="shared" si="0"/>
        <v>347730</v>
      </c>
    </row>
    <row r="14" spans="1:21" x14ac:dyDescent="0.45">
      <c r="A14" t="s">
        <v>4</v>
      </c>
      <c r="B14" s="6" t="n">
        <v>42.06125</v>
      </c>
      <c r="C14" s="6" t="n">
        <v>2965.13055716</v>
      </c>
      <c r="D14" s="6" t="n">
        <v>589.893</v>
      </c>
      <c r="E14" s="6" t="n">
        <v>0.0</v>
      </c>
      <c r="F14" s="6" t="n">
        <v>1048.761012843</v>
      </c>
      <c r="G14" s="6" t="n">
        <v>18845.311437734</v>
      </c>
      <c r="H14" s="6" t="n">
        <v>0.0</v>
      </c>
      <c r="I14" s="6" t="n">
        <v>1548.13125</v>
      </c>
      <c r="J14" s="6">
        <f t="shared" si="1"/>
        <v>25039.288507736997</v>
      </c>
      <c r="K14" s="6"/>
      <c r="L14" t="s">
        <v>4</v>
      </c>
      <c r="M14" s="6" t="n">
        <v>309.0</v>
      </c>
      <c r="N14" s="6" t="n">
        <v>2332.0</v>
      </c>
      <c r="O14" s="6" t="n">
        <v>2822.0</v>
      </c>
      <c r="P14" s="6" t="n">
        <v>0.0</v>
      </c>
      <c r="Q14" s="6" t="n">
        <v>1298.0</v>
      </c>
      <c r="R14" s="6" t="n">
        <v>17748.0</v>
      </c>
      <c r="S14" s="6" t="n">
        <v>0.0</v>
      </c>
      <c r="T14" s="6" t="n">
        <v>2413.0</v>
      </c>
      <c r="U14" s="6">
        <f t="shared" si="0"/>
        <v>27075</v>
      </c>
    </row>
    <row r="15" spans="1:21" x14ac:dyDescent="0.45">
      <c r="A15" s="4" t="s">
        <v>5</v>
      </c>
      <c r="B15" s="10" t="n">
        <v>916.8018410492</v>
      </c>
      <c r="C15" s="10" t="n">
        <v>12666.4976144805</v>
      </c>
      <c r="D15" s="10" t="n">
        <v>17554.075774834</v>
      </c>
      <c r="E15" s="10" t="n">
        <v>265.44625</v>
      </c>
      <c r="F15" s="10" t="n">
        <v>20941.4648447409</v>
      </c>
      <c r="G15" s="10" t="n">
        <v>1203.1604532640001</v>
      </c>
      <c r="H15" s="10" t="n">
        <v>132633.0903121661</v>
      </c>
      <c r="I15" s="10" t="n">
        <v>12129.539610361</v>
      </c>
      <c r="J15" s="6">
        <f t="shared" si="1"/>
        <v>198310.07670089573</v>
      </c>
      <c r="K15" s="6"/>
      <c r="L15" s="4" t="s">
        <v>5</v>
      </c>
      <c r="M15" s="8" t="n">
        <v>2594.0</v>
      </c>
      <c r="N15" s="8" t="n">
        <v>12324.0</v>
      </c>
      <c r="O15" s="8" t="n">
        <v>15214.0</v>
      </c>
      <c r="P15" s="8" t="n">
        <v>0.0</v>
      </c>
      <c r="Q15" s="8" t="n">
        <v>9891.0</v>
      </c>
      <c r="R15" s="8" t="n">
        <v>1053.0</v>
      </c>
      <c r="S15" s="8" t="n">
        <v>103020.0</v>
      </c>
      <c r="T15" s="8" t="n">
        <v>18968.0</v>
      </c>
      <c r="U15" s="6">
        <f t="shared" si="0"/>
        <v>162180</v>
      </c>
    </row>
    <row r="16" spans="1:21" ht="14.65" thickBot="1" x14ac:dyDescent="0.5">
      <c r="A16" s="12" t="s">
        <v>7</v>
      </c>
      <c r="B16" s="16">
        <f t="shared" ref="B16:J16" si="2">SUM(B5:B15)</f>
        <v>192175.21002941488</v>
      </c>
      <c r="C16" s="16">
        <f t="shared" si="2"/>
        <v>286899.45911967667</v>
      </c>
      <c r="D16" s="16">
        <f t="shared" si="2"/>
        <v>550005.24275917606</v>
      </c>
      <c r="E16" s="16">
        <f t="shared" si="2"/>
        <v>25757.269980230998</v>
      </c>
      <c r="F16" s="16">
        <f t="shared" si="2"/>
        <v>112899.63450985719</v>
      </c>
      <c r="G16" s="16">
        <f t="shared" si="2"/>
        <v>20048.471890998</v>
      </c>
      <c r="H16" s="16">
        <f t="shared" si="2"/>
        <v>132633.09031216611</v>
      </c>
      <c r="I16" s="16">
        <f t="shared" si="2"/>
        <v>449389.408699997</v>
      </c>
      <c r="J16" s="16">
        <f t="shared" si="2"/>
        <v>1769807.7873015171</v>
      </c>
      <c r="L16" s="9" t="s">
        <v>7</v>
      </c>
      <c r="M16" s="16">
        <f t="shared" ref="M16:U16" si="3">SUM(M5:M15)</f>
        <v>177386</v>
      </c>
      <c r="N16" s="16">
        <f t="shared" si="3"/>
        <v>294164</v>
      </c>
      <c r="O16" s="16">
        <f t="shared" si="3"/>
        <v>521163</v>
      </c>
      <c r="P16" s="16">
        <f t="shared" si="3"/>
        <v>0</v>
      </c>
      <c r="Q16" s="16">
        <f t="shared" si="3"/>
        <v>69258</v>
      </c>
      <c r="R16" s="16">
        <f t="shared" si="3"/>
        <v>19129</v>
      </c>
      <c r="S16" s="16">
        <f t="shared" si="3"/>
        <v>102088</v>
      </c>
      <c r="T16" s="16">
        <f t="shared" si="3"/>
        <v>479511</v>
      </c>
      <c r="U16" s="16">
        <f t="shared" si="3"/>
        <v>1662699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0.99501047460334546</v>
      </c>
      <c r="C22" s="13">
        <f t="shared" si="4"/>
        <v>8.9512187127982631E-2</v>
      </c>
      <c r="D22" s="13">
        <f t="shared" si="4"/>
        <v>1.3278447797705392E-2</v>
      </c>
      <c r="E22" s="13">
        <f t="shared" si="4"/>
        <v>0.53903803166668063</v>
      </c>
      <c r="F22" s="13">
        <f t="shared" si="4"/>
        <v>4.5392983531337763E-3</v>
      </c>
      <c r="G22" s="13">
        <f t="shared" si="4"/>
        <v>0</v>
      </c>
      <c r="H22" s="13">
        <f t="shared" si="4"/>
        <v>0</v>
      </c>
      <c r="I22" s="13">
        <f t="shared" si="4"/>
        <v>6.2711229847460775E-4</v>
      </c>
      <c r="J22" s="13">
        <f t="shared" si="4"/>
        <v>0.13497455118554016</v>
      </c>
      <c r="K22" s="6"/>
      <c r="L22" t="s">
        <v>1</v>
      </c>
      <c r="M22" s="13">
        <f t="shared" ref="M22:P22" si="5">M5/M$16</f>
        <v>0.98420957685499422</v>
      </c>
      <c r="N22" s="13">
        <f t="shared" si="5"/>
        <v>4.0542010579132731E-2</v>
      </c>
      <c r="O22" s="13">
        <f t="shared" si="5"/>
        <v>2.1578661570372418E-2</v>
      </c>
      <c r="P22" s="13" t="e">
        <f t="shared" si="5"/>
        <v>#DIV/0!</v>
      </c>
      <c r="Q22" s="13">
        <f t="shared" ref="Q22:U33" si="6">Q5/Q$16</f>
        <v>3.2342834040832831E-2</v>
      </c>
      <c r="R22" s="13">
        <f t="shared" si="6"/>
        <v>0</v>
      </c>
      <c r="S22" s="13">
        <f t="shared" si="6"/>
        <v>0</v>
      </c>
      <c r="T22" s="13">
        <f t="shared" si="6"/>
        <v>2.1959871619212073E-3</v>
      </c>
      <c r="U22" s="13">
        <f t="shared" si="6"/>
        <v>0.1209178570504944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0.85600312259199862</v>
      </c>
      <c r="D23" s="13">
        <f t="shared" si="7"/>
        <v>0.18531675388307109</v>
      </c>
      <c r="E23" s="13">
        <f t="shared" si="7"/>
        <v>8.9481913099057776E-3</v>
      </c>
      <c r="F23" s="13">
        <f t="shared" si="7"/>
        <v>8.3444089556341083E-2</v>
      </c>
      <c r="G23" s="13">
        <f t="shared" si="7"/>
        <v>0</v>
      </c>
      <c r="H23" s="13">
        <f t="shared" si="7"/>
        <v>0</v>
      </c>
      <c r="I23" s="13">
        <f t="shared" si="7"/>
        <v>9.0753574048404742E-2</v>
      </c>
      <c r="J23" s="13">
        <f t="shared" si="7"/>
        <v>0.22485323271252466</v>
      </c>
      <c r="K23" s="6"/>
      <c r="L23" t="s">
        <v>12</v>
      </c>
      <c r="M23" s="13">
        <f t="shared" ref="M23:P23" si="8">M6/M$16</f>
        <v>0</v>
      </c>
      <c r="N23" s="13">
        <f t="shared" si="8"/>
        <v>0.91012496430562539</v>
      </c>
      <c r="O23" s="13">
        <f t="shared" si="8"/>
        <v>0.17111537081488901</v>
      </c>
      <c r="P23" s="13" t="e">
        <f t="shared" si="8"/>
        <v>#DIV/0!</v>
      </c>
      <c r="Q23" s="13">
        <f t="shared" si="6"/>
        <v>0.11229027693551648</v>
      </c>
      <c r="R23" s="13">
        <f t="shared" si="6"/>
        <v>0</v>
      </c>
      <c r="S23" s="13">
        <f t="shared" si="6"/>
        <v>0</v>
      </c>
      <c r="T23" s="13">
        <f t="shared" si="6"/>
        <v>0.11363242970442805</v>
      </c>
      <c r="U23" s="13">
        <f t="shared" si="6"/>
        <v>0.25210215438873784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0.76841607864118489</v>
      </c>
      <c r="E24" s="13">
        <f t="shared" si="9"/>
        <v>3.843575040211313E-4</v>
      </c>
      <c r="F24" s="13">
        <f t="shared" si="9"/>
        <v>3.1467941765000264E-2</v>
      </c>
      <c r="G24" s="13">
        <f t="shared" si="9"/>
        <v>0</v>
      </c>
      <c r="H24" s="13">
        <f t="shared" si="9"/>
        <v>0</v>
      </c>
      <c r="I24" s="13">
        <f t="shared" si="9"/>
        <v>0.1456480072913664</v>
      </c>
      <c r="J24" s="13">
        <f t="shared" si="9"/>
        <v>0.27779749100425011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0.77293284442679167</v>
      </c>
      <c r="P24" s="13" t="e">
        <f t="shared" si="10"/>
        <v>#DIV/0!</v>
      </c>
      <c r="Q24" s="13">
        <f t="shared" si="6"/>
        <v>5.4737358861070201E-2</v>
      </c>
      <c r="R24" s="13">
        <f t="shared" si="6"/>
        <v>0</v>
      </c>
      <c r="S24" s="13">
        <f t="shared" si="6"/>
        <v>0</v>
      </c>
      <c r="T24" s="13">
        <f t="shared" si="6"/>
        <v>0.11483573890901355</v>
      </c>
      <c r="U24" s="13">
        <f t="shared" si="6"/>
        <v>0.27766901886631312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0.44132373688285009</v>
      </c>
      <c r="F25" s="13">
        <f t="shared" si="11"/>
        <v>0.68562076198351474</v>
      </c>
      <c r="G25" s="13">
        <f t="shared" si="11"/>
        <v>0</v>
      </c>
      <c r="H25" s="13">
        <f t="shared" si="11"/>
        <v>0</v>
      </c>
      <c r="I25" s="13">
        <f t="shared" si="11"/>
        <v>2.2096913243937043E-2</v>
      </c>
      <c r="J25" s="13">
        <f t="shared" si="11"/>
        <v>5.5770885157630241E-2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0.63033873343151692</v>
      </c>
      <c r="R25" s="13">
        <f t="shared" si="6"/>
        <v>0</v>
      </c>
      <c r="S25" s="13">
        <f t="shared" si="6"/>
        <v>0</v>
      </c>
      <c r="T25" s="13">
        <f t="shared" si="6"/>
        <v>3.2950234718285919E-4</v>
      </c>
      <c r="U25" s="13">
        <f t="shared" si="6"/>
        <v>2.6351131503657609E-2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1.5114087901241322E-4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9.6415837484914952E-6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>
        <f t="shared" si="6"/>
        <v>0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>
        <f t="shared" si="6"/>
        <v>0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>
        <f t="shared" si="6"/>
        <v>0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>
        <f t="shared" si="6"/>
        <v>0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0.7104382711363757</v>
      </c>
      <c r="J30" s="13">
        <f t="shared" si="21"/>
        <v>0.18039441168388984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>
        <f t="shared" si="6"/>
        <v>0.72517627332845336</v>
      </c>
      <c r="U30" s="13">
        <f t="shared" si="6"/>
        <v>0.20913586884938284</v>
      </c>
    </row>
    <row r="31" spans="1:21" x14ac:dyDescent="0.45">
      <c r="A31" t="s">
        <v>4</v>
      </c>
      <c r="B31" s="13">
        <f t="shared" ref="B31:J31" si="23">B14/B$16</f>
        <v>2.1886928076499557E-4</v>
      </c>
      <c r="C31" s="13">
        <f t="shared" si="23"/>
        <v>1.0335085908695044E-2</v>
      </c>
      <c r="D31" s="13">
        <f t="shared" si="23"/>
        <v>1.0725225036778223E-3</v>
      </c>
      <c r="E31" s="13">
        <f t="shared" si="23"/>
        <v>0</v>
      </c>
      <c r="F31" s="13">
        <f t="shared" si="23"/>
        <v>9.2893215943177683E-3</v>
      </c>
      <c r="G31" s="13">
        <f t="shared" si="23"/>
        <v>0.93998742349015463</v>
      </c>
      <c r="H31" s="13">
        <f t="shared" si="23"/>
        <v>0</v>
      </c>
      <c r="I31" s="13">
        <f t="shared" si="23"/>
        <v>3.4449660362011335E-3</v>
      </c>
      <c r="J31" s="13">
        <f t="shared" si="23"/>
        <v>1.4148027083729363E-2</v>
      </c>
      <c r="K31" s="6"/>
      <c r="L31" t="s">
        <v>4</v>
      </c>
      <c r="M31" s="13">
        <f t="shared" ref="M31:P31" si="24">M14/M$16</f>
        <v>1.7532386997846504E-3</v>
      </c>
      <c r="N31" s="13">
        <f t="shared" si="24"/>
        <v>7.5638079438680467E-3</v>
      </c>
      <c r="O31" s="13">
        <f t="shared" si="24"/>
        <v>5.3399800062552405E-3</v>
      </c>
      <c r="P31" s="13" t="e">
        <f t="shared" si="24"/>
        <v>#DIV/0!</v>
      </c>
      <c r="Q31" s="13">
        <f t="shared" si="6"/>
        <v>1.9333506598515696E-2</v>
      </c>
      <c r="R31" s="13">
        <f t="shared" si="6"/>
        <v>0.94254796382455952</v>
      </c>
      <c r="S31" s="13">
        <f t="shared" si="6"/>
        <v>0</v>
      </c>
      <c r="T31" s="13">
        <f t="shared" si="6"/>
        <v>4.9779879919334491E-3</v>
      </c>
      <c r="U31" s="13">
        <f t="shared" si="6"/>
        <v>1.6283765131271506E-2</v>
      </c>
    </row>
    <row r="32" spans="1:21" x14ac:dyDescent="0.45">
      <c r="A32" s="4" t="s">
        <v>5</v>
      </c>
      <c r="B32" s="14">
        <f t="shared" ref="B32:J32" si="25">B15/B$16</f>
        <v>4.7706561158896181E-3</v>
      </c>
      <c r="C32" s="14">
        <f t="shared" si="25"/>
        <v>4.4149604371323765E-2</v>
      </c>
      <c r="D32" s="14">
        <f t="shared" si="25"/>
        <v>3.1916197174360728E-2</v>
      </c>
      <c r="E32" s="14">
        <f t="shared" si="25"/>
        <v>1.0305682636542347E-2</v>
      </c>
      <c r="F32" s="14">
        <f t="shared" si="25"/>
        <v>0.18548744586868007</v>
      </c>
      <c r="G32" s="14">
        <f t="shared" si="25"/>
        <v>6.0012576509845289E-2</v>
      </c>
      <c r="H32" s="14">
        <f t="shared" si="25"/>
        <v>1</v>
      </c>
      <c r="I32" s="14">
        <f t="shared" si="25"/>
        <v>2.6991155945240417E-2</v>
      </c>
      <c r="J32" s="14">
        <f t="shared" si="25"/>
        <v>0.11205175958868703</v>
      </c>
      <c r="K32" s="6"/>
      <c r="L32" s="4" t="s">
        <v>5</v>
      </c>
      <c r="M32" s="14">
        <f t="shared" ref="M32:P32" si="26">M15/M$16</f>
        <v>1.4037184445221156E-2</v>
      </c>
      <c r="N32" s="14">
        <f t="shared" si="26"/>
        <v>4.1769217171373794E-2</v>
      </c>
      <c r="O32" s="14">
        <f t="shared" si="26"/>
        <v>2.9033143181691718E-2</v>
      </c>
      <c r="P32" s="14" t="e">
        <f t="shared" si="26"/>
        <v>#DIV/0!</v>
      </c>
      <c r="Q32" s="14">
        <f t="shared" si="6"/>
        <v>0.15095729013254786</v>
      </c>
      <c r="R32" s="14">
        <f t="shared" si="6"/>
        <v>5.7452036175440431E-2</v>
      </c>
      <c r="S32" s="14">
        <f t="shared" si="6"/>
        <v>1</v>
      </c>
      <c r="T32" s="14">
        <f t="shared" si="6"/>
        <v>3.8852080557067514E-2</v>
      </c>
      <c r="U32" s="14">
        <f t="shared" si="6"/>
        <v>9.7540204210142673E-2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>
        <f t="shared" si="6"/>
        <v>1</v>
      </c>
      <c r="U33" s="15">
        <f t="shared" si="6"/>
        <v>1</v>
      </c>
    </row>
    <row r="36" spans="1:32" ht="14.65" thickBot="1" x14ac:dyDescent="0.5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-1.0800897748351246E-2</v>
      </c>
      <c r="N39" s="13">
        <f t="shared" si="29"/>
        <v>-4.89701765488499E-2</v>
      </c>
      <c r="O39" s="13">
        <f t="shared" si="29"/>
        <v>8.3002137726670266E-3</v>
      </c>
      <c r="P39" s="13" t="e">
        <f t="shared" si="29"/>
        <v>#DIV/0!</v>
      </c>
      <c r="Q39" s="13">
        <f t="shared" ref="Q39:Q50" si="30">Q22-F22</f>
        <v>2.7803535687699055E-2</v>
      </c>
      <c r="R39" s="13">
        <f t="shared" ref="R39:R50" si="31">R22-G22</f>
        <v>0</v>
      </c>
      <c r="S39" s="13">
        <f t="shared" ref="S39:S50" si="32">S22-H22</f>
        <v>0</v>
      </c>
      <c r="T39" s="13">
        <f t="shared" ref="T39:T50" si="33">T22-I22</f>
        <v>1.5688748634465994E-3</v>
      </c>
      <c r="U39" s="13">
        <f t="shared" ref="U39:U50" si="34">U22-J22</f>
        <v>-1.4056694135045761E-2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5.4121841713626773E-2</v>
      </c>
      <c r="O40" s="13">
        <f t="shared" si="29"/>
        <v>-1.4201383068182083E-2</v>
      </c>
      <c r="P40" s="13" t="e">
        <f t="shared" si="29"/>
        <v>#DIV/0!</v>
      </c>
      <c r="Q40" s="13">
        <f t="shared" si="30"/>
        <v>2.8846187379175395E-2</v>
      </c>
      <c r="R40" s="13">
        <f t="shared" si="31"/>
        <v>0</v>
      </c>
      <c r="S40" s="13">
        <f t="shared" si="32"/>
        <v>0</v>
      </c>
      <c r="T40" s="13">
        <f t="shared" si="33"/>
        <v>2.2878855656023309E-2</v>
      </c>
      <c r="U40" s="13">
        <f t="shared" si="34"/>
        <v>2.7248921676213178E-2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4.51676578560678E-3</v>
      </c>
      <c r="P41" s="13" t="e">
        <f t="shared" si="29"/>
        <v>#DIV/0!</v>
      </c>
      <c r="Q41" s="13">
        <f t="shared" si="30"/>
        <v>2.3269417096069937E-2</v>
      </c>
      <c r="R41" s="13">
        <f t="shared" si="31"/>
        <v>0</v>
      </c>
      <c r="S41" s="13">
        <f t="shared" si="32"/>
        <v>0</v>
      </c>
      <c r="T41" s="13">
        <f t="shared" si="33"/>
        <v>-3.0812268382352848E-2</v>
      </c>
      <c r="U41" s="13">
        <f t="shared" si="34"/>
        <v>-1.2847213793698575E-4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-5.5282028551997819E-2</v>
      </c>
      <c r="R42" s="13">
        <f t="shared" si="31"/>
        <v>0</v>
      </c>
      <c r="S42" s="13">
        <f t="shared" si="32"/>
        <v>0</v>
      </c>
      <c r="T42" s="13">
        <f t="shared" si="33"/>
        <v>-2.1767410896754186E-2</v>
      </c>
      <c r="U42" s="13">
        <f t="shared" si="34"/>
        <v>-2.9419753653972633E-2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-1.5114087901241322E-4</v>
      </c>
      <c r="R43" s="13">
        <f t="shared" si="31"/>
        <v>0</v>
      </c>
      <c r="S43" s="13">
        <f t="shared" si="32"/>
        <v>0</v>
      </c>
      <c r="T43" s="13">
        <f t="shared" si="33"/>
        <v>0</v>
      </c>
      <c r="U43" s="13">
        <f t="shared" si="34"/>
        <v>-9.6415837484914952E-6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>
        <f t="shared" si="33"/>
        <v>0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>
        <f t="shared" si="33"/>
        <v>0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>
        <f t="shared" si="33"/>
        <v>0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>
        <f t="shared" si="33"/>
        <v>1.4738002192077659E-2</v>
      </c>
      <c r="U47" s="13">
        <f t="shared" si="34"/>
        <v>2.8741457165493006E-2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1.5343694190196547E-3</v>
      </c>
      <c r="N48" s="13">
        <f t="shared" si="39"/>
        <v>-2.7712779648269969E-3</v>
      </c>
      <c r="O48" s="13">
        <f t="shared" si="39"/>
        <v>4.2674575025774177E-3</v>
      </c>
      <c r="P48" s="13" t="e">
        <f t="shared" si="39"/>
        <v>#DIV/0!</v>
      </c>
      <c r="Q48" s="13">
        <f t="shared" si="30"/>
        <v>1.0044185004197927E-2</v>
      </c>
      <c r="R48" s="13">
        <f t="shared" si="31"/>
        <v>2.5605403344048927E-3</v>
      </c>
      <c r="S48" s="13">
        <f t="shared" si="32"/>
        <v>0</v>
      </c>
      <c r="T48" s="13">
        <f t="shared" si="33"/>
        <v>1.5330219557323156E-3</v>
      </c>
      <c r="U48" s="13">
        <f t="shared" si="34"/>
        <v>2.1357380475421437E-3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9.2665283293315373E-3</v>
      </c>
      <c r="N49" s="17">
        <f t="shared" si="39"/>
        <v>-2.3803871999499709E-3</v>
      </c>
      <c r="O49" s="17">
        <f t="shared" si="39"/>
        <v>-2.8830539926690095E-3</v>
      </c>
      <c r="P49" s="17" t="e">
        <f t="shared" si="39"/>
        <v>#DIV/0!</v>
      </c>
      <c r="Q49" s="17">
        <f t="shared" si="30"/>
        <v>-3.4530155736132218E-2</v>
      </c>
      <c r="R49" s="17">
        <f t="shared" si="31"/>
        <v>-2.560540334404858E-3</v>
      </c>
      <c r="S49" s="17">
        <f t="shared" si="32"/>
        <v>0</v>
      </c>
      <c r="T49" s="17">
        <f t="shared" si="33"/>
        <v>1.1860924611827098E-2</v>
      </c>
      <c r="U49" s="13">
        <f t="shared" si="34"/>
        <v>-1.4511555378544358E-2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>
        <f t="shared" si="33"/>
        <v>0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F50"/>
  <sheetViews>
    <sheetView zoomScaleNormal="100"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47017.0901456854</v>
      </c>
      <c r="C5" s="6" t="n">
        <v>338383.1360179007</v>
      </c>
      <c r="D5" s="6" t="n">
        <v>115578.3606916885</v>
      </c>
      <c r="E5" s="6" t="n">
        <v>373.067856556</v>
      </c>
      <c r="F5" s="6" t="n">
        <v>298.0264508996</v>
      </c>
      <c r="G5" s="6" t="n">
        <v>0.0</v>
      </c>
      <c r="H5" s="6" t="n">
        <v>0.0</v>
      </c>
      <c r="I5" s="6" t="n">
        <v>0.0</v>
      </c>
      <c r="J5" s="6">
        <f>SUM(B5:I5)</f>
        <v>501649.68116273021</v>
      </c>
      <c r="K5" s="6"/>
      <c r="L5" t="s">
        <v>1</v>
      </c>
      <c r="M5" s="6" t="n">
        <v>577.0</v>
      </c>
      <c r="N5" s="6" t="n">
        <v>297318.0</v>
      </c>
      <c r="O5" s="6" t="n">
        <v>140417.0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437568</v>
      </c>
    </row>
    <row r="6" spans="1:21" x14ac:dyDescent="0.45">
      <c r="A6" t="s">
        <v>12</v>
      </c>
      <c r="B6" s="6" t="n">
        <v>0.0</v>
      </c>
      <c r="C6" s="6" t="n">
        <v>366226.2272171662</v>
      </c>
      <c r="D6" s="6" t="n">
        <v>219107.4756911135</v>
      </c>
      <c r="E6" s="6" t="n">
        <v>0.0</v>
      </c>
      <c r="F6" s="6" t="n">
        <v>463.3983882427</v>
      </c>
      <c r="G6" s="6" t="n">
        <v>0.0</v>
      </c>
      <c r="H6" s="6" t="n">
        <v>0.0</v>
      </c>
      <c r="I6" s="6" t="n">
        <v>659.6315</v>
      </c>
      <c r="J6" s="6">
        <f t="shared" ref="J6:J15" si="1">SUM(B6:I6)</f>
        <v>586456.73279652244</v>
      </c>
      <c r="K6" s="6"/>
      <c r="L6" t="s">
        <v>12</v>
      </c>
      <c r="M6" s="6" t="n">
        <v>0.0</v>
      </c>
      <c r="N6" s="6" t="n">
        <v>587509.0</v>
      </c>
      <c r="O6" s="6" t="n">
        <v>124754.0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t="shared" si="0"/>
        <v>712485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448578.63539263123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448578.63539263123</v>
      </c>
      <c r="K7" s="6"/>
      <c r="L7" t="s">
        <v>56</v>
      </c>
      <c r="M7" s="6" t="n">
        <v>0.0</v>
      </c>
      <c r="N7" s="6" t="n">
        <v>0.0</v>
      </c>
      <c r="O7" s="6" t="n">
        <v>482134.0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t="shared" si="0"/>
        <v>481722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373.067856556</v>
      </c>
      <c r="F8" s="6" t="n">
        <v>6845.5035407785</v>
      </c>
      <c r="G8" s="6" t="n">
        <v>0.0</v>
      </c>
      <c r="H8" s="6" t="n">
        <v>0.0</v>
      </c>
      <c r="I8" s="6" t="n">
        <v>0.0</v>
      </c>
      <c r="J8" s="6">
        <f t="shared" si="1"/>
        <v>7218.5713973345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t="shared" si="0"/>
        <v>0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1978.8944999999999</v>
      </c>
      <c r="J13" s="6">
        <f t="shared" si="1"/>
        <v>1978.8944999999999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5395.9617565758</v>
      </c>
      <c r="D14" s="6" t="n">
        <v>166.035106589</v>
      </c>
      <c r="E14" s="6" t="n">
        <v>0.0</v>
      </c>
      <c r="F14" s="6" t="n">
        <v>0.0</v>
      </c>
      <c r="G14" s="6" t="n">
        <v>3574.0916688353004</v>
      </c>
      <c r="H14" s="6" t="n">
        <v>0.0</v>
      </c>
      <c r="I14" s="6" t="n">
        <v>0.0</v>
      </c>
      <c r="J14" s="6">
        <f t="shared" si="1"/>
        <v>9136.0885320000998</v>
      </c>
      <c r="K14" s="6"/>
      <c r="L14" t="s">
        <v>4</v>
      </c>
      <c r="M14" s="6" t="n">
        <v>0.0</v>
      </c>
      <c r="N14" s="6" t="n">
        <v>7117.0</v>
      </c>
      <c r="O14" s="6" t="n">
        <v>6010.0</v>
      </c>
      <c r="P14" s="6" t="n">
        <v>0.0</v>
      </c>
      <c r="Q14" s="6" t="n">
        <v>0.0</v>
      </c>
      <c r="R14" s="6" t="n">
        <v>5424.0</v>
      </c>
      <c r="S14" s="6" t="n">
        <v>0.0</v>
      </c>
      <c r="T14" s="6" t="n">
        <v>0.0</v>
      </c>
      <c r="U14" s="6">
        <f t="shared" si="0"/>
        <v>19130</v>
      </c>
    </row>
    <row r="15" spans="1:21" x14ac:dyDescent="0.45">
      <c r="A15" s="4" t="s">
        <v>5</v>
      </c>
      <c r="B15" s="10" t="n">
        <v>4021.110885484</v>
      </c>
      <c r="C15" s="10" t="n">
        <v>8928.3319904001</v>
      </c>
      <c r="D15" s="10" t="n">
        <v>15685.1222060122</v>
      </c>
      <c r="E15" s="10" t="n">
        <v>373.067856556</v>
      </c>
      <c r="F15" s="10" t="n">
        <v>234.56112695000002</v>
      </c>
      <c r="G15" s="10" t="n">
        <v>369.703052246</v>
      </c>
      <c r="H15" s="10" t="n">
        <v>67412.928387123</v>
      </c>
      <c r="I15" s="10" t="n">
        <v>0.0</v>
      </c>
      <c r="J15" s="6">
        <f t="shared" si="1"/>
        <v>97024.825504771303</v>
      </c>
      <c r="K15" s="6"/>
      <c r="L15" s="4" t="s">
        <v>5</v>
      </c>
      <c r="M15" s="8" t="n">
        <v>0.0</v>
      </c>
      <c r="N15" s="8" t="n">
        <v>36060.0</v>
      </c>
      <c r="O15" s="8" t="n">
        <v>26317.0</v>
      </c>
      <c r="P15" s="8" t="n">
        <v>0.0</v>
      </c>
      <c r="Q15" s="8" t="n">
        <v>0.0</v>
      </c>
      <c r="R15" s="8" t="n">
        <v>63.0</v>
      </c>
      <c r="S15" s="8" t="n">
        <v>31.0</v>
      </c>
      <c r="T15" s="8" t="n">
        <v>0.0</v>
      </c>
      <c r="U15" s="6">
        <f t="shared" si="0"/>
        <v>63115</v>
      </c>
    </row>
    <row r="16" spans="1:21" ht="14.65" thickBot="1" x14ac:dyDescent="0.5">
      <c r="A16" s="12" t="s">
        <v>7</v>
      </c>
      <c r="B16" s="16">
        <f t="shared" ref="B16:J16" si="2">SUM(B5:B15)</f>
        <v>51038.201031169396</v>
      </c>
      <c r="C16" s="16">
        <f t="shared" si="2"/>
        <v>718933.65698204283</v>
      </c>
      <c r="D16" s="16">
        <f t="shared" si="2"/>
        <v>799115.6290880345</v>
      </c>
      <c r="E16" s="16">
        <f t="shared" si="2"/>
        <v>1119.203569668</v>
      </c>
      <c r="F16" s="16">
        <f t="shared" si="2"/>
        <v>7841.4895068707992</v>
      </c>
      <c r="G16" s="16">
        <f t="shared" si="2"/>
        <v>3943.7947210813004</v>
      </c>
      <c r="H16" s="16">
        <f t="shared" si="2"/>
        <v>67412.928387123</v>
      </c>
      <c r="I16" s="16">
        <f t="shared" si="2"/>
        <v>2638.5259999999998</v>
      </c>
      <c r="J16" s="16">
        <f t="shared" si="2"/>
        <v>1652043.4292859896</v>
      </c>
      <c r="L16" s="9" t="s">
        <v>7</v>
      </c>
      <c r="M16" s="16">
        <f t="shared" ref="M16:U16" si="3">SUM(M5:M15)</f>
        <v>551</v>
      </c>
      <c r="N16" s="16">
        <f t="shared" si="3"/>
        <v>929707</v>
      </c>
      <c r="O16" s="16">
        <f t="shared" si="3"/>
        <v>777743</v>
      </c>
      <c r="P16" s="16">
        <f t="shared" si="3"/>
        <v>0</v>
      </c>
      <c r="Q16" s="16">
        <f t="shared" si="3"/>
        <v>0</v>
      </c>
      <c r="R16" s="16">
        <f t="shared" si="3"/>
        <v>5917</v>
      </c>
      <c r="S16" s="16">
        <f t="shared" si="3"/>
        <v>102</v>
      </c>
      <c r="T16" s="16">
        <f t="shared" si="3"/>
        <v>0</v>
      </c>
      <c r="U16" s="16">
        <f t="shared" si="3"/>
        <v>1714020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0.92121370259448843</v>
      </c>
      <c r="C22" s="13">
        <f t="shared" si="4"/>
        <v>0.47067366054104864</v>
      </c>
      <c r="D22" s="13">
        <f t="shared" si="4"/>
        <v>0.14463283720728709</v>
      </c>
      <c r="E22" s="13">
        <f t="shared" si="4"/>
        <v>0.33333333333333331</v>
      </c>
      <c r="F22" s="13">
        <f t="shared" si="4"/>
        <v>3.8006357164473141E-2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0.30365405186687033</v>
      </c>
      <c r="K22" s="6"/>
      <c r="L22" t="s">
        <v>1</v>
      </c>
      <c r="M22" s="13">
        <f t="shared" ref="M22:P22" si="5">M5/M$16</f>
        <v>1</v>
      </c>
      <c r="N22" s="13">
        <f t="shared" si="5"/>
        <v>0.32034823874618562</v>
      </c>
      <c r="O22" s="13">
        <f t="shared" si="5"/>
        <v>0.17896271647575099</v>
      </c>
      <c r="P22" s="13" t="e">
        <f t="shared" si="5"/>
        <v>#DIV/0!</v>
      </c>
      <c r="Q22" s="13" t="e">
        <f t="shared" ref="Q22:U33" si="6">Q5/Q$16</f>
        <v>#DIV/0!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0.25528756957328386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0.50940197841692314</v>
      </c>
      <c r="D23" s="13">
        <f t="shared" si="7"/>
        <v>0.27418744886914925</v>
      </c>
      <c r="E23" s="13">
        <f t="shared" si="7"/>
        <v>0</v>
      </c>
      <c r="F23" s="13">
        <f t="shared" si="7"/>
        <v>5.9095709792975584E-2</v>
      </c>
      <c r="G23" s="13">
        <f t="shared" si="7"/>
        <v>0</v>
      </c>
      <c r="H23" s="13">
        <f t="shared" si="7"/>
        <v>0</v>
      </c>
      <c r="I23" s="13">
        <f t="shared" si="7"/>
        <v>0.25</v>
      </c>
      <c r="J23" s="13">
        <f t="shared" si="7"/>
        <v>0.35498869000676819</v>
      </c>
      <c r="K23" s="6"/>
      <c r="L23" t="s">
        <v>12</v>
      </c>
      <c r="M23" s="13">
        <f t="shared" ref="M23:P23" si="8">M6/M$16</f>
        <v>0</v>
      </c>
      <c r="N23" s="13">
        <f t="shared" si="8"/>
        <v>0.63253261511422421</v>
      </c>
      <c r="O23" s="13">
        <f t="shared" si="8"/>
        <v>0.15996929576993943</v>
      </c>
      <c r="P23" s="13" t="e">
        <f t="shared" si="8"/>
        <v>#DIV/0!</v>
      </c>
      <c r="Q23" s="13" t="e">
        <f t="shared" si="6"/>
        <v>#DIV/0!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0.41568068050547835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0.56134383944480903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0.27152956601540806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0.61938455248070379</v>
      </c>
      <c r="P24" s="13" t="e">
        <f t="shared" si="10"/>
        <v>#DIV/0!</v>
      </c>
      <c r="Q24" s="13" t="e">
        <f t="shared" si="6"/>
        <v>#DIV/0!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0.28104806244967973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0.33333333333333331</v>
      </c>
      <c r="F25" s="13">
        <f t="shared" si="11"/>
        <v>0.87298510503398552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4.3694804079420328E-3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 t="e">
        <f t="shared" si="6"/>
        <v>#DIV/0!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0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 t="e">
        <f t="shared" si="6"/>
        <v>#DIV/0!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 t="e">
        <f t="shared" si="6"/>
        <v>#DIV/0!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 t="e">
        <f t="shared" si="6"/>
        <v>#DIV/0!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 t="e">
        <f t="shared" si="6"/>
        <v>#DIV/0!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0.75</v>
      </c>
      <c r="J30" s="13">
        <f t="shared" si="21"/>
        <v>1.1978465365497532E-3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 t="e">
        <f t="shared" si="6"/>
        <v>#DIV/0!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7.5055072247237654E-3</v>
      </c>
      <c r="D31" s="13">
        <f t="shared" si="23"/>
        <v>2.0777356936252435E-4</v>
      </c>
      <c r="E31" s="13">
        <f t="shared" si="23"/>
        <v>0</v>
      </c>
      <c r="F31" s="13">
        <f t="shared" si="23"/>
        <v>0</v>
      </c>
      <c r="G31" s="13">
        <f t="shared" si="23"/>
        <v>0.90625702441616041</v>
      </c>
      <c r="H31" s="13">
        <f t="shared" si="23"/>
        <v>0</v>
      </c>
      <c r="I31" s="13">
        <f t="shared" si="23"/>
        <v>0</v>
      </c>
      <c r="J31" s="13">
        <f t="shared" si="23"/>
        <v>5.5301745523413399E-3</v>
      </c>
      <c r="K31" s="6"/>
      <c r="L31" t="s">
        <v>4</v>
      </c>
      <c r="M31" s="13">
        <f t="shared" ref="M31:P31" si="24">M14/M$16</f>
        <v>0</v>
      </c>
      <c r="N31" s="13">
        <f t="shared" si="24"/>
        <v>7.7551314553940109E-3</v>
      </c>
      <c r="O31" s="13">
        <f t="shared" si="24"/>
        <v>7.8213497260663234E-3</v>
      </c>
      <c r="P31" s="13" t="e">
        <f t="shared" si="24"/>
        <v>#DIV/0!</v>
      </c>
      <c r="Q31" s="13" t="e">
        <f t="shared" si="6"/>
        <v>#DIV/0!</v>
      </c>
      <c r="R31" s="13">
        <f t="shared" si="6"/>
        <v>0.98647963495014368</v>
      </c>
      <c r="S31" s="13">
        <f t="shared" si="6"/>
        <v>0</v>
      </c>
      <c r="T31" s="13" t="e">
        <f t="shared" si="6"/>
        <v>#DIV/0!</v>
      </c>
      <c r="U31" s="13">
        <f t="shared" si="6"/>
        <v>1.1160896605640541E-2</v>
      </c>
    </row>
    <row r="32" spans="1:21" x14ac:dyDescent="0.45">
      <c r="A32" s="4" t="s">
        <v>5</v>
      </c>
      <c r="B32" s="14">
        <f t="shared" ref="B32:J32" si="25">B15/B$16</f>
        <v>7.8786297405511588E-2</v>
      </c>
      <c r="C32" s="14">
        <f t="shared" si="25"/>
        <v>1.2418853817304462E-2</v>
      </c>
      <c r="D32" s="14">
        <f t="shared" si="25"/>
        <v>1.9628100909391988E-2</v>
      </c>
      <c r="E32" s="14">
        <f t="shared" si="25"/>
        <v>0.33333333333333331</v>
      </c>
      <c r="F32" s="14">
        <f t="shared" si="25"/>
        <v>2.9912828008565845E-2</v>
      </c>
      <c r="G32" s="14">
        <f t="shared" si="25"/>
        <v>9.3742975583839649E-2</v>
      </c>
      <c r="H32" s="14">
        <f t="shared" si="25"/>
        <v>1</v>
      </c>
      <c r="I32" s="14">
        <f t="shared" si="25"/>
        <v>0</v>
      </c>
      <c r="J32" s="14">
        <f t="shared" si="25"/>
        <v>5.8730190614120395E-2</v>
      </c>
      <c r="K32" s="6"/>
      <c r="L32" s="4" t="s">
        <v>5</v>
      </c>
      <c r="M32" s="14">
        <f t="shared" ref="M32:P32" si="26">M15/M$16</f>
        <v>0</v>
      </c>
      <c r="N32" s="14">
        <f t="shared" si="26"/>
        <v>3.9364014684196202E-2</v>
      </c>
      <c r="O32" s="14">
        <f t="shared" si="26"/>
        <v>3.3862085547539486E-2</v>
      </c>
      <c r="P32" s="14" t="e">
        <f t="shared" si="26"/>
        <v>#DIV/0!</v>
      </c>
      <c r="Q32" s="14" t="e">
        <f t="shared" si="6"/>
        <v>#DIV/0!</v>
      </c>
      <c r="R32" s="14">
        <f t="shared" si="6"/>
        <v>1.3520365049856346E-2</v>
      </c>
      <c r="S32" s="14">
        <f t="shared" si="6"/>
        <v>1</v>
      </c>
      <c r="T32" s="14" t="e">
        <f t="shared" si="6"/>
        <v>#DIV/0!</v>
      </c>
      <c r="U32" s="14">
        <f t="shared" si="6"/>
        <v>3.6822790865917554E-2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 t="e">
        <f t="shared" si="6"/>
        <v>#DIV/0!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7.8786297405511574E-2</v>
      </c>
      <c r="N39" s="13">
        <f t="shared" si="29"/>
        <v>-0.15032542179486302</v>
      </c>
      <c r="O39" s="13">
        <f t="shared" si="29"/>
        <v>3.4329879268463898E-2</v>
      </c>
      <c r="P39" s="13" t="e">
        <f t="shared" si="29"/>
        <v>#DIV/0!</v>
      </c>
      <c r="Q39" s="13" t="e">
        <f t="shared" ref="Q39:Q50" si="30">Q22-F22</f>
        <v>#DIV/0!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-4.8366482293586477E-2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0.12313063669730107</v>
      </c>
      <c r="O40" s="13">
        <f t="shared" si="29"/>
        <v>-0.11421815309920982</v>
      </c>
      <c r="P40" s="13" t="e">
        <f t="shared" si="29"/>
        <v>#DIV/0!</v>
      </c>
      <c r="Q40" s="13" t="e">
        <f t="shared" si="30"/>
        <v>#DIV/0!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6.0691990498710158E-2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5.8040713035894753E-2</v>
      </c>
      <c r="P41" s="13" t="e">
        <f t="shared" si="29"/>
        <v>#DIV/0!</v>
      </c>
      <c r="Q41" s="13" t="e">
        <f t="shared" si="30"/>
        <v>#DIV/0!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9.5184964342716616E-3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 t="e">
        <f t="shared" si="30"/>
        <v>#DIV/0!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-4.3694804079420328E-3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 t="e">
        <f t="shared" si="30"/>
        <v>#DIV/0!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 t="e">
        <f t="shared" si="30"/>
        <v>#DIV/0!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 t="e">
        <f t="shared" si="30"/>
        <v>#DIV/0!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 t="e">
        <f t="shared" si="30"/>
        <v>#DIV/0!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 t="e">
        <f t="shared" si="30"/>
        <v>#DIV/0!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-1.1978465365497532E-3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0</v>
      </c>
      <c r="N48" s="13">
        <f t="shared" si="39"/>
        <v>2.4962423067024543E-4</v>
      </c>
      <c r="O48" s="13">
        <f t="shared" si="39"/>
        <v>7.6135761567037987E-3</v>
      </c>
      <c r="P48" s="13" t="e">
        <f t="shared" si="39"/>
        <v>#DIV/0!</v>
      </c>
      <c r="Q48" s="13" t="e">
        <f t="shared" si="30"/>
        <v>#DIV/0!</v>
      </c>
      <c r="R48" s="13">
        <f t="shared" si="31"/>
        <v>8.0222610533983274E-2</v>
      </c>
      <c r="S48" s="13">
        <f t="shared" si="32"/>
        <v>0</v>
      </c>
      <c r="T48" s="13" t="e">
        <f t="shared" si="33"/>
        <v>#DIV/0!</v>
      </c>
      <c r="U48" s="13">
        <f t="shared" si="34"/>
        <v>5.6307220532992013E-3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-7.8786297405511588E-2</v>
      </c>
      <c r="N49" s="17">
        <f t="shared" si="39"/>
        <v>2.6945160866891742E-2</v>
      </c>
      <c r="O49" s="17">
        <f t="shared" si="39"/>
        <v>1.4233984638147498E-2</v>
      </c>
      <c r="P49" s="17" t="e">
        <f t="shared" si="39"/>
        <v>#DIV/0!</v>
      </c>
      <c r="Q49" s="17" t="e">
        <f t="shared" si="30"/>
        <v>#DIV/0!</v>
      </c>
      <c r="R49" s="17">
        <f t="shared" si="31"/>
        <v>-8.0222610533983302E-2</v>
      </c>
      <c r="S49" s="17">
        <f t="shared" si="32"/>
        <v>0</v>
      </c>
      <c r="T49" s="17" t="e">
        <f t="shared" si="33"/>
        <v>#DIV/0!</v>
      </c>
      <c r="U49" s="13">
        <f t="shared" si="34"/>
        <v>-2.1907399748202841E-2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 t="e">
        <f t="shared" si="30"/>
        <v>#DIV/0!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638200.747426629</v>
      </c>
      <c r="C5" s="6" t="n">
        <v>28295.3583118908</v>
      </c>
      <c r="D5" s="6" t="n">
        <v>14622.1971247273</v>
      </c>
      <c r="E5" s="6" t="n">
        <v>3469.925244096</v>
      </c>
      <c r="F5" s="6" t="n">
        <v>593.918118993</v>
      </c>
      <c r="G5" s="6" t="n">
        <v>0.0</v>
      </c>
      <c r="H5" s="6" t="n">
        <v>0.0</v>
      </c>
      <c r="I5" s="6" t="n">
        <v>0.0</v>
      </c>
      <c r="J5" s="6">
        <f>SUM(B5:I5)</f>
        <v>685182.14622633602</v>
      </c>
      <c r="K5" s="6"/>
      <c r="L5" t="s">
        <v>1</v>
      </c>
      <c r="M5" s="6" t="n">
        <v>557477.0</v>
      </c>
      <c r="N5" s="6" t="n">
        <v>39424.0</v>
      </c>
      <c r="O5" s="6" t="n">
        <v>12635.0</v>
      </c>
      <c r="P5" s="6" t="n">
        <v>0.0</v>
      </c>
      <c r="Q5" s="6" t="n">
        <v>213.0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608366</v>
      </c>
    </row>
    <row r="6" spans="1:21" x14ac:dyDescent="0.45">
      <c r="A6" t="s">
        <v>12</v>
      </c>
      <c r="B6" s="6" t="n">
        <v>0.0</v>
      </c>
      <c r="C6" s="6" t="n">
        <v>424519.995393271</v>
      </c>
      <c r="D6" s="6" t="n">
        <v>36307.3354055012</v>
      </c>
      <c r="E6" s="6" t="n">
        <v>0.0</v>
      </c>
      <c r="F6" s="6" t="n">
        <v>8059.9491362715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468887.27993504365</v>
      </c>
      <c r="K6" s="6"/>
      <c r="L6" t="s">
        <v>12</v>
      </c>
      <c r="M6" s="6" t="n">
        <v>0.0</v>
      </c>
      <c r="N6" s="6" t="n">
        <v>465869.0</v>
      </c>
      <c r="O6" s="6" t="n">
        <v>80929.0</v>
      </c>
      <c r="P6" s="6" t="n">
        <v>0.0</v>
      </c>
      <c r="Q6" s="6" t="n">
        <v>2692.0</v>
      </c>
      <c r="R6" s="6" t="n">
        <v>0.0</v>
      </c>
      <c r="S6" s="6" t="n">
        <v>0.0</v>
      </c>
      <c r="T6" s="6" t="n">
        <v>0.0</v>
      </c>
      <c r="U6" s="6">
        <f t="shared" si="0"/>
        <v>548689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300885.3635041723</v>
      </c>
      <c r="E7" s="6" t="n">
        <v>376.597523036</v>
      </c>
      <c r="F7" s="6" t="n">
        <v>0.0</v>
      </c>
      <c r="G7" s="6" t="n">
        <v>0.0</v>
      </c>
      <c r="H7" s="6" t="n">
        <v>0.0</v>
      </c>
      <c r="I7" s="6" t="n">
        <v>918.411125</v>
      </c>
      <c r="J7" s="6">
        <f t="shared" si="1"/>
        <v>302180.37215220829</v>
      </c>
      <c r="K7" s="6"/>
      <c r="L7" t="s">
        <v>56</v>
      </c>
      <c r="M7" s="6" t="n">
        <v>0.0</v>
      </c>
      <c r="N7" s="6" t="n">
        <v>0.0</v>
      </c>
      <c r="O7" s="6" t="n">
        <v>378027.0</v>
      </c>
      <c r="P7" s="6" t="n">
        <v>0.0</v>
      </c>
      <c r="Q7" s="6" t="n">
        <v>1214.0</v>
      </c>
      <c r="R7" s="6" t="n">
        <v>0.0</v>
      </c>
      <c r="S7" s="6" t="n">
        <v>0.0</v>
      </c>
      <c r="T7" s="6" t="n">
        <v>0.0</v>
      </c>
      <c r="U7" s="6">
        <f t="shared" si="0"/>
        <v>380556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2793.2312176259998</v>
      </c>
      <c r="F8" s="6" t="n">
        <v>63528.3905518792</v>
      </c>
      <c r="G8" s="6" t="n">
        <v>0.0</v>
      </c>
      <c r="H8" s="6" t="n">
        <v>0.0</v>
      </c>
      <c r="I8" s="6" t="n">
        <v>0.0</v>
      </c>
      <c r="J8" s="6">
        <f t="shared" si="1"/>
        <v>66321.621769505204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18624.0</v>
      </c>
      <c r="R8" s="6" t="n">
        <v>0.0</v>
      </c>
      <c r="S8" s="6" t="n">
        <v>0.0</v>
      </c>
      <c r="T8" s="6" t="n">
        <v>0.0</v>
      </c>
      <c r="U8" s="6">
        <f t="shared" si="0"/>
        <v>18570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4801.467375</v>
      </c>
      <c r="J13" s="6">
        <f t="shared" si="1"/>
        <v>4801.4673750000002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1493.612561511</v>
      </c>
      <c r="C14" s="6" t="n">
        <v>317.791360728</v>
      </c>
      <c r="D14" s="6" t="n">
        <v>0.0</v>
      </c>
      <c r="E14" s="6" t="n">
        <v>0.0</v>
      </c>
      <c r="F14" s="6" t="n">
        <v>1371.450656403</v>
      </c>
      <c r="G14" s="6" t="n">
        <v>12074.4687747476</v>
      </c>
      <c r="H14" s="6" t="n">
        <v>0.0</v>
      </c>
      <c r="I14" s="6" t="n">
        <v>0.0</v>
      </c>
      <c r="J14" s="6">
        <f t="shared" si="1"/>
        <v>15257.3233533896</v>
      </c>
      <c r="K14" s="6"/>
      <c r="L14" t="s">
        <v>4</v>
      </c>
      <c r="M14" s="6" t="n">
        <v>696.0</v>
      </c>
      <c r="N14" s="6" t="n">
        <v>1001.0</v>
      </c>
      <c r="O14" s="6" t="n">
        <v>716.0</v>
      </c>
      <c r="P14" s="6" t="n">
        <v>0.0</v>
      </c>
      <c r="Q14" s="6" t="n">
        <v>336.0</v>
      </c>
      <c r="R14" s="6" t="n">
        <v>26250.0</v>
      </c>
      <c r="S14" s="6" t="n">
        <v>0.0</v>
      </c>
      <c r="T14" s="6" t="n">
        <v>0.0</v>
      </c>
      <c r="U14" s="6">
        <f t="shared" si="0"/>
        <v>29532</v>
      </c>
    </row>
    <row r="15" spans="1:21" x14ac:dyDescent="0.45">
      <c r="A15" s="4" t="s">
        <v>5</v>
      </c>
      <c r="B15" s="10" t="n">
        <v>9939.9719895707</v>
      </c>
      <c r="C15" s="10" t="n">
        <v>3878.2140208744</v>
      </c>
      <c r="D15" s="10" t="n">
        <v>4407.5817223416</v>
      </c>
      <c r="E15" s="10" t="n">
        <v>239.334385272</v>
      </c>
      <c r="F15" s="10" t="n">
        <v>18481.0418076912</v>
      </c>
      <c r="G15" s="10" t="n">
        <v>2685.77572214</v>
      </c>
      <c r="H15" s="10" t="n">
        <v>129618.9436355889</v>
      </c>
      <c r="I15" s="10" t="n">
        <v>0.0</v>
      </c>
      <c r="J15" s="6">
        <f t="shared" si="1"/>
        <v>169250.8632834788</v>
      </c>
      <c r="K15" s="6"/>
      <c r="L15" s="4" t="s">
        <v>5</v>
      </c>
      <c r="M15" s="8" t="n">
        <v>7516.0</v>
      </c>
      <c r="N15" s="8" t="n">
        <v>5280.0</v>
      </c>
      <c r="O15" s="8" t="n">
        <v>3239.0</v>
      </c>
      <c r="P15" s="8" t="n">
        <v>0.0</v>
      </c>
      <c r="Q15" s="8" t="n">
        <v>4349.0</v>
      </c>
      <c r="R15" s="8" t="n">
        <v>2100.0</v>
      </c>
      <c r="S15" s="8" t="n">
        <v>108368.0</v>
      </c>
      <c r="T15" s="8" t="n">
        <v>0.0</v>
      </c>
      <c r="U15" s="6">
        <f t="shared" si="0"/>
        <v>130383</v>
      </c>
    </row>
    <row r="16" spans="1:21" ht="14.65" thickBot="1" x14ac:dyDescent="0.5">
      <c r="A16" s="12" t="s">
        <v>7</v>
      </c>
      <c r="B16" s="16">
        <f t="shared" ref="B16:J16" si="2">SUM(B5:B15)</f>
        <v>649634.33197771059</v>
      </c>
      <c r="C16" s="16">
        <f t="shared" si="2"/>
        <v>457011.35908676416</v>
      </c>
      <c r="D16" s="16">
        <f t="shared" si="2"/>
        <v>356222.47775674239</v>
      </c>
      <c r="E16" s="16">
        <f t="shared" si="2"/>
        <v>6879.0883700299992</v>
      </c>
      <c r="F16" s="16">
        <f t="shared" si="2"/>
        <v>92034.750271237906</v>
      </c>
      <c r="G16" s="16">
        <f t="shared" si="2"/>
        <v>14760.244496887601</v>
      </c>
      <c r="H16" s="16">
        <f t="shared" si="2"/>
        <v>129618.9436355889</v>
      </c>
      <c r="I16" s="16">
        <f t="shared" si="2"/>
        <v>5719.8784999999998</v>
      </c>
      <c r="J16" s="16">
        <f t="shared" si="2"/>
        <v>1711881.0740949614</v>
      </c>
      <c r="L16" s="9" t="s">
        <v>7</v>
      </c>
      <c r="M16" s="16">
        <f t="shared" ref="M16:U16" si="3">SUM(M5:M15)</f>
        <v>564860</v>
      </c>
      <c r="N16" s="16">
        <f t="shared" si="3"/>
        <v>510729</v>
      </c>
      <c r="O16" s="16">
        <f t="shared" si="3"/>
        <v>476453</v>
      </c>
      <c r="P16" s="16">
        <f t="shared" si="3"/>
        <v>0</v>
      </c>
      <c r="Q16" s="16">
        <f t="shared" si="3"/>
        <v>27388</v>
      </c>
      <c r="R16" s="16">
        <f t="shared" si="3"/>
        <v>28610</v>
      </c>
      <c r="S16" s="16">
        <f t="shared" si="3"/>
        <v>108056</v>
      </c>
      <c r="T16" s="16">
        <f t="shared" si="3"/>
        <v>0</v>
      </c>
      <c r="U16" s="16">
        <f t="shared" si="3"/>
        <v>1716096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0.98239996873891522</v>
      </c>
      <c r="C22" s="13">
        <f t="shared" si="4"/>
        <v>6.1913905965997863E-2</v>
      </c>
      <c r="D22" s="13">
        <f t="shared" si="4"/>
        <v>4.104793503433133E-2</v>
      </c>
      <c r="E22" s="13">
        <f t="shared" si="4"/>
        <v>0.50441643680772597</v>
      </c>
      <c r="F22" s="13">
        <f t="shared" si="4"/>
        <v>6.4531942254708041E-3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0.40025102011749186</v>
      </c>
      <c r="K22" s="6"/>
      <c r="L22" t="s">
        <v>1</v>
      </c>
      <c r="M22" s="13">
        <f t="shared" ref="M22:P22" si="5">M5/M$16</f>
        <v>0.98531848599653016</v>
      </c>
      <c r="N22" s="13">
        <f t="shared" si="5"/>
        <v>7.6400596010800251E-2</v>
      </c>
      <c r="O22" s="13">
        <f t="shared" si="5"/>
        <v>2.6392949566903766E-2</v>
      </c>
      <c r="P22" s="13" t="e">
        <f t="shared" si="5"/>
        <v>#DIV/0!</v>
      </c>
      <c r="Q22" s="13">
        <f t="shared" ref="Q22:U33" si="6">Q5/Q$16</f>
        <v>7.4485175989484446E-3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0.35450580853285596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0.92890469121288366</v>
      </c>
      <c r="D23" s="13">
        <f t="shared" si="7"/>
        <v>0.10192320157375021</v>
      </c>
      <c r="E23" s="13">
        <f t="shared" si="7"/>
        <v>0</v>
      </c>
      <c r="F23" s="13">
        <f t="shared" si="7"/>
        <v>8.7575063902687003E-2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0.27390178385080594</v>
      </c>
      <c r="K23" s="6"/>
      <c r="L23" t="s">
        <v>12</v>
      </c>
      <c r="M23" s="13">
        <f t="shared" ref="M23:P23" si="8">M6/M$16</f>
        <v>0</v>
      </c>
      <c r="N23" s="13">
        <f t="shared" si="8"/>
        <v>0.91129542281718878</v>
      </c>
      <c r="O23" s="13">
        <f t="shared" si="8"/>
        <v>0.16904920317429001</v>
      </c>
      <c r="P23" s="13" t="e">
        <f t="shared" si="8"/>
        <v>#DIV/0!</v>
      </c>
      <c r="Q23" s="13">
        <f t="shared" si="6"/>
        <v>9.9313567985979262E-2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0.31973094745282316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0.84465574828111001</v>
      </c>
      <c r="E24" s="13">
        <f t="shared" si="9"/>
        <v>5.47452660554145E-2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>
        <f t="shared" si="9"/>
        <v>0.16056479608788893</v>
      </c>
      <c r="J24" s="13">
        <f t="shared" si="9"/>
        <v>0.17651948883888752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0.79619185942789739</v>
      </c>
      <c r="P24" s="13" t="e">
        <f t="shared" si="10"/>
        <v>#DIV/0!</v>
      </c>
      <c r="Q24" s="13">
        <f t="shared" si="6"/>
        <v>4.4106908134949614E-2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0.22175682479301856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0.40604671249685059</v>
      </c>
      <c r="F25" s="13">
        <f t="shared" si="11"/>
        <v>0.69026525703229591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3.8741956303575686E-2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0.67803417555133638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1.0821072946968002E-2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0.83943520391211113</v>
      </c>
      <c r="J30" s="13">
        <f t="shared" si="21"/>
        <v>2.8047902670683147E-3</v>
      </c>
      <c r="K30" s="6"/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2.2991589083106632E-3</v>
      </c>
      <c r="C31" s="13">
        <f t="shared" si="23"/>
        <v>6.9536862576684202E-4</v>
      </c>
      <c r="D31" s="13">
        <f t="shared" si="23"/>
        <v>0</v>
      </c>
      <c r="E31" s="13">
        <f t="shared" si="23"/>
        <v>0</v>
      </c>
      <c r="F31" s="13">
        <f t="shared" si="23"/>
        <v>1.4901443773804608E-2</v>
      </c>
      <c r="G31" s="13">
        <f t="shared" si="23"/>
        <v>0.81803988933202743</v>
      </c>
      <c r="H31" s="13">
        <f t="shared" si="23"/>
        <v>0</v>
      </c>
      <c r="I31" s="13">
        <f t="shared" si="23"/>
        <v>0</v>
      </c>
      <c r="J31" s="13">
        <f t="shared" si="23"/>
        <v>8.912607063814788E-3</v>
      </c>
      <c r="K31" s="6"/>
      <c r="L31" t="s">
        <v>4</v>
      </c>
      <c r="M31" s="13">
        <f t="shared" ref="M31:P31" si="24">M14/M$16</f>
        <v>1.4446057430159685E-3</v>
      </c>
      <c r="N31" s="13">
        <f t="shared" si="24"/>
        <v>2.1244143175735077E-3</v>
      </c>
      <c r="O31" s="13">
        <f t="shared" si="24"/>
        <v>1.4649923497176006E-3</v>
      </c>
      <c r="P31" s="13" t="e">
        <f t="shared" si="24"/>
        <v>#DIV/0!</v>
      </c>
      <c r="Q31" s="13">
        <f t="shared" si="6"/>
        <v>1.3363516868701622E-2</v>
      </c>
      <c r="R31" s="13">
        <f t="shared" si="6"/>
        <v>0.92859140160782938</v>
      </c>
      <c r="S31" s="13">
        <f t="shared" si="6"/>
        <v>0</v>
      </c>
      <c r="T31" s="13" t="e">
        <f t="shared" si="6"/>
        <v>#DIV/0!</v>
      </c>
      <c r="U31" s="13">
        <f t="shared" si="6"/>
        <v>1.7208827478183038E-2</v>
      </c>
    </row>
    <row r="32" spans="1:21" x14ac:dyDescent="0.45">
      <c r="A32" s="4" t="s">
        <v>5</v>
      </c>
      <c r="B32" s="14">
        <f t="shared" ref="B32:J32" si="25">B15/B$16</f>
        <v>1.5300872352774218E-2</v>
      </c>
      <c r="C32" s="14">
        <f t="shared" si="25"/>
        <v>8.486034195351622E-3</v>
      </c>
      <c r="D32" s="14">
        <f t="shared" si="25"/>
        <v>1.2373115110808516E-2</v>
      </c>
      <c r="E32" s="14">
        <f t="shared" si="25"/>
        <v>3.4791584640008963E-2</v>
      </c>
      <c r="F32" s="14">
        <f t="shared" si="25"/>
        <v>0.2008050410657416</v>
      </c>
      <c r="G32" s="14">
        <f t="shared" si="25"/>
        <v>0.18196011066797252</v>
      </c>
      <c r="H32" s="14">
        <f t="shared" si="25"/>
        <v>1</v>
      </c>
      <c r="I32" s="14">
        <f t="shared" si="25"/>
        <v>0</v>
      </c>
      <c r="J32" s="14">
        <f t="shared" si="25"/>
        <v>9.8868353558355965E-2</v>
      </c>
      <c r="K32" s="6"/>
      <c r="L32" s="4" t="s">
        <v>5</v>
      </c>
      <c r="M32" s="14">
        <f t="shared" ref="M32:P32" si="26">M15/M$16</f>
        <v>1.3236908260453917E-2</v>
      </c>
      <c r="N32" s="14">
        <f t="shared" si="26"/>
        <v>1.017956685443748E-2</v>
      </c>
      <c r="O32" s="14">
        <f t="shared" si="26"/>
        <v>6.9009954811912189E-3</v>
      </c>
      <c r="P32" s="14" t="e">
        <f t="shared" si="26"/>
        <v>#DIV/0!</v>
      </c>
      <c r="Q32" s="14">
        <f t="shared" si="6"/>
        <v>0.15773331386008471</v>
      </c>
      <c r="R32" s="14">
        <f t="shared" si="6"/>
        <v>7.1408598392170564E-2</v>
      </c>
      <c r="S32" s="14">
        <f t="shared" si="6"/>
        <v>1</v>
      </c>
      <c r="T32" s="14" t="e">
        <f t="shared" si="6"/>
        <v>#DIV/0!</v>
      </c>
      <c r="U32" s="14">
        <f t="shared" si="6"/>
        <v>7.5976518796151263E-2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2.9185172576149387E-3</v>
      </c>
      <c r="N39" s="13">
        <f t="shared" si="29"/>
        <v>1.4486690044802387E-2</v>
      </c>
      <c r="O39" s="13">
        <f t="shared" si="29"/>
        <v>-1.4654985467427564E-2</v>
      </c>
      <c r="P39" s="13" t="e">
        <f t="shared" si="29"/>
        <v>#DIV/0!</v>
      </c>
      <c r="Q39" s="13">
        <f t="shared" ref="Q39:Q50" si="30">Q22-F22</f>
        <v>9.9532337347764052E-4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-4.5745211584635903E-2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-1.7609268395694877E-2</v>
      </c>
      <c r="O40" s="13">
        <f t="shared" si="29"/>
        <v>6.7126001600539803E-2</v>
      </c>
      <c r="P40" s="13" t="e">
        <f t="shared" si="29"/>
        <v>#DIV/0!</v>
      </c>
      <c r="Q40" s="13">
        <f t="shared" si="30"/>
        <v>1.1738504083292259E-2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4.582916360201722E-2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-4.8463888853212622E-2</v>
      </c>
      <c r="P41" s="13" t="e">
        <f t="shared" si="29"/>
        <v>#DIV/0!</v>
      </c>
      <c r="Q41" s="13">
        <f t="shared" si="30"/>
        <v>4.4106908134949614E-2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4.5237335954131042E-2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-1.2231081480959527E-2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-2.7920883356607685E-2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-2.8047902670683147E-3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-8.5455316529469468E-4</v>
      </c>
      <c r="N48" s="13">
        <f t="shared" si="39"/>
        <v>1.4290456918066657E-3</v>
      </c>
      <c r="O48" s="13">
        <f t="shared" si="39"/>
        <v>1.4649923497176006E-3</v>
      </c>
      <c r="P48" s="13" t="e">
        <f t="shared" si="39"/>
        <v>#DIV/0!</v>
      </c>
      <c r="Q48" s="13">
        <f t="shared" si="30"/>
        <v>-1.5379269051029858E-3</v>
      </c>
      <c r="R48" s="13">
        <f t="shared" si="31"/>
        <v>0.11055151227580196</v>
      </c>
      <c r="S48" s="13">
        <f t="shared" si="32"/>
        <v>0</v>
      </c>
      <c r="T48" s="13" t="e">
        <f t="shared" si="33"/>
        <v>#DIV/0!</v>
      </c>
      <c r="U48" s="13">
        <f t="shared" si="34"/>
        <v>8.2962204143682498E-3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-2.0639640923203004E-3</v>
      </c>
      <c r="N49" s="17">
        <f t="shared" si="39"/>
        <v>1.6935326590858581E-3</v>
      </c>
      <c r="O49" s="17">
        <f t="shared" si="39"/>
        <v>-5.4721196296172968E-3</v>
      </c>
      <c r="P49" s="17" t="e">
        <f t="shared" si="39"/>
        <v>#DIV/0!</v>
      </c>
      <c r="Q49" s="17">
        <f t="shared" si="30"/>
        <v>-4.3071727205656885E-2</v>
      </c>
      <c r="R49" s="17">
        <f t="shared" si="31"/>
        <v>-0.11055151227580196</v>
      </c>
      <c r="S49" s="17">
        <f t="shared" si="32"/>
        <v>0</v>
      </c>
      <c r="T49" s="17" t="e">
        <f t="shared" si="33"/>
        <v>#DIV/0!</v>
      </c>
      <c r="U49" s="13">
        <f t="shared" si="34"/>
        <v>-2.2891834762204702E-2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F50"/>
  <sheetViews>
    <sheetView tabSelected="1"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660329.0946295559</v>
      </c>
      <c r="C5" s="6" t="n">
        <v>5879.0722422951</v>
      </c>
      <c r="D5" s="6" t="n">
        <v>1391.45300628</v>
      </c>
      <c r="E5" s="6" t="n">
        <v>237.62242619399998</v>
      </c>
      <c r="F5" s="6" t="n">
        <v>482.690029647</v>
      </c>
      <c r="G5" s="6" t="n">
        <v>0.0</v>
      </c>
      <c r="H5" s="6" t="n">
        <v>0.0</v>
      </c>
      <c r="I5" s="6" t="n">
        <v>0.0</v>
      </c>
      <c r="J5" s="6">
        <f>SUM(B5:I5)</f>
        <v>668319.93233397207</v>
      </c>
      <c r="K5" s="6"/>
      <c r="L5" t="s">
        <v>1</v>
      </c>
      <c r="M5" s="6" t="n">
        <v>559356.0</v>
      </c>
      <c r="N5" s="6" t="n">
        <v>22648.0</v>
      </c>
      <c r="O5" s="6" t="n">
        <v>8163.0</v>
      </c>
      <c r="P5" s="6" t="n">
        <v>0.0</v>
      </c>
      <c r="Q5" s="6" t="n">
        <v>78.0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594018</v>
      </c>
    </row>
    <row r="6" spans="1:21" x14ac:dyDescent="0.45">
      <c r="A6" t="s">
        <v>12</v>
      </c>
      <c r="B6" s="6" t="n">
        <v>0.0</v>
      </c>
      <c r="C6" s="6" t="n">
        <v>425045.7345621917</v>
      </c>
      <c r="D6" s="6" t="n">
        <v>35227.769965072</v>
      </c>
      <c r="E6" s="6" t="n">
        <v>0.0</v>
      </c>
      <c r="F6" s="6" t="n">
        <v>835.830047376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461109.33457463968</v>
      </c>
      <c r="K6" s="6"/>
      <c r="L6" t="s">
        <v>12</v>
      </c>
      <c r="M6" s="6" t="n">
        <v>0.0</v>
      </c>
      <c r="N6" s="6" t="n">
        <v>440978.0</v>
      </c>
      <c r="O6" s="6" t="n">
        <v>76568.0</v>
      </c>
      <c r="P6" s="6" t="n">
        <v>0.0</v>
      </c>
      <c r="Q6" s="6" t="n">
        <v>1998.0</v>
      </c>
      <c r="R6" s="6" t="n">
        <v>0.0</v>
      </c>
      <c r="S6" s="6" t="n">
        <v>0.0</v>
      </c>
      <c r="T6" s="6" t="n">
        <v>0.0</v>
      </c>
      <c r="U6" s="6">
        <f t="shared" si="0"/>
        <v>526964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359606.8320975662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359606.83209756622</v>
      </c>
      <c r="K7" s="6"/>
      <c r="L7" t="s">
        <v>56</v>
      </c>
      <c r="M7" s="6" t="n">
        <v>0.0</v>
      </c>
      <c r="N7" s="6" t="n">
        <v>0.0</v>
      </c>
      <c r="O7" s="6" t="n">
        <v>374629.0</v>
      </c>
      <c r="P7" s="6" t="n">
        <v>0.0</v>
      </c>
      <c r="Q7" s="6" t="n">
        <v>857.0</v>
      </c>
      <c r="R7" s="6" t="n">
        <v>0.0</v>
      </c>
      <c r="S7" s="6" t="n">
        <v>0.0</v>
      </c>
      <c r="T7" s="6" t="n">
        <v>0.0</v>
      </c>
      <c r="U7" s="6">
        <f t="shared" si="0"/>
        <v>392481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475.24485238799997</v>
      </c>
      <c r="F8" s="6" t="n">
        <v>74340.9884119632</v>
      </c>
      <c r="G8" s="6" t="n">
        <v>0.0</v>
      </c>
      <c r="H8" s="6" t="n">
        <v>0.0</v>
      </c>
      <c r="I8" s="6" t="n">
        <v>0.0</v>
      </c>
      <c r="J8" s="6">
        <f t="shared" si="1"/>
        <v>74816.233264351205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10996.0</v>
      </c>
      <c r="R8" s="6" t="n">
        <v>0.0</v>
      </c>
      <c r="S8" s="6" t="n">
        <v>0.0</v>
      </c>
      <c r="T8" s="6" t="n">
        <v>0.0</v>
      </c>
      <c r="U8" s="6">
        <f t="shared" si="0"/>
        <v>10949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65.3094393907</v>
      </c>
      <c r="G9" s="6" t="n">
        <v>0.0</v>
      </c>
      <c r="H9" s="6" t="n">
        <v>0.0</v>
      </c>
      <c r="I9" s="6" t="n">
        <v>0.0</v>
      </c>
      <c r="J9" s="6">
        <f t="shared" si="1"/>
        <v>65.309439390700007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284.563543833</v>
      </c>
      <c r="C14" s="6" t="n">
        <v>96.3867567495</v>
      </c>
      <c r="D14" s="6" t="n">
        <v>0.0</v>
      </c>
      <c r="E14" s="6" t="n">
        <v>0.0</v>
      </c>
      <c r="F14" s="6" t="n">
        <v>0.0</v>
      </c>
      <c r="G14" s="6" t="n">
        <v>7785.3744466986</v>
      </c>
      <c r="H14" s="6" t="n">
        <v>0.0</v>
      </c>
      <c r="I14" s="6" t="n">
        <v>0.0</v>
      </c>
      <c r="J14" s="6">
        <f t="shared" si="1"/>
        <v>8166.3247472810999</v>
      </c>
      <c r="K14" s="6"/>
      <c r="L14" t="s">
        <v>4</v>
      </c>
      <c r="M14" s="6" t="n">
        <v>798.0</v>
      </c>
      <c r="N14" s="6" t="n">
        <v>704.0</v>
      </c>
      <c r="O14" s="6" t="n">
        <v>483.0</v>
      </c>
      <c r="P14" s="6" t="n">
        <v>0.0</v>
      </c>
      <c r="Q14" s="6" t="n">
        <v>160.0</v>
      </c>
      <c r="R14" s="6" t="n">
        <v>31870.0</v>
      </c>
      <c r="S14" s="6" t="n">
        <v>0.0</v>
      </c>
      <c r="T14" s="6" t="n">
        <v>0.0</v>
      </c>
      <c r="U14" s="6">
        <f t="shared" si="0"/>
        <v>34456</v>
      </c>
    </row>
    <row r="15" spans="1:21" x14ac:dyDescent="0.45">
      <c r="A15" s="4" t="s">
        <v>5</v>
      </c>
      <c r="B15" s="10" t="n">
        <v>7998.3460054891</v>
      </c>
      <c r="C15" s="10" t="n">
        <v>5883.537482558</v>
      </c>
      <c r="D15" s="10" t="n">
        <v>12535.3637717784</v>
      </c>
      <c r="E15" s="10" t="n">
        <v>0.0</v>
      </c>
      <c r="F15" s="10" t="n">
        <v>39743.1723384089</v>
      </c>
      <c r="G15" s="10" t="n">
        <v>96.3164214546</v>
      </c>
      <c r="H15" s="10" t="n">
        <v>165117.494513446</v>
      </c>
      <c r="I15" s="10" t="n">
        <v>0.0</v>
      </c>
      <c r="J15" s="6">
        <f t="shared" si="1"/>
        <v>231374.23053313501</v>
      </c>
      <c r="K15" s="6"/>
      <c r="L15" s="4" t="s">
        <v>5</v>
      </c>
      <c r="M15" s="8" t="n">
        <v>8828.0</v>
      </c>
      <c r="N15" s="8" t="n">
        <v>3506.0</v>
      </c>
      <c r="O15" s="8" t="n">
        <v>2063.0</v>
      </c>
      <c r="P15" s="8" t="n">
        <v>0.0</v>
      </c>
      <c r="Q15" s="8" t="n">
        <v>2266.0</v>
      </c>
      <c r="R15" s="8" t="n">
        <v>2437.0</v>
      </c>
      <c r="S15" s="8" t="n">
        <v>129472.0</v>
      </c>
      <c r="T15" s="8" t="n">
        <v>0.0</v>
      </c>
      <c r="U15" s="6">
        <f t="shared" si="0"/>
        <v>148210</v>
      </c>
    </row>
    <row r="16" spans="1:21" ht="14.65" thickBot="1" x14ac:dyDescent="0.5">
      <c r="A16" s="12" t="s">
        <v>7</v>
      </c>
      <c r="B16" s="16">
        <f t="shared" ref="B16:J16" si="2">SUM(B5:B15)</f>
        <v>668612.00417887804</v>
      </c>
      <c r="C16" s="16">
        <f t="shared" si="2"/>
        <v>436904.73104379425</v>
      </c>
      <c r="D16" s="16">
        <f t="shared" si="2"/>
        <v>408761.41884069663</v>
      </c>
      <c r="E16" s="16">
        <f t="shared" si="2"/>
        <v>712.86727858199993</v>
      </c>
      <c r="F16" s="16">
        <f t="shared" si="2"/>
        <v>115467.9902667858</v>
      </c>
      <c r="G16" s="16">
        <f t="shared" si="2"/>
        <v>7881.6908681532004</v>
      </c>
      <c r="H16" s="16">
        <f t="shared" si="2"/>
        <v>165117.494513446</v>
      </c>
      <c r="I16" s="16">
        <f t="shared" si="2"/>
        <v>0</v>
      </c>
      <c r="J16" s="16">
        <f t="shared" si="2"/>
        <v>1803458.1969903358</v>
      </c>
      <c r="L16" s="9" t="s">
        <v>7</v>
      </c>
      <c r="M16" s="16">
        <f t="shared" ref="M16:U16" si="3">SUM(M5:M15)</f>
        <v>572616</v>
      </c>
      <c r="N16" s="16">
        <f t="shared" si="3"/>
        <v>473432</v>
      </c>
      <c r="O16" s="16">
        <f t="shared" si="3"/>
        <v>480751</v>
      </c>
      <c r="P16" s="16">
        <f t="shared" si="3"/>
        <v>0</v>
      </c>
      <c r="Q16" s="16">
        <f t="shared" si="3"/>
        <v>16396</v>
      </c>
      <c r="R16" s="16">
        <f t="shared" si="3"/>
        <v>34588</v>
      </c>
      <c r="S16" s="16">
        <f t="shared" si="3"/>
        <v>129295</v>
      </c>
      <c r="T16" s="16">
        <f t="shared" si="3"/>
        <v>0</v>
      </c>
      <c r="U16" s="16">
        <f t="shared" si="3"/>
        <v>1707078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0.98761178456630561</v>
      </c>
      <c r="C22" s="13">
        <f t="shared" si="4"/>
        <v>1.3456188099061342E-2</v>
      </c>
      <c r="D22" s="13">
        <f t="shared" si="4"/>
        <v>3.4040712800791017E-3</v>
      </c>
      <c r="E22" s="13">
        <f t="shared" si="4"/>
        <v>0.33333333333333337</v>
      </c>
      <c r="F22" s="13">
        <f t="shared" si="4"/>
        <v>4.18029298450382E-3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0.37057689135755079</v>
      </c>
      <c r="K22" s="6"/>
      <c r="L22" t="s">
        <v>1</v>
      </c>
      <c r="M22" s="13">
        <f t="shared" ref="M22:P22" si="5">M5/M$16</f>
        <v>0.98317720776227002</v>
      </c>
      <c r="N22" s="13">
        <f t="shared" si="5"/>
        <v>4.81758731982629E-2</v>
      </c>
      <c r="O22" s="13">
        <f t="shared" si="5"/>
        <v>1.6942242449833698E-2</v>
      </c>
      <c r="P22" s="13" t="e">
        <f t="shared" si="5"/>
        <v>#DIV/0!</v>
      </c>
      <c r="Q22" s="13">
        <f t="shared" ref="Q22:U33" si="6">Q5/Q$16</f>
        <v>5.001219809709685E-3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0.34797355481120373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0.97285679087687926</v>
      </c>
      <c r="D23" s="13">
        <f t="shared" si="7"/>
        <v>8.6181739130328838E-2</v>
      </c>
      <c r="E23" s="13">
        <f t="shared" si="7"/>
        <v>0</v>
      </c>
      <c r="F23" s="13">
        <f t="shared" si="7"/>
        <v>7.2386299046587402E-3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0.25568063365380606</v>
      </c>
      <c r="K23" s="6"/>
      <c r="L23" t="s">
        <v>12</v>
      </c>
      <c r="M23" s="13">
        <f t="shared" ref="M23:P23" si="8">M6/M$16</f>
        <v>0</v>
      </c>
      <c r="N23" s="13">
        <f t="shared" si="8"/>
        <v>0.943244225147434</v>
      </c>
      <c r="O23" s="13">
        <f t="shared" si="8"/>
        <v>0.16315098668541511</v>
      </c>
      <c r="P23" s="13" t="e">
        <f t="shared" si="8"/>
        <v>#DIV/0!</v>
      </c>
      <c r="Q23" s="13">
        <f t="shared" si="6"/>
        <v>0.11996828494754819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0.30869356877658782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0.87974748966636929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0.1993984849206312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0.81454640759977615</v>
      </c>
      <c r="P24" s="13" t="e">
        <f t="shared" si="10"/>
        <v>#DIV/0!</v>
      </c>
      <c r="Q24" s="13">
        <f t="shared" si="6"/>
        <v>5.4098560624542574E-2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0.22991392308963035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0.66666666666666674</v>
      </c>
      <c r="F25" s="13">
        <f t="shared" si="11"/>
        <v>0.64382335087152964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4.1484872446285001E-2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0.66778482556721153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6.4138838412773173E-3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5.6560644417387224E-4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3.6213447863493769E-5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4.2560340235361504E-4</v>
      </c>
      <c r="C31" s="13">
        <f t="shared" si="23"/>
        <v>2.2061275582717008E-4</v>
      </c>
      <c r="D31" s="13">
        <f t="shared" si="23"/>
        <v>0</v>
      </c>
      <c r="E31" s="13">
        <f t="shared" si="23"/>
        <v>0</v>
      </c>
      <c r="F31" s="13">
        <f t="shared" si="23"/>
        <v>0</v>
      </c>
      <c r="G31" s="13">
        <f t="shared" si="23"/>
        <v>0.98777972606819975</v>
      </c>
      <c r="H31" s="13">
        <f t="shared" si="23"/>
        <v>0</v>
      </c>
      <c r="I31" s="13" t="e">
        <f t="shared" si="23"/>
        <v>#DIV/0!</v>
      </c>
      <c r="J31" s="13">
        <f t="shared" si="23"/>
        <v>4.5281475117689464E-3</v>
      </c>
      <c r="K31" s="6"/>
      <c r="L31" t="s">
        <v>4</v>
      </c>
      <c r="M31" s="13">
        <f t="shared" ref="M31:P31" si="24">M14/M$16</f>
        <v>1.5158500635679059E-3</v>
      </c>
      <c r="N31" s="13">
        <f t="shared" si="24"/>
        <v>1.4553304381621859E-3</v>
      </c>
      <c r="O31" s="13">
        <f t="shared" si="24"/>
        <v>1.0213187284061811E-3</v>
      </c>
      <c r="P31" s="13" t="e">
        <f t="shared" si="24"/>
        <v>#DIV/0!</v>
      </c>
      <c r="Q31" s="13">
        <f t="shared" si="6"/>
        <v>9.5755062210295186E-3</v>
      </c>
      <c r="R31" s="13">
        <f t="shared" si="6"/>
        <v>0.93243321383138655</v>
      </c>
      <c r="S31" s="13">
        <f t="shared" si="6"/>
        <v>0</v>
      </c>
      <c r="T31" s="13" t="e">
        <f t="shared" si="6"/>
        <v>#DIV/0!</v>
      </c>
      <c r="U31" s="13">
        <f t="shared" si="6"/>
        <v>2.0184197792953808E-2</v>
      </c>
    </row>
    <row r="32" spans="1:21" x14ac:dyDescent="0.45">
      <c r="A32" s="4" t="s">
        <v>5</v>
      </c>
      <c r="B32" s="14">
        <f t="shared" ref="B32:J32" si="25">B15/B$16</f>
        <v>1.1962612031340754E-2</v>
      </c>
      <c r="C32" s="14">
        <f t="shared" si="25"/>
        <v>1.3466408268232392E-2</v>
      </c>
      <c r="D32" s="14">
        <f t="shared" si="25"/>
        <v>3.0666699923222719E-2</v>
      </c>
      <c r="E32" s="14">
        <f t="shared" si="25"/>
        <v>0</v>
      </c>
      <c r="F32" s="14">
        <f t="shared" si="25"/>
        <v>0.34419211979513398</v>
      </c>
      <c r="G32" s="14">
        <f t="shared" si="25"/>
        <v>1.222027393180017E-2</v>
      </c>
      <c r="H32" s="14">
        <f t="shared" si="25"/>
        <v>1</v>
      </c>
      <c r="I32" s="14" t="e">
        <f t="shared" si="25"/>
        <v>#DIV/0!</v>
      </c>
      <c r="J32" s="14">
        <f t="shared" si="25"/>
        <v>0.12829475666209461</v>
      </c>
      <c r="K32" s="6"/>
      <c r="L32" s="4" t="s">
        <v>5</v>
      </c>
      <c r="M32" s="14">
        <f t="shared" ref="M32:P32" si="26">M15/M$16</f>
        <v>1.5306942174162091E-2</v>
      </c>
      <c r="N32" s="14">
        <f t="shared" si="26"/>
        <v>7.124571216140861E-3</v>
      </c>
      <c r="O32" s="14">
        <f t="shared" si="26"/>
        <v>4.3390445365688269E-3</v>
      </c>
      <c r="P32" s="14" t="e">
        <f t="shared" si="26"/>
        <v>#DIV/0!</v>
      </c>
      <c r="Q32" s="14">
        <f t="shared" si="6"/>
        <v>0.14357160282995854</v>
      </c>
      <c r="R32" s="14">
        <f t="shared" si="6"/>
        <v>6.7566786168613391E-2</v>
      </c>
      <c r="S32" s="14">
        <f t="shared" si="6"/>
        <v>1</v>
      </c>
      <c r="T32" s="14" t="e">
        <f t="shared" si="6"/>
        <v>#DIV/0!</v>
      </c>
      <c r="U32" s="14">
        <f t="shared" si="6"/>
        <v>8.6820871688346984E-2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-4.4345768040355837E-3</v>
      </c>
      <c r="N39" s="13">
        <f t="shared" si="29"/>
        <v>3.4719685099201557E-2</v>
      </c>
      <c r="O39" s="13">
        <f t="shared" si="29"/>
        <v>1.3538171169754596E-2</v>
      </c>
      <c r="P39" s="13" t="e">
        <f t="shared" si="29"/>
        <v>#DIV/0!</v>
      </c>
      <c r="Q39" s="13">
        <f t="shared" ref="Q39:Q50" si="30">Q22-F22</f>
        <v>8.2092682520586505E-4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-2.2603336546347053E-2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-2.9612565729445262E-2</v>
      </c>
      <c r="O40" s="13">
        <f t="shared" si="29"/>
        <v>7.6969247555086273E-2</v>
      </c>
      <c r="P40" s="13" t="e">
        <f t="shared" si="29"/>
        <v>#DIV/0!</v>
      </c>
      <c r="Q40" s="13">
        <f t="shared" si="30"/>
        <v>0.11272965504288945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5.3012935122781768E-2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-6.5201082066593141E-2</v>
      </c>
      <c r="P41" s="13" t="e">
        <f t="shared" si="29"/>
        <v>#DIV/0!</v>
      </c>
      <c r="Q41" s="13">
        <f t="shared" si="30"/>
        <v>5.4098560624542574E-2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3.0515438168999154E-2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2.3961474695681884E-2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-3.507098860500768E-2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-5.6560644417387224E-4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-3.6213447863493769E-5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1.0902466612142908E-3</v>
      </c>
      <c r="N48" s="13">
        <f t="shared" si="39"/>
        <v>1.2347176823350159E-3</v>
      </c>
      <c r="O48" s="13">
        <f t="shared" si="39"/>
        <v>1.0213187284061811E-3</v>
      </c>
      <c r="P48" s="13" t="e">
        <f t="shared" si="39"/>
        <v>#DIV/0!</v>
      </c>
      <c r="Q48" s="13">
        <f t="shared" si="30"/>
        <v>9.5755062210295186E-3</v>
      </c>
      <c r="R48" s="13">
        <f t="shared" si="31"/>
        <v>-5.5346512236813195E-2</v>
      </c>
      <c r="S48" s="13">
        <f t="shared" si="32"/>
        <v>0</v>
      </c>
      <c r="T48" s="13" t="e">
        <f t="shared" si="33"/>
        <v>#DIV/0!</v>
      </c>
      <c r="U48" s="13">
        <f t="shared" si="34"/>
        <v>1.5656050281184861E-2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3.3443301428213376E-3</v>
      </c>
      <c r="N49" s="17">
        <f t="shared" si="39"/>
        <v>-6.3418370520915311E-3</v>
      </c>
      <c r="O49" s="17">
        <f t="shared" si="39"/>
        <v>-2.6327655386653891E-2</v>
      </c>
      <c r="P49" s="17" t="e">
        <f t="shared" si="39"/>
        <v>#DIV/0!</v>
      </c>
      <c r="Q49" s="17">
        <f t="shared" si="30"/>
        <v>-0.20062051696517544</v>
      </c>
      <c r="R49" s="17">
        <f t="shared" si="31"/>
        <v>5.5346512236813222E-2</v>
      </c>
      <c r="S49" s="17">
        <f t="shared" si="32"/>
        <v>0</v>
      </c>
      <c r="T49" s="17" t="e">
        <f t="shared" si="33"/>
        <v>#DIV/0!</v>
      </c>
      <c r="U49" s="13">
        <f t="shared" si="34"/>
        <v>-4.1473884973747627E-2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128430.5720209797</v>
      </c>
      <c r="C5" s="6" t="n">
        <v>3708.787632464</v>
      </c>
      <c r="D5" s="6" t="n">
        <v>0.0</v>
      </c>
      <c r="E5" s="6" t="n">
        <v>576.648224778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132716.00787822172</v>
      </c>
      <c r="K5" s="6"/>
      <c r="L5" t="s">
        <v>1</v>
      </c>
      <c r="M5" s="6" t="n">
        <v>85785.0</v>
      </c>
      <c r="N5" s="6" t="n">
        <v>11590.0</v>
      </c>
      <c r="O5" s="6" t="n">
        <v>3606.0</v>
      </c>
      <c r="P5" s="6" t="n">
        <v>0.0</v>
      </c>
      <c r="Q5" s="6" t="n">
        <v>31.0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101692</v>
      </c>
    </row>
    <row r="6" spans="1:21" x14ac:dyDescent="0.45">
      <c r="A6" t="s">
        <v>12</v>
      </c>
      <c r="B6" s="6" t="n">
        <v>0.0</v>
      </c>
      <c r="C6" s="6" t="n">
        <v>196590.5555134055</v>
      </c>
      <c r="D6" s="6" t="n">
        <v>1344.7482971880002</v>
      </c>
      <c r="E6" s="6" t="n">
        <v>0.0</v>
      </c>
      <c r="F6" s="6" t="n">
        <v>287.3385349642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198222.64234555769</v>
      </c>
      <c r="K6" s="6"/>
      <c r="L6" t="s">
        <v>12</v>
      </c>
      <c r="M6" s="6" t="n">
        <v>0.0</v>
      </c>
      <c r="N6" s="6" t="n">
        <v>167141.0</v>
      </c>
      <c r="O6" s="6" t="n">
        <v>24770.0</v>
      </c>
      <c r="P6" s="6" t="n">
        <v>0.0</v>
      </c>
      <c r="Q6" s="6" t="n">
        <v>490.0</v>
      </c>
      <c r="R6" s="6" t="n">
        <v>0.0</v>
      </c>
      <c r="S6" s="6" t="n">
        <v>0.0</v>
      </c>
      <c r="T6" s="6" t="n">
        <v>0.0</v>
      </c>
      <c r="U6" s="6">
        <f t="shared" si="0"/>
        <v>192834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84052.4860845409</v>
      </c>
      <c r="E7" s="6" t="n">
        <v>0.0</v>
      </c>
      <c r="F7" s="6" t="n">
        <v>248.97111705</v>
      </c>
      <c r="G7" s="6" t="n">
        <v>0.0</v>
      </c>
      <c r="H7" s="6" t="n">
        <v>0.0</v>
      </c>
      <c r="I7" s="6" t="n">
        <v>0.0</v>
      </c>
      <c r="J7" s="6">
        <f t="shared" si="1"/>
        <v>84301.457201590893</v>
      </c>
      <c r="K7" s="6"/>
      <c r="L7" t="s">
        <v>56</v>
      </c>
      <c r="M7" s="6" t="n">
        <v>0.0</v>
      </c>
      <c r="N7" s="6" t="n">
        <v>0.0</v>
      </c>
      <c r="O7" s="6" t="n">
        <v>123682.0</v>
      </c>
      <c r="P7" s="6" t="n">
        <v>0.0</v>
      </c>
      <c r="Q7" s="6" t="n">
        <v>235.0</v>
      </c>
      <c r="R7" s="6" t="n">
        <v>0.0</v>
      </c>
      <c r="S7" s="6" t="n">
        <v>0.0</v>
      </c>
      <c r="T7" s="6" t="n">
        <v>0.0</v>
      </c>
      <c r="U7" s="6">
        <f t="shared" si="0"/>
        <v>122495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864.9723371670001</v>
      </c>
      <c r="F8" s="6" t="n">
        <v>22114.6222832004</v>
      </c>
      <c r="G8" s="6" t="n">
        <v>0.0</v>
      </c>
      <c r="H8" s="6" t="n">
        <v>0.0</v>
      </c>
      <c r="I8" s="6" t="n">
        <v>0.0</v>
      </c>
      <c r="J8" s="6">
        <f t="shared" si="1"/>
        <v>22979.594620367399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2592.0</v>
      </c>
      <c r="R8" s="6" t="n">
        <v>0.0</v>
      </c>
      <c r="S8" s="6" t="n">
        <v>0.0</v>
      </c>
      <c r="T8" s="6" t="n">
        <v>0.0</v>
      </c>
      <c r="U8" s="6">
        <f t="shared" si="0"/>
        <v>2617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9355.10449488</v>
      </c>
      <c r="E14" s="6" t="n">
        <v>0.0</v>
      </c>
      <c r="F14" s="6" t="n">
        <v>154.9843497444</v>
      </c>
      <c r="G14" s="6" t="n">
        <v>7262.5157185103</v>
      </c>
      <c r="H14" s="6" t="n">
        <v>0.0</v>
      </c>
      <c r="I14" s="6" t="n">
        <v>0.0</v>
      </c>
      <c r="J14" s="6">
        <f t="shared" si="1"/>
        <v>16772.604563134701</v>
      </c>
      <c r="K14" s="6"/>
      <c r="L14" t="s">
        <v>4</v>
      </c>
      <c r="M14" s="6" t="n">
        <v>113.0</v>
      </c>
      <c r="N14" s="6" t="n">
        <v>221.0</v>
      </c>
      <c r="O14" s="6" t="n">
        <v>149.0</v>
      </c>
      <c r="P14" s="6" t="n">
        <v>0.0</v>
      </c>
      <c r="Q14" s="6" t="n">
        <v>34.0</v>
      </c>
      <c r="R14" s="6" t="n">
        <v>2287.0</v>
      </c>
      <c r="S14" s="6" t="n">
        <v>0.0</v>
      </c>
      <c r="T14" s="6" t="n">
        <v>0.0</v>
      </c>
      <c r="U14" s="6">
        <f t="shared" si="0"/>
        <v>2967</v>
      </c>
    </row>
    <row r="15" spans="1:21" x14ac:dyDescent="0.45">
      <c r="A15" s="4" t="s">
        <v>5</v>
      </c>
      <c r="B15" s="10" t="n">
        <v>102.918012854</v>
      </c>
      <c r="C15" s="10" t="n">
        <v>1144.9072471154</v>
      </c>
      <c r="D15" s="10" t="n">
        <v>3365.515560164</v>
      </c>
      <c r="E15" s="10" t="n">
        <v>0.0</v>
      </c>
      <c r="F15" s="10" t="n">
        <v>3753.8568361770003</v>
      </c>
      <c r="G15" s="10" t="n">
        <v>1578.8049141098</v>
      </c>
      <c r="H15" s="10" t="n">
        <v>69970.4992943504</v>
      </c>
      <c r="I15" s="10" t="n">
        <v>0.0</v>
      </c>
      <c r="J15" s="6">
        <f t="shared" si="1"/>
        <v>79916.501864770602</v>
      </c>
      <c r="K15" s="6"/>
      <c r="L15" s="4" t="s">
        <v>5</v>
      </c>
      <c r="M15" s="8" t="n">
        <v>1097.0</v>
      </c>
      <c r="N15" s="8" t="n">
        <v>1216.0</v>
      </c>
      <c r="O15" s="8" t="n">
        <v>680.0</v>
      </c>
      <c r="P15" s="8" t="n">
        <v>0.0</v>
      </c>
      <c r="Q15" s="8" t="n">
        <v>490.0</v>
      </c>
      <c r="R15" s="8" t="n">
        <v>163.0</v>
      </c>
      <c r="S15" s="8" t="n">
        <v>95296.0</v>
      </c>
      <c r="T15" s="8" t="n">
        <v>0.0</v>
      </c>
      <c r="U15" s="6">
        <f t="shared" si="0"/>
        <v>99110</v>
      </c>
    </row>
    <row r="16" spans="1:21" ht="14.65" thickBot="1" x14ac:dyDescent="0.5">
      <c r="A16" s="12" t="s">
        <v>7</v>
      </c>
      <c r="B16" s="16">
        <f t="shared" ref="B16:J16" si="2">SUM(B5:B15)</f>
        <v>128533.4900338337</v>
      </c>
      <c r="C16" s="16">
        <f t="shared" si="2"/>
        <v>201444.25039298489</v>
      </c>
      <c r="D16" s="16">
        <f t="shared" si="2"/>
        <v>98117.85443677289</v>
      </c>
      <c r="E16" s="16">
        <f t="shared" si="2"/>
        <v>1441.6205619450002</v>
      </c>
      <c r="F16" s="16">
        <f t="shared" si="2"/>
        <v>26559.773121136001</v>
      </c>
      <c r="G16" s="16">
        <f t="shared" si="2"/>
        <v>8841.3206326200998</v>
      </c>
      <c r="H16" s="16">
        <f t="shared" si="2"/>
        <v>69970.499294350404</v>
      </c>
      <c r="I16" s="16">
        <f t="shared" si="2"/>
        <v>0</v>
      </c>
      <c r="J16" s="16">
        <f t="shared" si="2"/>
        <v>534908.80847364292</v>
      </c>
      <c r="L16" s="9" t="s">
        <v>7</v>
      </c>
      <c r="M16" s="16">
        <f t="shared" ref="M16:U16" si="3">SUM(M5:M15)</f>
        <v>87543</v>
      </c>
      <c r="N16" s="16">
        <f t="shared" si="3"/>
        <v>180778</v>
      </c>
      <c r="O16" s="16">
        <f t="shared" si="3"/>
        <v>151422</v>
      </c>
      <c r="P16" s="16">
        <f t="shared" si="3"/>
        <v>0</v>
      </c>
      <c r="Q16" s="16">
        <f t="shared" si="3"/>
        <v>3909</v>
      </c>
      <c r="R16" s="16">
        <f t="shared" si="3"/>
        <v>2581</v>
      </c>
      <c r="S16" s="16">
        <f t="shared" si="3"/>
        <v>95482</v>
      </c>
      <c r="T16" s="16">
        <f t="shared" si="3"/>
        <v>0</v>
      </c>
      <c r="U16" s="16">
        <f t="shared" si="3"/>
        <v>521715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0.99919929029526144</v>
      </c>
      <c r="C22" s="13">
        <f t="shared" si="4"/>
        <v>1.8410987780632906E-2</v>
      </c>
      <c r="D22" s="13">
        <f t="shared" si="4"/>
        <v>0</v>
      </c>
      <c r="E22" s="13">
        <f t="shared" si="4"/>
        <v>0.39999999999999991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0.24810959508579705</v>
      </c>
      <c r="K22" s="6"/>
      <c r="L22" t="s">
        <v>1</v>
      </c>
      <c r="M22" s="13">
        <f t="shared" ref="M22:P22" si="5">M5/M$16</f>
        <v>0.98649806380864258</v>
      </c>
      <c r="N22" s="13">
        <f t="shared" si="5"/>
        <v>6.4725796280520859E-2</v>
      </c>
      <c r="O22" s="13">
        <f t="shared" si="5"/>
        <v>2.3748200393601985E-2</v>
      </c>
      <c r="P22" s="13" t="e">
        <f t="shared" si="5"/>
        <v>#DIV/0!</v>
      </c>
      <c r="Q22" s="13">
        <f t="shared" ref="Q22:U33" si="6">Q5/Q$16</f>
        <v>8.6978766948068564E-3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0.19491868165569323</v>
      </c>
    </row>
    <row r="23" spans="1:21" x14ac:dyDescent="0.45">
      <c r="A23" t="s">
        <v>9</v>
      </c>
      <c r="B23" s="13">
        <f t="shared" ref="B23:J23" si="7">B6/B$16</f>
        <v>0</v>
      </c>
      <c r="C23" s="13">
        <f t="shared" si="7"/>
        <v>0.97590551792810853</v>
      </c>
      <c r="D23" s="13">
        <f t="shared" si="7"/>
        <v>1.3705439289385965E-2</v>
      </c>
      <c r="E23" s="13">
        <f t="shared" si="7"/>
        <v>0</v>
      </c>
      <c r="F23" s="13">
        <f t="shared" si="7"/>
        <v>1.0818561350418272E-2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0.37057277652836579</v>
      </c>
      <c r="K23" s="6"/>
      <c r="L23" t="s">
        <v>12</v>
      </c>
      <c r="M23" s="13">
        <f t="shared" ref="M23:P23" si="8">M6/M$16</f>
        <v>0</v>
      </c>
      <c r="N23" s="13">
        <f t="shared" si="8"/>
        <v>0.92750777196340262</v>
      </c>
      <c r="O23" s="13">
        <f t="shared" si="8"/>
        <v>0.16280989552376801</v>
      </c>
      <c r="P23" s="13" t="e">
        <f t="shared" si="8"/>
        <v>#DIV/0!</v>
      </c>
      <c r="Q23" s="13">
        <f t="shared" si="6"/>
        <v>0.12995651061652597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0.36961559472125588</v>
      </c>
    </row>
    <row r="24" spans="1:21" x14ac:dyDescent="0.45">
      <c r="A24" t="s">
        <v>10</v>
      </c>
      <c r="B24" s="13">
        <f t="shared" ref="B24:J24" si="9">B7/B$16</f>
        <v>0</v>
      </c>
      <c r="C24" s="13">
        <f t="shared" si="9"/>
        <v>0</v>
      </c>
      <c r="D24" s="13">
        <f t="shared" si="9"/>
        <v>0.85664822745083857</v>
      </c>
      <c r="E24" s="13">
        <f t="shared" si="9"/>
        <v>0</v>
      </c>
      <c r="F24" s="13">
        <f t="shared" si="9"/>
        <v>9.3739926133582559E-3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0.15759968029343971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0.80746522962317235</v>
      </c>
      <c r="P24" s="13" t="e">
        <f t="shared" si="10"/>
        <v>#DIV/0!</v>
      </c>
      <c r="Q24" s="13">
        <f t="shared" si="6"/>
        <v>5.8071117932975189E-2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0.23479294250692428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0.6</v>
      </c>
      <c r="F25" s="13">
        <f t="shared" si="11"/>
        <v>0.83263596350534352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4.2959835875463426E-2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0.66948068559733942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5.0161486635423554E-3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9.5345587697379039E-2</v>
      </c>
      <c r="E31" s="13">
        <f t="shared" si="23"/>
        <v>0</v>
      </c>
      <c r="F31" s="13">
        <f t="shared" si="23"/>
        <v>5.8353039778440349E-3</v>
      </c>
      <c r="G31" s="13">
        <f t="shared" si="23"/>
        <v>0.82142883628891472</v>
      </c>
      <c r="H31" s="13">
        <f t="shared" si="23"/>
        <v>0</v>
      </c>
      <c r="I31" s="13" t="e">
        <f t="shared" si="23"/>
        <v>#DIV/0!</v>
      </c>
      <c r="J31" s="13">
        <f t="shared" si="23"/>
        <v>3.1356007411796345E-2</v>
      </c>
      <c r="K31" s="6"/>
      <c r="L31" t="s">
        <v>4</v>
      </c>
      <c r="M31" s="13">
        <f t="shared" ref="M31:P31" si="24">M14/M$16</f>
        <v>1.4735615640313904E-3</v>
      </c>
      <c r="N31" s="13">
        <f t="shared" si="24"/>
        <v>1.2501521202801225E-3</v>
      </c>
      <c r="O31" s="13">
        <f t="shared" si="24"/>
        <v>9.9060902642944884E-4</v>
      </c>
      <c r="P31" s="13" t="e">
        <f t="shared" si="24"/>
        <v>#DIV/0!</v>
      </c>
      <c r="Q31" s="13">
        <f t="shared" si="6"/>
        <v>6.6513174724993603E-3</v>
      </c>
      <c r="R31" s="13">
        <f t="shared" si="6"/>
        <v>0.9438202247191011</v>
      </c>
      <c r="S31" s="13">
        <f t="shared" si="6"/>
        <v>0</v>
      </c>
      <c r="T31" s="13" t="e">
        <f t="shared" si="6"/>
        <v>#DIV/0!</v>
      </c>
      <c r="U31" s="13">
        <f t="shared" si="6"/>
        <v>5.6870130243523763E-3</v>
      </c>
    </row>
    <row r="32" spans="1:21" x14ac:dyDescent="0.45">
      <c r="A32" s="4" t="s">
        <v>5</v>
      </c>
      <c r="B32" s="14">
        <f t="shared" ref="B32:J32" si="25">B15/B$16</f>
        <v>8.0070970473850066E-4</v>
      </c>
      <c r="C32" s="14">
        <f t="shared" si="25"/>
        <v>5.6834942912586117E-3</v>
      </c>
      <c r="D32" s="14">
        <f t="shared" si="25"/>
        <v>3.4300745562396463E-2</v>
      </c>
      <c r="E32" s="14">
        <f t="shared" si="25"/>
        <v>0</v>
      </c>
      <c r="F32" s="14">
        <f t="shared" si="25"/>
        <v>0.14133617855303587</v>
      </c>
      <c r="G32" s="14">
        <f t="shared" si="25"/>
        <v>0.17857116371108528</v>
      </c>
      <c r="H32" s="14">
        <f t="shared" si="25"/>
        <v>1</v>
      </c>
      <c r="I32" s="14" t="e">
        <f t="shared" si="25"/>
        <v>#DIV/0!</v>
      </c>
      <c r="J32" s="14">
        <f t="shared" si="25"/>
        <v>0.14940210480513783</v>
      </c>
      <c r="K32" s="6"/>
      <c r="L32" s="4" t="s">
        <v>5</v>
      </c>
      <c r="M32" s="14">
        <f t="shared" ref="M32:P32" si="26">M15/M$16</f>
        <v>1.2028374627326E-2</v>
      </c>
      <c r="N32" s="14">
        <f t="shared" si="26"/>
        <v>6.5162796357963911E-3</v>
      </c>
      <c r="O32" s="14">
        <f t="shared" si="26"/>
        <v>4.9860654330282257E-3</v>
      </c>
      <c r="P32" s="14" t="e">
        <f t="shared" si="26"/>
        <v>#DIV/0!</v>
      </c>
      <c r="Q32" s="14">
        <f t="shared" si="6"/>
        <v>0.12714249168585315</v>
      </c>
      <c r="R32" s="14">
        <f t="shared" si="6"/>
        <v>5.6179775280898875E-2</v>
      </c>
      <c r="S32" s="14">
        <f t="shared" si="6"/>
        <v>1</v>
      </c>
      <c r="T32" s="14" t="e">
        <f t="shared" si="6"/>
        <v>#DIV/0!</v>
      </c>
      <c r="U32" s="14">
        <f t="shared" si="6"/>
        <v>0.1899696194282319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-1.2701226486618866E-2</v>
      </c>
      <c r="N39" s="13">
        <f t="shared" si="29"/>
        <v>4.6314808499887949E-2</v>
      </c>
      <c r="O39" s="13">
        <f t="shared" si="29"/>
        <v>2.3748200393601985E-2</v>
      </c>
      <c r="P39" s="13" t="e">
        <f t="shared" si="29"/>
        <v>#DIV/0!</v>
      </c>
      <c r="Q39" s="13">
        <f t="shared" ref="Q39:Q50" si="30">Q22-F22</f>
        <v>8.6978766948068564E-3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-5.319091343010382E-2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-4.8397745964705918E-2</v>
      </c>
      <c r="O40" s="13">
        <f t="shared" si="29"/>
        <v>0.14910445623438204</v>
      </c>
      <c r="P40" s="13" t="e">
        <f t="shared" si="29"/>
        <v>#DIV/0!</v>
      </c>
      <c r="Q40" s="13">
        <f t="shared" si="30"/>
        <v>0.1191379492661077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-9.5718180710990808E-4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-4.9182997827666219E-2</v>
      </c>
      <c r="P41" s="13" t="e">
        <f t="shared" si="29"/>
        <v>#DIV/0!</v>
      </c>
      <c r="Q41" s="13">
        <f t="shared" si="30"/>
        <v>4.8697125319616931E-2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7.7193262213484576E-2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-0.1631552779080041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-3.7943687211921068E-2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1.4735615640313904E-3</v>
      </c>
      <c r="N48" s="13">
        <f t="shared" si="39"/>
        <v>1.2501521202801225E-3</v>
      </c>
      <c r="O48" s="13">
        <f t="shared" si="39"/>
        <v>-9.4354978670949594E-2</v>
      </c>
      <c r="P48" s="13" t="e">
        <f t="shared" si="39"/>
        <v>#DIV/0!</v>
      </c>
      <c r="Q48" s="13">
        <f t="shared" si="30"/>
        <v>8.1601349465532536E-4</v>
      </c>
      <c r="R48" s="13">
        <f t="shared" si="31"/>
        <v>0.12239138843018638</v>
      </c>
      <c r="S48" s="13">
        <f t="shared" si="32"/>
        <v>0</v>
      </c>
      <c r="T48" s="13" t="e">
        <f t="shared" si="33"/>
        <v>#DIV/0!</v>
      </c>
      <c r="U48" s="13">
        <f t="shared" si="34"/>
        <v>-2.566899438744397E-2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1.1227664922587499E-2</v>
      </c>
      <c r="N49" s="17">
        <f t="shared" si="39"/>
        <v>8.3278534453777933E-4</v>
      </c>
      <c r="O49" s="17">
        <f t="shared" si="39"/>
        <v>-2.9314680129368238E-2</v>
      </c>
      <c r="P49" s="17" t="e">
        <f t="shared" si="39"/>
        <v>#DIV/0!</v>
      </c>
      <c r="Q49" s="17">
        <f t="shared" si="30"/>
        <v>-1.4193686867182725E-2</v>
      </c>
      <c r="R49" s="17">
        <f t="shared" si="31"/>
        <v>-0.1223913884301864</v>
      </c>
      <c r="S49" s="17">
        <f t="shared" si="32"/>
        <v>0</v>
      </c>
      <c r="T49" s="17" t="e">
        <f t="shared" si="33"/>
        <v>#DIV/0!</v>
      </c>
      <c r="U49" s="13">
        <f t="shared" si="34"/>
        <v>4.0567514623094075E-2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575843.8606631218</v>
      </c>
      <c r="C5" s="6" t="n">
        <v>19028.311087916998</v>
      </c>
      <c r="D5" s="6" t="n">
        <v>8175.4429283835</v>
      </c>
      <c r="E5" s="6" t="n">
        <v>1699.2908535978</v>
      </c>
      <c r="F5" s="6" t="n">
        <v>258.2255619798</v>
      </c>
      <c r="G5" s="6" t="n">
        <v>0.0</v>
      </c>
      <c r="H5" s="6" t="n">
        <v>0.0</v>
      </c>
      <c r="I5" s="6" t="n">
        <v>0.0</v>
      </c>
      <c r="J5" s="6">
        <f>SUM(B5:I5)</f>
        <v>605005.13109499984</v>
      </c>
      <c r="K5" s="6"/>
      <c r="L5" t="s">
        <v>1</v>
      </c>
      <c r="M5" s="6" t="n">
        <v>456702.0</v>
      </c>
      <c r="N5" s="6" t="n">
        <v>40610.0</v>
      </c>
      <c r="O5" s="6" t="n">
        <v>13652.0</v>
      </c>
      <c r="P5" s="6" t="n">
        <v>0.0</v>
      </c>
      <c r="Q5" s="6" t="n">
        <v>96.0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509540</v>
      </c>
    </row>
    <row r="6" spans="1:21" x14ac:dyDescent="0.45">
      <c r="A6" t="s">
        <v>12</v>
      </c>
      <c r="B6" s="6" t="n">
        <v>0.0</v>
      </c>
      <c r="C6" s="6" t="n">
        <v>494350.7280155954</v>
      </c>
      <c r="D6" s="6" t="n">
        <v>40088.6335122137</v>
      </c>
      <c r="E6" s="6" t="n">
        <v>262.3473390995</v>
      </c>
      <c r="F6" s="6" t="n">
        <v>8407.9361075648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543109.6449744734</v>
      </c>
      <c r="K6" s="6"/>
      <c r="L6" t="s">
        <v>12</v>
      </c>
      <c r="M6" s="6" t="n">
        <v>0.0</v>
      </c>
      <c r="N6" s="6" t="n">
        <v>558518.0</v>
      </c>
      <c r="O6" s="6" t="n">
        <v>88859.0</v>
      </c>
      <c r="P6" s="6" t="n">
        <v>0.0</v>
      </c>
      <c r="Q6" s="6" t="n">
        <v>1352.0</v>
      </c>
      <c r="R6" s="6" t="n">
        <v>0.0</v>
      </c>
      <c r="S6" s="6" t="n">
        <v>0.0</v>
      </c>
      <c r="T6" s="6" t="n">
        <v>0.0</v>
      </c>
      <c r="U6" s="6">
        <f t="shared" si="0"/>
        <v>649335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468181.3858676305</v>
      </c>
      <c r="E7" s="6" t="n">
        <v>0.0</v>
      </c>
      <c r="F7" s="6" t="n">
        <v>2704.6148952067</v>
      </c>
      <c r="G7" s="6" t="n">
        <v>0.0</v>
      </c>
      <c r="H7" s="6" t="n">
        <v>0.0</v>
      </c>
      <c r="I7" s="6" t="n">
        <v>0.0</v>
      </c>
      <c r="J7" s="6">
        <f t="shared" si="1"/>
        <v>470886.00076283718</v>
      </c>
      <c r="K7" s="6"/>
      <c r="L7" t="s">
        <v>56</v>
      </c>
      <c r="M7" s="6" t="n">
        <v>0.0</v>
      </c>
      <c r="N7" s="6" t="n">
        <v>0.0</v>
      </c>
      <c r="O7" s="6" t="n">
        <v>481973.0</v>
      </c>
      <c r="P7" s="6" t="n">
        <v>0.0</v>
      </c>
      <c r="Q7" s="6" t="n">
        <v>578.0</v>
      </c>
      <c r="R7" s="6" t="n">
        <v>0.0</v>
      </c>
      <c r="S7" s="6" t="n">
        <v>0.0</v>
      </c>
      <c r="T7" s="6" t="n">
        <v>0.0</v>
      </c>
      <c r="U7" s="6">
        <f t="shared" si="0"/>
        <v>476963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1939.6121580817999</v>
      </c>
      <c r="F8" s="6" t="n">
        <v>32154.4903696018</v>
      </c>
      <c r="G8" s="6" t="n">
        <v>0.0</v>
      </c>
      <c r="H8" s="6" t="n">
        <v>0.0</v>
      </c>
      <c r="I8" s="6" t="n">
        <v>0.0</v>
      </c>
      <c r="J8" s="6">
        <f t="shared" si="1"/>
        <v>34094.102527683601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9858.0</v>
      </c>
      <c r="R8" s="6" t="n">
        <v>0.0</v>
      </c>
      <c r="S8" s="6" t="n">
        <v>0.0</v>
      </c>
      <c r="T8" s="6" t="n">
        <v>0.0</v>
      </c>
      <c r="U8" s="6">
        <f t="shared" si="0"/>
        <v>10116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107.691391212</v>
      </c>
      <c r="G9" s="6" t="n">
        <v>0.0</v>
      </c>
      <c r="H9" s="6" t="n">
        <v>0.0</v>
      </c>
      <c r="I9" s="6" t="n">
        <v>0.0</v>
      </c>
      <c r="J9" s="6">
        <f t="shared" si="1"/>
        <v>107.691391212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1490.528010836</v>
      </c>
      <c r="J13" s="6">
        <f t="shared" si="1"/>
        <v>1490.528010836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926.638889398</v>
      </c>
      <c r="C14" s="6" t="n">
        <v>34.4157929553</v>
      </c>
      <c r="D14" s="6" t="n">
        <v>0.0</v>
      </c>
      <c r="E14" s="6" t="n">
        <v>0.0</v>
      </c>
      <c r="F14" s="6" t="n">
        <v>285.065614854</v>
      </c>
      <c r="G14" s="6" t="n">
        <v>31544.6991463556</v>
      </c>
      <c r="H14" s="6" t="n">
        <v>0.0</v>
      </c>
      <c r="I14" s="6" t="n">
        <v>1490.528010836</v>
      </c>
      <c r="J14" s="6">
        <f t="shared" si="1"/>
        <v>34281.3474543989</v>
      </c>
      <c r="K14" s="6"/>
      <c r="L14" t="s">
        <v>4</v>
      </c>
      <c r="M14" s="6" t="n">
        <v>440.0</v>
      </c>
      <c r="N14" s="6" t="n">
        <v>719.0</v>
      </c>
      <c r="O14" s="6" t="n">
        <v>563.0</v>
      </c>
      <c r="P14" s="6" t="n">
        <v>0.0</v>
      </c>
      <c r="Q14" s="6" t="n">
        <v>153.0</v>
      </c>
      <c r="R14" s="6" t="n">
        <v>20889.0</v>
      </c>
      <c r="S14" s="6" t="n">
        <v>0.0</v>
      </c>
      <c r="T14" s="6" t="n">
        <v>0.0</v>
      </c>
      <c r="U14" s="6">
        <f t="shared" si="0"/>
        <v>22777</v>
      </c>
    </row>
    <row r="15" spans="1:21" x14ac:dyDescent="0.45">
      <c r="A15" s="4" t="s">
        <v>5</v>
      </c>
      <c r="B15" s="10" t="n">
        <v>11682.8410159412</v>
      </c>
      <c r="C15" s="10" t="n">
        <v>8726.047794157299</v>
      </c>
      <c r="D15" s="10" t="n">
        <v>12722.1355908298</v>
      </c>
      <c r="E15" s="10" t="n">
        <v>314.436122055</v>
      </c>
      <c r="F15" s="10" t="n">
        <v>11918.2195557219</v>
      </c>
      <c r="G15" s="10" t="n">
        <v>529.9935652318001</v>
      </c>
      <c r="H15" s="10" t="n">
        <v>634878.5438429762</v>
      </c>
      <c r="I15" s="10" t="n">
        <v>0.0</v>
      </c>
      <c r="J15" s="6">
        <f t="shared" si="1"/>
        <v>680772.2174869132</v>
      </c>
      <c r="K15" s="6"/>
      <c r="L15" s="4" t="s">
        <v>5</v>
      </c>
      <c r="M15" s="8" t="n">
        <v>2139.0</v>
      </c>
      <c r="N15" s="8" t="n">
        <v>2420.0</v>
      </c>
      <c r="O15" s="8" t="n">
        <v>1433.0</v>
      </c>
      <c r="P15" s="8" t="n">
        <v>0.0</v>
      </c>
      <c r="Q15" s="8" t="n">
        <v>1433.0</v>
      </c>
      <c r="R15" s="8" t="n">
        <v>517.0</v>
      </c>
      <c r="S15" s="8" t="n">
        <v>716670.0</v>
      </c>
      <c r="T15" s="8" t="n">
        <v>0.0</v>
      </c>
      <c r="U15" s="6">
        <f t="shared" si="0"/>
        <v>721650</v>
      </c>
    </row>
    <row r="16" spans="1:21" ht="14.65" thickBot="1" x14ac:dyDescent="0.5">
      <c r="A16" s="12" t="s">
        <v>7</v>
      </c>
      <c r="B16" s="16">
        <f t="shared" ref="B16:J16" si="2">SUM(B5:B15)</f>
        <v>588453.34056846099</v>
      </c>
      <c r="C16" s="16">
        <f t="shared" si="2"/>
        <v>522139.50269062503</v>
      </c>
      <c r="D16" s="16">
        <f t="shared" si="2"/>
        <v>529167.59789905744</v>
      </c>
      <c r="E16" s="16">
        <f t="shared" si="2"/>
        <v>4215.6864728340997</v>
      </c>
      <c r="F16" s="16">
        <f t="shared" si="2"/>
        <v>55836.243496141004</v>
      </c>
      <c r="G16" s="16">
        <f t="shared" si="2"/>
        <v>32074.692711587402</v>
      </c>
      <c r="H16" s="16">
        <f t="shared" si="2"/>
        <v>634878.54384297621</v>
      </c>
      <c r="I16" s="16">
        <f t="shared" si="2"/>
        <v>2981.056021672</v>
      </c>
      <c r="J16" s="16">
        <f t="shared" si="2"/>
        <v>2369746.6637033541</v>
      </c>
      <c r="L16" s="9" t="s">
        <v>7</v>
      </c>
      <c r="M16" s="16">
        <f t="shared" ref="M16:U16" si="3">SUM(M5:M15)</f>
        <v>457479</v>
      </c>
      <c r="N16" s="16">
        <f t="shared" si="3"/>
        <v>603745</v>
      </c>
      <c r="O16" s="16">
        <f t="shared" si="3"/>
        <v>580238</v>
      </c>
      <c r="P16" s="16">
        <f t="shared" si="3"/>
        <v>0</v>
      </c>
      <c r="Q16" s="16">
        <f t="shared" si="3"/>
        <v>13720</v>
      </c>
      <c r="R16" s="16">
        <f t="shared" si="3"/>
        <v>21398</v>
      </c>
      <c r="S16" s="16">
        <f t="shared" si="3"/>
        <v>713801</v>
      </c>
      <c r="T16" s="16">
        <f t="shared" si="3"/>
        <v>0</v>
      </c>
      <c r="U16" s="16">
        <f t="shared" si="3"/>
        <v>2390381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0.9785718271338929</v>
      </c>
      <c r="C22" s="13">
        <f t="shared" si="4"/>
        <v>3.644296397775431E-2</v>
      </c>
      <c r="D22" s="13">
        <f t="shared" si="4"/>
        <v>1.5449628739254411E-2</v>
      </c>
      <c r="E22" s="13">
        <f t="shared" si="4"/>
        <v>0.40308757886717544</v>
      </c>
      <c r="F22" s="13">
        <f t="shared" si="4"/>
        <v>4.6246943886482381E-3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0.2553037167903508</v>
      </c>
      <c r="K22" s="6"/>
      <c r="L22" t="s">
        <v>1</v>
      </c>
      <c r="M22" s="13">
        <f t="shared" ref="M22:P22" si="5">M5/M$16</f>
        <v>0.99456587078313974</v>
      </c>
      <c r="N22" s="13">
        <f t="shared" si="5"/>
        <v>6.7909465088737797E-2</v>
      </c>
      <c r="O22" s="13">
        <f t="shared" si="5"/>
        <v>2.318014332049952E-2</v>
      </c>
      <c r="P22" s="13" t="e">
        <f t="shared" si="5"/>
        <v>#DIV/0!</v>
      </c>
      <c r="Q22" s="13">
        <f t="shared" ref="Q22:U33" si="6">Q5/Q$16</f>
        <v>7.0699708454810498E-3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0.21316267155737934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0.94677902259485835</v>
      </c>
      <c r="D23" s="13">
        <f t="shared" si="7"/>
        <v>7.5757914262658432E-2</v>
      </c>
      <c r="E23" s="13">
        <f t="shared" si="7"/>
        <v>6.223122634713641E-2</v>
      </c>
      <c r="F23" s="13">
        <f t="shared" si="7"/>
        <v>0.15058205174826805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0.22918468598061928</v>
      </c>
      <c r="K23" s="6"/>
      <c r="L23" t="s">
        <v>12</v>
      </c>
      <c r="M23" s="13">
        <f t="shared" ref="M23:P23" si="8">M6/M$16</f>
        <v>0</v>
      </c>
      <c r="N23" s="13">
        <f t="shared" si="8"/>
        <v>0.92673562513975272</v>
      </c>
      <c r="O23" s="13">
        <f t="shared" si="8"/>
        <v>0.15246329954260149</v>
      </c>
      <c r="P23" s="13" t="e">
        <f t="shared" si="8"/>
        <v>#DIV/0!</v>
      </c>
      <c r="Q23" s="13">
        <f t="shared" si="6"/>
        <v>9.8979591836734687E-2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0.27164498044454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0.88475066826926063</v>
      </c>
      <c r="E24" s="13">
        <f t="shared" si="9"/>
        <v>0</v>
      </c>
      <c r="F24" s="13">
        <f t="shared" si="9"/>
        <v>4.8438339076188455E-2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0.19870731668293759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0.82100620779749001</v>
      </c>
      <c r="P24" s="13" t="e">
        <f t="shared" si="10"/>
        <v>#DIV/0!</v>
      </c>
      <c r="Q24" s="13">
        <f t="shared" si="6"/>
        <v>4.2565597667638483E-2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0.19953430018059881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0.46009402515596648</v>
      </c>
      <c r="F25" s="13">
        <f t="shared" si="11"/>
        <v>0.57587130430477629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1.4387235163104977E-2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0.73731778425655981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4.2319613484210258E-3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1.9287005082897965E-3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4.5444263246141174E-5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0.5</v>
      </c>
      <c r="J30" s="13">
        <f t="shared" si="21"/>
        <v>6.2898200624815189E-4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1.5747024029175245E-3</v>
      </c>
      <c r="C31" s="13">
        <f t="shared" si="23"/>
        <v>6.5913022818524106E-5</v>
      </c>
      <c r="D31" s="13">
        <f t="shared" si="23"/>
        <v>0</v>
      </c>
      <c r="E31" s="13">
        <f t="shared" si="23"/>
        <v>0</v>
      </c>
      <c r="F31" s="13">
        <f t="shared" si="23"/>
        <v>5.105386698761382E-3</v>
      </c>
      <c r="G31" s="13">
        <f t="shared" si="23"/>
        <v>0.98347626990545312</v>
      </c>
      <c r="H31" s="13">
        <f t="shared" si="23"/>
        <v>0</v>
      </c>
      <c r="I31" s="13">
        <f t="shared" si="23"/>
        <v>0.5</v>
      </c>
      <c r="J31" s="13">
        <f t="shared" si="23"/>
        <v>1.4466249907416372E-2</v>
      </c>
      <c r="K31" s="6"/>
      <c r="L31" t="s">
        <v>4</v>
      </c>
      <c r="M31" s="13">
        <f t="shared" ref="M31:P31" si="24">M14/M$16</f>
        <v>9.4649153294468159E-4</v>
      </c>
      <c r="N31" s="13">
        <f t="shared" si="24"/>
        <v>1.2919361651028167E-3</v>
      </c>
      <c r="O31" s="13">
        <f t="shared" si="24"/>
        <v>9.2720573281998076E-4</v>
      </c>
      <c r="P31" s="13" t="e">
        <f t="shared" si="24"/>
        <v>#DIV/0!</v>
      </c>
      <c r="Q31" s="13">
        <f t="shared" si="6"/>
        <v>9.9125364431486875E-3</v>
      </c>
      <c r="R31" s="13">
        <f t="shared" si="6"/>
        <v>0.9762594635012618</v>
      </c>
      <c r="S31" s="13">
        <f t="shared" si="6"/>
        <v>0</v>
      </c>
      <c r="T31" s="13" t="e">
        <f t="shared" si="6"/>
        <v>#DIV/0!</v>
      </c>
      <c r="U31" s="13">
        <f t="shared" si="6"/>
        <v>9.5286065275786581E-3</v>
      </c>
    </row>
    <row r="32" spans="1:21" x14ac:dyDescent="0.45">
      <c r="A32" s="4" t="s">
        <v>5</v>
      </c>
      <c r="B32" s="14">
        <f t="shared" ref="B32:J32" si="25">B15/B$16</f>
        <v>1.9853470463189617E-2</v>
      </c>
      <c r="C32" s="14">
        <f t="shared" si="25"/>
        <v>1.6712100404568709E-2</v>
      </c>
      <c r="D32" s="14">
        <f t="shared" si="25"/>
        <v>2.4041788728826587E-2</v>
      </c>
      <c r="E32" s="14">
        <f t="shared" si="25"/>
        <v>7.4587169629721659E-2</v>
      </c>
      <c r="F32" s="14">
        <f t="shared" si="25"/>
        <v>0.21344952327506778</v>
      </c>
      <c r="G32" s="14">
        <f t="shared" si="25"/>
        <v>1.6523730094546874E-2</v>
      </c>
      <c r="H32" s="14">
        <f t="shared" si="25"/>
        <v>1</v>
      </c>
      <c r="I32" s="14">
        <f t="shared" si="25"/>
        <v>0</v>
      </c>
      <c r="J32" s="14">
        <f t="shared" si="25"/>
        <v>0.28727636920607669</v>
      </c>
      <c r="K32" s="6"/>
      <c r="L32" s="4" t="s">
        <v>5</v>
      </c>
      <c r="M32" s="14">
        <f t="shared" ref="M32:P32" si="26">M15/M$16</f>
        <v>4.4876376839155458E-3</v>
      </c>
      <c r="N32" s="14">
        <f t="shared" si="26"/>
        <v>4.0629736064066784E-3</v>
      </c>
      <c r="O32" s="14">
        <f t="shared" si="26"/>
        <v>2.4231436065890203E-3</v>
      </c>
      <c r="P32" s="14" t="e">
        <f t="shared" si="26"/>
        <v>#DIV/0!</v>
      </c>
      <c r="Q32" s="14">
        <f t="shared" si="6"/>
        <v>0.10415451895043731</v>
      </c>
      <c r="R32" s="14">
        <f t="shared" si="6"/>
        <v>2.37405364987382E-2</v>
      </c>
      <c r="S32" s="14">
        <f t="shared" si="6"/>
        <v>1</v>
      </c>
      <c r="T32" s="14" t="e">
        <f t="shared" si="6"/>
        <v>#DIV/0!</v>
      </c>
      <c r="U32" s="14">
        <f t="shared" si="6"/>
        <v>0.30189747994148214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1.5994043649246836E-2</v>
      </c>
      <c r="N39" s="13">
        <f t="shared" si="29"/>
        <v>3.1466501110983487E-2</v>
      </c>
      <c r="O39" s="13">
        <f t="shared" si="29"/>
        <v>7.7305145812451084E-3</v>
      </c>
      <c r="P39" s="13" t="e">
        <f t="shared" si="29"/>
        <v>#DIV/0!</v>
      </c>
      <c r="Q39" s="13">
        <f t="shared" ref="Q39:Q50" si="30">Q22-F22</f>
        <v>2.4452764568328117E-3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-4.2141045232971464E-2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-2.0043397455105638E-2</v>
      </c>
      <c r="O40" s="13">
        <f t="shared" si="29"/>
        <v>7.6705385279943056E-2</v>
      </c>
      <c r="P40" s="13" t="e">
        <f t="shared" si="29"/>
        <v>#DIV/0!</v>
      </c>
      <c r="Q40" s="13">
        <f t="shared" si="30"/>
        <v>-5.1602459911533366E-2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4.2460294463920717E-2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-6.3744460471770625E-2</v>
      </c>
      <c r="P41" s="13" t="e">
        <f t="shared" si="29"/>
        <v>#DIV/0!</v>
      </c>
      <c r="Q41" s="13">
        <f t="shared" si="30"/>
        <v>-5.8727414085499724E-3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8.2698349766122115E-4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0.16144647995178352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-1.0155273814683952E-2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-1.9287005082897965E-3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-4.5444263246141174E-5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-6.2898200624815189E-4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-6.2821086997284293E-4</v>
      </c>
      <c r="N48" s="13">
        <f t="shared" si="39"/>
        <v>1.2260231422842926E-3</v>
      </c>
      <c r="O48" s="13">
        <f t="shared" si="39"/>
        <v>9.2720573281998076E-4</v>
      </c>
      <c r="P48" s="13" t="e">
        <f t="shared" si="39"/>
        <v>#DIV/0!</v>
      </c>
      <c r="Q48" s="13">
        <f t="shared" si="30"/>
        <v>4.8071497443873054E-3</v>
      </c>
      <c r="R48" s="13">
        <f t="shared" si="31"/>
        <v>-7.2168064041913116E-3</v>
      </c>
      <c r="S48" s="13">
        <f t="shared" si="32"/>
        <v>0</v>
      </c>
      <c r="T48" s="13" t="e">
        <f t="shared" si="33"/>
        <v>#DIV/0!</v>
      </c>
      <c r="U48" s="13">
        <f t="shared" si="34"/>
        <v>-4.9376433798377136E-3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-1.5365832779274072E-2</v>
      </c>
      <c r="N49" s="17">
        <f t="shared" si="39"/>
        <v>-1.264912679816203E-2</v>
      </c>
      <c r="O49" s="17">
        <f t="shared" si="39"/>
        <v>-2.1618645122237566E-2</v>
      </c>
      <c r="P49" s="17" t="e">
        <f t="shared" si="39"/>
        <v>#DIV/0!</v>
      </c>
      <c r="Q49" s="17">
        <f t="shared" si="30"/>
        <v>-0.10929500432463046</v>
      </c>
      <c r="R49" s="17">
        <f t="shared" si="31"/>
        <v>7.2168064041913255E-3</v>
      </c>
      <c r="S49" s="17">
        <f t="shared" si="32"/>
        <v>0</v>
      </c>
      <c r="T49" s="17" t="e">
        <f t="shared" si="33"/>
        <v>#DIV/0!</v>
      </c>
      <c r="U49" s="13">
        <f t="shared" si="34"/>
        <v>1.4621110735405451E-2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B3"/>
  <sheetViews>
    <sheetView workbookViewId="0"/>
  </sheetViews>
  <sheetFormatPr defaultRowHeight="14.25" x14ac:dyDescent="0.45"/>
  <sheetData>
    <row r="2" spans="2:2" x14ac:dyDescent="0.45">
      <c r="B2" t="s">
        <v>50</v>
      </c>
    </row>
    <row r="3" spans="2:2" x14ac:dyDescent="0.45">
      <c r="B3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2022-01-21T23:39:01Z</dcterms:modified>
</cp:coreProperties>
</file>