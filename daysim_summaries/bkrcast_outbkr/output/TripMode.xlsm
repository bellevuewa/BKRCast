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74837BA0-65D6-932C-5D65-3B800EBDC722}" lastEdited="7" lowestEdited="4" rupBuild="21328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outbkr\output\"/>
    </mc:Choice>
  </mc:AlternateContent>
  <xr:revisionPtr documentId="13_ncr:1_{5642A312-A7AB-45F6-B3D0-2E2EBB5E88A9}" revIDLastSave="0" xr10:uidLastSave="{00000000-0000-0000-0000-000000000000}" xr6:coauthVersionLast="41" xr6:coauthVersionMax="41"/>
  <bookViews>
    <workbookView activeTab="6" firstSheet="1" windowHeight="11265" windowWidth="21600" xWindow="12405" xr2:uid="{00000000-000D-0000-FFFF-FFFF00000000}" yWindow="2640"/>
  </bookViews>
  <sheets>
    <sheet name="All Purposes" r:id="rId1" sheetId="18"/>
    <sheet name="Workbased" r:id="rId2" sheetId="7"/>
    <sheet name="Work" r:id="rId3" sheetId="11"/>
    <sheet name="School" r:id="rId4" sheetId="12"/>
    <sheet name="Escort" r:id="rId5" sheetId="13"/>
    <sheet name="Personal_Business" r:id="rId6" sheetId="14"/>
    <sheet name="Shop" r:id="rId7" sheetId="15"/>
    <sheet name="Meal" r:id="rId8" sheetId="16"/>
    <sheet name="SocRec" r:id="rId9" sheetId="17"/>
    <sheet name="Documentation" r:id="rId10" sheetId="19"/>
  </sheets>
  <definedNames>
    <definedName name="out1">Work!$B$5:$I$15</definedName>
    <definedName name="out10">Shop!$M$5:$T$15</definedName>
    <definedName name="out11">Meal!$B$5:$I$15</definedName>
    <definedName name="out12">Meal!$M$5:$T$15</definedName>
    <definedName name="out13">SocRec!$B$5:$I$15</definedName>
    <definedName name="out14">SocRec!$M$5:$T$15</definedName>
    <definedName name="out15">Workbased!$B$5:$I$15</definedName>
    <definedName name="out16">Workbased!$M$5:$T$15</definedName>
    <definedName name="out2">Work!$M$5:$T$15</definedName>
    <definedName name="out3">School!$B$5:$I$15</definedName>
    <definedName name="out4">School!$M$5:$T$15</definedName>
    <definedName name="out5">Escort!$B$5:$I$15</definedName>
    <definedName name="out6">Escort!$M$5:$T$15</definedName>
    <definedName name="out7">Personal_Business!$B$5:$I$15</definedName>
    <definedName name="out8">Personal_Business!$M$5:$T$15</definedName>
    <definedName name="out9">Shop!$B$5:$I$15</definedName>
    <definedName name="purp1">Work!$M$5:$T$16</definedName>
    <definedName name="purp2">School!$M$5:$T$16</definedName>
    <definedName name="purp3">Escort!$M$5:$T$16</definedName>
    <definedName name="purp4">Personal_Business!$M$5:$T$16</definedName>
    <definedName name="purp5">Shop!$M$5:$T$16</definedName>
    <definedName name="purp6">Meal!$M$5:$T$16</definedName>
    <definedName name="purp7">SocRec!$M$5:$T$16</definedName>
    <definedName name="purp8">Workbased!$M$5:$T$16</definedName>
    <definedName name="out_1">Work!$B$5:$I$15</definedName>
    <definedName name="out_3">School!$B$5:$I$15</definedName>
    <definedName name="out_5">Escort!$B$5:$I$15</definedName>
    <definedName name="out_7">Personal_Business!$B$5:$I$15</definedName>
    <definedName name="out_9">Shop!$B$5:$I$15</definedName>
    <definedName name="out_11">Meal!$B$5:$I$15</definedName>
    <definedName name="out_13">SocRec!$B$5:$I$15</definedName>
    <definedName name="out_15">Workbased!$B$5:$I$15</definedName>
    <definedName name="out_2">Work!$M$5:$T$15</definedName>
    <definedName name="out_4">School!$M$5:$T$15</definedName>
    <definedName name="out_6">Escort!$M$5:$T$15</definedName>
    <definedName name="out_8">Personal_Business!$M$5:$T$15</definedName>
    <definedName name="out_10">Shop!$M$5:$T$15</definedName>
    <definedName name="out_12">Meal!$M$5:$T$15</definedName>
    <definedName name="out_14">SocRec!$M$5:$T$15</definedName>
    <definedName name="out_16">Workbased!$M$5:$T$15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8" l="1" r="B6"/>
  <c i="7" l="1" r="J11"/>
  <c i="7" r="J12"/>
  <c i="7" r="J13"/>
  <c i="11" r="J11"/>
  <c i="11" r="J12"/>
  <c i="11" r="J13"/>
  <c i="12" r="J11"/>
  <c i="12" r="J12"/>
  <c i="12" r="J13"/>
  <c i="13" r="J11"/>
  <c i="13" r="J12"/>
  <c i="13" r="J13"/>
  <c i="14" r="J11"/>
  <c i="14" r="J12"/>
  <c i="14" r="J13"/>
  <c i="15" r="J11"/>
  <c i="15" r="J12"/>
  <c i="15" r="J13"/>
  <c i="16" r="J11"/>
  <c i="16" r="J12"/>
  <c i="16" r="J13"/>
  <c i="17" r="J11"/>
  <c i="17" r="J12"/>
  <c i="17" r="J13"/>
  <c i="18" r="I13"/>
  <c i="18" r="H13"/>
  <c i="18" r="G13"/>
  <c i="18" r="F13"/>
  <c i="18" r="E13"/>
  <c i="18" r="D13"/>
  <c i="18" r="C13"/>
  <c i="18" r="B13"/>
  <c i="18" r="I12"/>
  <c i="18" r="H12"/>
  <c i="18" r="G12"/>
  <c i="18" r="F12"/>
  <c i="18" r="E12"/>
  <c i="18" r="D12"/>
  <c i="18" r="C12"/>
  <c i="18" r="B12"/>
  <c i="18" r="I11"/>
  <c i="18" r="H11"/>
  <c i="18" r="G11"/>
  <c i="18" r="F11"/>
  <c i="18" r="E11"/>
  <c i="18" r="D11"/>
  <c i="18" r="C11"/>
  <c i="18" r="B11"/>
  <c i="18" r="T13"/>
  <c i="18" r="S13"/>
  <c i="18" r="R13"/>
  <c i="18" r="Q13"/>
  <c i="18" r="P13"/>
  <c i="18" r="O13"/>
  <c i="18" r="N13"/>
  <c i="18" r="M13"/>
  <c i="18" r="T12"/>
  <c i="18" r="S12"/>
  <c i="18" r="R12"/>
  <c i="18" r="Q12"/>
  <c i="18" r="P12"/>
  <c i="18" r="O12"/>
  <c i="18" r="N12"/>
  <c i="18" r="M12"/>
  <c i="7" r="U11"/>
  <c i="7" r="U12"/>
  <c i="7" r="U13"/>
  <c i="11" r="U11"/>
  <c i="11" r="U12"/>
  <c i="11" r="U13"/>
  <c i="12" r="U11"/>
  <c i="12" r="U12"/>
  <c i="12" r="U13"/>
  <c i="13" r="U11"/>
  <c i="13" r="U12"/>
  <c i="13" r="U13"/>
  <c i="14" r="U11"/>
  <c i="14" r="U12"/>
  <c i="14" r="U13"/>
  <c i="15" r="U11"/>
  <c i="15" r="U12"/>
  <c i="15" r="U13"/>
  <c i="16" r="U11"/>
  <c i="16" r="U12"/>
  <c i="16" r="U13"/>
  <c i="17" r="U11"/>
  <c i="17" r="U12"/>
  <c i="17" r="U13"/>
  <c i="18" r="O11"/>
  <c i="18" r="P11"/>
  <c i="18" r="Q11"/>
  <c i="18" r="R11"/>
  <c i="18" r="S11"/>
  <c i="18" r="T11"/>
  <c i="18" r="N11"/>
  <c i="18" r="M11"/>
  <c i="18" r="T15"/>
  <c i="18" r="S15"/>
  <c i="18" r="R15"/>
  <c i="18" r="Q15"/>
  <c i="18" r="P15"/>
  <c i="18" r="O15"/>
  <c i="18" r="N15"/>
  <c i="18" r="M15"/>
  <c i="18" r="T14"/>
  <c i="18" r="S14"/>
  <c i="18" r="R14"/>
  <c i="18" r="Q14"/>
  <c i="18" r="P14"/>
  <c i="18" r="O14"/>
  <c i="18" r="N14"/>
  <c i="18" r="M14"/>
  <c i="18" r="T10"/>
  <c i="18" r="S10"/>
  <c i="18" r="R10"/>
  <c i="18" r="Q10"/>
  <c i="18" r="P10"/>
  <c i="18" r="O10"/>
  <c i="18" r="N10"/>
  <c i="18" r="M10"/>
  <c i="18" r="T9"/>
  <c i="18" r="S9"/>
  <c i="18" r="R9"/>
  <c i="18" r="Q9"/>
  <c i="18" r="P9"/>
  <c i="18" r="O9"/>
  <c i="18" r="N9"/>
  <c i="18" r="M9"/>
  <c i="18" r="T8"/>
  <c i="18" r="S8"/>
  <c i="18" r="R8"/>
  <c i="18" r="Q8"/>
  <c i="18" r="P8"/>
  <c i="18" r="O8"/>
  <c i="18" r="N8"/>
  <c i="18" r="M8"/>
  <c i="18" r="T7"/>
  <c i="18" r="S7"/>
  <c i="18" r="R7"/>
  <c i="18" r="Q7"/>
  <c i="18" r="P7"/>
  <c i="18" r="O7"/>
  <c i="18" r="N7"/>
  <c i="18" r="M7"/>
  <c i="18" r="T6"/>
  <c i="18" r="S6"/>
  <c i="18" r="R6"/>
  <c i="18" r="Q6"/>
  <c i="18" r="P6"/>
  <c i="18" r="O6"/>
  <c i="18" r="N6"/>
  <c i="18" r="M6"/>
  <c i="18" r="T5"/>
  <c i="18" r="S5"/>
  <c i="18" r="R5"/>
  <c i="18" r="Q5"/>
  <c i="18" r="P5"/>
  <c i="18" r="O5"/>
  <c i="18" r="N5"/>
  <c i="18" r="M5"/>
  <c i="18" r="I15"/>
  <c i="18" r="H15"/>
  <c i="18" r="G15"/>
  <c i="18" r="F15"/>
  <c i="18" r="E15"/>
  <c i="18" r="D15"/>
  <c i="18" r="C15"/>
  <c i="18" r="B15"/>
  <c i="18" r="I14"/>
  <c i="18" r="H14"/>
  <c i="18" r="G14"/>
  <c i="18" r="F14"/>
  <c i="18" r="E14"/>
  <c i="18" r="D14"/>
  <c i="18" r="C14"/>
  <c i="18" r="B14"/>
  <c i="18" r="I10"/>
  <c i="18" r="H10"/>
  <c i="18" r="G10"/>
  <c i="18" r="F10"/>
  <c i="18" r="E10"/>
  <c i="18" r="D10"/>
  <c i="18" r="C10"/>
  <c i="18" r="B10"/>
  <c i="18" r="I9"/>
  <c i="18" r="H9"/>
  <c i="18" r="G9"/>
  <c i="18" r="F9"/>
  <c i="18" r="E9"/>
  <c i="18" r="D9"/>
  <c i="18" r="C9"/>
  <c i="18" r="B9"/>
  <c i="18" r="I8"/>
  <c i="18" r="H8"/>
  <c i="18" r="G8"/>
  <c i="18" r="F8"/>
  <c i="18" r="E8"/>
  <c i="18" r="D8"/>
  <c i="18" r="C8"/>
  <c i="18" r="B8"/>
  <c i="18" r="I7"/>
  <c i="18" r="H7"/>
  <c i="18" r="G7"/>
  <c i="18" r="F7"/>
  <c i="18" r="E7"/>
  <c i="18" r="D7"/>
  <c i="18" r="C7"/>
  <c i="18" r="B7"/>
  <c i="18" r="I6"/>
  <c i="18" r="H6"/>
  <c i="18" r="G6"/>
  <c i="18" r="F6"/>
  <c i="18" r="E6"/>
  <c i="18" r="D6"/>
  <c i="18" r="C6"/>
  <c i="18" r="I5"/>
  <c i="18" r="H5"/>
  <c i="18" r="G5"/>
  <c i="18" r="F5"/>
  <c i="18" r="E5"/>
  <c i="18" r="D5"/>
  <c i="18" r="C5"/>
  <c i="18" r="B5"/>
  <c i="17" r="T16"/>
  <c i="17" r="T30" s="1"/>
  <c i="17" r="S16"/>
  <c i="17" r="S29" s="1"/>
  <c i="17" r="R16"/>
  <c i="17" r="R30" s="1"/>
  <c i="17" r="Q16"/>
  <c i="17" r="Q30" s="1"/>
  <c i="17" r="P16"/>
  <c i="17" r="P30" s="1"/>
  <c i="17" r="O16"/>
  <c i="17" r="O30" s="1"/>
  <c i="17" r="N16"/>
  <c i="17" r="N30" s="1"/>
  <c i="17" r="M16"/>
  <c i="17" r="M30" s="1"/>
  <c i="17" r="I16"/>
  <c i="17" r="I30" s="1"/>
  <c i="17" r="H16"/>
  <c i="17" r="H30" s="1"/>
  <c i="17" r="G16"/>
  <c i="17" r="G30" s="1"/>
  <c i="17" r="F16"/>
  <c i="17" r="F30" s="1"/>
  <c i="17" r="E16"/>
  <c i="17" r="E30" s="1"/>
  <c i="17" r="D16"/>
  <c i="17" r="D30" s="1"/>
  <c i="17" r="C16"/>
  <c i="17" r="C30" s="1"/>
  <c i="17" r="B16"/>
  <c i="17" r="B29" s="1"/>
  <c i="17" r="U15"/>
  <c i="17" r="J15"/>
  <c i="17" r="U14"/>
  <c i="17" r="J14"/>
  <c i="17" r="U10"/>
  <c i="17" r="J10"/>
  <c i="17" r="U9"/>
  <c i="17" r="J9"/>
  <c i="17" r="U8"/>
  <c i="17" r="J8"/>
  <c i="17" r="U7"/>
  <c i="17" r="J7"/>
  <c i="17" r="U6"/>
  <c i="17" r="J6"/>
  <c i="17" r="U5"/>
  <c i="17" r="J5"/>
  <c i="16" r="T16"/>
  <c i="16" r="T30" s="1"/>
  <c i="16" r="S16"/>
  <c i="16" r="S30" s="1"/>
  <c i="16" r="R16"/>
  <c i="16" r="R30" s="1"/>
  <c i="16" r="Q16"/>
  <c i="16" r="Q30" s="1"/>
  <c i="16" r="P16"/>
  <c i="16" r="P30" s="1"/>
  <c i="16" r="O16"/>
  <c i="16" r="O29" s="1"/>
  <c i="16" r="N16"/>
  <c i="16" r="N30" s="1"/>
  <c i="16" r="M16"/>
  <c i="16" r="M30" s="1"/>
  <c i="16" r="I16"/>
  <c i="16" r="I30" s="1"/>
  <c i="16" r="H16"/>
  <c i="16" r="H30" s="1"/>
  <c i="16" r="G16"/>
  <c i="16" r="G30" s="1"/>
  <c i="16" r="F16"/>
  <c i="16" r="F30" s="1"/>
  <c i="16" r="E16"/>
  <c i="16" r="E30" s="1"/>
  <c i="16" r="D16"/>
  <c i="16" r="D30" s="1"/>
  <c i="16" r="C16"/>
  <c i="16" r="C30" s="1"/>
  <c i="16" r="B16"/>
  <c i="16" r="B29" s="1"/>
  <c i="16" r="U15"/>
  <c i="16" r="J15"/>
  <c i="16" r="U14"/>
  <c i="16" r="J14"/>
  <c i="16" r="U10"/>
  <c i="16" r="J10"/>
  <c i="16" r="U9"/>
  <c i="16" r="J9"/>
  <c i="16" r="U8"/>
  <c i="16" r="J8"/>
  <c i="16" r="U7"/>
  <c i="16" r="J7"/>
  <c i="16" r="U6"/>
  <c i="16" r="J6"/>
  <c i="16" r="U5"/>
  <c i="16" r="J5"/>
  <c i="15" r="T16"/>
  <c i="15" r="T30" s="1"/>
  <c i="15" r="S16"/>
  <c i="15" r="S29" s="1"/>
  <c i="15" r="R16"/>
  <c i="15" r="R30" s="1"/>
  <c i="15" r="Q16"/>
  <c i="15" r="Q30" s="1"/>
  <c i="15" r="P16"/>
  <c i="15" r="P30" s="1"/>
  <c i="15" r="O16"/>
  <c i="15" r="O30" s="1"/>
  <c i="15" r="N16"/>
  <c i="15" r="N30" s="1"/>
  <c i="15" r="M16"/>
  <c i="15" r="M30" s="1"/>
  <c i="15" r="I16"/>
  <c i="15" r="I30" s="1"/>
  <c i="15" r="H16"/>
  <c i="15" r="H30" s="1"/>
  <c i="15" r="G16"/>
  <c i="15" r="G30" s="1"/>
  <c i="15" r="F16"/>
  <c i="15" r="F30" s="1"/>
  <c i="15" r="E16"/>
  <c i="15" r="E30" s="1"/>
  <c i="15" r="D16"/>
  <c i="15" r="D30" s="1"/>
  <c i="15" r="C16"/>
  <c i="15" r="C30" s="1"/>
  <c i="15" r="B16"/>
  <c i="15" r="B29" s="1"/>
  <c i="15" r="U15"/>
  <c i="15" r="J15"/>
  <c i="15" r="U14"/>
  <c i="15" r="J14"/>
  <c i="15" r="U10"/>
  <c i="15" r="J10"/>
  <c i="15" r="U9"/>
  <c i="15" r="J9"/>
  <c i="15" r="U8"/>
  <c i="15" r="J8"/>
  <c i="15" r="U7"/>
  <c i="15" r="J7"/>
  <c i="15" r="U6"/>
  <c i="15" r="J6"/>
  <c i="15" r="U5"/>
  <c i="15" r="J5"/>
  <c i="14" r="T16"/>
  <c i="14" r="T30" s="1"/>
  <c i="14" r="S16"/>
  <c i="14" r="S30" s="1"/>
  <c i="14" r="R16"/>
  <c i="14" r="R30" s="1"/>
  <c i="14" r="Q16"/>
  <c i="14" r="Q30" s="1"/>
  <c i="14" r="P16"/>
  <c i="14" r="P30" s="1"/>
  <c i="14" r="O16"/>
  <c i="14" r="O29" s="1"/>
  <c i="14" r="N16"/>
  <c i="14" r="N30" s="1"/>
  <c i="14" r="M16"/>
  <c i="14" r="M30" s="1"/>
  <c i="14" r="I16"/>
  <c i="14" r="I30" s="1"/>
  <c i="14" r="H16"/>
  <c i="14" r="H30" s="1"/>
  <c i="14" r="G16"/>
  <c i="14" r="G30" s="1"/>
  <c i="14" r="F16"/>
  <c i="14" r="F30" s="1"/>
  <c i="14" r="E16"/>
  <c i="14" r="E30" s="1"/>
  <c i="14" r="D16"/>
  <c i="14" r="D30" s="1"/>
  <c i="14" r="C16"/>
  <c i="14" r="C30" s="1"/>
  <c i="14" r="B16"/>
  <c i="14" r="B29" s="1"/>
  <c i="14" r="U15"/>
  <c i="14" r="J15"/>
  <c i="14" r="U14"/>
  <c i="14" r="J14"/>
  <c i="14" r="U10"/>
  <c i="14" r="J10"/>
  <c i="14" r="U9"/>
  <c i="14" r="J9"/>
  <c i="14" r="U8"/>
  <c i="14" r="J8"/>
  <c i="14" r="U7"/>
  <c i="14" r="J7"/>
  <c i="14" r="U6"/>
  <c i="14" r="J6"/>
  <c i="14" r="U5"/>
  <c i="14" r="J5"/>
  <c i="13" r="T16"/>
  <c i="13" r="T30" s="1"/>
  <c i="13" r="S16"/>
  <c i="13" r="S29" s="1"/>
  <c i="13" r="R16"/>
  <c i="13" r="R30" s="1"/>
  <c i="13" r="Q16"/>
  <c i="13" r="Q30" s="1"/>
  <c i="13" r="P16"/>
  <c i="13" r="P30" s="1"/>
  <c i="13" r="O16"/>
  <c i="13" r="O30" s="1"/>
  <c i="13" r="N16"/>
  <c i="13" r="N30" s="1"/>
  <c i="13" r="M16"/>
  <c i="13" r="M30" s="1"/>
  <c i="13" r="I16"/>
  <c i="13" r="I30" s="1"/>
  <c i="13" r="H16"/>
  <c i="13" r="H30" s="1"/>
  <c i="13" r="G16"/>
  <c i="13" r="G30" s="1"/>
  <c i="13" r="F16"/>
  <c i="13" r="F30" s="1"/>
  <c i="13" r="E16"/>
  <c i="13" r="E30" s="1"/>
  <c i="13" r="D16"/>
  <c i="13" r="D30" s="1"/>
  <c i="13" r="C16"/>
  <c i="13" r="C30" s="1"/>
  <c i="13" r="B16"/>
  <c i="13" r="B29" s="1"/>
  <c i="13" r="U15"/>
  <c i="13" r="J15"/>
  <c i="13" r="U14"/>
  <c i="13" r="J14"/>
  <c i="13" r="U10"/>
  <c i="13" r="J10"/>
  <c i="13" r="U9"/>
  <c i="13" r="J9"/>
  <c i="13" r="U8"/>
  <c i="13" r="J8"/>
  <c i="13" r="U7"/>
  <c i="13" r="J7"/>
  <c i="13" r="U6"/>
  <c i="13" r="J6"/>
  <c i="13" r="U5"/>
  <c i="13" r="J5"/>
  <c i="12" r="T16"/>
  <c i="12" r="T30" s="1"/>
  <c i="12" r="S16"/>
  <c i="12" r="S30" s="1"/>
  <c i="12" r="R16"/>
  <c i="12" r="R30" s="1"/>
  <c i="12" r="Q16"/>
  <c i="12" r="Q30" s="1"/>
  <c i="12" r="P16"/>
  <c i="12" r="P30" s="1"/>
  <c i="12" r="O16"/>
  <c i="12" r="O29" s="1"/>
  <c i="12" r="N16"/>
  <c i="12" r="N30" s="1"/>
  <c i="12" r="M16"/>
  <c i="12" r="M30" s="1"/>
  <c i="12" r="I16"/>
  <c i="12" r="I30" s="1"/>
  <c i="12" r="H16"/>
  <c i="12" r="H30" s="1"/>
  <c i="12" r="G16"/>
  <c i="12" r="G30" s="1"/>
  <c i="12" r="F16"/>
  <c i="12" r="F30" s="1"/>
  <c i="12" r="E16"/>
  <c i="12" r="E30" s="1"/>
  <c i="12" r="D16"/>
  <c i="12" r="D30" s="1"/>
  <c i="12" r="C16"/>
  <c i="12" r="C30" s="1"/>
  <c i="12" r="B16"/>
  <c i="12" r="B29" s="1"/>
  <c i="12" r="U15"/>
  <c i="12" r="J15"/>
  <c i="12" r="U14"/>
  <c i="12" r="J14"/>
  <c i="12" r="U10"/>
  <c i="12" r="J10"/>
  <c i="12" r="U9"/>
  <c i="12" r="J9"/>
  <c i="12" r="U8"/>
  <c i="12" r="J8"/>
  <c i="12" r="U7"/>
  <c i="12" r="J7"/>
  <c i="12" r="U6"/>
  <c i="12" r="J6"/>
  <c i="12" r="U5"/>
  <c i="12" r="J5"/>
  <c i="11" r="T16"/>
  <c i="11" r="T31" s="1"/>
  <c i="11" r="S16"/>
  <c i="11" r="S32" s="1"/>
  <c i="11" r="R16"/>
  <c i="11" r="R33" s="1"/>
  <c i="11" r="Q16"/>
  <c i="11" r="Q30" s="1"/>
  <c i="11" r="P16"/>
  <c i="11" r="P31" s="1"/>
  <c i="11" r="O16"/>
  <c i="11" r="O32" s="1"/>
  <c i="11" r="N16"/>
  <c i="11" r="N33" s="1"/>
  <c i="11" r="M16"/>
  <c i="11" r="M30" s="1"/>
  <c i="11" r="I16"/>
  <c i="11" r="I31" s="1"/>
  <c i="11" r="H16"/>
  <c i="11" r="H32" s="1"/>
  <c i="11" r="G16"/>
  <c i="11" r="G33" s="1"/>
  <c i="11" r="F16"/>
  <c i="11" r="F30" s="1"/>
  <c i="11" r="E16"/>
  <c i="11" r="E31" s="1"/>
  <c i="11" r="D16"/>
  <c i="11" r="D32" s="1"/>
  <c i="11" r="C16"/>
  <c i="11" r="C33" s="1"/>
  <c i="11" r="B16"/>
  <c i="11" r="B29" s="1"/>
  <c i="11" r="U15"/>
  <c i="11" r="J15"/>
  <c i="11" r="U14"/>
  <c i="11" r="J14"/>
  <c i="11" r="U10"/>
  <c i="11" r="J10"/>
  <c i="11" r="U9"/>
  <c i="11" r="J9"/>
  <c i="11" r="U8"/>
  <c i="11" r="J8"/>
  <c i="11" r="U7"/>
  <c i="11" r="J7"/>
  <c i="11" r="U6"/>
  <c i="11" r="J6"/>
  <c i="11" r="U5"/>
  <c i="11" r="J5"/>
  <c i="7" r="R16"/>
  <c i="7" r="R33" s="1"/>
  <c i="7" r="U8"/>
  <c i="7" r="U7"/>
  <c i="7" r="J8"/>
  <c i="7" r="J7"/>
  <c i="7" r="G16"/>
  <c i="7" r="G33" s="1"/>
  <c i="7" r="J15"/>
  <c i="7" r="J14"/>
  <c i="7" r="J10"/>
  <c i="7" r="J9"/>
  <c i="7" r="J6"/>
  <c i="7" r="J5"/>
  <c i="7" r="U15"/>
  <c i="7" r="U14"/>
  <c i="7" r="U10"/>
  <c i="7" r="U9"/>
  <c i="7" r="U6"/>
  <c i="7" r="U5"/>
  <c i="7" r="T16"/>
  <c i="7" r="T31" s="1"/>
  <c i="7" r="S16"/>
  <c i="7" r="S32" s="1"/>
  <c i="7" r="Q16"/>
  <c i="7" r="Q30" s="1"/>
  <c i="7" r="P16"/>
  <c i="7" r="P31" s="1"/>
  <c i="7" r="O16"/>
  <c i="7" r="O32" s="1"/>
  <c i="7" r="N16"/>
  <c i="7" r="N33" s="1"/>
  <c i="7" r="M16"/>
  <c i="7" r="M30" s="1"/>
  <c i="7" r="I16"/>
  <c i="7" r="I31" s="1"/>
  <c i="7" r="H16"/>
  <c i="7" r="H32" s="1"/>
  <c i="7" r="F16"/>
  <c i="7" r="F30" s="1"/>
  <c i="7" r="E16"/>
  <c i="7" r="E31" s="1"/>
  <c i="7" r="D16"/>
  <c i="7" r="D32" s="1"/>
  <c i="7" r="C16"/>
  <c i="7" r="C33" s="1"/>
  <c i="7" r="B16"/>
  <c i="7" r="B29" s="1"/>
  <c i="18" l="1" r="I16"/>
  <c i="18" r="I33" s="1"/>
  <c i="18" r="R16"/>
  <c i="18" r="R33" s="1"/>
  <c i="18" r="U13"/>
  <c i="18" r="N16"/>
  <c i="18" r="N33" s="1"/>
  <c i="18" r="F16"/>
  <c i="18" r="F33" s="1"/>
  <c i="18" r="M16"/>
  <c i="18" r="M33" s="1"/>
  <c i="18" r="E16"/>
  <c i="18" r="E30" s="1"/>
  <c i="18" r="B16"/>
  <c i="18" r="B33" s="1"/>
  <c i="17" r="O29"/>
  <c i="14" r="O28"/>
  <c i="12" r="O30"/>
  <c i="12" r="O47" s="1"/>
  <c i="15" r="O29"/>
  <c i="12" r="O28"/>
  <c i="7" r="Q47"/>
  <c i="16" r="O30"/>
  <c i="16" r="O47" s="1"/>
  <c i="13" r="O29"/>
  <c i="7" r="O28"/>
  <c i="16" r="O28"/>
  <c i="14" r="O30"/>
  <c i="14" r="O47" s="1"/>
  <c i="11" r="O29"/>
  <c i="18" r="C16"/>
  <c i="18" r="C33" s="1"/>
  <c i="18" r="G16"/>
  <c i="18" r="G33" s="1"/>
  <c i="17" r="S28"/>
  <c i="17" r="S30"/>
  <c i="17" r="S47" s="1"/>
  <c i="16" r="S29"/>
  <c i="15" r="S28"/>
  <c i="15" r="S30"/>
  <c i="15" r="S47" s="1"/>
  <c i="14" r="S29"/>
  <c i="13" r="S28"/>
  <c i="13" r="S30"/>
  <c i="13" r="S47" s="1"/>
  <c i="12" r="S29"/>
  <c i="11" r="S28"/>
  <c i="11" r="S30"/>
  <c i="18" r="J11"/>
  <c i="18" r="J12"/>
  <c i="18" r="J13"/>
  <c i="18" r="U11"/>
  <c i="17" r="O28"/>
  <c i="15" r="O28"/>
  <c i="13" r="O28"/>
  <c i="11" r="O28"/>
  <c i="11" r="O30"/>
  <c i="7" r="O30"/>
  <c i="16" r="S28"/>
  <c i="14" r="S28"/>
  <c i="12" r="S28"/>
  <c i="11" r="S29"/>
  <c i="7" r="O29"/>
  <c i="11" r="Q47"/>
  <c i="12" r="Q47"/>
  <c i="13" r="Q47"/>
  <c i="14" r="Q47"/>
  <c i="15" r="Q47"/>
  <c i="16" r="Q47"/>
  <c i="17" r="Q47"/>
  <c i="16" r="S47"/>
  <c i="14" r="S47"/>
  <c i="12" r="S47"/>
  <c i="12" r="P47"/>
  <c i="12" r="T47"/>
  <c i="13" r="P47"/>
  <c i="13" r="T47"/>
  <c i="14" r="P47"/>
  <c i="14" r="T47"/>
  <c i="15" r="P47"/>
  <c i="15" r="T47"/>
  <c i="16" r="P47"/>
  <c i="16" r="T47"/>
  <c i="17" r="P47"/>
  <c i="17" r="T47"/>
  <c i="12" r="N47"/>
  <c i="12" r="R47"/>
  <c i="13" r="N47"/>
  <c i="13" r="R47"/>
  <c i="14" r="N47"/>
  <c i="14" r="R47"/>
  <c i="15" r="N47"/>
  <c i="15" r="R47"/>
  <c i="16" r="N47"/>
  <c i="16" r="R47"/>
  <c i="17" r="N47"/>
  <c i="17" r="R47"/>
  <c i="17" r="O47"/>
  <c i="15" r="O47"/>
  <c i="13" r="O47"/>
  <c i="18" r="S16"/>
  <c i="18" r="S33" s="1"/>
  <c i="7" r="S29"/>
  <c i="17" r="F28"/>
  <c i="17" r="B30"/>
  <c i="17" r="M47" s="1"/>
  <c i="16" r="F28"/>
  <c i="16" r="B30"/>
  <c i="16" r="M47" s="1"/>
  <c i="15" r="F28"/>
  <c i="15" r="B30"/>
  <c i="15" r="M47" s="1"/>
  <c i="14" r="F28"/>
  <c i="14" r="B30"/>
  <c i="14" r="M47" s="1"/>
  <c i="13" r="F28"/>
  <c i="13" r="B30"/>
  <c i="13" r="M47" s="1"/>
  <c i="12" r="F28"/>
  <c i="12" r="B30"/>
  <c i="12" r="M47" s="1"/>
  <c i="11" r="F28"/>
  <c i="11" r="B30"/>
  <c i="11" r="M47" s="1"/>
  <c i="7" r="F28"/>
  <c i="7" r="B30"/>
  <c i="7" r="M47" s="1"/>
  <c i="17" r="M28"/>
  <c i="17" r="Q28"/>
  <c i="17" r="M29"/>
  <c i="17" r="M46" s="1"/>
  <c i="17" r="Q29"/>
  <c i="16" r="M28"/>
  <c i="16" r="Q28"/>
  <c i="16" r="M29"/>
  <c i="16" r="M46" s="1"/>
  <c i="16" r="Q29"/>
  <c i="15" r="M28"/>
  <c i="15" r="Q28"/>
  <c i="15" r="M29"/>
  <c i="15" r="M46" s="1"/>
  <c i="15" r="Q29"/>
  <c i="14" r="M28"/>
  <c i="14" r="Q28"/>
  <c i="14" r="M29"/>
  <c i="14" r="M46" s="1"/>
  <c i="14" r="Q29"/>
  <c i="13" r="M28"/>
  <c i="13" r="Q28"/>
  <c i="13" r="M29"/>
  <c i="13" r="M46" s="1"/>
  <c i="13" r="Q29"/>
  <c i="12" r="M28"/>
  <c i="12" r="Q28"/>
  <c i="12" r="M29"/>
  <c i="12" r="M46" s="1"/>
  <c i="12" r="Q29"/>
  <c i="11" r="M28"/>
  <c i="11" r="Q28"/>
  <c i="11" r="M29"/>
  <c i="11" r="M46" s="1"/>
  <c i="11" r="Q29"/>
  <c i="7" r="M28"/>
  <c i="7" r="Q28"/>
  <c i="7" r="M29"/>
  <c i="7" r="M46" s="1"/>
  <c i="7" r="Q29"/>
  <c i="17" r="D28"/>
  <c i="17" r="H28"/>
  <c i="17" r="D29"/>
  <c i="17" r="H29"/>
  <c i="17" r="S46" s="1"/>
  <c i="16" r="D28"/>
  <c i="16" r="H28"/>
  <c i="16" r="D29"/>
  <c i="16" r="O46" s="1"/>
  <c i="16" r="H29"/>
  <c i="15" r="D28"/>
  <c i="15" r="H28"/>
  <c i="15" r="D29"/>
  <c i="15" r="H29"/>
  <c i="15" r="S46" s="1"/>
  <c i="14" r="D28"/>
  <c i="14" r="H28"/>
  <c i="14" r="D29"/>
  <c i="14" r="O46" s="1"/>
  <c i="14" r="H29"/>
  <c i="13" r="D28"/>
  <c i="13" r="H28"/>
  <c i="13" r="D29"/>
  <c i="13" r="H29"/>
  <c i="13" r="S46" s="1"/>
  <c i="12" r="D28"/>
  <c i="12" r="H28"/>
  <c i="12" r="D29"/>
  <c i="12" r="O46" s="1"/>
  <c i="12" r="H29"/>
  <c i="11" r="D28"/>
  <c i="11" r="H28"/>
  <c i="11" r="D29"/>
  <c i="11" r="H29"/>
  <c i="11" r="D30"/>
  <c i="11" r="H30"/>
  <c i="7" r="D28"/>
  <c i="7" r="H28"/>
  <c i="7" r="D29"/>
  <c i="7" r="H29"/>
  <c i="7" r="D30"/>
  <c i="7" r="H30"/>
  <c i="7" r="S28"/>
  <c i="17" r="B28"/>
  <c i="17" r="F29"/>
  <c i="16" r="B28"/>
  <c i="16" r="F29"/>
  <c i="15" r="B28"/>
  <c i="15" r="F29"/>
  <c i="14" r="B28"/>
  <c i="14" r="F29"/>
  <c i="13" r="B28"/>
  <c i="13" r="F29"/>
  <c i="12" r="B28"/>
  <c i="12" r="F29"/>
  <c i="11" r="B28"/>
  <c i="11" r="F29"/>
  <c i="7" r="B28"/>
  <c i="7" r="F29"/>
  <c i="18" r="U12"/>
  <c i="17" r="P28"/>
  <c i="17" r="T28"/>
  <c i="17" r="P29"/>
  <c i="17" r="T29"/>
  <c i="16" r="P28"/>
  <c i="16" r="T28"/>
  <c i="16" r="P29"/>
  <c i="16" r="T29"/>
  <c i="15" r="P28"/>
  <c i="15" r="T28"/>
  <c i="15" r="P29"/>
  <c i="15" r="T29"/>
  <c i="14" r="P28"/>
  <c i="14" r="T28"/>
  <c i="14" r="P29"/>
  <c i="14" r="T29"/>
  <c i="13" r="P28"/>
  <c i="13" r="T28"/>
  <c i="13" r="P29"/>
  <c i="13" r="T29"/>
  <c i="12" r="P28"/>
  <c i="12" r="T28"/>
  <c i="12" r="P29"/>
  <c i="12" r="T29"/>
  <c i="11" r="P28"/>
  <c i="11" r="T28"/>
  <c i="11" r="P29"/>
  <c i="11" r="T29"/>
  <c i="11" r="P30"/>
  <c i="11" r="T30"/>
  <c i="7" r="P28"/>
  <c i="7" r="T28"/>
  <c i="7" r="P29"/>
  <c i="7" r="T29"/>
  <c i="7" r="P30"/>
  <c i="7" r="T30"/>
  <c i="17" r="C28"/>
  <c i="17" r="G28"/>
  <c i="17" r="C29"/>
  <c i="17" r="G29"/>
  <c i="16" r="C28"/>
  <c i="16" r="G28"/>
  <c i="16" r="C29"/>
  <c i="16" r="G29"/>
  <c i="15" r="C28"/>
  <c i="15" r="G28"/>
  <c i="15" r="C29"/>
  <c i="15" r="G29"/>
  <c i="14" r="C28"/>
  <c i="14" r="G28"/>
  <c i="14" r="C29"/>
  <c i="14" r="G29"/>
  <c i="13" r="C28"/>
  <c i="13" r="G28"/>
  <c i="13" r="C29"/>
  <c i="13" r="G29"/>
  <c i="12" r="C28"/>
  <c i="12" r="G28"/>
  <c i="12" r="C29"/>
  <c i="12" r="G29"/>
  <c i="11" r="C28"/>
  <c i="11" r="G28"/>
  <c i="11" r="C29"/>
  <c i="11" r="G29"/>
  <c i="11" r="C30"/>
  <c i="11" r="G30"/>
  <c i="7" r="C28"/>
  <c i="7" r="G28"/>
  <c i="7" r="C29"/>
  <c i="7" r="G29"/>
  <c i="7" r="C30"/>
  <c i="7" r="G30"/>
  <c i="7" r="S30"/>
  <c i="17" r="N28"/>
  <c i="17" r="R28"/>
  <c i="17" r="N29"/>
  <c i="17" r="R29"/>
  <c i="16" r="N28"/>
  <c i="16" r="R28"/>
  <c i="16" r="N29"/>
  <c i="16" r="R29"/>
  <c i="15" r="N28"/>
  <c i="15" r="R28"/>
  <c i="15" r="N29"/>
  <c i="15" r="R29"/>
  <c i="14" r="N28"/>
  <c i="14" r="R28"/>
  <c i="14" r="N29"/>
  <c i="14" r="R29"/>
  <c i="13" r="N28"/>
  <c i="13" r="R28"/>
  <c i="13" r="N29"/>
  <c i="13" r="R29"/>
  <c i="12" r="N28"/>
  <c i="12" r="R28"/>
  <c i="12" r="N29"/>
  <c i="12" r="R29"/>
  <c i="11" r="N28"/>
  <c i="11" r="R28"/>
  <c i="11" r="N29"/>
  <c i="11" r="R29"/>
  <c i="11" r="N30"/>
  <c i="11" r="R30"/>
  <c i="7" r="N28"/>
  <c i="7" r="R28"/>
  <c i="7" r="N29"/>
  <c i="7" r="R29"/>
  <c i="7" r="N30"/>
  <c i="7" r="R30"/>
  <c i="17" r="E28"/>
  <c i="17" r="I28"/>
  <c i="17" r="E29"/>
  <c i="17" r="I29"/>
  <c i="16" r="E28"/>
  <c i="16" r="I28"/>
  <c i="16" r="E29"/>
  <c i="16" r="I29"/>
  <c i="15" r="E28"/>
  <c i="15" r="I28"/>
  <c i="15" r="E29"/>
  <c i="15" r="I29"/>
  <c i="14" r="E28"/>
  <c i="14" r="I28"/>
  <c i="14" r="E29"/>
  <c i="14" r="I29"/>
  <c i="13" r="E28"/>
  <c i="13" r="I28"/>
  <c i="13" r="E29"/>
  <c i="13" r="I29"/>
  <c i="12" r="E28"/>
  <c i="12" r="I28"/>
  <c i="12" r="E29"/>
  <c i="12" r="I29"/>
  <c i="11" r="E28"/>
  <c i="11" r="I28"/>
  <c i="11" r="E29"/>
  <c i="11" r="I29"/>
  <c i="11" r="E30"/>
  <c i="11" r="I30"/>
  <c i="7" r="E28"/>
  <c i="7" r="I28"/>
  <c i="7" r="E29"/>
  <c i="7" r="I29"/>
  <c i="7" r="E30"/>
  <c i="7" r="I30"/>
  <c i="18" r="T16"/>
  <c i="18" r="T33" s="1"/>
  <c i="18" r="Q16"/>
  <c i="18" r="Q33" s="1"/>
  <c i="18" r="O16"/>
  <c i="18" r="O33" s="1"/>
  <c i="12" r="C31"/>
  <c i="12" r="C25"/>
  <c i="12" r="C23"/>
  <c i="12" r="C32"/>
  <c i="12" r="C26"/>
  <c i="12" r="C33"/>
  <c i="12" r="C27"/>
  <c i="12" r="C24"/>
  <c i="12" r="C22"/>
  <c i="12" r="G31"/>
  <c i="12" r="G25"/>
  <c i="12" r="G23"/>
  <c i="12" r="G22"/>
  <c i="12" r="G32"/>
  <c i="12" r="G26"/>
  <c i="12" r="G33"/>
  <c i="12" r="G27"/>
  <c i="12" r="G24"/>
  <c i="12" r="N31"/>
  <c i="12" r="N25"/>
  <c i="12" r="N23"/>
  <c i="12" r="N32"/>
  <c i="12" r="N26"/>
  <c i="12" r="N33"/>
  <c i="12" r="N27"/>
  <c i="12" r="N24"/>
  <c i="12" r="N22"/>
  <c i="12" r="R31"/>
  <c i="12" r="R25"/>
  <c i="12" r="R23"/>
  <c i="12" r="R32"/>
  <c i="12" r="R26"/>
  <c i="12" r="R33"/>
  <c i="12" r="R27"/>
  <c i="12" r="R24"/>
  <c i="12" r="R22"/>
  <c i="13" r="C33"/>
  <c i="13" r="C27"/>
  <c i="13" r="C32"/>
  <c i="13" r="C25"/>
  <c i="13" r="C23"/>
  <c i="13" r="C31"/>
  <c i="13" r="C26"/>
  <c i="13" r="C24"/>
  <c i="13" r="C22"/>
  <c i="13" r="G33"/>
  <c i="13" r="G27"/>
  <c i="13" r="G31"/>
  <c i="13" r="G26"/>
  <c i="13" r="G25"/>
  <c i="13" r="G23"/>
  <c i="13" r="G24"/>
  <c i="13" r="G32"/>
  <c i="13" r="G22"/>
  <c i="13" r="N33"/>
  <c i="13" r="N27"/>
  <c i="13" r="N24"/>
  <c i="13" r="N23"/>
  <c i="13" r="N32"/>
  <c i="13" r="N22"/>
  <c i="13" r="N31"/>
  <c i="13" r="N26"/>
  <c i="13" r="N25"/>
  <c i="13" r="R33"/>
  <c i="13" r="R27"/>
  <c i="13" r="R24"/>
  <c i="13" r="R32"/>
  <c i="13" r="R22"/>
  <c i="13" r="R31"/>
  <c i="13" r="R26"/>
  <c i="13" r="R25"/>
  <c i="13" r="R23"/>
  <c i="14" r="C33"/>
  <c i="14" r="C27"/>
  <c i="14" r="C24"/>
  <c i="14" r="C31"/>
  <c i="14" r="C25"/>
  <c i="14" r="C32"/>
  <c i="14" r="C23"/>
  <c i="14" r="C22"/>
  <c i="14" r="C26"/>
  <c i="14" r="G33"/>
  <c i="14" r="G27"/>
  <c i="14" r="G24"/>
  <c i="14" r="G31"/>
  <c i="14" r="G25"/>
  <c i="14" r="G23"/>
  <c i="14" r="G26"/>
  <c i="14" r="G22"/>
  <c i="14" r="G32"/>
  <c i="14" r="N33"/>
  <c i="14" r="N27"/>
  <c i="14" r="N24"/>
  <c i="14" r="N31"/>
  <c i="14" r="N25"/>
  <c i="14" r="N23"/>
  <c i="14" r="N26"/>
  <c i="14" r="N22"/>
  <c i="14" r="N32"/>
  <c i="14" r="R33"/>
  <c i="14" r="R27"/>
  <c i="14" r="R24"/>
  <c i="14" r="R31"/>
  <c i="14" r="R25"/>
  <c i="14" r="R23"/>
  <c i="14" r="R22"/>
  <c i="14" r="R32"/>
  <c i="14" r="R26"/>
  <c i="15" r="C33"/>
  <c i="15" r="C27"/>
  <c i="15" r="C24"/>
  <c i="15" r="C31"/>
  <c i="15" r="C25"/>
  <c i="15" r="C23"/>
  <c i="15" r="C22"/>
  <c i="15" r="C32"/>
  <c i="15" r="C26"/>
  <c i="15" r="G33"/>
  <c i="15" r="G27"/>
  <c i="15" r="G24"/>
  <c i="15" r="G31"/>
  <c i="15" r="G25"/>
  <c i="15" r="G23"/>
  <c i="15" r="G26"/>
  <c i="15" r="G22"/>
  <c i="15" r="G32"/>
  <c i="15" r="N24"/>
  <c i="15" r="N32"/>
  <c i="15" r="N26"/>
  <c i="15" r="N23"/>
  <c i="15" r="N25"/>
  <c i="15" r="N27"/>
  <c i="15" r="N31"/>
  <c i="15" r="N22"/>
  <c i="15" r="N33"/>
  <c i="15" r="R24"/>
  <c i="15" r="R32"/>
  <c i="15" r="R26"/>
  <c i="15" r="R23"/>
  <c i="15" r="R31"/>
  <c i="15" r="R22"/>
  <c i="15" r="R33"/>
  <c i="15" r="R25"/>
  <c i="15" r="R27"/>
  <c i="16" r="C33"/>
  <c i="16" r="C27"/>
  <c i="16" r="C24"/>
  <c i="16" r="C31"/>
  <c i="16" r="C25"/>
  <c i="16" r="C23"/>
  <c i="16" r="C22"/>
  <c i="16" r="C32"/>
  <c i="16" r="C26"/>
  <c i="16" r="G33"/>
  <c i="16" r="G27"/>
  <c i="16" r="G24"/>
  <c i="16" r="G31"/>
  <c i="16" r="G25"/>
  <c i="16" r="G23"/>
  <c i="16" r="G26"/>
  <c i="16" r="G22"/>
  <c i="16" r="G32"/>
  <c i="16" r="N33"/>
  <c i="16" r="N27"/>
  <c i="16" r="N24"/>
  <c i="16" r="N31"/>
  <c i="16" r="N25"/>
  <c i="16" r="N23"/>
  <c i="16" r="N26"/>
  <c i="16" r="N22"/>
  <c i="16" r="N32"/>
  <c i="16" r="R33"/>
  <c i="16" r="R27"/>
  <c i="16" r="R24"/>
  <c i="16" r="R31"/>
  <c i="16" r="R25"/>
  <c i="16" r="R23"/>
  <c i="16" r="R22"/>
  <c i="16" r="R32"/>
  <c i="16" r="R26"/>
  <c i="17" r="C33"/>
  <c i="17" r="C27"/>
  <c i="17" r="C24"/>
  <c i="17" r="C31"/>
  <c i="17" r="C25"/>
  <c i="17" r="C23"/>
  <c i="17" r="C22"/>
  <c i="17" r="C32"/>
  <c i="17" r="C26"/>
  <c i="17" r="G33"/>
  <c i="17" r="G27"/>
  <c i="17" r="G24"/>
  <c i="17" r="G31"/>
  <c i="17" r="G25"/>
  <c i="17" r="G23"/>
  <c i="17" r="G26"/>
  <c i="17" r="G22"/>
  <c i="17" r="G32"/>
  <c i="17" r="N33"/>
  <c i="17" r="N27"/>
  <c i="17" r="N24"/>
  <c i="17" r="N31"/>
  <c i="17" r="N25"/>
  <c i="17" r="N23"/>
  <c i="17" r="N26"/>
  <c i="17" r="N22"/>
  <c i="17" r="N32"/>
  <c i="17" r="R33"/>
  <c i="17" r="R27"/>
  <c i="17" r="R24"/>
  <c i="17" r="R31"/>
  <c i="17" r="R25"/>
  <c i="17" r="R23"/>
  <c i="17" r="R22"/>
  <c i="17" r="R32"/>
  <c i="17" r="R26"/>
  <c i="7" r="E22"/>
  <c i="7" r="I22"/>
  <c i="7" r="D23"/>
  <c i="7" r="H23"/>
  <c i="7" r="B24"/>
  <c i="7" r="F24"/>
  <c i="7" r="D25"/>
  <c i="7" r="H25"/>
  <c i="7" r="C26"/>
  <c i="7" r="G26"/>
  <c i="7" r="B27"/>
  <c i="7" r="F27"/>
  <c i="7" r="D31"/>
  <c i="7" r="H31"/>
  <c i="7" r="C32"/>
  <c i="7" r="G32"/>
  <c i="7" r="B33"/>
  <c i="7" r="F33"/>
  <c i="7" r="P22"/>
  <c i="7" r="T22"/>
  <c i="7" r="O23"/>
  <c i="7" r="S23"/>
  <c i="7" r="M24"/>
  <c i="7" r="Q24"/>
  <c i="7" r="O25"/>
  <c i="7" r="S25"/>
  <c i="7" r="N26"/>
  <c i="7" r="R26"/>
  <c i="7" r="M27"/>
  <c i="7" r="Q27"/>
  <c i="7" r="O31"/>
  <c i="7" r="S31"/>
  <c i="7" r="N32"/>
  <c i="7" r="R32"/>
  <c i="7" r="M33"/>
  <c i="7" r="Q33"/>
  <c i="11" r="E22"/>
  <c i="11" r="I22"/>
  <c i="11" r="D23"/>
  <c i="11" r="H23"/>
  <c i="11" r="B24"/>
  <c i="11" r="F24"/>
  <c i="11" r="D25"/>
  <c i="11" r="H25"/>
  <c i="11" r="C26"/>
  <c i="11" r="G26"/>
  <c i="11" r="B27"/>
  <c i="11" r="F27"/>
  <c i="11" r="D31"/>
  <c i="11" r="H31"/>
  <c i="11" r="C32"/>
  <c i="11" r="G32"/>
  <c i="11" r="B33"/>
  <c i="11" r="F33"/>
  <c i="11" r="P22"/>
  <c i="11" r="T22"/>
  <c i="11" r="O23"/>
  <c i="11" r="S23"/>
  <c i="11" r="M24"/>
  <c i="11" r="Q24"/>
  <c i="11" r="O25"/>
  <c i="11" r="S25"/>
  <c i="11" r="N26"/>
  <c i="11" r="R26"/>
  <c i="11" r="M27"/>
  <c i="11" r="Q27"/>
  <c i="11" r="O31"/>
  <c i="11" r="S31"/>
  <c i="11" r="N32"/>
  <c i="11" r="R32"/>
  <c i="11" r="M33"/>
  <c i="11" r="Q33"/>
  <c i="12" r="F32"/>
  <c i="12" r="F26"/>
  <c i="12" r="F33"/>
  <c i="12" r="F27"/>
  <c i="12" r="F24"/>
  <c i="12" r="F23"/>
  <c i="12" r="F22"/>
  <c i="12" r="F25"/>
  <c i="12" r="F31"/>
  <c i="12" r="M32"/>
  <c i="12" r="M26"/>
  <c i="12" r="M33"/>
  <c i="12" r="M27"/>
  <c i="12" r="M24"/>
  <c i="12" r="M22"/>
  <c i="12" r="M31"/>
  <c i="12" r="M25"/>
  <c i="12" r="M23"/>
  <c i="12" r="Q32"/>
  <c i="12" r="Q26"/>
  <c i="12" r="Q33"/>
  <c i="12" r="Q27"/>
  <c i="12" r="Q24"/>
  <c i="12" r="Q22"/>
  <c i="12" r="Q31"/>
  <c i="12" r="Q25"/>
  <c i="12" r="Q23"/>
  <c i="13" r="B31"/>
  <c i="13" r="B26"/>
  <c i="13" r="B24"/>
  <c i="13" r="B33"/>
  <c i="13" r="B22"/>
  <c i="13" r="B32"/>
  <c i="13" r="B27"/>
  <c i="13" r="B25"/>
  <c i="13" r="B23"/>
  <c i="13" r="F33"/>
  <c i="13" r="F24"/>
  <c i="13" r="F32"/>
  <c i="13" r="F27"/>
  <c i="13" r="F22"/>
  <c i="13" r="F31"/>
  <c i="13" r="F26"/>
  <c i="13" r="F25"/>
  <c i="13" r="F23"/>
  <c i="13" r="M22"/>
  <c i="13" r="M32"/>
  <c i="13" r="M27"/>
  <c i="13" r="M31"/>
  <c i="13" r="M26"/>
  <c i="13" r="M24"/>
  <c i="13" r="M25"/>
  <c i="13" r="M33"/>
  <c i="13" r="M23"/>
  <c i="13" r="Q22"/>
  <c i="13" r="Q31"/>
  <c i="13" r="Q26"/>
  <c i="13" r="Q24"/>
  <c i="13" r="Q25"/>
  <c i="13" r="Q33"/>
  <c i="13" r="Q23"/>
  <c i="13" r="Q32"/>
  <c i="13" r="Q27"/>
  <c i="14" r="B22"/>
  <c i="14" r="B32"/>
  <c i="14" r="B26"/>
  <c i="14" r="B31"/>
  <c i="14" r="B23"/>
  <c i="14" r="B33"/>
  <c i="14" r="B25"/>
  <c i="14" r="B24"/>
  <c i="14" r="B27"/>
  <c i="14" r="F22"/>
  <c i="14" r="F32"/>
  <c i="14" r="F26"/>
  <c i="14" r="F25"/>
  <c i="14" r="F27"/>
  <c i="14" r="F24"/>
  <c i="14" r="F31"/>
  <c i="14" r="F33"/>
  <c i="14" r="F23"/>
  <c i="14" r="M22"/>
  <c i="14" r="M32"/>
  <c i="14" r="M26"/>
  <c i="14" r="M25"/>
  <c i="14" r="M27"/>
  <c i="14" r="M31"/>
  <c i="14" r="M23"/>
  <c i="14" r="M33"/>
  <c i="14" r="M24"/>
  <c i="14" r="Q22"/>
  <c i="14" r="Q32"/>
  <c i="14" r="Q26"/>
  <c i="14" r="Q31"/>
  <c i="14" r="Q23"/>
  <c i="14" r="Q33"/>
  <c i="14" r="Q24"/>
  <c i="14" r="Q25"/>
  <c i="14" r="Q27"/>
  <c i="15" r="B22"/>
  <c i="15" r="B32"/>
  <c i="15" r="B26"/>
  <c i="15" r="B31"/>
  <c i="15" r="B23"/>
  <c i="15" r="B33"/>
  <c i="15" r="B24"/>
  <c i="15" r="B25"/>
  <c i="15" r="B27"/>
  <c i="15" r="F22"/>
  <c i="15" r="F32"/>
  <c i="15" r="F26"/>
  <c i="15" r="F25"/>
  <c i="15" r="F27"/>
  <c i="15" r="F31"/>
  <c i="15" r="F23"/>
  <c i="15" r="F33"/>
  <c i="15" r="F24"/>
  <c i="15" r="M31"/>
  <c i="15" r="M25"/>
  <c i="15" r="M22"/>
  <c i="15" r="M33"/>
  <c i="15" r="M27"/>
  <c i="15" r="M26"/>
  <c i="15" r="M32"/>
  <c i="15" r="M23"/>
  <c i="15" r="M24"/>
  <c i="15" r="Q31"/>
  <c i="15" r="Q25"/>
  <c i="15" r="Q22"/>
  <c i="15" r="Q33"/>
  <c i="15" r="Q27"/>
  <c i="15" r="Q32"/>
  <c i="15" r="Q23"/>
  <c i="15" r="Q24"/>
  <c i="15" r="Q26"/>
  <c i="16" r="B22"/>
  <c i="16" r="B32"/>
  <c i="16" r="B26"/>
  <c i="16" r="B31"/>
  <c i="16" r="B23"/>
  <c i="16" r="B33"/>
  <c i="16" r="B24"/>
  <c i="16" r="B25"/>
  <c i="16" r="B27"/>
  <c i="16" r="F22"/>
  <c i="16" r="F32"/>
  <c i="16" r="F26"/>
  <c i="16" r="F25"/>
  <c i="16" r="F27"/>
  <c i="16" r="F31"/>
  <c i="16" r="F23"/>
  <c i="16" r="F33"/>
  <c i="16" r="F24"/>
  <c i="16" r="M22"/>
  <c i="16" r="M32"/>
  <c i="16" r="M26"/>
  <c i="16" r="M25"/>
  <c i="16" r="M27"/>
  <c i="16" r="M31"/>
  <c i="16" r="M23"/>
  <c i="16" r="M33"/>
  <c i="16" r="M24"/>
  <c i="16" r="Q22"/>
  <c i="16" r="Q32"/>
  <c i="16" r="Q26"/>
  <c i="16" r="Q31"/>
  <c i="16" r="Q23"/>
  <c i="16" r="Q33"/>
  <c i="16" r="Q24"/>
  <c i="16" r="Q25"/>
  <c i="16" r="Q27"/>
  <c i="17" r="B22"/>
  <c i="17" r="B32"/>
  <c i="17" r="B26"/>
  <c i="17" r="B31"/>
  <c i="17" r="B23"/>
  <c i="17" r="B33"/>
  <c i="17" r="B24"/>
  <c i="17" r="B25"/>
  <c i="17" r="B27"/>
  <c i="17" r="F22"/>
  <c i="17" r="F32"/>
  <c i="17" r="F26"/>
  <c i="17" r="F25"/>
  <c i="17" r="F27"/>
  <c i="17" r="F31"/>
  <c i="17" r="F23"/>
  <c i="17" r="F33"/>
  <c i="17" r="F24"/>
  <c i="17" r="M22"/>
  <c i="17" r="M32"/>
  <c i="17" r="M26"/>
  <c i="17" r="M25"/>
  <c i="17" r="M27"/>
  <c i="17" r="M31"/>
  <c i="17" r="M23"/>
  <c i="17" r="M33"/>
  <c i="17" r="M24"/>
  <c i="17" r="Q22"/>
  <c i="17" r="Q32"/>
  <c i="17" r="Q26"/>
  <c i="17" r="Q31"/>
  <c i="17" r="Q23"/>
  <c i="17" r="Q33"/>
  <c i="17" r="Q24"/>
  <c i="17" r="Q25"/>
  <c i="17" r="Q27"/>
  <c i="7" r="D22"/>
  <c i="7" r="H22"/>
  <c i="7" r="C23"/>
  <c i="7" r="G23"/>
  <c i="7" r="E24"/>
  <c i="7" r="I24"/>
  <c i="7" r="C25"/>
  <c i="7" r="G25"/>
  <c i="7" r="B26"/>
  <c i="7" r="F26"/>
  <c i="7" r="E27"/>
  <c i="7" r="I27"/>
  <c i="7" r="C31"/>
  <c i="7" r="G31"/>
  <c i="7" r="B32"/>
  <c i="7" r="F32"/>
  <c i="7" r="E33"/>
  <c i="7" r="I33"/>
  <c i="7" r="O22"/>
  <c i="7" r="S22"/>
  <c i="7" r="N23"/>
  <c i="7" r="R23"/>
  <c i="7" r="P24"/>
  <c i="7" r="T24"/>
  <c i="7" r="N25"/>
  <c i="7" r="R25"/>
  <c i="7" r="M26"/>
  <c i="7" r="Q26"/>
  <c i="7" r="P27"/>
  <c i="7" r="T27"/>
  <c i="7" r="N31"/>
  <c i="7" r="R31"/>
  <c i="7" r="M32"/>
  <c i="7" r="Q32"/>
  <c i="7" r="P33"/>
  <c i="7" r="T33"/>
  <c i="11" r="D22"/>
  <c i="11" r="H22"/>
  <c i="11" r="C23"/>
  <c i="11" r="G23"/>
  <c i="11" r="E24"/>
  <c i="11" r="I24"/>
  <c i="11" r="C25"/>
  <c i="11" r="G25"/>
  <c i="11" r="B26"/>
  <c i="11" r="F26"/>
  <c i="11" r="E27"/>
  <c i="11" r="I27"/>
  <c i="11" r="C31"/>
  <c i="11" r="G31"/>
  <c i="11" r="B32"/>
  <c i="11" r="F32"/>
  <c i="11" r="E33"/>
  <c i="11" r="I33"/>
  <c i="11" r="O22"/>
  <c i="11" r="S22"/>
  <c i="11" r="N23"/>
  <c i="11" r="R23"/>
  <c i="11" r="P24"/>
  <c i="11" r="T24"/>
  <c i="11" r="N25"/>
  <c i="11" r="R25"/>
  <c i="11" r="M26"/>
  <c i="11" r="Q26"/>
  <c i="11" r="P27"/>
  <c i="11" r="T27"/>
  <c i="11" r="N31"/>
  <c i="11" r="R31"/>
  <c i="11" r="M32"/>
  <c i="11" r="Q32"/>
  <c i="11" r="P33"/>
  <c i="11" r="T33"/>
  <c i="12" r="B32"/>
  <c i="12" r="B26"/>
  <c i="12" r="B24"/>
  <c i="12" r="B33"/>
  <c i="12" r="B27"/>
  <c i="12" r="B22"/>
  <c i="12" r="B23"/>
  <c i="12" r="B31"/>
  <c i="12" r="B25"/>
  <c i="12" r="E33"/>
  <c i="12" r="E27"/>
  <c i="12" r="E24"/>
  <c i="12" r="E22"/>
  <c i="12" r="E31"/>
  <c i="12" r="E25"/>
  <c i="12" r="E23"/>
  <c i="12" r="E32"/>
  <c i="12" r="E26"/>
  <c i="12" r="I33"/>
  <c i="12" r="I27"/>
  <c i="12" r="I24"/>
  <c i="12" r="I22"/>
  <c i="12" r="I31"/>
  <c i="12" r="I25"/>
  <c i="12" r="I23"/>
  <c i="12" r="I26"/>
  <c i="12" r="I32"/>
  <c i="12" r="P33"/>
  <c i="12" r="P27"/>
  <c i="12" r="P24"/>
  <c i="12" r="P22"/>
  <c i="12" r="P31"/>
  <c i="12" r="P25"/>
  <c i="12" r="P23"/>
  <c i="12" r="P32"/>
  <c i="12" r="P26"/>
  <c i="12" r="T33"/>
  <c i="12" r="T27"/>
  <c i="12" r="T24"/>
  <c i="12" r="T22"/>
  <c i="12" r="T31"/>
  <c i="12" r="T25"/>
  <c i="12" r="T23"/>
  <c i="12" r="T32"/>
  <c i="12" r="T26"/>
  <c i="13" r="E31"/>
  <c i="13" r="E33"/>
  <c i="13" r="E24"/>
  <c i="13" r="E32"/>
  <c i="13" r="E27"/>
  <c i="13" r="E22"/>
  <c i="13" r="E26"/>
  <c i="13" r="E25"/>
  <c i="13" r="E23"/>
  <c i="13" r="I31"/>
  <c i="13" r="I32"/>
  <c i="13" r="I27"/>
  <c i="13" r="I24"/>
  <c i="13" r="I26"/>
  <c i="13" r="I22"/>
  <c i="13" r="I25"/>
  <c i="13" r="I23"/>
  <c i="13" r="I33"/>
  <c i="13" r="P31"/>
  <c i="13" r="P25"/>
  <c i="13" r="P23"/>
  <c i="13" r="P33"/>
  <c i="13" r="P32"/>
  <c i="13" r="P27"/>
  <c i="13" r="P26"/>
  <c i="13" r="P24"/>
  <c i="13" r="P22"/>
  <c i="13" r="T31"/>
  <c i="13" r="T25"/>
  <c i="13" r="T23"/>
  <c i="13" r="T33"/>
  <c i="13" r="T32"/>
  <c i="13" r="T27"/>
  <c i="13" r="T26"/>
  <c i="13" r="T24"/>
  <c i="13" r="T22"/>
  <c i="14" r="E31"/>
  <c i="14" r="E25"/>
  <c i="14" r="E23"/>
  <c i="14" r="E33"/>
  <c i="14" r="E27"/>
  <c i="14" r="E26"/>
  <c i="14" r="E24"/>
  <c i="14" r="E22"/>
  <c i="14" r="E32"/>
  <c i="14" r="I31"/>
  <c i="14" r="I25"/>
  <c i="14" r="I23"/>
  <c i="14" r="I33"/>
  <c i="14" r="I27"/>
  <c i="14" r="I32"/>
  <c i="14" r="I26"/>
  <c i="14" r="I24"/>
  <c i="14" r="I22"/>
  <c i="14" r="P31"/>
  <c i="14" r="P25"/>
  <c i="14" r="P23"/>
  <c i="14" r="P33"/>
  <c i="14" r="P27"/>
  <c i="14" r="P24"/>
  <c i="14" r="P32"/>
  <c i="14" r="P26"/>
  <c i="14" r="P22"/>
  <c i="14" r="T31"/>
  <c i="14" r="T25"/>
  <c i="14" r="T23"/>
  <c i="14" r="T33"/>
  <c i="14" r="T27"/>
  <c i="14" r="T24"/>
  <c i="14" r="T26"/>
  <c i="14" r="T22"/>
  <c i="14" r="T32"/>
  <c i="15" r="E31"/>
  <c i="15" r="E25"/>
  <c i="15" r="E23"/>
  <c i="15" r="E33"/>
  <c i="15" r="E27"/>
  <c i="15" r="E24"/>
  <c i="15" r="E26"/>
  <c i="15" r="E22"/>
  <c i="15" r="E32"/>
  <c i="15" r="I31"/>
  <c i="15" r="I25"/>
  <c i="15" r="I23"/>
  <c i="15" r="I33"/>
  <c i="15" r="I27"/>
  <c i="15" r="I24"/>
  <c i="15" r="I32"/>
  <c i="15" r="I26"/>
  <c i="15" r="I22"/>
  <c i="15" r="P32"/>
  <c i="15" r="P26"/>
  <c i="15" r="P23"/>
  <c i="15" r="P24"/>
  <c i="15" r="P33"/>
  <c i="15" r="P25"/>
  <c i="15" r="P27"/>
  <c i="15" r="P31"/>
  <c i="15" r="P22"/>
  <c i="15" r="T32"/>
  <c i="15" r="T26"/>
  <c i="15" r="T23"/>
  <c i="15" r="T24"/>
  <c i="15" r="T27"/>
  <c i="15" r="T31"/>
  <c i="15" r="T22"/>
  <c i="15" r="T33"/>
  <c i="15" r="T25"/>
  <c i="16" r="E31"/>
  <c i="16" r="E25"/>
  <c i="16" r="E23"/>
  <c i="16" r="E33"/>
  <c i="16" r="E27"/>
  <c i="16" r="E24"/>
  <c i="16" r="E26"/>
  <c i="16" r="E22"/>
  <c i="16" r="E32"/>
  <c i="16" r="I31"/>
  <c i="16" r="I25"/>
  <c i="16" r="I23"/>
  <c i="16" r="I33"/>
  <c i="16" r="I27"/>
  <c i="16" r="I24"/>
  <c i="16" r="I32"/>
  <c i="16" r="I26"/>
  <c i="16" r="I22"/>
  <c i="16" r="P31"/>
  <c i="16" r="P25"/>
  <c i="16" r="P23"/>
  <c i="16" r="P33"/>
  <c i="16" r="P27"/>
  <c i="16" r="P24"/>
  <c i="16" r="P32"/>
  <c i="16" r="P26"/>
  <c i="16" r="P22"/>
  <c i="16" r="T31"/>
  <c i="16" r="T25"/>
  <c i="16" r="T23"/>
  <c i="16" r="T33"/>
  <c i="16" r="T27"/>
  <c i="16" r="T24"/>
  <c i="16" r="T26"/>
  <c i="16" r="T22"/>
  <c i="16" r="T32"/>
  <c i="17" r="E31"/>
  <c i="17" r="E25"/>
  <c i="17" r="E23"/>
  <c i="17" r="E33"/>
  <c i="17" r="E27"/>
  <c i="17" r="E24"/>
  <c i="17" r="E26"/>
  <c i="17" r="E22"/>
  <c i="17" r="E32"/>
  <c i="17" r="I31"/>
  <c i="17" r="I25"/>
  <c i="17" r="I23"/>
  <c i="17" r="I33"/>
  <c i="17" r="I27"/>
  <c i="17" r="I24"/>
  <c i="17" r="I32"/>
  <c i="17" r="I26"/>
  <c i="17" r="I22"/>
  <c i="17" r="P31"/>
  <c i="17" r="P25"/>
  <c i="17" r="P23"/>
  <c i="17" r="P33"/>
  <c i="17" r="P27"/>
  <c i="17" r="P24"/>
  <c i="17" r="P32"/>
  <c i="17" r="P26"/>
  <c i="17" r="P22"/>
  <c i="17" r="T31"/>
  <c i="17" r="T25"/>
  <c i="17" r="T23"/>
  <c i="17" r="T33"/>
  <c i="17" r="T27"/>
  <c i="17" r="T24"/>
  <c i="17" r="T26"/>
  <c i="17" r="T22"/>
  <c i="17" r="T32"/>
  <c i="7" r="C22"/>
  <c i="7" r="G22"/>
  <c i="7" r="B23"/>
  <c i="7" r="F23"/>
  <c i="7" r="D24"/>
  <c i="7" r="H24"/>
  <c i="7" r="B25"/>
  <c i="7" r="F25"/>
  <c i="7" r="E26"/>
  <c i="7" r="I26"/>
  <c i="7" r="D27"/>
  <c i="7" r="H27"/>
  <c i="7" r="B31"/>
  <c i="7" r="F31"/>
  <c i="7" r="E32"/>
  <c i="7" r="I32"/>
  <c i="7" r="D33"/>
  <c i="7" r="H33"/>
  <c i="7" r="N22"/>
  <c i="7" r="R22"/>
  <c i="7" r="M23"/>
  <c i="7" r="Q23"/>
  <c i="7" r="O24"/>
  <c i="7" r="S24"/>
  <c i="7" r="M25"/>
  <c i="7" r="Q25"/>
  <c i="7" r="P26"/>
  <c i="7" r="T26"/>
  <c i="7" r="O27"/>
  <c i="7" r="S27"/>
  <c i="7" r="M31"/>
  <c i="7" r="Q31"/>
  <c i="7" r="P32"/>
  <c i="7" r="T32"/>
  <c i="7" r="O33"/>
  <c i="7" r="S33"/>
  <c i="11" r="C22"/>
  <c i="11" r="G22"/>
  <c i="11" r="B23"/>
  <c i="11" r="F23"/>
  <c i="11" r="D24"/>
  <c i="11" r="H24"/>
  <c i="11" r="B25"/>
  <c i="11" r="F25"/>
  <c i="11" r="E26"/>
  <c i="11" r="I26"/>
  <c i="11" r="D27"/>
  <c i="11" r="H27"/>
  <c i="11" r="B31"/>
  <c i="11" r="F31"/>
  <c i="11" r="E32"/>
  <c i="11" r="I32"/>
  <c i="11" r="D33"/>
  <c i="11" r="H33"/>
  <c i="11" r="N22"/>
  <c i="11" r="R22"/>
  <c i="11" r="M23"/>
  <c i="11" r="Q23"/>
  <c i="11" r="O24"/>
  <c i="11" r="S24"/>
  <c i="11" r="M25"/>
  <c i="11" r="Q25"/>
  <c i="11" r="P26"/>
  <c i="11" r="T26"/>
  <c i="11" r="O27"/>
  <c i="11" r="S27"/>
  <c i="11" r="M31"/>
  <c i="11" r="Q31"/>
  <c i="11" r="P32"/>
  <c i="11" r="T32"/>
  <c i="11" r="O33"/>
  <c i="11" r="S33"/>
  <c i="12" r="D22"/>
  <c i="12" r="D31"/>
  <c i="12" r="D25"/>
  <c i="12" r="D23"/>
  <c i="12" r="D32"/>
  <c i="12" r="D26"/>
  <c i="12" r="D33"/>
  <c i="12" r="D27"/>
  <c i="12" r="D24"/>
  <c i="12" r="H22"/>
  <c i="12" r="H23"/>
  <c i="12" r="H31"/>
  <c i="12" r="H25"/>
  <c i="12" r="H24"/>
  <c i="12" r="H32"/>
  <c i="12" r="H26"/>
  <c i="12" r="H33"/>
  <c i="12" r="H27"/>
  <c i="12" r="O22"/>
  <c i="12" r="O31"/>
  <c i="12" r="O25"/>
  <c i="12" r="O23"/>
  <c i="12" r="O32"/>
  <c i="12" r="O26"/>
  <c i="12" r="O33"/>
  <c i="12" r="O27"/>
  <c i="12" r="O24"/>
  <c i="12" r="S22"/>
  <c i="12" r="S31"/>
  <c i="12" r="S25"/>
  <c i="12" r="S23"/>
  <c i="12" r="S32"/>
  <c i="12" r="S26"/>
  <c i="12" r="S33"/>
  <c i="12" r="S27"/>
  <c i="12" r="S24"/>
  <c i="13" r="D32"/>
  <c i="13" r="D26"/>
  <c i="13" r="D27"/>
  <c i="13" r="D22"/>
  <c i="13" r="D25"/>
  <c i="13" r="D23"/>
  <c i="13" r="D31"/>
  <c i="13" r="D33"/>
  <c i="13" r="D24"/>
  <c i="13" r="H32"/>
  <c i="13" r="H26"/>
  <c i="13" r="H22"/>
  <c i="13" r="H31"/>
  <c i="13" r="H25"/>
  <c i="13" r="H23"/>
  <c i="13" r="H33"/>
  <c i="13" r="H27"/>
  <c i="13" r="H24"/>
  <c i="13" r="O32"/>
  <c i="13" r="O26"/>
  <c i="13" r="O33"/>
  <c i="13" r="O25"/>
  <c i="13" r="O27"/>
  <c i="13" r="O23"/>
  <c i="13" r="O24"/>
  <c i="13" r="O22"/>
  <c i="13" r="O31"/>
  <c i="13" r="S32"/>
  <c i="13" r="S26"/>
  <c i="13" r="S27"/>
  <c i="13" r="S23"/>
  <c i="13" r="S24"/>
  <c i="13" r="S22"/>
  <c i="13" r="S31"/>
  <c i="13" r="S33"/>
  <c i="13" r="S25"/>
  <c i="14" r="D32"/>
  <c i="14" r="D26"/>
  <c i="14" r="D27"/>
  <c i="14" r="D31"/>
  <c i="14" r="D33"/>
  <c i="14" r="D23"/>
  <c i="14" r="D25"/>
  <c i="14" r="D24"/>
  <c i="14" r="D22"/>
  <c i="14" r="H32"/>
  <c i="14" r="H26"/>
  <c i="14" r="H33"/>
  <c i="14" r="H25"/>
  <c i="14" r="H23"/>
  <c i="14" r="H27"/>
  <c i="14" r="H24"/>
  <c i="14" r="H22"/>
  <c i="14" r="H31"/>
  <c i="14" r="O32"/>
  <c i="14" r="O26"/>
  <c i="14" r="O22"/>
  <c i="14" r="O33"/>
  <c i="14" r="O24"/>
  <c i="14" r="O25"/>
  <c i="14" r="O27"/>
  <c i="14" r="O31"/>
  <c i="14" r="O23"/>
  <c i="14" r="S32"/>
  <c i="14" r="S26"/>
  <c i="14" r="S22"/>
  <c i="14" r="S27"/>
  <c i="14" r="S31"/>
  <c i="14" r="S23"/>
  <c i="14" r="S33"/>
  <c i="14" r="S24"/>
  <c i="14" r="S25"/>
  <c i="15" r="D32"/>
  <c i="15" r="D26"/>
  <c i="15" r="D22"/>
  <c i="15" r="D27"/>
  <c i="15" r="D31"/>
  <c i="15" r="D23"/>
  <c i="15" r="D33"/>
  <c i="15" r="D24"/>
  <c i="15" r="D25"/>
  <c i="15" r="H32"/>
  <c i="15" r="H26"/>
  <c i="15" r="H22"/>
  <c i="15" r="H33"/>
  <c i="15" r="H24"/>
  <c i="15" r="H25"/>
  <c i="15" r="H27"/>
  <c i="15" r="H31"/>
  <c i="15" r="H23"/>
  <c i="15" r="O33"/>
  <c i="15" r="O27"/>
  <c i="15" r="O31"/>
  <c i="15" r="O25"/>
  <c i="15" r="O22"/>
  <c i="15" r="O24"/>
  <c i="15" r="O26"/>
  <c i="15" r="O32"/>
  <c i="15" r="O23"/>
  <c i="15" r="S33"/>
  <c i="15" r="S27"/>
  <c i="15" r="S31"/>
  <c i="15" r="S25"/>
  <c i="15" r="S22"/>
  <c i="15" r="S32"/>
  <c i="15" r="S23"/>
  <c i="15" r="S24"/>
  <c i="15" r="S26"/>
  <c i="16" r="D32"/>
  <c i="16" r="D26"/>
  <c i="16" r="D22"/>
  <c i="16" r="D27"/>
  <c i="16" r="D31"/>
  <c i="16" r="D23"/>
  <c i="16" r="D33"/>
  <c i="16" r="D24"/>
  <c i="16" r="D25"/>
  <c i="16" r="H32"/>
  <c i="16" r="H26"/>
  <c i="16" r="H22"/>
  <c i="16" r="H33"/>
  <c i="16" r="H24"/>
  <c i="16" r="H25"/>
  <c i="16" r="H27"/>
  <c i="16" r="H31"/>
  <c i="16" r="H23"/>
  <c i="16" r="O32"/>
  <c i="16" r="O26"/>
  <c i="16" r="O22"/>
  <c i="16" r="O33"/>
  <c i="16" r="O24"/>
  <c i="16" r="O25"/>
  <c i="16" r="O27"/>
  <c i="16" r="O31"/>
  <c i="16" r="O23"/>
  <c i="16" r="S32"/>
  <c i="16" r="S26"/>
  <c i="16" r="S22"/>
  <c i="16" r="S27"/>
  <c i="16" r="S31"/>
  <c i="16" r="S23"/>
  <c i="16" r="S33"/>
  <c i="16" r="S24"/>
  <c i="16" r="S25"/>
  <c i="17" r="D32"/>
  <c i="17" r="D26"/>
  <c i="17" r="D22"/>
  <c i="17" r="D27"/>
  <c i="17" r="D31"/>
  <c i="17" r="D23"/>
  <c i="17" r="D33"/>
  <c i="17" r="D24"/>
  <c i="17" r="D25"/>
  <c i="17" r="H32"/>
  <c i="17" r="H26"/>
  <c i="17" r="H22"/>
  <c i="17" r="H33"/>
  <c i="17" r="H24"/>
  <c i="17" r="H25"/>
  <c i="17" r="H27"/>
  <c i="17" r="H31"/>
  <c i="17" r="H23"/>
  <c i="17" r="O32"/>
  <c i="17" r="O26"/>
  <c i="17" r="O22"/>
  <c i="17" r="O33"/>
  <c i="17" r="O24"/>
  <c i="17" r="O25"/>
  <c i="17" r="O27"/>
  <c i="17" r="O31"/>
  <c i="17" r="O23"/>
  <c i="17" r="S32"/>
  <c i="17" r="S26"/>
  <c i="17" r="S22"/>
  <c i="17" r="S27"/>
  <c i="17" r="S31"/>
  <c i="17" r="S23"/>
  <c i="17" r="S33"/>
  <c i="17" r="S24"/>
  <c i="17" r="S25"/>
  <c i="7" r="B22"/>
  <c i="7" r="F22"/>
  <c i="7" r="E23"/>
  <c i="7" r="I23"/>
  <c i="7" r="C24"/>
  <c i="7" r="G24"/>
  <c i="7" r="E25"/>
  <c i="7" r="I25"/>
  <c i="7" r="D26"/>
  <c i="7" r="H26"/>
  <c i="7" r="C27"/>
  <c i="7" r="G27"/>
  <c i="7" r="M22"/>
  <c i="7" r="Q22"/>
  <c i="7" r="P23"/>
  <c i="7" r="T23"/>
  <c i="7" r="N24"/>
  <c i="7" r="R24"/>
  <c i="7" r="P25"/>
  <c i="7" r="T25"/>
  <c i="7" r="O26"/>
  <c i="7" r="S26"/>
  <c i="7" r="N27"/>
  <c i="7" r="R27"/>
  <c i="11" r="B22"/>
  <c i="11" r="F22"/>
  <c i="11" r="E23"/>
  <c i="11" r="I23"/>
  <c i="11" r="C24"/>
  <c i="11" r="G24"/>
  <c i="11" r="E25"/>
  <c i="11" r="I25"/>
  <c i="11" r="D26"/>
  <c i="11" r="H26"/>
  <c i="11" r="C27"/>
  <c i="11" r="G27"/>
  <c i="11" r="M22"/>
  <c i="11" r="Q22"/>
  <c i="11" r="P23"/>
  <c i="11" r="T23"/>
  <c i="11" r="N24"/>
  <c i="11" r="R24"/>
  <c i="11" r="P25"/>
  <c i="11" r="T25"/>
  <c i="11" r="O26"/>
  <c i="11" r="S26"/>
  <c i="11" r="N27"/>
  <c i="11" r="R27"/>
  <c i="7" r="J16"/>
  <c i="7" r="J29" s="1"/>
  <c i="18" r="U5"/>
  <c i="18" r="U14"/>
  <c i="18" r="P16"/>
  <c i="18" r="P33" s="1"/>
  <c i="18" r="D16"/>
  <c i="18" r="D33" s="1"/>
  <c i="18" r="U6"/>
  <c i="18" r="U7"/>
  <c i="18" r="U8"/>
  <c i="18" r="U9"/>
  <c i="18" r="U10"/>
  <c i="18" r="U15"/>
  <c i="18" r="J6"/>
  <c i="18" r="J7"/>
  <c i="18" r="J8"/>
  <c i="18" r="J9"/>
  <c i="18" r="J10"/>
  <c i="18" r="J14"/>
  <c i="18" r="J15"/>
  <c i="18" r="H16"/>
  <c i="18" r="H33" s="1"/>
  <c i="18" r="J5"/>
  <c i="17" r="J16"/>
  <c i="17" r="J28" s="1"/>
  <c i="17" r="U16"/>
  <c i="17" r="U26" s="1"/>
  <c i="16" r="J16"/>
  <c i="16" r="J29" s="1"/>
  <c i="16" r="U16"/>
  <c i="15" r="J16"/>
  <c i="15" r="U16"/>
  <c i="14" r="J16"/>
  <c i="14" r="J29" s="1"/>
  <c i="14" r="U16"/>
  <c i="14" r="U30" s="1"/>
  <c i="13" r="J16"/>
  <c i="13" r="J30" s="1"/>
  <c i="13" r="U16"/>
  <c i="13" r="U26" s="1"/>
  <c i="12" r="J16"/>
  <c i="12" r="J30" s="1"/>
  <c i="12" r="U16"/>
  <c i="11" r="J16"/>
  <c i="11" r="J22" s="1"/>
  <c i="11" r="U16"/>
  <c i="11" r="U30" s="1"/>
  <c i="7" r="U16"/>
  <c i="7" r="U30" s="1"/>
  <c i="13" l="1" r="S45"/>
  <c i="18" r="N32"/>
  <c i="18" r="N22"/>
  <c i="18" r="G27"/>
  <c i="18" r="M31"/>
  <c i="18" r="M25"/>
  <c i="18" r="N25"/>
  <c i="18" r="B32"/>
  <c i="18" r="E23"/>
  <c i="18" r="E24"/>
  <c i="18" r="I22"/>
  <c i="18" r="F26"/>
  <c i="18" r="M23"/>
  <c i="18" r="R32"/>
  <c i="18" r="G32"/>
  <c i="18" r="M27"/>
  <c i="18" r="R27"/>
  <c i="18" r="R22"/>
  <c i="18" r="B31"/>
  <c i="18" r="N31"/>
  <c i="18" r="Q23"/>
  <c i="18" r="B23"/>
  <c i="18" r="N23"/>
  <c i="18" r="B22"/>
  <c i="18" r="Q25"/>
  <c i="18" r="B25"/>
  <c i="18" r="N27"/>
  <c i="18" r="N24"/>
  <c i="18" r="E22"/>
  <c i="18" r="E27"/>
  <c i="18" r="S32"/>
  <c i="18" r="M26"/>
  <c i="18" r="M22"/>
  <c i="18" r="E26"/>
  <c i="12" r="S45"/>
  <c i="12" r="Q45"/>
  <c i="18" r="F22"/>
  <c i="18" r="M32"/>
  <c i="18" r="S23"/>
  <c i="18" r="F32"/>
  <c i="18" r="F25"/>
  <c i="18" r="F23"/>
  <c i="18" r="R31"/>
  <c i="18" r="R25"/>
  <c i="18" r="R24"/>
  <c i="18" r="R23"/>
  <c i="18" r="I32"/>
  <c i="18" r="E33"/>
  <c i="18" r="P50" s="1"/>
  <c i="18" r="AA50" s="1"/>
  <c i="18" r="E31"/>
  <c i="18" r="B24"/>
  <c i="18" r="F31"/>
  <c i="18" r="I31"/>
  <c i="18" r="F27"/>
  <c i="18" r="I26"/>
  <c i="18" r="B27"/>
  <c i="18" r="I25"/>
  <c i="18" r="B26"/>
  <c i="18" r="I27"/>
  <c i="18" r="I30"/>
  <c i="18" r="I29"/>
  <c i="18" r="I28"/>
  <c i="18" r="F24"/>
  <c i="18" r="I24"/>
  <c i="18" r="I23"/>
  <c i="18" r="C27"/>
  <c i="18" r="C24"/>
  <c i="7" r="O45"/>
  <c i="18" r="O22"/>
  <c i="11" r="S47"/>
  <c i="7" r="Q45"/>
  <c i="18" r="Q32"/>
  <c i="18" r="Q26"/>
  <c i="18" r="R30"/>
  <c i="18" r="R29"/>
  <c i="16" r="Q45"/>
  <c i="18" r="E29"/>
  <c i="18" r="F29"/>
  <c i="18" r="R26"/>
  <c i="18" r="E25"/>
  <c i="18" r="R28"/>
  <c i="18" r="M24"/>
  <c i="18" r="N26"/>
  <c i="18" r="E32"/>
  <c i="18" r="B29"/>
  <c i="18" r="E28"/>
  <c i="17" r="S45"/>
  <c i="17" r="O45"/>
  <c i="18" r="N30"/>
  <c i="18" r="M28"/>
  <c i="18" r="N29"/>
  <c i="18" r="N28"/>
  <c i="11" r="O47"/>
  <c i="11" r="S46"/>
  <c i="12" r="S46"/>
  <c i="18" r="M30"/>
  <c i="12" r="O45"/>
  <c i="18" r="M29"/>
  <c i="18" r="B30"/>
  <c i="18" r="B28"/>
  <c i="14" r="S45"/>
  <c i="14" r="Q45"/>
  <c i="18" r="F30"/>
  <c i="14" r="O45"/>
  <c i="18" r="F28"/>
  <c i="15" r="S45"/>
  <c i="11" r="O46"/>
  <c i="13" r="O46"/>
  <c i="15" r="O46"/>
  <c i="17" r="O46"/>
  <c i="11" r="N46"/>
  <c i="12" r="N46"/>
  <c i="13" r="N46"/>
  <c i="14" r="N46"/>
  <c i="15" r="N46"/>
  <c i="16" r="N46"/>
  <c i="17" r="N46"/>
  <c i="11" r="T46"/>
  <c i="12" r="T46"/>
  <c i="13" r="T46"/>
  <c i="14" r="T46"/>
  <c i="15" r="T46"/>
  <c i="16" r="T46"/>
  <c i="17" r="T46"/>
  <c i="7" r="N47"/>
  <c i="7" r="N45"/>
  <c i="7" r="T47"/>
  <c i="7" r="T45"/>
  <c i="18" r="G22"/>
  <c i="18" r="S31"/>
  <c i="18" r="S25"/>
  <c i="18" r="G31"/>
  <c i="18" r="G23"/>
  <c i="7" r="N46"/>
  <c i="11" r="N47"/>
  <c i="11" r="N45"/>
  <c i="12" r="N45"/>
  <c i="13" r="N45"/>
  <c i="14" r="N45"/>
  <c i="16" r="S46"/>
  <c i="18" r="S30"/>
  <c i="11" r="O45"/>
  <c i="18" r="G29"/>
  <c i="18" r="S27"/>
  <c i="18" r="G25"/>
  <c i="18" r="G24"/>
  <c i="15" r="O45"/>
  <c i="16" r="O45"/>
  <c i="18" r="S26"/>
  <c i="18" r="S24"/>
  <c i="18" r="S22"/>
  <c i="18" r="G26"/>
  <c i="7" r="O47"/>
  <c i="18" r="T25"/>
  <c i="15" r="N45"/>
  <c i="16" r="N45"/>
  <c i="17" r="N45"/>
  <c i="7" r="O46"/>
  <c i="13" r="O45"/>
  <c i="11" r="U28"/>
  <c i="17" r="U28"/>
  <c i="17" r="U45" s="1"/>
  <c i="18" r="D28"/>
  <c i="13" r="U29"/>
  <c i="18" r="C29"/>
  <c i="18" r="P29"/>
  <c i="18" r="C22"/>
  <c i="18" r="C32"/>
  <c i="18" r="C25"/>
  <c i="18" r="C23"/>
  <c i="18" r="C31"/>
  <c i="7" r="R46"/>
  <c i="11" r="R47"/>
  <c i="11" r="R45"/>
  <c i="12" r="R45"/>
  <c i="13" r="R45"/>
  <c i="14" r="R45"/>
  <c i="15" r="R45"/>
  <c i="16" r="R45"/>
  <c i="17" r="R45"/>
  <c i="11" r="S45"/>
  <c i="16" r="S45"/>
  <c i="18" r="S29"/>
  <c i="18" r="D30"/>
  <c i="18" r="G28"/>
  <c i="18" r="C28"/>
  <c i="18" r="G30"/>
  <c i="15" r="J29"/>
  <c i="18" r="C26"/>
  <c i="14" r="S46"/>
  <c i="7" r="Q46"/>
  <c i="12" r="Q46"/>
  <c i="14" r="Q46"/>
  <c i="16" r="Q46"/>
  <c i="7" r="J28"/>
  <c i="18" r="S28"/>
  <c i="18" r="C30"/>
  <c i="12" r="U30"/>
  <c i="12" r="U47" s="1"/>
  <c i="16" r="U30"/>
  <c i="11" r="U26"/>
  <c i="11" r="U29"/>
  <c i="15" r="U29"/>
  <c i="18" r="T27"/>
  <c i="7" r="T46"/>
  <c i="11" r="T47"/>
  <c i="11" r="T45"/>
  <c i="12" r="T45"/>
  <c i="13" r="T45"/>
  <c i="14" r="T45"/>
  <c i="15" r="T45"/>
  <c i="16" r="T45"/>
  <c i="17" r="T45"/>
  <c i="7" r="S45"/>
  <c i="11" r="Q45"/>
  <c i="13" r="Q45"/>
  <c i="15" r="Q45"/>
  <c i="17" r="Q45"/>
  <c i="18" r="Q30"/>
  <c i="13" r="U30"/>
  <c i="13" r="U47" s="1"/>
  <c i="17" r="U29"/>
  <c i="18" r="O29"/>
  <c i="14" r="U29"/>
  <c i="14" r="U46" s="1"/>
  <c i="18" r="T28"/>
  <c i="11" r="J30"/>
  <c i="11" r="U47" s="1"/>
  <c i="18" r="D29"/>
  <c i="18" r="T29"/>
  <c i="18" r="Q28"/>
  <c i="7" r="U26"/>
  <c i="7" r="U28"/>
  <c i="12" r="J31"/>
  <c i="12" r="J28"/>
  <c i="14" r="J30"/>
  <c i="14" r="U47" s="1"/>
  <c i="16" r="J22"/>
  <c i="16" r="J28"/>
  <c i="18" r="T30"/>
  <c i="18" r="T32"/>
  <c i="18" r="T26"/>
  <c i="18" r="T24"/>
  <c i="7" r="P47"/>
  <c i="7" r="P45"/>
  <c i="11" r="P46"/>
  <c i="12" r="P46"/>
  <c i="13" r="P46"/>
  <c i="14" r="P46"/>
  <c i="15" r="P46"/>
  <c i="16" r="P46"/>
  <c i="17" r="P46"/>
  <c i="7" r="S46"/>
  <c i="11" r="J29"/>
  <c i="16" r="J30"/>
  <c i="12" r="U29"/>
  <c i="17" r="U30"/>
  <c i="15" r="J28"/>
  <c i="13" r="U28"/>
  <c i="18" r="P28"/>
  <c i="15" r="J30"/>
  <c i="18" r="H29"/>
  <c i="18" r="P30"/>
  <c i="18" r="P47" s="1"/>
  <c i="18" r="AA47" s="1"/>
  <c i="16" r="U28"/>
  <c i="14" r="U28"/>
  <c i="13" r="J22"/>
  <c i="13" r="J29"/>
  <c i="17" r="J22"/>
  <c i="17" r="J29"/>
  <c i="7" r="J27"/>
  <c i="7" r="J30"/>
  <c i="7" r="U47" s="1"/>
  <c i="11" r="Q46"/>
  <c i="13" r="Q46"/>
  <c i="15" r="Q46"/>
  <c i="17" r="Q46"/>
  <c i="16" r="U29"/>
  <c i="16" r="U46" s="1"/>
  <c i="12" r="U28"/>
  <c i="18" r="T23"/>
  <c i="7" r="R47"/>
  <c i="7" r="R45"/>
  <c i="11" r="R46"/>
  <c i="12" r="R46"/>
  <c i="13" r="R46"/>
  <c i="14" r="R46"/>
  <c i="15" r="R46"/>
  <c i="16" r="R46"/>
  <c i="17" r="R46"/>
  <c i="7" r="S47"/>
  <c i="7" r="P46"/>
  <c i="11" r="P47"/>
  <c i="11" r="P45"/>
  <c i="12" r="P45"/>
  <c i="13" r="P45"/>
  <c i="14" r="P45"/>
  <c i="15" r="P45"/>
  <c i="16" r="P45"/>
  <c i="17" r="P45"/>
  <c i="18" r="O30"/>
  <c i="7" r="M45"/>
  <c i="11" r="M45"/>
  <c i="12" r="M45"/>
  <c i="13" r="M45"/>
  <c i="14" r="M45"/>
  <c i="15" r="M45"/>
  <c i="16" r="M45"/>
  <c i="17" r="M45"/>
  <c i="14" r="J28"/>
  <c i="18" r="Q29"/>
  <c i="15" r="U28"/>
  <c i="11" r="J28"/>
  <c i="17" r="J30"/>
  <c i="12" r="J29"/>
  <c i="7" r="U29"/>
  <c i="7" r="U46" s="1"/>
  <c i="15" r="U30"/>
  <c i="13" r="J28"/>
  <c i="18" r="H30"/>
  <c i="18" r="H28"/>
  <c i="18" r="O28"/>
  <c i="18" r="Q31"/>
  <c i="18" r="Q22"/>
  <c i="18" r="Q27"/>
  <c i="18" r="Q24"/>
  <c i="18" r="T31"/>
  <c i="18" r="T22"/>
  <c i="18" r="O32"/>
  <c i="18" r="O31"/>
  <c i="18" r="O27"/>
  <c i="18" r="O26"/>
  <c i="18" r="O25"/>
  <c i="18" r="O24"/>
  <c i="18" r="O23"/>
  <c i="15" r="J24"/>
  <c i="12" r="J23"/>
  <c i="13" r="U25"/>
  <c i="15" r="J26"/>
  <c i="16" r="J23"/>
  <c i="12" r="J32"/>
  <c i="15" r="U23"/>
  <c i="16" r="J32"/>
  <c i="13" r="J27"/>
  <c i="15" r="U32"/>
  <c i="14" r="J22"/>
  <c i="17" r="J27"/>
  <c i="14" r="J25"/>
  <c i="17" r="U25"/>
  <c i="12" r="J22"/>
  <c i="14" r="J31"/>
  <c i="17" r="J24"/>
  <c i="16" r="J25"/>
  <c i="15" r="J27"/>
  <c i="14" r="J32"/>
  <c i="14" r="J23"/>
  <c i="13" r="J24"/>
  <c i="12" r="J25"/>
  <c i="17" r="U32"/>
  <c i="17" r="U23"/>
  <c i="16" r="U24"/>
  <c i="15" r="U25"/>
  <c i="14" r="U27"/>
  <c i="13" r="U32"/>
  <c i="13" r="U23"/>
  <c i="12" r="U24"/>
  <c i="17" r="J26"/>
  <c i="17" r="U43" s="1"/>
  <c i="16" r="J31"/>
  <c i="13" r="J26"/>
  <c i="16" r="U31"/>
  <c i="16" r="U22"/>
  <c i="12" r="U31"/>
  <c i="12" r="U22"/>
  <c i="11" r="J24"/>
  <c i="7" r="J31"/>
  <c i="11" r="U32"/>
  <c i="11" r="U23"/>
  <c i="7" r="U31"/>
  <c i="7" r="J26"/>
  <c i="14" r="U33"/>
  <c i="11" r="U33"/>
  <c i="13" r="U33"/>
  <c i="15" r="U33"/>
  <c i="17" r="U33"/>
  <c i="7" r="U33"/>
  <c i="12" r="J33"/>
  <c i="14" r="J33"/>
  <c i="16" r="J33"/>
  <c i="17" r="J25"/>
  <c i="16" r="J27"/>
  <c i="15" r="J32"/>
  <c i="15" r="J23"/>
  <c i="14" r="J24"/>
  <c i="13" r="J25"/>
  <c i="12" r="J27"/>
  <c i="12" r="J26"/>
  <c i="17" r="U24"/>
  <c i="16" r="U25"/>
  <c i="15" r="U27"/>
  <c i="14" r="U32"/>
  <c i="14" r="U23"/>
  <c i="13" r="U24"/>
  <c i="12" r="U25"/>
  <c i="17" r="J31"/>
  <c i="14" r="J26"/>
  <c i="13" r="J31"/>
  <c i="17" r="U31"/>
  <c i="17" r="U22"/>
  <c i="14" r="U26"/>
  <c i="13" r="U31"/>
  <c i="13" r="U22"/>
  <c i="11" r="J25"/>
  <c i="7" r="U22"/>
  <c i="11" r="U24"/>
  <c i="11" r="J26"/>
  <c i="7" r="U24"/>
  <c i="11" r="U31"/>
  <c i="11" r="U22"/>
  <c i="11" r="U39" s="1"/>
  <c i="7" r="J22"/>
  <c i="12" r="U33"/>
  <c i="16" r="U27"/>
  <c i="14" r="U24"/>
  <c i="12" r="U27"/>
  <c i="15" r="U26"/>
  <c i="14" r="U31"/>
  <c i="14" r="U22"/>
  <c i="11" r="J27"/>
  <c i="7" r="U25"/>
  <c i="7" r="U27"/>
  <c i="11" r="U25"/>
  <c i="7" r="J32"/>
  <c i="11" r="J31"/>
  <c i="16" r="U33"/>
  <c i="11" r="J33"/>
  <c i="13" r="J33"/>
  <c i="15" r="J33"/>
  <c i="17" r="J33"/>
  <c i="7" r="J33"/>
  <c i="17" r="J32"/>
  <c i="17" r="J23"/>
  <c i="16" r="J24"/>
  <c i="15" r="J25"/>
  <c i="14" r="J27"/>
  <c i="13" r="J32"/>
  <c i="13" r="J23"/>
  <c i="12" r="J24"/>
  <c i="17" r="U27"/>
  <c i="16" r="U32"/>
  <c i="16" r="U23"/>
  <c i="15" r="U24"/>
  <c i="14" r="U25"/>
  <c i="13" r="U27"/>
  <c i="12" r="U32"/>
  <c i="12" r="U23"/>
  <c i="16" r="J26"/>
  <c i="15" r="J31"/>
  <c i="15" r="J22"/>
  <c i="16" r="U26"/>
  <c i="15" r="U31"/>
  <c i="15" r="U22"/>
  <c i="12" r="U26"/>
  <c i="11" r="J32"/>
  <c i="11" r="J23"/>
  <c i="7" r="J23"/>
  <c i="11" r="U27"/>
  <c i="7" r="J25"/>
  <c i="7" r="U23"/>
  <c i="7" r="U32"/>
  <c i="7" r="J24"/>
  <c i="18" r="D26"/>
  <c i="18" r="D27"/>
  <c i="18" r="D25"/>
  <c i="18" r="H31"/>
  <c i="18" r="P26"/>
  <c i="18" r="P22"/>
  <c i="18" r="H24"/>
  <c i="18" r="H23"/>
  <c i="18" r="D32"/>
  <c i="18" r="H27"/>
  <c i="18" r="P32"/>
  <c i="18" r="P27"/>
  <c i="18" r="P25"/>
  <c i="18" r="P24"/>
  <c i="18" r="P23"/>
  <c i="18" r="D31"/>
  <c i="18" r="H26"/>
  <c i="18" r="H25"/>
  <c i="18" r="D24"/>
  <c i="18" r="D23"/>
  <c i="18" r="D22"/>
  <c i="18" r="H32"/>
  <c i="18" r="P31"/>
  <c i="18" r="H22"/>
  <c i="7" r="R50"/>
  <c i="7" r="O40"/>
  <c i="7" r="R43"/>
  <c i="7" r="Q48"/>
  <c i="7" r="S43"/>
  <c i="7" r="P48"/>
  <c i="7" r="N50"/>
  <c i="7" r="M41"/>
  <c i="7" r="P40"/>
  <c i="7" r="O50"/>
  <c i="7" r="N41"/>
  <c i="7" r="O49"/>
  <c i="7" r="S42"/>
  <c i="7" r="P49"/>
  <c i="7" r="T42"/>
  <c i="7" r="Q44"/>
  <c i="7" r="P39"/>
  <c i="7" r="M42"/>
  <c i="7" r="O41"/>
  <c i="7" r="M43"/>
  <c i="7" r="N42"/>
  <c i="7" r="P41"/>
  <c i="7" r="S49"/>
  <c i="7" r="O42"/>
  <c i="7" r="S50"/>
  <c i="7" r="M48"/>
  <c i="7" r="N44"/>
  <c i="7" r="O43"/>
  <c i="7" r="P42"/>
  <c i="7" r="T40"/>
  <c i="7" r="T50"/>
  <c i="7" r="M49"/>
  <c i="7" r="N48"/>
  <c i="7" r="O44"/>
  <c i="7" r="P43"/>
  <c i="7" r="M40"/>
  <c i="7" r="N39"/>
  <c i="7" r="N49"/>
  <c i="7" r="O48"/>
  <c i="7" r="P44"/>
  <c i="7" r="N40"/>
  <c i="7" r="O39"/>
  <c i="17" r="M50"/>
  <c i="14" r="S50"/>
  <c i="18" r="U16"/>
  <c i="18" r="J16"/>
  <c i="17" r="S50"/>
  <c i="17" r="O49"/>
  <c i="17" r="M49"/>
  <c i="17" r="O48"/>
  <c i="17" r="M48"/>
  <c i="17" r="O44"/>
  <c i="17" r="M44"/>
  <c i="17" r="O43"/>
  <c i="17" r="M43"/>
  <c i="17" r="O42"/>
  <c i="17" r="M42"/>
  <c i="17" r="O41"/>
  <c i="17" r="M41"/>
  <c i="17" r="O40"/>
  <c i="17" r="M40"/>
  <c i="17" r="O39"/>
  <c i="17" r="M39"/>
  <c i="17" r="T49"/>
  <c i="17" r="P49"/>
  <c i="17" r="N49"/>
  <c i="17" r="T48"/>
  <c i="17" r="P48"/>
  <c i="17" r="N48"/>
  <c i="17" r="T44"/>
  <c i="17" r="P44"/>
  <c i="17" r="N44"/>
  <c i="17" r="T43"/>
  <c i="17" r="P43"/>
  <c i="17" r="N43"/>
  <c i="17" r="T42"/>
  <c i="17" r="P42"/>
  <c i="17" r="N42"/>
  <c i="17" r="T41"/>
  <c i="17" r="P41"/>
  <c i="17" r="N41"/>
  <c i="17" r="T40"/>
  <c i="17" r="P40"/>
  <c i="17" r="N40"/>
  <c i="17" r="T39"/>
  <c i="17" r="P39"/>
  <c i="17" r="N39"/>
  <c i="17" r="N50"/>
  <c i="17" r="O50"/>
  <c i="16" r="S49"/>
  <c i="16" r="Q49"/>
  <c i="16" r="O49"/>
  <c i="16" r="S48"/>
  <c i="16" r="Q48"/>
  <c i="16" r="O48"/>
  <c i="16" r="S44"/>
  <c i="16" r="Q44"/>
  <c i="16" r="O44"/>
  <c i="16" r="S43"/>
  <c i="16" r="Q43"/>
  <c i="16" r="O43"/>
  <c i="16" r="S42"/>
  <c i="16" r="Q42"/>
  <c i="16" r="O42"/>
  <c i="16" r="S41"/>
  <c i="16" r="Q41"/>
  <c i="16" r="O41"/>
  <c i="16" r="S40"/>
  <c i="16" r="Q40"/>
  <c i="16" r="O40"/>
  <c i="16" r="S39"/>
  <c i="16" r="Q39"/>
  <c i="16" r="O39"/>
  <c i="16" r="R49"/>
  <c i="16" r="P49"/>
  <c i="16" r="N49"/>
  <c i="16" r="R48"/>
  <c i="16" r="P48"/>
  <c i="16" r="N48"/>
  <c i="16" r="R44"/>
  <c i="16" r="P44"/>
  <c i="16" r="N44"/>
  <c i="16" r="R43"/>
  <c i="16" r="P43"/>
  <c i="16" r="N43"/>
  <c i="16" r="R42"/>
  <c i="16" r="P42"/>
  <c i="16" r="N42"/>
  <c i="16" r="R41"/>
  <c i="16" r="P41"/>
  <c i="16" r="N41"/>
  <c i="16" r="R40"/>
  <c i="16" r="P40"/>
  <c i="16" r="N40"/>
  <c i="16" r="R39"/>
  <c i="16" r="P39"/>
  <c i="16" r="N39"/>
  <c i="16" r="S50"/>
  <c i="16" r="O50"/>
  <c i="16" r="T50"/>
  <c i="15" r="O49"/>
  <c i="15" r="O48"/>
  <c i="15" r="O44"/>
  <c i="15" r="O43"/>
  <c i="15" r="O42"/>
  <c i="15" r="O41"/>
  <c i="15" r="O40"/>
  <c i="15" r="O39"/>
  <c i="15" r="P49"/>
  <c i="15" r="N49"/>
  <c i="15" r="P48"/>
  <c i="15" r="N48"/>
  <c i="15" r="P44"/>
  <c i="15" r="N44"/>
  <c i="15" r="P43"/>
  <c i="15" r="N43"/>
  <c i="15" r="P42"/>
  <c i="15" r="N42"/>
  <c i="15" r="P41"/>
  <c i="15" r="N41"/>
  <c i="15" r="P40"/>
  <c i="15" r="N40"/>
  <c i="15" r="P39"/>
  <c i="15" r="N39"/>
  <c i="15" r="S50"/>
  <c i="15" r="O50"/>
  <c i="15" r="T50"/>
  <c i="15" r="P50"/>
  <c i="14" r="S49"/>
  <c i="14" r="S48"/>
  <c i="14" r="S44"/>
  <c i="14" r="S43"/>
  <c i="14" r="S42"/>
  <c i="14" r="S41"/>
  <c i="14" r="S40"/>
  <c i="14" r="S39"/>
  <c i="14" r="R49"/>
  <c i="14" r="R48"/>
  <c i="14" r="R44"/>
  <c i="14" r="R43"/>
  <c i="14" r="R42"/>
  <c i="14" r="R41"/>
  <c i="14" r="R40"/>
  <c i="14" r="R39"/>
  <c i="14" r="R50"/>
  <c i="14" r="N50"/>
  <c i="14" r="M50"/>
  <c i="13" r="T50"/>
  <c i="13" r="P50"/>
  <c i="13" r="S50"/>
  <c i="12" r="S49"/>
  <c i="12" r="O49"/>
  <c i="12" r="S48"/>
  <c i="12" r="O48"/>
  <c i="12" r="S44"/>
  <c i="12" r="O44"/>
  <c i="12" r="S43"/>
  <c i="12" r="O43"/>
  <c i="12" r="S42"/>
  <c i="12" r="O42"/>
  <c i="12" r="S41"/>
  <c i="12" r="O41"/>
  <c i="12" r="S40"/>
  <c i="12" r="O40"/>
  <c i="12" r="S39"/>
  <c i="12" r="O39"/>
  <c i="12" r="R49"/>
  <c i="12" r="R48"/>
  <c i="12" r="R44"/>
  <c i="12" r="R43"/>
  <c i="12" r="R42"/>
  <c i="12" r="R41"/>
  <c i="12" r="R40"/>
  <c i="12" r="R39"/>
  <c i="12" r="S50"/>
  <c i="12" r="O50"/>
  <c i="12" r="T50"/>
  <c i="12" r="P50"/>
  <c i="11" r="Q49"/>
  <c i="11" r="M49"/>
  <c i="11" r="Q48"/>
  <c i="11" r="M48"/>
  <c i="11" r="Q44"/>
  <c i="11" r="M44"/>
  <c i="11" r="Q43"/>
  <c i="11" r="M43"/>
  <c i="11" r="Q42"/>
  <c i="11" r="M42"/>
  <c i="11" r="Q41"/>
  <c i="11" r="M41"/>
  <c i="11" r="Q40"/>
  <c i="11" r="M40"/>
  <c i="11" r="Q39"/>
  <c i="11" r="M39"/>
  <c i="11" r="S50"/>
  <c i="11" r="O50"/>
  <c i="11" r="R50"/>
  <c i="7" r="M39"/>
  <c i="18" l="1" r="P48"/>
  <c i="18" r="AA48" s="1"/>
  <c i="18" r="P41"/>
  <c i="18" r="AA41" s="1"/>
  <c i="11" r="U45"/>
  <c i="18" r="T46"/>
  <c i="18" r="AE46" s="1"/>
  <c i="18" r="R45"/>
  <c i="18" r="AC45" s="1"/>
  <c i="18" r="P40"/>
  <c i="18" r="AA40" s="1"/>
  <c i="18" r="P43"/>
  <c i="18" r="AA43" s="1"/>
  <c i="18" r="P39"/>
  <c i="18" r="AA39" s="1"/>
  <c i="18" r="P44"/>
  <c i="18" r="AA44" s="1"/>
  <c i="18" r="R47"/>
  <c i="18" r="AC47" s="1"/>
  <c i="18" r="M45"/>
  <c i="18" r="X45" s="1"/>
  <c i="15" r="U41"/>
  <c i="18" r="T47"/>
  <c i="18" r="AE47" s="1"/>
  <c i="18" r="T45"/>
  <c i="18" r="AE45" s="1"/>
  <c i="18" r="Q45"/>
  <c i="18" r="AB45" s="1"/>
  <c i="18" r="Q46"/>
  <c i="18" r="AB46" s="1"/>
  <c i="18" r="P46"/>
  <c i="18" r="AA46" s="1"/>
  <c i="18" r="P42"/>
  <c i="18" r="AA42" s="1"/>
  <c i="18" r="M46"/>
  <c i="18" r="X46" s="1"/>
  <c i="18" r="R46"/>
  <c i="18" r="AC46" s="1"/>
  <c i="18" r="P45"/>
  <c i="18" r="AA45" s="1"/>
  <c i="18" r="N46"/>
  <c i="18" r="Y46" s="1"/>
  <c i="17" r="U48"/>
  <c i="18" r="P49"/>
  <c i="18" r="AA49" s="1"/>
  <c i="18" r="O45"/>
  <c i="18" r="Z45" s="1"/>
  <c i="18" r="M47"/>
  <c i="18" r="X47" s="1"/>
  <c i="18" r="N45"/>
  <c i="18" r="Y45" s="1"/>
  <c i="16" r="U49"/>
  <c i="16" r="U45"/>
  <c i="18" r="N47"/>
  <c i="18" r="Y47" s="1"/>
  <c i="18" r="Q47"/>
  <c i="18" r="AB47" s="1"/>
  <c i="12" r="U42"/>
  <c i="12" r="U39"/>
  <c i="15" r="U47"/>
  <c i="18" r="S47"/>
  <c i="18" r="AD47" s="1"/>
  <c i="18" r="S45"/>
  <c i="18" r="AD45" s="1"/>
  <c i="18" r="S46"/>
  <c i="18" r="AD46" s="1"/>
  <c i="7" r="U44"/>
  <c i="7" r="U45"/>
  <c i="13" r="U46"/>
  <c i="15" r="U46"/>
  <c i="17" r="U47"/>
  <c i="11" r="U46"/>
  <c i="15" r="U45"/>
  <c i="15" r="U42"/>
  <c i="18" r="O47"/>
  <c i="18" r="Z47" s="1"/>
  <c i="12" r="U46"/>
  <c i="18" r="U33"/>
  <c i="18" r="U30"/>
  <c i="18" r="U28"/>
  <c i="18" r="J33"/>
  <c i="18" r="J29"/>
  <c i="18" r="J28"/>
  <c i="18" r="J30"/>
  <c i="11" r="U40"/>
  <c i="17" r="U39"/>
  <c i="16" r="U39"/>
  <c i="13" r="U49"/>
  <c i="13" r="U45"/>
  <c i="18" r="O46"/>
  <c i="18" r="Z46" s="1"/>
  <c i="16" r="U47"/>
  <c i="18" r="U29"/>
  <c i="11" r="U43"/>
  <c i="13" r="U44"/>
  <c i="12" r="U45"/>
  <c i="14" r="U45"/>
  <c i="17" r="U46"/>
  <c i="14" r="U42"/>
  <c i="7" r="U50"/>
  <c i="17" r="U50"/>
  <c i="11" r="U50"/>
  <c i="16" r="U40"/>
  <c i="16" r="U44"/>
  <c i="14" r="U43"/>
  <c i="17" r="U49"/>
  <c i="15" r="U40"/>
  <c i="12" r="U44"/>
  <c i="14" r="U41"/>
  <c i="11" r="U49"/>
  <c i="13" r="U40"/>
  <c i="16" r="U41"/>
  <c i="13" r="U41"/>
  <c i="16" r="U42"/>
  <c i="17" r="U42"/>
  <c i="7" r="U40"/>
  <c i="15" r="U39"/>
  <c i="7" r="U48"/>
  <c i="16" r="U48"/>
  <c i="17" r="U41"/>
  <c i="18" r="U24"/>
  <c i="18" r="J26"/>
  <c i="18" r="U22"/>
  <c i="18" r="U27"/>
  <c i="18" r="J24"/>
  <c i="18" r="J27"/>
  <c i="18" r="J22"/>
  <c i="18" r="U23"/>
  <c i="18" r="U32"/>
  <c i="18" r="J31"/>
  <c i="18" r="U31"/>
  <c i="18" r="U25"/>
  <c i="18" r="J23"/>
  <c i="18" r="J25"/>
  <c i="18" r="J32"/>
  <c i="18" r="U26"/>
  <c i="7" r="U49"/>
  <c i="7" r="U43"/>
  <c i="7" r="T39"/>
  <c i="7" r="U42"/>
  <c i="7" r="Q43"/>
  <c i="7" r="M50"/>
  <c i="7" r="S40"/>
  <c i="7" r="Q50"/>
  <c i="7" r="T43"/>
  <c i="7" r="P50"/>
  <c i="7" r="M44"/>
  <c i="7" r="S48"/>
  <c i="7" r="R48"/>
  <c i="7" r="N43"/>
  <c i="7" r="S39"/>
  <c i="7" r="R39"/>
  <c i="7" r="Q39"/>
  <c i="7" r="R42"/>
  <c i="7" r="Q42"/>
  <c i="7" r="U39"/>
  <c i="7" r="R49"/>
  <c i="7" r="Q49"/>
  <c i="7" r="R44"/>
  <c i="7" r="T48"/>
  <c i="7" r="R41"/>
  <c i="7" r="Q41"/>
  <c i="7" r="R40"/>
  <c i="7" r="Q40"/>
  <c i="7" r="T41"/>
  <c i="7" r="S41"/>
  <c i="7" r="T49"/>
  <c i="7" r="T44"/>
  <c i="7" r="S44"/>
  <c i="7" r="U41"/>
  <c i="17" r="Q50"/>
  <c i="17" r="S39"/>
  <c i="17" r="S40"/>
  <c i="17" r="S41"/>
  <c i="17" r="S42"/>
  <c i="17" r="S43"/>
  <c i="17" r="S44"/>
  <c i="17" r="S48"/>
  <c i="17" r="S49"/>
  <c i="17" r="U44"/>
  <c i="17" r="R50"/>
  <c i="17" r="R39"/>
  <c i="17" r="R40"/>
  <c i="17" r="R41"/>
  <c i="17" r="R42"/>
  <c i="17" r="R43"/>
  <c i="17" r="R44"/>
  <c i="17" r="R48"/>
  <c i="17" r="R49"/>
  <c i="17" r="Q39"/>
  <c i="17" r="Q40"/>
  <c i="17" r="Q41"/>
  <c i="17" r="Q42"/>
  <c i="17" r="Q43"/>
  <c i="17" r="Q44"/>
  <c i="17" r="Q48"/>
  <c i="17" r="Q49"/>
  <c i="16" r="P50"/>
  <c i="16" r="M39"/>
  <c i="16" r="M40"/>
  <c i="16" r="M41"/>
  <c i="16" r="M42"/>
  <c i="16" r="M43"/>
  <c i="16" r="M44"/>
  <c i="16" r="M48"/>
  <c i="16" r="M49"/>
  <c i="16" r="U50"/>
  <c i="16" r="T39"/>
  <c i="16" r="T40"/>
  <c i="16" r="T41"/>
  <c i="16" r="T42"/>
  <c i="16" r="T43"/>
  <c i="16" r="T44"/>
  <c i="16" r="T48"/>
  <c i="16" r="T49"/>
  <c i="15" r="U48"/>
  <c i="15" r="S39"/>
  <c i="15" r="S40"/>
  <c i="15" r="S41"/>
  <c i="15" r="S42"/>
  <c i="15" r="S43"/>
  <c i="15" r="S44"/>
  <c i="15" r="S48"/>
  <c i="15" r="S49"/>
  <c i="15" r="U44"/>
  <c i="15" r="R39"/>
  <c i="15" r="R40"/>
  <c i="15" r="R41"/>
  <c i="15" r="R42"/>
  <c i="15" r="R43"/>
  <c i="15" r="R44"/>
  <c i="15" r="R48"/>
  <c i="15" r="R49"/>
  <c i="15" r="Q39"/>
  <c i="15" r="Q40"/>
  <c i="15" r="Q41"/>
  <c i="15" r="Q42"/>
  <c i="15" r="Q43"/>
  <c i="15" r="Q44"/>
  <c i="15" r="Q48"/>
  <c i="15" r="Q49"/>
  <c i="15" r="M39"/>
  <c i="15" r="M40"/>
  <c i="15" r="M41"/>
  <c i="15" r="M42"/>
  <c i="15" r="M43"/>
  <c i="15" r="M44"/>
  <c i="15" r="M48"/>
  <c i="15" r="M49"/>
  <c i="15" r="U50"/>
  <c i="15" r="U49"/>
  <c i="15" r="T39"/>
  <c i="15" r="T40"/>
  <c i="15" r="T41"/>
  <c i="15" r="T42"/>
  <c i="15" r="T43"/>
  <c i="15" r="T44"/>
  <c i="15" r="T48"/>
  <c i="15" r="T49"/>
  <c i="14" r="U39"/>
  <c i="14" r="M39"/>
  <c i="14" r="M40"/>
  <c i="14" r="M41"/>
  <c i="14" r="M42"/>
  <c i="14" r="M43"/>
  <c i="14" r="M44"/>
  <c i="14" r="M48"/>
  <c i="14" r="M49"/>
  <c i="14" r="U50"/>
  <c i="14" r="Q39"/>
  <c i="14" r="Q40"/>
  <c i="14" r="Q41"/>
  <c i="14" r="Q42"/>
  <c i="14" r="Q43"/>
  <c i="14" r="Q44"/>
  <c i="14" r="Q48"/>
  <c i="14" r="Q49"/>
  <c i="14" r="U48"/>
  <c i="14" r="N39"/>
  <c i="14" r="N40"/>
  <c i="14" r="N41"/>
  <c i="14" r="N42"/>
  <c i="14" r="N43"/>
  <c i="14" r="N44"/>
  <c i="14" r="N48"/>
  <c i="14" r="N49"/>
  <c i="14" r="U44"/>
  <c i="14" r="O39"/>
  <c i="14" r="O40"/>
  <c i="14" r="O41"/>
  <c i="14" r="O42"/>
  <c i="14" r="O43"/>
  <c i="14" r="O44"/>
  <c i="14" r="O48"/>
  <c i="14" r="O49"/>
  <c i="14" r="U49"/>
  <c i="13" r="U39"/>
  <c i="13" r="U48"/>
  <c i="13" r="O39"/>
  <c i="13" r="O40"/>
  <c i="13" r="O41"/>
  <c i="13" r="O42"/>
  <c i="13" r="O43"/>
  <c i="13" r="O44"/>
  <c i="13" r="O48"/>
  <c i="13" r="O49"/>
  <c i="13" r="S39"/>
  <c i="13" r="S40"/>
  <c i="13" r="S41"/>
  <c i="13" r="S42"/>
  <c i="13" r="S43"/>
  <c i="13" r="S44"/>
  <c i="13" r="S48"/>
  <c i="13" r="S49"/>
  <c i="13" r="O50"/>
  <c i="13" r="U42"/>
  <c i="12" r="U49"/>
  <c i="12" r="U41"/>
  <c i="12" r="N39"/>
  <c i="12" r="N40"/>
  <c i="12" r="N41"/>
  <c i="12" r="N42"/>
  <c i="12" r="N43"/>
  <c i="12" r="N44"/>
  <c i="12" r="N48"/>
  <c i="12" r="N49"/>
  <c i="12" r="U48"/>
  <c i="12" r="Q39"/>
  <c i="12" r="Q40"/>
  <c i="12" r="Q41"/>
  <c i="12" r="Q42"/>
  <c i="12" r="Q43"/>
  <c i="12" r="Q44"/>
  <c i="12" r="Q48"/>
  <c i="12" r="Q49"/>
  <c i="12" r="U40"/>
  <c i="12" r="P39"/>
  <c i="12" r="P40"/>
  <c i="12" r="P41"/>
  <c i="12" r="P42"/>
  <c i="12" r="P43"/>
  <c i="12" r="P44"/>
  <c i="12" r="P48"/>
  <c i="12" r="P49"/>
  <c i="12" r="M39"/>
  <c i="12" r="M40"/>
  <c i="12" r="M41"/>
  <c i="12" r="M42"/>
  <c i="12" r="M43"/>
  <c i="12" r="M44"/>
  <c i="12" r="M48"/>
  <c i="12" r="M49"/>
  <c i="12" r="U50"/>
  <c i="12" r="T39"/>
  <c i="12" r="T40"/>
  <c i="12" r="T41"/>
  <c i="12" r="T42"/>
  <c i="12" r="T43"/>
  <c i="12" r="T44"/>
  <c i="12" r="T48"/>
  <c i="12" r="T49"/>
  <c i="11" r="U41"/>
  <c i="18" r="S39"/>
  <c i="18" r="AD39" s="1"/>
  <c i="11" r="O39"/>
  <c i="11" r="O40"/>
  <c i="11" r="O41"/>
  <c i="11" r="O42"/>
  <c i="11" r="O43"/>
  <c i="11" r="O44"/>
  <c i="11" r="O48"/>
  <c i="11" r="O49"/>
  <c i="11" r="N39"/>
  <c i="11" r="N40"/>
  <c i="11" r="N41"/>
  <c i="11" r="N42"/>
  <c i="11" r="N43"/>
  <c i="11" r="N44"/>
  <c i="11" r="N48"/>
  <c i="11" r="N49"/>
  <c i="18" r="O50"/>
  <c i="18" r="Z50" s="1"/>
  <c i="11" r="R39"/>
  <c i="11" r="R40"/>
  <c i="11" r="R41"/>
  <c i="11" r="R42"/>
  <c i="11" r="R43"/>
  <c i="11" r="R44"/>
  <c i="11" r="R48"/>
  <c i="11" r="R49"/>
  <c i="11" r="N50"/>
  <c i="11" r="U44"/>
  <c i="11" r="U48"/>
  <c i="11" r="S39"/>
  <c i="11" r="S40"/>
  <c i="11" r="S41"/>
  <c i="11" r="S42"/>
  <c i="11" r="S43"/>
  <c i="11" r="S44"/>
  <c i="11" r="S48"/>
  <c i="11" r="S49"/>
  <c i="11" r="P50"/>
  <c i="11" r="M50"/>
  <c i="17" r="U40"/>
  <c i="17" r="T50"/>
  <c i="17" r="P50"/>
  <c i="16" r="U43"/>
  <c i="16" r="N50"/>
  <c i="16" r="Q50"/>
  <c i="16" r="R50"/>
  <c i="16" r="M50"/>
  <c i="15" r="U43"/>
  <c i="15" r="N50"/>
  <c i="15" r="Q50"/>
  <c i="15" r="R50"/>
  <c i="15" r="M50"/>
  <c i="14" r="P50"/>
  <c i="14" r="Q50"/>
  <c i="14" r="P39"/>
  <c i="14" r="T39"/>
  <c i="14" r="P40"/>
  <c i="14" r="T40"/>
  <c i="14" r="P41"/>
  <c i="14" r="T41"/>
  <c i="14" r="P42"/>
  <c i="14" r="T42"/>
  <c i="14" r="P43"/>
  <c i="14" r="T43"/>
  <c i="14" r="P44"/>
  <c i="14" r="T44"/>
  <c i="14" r="P48"/>
  <c i="14" r="T48"/>
  <c i="14" r="P49"/>
  <c i="14" r="T49"/>
  <c i="14" r="U40"/>
  <c i="14" r="T50"/>
  <c i="14" r="O50"/>
  <c i="13" r="M50"/>
  <c i="13" r="R50"/>
  <c i="13" r="P39"/>
  <c i="13" r="T39"/>
  <c i="13" r="P40"/>
  <c i="13" r="T40"/>
  <c i="13" r="P41"/>
  <c i="13" r="T41"/>
  <c i="13" r="P42"/>
  <c i="13" r="T42"/>
  <c i="13" r="P43"/>
  <c i="13" r="T43"/>
  <c i="13" r="P44"/>
  <c i="13" r="T44"/>
  <c i="13" r="P48"/>
  <c i="13" r="T48"/>
  <c i="13" r="P49"/>
  <c i="13" r="T49"/>
  <c i="13" r="Q50"/>
  <c i="13" r="U43"/>
  <c i="13" r="N50"/>
  <c i="13" r="N39"/>
  <c i="13" r="R39"/>
  <c i="13" r="N40"/>
  <c i="13" r="R40"/>
  <c i="13" r="N41"/>
  <c i="13" r="R41"/>
  <c i="13" r="N42"/>
  <c i="13" r="R42"/>
  <c i="13" r="N43"/>
  <c i="13" r="R43"/>
  <c i="13" r="N44"/>
  <c i="13" r="R44"/>
  <c i="13" r="N48"/>
  <c i="13" r="R48"/>
  <c i="13" r="N49"/>
  <c i="13" r="R49"/>
  <c i="13" r="M39"/>
  <c i="13" r="Q39"/>
  <c i="13" r="M40"/>
  <c i="13" r="Q40"/>
  <c i="13" r="M41"/>
  <c i="13" r="Q41"/>
  <c i="13" r="M42"/>
  <c i="13" r="Q42"/>
  <c i="13" r="M43"/>
  <c i="13" r="Q43"/>
  <c i="13" r="M44"/>
  <c i="13" r="Q44"/>
  <c i="13" r="M48"/>
  <c i="13" r="Q48"/>
  <c i="13" r="M49"/>
  <c i="13" r="Q49"/>
  <c i="13" r="U50"/>
  <c i="12" r="U43"/>
  <c i="12" r="N50"/>
  <c i="12" r="Q50"/>
  <c i="12" r="R50"/>
  <c i="12" r="M50"/>
  <c i="11" r="P39"/>
  <c i="11" r="T39"/>
  <c i="11" r="P40"/>
  <c i="11" r="T40"/>
  <c i="11" r="P41"/>
  <c i="11" r="T41"/>
  <c i="11" r="P42"/>
  <c i="11" r="T42"/>
  <c i="11" r="P43"/>
  <c i="11" r="T43"/>
  <c i="11" r="P44"/>
  <c i="11" r="T44"/>
  <c i="11" r="P48"/>
  <c i="11" r="T48"/>
  <c i="11" r="P49"/>
  <c i="11" r="T49"/>
  <c i="11" r="U42"/>
  <c i="11" r="T50"/>
  <c i="11" r="Q50"/>
  <c i="18" l="1" r="U43"/>
  <c i="18" r="AF43" s="1"/>
  <c i="18" r="U46"/>
  <c i="18" r="AF46" s="1"/>
  <c i="18" r="U50"/>
  <c i="18" r="AF50" s="1"/>
  <c i="18" r="U47"/>
  <c i="18" r="AF47" s="1"/>
  <c i="18" r="U45"/>
  <c i="18" r="AF45" s="1"/>
  <c i="18" r="M50"/>
  <c i="18" r="X50" s="1"/>
  <c i="18" r="T42"/>
  <c i="18" r="AE42" s="1"/>
  <c i="18" r="N41"/>
  <c i="18" r="Y41" s="1"/>
  <c i="18" r="T50"/>
  <c i="18" r="AE50" s="1"/>
  <c i="18" r="U40"/>
  <c i="18" r="AF40" s="1"/>
  <c i="18" r="U41"/>
  <c i="18" r="AF41" s="1"/>
  <c i="18" r="T43"/>
  <c i="18" r="AE43" s="1"/>
  <c i="18" r="M40"/>
  <c i="18" r="X40" s="1"/>
  <c i="18" r="T41"/>
  <c i="18" r="AE41" s="1"/>
  <c i="18" r="M39"/>
  <c i="18" r="X39" s="1"/>
  <c i="18" r="U39"/>
  <c i="18" r="AF39" s="1"/>
  <c i="18" r="T48"/>
  <c i="18" r="AE48" s="1"/>
  <c i="18" r="O40"/>
  <c i="18" r="Z40" s="1"/>
  <c i="18" r="T39"/>
  <c i="18" r="AE39" s="1"/>
  <c i="18" r="M48"/>
  <c i="18" r="X48" s="1"/>
  <c i="18" r="U42"/>
  <c i="18" r="AF42" s="1"/>
  <c i="18" r="Q48"/>
  <c i="18" r="AB48" s="1"/>
  <c i="18" r="Q49"/>
  <c i="18" r="AB49" s="1"/>
  <c i="18" r="S49"/>
  <c i="18" r="AD49" s="1"/>
  <c i="18" r="U49"/>
  <c i="18" r="AF49" s="1"/>
  <c i="18" r="T44"/>
  <c i="18" r="AE44" s="1"/>
  <c i="18" r="T49"/>
  <c i="18" r="AE49" s="1"/>
  <c i="18" r="N42"/>
  <c i="18" r="Y42" s="1"/>
  <c i="18" r="N43"/>
  <c i="18" r="Y43" s="1"/>
  <c i="18" r="Q39"/>
  <c i="18" r="AB39" s="1"/>
  <c i="18" r="M41"/>
  <c i="18" r="X41" s="1"/>
  <c i="18" r="T40"/>
  <c i="18" r="AE40" s="1"/>
  <c i="18" r="U48"/>
  <c i="18" r="AF48" s="1"/>
  <c i="18" r="U44"/>
  <c i="18" r="AF44" s="1"/>
  <c i="18" r="M43"/>
  <c i="18" r="X43" s="1"/>
  <c i="18" r="Q42"/>
  <c i="18" r="AB42" s="1"/>
  <c i="18" r="S40"/>
  <c i="18" r="AD40" s="1"/>
  <c i="18" r="N49"/>
  <c i="18" r="Y49" s="1"/>
  <c i="18" r="N40"/>
  <c i="18" r="Y40" s="1"/>
  <c i="18" r="R48"/>
  <c i="18" r="AC48" s="1"/>
  <c i="18" r="R39"/>
  <c i="18" r="AC39" s="1"/>
  <c i="18" r="S43"/>
  <c i="18" r="AD43" s="1"/>
  <c i="18" r="N50"/>
  <c i="18" r="Y50" s="1"/>
  <c i="18" r="O48"/>
  <c i="18" r="Z48" s="1"/>
  <c i="18" r="S50"/>
  <c i="18" r="AD50" s="1"/>
  <c i="18" r="R40"/>
  <c i="18" r="AC40" s="1"/>
  <c i="18" r="S44"/>
  <c i="18" r="AD44" s="1"/>
  <c i="18" r="R50"/>
  <c i="18" r="AC50" s="1"/>
  <c i="18" r="O39"/>
  <c i="18" r="Z39" s="1"/>
  <c i="18" r="Q43"/>
  <c i="18" r="AB43" s="1"/>
  <c i="18" r="N44"/>
  <c i="18" r="Y44" s="1"/>
  <c i="18" r="R41"/>
  <c i="18" r="AC41" s="1"/>
  <c i="18" r="S42"/>
  <c i="18" r="AD42" s="1"/>
  <c i="18" r="M44"/>
  <c i="18" r="X44" s="1"/>
  <c i="18" r="N48"/>
  <c i="18" r="Y48" s="1"/>
  <c i="18" r="N39"/>
  <c i="18" r="Y39" s="1"/>
  <c i="18" r="Q40"/>
  <c i="18" r="AB40" s="1"/>
  <c i="18" r="M49"/>
  <c i="18" r="X49" s="1"/>
  <c i="18" r="S41"/>
  <c i="18" r="AD41" s="1"/>
  <c i="18" r="R49"/>
  <c i="18" r="AC49" s="1"/>
  <c i="18" r="R42"/>
  <c i="18" r="AC42" s="1"/>
  <c i="18" r="O49"/>
  <c i="18" r="Z49" s="1"/>
  <c i="18" r="O42"/>
  <c i="18" r="Z42" s="1"/>
  <c i="18" r="R43"/>
  <c i="18" r="AC43" s="1"/>
  <c i="18" r="S48"/>
  <c i="18" r="AD48" s="1"/>
  <c i="18" r="O43"/>
  <c i="18" r="Z43" s="1"/>
  <c i="18" r="Q44"/>
  <c i="18" r="AB44" s="1"/>
  <c i="18" r="Q41"/>
  <c i="18" r="AB41" s="1"/>
  <c i="18" r="Q50"/>
  <c i="18" r="AB50" s="1"/>
  <c i="18" r="R44"/>
  <c i="18" r="AC44" s="1"/>
  <c i="18" r="M42"/>
  <c i="18" r="X42" s="1"/>
  <c i="18" r="O44"/>
  <c i="18" r="Z44" s="1"/>
  <c i="18" r="O41"/>
  <c i="18" r="Z41" s="1"/>
</calcChain>
</file>

<file path=xl/sharedStrings.xml><?xml version="1.0" encoding="utf-8"?>
<sst xmlns="http://schemas.openxmlformats.org/spreadsheetml/2006/main" count="1105" uniqueCount="60">
  <si>
    <t>Mode</t>
  </si>
  <si>
    <t>Drive Alone</t>
  </si>
  <si>
    <t>Shared Ride 2</t>
  </si>
  <si>
    <t>Shared Ride 3+</t>
  </si>
  <si>
    <t>Bike</t>
  </si>
  <si>
    <t>Walk</t>
  </si>
  <si>
    <t>Work Tour Mode</t>
  </si>
  <si>
    <t>Total</t>
  </si>
  <si>
    <t>Table X. Estimated-Observed Workbased Tour Mode Share Difference</t>
  </si>
  <si>
    <t>Shared Ride 2 - Driver</t>
  </si>
  <si>
    <t>Shared Ride 3+ - Driver</t>
  </si>
  <si>
    <t>DA</t>
  </si>
  <si>
    <t>SR2</t>
  </si>
  <si>
    <t>SR3+</t>
  </si>
  <si>
    <t>D-Trans</t>
  </si>
  <si>
    <t>W-Trans</t>
  </si>
  <si>
    <t>Sch Bus</t>
  </si>
  <si>
    <t>Table X. Estimated-Observed Work Tour Mode Share Difference</t>
  </si>
  <si>
    <t>Table X. Estimated-Observed School Tour Mode Share Difference</t>
  </si>
  <si>
    <t>Table X. Estimated-Observed Escort Tour Mode Share Difference</t>
  </si>
  <si>
    <t>Table X. Estimated-Observed Personal Business Tour Mode Share Difference</t>
  </si>
  <si>
    <t>Table X. Estimated-Observed Shop Tour Mode Share Difference</t>
  </si>
  <si>
    <t>Table X. Estimated-Observed Meal Tour Mode Share Difference</t>
  </si>
  <si>
    <t>Table X. Estimated-Observed Social/Recreational Tour Mode Share Difference</t>
  </si>
  <si>
    <t>School Bus</t>
  </si>
  <si>
    <t>Table X. Estimated Work Tour Mode Shares: DaySim</t>
  </si>
  <si>
    <t>Table X. Estimated Work Tour Modes: DaySim</t>
  </si>
  <si>
    <t>Table X. Estimated Workbased Tour Mode Shares: DaySim</t>
  </si>
  <si>
    <t>Table X. Estimated Workbased Tour Modes: DaySim</t>
  </si>
  <si>
    <t>Table X. Estimated School Tour Modes: DaySim</t>
  </si>
  <si>
    <t>Table X. Estimated School Tour Mode Shares: DaySim</t>
  </si>
  <si>
    <t>Table X. Estimated Escort Tour Modes: DaySim</t>
  </si>
  <si>
    <t>Table X. Estimated Escort Tour Mode Shares: DaySim</t>
  </si>
  <si>
    <t>Table X. Estimated Personal Business Tour Modes: DaySim</t>
  </si>
  <si>
    <t>Table X. Estimated Personal Business Tour Mode Shares: DaySim</t>
  </si>
  <si>
    <t>Table X. Estimated Shop Tour Modes: DaySim</t>
  </si>
  <si>
    <t>Table X. Estimated Shop Tour Mode Shares: DaySim</t>
  </si>
  <si>
    <t>Table X. Estimated Meal Tour Mode Shares: DaySim</t>
  </si>
  <si>
    <t>Table X. Estimated Meal Tour Modes: DaySim</t>
  </si>
  <si>
    <t>Table X. Estimated Social/Recreational Tour Modes: DaySim</t>
  </si>
  <si>
    <t>Table X. Estimated Social/Recreational Tour Mode Shares: DaySim</t>
  </si>
  <si>
    <t>Workbased Tour Mode</t>
  </si>
  <si>
    <t>School Tour Mode</t>
  </si>
  <si>
    <t>Escort Tour Mode</t>
  </si>
  <si>
    <t>Personal Business Tour Mode</t>
  </si>
  <si>
    <t>Meal Tour Mode</t>
  </si>
  <si>
    <t>SocRec Tour Mode</t>
  </si>
  <si>
    <t>All Purposes Tour Mode</t>
  </si>
  <si>
    <t>TRIP MODE CHOICE ALL PURPOSES: EST-OBS</t>
  </si>
  <si>
    <t>For work-based tours, it is based on Work tour mode</t>
  </si>
  <si>
    <t>This set of summaries is just a crosstabulations from the trip file based on tour mode</t>
  </si>
  <si>
    <t>Transit - localbus</t>
  </si>
  <si>
    <t>Transit - lightrail</t>
  </si>
  <si>
    <t>Transit - premium bus</t>
  </si>
  <si>
    <t>Transit - commuter rail</t>
  </si>
  <si>
    <t>Transit - ferry</t>
  </si>
  <si>
    <t>SR3</t>
  </si>
  <si>
    <t>Shop Tour Mode</t>
  </si>
  <si>
    <t>Table X. Observed Work Tour Modes: Survey</t>
  </si>
  <si>
    <t>Table X. Observed Work Tour Mode Shares: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</si>
</sst>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mm/dd/yyyy\ hh:mm:ss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5" fontId="5" numFmtId="0">
      <alignment wrapText="1"/>
    </xf>
    <xf borderId="0" fillId="0" fontId="5" numFmtId="165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165">
      <alignment wrapText="1"/>
    </xf>
  </cellStyleXfs>
  <cellXfs count="33">
    <xf borderId="0" fillId="0" fontId="0" numFmtId="0" xfId="0"/>
    <xf applyBorder="1" applyFont="1" borderId="1" fillId="0" fontId="1" numFmtId="0" xfId="0"/>
    <xf applyBorder="1" borderId="1" fillId="0" fontId="0" numFmtId="0" xfId="0"/>
    <xf applyBorder="1" applyFont="1" borderId="0" fillId="0" fontId="1" numFmtId="0" xfId="0"/>
    <xf applyBorder="1" borderId="2" fillId="0" fontId="0" numFmtId="0" xfId="0"/>
    <xf applyAlignment="1" applyBorder="1" borderId="2" fillId="0" fontId="0" numFmtId="0" xfId="0">
      <alignment horizontal="center"/>
    </xf>
    <xf applyNumberFormat="1" borderId="0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2" fillId="0" fontId="0" numFmtId="3" xfId="0"/>
    <xf applyAlignment="1" applyBorder="1" borderId="0" fillId="0" fontId="0" numFmtId="0" xfId="0">
      <alignment horizontal="center"/>
    </xf>
    <xf applyBorder="1" applyFill="1" borderId="3" fillId="0" fontId="0" numFmtId="0" xfId="0"/>
    <xf applyNumberFormat="1" borderId="0" fillId="0" fontId="0" numFmtId="164" xfId="0"/>
    <xf applyBorder="1" applyNumberFormat="1" borderId="2" fillId="0" fontId="0" numFmtId="164" xfId="0"/>
    <xf applyBorder="1" applyNumberFormat="1" borderId="3" fillId="0" fontId="0" numFmtId="164" xfId="0"/>
    <xf applyBorder="1" applyNumberFormat="1" borderId="3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Border="1" applyFill="1" applyFont="1" borderId="0" fillId="3" fontId="3" numFmtId="0" xfId="0"/>
    <xf applyAlignment="1" applyBorder="1" applyFill="1" applyFont="1" borderId="0" fillId="3" fontId="4" numFmtId="0" xfId="0">
      <alignment horizontal="center"/>
    </xf>
    <xf applyBorder="1" applyFill="1" applyFont="1" borderId="2" fillId="3" fontId="4" numFmtId="0" xfId="0"/>
    <xf applyAlignment="1" applyBorder="1" applyFill="1" applyFont="1" borderId="2" fillId="3" fontId="4" numFmtId="0" xfId="0">
      <alignment horizontal="center"/>
    </xf>
    <xf applyFill="1" borderId="0" fillId="4" fontId="0" numFmtId="0" xfId="0"/>
    <xf applyBorder="1" applyFill="1" applyNumberFormat="1" borderId="1" fillId="4" fontId="0" numFmtId="3" xfId="0"/>
    <xf applyBorder="1" applyFill="1" applyNumberFormat="1" borderId="3" fillId="4" fontId="0" numFmtId="164" xfId="0"/>
    <xf applyAlignment="1" applyBorder="1" applyFill="1" applyFont="1" borderId="0" fillId="3" fontId="4" numFmtId="0" xfId="0">
      <alignment horizontal="center"/>
    </xf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</cellXfs>
  <cellStyles count="8">
    <cellStyle builtinId="0" name="Normal" xfId="0"/>
    <cellStyle name="XLConnect.Boolean" xfId="6" xr:uid="{00000000-0005-0000-0000-000001000000}"/>
    <cellStyle name="XLConnect.Date" xfId="3" xr:uid="{00000000-0005-0000-0000-000002000000}"/>
    <cellStyle name="XLConnect.DateTime" xfId="7" xr:uid="{00000000-0005-0000-0000-000003000000}"/>
    <cellStyle name="XLConnect.General" xfId="1" xr:uid="{00000000-0005-0000-0000-000004000000}"/>
    <cellStyle name="XLConnect.Header" xfId="2" xr:uid="{00000000-0005-0000-0000-000005000000}"/>
    <cellStyle name="XLConnect.Numeric" xfId="5" xr:uid="{00000000-0005-0000-0000-000006000000}"/>
    <cellStyle name="XLConnect.String" xfId="4" xr:uid="{00000000-0005-0000-0000-000007000000}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theme/theme1.xml" Type="http://schemas.openxmlformats.org/officeDocument/2006/relationships/theme"/><Relationship Id="rId12" Target="styles.xml" Type="http://schemas.openxmlformats.org/officeDocument/2006/relationships/styles"/><Relationship Id="rId13" Target="sharedStrings.xml" Type="http://schemas.openxmlformats.org/officeDocument/2006/relationships/sharedStrings"/><Relationship Id="rId14" Target="calcChain.xml" Type="http://schemas.openxmlformats.org/officeDocument/2006/relationships/calcChain"/><Relationship Id="rId15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G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  <col min="24" max="24" customWidth="true" width="25.0" collapsed="true"/>
    <col min="25" max="33" customWidth="true" width="10.7109375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47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47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f>SUM(Work!B5,Workbased!B5,School!B5,Escort!B5,Personal_Business!B5,Shop!B5,Meal!B5,SocRec!B5)</f>
        <v>4912807.2340688501</v>
      </c>
      <c r="C5" s="6">
        <f>SUM(Work!C5,Workbased!C5,School!C5,Escort!C5,Personal_Business!C5,Shop!C5,Meal!C5,SocRec!C5)</f>
        <v>742279.64206545323</v>
      </c>
      <c r="D5" s="6">
        <f>SUM(Work!D5,Workbased!D5,School!D5,Escort!D5,Personal_Business!D5,Shop!D5,Meal!D5,SocRec!D5)</f>
        <v>319823.31880495488</v>
      </c>
      <c r="E5" s="6">
        <f>SUM(Work!E5,Workbased!E5,School!E5,Escort!E5,Personal_Business!E5,Shop!E5,Meal!E5,SocRec!E5)</f>
        <v>102403.18352786377</v>
      </c>
      <c r="F5" s="6">
        <f>SUM(Work!F5,Workbased!F5,School!F5,Escort!F5,Personal_Business!F5,Shop!F5,Meal!F5,SocRec!F5)</f>
        <v>14139.133774352698</v>
      </c>
      <c r="G5" s="6">
        <f>SUM(Work!G5,Workbased!G5,School!G5,Escort!G5,Personal_Business!G5,Shop!G5,Meal!G5,SocRec!G5)</f>
        <v>0</v>
      </c>
      <c r="H5" s="6">
        <f>SUM(Work!H5,Workbased!H5,School!H5,Escort!H5,Personal_Business!H5,Shop!H5,Meal!H5,SocRec!H5)</f>
        <v>0</v>
      </c>
      <c r="I5" s="6">
        <f>SUM(Work!I5,Workbased!I5,School!I5,Escort!I5,Personal_Business!I5,Shop!I5,Meal!I5,SocRec!I5)</f>
        <v>1225.2074361340001</v>
      </c>
      <c r="J5" s="6">
        <f>SUM(B5:I5)</f>
        <v>6092677.7196776085</v>
      </c>
      <c r="K5" s="6"/>
      <c r="L5" t="s">
        <v>1</v>
      </c>
      <c r="M5" s="6">
        <f>SUM(Work!M5,Workbased!M5,School!M5,Escort!M5,Personal_Business!M5,Shop!M5,Meal!M5,SocRec!M5)</f>
        <v>4078779</v>
      </c>
      <c r="N5" s="6">
        <f>SUM(Work!N5,Workbased!N5,School!N5,Escort!N5,Personal_Business!N5,Shop!N5,Meal!N5,SocRec!N5)</f>
        <v>654485</v>
      </c>
      <c r="O5" s="6">
        <f>SUM(Work!O5,Workbased!O5,School!O5,Escort!O5,Personal_Business!O5,Shop!O5,Meal!O5,SocRec!O5)</f>
        <v>259459</v>
      </c>
      <c r="P5" s="6">
        <f>SUM(Work!P5,Workbased!P5,School!P5,Escort!P5,Personal_Business!P5,Shop!P5,Meal!P5,SocRec!P5)</f>
        <v>21294</v>
      </c>
      <c r="Q5" s="6">
        <f>SUM(Work!Q5,Workbased!Q5,School!Q5,Escort!Q5,Personal_Business!Q5,Shop!Q5,Meal!Q5,SocRec!Q5)</f>
        <v>19503</v>
      </c>
      <c r="R5" s="6">
        <f>SUM(Work!R5,Workbased!R5,School!R5,Escort!R5,Personal_Business!R5,Shop!R5,Meal!R5,SocRec!R5)</f>
        <v>0</v>
      </c>
      <c r="S5" s="6">
        <f>SUM(Work!S5,Workbased!S5,School!S5,Escort!S5,Personal_Business!S5,Shop!S5,Meal!S5,SocRec!S5)</f>
        <v>0</v>
      </c>
      <c r="T5" s="6">
        <f>SUM(Work!T5,Workbased!T5,School!T5,Escort!T5,Personal_Business!T5,Shop!T5,Meal!T5,SocRec!T5)</f>
        <v>763</v>
      </c>
      <c r="U5" s="6">
        <f ref="U5:U15" si="0" t="shared">SUM(M5:T5)</f>
        <v>5034283</v>
      </c>
    </row>
    <row r="6" spans="1:21" x14ac:dyDescent="0.25">
      <c r="A6" t="s">
        <v>12</v>
      </c>
      <c r="B6" s="6">
        <f>SUM(Work!B6,Workbased!B6,School!B6,Escort!B6,Personal_Business!B6,Shop!B6,Meal!B6,SocRec!B6)</f>
        <v>0</v>
      </c>
      <c r="C6" s="6">
        <f>SUM(Work!C6,Workbased!C6,School!C6,Escort!C6,Personal_Business!C6,Shop!C6,Meal!C6,SocRec!C6)</f>
        <v>2570645.9807942421</v>
      </c>
      <c r="D6" s="6">
        <f>SUM(Work!D6,Workbased!D6,School!D6,Escort!D6,Personal_Business!D6,Shop!D6,Meal!D6,SocRec!D6)</f>
        <v>510299.52757705061</v>
      </c>
      <c r="E6" s="6">
        <f>SUM(Work!E6,Workbased!E6,School!E6,Escort!E6,Personal_Business!E6,Shop!E6,Meal!E6,SocRec!E6)</f>
        <v>4105.9080229216997</v>
      </c>
      <c r="F6" s="6">
        <f>SUM(Work!F6,Workbased!F6,School!F6,Escort!F6,Personal_Business!F6,Shop!F6,Meal!F6,SocRec!F6)</f>
        <v>70756.962624445601</v>
      </c>
      <c r="G6" s="6">
        <f>SUM(Work!G6,Workbased!G6,School!G6,Escort!G6,Personal_Business!G6,Shop!G6,Meal!G6,SocRec!G6)</f>
        <v>0</v>
      </c>
      <c r="H6" s="6">
        <f>SUM(Work!H6,Workbased!H6,School!H6,Escort!H6,Personal_Business!H6,Shop!H6,Meal!H6,SocRec!H6)</f>
        <v>0</v>
      </c>
      <c r="I6" s="6">
        <f>SUM(Work!I6,Workbased!I6,School!I6,Escort!I6,Personal_Business!I6,Shop!I6,Meal!I6,SocRec!I6)</f>
        <v>41443.326479024006</v>
      </c>
      <c r="J6" s="6">
        <f ref="J6:J15" si="1" t="shared">SUM(B6:I6)</f>
        <v>3197251.7054976835</v>
      </c>
      <c r="K6" s="6"/>
      <c r="L6" t="s">
        <v>12</v>
      </c>
      <c r="M6" s="6">
        <f>SUM(Work!M6,Workbased!M6,School!M6,Escort!M6,Personal_Business!M6,Shop!M6,Meal!M6,SocRec!M6)</f>
        <v>0</v>
      </c>
      <c r="N6" s="6">
        <f>SUM(Work!N6,Workbased!N6,School!N6,Escort!N6,Personal_Business!N6,Shop!N6,Meal!N6,SocRec!N6)</f>
        <v>2359170</v>
      </c>
      <c r="O6" s="6">
        <f>SUM(Work!O6,Workbased!O6,School!O6,Escort!O6,Personal_Business!O6,Shop!O6,Meal!O6,SocRec!O6)</f>
        <v>420494</v>
      </c>
      <c r="P6" s="6">
        <f>SUM(Work!P6,Workbased!P6,School!P6,Escort!P6,Personal_Business!P6,Shop!P6,Meal!P6,SocRec!P6)</f>
        <v>1097</v>
      </c>
      <c r="Q6" s="6">
        <f>SUM(Work!Q6,Workbased!Q6,School!Q6,Escort!Q6,Personal_Business!Q6,Shop!Q6,Meal!Q6,SocRec!Q6)</f>
        <v>39083</v>
      </c>
      <c r="R6" s="6">
        <f>SUM(Work!R6,Workbased!R6,School!R6,Escort!R6,Personal_Business!R6,Shop!R6,Meal!R6,SocRec!R6)</f>
        <v>0</v>
      </c>
      <c r="S6" s="6">
        <f>SUM(Work!S6,Workbased!S6,School!S6,Escort!S6,Personal_Business!S6,Shop!S6,Meal!S6,SocRec!S6)</f>
        <v>0</v>
      </c>
      <c r="T6" s="6">
        <f>SUM(Work!T6,Workbased!T6,School!T6,Escort!T6,Personal_Business!T6,Shop!T6,Meal!T6,SocRec!T6)</f>
        <v>39507</v>
      </c>
      <c r="U6" s="6">
        <f si="0" t="shared"/>
        <v>2859351</v>
      </c>
    </row>
    <row r="7" spans="1:21" x14ac:dyDescent="0.25">
      <c r="A7" t="s">
        <v>56</v>
      </c>
      <c r="B7" s="6">
        <f>SUM(Work!B7,Workbased!B7,School!B7,Escort!B7,Personal_Business!B7,Shop!B7,Meal!B7,SocRec!B7)</f>
        <v>0</v>
      </c>
      <c r="C7" s="6">
        <f>SUM(Work!C7,Workbased!C7,School!C7,Escort!C7,Personal_Business!C7,Shop!C7,Meal!C7,SocRec!C7)</f>
        <v>0</v>
      </c>
      <c r="D7" s="6">
        <f>SUM(Work!D7,Workbased!D7,School!D7,Escort!D7,Personal_Business!D7,Shop!D7,Meal!D7,SocRec!D7)</f>
        <v>2279928.7427007793</v>
      </c>
      <c r="E7" s="6">
        <f>SUM(Work!E7,Workbased!E7,School!E7,Escort!E7,Personal_Business!E7,Shop!E7,Meal!E7,SocRec!E7)</f>
        <v>3536.5975385330003</v>
      </c>
      <c r="F7" s="6">
        <f>SUM(Work!F7,Workbased!F7,School!F7,Escort!F7,Personal_Business!F7,Shop!F7,Meal!F7,SocRec!F7)</f>
        <v>16442.458682125998</v>
      </c>
      <c r="G7" s="6">
        <f>SUM(Work!G7,Workbased!G7,School!G7,Escort!G7,Personal_Business!G7,Shop!G7,Meal!G7,SocRec!G7)</f>
        <v>0</v>
      </c>
      <c r="H7" s="6">
        <f>SUM(Work!H7,Workbased!H7,School!H7,Escort!H7,Personal_Business!H7,Shop!H7,Meal!H7,SocRec!H7)</f>
        <v>0</v>
      </c>
      <c r="I7" s="6">
        <f>SUM(Work!I7,Workbased!I7,School!I7,Escort!I7,Personal_Business!I7,Shop!I7,Meal!I7,SocRec!I7)</f>
        <v>66371.082999999999</v>
      </c>
      <c r="J7" s="6">
        <f si="1" t="shared"/>
        <v>2366278.8819214385</v>
      </c>
      <c r="K7" s="6"/>
      <c r="L7" t="s">
        <v>56</v>
      </c>
      <c r="M7" s="6">
        <f>SUM(Work!M7,Workbased!M7,School!M7,Escort!M7,Personal_Business!M7,Shop!M7,Meal!M7,SocRec!M7)</f>
        <v>0</v>
      </c>
      <c r="N7" s="6">
        <f>SUM(Work!N7,Workbased!N7,School!N7,Escort!N7,Personal_Business!N7,Shop!N7,Meal!N7,SocRec!N7)</f>
        <v>0</v>
      </c>
      <c r="O7" s="6">
        <f>SUM(Work!O7,Workbased!O7,School!O7,Escort!O7,Personal_Business!O7,Shop!O7,Meal!O7,SocRec!O7)</f>
        <v>1856647</v>
      </c>
      <c r="P7" s="6">
        <f>SUM(Work!P7,Workbased!P7,School!P7,Escort!P7,Personal_Business!P7,Shop!P7,Meal!P7,SocRec!P7)</f>
        <v>0</v>
      </c>
      <c r="Q7" s="6">
        <f>SUM(Work!Q7,Workbased!Q7,School!Q7,Escort!Q7,Personal_Business!Q7,Shop!Q7,Meal!Q7,SocRec!Q7)</f>
        <v>17209</v>
      </c>
      <c r="R7" s="6">
        <f>SUM(Work!R7,Workbased!R7,School!R7,Escort!R7,Personal_Business!R7,Shop!R7,Meal!R7,SocRec!R7)</f>
        <v>0</v>
      </c>
      <c r="S7" s="6">
        <f>SUM(Work!S7,Workbased!S7,School!S7,Escort!S7,Personal_Business!S7,Shop!S7,Meal!S7,SocRec!S7)</f>
        <v>0</v>
      </c>
      <c r="T7" s="6">
        <f>SUM(Work!T7,Workbased!T7,School!T7,Escort!T7,Personal_Business!T7,Shop!T7,Meal!T7,SocRec!T7)</f>
        <v>38927</v>
      </c>
      <c r="U7" s="6">
        <f si="0" t="shared"/>
        <v>1912783</v>
      </c>
    </row>
    <row r="8" spans="1:21" x14ac:dyDescent="0.25">
      <c r="A8" t="s">
        <v>51</v>
      </c>
      <c r="B8" s="6">
        <f>SUM(Work!B8,Workbased!B8,School!B8,Escort!B8,Personal_Business!B8,Shop!B8,Meal!B8,SocRec!B8)</f>
        <v>0</v>
      </c>
      <c r="C8" s="6">
        <f>SUM(Work!C8,Workbased!C8,School!C8,Escort!C8,Personal_Business!C8,Shop!C8,Meal!C8,SocRec!C8)</f>
        <v>0</v>
      </c>
      <c r="D8" s="6">
        <f>SUM(Work!D8,Workbased!D8,School!D8,Escort!D8,Personal_Business!D8,Shop!D8,Meal!D8,SocRec!D8)</f>
        <v>0</v>
      </c>
      <c r="E8" s="6">
        <f>SUM(Work!E8,Workbased!E8,School!E8,Escort!E8,Personal_Business!E8,Shop!E8,Meal!E8,SocRec!E8)</f>
        <v>98979.425015788482</v>
      </c>
      <c r="F8" s="6">
        <f>SUM(Work!F8,Workbased!F8,School!F8,Escort!F8,Personal_Business!F8,Shop!F8,Meal!F8,SocRec!F8)</f>
        <v>606060.60068406642</v>
      </c>
      <c r="G8" s="6">
        <f>SUM(Work!G8,Workbased!G8,School!G8,Escort!G8,Personal_Business!G8,Shop!G8,Meal!G8,SocRec!G8)</f>
        <v>0</v>
      </c>
      <c r="H8" s="6">
        <f>SUM(Work!H8,Workbased!H8,School!H8,Escort!H8,Personal_Business!H8,Shop!H8,Meal!H8,SocRec!H8)</f>
        <v>0</v>
      </c>
      <c r="I8" s="6">
        <f>SUM(Work!I8,Workbased!I8,School!I8,Escort!I8,Personal_Business!I8,Shop!I8,Meal!I8,SocRec!I8)</f>
        <v>9930.1187767880001</v>
      </c>
      <c r="J8" s="6">
        <f si="1" t="shared"/>
        <v>714970.14447664295</v>
      </c>
      <c r="K8" s="6"/>
      <c r="L8" t="s">
        <v>51</v>
      </c>
      <c r="M8" s="6">
        <f>SUM(Work!M8,Workbased!M8,School!M8,Escort!M8,Personal_Business!M8,Shop!M8,Meal!M8,SocRec!M8)</f>
        <v>0</v>
      </c>
      <c r="N8" s="6">
        <f>SUM(Work!N8,Workbased!N8,School!N8,Escort!N8,Personal_Business!N8,Shop!N8,Meal!N8,SocRec!N8)</f>
        <v>0</v>
      </c>
      <c r="O8" s="6">
        <f>SUM(Work!O8,Workbased!O8,School!O8,Escort!O8,Personal_Business!O8,Shop!O8,Meal!O8,SocRec!O8)</f>
        <v>0</v>
      </c>
      <c r="P8" s="6">
        <f>SUM(Work!P8,Workbased!P8,School!P8,Escort!P8,Personal_Business!P8,Shop!P8,Meal!P8,SocRec!P8)</f>
        <v>0</v>
      </c>
      <c r="Q8" s="6">
        <f>SUM(Work!Q8,Workbased!Q8,School!Q8,Escort!Q8,Personal_Business!Q8,Shop!Q8,Meal!Q8,SocRec!Q8)</f>
        <v>294608</v>
      </c>
      <c r="R8" s="6">
        <f>SUM(Work!R8,Workbased!R8,School!R8,Escort!R8,Personal_Business!R8,Shop!R8,Meal!R8,SocRec!R8)</f>
        <v>0</v>
      </c>
      <c r="S8" s="6">
        <f>SUM(Work!S8,Workbased!S8,School!S8,Escort!S8,Personal_Business!S8,Shop!S8,Meal!S8,SocRec!S8)</f>
        <v>0</v>
      </c>
      <c r="T8" s="6">
        <f>SUM(Work!T8,Workbased!T8,School!T8,Escort!T8,Personal_Business!T8,Shop!T8,Meal!T8,SocRec!T8)</f>
        <v>109</v>
      </c>
      <c r="U8" s="6">
        <f si="0" t="shared"/>
        <v>294717</v>
      </c>
    </row>
    <row r="9" spans="1:21" x14ac:dyDescent="0.25">
      <c r="A9" t="s">
        <v>52</v>
      </c>
      <c r="B9" s="6">
        <f>SUM(Work!B9,Workbased!B9,School!B9,Escort!B9,Personal_Business!B9,Shop!B9,Meal!B9,SocRec!B9)</f>
        <v>0</v>
      </c>
      <c r="C9" s="6">
        <f>SUM(Work!C9,Workbased!C9,School!C9,Escort!C9,Personal_Business!C9,Shop!C9,Meal!C9,SocRec!C9)</f>
        <v>0</v>
      </c>
      <c r="D9" s="6">
        <f>SUM(Work!D9,Workbased!D9,School!D9,Escort!D9,Personal_Business!D9,Shop!D9,Meal!D9,SocRec!D9)</f>
        <v>0</v>
      </c>
      <c r="E9" s="6">
        <f>SUM(Work!E9,Workbased!E9,School!E9,Escort!E9,Personal_Business!E9,Shop!E9,Meal!E9,SocRec!E9)</f>
        <v>0</v>
      </c>
      <c r="F9" s="6">
        <f>SUM(Work!F9,Workbased!F9,School!F9,Escort!F9,Personal_Business!F9,Shop!F9,Meal!F9,SocRec!F9)</f>
        <v>2479.7092862560999</v>
      </c>
      <c r="G9" s="6">
        <f>SUM(Work!G9,Workbased!G9,School!G9,Escort!G9,Personal_Business!G9,Shop!G9,Meal!G9,SocRec!G9)</f>
        <v>0</v>
      </c>
      <c r="H9" s="6">
        <f>SUM(Work!H9,Workbased!H9,School!H9,Escort!H9,Personal_Business!H9,Shop!H9,Meal!H9,SocRec!H9)</f>
        <v>0</v>
      </c>
      <c r="I9" s="6">
        <f>SUM(Work!I9,Workbased!I9,School!I9,Escort!I9,Personal_Business!I9,Shop!I9,Meal!I9,SocRec!I9)</f>
        <v>0</v>
      </c>
      <c r="J9" s="6">
        <f si="1" t="shared"/>
        <v>2479.7092862560999</v>
      </c>
      <c r="K9" s="6"/>
      <c r="L9" t="s">
        <v>52</v>
      </c>
      <c r="M9" s="6">
        <f>SUM(Work!M9,Workbased!M9,School!M9,Escort!M9,Personal_Business!M9,Shop!M9,Meal!M9,SocRec!M9)</f>
        <v>0</v>
      </c>
      <c r="N9" s="6">
        <f>SUM(Work!N9,Workbased!N9,School!N9,Escort!N9,Personal_Business!N9,Shop!N9,Meal!N9,SocRec!N9)</f>
        <v>0</v>
      </c>
      <c r="O9" s="6">
        <f>SUM(Work!O9,Workbased!O9,School!O9,Escort!O9,Personal_Business!O9,Shop!O9,Meal!O9,SocRec!O9)</f>
        <v>0</v>
      </c>
      <c r="P9" s="6">
        <f>SUM(Work!P9,Workbased!P9,School!P9,Escort!P9,Personal_Business!P9,Shop!P9,Meal!P9,SocRec!P9)</f>
        <v>0</v>
      </c>
      <c r="Q9" s="6">
        <f>SUM(Work!Q9,Workbased!Q9,School!Q9,Escort!Q9,Personal_Business!Q9,Shop!Q9,Meal!Q9,SocRec!Q9)</f>
        <v>0</v>
      </c>
      <c r="R9" s="6">
        <f>SUM(Work!R9,Workbased!R9,School!R9,Escort!R9,Personal_Business!R9,Shop!R9,Meal!R9,SocRec!R9)</f>
        <v>0</v>
      </c>
      <c r="S9" s="6">
        <f>SUM(Work!S9,Workbased!S9,School!S9,Escort!S9,Personal_Business!S9,Shop!S9,Meal!S9,SocRec!S9)</f>
        <v>0</v>
      </c>
      <c r="T9" s="6">
        <f>SUM(Work!T9,Workbased!T9,School!T9,Escort!T9,Personal_Business!T9,Shop!T9,Meal!T9,SocRec!T9)</f>
        <v>0</v>
      </c>
      <c r="U9" s="6">
        <f si="0" t="shared"/>
        <v>0</v>
      </c>
    </row>
    <row r="10" spans="1:21" x14ac:dyDescent="0.25">
      <c r="A10" t="s">
        <v>53</v>
      </c>
      <c r="B10" s="6">
        <f>SUM(Work!B10,Workbased!B10,School!B10,Escort!B10,Personal_Business!B10,Shop!B10,Meal!B10,SocRec!B10)</f>
        <v>0</v>
      </c>
      <c r="C10" s="6">
        <f>SUM(Work!C10,Workbased!C10,School!C10,Escort!C10,Personal_Business!C10,Shop!C10,Meal!C10,SocRec!C10)</f>
        <v>0</v>
      </c>
      <c r="D10" s="6">
        <f>SUM(Work!D10,Workbased!D10,School!D10,Escort!D10,Personal_Business!D10,Shop!D10,Meal!D10,SocRec!D10)</f>
        <v>0</v>
      </c>
      <c r="E10" s="6">
        <f>SUM(Work!E10,Workbased!E10,School!E10,Escort!E10,Personal_Business!E10,Shop!E10,Meal!E10,SocRec!E10)</f>
        <v>0</v>
      </c>
      <c r="F10" s="6">
        <f>SUM(Work!F10,Workbased!F10,School!F10,Escort!F10,Personal_Business!F10,Shop!F10,Meal!F10,SocRec!F10)</f>
        <v>0</v>
      </c>
      <c r="G10" s="6">
        <f>SUM(Work!G10,Workbased!G10,School!G10,Escort!G10,Personal_Business!G10,Shop!G10,Meal!G10,SocRec!G10)</f>
        <v>0</v>
      </c>
      <c r="H10" s="6">
        <f>SUM(Work!H10,Workbased!H10,School!H10,Escort!H10,Personal_Business!H10,Shop!H10,Meal!H10,SocRec!H10)</f>
        <v>0</v>
      </c>
      <c r="I10" s="6">
        <f>SUM(Work!I10,Workbased!I10,School!I10,Escort!I10,Personal_Business!I10,Shop!I10,Meal!I10,SocRec!I10)</f>
        <v>0</v>
      </c>
      <c r="J10" s="6">
        <f si="1" t="shared"/>
        <v>0</v>
      </c>
      <c r="K10" s="6"/>
      <c r="L10" t="s">
        <v>53</v>
      </c>
      <c r="M10" s="6">
        <f>SUM(Work!M10,Workbased!M10,School!M10,Escort!M10,Personal_Business!M10,Shop!M10,Meal!M10,SocRec!M10)</f>
        <v>0</v>
      </c>
      <c r="N10" s="6">
        <f>SUM(Work!N10,Workbased!N10,School!N10,Escort!N10,Personal_Business!N10,Shop!N10,Meal!N10,SocRec!N10)</f>
        <v>0</v>
      </c>
      <c r="O10" s="6">
        <f>SUM(Work!O10,Workbased!O10,School!O10,Escort!O10,Personal_Business!O10,Shop!O10,Meal!O10,SocRec!O10)</f>
        <v>0</v>
      </c>
      <c r="P10" s="6">
        <f>SUM(Work!P10,Workbased!P10,School!P10,Escort!P10,Personal_Business!P10,Shop!P10,Meal!P10,SocRec!P10)</f>
        <v>0</v>
      </c>
      <c r="Q10" s="6">
        <f>SUM(Work!Q10,Workbased!Q10,School!Q10,Escort!Q10,Personal_Business!Q10,Shop!Q10,Meal!Q10,SocRec!Q10)</f>
        <v>0</v>
      </c>
      <c r="R10" s="6">
        <f>SUM(Work!R10,Workbased!R10,School!R10,Escort!R10,Personal_Business!R10,Shop!R10,Meal!R10,SocRec!R10)</f>
        <v>0</v>
      </c>
      <c r="S10" s="6">
        <f>SUM(Work!S10,Workbased!S10,School!S10,Escort!S10,Personal_Business!S10,Shop!S10,Meal!S10,SocRec!S10)</f>
        <v>0</v>
      </c>
      <c r="T10" s="6">
        <f>SUM(Work!T10,Workbased!T10,School!T10,Escort!T10,Personal_Business!T10,Shop!T10,Meal!T10,SocRec!T10)</f>
        <v>0</v>
      </c>
      <c r="U10" s="6">
        <f si="0" t="shared"/>
        <v>0</v>
      </c>
    </row>
    <row r="11" spans="1:21" x14ac:dyDescent="0.25">
      <c r="A11" t="s">
        <v>54</v>
      </c>
      <c r="B11" s="6">
        <f>SUM(Work!B11,Workbased!B11,School!B11,Escort!B11,Personal_Business!B11,Shop!B11,Meal!B11,SocRec!B11)</f>
        <v>0</v>
      </c>
      <c r="C11" s="6">
        <f>SUM(Work!C11,Workbased!C11,School!C11,Escort!C11,Personal_Business!C11,Shop!C11,Meal!C11,SocRec!C11)</f>
        <v>0</v>
      </c>
      <c r="D11" s="6">
        <f>SUM(Work!D11,Workbased!D11,School!D11,Escort!D11,Personal_Business!D11,Shop!D11,Meal!D11,SocRec!D11)</f>
        <v>0</v>
      </c>
      <c r="E11" s="6">
        <f>SUM(Work!E11,Workbased!E11,School!E11,Escort!E11,Personal_Business!E11,Shop!E11,Meal!E11,SocRec!E11)</f>
        <v>0</v>
      </c>
      <c r="F11" s="6">
        <f>SUM(Work!F11,Workbased!F11,School!F11,Escort!F11,Personal_Business!F11,Shop!F11,Meal!F11,SocRec!F11)</f>
        <v>0</v>
      </c>
      <c r="G11" s="6">
        <f>SUM(Work!G11,Workbased!G11,School!G11,Escort!G11,Personal_Business!G11,Shop!G11,Meal!G11,SocRec!G11)</f>
        <v>0</v>
      </c>
      <c r="H11" s="6">
        <f>SUM(Work!H11,Workbased!H11,School!H11,Escort!H11,Personal_Business!H11,Shop!H11,Meal!H11,SocRec!H11)</f>
        <v>0</v>
      </c>
      <c r="I11" s="6">
        <f>SUM(Work!I11,Workbased!I11,School!I11,Escort!I11,Personal_Business!I11,Shop!I11,Meal!I11,SocRec!I11)</f>
        <v>0</v>
      </c>
      <c r="J11" s="6">
        <f si="1" t="shared"/>
        <v>0</v>
      </c>
      <c r="K11" s="6"/>
      <c r="L11" t="s">
        <v>54</v>
      </c>
      <c r="M11" s="6">
        <f>SUM(Work!M11,Workbased!M11,School!M11,Escort!M11,Personal_Business!M11,Shop!M11,Meal!M11,SocRec!M11)</f>
        <v>0</v>
      </c>
      <c r="N11" s="6">
        <f>SUM(Work!N11,Workbased!N11,School!N11,Escort!N11,Personal_Business!N11,Shop!N11,Meal!N11,SocRec!N11)</f>
        <v>0</v>
      </c>
      <c r="O11" s="6">
        <f>SUM(Work!O11,Workbased!O11,School!O11,Escort!O11,Personal_Business!O11,Shop!O11,Meal!O11,SocRec!O11)</f>
        <v>0</v>
      </c>
      <c r="P11" s="6">
        <f>SUM(Work!P11,Workbased!P11,School!P11,Escort!P11,Personal_Business!P11,Shop!P11,Meal!P11,SocRec!P11)</f>
        <v>0</v>
      </c>
      <c r="Q11" s="6">
        <f>SUM(Work!Q11,Workbased!Q11,School!Q11,Escort!Q11,Personal_Business!Q11,Shop!Q11,Meal!Q11,SocRec!Q11)</f>
        <v>0</v>
      </c>
      <c r="R11" s="6">
        <f>SUM(Work!R11,Workbased!R11,School!R11,Escort!R11,Personal_Business!R11,Shop!R11,Meal!R11,SocRec!R11)</f>
        <v>0</v>
      </c>
      <c r="S11" s="6">
        <f>SUM(Work!S11,Workbased!S11,School!S11,Escort!S11,Personal_Business!S11,Shop!S11,Meal!S11,SocRec!S11)</f>
        <v>0</v>
      </c>
      <c r="T11" s="6">
        <f>SUM(Work!T11,Workbased!T11,School!T11,Escort!T11,Personal_Business!T11,Shop!T11,Meal!T11,SocRec!T11)</f>
        <v>0</v>
      </c>
      <c r="U11" s="6">
        <f si="0" t="shared"/>
        <v>0</v>
      </c>
    </row>
    <row r="12" spans="1:21" x14ac:dyDescent="0.25">
      <c r="A12" t="s">
        <v>55</v>
      </c>
      <c r="B12" s="6">
        <f>SUM(Work!B12,Workbased!B12,School!B12,Escort!B12,Personal_Business!B12,Shop!B12,Meal!B12,SocRec!B12)</f>
        <v>0</v>
      </c>
      <c r="C12" s="6">
        <f>SUM(Work!C12,Workbased!C12,School!C12,Escort!C12,Personal_Business!C12,Shop!C12,Meal!C12,SocRec!C12)</f>
        <v>0</v>
      </c>
      <c r="D12" s="6">
        <f>SUM(Work!D12,Workbased!D12,School!D12,Escort!D12,Personal_Business!D12,Shop!D12,Meal!D12,SocRec!D12)</f>
        <v>0</v>
      </c>
      <c r="E12" s="6">
        <f>SUM(Work!E12,Workbased!E12,School!E12,Escort!E12,Personal_Business!E12,Shop!E12,Meal!E12,SocRec!E12)</f>
        <v>0</v>
      </c>
      <c r="F12" s="6">
        <f>SUM(Work!F12,Workbased!F12,School!F12,Escort!F12,Personal_Business!F12,Shop!F12,Meal!F12,SocRec!F12)</f>
        <v>0</v>
      </c>
      <c r="G12" s="6">
        <f>SUM(Work!G12,Workbased!G12,School!G12,Escort!G12,Personal_Business!G12,Shop!G12,Meal!G12,SocRec!G12)</f>
        <v>0</v>
      </c>
      <c r="H12" s="6">
        <f>SUM(Work!H12,Workbased!H12,School!H12,Escort!H12,Personal_Business!H12,Shop!H12,Meal!H12,SocRec!H12)</f>
        <v>0</v>
      </c>
      <c r="I12" s="6">
        <f>SUM(Work!I12,Workbased!I12,School!I12,Escort!I12,Personal_Business!I12,Shop!I12,Meal!I12,SocRec!I12)</f>
        <v>0</v>
      </c>
      <c r="J12" s="6">
        <f si="1" t="shared"/>
        <v>0</v>
      </c>
      <c r="K12" s="6"/>
      <c r="L12" t="s">
        <v>55</v>
      </c>
      <c r="M12" s="6">
        <f>SUM(Work!M12,Workbased!M12,School!M12,Escort!M12,Personal_Business!M12,Shop!M12,Meal!M12,SocRec!M12)</f>
        <v>0</v>
      </c>
      <c r="N12" s="6">
        <f>SUM(Work!N12,Workbased!N12,School!N12,Escort!N12,Personal_Business!N12,Shop!N12,Meal!N12,SocRec!N12)</f>
        <v>0</v>
      </c>
      <c r="O12" s="6">
        <f>SUM(Work!O12,Workbased!O12,School!O12,Escort!O12,Personal_Business!O12,Shop!O12,Meal!O12,SocRec!O12)</f>
        <v>0</v>
      </c>
      <c r="P12" s="6">
        <f>SUM(Work!P12,Workbased!P12,School!P12,Escort!P12,Personal_Business!P12,Shop!P12,Meal!P12,SocRec!P12)</f>
        <v>0</v>
      </c>
      <c r="Q12" s="6">
        <f>SUM(Work!Q12,Workbased!Q12,School!Q12,Escort!Q12,Personal_Business!Q12,Shop!Q12,Meal!Q12,SocRec!Q12)</f>
        <v>0</v>
      </c>
      <c r="R12" s="6">
        <f>SUM(Work!R12,Workbased!R12,School!R12,Escort!R12,Personal_Business!R12,Shop!R12,Meal!R12,SocRec!R12)</f>
        <v>0</v>
      </c>
      <c r="S12" s="6">
        <f>SUM(Work!S12,Workbased!S12,School!S12,Escort!S12,Personal_Business!S12,Shop!S12,Meal!S12,SocRec!S12)</f>
        <v>0</v>
      </c>
      <c r="T12" s="6">
        <f>SUM(Work!T12,Workbased!T12,School!T12,Escort!T12,Personal_Business!T12,Shop!T12,Meal!T12,SocRec!T12)</f>
        <v>0</v>
      </c>
      <c r="U12" s="6">
        <f si="0" t="shared"/>
        <v>0</v>
      </c>
    </row>
    <row r="13" spans="1:21" x14ac:dyDescent="0.25">
      <c r="A13" t="s">
        <v>24</v>
      </c>
      <c r="B13" s="6">
        <f>SUM(Work!B13,Workbased!B13,School!B13,Escort!B13,Personal_Business!B13,Shop!B13,Meal!B13,SocRec!B13)</f>
        <v>0</v>
      </c>
      <c r="C13" s="6">
        <f>SUM(Work!C13,Workbased!C13,School!C13,Escort!C13,Personal_Business!C13,Shop!C13,Meal!C13,SocRec!C13)</f>
        <v>0</v>
      </c>
      <c r="D13" s="6">
        <f>SUM(Work!D13,Workbased!D13,School!D13,Escort!D13,Personal_Business!D13,Shop!D13,Meal!D13,SocRec!D13)</f>
        <v>0</v>
      </c>
      <c r="E13" s="6">
        <f>SUM(Work!E13,Workbased!E13,School!E13,Escort!E13,Personal_Business!E13,Shop!E13,Meal!E13,SocRec!E13)</f>
        <v>0</v>
      </c>
      <c r="F13" s="6">
        <f>SUM(Work!F13,Workbased!F13,School!F13,Escort!F13,Personal_Business!F13,Shop!F13,Meal!F13,SocRec!F13)</f>
        <v>0</v>
      </c>
      <c r="G13" s="6">
        <f>SUM(Work!G13,Workbased!G13,School!G13,Escort!G13,Personal_Business!G13,Shop!G13,Meal!G13,SocRec!G13)</f>
        <v>0</v>
      </c>
      <c r="H13" s="6">
        <f>SUM(Work!H13,Workbased!H13,School!H13,Escort!H13,Personal_Business!H13,Shop!H13,Meal!H13,SocRec!H13)</f>
        <v>0</v>
      </c>
      <c r="I13" s="6">
        <f>SUM(Work!I13,Workbased!I13,School!I13,Escort!I13,Personal_Business!I13,Shop!I13,Meal!I13,SocRec!I13)</f>
        <v>330427.71211364598</v>
      </c>
      <c r="J13" s="6">
        <f si="1" t="shared"/>
        <v>330427.71211364598</v>
      </c>
      <c r="K13" s="6"/>
      <c r="L13" t="s">
        <v>24</v>
      </c>
      <c r="M13" s="6">
        <f>SUM(Work!M13,Workbased!M13,School!M13,Escort!M13,Personal_Business!M13,Shop!M13,Meal!M13,SocRec!M13)</f>
        <v>0</v>
      </c>
      <c r="N13" s="6">
        <f>SUM(Work!N13,Workbased!N13,School!N13,Escort!N13,Personal_Business!N13,Shop!N13,Meal!N13,SocRec!N13)</f>
        <v>0</v>
      </c>
      <c r="O13" s="6">
        <f>SUM(Work!O13,Workbased!O13,School!O13,Escort!O13,Personal_Business!O13,Shop!O13,Meal!O13,SocRec!O13)</f>
        <v>0</v>
      </c>
      <c r="P13" s="6">
        <f>SUM(Work!P13,Workbased!P13,School!P13,Escort!P13,Personal_Business!P13,Shop!P13,Meal!P13,SocRec!P13)</f>
        <v>0</v>
      </c>
      <c r="Q13" s="6">
        <f>SUM(Work!Q13,Workbased!Q13,School!Q13,Escort!Q13,Personal_Business!Q13,Shop!Q13,Meal!Q13,SocRec!Q13)</f>
        <v>0</v>
      </c>
      <c r="R13" s="6">
        <f>SUM(Work!R13,Workbased!R13,School!R13,Escort!R13,Personal_Business!R13,Shop!R13,Meal!R13,SocRec!R13)</f>
        <v>0</v>
      </c>
      <c r="S13" s="6">
        <f>SUM(Work!S13,Workbased!S13,School!S13,Escort!S13,Personal_Business!S13,Shop!S13,Meal!S13,SocRec!S13)</f>
        <v>0</v>
      </c>
      <c r="T13" s="6">
        <f>SUM(Work!T13,Workbased!T13,School!T13,Escort!T13,Personal_Business!T13,Shop!T13,Meal!T13,SocRec!T13)</f>
        <v>252075</v>
      </c>
      <c r="U13" s="6">
        <f si="0" t="shared"/>
        <v>252075</v>
      </c>
    </row>
    <row r="14" spans="1:21" x14ac:dyDescent="0.25">
      <c r="A14" t="s">
        <v>4</v>
      </c>
      <c r="B14" s="6">
        <f>SUM(Work!B14,Workbased!B14,School!B14,Escort!B14,Personal_Business!B14,Shop!B14,Meal!B14,SocRec!B14)</f>
        <v>3124.7290846010001</v>
      </c>
      <c r="C14" s="6">
        <f>SUM(Work!C14,Workbased!C14,School!C14,Escort!C14,Personal_Business!C14,Shop!C14,Meal!C14,SocRec!C14)</f>
        <v>13309.757100214902</v>
      </c>
      <c r="D14" s="6">
        <f>SUM(Work!D14,Workbased!D14,School!D14,Escort!D14,Personal_Business!D14,Shop!D14,Meal!D14,SocRec!D14)</f>
        <v>10448.757249194001</v>
      </c>
      <c r="E14" s="6">
        <f>SUM(Work!E14,Workbased!E14,School!E14,Escort!E14,Personal_Business!E14,Shop!E14,Meal!E14,SocRec!E14)</f>
        <v>243.46345759299999</v>
      </c>
      <c r="F14" s="6">
        <f>SUM(Work!F14,Workbased!F14,School!F14,Escort!F14,Personal_Business!F14,Shop!F14,Meal!F14,SocRec!F14)</f>
        <v>8022.5949984507997</v>
      </c>
      <c r="G14" s="6">
        <f>SUM(Work!G14,Workbased!G14,School!G14,Escort!G14,Personal_Business!G14,Shop!G14,Meal!G14,SocRec!G14)</f>
        <v>167488.08024078258</v>
      </c>
      <c r="H14" s="6">
        <f>SUM(Work!H14,Workbased!H14,School!H14,Escort!H14,Personal_Business!H14,Shop!H14,Meal!H14,SocRec!H14)</f>
        <v>0</v>
      </c>
      <c r="I14" s="6">
        <f>SUM(Work!I14,Workbased!I14,School!I14,Escort!I14,Personal_Business!I14,Shop!I14,Meal!I14,SocRec!I14)</f>
        <v>3038.6592608359997</v>
      </c>
      <c r="J14" s="6">
        <f si="1" t="shared"/>
        <v>205676.04139167228</v>
      </c>
      <c r="K14" s="6"/>
      <c r="L14" t="s">
        <v>4</v>
      </c>
      <c r="M14" s="6">
        <f>SUM(Work!M14,Workbased!M14,School!M14,Escort!M14,Personal_Business!M14,Shop!M14,Meal!M14,SocRec!M14)</f>
        <v>3704</v>
      </c>
      <c r="N14" s="6">
        <f>SUM(Work!N14,Workbased!N14,School!N14,Escort!N14,Personal_Business!N14,Shop!N14,Meal!N14,SocRec!N14)</f>
        <v>11406</v>
      </c>
      <c r="O14" s="6">
        <f>SUM(Work!O14,Workbased!O14,School!O14,Escort!O14,Personal_Business!O14,Shop!O14,Meal!O14,SocRec!O14)</f>
        <v>9256</v>
      </c>
      <c r="P14" s="6">
        <f>SUM(Work!P14,Workbased!P14,School!P14,Escort!P14,Personal_Business!P14,Shop!P14,Meal!P14,SocRec!P14)</f>
        <v>0</v>
      </c>
      <c r="Q14" s="6">
        <f>SUM(Work!Q14,Workbased!Q14,School!Q14,Escort!Q14,Personal_Business!Q14,Shop!Q14,Meal!Q14,SocRec!Q14)</f>
        <v>4631</v>
      </c>
      <c r="R14" s="6">
        <f>SUM(Work!R14,Workbased!R14,School!R14,Escort!R14,Personal_Business!R14,Shop!R14,Meal!R14,SocRec!R14)</f>
        <v>165948</v>
      </c>
      <c r="S14" s="6">
        <f>SUM(Work!S14,Workbased!S14,School!S14,Escort!S14,Personal_Business!S14,Shop!S14,Meal!S14,SocRec!S14)</f>
        <v>0</v>
      </c>
      <c r="T14" s="6">
        <f>SUM(Work!T14,Workbased!T14,School!T14,Escort!T14,Personal_Business!T14,Shop!T14,Meal!T14,SocRec!T14)</f>
        <v>1804</v>
      </c>
      <c r="U14" s="6">
        <f si="0" t="shared"/>
        <v>196749</v>
      </c>
    </row>
    <row r="15" spans="1:21" x14ac:dyDescent="0.25">
      <c r="A15" s="4" t="s">
        <v>5</v>
      </c>
      <c r="B15" s="6">
        <f>SUM(Work!B15,Workbased!B15,School!B15,Escort!B15,Personal_Business!B15,Shop!B15,Meal!B15,SocRec!B15)</f>
        <v>74657.8532573267</v>
      </c>
      <c r="C15" s="6">
        <f>SUM(Work!C15,Workbased!C15,School!C15,Escort!C15,Personal_Business!C15,Shop!C15,Meal!C15,SocRec!C15)</f>
        <v>55377.158052566097</v>
      </c>
      <c r="D15" s="6">
        <f>SUM(Work!D15,Workbased!D15,School!D15,Escort!D15,Personal_Business!D15,Shop!D15,Meal!D15,SocRec!D15)</f>
        <v>78971.674231611803</v>
      </c>
      <c r="E15" s="6">
        <f>SUM(Work!E15,Workbased!E15,School!E15,Escort!E15,Personal_Business!E15,Shop!E15,Meal!E15,SocRec!E15)</f>
        <v>12730.3133403764</v>
      </c>
      <c r="F15" s="6">
        <f>SUM(Work!F15,Workbased!F15,School!F15,Escort!F15,Personal_Business!F15,Shop!F15,Meal!F15,SocRec!F15)</f>
        <v>197490.87819161516</v>
      </c>
      <c r="G15" s="6">
        <f>SUM(Work!G15,Workbased!G15,School!G15,Escort!G15,Personal_Business!G15,Shop!G15,Meal!G15,SocRec!G15)</f>
        <v>13868.884492029802</v>
      </c>
      <c r="H15" s="6">
        <f>SUM(Work!H15,Workbased!H15,School!H15,Escort!H15,Personal_Business!H15,Shop!H15,Meal!H15,SocRec!H15)</f>
        <v>1437045.7247083341</v>
      </c>
      <c r="I15" s="6">
        <f>SUM(Work!I15,Workbased!I15,School!I15,Escort!I15,Personal_Business!I15,Shop!I15,Meal!I15,SocRec!I15)</f>
        <v>12129.539610361</v>
      </c>
      <c r="J15" s="6">
        <f si="1" t="shared"/>
        <v>1882272.0258842211</v>
      </c>
      <c r="K15" s="6"/>
      <c r="L15" s="4" t="s">
        <v>5</v>
      </c>
      <c r="M15" s="6">
        <f>SUM(Work!M15,Workbased!M15,School!M15,Escort!M15,Personal_Business!M15,Shop!M15,Meal!M15,SocRec!M15)</f>
        <v>213153</v>
      </c>
      <c r="N15" s="6">
        <f>SUM(Work!N15,Workbased!N15,School!N15,Escort!N15,Personal_Business!N15,Shop!N15,Meal!N15,SocRec!N15)</f>
        <v>150697</v>
      </c>
      <c r="O15" s="6">
        <f>SUM(Work!O15,Workbased!O15,School!O15,Escort!O15,Personal_Business!O15,Shop!O15,Meal!O15,SocRec!O15)</f>
        <v>93843</v>
      </c>
      <c r="P15" s="6">
        <f>SUM(Work!P15,Workbased!P15,School!P15,Escort!P15,Personal_Business!P15,Shop!P15,Meal!P15,SocRec!P15)</f>
        <v>0</v>
      </c>
      <c r="Q15" s="6">
        <f>SUM(Work!Q15,Workbased!Q15,School!Q15,Escort!Q15,Personal_Business!Q15,Shop!Q15,Meal!Q15,SocRec!Q15)</f>
        <v>96638</v>
      </c>
      <c r="R15" s="6">
        <f>SUM(Work!R15,Workbased!R15,School!R15,Escort!R15,Personal_Business!R15,Shop!R15,Meal!R15,SocRec!R15)</f>
        <v>25315</v>
      </c>
      <c r="S15" s="6">
        <f>SUM(Work!S15,Workbased!S15,School!S15,Escort!S15,Personal_Business!S15,Shop!S15,Meal!S15,SocRec!S15)</f>
        <v>1017222</v>
      </c>
      <c r="T15" s="6">
        <f>SUM(Work!T15,Workbased!T15,School!T15,Escort!T15,Personal_Business!T15,Shop!T15,Meal!T15,SocRec!T15)</f>
        <v>13864</v>
      </c>
      <c r="U15" s="6">
        <f si="0" t="shared"/>
        <v>1610732</v>
      </c>
    </row>
    <row ht="15.75" r="16" spans="1:21" thickBot="1" x14ac:dyDescent="0.3">
      <c r="A16" s="12" t="s">
        <v>7</v>
      </c>
      <c r="B16" s="16">
        <f ref="B16:J16" si="2" t="shared">SUM(B5:B15)</f>
        <v>4990589.8164107772</v>
      </c>
      <c r="C16" s="16">
        <f si="2" t="shared"/>
        <v>3381612.5380124762</v>
      </c>
      <c r="D16" s="16">
        <f si="2" t="shared"/>
        <v>3199472.0205635908</v>
      </c>
      <c r="E16" s="16">
        <f si="2" t="shared"/>
        <v>221998.89090307633</v>
      </c>
      <c r="F16" s="16">
        <f si="2" t="shared"/>
        <v>915392.33824131289</v>
      </c>
      <c r="G16" s="16">
        <f si="2" t="shared"/>
        <v>181356.9647328124</v>
      </c>
      <c r="H16" s="16">
        <f si="2" t="shared"/>
        <v>1437045.7247083341</v>
      </c>
      <c r="I16" s="16">
        <f si="2" t="shared"/>
        <v>464565.64667678898</v>
      </c>
      <c r="J16" s="16">
        <f si="2" t="shared"/>
        <v>14792033.940249169</v>
      </c>
      <c r="L16" s="9" t="s">
        <v>7</v>
      </c>
      <c r="M16" s="16">
        <f ref="M16:U16" si="3" t="shared">SUM(M5:M15)</f>
        <v>4295636</v>
      </c>
      <c r="N16" s="16">
        <f si="3" t="shared"/>
        <v>3175758</v>
      </c>
      <c r="O16" s="16">
        <f si="3" t="shared"/>
        <v>2639699</v>
      </c>
      <c r="P16" s="16">
        <f si="3" t="shared"/>
        <v>22391</v>
      </c>
      <c r="Q16" s="16">
        <f si="3" t="shared"/>
        <v>471672</v>
      </c>
      <c r="R16" s="16">
        <f si="3" t="shared"/>
        <v>191263</v>
      </c>
      <c r="S16" s="16">
        <f si="3" t="shared"/>
        <v>1017222</v>
      </c>
      <c r="T16" s="16">
        <f si="3" t="shared"/>
        <v>347049</v>
      </c>
      <c r="U16" s="16">
        <f si="3" t="shared"/>
        <v>12160690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47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D33" si="4" t="shared">B5/B$16</f>
        <v>0.9844141503903705</v>
      </c>
      <c r="C22" s="13">
        <f si="4" t="shared"/>
        <v>0.21950463978990448</v>
      </c>
      <c r="D22" s="13">
        <f si="4" t="shared"/>
        <v>9.9961280095400742E-2</v>
      </c>
      <c r="E22" s="13">
        <f ref="E22:E33" si="5" t="shared">IF(E$16&gt;0,E5/E$16,0)</f>
        <v>0.46127790598995616</v>
      </c>
      <c r="F22" s="13">
        <f ref="F22:J33" si="6" t="shared">F5/F$16</f>
        <v>1.5445982212957286E-2</v>
      </c>
      <c r="G22" s="13">
        <f si="6" t="shared"/>
        <v>0</v>
      </c>
      <c r="H22" s="13">
        <f si="6" t="shared"/>
        <v>0</v>
      </c>
      <c r="I22" s="13">
        <f si="6" t="shared"/>
        <v>2.6373182022785477E-3</v>
      </c>
      <c r="J22" s="13">
        <f si="6" t="shared"/>
        <v>0.411889111685947</v>
      </c>
      <c r="K22" s="6"/>
      <c r="L22" t="s">
        <v>1</v>
      </c>
      <c r="M22" s="13">
        <f ref="M22:P22" si="7" t="shared">M5/M$16</f>
        <v>0.94951690506365061</v>
      </c>
      <c r="N22" s="13">
        <f si="7" t="shared"/>
        <v>0.20608780643865182</v>
      </c>
      <c r="O22" s="13">
        <f si="7" t="shared"/>
        <v>9.8291130920608746E-2</v>
      </c>
      <c r="P22" s="13">
        <f si="7" t="shared"/>
        <v>0.95100710106739317</v>
      </c>
      <c r="Q22" s="13">
        <f ref="Q22:U33" si="8" t="shared">Q5/Q$16</f>
        <v>4.134864906121203E-2</v>
      </c>
      <c r="R22" s="13">
        <f si="8" t="shared"/>
        <v>0</v>
      </c>
      <c r="S22" s="13">
        <f si="8" t="shared"/>
        <v>0</v>
      </c>
      <c r="T22" s="13">
        <f si="8" t="shared"/>
        <v>2.198536806041798E-3</v>
      </c>
      <c r="U22" s="13">
        <f si="8" t="shared"/>
        <v>0.41398004554017903</v>
      </c>
    </row>
    <row r="23" spans="1:21" x14ac:dyDescent="0.25">
      <c r="A23" t="s">
        <v>12</v>
      </c>
      <c r="B23" s="13">
        <f si="4" t="shared"/>
        <v>0</v>
      </c>
      <c r="C23" s="13">
        <f si="4" t="shared"/>
        <v>0.76018347811814213</v>
      </c>
      <c r="D23" s="13">
        <f si="4" t="shared"/>
        <v>0.15949491800436522</v>
      </c>
      <c r="E23" s="13">
        <f si="5" t="shared"/>
        <v>1.8495173584963179E-2</v>
      </c>
      <c r="F23" s="13">
        <f si="6" t="shared"/>
        <v>7.7296870061624737E-2</v>
      </c>
      <c r="G23" s="13">
        <f si="6" t="shared"/>
        <v>0</v>
      </c>
      <c r="H23" s="13">
        <f si="6" t="shared"/>
        <v>0</v>
      </c>
      <c r="I23" s="13">
        <f si="6" t="shared"/>
        <v>8.9208762583896484E-2</v>
      </c>
      <c r="J23" s="13">
        <f si="6" t="shared"/>
        <v>0.21614686110190376</v>
      </c>
      <c r="K23" s="6"/>
      <c r="L23" t="s">
        <v>12</v>
      </c>
      <c r="M23" s="13">
        <f ref="M23:P23" si="9" t="shared">M6/M$16</f>
        <v>0</v>
      </c>
      <c r="N23" s="13">
        <f si="9" t="shared"/>
        <v>0.7428683167924004</v>
      </c>
      <c r="O23" s="13">
        <f si="9" t="shared"/>
        <v>0.159296192482552</v>
      </c>
      <c r="P23" s="13">
        <f si="9" t="shared"/>
        <v>4.8992898932606853E-2</v>
      </c>
      <c r="Q23" s="13">
        <f si="8" t="shared"/>
        <v>8.2860547159890774E-2</v>
      </c>
      <c r="R23" s="13">
        <f si="8" t="shared"/>
        <v>0</v>
      </c>
      <c r="S23" s="13">
        <f si="8" t="shared"/>
        <v>0</v>
      </c>
      <c r="T23" s="13">
        <f si="8" t="shared"/>
        <v>0.11383695097810395</v>
      </c>
      <c r="U23" s="13">
        <f si="8" t="shared"/>
        <v>0.23513065459279037</v>
      </c>
    </row>
    <row r="24" spans="1:21" x14ac:dyDescent="0.25">
      <c r="A24" t="s">
        <v>56</v>
      </c>
      <c r="B24" s="13">
        <f si="4" t="shared"/>
        <v>0</v>
      </c>
      <c r="C24" s="13">
        <f si="4" t="shared"/>
        <v>0</v>
      </c>
      <c r="D24" s="13">
        <f si="4" t="shared"/>
        <v>0.71259530574021623</v>
      </c>
      <c r="E24" s="13">
        <f si="5" t="shared"/>
        <v>1.5930699131632427E-2</v>
      </c>
      <c r="F24" s="13">
        <f si="6" t="shared"/>
        <v>1.796219827851726E-2</v>
      </c>
      <c r="G24" s="13">
        <f si="6" t="shared"/>
        <v>0</v>
      </c>
      <c r="H24" s="13">
        <f si="6" t="shared"/>
        <v>0</v>
      </c>
      <c r="I24" s="13">
        <f si="6" t="shared"/>
        <v>0.14286696288194589</v>
      </c>
      <c r="J24" s="13">
        <f si="6" t="shared"/>
        <v>0.1599698115539599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0.7033555719799871</v>
      </c>
      <c r="P24" s="13">
        <f si="10" t="shared"/>
        <v>0</v>
      </c>
      <c r="Q24" s="13">
        <f si="8" t="shared"/>
        <v>3.6485099815125765E-2</v>
      </c>
      <c r="R24" s="13">
        <f si="8" t="shared"/>
        <v>0</v>
      </c>
      <c r="S24" s="13">
        <f si="8" t="shared"/>
        <v>0</v>
      </c>
      <c r="T24" s="13">
        <f si="8" t="shared"/>
        <v>0.1121657172330132</v>
      </c>
      <c r="U24" s="13">
        <f si="8" t="shared"/>
        <v>0.15729230824895626</v>
      </c>
    </row>
    <row r="25" spans="1:21" x14ac:dyDescent="0.25">
      <c r="A25" t="s">
        <v>51</v>
      </c>
      <c r="B25" s="13">
        <f si="4" t="shared"/>
        <v>0</v>
      </c>
      <c r="C25" s="13">
        <f si="4" t="shared"/>
        <v>0</v>
      </c>
      <c r="D25" s="13">
        <f si="4" t="shared"/>
        <v>0</v>
      </c>
      <c r="E25" s="13">
        <f si="5" t="shared"/>
        <v>0.44585549330065088</v>
      </c>
      <c r="F25" s="13">
        <f si="6" t="shared"/>
        <v>0.662077423379415</v>
      </c>
      <c r="G25" s="13">
        <f si="6" t="shared"/>
        <v>0</v>
      </c>
      <c r="H25" s="13">
        <f si="6" t="shared"/>
        <v>0</v>
      </c>
      <c r="I25" s="13">
        <f si="6" t="shared"/>
        <v>2.137506044155834E-2</v>
      </c>
      <c r="J25" s="13">
        <f si="6" t="shared"/>
        <v>4.83348096255517E-2</v>
      </c>
      <c r="K25" s="6"/>
      <c r="L25" t="s">
        <v>51</v>
      </c>
      <c r="M25" s="13">
        <f ref="M25:P25" si="11" t="shared">M8/M$16</f>
        <v>0</v>
      </c>
      <c r="N25" s="13">
        <f si="11" t="shared"/>
        <v>0</v>
      </c>
      <c r="O25" s="13">
        <f si="11" t="shared"/>
        <v>0</v>
      </c>
      <c r="P25" s="13">
        <f si="11" t="shared"/>
        <v>0</v>
      </c>
      <c r="Q25" s="13">
        <f si="8" t="shared"/>
        <v>0.62460353805186652</v>
      </c>
      <c r="R25" s="13">
        <f si="8" t="shared"/>
        <v>0</v>
      </c>
      <c r="S25" s="13">
        <f si="8" t="shared"/>
        <v>0</v>
      </c>
      <c r="T25" s="13">
        <f si="8" t="shared"/>
        <v>3.1407668657739974E-4</v>
      </c>
      <c r="U25" s="13">
        <f si="8" t="shared"/>
        <v>2.4235220205432423E-2</v>
      </c>
    </row>
    <row r="26" spans="1:21" x14ac:dyDescent="0.25">
      <c r="A26" t="s">
        <v>52</v>
      </c>
      <c r="B26" s="13">
        <f si="4" t="shared"/>
        <v>0</v>
      </c>
      <c r="C26" s="13">
        <f si="4" t="shared"/>
        <v>0</v>
      </c>
      <c r="D26" s="13">
        <f si="4" t="shared"/>
        <v>0</v>
      </c>
      <c r="E26" s="13">
        <f si="5" t="shared"/>
        <v>0</v>
      </c>
      <c r="F26" s="13">
        <f si="6" t="shared"/>
        <v>2.7089032567393051E-3</v>
      </c>
      <c r="G26" s="13">
        <f si="6" t="shared"/>
        <v>0</v>
      </c>
      <c r="H26" s="13">
        <f si="6" t="shared"/>
        <v>0</v>
      </c>
      <c r="I26" s="13">
        <f si="6" t="shared"/>
        <v>0</v>
      </c>
      <c r="J26" s="13">
        <f si="6" t="shared"/>
        <v>1.6763815552834848E-4</v>
      </c>
      <c r="K26" s="6"/>
      <c r="L26" t="s">
        <v>52</v>
      </c>
      <c r="M26" s="13">
        <f ref="M26:P26" si="12" t="shared">M9/M$16</f>
        <v>0</v>
      </c>
      <c r="N26" s="13">
        <f si="12" t="shared"/>
        <v>0</v>
      </c>
      <c r="O26" s="13">
        <f si="12" t="shared"/>
        <v>0</v>
      </c>
      <c r="P26" s="13">
        <f si="12" t="shared"/>
        <v>0</v>
      </c>
      <c r="Q26" s="13">
        <f si="8" t="shared"/>
        <v>0</v>
      </c>
      <c r="R26" s="13">
        <f si="8" t="shared"/>
        <v>0</v>
      </c>
      <c r="S26" s="13">
        <f si="8" t="shared"/>
        <v>0</v>
      </c>
      <c r="T26" s="13">
        <f si="8" t="shared"/>
        <v>0</v>
      </c>
      <c r="U26" s="13">
        <f si="8" t="shared"/>
        <v>0</v>
      </c>
    </row>
    <row r="27" spans="1:21" x14ac:dyDescent="0.25">
      <c r="A27" t="s">
        <v>53</v>
      </c>
      <c r="B27" s="13">
        <f si="4" t="shared"/>
        <v>0</v>
      </c>
      <c r="C27" s="13">
        <f si="4" t="shared"/>
        <v>0</v>
      </c>
      <c r="D27" s="13">
        <f si="4" t="shared"/>
        <v>0</v>
      </c>
      <c r="E27" s="13">
        <f si="5" t="shared"/>
        <v>0</v>
      </c>
      <c r="F27" s="13">
        <f si="6" t="shared"/>
        <v>0</v>
      </c>
      <c r="G27" s="13">
        <f si="6" t="shared"/>
        <v>0</v>
      </c>
      <c r="H27" s="13">
        <f si="6" t="shared"/>
        <v>0</v>
      </c>
      <c r="I27" s="13">
        <f si="6" t="shared"/>
        <v>0</v>
      </c>
      <c r="J27" s="13">
        <f si="6" t="shared"/>
        <v>0</v>
      </c>
      <c r="K27" s="6"/>
      <c r="L27" t="s">
        <v>53</v>
      </c>
      <c r="M27" s="13">
        <f ref="M27:P27" si="13" t="shared">M10/M$16</f>
        <v>0</v>
      </c>
      <c r="N27" s="13">
        <f si="13" t="shared"/>
        <v>0</v>
      </c>
      <c r="O27" s="13">
        <f si="13" t="shared"/>
        <v>0</v>
      </c>
      <c r="P27" s="13">
        <f si="13" t="shared"/>
        <v>0</v>
      </c>
      <c r="Q27" s="13">
        <f si="8" t="shared"/>
        <v>0</v>
      </c>
      <c r="R27" s="13">
        <f si="8" t="shared"/>
        <v>0</v>
      </c>
      <c r="S27" s="13">
        <f si="8" t="shared"/>
        <v>0</v>
      </c>
      <c r="T27" s="13">
        <f si="8" t="shared"/>
        <v>0</v>
      </c>
      <c r="U27" s="13">
        <f si="8" t="shared"/>
        <v>0</v>
      </c>
    </row>
    <row r="28" spans="1:21" x14ac:dyDescent="0.25">
      <c r="A28" t="s">
        <v>54</v>
      </c>
      <c r="B28" s="13">
        <f si="4" t="shared"/>
        <v>0</v>
      </c>
      <c r="C28" s="13">
        <f si="4" t="shared"/>
        <v>0</v>
      </c>
      <c r="D28" s="13">
        <f si="4" t="shared"/>
        <v>0</v>
      </c>
      <c r="E28" s="13">
        <f si="5" t="shared"/>
        <v>0</v>
      </c>
      <c r="F28" s="13">
        <f si="6" t="shared"/>
        <v>0</v>
      </c>
      <c r="G28" s="13">
        <f si="6" t="shared"/>
        <v>0</v>
      </c>
      <c r="H28" s="13">
        <f si="6" t="shared"/>
        <v>0</v>
      </c>
      <c r="I28" s="13">
        <f si="6" t="shared"/>
        <v>0</v>
      </c>
      <c r="J28" s="13">
        <f si="6" t="shared"/>
        <v>0</v>
      </c>
      <c r="K28" s="6"/>
      <c r="L28" t="s">
        <v>54</v>
      </c>
      <c r="M28" s="13">
        <f ref="M28:P28" si="14" t="shared">M11/M$16</f>
        <v>0</v>
      </c>
      <c r="N28" s="13">
        <f si="14" t="shared"/>
        <v>0</v>
      </c>
      <c r="O28" s="13">
        <f si="14" t="shared"/>
        <v>0</v>
      </c>
      <c r="P28" s="13">
        <f si="14" t="shared"/>
        <v>0</v>
      </c>
      <c r="Q28" s="13">
        <f si="8" t="shared"/>
        <v>0</v>
      </c>
      <c r="R28" s="13">
        <f si="8" t="shared"/>
        <v>0</v>
      </c>
      <c r="S28" s="13">
        <f si="8" t="shared"/>
        <v>0</v>
      </c>
      <c r="T28" s="13">
        <f si="8" t="shared"/>
        <v>0</v>
      </c>
      <c r="U28" s="13">
        <f si="8" t="shared"/>
        <v>0</v>
      </c>
    </row>
    <row r="29" spans="1:21" x14ac:dyDescent="0.25">
      <c r="A29" t="s">
        <v>55</v>
      </c>
      <c r="B29" s="13">
        <f si="4" t="shared"/>
        <v>0</v>
      </c>
      <c r="C29" s="13">
        <f si="4" t="shared"/>
        <v>0</v>
      </c>
      <c r="D29" s="13">
        <f si="4" t="shared"/>
        <v>0</v>
      </c>
      <c r="E29" s="13">
        <f si="5" t="shared"/>
        <v>0</v>
      </c>
      <c r="F29" s="13">
        <f si="6" t="shared"/>
        <v>0</v>
      </c>
      <c r="G29" s="13">
        <f si="6" t="shared"/>
        <v>0</v>
      </c>
      <c r="H29" s="13">
        <f si="6" t="shared"/>
        <v>0</v>
      </c>
      <c r="I29" s="13">
        <f si="6" t="shared"/>
        <v>0</v>
      </c>
      <c r="J29" s="13">
        <f si="6" t="shared"/>
        <v>0</v>
      </c>
      <c r="K29" s="6"/>
      <c r="L29" t="s">
        <v>55</v>
      </c>
      <c r="M29" s="13">
        <f ref="M29:P29" si="15" t="shared">M12/M$16</f>
        <v>0</v>
      </c>
      <c r="N29" s="13">
        <f si="15" t="shared"/>
        <v>0</v>
      </c>
      <c r="O29" s="13">
        <f si="15" t="shared"/>
        <v>0</v>
      </c>
      <c r="P29" s="13">
        <f si="15" t="shared"/>
        <v>0</v>
      </c>
      <c r="Q29" s="13">
        <f si="8" t="shared"/>
        <v>0</v>
      </c>
      <c r="R29" s="13">
        <f si="8" t="shared"/>
        <v>0</v>
      </c>
      <c r="S29" s="13">
        <f si="8" t="shared"/>
        <v>0</v>
      </c>
      <c r="T29" s="13">
        <f si="8" t="shared"/>
        <v>0</v>
      </c>
      <c r="U29" s="13">
        <f si="8" t="shared"/>
        <v>0</v>
      </c>
    </row>
    <row r="30" spans="1:21" x14ac:dyDescent="0.25">
      <c r="A30" t="s">
        <v>24</v>
      </c>
      <c r="B30" s="13">
        <f si="4" t="shared"/>
        <v>0</v>
      </c>
      <c r="C30" s="13">
        <f si="4" t="shared"/>
        <v>0</v>
      </c>
      <c r="D30" s="13">
        <f si="4" t="shared"/>
        <v>0</v>
      </c>
      <c r="E30" s="13">
        <f si="5" t="shared"/>
        <v>0</v>
      </c>
      <c r="F30" s="13">
        <f si="6" t="shared"/>
        <v>0</v>
      </c>
      <c r="G30" s="13">
        <f si="6" t="shared"/>
        <v>0</v>
      </c>
      <c r="H30" s="13">
        <f si="6" t="shared"/>
        <v>0</v>
      </c>
      <c r="I30" s="13">
        <f si="6" t="shared"/>
        <v>0.71126161496726759</v>
      </c>
      <c r="J30" s="13">
        <f si="6" t="shared"/>
        <v>2.2338220250735848E-2</v>
      </c>
      <c r="K30" s="6"/>
      <c r="L30" t="s">
        <v>24</v>
      </c>
      <c r="M30" s="13">
        <f ref="M30:P30" si="16" t="shared">M13/M$16</f>
        <v>0</v>
      </c>
      <c r="N30" s="13">
        <f si="16" t="shared"/>
        <v>0</v>
      </c>
      <c r="O30" s="13">
        <f si="16" t="shared"/>
        <v>0</v>
      </c>
      <c r="P30" s="13">
        <f si="16" t="shared"/>
        <v>0</v>
      </c>
      <c r="Q30" s="13">
        <f si="8" t="shared"/>
        <v>0</v>
      </c>
      <c r="R30" s="13">
        <f si="8" t="shared"/>
        <v>0</v>
      </c>
      <c r="S30" s="13">
        <f si="8" t="shared"/>
        <v>0</v>
      </c>
      <c r="T30" s="13">
        <f si="8" t="shared"/>
        <v>0.72633835567888105</v>
      </c>
      <c r="U30" s="13">
        <f si="8" t="shared"/>
        <v>2.0728675757707829E-2</v>
      </c>
    </row>
    <row r="31" spans="1:21" x14ac:dyDescent="0.25">
      <c r="A31" t="s">
        <v>4</v>
      </c>
      <c r="B31" s="13">
        <f si="4" t="shared"/>
        <v>6.2612420566519314E-4</v>
      </c>
      <c r="C31" s="13">
        <f si="4" t="shared"/>
        <v>3.9359202009694571E-3</v>
      </c>
      <c r="D31" s="13">
        <f si="4" t="shared"/>
        <v>3.2657754723397895E-3</v>
      </c>
      <c r="E31" s="13">
        <f si="5" t="shared"/>
        <v>1.0966877203872833E-3</v>
      </c>
      <c r="F31" s="13">
        <f si="6" t="shared"/>
        <v>8.7641054696438892E-3</v>
      </c>
      <c r="G31" s="13">
        <f si="6" t="shared"/>
        <v>0.92352714706897299</v>
      </c>
      <c r="H31" s="13">
        <f si="6" t="shared"/>
        <v>0</v>
      </c>
      <c r="I31" s="13">
        <f si="6" t="shared"/>
        <v>6.5408608720267216E-3</v>
      </c>
      <c r="J31" s="13">
        <f si="6" t="shared"/>
        <v>1.3904513890549369E-2</v>
      </c>
      <c r="K31" s="6"/>
      <c r="L31" t="s">
        <v>4</v>
      </c>
      <c r="M31" s="13">
        <f ref="M31:P31" si="17" t="shared">M14/M$16</f>
        <v>8.622704530830825E-4</v>
      </c>
      <c r="N31" s="13">
        <f si="17" t="shared"/>
        <v>3.5915834896739613E-3</v>
      </c>
      <c r="O31" s="13">
        <f si="17" t="shared"/>
        <v>3.5064603956739006E-3</v>
      </c>
      <c r="P31" s="13">
        <f si="17" t="shared"/>
        <v>0</v>
      </c>
      <c r="Q31" s="13">
        <f si="8" t="shared"/>
        <v>9.8182635390695223E-3</v>
      </c>
      <c r="R31" s="13">
        <f si="8" t="shared"/>
        <v>0.86764298374489579</v>
      </c>
      <c r="S31" s="13">
        <f si="8" t="shared"/>
        <v>0</v>
      </c>
      <c r="T31" s="13">
        <f si="8" t="shared"/>
        <v>5.1981132347305422E-3</v>
      </c>
      <c r="U31" s="13">
        <f si="8" t="shared"/>
        <v>1.6179098389976228E-2</v>
      </c>
    </row>
    <row r="32" spans="1:21" x14ac:dyDescent="0.25">
      <c r="A32" s="4" t="s">
        <v>5</v>
      </c>
      <c r="B32" s="14">
        <f si="4" t="shared"/>
        <v>1.4959725403964473E-2</v>
      </c>
      <c r="C32" s="14">
        <f si="4" t="shared"/>
        <v>1.6375961890984031E-2</v>
      </c>
      <c r="D32" s="14">
        <f si="4" t="shared"/>
        <v>2.4682720687677979E-2</v>
      </c>
      <c r="E32" s="13">
        <f si="5" t="shared"/>
        <v>5.734404027241017E-2</v>
      </c>
      <c r="F32" s="14">
        <f si="6" t="shared"/>
        <v>0.21574451734110237</v>
      </c>
      <c r="G32" s="14">
        <f si="6" t="shared"/>
        <v>7.6472852931026944E-2</v>
      </c>
      <c r="H32" s="14">
        <f si="6" t="shared"/>
        <v>1</v>
      </c>
      <c r="I32" s="14">
        <f si="6" t="shared"/>
        <v>2.61094200510264E-2</v>
      </c>
      <c r="J32" s="14">
        <f si="6" t="shared"/>
        <v>0.12724903373582405</v>
      </c>
      <c r="K32" s="6"/>
      <c r="L32" s="4" t="s">
        <v>5</v>
      </c>
      <c r="M32" s="14">
        <f ref="M32:P32" si="18" t="shared">M15/M$16</f>
        <v>4.9620824483266275E-2</v>
      </c>
      <c r="N32" s="14">
        <f si="18" t="shared"/>
        <v>4.7452293279273798E-2</v>
      </c>
      <c r="O32" s="14">
        <f si="18" t="shared"/>
        <v>3.5550644221178249E-2</v>
      </c>
      <c r="P32" s="14">
        <f si="18" t="shared"/>
        <v>0</v>
      </c>
      <c r="Q32" s="14">
        <f si="8" t="shared"/>
        <v>0.20488390237283535</v>
      </c>
      <c r="R32" s="14">
        <f si="8" t="shared"/>
        <v>0.13235701625510424</v>
      </c>
      <c r="S32" s="14">
        <f si="8" t="shared"/>
        <v>1</v>
      </c>
      <c r="T32" s="14">
        <f si="8" t="shared"/>
        <v>3.9948249382652019E-2</v>
      </c>
      <c r="U32" s="14">
        <f si="8" t="shared"/>
        <v>0.13245399726495782</v>
      </c>
    </row>
    <row ht="15.75" r="33" spans="1:32" thickBot="1" x14ac:dyDescent="0.3">
      <c r="A33" s="12" t="s">
        <v>7</v>
      </c>
      <c r="B33" s="15">
        <f si="4" t="shared"/>
        <v>1</v>
      </c>
      <c r="C33" s="15">
        <f si="4" t="shared"/>
        <v>1</v>
      </c>
      <c r="D33" s="15">
        <f si="4" t="shared"/>
        <v>1</v>
      </c>
      <c r="E33" s="15">
        <f si="5" t="shared"/>
        <v>1</v>
      </c>
      <c r="F33" s="15">
        <f si="6" t="shared"/>
        <v>1</v>
      </c>
      <c r="G33" s="15">
        <f si="6" t="shared"/>
        <v>1</v>
      </c>
      <c r="H33" s="15">
        <f si="6" t="shared"/>
        <v>1</v>
      </c>
      <c r="I33" s="15">
        <f si="6" t="shared"/>
        <v>1</v>
      </c>
      <c r="J33" s="15">
        <f si="6" t="shared"/>
        <v>1</v>
      </c>
      <c r="L33" s="9" t="s">
        <v>7</v>
      </c>
      <c r="M33" s="15">
        <f ref="M33:P33" si="19" t="shared">M16/M$16</f>
        <v>1</v>
      </c>
      <c r="N33" s="15">
        <f si="19" t="shared"/>
        <v>1</v>
      </c>
      <c r="O33" s="15">
        <f si="19" t="shared"/>
        <v>1</v>
      </c>
      <c r="P33" s="15">
        <f si="19" t="shared"/>
        <v>1</v>
      </c>
      <c r="Q33" s="15">
        <f si="8" t="shared"/>
        <v>1</v>
      </c>
      <c r="R33" s="15">
        <f si="8" t="shared"/>
        <v>1</v>
      </c>
      <c r="S33" s="15">
        <f si="8" t="shared"/>
        <v>1</v>
      </c>
      <c r="T33" s="15">
        <f si="8" t="shared"/>
        <v>1</v>
      </c>
      <c r="U33" s="15">
        <f si="8" t="shared"/>
        <v>1</v>
      </c>
    </row>
    <row ht="15.75" r="36" spans="1:32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  <c r="W36" s="18" t="s">
        <v>48</v>
      </c>
      <c r="X36" s="18"/>
      <c r="Y36" s="19"/>
      <c r="Z36" s="19"/>
      <c r="AA36" s="19"/>
      <c r="AB36" s="19"/>
      <c r="AC36" s="19"/>
      <c r="AD36" s="19"/>
      <c r="AE36" s="19"/>
      <c r="AF36" s="19"/>
    </row>
    <row r="37" spans="1:32" x14ac:dyDescent="0.25">
      <c r="L37" s="3"/>
      <c r="M37" s="31" t="s">
        <v>47</v>
      </c>
      <c r="N37" s="32"/>
      <c r="O37" s="32"/>
      <c r="P37" s="32"/>
      <c r="Q37" s="32"/>
      <c r="R37" s="32"/>
      <c r="S37" s="32"/>
      <c r="T37" s="32"/>
      <c r="U37" s="32"/>
      <c r="W37" s="23"/>
      <c r="X37" s="30" t="s">
        <v>47</v>
      </c>
      <c r="Y37" s="30"/>
      <c r="Z37" s="30"/>
      <c r="AA37" s="30"/>
      <c r="AB37" s="30"/>
      <c r="AC37" s="30"/>
      <c r="AD37" s="30"/>
      <c r="AE37" s="30"/>
      <c r="AF37" s="24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  <c r="W38" s="25" t="s">
        <v>0</v>
      </c>
      <c r="X38" s="26" t="s">
        <v>11</v>
      </c>
      <c r="Y38" s="26" t="s">
        <v>12</v>
      </c>
      <c r="Z38" s="26" t="s">
        <v>13</v>
      </c>
      <c r="AA38" s="26" t="s">
        <v>14</v>
      </c>
      <c r="AB38" s="26" t="s">
        <v>15</v>
      </c>
      <c r="AC38" s="5" t="s">
        <v>4</v>
      </c>
      <c r="AD38" s="5" t="s">
        <v>5</v>
      </c>
      <c r="AE38" s="5" t="s">
        <v>16</v>
      </c>
      <c r="AF38" s="26" t="s">
        <v>7</v>
      </c>
    </row>
    <row r="39" spans="1:32" x14ac:dyDescent="0.25">
      <c r="L39" t="s">
        <v>1</v>
      </c>
      <c r="M39" s="13">
        <f ref="M39:P44" si="20" t="shared">M22-B22</f>
        <v>-3.4897245326719895E-2</v>
      </c>
      <c r="N39" s="13">
        <f si="20" t="shared"/>
        <v>-1.3416833351252655E-2</v>
      </c>
      <c r="O39" s="13">
        <f si="20" t="shared"/>
        <v>-1.6701491747919961E-3</v>
      </c>
      <c r="P39" s="13">
        <f si="20" t="shared"/>
        <v>0.48972919507743701</v>
      </c>
      <c r="Q39" s="13">
        <f ref="Q39:Q50" si="21" t="shared">Q22-F22</f>
        <v>2.5902666848254742E-2</v>
      </c>
      <c r="R39" s="13">
        <f ref="R39:R50" si="22" t="shared">R22-G22</f>
        <v>0</v>
      </c>
      <c r="S39" s="13">
        <f ref="S39:S50" si="23" t="shared">S22-H22</f>
        <v>0</v>
      </c>
      <c r="T39" s="13">
        <f ref="T39:T50" si="24" t="shared">T22-I22</f>
        <v>-4.3878139623674964E-4</v>
      </c>
      <c r="U39" s="13">
        <f ref="U39:U50" si="25" t="shared">U22-J22</f>
        <v>2.0909338542320355E-3</v>
      </c>
      <c r="W39" s="21" t="s">
        <v>1</v>
      </c>
      <c r="X39" s="22">
        <f>M39</f>
        <v>-3.4897245326719895E-2</v>
      </c>
      <c r="Y39" s="22">
        <f ref="Y39:AF39" si="26" t="shared">N39</f>
        <v>-1.3416833351252655E-2</v>
      </c>
      <c r="Z39" s="22">
        <f si="26" t="shared"/>
        <v>-1.6701491747919961E-3</v>
      </c>
      <c r="AA39" s="22">
        <f si="26" t="shared"/>
        <v>0.48972919507743701</v>
      </c>
      <c r="AB39" s="22">
        <f si="26" t="shared"/>
        <v>2.5902666848254742E-2</v>
      </c>
      <c r="AC39" s="22">
        <f si="26" t="shared"/>
        <v>0</v>
      </c>
      <c r="AD39" s="22">
        <f si="26" t="shared"/>
        <v>0</v>
      </c>
      <c r="AE39" s="22">
        <f si="26" t="shared"/>
        <v>-4.3878139623674964E-4</v>
      </c>
      <c r="AF39" s="22">
        <f si="26" t="shared"/>
        <v>2.0909338542320355E-3</v>
      </c>
    </row>
    <row r="40" spans="1:32" x14ac:dyDescent="0.25">
      <c r="L40" t="s">
        <v>9</v>
      </c>
      <c r="M40" s="13">
        <f si="20" t="shared"/>
        <v>0</v>
      </c>
      <c r="N40" s="13">
        <f si="20" t="shared"/>
        <v>-1.7315161325741735E-2</v>
      </c>
      <c r="O40" s="13">
        <f si="20" t="shared"/>
        <v>-1.9872552181321446E-4</v>
      </c>
      <c r="P40" s="13">
        <f si="20" t="shared"/>
        <v>3.0497725347643674E-2</v>
      </c>
      <c r="Q40" s="13">
        <f si="21" t="shared"/>
        <v>5.5636770982660372E-3</v>
      </c>
      <c r="R40" s="13">
        <f si="22" t="shared"/>
        <v>0</v>
      </c>
      <c r="S40" s="13">
        <f si="23" t="shared"/>
        <v>0</v>
      </c>
      <c r="T40" s="13">
        <f si="24" t="shared"/>
        <v>2.4628188394207468E-2</v>
      </c>
      <c r="U40" s="13">
        <f si="25" t="shared"/>
        <v>1.8983793490886608E-2</v>
      </c>
      <c r="W40" s="27" t="s">
        <v>9</v>
      </c>
      <c r="X40" s="22">
        <f ref="X40:X49" si="27" t="shared">M40</f>
        <v>0</v>
      </c>
      <c r="Y40" s="22">
        <f ref="Y40:Y50" si="28" t="shared">N40</f>
        <v>-1.7315161325741735E-2</v>
      </c>
      <c r="Z40" s="22">
        <f ref="Z40:Z50" si="29" t="shared">O40</f>
        <v>-1.9872552181321446E-4</v>
      </c>
      <c r="AA40" s="22">
        <f ref="AA40:AA50" si="30" t="shared">P40</f>
        <v>3.0497725347643674E-2</v>
      </c>
      <c r="AB40" s="22">
        <f ref="AB40:AB50" si="31" t="shared">Q40</f>
        <v>5.5636770982660372E-3</v>
      </c>
      <c r="AC40" s="22">
        <f ref="AC40:AC50" si="32" t="shared">R40</f>
        <v>0</v>
      </c>
      <c r="AD40" s="22">
        <f ref="AD40:AD50" si="33" t="shared">S40</f>
        <v>0</v>
      </c>
      <c r="AE40" s="22">
        <f ref="AE40:AE50" si="34" t="shared">T40</f>
        <v>2.4628188394207468E-2</v>
      </c>
      <c r="AF40" s="22">
        <f ref="AF40:AF50" si="35" t="shared">U40</f>
        <v>1.8983793490886608E-2</v>
      </c>
    </row>
    <row r="41" spans="1:32" x14ac:dyDescent="0.25">
      <c r="L41" t="s">
        <v>10</v>
      </c>
      <c r="M41" s="13">
        <f si="20" t="shared"/>
        <v>0</v>
      </c>
      <c r="N41" s="13">
        <f si="20" t="shared"/>
        <v>0</v>
      </c>
      <c r="O41" s="13">
        <f si="20" t="shared"/>
        <v>-9.2397337602291296E-3</v>
      </c>
      <c r="P41" s="13">
        <f si="20" t="shared"/>
        <v>-1.5930699131632427E-2</v>
      </c>
      <c r="Q41" s="13">
        <f si="21" t="shared"/>
        <v>1.8522901536608505E-2</v>
      </c>
      <c r="R41" s="13">
        <f si="22" t="shared"/>
        <v>0</v>
      </c>
      <c r="S41" s="13">
        <f si="23" t="shared"/>
        <v>0</v>
      </c>
      <c r="T41" s="13">
        <f si="24" t="shared"/>
        <v>-3.0701245648932687E-2</v>
      </c>
      <c r="U41" s="13">
        <f si="25" t="shared"/>
        <v>-2.6775033050036312E-3</v>
      </c>
      <c r="W41" s="27" t="s">
        <v>10</v>
      </c>
      <c r="X41" s="22">
        <f si="27" t="shared"/>
        <v>0</v>
      </c>
      <c r="Y41" s="22">
        <f si="28" t="shared"/>
        <v>0</v>
      </c>
      <c r="Z41" s="22">
        <f si="29" t="shared"/>
        <v>-9.2397337602291296E-3</v>
      </c>
      <c r="AA41" s="22">
        <f si="30" t="shared"/>
        <v>-1.5930699131632427E-2</v>
      </c>
      <c r="AB41" s="22">
        <f si="31" t="shared"/>
        <v>1.8522901536608505E-2</v>
      </c>
      <c r="AC41" s="22">
        <f si="32" t="shared"/>
        <v>0</v>
      </c>
      <c r="AD41" s="22">
        <f si="33" t="shared"/>
        <v>0</v>
      </c>
      <c r="AE41" s="22">
        <f si="34" t="shared"/>
        <v>-3.0701245648932687E-2</v>
      </c>
      <c r="AF41" s="22">
        <f si="35" t="shared"/>
        <v>-2.6775033050036312E-3</v>
      </c>
    </row>
    <row r="42" spans="1:32" x14ac:dyDescent="0.25">
      <c r="L42" t="s">
        <v>51</v>
      </c>
      <c r="M42" s="13">
        <f si="20" t="shared"/>
        <v>0</v>
      </c>
      <c r="N42" s="13">
        <f si="20" t="shared"/>
        <v>0</v>
      </c>
      <c r="O42" s="13">
        <f si="20" t="shared"/>
        <v>0</v>
      </c>
      <c r="P42" s="13">
        <f si="20" t="shared"/>
        <v>-0.44585549330065088</v>
      </c>
      <c r="Q42" s="13">
        <f si="21" t="shared"/>
        <v>-3.7473885327548473E-2</v>
      </c>
      <c r="R42" s="13">
        <f si="22" t="shared"/>
        <v>0</v>
      </c>
      <c r="S42" s="13">
        <f si="23" t="shared"/>
        <v>0</v>
      </c>
      <c r="T42" s="13">
        <f si="24" t="shared"/>
        <v>-2.1060983754980941E-2</v>
      </c>
      <c r="U42" s="13">
        <f si="25" t="shared"/>
        <v>-2.4099589420119277E-2</v>
      </c>
      <c r="W42" t="s">
        <v>51</v>
      </c>
      <c r="X42" s="22">
        <f si="27" t="shared"/>
        <v>0</v>
      </c>
      <c r="Y42" s="22">
        <f si="28" t="shared"/>
        <v>0</v>
      </c>
      <c r="Z42" s="22">
        <f si="29" t="shared"/>
        <v>0</v>
      </c>
      <c r="AA42" s="22">
        <f si="30" t="shared"/>
        <v>-0.44585549330065088</v>
      </c>
      <c r="AB42" s="22">
        <f si="31" t="shared"/>
        <v>-3.7473885327548473E-2</v>
      </c>
      <c r="AC42" s="22">
        <f si="32" t="shared"/>
        <v>0</v>
      </c>
      <c r="AD42" s="22">
        <f si="33" t="shared"/>
        <v>0</v>
      </c>
      <c r="AE42" s="22">
        <f si="34" t="shared"/>
        <v>-2.1060983754980941E-2</v>
      </c>
      <c r="AF42" s="22">
        <f si="35" t="shared"/>
        <v>-2.4099589420119277E-2</v>
      </c>
    </row>
    <row r="43" spans="1:32" x14ac:dyDescent="0.25">
      <c r="L43" t="s">
        <v>52</v>
      </c>
      <c r="M43" s="13">
        <f si="20" t="shared"/>
        <v>0</v>
      </c>
      <c r="N43" s="13">
        <f si="20" t="shared"/>
        <v>0</v>
      </c>
      <c r="O43" s="13">
        <f si="20" t="shared"/>
        <v>0</v>
      </c>
      <c r="P43" s="13">
        <f si="20" t="shared"/>
        <v>0</v>
      </c>
      <c r="Q43" s="13">
        <f si="21" t="shared"/>
        <v>-2.7089032567393051E-3</v>
      </c>
      <c r="R43" s="13">
        <f si="22" t="shared"/>
        <v>0</v>
      </c>
      <c r="S43" s="13">
        <f si="23" t="shared"/>
        <v>0</v>
      </c>
      <c r="T43" s="13">
        <f si="24" t="shared"/>
        <v>0</v>
      </c>
      <c r="U43" s="13">
        <f si="25" t="shared"/>
        <v>-1.6763815552834848E-4</v>
      </c>
      <c r="W43" t="s">
        <v>52</v>
      </c>
      <c r="X43" s="22">
        <f si="27" t="shared"/>
        <v>0</v>
      </c>
      <c r="Y43" s="22">
        <f si="28" t="shared"/>
        <v>0</v>
      </c>
      <c r="Z43" s="22">
        <f si="29" t="shared"/>
        <v>0</v>
      </c>
      <c r="AA43" s="22">
        <f si="30" t="shared"/>
        <v>0</v>
      </c>
      <c r="AB43" s="22">
        <f si="31" t="shared"/>
        <v>-2.7089032567393051E-3</v>
      </c>
      <c r="AC43" s="22">
        <f si="32" t="shared"/>
        <v>0</v>
      </c>
      <c r="AD43" s="22">
        <f si="33" t="shared"/>
        <v>0</v>
      </c>
      <c r="AE43" s="22">
        <f si="34" t="shared"/>
        <v>0</v>
      </c>
      <c r="AF43" s="22">
        <f si="35" t="shared"/>
        <v>-1.6763815552834848E-4</v>
      </c>
    </row>
    <row r="44" spans="1:32" x14ac:dyDescent="0.25">
      <c r="L44" t="s">
        <v>53</v>
      </c>
      <c r="M44" s="13">
        <f si="20" t="shared"/>
        <v>0</v>
      </c>
      <c r="N44" s="13">
        <f si="20" t="shared"/>
        <v>0</v>
      </c>
      <c r="O44" s="13">
        <f si="20" t="shared"/>
        <v>0</v>
      </c>
      <c r="P44" s="13">
        <f si="20" t="shared"/>
        <v>0</v>
      </c>
      <c r="Q44" s="13">
        <f si="21" t="shared"/>
        <v>0</v>
      </c>
      <c r="R44" s="13">
        <f si="22" t="shared"/>
        <v>0</v>
      </c>
      <c r="S44" s="13">
        <f si="23" t="shared"/>
        <v>0</v>
      </c>
      <c r="T44" s="13">
        <f si="24" t="shared"/>
        <v>0</v>
      </c>
      <c r="U44" s="13">
        <f si="25" t="shared"/>
        <v>0</v>
      </c>
      <c r="W44" t="s">
        <v>53</v>
      </c>
      <c r="X44" s="22">
        <f si="27" t="shared"/>
        <v>0</v>
      </c>
      <c r="Y44" s="22">
        <f si="28" t="shared"/>
        <v>0</v>
      </c>
      <c r="Z44" s="22">
        <f si="29" t="shared"/>
        <v>0</v>
      </c>
      <c r="AA44" s="22">
        <f si="30" t="shared"/>
        <v>0</v>
      </c>
      <c r="AB44" s="22">
        <f si="31" t="shared"/>
        <v>0</v>
      </c>
      <c r="AC44" s="22">
        <f si="32" t="shared"/>
        <v>0</v>
      </c>
      <c r="AD44" s="22">
        <f si="33" t="shared"/>
        <v>0</v>
      </c>
      <c r="AE44" s="22">
        <f si="34" t="shared"/>
        <v>0</v>
      </c>
      <c r="AF44" s="22">
        <f si="35" t="shared"/>
        <v>0</v>
      </c>
    </row>
    <row r="45" spans="1:32" x14ac:dyDescent="0.25">
      <c r="L45" t="s">
        <v>54</v>
      </c>
      <c r="M45" s="13">
        <f ref="M45:M47" si="36" t="shared">M28-B28</f>
        <v>0</v>
      </c>
      <c r="N45" s="13">
        <f ref="N45:N47" si="37" t="shared">N28-C28</f>
        <v>0</v>
      </c>
      <c r="O45" s="13">
        <f ref="O45:O47" si="38" t="shared">O28-D28</f>
        <v>0</v>
      </c>
      <c r="P45" s="13">
        <f ref="P45:P47" si="39" t="shared">P28-E28</f>
        <v>0</v>
      </c>
      <c r="Q45" s="13">
        <f si="21" t="shared"/>
        <v>0</v>
      </c>
      <c r="R45" s="13">
        <f si="22" t="shared"/>
        <v>0</v>
      </c>
      <c r="S45" s="13">
        <f si="23" t="shared"/>
        <v>0</v>
      </c>
      <c r="T45" s="13">
        <f si="24" t="shared"/>
        <v>0</v>
      </c>
      <c r="U45" s="13">
        <f si="25" t="shared"/>
        <v>0</v>
      </c>
      <c r="W45" t="s">
        <v>54</v>
      </c>
      <c r="X45" s="22">
        <f si="27" t="shared"/>
        <v>0</v>
      </c>
      <c r="Y45" s="22">
        <f si="28" t="shared"/>
        <v>0</v>
      </c>
      <c r="Z45" s="22">
        <f si="29" t="shared"/>
        <v>0</v>
      </c>
      <c r="AA45" s="22">
        <f si="30" t="shared"/>
        <v>0</v>
      </c>
      <c r="AB45" s="22">
        <f si="31" t="shared"/>
        <v>0</v>
      </c>
      <c r="AC45" s="22">
        <f si="32" t="shared"/>
        <v>0</v>
      </c>
      <c r="AD45" s="22">
        <f si="33" t="shared"/>
        <v>0</v>
      </c>
      <c r="AE45" s="22">
        <f si="34" t="shared"/>
        <v>0</v>
      </c>
      <c r="AF45" s="22">
        <f si="35" t="shared"/>
        <v>0</v>
      </c>
    </row>
    <row r="46" spans="1:32" x14ac:dyDescent="0.25">
      <c r="L46" t="s">
        <v>55</v>
      </c>
      <c r="M46" s="13">
        <f si="36" t="shared"/>
        <v>0</v>
      </c>
      <c r="N46" s="13">
        <f si="37" t="shared"/>
        <v>0</v>
      </c>
      <c r="O46" s="13">
        <f si="38" t="shared"/>
        <v>0</v>
      </c>
      <c r="P46" s="13">
        <f si="39" t="shared"/>
        <v>0</v>
      </c>
      <c r="Q46" s="13">
        <f si="21" t="shared"/>
        <v>0</v>
      </c>
      <c r="R46" s="13">
        <f si="22" t="shared"/>
        <v>0</v>
      </c>
      <c r="S46" s="13">
        <f si="23" t="shared"/>
        <v>0</v>
      </c>
      <c r="T46" s="13">
        <f si="24" t="shared"/>
        <v>0</v>
      </c>
      <c r="U46" s="13">
        <f si="25" t="shared"/>
        <v>0</v>
      </c>
      <c r="W46" t="s">
        <v>55</v>
      </c>
      <c r="X46" s="22">
        <f si="27" t="shared"/>
        <v>0</v>
      </c>
      <c r="Y46" s="22">
        <f si="28" t="shared"/>
        <v>0</v>
      </c>
      <c r="Z46" s="22">
        <f si="29" t="shared"/>
        <v>0</v>
      </c>
      <c r="AA46" s="22">
        <f si="30" t="shared"/>
        <v>0</v>
      </c>
      <c r="AB46" s="22">
        <f si="31" t="shared"/>
        <v>0</v>
      </c>
      <c r="AC46" s="22">
        <f si="32" t="shared"/>
        <v>0</v>
      </c>
      <c r="AD46" s="22">
        <f si="33" t="shared"/>
        <v>0</v>
      </c>
      <c r="AE46" s="22">
        <f si="34" t="shared"/>
        <v>0</v>
      </c>
      <c r="AF46" s="22">
        <f si="35" t="shared"/>
        <v>0</v>
      </c>
    </row>
    <row r="47" spans="1:32" x14ac:dyDescent="0.25">
      <c r="L47" t="s">
        <v>24</v>
      </c>
      <c r="M47" s="13">
        <f si="36" t="shared"/>
        <v>0</v>
      </c>
      <c r="N47" s="13">
        <f si="37" t="shared"/>
        <v>0</v>
      </c>
      <c r="O47" s="13">
        <f si="38" t="shared"/>
        <v>0</v>
      </c>
      <c r="P47" s="13">
        <f si="39" t="shared"/>
        <v>0</v>
      </c>
      <c r="Q47" s="13">
        <f si="21" t="shared"/>
        <v>0</v>
      </c>
      <c r="R47" s="13">
        <f si="22" t="shared"/>
        <v>0</v>
      </c>
      <c r="S47" s="13">
        <f si="23" t="shared"/>
        <v>0</v>
      </c>
      <c r="T47" s="13">
        <f si="24" t="shared"/>
        <v>1.5076740711613468E-2</v>
      </c>
      <c r="U47" s="13">
        <f si="25" t="shared"/>
        <v>-1.6095444930280187E-3</v>
      </c>
      <c r="W47" s="21" t="s">
        <v>24</v>
      </c>
      <c r="X47" s="22">
        <f si="27" t="shared"/>
        <v>0</v>
      </c>
      <c r="Y47" s="22">
        <f si="28" t="shared"/>
        <v>0</v>
      </c>
      <c r="Z47" s="22">
        <f si="29" t="shared"/>
        <v>0</v>
      </c>
      <c r="AA47" s="22">
        <f si="30" t="shared"/>
        <v>0</v>
      </c>
      <c r="AB47" s="22">
        <f si="31" t="shared"/>
        <v>0</v>
      </c>
      <c r="AC47" s="22">
        <f si="32" t="shared"/>
        <v>0</v>
      </c>
      <c r="AD47" s="22">
        <f si="33" t="shared"/>
        <v>0</v>
      </c>
      <c r="AE47" s="22">
        <f si="34" t="shared"/>
        <v>1.5076740711613468E-2</v>
      </c>
      <c r="AF47" s="22">
        <f si="35" t="shared"/>
        <v>-1.6095444930280187E-3</v>
      </c>
    </row>
    <row r="48" spans="1:32" x14ac:dyDescent="0.25">
      <c r="L48" t="s">
        <v>4</v>
      </c>
      <c r="M48" s="13">
        <f ref="M48:P50" si="40" t="shared">M31-B31</f>
        <v>2.3614624741788936E-4</v>
      </c>
      <c r="N48" s="13">
        <f si="40" t="shared"/>
        <v>-3.443367112954958E-4</v>
      </c>
      <c r="O48" s="13">
        <f si="40" t="shared"/>
        <v>2.4068492333411112E-4</v>
      </c>
      <c r="P48" s="13">
        <f si="40" t="shared"/>
        <v>-1.0966877203872833E-3</v>
      </c>
      <c r="Q48" s="13">
        <f si="21" t="shared"/>
        <v>1.0541580694256331E-3</v>
      </c>
      <c r="R48" s="13">
        <f si="22" t="shared"/>
        <v>-5.5884163324077196E-2</v>
      </c>
      <c r="S48" s="13">
        <f si="23" t="shared"/>
        <v>0</v>
      </c>
      <c r="T48" s="13">
        <f si="24" t="shared"/>
        <v>-1.3427476372961794E-3</v>
      </c>
      <c r="U48" s="13">
        <f si="25" t="shared"/>
        <v>2.2745844994268589E-3</v>
      </c>
      <c r="W48" s="27" t="s">
        <v>4</v>
      </c>
      <c r="X48" s="22">
        <f si="27" t="shared"/>
        <v>2.3614624741788936E-4</v>
      </c>
      <c r="Y48" s="22">
        <f si="28" t="shared"/>
        <v>-3.443367112954958E-4</v>
      </c>
      <c r="Z48" s="22">
        <f si="29" t="shared"/>
        <v>2.4068492333411112E-4</v>
      </c>
      <c r="AA48" s="22">
        <f si="30" t="shared"/>
        <v>-1.0966877203872833E-3</v>
      </c>
      <c r="AB48" s="22">
        <f si="31" t="shared"/>
        <v>1.0541580694256331E-3</v>
      </c>
      <c r="AC48" s="22">
        <f si="32" t="shared"/>
        <v>-5.5884163324077196E-2</v>
      </c>
      <c r="AD48" s="22">
        <f si="33" t="shared"/>
        <v>0</v>
      </c>
      <c r="AE48" s="22">
        <f si="34" t="shared"/>
        <v>-1.3427476372961794E-3</v>
      </c>
      <c r="AF48" s="22">
        <f si="35" t="shared"/>
        <v>2.2745844994268589E-3</v>
      </c>
    </row>
    <row r="49" spans="12:32" x14ac:dyDescent="0.25">
      <c r="L49" s="4" t="s">
        <v>5</v>
      </c>
      <c r="M49" s="17">
        <f si="40" t="shared"/>
        <v>3.4661099079301802E-2</v>
      </c>
      <c r="N49" s="17">
        <f si="40" t="shared"/>
        <v>3.1076331388289767E-2</v>
      </c>
      <c r="O49" s="17">
        <f si="40" t="shared"/>
        <v>1.086792353350027E-2</v>
      </c>
      <c r="P49" s="17">
        <f si="40" t="shared"/>
        <v>-5.734404027241017E-2</v>
      </c>
      <c r="Q49" s="17">
        <f si="21" t="shared"/>
        <v>-1.0860614968267013E-2</v>
      </c>
      <c r="R49" s="17">
        <f si="22" t="shared"/>
        <v>5.5884163324077293E-2</v>
      </c>
      <c r="S49" s="17">
        <f si="23" t="shared"/>
        <v>0</v>
      </c>
      <c r="T49" s="17">
        <f si="24" t="shared"/>
        <v>1.383882933162562E-2</v>
      </c>
      <c r="U49" s="13">
        <f si="25" t="shared"/>
        <v>5.2049635291337715E-3</v>
      </c>
      <c r="W49" s="20" t="s">
        <v>5</v>
      </c>
      <c r="X49" s="22">
        <f si="27" t="shared"/>
        <v>3.4661099079301802E-2</v>
      </c>
      <c r="Y49" s="22">
        <f si="28" t="shared"/>
        <v>3.1076331388289767E-2</v>
      </c>
      <c r="Z49" s="22">
        <f si="29" t="shared"/>
        <v>1.086792353350027E-2</v>
      </c>
      <c r="AA49" s="22">
        <f si="30" t="shared"/>
        <v>-5.734404027241017E-2</v>
      </c>
      <c r="AB49" s="22">
        <f si="31" t="shared"/>
        <v>-1.0860614968267013E-2</v>
      </c>
      <c r="AC49" s="22">
        <f si="32" t="shared"/>
        <v>5.5884163324077293E-2</v>
      </c>
      <c r="AD49" s="22">
        <f si="33" t="shared"/>
        <v>0</v>
      </c>
      <c r="AE49" s="22">
        <f si="34" t="shared"/>
        <v>1.383882933162562E-2</v>
      </c>
      <c r="AF49" s="22">
        <f si="35" t="shared"/>
        <v>5.2049635291337715E-3</v>
      </c>
    </row>
    <row ht="15.75" r="50" spans="12:32" thickBot="1" x14ac:dyDescent="0.3">
      <c r="L50" s="9" t="s">
        <v>7</v>
      </c>
      <c r="M50" s="15">
        <f si="40" t="shared"/>
        <v>0</v>
      </c>
      <c r="N50" s="15">
        <f si="40" t="shared"/>
        <v>0</v>
      </c>
      <c r="O50" s="15">
        <f si="40" t="shared"/>
        <v>0</v>
      </c>
      <c r="P50" s="15">
        <f si="40" t="shared"/>
        <v>0</v>
      </c>
      <c r="Q50" s="15">
        <f si="21" t="shared"/>
        <v>0</v>
      </c>
      <c r="R50" s="15">
        <f si="22" t="shared"/>
        <v>0</v>
      </c>
      <c r="S50" s="15">
        <f si="23" t="shared"/>
        <v>0</v>
      </c>
      <c r="T50" s="15">
        <f si="24" t="shared"/>
        <v>0</v>
      </c>
      <c r="U50" s="15">
        <f si="25" t="shared"/>
        <v>0</v>
      </c>
      <c r="W50" s="28" t="s">
        <v>7</v>
      </c>
      <c r="X50" s="29">
        <f>M50</f>
        <v>0</v>
      </c>
      <c r="Y50" s="29">
        <f si="28" t="shared"/>
        <v>0</v>
      </c>
      <c r="Z50" s="29">
        <f si="29" t="shared"/>
        <v>0</v>
      </c>
      <c r="AA50" s="29">
        <f si="30" t="shared"/>
        <v>0</v>
      </c>
      <c r="AB50" s="29">
        <f si="31" t="shared"/>
        <v>0</v>
      </c>
      <c r="AC50" s="29">
        <f si="32" t="shared"/>
        <v>0</v>
      </c>
      <c r="AD50" s="29">
        <f si="33" t="shared"/>
        <v>0</v>
      </c>
      <c r="AE50" s="29">
        <f si="34" t="shared"/>
        <v>0</v>
      </c>
      <c r="AF50" s="29">
        <f si="35" t="shared"/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G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41</v>
      </c>
      <c r="C3" s="31"/>
      <c r="D3" s="31"/>
      <c r="E3" s="31"/>
      <c r="F3" s="31"/>
      <c r="G3" s="31"/>
      <c r="H3" s="31"/>
      <c r="I3" s="31"/>
      <c r="J3" s="7"/>
      <c r="L3" s="3"/>
      <c r="M3" s="31" t="s">
        <v>41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150355.7020996967</v>
      </c>
      <c r="C5" s="6" t="n">
        <v>5631.8050819142</v>
      </c>
      <c r="D5" s="6" t="n">
        <v>960.6288860322001</v>
      </c>
      <c r="E5" s="6" t="n">
        <v>0.0</v>
      </c>
      <c r="F5" s="6" t="n">
        <v>18.7005063981</v>
      </c>
      <c r="G5" s="6" t="n">
        <v>0.0</v>
      </c>
      <c r="H5" s="6" t="n">
        <v>0.0</v>
      </c>
      <c r="I5" s="6" t="n">
        <v>0.0</v>
      </c>
      <c r="J5" s="6">
        <f>SUM(B5:I5)</f>
        <v>156966.83657404123</v>
      </c>
      <c r="K5" s="6"/>
      <c r="L5" t="s">
        <v>1</v>
      </c>
      <c r="M5" s="6" t="n">
        <v>157234.0</v>
      </c>
      <c r="N5" s="6" t="n">
        <v>3464.0</v>
      </c>
      <c r="O5" s="6" t="n">
        <v>678.0</v>
      </c>
      <c r="P5" s="6" t="n">
        <v>0.0</v>
      </c>
      <c r="Q5" s="6" t="n">
        <v>57.0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160652</v>
      </c>
    </row>
    <row r="6" spans="1:21" x14ac:dyDescent="0.25">
      <c r="A6" t="s">
        <v>12</v>
      </c>
      <c r="B6" s="6" t="n">
        <v>0.0</v>
      </c>
      <c r="C6" s="6" t="n">
        <v>23421.8050977258</v>
      </c>
      <c r="D6" s="6" t="n">
        <v>18.7005063981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23440.5056041239</v>
      </c>
      <c r="K6" s="6"/>
      <c r="L6" t="s">
        <v>12</v>
      </c>
      <c r="M6" s="6" t="n">
        <v>0.0</v>
      </c>
      <c r="N6" s="6" t="n">
        <v>35464.0</v>
      </c>
      <c r="O6" s="6" t="n">
        <v>2224.0</v>
      </c>
      <c r="P6" s="6" t="n">
        <v>0.0</v>
      </c>
      <c r="Q6" s="6" t="n">
        <v>413.0</v>
      </c>
      <c r="R6" s="6" t="n">
        <v>0.0</v>
      </c>
      <c r="S6" s="6" t="n">
        <v>0.0</v>
      </c>
      <c r="T6" s="6" t="n">
        <v>0.0</v>
      </c>
      <c r="U6" s="6">
        <f si="0" t="shared"/>
        <v>37302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9172.823547946</v>
      </c>
      <c r="E7" s="6" t="n">
        <v>0.0</v>
      </c>
      <c r="F7" s="6" t="n">
        <v>174.354369882</v>
      </c>
      <c r="G7" s="6" t="n">
        <v>0.0</v>
      </c>
      <c r="H7" s="6" t="n">
        <v>0.0</v>
      </c>
      <c r="I7" s="6" t="n">
        <v>0.0</v>
      </c>
      <c r="J7" s="6">
        <f si="1" t="shared"/>
        <v>9347.1779178279994</v>
      </c>
      <c r="K7" s="6"/>
      <c r="L7" t="s">
        <v>56</v>
      </c>
      <c r="M7" s="6" t="n">
        <v>0.0</v>
      </c>
      <c r="N7" s="6" t="n">
        <v>0.0</v>
      </c>
      <c r="O7" s="6" t="n">
        <v>12140.0</v>
      </c>
      <c r="P7" s="6" t="n">
        <v>0.0</v>
      </c>
      <c r="Q7" s="6" t="n">
        <v>167.0</v>
      </c>
      <c r="R7" s="6" t="n">
        <v>0.0</v>
      </c>
      <c r="S7" s="6" t="n">
        <v>0.0</v>
      </c>
      <c r="T7" s="6" t="n">
        <v>0.0</v>
      </c>
      <c r="U7" s="6">
        <f si="0" t="shared"/>
        <v>12197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5050.2934779955</v>
      </c>
      <c r="G8" s="6" t="n">
        <v>0.0</v>
      </c>
      <c r="H8" s="6" t="n">
        <v>0.0</v>
      </c>
      <c r="I8" s="6" t="n">
        <v>0.0</v>
      </c>
      <c r="J8" s="6">
        <f si="1" t="shared"/>
        <v>5050.2934779955003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2252.0</v>
      </c>
      <c r="R8" s="6" t="n">
        <v>0.0</v>
      </c>
      <c r="S8" s="6" t="n">
        <v>0.0</v>
      </c>
      <c r="T8" s="6" t="n">
        <v>0.0</v>
      </c>
      <c r="U8" s="6">
        <f si="0" t="shared"/>
        <v>2197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236.004091738</v>
      </c>
      <c r="G9" s="6" t="n">
        <v>0.0</v>
      </c>
      <c r="H9" s="6" t="n">
        <v>0.0</v>
      </c>
      <c r="I9" s="6" t="n">
        <v>0.0</v>
      </c>
      <c r="J9" s="6">
        <f si="1" t="shared"/>
        <v>236.004091738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1949.997832852</v>
      </c>
      <c r="J13" s="6">
        <f si="1" t="shared"/>
        <v>1949.9978328520001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982.882297674</v>
      </c>
      <c r="H14" s="6" t="n">
        <v>0.0</v>
      </c>
      <c r="I14" s="6" t="n">
        <v>0.0</v>
      </c>
      <c r="J14" s="6">
        <f si="1" t="shared"/>
        <v>982.88229767400003</v>
      </c>
      <c r="K14" s="6"/>
      <c r="L14" t="s">
        <v>4</v>
      </c>
      <c r="M14" s="6" t="n">
        <v>104.0</v>
      </c>
      <c r="N14" s="6" t="n">
        <v>35.0</v>
      </c>
      <c r="O14" s="6" t="n">
        <v>17.0</v>
      </c>
      <c r="P14" s="6" t="n">
        <v>0.0</v>
      </c>
      <c r="Q14" s="6" t="n">
        <v>11.0</v>
      </c>
      <c r="R14" s="6" t="n">
        <v>819.0</v>
      </c>
      <c r="S14" s="6" t="n">
        <v>0.0</v>
      </c>
      <c r="T14" s="6" t="n">
        <v>0.0</v>
      </c>
      <c r="U14" s="6">
        <f si="0" t="shared"/>
        <v>937</v>
      </c>
    </row>
    <row r="15" spans="1:21" x14ac:dyDescent="0.25">
      <c r="A15" s="4" t="s">
        <v>5</v>
      </c>
      <c r="B15" s="10" t="n">
        <v>1357.3149762110002</v>
      </c>
      <c r="C15" s="10" t="n">
        <v>554.3536225348</v>
      </c>
      <c r="D15" s="10" t="n">
        <v>0.0</v>
      </c>
      <c r="E15" s="10" t="n">
        <v>0.0</v>
      </c>
      <c r="F15" s="10" t="n">
        <v>2902.9889422654</v>
      </c>
      <c r="G15" s="10" t="n">
        <v>0.0</v>
      </c>
      <c r="H15" s="10" t="n">
        <v>146940.6154411948</v>
      </c>
      <c r="I15" s="10" t="n">
        <v>0.0</v>
      </c>
      <c r="J15" s="6">
        <f si="1" t="shared"/>
        <v>151755.27298220599</v>
      </c>
      <c r="K15" s="6"/>
      <c r="L15" s="4" t="s">
        <v>5</v>
      </c>
      <c r="M15" s="8" t="n">
        <v>1102.0</v>
      </c>
      <c r="N15" s="8" t="n">
        <v>266.0</v>
      </c>
      <c r="O15" s="8" t="n">
        <v>75.0</v>
      </c>
      <c r="P15" s="8" t="n">
        <v>0.0</v>
      </c>
      <c r="Q15" s="8" t="n">
        <v>105.0</v>
      </c>
      <c r="R15" s="8" t="n">
        <v>23.0</v>
      </c>
      <c r="S15" s="8" t="n">
        <v>94248.0</v>
      </c>
      <c r="T15" s="8" t="n">
        <v>0.0</v>
      </c>
      <c r="U15" s="6">
        <f si="0" t="shared"/>
        <v>93672</v>
      </c>
    </row>
    <row ht="15.75" r="16" spans="1:21" thickBot="1" x14ac:dyDescent="0.3">
      <c r="A16" s="12" t="s">
        <v>7</v>
      </c>
      <c r="B16" s="16">
        <f ref="B16:J16" si="2" t="shared">SUM(B5:B15)</f>
        <v>151713.0170759077</v>
      </c>
      <c r="C16" s="16">
        <f si="2" t="shared"/>
        <v>29607.9638021748</v>
      </c>
      <c r="D16" s="16">
        <f si="2" t="shared"/>
        <v>10152.1529403763</v>
      </c>
      <c r="E16" s="16">
        <f si="2" t="shared"/>
        <v>0</v>
      </c>
      <c r="F16" s="16">
        <f si="2" t="shared"/>
        <v>8382.341388279001</v>
      </c>
      <c r="G16" s="16">
        <f si="2" t="shared"/>
        <v>982.88229767400003</v>
      </c>
      <c r="H16" s="16">
        <f si="2" t="shared"/>
        <v>146940.61544119479</v>
      </c>
      <c r="I16" s="16">
        <f si="2" t="shared"/>
        <v>1949.9978328520001</v>
      </c>
      <c r="J16" s="16">
        <f si="2" t="shared"/>
        <v>349728.97077845864</v>
      </c>
      <c r="L16" s="9" t="s">
        <v>7</v>
      </c>
      <c r="M16" s="16">
        <f ref="M16:U16" si="3" t="shared">SUM(M5:M15)</f>
        <v>157703</v>
      </c>
      <c r="N16" s="16">
        <f si="3" t="shared"/>
        <v>38494</v>
      </c>
      <c r="O16" s="16">
        <f si="3" t="shared"/>
        <v>14902</v>
      </c>
      <c r="P16" s="16">
        <f si="3" t="shared"/>
        <v>0</v>
      </c>
      <c r="Q16" s="16">
        <f si="3" t="shared"/>
        <v>2935</v>
      </c>
      <c r="R16" s="16">
        <f si="3" t="shared"/>
        <v>816</v>
      </c>
      <c r="S16" s="16">
        <f si="3" t="shared"/>
        <v>92107</v>
      </c>
      <c r="T16" s="16">
        <f si="3" t="shared"/>
        <v>0</v>
      </c>
      <c r="U16" s="16">
        <f si="3" t="shared"/>
        <v>306957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41</v>
      </c>
      <c r="C20" s="31"/>
      <c r="D20" s="31"/>
      <c r="E20" s="31"/>
      <c r="F20" s="31"/>
      <c r="G20" s="31"/>
      <c r="H20" s="31"/>
      <c r="I20" s="31"/>
      <c r="J20" s="7"/>
      <c r="L20" s="3"/>
      <c r="M20" s="31" t="s">
        <v>41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0.99105340462953229</v>
      </c>
      <c r="C22" s="13">
        <f si="4" t="shared"/>
        <v>0.19021250902436343</v>
      </c>
      <c r="D22" s="13">
        <f si="4" t="shared"/>
        <v>9.4623169260154322E-2</v>
      </c>
      <c r="E22" s="13" t="e">
        <f si="4" t="shared"/>
        <v>#DIV/0!</v>
      </c>
      <c r="F22" s="13">
        <f si="4" t="shared"/>
        <v>2.2309406801599434E-3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0.44882423158896484</v>
      </c>
      <c r="K22" s="6"/>
      <c r="L22" t="s">
        <v>1</v>
      </c>
      <c r="M22" s="13">
        <f ref="M22:P22" si="5" t="shared">M5/M$16</f>
        <v>0.99240344191296292</v>
      </c>
      <c r="N22" s="13">
        <f si="5" t="shared"/>
        <v>8.868914636047176E-2</v>
      </c>
      <c r="O22" s="13">
        <f si="5" t="shared"/>
        <v>4.5161723258623006E-2</v>
      </c>
      <c r="P22" s="13" t="e">
        <f si="5" t="shared"/>
        <v>#DIV/0!</v>
      </c>
      <c r="Q22" s="13">
        <f ref="Q22:U33" si="6" t="shared">Q5/Q$16</f>
        <v>2.0442930153321975E-2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0.52336972279504945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0.79106436545985614</v>
      </c>
      <c r="D23" s="13">
        <f si="7" t="shared"/>
        <v>1.8420237074764604E-3</v>
      </c>
      <c r="E23" s="13" t="e">
        <f si="7" t="shared"/>
        <v>#DIV/0!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6.7024775076390972E-2</v>
      </c>
      <c r="K23" s="6"/>
      <c r="L23" t="s">
        <v>12</v>
      </c>
      <c r="M23" s="13">
        <f ref="M23:P23" si="8" t="shared">M6/M$16</f>
        <v>0</v>
      </c>
      <c r="N23" s="13">
        <f si="8" t="shared"/>
        <v>0.90414090507611578</v>
      </c>
      <c r="O23" s="13">
        <f si="8" t="shared"/>
        <v>0.14192725808616294</v>
      </c>
      <c r="P23" s="13" t="e">
        <f si="8" t="shared"/>
        <v>#DIV/0!</v>
      </c>
      <c r="Q23" s="13">
        <f si="6" t="shared"/>
        <v>0.13049403747870528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0.12152190697719877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0.90353480703236921</v>
      </c>
      <c r="E24" s="13" t="e">
        <f si="9" t="shared"/>
        <v>#DIV/0!</v>
      </c>
      <c r="F24" s="13">
        <f si="9" t="shared"/>
        <v>2.0800199109737894E-2</v>
      </c>
      <c r="G24" s="13">
        <f si="9" t="shared"/>
        <v>0</v>
      </c>
      <c r="H24" s="13">
        <f si="9" t="shared"/>
        <v>0</v>
      </c>
      <c r="I24" s="13">
        <f si="9" t="shared"/>
        <v>0</v>
      </c>
      <c r="J24" s="13">
        <f si="9" t="shared"/>
        <v>2.6726919125465067E-2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0.80713998121057573</v>
      </c>
      <c r="P24" s="13" t="e">
        <f si="10" t="shared"/>
        <v>#DIV/0!</v>
      </c>
      <c r="Q24" s="13">
        <f si="6" t="shared"/>
        <v>5.7580919931856898E-2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3.9735207211433525E-2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0.60249198213965705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1.4440592287090477E-2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0.74855195911413974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7.1573542874083344E-3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2.8154912906315617E-2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6.7481996476494513E-4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1</v>
      </c>
      <c r="J30" s="13">
        <f si="21" t="shared"/>
        <v>5.5757400609721215E-3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>
        <f si="23" t="shared"/>
        <v>0</v>
      </c>
      <c r="J31" s="13">
        <f si="23" t="shared"/>
        <v>2.8104114322762882E-3</v>
      </c>
      <c r="K31" s="6"/>
      <c r="L31" t="s">
        <v>4</v>
      </c>
      <c r="M31" s="13">
        <f ref="M31:P31" si="24" t="shared">M14/M$16</f>
        <v>6.4678541308662489E-4</v>
      </c>
      <c r="N31" s="13">
        <f si="24" t="shared"/>
        <v>9.6118875668935416E-4</v>
      </c>
      <c r="O31" s="13">
        <f si="24" t="shared"/>
        <v>6.7105086565561671E-4</v>
      </c>
      <c r="P31" s="13" t="e">
        <f si="24" t="shared"/>
        <v>#DIV/0!</v>
      </c>
      <c r="Q31" s="13">
        <f si="6" t="shared"/>
        <v>3.4071550255536627E-3</v>
      </c>
      <c r="R31" s="13">
        <f si="6" t="shared"/>
        <v>0.95343137254901966</v>
      </c>
      <c r="S31" s="13">
        <f si="6" t="shared"/>
        <v>0</v>
      </c>
      <c r="T31" s="13" t="e">
        <f si="6" t="shared"/>
        <v>#DIV/0!</v>
      </c>
      <c r="U31" s="13">
        <f si="6" t="shared"/>
        <v>3.0525448189811601E-3</v>
      </c>
    </row>
    <row r="32" spans="1:21" x14ac:dyDescent="0.25">
      <c r="A32" s="4" t="s">
        <v>5</v>
      </c>
      <c r="B32" s="14">
        <f ref="B32:J32" si="25" t="shared">B15/B$16</f>
        <v>8.9465953704676807E-3</v>
      </c>
      <c r="C32" s="14">
        <f si="25" t="shared"/>
        <v>1.8723125515780353E-2</v>
      </c>
      <c r="D32" s="14">
        <f si="25" t="shared"/>
        <v>0</v>
      </c>
      <c r="E32" s="14" t="e">
        <f si="25" t="shared"/>
        <v>#DIV/0!</v>
      </c>
      <c r="F32" s="14">
        <f si="25" t="shared"/>
        <v>0.34632196516412939</v>
      </c>
      <c r="G32" s="14">
        <f si="25" t="shared"/>
        <v>0</v>
      </c>
      <c r="H32" s="14">
        <f si="25" t="shared"/>
        <v>1</v>
      </c>
      <c r="I32" s="14">
        <f si="25" t="shared"/>
        <v>0</v>
      </c>
      <c r="J32" s="14">
        <f si="25" t="shared"/>
        <v>0.43392251046407526</v>
      </c>
      <c r="K32" s="6"/>
      <c r="L32" s="4" t="s">
        <v>5</v>
      </c>
      <c r="M32" s="14">
        <f ref="M32:P32" si="26" t="shared">M15/M$16</f>
        <v>6.9497726739504006E-3</v>
      </c>
      <c r="N32" s="14">
        <f si="26" t="shared"/>
        <v>6.2087598067231253E-3</v>
      </c>
      <c r="O32" s="14">
        <f si="26" t="shared"/>
        <v>5.0999865789826872E-3</v>
      </c>
      <c r="P32" s="14" t="e">
        <f si="26" t="shared"/>
        <v>#DIV/0!</v>
      </c>
      <c r="Q32" s="14">
        <f si="6" t="shared"/>
        <v>3.9522998296422487E-2</v>
      </c>
      <c r="R32" s="14">
        <f si="6" t="shared"/>
        <v>4.6568627450980393E-2</v>
      </c>
      <c r="S32" s="14">
        <f si="6" t="shared"/>
        <v>1</v>
      </c>
      <c r="T32" s="14" t="e">
        <f si="6" t="shared"/>
        <v>#DIV/0!</v>
      </c>
      <c r="U32" s="14">
        <f si="6" t="shared"/>
        <v>0.30516326390992876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41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1" si="29" t="shared">M22-B22</f>
        <v>1.3500372834306384E-3</v>
      </c>
      <c r="N39" s="13">
        <f si="29" t="shared"/>
        <v>-0.10152336266389167</v>
      </c>
      <c r="O39" s="13">
        <f si="29" t="shared"/>
        <v>-4.9461446001531316E-2</v>
      </c>
      <c r="P39" s="13" t="e">
        <f si="29" t="shared"/>
        <v>#DIV/0!</v>
      </c>
      <c r="Q39" s="13">
        <f ref="Q39:Q50" si="30" t="shared">Q22-F22</f>
        <v>1.8211989473162032E-2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7.4545491206084613E-2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si="29" t="shared"/>
        <v>0</v>
      </c>
      <c r="N40" s="13">
        <f si="29" t="shared"/>
        <v>0.11307653961625963</v>
      </c>
      <c r="O40" s="13">
        <f si="29" t="shared"/>
        <v>0.14008523437868647</v>
      </c>
      <c r="P40" s="13" t="e">
        <f si="29" t="shared"/>
        <v>#DIV/0!</v>
      </c>
      <c r="Q40" s="13">
        <f si="30" t="shared"/>
        <v>0.13049403747870528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5.4497131900807794E-2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si="29" t="shared"/>
        <v>0</v>
      </c>
      <c r="N41" s="13">
        <f si="29" t="shared"/>
        <v>0</v>
      </c>
      <c r="O41" s="13">
        <f si="29" t="shared"/>
        <v>-9.6394825821793484E-2</v>
      </c>
      <c r="P41" s="13" t="e">
        <f si="29" t="shared"/>
        <v>#DIV/0!</v>
      </c>
      <c r="Q41" s="13">
        <f si="30" t="shared"/>
        <v>3.6780720822119001E-2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1.3008288085968458E-2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ref="M42:P42" si="35" t="shared">M25-B25</f>
        <v>0</v>
      </c>
      <c r="N42" s="13">
        <f si="35" t="shared"/>
        <v>0</v>
      </c>
      <c r="O42" s="13">
        <f si="35" t="shared"/>
        <v>0</v>
      </c>
      <c r="P42" s="13" t="e">
        <f si="35" t="shared"/>
        <v>#DIV/0!</v>
      </c>
      <c r="Q42" s="13">
        <f si="30" t="shared"/>
        <v>0.1460599769744827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-7.2832379996821423E-3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ref="M43:P43" si="36" t="shared">M26-B26</f>
        <v>0</v>
      </c>
      <c r="N43" s="13">
        <f si="36" t="shared"/>
        <v>0</v>
      </c>
      <c r="O43" s="13">
        <f si="36" t="shared"/>
        <v>0</v>
      </c>
      <c r="P43" s="13" t="e">
        <f si="36" t="shared"/>
        <v>#DIV/0!</v>
      </c>
      <c r="Q43" s="13">
        <f si="30" t="shared"/>
        <v>-2.8154912906315617E-2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-6.7481996476494513E-4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ref="M44:P44" si="37" t="shared">M27-B27</f>
        <v>0</v>
      </c>
      <c r="N44" s="13">
        <f si="37" t="shared"/>
        <v>0</v>
      </c>
      <c r="O44" s="13">
        <f si="37" t="shared"/>
        <v>0</v>
      </c>
      <c r="P44" s="13" t="e">
        <f si="37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8" t="shared">M28-B28</f>
        <v>0</v>
      </c>
      <c r="N45" s="13">
        <f ref="N45:N47" si="39" t="shared">N28-C28</f>
        <v>0</v>
      </c>
      <c r="O45" s="13">
        <f ref="O45:O47" si="40" t="shared">O28-D28</f>
        <v>0</v>
      </c>
      <c r="P45" s="13" t="e">
        <f ref="P45:P47" si="41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8" t="shared"/>
        <v>0</v>
      </c>
      <c r="N46" s="13">
        <f si="39" t="shared"/>
        <v>0</v>
      </c>
      <c r="O46" s="13">
        <f si="40" t="shared"/>
        <v>0</v>
      </c>
      <c r="P46" s="13" t="e">
        <f si="41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8" t="shared"/>
        <v>0</v>
      </c>
      <c r="N47" s="13">
        <f si="39" t="shared"/>
        <v>0</v>
      </c>
      <c r="O47" s="13">
        <f si="40" t="shared"/>
        <v>0</v>
      </c>
      <c r="P47" s="13" t="e">
        <f si="41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-5.5757400609721215E-3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48" si="42" t="shared">M31-B31</f>
        <v>6.4678541308662489E-4</v>
      </c>
      <c r="N48" s="13">
        <f si="42" t="shared"/>
        <v>9.6118875668935416E-4</v>
      </c>
      <c r="O48" s="13">
        <f si="42" t="shared"/>
        <v>6.7105086565561671E-4</v>
      </c>
      <c r="P48" s="13" t="e">
        <f si="42" t="shared"/>
        <v>#DIV/0!</v>
      </c>
      <c r="Q48" s="13">
        <f si="30" t="shared"/>
        <v>3.4071550255536627E-3</v>
      </c>
      <c r="R48" s="13">
        <f si="31" t="shared"/>
        <v>-4.6568627450980338E-2</v>
      </c>
      <c r="S48" s="13">
        <f si="32" t="shared"/>
        <v>0</v>
      </c>
      <c r="T48" s="13" t="e">
        <f si="33" t="shared"/>
        <v>#DIV/0!</v>
      </c>
      <c r="U48" s="13">
        <f si="34" t="shared"/>
        <v>2.4213338670487196E-4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ref="M49:P49" si="43" t="shared">M32-B32</f>
        <v>-1.9968226965172801E-3</v>
      </c>
      <c r="N49" s="17">
        <f si="43" t="shared"/>
        <v>-1.2514365709057227E-2</v>
      </c>
      <c r="O49" s="17">
        <f si="43" t="shared"/>
        <v>5.0999865789826872E-3</v>
      </c>
      <c r="P49" s="17" t="e">
        <f si="43" t="shared"/>
        <v>#DIV/0!</v>
      </c>
      <c r="Q49" s="17">
        <f si="30" t="shared"/>
        <v>-0.30679896686770691</v>
      </c>
      <c r="R49" s="17">
        <f si="31" t="shared"/>
        <v>4.6568627450980393E-2</v>
      </c>
      <c r="S49" s="17">
        <f si="32" t="shared"/>
        <v>0</v>
      </c>
      <c r="T49" s="17" t="e">
        <f si="33" t="shared"/>
        <v>#DIV/0!</v>
      </c>
      <c r="U49" s="13">
        <f si="34" t="shared"/>
        <v>-0.1287592465541465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ref="M50:P50" si="44" t="shared">M33-B33</f>
        <v>0</v>
      </c>
      <c r="N50" s="15">
        <f si="44" t="shared"/>
        <v>0</v>
      </c>
      <c r="O50" s="15">
        <f si="44" t="shared"/>
        <v>0</v>
      </c>
      <c r="P50" s="15" t="e">
        <f si="44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AG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6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6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2521413.820144816</v>
      </c>
      <c r="C5" s="6" t="n">
        <v>315672.173619434</v>
      </c>
      <c r="D5" s="6" t="n">
        <v>171792.02026340138</v>
      </c>
      <c r="E5" s="6" t="n">
        <v>82162.480811391</v>
      </c>
      <c r="F5" s="6" t="n">
        <v>11975.0879814352</v>
      </c>
      <c r="G5" s="6" t="n">
        <v>0.0</v>
      </c>
      <c r="H5" s="6" t="n">
        <v>0.0</v>
      </c>
      <c r="I5" s="6" t="n">
        <v>943.389811134</v>
      </c>
      <c r="J5" s="6">
        <f>SUM(B5:I5)</f>
        <v>3103958.9726316109</v>
      </c>
      <c r="K5" s="6"/>
      <c r="L5" t="s">
        <v>1</v>
      </c>
      <c r="M5" s="6" t="n">
        <v>2442661.0</v>
      </c>
      <c r="N5" s="6" t="n">
        <v>325302.0</v>
      </c>
      <c r="O5" s="6" t="n">
        <v>121508.0</v>
      </c>
      <c r="P5" s="6" t="n">
        <v>21994.0</v>
      </c>
      <c r="Q5" s="6" t="n">
        <v>17007.0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2911168</v>
      </c>
    </row>
    <row r="6" spans="1:21" x14ac:dyDescent="0.25">
      <c r="A6" t="s">
        <v>12</v>
      </c>
      <c r="B6" s="6" t="n">
        <v>0.0</v>
      </c>
      <c r="C6" s="6" t="n">
        <v>394904.102118488</v>
      </c>
      <c r="D6" s="6" t="n">
        <v>76279.6779927631</v>
      </c>
      <c r="E6" s="6" t="n">
        <v>3613.0797044182</v>
      </c>
      <c r="F6" s="6" t="n">
        <v>43281.7031971077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518078.56301277701</v>
      </c>
      <c r="K6" s="6"/>
      <c r="L6" t="s">
        <v>12</v>
      </c>
      <c r="M6" s="6" t="n">
        <v>0.0</v>
      </c>
      <c r="N6" s="6" t="n">
        <v>397539.0</v>
      </c>
      <c r="O6" s="6" t="n">
        <v>63213.0</v>
      </c>
      <c r="P6" s="6" t="n">
        <v>1098.0</v>
      </c>
      <c r="Q6" s="6" t="n">
        <v>25575.0</v>
      </c>
      <c r="R6" s="6" t="n">
        <v>0.0</v>
      </c>
      <c r="S6" s="6" t="n">
        <v>0.0</v>
      </c>
      <c r="T6" s="6" t="n">
        <v>0.0</v>
      </c>
      <c r="U6" s="6">
        <f si="0" t="shared"/>
        <v>485029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186818.3443331934</v>
      </c>
      <c r="E7" s="6" t="n">
        <v>3150.100015497</v>
      </c>
      <c r="F7" s="6" t="n">
        <v>9761.7991759413</v>
      </c>
      <c r="G7" s="6" t="n">
        <v>0.0</v>
      </c>
      <c r="H7" s="6" t="n">
        <v>0.0</v>
      </c>
      <c r="I7" s="6" t="n">
        <v>0.0</v>
      </c>
      <c r="J7" s="6">
        <f si="1" t="shared"/>
        <v>199730.24352463172</v>
      </c>
      <c r="K7" s="6"/>
      <c r="L7" t="s">
        <v>56</v>
      </c>
      <c r="M7" s="6" t="n">
        <v>0.0</v>
      </c>
      <c r="N7" s="6" t="n">
        <v>0.0</v>
      </c>
      <c r="O7" s="6" t="n">
        <v>218662.0</v>
      </c>
      <c r="P7" s="6" t="n">
        <v>0.0</v>
      </c>
      <c r="Q7" s="6" t="n">
        <v>11339.0</v>
      </c>
      <c r="R7" s="6" t="n">
        <v>0.0</v>
      </c>
      <c r="S7" s="6" t="n">
        <v>0.0</v>
      </c>
      <c r="T7" s="6" t="n">
        <v>0.0</v>
      </c>
      <c r="U7" s="6">
        <f si="0" t="shared"/>
        <v>228100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81166.0019543937</v>
      </c>
      <c r="F8" s="6" t="n">
        <v>324619.9786083393</v>
      </c>
      <c r="G8" s="6" t="n">
        <v>0.0</v>
      </c>
      <c r="H8" s="6" t="n">
        <v>0.0</v>
      </c>
      <c r="I8" s="6" t="n">
        <v>0.0</v>
      </c>
      <c r="J8" s="6">
        <f si="1" t="shared"/>
        <v>405785.98056273302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216173.0</v>
      </c>
      <c r="R8" s="6" t="n">
        <v>0.0</v>
      </c>
      <c r="S8" s="6" t="n">
        <v>0.0</v>
      </c>
      <c r="T8" s="6" t="n">
        <v>0.0</v>
      </c>
      <c r="U8" s="6">
        <f si="0" t="shared"/>
        <v>209758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2053.6406139154</v>
      </c>
      <c r="G9" s="6" t="n">
        <v>0.0</v>
      </c>
      <c r="H9" s="6" t="n">
        <v>0.0</v>
      </c>
      <c r="I9" s="6" t="n">
        <v>0.0</v>
      </c>
      <c r="J9" s="6">
        <f si="1" t="shared"/>
        <v>2053.6406139154001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943.389811134</v>
      </c>
      <c r="J13" s="6">
        <f si="1" t="shared"/>
        <v>943.38981113399996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377.852839859</v>
      </c>
      <c r="C14" s="6" t="n">
        <v>4500.0708760463</v>
      </c>
      <c r="D14" s="6" t="n">
        <v>337.724647725</v>
      </c>
      <c r="E14" s="6" t="n">
        <v>243.463457593</v>
      </c>
      <c r="F14" s="6" t="n">
        <v>5162.3333646064</v>
      </c>
      <c r="G14" s="6" t="n">
        <v>85418.7367502272</v>
      </c>
      <c r="H14" s="6" t="n">
        <v>0.0</v>
      </c>
      <c r="I14" s="6" t="n">
        <v>0.0</v>
      </c>
      <c r="J14" s="6">
        <f si="1" t="shared"/>
        <v>96040.181936056892</v>
      </c>
      <c r="K14" s="6"/>
      <c r="L14" t="s">
        <v>4</v>
      </c>
      <c r="M14" s="6" t="n">
        <v>1494.0</v>
      </c>
      <c r="N14" s="6" t="n">
        <v>1725.0</v>
      </c>
      <c r="O14" s="6" t="n">
        <v>1069.0</v>
      </c>
      <c r="P14" s="6" t="n">
        <v>0.0</v>
      </c>
      <c r="Q14" s="6" t="n">
        <v>2907.0</v>
      </c>
      <c r="R14" s="6" t="n">
        <v>57892.0</v>
      </c>
      <c r="S14" s="6" t="n">
        <v>0.0</v>
      </c>
      <c r="T14" s="6" t="n">
        <v>0.0</v>
      </c>
      <c r="U14" s="6">
        <f si="0" t="shared"/>
        <v>63583</v>
      </c>
    </row>
    <row r="15" spans="1:21" x14ac:dyDescent="0.25">
      <c r="A15" s="4" t="s">
        <v>5</v>
      </c>
      <c r="B15" s="10" t="n">
        <v>38638.5485307275</v>
      </c>
      <c r="C15" s="10" t="n">
        <v>13595.2682804456</v>
      </c>
      <c r="D15" s="10" t="n">
        <v>12701.8796056518</v>
      </c>
      <c r="E15" s="10" t="n">
        <v>11538.0287264934</v>
      </c>
      <c r="F15" s="10" t="n">
        <v>99515.5727396599</v>
      </c>
      <c r="G15" s="10" t="n">
        <v>7405.1303635836</v>
      </c>
      <c r="H15" s="10" t="n">
        <v>90473.6092814888</v>
      </c>
      <c r="I15" s="10" t="n">
        <v>0.0</v>
      </c>
      <c r="J15" s="6">
        <f si="1" t="shared"/>
        <v>273868.0375280506</v>
      </c>
      <c r="K15" s="6"/>
      <c r="L15" s="4" t="s">
        <v>5</v>
      </c>
      <c r="M15" s="8" t="n">
        <v>196558.0</v>
      </c>
      <c r="N15" s="8" t="n">
        <v>105210.0</v>
      </c>
      <c r="O15" s="8" t="n">
        <v>57752.0</v>
      </c>
      <c r="P15" s="8" t="n">
        <v>0.0</v>
      </c>
      <c r="Q15" s="8" t="n">
        <v>81670.0</v>
      </c>
      <c r="R15" s="8" t="n">
        <v>20394.0</v>
      </c>
      <c r="S15" s="8" t="n">
        <v>43355.0</v>
      </c>
      <c r="T15" s="8" t="n">
        <v>0.0</v>
      </c>
      <c r="U15" s="6">
        <f si="0" t="shared"/>
        <v>496900</v>
      </c>
    </row>
    <row ht="15.75" r="16" spans="1:21" thickBot="1" x14ac:dyDescent="0.3">
      <c r="A16" s="12" t="s">
        <v>7</v>
      </c>
      <c r="B16" s="16">
        <f ref="B16:J16" si="2" t="shared">SUM(B5:B15)</f>
        <v>2560430.2215154027</v>
      </c>
      <c r="C16" s="16">
        <f si="2" t="shared"/>
        <v>728671.61489441385</v>
      </c>
      <c r="D16" s="16">
        <f si="2" t="shared"/>
        <v>447929.64684273471</v>
      </c>
      <c r="E16" s="16">
        <f si="2" t="shared"/>
        <v>181873.15466978625</v>
      </c>
      <c r="F16" s="16">
        <f si="2" t="shared"/>
        <v>496370.11568100529</v>
      </c>
      <c r="G16" s="16">
        <f si="2" t="shared"/>
        <v>92823.867113810789</v>
      </c>
      <c r="H16" s="16">
        <f si="2" t="shared"/>
        <v>90473.609281488796</v>
      </c>
      <c r="I16" s="16">
        <f si="2" t="shared"/>
        <v>1886.7796222679999</v>
      </c>
      <c r="J16" s="16">
        <f si="2" t="shared"/>
        <v>4600459.0096209105</v>
      </c>
      <c r="L16" s="9" t="s">
        <v>7</v>
      </c>
      <c r="M16" s="16">
        <f ref="M16:U16" si="3" t="shared">SUM(M5:M15)</f>
        <v>2624207</v>
      </c>
      <c r="N16" s="16">
        <f si="3" t="shared"/>
        <v>825141</v>
      </c>
      <c r="O16" s="16">
        <f si="3" t="shared"/>
        <v>459586</v>
      </c>
      <c r="P16" s="16">
        <f si="3" t="shared"/>
        <v>22391</v>
      </c>
      <c r="Q16" s="16">
        <f si="3" t="shared"/>
        <v>344228</v>
      </c>
      <c r="R16" s="16">
        <f si="3" t="shared"/>
        <v>76028</v>
      </c>
      <c r="S16" s="16">
        <f si="3" t="shared"/>
        <v>42957</v>
      </c>
      <c r="T16" s="16">
        <f si="3" t="shared"/>
        <v>0</v>
      </c>
      <c r="U16" s="16">
        <f si="3" t="shared"/>
        <v>4394538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6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6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0.98476177907808993</v>
      </c>
      <c r="C22" s="13">
        <f si="4" t="shared"/>
        <v>0.43321596061509215</v>
      </c>
      <c r="D22" s="13">
        <f si="4" t="shared"/>
        <v>0.38352455898887283</v>
      </c>
      <c r="E22" s="13">
        <f si="4" t="shared"/>
        <v>0.45175705540802535</v>
      </c>
      <c r="F22" s="13">
        <f si="4" t="shared"/>
        <v>2.4125320205882518E-2</v>
      </c>
      <c r="G22" s="13">
        <f si="4" t="shared"/>
        <v>0</v>
      </c>
      <c r="H22" s="13">
        <f si="4" t="shared"/>
        <v>0</v>
      </c>
      <c r="I22" s="13">
        <f si="4" t="shared"/>
        <v>0.5</v>
      </c>
      <c r="J22" s="13">
        <f si="4" t="shared"/>
        <v>0.67470636433023778</v>
      </c>
      <c r="K22" s="6"/>
      <c r="L22" t="s">
        <v>1</v>
      </c>
      <c r="M22" s="13">
        <f ref="M22:P22" si="5" t="shared">M5/M$16</f>
        <v>0.92549101499996</v>
      </c>
      <c r="N22" s="13">
        <f si="5" t="shared"/>
        <v>0.39191120063116486</v>
      </c>
      <c r="O22" s="13">
        <f si="5" t="shared"/>
        <v>0.26347190732528841</v>
      </c>
      <c r="P22" s="13">
        <f si="5" t="shared"/>
        <v>0.95100710106739317</v>
      </c>
      <c r="Q22" s="13">
        <f ref="Q22:U33" si="6" t="shared">Q5/Q$16</f>
        <v>4.8584077994817391E-2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0.66245143403015283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0.5419507142126162</v>
      </c>
      <c r="D23" s="13">
        <f si="7" t="shared"/>
        <v>0.17029388103785062</v>
      </c>
      <c r="E23" s="13">
        <f si="7" t="shared"/>
        <v>1.9865931896206473E-2</v>
      </c>
      <c r="F23" s="13">
        <f si="7" t="shared"/>
        <v>8.7196432318908779E-2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0.11261453736014659</v>
      </c>
      <c r="K23" s="6"/>
      <c r="L23" t="s">
        <v>12</v>
      </c>
      <c r="M23" s="13">
        <f ref="M23:P23" si="8" t="shared">M6/M$16</f>
        <v>0</v>
      </c>
      <c r="N23" s="13">
        <f si="8" t="shared"/>
        <v>0.48033245227179355</v>
      </c>
      <c r="O23" s="13">
        <f si="8" t="shared"/>
        <v>0.13659902607999375</v>
      </c>
      <c r="P23" s="13">
        <f si="8" t="shared"/>
        <v>4.8992898932606853E-2</v>
      </c>
      <c r="Q23" s="13">
        <f si="6" t="shared"/>
        <v>7.2077227883844422E-2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0.11037087402589305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0.41707072896379227</v>
      </c>
      <c r="E24" s="13">
        <f si="9" t="shared"/>
        <v>1.7320313276670246E-2</v>
      </c>
      <c r="F24" s="13">
        <f si="9" t="shared"/>
        <v>1.9666371660083518E-2</v>
      </c>
      <c r="G24" s="13">
        <f si="9" t="shared"/>
        <v>0</v>
      </c>
      <c r="H24" s="13">
        <f si="9" t="shared"/>
        <v>0</v>
      </c>
      <c r="I24" s="13">
        <f si="9" t="shared"/>
        <v>0</v>
      </c>
      <c r="J24" s="13">
        <f si="9" t="shared"/>
        <v>4.3415285976233488E-2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0.4726971665803571</v>
      </c>
      <c r="P24" s="13">
        <f si="10" t="shared"/>
        <v>0</v>
      </c>
      <c r="Q24" s="13">
        <f si="6" t="shared"/>
        <v>3.1534331896301289E-2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5.1905342495616145E-2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0.44627807826702548</v>
      </c>
      <c r="F25" s="13">
        <f si="11" t="shared"/>
        <v>0.65398775702475598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8.8205542037026172E-2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>
        <f si="12" t="shared"/>
        <v>0</v>
      </c>
      <c r="Q25" s="13">
        <f si="6" t="shared"/>
        <v>0.60935775125788716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4.7731524906599966E-2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4.1373171934371298E-3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4.4639906792357778E-4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>
        <f si="14" t="shared"/>
        <v>0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>
        <f si="16" t="shared"/>
        <v>0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>
        <f si="18" t="shared"/>
        <v>0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>
        <f si="20" t="shared"/>
        <v>0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0.5</v>
      </c>
      <c r="J30" s="13">
        <f si="21" t="shared"/>
        <v>2.0506427927324098E-4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>
        <f si="22" t="shared"/>
        <v>0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1.47573964985996E-4</v>
      </c>
      <c r="C31" s="13">
        <f si="23" t="shared"/>
        <v>6.1757186420639846E-3</v>
      </c>
      <c r="D31" s="13">
        <f si="23" t="shared"/>
        <v>7.5396806196124141E-4</v>
      </c>
      <c r="E31" s="13">
        <f si="23" t="shared"/>
        <v>1.3386442767490273E-3</v>
      </c>
      <c r="F31" s="13">
        <f si="23" t="shared"/>
        <v>1.0400169553970488E-2</v>
      </c>
      <c r="G31" s="13">
        <f si="23" t="shared"/>
        <v>0.92022385412467023</v>
      </c>
      <c r="H31" s="13">
        <f si="23" t="shared"/>
        <v>0</v>
      </c>
      <c r="I31" s="13">
        <f si="23" t="shared"/>
        <v>0</v>
      </c>
      <c r="J31" s="13">
        <f si="23" t="shared"/>
        <v>2.0876217293798006E-2</v>
      </c>
      <c r="K31" s="6"/>
      <c r="L31" t="s">
        <v>4</v>
      </c>
      <c r="M31" s="13">
        <f ref="M31:P31" si="24" t="shared">M14/M$16</f>
        <v>5.776983294381884E-4</v>
      </c>
      <c r="N31" s="13">
        <f si="24" t="shared"/>
        <v>2.1705381262111566E-3</v>
      </c>
      <c r="O31" s="13">
        <f si="24" t="shared"/>
        <v>2.334709934593308E-3</v>
      </c>
      <c r="P31" s="13">
        <f si="24" t="shared"/>
        <v>0</v>
      </c>
      <c r="Q31" s="13">
        <f si="6" t="shared"/>
        <v>8.2823012654403474E-3</v>
      </c>
      <c r="R31" s="13">
        <f si="6" t="shared"/>
        <v>0.74120061030146789</v>
      </c>
      <c r="S31" s="13">
        <f si="6" t="shared"/>
        <v>0</v>
      </c>
      <c r="T31" s="13" t="e">
        <f si="6" t="shared"/>
        <v>#DIV/0!</v>
      </c>
      <c r="U31" s="13">
        <f si="6" t="shared"/>
        <v>1.4468642665053755E-2</v>
      </c>
    </row>
    <row r="32" spans="1:21" x14ac:dyDescent="0.25">
      <c r="A32" s="4" t="s">
        <v>5</v>
      </c>
      <c r="B32" s="14">
        <f ref="B32:J32" si="25" t="shared">B15/B$16</f>
        <v>1.509064695692394E-2</v>
      </c>
      <c r="C32" s="14">
        <f si="25" t="shared"/>
        <v>1.8657606530227726E-2</v>
      </c>
      <c r="D32" s="14">
        <f si="25" t="shared"/>
        <v>2.8356862947522987E-2</v>
      </c>
      <c r="E32" s="14">
        <f si="25" t="shared"/>
        <v>6.3439976875323642E-2</v>
      </c>
      <c r="F32" s="14">
        <f si="25" t="shared"/>
        <v>0.20048663204296141</v>
      </c>
      <c r="G32" s="14">
        <f si="25" t="shared"/>
        <v>7.9776145875329829E-2</v>
      </c>
      <c r="H32" s="14">
        <f si="25" t="shared"/>
        <v>1</v>
      </c>
      <c r="I32" s="14">
        <f si="25" t="shared"/>
        <v>0</v>
      </c>
      <c r="J32" s="14">
        <f si="25" t="shared"/>
        <v>5.9530589655360934E-2</v>
      </c>
      <c r="K32" s="6"/>
      <c r="L32" s="4" t="s">
        <v>5</v>
      </c>
      <c r="M32" s="14">
        <f ref="M32:P32" si="26" t="shared">M15/M$16</f>
        <v>7.3931286670601823E-2</v>
      </c>
      <c r="N32" s="14">
        <f si="26" t="shared"/>
        <v>0.12558580897083044</v>
      </c>
      <c r="O32" s="14">
        <f si="26" t="shared"/>
        <v>0.12489719007976745</v>
      </c>
      <c r="P32" s="14">
        <f si="26" t="shared"/>
        <v>0</v>
      </c>
      <c r="Q32" s="14">
        <f si="6" t="shared"/>
        <v>0.23016430970170934</v>
      </c>
      <c r="R32" s="14">
        <f si="6" t="shared"/>
        <v>0.25879938969853211</v>
      </c>
      <c r="S32" s="14">
        <f si="6" t="shared"/>
        <v>1</v>
      </c>
      <c r="T32" s="14" t="e">
        <f si="6" t="shared"/>
        <v>#DIV/0!</v>
      </c>
      <c r="U32" s="14">
        <f si="6" t="shared"/>
        <v>0.11307218187668419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>
        <f si="28" t="shared"/>
        <v>1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2" t="s">
        <v>6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-5.9270764078129923E-2</v>
      </c>
      <c r="N39" s="13">
        <f si="29" t="shared"/>
        <v>-4.1304759983927297E-2</v>
      </c>
      <c r="O39" s="13">
        <f si="29" t="shared"/>
        <v>-0.12005265166358442</v>
      </c>
      <c r="P39" s="13">
        <f si="29" t="shared"/>
        <v>0.49925004565936781</v>
      </c>
      <c r="Q39" s="13">
        <f ref="Q39:Q50" si="30" t="shared">Q22-F22</f>
        <v>2.4458757788934873E-2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-1.2254930300084954E-2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si="29" t="shared"/>
        <v>0</v>
      </c>
      <c r="N40" s="13">
        <f si="29" t="shared"/>
        <v>-6.161826194082265E-2</v>
      </c>
      <c r="O40" s="13">
        <f si="29" t="shared"/>
        <v>-3.3694854957856873E-2</v>
      </c>
      <c r="P40" s="13">
        <f si="29" t="shared"/>
        <v>2.9126967036400379E-2</v>
      </c>
      <c r="Q40" s="13">
        <f si="30" t="shared"/>
        <v>-1.5119204435064357E-2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-2.2436633342535484E-3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si="29" t="shared"/>
        <v>0</v>
      </c>
      <c r="N41" s="13">
        <f si="29" t="shared"/>
        <v>0</v>
      </c>
      <c r="O41" s="13">
        <f si="29" t="shared"/>
        <v>5.5626437616564828E-2</v>
      </c>
      <c r="P41" s="13">
        <f si="29" t="shared"/>
        <v>-1.7320313276670246E-2</v>
      </c>
      <c r="Q41" s="13">
        <f si="30" t="shared"/>
        <v>1.1867960236217771E-2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8.4900565193826577E-3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>
        <f si="29" t="shared"/>
        <v>-0.44627807826702548</v>
      </c>
      <c r="Q42" s="13">
        <f si="30" t="shared"/>
        <v>-4.4630005766868819E-2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-4.0474017130426206E-2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>
        <f si="29" t="shared"/>
        <v>0</v>
      </c>
      <c r="Q43" s="13">
        <f si="30" t="shared"/>
        <v>-4.1373171934371298E-3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-4.4639906792357778E-4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>
        <f si="29" t="shared"/>
        <v>0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>
        <f ref="P45:P47" si="38" t="shared">P28-E28</f>
        <v>0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>
        <f si="38" t="shared"/>
        <v>0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>
        <f si="38" t="shared"/>
        <v>0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-2.0506427927324098E-4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4.3012436445219243E-4</v>
      </c>
      <c r="N48" s="13">
        <f si="39" t="shared"/>
        <v>-4.005180515852828E-3</v>
      </c>
      <c r="O48" s="13">
        <f si="39" t="shared"/>
        <v>1.5807418726320665E-3</v>
      </c>
      <c r="P48" s="13">
        <f si="39" t="shared"/>
        <v>-1.3386442767490273E-3</v>
      </c>
      <c r="Q48" s="13">
        <f si="30" t="shared"/>
        <v>-2.1178682885301409E-3</v>
      </c>
      <c r="R48" s="13">
        <f si="31" t="shared"/>
        <v>-0.17902324382320234</v>
      </c>
      <c r="S48" s="13">
        <f si="32" t="shared"/>
        <v>0</v>
      </c>
      <c r="T48" s="13" t="e">
        <f si="33" t="shared"/>
        <v>#DIV/0!</v>
      </c>
      <c r="U48" s="13">
        <f si="34" t="shared"/>
        <v>-6.4075746287442503E-3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5.8840639713677881E-2</v>
      </c>
      <c r="N49" s="17">
        <f si="39" t="shared"/>
        <v>0.10692820244060271</v>
      </c>
      <c r="O49" s="17">
        <f si="39" t="shared"/>
        <v>9.6540327132244461E-2</v>
      </c>
      <c r="P49" s="17">
        <f si="39" t="shared"/>
        <v>-6.3439976875323642E-2</v>
      </c>
      <c r="Q49" s="17">
        <f si="30" t="shared"/>
        <v>2.9677677658747931E-2</v>
      </c>
      <c r="R49" s="17">
        <f si="31" t="shared"/>
        <v>0.17902324382320228</v>
      </c>
      <c r="S49" s="17">
        <f si="32" t="shared"/>
        <v>0</v>
      </c>
      <c r="T49" s="17" t="e">
        <f si="33" t="shared"/>
        <v>#DIV/0!</v>
      </c>
      <c r="U49" s="13">
        <f si="34" t="shared"/>
        <v>5.3541592221323257E-2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>
        <f si="39" t="shared"/>
        <v>0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AG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42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42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191216.3469383657</v>
      </c>
      <c r="C5" s="6" t="n">
        <v>25680.9980716375</v>
      </c>
      <c r="D5" s="6" t="n">
        <v>7303.2159044420005</v>
      </c>
      <c r="E5" s="6" t="n">
        <v>13884.148111251</v>
      </c>
      <c r="F5" s="6" t="n">
        <v>512.485125</v>
      </c>
      <c r="G5" s="6" t="n">
        <v>0.0</v>
      </c>
      <c r="H5" s="6" t="n">
        <v>0.0</v>
      </c>
      <c r="I5" s="6" t="n">
        <v>281.817625</v>
      </c>
      <c r="J5" s="6">
        <f>SUM(B5:I5)</f>
        <v>238879.01177569621</v>
      </c>
      <c r="K5" s="6"/>
      <c r="L5" t="s">
        <v>1</v>
      </c>
      <c r="M5" s="6" t="n">
        <v>124086.0</v>
      </c>
      <c r="N5" s="6" t="n">
        <v>8540.0</v>
      </c>
      <c r="O5" s="6" t="n">
        <v>6677.0</v>
      </c>
      <c r="P5" s="6" t="n">
        <v>0.0</v>
      </c>
      <c r="Q5" s="6" t="n">
        <v>2144.0</v>
      </c>
      <c r="R5" s="6" t="n">
        <v>0.0</v>
      </c>
      <c r="S5" s="6" t="n">
        <v>0.0</v>
      </c>
      <c r="T5" s="6" t="n">
        <v>760.0</v>
      </c>
      <c r="U5" s="6">
        <f ref="U5:U15" si="0" t="shared">SUM(M5:T5)</f>
        <v>139075</v>
      </c>
    </row>
    <row r="6" spans="1:21" x14ac:dyDescent="0.25">
      <c r="A6" t="s">
        <v>12</v>
      </c>
      <c r="B6" s="6" t="n">
        <v>0.0</v>
      </c>
      <c r="C6" s="6" t="n">
        <v>245586.8328763987</v>
      </c>
      <c r="D6" s="6" t="n">
        <v>101925.186206801</v>
      </c>
      <c r="E6" s="6" t="n">
        <v>230.48097940399998</v>
      </c>
      <c r="F6" s="6" t="n">
        <v>9420.8072129187</v>
      </c>
      <c r="G6" s="6" t="n">
        <v>0.0</v>
      </c>
      <c r="H6" s="6" t="n">
        <v>0.0</v>
      </c>
      <c r="I6" s="6" t="n">
        <v>40783.694979024</v>
      </c>
      <c r="J6" s="6">
        <f ref="J6:J15" si="1" t="shared">SUM(B6:I6)</f>
        <v>397947.00225454639</v>
      </c>
      <c r="K6" s="6"/>
      <c r="L6" t="s">
        <v>12</v>
      </c>
      <c r="M6" s="6" t="n">
        <v>0.0</v>
      </c>
      <c r="N6" s="6" t="n">
        <v>195460.0</v>
      </c>
      <c r="O6" s="6" t="n">
        <v>62966.0</v>
      </c>
      <c r="P6" s="6" t="n">
        <v>0.0</v>
      </c>
      <c r="Q6" s="6" t="n">
        <v>6613.0</v>
      </c>
      <c r="R6" s="6" t="n">
        <v>0.0</v>
      </c>
      <c r="S6" s="6" t="n">
        <v>0.0</v>
      </c>
      <c r="T6" s="6" t="n">
        <v>39949.0</v>
      </c>
      <c r="U6" s="6">
        <f si="0" t="shared"/>
        <v>300764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422632.871873099</v>
      </c>
      <c r="E7" s="6" t="n">
        <v>9.9</v>
      </c>
      <c r="F7" s="6" t="n">
        <v>3552.719124046</v>
      </c>
      <c r="G7" s="6" t="n">
        <v>0.0</v>
      </c>
      <c r="H7" s="6" t="n">
        <v>0.0</v>
      </c>
      <c r="I7" s="6" t="n">
        <v>65452.671875</v>
      </c>
      <c r="J7" s="6">
        <f si="1" t="shared"/>
        <v>491648.16287214501</v>
      </c>
      <c r="K7" s="6"/>
      <c r="L7" t="s">
        <v>56</v>
      </c>
      <c r="M7" s="6" t="n">
        <v>0.0</v>
      </c>
      <c r="N7" s="6" t="n">
        <v>0.0</v>
      </c>
      <c r="O7" s="6" t="n">
        <v>280792.0</v>
      </c>
      <c r="P7" s="6" t="n">
        <v>0.0</v>
      </c>
      <c r="Q7" s="6" t="n">
        <v>3156.0</v>
      </c>
      <c r="R7" s="6" t="n">
        <v>0.0</v>
      </c>
      <c r="S7" s="6" t="n">
        <v>0.0</v>
      </c>
      <c r="T7" s="6" t="n">
        <v>39796.0</v>
      </c>
      <c r="U7" s="6">
        <f si="0" t="shared"/>
        <v>317895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11367.294639576</v>
      </c>
      <c r="F8" s="6" t="n">
        <v>77406.3334403086</v>
      </c>
      <c r="G8" s="6" t="n">
        <v>0.0</v>
      </c>
      <c r="H8" s="6" t="n">
        <v>0.0</v>
      </c>
      <c r="I8" s="6" t="n">
        <v>9930.118776788</v>
      </c>
      <c r="J8" s="6">
        <f si="1" t="shared"/>
        <v>98703.746856672602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38480.0</v>
      </c>
      <c r="R8" s="6" t="n">
        <v>0.0</v>
      </c>
      <c r="S8" s="6" t="n">
        <v>0.0</v>
      </c>
      <c r="T8" s="6" t="n">
        <v>108.0</v>
      </c>
      <c r="U8" s="6">
        <f si="0" t="shared"/>
        <v>38597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17.06375</v>
      </c>
      <c r="G9" s="6" t="n">
        <v>0.0</v>
      </c>
      <c r="H9" s="6" t="n">
        <v>0.0</v>
      </c>
      <c r="I9" s="6" t="n">
        <v>0.0</v>
      </c>
      <c r="J9" s="6">
        <f si="1" t="shared"/>
        <v>17.063749999999999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319263.434583824</v>
      </c>
      <c r="J13" s="6">
        <f si="1" t="shared"/>
        <v>319263.43458382401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256562.0</v>
      </c>
      <c r="U13" s="6">
        <f si="0" t="shared"/>
        <v>252075</v>
      </c>
    </row>
    <row r="14" spans="1:21" x14ac:dyDescent="0.25">
      <c r="A14" t="s">
        <v>4</v>
      </c>
      <c r="B14" s="6" t="n">
        <v>42.06125</v>
      </c>
      <c r="C14" s="6" t="n">
        <v>2965.13055716</v>
      </c>
      <c r="D14" s="6" t="n">
        <v>589.893</v>
      </c>
      <c r="E14" s="6" t="n">
        <v>0.0</v>
      </c>
      <c r="F14" s="6" t="n">
        <v>1048.761012843</v>
      </c>
      <c r="G14" s="6" t="n">
        <v>18845.311437734</v>
      </c>
      <c r="H14" s="6" t="n">
        <v>0.0</v>
      </c>
      <c r="I14" s="6" t="n">
        <v>1548.13125</v>
      </c>
      <c r="J14" s="6">
        <f si="1" t="shared"/>
        <v>25039.288507736997</v>
      </c>
      <c r="K14" s="6"/>
      <c r="L14" t="s">
        <v>4</v>
      </c>
      <c r="M14" s="6" t="n">
        <v>217.0</v>
      </c>
      <c r="N14" s="6" t="n">
        <v>1800.0</v>
      </c>
      <c r="O14" s="6" t="n">
        <v>2000.0</v>
      </c>
      <c r="P14" s="6" t="n">
        <v>0.0</v>
      </c>
      <c r="Q14" s="6" t="n">
        <v>1118.0</v>
      </c>
      <c r="R14" s="6" t="n">
        <v>15647.0</v>
      </c>
      <c r="S14" s="6" t="n">
        <v>0.0</v>
      </c>
      <c r="T14" s="6" t="n">
        <v>1843.0</v>
      </c>
      <c r="U14" s="6">
        <f si="0" t="shared"/>
        <v>22403</v>
      </c>
    </row>
    <row r="15" spans="1:21" x14ac:dyDescent="0.25">
      <c r="A15" s="4" t="s">
        <v>5</v>
      </c>
      <c r="B15" s="10" t="n">
        <v>916.8018410492</v>
      </c>
      <c r="C15" s="10" t="n">
        <v>12666.4976144805</v>
      </c>
      <c r="D15" s="10" t="n">
        <v>17554.075774834</v>
      </c>
      <c r="E15" s="10" t="n">
        <v>265.44625</v>
      </c>
      <c r="F15" s="10" t="n">
        <v>20941.4648447409</v>
      </c>
      <c r="G15" s="10" t="n">
        <v>1203.1604532640001</v>
      </c>
      <c r="H15" s="10" t="n">
        <v>132633.0903121661</v>
      </c>
      <c r="I15" s="10" t="n">
        <v>12129.539610361</v>
      </c>
      <c r="J15" s="6">
        <f si="1" t="shared"/>
        <v>198310.07670089573</v>
      </c>
      <c r="K15" s="6"/>
      <c r="L15" s="4" t="s">
        <v>5</v>
      </c>
      <c r="M15" s="8" t="n">
        <v>1962.0</v>
      </c>
      <c r="N15" s="8" t="n">
        <v>8900.0</v>
      </c>
      <c r="O15" s="8" t="n">
        <v>11122.0</v>
      </c>
      <c r="P15" s="8" t="n">
        <v>0.0</v>
      </c>
      <c r="Q15" s="8" t="n">
        <v>9341.0</v>
      </c>
      <c r="R15" s="8" t="n">
        <v>921.0</v>
      </c>
      <c r="S15" s="8" t="n">
        <v>77180.0</v>
      </c>
      <c r="T15" s="8" t="n">
        <v>14002.0</v>
      </c>
      <c r="U15" s="6">
        <f si="0" t="shared"/>
        <v>120230</v>
      </c>
    </row>
    <row ht="15.75" r="16" spans="1:21" thickBot="1" x14ac:dyDescent="0.3">
      <c r="A16" s="12" t="s">
        <v>7</v>
      </c>
      <c r="B16" s="16">
        <f ref="B16:J16" si="2" t="shared">SUM(B5:B15)</f>
        <v>192175.21002941488</v>
      </c>
      <c r="C16" s="16">
        <f si="2" t="shared"/>
        <v>286899.45911967667</v>
      </c>
      <c r="D16" s="16">
        <f si="2" t="shared"/>
        <v>550005.24275917606</v>
      </c>
      <c r="E16" s="16">
        <f si="2" t="shared"/>
        <v>25757.269980230998</v>
      </c>
      <c r="F16" s="16">
        <f si="2" t="shared"/>
        <v>112899.63450985719</v>
      </c>
      <c r="G16" s="16">
        <f si="2" t="shared"/>
        <v>20048.471890998</v>
      </c>
      <c r="H16" s="16">
        <f si="2" t="shared"/>
        <v>132633.09031216611</v>
      </c>
      <c r="I16" s="16">
        <f si="2" t="shared"/>
        <v>449389.408699997</v>
      </c>
      <c r="J16" s="16">
        <f si="2" t="shared"/>
        <v>1769807.7873015171</v>
      </c>
      <c r="L16" s="9" t="s">
        <v>7</v>
      </c>
      <c r="M16" s="16">
        <f ref="M16:U16" si="3" t="shared">SUM(M5:M15)</f>
        <v>123480</v>
      </c>
      <c r="N16" s="16">
        <f si="3" t="shared"/>
        <v>212076</v>
      </c>
      <c r="O16" s="16">
        <f si="3" t="shared"/>
        <v>356657</v>
      </c>
      <c r="P16" s="16">
        <f si="3" t="shared"/>
        <v>0</v>
      </c>
      <c r="Q16" s="16">
        <f si="3" t="shared"/>
        <v>60654</v>
      </c>
      <c r="R16" s="16">
        <f si="3" t="shared"/>
        <v>16587</v>
      </c>
      <c r="S16" s="16">
        <f si="3" t="shared"/>
        <v>74536</v>
      </c>
      <c r="T16" s="16">
        <f si="3" t="shared"/>
        <v>347049</v>
      </c>
      <c r="U16" s="16">
        <f si="3" t="shared"/>
        <v>1191039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42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42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0.99501047460334546</v>
      </c>
      <c r="C22" s="13">
        <f si="4" t="shared"/>
        <v>8.9512187127982631E-2</v>
      </c>
      <c r="D22" s="13">
        <f si="4" t="shared"/>
        <v>1.3278447797705392E-2</v>
      </c>
      <c r="E22" s="13">
        <f si="4" t="shared"/>
        <v>0.53903803166668063</v>
      </c>
      <c r="F22" s="13">
        <f si="4" t="shared"/>
        <v>4.5392983531337763E-3</v>
      </c>
      <c r="G22" s="13">
        <f si="4" t="shared"/>
        <v>0</v>
      </c>
      <c r="H22" s="13">
        <f si="4" t="shared"/>
        <v>0</v>
      </c>
      <c r="I22" s="13">
        <f si="4" t="shared"/>
        <v>6.2711229847460775E-4</v>
      </c>
      <c r="J22" s="13">
        <f si="4" t="shared"/>
        <v>0.13497455118554016</v>
      </c>
      <c r="K22" s="6"/>
      <c r="L22" t="s">
        <v>1</v>
      </c>
      <c r="M22" s="13">
        <f ref="M22:P22" si="5" t="shared">M5/M$16</f>
        <v>0.98250728862973757</v>
      </c>
      <c r="N22" s="13">
        <f si="5" t="shared"/>
        <v>3.9103906146853017E-2</v>
      </c>
      <c r="O22" s="13">
        <f si="5" t="shared"/>
        <v>1.8303299809060244E-2</v>
      </c>
      <c r="P22" s="13" t="e">
        <f si="5" t="shared"/>
        <v>#DIV/0!</v>
      </c>
      <c r="Q22" s="13">
        <f ref="Q22:U33" si="6" t="shared">Q5/Q$16</f>
        <v>3.5793187588617402E-2</v>
      </c>
      <c r="R22" s="13">
        <f si="6" t="shared"/>
        <v>0</v>
      </c>
      <c r="S22" s="13">
        <f si="6" t="shared"/>
        <v>0</v>
      </c>
      <c r="T22" s="13">
        <f si="6" t="shared"/>
        <v>2.198536806041798E-3</v>
      </c>
      <c r="U22" s="13">
        <f si="6" t="shared"/>
        <v>0.11676779685635819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0.85600312259199862</v>
      </c>
      <c r="D23" s="13">
        <f si="7" t="shared"/>
        <v>0.18531675388307109</v>
      </c>
      <c r="E23" s="13">
        <f si="7" t="shared"/>
        <v>8.9481913099057776E-3</v>
      </c>
      <c r="F23" s="13">
        <f si="7" t="shared"/>
        <v>8.3444089556341083E-2</v>
      </c>
      <c r="G23" s="13">
        <f si="7" t="shared"/>
        <v>0</v>
      </c>
      <c r="H23" s="13">
        <f si="7" t="shared"/>
        <v>0</v>
      </c>
      <c r="I23" s="13">
        <f si="7" t="shared"/>
        <v>9.0753574048404742E-2</v>
      </c>
      <c r="J23" s="13">
        <f si="7" t="shared"/>
        <v>0.22485323271252466</v>
      </c>
      <c r="K23" s="6"/>
      <c r="L23" t="s">
        <v>12</v>
      </c>
      <c r="M23" s="13">
        <f ref="M23:P23" si="8" t="shared">M6/M$16</f>
        <v>0</v>
      </c>
      <c r="N23" s="13">
        <f si="8" t="shared"/>
        <v>0.90992380090156355</v>
      </c>
      <c r="O23" s="13">
        <f si="8" t="shared"/>
        <v>0.17256635927515793</v>
      </c>
      <c r="P23" s="13" t="e">
        <f si="8" t="shared"/>
        <v>#DIV/0!</v>
      </c>
      <c r="Q23" s="13">
        <f si="6" t="shared"/>
        <v>0.11107264154054143</v>
      </c>
      <c r="R23" s="13">
        <f si="6" t="shared"/>
        <v>0</v>
      </c>
      <c r="S23" s="13">
        <f si="6" t="shared"/>
        <v>0</v>
      </c>
      <c r="T23" s="13">
        <f si="6" t="shared"/>
        <v>0.11383695097810395</v>
      </c>
      <c r="U23" s="13">
        <f si="6" t="shared"/>
        <v>0.25252237752080325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0.76841607864118489</v>
      </c>
      <c r="E24" s="13">
        <f si="9" t="shared"/>
        <v>3.843575040211313E-4</v>
      </c>
      <c r="F24" s="13">
        <f si="9" t="shared"/>
        <v>3.1467941765000264E-2</v>
      </c>
      <c r="G24" s="13">
        <f si="9" t="shared"/>
        <v>0</v>
      </c>
      <c r="H24" s="13">
        <f si="9" t="shared"/>
        <v>0</v>
      </c>
      <c r="I24" s="13">
        <f si="9" t="shared"/>
        <v>0.1456480072913664</v>
      </c>
      <c r="J24" s="13">
        <f si="9" t="shared"/>
        <v>0.27779749100425011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0.77351909537735131</v>
      </c>
      <c r="P24" s="13" t="e">
        <f si="10" t="shared"/>
        <v>#DIV/0!</v>
      </c>
      <c r="Q24" s="13">
        <f si="6" t="shared"/>
        <v>5.0895241863685825E-2</v>
      </c>
      <c r="R24" s="13">
        <f si="6" t="shared"/>
        <v>0</v>
      </c>
      <c r="S24" s="13">
        <f si="6" t="shared"/>
        <v>0</v>
      </c>
      <c r="T24" s="13">
        <f si="6" t="shared"/>
        <v>0.1121657172330132</v>
      </c>
      <c r="U24" s="13">
        <f si="6" t="shared"/>
        <v>0.26690561770017607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0.44132373688285009</v>
      </c>
      <c r="F25" s="13">
        <f si="11" t="shared"/>
        <v>0.68562076198351474</v>
      </c>
      <c r="G25" s="13">
        <f si="11" t="shared"/>
        <v>0</v>
      </c>
      <c r="H25" s="13">
        <f si="11" t="shared"/>
        <v>0</v>
      </c>
      <c r="I25" s="13">
        <f si="11" t="shared"/>
        <v>2.2096913243937043E-2</v>
      </c>
      <c r="J25" s="13">
        <f si="11" t="shared"/>
        <v>5.5770885157630241E-2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0.6345500708939229</v>
      </c>
      <c r="R25" s="13">
        <f si="6" t="shared"/>
        <v>0</v>
      </c>
      <c r="S25" s="13">
        <f si="6" t="shared"/>
        <v>0</v>
      </c>
      <c r="T25" s="13">
        <f si="6" t="shared"/>
        <v>3.1407668657739974E-4</v>
      </c>
      <c r="U25" s="13">
        <f si="6" t="shared"/>
        <v>3.2406159663957268E-2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1.5114087901241322E-4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9.6415837484914952E-6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>
        <f si="6" t="shared"/>
        <v>0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>
        <f si="6" t="shared"/>
        <v>0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>
        <f si="6" t="shared"/>
        <v>0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>
        <f si="6" t="shared"/>
        <v>0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0.7104382711363757</v>
      </c>
      <c r="J30" s="13">
        <f si="21" t="shared"/>
        <v>0.18039441168388984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>
        <f si="6" t="shared"/>
        <v>0.72633835567888105</v>
      </c>
      <c r="U30" s="13">
        <f si="6" t="shared"/>
        <v>0.21164294368194492</v>
      </c>
    </row>
    <row r="31" spans="1:21" x14ac:dyDescent="0.25">
      <c r="A31" t="s">
        <v>4</v>
      </c>
      <c r="B31" s="13">
        <f ref="B31:J31" si="23" t="shared">B14/B$16</f>
        <v>2.1886928076499557E-4</v>
      </c>
      <c r="C31" s="13">
        <f si="23" t="shared"/>
        <v>1.0335085908695044E-2</v>
      </c>
      <c r="D31" s="13">
        <f si="23" t="shared"/>
        <v>1.0725225036778223E-3</v>
      </c>
      <c r="E31" s="13">
        <f si="23" t="shared"/>
        <v>0</v>
      </c>
      <c r="F31" s="13">
        <f si="23" t="shared"/>
        <v>9.2893215943177683E-3</v>
      </c>
      <c r="G31" s="13">
        <f si="23" t="shared"/>
        <v>0.93998742349015463</v>
      </c>
      <c r="H31" s="13">
        <f si="23" t="shared"/>
        <v>0</v>
      </c>
      <c r="I31" s="13">
        <f si="23" t="shared"/>
        <v>3.4449660362011335E-3</v>
      </c>
      <c r="J31" s="13">
        <f si="23" t="shared"/>
        <v>1.4148027083729363E-2</v>
      </c>
      <c r="K31" s="6"/>
      <c r="L31" t="s">
        <v>4</v>
      </c>
      <c r="M31" s="13">
        <f ref="M31:P31" si="24" t="shared">M14/M$16</f>
        <v>1.8950437317784257E-3</v>
      </c>
      <c r="N31" s="13">
        <f si="24" t="shared"/>
        <v>8.1338765348271374E-3</v>
      </c>
      <c r="O31" s="13">
        <f si="24" t="shared"/>
        <v>5.4534188309776624E-3</v>
      </c>
      <c r="P31" s="13" t="e">
        <f si="24" t="shared"/>
        <v>#DIV/0!</v>
      </c>
      <c r="Q31" s="13">
        <f si="6" t="shared"/>
        <v>1.7624558973851682E-2</v>
      </c>
      <c r="R31" s="13">
        <f si="6" t="shared"/>
        <v>0.94206306143365282</v>
      </c>
      <c r="S31" s="13">
        <f si="6" t="shared"/>
        <v>0</v>
      </c>
      <c r="T31" s="13">
        <f si="6" t="shared"/>
        <v>5.1981132347305422E-3</v>
      </c>
      <c r="U31" s="13">
        <f si="6" t="shared"/>
        <v>1.8809627560474509E-2</v>
      </c>
    </row>
    <row r="32" spans="1:21" x14ac:dyDescent="0.25">
      <c r="A32" s="4" t="s">
        <v>5</v>
      </c>
      <c r="B32" s="14">
        <f ref="B32:J32" si="25" t="shared">B15/B$16</f>
        <v>4.7706561158896181E-3</v>
      </c>
      <c r="C32" s="14">
        <f si="25" t="shared"/>
        <v>4.4149604371323765E-2</v>
      </c>
      <c r="D32" s="14">
        <f si="25" t="shared"/>
        <v>3.1916197174360728E-2</v>
      </c>
      <c r="E32" s="14">
        <f si="25" t="shared"/>
        <v>1.0305682636542347E-2</v>
      </c>
      <c r="F32" s="14">
        <f si="25" t="shared"/>
        <v>0.18548744586868007</v>
      </c>
      <c r="G32" s="14">
        <f si="25" t="shared"/>
        <v>6.0012576509845289E-2</v>
      </c>
      <c r="H32" s="14">
        <f si="25" t="shared"/>
        <v>1</v>
      </c>
      <c r="I32" s="14">
        <f si="25" t="shared"/>
        <v>2.6991155945240417E-2</v>
      </c>
      <c r="J32" s="14">
        <f si="25" t="shared"/>
        <v>0.11205175958868703</v>
      </c>
      <c r="K32" s="6"/>
      <c r="L32" s="4" t="s">
        <v>5</v>
      </c>
      <c r="M32" s="14">
        <f ref="M32:P32" si="26" t="shared">M15/M$16</f>
        <v>1.5597667638483964E-2</v>
      </c>
      <c r="N32" s="14">
        <f si="26" t="shared"/>
        <v>4.2838416416756259E-2</v>
      </c>
      <c r="O32" s="14">
        <f si="26" t="shared"/>
        <v>3.0157826707452817E-2</v>
      </c>
      <c r="P32" s="14" t="e">
        <f si="26" t="shared"/>
        <v>#DIV/0!</v>
      </c>
      <c r="Q32" s="14">
        <f si="6" t="shared"/>
        <v>0.15006429913938074</v>
      </c>
      <c r="R32" s="14">
        <f si="6" t="shared"/>
        <v>5.7936938566347136E-2</v>
      </c>
      <c r="S32" s="14">
        <f si="6" t="shared"/>
        <v>1</v>
      </c>
      <c r="T32" s="14">
        <f si="6" t="shared"/>
        <v>3.9948249382652019E-2</v>
      </c>
      <c r="U32" s="14">
        <f si="6" t="shared"/>
        <v>0.10094547701628578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>
        <f si="6" t="shared"/>
        <v>1</v>
      </c>
      <c r="U33" s="15">
        <f si="6" t="shared"/>
        <v>1</v>
      </c>
    </row>
    <row ht="15.75" r="36" spans="1:32" thickBot="1" x14ac:dyDescent="0.3">
      <c r="L36" s="1" t="s">
        <v>18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42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-1.2503185973607889E-2</v>
      </c>
      <c r="N39" s="13">
        <f si="29" t="shared"/>
        <v>-5.0408280981129615E-2</v>
      </c>
      <c r="O39" s="13">
        <f si="29" t="shared"/>
        <v>5.0248520113548526E-3</v>
      </c>
      <c r="P39" s="13" t="e">
        <f si="29" t="shared"/>
        <v>#DIV/0!</v>
      </c>
      <c r="Q39" s="13">
        <f ref="Q39:Q50" si="30" t="shared">Q22-F22</f>
        <v>3.1253889235483626E-2</v>
      </c>
      <c r="R39" s="13">
        <f ref="R39:R50" si="31" t="shared">R22-G22</f>
        <v>0</v>
      </c>
      <c r="S39" s="13">
        <f ref="S39:S50" si="32" t="shared">S22-H22</f>
        <v>0</v>
      </c>
      <c r="T39" s="13">
        <f ref="T39:T50" si="33" t="shared">T22-I22</f>
        <v>1.5714245075671902E-3</v>
      </c>
      <c r="U39" s="13">
        <f ref="U39:U50" si="34" t="shared">U22-J22</f>
        <v>-1.8206754329181979E-2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5.3920678309564929E-2</v>
      </c>
      <c r="O40" s="13">
        <f si="29" t="shared"/>
        <v>-1.2750394607913162E-2</v>
      </c>
      <c r="P40" s="13" t="e">
        <f si="29" t="shared"/>
        <v>#DIV/0!</v>
      </c>
      <c r="Q40" s="13">
        <f si="30" t="shared"/>
        <v>2.7628551984200347E-2</v>
      </c>
      <c r="R40" s="13">
        <f si="31" t="shared"/>
        <v>0</v>
      </c>
      <c r="S40" s="13">
        <f si="32" t="shared"/>
        <v>0</v>
      </c>
      <c r="T40" s="13">
        <f si="33" t="shared"/>
        <v>2.3083376929699209E-2</v>
      </c>
      <c r="U40" s="13">
        <f si="34" t="shared"/>
        <v>2.766914480827859E-2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5.1030167361664214E-3</v>
      </c>
      <c r="P41" s="13" t="e">
        <f si="29" t="shared"/>
        <v>#DIV/0!</v>
      </c>
      <c r="Q41" s="13">
        <f si="30" t="shared"/>
        <v>1.9427300098685561E-2</v>
      </c>
      <c r="R41" s="13">
        <f si="31" t="shared"/>
        <v>0</v>
      </c>
      <c r="S41" s="13">
        <f si="32" t="shared"/>
        <v>0</v>
      </c>
      <c r="T41" s="13">
        <f si="33" t="shared"/>
        <v>-3.3482290058353195E-2</v>
      </c>
      <c r="U41" s="13">
        <f si="34" t="shared"/>
        <v>-1.089187330407404E-2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-5.1070691089591835E-2</v>
      </c>
      <c r="R42" s="13">
        <f si="31" t="shared"/>
        <v>0</v>
      </c>
      <c r="S42" s="13">
        <f si="32" t="shared"/>
        <v>0</v>
      </c>
      <c r="T42" s="13">
        <f si="33" t="shared"/>
        <v>-2.1782836557359644E-2</v>
      </c>
      <c r="U42" s="13">
        <f si="34" t="shared"/>
        <v>-2.3364725493672973E-2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-1.5114087901241322E-4</v>
      </c>
      <c r="R43" s="13">
        <f si="31" t="shared"/>
        <v>0</v>
      </c>
      <c r="S43" s="13">
        <f si="32" t="shared"/>
        <v>0</v>
      </c>
      <c r="T43" s="13">
        <f si="33" t="shared"/>
        <v>0</v>
      </c>
      <c r="U43" s="13">
        <f si="34" t="shared"/>
        <v>-9.6415837484914952E-6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>
        <f si="33" t="shared"/>
        <v>0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>
        <f si="33" t="shared"/>
        <v>0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>
        <f si="33" t="shared"/>
        <v>0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>
        <f si="33" t="shared"/>
        <v>1.5900084542505355E-2</v>
      </c>
      <c r="U47" s="13">
        <f si="34" t="shared"/>
        <v>3.1248531998055079E-2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1.6761744510134301E-3</v>
      </c>
      <c r="N48" s="13">
        <f si="39" t="shared"/>
        <v>-2.2012093738679062E-3</v>
      </c>
      <c r="O48" s="13">
        <f si="39" t="shared"/>
        <v>4.3808963272998405E-3</v>
      </c>
      <c r="P48" s="13" t="e">
        <f si="39" t="shared"/>
        <v>#DIV/0!</v>
      </c>
      <c r="Q48" s="13">
        <f si="30" t="shared"/>
        <v>8.3352373795339135E-3</v>
      </c>
      <c r="R48" s="13">
        <f si="31" t="shared"/>
        <v>2.0756379434981875E-3</v>
      </c>
      <c r="S48" s="13">
        <f si="32" t="shared"/>
        <v>0</v>
      </c>
      <c r="T48" s="13">
        <f si="33" t="shared"/>
        <v>1.7531471985294087E-3</v>
      </c>
      <c r="U48" s="13">
        <f si="34" t="shared"/>
        <v>4.661600476745147E-3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1.0827011522594347E-2</v>
      </c>
      <c r="N49" s="17">
        <f si="39" t="shared"/>
        <v>-1.3111879545675068E-3</v>
      </c>
      <c r="O49" s="17">
        <f si="39" t="shared"/>
        <v>-1.7583704669079103E-3</v>
      </c>
      <c r="P49" s="17" t="e">
        <f si="39" t="shared"/>
        <v>#DIV/0!</v>
      </c>
      <c r="Q49" s="17">
        <f si="30" t="shared"/>
        <v>-3.5423146729299332E-2</v>
      </c>
      <c r="R49" s="17">
        <f si="31" t="shared"/>
        <v>-2.0756379434981528E-3</v>
      </c>
      <c r="S49" s="17">
        <f si="32" t="shared"/>
        <v>0</v>
      </c>
      <c r="T49" s="17">
        <f si="33" t="shared"/>
        <v>1.2957093437411603E-2</v>
      </c>
      <c r="U49" s="13">
        <f si="34" t="shared"/>
        <v>-1.1106282572401247E-2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>
        <f si="33" t="shared"/>
        <v>0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AG50"/>
  <sheetViews>
    <sheetView workbookViewId="0" zoomScaleNormal="10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31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43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43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47017.0901456854</v>
      </c>
      <c r="C5" s="6" t="n">
        <v>338383.1360179007</v>
      </c>
      <c r="D5" s="6" t="n">
        <v>115578.3606916885</v>
      </c>
      <c r="E5" s="6" t="n">
        <v>373.067856556</v>
      </c>
      <c r="F5" s="6" t="n">
        <v>298.0264508996</v>
      </c>
      <c r="G5" s="6" t="n">
        <v>0.0</v>
      </c>
      <c r="H5" s="6" t="n">
        <v>0.0</v>
      </c>
      <c r="I5" s="6" t="n">
        <v>0.0</v>
      </c>
      <c r="J5" s="6">
        <f>SUM(B5:I5)</f>
        <v>501649.68116273021</v>
      </c>
      <c r="K5" s="6"/>
      <c r="L5" t="s">
        <v>1</v>
      </c>
      <c r="M5" s="6" t="n">
        <v>292.0</v>
      </c>
      <c r="N5" s="6" t="n">
        <v>229415.0</v>
      </c>
      <c r="O5" s="6" t="n">
        <v>104904.0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330865</v>
      </c>
    </row>
    <row r="6" spans="1:21" x14ac:dyDescent="0.25">
      <c r="A6" t="s">
        <v>12</v>
      </c>
      <c r="B6" s="6" t="n">
        <v>0.0</v>
      </c>
      <c r="C6" s="6" t="n">
        <v>366226.2272171662</v>
      </c>
      <c r="D6" s="6" t="n">
        <v>219107.4756911135</v>
      </c>
      <c r="E6" s="6" t="n">
        <v>0.0</v>
      </c>
      <c r="F6" s="6" t="n">
        <v>463.3983882427</v>
      </c>
      <c r="G6" s="6" t="n">
        <v>0.0</v>
      </c>
      <c r="H6" s="6" t="n">
        <v>0.0</v>
      </c>
      <c r="I6" s="6" t="n">
        <v>659.6315</v>
      </c>
      <c r="J6" s="6">
        <f ref="J6:J15" si="1" t="shared">SUM(B6:I6)</f>
        <v>586456.73279652244</v>
      </c>
      <c r="K6" s="6"/>
      <c r="L6" t="s">
        <v>12</v>
      </c>
      <c r="M6" s="6" t="n">
        <v>0.0</v>
      </c>
      <c r="N6" s="6" t="n">
        <v>452464.0</v>
      </c>
      <c r="O6" s="6" t="n">
        <v>92988.0</v>
      </c>
      <c r="P6" s="6" t="n">
        <v>0.0</v>
      </c>
      <c r="Q6" s="6" t="n">
        <v>0.0</v>
      </c>
      <c r="R6" s="6" t="n">
        <v>0.0</v>
      </c>
      <c r="S6" s="6" t="n">
        <v>0.0</v>
      </c>
      <c r="T6" s="6" t="n">
        <v>0.0</v>
      </c>
      <c r="U6" s="6">
        <f si="0" t="shared"/>
        <v>539512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448578.63539263123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448578.63539263123</v>
      </c>
      <c r="K7" s="6"/>
      <c r="L7" t="s">
        <v>56</v>
      </c>
      <c r="M7" s="6" t="n">
        <v>0.0</v>
      </c>
      <c r="N7" s="6" t="n">
        <v>0.0</v>
      </c>
      <c r="O7" s="6" t="n">
        <v>355818.0</v>
      </c>
      <c r="P7" s="6" t="n">
        <v>0.0</v>
      </c>
      <c r="Q7" s="6" t="n">
        <v>0.0</v>
      </c>
      <c r="R7" s="6" t="n">
        <v>0.0</v>
      </c>
      <c r="S7" s="6" t="n">
        <v>0.0</v>
      </c>
      <c r="T7" s="6" t="n">
        <v>0.0</v>
      </c>
      <c r="U7" s="6">
        <f si="0" t="shared"/>
        <v>352813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373.067856556</v>
      </c>
      <c r="F8" s="6" t="n">
        <v>6845.5035407785</v>
      </c>
      <c r="G8" s="6" t="n">
        <v>0.0</v>
      </c>
      <c r="H8" s="6" t="n">
        <v>0.0</v>
      </c>
      <c r="I8" s="6" t="n">
        <v>0.0</v>
      </c>
      <c r="J8" s="6">
        <f si="1" t="shared"/>
        <v>7218.5713973345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0.0</v>
      </c>
      <c r="S8" s="6" t="n">
        <v>0.0</v>
      </c>
      <c r="T8" s="6" t="n">
        <v>0.0</v>
      </c>
      <c r="U8" s="6">
        <f si="0" t="shared"/>
        <v>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1978.8944999999999</v>
      </c>
      <c r="J13" s="6">
        <f si="1" t="shared"/>
        <v>1978.8944999999999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5395.9617565758</v>
      </c>
      <c r="D14" s="6" t="n">
        <v>166.035106589</v>
      </c>
      <c r="E14" s="6" t="n">
        <v>0.0</v>
      </c>
      <c r="F14" s="6" t="n">
        <v>0.0</v>
      </c>
      <c r="G14" s="6" t="n">
        <v>3574.0916688353004</v>
      </c>
      <c r="H14" s="6" t="n">
        <v>0.0</v>
      </c>
      <c r="I14" s="6" t="n">
        <v>0.0</v>
      </c>
      <c r="J14" s="6">
        <f si="1" t="shared"/>
        <v>9136.0885320000998</v>
      </c>
      <c r="K14" s="6"/>
      <c r="L14" t="s">
        <v>4</v>
      </c>
      <c r="M14" s="6" t="n">
        <v>0.0</v>
      </c>
      <c r="N14" s="6" t="n">
        <v>5736.0</v>
      </c>
      <c r="O14" s="6" t="n">
        <v>4796.0</v>
      </c>
      <c r="P14" s="6" t="n">
        <v>0.0</v>
      </c>
      <c r="Q14" s="6" t="n">
        <v>0.0</v>
      </c>
      <c r="R14" s="6" t="n">
        <v>6354.0</v>
      </c>
      <c r="S14" s="6" t="n">
        <v>0.0</v>
      </c>
      <c r="T14" s="6" t="n">
        <v>0.0</v>
      </c>
      <c r="U14" s="6">
        <f si="0" t="shared"/>
        <v>16786</v>
      </c>
    </row>
    <row r="15" spans="1:21" x14ac:dyDescent="0.25">
      <c r="A15" s="4" t="s">
        <v>5</v>
      </c>
      <c r="B15" s="10" t="n">
        <v>4021.110885484</v>
      </c>
      <c r="C15" s="10" t="n">
        <v>8928.3319904001</v>
      </c>
      <c r="D15" s="10" t="n">
        <v>15685.1222060122</v>
      </c>
      <c r="E15" s="10" t="n">
        <v>373.067856556</v>
      </c>
      <c r="F15" s="10" t="n">
        <v>234.56112695000002</v>
      </c>
      <c r="G15" s="10" t="n">
        <v>369.703052246</v>
      </c>
      <c r="H15" s="10" t="n">
        <v>67412.928387123</v>
      </c>
      <c r="I15" s="10" t="n">
        <v>0.0</v>
      </c>
      <c r="J15" s="6">
        <f si="1" t="shared"/>
        <v>97024.825504771303</v>
      </c>
      <c r="K15" s="6"/>
      <c r="L15" s="4" t="s">
        <v>5</v>
      </c>
      <c r="M15" s="8" t="n">
        <v>0.0</v>
      </c>
      <c r="N15" s="8" t="n">
        <v>28855.0</v>
      </c>
      <c r="O15" s="8" t="n">
        <v>20138.0</v>
      </c>
      <c r="P15" s="8" t="n">
        <v>0.0</v>
      </c>
      <c r="Q15" s="8" t="n">
        <v>0.0</v>
      </c>
      <c r="R15" s="8" t="n">
        <v>110.0</v>
      </c>
      <c r="S15" s="8" t="n">
        <v>42.0</v>
      </c>
      <c r="T15" s="8" t="n">
        <v>0.0</v>
      </c>
      <c r="U15" s="6">
        <f si="0" t="shared"/>
        <v>48612</v>
      </c>
    </row>
    <row ht="15.75" r="16" spans="1:21" thickBot="1" x14ac:dyDescent="0.3">
      <c r="A16" s="12" t="s">
        <v>7</v>
      </c>
      <c r="B16" s="16">
        <f ref="B16:J16" si="2" t="shared">SUM(B5:B15)</f>
        <v>51038.201031169396</v>
      </c>
      <c r="C16" s="16">
        <f si="2" t="shared"/>
        <v>718933.65698204283</v>
      </c>
      <c r="D16" s="16">
        <f si="2" t="shared"/>
        <v>799115.6290880345</v>
      </c>
      <c r="E16" s="16">
        <f si="2" t="shared"/>
        <v>1119.203569668</v>
      </c>
      <c r="F16" s="16">
        <f si="2" t="shared"/>
        <v>7841.4895068707992</v>
      </c>
      <c r="G16" s="16">
        <f si="2" t="shared"/>
        <v>3943.7947210813004</v>
      </c>
      <c r="H16" s="16">
        <f si="2" t="shared"/>
        <v>67412.928387123</v>
      </c>
      <c r="I16" s="16">
        <f si="2" t="shared"/>
        <v>2638.5259999999998</v>
      </c>
      <c r="J16" s="16">
        <f si="2" t="shared"/>
        <v>1652043.4292859896</v>
      </c>
      <c r="L16" s="9" t="s">
        <v>7</v>
      </c>
      <c r="M16" s="16">
        <f ref="M16:U16" si="3" t="shared">SUM(M5:M15)</f>
        <v>288</v>
      </c>
      <c r="N16" s="16">
        <f si="3" t="shared"/>
        <v>708408</v>
      </c>
      <c r="O16" s="16">
        <f si="3" t="shared"/>
        <v>573309</v>
      </c>
      <c r="P16" s="16">
        <f si="3" t="shared"/>
        <v>0</v>
      </c>
      <c r="Q16" s="16">
        <f si="3" t="shared"/>
        <v>0</v>
      </c>
      <c r="R16" s="16">
        <f si="3" t="shared"/>
        <v>6523</v>
      </c>
      <c r="S16" s="16">
        <f si="3" t="shared"/>
        <v>60</v>
      </c>
      <c r="T16" s="16">
        <f si="3" t="shared"/>
        <v>0</v>
      </c>
      <c r="U16" s="16">
        <f si="3" t="shared"/>
        <v>1288588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32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43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43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0.92121370259448843</v>
      </c>
      <c r="C22" s="13">
        <f si="4" t="shared"/>
        <v>0.47067366054104864</v>
      </c>
      <c r="D22" s="13">
        <f si="4" t="shared"/>
        <v>0.14463283720728709</v>
      </c>
      <c r="E22" s="13">
        <f si="4" t="shared"/>
        <v>0.33333333333333331</v>
      </c>
      <c r="F22" s="13">
        <f si="4" t="shared"/>
        <v>3.8006357164473141E-2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0.30365405186687033</v>
      </c>
      <c r="K22" s="6"/>
      <c r="L22" t="s">
        <v>1</v>
      </c>
      <c r="M22" s="13">
        <f ref="M22:P22" si="5" t="shared">M5/M$16</f>
        <v>1</v>
      </c>
      <c r="N22" s="13">
        <f si="5" t="shared"/>
        <v>0.32087158812435773</v>
      </c>
      <c r="O22" s="13">
        <f si="5" t="shared"/>
        <v>0.18012799380438821</v>
      </c>
      <c r="P22" s="13" t="e">
        <f si="5" t="shared"/>
        <v>#DIV/0!</v>
      </c>
      <c r="Q22" s="13" t="e">
        <f ref="Q22:U33" si="6" t="shared">Q5/Q$16</f>
        <v>#DIV/0!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0.25676554492203868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0.50940197841692314</v>
      </c>
      <c r="D23" s="13">
        <f si="7" t="shared"/>
        <v>0.27418744886914925</v>
      </c>
      <c r="E23" s="13">
        <f si="7" t="shared"/>
        <v>0</v>
      </c>
      <c r="F23" s="13">
        <f si="7" t="shared"/>
        <v>5.9095709792975584E-2</v>
      </c>
      <c r="G23" s="13">
        <f si="7" t="shared"/>
        <v>0</v>
      </c>
      <c r="H23" s="13">
        <f si="7" t="shared"/>
        <v>0</v>
      </c>
      <c r="I23" s="13">
        <f si="7" t="shared"/>
        <v>0.25</v>
      </c>
      <c r="J23" s="13">
        <f si="7" t="shared"/>
        <v>0.35498869000676819</v>
      </c>
      <c r="K23" s="6"/>
      <c r="L23" t="s">
        <v>12</v>
      </c>
      <c r="M23" s="13">
        <f ref="M23:P23" si="8" t="shared">M6/M$16</f>
        <v>0</v>
      </c>
      <c r="N23" s="13">
        <f si="8" t="shared"/>
        <v>0.63127180946573158</v>
      </c>
      <c r="O23" s="13">
        <f si="8" t="shared"/>
        <v>0.16101962467011682</v>
      </c>
      <c r="P23" s="13" t="e">
        <f si="8" t="shared"/>
        <v>#DIV/0!</v>
      </c>
      <c r="Q23" s="13" t="e">
        <f si="6" t="shared"/>
        <v>#DIV/0!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0.41868463775853881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0.56134383944480903</v>
      </c>
      <c r="E24" s="13">
        <f si="9" t="shared"/>
        <v>0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>
        <f si="9" t="shared"/>
        <v>0</v>
      </c>
      <c r="J24" s="13">
        <f si="9" t="shared"/>
        <v>0.27152956601540806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0.61539763024826055</v>
      </c>
      <c r="P24" s="13" t="e">
        <f si="10" t="shared"/>
        <v>#DIV/0!</v>
      </c>
      <c r="Q24" s="13" t="e">
        <f si="6" t="shared"/>
        <v>#DIV/0!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0.27379814184207829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0.33333333333333331</v>
      </c>
      <c r="F25" s="13">
        <f si="11" t="shared"/>
        <v>0.87298510503398552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4.3694804079420328E-3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 t="e">
        <f si="6" t="shared"/>
        <v>#DIV/0!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0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 t="e">
        <f si="6" t="shared"/>
        <v>#DIV/0!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 t="e">
        <f si="6" t="shared"/>
        <v>#DIV/0!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 t="e">
        <f si="6" t="shared"/>
        <v>#DIV/0!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 t="e">
        <f si="6" t="shared"/>
        <v>#DIV/0!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0.75</v>
      </c>
      <c r="J30" s="13">
        <f si="21" t="shared"/>
        <v>1.1978465365497532E-3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 t="e">
        <f si="6" t="shared"/>
        <v>#DIV/0!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7.5055072247237654E-3</v>
      </c>
      <c r="D31" s="13">
        <f si="23" t="shared"/>
        <v>2.0777356936252435E-4</v>
      </c>
      <c r="E31" s="13">
        <f si="23" t="shared"/>
        <v>0</v>
      </c>
      <c r="F31" s="13">
        <f si="23" t="shared"/>
        <v>0</v>
      </c>
      <c r="G31" s="13">
        <f si="23" t="shared"/>
        <v>0.90625702441616041</v>
      </c>
      <c r="H31" s="13">
        <f si="23" t="shared"/>
        <v>0</v>
      </c>
      <c r="I31" s="13">
        <f si="23" t="shared"/>
        <v>0</v>
      </c>
      <c r="J31" s="13">
        <f si="23" t="shared"/>
        <v>5.5301745523413399E-3</v>
      </c>
      <c r="K31" s="6"/>
      <c r="L31" t="s">
        <v>4</v>
      </c>
      <c r="M31" s="13">
        <f ref="M31:P31" si="24" t="shared">M14/M$16</f>
        <v>0</v>
      </c>
      <c r="N31" s="13">
        <f si="24" t="shared"/>
        <v>7.900814220053981E-3</v>
      </c>
      <c r="O31" s="13">
        <f si="24" t="shared"/>
        <v>8.2800025815049135E-3</v>
      </c>
      <c r="P31" s="13" t="e">
        <f si="24" t="shared"/>
        <v>#DIV/0!</v>
      </c>
      <c r="Q31" s="13" t="e">
        <f si="6" t="shared"/>
        <v>#DIV/0!</v>
      </c>
      <c r="R31" s="13">
        <f si="6" t="shared"/>
        <v>0.98758240073585768</v>
      </c>
      <c r="S31" s="13">
        <f si="6" t="shared"/>
        <v>0</v>
      </c>
      <c r="T31" s="13" t="e">
        <f si="6" t="shared"/>
        <v>#DIV/0!</v>
      </c>
      <c r="U31" s="13">
        <f si="6" t="shared"/>
        <v>1.3026661741378936E-2</v>
      </c>
    </row>
    <row r="32" spans="1:21" x14ac:dyDescent="0.25">
      <c r="A32" s="4" t="s">
        <v>5</v>
      </c>
      <c r="B32" s="14">
        <f ref="B32:J32" si="25" t="shared">B15/B$16</f>
        <v>7.8786297405511588E-2</v>
      </c>
      <c r="C32" s="14">
        <f si="25" t="shared"/>
        <v>1.2418853817304462E-2</v>
      </c>
      <c r="D32" s="14">
        <f si="25" t="shared"/>
        <v>1.9628100909391988E-2</v>
      </c>
      <c r="E32" s="14">
        <f si="25" t="shared"/>
        <v>0.33333333333333331</v>
      </c>
      <c r="F32" s="14">
        <f si="25" t="shared"/>
        <v>2.9912828008565845E-2</v>
      </c>
      <c r="G32" s="14">
        <f si="25" t="shared"/>
        <v>9.3742975583839649E-2</v>
      </c>
      <c r="H32" s="14">
        <f si="25" t="shared"/>
        <v>1</v>
      </c>
      <c r="I32" s="14">
        <f si="25" t="shared"/>
        <v>0</v>
      </c>
      <c r="J32" s="14">
        <f si="25" t="shared"/>
        <v>5.8730190614120395E-2</v>
      </c>
      <c r="K32" s="6"/>
      <c r="L32" s="4" t="s">
        <v>5</v>
      </c>
      <c r="M32" s="14">
        <f ref="M32:P32" si="26" t="shared">M15/M$16</f>
        <v>0</v>
      </c>
      <c r="N32" s="14">
        <f si="26" t="shared"/>
        <v>3.9955788189856692E-2</v>
      </c>
      <c r="O32" s="14">
        <f si="26" t="shared"/>
        <v>3.5174748695729528E-2</v>
      </c>
      <c r="P32" s="14" t="e">
        <f si="26" t="shared"/>
        <v>#DIV/0!</v>
      </c>
      <c r="Q32" s="14" t="e">
        <f si="6" t="shared"/>
        <v>#DIV/0!</v>
      </c>
      <c r="R32" s="14">
        <f si="6" t="shared"/>
        <v>1.2417599264142265E-2</v>
      </c>
      <c r="S32" s="14">
        <f si="6" t="shared"/>
        <v>1</v>
      </c>
      <c r="T32" s="14" t="e">
        <f si="6" t="shared"/>
        <v>#DIV/0!</v>
      </c>
      <c r="U32" s="14">
        <f si="6" t="shared"/>
        <v>3.7725013735965256E-2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 t="e">
        <f si="6" t="shared"/>
        <v>#DIV/0!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19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43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16</v>
      </c>
      <c r="S38" s="5" t="s">
        <v>4</v>
      </c>
      <c r="T38" s="5" t="s">
        <v>5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7.8786297405511574E-2</v>
      </c>
      <c r="N39" s="13">
        <f si="29" t="shared"/>
        <v>-0.14980207241669091</v>
      </c>
      <c r="O39" s="13">
        <f si="29" t="shared"/>
        <v>3.5495156597101118E-2</v>
      </c>
      <c r="P39" s="13" t="e">
        <f si="29" t="shared"/>
        <v>#DIV/0!</v>
      </c>
      <c r="Q39" s="13" t="e">
        <f ref="Q39:Q50" si="30" t="shared">Q22-F22</f>
        <v>#DIV/0!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-4.6888506944831654E-2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0.12186983104880844</v>
      </c>
      <c r="O40" s="13">
        <f si="29" t="shared"/>
        <v>-0.11316782419903243</v>
      </c>
      <c r="P40" s="13" t="e">
        <f si="29" t="shared"/>
        <v>#DIV/0!</v>
      </c>
      <c r="Q40" s="13" t="e">
        <f si="30" t="shared"/>
        <v>#DIV/0!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6.3695947751770621E-2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5.4053790803451518E-2</v>
      </c>
      <c r="P41" s="13" t="e">
        <f si="29" t="shared"/>
        <v>#DIV/0!</v>
      </c>
      <c r="Q41" s="13" t="e">
        <f si="30" t="shared"/>
        <v>#DIV/0!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2.2685758266702272E-3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 t="e">
        <f si="30" t="shared"/>
        <v>#DIV/0!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-4.3694804079420328E-3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 t="e">
        <f si="30" t="shared"/>
        <v>#DIV/0!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 t="e">
        <f si="30" t="shared"/>
        <v>#DIV/0!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 t="e">
        <f si="30" t="shared"/>
        <v>#DIV/0!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 t="e">
        <f si="30" t="shared"/>
        <v>#DIV/0!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 t="e">
        <f si="30" t="shared"/>
        <v>#DIV/0!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-1.1978465365497532E-3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0</v>
      </c>
      <c r="N48" s="13">
        <f si="39" t="shared"/>
        <v>3.953069953302156E-4</v>
      </c>
      <c r="O48" s="13">
        <f si="39" t="shared"/>
        <v>8.0722290121423897E-3</v>
      </c>
      <c r="P48" s="13" t="e">
        <f si="39" t="shared"/>
        <v>#DIV/0!</v>
      </c>
      <c r="Q48" s="13" t="e">
        <f si="30" t="shared"/>
        <v>#DIV/0!</v>
      </c>
      <c r="R48" s="13">
        <f si="31" t="shared"/>
        <v>8.1325376319697273E-2</v>
      </c>
      <c r="S48" s="13">
        <f si="32" t="shared"/>
        <v>0</v>
      </c>
      <c r="T48" s="13" t="e">
        <f si="33" t="shared"/>
        <v>#DIV/0!</v>
      </c>
      <c r="U48" s="13">
        <f si="34" t="shared"/>
        <v>7.4964871890375959E-3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-7.8786297405511588E-2</v>
      </c>
      <c r="N49" s="17">
        <f si="39" t="shared"/>
        <v>2.7536934372552231E-2</v>
      </c>
      <c r="O49" s="17">
        <f si="39" t="shared"/>
        <v>1.554664778633754E-2</v>
      </c>
      <c r="P49" s="17" t="e">
        <f si="39" t="shared"/>
        <v>#DIV/0!</v>
      </c>
      <c r="Q49" s="17" t="e">
        <f si="30" t="shared"/>
        <v>#DIV/0!</v>
      </c>
      <c r="R49" s="17">
        <f si="31" t="shared"/>
        <v>-8.1325376319697384E-2</v>
      </c>
      <c r="S49" s="17">
        <f si="32" t="shared"/>
        <v>0</v>
      </c>
      <c r="T49" s="17" t="e">
        <f si="33" t="shared"/>
        <v>#DIV/0!</v>
      </c>
      <c r="U49" s="13">
        <f si="34" t="shared"/>
        <v>-2.1005176878155139E-2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 t="e">
        <f si="30" t="shared"/>
        <v>#DIV/0!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G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33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44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44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638200.747426629</v>
      </c>
      <c r="C5" s="6" t="n">
        <v>28295.3583118908</v>
      </c>
      <c r="D5" s="6" t="n">
        <v>14622.1971247273</v>
      </c>
      <c r="E5" s="6" t="n">
        <v>3469.925244096</v>
      </c>
      <c r="F5" s="6" t="n">
        <v>593.918118993</v>
      </c>
      <c r="G5" s="6" t="n">
        <v>0.0</v>
      </c>
      <c r="H5" s="6" t="n">
        <v>0.0</v>
      </c>
      <c r="I5" s="6" t="n">
        <v>0.0</v>
      </c>
      <c r="J5" s="6">
        <f>SUM(B5:I5)</f>
        <v>685182.14622633602</v>
      </c>
      <c r="K5" s="6"/>
      <c r="L5" t="s">
        <v>1</v>
      </c>
      <c r="M5" s="6" t="n">
        <v>465715.0</v>
      </c>
      <c r="N5" s="6" t="n">
        <v>31873.0</v>
      </c>
      <c r="O5" s="6" t="n">
        <v>9254.0</v>
      </c>
      <c r="P5" s="6" t="n">
        <v>0.0</v>
      </c>
      <c r="Q5" s="6" t="n">
        <v>243.0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505845</v>
      </c>
    </row>
    <row r="6" spans="1:21" x14ac:dyDescent="0.25">
      <c r="A6" t="s">
        <v>12</v>
      </c>
      <c r="B6" s="6" t="n">
        <v>0.0</v>
      </c>
      <c r="C6" s="6" t="n">
        <v>424519.995393271</v>
      </c>
      <c r="D6" s="6" t="n">
        <v>36307.3354055012</v>
      </c>
      <c r="E6" s="6" t="n">
        <v>0.0</v>
      </c>
      <c r="F6" s="6" t="n">
        <v>8059.9491362715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468887.27993504365</v>
      </c>
      <c r="K6" s="6"/>
      <c r="L6" t="s">
        <v>12</v>
      </c>
      <c r="M6" s="6" t="n">
        <v>0.0</v>
      </c>
      <c r="N6" s="6" t="n">
        <v>369540.0</v>
      </c>
      <c r="O6" s="6" t="n">
        <v>59291.0</v>
      </c>
      <c r="P6" s="6" t="n">
        <v>0.0</v>
      </c>
      <c r="Q6" s="6" t="n">
        <v>2725.0</v>
      </c>
      <c r="R6" s="6" t="n">
        <v>0.0</v>
      </c>
      <c r="S6" s="6" t="n">
        <v>0.0</v>
      </c>
      <c r="T6" s="6" t="n">
        <v>0.0</v>
      </c>
      <c r="U6" s="6">
        <f si="0" t="shared"/>
        <v>427673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300885.3635041723</v>
      </c>
      <c r="E7" s="6" t="n">
        <v>376.597523036</v>
      </c>
      <c r="F7" s="6" t="n">
        <v>0.0</v>
      </c>
      <c r="G7" s="6" t="n">
        <v>0.0</v>
      </c>
      <c r="H7" s="6" t="n">
        <v>0.0</v>
      </c>
      <c r="I7" s="6" t="n">
        <v>918.411125</v>
      </c>
      <c r="J7" s="6">
        <f si="1" t="shared"/>
        <v>302180.37215220829</v>
      </c>
      <c r="K7" s="6"/>
      <c r="L7" t="s">
        <v>56</v>
      </c>
      <c r="M7" s="6" t="n">
        <v>0.0</v>
      </c>
      <c r="N7" s="6" t="n">
        <v>0.0</v>
      </c>
      <c r="O7" s="6" t="n">
        <v>275473.0</v>
      </c>
      <c r="P7" s="6" t="n">
        <v>0.0</v>
      </c>
      <c r="Q7" s="6" t="n">
        <v>1183.0</v>
      </c>
      <c r="R7" s="6" t="n">
        <v>0.0</v>
      </c>
      <c r="S7" s="6" t="n">
        <v>0.0</v>
      </c>
      <c r="T7" s="6" t="n">
        <v>0.0</v>
      </c>
      <c r="U7" s="6">
        <f si="0" t="shared"/>
        <v>274860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2793.2312176259998</v>
      </c>
      <c r="F8" s="6" t="n">
        <v>63528.3905518792</v>
      </c>
      <c r="G8" s="6" t="n">
        <v>0.0</v>
      </c>
      <c r="H8" s="6" t="n">
        <v>0.0</v>
      </c>
      <c r="I8" s="6" t="n">
        <v>0.0</v>
      </c>
      <c r="J8" s="6">
        <f si="1" t="shared"/>
        <v>66321.621769505204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18919.0</v>
      </c>
      <c r="R8" s="6" t="n">
        <v>0.0</v>
      </c>
      <c r="S8" s="6" t="n">
        <v>0.0</v>
      </c>
      <c r="T8" s="6" t="n">
        <v>0.0</v>
      </c>
      <c r="U8" s="6">
        <f si="0" t="shared"/>
        <v>17849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4801.467375</v>
      </c>
      <c r="J13" s="6">
        <f si="1" t="shared"/>
        <v>4801.4673750000002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1493.612561511</v>
      </c>
      <c r="C14" s="6" t="n">
        <v>317.791360728</v>
      </c>
      <c r="D14" s="6" t="n">
        <v>0.0</v>
      </c>
      <c r="E14" s="6" t="n">
        <v>0.0</v>
      </c>
      <c r="F14" s="6" t="n">
        <v>1371.450656403</v>
      </c>
      <c r="G14" s="6" t="n">
        <v>12074.4687747476</v>
      </c>
      <c r="H14" s="6" t="n">
        <v>0.0</v>
      </c>
      <c r="I14" s="6" t="n">
        <v>0.0</v>
      </c>
      <c r="J14" s="6">
        <f si="1" t="shared"/>
        <v>15257.3233533896</v>
      </c>
      <c r="K14" s="6"/>
      <c r="L14" t="s">
        <v>4</v>
      </c>
      <c r="M14" s="6" t="n">
        <v>666.0</v>
      </c>
      <c r="N14" s="6" t="n">
        <v>821.0</v>
      </c>
      <c r="O14" s="6" t="n">
        <v>548.0</v>
      </c>
      <c r="P14" s="6" t="n">
        <v>0.0</v>
      </c>
      <c r="Q14" s="6" t="n">
        <v>354.0</v>
      </c>
      <c r="R14" s="6" t="n">
        <v>25708.0</v>
      </c>
      <c r="S14" s="6" t="n">
        <v>0.0</v>
      </c>
      <c r="T14" s="6" t="n">
        <v>0.0</v>
      </c>
      <c r="U14" s="6">
        <f si="0" t="shared"/>
        <v>28356</v>
      </c>
    </row>
    <row r="15" spans="1:21" x14ac:dyDescent="0.25">
      <c r="A15" s="4" t="s">
        <v>5</v>
      </c>
      <c r="B15" s="10" t="n">
        <v>9939.9719895707</v>
      </c>
      <c r="C15" s="10" t="n">
        <v>3878.2140208744</v>
      </c>
      <c r="D15" s="10" t="n">
        <v>4407.5817223416</v>
      </c>
      <c r="E15" s="10" t="n">
        <v>239.334385272</v>
      </c>
      <c r="F15" s="10" t="n">
        <v>18481.0418076912</v>
      </c>
      <c r="G15" s="10" t="n">
        <v>2685.77572214</v>
      </c>
      <c r="H15" s="10" t="n">
        <v>129618.9436355889</v>
      </c>
      <c r="I15" s="10" t="n">
        <v>0.0</v>
      </c>
      <c r="J15" s="6">
        <f si="1" t="shared"/>
        <v>169250.8632834788</v>
      </c>
      <c r="K15" s="6"/>
      <c r="L15" s="4" t="s">
        <v>5</v>
      </c>
      <c r="M15" s="8" t="n">
        <v>6266.0</v>
      </c>
      <c r="N15" s="8" t="n">
        <v>4115.0</v>
      </c>
      <c r="O15" s="8" t="n">
        <v>2484.0</v>
      </c>
      <c r="P15" s="8" t="n">
        <v>0.0</v>
      </c>
      <c r="Q15" s="8" t="n">
        <v>4124.0</v>
      </c>
      <c r="R15" s="8" t="n">
        <v>1789.0</v>
      </c>
      <c r="S15" s="8" t="n">
        <v>87521.0</v>
      </c>
      <c r="T15" s="8" t="n">
        <v>0.0</v>
      </c>
      <c r="U15" s="6">
        <f si="0" t="shared"/>
        <v>105778</v>
      </c>
    </row>
    <row ht="15.75" r="16" spans="1:21" thickBot="1" x14ac:dyDescent="0.3">
      <c r="A16" s="12" t="s">
        <v>7</v>
      </c>
      <c r="B16" s="16">
        <f ref="B16:J16" si="2" t="shared">SUM(B5:B15)</f>
        <v>649634.33197771059</v>
      </c>
      <c r="C16" s="16">
        <f si="2" t="shared"/>
        <v>457011.35908676416</v>
      </c>
      <c r="D16" s="16">
        <f si="2" t="shared"/>
        <v>356222.47775674239</v>
      </c>
      <c r="E16" s="16">
        <f si="2" t="shared"/>
        <v>6879.0883700299992</v>
      </c>
      <c r="F16" s="16">
        <f si="2" t="shared"/>
        <v>92034.750271237906</v>
      </c>
      <c r="G16" s="16">
        <f si="2" t="shared"/>
        <v>14760.244496887601</v>
      </c>
      <c r="H16" s="16">
        <f si="2" t="shared"/>
        <v>129618.9436355889</v>
      </c>
      <c r="I16" s="16">
        <f si="2" t="shared"/>
        <v>5719.8784999999998</v>
      </c>
      <c r="J16" s="16">
        <f si="2" t="shared"/>
        <v>1711881.0740949614</v>
      </c>
      <c r="L16" s="9" t="s">
        <v>7</v>
      </c>
      <c r="M16" s="16">
        <f ref="M16:U16" si="3" t="shared">SUM(M5:M15)</f>
        <v>471487</v>
      </c>
      <c r="N16" s="16">
        <f si="3" t="shared"/>
        <v>402228</v>
      </c>
      <c r="O16" s="16">
        <f si="3" t="shared"/>
        <v>345299</v>
      </c>
      <c r="P16" s="16">
        <f si="3" t="shared"/>
        <v>0</v>
      </c>
      <c r="Q16" s="16">
        <f si="3" t="shared"/>
        <v>26367</v>
      </c>
      <c r="R16" s="16">
        <f si="3" t="shared"/>
        <v>27756</v>
      </c>
      <c r="S16" s="16">
        <f si="3" t="shared"/>
        <v>87224</v>
      </c>
      <c r="T16" s="16">
        <f si="3" t="shared"/>
        <v>0</v>
      </c>
      <c r="U16" s="16">
        <f si="3" t="shared"/>
        <v>1360361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34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44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44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0.98239996873891522</v>
      </c>
      <c r="C22" s="13">
        <f si="4" t="shared"/>
        <v>6.1913905965997863E-2</v>
      </c>
      <c r="D22" s="13">
        <f si="4" t="shared"/>
        <v>4.104793503433133E-2</v>
      </c>
      <c r="E22" s="13">
        <f si="4" t="shared"/>
        <v>0.50441643680772597</v>
      </c>
      <c r="F22" s="13">
        <f si="4" t="shared"/>
        <v>6.4531942254708041E-3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0.40025102011749186</v>
      </c>
      <c r="K22" s="6"/>
      <c r="L22" t="s">
        <v>1</v>
      </c>
      <c r="M22" s="13">
        <f ref="M22:P22" si="5" t="shared">M5/M$16</f>
        <v>0.98543968338469567</v>
      </c>
      <c r="N22" s="13">
        <f si="5" t="shared"/>
        <v>7.9251071531569156E-2</v>
      </c>
      <c r="O22" s="13">
        <f si="5" t="shared"/>
        <v>2.6388723975453159E-2</v>
      </c>
      <c r="P22" s="13" t="e">
        <f si="5" t="shared"/>
        <v>#DIV/0!</v>
      </c>
      <c r="Q22" s="13">
        <f ref="Q22:U33" si="6" t="shared">Q5/Q$16</f>
        <v>8.8747297758561845E-3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0.37184614966174417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0.92890469121288366</v>
      </c>
      <c r="D23" s="13">
        <f si="7" t="shared"/>
        <v>0.10192320157375021</v>
      </c>
      <c r="E23" s="13">
        <f si="7" t="shared"/>
        <v>0</v>
      </c>
      <c r="F23" s="13">
        <f si="7" t="shared"/>
        <v>8.7575063902687003E-2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0.27390178385080594</v>
      </c>
      <c r="K23" s="6"/>
      <c r="L23" t="s">
        <v>12</v>
      </c>
      <c r="M23" s="13">
        <f ref="M23:P23" si="8" t="shared">M6/M$16</f>
        <v>0</v>
      </c>
      <c r="N23" s="13">
        <f si="8" t="shared"/>
        <v>0.90846236462901642</v>
      </c>
      <c r="O23" s="13">
        <f si="8" t="shared"/>
        <v>0.17235786955652926</v>
      </c>
      <c r="P23" s="13" t="e">
        <f si="8" t="shared"/>
        <v>#DIV/0!</v>
      </c>
      <c r="Q23" s="13">
        <f si="6" t="shared"/>
        <v>0.1042591117684985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0.31438199125085181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0.84465574828111001</v>
      </c>
      <c r="E24" s="13">
        <f si="9" t="shared"/>
        <v>5.47452660554145E-2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>
        <f si="9" t="shared"/>
        <v>0.16056479608788893</v>
      </c>
      <c r="J24" s="13">
        <f si="9" t="shared"/>
        <v>0.17651948883888752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0.79260582857175954</v>
      </c>
      <c r="P24" s="13" t="e">
        <f si="10" t="shared"/>
        <v>#DIV/0!</v>
      </c>
      <c r="Q24" s="13">
        <f si="6" t="shared"/>
        <v>4.4525353661774188E-2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0.20204930897019246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0.40604671249685059</v>
      </c>
      <c r="F25" s="13">
        <f si="11" t="shared"/>
        <v>0.69026525703229591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3.8741956303575686E-2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0.67694466568058553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1.3120781910095924E-2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0.83943520391211113</v>
      </c>
      <c r="J30" s="13">
        <f si="21" t="shared"/>
        <v>2.8047902670683147E-3</v>
      </c>
      <c r="K30" s="6"/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2.2991589083106632E-3</v>
      </c>
      <c r="C31" s="13">
        <f si="23" t="shared"/>
        <v>6.9536862576684202E-4</v>
      </c>
      <c r="D31" s="13">
        <f si="23" t="shared"/>
        <v>0</v>
      </c>
      <c r="E31" s="13">
        <f si="23" t="shared"/>
        <v>0</v>
      </c>
      <c r="F31" s="13">
        <f si="23" t="shared"/>
        <v>1.4901443773804608E-2</v>
      </c>
      <c r="G31" s="13">
        <f si="23" t="shared"/>
        <v>0.81803988933202743</v>
      </c>
      <c r="H31" s="13">
        <f si="23" t="shared"/>
        <v>0</v>
      </c>
      <c r="I31" s="13">
        <f si="23" t="shared"/>
        <v>0</v>
      </c>
      <c r="J31" s="13">
        <f si="23" t="shared"/>
        <v>8.912607063814788E-3</v>
      </c>
      <c r="K31" s="6"/>
      <c r="L31" t="s">
        <v>4</v>
      </c>
      <c r="M31" s="13">
        <f ref="M31:P31" si="24" t="shared">M14/M$16</f>
        <v>1.4443664406441747E-3</v>
      </c>
      <c r="N31" s="13">
        <f si="24" t="shared"/>
        <v>2.1206877691259682E-3</v>
      </c>
      <c r="O31" s="13">
        <f si="24" t="shared"/>
        <v>1.6536393096997096E-3</v>
      </c>
      <c r="P31" s="13" t="e">
        <f si="24" t="shared"/>
        <v>#DIV/0!</v>
      </c>
      <c r="Q31" s="13">
        <f si="6" t="shared"/>
        <v>1.2629423142564569E-2</v>
      </c>
      <c r="R31" s="13">
        <f si="6" t="shared"/>
        <v>0.93378008358553111</v>
      </c>
      <c r="S31" s="13">
        <f si="6" t="shared"/>
        <v>0</v>
      </c>
      <c r="T31" s="13" t="e">
        <f si="6" t="shared"/>
        <v>#DIV/0!</v>
      </c>
      <c r="U31" s="13">
        <f si="6" t="shared"/>
        <v>2.0844467020151268E-2</v>
      </c>
    </row>
    <row r="32" spans="1:21" x14ac:dyDescent="0.25">
      <c r="A32" s="4" t="s">
        <v>5</v>
      </c>
      <c r="B32" s="14">
        <f ref="B32:J32" si="25" t="shared">B15/B$16</f>
        <v>1.5300872352774218E-2</v>
      </c>
      <c r="C32" s="14">
        <f si="25" t="shared"/>
        <v>8.486034195351622E-3</v>
      </c>
      <c r="D32" s="14">
        <f si="25" t="shared"/>
        <v>1.2373115110808516E-2</v>
      </c>
      <c r="E32" s="14">
        <f si="25" t="shared"/>
        <v>3.4791584640008963E-2</v>
      </c>
      <c r="F32" s="14">
        <f si="25" t="shared"/>
        <v>0.2008050410657416</v>
      </c>
      <c r="G32" s="14">
        <f si="25" t="shared"/>
        <v>0.18196011066797252</v>
      </c>
      <c r="H32" s="14">
        <f si="25" t="shared"/>
        <v>1</v>
      </c>
      <c r="I32" s="14">
        <f si="25" t="shared"/>
        <v>0</v>
      </c>
      <c r="J32" s="14">
        <f si="25" t="shared"/>
        <v>9.8868353558355965E-2</v>
      </c>
      <c r="K32" s="6"/>
      <c r="L32" s="4" t="s">
        <v>5</v>
      </c>
      <c r="M32" s="14">
        <f ref="M32:P32" si="26" t="shared">M15/M$16</f>
        <v>1.3115950174660171E-2</v>
      </c>
      <c r="N32" s="14">
        <f si="26" t="shared"/>
        <v>1.0165876070288493E-2</v>
      </c>
      <c r="O32" s="14">
        <f si="26" t="shared"/>
        <v>6.9939385865583157E-3</v>
      </c>
      <c r="P32" s="14" t="e">
        <f si="26" t="shared"/>
        <v>#DIV/0!</v>
      </c>
      <c r="Q32" s="14">
        <f si="6" t="shared"/>
        <v>0.15276671597072097</v>
      </c>
      <c r="R32" s="14">
        <f si="6" t="shared"/>
        <v>6.6219916414468949E-2</v>
      </c>
      <c r="S32" s="14">
        <f si="6" t="shared"/>
        <v>1</v>
      </c>
      <c r="T32" s="14" t="e">
        <f si="6" t="shared"/>
        <v>#DIV/0!</v>
      </c>
      <c r="U32" s="14">
        <f si="6" t="shared"/>
        <v>7.7757301186964348E-2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20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44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3.0397146457804558E-3</v>
      </c>
      <c r="N39" s="13">
        <f si="29" t="shared"/>
        <v>1.7337165565571293E-2</v>
      </c>
      <c r="O39" s="13">
        <f si="29" t="shared"/>
        <v>-1.4659211058878172E-2</v>
      </c>
      <c r="P39" s="13" t="e">
        <f si="29" t="shared"/>
        <v>#DIV/0!</v>
      </c>
      <c r="Q39" s="13">
        <f ref="Q39:Q50" si="30" t="shared">Q22-F22</f>
        <v>2.4215355503853803E-3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-2.8404870455747688E-2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-2.0442326583867243E-2</v>
      </c>
      <c r="O40" s="13">
        <f si="29" t="shared"/>
        <v>7.0434667982779059E-2</v>
      </c>
      <c r="P40" s="13" t="e">
        <f si="29" t="shared"/>
        <v>#DIV/0!</v>
      </c>
      <c r="Q40" s="13">
        <f si="30" t="shared"/>
        <v>1.6684047865811499E-2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4.0480207400045876E-2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-5.2049919709350467E-2</v>
      </c>
      <c r="P41" s="13" t="e">
        <f si="29" t="shared"/>
        <v>#DIV/0!</v>
      </c>
      <c r="Q41" s="13">
        <f si="30" t="shared"/>
        <v>4.4525353661774188E-2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2.5529820131304948E-2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-1.3320591351710376E-2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-2.5621174393479763E-2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-2.8047902670683147E-3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-8.5479246766648849E-4</v>
      </c>
      <c r="N48" s="13">
        <f si="39" t="shared"/>
        <v>1.4253191433591262E-3</v>
      </c>
      <c r="O48" s="13">
        <f si="39" t="shared"/>
        <v>1.6536393096997096E-3</v>
      </c>
      <c r="P48" s="13" t="e">
        <f si="39" t="shared"/>
        <v>#DIV/0!</v>
      </c>
      <c r="Q48" s="13">
        <f si="30" t="shared"/>
        <v>-2.272020631240039E-3</v>
      </c>
      <c r="R48" s="13">
        <f si="31" t="shared"/>
        <v>0.11574019425350368</v>
      </c>
      <c r="S48" s="13">
        <f si="32" t="shared"/>
        <v>0</v>
      </c>
      <c r="T48" s="13" t="e">
        <f si="33" t="shared"/>
        <v>#DIV/0!</v>
      </c>
      <c r="U48" s="13">
        <f si="34" t="shared"/>
        <v>1.193185995633648E-2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-2.1849221781140467E-3</v>
      </c>
      <c r="N49" s="17">
        <f si="39" t="shared"/>
        <v>1.6798418749368708E-3</v>
      </c>
      <c r="O49" s="17">
        <f si="39" t="shared"/>
        <v>-5.3791765242501999E-3</v>
      </c>
      <c r="P49" s="17" t="e">
        <f si="39" t="shared"/>
        <v>#DIV/0!</v>
      </c>
      <c r="Q49" s="17">
        <f si="30" t="shared"/>
        <v>-4.8038325095020623E-2</v>
      </c>
      <c r="R49" s="17">
        <f si="31" t="shared"/>
        <v>-0.11574019425350357</v>
      </c>
      <c r="S49" s="17">
        <f si="32" t="shared"/>
        <v>0</v>
      </c>
      <c r="T49" s="17" t="e">
        <f si="33" t="shared"/>
        <v>#DIV/0!</v>
      </c>
      <c r="U49" s="13">
        <f si="34" t="shared"/>
        <v>-2.1111052371391617E-2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AG50"/>
  <sheetViews>
    <sheetView tabSelected="1"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35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57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57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660329.0946295559</v>
      </c>
      <c r="C5" s="6" t="n">
        <v>5879.0722422951</v>
      </c>
      <c r="D5" s="6" t="n">
        <v>1391.45300628</v>
      </c>
      <c r="E5" s="6" t="n">
        <v>237.62242619399998</v>
      </c>
      <c r="F5" s="6" t="n">
        <v>482.690029647</v>
      </c>
      <c r="G5" s="6" t="n">
        <v>0.0</v>
      </c>
      <c r="H5" s="6" t="n">
        <v>0.0</v>
      </c>
      <c r="I5" s="6" t="n">
        <v>0.0</v>
      </c>
      <c r="J5" s="6">
        <f>SUM(B5:I5)</f>
        <v>668319.93233397207</v>
      </c>
      <c r="K5" s="6"/>
      <c r="L5" t="s">
        <v>1</v>
      </c>
      <c r="M5" s="6" t="n">
        <v>473094.0</v>
      </c>
      <c r="N5" s="6" t="n">
        <v>18830.0</v>
      </c>
      <c r="O5" s="6" t="n">
        <v>6449.0</v>
      </c>
      <c r="P5" s="6" t="n">
        <v>0.0</v>
      </c>
      <c r="Q5" s="6" t="n">
        <v>122.0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497585</v>
      </c>
    </row>
    <row r="6" spans="1:21" x14ac:dyDescent="0.25">
      <c r="A6" t="s">
        <v>12</v>
      </c>
      <c r="B6" s="6" t="n">
        <v>0.0</v>
      </c>
      <c r="C6" s="6" t="n">
        <v>425045.7345621917</v>
      </c>
      <c r="D6" s="6" t="n">
        <v>35227.769965072</v>
      </c>
      <c r="E6" s="6" t="n">
        <v>0.0</v>
      </c>
      <c r="F6" s="6" t="n">
        <v>835.830047376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461109.33457463968</v>
      </c>
      <c r="K6" s="6"/>
      <c r="L6" t="s">
        <v>12</v>
      </c>
      <c r="M6" s="6" t="n">
        <v>0.0</v>
      </c>
      <c r="N6" s="6" t="n">
        <v>371161.0</v>
      </c>
      <c r="O6" s="6" t="n">
        <v>61863.0</v>
      </c>
      <c r="P6" s="6" t="n">
        <v>0.0</v>
      </c>
      <c r="Q6" s="6" t="n">
        <v>2228.0</v>
      </c>
      <c r="R6" s="6" t="n">
        <v>0.0</v>
      </c>
      <c r="S6" s="6" t="n">
        <v>0.0</v>
      </c>
      <c r="T6" s="6" t="n">
        <v>0.0</v>
      </c>
      <c r="U6" s="6">
        <f si="0" t="shared"/>
        <v>434036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359606.8320975662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359606.83209756622</v>
      </c>
      <c r="K7" s="6"/>
      <c r="L7" t="s">
        <v>56</v>
      </c>
      <c r="M7" s="6" t="n">
        <v>0.0</v>
      </c>
      <c r="N7" s="6" t="n">
        <v>0.0</v>
      </c>
      <c r="O7" s="6" t="n">
        <v>307081.0</v>
      </c>
      <c r="P7" s="6" t="n">
        <v>0.0</v>
      </c>
      <c r="Q7" s="6" t="n">
        <v>969.0</v>
      </c>
      <c r="R7" s="6" t="n">
        <v>0.0</v>
      </c>
      <c r="S7" s="6" t="n">
        <v>0.0</v>
      </c>
      <c r="T7" s="6" t="n">
        <v>0.0</v>
      </c>
      <c r="U7" s="6">
        <f si="0" t="shared"/>
        <v>307471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475.24485238799997</v>
      </c>
      <c r="F8" s="6" t="n">
        <v>74340.9884119632</v>
      </c>
      <c r="G8" s="6" t="n">
        <v>0.0</v>
      </c>
      <c r="H8" s="6" t="n">
        <v>0.0</v>
      </c>
      <c r="I8" s="6" t="n">
        <v>0.0</v>
      </c>
      <c r="J8" s="6">
        <f si="1" t="shared"/>
        <v>74816.233264351205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12105.0</v>
      </c>
      <c r="R8" s="6" t="n">
        <v>0.0</v>
      </c>
      <c r="S8" s="6" t="n">
        <v>0.0</v>
      </c>
      <c r="T8" s="6" t="n">
        <v>0.0</v>
      </c>
      <c r="U8" s="6">
        <f si="0" t="shared"/>
        <v>10906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65.3094393907</v>
      </c>
      <c r="G9" s="6" t="n">
        <v>0.0</v>
      </c>
      <c r="H9" s="6" t="n">
        <v>0.0</v>
      </c>
      <c r="I9" s="6" t="n">
        <v>0.0</v>
      </c>
      <c r="J9" s="6">
        <f si="1" t="shared"/>
        <v>65.309439390700007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284.563543833</v>
      </c>
      <c r="C14" s="6" t="n">
        <v>96.3867567495</v>
      </c>
      <c r="D14" s="6" t="n">
        <v>0.0</v>
      </c>
      <c r="E14" s="6" t="n">
        <v>0.0</v>
      </c>
      <c r="F14" s="6" t="n">
        <v>0.0</v>
      </c>
      <c r="G14" s="6" t="n">
        <v>7785.3744466986</v>
      </c>
      <c r="H14" s="6" t="n">
        <v>0.0</v>
      </c>
      <c r="I14" s="6" t="n">
        <v>0.0</v>
      </c>
      <c r="J14" s="6">
        <f si="1" t="shared"/>
        <v>8166.3247472810999</v>
      </c>
      <c r="K14" s="6"/>
      <c r="L14" t="s">
        <v>4</v>
      </c>
      <c r="M14" s="6" t="n">
        <v>723.0</v>
      </c>
      <c r="N14" s="6" t="n">
        <v>610.0</v>
      </c>
      <c r="O14" s="6" t="n">
        <v>381.0</v>
      </c>
      <c r="P14" s="6" t="n">
        <v>0.0</v>
      </c>
      <c r="Q14" s="6" t="n">
        <v>167.0</v>
      </c>
      <c r="R14" s="6" t="n">
        <v>32239.0</v>
      </c>
      <c r="S14" s="6" t="n">
        <v>0.0</v>
      </c>
      <c r="T14" s="6" t="n">
        <v>0.0</v>
      </c>
      <c r="U14" s="6">
        <f si="0" t="shared"/>
        <v>33835</v>
      </c>
    </row>
    <row r="15" spans="1:21" x14ac:dyDescent="0.25">
      <c r="A15" s="4" t="s">
        <v>5</v>
      </c>
      <c r="B15" s="10" t="n">
        <v>7998.3460054891</v>
      </c>
      <c r="C15" s="10" t="n">
        <v>5883.537482558</v>
      </c>
      <c r="D15" s="10" t="n">
        <v>12535.3637717784</v>
      </c>
      <c r="E15" s="10" t="n">
        <v>0.0</v>
      </c>
      <c r="F15" s="10" t="n">
        <v>39743.1723384089</v>
      </c>
      <c r="G15" s="10" t="n">
        <v>96.3164214546</v>
      </c>
      <c r="H15" s="10" t="n">
        <v>165117.494513446</v>
      </c>
      <c r="I15" s="10" t="n">
        <v>0.0</v>
      </c>
      <c r="J15" s="6">
        <f si="1" t="shared"/>
        <v>231374.23053313501</v>
      </c>
      <c r="K15" s="6"/>
      <c r="L15" s="4" t="s">
        <v>5</v>
      </c>
      <c r="M15" s="8" t="n">
        <v>7423.0</v>
      </c>
      <c r="N15" s="8" t="n">
        <v>2831.0</v>
      </c>
      <c r="O15" s="8" t="n">
        <v>1729.0</v>
      </c>
      <c r="P15" s="8" t="n">
        <v>0.0</v>
      </c>
      <c r="Q15" s="8" t="n">
        <v>2110.0</v>
      </c>
      <c r="R15" s="8" t="n">
        <v>2116.0</v>
      </c>
      <c r="S15" s="8" t="n">
        <v>108620.0</v>
      </c>
      <c r="T15" s="8" t="n">
        <v>0.0</v>
      </c>
      <c r="U15" s="6">
        <f si="0" t="shared"/>
        <v>121845</v>
      </c>
    </row>
    <row ht="15.75" r="16" spans="1:21" thickBot="1" x14ac:dyDescent="0.3">
      <c r="A16" s="12" t="s">
        <v>7</v>
      </c>
      <c r="B16" s="16">
        <f ref="B16:J16" si="2" t="shared">SUM(B5:B15)</f>
        <v>668612.00417887804</v>
      </c>
      <c r="C16" s="16">
        <f si="2" t="shared"/>
        <v>436904.73104379425</v>
      </c>
      <c r="D16" s="16">
        <f si="2" t="shared"/>
        <v>408761.41884069663</v>
      </c>
      <c r="E16" s="16">
        <f si="2" t="shared"/>
        <v>712.86727858199993</v>
      </c>
      <c r="F16" s="16">
        <f si="2" t="shared"/>
        <v>115467.9902667858</v>
      </c>
      <c r="G16" s="16">
        <f si="2" t="shared"/>
        <v>7881.6908681532004</v>
      </c>
      <c r="H16" s="16">
        <f si="2" t="shared"/>
        <v>165117.494513446</v>
      </c>
      <c r="I16" s="16">
        <f si="2" t="shared"/>
        <v>0</v>
      </c>
      <c r="J16" s="16">
        <f si="2" t="shared"/>
        <v>1803458.1969903358</v>
      </c>
      <c r="L16" s="9" t="s">
        <v>7</v>
      </c>
      <c r="M16" s="16">
        <f ref="M16:U16" si="3" t="shared">SUM(M5:M15)</f>
        <v>480196</v>
      </c>
      <c r="N16" s="16">
        <f si="3" t="shared"/>
        <v>392126</v>
      </c>
      <c r="O16" s="16">
        <f si="3" t="shared"/>
        <v>377154</v>
      </c>
      <c r="P16" s="16">
        <f si="3" t="shared"/>
        <v>0</v>
      </c>
      <c r="Q16" s="16">
        <f si="3" t="shared"/>
        <v>16145</v>
      </c>
      <c r="R16" s="16">
        <f si="3" t="shared"/>
        <v>33952</v>
      </c>
      <c r="S16" s="16">
        <f si="3" t="shared"/>
        <v>106105</v>
      </c>
      <c r="T16" s="16">
        <f si="3" t="shared"/>
        <v>0</v>
      </c>
      <c r="U16" s="16">
        <f si="3" t="shared"/>
        <v>1405678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36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57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57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0.98761178456630561</v>
      </c>
      <c r="C22" s="13">
        <f si="4" t="shared"/>
        <v>1.3456188099061342E-2</v>
      </c>
      <c r="D22" s="13">
        <f si="4" t="shared"/>
        <v>3.4040712800791017E-3</v>
      </c>
      <c r="E22" s="13">
        <f si="4" t="shared"/>
        <v>0.33333333333333337</v>
      </c>
      <c r="F22" s="13">
        <f si="4" t="shared"/>
        <v>4.18029298450382E-3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0.37057689135755079</v>
      </c>
      <c r="K22" s="6"/>
      <c r="L22" t="s">
        <v>1</v>
      </c>
      <c r="M22" s="13">
        <f ref="M22:P22" si="5" t="shared">M5/M$16</f>
        <v>0.98316520754025438</v>
      </c>
      <c r="N22" s="13">
        <f si="5" t="shared"/>
        <v>4.817584143872123E-2</v>
      </c>
      <c r="O22" s="13">
        <f si="5" t="shared"/>
        <v>1.7138887563170481E-2</v>
      </c>
      <c r="P22" s="13" t="e">
        <f si="5" t="shared"/>
        <v>#DIV/0!</v>
      </c>
      <c r="Q22" s="13">
        <f ref="Q22:U33" si="6" t="shared">Q5/Q$16</f>
        <v>7.3087643233199131E-3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0.3539822064512641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0.97285679087687926</v>
      </c>
      <c r="D23" s="13">
        <f si="7" t="shared"/>
        <v>8.6181739130328838E-2</v>
      </c>
      <c r="E23" s="13">
        <f si="7" t="shared"/>
        <v>0</v>
      </c>
      <c r="F23" s="13">
        <f si="7" t="shared"/>
        <v>7.2386299046587402E-3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0.25568063365380606</v>
      </c>
      <c r="K23" s="6"/>
      <c r="L23" t="s">
        <v>12</v>
      </c>
      <c r="M23" s="13">
        <f ref="M23:P23" si="8" t="shared">M6/M$16</f>
        <v>0</v>
      </c>
      <c r="N23" s="13">
        <f si="8" t="shared"/>
        <v>0.94336514283674122</v>
      </c>
      <c r="O23" s="13">
        <f si="8" t="shared"/>
        <v>0.16467013474601888</v>
      </c>
      <c r="P23" s="13" t="e">
        <f si="8" t="shared"/>
        <v>#DIV/0!</v>
      </c>
      <c r="Q23" s="13">
        <f si="6" t="shared"/>
        <v>0.12462062558067513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0.30877341752520848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0.87974748966636929</v>
      </c>
      <c r="E24" s="13">
        <f si="9" t="shared"/>
        <v>0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0.1993984849206312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0.81285893825864231</v>
      </c>
      <c r="P24" s="13" t="e">
        <f si="10" t="shared"/>
        <v>#DIV/0!</v>
      </c>
      <c r="Q24" s="13">
        <f si="6" t="shared"/>
        <v>5.5620935274078659E-2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0.21873501612744881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0.66666666666666674</v>
      </c>
      <c r="F25" s="13">
        <f si="11" t="shared"/>
        <v>0.64382335087152964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4.1484872446285001E-2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0.67550325178073711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7.7585336044243419E-3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5.6560644417387224E-4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3.6213447863493769E-5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4.2560340235361504E-4</v>
      </c>
      <c r="C31" s="13">
        <f si="23" t="shared"/>
        <v>2.2061275582717008E-4</v>
      </c>
      <c r="D31" s="13">
        <f si="23" t="shared"/>
        <v>0</v>
      </c>
      <c r="E31" s="13">
        <f si="23" t="shared"/>
        <v>0</v>
      </c>
      <c r="F31" s="13">
        <f si="23" t="shared"/>
        <v>0</v>
      </c>
      <c r="G31" s="13">
        <f si="23" t="shared"/>
        <v>0.98777972606819975</v>
      </c>
      <c r="H31" s="13">
        <f si="23" t="shared"/>
        <v>0</v>
      </c>
      <c r="I31" s="13" t="e">
        <f si="23" t="shared"/>
        <v>#DIV/0!</v>
      </c>
      <c r="J31" s="13">
        <f si="23" t="shared"/>
        <v>4.5281475117689464E-3</v>
      </c>
      <c r="K31" s="6"/>
      <c r="L31" t="s">
        <v>4</v>
      </c>
      <c r="M31" s="13">
        <f ref="M31:P31" si="24" t="shared">M14/M$16</f>
        <v>1.4764804371548285E-3</v>
      </c>
      <c r="N31" s="13">
        <f si="24" t="shared"/>
        <v>1.5964256386977655E-3</v>
      </c>
      <c r="O31" s="13">
        <f si="24" t="shared"/>
        <v>1.0420146677484528E-3</v>
      </c>
      <c r="P31" s="13" t="e">
        <f si="24" t="shared"/>
        <v>#DIV/0!</v>
      </c>
      <c r="Q31" s="13">
        <f si="6" t="shared"/>
        <v>9.0430473830907399E-3</v>
      </c>
      <c r="R31" s="13">
        <f si="6" t="shared"/>
        <v>0.9413583883129123</v>
      </c>
      <c r="S31" s="13">
        <f si="6" t="shared"/>
        <v>0</v>
      </c>
      <c r="T31" s="13" t="e">
        <f si="6" t="shared"/>
        <v>#DIV/0!</v>
      </c>
      <c r="U31" s="13">
        <f si="6" t="shared"/>
        <v>2.4070235146313738E-2</v>
      </c>
    </row>
    <row r="32" spans="1:21" x14ac:dyDescent="0.25">
      <c r="A32" s="4" t="s">
        <v>5</v>
      </c>
      <c r="B32" s="14">
        <f ref="B32:J32" si="25" t="shared">B15/B$16</f>
        <v>1.1962612031340754E-2</v>
      </c>
      <c r="C32" s="14">
        <f si="25" t="shared"/>
        <v>1.3466408268232392E-2</v>
      </c>
      <c r="D32" s="14">
        <f si="25" t="shared"/>
        <v>3.0666699923222719E-2</v>
      </c>
      <c r="E32" s="14">
        <f si="25" t="shared"/>
        <v>0</v>
      </c>
      <c r="F32" s="14">
        <f si="25" t="shared"/>
        <v>0.34419211979513398</v>
      </c>
      <c r="G32" s="14">
        <f si="25" t="shared"/>
        <v>1.222027393180017E-2</v>
      </c>
      <c r="H32" s="14">
        <f si="25" t="shared"/>
        <v>1</v>
      </c>
      <c r="I32" s="14" t="e">
        <f si="25" t="shared"/>
        <v>#DIV/0!</v>
      </c>
      <c r="J32" s="14">
        <f si="25" t="shared"/>
        <v>0.12829475666209461</v>
      </c>
      <c r="K32" s="6"/>
      <c r="L32" s="4" t="s">
        <v>5</v>
      </c>
      <c r="M32" s="14">
        <f ref="M32:P32" si="26" t="shared">M15/M$16</f>
        <v>1.5358312022590775E-2</v>
      </c>
      <c r="N32" s="14">
        <f si="26" t="shared"/>
        <v>6.8625900858397555E-3</v>
      </c>
      <c r="O32" s="14">
        <f si="26" t="shared"/>
        <v>4.290024764419839E-3</v>
      </c>
      <c r="P32" s="14" t="e">
        <f si="26" t="shared"/>
        <v>#DIV/0!</v>
      </c>
      <c r="Q32" s="14">
        <f si="6" t="shared"/>
        <v>0.12790337565809848</v>
      </c>
      <c r="R32" s="14">
        <f si="6" t="shared"/>
        <v>5.8641611687087654E-2</v>
      </c>
      <c r="S32" s="14">
        <f si="6" t="shared"/>
        <v>1</v>
      </c>
      <c r="T32" s="14" t="e">
        <f si="6" t="shared"/>
        <v>#DIV/0!</v>
      </c>
      <c r="U32" s="14">
        <f si="6" t="shared"/>
        <v>8.6680591145340546E-2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21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2" t="s">
        <v>57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-4.4465770260512238E-3</v>
      </c>
      <c r="N39" s="13">
        <f si="29" t="shared"/>
        <v>3.4719653339659887E-2</v>
      </c>
      <c r="O39" s="13">
        <f si="29" t="shared"/>
        <v>1.3734816283091379E-2</v>
      </c>
      <c r="P39" s="13" t="e">
        <f si="29" t="shared"/>
        <v>#DIV/0!</v>
      </c>
      <c r="Q39" s="13">
        <f ref="Q39:Q50" si="30" t="shared">Q22-F22</f>
        <v>3.1284713388160931E-3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-1.6594684906286683E-2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-2.9491648040138041E-2</v>
      </c>
      <c r="O40" s="13">
        <f si="29" t="shared"/>
        <v>7.8488395615690043E-2</v>
      </c>
      <c r="P40" s="13" t="e">
        <f si="29" t="shared"/>
        <v>#DIV/0!</v>
      </c>
      <c r="Q40" s="13">
        <f si="30" t="shared"/>
        <v>0.1173819956760164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5.3092783871402427E-2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-6.6888551407726982E-2</v>
      </c>
      <c r="P41" s="13" t="e">
        <f si="29" t="shared"/>
        <v>#DIV/0!</v>
      </c>
      <c r="Q41" s="13">
        <f si="30" t="shared"/>
        <v>5.5620935274078659E-2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1.9336531206817609E-2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3.167990090920747E-2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-3.3726338841860659E-2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-5.6560644417387224E-4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-3.6213447863493769E-5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1.0508770348012135E-3</v>
      </c>
      <c r="N48" s="13">
        <f si="39" t="shared"/>
        <v>1.3758128828705953E-3</v>
      </c>
      <c r="O48" s="13">
        <f si="39" t="shared"/>
        <v>1.0420146677484528E-3</v>
      </c>
      <c r="P48" s="13" t="e">
        <f si="39" t="shared"/>
        <v>#DIV/0!</v>
      </c>
      <c r="Q48" s="13">
        <f si="30" t="shared"/>
        <v>9.0430473830907399E-3</v>
      </c>
      <c r="R48" s="13">
        <f si="31" t="shared"/>
        <v>-4.6421337755287451E-2</v>
      </c>
      <c r="S48" s="13">
        <f si="32" t="shared"/>
        <v>0</v>
      </c>
      <c r="T48" s="13" t="e">
        <f si="33" t="shared"/>
        <v>#DIV/0!</v>
      </c>
      <c r="U48" s="13">
        <f si="34" t="shared"/>
        <v>1.9542087634544791E-2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3.3956999912500216E-3</v>
      </c>
      <c r="N49" s="17">
        <f si="39" t="shared"/>
        <v>-6.6038181823926366E-3</v>
      </c>
      <c r="O49" s="17">
        <f si="39" t="shared"/>
        <v>-2.6376675158802879E-2</v>
      </c>
      <c r="P49" s="17" t="e">
        <f si="39" t="shared"/>
        <v>#DIV/0!</v>
      </c>
      <c r="Q49" s="17">
        <f si="30" t="shared"/>
        <v>-0.2162887441370355</v>
      </c>
      <c r="R49" s="17">
        <f si="31" t="shared"/>
        <v>4.6421337755287485E-2</v>
      </c>
      <c r="S49" s="17">
        <f si="32" t="shared"/>
        <v>0</v>
      </c>
      <c r="T49" s="17" t="e">
        <f si="33" t="shared"/>
        <v>#DIV/0!</v>
      </c>
      <c r="U49" s="13">
        <f si="34" t="shared"/>
        <v>-4.1614165516754065E-2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AG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45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45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128430.5720209797</v>
      </c>
      <c r="C5" s="6" t="n">
        <v>3708.787632464</v>
      </c>
      <c r="D5" s="6" t="n">
        <v>0.0</v>
      </c>
      <c r="E5" s="6" t="n">
        <v>576.648224778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132716.00787822172</v>
      </c>
      <c r="K5" s="6"/>
      <c r="L5" t="s">
        <v>1</v>
      </c>
      <c r="M5" s="6" t="n">
        <v>70698.0</v>
      </c>
      <c r="N5" s="6" t="n">
        <v>8959.0</v>
      </c>
      <c r="O5" s="6" t="n">
        <v>2535.0</v>
      </c>
      <c r="P5" s="6" t="n">
        <v>0.0</v>
      </c>
      <c r="Q5" s="6" t="n">
        <v>42.0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81051</v>
      </c>
    </row>
    <row r="6" spans="1:21" x14ac:dyDescent="0.25">
      <c r="A6" t="s">
        <v>12</v>
      </c>
      <c r="B6" s="6" t="n">
        <v>0.0</v>
      </c>
      <c r="C6" s="6" t="n">
        <v>196590.5555134055</v>
      </c>
      <c r="D6" s="6" t="n">
        <v>1344.7482971880002</v>
      </c>
      <c r="E6" s="6" t="n">
        <v>0.0</v>
      </c>
      <c r="F6" s="6" t="n">
        <v>287.3385349642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198222.64234555769</v>
      </c>
      <c r="K6" s="6"/>
      <c r="L6" t="s">
        <v>12</v>
      </c>
      <c r="M6" s="6" t="n">
        <v>0.0</v>
      </c>
      <c r="N6" s="6" t="n">
        <v>127757.0</v>
      </c>
      <c r="O6" s="6" t="n">
        <v>17355.0</v>
      </c>
      <c r="P6" s="6" t="n">
        <v>0.0</v>
      </c>
      <c r="Q6" s="6" t="n">
        <v>549.0</v>
      </c>
      <c r="R6" s="6" t="n">
        <v>0.0</v>
      </c>
      <c r="S6" s="6" t="n">
        <v>0.0</v>
      </c>
      <c r="T6" s="6" t="n">
        <v>0.0</v>
      </c>
      <c r="U6" s="6">
        <f si="0" t="shared"/>
        <v>143263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84052.4860845409</v>
      </c>
      <c r="E7" s="6" t="n">
        <v>0.0</v>
      </c>
      <c r="F7" s="6" t="n">
        <v>248.97111705</v>
      </c>
      <c r="G7" s="6" t="n">
        <v>0.0</v>
      </c>
      <c r="H7" s="6" t="n">
        <v>0.0</v>
      </c>
      <c r="I7" s="6" t="n">
        <v>0.0</v>
      </c>
      <c r="J7" s="6">
        <f si="1" t="shared"/>
        <v>84301.457201590893</v>
      </c>
      <c r="K7" s="6"/>
      <c r="L7" t="s">
        <v>56</v>
      </c>
      <c r="M7" s="6" t="n">
        <v>0.0</v>
      </c>
      <c r="N7" s="6" t="n">
        <v>0.0</v>
      </c>
      <c r="O7" s="6" t="n">
        <v>86157.0</v>
      </c>
      <c r="P7" s="6" t="n">
        <v>0.0</v>
      </c>
      <c r="Q7" s="6" t="n">
        <v>266.0</v>
      </c>
      <c r="R7" s="6" t="n">
        <v>0.0</v>
      </c>
      <c r="S7" s="6" t="n">
        <v>0.0</v>
      </c>
      <c r="T7" s="6" t="n">
        <v>0.0</v>
      </c>
      <c r="U7" s="6">
        <f si="0" t="shared"/>
        <v>84639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864.9723371670001</v>
      </c>
      <c r="F8" s="6" t="n">
        <v>22114.6222832004</v>
      </c>
      <c r="G8" s="6" t="n">
        <v>0.0</v>
      </c>
      <c r="H8" s="6" t="n">
        <v>0.0</v>
      </c>
      <c r="I8" s="6" t="n">
        <v>0.0</v>
      </c>
      <c r="J8" s="6">
        <f si="1" t="shared"/>
        <v>22979.594620367399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3045.0</v>
      </c>
      <c r="R8" s="6" t="n">
        <v>0.0</v>
      </c>
      <c r="S8" s="6" t="n">
        <v>0.0</v>
      </c>
      <c r="T8" s="6" t="n">
        <v>0.0</v>
      </c>
      <c r="U8" s="6">
        <f si="0" t="shared"/>
        <v>2854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9355.10449488</v>
      </c>
      <c r="E14" s="6" t="n">
        <v>0.0</v>
      </c>
      <c r="F14" s="6" t="n">
        <v>154.9843497444</v>
      </c>
      <c r="G14" s="6" t="n">
        <v>7262.5157185103</v>
      </c>
      <c r="H14" s="6" t="n">
        <v>0.0</v>
      </c>
      <c r="I14" s="6" t="n">
        <v>0.0</v>
      </c>
      <c r="J14" s="6">
        <f si="1" t="shared"/>
        <v>16772.604563134701</v>
      </c>
      <c r="K14" s="6"/>
      <c r="L14" t="s">
        <v>4</v>
      </c>
      <c r="M14" s="6" t="n">
        <v>97.0</v>
      </c>
      <c r="N14" s="6" t="n">
        <v>183.0</v>
      </c>
      <c r="O14" s="6" t="n">
        <v>104.0</v>
      </c>
      <c r="P14" s="6" t="n">
        <v>0.0</v>
      </c>
      <c r="Q14" s="6" t="n">
        <v>41.0</v>
      </c>
      <c r="R14" s="6" t="n">
        <v>2242.0</v>
      </c>
      <c r="S14" s="6" t="n">
        <v>0.0</v>
      </c>
      <c r="T14" s="6" t="n">
        <v>0.0</v>
      </c>
      <c r="U14" s="6">
        <f si="0" t="shared"/>
        <v>2827</v>
      </c>
    </row>
    <row r="15" spans="1:21" x14ac:dyDescent="0.25">
      <c r="A15" s="4" t="s">
        <v>5</v>
      </c>
      <c r="B15" s="10" t="n">
        <v>102.918012854</v>
      </c>
      <c r="C15" s="10" t="n">
        <v>1144.9072471154</v>
      </c>
      <c r="D15" s="10" t="n">
        <v>3365.515560164</v>
      </c>
      <c r="E15" s="10" t="n">
        <v>0.0</v>
      </c>
      <c r="F15" s="10" t="n">
        <v>3753.8568361770003</v>
      </c>
      <c r="G15" s="10" t="n">
        <v>1578.8049141098</v>
      </c>
      <c r="H15" s="10" t="n">
        <v>69970.4992943504</v>
      </c>
      <c r="I15" s="10" t="n">
        <v>0.0</v>
      </c>
      <c r="J15" s="6">
        <f si="1" t="shared"/>
        <v>79916.501864770602</v>
      </c>
      <c r="K15" s="6"/>
      <c r="L15" s="4" t="s">
        <v>5</v>
      </c>
      <c r="M15" s="8" t="n">
        <v>885.0</v>
      </c>
      <c r="N15" s="8" t="n">
        <v>920.0</v>
      </c>
      <c r="O15" s="8" t="n">
        <v>508.0</v>
      </c>
      <c r="P15" s="8" t="n">
        <v>0.0</v>
      </c>
      <c r="Q15" s="8" t="n">
        <v>556.0</v>
      </c>
      <c r="R15" s="8" t="n">
        <v>142.0</v>
      </c>
      <c r="S15" s="8" t="n">
        <v>75556.0</v>
      </c>
      <c r="T15" s="8" t="n">
        <v>0.0</v>
      </c>
      <c r="U15" s="6">
        <f si="0" t="shared"/>
        <v>77839</v>
      </c>
    </row>
    <row ht="15.75" r="16" spans="1:21" thickBot="1" x14ac:dyDescent="0.3">
      <c r="A16" s="12" t="s">
        <v>7</v>
      </c>
      <c r="B16" s="16">
        <f ref="B16:J16" si="2" t="shared">SUM(B5:B15)</f>
        <v>128533.4900338337</v>
      </c>
      <c r="C16" s="16">
        <f si="2" t="shared"/>
        <v>201444.25039298489</v>
      </c>
      <c r="D16" s="16">
        <f si="2" t="shared"/>
        <v>98117.85443677289</v>
      </c>
      <c r="E16" s="16">
        <f si="2" t="shared"/>
        <v>1441.6205619450002</v>
      </c>
      <c r="F16" s="16">
        <f si="2" t="shared"/>
        <v>26559.773121136001</v>
      </c>
      <c r="G16" s="16">
        <f si="2" t="shared"/>
        <v>8841.3206326200998</v>
      </c>
      <c r="H16" s="16">
        <f si="2" t="shared"/>
        <v>69970.499294350404</v>
      </c>
      <c r="I16" s="16">
        <f si="2" t="shared"/>
        <v>0</v>
      </c>
      <c r="J16" s="16">
        <f si="2" t="shared"/>
        <v>534908.80847364292</v>
      </c>
      <c r="L16" s="9" t="s">
        <v>7</v>
      </c>
      <c r="M16" s="16">
        <f ref="M16:U16" si="3" t="shared">SUM(M5:M15)</f>
        <v>70564</v>
      </c>
      <c r="N16" s="16">
        <f si="3" t="shared"/>
        <v>135505</v>
      </c>
      <c r="O16" s="16">
        <f si="3" t="shared"/>
        <v>104645</v>
      </c>
      <c r="P16" s="16">
        <f si="3" t="shared"/>
        <v>0</v>
      </c>
      <c r="Q16" s="16">
        <f si="3" t="shared"/>
        <v>4201</v>
      </c>
      <c r="R16" s="16">
        <f si="3" t="shared"/>
        <v>2577</v>
      </c>
      <c r="S16" s="16">
        <f si="3" t="shared"/>
        <v>74981</v>
      </c>
      <c r="T16" s="16">
        <f si="3" t="shared"/>
        <v>0</v>
      </c>
      <c r="U16" s="16">
        <f si="3" t="shared"/>
        <v>392473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45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45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0.99919929029526144</v>
      </c>
      <c r="C22" s="13">
        <f si="4" t="shared"/>
        <v>1.8410987780632906E-2</v>
      </c>
      <c r="D22" s="13">
        <f si="4" t="shared"/>
        <v>0</v>
      </c>
      <c r="E22" s="13">
        <f si="4" t="shared"/>
        <v>0.39999999999999991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0.24810959508579705</v>
      </c>
      <c r="K22" s="6"/>
      <c r="L22" t="s">
        <v>1</v>
      </c>
      <c r="M22" s="13">
        <f ref="M22:P22" si="5" t="shared">M5/M$16</f>
        <v>0.98551669406496234</v>
      </c>
      <c r="N22" s="13">
        <f si="5" t="shared"/>
        <v>6.6366554739677508E-2</v>
      </c>
      <c r="O22" s="13">
        <f si="5" t="shared"/>
        <v>2.3622724449328683E-2</v>
      </c>
      <c r="P22" s="13" t="e">
        <f si="5" t="shared"/>
        <v>#DIV/0!</v>
      </c>
      <c r="Q22" s="13">
        <f ref="Q22:U33" si="6" t="shared">Q5/Q$16</f>
        <v>1.0473696738871698E-2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0.2065135690862811</v>
      </c>
    </row>
    <row r="23" spans="1:21" x14ac:dyDescent="0.25">
      <c r="A23" t="s">
        <v>9</v>
      </c>
      <c r="B23" s="13">
        <f ref="B23:J23" si="7" t="shared">B6/B$16</f>
        <v>0</v>
      </c>
      <c r="C23" s="13">
        <f si="7" t="shared"/>
        <v>0.97590551792810853</v>
      </c>
      <c r="D23" s="13">
        <f si="7" t="shared"/>
        <v>1.3705439289385965E-2</v>
      </c>
      <c r="E23" s="13">
        <f si="7" t="shared"/>
        <v>0</v>
      </c>
      <c r="F23" s="13">
        <f si="7" t="shared"/>
        <v>1.0818561350418272E-2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0.37057277652836579</v>
      </c>
      <c r="K23" s="6"/>
      <c r="L23" t="s">
        <v>12</v>
      </c>
      <c r="M23" s="13">
        <f ref="M23:P23" si="8" t="shared">M6/M$16</f>
        <v>0</v>
      </c>
      <c r="N23" s="13">
        <f si="8" t="shared"/>
        <v>0.92586989409984877</v>
      </c>
      <c r="O23" s="13">
        <f si="8" t="shared"/>
        <v>0.1648525968751493</v>
      </c>
      <c r="P23" s="13" t="e">
        <f si="8" t="shared"/>
        <v>#DIV/0!</v>
      </c>
      <c r="Q23" s="13">
        <f si="6" t="shared"/>
        <v>0.13139728636039039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0.36502638398055409</v>
      </c>
    </row>
    <row r="24" spans="1:21" x14ac:dyDescent="0.25">
      <c r="A24" t="s">
        <v>10</v>
      </c>
      <c r="B24" s="13">
        <f ref="B24:J24" si="9" t="shared">B7/B$16</f>
        <v>0</v>
      </c>
      <c r="C24" s="13">
        <f si="9" t="shared"/>
        <v>0</v>
      </c>
      <c r="D24" s="13">
        <f si="9" t="shared"/>
        <v>0.85664822745083857</v>
      </c>
      <c r="E24" s="13">
        <f si="9" t="shared"/>
        <v>0</v>
      </c>
      <c r="F24" s="13">
        <f si="9" t="shared"/>
        <v>9.3739926133582559E-3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0.15759968029343971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0.80644082373739789</v>
      </c>
      <c r="P24" s="13" t="e">
        <f si="10" t="shared"/>
        <v>#DIV/0!</v>
      </c>
      <c r="Q24" s="13">
        <f si="6" t="shared"/>
        <v>5.9271601999523922E-2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0.21565559923867375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0.6</v>
      </c>
      <c r="F25" s="13">
        <f si="11" t="shared"/>
        <v>0.83263596350534352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4.2959835875463426E-2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0.67936205665317784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7.2718378079511198E-3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9.5345587697379039E-2</v>
      </c>
      <c r="E31" s="13">
        <f si="23" t="shared"/>
        <v>0</v>
      </c>
      <c r="F31" s="13">
        <f si="23" t="shared"/>
        <v>5.8353039778440349E-3</v>
      </c>
      <c r="G31" s="13">
        <f si="23" t="shared"/>
        <v>0.82142883628891472</v>
      </c>
      <c r="H31" s="13">
        <f si="23" t="shared"/>
        <v>0</v>
      </c>
      <c r="I31" s="13" t="e">
        <f si="23" t="shared"/>
        <v>#DIV/0!</v>
      </c>
      <c r="J31" s="13">
        <f si="23" t="shared"/>
        <v>3.1356007411796345E-2</v>
      </c>
      <c r="K31" s="6"/>
      <c r="L31" t="s">
        <v>4</v>
      </c>
      <c r="M31" s="13">
        <f ref="M31:P31" si="24" t="shared">M14/M$16</f>
        <v>1.402981690380364E-3</v>
      </c>
      <c r="N31" s="13">
        <f si="24" t="shared"/>
        <v>1.2693258551344968E-3</v>
      </c>
      <c r="O31" s="13">
        <f si="24" t="shared"/>
        <v>8.4093841081752589E-4</v>
      </c>
      <c r="P31" s="13" t="e">
        <f si="24" t="shared"/>
        <v>#DIV/0!</v>
      </c>
      <c r="Q31" s="13">
        <f si="6" t="shared"/>
        <v>8.5693882408950251E-3</v>
      </c>
      <c r="R31" s="13">
        <f si="6" t="shared"/>
        <v>0.94373302289483896</v>
      </c>
      <c r="S31" s="13">
        <f si="6" t="shared"/>
        <v>0</v>
      </c>
      <c r="T31" s="13" t="e">
        <f si="6" t="shared"/>
        <v>#DIV/0!</v>
      </c>
      <c r="U31" s="13">
        <f si="6" t="shared"/>
        <v>7.2030432666705738E-3</v>
      </c>
    </row>
    <row r="32" spans="1:21" x14ac:dyDescent="0.25">
      <c r="A32" s="4" t="s">
        <v>5</v>
      </c>
      <c r="B32" s="14">
        <f ref="B32:J32" si="25" t="shared">B15/B$16</f>
        <v>8.0070970473850066E-4</v>
      </c>
      <c r="C32" s="14">
        <f si="25" t="shared"/>
        <v>5.6834942912586117E-3</v>
      </c>
      <c r="D32" s="14">
        <f si="25" t="shared"/>
        <v>3.4300745562396463E-2</v>
      </c>
      <c r="E32" s="14">
        <f si="25" t="shared"/>
        <v>0</v>
      </c>
      <c r="F32" s="14">
        <f si="25" t="shared"/>
        <v>0.14133617855303587</v>
      </c>
      <c r="G32" s="14">
        <f si="25" t="shared"/>
        <v>0.17857116371108528</v>
      </c>
      <c r="H32" s="14">
        <f si="25" t="shared"/>
        <v>1</v>
      </c>
      <c r="I32" s="14" t="e">
        <f si="25" t="shared"/>
        <v>#DIV/0!</v>
      </c>
      <c r="J32" s="14">
        <f si="25" t="shared"/>
        <v>0.14940210480513783</v>
      </c>
      <c r="K32" s="6"/>
      <c r="L32" s="4" t="s">
        <v>5</v>
      </c>
      <c r="M32" s="14">
        <f ref="M32:P32" si="26" t="shared">M15/M$16</f>
        <v>1.3080324244657332E-2</v>
      </c>
      <c r="N32" s="14">
        <f si="26" t="shared"/>
        <v>6.4942253053392861E-3</v>
      </c>
      <c r="O32" s="14">
        <f si="26" t="shared"/>
        <v>4.2429165273066083E-3</v>
      </c>
      <c r="P32" s="14" t="e">
        <f si="26" t="shared"/>
        <v>#DIV/0!</v>
      </c>
      <c r="Q32" s="14">
        <f si="6" t="shared"/>
        <v>0.11092597000714116</v>
      </c>
      <c r="R32" s="14">
        <f si="6" t="shared"/>
        <v>5.6266977105161042E-2</v>
      </c>
      <c r="S32" s="14">
        <f si="6" t="shared"/>
        <v>1</v>
      </c>
      <c r="T32" s="14" t="e">
        <f si="6" t="shared"/>
        <v>#DIV/0!</v>
      </c>
      <c r="U32" s="14">
        <f si="6" t="shared"/>
        <v>0.19832956661986939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22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45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-1.3682596230299104E-2</v>
      </c>
      <c r="N39" s="13">
        <f si="29" t="shared"/>
        <v>4.7955566959044599E-2</v>
      </c>
      <c r="O39" s="13">
        <f si="29" t="shared"/>
        <v>2.3622724449328683E-2</v>
      </c>
      <c r="P39" s="13" t="e">
        <f si="29" t="shared"/>
        <v>#DIV/0!</v>
      </c>
      <c r="Q39" s="13">
        <f ref="Q39:Q50" si="30" t="shared">Q22-F22</f>
        <v>1.0473696738871698E-2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-4.1596025999515951E-2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-5.0035623828259768E-2</v>
      </c>
      <c r="O40" s="13">
        <f si="29" t="shared"/>
        <v>0.15114715758576333</v>
      </c>
      <c r="P40" s="13" t="e">
        <f si="29" t="shared"/>
        <v>#DIV/0!</v>
      </c>
      <c r="Q40" s="13">
        <f si="30" t="shared"/>
        <v>0.12057872500997212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-5.546392547811696E-3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-5.0207403713440679E-2</v>
      </c>
      <c r="P41" s="13" t="e">
        <f si="29" t="shared"/>
        <v>#DIV/0!</v>
      </c>
      <c r="Q41" s="13">
        <f si="30" t="shared"/>
        <v>4.9897609386165664E-2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5.8055918945234042E-2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-0.15327390685216569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-3.5687998067512307E-2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1.402981690380364E-3</v>
      </c>
      <c r="N48" s="13">
        <f si="39" t="shared"/>
        <v>1.2693258551344968E-3</v>
      </c>
      <c r="O48" s="13">
        <f si="39" t="shared"/>
        <v>-9.4504649286561507E-2</v>
      </c>
      <c r="P48" s="13" t="e">
        <f si="39" t="shared"/>
        <v>#DIV/0!</v>
      </c>
      <c r="Q48" s="13">
        <f si="30" t="shared"/>
        <v>2.7340842630509902E-3</v>
      </c>
      <c r="R48" s="13">
        <f si="31" t="shared"/>
        <v>0.12230418660592424</v>
      </c>
      <c r="S48" s="13">
        <f si="32" t="shared"/>
        <v>0</v>
      </c>
      <c r="T48" s="13" t="e">
        <f si="33" t="shared"/>
        <v>#DIV/0!</v>
      </c>
      <c r="U48" s="13">
        <f si="34" t="shared"/>
        <v>-2.4152964145125772E-2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1.2279614539918831E-2</v>
      </c>
      <c r="N49" s="17">
        <f si="39" t="shared"/>
        <v>8.1073101408067443E-4</v>
      </c>
      <c r="O49" s="17">
        <f si="39" t="shared"/>
        <v>-3.0057829035089856E-2</v>
      </c>
      <c r="P49" s="17" t="e">
        <f si="39" t="shared"/>
        <v>#DIV/0!</v>
      </c>
      <c r="Q49" s="17">
        <f si="30" t="shared"/>
        <v>-3.0410208545894712E-2</v>
      </c>
      <c r="R49" s="17">
        <f si="31" t="shared"/>
        <v>-0.12230418660592424</v>
      </c>
      <c r="S49" s="17">
        <f si="32" t="shared"/>
        <v>0</v>
      </c>
      <c r="T49" s="17" t="e">
        <f si="33" t="shared"/>
        <v>#DIV/0!</v>
      </c>
      <c r="U49" s="13">
        <f si="34" t="shared"/>
        <v>4.8927461814731565E-2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AG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46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46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575843.8606631218</v>
      </c>
      <c r="C5" s="6" t="n">
        <v>19028.311087916998</v>
      </c>
      <c r="D5" s="6" t="n">
        <v>8175.4429283835</v>
      </c>
      <c r="E5" s="6" t="n">
        <v>1699.2908535978</v>
      </c>
      <c r="F5" s="6" t="n">
        <v>258.2255619798</v>
      </c>
      <c r="G5" s="6" t="n">
        <v>0.0</v>
      </c>
      <c r="H5" s="6" t="n">
        <v>0.0</v>
      </c>
      <c r="I5" s="6" t="n">
        <v>0.0</v>
      </c>
      <c r="J5" s="6">
        <f>SUM(B5:I5)</f>
        <v>605005.13109499984</v>
      </c>
      <c r="K5" s="6"/>
      <c r="L5" t="s">
        <v>1</v>
      </c>
      <c r="M5" s="6" t="n">
        <v>370556.0</v>
      </c>
      <c r="N5" s="6" t="n">
        <v>32620.0</v>
      </c>
      <c r="O5" s="6" t="n">
        <v>9948.0</v>
      </c>
      <c r="P5" s="6" t="n">
        <v>0.0</v>
      </c>
      <c r="Q5" s="6" t="n">
        <v>188.0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408042</v>
      </c>
    </row>
    <row r="6" spans="1:21" x14ac:dyDescent="0.25">
      <c r="A6" t="s">
        <v>12</v>
      </c>
      <c r="B6" s="6" t="n">
        <v>0.0</v>
      </c>
      <c r="C6" s="6" t="n">
        <v>494350.7280155954</v>
      </c>
      <c r="D6" s="6" t="n">
        <v>40088.6335122137</v>
      </c>
      <c r="E6" s="6" t="n">
        <v>262.3473390995</v>
      </c>
      <c r="F6" s="6" t="n">
        <v>8407.9361075648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543109.6449744734</v>
      </c>
      <c r="K6" s="6"/>
      <c r="L6" t="s">
        <v>12</v>
      </c>
      <c r="M6" s="6" t="n">
        <v>0.0</v>
      </c>
      <c r="N6" s="6" t="n">
        <v>430786.0</v>
      </c>
      <c r="O6" s="6" t="n">
        <v>63148.0</v>
      </c>
      <c r="P6" s="6" t="n">
        <v>0.0</v>
      </c>
      <c r="Q6" s="6" t="n">
        <v>1939.0</v>
      </c>
      <c r="R6" s="6" t="n">
        <v>0.0</v>
      </c>
      <c r="S6" s="6" t="n">
        <v>0.0</v>
      </c>
      <c r="T6" s="6" t="n">
        <v>0.0</v>
      </c>
      <c r="U6" s="6">
        <f si="0" t="shared"/>
        <v>491772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468181.3858676305</v>
      </c>
      <c r="E7" s="6" t="n">
        <v>0.0</v>
      </c>
      <c r="F7" s="6" t="n">
        <v>2704.6148952067</v>
      </c>
      <c r="G7" s="6" t="n">
        <v>0.0</v>
      </c>
      <c r="H7" s="6" t="n">
        <v>0.0</v>
      </c>
      <c r="I7" s="6" t="n">
        <v>0.0</v>
      </c>
      <c r="J7" s="6">
        <f si="1" t="shared"/>
        <v>470886.00076283718</v>
      </c>
      <c r="K7" s="6"/>
      <c r="L7" t="s">
        <v>56</v>
      </c>
      <c r="M7" s="6" t="n">
        <v>0.0</v>
      </c>
      <c r="N7" s="6" t="n">
        <v>0.0</v>
      </c>
      <c r="O7" s="6" t="n">
        <v>338152.0</v>
      </c>
      <c r="P7" s="6" t="n">
        <v>0.0</v>
      </c>
      <c r="Q7" s="6" t="n">
        <v>805.0</v>
      </c>
      <c r="R7" s="6" t="n">
        <v>0.0</v>
      </c>
      <c r="S7" s="6" t="n">
        <v>0.0</v>
      </c>
      <c r="T7" s="6" t="n">
        <v>0.0</v>
      </c>
      <c r="U7" s="6">
        <f si="0" t="shared"/>
        <v>334808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1939.6121580817999</v>
      </c>
      <c r="F8" s="6" t="n">
        <v>32154.4903696018</v>
      </c>
      <c r="G8" s="6" t="n">
        <v>0.0</v>
      </c>
      <c r="H8" s="6" t="n">
        <v>0.0</v>
      </c>
      <c r="I8" s="6" t="n">
        <v>0.0</v>
      </c>
      <c r="J8" s="6">
        <f si="1" t="shared"/>
        <v>34094.102527683601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13489.0</v>
      </c>
      <c r="R8" s="6" t="n">
        <v>0.0</v>
      </c>
      <c r="S8" s="6" t="n">
        <v>0.0</v>
      </c>
      <c r="T8" s="6" t="n">
        <v>0.0</v>
      </c>
      <c r="U8" s="6">
        <f si="0" t="shared"/>
        <v>12556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107.691391212</v>
      </c>
      <c r="G9" s="6" t="n">
        <v>0.0</v>
      </c>
      <c r="H9" s="6" t="n">
        <v>0.0</v>
      </c>
      <c r="I9" s="6" t="n">
        <v>0.0</v>
      </c>
      <c r="J9" s="6">
        <f si="1" t="shared"/>
        <v>107.691391212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1490.528010836</v>
      </c>
      <c r="J13" s="6">
        <f si="1" t="shared"/>
        <v>1490.528010836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926.638889398</v>
      </c>
      <c r="C14" s="6" t="n">
        <v>34.4157929553</v>
      </c>
      <c r="D14" s="6" t="n">
        <v>0.0</v>
      </c>
      <c r="E14" s="6" t="n">
        <v>0.0</v>
      </c>
      <c r="F14" s="6" t="n">
        <v>285.065614854</v>
      </c>
      <c r="G14" s="6" t="n">
        <v>31544.6991463556</v>
      </c>
      <c r="H14" s="6" t="n">
        <v>0.0</v>
      </c>
      <c r="I14" s="6" t="n">
        <v>1490.528010836</v>
      </c>
      <c r="J14" s="6">
        <f si="1" t="shared"/>
        <v>34281.3474543989</v>
      </c>
      <c r="K14" s="6"/>
      <c r="L14" t="s">
        <v>4</v>
      </c>
      <c r="M14" s="6" t="n">
        <v>347.0</v>
      </c>
      <c r="N14" s="6" t="n">
        <v>613.0</v>
      </c>
      <c r="O14" s="6" t="n">
        <v>386.0</v>
      </c>
      <c r="P14" s="6" t="n">
        <v>0.0</v>
      </c>
      <c r="Q14" s="6" t="n">
        <v>206.0</v>
      </c>
      <c r="R14" s="6" t="n">
        <v>27128.0</v>
      </c>
      <c r="S14" s="6" t="n">
        <v>0.0</v>
      </c>
      <c r="T14" s="6" t="n">
        <v>0.0</v>
      </c>
      <c r="U14" s="6">
        <f si="0" t="shared"/>
        <v>28022</v>
      </c>
    </row>
    <row r="15" spans="1:21" x14ac:dyDescent="0.25">
      <c r="A15" s="4" t="s">
        <v>5</v>
      </c>
      <c r="B15" s="10" t="n">
        <v>11682.8410159412</v>
      </c>
      <c r="C15" s="10" t="n">
        <v>8726.047794157299</v>
      </c>
      <c r="D15" s="10" t="n">
        <v>12722.1355908298</v>
      </c>
      <c r="E15" s="10" t="n">
        <v>314.436122055</v>
      </c>
      <c r="F15" s="10" t="n">
        <v>11918.2195557219</v>
      </c>
      <c r="G15" s="10" t="n">
        <v>529.9935652318001</v>
      </c>
      <c r="H15" s="10" t="n">
        <v>634878.5438429762</v>
      </c>
      <c r="I15" s="10" t="n">
        <v>0.0</v>
      </c>
      <c r="J15" s="6">
        <f si="1" t="shared"/>
        <v>680772.2174869132</v>
      </c>
      <c r="K15" s="6"/>
      <c r="L15" s="4" t="s">
        <v>5</v>
      </c>
      <c r="M15" s="8" t="n">
        <v>1695.0</v>
      </c>
      <c r="N15" s="8" t="n">
        <v>1818.0</v>
      </c>
      <c r="O15" s="8" t="n">
        <v>911.0</v>
      </c>
      <c r="P15" s="8" t="n">
        <v>0.0</v>
      </c>
      <c r="Q15" s="8" t="n">
        <v>1759.0</v>
      </c>
      <c r="R15" s="8" t="n">
        <v>581.0</v>
      </c>
      <c r="S15" s="8" t="n">
        <v>546375.0</v>
      </c>
      <c r="T15" s="8" t="n">
        <v>0.0</v>
      </c>
      <c r="U15" s="6">
        <f si="0" t="shared"/>
        <v>545856</v>
      </c>
    </row>
    <row ht="15.75" r="16" spans="1:21" thickBot="1" x14ac:dyDescent="0.3">
      <c r="A16" s="12" t="s">
        <v>7</v>
      </c>
      <c r="B16" s="16">
        <f ref="B16:J16" si="2" t="shared">SUM(B5:B15)</f>
        <v>588453.34056846099</v>
      </c>
      <c r="C16" s="16">
        <f si="2" t="shared"/>
        <v>522139.50269062503</v>
      </c>
      <c r="D16" s="16">
        <f si="2" t="shared"/>
        <v>529167.59789905744</v>
      </c>
      <c r="E16" s="16">
        <f si="2" t="shared"/>
        <v>4215.6864728340997</v>
      </c>
      <c r="F16" s="16">
        <f si="2" t="shared"/>
        <v>55836.243496141004</v>
      </c>
      <c r="G16" s="16">
        <f si="2" t="shared"/>
        <v>32074.692711587402</v>
      </c>
      <c r="H16" s="16">
        <f si="2" t="shared"/>
        <v>634878.54384297621</v>
      </c>
      <c r="I16" s="16">
        <f si="2" t="shared"/>
        <v>2981.056021672</v>
      </c>
      <c r="J16" s="16">
        <f si="2" t="shared"/>
        <v>2369746.6637033541</v>
      </c>
      <c r="L16" s="9" t="s">
        <v>7</v>
      </c>
      <c r="M16" s="16">
        <f ref="M16:U16" si="3" t="shared">SUM(M5:M15)</f>
        <v>367711</v>
      </c>
      <c r="N16" s="16">
        <f si="3" t="shared"/>
        <v>461780</v>
      </c>
      <c r="O16" s="16">
        <f si="3" t="shared"/>
        <v>408147</v>
      </c>
      <c r="P16" s="16">
        <f si="3" t="shared"/>
        <v>0</v>
      </c>
      <c r="Q16" s="16">
        <f si="3" t="shared"/>
        <v>17142</v>
      </c>
      <c r="R16" s="16">
        <f si="3" t="shared"/>
        <v>27024</v>
      </c>
      <c r="S16" s="16">
        <f si="3" t="shared"/>
        <v>539252</v>
      </c>
      <c r="T16" s="16">
        <f si="3" t="shared"/>
        <v>0</v>
      </c>
      <c r="U16" s="16">
        <f si="3" t="shared"/>
        <v>1821056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40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46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46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0.9785718271338929</v>
      </c>
      <c r="C22" s="13">
        <f si="4" t="shared"/>
        <v>3.644296397775431E-2</v>
      </c>
      <c r="D22" s="13">
        <f si="4" t="shared"/>
        <v>1.5449628739254411E-2</v>
      </c>
      <c r="E22" s="13">
        <f si="4" t="shared"/>
        <v>0.40308757886717544</v>
      </c>
      <c r="F22" s="13">
        <f si="4" t="shared"/>
        <v>4.6246943886482381E-3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0.2553037167903508</v>
      </c>
      <c r="K22" s="6"/>
      <c r="L22" t="s">
        <v>1</v>
      </c>
      <c r="M22" s="13">
        <f ref="M22:P22" si="5" t="shared">M5/M$16</f>
        <v>0.99455822643325875</v>
      </c>
      <c r="N22" s="13">
        <f si="5" t="shared"/>
        <v>7.0005197280090081E-2</v>
      </c>
      <c r="O22" s="13">
        <f si="5" t="shared"/>
        <v>2.4140812011358651E-2</v>
      </c>
      <c r="P22" s="13" t="e">
        <f si="5" t="shared"/>
        <v>#DIV/0!</v>
      </c>
      <c r="Q22" s="13">
        <f ref="Q22:U33" si="6" t="shared">Q5/Q$16</f>
        <v>8.8671100221677755E-3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0.22406889189569129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0.94677902259485835</v>
      </c>
      <c r="D23" s="13">
        <f si="7" t="shared"/>
        <v>7.5757914262658432E-2</v>
      </c>
      <c r="E23" s="13">
        <f si="7" t="shared"/>
        <v>6.223122634713641E-2</v>
      </c>
      <c r="F23" s="13">
        <f si="7" t="shared"/>
        <v>0.15058205174826805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0.22918468598061928</v>
      </c>
      <c r="K23" s="6"/>
      <c r="L23" t="s">
        <v>12</v>
      </c>
      <c r="M23" s="13">
        <f ref="M23:P23" si="8" t="shared">M6/M$16</f>
        <v>0</v>
      </c>
      <c r="N23" s="13">
        <f si="8" t="shared"/>
        <v>0.92482567456364506</v>
      </c>
      <c r="O23" s="13">
        <f si="8" t="shared"/>
        <v>0.15403028810698105</v>
      </c>
      <c r="P23" s="13" t="e">
        <f si="8" t="shared"/>
        <v>#DIV/0!</v>
      </c>
      <c r="Q23" s="13">
        <f si="6" t="shared"/>
        <v>0.10728036401820092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0.27004770858227312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0.88475066826926063</v>
      </c>
      <c r="E24" s="13">
        <f si="9" t="shared"/>
        <v>0</v>
      </c>
      <c r="F24" s="13">
        <f si="9" t="shared"/>
        <v>4.8438339076188455E-2</v>
      </c>
      <c r="G24" s="13">
        <f si="9" t="shared"/>
        <v>0</v>
      </c>
      <c r="H24" s="13">
        <f si="9" t="shared"/>
        <v>0</v>
      </c>
      <c r="I24" s="13">
        <f si="9" t="shared"/>
        <v>0</v>
      </c>
      <c r="J24" s="13">
        <f si="9" t="shared"/>
        <v>0.19870731668293759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0.81840856358125869</v>
      </c>
      <c r="P24" s="13" t="e">
        <f si="10" t="shared"/>
        <v>#DIV/0!</v>
      </c>
      <c r="Q24" s="13">
        <f si="6" t="shared"/>
        <v>4.5327266363318165E-2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0.18385376396991635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0.46009402515596648</v>
      </c>
      <c r="F25" s="13">
        <f si="11" t="shared"/>
        <v>0.57587130430477629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1.4387235163104977E-2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0.73246995683117488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6.8949005412244323E-3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1.9287005082897965E-3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4.5444263246141174E-5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0.5</v>
      </c>
      <c r="J30" s="13">
        <f si="21" t="shared"/>
        <v>6.2898200624815189E-4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1.5747024029175245E-3</v>
      </c>
      <c r="C31" s="13">
        <f si="23" t="shared"/>
        <v>6.5913022818524106E-5</v>
      </c>
      <c r="D31" s="13">
        <f si="23" t="shared"/>
        <v>0</v>
      </c>
      <c r="E31" s="13">
        <f si="23" t="shared"/>
        <v>0</v>
      </c>
      <c r="F31" s="13">
        <f si="23" t="shared"/>
        <v>5.105386698761382E-3</v>
      </c>
      <c r="G31" s="13">
        <f si="23" t="shared"/>
        <v>0.98347626990545312</v>
      </c>
      <c r="H31" s="13">
        <f si="23" t="shared"/>
        <v>0</v>
      </c>
      <c r="I31" s="13">
        <f si="23" t="shared"/>
        <v>0.5</v>
      </c>
      <c r="J31" s="13">
        <f si="23" t="shared"/>
        <v>1.4466249907416372E-2</v>
      </c>
      <c r="K31" s="6"/>
      <c r="L31" t="s">
        <v>4</v>
      </c>
      <c r="M31" s="13">
        <f ref="M31:P31" si="24" t="shared">M14/M$16</f>
        <v>9.8718830820943623E-4</v>
      </c>
      <c r="N31" s="13">
        <f si="24" t="shared"/>
        <v>1.3101476893758932E-3</v>
      </c>
      <c r="O31" s="13">
        <f si="24" t="shared"/>
        <v>1.0510918860116576E-3</v>
      </c>
      <c r="P31" s="13" t="e">
        <f si="24" t="shared"/>
        <v>#DIV/0!</v>
      </c>
      <c r="Q31" s="13">
        <f si="6" t="shared"/>
        <v>1.0850542527126356E-2</v>
      </c>
      <c r="R31" s="13">
        <f si="6" t="shared"/>
        <v>0.97835257548845467</v>
      </c>
      <c r="S31" s="13">
        <f si="6" t="shared"/>
        <v>0</v>
      </c>
      <c r="T31" s="13" t="e">
        <f si="6" t="shared"/>
        <v>#DIV/0!</v>
      </c>
      <c r="U31" s="13">
        <f si="6" t="shared"/>
        <v>1.5387775005271666E-2</v>
      </c>
    </row>
    <row r="32" spans="1:21" x14ac:dyDescent="0.25">
      <c r="A32" s="4" t="s">
        <v>5</v>
      </c>
      <c r="B32" s="14">
        <f ref="B32:J32" si="25" t="shared">B15/B$16</f>
        <v>1.9853470463189617E-2</v>
      </c>
      <c r="C32" s="14">
        <f si="25" t="shared"/>
        <v>1.6712100404568709E-2</v>
      </c>
      <c r="D32" s="14">
        <f si="25" t="shared"/>
        <v>2.4041788728826587E-2</v>
      </c>
      <c r="E32" s="14">
        <f si="25" t="shared"/>
        <v>7.4587169629721659E-2</v>
      </c>
      <c r="F32" s="14">
        <f si="25" t="shared"/>
        <v>0.21344952327506778</v>
      </c>
      <c r="G32" s="14">
        <f si="25" t="shared"/>
        <v>1.6523730094546874E-2</v>
      </c>
      <c r="H32" s="14">
        <f si="25" t="shared"/>
        <v>1</v>
      </c>
      <c r="I32" s="14">
        <f si="25" t="shared"/>
        <v>0</v>
      </c>
      <c r="J32" s="14">
        <f si="25" t="shared"/>
        <v>0.28727636920607669</v>
      </c>
      <c r="K32" s="6"/>
      <c r="L32" s="4" t="s">
        <v>5</v>
      </c>
      <c r="M32" s="14">
        <f ref="M32:P32" si="26" t="shared">M15/M$16</f>
        <v>4.4545852585318362E-3</v>
      </c>
      <c r="N32" s="14">
        <f si="26" t="shared"/>
        <v>3.8589804668889946E-3</v>
      </c>
      <c r="O32" s="14">
        <f si="26" t="shared"/>
        <v>2.3692444143899134E-3</v>
      </c>
      <c r="P32" s="14" t="e">
        <f si="26" t="shared"/>
        <v>#DIV/0!</v>
      </c>
      <c r="Q32" s="14">
        <f si="6" t="shared"/>
        <v>9.5204760238011901E-2</v>
      </c>
      <c r="R32" s="14">
        <f si="6" t="shared"/>
        <v>2.1647424511545294E-2</v>
      </c>
      <c r="S32" s="14">
        <f si="6" t="shared"/>
        <v>1</v>
      </c>
      <c r="T32" s="14" t="e">
        <f si="6" t="shared"/>
        <v>#DIV/0!</v>
      </c>
      <c r="U32" s="14">
        <f si="6" t="shared"/>
        <v>0.29974696000562312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23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46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1.598639929936585E-2</v>
      </c>
      <c r="N39" s="13">
        <f si="29" t="shared"/>
        <v>3.3562233302335771E-2</v>
      </c>
      <c r="O39" s="13">
        <f si="29" t="shared"/>
        <v>8.6911832721042401E-3</v>
      </c>
      <c r="P39" s="13" t="e">
        <f si="29" t="shared"/>
        <v>#DIV/0!</v>
      </c>
      <c r="Q39" s="13">
        <f ref="Q39:Q50" si="30" t="shared">Q22-F22</f>
        <v>4.2424156335195374E-3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-3.1234824894659508E-2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-2.1953348031213293E-2</v>
      </c>
      <c r="O40" s="13">
        <f si="29" t="shared"/>
        <v>7.8272373844322618E-2</v>
      </c>
      <c r="P40" s="13" t="e">
        <f si="29" t="shared"/>
        <v>#DIV/0!</v>
      </c>
      <c r="Q40" s="13">
        <f si="30" t="shared"/>
        <v>-4.3301687730067137E-2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4.0863022601653837E-2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-6.6342104688001946E-2</v>
      </c>
      <c r="P41" s="13" t="e">
        <f si="29" t="shared"/>
        <v>#DIV/0!</v>
      </c>
      <c r="Q41" s="13">
        <f si="30" t="shared"/>
        <v>-3.11107271287029E-3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-1.4853552713021245E-2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0.1565986525263986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-7.4923346218805451E-3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-1.9287005082897965E-3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-4.5444263246141174E-5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-6.2898200624815189E-4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-5.875140947080883E-4</v>
      </c>
      <c r="N48" s="13">
        <f si="39" t="shared"/>
        <v>1.2442346665573691E-3</v>
      </c>
      <c r="O48" s="13">
        <f si="39" t="shared"/>
        <v>1.0510918860116576E-3</v>
      </c>
      <c r="P48" s="13" t="e">
        <f si="39" t="shared"/>
        <v>#DIV/0!</v>
      </c>
      <c r="Q48" s="13">
        <f si="30" t="shared"/>
        <v>5.7451558283649739E-3</v>
      </c>
      <c r="R48" s="13">
        <f si="31" t="shared"/>
        <v>-5.1236944169984477E-3</v>
      </c>
      <c r="S48" s="13">
        <f si="32" t="shared"/>
        <v>0</v>
      </c>
      <c r="T48" s="13" t="e">
        <f si="33" t="shared"/>
        <v>#DIV/0!</v>
      </c>
      <c r="U48" s="13">
        <f si="34" t="shared"/>
        <v>9.2152509785529448E-4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-1.5398885204657781E-2</v>
      </c>
      <c r="N49" s="17">
        <f si="39" t="shared"/>
        <v>-1.2853119937679715E-2</v>
      </c>
      <c r="O49" s="17">
        <f si="39" t="shared"/>
        <v>-2.1672544314436673E-2</v>
      </c>
      <c r="P49" s="17" t="e">
        <f si="39" t="shared"/>
        <v>#DIV/0!</v>
      </c>
      <c r="Q49" s="17">
        <f si="30" t="shared"/>
        <v>-0.11824476303705587</v>
      </c>
      <c r="R49" s="17">
        <f si="31" t="shared"/>
        <v>5.12369441699842E-3</v>
      </c>
      <c r="S49" s="17">
        <f si="32" t="shared"/>
        <v>0</v>
      </c>
      <c r="T49" s="17" t="e">
        <f si="33" t="shared"/>
        <v>#DIV/0!</v>
      </c>
      <c r="U49" s="13">
        <f si="34" t="shared"/>
        <v>1.2470590799546433E-2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2:C3"/>
  <sheetViews>
    <sheetView workbookViewId="0"/>
  </sheetViews>
  <sheetFormatPr defaultRowHeight="15" x14ac:dyDescent="0.25"/>
  <sheetData>
    <row r="2" spans="2:2" x14ac:dyDescent="0.25">
      <c r="B2" t="s">
        <v>50</v>
      </c>
    </row>
    <row r="3" spans="2:2" x14ac:dyDescent="0.25">
      <c r="B3" t="s">
        <v>49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baseType="lpstr" size="50">
      <vt:lpstr>All Purposes</vt:lpstr>
      <vt:lpstr>Workbased</vt:lpstr>
      <vt:lpstr>Work</vt:lpstr>
      <vt:lpstr>School</vt:lpstr>
      <vt:lpstr>Escort</vt:lpstr>
      <vt:lpstr>Personal_Business</vt:lpstr>
      <vt:lpstr>Shop</vt:lpstr>
      <vt:lpstr>Meal</vt:lpstr>
      <vt:lpstr>SocRec</vt:lpstr>
      <vt:lpstr>Documentation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purp8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Dong, Hu</cp:lastModifiedBy>
  <dcterms:modified xsi:type="dcterms:W3CDTF">2019-10-07T21:08:53Z</dcterms:modified>
</cp:coreProperties>
</file>