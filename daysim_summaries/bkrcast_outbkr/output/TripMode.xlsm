
<file path=[Content_Types].xml><?xml version="1.0" encoding="utf-8"?>
<Types xmlns="http://schemas.openxmlformats.org/package/2006/content-types">
  <Default ContentType="application/vnd.ms-office.vbaProject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Relationship Id="rId4" Target="docProps/custom.xml" Type="http://schemas.openxmlformats.org/officeDocument/2006/relationships/custom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>
    <mc:Choice Requires="x15">
      <x15ac:absPath xmlns:x15ac="http://schemas.microsoft.com/office/spreadsheetml/2010/11/ac" url="D:\Projects\Clients\BKR\GitRunModel\daysim_summaries\bkrcast_all\output\"/>
    </mc:Choice>
  </mc:AlternateContent>
  <bookViews>
    <workbookView xWindow="12405" yWindow="2640" windowWidth="21600" windowHeight="11265" activeTab="8"/>
  </bookViews>
  <sheets>
    <sheet name="All Purposes" sheetId="18" r:id="rId1"/>
    <sheet name="Workbased" sheetId="7" r:id="rId2"/>
    <sheet name="Work" sheetId="11" r:id="rId3"/>
    <sheet name="School" sheetId="12" r:id="rId4"/>
    <sheet name="Escort" sheetId="13" r:id="rId5"/>
    <sheet name="Personal_Business" sheetId="14" r:id="rId6"/>
    <sheet name="Shop" sheetId="15" r:id="rId7"/>
    <sheet name="Meal" sheetId="16" r:id="rId8"/>
    <sheet name="SocRec" sheetId="17" r:id="rId9"/>
    <sheet name="Documentation" sheetId="19" r:id="rId10"/>
  </sheets>
  <definedNames>
    <definedName name="out1">Work!$B$5:$I$16</definedName>
    <definedName name="out10">Shop!$M$5:$T$16</definedName>
    <definedName name="out11">Meal!$B$5:$I$16</definedName>
    <definedName name="out12">Meal!$M$5:$T$16</definedName>
    <definedName name="out13">SocRec!$B$5:$I$16</definedName>
    <definedName name="out14">SocRec!$M$5:$T$16</definedName>
    <definedName name="out15">Workbased!$B$5:$I$16</definedName>
    <definedName name="out16">Workbased!$M$5:$T$16</definedName>
    <definedName name="out2">Work!$M$5:$T$16</definedName>
    <definedName name="out3">School!$B$5:$I$16</definedName>
    <definedName name="out4">School!$M$5:$T$16</definedName>
    <definedName name="out5">Escort!$B$5:$I$16</definedName>
    <definedName name="out6">Escort!$M$5:$T$16</definedName>
    <definedName name="out7">Personal_Business!$B$5:$I$16</definedName>
    <definedName name="out8">Personal_Business!$M$5:$T$16</definedName>
    <definedName name="out9">Shop!$B$5:$I$16</definedName>
    <definedName name="purp1">Work!$M$5:$T$17</definedName>
    <definedName name="purp2">School!$M$5:$T$17</definedName>
    <definedName name="purp3">Escort!$M$5:$T$17</definedName>
    <definedName name="purp4">Personal_Business!$M$5:$T$17</definedName>
    <definedName name="purp5">Shop!$M$5:$T$17</definedName>
    <definedName name="purp6">Meal!$M$5:$T$17</definedName>
    <definedName name="purp7">SocRec!$M$5:$T$17</definedName>
    <definedName name="purp8">Workbased!$M$5:$T$17</definedName>
    <definedName name="out_1">Work!$B$5:$I$16</definedName>
    <definedName name="out_3">School!$B$5:$I$16</definedName>
    <definedName name="out_5">Escort!$B$5:$I$16</definedName>
    <definedName name="out_7">Personal_Business!$B$5:$I$16</definedName>
    <definedName name="out_9">Shop!$B$5:$I$16</definedName>
    <definedName name="out_11">Meal!$B$5:$I$16</definedName>
    <definedName name="out_13">SocRec!$B$5:$I$16</definedName>
    <definedName name="out_15">Workbased!$B$5:$I$16</definedName>
    <definedName name="out_2">Work!$M$5:$T$16</definedName>
    <definedName name="out_4">School!$M$5:$T$16</definedName>
    <definedName name="out_6">Escort!$M$5:$T$16</definedName>
    <definedName name="out_8">Personal_Business!$M$5:$T$16</definedName>
    <definedName name="out_10">Shop!$M$5:$T$16</definedName>
    <definedName name="out_12">Meal!$M$5:$T$16</definedName>
    <definedName name="out_14">SocRec!$M$5:$T$16</definedName>
    <definedName name="out_16">Workbased!$M$5:$T$16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15" i="18" l="1"/>
  <c r="N15" i="18"/>
  <c r="O15" i="18"/>
  <c r="P15" i="18"/>
  <c r="Q15" i="18"/>
  <c r="R15" i="18"/>
  <c r="S15" i="18"/>
  <c r="T15" i="18"/>
  <c r="B15" i="18"/>
  <c r="J15" i="18" s="1"/>
  <c r="C15" i="18"/>
  <c r="D15" i="18"/>
  <c r="E15" i="18"/>
  <c r="F15" i="18"/>
  <c r="G15" i="18"/>
  <c r="H15" i="18"/>
  <c r="I15" i="18"/>
  <c r="B14" i="18"/>
  <c r="U16" i="7"/>
  <c r="J16" i="7"/>
  <c r="U15" i="7"/>
  <c r="J15" i="7"/>
  <c r="U16" i="11"/>
  <c r="J16" i="11"/>
  <c r="U15" i="11"/>
  <c r="J15" i="11"/>
  <c r="U16" i="13"/>
  <c r="J16" i="13"/>
  <c r="U15" i="13"/>
  <c r="J15" i="13"/>
  <c r="U16" i="14"/>
  <c r="J16" i="14"/>
  <c r="U15" i="14"/>
  <c r="J15" i="14"/>
  <c r="U16" i="15"/>
  <c r="J16" i="15"/>
  <c r="U15" i="15"/>
  <c r="J15" i="15"/>
  <c r="B17" i="15"/>
  <c r="B34" i="15" s="1"/>
  <c r="C17" i="15"/>
  <c r="C34" i="15" s="1"/>
  <c r="D17" i="15"/>
  <c r="D34" i="15" s="1"/>
  <c r="E17" i="15"/>
  <c r="E34" i="15" s="1"/>
  <c r="F17" i="15"/>
  <c r="F34" i="15" s="1"/>
  <c r="G17" i="15"/>
  <c r="G34" i="15" s="1"/>
  <c r="H17" i="15"/>
  <c r="H33" i="15" s="1"/>
  <c r="I17" i="15"/>
  <c r="I33" i="15" s="1"/>
  <c r="M17" i="15"/>
  <c r="M33" i="15" s="1"/>
  <c r="N17" i="15"/>
  <c r="N33" i="15" s="1"/>
  <c r="O17" i="15"/>
  <c r="O33" i="15" s="1"/>
  <c r="P17" i="15"/>
  <c r="P33" i="15" s="1"/>
  <c r="Q17" i="15"/>
  <c r="Q33" i="15" s="1"/>
  <c r="R17" i="15"/>
  <c r="R33" i="15" s="1"/>
  <c r="S17" i="15"/>
  <c r="S33" i="15" s="1"/>
  <c r="T17" i="15"/>
  <c r="T34" i="15" s="1"/>
  <c r="U16" i="16"/>
  <c r="J16" i="16"/>
  <c r="U15" i="16"/>
  <c r="J15" i="16"/>
  <c r="U15" i="17"/>
  <c r="J15" i="17"/>
  <c r="T33" i="15" l="1"/>
  <c r="M34" i="15"/>
  <c r="N34" i="15"/>
  <c r="O34" i="15"/>
  <c r="T51" i="15"/>
  <c r="M52" i="15"/>
  <c r="N52" i="15"/>
  <c r="O52" i="15"/>
  <c r="S51" i="15"/>
  <c r="H34" i="15"/>
  <c r="I34" i="15"/>
  <c r="T52" i="15" s="1"/>
  <c r="B33" i="15"/>
  <c r="M51" i="15" s="1"/>
  <c r="C33" i="15"/>
  <c r="N51" i="15" s="1"/>
  <c r="D33" i="15"/>
  <c r="O51" i="15" s="1"/>
  <c r="P34" i="15"/>
  <c r="P52" i="15" s="1"/>
  <c r="E33" i="15"/>
  <c r="P51" i="15" s="1"/>
  <c r="Q34" i="15"/>
  <c r="Q52" i="15" s="1"/>
  <c r="F33" i="15"/>
  <c r="Q51" i="15" s="1"/>
  <c r="R34" i="15"/>
  <c r="R52" i="15" s="1"/>
  <c r="G33" i="15"/>
  <c r="R51" i="15" s="1"/>
  <c r="S34" i="15"/>
  <c r="U15" i="18"/>
  <c r="B6" i="18"/>
  <c r="S52" i="15" l="1"/>
  <c r="J11" i="7"/>
  <c r="J12" i="7"/>
  <c r="J13" i="7"/>
  <c r="J11" i="11"/>
  <c r="J12" i="11"/>
  <c r="J13" i="11"/>
  <c r="J11" i="12"/>
  <c r="J12" i="12"/>
  <c r="J13" i="12"/>
  <c r="J11" i="13"/>
  <c r="J12" i="13"/>
  <c r="J13" i="13"/>
  <c r="J11" i="14"/>
  <c r="J12" i="14"/>
  <c r="J13" i="14"/>
  <c r="J11" i="15"/>
  <c r="J12" i="15"/>
  <c r="J13" i="15"/>
  <c r="J11" i="16"/>
  <c r="J12" i="16"/>
  <c r="J13" i="16"/>
  <c r="J11" i="17"/>
  <c r="J12" i="17"/>
  <c r="J13" i="17"/>
  <c r="I13" i="18"/>
  <c r="H13" i="18"/>
  <c r="G13" i="18"/>
  <c r="F13" i="18"/>
  <c r="E13" i="18"/>
  <c r="D13" i="18"/>
  <c r="C13" i="18"/>
  <c r="B13" i="18"/>
  <c r="I12" i="18"/>
  <c r="H12" i="18"/>
  <c r="G12" i="18"/>
  <c r="F12" i="18"/>
  <c r="E12" i="18"/>
  <c r="D12" i="18"/>
  <c r="C12" i="18"/>
  <c r="B12" i="18"/>
  <c r="I11" i="18"/>
  <c r="H11" i="18"/>
  <c r="G11" i="18"/>
  <c r="F11" i="18"/>
  <c r="E11" i="18"/>
  <c r="D11" i="18"/>
  <c r="C11" i="18"/>
  <c r="B11" i="18"/>
  <c r="T13" i="18"/>
  <c r="S13" i="18"/>
  <c r="R13" i="18"/>
  <c r="Q13" i="18"/>
  <c r="P13" i="18"/>
  <c r="O13" i="18"/>
  <c r="N13" i="18"/>
  <c r="M13" i="18"/>
  <c r="T12" i="18"/>
  <c r="S12" i="18"/>
  <c r="R12" i="18"/>
  <c r="Q12" i="18"/>
  <c r="P12" i="18"/>
  <c r="O12" i="18"/>
  <c r="N12" i="18"/>
  <c r="M12" i="18"/>
  <c r="U11" i="7"/>
  <c r="U12" i="7"/>
  <c r="U13" i="7"/>
  <c r="U11" i="11"/>
  <c r="U12" i="11"/>
  <c r="U13" i="11"/>
  <c r="U11" i="12"/>
  <c r="U12" i="12"/>
  <c r="U13" i="12"/>
  <c r="U11" i="13"/>
  <c r="U12" i="13"/>
  <c r="U13" i="13"/>
  <c r="U11" i="14"/>
  <c r="U12" i="14"/>
  <c r="U13" i="14"/>
  <c r="U11" i="15"/>
  <c r="U12" i="15"/>
  <c r="U13" i="15"/>
  <c r="U11" i="16"/>
  <c r="U12" i="16"/>
  <c r="U13" i="16"/>
  <c r="U11" i="17"/>
  <c r="U12" i="17"/>
  <c r="U13" i="17"/>
  <c r="O11" i="18"/>
  <c r="P11" i="18"/>
  <c r="Q11" i="18"/>
  <c r="R11" i="18"/>
  <c r="S11" i="18"/>
  <c r="T11" i="18"/>
  <c r="N11" i="18"/>
  <c r="M11" i="18"/>
  <c r="T16" i="18"/>
  <c r="S16" i="18"/>
  <c r="R16" i="18"/>
  <c r="Q16" i="18"/>
  <c r="P16" i="18"/>
  <c r="O16" i="18"/>
  <c r="N16" i="18"/>
  <c r="M16" i="18"/>
  <c r="T14" i="18"/>
  <c r="S14" i="18"/>
  <c r="R14" i="18"/>
  <c r="Q14" i="18"/>
  <c r="P14" i="18"/>
  <c r="O14" i="18"/>
  <c r="N14" i="18"/>
  <c r="M14" i="18"/>
  <c r="T10" i="18"/>
  <c r="S10" i="18"/>
  <c r="R10" i="18"/>
  <c r="Q10" i="18"/>
  <c r="P10" i="18"/>
  <c r="O10" i="18"/>
  <c r="N10" i="18"/>
  <c r="M10" i="18"/>
  <c r="T9" i="18"/>
  <c r="S9" i="18"/>
  <c r="R9" i="18"/>
  <c r="Q9" i="18"/>
  <c r="P9" i="18"/>
  <c r="O9" i="18"/>
  <c r="N9" i="18"/>
  <c r="M9" i="18"/>
  <c r="T8" i="18"/>
  <c r="S8" i="18"/>
  <c r="R8" i="18"/>
  <c r="Q8" i="18"/>
  <c r="P8" i="18"/>
  <c r="O8" i="18"/>
  <c r="N8" i="18"/>
  <c r="M8" i="18"/>
  <c r="T7" i="18"/>
  <c r="S7" i="18"/>
  <c r="R7" i="18"/>
  <c r="Q7" i="18"/>
  <c r="P7" i="18"/>
  <c r="O7" i="18"/>
  <c r="N7" i="18"/>
  <c r="M7" i="18"/>
  <c r="T6" i="18"/>
  <c r="S6" i="18"/>
  <c r="R6" i="18"/>
  <c r="Q6" i="18"/>
  <c r="P6" i="18"/>
  <c r="O6" i="18"/>
  <c r="N6" i="18"/>
  <c r="M6" i="18"/>
  <c r="T5" i="18"/>
  <c r="S5" i="18"/>
  <c r="R5" i="18"/>
  <c r="Q5" i="18"/>
  <c r="P5" i="18"/>
  <c r="O5" i="18"/>
  <c r="N5" i="18"/>
  <c r="M5" i="18"/>
  <c r="I16" i="18"/>
  <c r="H16" i="18"/>
  <c r="G16" i="18"/>
  <c r="F16" i="18"/>
  <c r="E16" i="18"/>
  <c r="D16" i="18"/>
  <c r="C16" i="18"/>
  <c r="B16" i="18"/>
  <c r="I14" i="18"/>
  <c r="H14" i="18"/>
  <c r="G14" i="18"/>
  <c r="F14" i="18"/>
  <c r="E14" i="18"/>
  <c r="D14" i="18"/>
  <c r="C14" i="18"/>
  <c r="I10" i="18"/>
  <c r="H10" i="18"/>
  <c r="G10" i="18"/>
  <c r="F10" i="18"/>
  <c r="E10" i="18"/>
  <c r="D10" i="18"/>
  <c r="C10" i="18"/>
  <c r="B10" i="18"/>
  <c r="I9" i="18"/>
  <c r="H9" i="18"/>
  <c r="G9" i="18"/>
  <c r="F9" i="18"/>
  <c r="E9" i="18"/>
  <c r="D9" i="18"/>
  <c r="C9" i="18"/>
  <c r="B9" i="18"/>
  <c r="I8" i="18"/>
  <c r="H8" i="18"/>
  <c r="G8" i="18"/>
  <c r="F8" i="18"/>
  <c r="E8" i="18"/>
  <c r="D8" i="18"/>
  <c r="C8" i="18"/>
  <c r="B8" i="18"/>
  <c r="I7" i="18"/>
  <c r="H7" i="18"/>
  <c r="G7" i="18"/>
  <c r="F7" i="18"/>
  <c r="E7" i="18"/>
  <c r="D7" i="18"/>
  <c r="C7" i="18"/>
  <c r="B7" i="18"/>
  <c r="I6" i="18"/>
  <c r="H6" i="18"/>
  <c r="G6" i="18"/>
  <c r="F6" i="18"/>
  <c r="E6" i="18"/>
  <c r="D6" i="18"/>
  <c r="C6" i="18"/>
  <c r="I5" i="18"/>
  <c r="H5" i="18"/>
  <c r="G5" i="18"/>
  <c r="F5" i="18"/>
  <c r="E5" i="18"/>
  <c r="D5" i="18"/>
  <c r="C5" i="18"/>
  <c r="B5" i="18"/>
  <c r="T17" i="17"/>
  <c r="S17" i="17"/>
  <c r="R17" i="17"/>
  <c r="Q17" i="17"/>
  <c r="P17" i="17"/>
  <c r="O17" i="17"/>
  <c r="N17" i="17"/>
  <c r="M17" i="17"/>
  <c r="I17" i="17"/>
  <c r="H17" i="17"/>
  <c r="G17" i="17"/>
  <c r="F17" i="17"/>
  <c r="E17" i="17"/>
  <c r="D17" i="17"/>
  <c r="C17" i="17"/>
  <c r="B17" i="17"/>
  <c r="U16" i="17"/>
  <c r="J16" i="17"/>
  <c r="U14" i="17"/>
  <c r="J14" i="17"/>
  <c r="U10" i="17"/>
  <c r="J10" i="17"/>
  <c r="U9" i="17"/>
  <c r="J9" i="17"/>
  <c r="U8" i="17"/>
  <c r="J8" i="17"/>
  <c r="U7" i="17"/>
  <c r="J7" i="17"/>
  <c r="U6" i="17"/>
  <c r="J6" i="17"/>
  <c r="U5" i="17"/>
  <c r="J5" i="17"/>
  <c r="T17" i="16"/>
  <c r="S17" i="16"/>
  <c r="R17" i="16"/>
  <c r="Q17" i="16"/>
  <c r="P17" i="16"/>
  <c r="O17" i="16"/>
  <c r="N17" i="16"/>
  <c r="M17" i="16"/>
  <c r="I17" i="16"/>
  <c r="H17" i="16"/>
  <c r="G17" i="16"/>
  <c r="F17" i="16"/>
  <c r="E17" i="16"/>
  <c r="D17" i="16"/>
  <c r="C17" i="16"/>
  <c r="B17" i="16"/>
  <c r="U14" i="16"/>
  <c r="J14" i="16"/>
  <c r="U10" i="16"/>
  <c r="J10" i="16"/>
  <c r="U9" i="16"/>
  <c r="J9" i="16"/>
  <c r="U8" i="16"/>
  <c r="J8" i="16"/>
  <c r="U7" i="16"/>
  <c r="J7" i="16"/>
  <c r="U6" i="16"/>
  <c r="J6" i="16"/>
  <c r="U5" i="16"/>
  <c r="J5" i="16"/>
  <c r="T31" i="15"/>
  <c r="S30" i="15"/>
  <c r="R31" i="15"/>
  <c r="Q31" i="15"/>
  <c r="P31" i="15"/>
  <c r="O31" i="15"/>
  <c r="N31" i="15"/>
  <c r="M31" i="15"/>
  <c r="I31" i="15"/>
  <c r="H31" i="15"/>
  <c r="G31" i="15"/>
  <c r="F31" i="15"/>
  <c r="E31" i="15"/>
  <c r="D31" i="15"/>
  <c r="C31" i="15"/>
  <c r="B30" i="15"/>
  <c r="U14" i="15"/>
  <c r="J14" i="15"/>
  <c r="U10" i="15"/>
  <c r="J10" i="15"/>
  <c r="U9" i="15"/>
  <c r="J9" i="15"/>
  <c r="U8" i="15"/>
  <c r="J8" i="15"/>
  <c r="U7" i="15"/>
  <c r="J7" i="15"/>
  <c r="U6" i="15"/>
  <c r="J6" i="15"/>
  <c r="U5" i="15"/>
  <c r="J5" i="15"/>
  <c r="T17" i="14"/>
  <c r="S17" i="14"/>
  <c r="R17" i="14"/>
  <c r="Q17" i="14"/>
  <c r="P17" i="14"/>
  <c r="O17" i="14"/>
  <c r="N17" i="14"/>
  <c r="M17" i="14"/>
  <c r="I17" i="14"/>
  <c r="H17" i="14"/>
  <c r="G17" i="14"/>
  <c r="F17" i="14"/>
  <c r="E17" i="14"/>
  <c r="D17" i="14"/>
  <c r="C17" i="14"/>
  <c r="B17" i="14"/>
  <c r="U14" i="14"/>
  <c r="J14" i="14"/>
  <c r="U10" i="14"/>
  <c r="J10" i="14"/>
  <c r="U9" i="14"/>
  <c r="J9" i="14"/>
  <c r="U8" i="14"/>
  <c r="J8" i="14"/>
  <c r="U7" i="14"/>
  <c r="J7" i="14"/>
  <c r="U6" i="14"/>
  <c r="J6" i="14"/>
  <c r="U5" i="14"/>
  <c r="J5" i="14"/>
  <c r="T17" i="13"/>
  <c r="S17" i="13"/>
  <c r="R17" i="13"/>
  <c r="Q17" i="13"/>
  <c r="P17" i="13"/>
  <c r="O17" i="13"/>
  <c r="N17" i="13"/>
  <c r="M17" i="13"/>
  <c r="I17" i="13"/>
  <c r="H17" i="13"/>
  <c r="G17" i="13"/>
  <c r="F17" i="13"/>
  <c r="E17" i="13"/>
  <c r="D17" i="13"/>
  <c r="C17" i="13"/>
  <c r="B17" i="13"/>
  <c r="U14" i="13"/>
  <c r="J14" i="13"/>
  <c r="U10" i="13"/>
  <c r="J10" i="13"/>
  <c r="U9" i="13"/>
  <c r="J9" i="13"/>
  <c r="U8" i="13"/>
  <c r="J8" i="13"/>
  <c r="U7" i="13"/>
  <c r="J7" i="13"/>
  <c r="U6" i="13"/>
  <c r="J6" i="13"/>
  <c r="U5" i="13"/>
  <c r="J5" i="13"/>
  <c r="T17" i="12"/>
  <c r="S17" i="12"/>
  <c r="R17" i="12"/>
  <c r="Q17" i="12"/>
  <c r="P17" i="12"/>
  <c r="O17" i="12"/>
  <c r="N17" i="12"/>
  <c r="M17" i="12"/>
  <c r="I17" i="12"/>
  <c r="H17" i="12"/>
  <c r="G17" i="12"/>
  <c r="F17" i="12"/>
  <c r="E17" i="12"/>
  <c r="D17" i="12"/>
  <c r="C17" i="12"/>
  <c r="B17" i="12"/>
  <c r="U14" i="12"/>
  <c r="J14" i="12"/>
  <c r="U10" i="12"/>
  <c r="J10" i="12"/>
  <c r="U9" i="12"/>
  <c r="J9" i="12"/>
  <c r="U8" i="12"/>
  <c r="J8" i="12"/>
  <c r="U7" i="12"/>
  <c r="J7" i="12"/>
  <c r="U6" i="12"/>
  <c r="J6" i="12"/>
  <c r="U5" i="12"/>
  <c r="J5" i="12"/>
  <c r="T17" i="11"/>
  <c r="S17" i="11"/>
  <c r="R17" i="11"/>
  <c r="Q17" i="11"/>
  <c r="P17" i="11"/>
  <c r="O17" i="11"/>
  <c r="N17" i="11"/>
  <c r="M17" i="11"/>
  <c r="I17" i="11"/>
  <c r="H17" i="11"/>
  <c r="G17" i="11"/>
  <c r="F17" i="11"/>
  <c r="E17" i="11"/>
  <c r="D17" i="11"/>
  <c r="C17" i="11"/>
  <c r="B17" i="11"/>
  <c r="U14" i="11"/>
  <c r="J14" i="11"/>
  <c r="U10" i="11"/>
  <c r="J10" i="11"/>
  <c r="U9" i="11"/>
  <c r="J9" i="11"/>
  <c r="U8" i="11"/>
  <c r="J8" i="11"/>
  <c r="U7" i="11"/>
  <c r="J7" i="11"/>
  <c r="U6" i="11"/>
  <c r="J6" i="11"/>
  <c r="U5" i="11"/>
  <c r="J5" i="11"/>
  <c r="R17" i="7"/>
  <c r="U8" i="7"/>
  <c r="U7" i="7"/>
  <c r="J8" i="7"/>
  <c r="J7" i="7"/>
  <c r="G17" i="7"/>
  <c r="J14" i="7"/>
  <c r="J10" i="7"/>
  <c r="J9" i="7"/>
  <c r="J6" i="7"/>
  <c r="J5" i="7"/>
  <c r="U14" i="7"/>
  <c r="U10" i="7"/>
  <c r="U9" i="7"/>
  <c r="U6" i="7"/>
  <c r="U5" i="7"/>
  <c r="T17" i="7"/>
  <c r="S17" i="7"/>
  <c r="Q17" i="7"/>
  <c r="P17" i="7"/>
  <c r="O17" i="7"/>
  <c r="N17" i="7"/>
  <c r="M17" i="7"/>
  <c r="I17" i="7"/>
  <c r="H17" i="7"/>
  <c r="F17" i="7"/>
  <c r="E17" i="7"/>
  <c r="D17" i="7"/>
  <c r="C17" i="7"/>
  <c r="B17" i="7"/>
  <c r="G35" i="11" l="1"/>
  <c r="G33" i="11"/>
  <c r="G34" i="11"/>
  <c r="G35" i="7"/>
  <c r="G33" i="7"/>
  <c r="G34" i="7"/>
  <c r="C31" i="13"/>
  <c r="C33" i="13"/>
  <c r="C34" i="13"/>
  <c r="B30" i="12"/>
  <c r="B34" i="12"/>
  <c r="B33" i="12"/>
  <c r="H31" i="12"/>
  <c r="H34" i="12"/>
  <c r="H33" i="12"/>
  <c r="E31" i="13"/>
  <c r="E33" i="13"/>
  <c r="E34" i="13"/>
  <c r="C31" i="14"/>
  <c r="C33" i="14"/>
  <c r="C34" i="14"/>
  <c r="M31" i="12"/>
  <c r="M34" i="12"/>
  <c r="M52" i="12" s="1"/>
  <c r="M33" i="12"/>
  <c r="M51" i="12" s="1"/>
  <c r="B30" i="14"/>
  <c r="B33" i="14"/>
  <c r="B34" i="14"/>
  <c r="I31" i="12"/>
  <c r="T49" i="12" s="1"/>
  <c r="I34" i="12"/>
  <c r="I33" i="12"/>
  <c r="N31" i="12"/>
  <c r="N33" i="12"/>
  <c r="N34" i="12"/>
  <c r="B30" i="7"/>
  <c r="B33" i="7"/>
  <c r="B34" i="7"/>
  <c r="F31" i="16"/>
  <c r="F33" i="16"/>
  <c r="F34" i="16"/>
  <c r="B30" i="17"/>
  <c r="B34" i="17"/>
  <c r="B33" i="17"/>
  <c r="E31" i="14"/>
  <c r="E33" i="14"/>
  <c r="E34" i="14"/>
  <c r="F31" i="11"/>
  <c r="F33" i="11"/>
  <c r="F34" i="11"/>
  <c r="F31" i="12"/>
  <c r="F34" i="12"/>
  <c r="F33" i="12"/>
  <c r="F31" i="14"/>
  <c r="F33" i="14"/>
  <c r="F34" i="14"/>
  <c r="M31" i="13"/>
  <c r="M34" i="13"/>
  <c r="M33" i="13"/>
  <c r="R35" i="7"/>
  <c r="R34" i="7"/>
  <c r="R52" i="7" s="1"/>
  <c r="R33" i="7"/>
  <c r="R51" i="7" s="1"/>
  <c r="D33" i="7"/>
  <c r="D34" i="7"/>
  <c r="O30" i="14"/>
  <c r="O33" i="14"/>
  <c r="O34" i="14"/>
  <c r="H31" i="16"/>
  <c r="H33" i="16"/>
  <c r="H34" i="16"/>
  <c r="D31" i="17"/>
  <c r="D33" i="17"/>
  <c r="D34" i="17"/>
  <c r="D31" i="16"/>
  <c r="D33" i="16"/>
  <c r="D34" i="16"/>
  <c r="O31" i="13"/>
  <c r="O34" i="13"/>
  <c r="O33" i="13"/>
  <c r="S31" i="12"/>
  <c r="S33" i="12"/>
  <c r="S51" i="12" s="1"/>
  <c r="S34" i="12"/>
  <c r="S52" i="12" s="1"/>
  <c r="S30" i="13"/>
  <c r="S34" i="13"/>
  <c r="S52" i="13" s="1"/>
  <c r="S33" i="13"/>
  <c r="S51" i="13" s="1"/>
  <c r="Q31" i="14"/>
  <c r="Q33" i="14"/>
  <c r="Q34" i="14"/>
  <c r="M31" i="16"/>
  <c r="M34" i="16"/>
  <c r="M33" i="16"/>
  <c r="F31" i="17"/>
  <c r="F34" i="17"/>
  <c r="F33" i="17"/>
  <c r="B30" i="16"/>
  <c r="B34" i="16"/>
  <c r="B33" i="16"/>
  <c r="C31" i="17"/>
  <c r="C34" i="17"/>
  <c r="C33" i="17"/>
  <c r="M31" i="7"/>
  <c r="M33" i="7"/>
  <c r="M51" i="7" s="1"/>
  <c r="M34" i="7"/>
  <c r="M52" i="7" s="1"/>
  <c r="T31" i="13"/>
  <c r="T34" i="13"/>
  <c r="T33" i="13"/>
  <c r="R31" i="14"/>
  <c r="R33" i="14"/>
  <c r="R34" i="14"/>
  <c r="N31" i="16"/>
  <c r="N49" i="16" s="1"/>
  <c r="N34" i="16"/>
  <c r="N33" i="16"/>
  <c r="N51" i="16" s="1"/>
  <c r="G31" i="17"/>
  <c r="R49" i="17" s="1"/>
  <c r="G33" i="17"/>
  <c r="G34" i="17"/>
  <c r="D33" i="11"/>
  <c r="D34" i="11"/>
  <c r="E32" i="11"/>
  <c r="E33" i="11"/>
  <c r="E34" i="11"/>
  <c r="D31" i="14"/>
  <c r="D33" i="14"/>
  <c r="D34" i="14"/>
  <c r="H31" i="14"/>
  <c r="H33" i="14"/>
  <c r="H34" i="14"/>
  <c r="S33" i="11"/>
  <c r="S34" i="11"/>
  <c r="I31" i="16"/>
  <c r="I34" i="16"/>
  <c r="I33" i="16"/>
  <c r="S31" i="14"/>
  <c r="S33" i="14"/>
  <c r="S51" i="14" s="1"/>
  <c r="S34" i="14"/>
  <c r="S52" i="14" s="1"/>
  <c r="O30" i="16"/>
  <c r="O34" i="16"/>
  <c r="O52" i="16" s="1"/>
  <c r="O33" i="16"/>
  <c r="O51" i="16" s="1"/>
  <c r="H31" i="17"/>
  <c r="H34" i="17"/>
  <c r="H33" i="17"/>
  <c r="N35" i="11"/>
  <c r="N33" i="11"/>
  <c r="N34" i="11"/>
  <c r="P32" i="11"/>
  <c r="P33" i="11"/>
  <c r="P34" i="11"/>
  <c r="P52" i="11" s="1"/>
  <c r="N31" i="13"/>
  <c r="N34" i="13"/>
  <c r="N52" i="13" s="1"/>
  <c r="N33" i="13"/>
  <c r="N51" i="13" s="1"/>
  <c r="P31" i="13"/>
  <c r="P34" i="13"/>
  <c r="P33" i="13"/>
  <c r="O33" i="7"/>
  <c r="O51" i="7" s="1"/>
  <c r="O34" i="7"/>
  <c r="O52" i="7" s="1"/>
  <c r="T31" i="14"/>
  <c r="T34" i="14"/>
  <c r="T33" i="14"/>
  <c r="P31" i="16"/>
  <c r="P34" i="16"/>
  <c r="P33" i="16"/>
  <c r="I31" i="17"/>
  <c r="I33" i="17"/>
  <c r="I34" i="17"/>
  <c r="I32" i="11"/>
  <c r="I33" i="11"/>
  <c r="I34" i="11"/>
  <c r="M31" i="14"/>
  <c r="M33" i="14"/>
  <c r="M51" i="14" s="1"/>
  <c r="M34" i="14"/>
  <c r="M52" i="14" s="1"/>
  <c r="Q31" i="16"/>
  <c r="Q49" i="16" s="1"/>
  <c r="Q33" i="16"/>
  <c r="Q51" i="16" s="1"/>
  <c r="Q34" i="16"/>
  <c r="M31" i="17"/>
  <c r="M33" i="17"/>
  <c r="M31" i="11"/>
  <c r="M33" i="11"/>
  <c r="M34" i="11"/>
  <c r="O33" i="11"/>
  <c r="O51" i="11" s="1"/>
  <c r="O34" i="11"/>
  <c r="O52" i="11" s="1"/>
  <c r="I31" i="14"/>
  <c r="I33" i="14"/>
  <c r="I34" i="14"/>
  <c r="E31" i="17"/>
  <c r="E34" i="17"/>
  <c r="E33" i="17"/>
  <c r="R31" i="16"/>
  <c r="R33" i="16"/>
  <c r="R34" i="16"/>
  <c r="N31" i="17"/>
  <c r="N49" i="17" s="1"/>
  <c r="N33" i="17"/>
  <c r="N51" i="17" s="1"/>
  <c r="G31" i="12"/>
  <c r="G34" i="12"/>
  <c r="G33" i="12"/>
  <c r="Q31" i="11"/>
  <c r="Q49" i="11" s="1"/>
  <c r="Q33" i="11"/>
  <c r="Q51" i="11" s="1"/>
  <c r="Q34" i="11"/>
  <c r="Q52" i="11" s="1"/>
  <c r="N31" i="14"/>
  <c r="N49" i="14" s="1"/>
  <c r="N33" i="14"/>
  <c r="N34" i="14"/>
  <c r="S31" i="16"/>
  <c r="S33" i="16"/>
  <c r="S34" i="16"/>
  <c r="O31" i="17"/>
  <c r="O33" i="17"/>
  <c r="C31" i="12"/>
  <c r="C34" i="12"/>
  <c r="C33" i="12"/>
  <c r="D31" i="13"/>
  <c r="D33" i="13"/>
  <c r="D34" i="13"/>
  <c r="E31" i="16"/>
  <c r="E33" i="16"/>
  <c r="E34" i="16"/>
  <c r="T32" i="11"/>
  <c r="T33" i="11"/>
  <c r="T34" i="11"/>
  <c r="T31" i="12"/>
  <c r="T33" i="12"/>
  <c r="T51" i="12" s="1"/>
  <c r="T34" i="12"/>
  <c r="T52" i="12" s="1"/>
  <c r="T31" i="16"/>
  <c r="T33" i="16"/>
  <c r="T51" i="16" s="1"/>
  <c r="T34" i="16"/>
  <c r="T52" i="16" s="1"/>
  <c r="P31" i="17"/>
  <c r="P33" i="17"/>
  <c r="P51" i="17" s="1"/>
  <c r="G31" i="13"/>
  <c r="G33" i="13"/>
  <c r="G34" i="13"/>
  <c r="I31" i="13"/>
  <c r="I33" i="13"/>
  <c r="I34" i="13"/>
  <c r="R35" i="11"/>
  <c r="R33" i="11"/>
  <c r="R51" i="11" s="1"/>
  <c r="R34" i="11"/>
  <c r="R52" i="11" s="1"/>
  <c r="E32" i="7"/>
  <c r="E33" i="7"/>
  <c r="E34" i="7"/>
  <c r="P31" i="14"/>
  <c r="P33" i="14"/>
  <c r="P51" i="14" s="1"/>
  <c r="P34" i="14"/>
  <c r="P52" i="14" s="1"/>
  <c r="Q31" i="7"/>
  <c r="Q34" i="7"/>
  <c r="Q33" i="7"/>
  <c r="Q31" i="17"/>
  <c r="Q49" i="17" s="1"/>
  <c r="Q33" i="17"/>
  <c r="Q51" i="17" s="1"/>
  <c r="B30" i="13"/>
  <c r="B33" i="13"/>
  <c r="B34" i="13"/>
  <c r="F31" i="13"/>
  <c r="Q49" i="13" s="1"/>
  <c r="F33" i="13"/>
  <c r="F34" i="13"/>
  <c r="G31" i="14"/>
  <c r="G33" i="14"/>
  <c r="G34" i="14"/>
  <c r="Q31" i="12"/>
  <c r="Q49" i="12" s="1"/>
  <c r="Q33" i="12"/>
  <c r="Q34" i="12"/>
  <c r="Q31" i="13"/>
  <c r="Q34" i="13"/>
  <c r="Q33" i="13"/>
  <c r="T32" i="7"/>
  <c r="T34" i="7"/>
  <c r="T33" i="7"/>
  <c r="R31" i="17"/>
  <c r="R33" i="17"/>
  <c r="D31" i="12"/>
  <c r="D34" i="12"/>
  <c r="D33" i="12"/>
  <c r="H33" i="11"/>
  <c r="H34" i="11"/>
  <c r="H31" i="13"/>
  <c r="H33" i="13"/>
  <c r="H34" i="13"/>
  <c r="O30" i="12"/>
  <c r="O33" i="12"/>
  <c r="O51" i="12" s="1"/>
  <c r="O34" i="12"/>
  <c r="O52" i="12" s="1"/>
  <c r="C35" i="7"/>
  <c r="C33" i="7"/>
  <c r="C34" i="7"/>
  <c r="G31" i="16"/>
  <c r="R49" i="16" s="1"/>
  <c r="G33" i="16"/>
  <c r="G34" i="16"/>
  <c r="F31" i="7"/>
  <c r="F33" i="7"/>
  <c r="F34" i="7"/>
  <c r="H33" i="7"/>
  <c r="H34" i="7"/>
  <c r="N35" i="7"/>
  <c r="N33" i="7"/>
  <c r="N34" i="7"/>
  <c r="P32" i="7"/>
  <c r="P34" i="7"/>
  <c r="P52" i="7" s="1"/>
  <c r="P33" i="7"/>
  <c r="P51" i="7" s="1"/>
  <c r="S34" i="7"/>
  <c r="S33" i="7"/>
  <c r="S30" i="17"/>
  <c r="S33" i="17"/>
  <c r="E31" i="12"/>
  <c r="E34" i="12"/>
  <c r="E33" i="12"/>
  <c r="C31" i="16"/>
  <c r="C33" i="16"/>
  <c r="C34" i="16"/>
  <c r="P31" i="12"/>
  <c r="P33" i="12"/>
  <c r="P51" i="12" s="1"/>
  <c r="P34" i="12"/>
  <c r="P52" i="12" s="1"/>
  <c r="R31" i="12"/>
  <c r="R49" i="12" s="1"/>
  <c r="R33" i="12"/>
  <c r="R34" i="12"/>
  <c r="R52" i="12" s="1"/>
  <c r="R31" i="13"/>
  <c r="R34" i="13"/>
  <c r="R52" i="13" s="1"/>
  <c r="R33" i="13"/>
  <c r="I32" i="7"/>
  <c r="I33" i="7"/>
  <c r="I34" i="7"/>
  <c r="B30" i="11"/>
  <c r="B34" i="11"/>
  <c r="B33" i="11"/>
  <c r="C35" i="11"/>
  <c r="C34" i="11"/>
  <c r="C33" i="11"/>
  <c r="T31" i="17"/>
  <c r="T49" i="17" s="1"/>
  <c r="T33" i="17"/>
  <c r="U17" i="15"/>
  <c r="J17" i="15"/>
  <c r="I17" i="18"/>
  <c r="R17" i="18"/>
  <c r="U13" i="18"/>
  <c r="N17" i="18"/>
  <c r="F17" i="18"/>
  <c r="M17" i="18"/>
  <c r="E17" i="18"/>
  <c r="B17" i="18"/>
  <c r="O30" i="17"/>
  <c r="O29" i="14"/>
  <c r="O31" i="12"/>
  <c r="O49" i="12" s="1"/>
  <c r="O30" i="15"/>
  <c r="O29" i="12"/>
  <c r="O31" i="16"/>
  <c r="O49" i="16" s="1"/>
  <c r="O30" i="13"/>
  <c r="O29" i="7"/>
  <c r="O29" i="16"/>
  <c r="O31" i="14"/>
  <c r="O49" i="14" s="1"/>
  <c r="O30" i="11"/>
  <c r="C17" i="18"/>
  <c r="G17" i="18"/>
  <c r="S29" i="17"/>
  <c r="S31" i="17"/>
  <c r="S30" i="16"/>
  <c r="S29" i="15"/>
  <c r="S31" i="15"/>
  <c r="S49" i="15" s="1"/>
  <c r="S30" i="14"/>
  <c r="S29" i="13"/>
  <c r="S31" i="13"/>
  <c r="S49" i="13" s="1"/>
  <c r="S30" i="12"/>
  <c r="S29" i="11"/>
  <c r="S31" i="11"/>
  <c r="J11" i="18"/>
  <c r="J12" i="18"/>
  <c r="J13" i="18"/>
  <c r="U11" i="18"/>
  <c r="O29" i="17"/>
  <c r="O29" i="15"/>
  <c r="O29" i="13"/>
  <c r="O29" i="11"/>
  <c r="O31" i="11"/>
  <c r="O31" i="7"/>
  <c r="S29" i="16"/>
  <c r="S29" i="14"/>
  <c r="S29" i="12"/>
  <c r="S30" i="11"/>
  <c r="O30" i="7"/>
  <c r="Q49" i="15"/>
  <c r="S49" i="16"/>
  <c r="S49" i="14"/>
  <c r="S49" i="12"/>
  <c r="P49" i="12"/>
  <c r="P49" i="13"/>
  <c r="T49" i="13"/>
  <c r="P49" i="14"/>
  <c r="T49" i="14"/>
  <c r="P49" i="15"/>
  <c r="T49" i="15"/>
  <c r="P49" i="16"/>
  <c r="T49" i="16"/>
  <c r="P49" i="17"/>
  <c r="N49" i="12"/>
  <c r="N49" i="13"/>
  <c r="N49" i="15"/>
  <c r="R49" i="15"/>
  <c r="O49" i="17"/>
  <c r="O49" i="15"/>
  <c r="O49" i="13"/>
  <c r="S17" i="18"/>
  <c r="S30" i="7"/>
  <c r="F29" i="17"/>
  <c r="B31" i="17"/>
  <c r="M49" i="17" s="1"/>
  <c r="F29" i="16"/>
  <c r="B31" i="16"/>
  <c r="M49" i="16" s="1"/>
  <c r="F29" i="15"/>
  <c r="B31" i="15"/>
  <c r="M49" i="15" s="1"/>
  <c r="F29" i="14"/>
  <c r="B31" i="14"/>
  <c r="M49" i="14" s="1"/>
  <c r="F29" i="13"/>
  <c r="B31" i="13"/>
  <c r="F29" i="12"/>
  <c r="B31" i="12"/>
  <c r="M49" i="12" s="1"/>
  <c r="F29" i="11"/>
  <c r="B31" i="11"/>
  <c r="M49" i="11" s="1"/>
  <c r="F29" i="7"/>
  <c r="B31" i="7"/>
  <c r="M49" i="7" s="1"/>
  <c r="M29" i="17"/>
  <c r="Q29" i="17"/>
  <c r="M30" i="17"/>
  <c r="M48" i="17" s="1"/>
  <c r="Q30" i="17"/>
  <c r="M29" i="16"/>
  <c r="Q29" i="16"/>
  <c r="M30" i="16"/>
  <c r="M48" i="16" s="1"/>
  <c r="Q30" i="16"/>
  <c r="M29" i="15"/>
  <c r="Q29" i="15"/>
  <c r="M30" i="15"/>
  <c r="M48" i="15" s="1"/>
  <c r="Q30" i="15"/>
  <c r="M29" i="14"/>
  <c r="Q29" i="14"/>
  <c r="M30" i="14"/>
  <c r="M48" i="14" s="1"/>
  <c r="Q30" i="14"/>
  <c r="M29" i="13"/>
  <c r="Q29" i="13"/>
  <c r="M30" i="13"/>
  <c r="M48" i="13" s="1"/>
  <c r="Q30" i="13"/>
  <c r="M29" i="12"/>
  <c r="Q29" i="12"/>
  <c r="M30" i="12"/>
  <c r="M48" i="12" s="1"/>
  <c r="Q30" i="12"/>
  <c r="M29" i="11"/>
  <c r="Q29" i="11"/>
  <c r="M30" i="11"/>
  <c r="M48" i="11" s="1"/>
  <c r="Q30" i="11"/>
  <c r="M29" i="7"/>
  <c r="Q29" i="7"/>
  <c r="M30" i="7"/>
  <c r="M48" i="7" s="1"/>
  <c r="Q30" i="7"/>
  <c r="D29" i="17"/>
  <c r="H29" i="17"/>
  <c r="D30" i="17"/>
  <c r="H30" i="17"/>
  <c r="S48" i="17" s="1"/>
  <c r="D29" i="16"/>
  <c r="H29" i="16"/>
  <c r="D30" i="16"/>
  <c r="O48" i="16" s="1"/>
  <c r="H30" i="16"/>
  <c r="D29" i="15"/>
  <c r="H29" i="15"/>
  <c r="D30" i="15"/>
  <c r="H30" i="15"/>
  <c r="S48" i="15" s="1"/>
  <c r="D29" i="14"/>
  <c r="H29" i="14"/>
  <c r="D30" i="14"/>
  <c r="O48" i="14" s="1"/>
  <c r="H30" i="14"/>
  <c r="D29" i="13"/>
  <c r="H29" i="13"/>
  <c r="D30" i="13"/>
  <c r="H30" i="13"/>
  <c r="D29" i="12"/>
  <c r="H29" i="12"/>
  <c r="D30" i="12"/>
  <c r="H30" i="12"/>
  <c r="D29" i="11"/>
  <c r="H29" i="11"/>
  <c r="D30" i="11"/>
  <c r="H30" i="11"/>
  <c r="D31" i="11"/>
  <c r="H31" i="11"/>
  <c r="D29" i="7"/>
  <c r="H29" i="7"/>
  <c r="D30" i="7"/>
  <c r="H30" i="7"/>
  <c r="D31" i="7"/>
  <c r="H31" i="7"/>
  <c r="S29" i="7"/>
  <c r="B29" i="17"/>
  <c r="F30" i="17"/>
  <c r="B29" i="16"/>
  <c r="F30" i="16"/>
  <c r="B29" i="15"/>
  <c r="F30" i="15"/>
  <c r="B29" i="14"/>
  <c r="F30" i="14"/>
  <c r="B29" i="13"/>
  <c r="F30" i="13"/>
  <c r="B29" i="12"/>
  <c r="F30" i="12"/>
  <c r="B29" i="11"/>
  <c r="F30" i="11"/>
  <c r="B29" i="7"/>
  <c r="F30" i="7"/>
  <c r="U12" i="18"/>
  <c r="P29" i="17"/>
  <c r="T29" i="17"/>
  <c r="P30" i="17"/>
  <c r="T30" i="17"/>
  <c r="P29" i="16"/>
  <c r="T29" i="16"/>
  <c r="P30" i="16"/>
  <c r="T30" i="16"/>
  <c r="P29" i="15"/>
  <c r="T29" i="15"/>
  <c r="P30" i="15"/>
  <c r="T30" i="15"/>
  <c r="P29" i="14"/>
  <c r="T29" i="14"/>
  <c r="P30" i="14"/>
  <c r="T30" i="14"/>
  <c r="P29" i="13"/>
  <c r="T29" i="13"/>
  <c r="P30" i="13"/>
  <c r="T30" i="13"/>
  <c r="P29" i="12"/>
  <c r="T29" i="12"/>
  <c r="P30" i="12"/>
  <c r="T30" i="12"/>
  <c r="P29" i="11"/>
  <c r="T29" i="11"/>
  <c r="P30" i="11"/>
  <c r="T30" i="11"/>
  <c r="P31" i="11"/>
  <c r="T31" i="11"/>
  <c r="P29" i="7"/>
  <c r="T29" i="7"/>
  <c r="P30" i="7"/>
  <c r="T30" i="7"/>
  <c r="P31" i="7"/>
  <c r="T31" i="7"/>
  <c r="C29" i="17"/>
  <c r="G29" i="17"/>
  <c r="C30" i="17"/>
  <c r="G30" i="17"/>
  <c r="C29" i="16"/>
  <c r="G29" i="16"/>
  <c r="C30" i="16"/>
  <c r="G30" i="16"/>
  <c r="C29" i="15"/>
  <c r="G29" i="15"/>
  <c r="C30" i="15"/>
  <c r="G30" i="15"/>
  <c r="C29" i="14"/>
  <c r="G29" i="14"/>
  <c r="C30" i="14"/>
  <c r="G30" i="14"/>
  <c r="C29" i="13"/>
  <c r="G29" i="13"/>
  <c r="C30" i="13"/>
  <c r="G30" i="13"/>
  <c r="C29" i="12"/>
  <c r="G29" i="12"/>
  <c r="C30" i="12"/>
  <c r="G30" i="12"/>
  <c r="C29" i="11"/>
  <c r="G29" i="11"/>
  <c r="C30" i="11"/>
  <c r="G30" i="11"/>
  <c r="C31" i="11"/>
  <c r="G31" i="11"/>
  <c r="C29" i="7"/>
  <c r="G29" i="7"/>
  <c r="C30" i="7"/>
  <c r="G30" i="7"/>
  <c r="C31" i="7"/>
  <c r="G31" i="7"/>
  <c r="S31" i="7"/>
  <c r="N29" i="17"/>
  <c r="R29" i="17"/>
  <c r="N30" i="17"/>
  <c r="R30" i="17"/>
  <c r="N29" i="16"/>
  <c r="R29" i="16"/>
  <c r="N30" i="16"/>
  <c r="R30" i="16"/>
  <c r="N29" i="15"/>
  <c r="R29" i="15"/>
  <c r="N30" i="15"/>
  <c r="R30" i="15"/>
  <c r="N29" i="14"/>
  <c r="R29" i="14"/>
  <c r="N30" i="14"/>
  <c r="R30" i="14"/>
  <c r="N29" i="13"/>
  <c r="R29" i="13"/>
  <c r="N30" i="13"/>
  <c r="R30" i="13"/>
  <c r="N29" i="12"/>
  <c r="R29" i="12"/>
  <c r="N30" i="12"/>
  <c r="R30" i="12"/>
  <c r="N29" i="11"/>
  <c r="R29" i="11"/>
  <c r="N30" i="11"/>
  <c r="R30" i="11"/>
  <c r="N31" i="11"/>
  <c r="R31" i="11"/>
  <c r="N29" i="7"/>
  <c r="R29" i="7"/>
  <c r="N30" i="7"/>
  <c r="R30" i="7"/>
  <c r="N31" i="7"/>
  <c r="R31" i="7"/>
  <c r="E29" i="17"/>
  <c r="I29" i="17"/>
  <c r="E30" i="17"/>
  <c r="I30" i="17"/>
  <c r="E29" i="16"/>
  <c r="I29" i="16"/>
  <c r="E30" i="16"/>
  <c r="I30" i="16"/>
  <c r="E29" i="15"/>
  <c r="I29" i="15"/>
  <c r="E30" i="15"/>
  <c r="I30" i="15"/>
  <c r="E29" i="14"/>
  <c r="I29" i="14"/>
  <c r="E30" i="14"/>
  <c r="I30" i="14"/>
  <c r="E29" i="13"/>
  <c r="I29" i="13"/>
  <c r="E30" i="13"/>
  <c r="I30" i="13"/>
  <c r="E29" i="12"/>
  <c r="I29" i="12"/>
  <c r="E30" i="12"/>
  <c r="I30" i="12"/>
  <c r="E29" i="11"/>
  <c r="I29" i="11"/>
  <c r="E30" i="11"/>
  <c r="I30" i="11"/>
  <c r="E31" i="11"/>
  <c r="I31" i="11"/>
  <c r="E29" i="7"/>
  <c r="I29" i="7"/>
  <c r="E30" i="7"/>
  <c r="I30" i="7"/>
  <c r="E31" i="7"/>
  <c r="I31" i="7"/>
  <c r="T17" i="18"/>
  <c r="Q17" i="18"/>
  <c r="O17" i="18"/>
  <c r="C32" i="12"/>
  <c r="C26" i="12"/>
  <c r="C24" i="12"/>
  <c r="C27" i="12"/>
  <c r="C35" i="12"/>
  <c r="C28" i="12"/>
  <c r="C25" i="12"/>
  <c r="C23" i="12"/>
  <c r="G32" i="12"/>
  <c r="G26" i="12"/>
  <c r="G24" i="12"/>
  <c r="G23" i="12"/>
  <c r="G27" i="12"/>
  <c r="G35" i="12"/>
  <c r="G28" i="12"/>
  <c r="G25" i="12"/>
  <c r="N32" i="12"/>
  <c r="N26" i="12"/>
  <c r="N24" i="12"/>
  <c r="N27" i="12"/>
  <c r="N35" i="12"/>
  <c r="N28" i="12"/>
  <c r="N25" i="12"/>
  <c r="N23" i="12"/>
  <c r="R32" i="12"/>
  <c r="R26" i="12"/>
  <c r="R24" i="12"/>
  <c r="R27" i="12"/>
  <c r="R35" i="12"/>
  <c r="R28" i="12"/>
  <c r="R25" i="12"/>
  <c r="R23" i="12"/>
  <c r="C35" i="13"/>
  <c r="C28" i="13"/>
  <c r="C26" i="13"/>
  <c r="C24" i="13"/>
  <c r="C32" i="13"/>
  <c r="C27" i="13"/>
  <c r="C25" i="13"/>
  <c r="C23" i="13"/>
  <c r="G35" i="13"/>
  <c r="G28" i="13"/>
  <c r="G32" i="13"/>
  <c r="G27" i="13"/>
  <c r="G26" i="13"/>
  <c r="G24" i="13"/>
  <c r="G25" i="13"/>
  <c r="G23" i="13"/>
  <c r="N35" i="13"/>
  <c r="N28" i="13"/>
  <c r="N25" i="13"/>
  <c r="N24" i="13"/>
  <c r="N23" i="13"/>
  <c r="N32" i="13"/>
  <c r="N27" i="13"/>
  <c r="N26" i="13"/>
  <c r="R35" i="13"/>
  <c r="R28" i="13"/>
  <c r="R25" i="13"/>
  <c r="R23" i="13"/>
  <c r="R32" i="13"/>
  <c r="R27" i="13"/>
  <c r="R26" i="13"/>
  <c r="R24" i="13"/>
  <c r="C35" i="14"/>
  <c r="C28" i="14"/>
  <c r="C25" i="14"/>
  <c r="C32" i="14"/>
  <c r="C26" i="14"/>
  <c r="C24" i="14"/>
  <c r="C23" i="14"/>
  <c r="C27" i="14"/>
  <c r="G35" i="14"/>
  <c r="G28" i="14"/>
  <c r="G25" i="14"/>
  <c r="G32" i="14"/>
  <c r="G26" i="14"/>
  <c r="G24" i="14"/>
  <c r="G27" i="14"/>
  <c r="G23" i="14"/>
  <c r="N35" i="14"/>
  <c r="N28" i="14"/>
  <c r="N25" i="14"/>
  <c r="N32" i="14"/>
  <c r="N26" i="14"/>
  <c r="N24" i="14"/>
  <c r="N27" i="14"/>
  <c r="N23" i="14"/>
  <c r="R35" i="14"/>
  <c r="R28" i="14"/>
  <c r="R25" i="14"/>
  <c r="R32" i="14"/>
  <c r="R26" i="14"/>
  <c r="R24" i="14"/>
  <c r="R23" i="14"/>
  <c r="R27" i="14"/>
  <c r="C35" i="15"/>
  <c r="C28" i="15"/>
  <c r="C25" i="15"/>
  <c r="C32" i="15"/>
  <c r="C26" i="15"/>
  <c r="C24" i="15"/>
  <c r="C23" i="15"/>
  <c r="C27" i="15"/>
  <c r="G35" i="15"/>
  <c r="G28" i="15"/>
  <c r="G25" i="15"/>
  <c r="G32" i="15"/>
  <c r="G26" i="15"/>
  <c r="G24" i="15"/>
  <c r="G27" i="15"/>
  <c r="G23" i="15"/>
  <c r="N25" i="15"/>
  <c r="N27" i="15"/>
  <c r="N24" i="15"/>
  <c r="N26" i="15"/>
  <c r="N28" i="15"/>
  <c r="N32" i="15"/>
  <c r="N23" i="15"/>
  <c r="N35" i="15"/>
  <c r="R25" i="15"/>
  <c r="R27" i="15"/>
  <c r="R24" i="15"/>
  <c r="R32" i="15"/>
  <c r="R23" i="15"/>
  <c r="R35" i="15"/>
  <c r="R26" i="15"/>
  <c r="R28" i="15"/>
  <c r="C35" i="16"/>
  <c r="C28" i="16"/>
  <c r="C25" i="16"/>
  <c r="C32" i="16"/>
  <c r="C26" i="16"/>
  <c r="C24" i="16"/>
  <c r="C23" i="16"/>
  <c r="C27" i="16"/>
  <c r="G35" i="16"/>
  <c r="G28" i="16"/>
  <c r="G25" i="16"/>
  <c r="G32" i="16"/>
  <c r="G26" i="16"/>
  <c r="G24" i="16"/>
  <c r="G27" i="16"/>
  <c r="G23" i="16"/>
  <c r="N35" i="16"/>
  <c r="N28" i="16"/>
  <c r="N25" i="16"/>
  <c r="N32" i="16"/>
  <c r="N26" i="16"/>
  <c r="N24" i="16"/>
  <c r="N27" i="16"/>
  <c r="N23" i="16"/>
  <c r="R35" i="16"/>
  <c r="R28" i="16"/>
  <c r="R25" i="16"/>
  <c r="R32" i="16"/>
  <c r="R26" i="16"/>
  <c r="R24" i="16"/>
  <c r="R23" i="16"/>
  <c r="R27" i="16"/>
  <c r="C35" i="17"/>
  <c r="C28" i="17"/>
  <c r="C25" i="17"/>
  <c r="C32" i="17"/>
  <c r="C26" i="17"/>
  <c r="C24" i="17"/>
  <c r="C23" i="17"/>
  <c r="C27" i="17"/>
  <c r="G35" i="17"/>
  <c r="G28" i="17"/>
  <c r="G25" i="17"/>
  <c r="G32" i="17"/>
  <c r="G26" i="17"/>
  <c r="G24" i="17"/>
  <c r="G27" i="17"/>
  <c r="G23" i="17"/>
  <c r="N35" i="17"/>
  <c r="N28" i="17"/>
  <c r="N25" i="17"/>
  <c r="N32" i="17"/>
  <c r="N26" i="17"/>
  <c r="N24" i="17"/>
  <c r="N27" i="17"/>
  <c r="N23" i="17"/>
  <c r="N34" i="17"/>
  <c r="R35" i="17"/>
  <c r="R28" i="17"/>
  <c r="R25" i="17"/>
  <c r="R32" i="17"/>
  <c r="R26" i="17"/>
  <c r="R24" i="17"/>
  <c r="R23" i="17"/>
  <c r="R34" i="17"/>
  <c r="R27" i="17"/>
  <c r="E23" i="7"/>
  <c r="I23" i="7"/>
  <c r="D24" i="7"/>
  <c r="H24" i="7"/>
  <c r="B25" i="7"/>
  <c r="F25" i="7"/>
  <c r="D26" i="7"/>
  <c r="H26" i="7"/>
  <c r="C27" i="7"/>
  <c r="G27" i="7"/>
  <c r="B28" i="7"/>
  <c r="F28" i="7"/>
  <c r="D32" i="7"/>
  <c r="H32" i="7"/>
  <c r="B35" i="7"/>
  <c r="F35" i="7"/>
  <c r="P23" i="7"/>
  <c r="T23" i="7"/>
  <c r="O24" i="7"/>
  <c r="S24" i="7"/>
  <c r="M25" i="7"/>
  <c r="Q25" i="7"/>
  <c r="O26" i="7"/>
  <c r="S26" i="7"/>
  <c r="N27" i="7"/>
  <c r="R27" i="7"/>
  <c r="M28" i="7"/>
  <c r="Q28" i="7"/>
  <c r="O32" i="7"/>
  <c r="S32" i="7"/>
  <c r="M35" i="7"/>
  <c r="Q35" i="7"/>
  <c r="E23" i="11"/>
  <c r="I23" i="11"/>
  <c r="D24" i="11"/>
  <c r="H24" i="11"/>
  <c r="B25" i="11"/>
  <c r="F25" i="11"/>
  <c r="D26" i="11"/>
  <c r="H26" i="11"/>
  <c r="C27" i="11"/>
  <c r="G27" i="11"/>
  <c r="B28" i="11"/>
  <c r="F28" i="11"/>
  <c r="D32" i="11"/>
  <c r="H32" i="11"/>
  <c r="B35" i="11"/>
  <c r="F35" i="11"/>
  <c r="P23" i="11"/>
  <c r="T23" i="11"/>
  <c r="O24" i="11"/>
  <c r="S24" i="11"/>
  <c r="M25" i="11"/>
  <c r="Q25" i="11"/>
  <c r="O26" i="11"/>
  <c r="S26" i="11"/>
  <c r="N27" i="11"/>
  <c r="R27" i="11"/>
  <c r="M28" i="11"/>
  <c r="Q28" i="11"/>
  <c r="O32" i="11"/>
  <c r="S32" i="11"/>
  <c r="M35" i="11"/>
  <c r="Q35" i="11"/>
  <c r="F27" i="12"/>
  <c r="F35" i="12"/>
  <c r="F28" i="12"/>
  <c r="F25" i="12"/>
  <c r="F24" i="12"/>
  <c r="F23" i="12"/>
  <c r="F26" i="12"/>
  <c r="F32" i="12"/>
  <c r="M27" i="12"/>
  <c r="M35" i="12"/>
  <c r="M28" i="12"/>
  <c r="M25" i="12"/>
  <c r="M23" i="12"/>
  <c r="M32" i="12"/>
  <c r="M26" i="12"/>
  <c r="M24" i="12"/>
  <c r="Q27" i="12"/>
  <c r="Q35" i="12"/>
  <c r="Q28" i="12"/>
  <c r="Q25" i="12"/>
  <c r="Q23" i="12"/>
  <c r="Q32" i="12"/>
  <c r="Q26" i="12"/>
  <c r="Q24" i="12"/>
  <c r="B32" i="13"/>
  <c r="B27" i="13"/>
  <c r="B25" i="13"/>
  <c r="B35" i="13"/>
  <c r="B23" i="13"/>
  <c r="B28" i="13"/>
  <c r="B26" i="13"/>
  <c r="B24" i="13"/>
  <c r="F35" i="13"/>
  <c r="F25" i="13"/>
  <c r="F28" i="13"/>
  <c r="F23" i="13"/>
  <c r="F32" i="13"/>
  <c r="F27" i="13"/>
  <c r="F26" i="13"/>
  <c r="F24" i="13"/>
  <c r="M23" i="13"/>
  <c r="M28" i="13"/>
  <c r="M32" i="13"/>
  <c r="M27" i="13"/>
  <c r="M25" i="13"/>
  <c r="M26" i="13"/>
  <c r="M35" i="13"/>
  <c r="M24" i="13"/>
  <c r="Q23" i="13"/>
  <c r="Q32" i="13"/>
  <c r="Q27" i="13"/>
  <c r="Q25" i="13"/>
  <c r="Q26" i="13"/>
  <c r="Q35" i="13"/>
  <c r="Q24" i="13"/>
  <c r="Q28" i="13"/>
  <c r="B23" i="14"/>
  <c r="B27" i="14"/>
  <c r="B32" i="14"/>
  <c r="B24" i="14"/>
  <c r="B35" i="14"/>
  <c r="B26" i="14"/>
  <c r="B25" i="14"/>
  <c r="B28" i="14"/>
  <c r="F23" i="14"/>
  <c r="F27" i="14"/>
  <c r="F26" i="14"/>
  <c r="F28" i="14"/>
  <c r="F25" i="14"/>
  <c r="F32" i="14"/>
  <c r="F35" i="14"/>
  <c r="F24" i="14"/>
  <c r="M23" i="14"/>
  <c r="M27" i="14"/>
  <c r="M26" i="14"/>
  <c r="M28" i="14"/>
  <c r="M32" i="14"/>
  <c r="M24" i="14"/>
  <c r="M35" i="14"/>
  <c r="M25" i="14"/>
  <c r="Q23" i="14"/>
  <c r="Q27" i="14"/>
  <c r="Q32" i="14"/>
  <c r="Q24" i="14"/>
  <c r="Q35" i="14"/>
  <c r="Q25" i="14"/>
  <c r="Q26" i="14"/>
  <c r="Q28" i="14"/>
  <c r="B23" i="15"/>
  <c r="B27" i="15"/>
  <c r="B32" i="15"/>
  <c r="B24" i="15"/>
  <c r="B35" i="15"/>
  <c r="B25" i="15"/>
  <c r="B26" i="15"/>
  <c r="B28" i="15"/>
  <c r="F23" i="15"/>
  <c r="F27" i="15"/>
  <c r="F26" i="15"/>
  <c r="F28" i="15"/>
  <c r="F32" i="15"/>
  <c r="F24" i="15"/>
  <c r="F35" i="15"/>
  <c r="F25" i="15"/>
  <c r="M32" i="15"/>
  <c r="M26" i="15"/>
  <c r="M23" i="15"/>
  <c r="M35" i="15"/>
  <c r="M28" i="15"/>
  <c r="M27" i="15"/>
  <c r="M24" i="15"/>
  <c r="M25" i="15"/>
  <c r="Q32" i="15"/>
  <c r="Q26" i="15"/>
  <c r="Q23" i="15"/>
  <c r="Q35" i="15"/>
  <c r="Q28" i="15"/>
  <c r="Q24" i="15"/>
  <c r="Q25" i="15"/>
  <c r="Q27" i="15"/>
  <c r="B23" i="16"/>
  <c r="B27" i="16"/>
  <c r="B32" i="16"/>
  <c r="B24" i="16"/>
  <c r="B35" i="16"/>
  <c r="B25" i="16"/>
  <c r="B26" i="16"/>
  <c r="B28" i="16"/>
  <c r="F23" i="16"/>
  <c r="F27" i="16"/>
  <c r="F26" i="16"/>
  <c r="F28" i="16"/>
  <c r="F32" i="16"/>
  <c r="F24" i="16"/>
  <c r="F35" i="16"/>
  <c r="F25" i="16"/>
  <c r="M23" i="16"/>
  <c r="M27" i="16"/>
  <c r="M26" i="16"/>
  <c r="M28" i="16"/>
  <c r="M32" i="16"/>
  <c r="M24" i="16"/>
  <c r="M35" i="16"/>
  <c r="M25" i="16"/>
  <c r="Q23" i="16"/>
  <c r="Q27" i="16"/>
  <c r="Q32" i="16"/>
  <c r="Q24" i="16"/>
  <c r="Q35" i="16"/>
  <c r="Q25" i="16"/>
  <c r="Q26" i="16"/>
  <c r="Q28" i="16"/>
  <c r="B23" i="17"/>
  <c r="B27" i="17"/>
  <c r="B32" i="17"/>
  <c r="B24" i="17"/>
  <c r="B35" i="17"/>
  <c r="B25" i="17"/>
  <c r="B26" i="17"/>
  <c r="B28" i="17"/>
  <c r="F23" i="17"/>
  <c r="F27" i="17"/>
  <c r="F26" i="17"/>
  <c r="F28" i="17"/>
  <c r="F32" i="17"/>
  <c r="F24" i="17"/>
  <c r="F35" i="17"/>
  <c r="F25" i="17"/>
  <c r="M23" i="17"/>
  <c r="M34" i="17"/>
  <c r="M27" i="17"/>
  <c r="M26" i="17"/>
  <c r="M28" i="17"/>
  <c r="M32" i="17"/>
  <c r="M24" i="17"/>
  <c r="M35" i="17"/>
  <c r="M25" i="17"/>
  <c r="Q23" i="17"/>
  <c r="Q34" i="17"/>
  <c r="Q27" i="17"/>
  <c r="Q32" i="17"/>
  <c r="Q24" i="17"/>
  <c r="Q35" i="17"/>
  <c r="Q25" i="17"/>
  <c r="Q26" i="17"/>
  <c r="Q28" i="17"/>
  <c r="D23" i="7"/>
  <c r="H23" i="7"/>
  <c r="C24" i="7"/>
  <c r="G24" i="7"/>
  <c r="E25" i="7"/>
  <c r="I25" i="7"/>
  <c r="C26" i="7"/>
  <c r="G26" i="7"/>
  <c r="B27" i="7"/>
  <c r="F27" i="7"/>
  <c r="E28" i="7"/>
  <c r="I28" i="7"/>
  <c r="C32" i="7"/>
  <c r="G32" i="7"/>
  <c r="E35" i="7"/>
  <c r="I35" i="7"/>
  <c r="O23" i="7"/>
  <c r="S23" i="7"/>
  <c r="N24" i="7"/>
  <c r="R24" i="7"/>
  <c r="P25" i="7"/>
  <c r="T25" i="7"/>
  <c r="N26" i="7"/>
  <c r="R26" i="7"/>
  <c r="M27" i="7"/>
  <c r="Q27" i="7"/>
  <c r="P28" i="7"/>
  <c r="T28" i="7"/>
  <c r="N32" i="7"/>
  <c r="R32" i="7"/>
  <c r="P35" i="7"/>
  <c r="T35" i="7"/>
  <c r="D23" i="11"/>
  <c r="H23" i="11"/>
  <c r="C24" i="11"/>
  <c r="G24" i="11"/>
  <c r="E25" i="11"/>
  <c r="I25" i="11"/>
  <c r="C26" i="11"/>
  <c r="G26" i="11"/>
  <c r="B27" i="11"/>
  <c r="F27" i="11"/>
  <c r="E28" i="11"/>
  <c r="I28" i="11"/>
  <c r="C32" i="11"/>
  <c r="G32" i="11"/>
  <c r="E35" i="11"/>
  <c r="I35" i="11"/>
  <c r="O23" i="11"/>
  <c r="S23" i="11"/>
  <c r="N24" i="11"/>
  <c r="R24" i="11"/>
  <c r="P25" i="11"/>
  <c r="T25" i="11"/>
  <c r="N26" i="11"/>
  <c r="R26" i="11"/>
  <c r="M27" i="11"/>
  <c r="Q27" i="11"/>
  <c r="P28" i="11"/>
  <c r="T28" i="11"/>
  <c r="N32" i="11"/>
  <c r="R32" i="11"/>
  <c r="P35" i="11"/>
  <c r="T35" i="11"/>
  <c r="B27" i="12"/>
  <c r="B25" i="12"/>
  <c r="B35" i="12"/>
  <c r="B28" i="12"/>
  <c r="B23" i="12"/>
  <c r="B24" i="12"/>
  <c r="B32" i="12"/>
  <c r="B26" i="12"/>
  <c r="E35" i="12"/>
  <c r="E28" i="12"/>
  <c r="E25" i="12"/>
  <c r="E23" i="12"/>
  <c r="E32" i="12"/>
  <c r="E26" i="12"/>
  <c r="E24" i="12"/>
  <c r="E27" i="12"/>
  <c r="I35" i="12"/>
  <c r="I28" i="12"/>
  <c r="I25" i="12"/>
  <c r="I23" i="12"/>
  <c r="I32" i="12"/>
  <c r="I26" i="12"/>
  <c r="I24" i="12"/>
  <c r="I27" i="12"/>
  <c r="P35" i="12"/>
  <c r="P28" i="12"/>
  <c r="P25" i="12"/>
  <c r="P23" i="12"/>
  <c r="P32" i="12"/>
  <c r="P26" i="12"/>
  <c r="P24" i="12"/>
  <c r="P27" i="12"/>
  <c r="T35" i="12"/>
  <c r="T28" i="12"/>
  <c r="T25" i="12"/>
  <c r="T23" i="12"/>
  <c r="T32" i="12"/>
  <c r="T26" i="12"/>
  <c r="T24" i="12"/>
  <c r="T27" i="12"/>
  <c r="E32" i="13"/>
  <c r="E35" i="13"/>
  <c r="E25" i="13"/>
  <c r="E28" i="13"/>
  <c r="E23" i="13"/>
  <c r="E27" i="13"/>
  <c r="E26" i="13"/>
  <c r="E24" i="13"/>
  <c r="I32" i="13"/>
  <c r="I28" i="13"/>
  <c r="I25" i="13"/>
  <c r="I27" i="13"/>
  <c r="I23" i="13"/>
  <c r="I26" i="13"/>
  <c r="I24" i="13"/>
  <c r="I35" i="13"/>
  <c r="P32" i="13"/>
  <c r="P26" i="13"/>
  <c r="P24" i="13"/>
  <c r="P35" i="13"/>
  <c r="P28" i="13"/>
  <c r="P27" i="13"/>
  <c r="P25" i="13"/>
  <c r="P23" i="13"/>
  <c r="T32" i="13"/>
  <c r="T26" i="13"/>
  <c r="T24" i="13"/>
  <c r="T35" i="13"/>
  <c r="T28" i="13"/>
  <c r="T27" i="13"/>
  <c r="T25" i="13"/>
  <c r="T23" i="13"/>
  <c r="E32" i="14"/>
  <c r="E26" i="14"/>
  <c r="E24" i="14"/>
  <c r="E35" i="14"/>
  <c r="E28" i="14"/>
  <c r="E27" i="14"/>
  <c r="E25" i="14"/>
  <c r="E23" i="14"/>
  <c r="I32" i="14"/>
  <c r="I26" i="14"/>
  <c r="I24" i="14"/>
  <c r="I35" i="14"/>
  <c r="I28" i="14"/>
  <c r="I27" i="14"/>
  <c r="I25" i="14"/>
  <c r="I23" i="14"/>
  <c r="P32" i="14"/>
  <c r="P26" i="14"/>
  <c r="P24" i="14"/>
  <c r="P35" i="14"/>
  <c r="P28" i="14"/>
  <c r="P25" i="14"/>
  <c r="P27" i="14"/>
  <c r="P23" i="14"/>
  <c r="T32" i="14"/>
  <c r="T26" i="14"/>
  <c r="T24" i="14"/>
  <c r="T35" i="14"/>
  <c r="T28" i="14"/>
  <c r="T25" i="14"/>
  <c r="T27" i="14"/>
  <c r="T23" i="14"/>
  <c r="E32" i="15"/>
  <c r="E26" i="15"/>
  <c r="E24" i="15"/>
  <c r="E35" i="15"/>
  <c r="E28" i="15"/>
  <c r="E25" i="15"/>
  <c r="E27" i="15"/>
  <c r="E23" i="15"/>
  <c r="I32" i="15"/>
  <c r="I26" i="15"/>
  <c r="I24" i="15"/>
  <c r="I35" i="15"/>
  <c r="I28" i="15"/>
  <c r="I25" i="15"/>
  <c r="I27" i="15"/>
  <c r="I23" i="15"/>
  <c r="P27" i="15"/>
  <c r="P24" i="15"/>
  <c r="P25" i="15"/>
  <c r="P35" i="15"/>
  <c r="P26" i="15"/>
  <c r="P28" i="15"/>
  <c r="P32" i="15"/>
  <c r="P23" i="15"/>
  <c r="T27" i="15"/>
  <c r="T24" i="15"/>
  <c r="T25" i="15"/>
  <c r="T28" i="15"/>
  <c r="T32" i="15"/>
  <c r="T23" i="15"/>
  <c r="T35" i="15"/>
  <c r="T26" i="15"/>
  <c r="E32" i="16"/>
  <c r="E26" i="16"/>
  <c r="E24" i="16"/>
  <c r="E35" i="16"/>
  <c r="E28" i="16"/>
  <c r="E25" i="16"/>
  <c r="E27" i="16"/>
  <c r="E23" i="16"/>
  <c r="I32" i="16"/>
  <c r="I26" i="16"/>
  <c r="I24" i="16"/>
  <c r="I35" i="16"/>
  <c r="I28" i="16"/>
  <c r="I25" i="16"/>
  <c r="I27" i="16"/>
  <c r="I23" i="16"/>
  <c r="P32" i="16"/>
  <c r="P26" i="16"/>
  <c r="P24" i="16"/>
  <c r="P35" i="16"/>
  <c r="P28" i="16"/>
  <c r="P25" i="16"/>
  <c r="P27" i="16"/>
  <c r="P23" i="16"/>
  <c r="T32" i="16"/>
  <c r="T26" i="16"/>
  <c r="T24" i="16"/>
  <c r="T35" i="16"/>
  <c r="T28" i="16"/>
  <c r="T25" i="16"/>
  <c r="T27" i="16"/>
  <c r="T23" i="16"/>
  <c r="E32" i="17"/>
  <c r="E26" i="17"/>
  <c r="E24" i="17"/>
  <c r="E35" i="17"/>
  <c r="E28" i="17"/>
  <c r="E25" i="17"/>
  <c r="E27" i="17"/>
  <c r="E23" i="17"/>
  <c r="I32" i="17"/>
  <c r="I26" i="17"/>
  <c r="I24" i="17"/>
  <c r="I35" i="17"/>
  <c r="I28" i="17"/>
  <c r="I25" i="17"/>
  <c r="I27" i="17"/>
  <c r="I23" i="17"/>
  <c r="P32" i="17"/>
  <c r="P26" i="17"/>
  <c r="P24" i="17"/>
  <c r="P35" i="17"/>
  <c r="P28" i="17"/>
  <c r="P25" i="17"/>
  <c r="P34" i="17"/>
  <c r="P27" i="17"/>
  <c r="P23" i="17"/>
  <c r="T32" i="17"/>
  <c r="T26" i="17"/>
  <c r="T24" i="17"/>
  <c r="T35" i="17"/>
  <c r="T28" i="17"/>
  <c r="T25" i="17"/>
  <c r="T27" i="17"/>
  <c r="T23" i="17"/>
  <c r="T34" i="17"/>
  <c r="C23" i="7"/>
  <c r="G23" i="7"/>
  <c r="B24" i="7"/>
  <c r="F24" i="7"/>
  <c r="D25" i="7"/>
  <c r="H25" i="7"/>
  <c r="B26" i="7"/>
  <c r="F26" i="7"/>
  <c r="E27" i="7"/>
  <c r="I27" i="7"/>
  <c r="D28" i="7"/>
  <c r="H28" i="7"/>
  <c r="B32" i="7"/>
  <c r="F32" i="7"/>
  <c r="D35" i="7"/>
  <c r="H35" i="7"/>
  <c r="N23" i="7"/>
  <c r="R23" i="7"/>
  <c r="M24" i="7"/>
  <c r="Q24" i="7"/>
  <c r="O25" i="7"/>
  <c r="S25" i="7"/>
  <c r="M26" i="7"/>
  <c r="Q26" i="7"/>
  <c r="P27" i="7"/>
  <c r="T27" i="7"/>
  <c r="O28" i="7"/>
  <c r="S28" i="7"/>
  <c r="M32" i="7"/>
  <c r="Q32" i="7"/>
  <c r="O35" i="7"/>
  <c r="S35" i="7"/>
  <c r="C23" i="11"/>
  <c r="G23" i="11"/>
  <c r="B24" i="11"/>
  <c r="F24" i="11"/>
  <c r="D25" i="11"/>
  <c r="H25" i="11"/>
  <c r="B26" i="11"/>
  <c r="F26" i="11"/>
  <c r="E27" i="11"/>
  <c r="I27" i="11"/>
  <c r="D28" i="11"/>
  <c r="H28" i="11"/>
  <c r="B32" i="11"/>
  <c r="F32" i="11"/>
  <c r="D35" i="11"/>
  <c r="H35" i="11"/>
  <c r="N23" i="11"/>
  <c r="R23" i="11"/>
  <c r="M24" i="11"/>
  <c r="Q24" i="11"/>
  <c r="O25" i="11"/>
  <c r="S25" i="11"/>
  <c r="M26" i="11"/>
  <c r="Q26" i="11"/>
  <c r="P27" i="11"/>
  <c r="T27" i="11"/>
  <c r="O28" i="11"/>
  <c r="S28" i="11"/>
  <c r="M32" i="11"/>
  <c r="Q32" i="11"/>
  <c r="O35" i="11"/>
  <c r="S35" i="11"/>
  <c r="D23" i="12"/>
  <c r="D32" i="12"/>
  <c r="D26" i="12"/>
  <c r="D24" i="12"/>
  <c r="D27" i="12"/>
  <c r="D35" i="12"/>
  <c r="D28" i="12"/>
  <c r="D25" i="12"/>
  <c r="H23" i="12"/>
  <c r="H24" i="12"/>
  <c r="H32" i="12"/>
  <c r="H26" i="12"/>
  <c r="H25" i="12"/>
  <c r="H27" i="12"/>
  <c r="H35" i="12"/>
  <c r="H28" i="12"/>
  <c r="O23" i="12"/>
  <c r="O32" i="12"/>
  <c r="O26" i="12"/>
  <c r="O24" i="12"/>
  <c r="O27" i="12"/>
  <c r="O35" i="12"/>
  <c r="O28" i="12"/>
  <c r="O25" i="12"/>
  <c r="S23" i="12"/>
  <c r="S32" i="12"/>
  <c r="S26" i="12"/>
  <c r="S24" i="12"/>
  <c r="S27" i="12"/>
  <c r="S35" i="12"/>
  <c r="S28" i="12"/>
  <c r="S25" i="12"/>
  <c r="D27" i="13"/>
  <c r="D28" i="13"/>
  <c r="D23" i="13"/>
  <c r="D26" i="13"/>
  <c r="D24" i="13"/>
  <c r="D32" i="13"/>
  <c r="D35" i="13"/>
  <c r="D25" i="13"/>
  <c r="H27" i="13"/>
  <c r="H23" i="13"/>
  <c r="H32" i="13"/>
  <c r="H26" i="13"/>
  <c r="H24" i="13"/>
  <c r="H35" i="13"/>
  <c r="H28" i="13"/>
  <c r="H25" i="13"/>
  <c r="O27" i="13"/>
  <c r="O35" i="13"/>
  <c r="O26" i="13"/>
  <c r="O28" i="13"/>
  <c r="O24" i="13"/>
  <c r="O25" i="13"/>
  <c r="O23" i="13"/>
  <c r="O32" i="13"/>
  <c r="S27" i="13"/>
  <c r="S28" i="13"/>
  <c r="S24" i="13"/>
  <c r="S25" i="13"/>
  <c r="S23" i="13"/>
  <c r="S32" i="13"/>
  <c r="S35" i="13"/>
  <c r="S26" i="13"/>
  <c r="D27" i="14"/>
  <c r="D28" i="14"/>
  <c r="D32" i="14"/>
  <c r="D35" i="14"/>
  <c r="D24" i="14"/>
  <c r="D26" i="14"/>
  <c r="D25" i="14"/>
  <c r="D23" i="14"/>
  <c r="H27" i="14"/>
  <c r="H35" i="14"/>
  <c r="H26" i="14"/>
  <c r="H24" i="14"/>
  <c r="H28" i="14"/>
  <c r="H25" i="14"/>
  <c r="H23" i="14"/>
  <c r="H32" i="14"/>
  <c r="O27" i="14"/>
  <c r="O23" i="14"/>
  <c r="O35" i="14"/>
  <c r="O25" i="14"/>
  <c r="O26" i="14"/>
  <c r="O28" i="14"/>
  <c r="O32" i="14"/>
  <c r="O24" i="14"/>
  <c r="S27" i="14"/>
  <c r="S23" i="14"/>
  <c r="S28" i="14"/>
  <c r="S32" i="14"/>
  <c r="S24" i="14"/>
  <c r="S35" i="14"/>
  <c r="S25" i="14"/>
  <c r="S26" i="14"/>
  <c r="D27" i="15"/>
  <c r="D23" i="15"/>
  <c r="D28" i="15"/>
  <c r="D32" i="15"/>
  <c r="D24" i="15"/>
  <c r="D35" i="15"/>
  <c r="D25" i="15"/>
  <c r="D26" i="15"/>
  <c r="H27" i="15"/>
  <c r="H23" i="15"/>
  <c r="H35" i="15"/>
  <c r="H25" i="15"/>
  <c r="H26" i="15"/>
  <c r="H28" i="15"/>
  <c r="H32" i="15"/>
  <c r="H24" i="15"/>
  <c r="O35" i="15"/>
  <c r="O28" i="15"/>
  <c r="O32" i="15"/>
  <c r="O26" i="15"/>
  <c r="O23" i="15"/>
  <c r="O25" i="15"/>
  <c r="O27" i="15"/>
  <c r="O24" i="15"/>
  <c r="S35" i="15"/>
  <c r="S28" i="15"/>
  <c r="S32" i="15"/>
  <c r="S26" i="15"/>
  <c r="S23" i="15"/>
  <c r="S24" i="15"/>
  <c r="S25" i="15"/>
  <c r="S27" i="15"/>
  <c r="D27" i="16"/>
  <c r="D23" i="16"/>
  <c r="D28" i="16"/>
  <c r="D32" i="16"/>
  <c r="D24" i="16"/>
  <c r="D35" i="16"/>
  <c r="D25" i="16"/>
  <c r="D26" i="16"/>
  <c r="H27" i="16"/>
  <c r="H23" i="16"/>
  <c r="H35" i="16"/>
  <c r="H25" i="16"/>
  <c r="H26" i="16"/>
  <c r="H28" i="16"/>
  <c r="H32" i="16"/>
  <c r="H24" i="16"/>
  <c r="O27" i="16"/>
  <c r="O23" i="16"/>
  <c r="O35" i="16"/>
  <c r="O25" i="16"/>
  <c r="O26" i="16"/>
  <c r="O28" i="16"/>
  <c r="O32" i="16"/>
  <c r="O24" i="16"/>
  <c r="S27" i="16"/>
  <c r="S23" i="16"/>
  <c r="S28" i="16"/>
  <c r="S32" i="16"/>
  <c r="S24" i="16"/>
  <c r="S35" i="16"/>
  <c r="S25" i="16"/>
  <c r="S26" i="16"/>
  <c r="D27" i="17"/>
  <c r="D23" i="17"/>
  <c r="D28" i="17"/>
  <c r="D32" i="17"/>
  <c r="D24" i="17"/>
  <c r="D35" i="17"/>
  <c r="D25" i="17"/>
  <c r="D26" i="17"/>
  <c r="H27" i="17"/>
  <c r="H23" i="17"/>
  <c r="H35" i="17"/>
  <c r="H25" i="17"/>
  <c r="H26" i="17"/>
  <c r="H28" i="17"/>
  <c r="H32" i="17"/>
  <c r="H24" i="17"/>
  <c r="O34" i="17"/>
  <c r="O27" i="17"/>
  <c r="O23" i="17"/>
  <c r="O35" i="17"/>
  <c r="O25" i="17"/>
  <c r="O26" i="17"/>
  <c r="O28" i="17"/>
  <c r="O32" i="17"/>
  <c r="O24" i="17"/>
  <c r="S34" i="17"/>
  <c r="S27" i="17"/>
  <c r="S23" i="17"/>
  <c r="S28" i="17"/>
  <c r="S32" i="17"/>
  <c r="S24" i="17"/>
  <c r="S35" i="17"/>
  <c r="S25" i="17"/>
  <c r="S26" i="17"/>
  <c r="B23" i="7"/>
  <c r="F23" i="7"/>
  <c r="E24" i="7"/>
  <c r="I24" i="7"/>
  <c r="C25" i="7"/>
  <c r="G25" i="7"/>
  <c r="E26" i="7"/>
  <c r="I26" i="7"/>
  <c r="D27" i="7"/>
  <c r="H27" i="7"/>
  <c r="C28" i="7"/>
  <c r="G28" i="7"/>
  <c r="M23" i="7"/>
  <c r="Q23" i="7"/>
  <c r="P24" i="7"/>
  <c r="T24" i="7"/>
  <c r="N25" i="7"/>
  <c r="R25" i="7"/>
  <c r="P26" i="7"/>
  <c r="T26" i="7"/>
  <c r="O27" i="7"/>
  <c r="S27" i="7"/>
  <c r="N28" i="7"/>
  <c r="R28" i="7"/>
  <c r="B23" i="11"/>
  <c r="F23" i="11"/>
  <c r="E24" i="11"/>
  <c r="I24" i="11"/>
  <c r="C25" i="11"/>
  <c r="G25" i="11"/>
  <c r="E26" i="11"/>
  <c r="I26" i="11"/>
  <c r="D27" i="11"/>
  <c r="H27" i="11"/>
  <c r="C28" i="11"/>
  <c r="G28" i="11"/>
  <c r="M23" i="11"/>
  <c r="Q23" i="11"/>
  <c r="P24" i="11"/>
  <c r="T24" i="11"/>
  <c r="N25" i="11"/>
  <c r="R25" i="11"/>
  <c r="P26" i="11"/>
  <c r="T26" i="11"/>
  <c r="O27" i="11"/>
  <c r="S27" i="11"/>
  <c r="N28" i="11"/>
  <c r="R28" i="11"/>
  <c r="J17" i="7"/>
  <c r="U5" i="18"/>
  <c r="U14" i="18"/>
  <c r="P17" i="18"/>
  <c r="D17" i="18"/>
  <c r="U6" i="18"/>
  <c r="U7" i="18"/>
  <c r="U8" i="18"/>
  <c r="U9" i="18"/>
  <c r="U10" i="18"/>
  <c r="U16" i="18"/>
  <c r="J6" i="18"/>
  <c r="J7" i="18"/>
  <c r="J8" i="18"/>
  <c r="J9" i="18"/>
  <c r="J10" i="18"/>
  <c r="J14" i="18"/>
  <c r="J16" i="18"/>
  <c r="H17" i="18"/>
  <c r="J5" i="18"/>
  <c r="J17" i="17"/>
  <c r="J34" i="17" s="1"/>
  <c r="U17" i="17"/>
  <c r="J17" i="16"/>
  <c r="U17" i="16"/>
  <c r="J17" i="14"/>
  <c r="U17" i="14"/>
  <c r="J17" i="13"/>
  <c r="U17" i="13"/>
  <c r="J17" i="12"/>
  <c r="U17" i="12"/>
  <c r="J17" i="11"/>
  <c r="U17" i="11"/>
  <c r="U17" i="7"/>
  <c r="R51" i="17" l="1"/>
  <c r="P51" i="16"/>
  <c r="P52" i="16"/>
  <c r="Q49" i="14"/>
  <c r="R49" i="14"/>
  <c r="T51" i="14"/>
  <c r="R49" i="13"/>
  <c r="O51" i="13"/>
  <c r="T51" i="13"/>
  <c r="O52" i="13"/>
  <c r="T52" i="13"/>
  <c r="R51" i="13"/>
  <c r="R51" i="12"/>
  <c r="Q51" i="7"/>
  <c r="Q52" i="7"/>
  <c r="Q49" i="7"/>
  <c r="S51" i="7"/>
  <c r="S52" i="7"/>
  <c r="T51" i="7"/>
  <c r="N52" i="16"/>
  <c r="R52" i="14"/>
  <c r="B35" i="18"/>
  <c r="B33" i="18"/>
  <c r="R51" i="14"/>
  <c r="E31" i="18"/>
  <c r="E33" i="18"/>
  <c r="U31" i="11"/>
  <c r="U33" i="11"/>
  <c r="U34" i="11"/>
  <c r="J30" i="7"/>
  <c r="J33" i="7"/>
  <c r="J34" i="7"/>
  <c r="M35" i="18"/>
  <c r="M33" i="18"/>
  <c r="U33" i="16"/>
  <c r="U34" i="16"/>
  <c r="F35" i="18"/>
  <c r="F33" i="18"/>
  <c r="M49" i="13"/>
  <c r="J31" i="12"/>
  <c r="J34" i="12"/>
  <c r="J33" i="12"/>
  <c r="J30" i="16"/>
  <c r="J33" i="16"/>
  <c r="J34" i="16"/>
  <c r="N35" i="18"/>
  <c r="N33" i="18"/>
  <c r="T52" i="11"/>
  <c r="R52" i="16"/>
  <c r="U27" i="17"/>
  <c r="U33" i="17"/>
  <c r="T51" i="11"/>
  <c r="R51" i="16"/>
  <c r="J29" i="17"/>
  <c r="J33" i="17"/>
  <c r="S35" i="18"/>
  <c r="S33" i="18"/>
  <c r="R35" i="18"/>
  <c r="R33" i="18"/>
  <c r="J30" i="14"/>
  <c r="J33" i="14"/>
  <c r="J34" i="14"/>
  <c r="O35" i="18"/>
  <c r="O33" i="18"/>
  <c r="I35" i="18"/>
  <c r="I33" i="18"/>
  <c r="U33" i="12"/>
  <c r="U34" i="12"/>
  <c r="H35" i="18"/>
  <c r="H33" i="18"/>
  <c r="Q35" i="18"/>
  <c r="Q33" i="18"/>
  <c r="J34" i="15"/>
  <c r="J33" i="15"/>
  <c r="S51" i="17"/>
  <c r="T52" i="14"/>
  <c r="S52" i="11"/>
  <c r="T35" i="18"/>
  <c r="T33" i="18"/>
  <c r="U33" i="15"/>
  <c r="U34" i="15"/>
  <c r="S51" i="11"/>
  <c r="T51" i="17"/>
  <c r="S49" i="17"/>
  <c r="P51" i="13"/>
  <c r="P35" i="18"/>
  <c r="P33" i="18"/>
  <c r="P52" i="13"/>
  <c r="O52" i="14"/>
  <c r="G35" i="18"/>
  <c r="G33" i="18"/>
  <c r="O51" i="14"/>
  <c r="C35" i="18"/>
  <c r="C33" i="18"/>
  <c r="N52" i="7"/>
  <c r="T52" i="7"/>
  <c r="M52" i="11"/>
  <c r="N51" i="7"/>
  <c r="O51" i="17"/>
  <c r="M51" i="11"/>
  <c r="Q51" i="13"/>
  <c r="M51" i="16"/>
  <c r="N52" i="12"/>
  <c r="J31" i="13"/>
  <c r="J34" i="13"/>
  <c r="J33" i="13"/>
  <c r="O48" i="12"/>
  <c r="Q52" i="13"/>
  <c r="S52" i="16"/>
  <c r="M51" i="17"/>
  <c r="M52" i="16"/>
  <c r="N51" i="12"/>
  <c r="U27" i="13"/>
  <c r="U34" i="13"/>
  <c r="U52" i="13" s="1"/>
  <c r="U33" i="13"/>
  <c r="U51" i="13" s="1"/>
  <c r="U31" i="14"/>
  <c r="U33" i="14"/>
  <c r="U51" i="14" s="1"/>
  <c r="U34" i="14"/>
  <c r="U52" i="14" s="1"/>
  <c r="S51" i="16"/>
  <c r="P51" i="11"/>
  <c r="J23" i="11"/>
  <c r="J34" i="11"/>
  <c r="J33" i="11"/>
  <c r="Q52" i="12"/>
  <c r="Q52" i="16"/>
  <c r="Q52" i="14"/>
  <c r="S48" i="13"/>
  <c r="Q51" i="12"/>
  <c r="N52" i="14"/>
  <c r="N52" i="11"/>
  <c r="Q51" i="14"/>
  <c r="M51" i="13"/>
  <c r="U31" i="7"/>
  <c r="U33" i="7"/>
  <c r="U34" i="7"/>
  <c r="D35" i="18"/>
  <c r="D33" i="18"/>
  <c r="N51" i="14"/>
  <c r="N51" i="11"/>
  <c r="M52" i="13"/>
  <c r="S47" i="13"/>
  <c r="N34" i="18"/>
  <c r="N23" i="18"/>
  <c r="G28" i="18"/>
  <c r="M32" i="18"/>
  <c r="M26" i="18"/>
  <c r="N26" i="18"/>
  <c r="B34" i="18"/>
  <c r="E24" i="18"/>
  <c r="E25" i="18"/>
  <c r="I23" i="18"/>
  <c r="F27" i="18"/>
  <c r="M24" i="18"/>
  <c r="R34" i="18"/>
  <c r="G34" i="18"/>
  <c r="M28" i="18"/>
  <c r="R28" i="18"/>
  <c r="R23" i="18"/>
  <c r="B32" i="18"/>
  <c r="N32" i="18"/>
  <c r="Q24" i="18"/>
  <c r="B24" i="18"/>
  <c r="N24" i="18"/>
  <c r="B23" i="18"/>
  <c r="Q26" i="18"/>
  <c r="B26" i="18"/>
  <c r="N28" i="18"/>
  <c r="N25" i="18"/>
  <c r="E23" i="18"/>
  <c r="E28" i="18"/>
  <c r="S34" i="18"/>
  <c r="M27" i="18"/>
  <c r="M23" i="18"/>
  <c r="E27" i="18"/>
  <c r="S47" i="12"/>
  <c r="Q47" i="12"/>
  <c r="F23" i="18"/>
  <c r="M34" i="18"/>
  <c r="S24" i="18"/>
  <c r="F34" i="18"/>
  <c r="F26" i="18"/>
  <c r="F24" i="18"/>
  <c r="R32" i="18"/>
  <c r="R26" i="18"/>
  <c r="R25" i="18"/>
  <c r="R24" i="18"/>
  <c r="I34" i="18"/>
  <c r="E35" i="18"/>
  <c r="E32" i="18"/>
  <c r="B25" i="18"/>
  <c r="F32" i="18"/>
  <c r="I32" i="18"/>
  <c r="F28" i="18"/>
  <c r="I27" i="18"/>
  <c r="B28" i="18"/>
  <c r="I26" i="18"/>
  <c r="B27" i="18"/>
  <c r="I28" i="18"/>
  <c r="I31" i="18"/>
  <c r="I30" i="18"/>
  <c r="I29" i="18"/>
  <c r="F25" i="18"/>
  <c r="I25" i="18"/>
  <c r="I24" i="18"/>
  <c r="C28" i="18"/>
  <c r="C25" i="18"/>
  <c r="O47" i="7"/>
  <c r="O23" i="18"/>
  <c r="S49" i="11"/>
  <c r="Q47" i="7"/>
  <c r="Q34" i="18"/>
  <c r="Q27" i="18"/>
  <c r="R31" i="18"/>
  <c r="R30" i="18"/>
  <c r="Q47" i="16"/>
  <c r="E30" i="18"/>
  <c r="F30" i="18"/>
  <c r="R27" i="18"/>
  <c r="E26" i="18"/>
  <c r="R29" i="18"/>
  <c r="M25" i="18"/>
  <c r="N27" i="18"/>
  <c r="E34" i="18"/>
  <c r="B30" i="18"/>
  <c r="E29" i="18"/>
  <c r="S47" i="17"/>
  <c r="O47" i="17"/>
  <c r="N31" i="18"/>
  <c r="M29" i="18"/>
  <c r="N30" i="18"/>
  <c r="N29" i="18"/>
  <c r="O49" i="11"/>
  <c r="S48" i="11"/>
  <c r="S48" i="12"/>
  <c r="M31" i="18"/>
  <c r="O47" i="12"/>
  <c r="M30" i="18"/>
  <c r="B31" i="18"/>
  <c r="B29" i="18"/>
  <c r="S47" i="14"/>
  <c r="Q47" i="14"/>
  <c r="F31" i="18"/>
  <c r="O47" i="14"/>
  <c r="F29" i="18"/>
  <c r="S47" i="15"/>
  <c r="O48" i="11"/>
  <c r="O48" i="13"/>
  <c r="O48" i="15"/>
  <c r="O48" i="17"/>
  <c r="N48" i="11"/>
  <c r="N48" i="12"/>
  <c r="N48" i="13"/>
  <c r="N48" i="14"/>
  <c r="N48" i="15"/>
  <c r="N48" i="16"/>
  <c r="N48" i="17"/>
  <c r="T48" i="11"/>
  <c r="T48" i="12"/>
  <c r="T48" i="13"/>
  <c r="T48" i="14"/>
  <c r="T48" i="15"/>
  <c r="T48" i="16"/>
  <c r="T48" i="17"/>
  <c r="N49" i="7"/>
  <c r="N47" i="7"/>
  <c r="T49" i="7"/>
  <c r="T47" i="7"/>
  <c r="G23" i="18"/>
  <c r="S32" i="18"/>
  <c r="S26" i="18"/>
  <c r="G32" i="18"/>
  <c r="G24" i="18"/>
  <c r="N48" i="7"/>
  <c r="N49" i="11"/>
  <c r="N47" i="11"/>
  <c r="N47" i="12"/>
  <c r="N47" i="13"/>
  <c r="N47" i="14"/>
  <c r="S48" i="16"/>
  <c r="S31" i="18"/>
  <c r="O47" i="11"/>
  <c r="G30" i="18"/>
  <c r="S28" i="18"/>
  <c r="G26" i="18"/>
  <c r="G25" i="18"/>
  <c r="O47" i="15"/>
  <c r="O47" i="16"/>
  <c r="S27" i="18"/>
  <c r="S25" i="18"/>
  <c r="S23" i="18"/>
  <c r="G27" i="18"/>
  <c r="O49" i="7"/>
  <c r="T26" i="18"/>
  <c r="N47" i="15"/>
  <c r="N47" i="16"/>
  <c r="N47" i="17"/>
  <c r="O48" i="7"/>
  <c r="O47" i="13"/>
  <c r="U29" i="11"/>
  <c r="U29" i="17"/>
  <c r="D29" i="18"/>
  <c r="U30" i="13"/>
  <c r="C30" i="18"/>
  <c r="P30" i="18"/>
  <c r="C23" i="18"/>
  <c r="C34" i="18"/>
  <c r="C26" i="18"/>
  <c r="C24" i="18"/>
  <c r="C32" i="18"/>
  <c r="R48" i="7"/>
  <c r="R49" i="11"/>
  <c r="R47" i="11"/>
  <c r="R47" i="12"/>
  <c r="R47" i="13"/>
  <c r="R47" i="14"/>
  <c r="R47" i="15"/>
  <c r="R47" i="16"/>
  <c r="R47" i="17"/>
  <c r="S47" i="11"/>
  <c r="S47" i="16"/>
  <c r="S30" i="18"/>
  <c r="D31" i="18"/>
  <c r="G29" i="18"/>
  <c r="C29" i="18"/>
  <c r="G31" i="18"/>
  <c r="J30" i="15"/>
  <c r="C27" i="18"/>
  <c r="S48" i="14"/>
  <c r="Q48" i="7"/>
  <c r="Q48" i="12"/>
  <c r="Q48" i="14"/>
  <c r="Q48" i="16"/>
  <c r="J29" i="7"/>
  <c r="S29" i="18"/>
  <c r="C31" i="18"/>
  <c r="U31" i="12"/>
  <c r="U31" i="16"/>
  <c r="U27" i="11"/>
  <c r="U30" i="11"/>
  <c r="U30" i="15"/>
  <c r="T28" i="18"/>
  <c r="T48" i="7"/>
  <c r="T49" i="11"/>
  <c r="T47" i="11"/>
  <c r="T47" i="12"/>
  <c r="T47" i="13"/>
  <c r="T47" i="14"/>
  <c r="T47" i="15"/>
  <c r="T47" i="16"/>
  <c r="T47" i="17"/>
  <c r="S47" i="7"/>
  <c r="Q47" i="11"/>
  <c r="Q47" i="13"/>
  <c r="Q47" i="15"/>
  <c r="Q47" i="17"/>
  <c r="Q31" i="18"/>
  <c r="U31" i="13"/>
  <c r="U49" i="13" s="1"/>
  <c r="U30" i="17"/>
  <c r="O30" i="18"/>
  <c r="U30" i="14"/>
  <c r="T29" i="18"/>
  <c r="J31" i="11"/>
  <c r="U49" i="11" s="1"/>
  <c r="D30" i="18"/>
  <c r="T30" i="18"/>
  <c r="Q29" i="18"/>
  <c r="U27" i="7"/>
  <c r="U29" i="7"/>
  <c r="J32" i="12"/>
  <c r="J29" i="12"/>
  <c r="J31" i="14"/>
  <c r="U49" i="14" s="1"/>
  <c r="J23" i="16"/>
  <c r="J29" i="16"/>
  <c r="T31" i="18"/>
  <c r="T34" i="18"/>
  <c r="T27" i="18"/>
  <c r="T25" i="18"/>
  <c r="P49" i="7"/>
  <c r="P47" i="7"/>
  <c r="P48" i="11"/>
  <c r="P48" i="12"/>
  <c r="P48" i="13"/>
  <c r="P48" i="14"/>
  <c r="P48" i="15"/>
  <c r="P48" i="16"/>
  <c r="P48" i="17"/>
  <c r="S48" i="7"/>
  <c r="J30" i="11"/>
  <c r="J31" i="16"/>
  <c r="U30" i="12"/>
  <c r="U31" i="17"/>
  <c r="J29" i="15"/>
  <c r="U29" i="13"/>
  <c r="P29" i="18"/>
  <c r="J31" i="15"/>
  <c r="H30" i="18"/>
  <c r="P31" i="18"/>
  <c r="U29" i="16"/>
  <c r="U29" i="14"/>
  <c r="J23" i="13"/>
  <c r="J30" i="13"/>
  <c r="J23" i="17"/>
  <c r="J30" i="17"/>
  <c r="J28" i="7"/>
  <c r="J31" i="7"/>
  <c r="U49" i="7" s="1"/>
  <c r="Q48" i="11"/>
  <c r="Q48" i="13"/>
  <c r="Q48" i="15"/>
  <c r="Q48" i="17"/>
  <c r="U30" i="16"/>
  <c r="U48" i="16" s="1"/>
  <c r="U29" i="12"/>
  <c r="T24" i="18"/>
  <c r="R49" i="7"/>
  <c r="R47" i="7"/>
  <c r="R48" i="11"/>
  <c r="R48" i="12"/>
  <c r="R48" i="13"/>
  <c r="R48" i="14"/>
  <c r="R48" i="15"/>
  <c r="R48" i="16"/>
  <c r="R48" i="17"/>
  <c r="S49" i="7"/>
  <c r="P48" i="7"/>
  <c r="P49" i="11"/>
  <c r="P47" i="11"/>
  <c r="P47" i="12"/>
  <c r="P47" i="13"/>
  <c r="P47" i="14"/>
  <c r="P47" i="15"/>
  <c r="P47" i="16"/>
  <c r="P47" i="17"/>
  <c r="O31" i="18"/>
  <c r="M47" i="7"/>
  <c r="M47" i="11"/>
  <c r="M47" i="12"/>
  <c r="M47" i="13"/>
  <c r="M47" i="14"/>
  <c r="M47" i="15"/>
  <c r="M47" i="16"/>
  <c r="M47" i="17"/>
  <c r="J29" i="14"/>
  <c r="Q30" i="18"/>
  <c r="U29" i="15"/>
  <c r="J29" i="11"/>
  <c r="J31" i="17"/>
  <c r="J30" i="12"/>
  <c r="U30" i="7"/>
  <c r="U48" i="7" s="1"/>
  <c r="U31" i="15"/>
  <c r="J29" i="13"/>
  <c r="H31" i="18"/>
  <c r="H29" i="18"/>
  <c r="O29" i="18"/>
  <c r="Q32" i="18"/>
  <c r="Q23" i="18"/>
  <c r="Q28" i="18"/>
  <c r="Q25" i="18"/>
  <c r="T32" i="18"/>
  <c r="T23" i="18"/>
  <c r="O34" i="18"/>
  <c r="O32" i="18"/>
  <c r="O28" i="18"/>
  <c r="O27" i="18"/>
  <c r="O26" i="18"/>
  <c r="O25" i="18"/>
  <c r="O24" i="18"/>
  <c r="J25" i="15"/>
  <c r="J24" i="12"/>
  <c r="U26" i="13"/>
  <c r="J27" i="15"/>
  <c r="J24" i="16"/>
  <c r="U24" i="15"/>
  <c r="J28" i="13"/>
  <c r="J23" i="14"/>
  <c r="J28" i="17"/>
  <c r="J26" i="14"/>
  <c r="U26" i="17"/>
  <c r="J23" i="12"/>
  <c r="J32" i="14"/>
  <c r="J25" i="17"/>
  <c r="J26" i="16"/>
  <c r="J28" i="15"/>
  <c r="J24" i="14"/>
  <c r="J25" i="13"/>
  <c r="J26" i="12"/>
  <c r="U34" i="17"/>
  <c r="U24" i="17"/>
  <c r="U25" i="16"/>
  <c r="U26" i="15"/>
  <c r="U28" i="14"/>
  <c r="U24" i="13"/>
  <c r="U25" i="12"/>
  <c r="J27" i="17"/>
  <c r="U45" i="17" s="1"/>
  <c r="J32" i="16"/>
  <c r="J27" i="13"/>
  <c r="U32" i="16"/>
  <c r="U23" i="16"/>
  <c r="U32" i="12"/>
  <c r="U23" i="12"/>
  <c r="J25" i="11"/>
  <c r="J32" i="7"/>
  <c r="U24" i="11"/>
  <c r="U32" i="7"/>
  <c r="J27" i="7"/>
  <c r="U35" i="14"/>
  <c r="U35" i="11"/>
  <c r="U35" i="13"/>
  <c r="U35" i="15"/>
  <c r="U35" i="17"/>
  <c r="U35" i="7"/>
  <c r="J35" i="12"/>
  <c r="J35" i="14"/>
  <c r="J35" i="16"/>
  <c r="J26" i="17"/>
  <c r="J28" i="16"/>
  <c r="J24" i="15"/>
  <c r="J25" i="14"/>
  <c r="J26" i="13"/>
  <c r="J28" i="12"/>
  <c r="J27" i="12"/>
  <c r="U25" i="17"/>
  <c r="U26" i="16"/>
  <c r="U28" i="15"/>
  <c r="U24" i="14"/>
  <c r="U25" i="13"/>
  <c r="U26" i="12"/>
  <c r="J32" i="17"/>
  <c r="J27" i="14"/>
  <c r="J32" i="13"/>
  <c r="U32" i="17"/>
  <c r="U23" i="17"/>
  <c r="U27" i="14"/>
  <c r="U32" i="13"/>
  <c r="U23" i="13"/>
  <c r="J26" i="11"/>
  <c r="U23" i="7"/>
  <c r="U25" i="11"/>
  <c r="J27" i="11"/>
  <c r="U25" i="7"/>
  <c r="U32" i="11"/>
  <c r="U23" i="11"/>
  <c r="U41" i="11" s="1"/>
  <c r="J23" i="7"/>
  <c r="U35" i="12"/>
  <c r="U28" i="16"/>
  <c r="U25" i="14"/>
  <c r="U28" i="12"/>
  <c r="U27" i="15"/>
  <c r="U32" i="14"/>
  <c r="U23" i="14"/>
  <c r="J28" i="11"/>
  <c r="U26" i="7"/>
  <c r="U28" i="7"/>
  <c r="U26" i="11"/>
  <c r="J32" i="11"/>
  <c r="U35" i="16"/>
  <c r="J35" i="11"/>
  <c r="J35" i="13"/>
  <c r="J35" i="15"/>
  <c r="J35" i="17"/>
  <c r="J35" i="7"/>
  <c r="J24" i="17"/>
  <c r="J25" i="16"/>
  <c r="J26" i="15"/>
  <c r="J28" i="14"/>
  <c r="J24" i="13"/>
  <c r="J25" i="12"/>
  <c r="U28" i="17"/>
  <c r="U24" i="16"/>
  <c r="U25" i="15"/>
  <c r="U26" i="14"/>
  <c r="U28" i="13"/>
  <c r="U24" i="12"/>
  <c r="J27" i="16"/>
  <c r="J32" i="15"/>
  <c r="J23" i="15"/>
  <c r="U27" i="16"/>
  <c r="U32" i="15"/>
  <c r="U23" i="15"/>
  <c r="U27" i="12"/>
  <c r="J24" i="11"/>
  <c r="J24" i="7"/>
  <c r="U28" i="11"/>
  <c r="J26" i="7"/>
  <c r="U24" i="7"/>
  <c r="J25" i="7"/>
  <c r="D27" i="18"/>
  <c r="D28" i="18"/>
  <c r="D26" i="18"/>
  <c r="H32" i="18"/>
  <c r="P27" i="18"/>
  <c r="P23" i="18"/>
  <c r="H25" i="18"/>
  <c r="H24" i="18"/>
  <c r="D34" i="18"/>
  <c r="H28" i="18"/>
  <c r="P34" i="18"/>
  <c r="P28" i="18"/>
  <c r="P26" i="18"/>
  <c r="P25" i="18"/>
  <c r="P24" i="18"/>
  <c r="D32" i="18"/>
  <c r="H27" i="18"/>
  <c r="H26" i="18"/>
  <c r="D25" i="18"/>
  <c r="D24" i="18"/>
  <c r="D23" i="18"/>
  <c r="H34" i="18"/>
  <c r="P32" i="18"/>
  <c r="H23" i="18"/>
  <c r="R53" i="7"/>
  <c r="O42" i="7"/>
  <c r="R45" i="7"/>
  <c r="Q50" i="7"/>
  <c r="S45" i="7"/>
  <c r="P50" i="7"/>
  <c r="N53" i="7"/>
  <c r="M43" i="7"/>
  <c r="P42" i="7"/>
  <c r="O53" i="7"/>
  <c r="N43" i="7"/>
  <c r="S44" i="7"/>
  <c r="T44" i="7"/>
  <c r="Q46" i="7"/>
  <c r="P41" i="7"/>
  <c r="M44" i="7"/>
  <c r="O43" i="7"/>
  <c r="M45" i="7"/>
  <c r="N44" i="7"/>
  <c r="P43" i="7"/>
  <c r="O44" i="7"/>
  <c r="S53" i="7"/>
  <c r="M50" i="7"/>
  <c r="N46" i="7"/>
  <c r="O45" i="7"/>
  <c r="P44" i="7"/>
  <c r="T42" i="7"/>
  <c r="T53" i="7"/>
  <c r="N50" i="7"/>
  <c r="O46" i="7"/>
  <c r="P45" i="7"/>
  <c r="M42" i="7"/>
  <c r="N41" i="7"/>
  <c r="O50" i="7"/>
  <c r="P46" i="7"/>
  <c r="N42" i="7"/>
  <c r="O41" i="7"/>
  <c r="M53" i="17"/>
  <c r="S53" i="14"/>
  <c r="U17" i="18"/>
  <c r="U33" i="18" s="1"/>
  <c r="J17" i="18"/>
  <c r="J33" i="18" s="1"/>
  <c r="S53" i="17"/>
  <c r="O52" i="17"/>
  <c r="M52" i="17"/>
  <c r="O50" i="17"/>
  <c r="M50" i="17"/>
  <c r="O46" i="17"/>
  <c r="M46" i="17"/>
  <c r="O45" i="17"/>
  <c r="M45" i="17"/>
  <c r="O44" i="17"/>
  <c r="M44" i="17"/>
  <c r="O43" i="17"/>
  <c r="M43" i="17"/>
  <c r="O42" i="17"/>
  <c r="M42" i="17"/>
  <c r="O41" i="17"/>
  <c r="M41" i="17"/>
  <c r="T52" i="17"/>
  <c r="P52" i="17"/>
  <c r="N52" i="17"/>
  <c r="T50" i="17"/>
  <c r="P50" i="17"/>
  <c r="N50" i="17"/>
  <c r="T46" i="17"/>
  <c r="P46" i="17"/>
  <c r="N46" i="17"/>
  <c r="T45" i="17"/>
  <c r="P45" i="17"/>
  <c r="N45" i="17"/>
  <c r="T44" i="17"/>
  <c r="P44" i="17"/>
  <c r="N44" i="17"/>
  <c r="T43" i="17"/>
  <c r="P43" i="17"/>
  <c r="N43" i="17"/>
  <c r="T42" i="17"/>
  <c r="P42" i="17"/>
  <c r="N42" i="17"/>
  <c r="T41" i="17"/>
  <c r="P41" i="17"/>
  <c r="N41" i="17"/>
  <c r="N53" i="17"/>
  <c r="O53" i="17"/>
  <c r="S50" i="16"/>
  <c r="Q50" i="16"/>
  <c r="O50" i="16"/>
  <c r="S46" i="16"/>
  <c r="Q46" i="16"/>
  <c r="O46" i="16"/>
  <c r="S45" i="16"/>
  <c r="Q45" i="16"/>
  <c r="O45" i="16"/>
  <c r="S44" i="16"/>
  <c r="Q44" i="16"/>
  <c r="O44" i="16"/>
  <c r="S43" i="16"/>
  <c r="Q43" i="16"/>
  <c r="O43" i="16"/>
  <c r="S42" i="16"/>
  <c r="Q42" i="16"/>
  <c r="O42" i="16"/>
  <c r="S41" i="16"/>
  <c r="Q41" i="16"/>
  <c r="O41" i="16"/>
  <c r="R50" i="16"/>
  <c r="P50" i="16"/>
  <c r="N50" i="16"/>
  <c r="R46" i="16"/>
  <c r="P46" i="16"/>
  <c r="N46" i="16"/>
  <c r="R45" i="16"/>
  <c r="P45" i="16"/>
  <c r="N45" i="16"/>
  <c r="R44" i="16"/>
  <c r="P44" i="16"/>
  <c r="N44" i="16"/>
  <c r="R43" i="16"/>
  <c r="P43" i="16"/>
  <c r="N43" i="16"/>
  <c r="R42" i="16"/>
  <c r="P42" i="16"/>
  <c r="N42" i="16"/>
  <c r="R41" i="16"/>
  <c r="P41" i="16"/>
  <c r="N41" i="16"/>
  <c r="S53" i="16"/>
  <c r="O53" i="16"/>
  <c r="T53" i="16"/>
  <c r="O50" i="15"/>
  <c r="O46" i="15"/>
  <c r="O45" i="15"/>
  <c r="O44" i="15"/>
  <c r="O43" i="15"/>
  <c r="O42" i="15"/>
  <c r="O41" i="15"/>
  <c r="P50" i="15"/>
  <c r="N50" i="15"/>
  <c r="P46" i="15"/>
  <c r="N46" i="15"/>
  <c r="P45" i="15"/>
  <c r="N45" i="15"/>
  <c r="P44" i="15"/>
  <c r="N44" i="15"/>
  <c r="P43" i="15"/>
  <c r="N43" i="15"/>
  <c r="P42" i="15"/>
  <c r="N42" i="15"/>
  <c r="P41" i="15"/>
  <c r="N41" i="15"/>
  <c r="S53" i="15"/>
  <c r="O53" i="15"/>
  <c r="T53" i="15"/>
  <c r="P53" i="15"/>
  <c r="S50" i="14"/>
  <c r="S46" i="14"/>
  <c r="S45" i="14"/>
  <c r="S44" i="14"/>
  <c r="S43" i="14"/>
  <c r="S42" i="14"/>
  <c r="S41" i="14"/>
  <c r="R50" i="14"/>
  <c r="R46" i="14"/>
  <c r="R45" i="14"/>
  <c r="R44" i="14"/>
  <c r="R43" i="14"/>
  <c r="R42" i="14"/>
  <c r="R41" i="14"/>
  <c r="R53" i="14"/>
  <c r="N53" i="14"/>
  <c r="M53" i="14"/>
  <c r="T53" i="13"/>
  <c r="P53" i="13"/>
  <c r="S53" i="13"/>
  <c r="S50" i="12"/>
  <c r="O50" i="12"/>
  <c r="S46" i="12"/>
  <c r="O46" i="12"/>
  <c r="S45" i="12"/>
  <c r="O45" i="12"/>
  <c r="S44" i="12"/>
  <c r="O44" i="12"/>
  <c r="S43" i="12"/>
  <c r="O43" i="12"/>
  <c r="S42" i="12"/>
  <c r="O42" i="12"/>
  <c r="S41" i="12"/>
  <c r="O41" i="12"/>
  <c r="R50" i="12"/>
  <c r="R46" i="12"/>
  <c r="R45" i="12"/>
  <c r="R44" i="12"/>
  <c r="R43" i="12"/>
  <c r="R42" i="12"/>
  <c r="R41" i="12"/>
  <c r="S53" i="12"/>
  <c r="O53" i="12"/>
  <c r="T53" i="12"/>
  <c r="P53" i="12"/>
  <c r="Q50" i="11"/>
  <c r="M50" i="11"/>
  <c r="Q46" i="11"/>
  <c r="M46" i="11"/>
  <c r="Q45" i="11"/>
  <c r="M45" i="11"/>
  <c r="Q44" i="11"/>
  <c r="M44" i="11"/>
  <c r="Q43" i="11"/>
  <c r="M43" i="11"/>
  <c r="Q42" i="11"/>
  <c r="M42" i="11"/>
  <c r="Q41" i="11"/>
  <c r="M41" i="11"/>
  <c r="S53" i="11"/>
  <c r="O53" i="11"/>
  <c r="R53" i="11"/>
  <c r="M41" i="7"/>
  <c r="U47" i="17" l="1"/>
  <c r="P49" i="18"/>
  <c r="AA49" i="18" s="1"/>
  <c r="U48" i="14"/>
  <c r="M51" i="18"/>
  <c r="X51" i="18" s="1"/>
  <c r="P53" i="18"/>
  <c r="AA53" i="18" s="1"/>
  <c r="N51" i="18"/>
  <c r="Y51" i="18" s="1"/>
  <c r="Q51" i="18"/>
  <c r="AB51" i="18" s="1"/>
  <c r="U52" i="12"/>
  <c r="U51" i="12"/>
  <c r="O51" i="18"/>
  <c r="Z51" i="18" s="1"/>
  <c r="U52" i="16"/>
  <c r="U51" i="16"/>
  <c r="U51" i="18"/>
  <c r="AF51" i="18" s="1"/>
  <c r="P51" i="18"/>
  <c r="AA51" i="18" s="1"/>
  <c r="R51" i="18"/>
  <c r="AC51" i="18" s="1"/>
  <c r="S51" i="18"/>
  <c r="AD51" i="18" s="1"/>
  <c r="U52" i="11"/>
  <c r="U49" i="12"/>
  <c r="U51" i="11"/>
  <c r="U52" i="15"/>
  <c r="U51" i="15"/>
  <c r="U52" i="7"/>
  <c r="T51" i="18"/>
  <c r="AE51" i="18" s="1"/>
  <c r="U51" i="17"/>
  <c r="U51" i="7"/>
  <c r="P50" i="18"/>
  <c r="AA50" i="18" s="1"/>
  <c r="P43" i="18"/>
  <c r="AA43" i="18" s="1"/>
  <c r="U47" i="11"/>
  <c r="T48" i="18"/>
  <c r="AE48" i="18" s="1"/>
  <c r="R47" i="18"/>
  <c r="AC47" i="18" s="1"/>
  <c r="P42" i="18"/>
  <c r="AA42" i="18" s="1"/>
  <c r="P45" i="18"/>
  <c r="AA45" i="18" s="1"/>
  <c r="P41" i="18"/>
  <c r="AA41" i="18" s="1"/>
  <c r="P46" i="18"/>
  <c r="AA46" i="18" s="1"/>
  <c r="R49" i="18"/>
  <c r="AC49" i="18" s="1"/>
  <c r="M47" i="18"/>
  <c r="X47" i="18" s="1"/>
  <c r="U43" i="15"/>
  <c r="T49" i="18"/>
  <c r="AE49" i="18" s="1"/>
  <c r="T47" i="18"/>
  <c r="AE47" i="18" s="1"/>
  <c r="Q47" i="18"/>
  <c r="AB47" i="18" s="1"/>
  <c r="Q48" i="18"/>
  <c r="AB48" i="18" s="1"/>
  <c r="P48" i="18"/>
  <c r="AA48" i="18" s="1"/>
  <c r="P44" i="18"/>
  <c r="AA44" i="18" s="1"/>
  <c r="M48" i="18"/>
  <c r="X48" i="18" s="1"/>
  <c r="R48" i="18"/>
  <c r="AC48" i="18" s="1"/>
  <c r="P47" i="18"/>
  <c r="AA47" i="18" s="1"/>
  <c r="N48" i="18"/>
  <c r="Y48" i="18" s="1"/>
  <c r="U50" i="17"/>
  <c r="P52" i="18"/>
  <c r="AA52" i="18" s="1"/>
  <c r="O47" i="18"/>
  <c r="Z47" i="18" s="1"/>
  <c r="M49" i="18"/>
  <c r="X49" i="18" s="1"/>
  <c r="N47" i="18"/>
  <c r="Y47" i="18" s="1"/>
  <c r="U47" i="16"/>
  <c r="N49" i="18"/>
  <c r="Y49" i="18" s="1"/>
  <c r="Q49" i="18"/>
  <c r="AB49" i="18" s="1"/>
  <c r="U44" i="12"/>
  <c r="U41" i="12"/>
  <c r="U49" i="15"/>
  <c r="S49" i="18"/>
  <c r="AD49" i="18" s="1"/>
  <c r="S47" i="18"/>
  <c r="AD47" i="18" s="1"/>
  <c r="S48" i="18"/>
  <c r="AD48" i="18" s="1"/>
  <c r="U46" i="7"/>
  <c r="U47" i="7"/>
  <c r="U48" i="13"/>
  <c r="U48" i="15"/>
  <c r="U49" i="17"/>
  <c r="U48" i="11"/>
  <c r="U47" i="15"/>
  <c r="U44" i="15"/>
  <c r="O49" i="18"/>
  <c r="Z49" i="18" s="1"/>
  <c r="U48" i="12"/>
  <c r="U35" i="18"/>
  <c r="U31" i="18"/>
  <c r="U29" i="18"/>
  <c r="J35" i="18"/>
  <c r="J30" i="18"/>
  <c r="J29" i="18"/>
  <c r="J31" i="18"/>
  <c r="U42" i="11"/>
  <c r="U41" i="17"/>
  <c r="U41" i="16"/>
  <c r="U47" i="13"/>
  <c r="O48" i="18"/>
  <c r="Z48" i="18" s="1"/>
  <c r="U49" i="16"/>
  <c r="U30" i="18"/>
  <c r="U45" i="11"/>
  <c r="U46" i="13"/>
  <c r="U47" i="12"/>
  <c r="U47" i="14"/>
  <c r="U48" i="17"/>
  <c r="U44" i="14"/>
  <c r="U53" i="7"/>
  <c r="U53" i="17"/>
  <c r="U53" i="11"/>
  <c r="U42" i="16"/>
  <c r="U46" i="16"/>
  <c r="U45" i="14"/>
  <c r="U52" i="17"/>
  <c r="U42" i="15"/>
  <c r="U46" i="12"/>
  <c r="U43" i="14"/>
  <c r="U42" i="13"/>
  <c r="U43" i="16"/>
  <c r="U43" i="13"/>
  <c r="U44" i="16"/>
  <c r="U44" i="17"/>
  <c r="U42" i="7"/>
  <c r="U41" i="15"/>
  <c r="U50" i="7"/>
  <c r="U50" i="16"/>
  <c r="U43" i="17"/>
  <c r="U25" i="18"/>
  <c r="J27" i="18"/>
  <c r="U23" i="18"/>
  <c r="U28" i="18"/>
  <c r="J25" i="18"/>
  <c r="J28" i="18"/>
  <c r="J23" i="18"/>
  <c r="U24" i="18"/>
  <c r="U34" i="18"/>
  <c r="J32" i="18"/>
  <c r="U32" i="18"/>
  <c r="U26" i="18"/>
  <c r="J24" i="18"/>
  <c r="J26" i="18"/>
  <c r="J34" i="18"/>
  <c r="U27" i="18"/>
  <c r="U45" i="7"/>
  <c r="T41" i="7"/>
  <c r="U44" i="7"/>
  <c r="Q45" i="7"/>
  <c r="M53" i="7"/>
  <c r="S42" i="7"/>
  <c r="Q53" i="7"/>
  <c r="T45" i="7"/>
  <c r="P53" i="7"/>
  <c r="M46" i="7"/>
  <c r="S50" i="7"/>
  <c r="R50" i="7"/>
  <c r="N45" i="7"/>
  <c r="S41" i="7"/>
  <c r="R41" i="7"/>
  <c r="Q41" i="7"/>
  <c r="R44" i="7"/>
  <c r="Q44" i="7"/>
  <c r="U41" i="7"/>
  <c r="R46" i="7"/>
  <c r="T50" i="7"/>
  <c r="R43" i="7"/>
  <c r="Q43" i="7"/>
  <c r="R42" i="7"/>
  <c r="Q42" i="7"/>
  <c r="T43" i="7"/>
  <c r="S43" i="7"/>
  <c r="T46" i="7"/>
  <c r="S46" i="7"/>
  <c r="U43" i="7"/>
  <c r="Q53" i="17"/>
  <c r="S41" i="17"/>
  <c r="S42" i="17"/>
  <c r="S43" i="17"/>
  <c r="S44" i="17"/>
  <c r="S45" i="17"/>
  <c r="S46" i="17"/>
  <c r="S50" i="17"/>
  <c r="S52" i="17"/>
  <c r="U46" i="17"/>
  <c r="R53" i="17"/>
  <c r="R41" i="17"/>
  <c r="R42" i="17"/>
  <c r="R43" i="17"/>
  <c r="R44" i="17"/>
  <c r="R45" i="17"/>
  <c r="R46" i="17"/>
  <c r="R50" i="17"/>
  <c r="R52" i="17"/>
  <c r="Q41" i="17"/>
  <c r="Q42" i="17"/>
  <c r="Q43" i="17"/>
  <c r="Q44" i="17"/>
  <c r="Q45" i="17"/>
  <c r="Q46" i="17"/>
  <c r="Q50" i="17"/>
  <c r="Q52" i="17"/>
  <c r="P53" i="16"/>
  <c r="M41" i="16"/>
  <c r="M42" i="16"/>
  <c r="M43" i="16"/>
  <c r="M44" i="16"/>
  <c r="M45" i="16"/>
  <c r="M46" i="16"/>
  <c r="M50" i="16"/>
  <c r="U53" i="16"/>
  <c r="T41" i="16"/>
  <c r="T42" i="16"/>
  <c r="T43" i="16"/>
  <c r="T44" i="16"/>
  <c r="T45" i="16"/>
  <c r="T46" i="16"/>
  <c r="T50" i="16"/>
  <c r="U50" i="15"/>
  <c r="S41" i="15"/>
  <c r="S42" i="15"/>
  <c r="S43" i="15"/>
  <c r="S44" i="15"/>
  <c r="S45" i="15"/>
  <c r="S46" i="15"/>
  <c r="S50" i="15"/>
  <c r="U46" i="15"/>
  <c r="R41" i="15"/>
  <c r="R42" i="15"/>
  <c r="R43" i="15"/>
  <c r="R44" i="15"/>
  <c r="R45" i="15"/>
  <c r="R46" i="15"/>
  <c r="R50" i="15"/>
  <c r="Q41" i="15"/>
  <c r="Q42" i="15"/>
  <c r="Q43" i="15"/>
  <c r="Q44" i="15"/>
  <c r="Q45" i="15"/>
  <c r="Q46" i="15"/>
  <c r="Q50" i="15"/>
  <c r="M41" i="15"/>
  <c r="M42" i="15"/>
  <c r="M43" i="15"/>
  <c r="M44" i="15"/>
  <c r="M45" i="15"/>
  <c r="M46" i="15"/>
  <c r="M50" i="15"/>
  <c r="U53" i="15"/>
  <c r="T41" i="15"/>
  <c r="T42" i="15"/>
  <c r="T43" i="15"/>
  <c r="T44" i="15"/>
  <c r="T45" i="15"/>
  <c r="T46" i="15"/>
  <c r="T50" i="15"/>
  <c r="U41" i="14"/>
  <c r="M41" i="14"/>
  <c r="M42" i="14"/>
  <c r="M43" i="14"/>
  <c r="M44" i="14"/>
  <c r="M45" i="14"/>
  <c r="M46" i="14"/>
  <c r="M50" i="14"/>
  <c r="U53" i="14"/>
  <c r="Q41" i="14"/>
  <c r="Q42" i="14"/>
  <c r="Q43" i="14"/>
  <c r="Q44" i="14"/>
  <c r="Q45" i="14"/>
  <c r="Q46" i="14"/>
  <c r="Q50" i="14"/>
  <c r="U50" i="14"/>
  <c r="N41" i="14"/>
  <c r="N42" i="14"/>
  <c r="N43" i="14"/>
  <c r="N44" i="14"/>
  <c r="N45" i="14"/>
  <c r="N46" i="14"/>
  <c r="N50" i="14"/>
  <c r="U46" i="14"/>
  <c r="O41" i="14"/>
  <c r="O42" i="14"/>
  <c r="O43" i="14"/>
  <c r="O44" i="14"/>
  <c r="O45" i="14"/>
  <c r="O46" i="14"/>
  <c r="O50" i="14"/>
  <c r="U41" i="13"/>
  <c r="U50" i="13"/>
  <c r="O41" i="13"/>
  <c r="O42" i="13"/>
  <c r="O43" i="13"/>
  <c r="O44" i="13"/>
  <c r="O45" i="13"/>
  <c r="O46" i="13"/>
  <c r="O50" i="13"/>
  <c r="S41" i="13"/>
  <c r="S42" i="13"/>
  <c r="S43" i="13"/>
  <c r="S44" i="13"/>
  <c r="S45" i="13"/>
  <c r="S46" i="13"/>
  <c r="S50" i="13"/>
  <c r="O53" i="13"/>
  <c r="U44" i="13"/>
  <c r="U43" i="12"/>
  <c r="N41" i="12"/>
  <c r="N42" i="12"/>
  <c r="N43" i="12"/>
  <c r="N44" i="12"/>
  <c r="N45" i="12"/>
  <c r="N46" i="12"/>
  <c r="N50" i="12"/>
  <c r="U50" i="12"/>
  <c r="Q41" i="12"/>
  <c r="Q42" i="12"/>
  <c r="Q43" i="12"/>
  <c r="Q44" i="12"/>
  <c r="Q45" i="12"/>
  <c r="Q46" i="12"/>
  <c r="Q50" i="12"/>
  <c r="U42" i="12"/>
  <c r="P41" i="12"/>
  <c r="P42" i="12"/>
  <c r="P43" i="12"/>
  <c r="P44" i="12"/>
  <c r="P45" i="12"/>
  <c r="P46" i="12"/>
  <c r="P50" i="12"/>
  <c r="M41" i="12"/>
  <c r="M42" i="12"/>
  <c r="M43" i="12"/>
  <c r="M44" i="12"/>
  <c r="M45" i="12"/>
  <c r="M46" i="12"/>
  <c r="M50" i="12"/>
  <c r="U53" i="12"/>
  <c r="T41" i="12"/>
  <c r="T42" i="12"/>
  <c r="T43" i="12"/>
  <c r="T44" i="12"/>
  <c r="T45" i="12"/>
  <c r="T46" i="12"/>
  <c r="T50" i="12"/>
  <c r="U43" i="11"/>
  <c r="S41" i="18"/>
  <c r="AD41" i="18" s="1"/>
  <c r="O41" i="11"/>
  <c r="O42" i="11"/>
  <c r="O43" i="11"/>
  <c r="O44" i="11"/>
  <c r="O45" i="11"/>
  <c r="O46" i="11"/>
  <c r="O50" i="11"/>
  <c r="N41" i="11"/>
  <c r="N42" i="11"/>
  <c r="N43" i="11"/>
  <c r="N44" i="11"/>
  <c r="N45" i="11"/>
  <c r="N46" i="11"/>
  <c r="N50" i="11"/>
  <c r="O53" i="18"/>
  <c r="Z53" i="18" s="1"/>
  <c r="R41" i="11"/>
  <c r="R42" i="11"/>
  <c r="R43" i="11"/>
  <c r="R44" i="11"/>
  <c r="R45" i="11"/>
  <c r="R46" i="11"/>
  <c r="R50" i="11"/>
  <c r="N53" i="11"/>
  <c r="U46" i="11"/>
  <c r="U50" i="11"/>
  <c r="S41" i="11"/>
  <c r="S42" i="11"/>
  <c r="S43" i="11"/>
  <c r="S44" i="11"/>
  <c r="S45" i="11"/>
  <c r="S46" i="11"/>
  <c r="S50" i="11"/>
  <c r="P53" i="11"/>
  <c r="M53" i="11"/>
  <c r="U42" i="17"/>
  <c r="T53" i="17"/>
  <c r="P53" i="17"/>
  <c r="U45" i="16"/>
  <c r="N53" i="16"/>
  <c r="Q53" i="16"/>
  <c r="R53" i="16"/>
  <c r="M53" i="16"/>
  <c r="U45" i="15"/>
  <c r="N53" i="15"/>
  <c r="Q53" i="15"/>
  <c r="R53" i="15"/>
  <c r="M53" i="15"/>
  <c r="P53" i="14"/>
  <c r="Q53" i="14"/>
  <c r="P41" i="14"/>
  <c r="T41" i="14"/>
  <c r="P42" i="14"/>
  <c r="T42" i="14"/>
  <c r="P43" i="14"/>
  <c r="T43" i="14"/>
  <c r="P44" i="14"/>
  <c r="T44" i="14"/>
  <c r="P45" i="14"/>
  <c r="T45" i="14"/>
  <c r="P46" i="14"/>
  <c r="T46" i="14"/>
  <c r="P50" i="14"/>
  <c r="T50" i="14"/>
  <c r="U42" i="14"/>
  <c r="T53" i="14"/>
  <c r="O53" i="14"/>
  <c r="M53" i="13"/>
  <c r="R53" i="13"/>
  <c r="P41" i="13"/>
  <c r="T41" i="13"/>
  <c r="P42" i="13"/>
  <c r="T42" i="13"/>
  <c r="P43" i="13"/>
  <c r="T43" i="13"/>
  <c r="P44" i="13"/>
  <c r="T44" i="13"/>
  <c r="P45" i="13"/>
  <c r="T45" i="13"/>
  <c r="P46" i="13"/>
  <c r="T46" i="13"/>
  <c r="P50" i="13"/>
  <c r="T50" i="13"/>
  <c r="Q53" i="13"/>
  <c r="U45" i="13"/>
  <c r="N53" i="13"/>
  <c r="N41" i="13"/>
  <c r="R41" i="13"/>
  <c r="N42" i="13"/>
  <c r="R42" i="13"/>
  <c r="N43" i="13"/>
  <c r="R43" i="13"/>
  <c r="N44" i="13"/>
  <c r="R44" i="13"/>
  <c r="N45" i="13"/>
  <c r="R45" i="13"/>
  <c r="N46" i="13"/>
  <c r="R46" i="13"/>
  <c r="N50" i="13"/>
  <c r="R50" i="13"/>
  <c r="M41" i="13"/>
  <c r="Q41" i="13"/>
  <c r="M42" i="13"/>
  <c r="Q42" i="13"/>
  <c r="M43" i="13"/>
  <c r="Q43" i="13"/>
  <c r="M44" i="13"/>
  <c r="Q44" i="13"/>
  <c r="M45" i="13"/>
  <c r="Q45" i="13"/>
  <c r="M46" i="13"/>
  <c r="Q46" i="13"/>
  <c r="M50" i="13"/>
  <c r="Q50" i="13"/>
  <c r="U53" i="13"/>
  <c r="U45" i="12"/>
  <c r="N53" i="12"/>
  <c r="Q53" i="12"/>
  <c r="R53" i="12"/>
  <c r="M53" i="12"/>
  <c r="P41" i="11"/>
  <c r="T41" i="11"/>
  <c r="P42" i="11"/>
  <c r="T42" i="11"/>
  <c r="P43" i="11"/>
  <c r="T43" i="11"/>
  <c r="P44" i="11"/>
  <c r="T44" i="11"/>
  <c r="P45" i="11"/>
  <c r="T45" i="11"/>
  <c r="P46" i="11"/>
  <c r="T46" i="11"/>
  <c r="P50" i="11"/>
  <c r="T50" i="11"/>
  <c r="U44" i="11"/>
  <c r="T53" i="11"/>
  <c r="Q53" i="11"/>
  <c r="U45" i="18" l="1"/>
  <c r="AF45" i="18" s="1"/>
  <c r="U48" i="18"/>
  <c r="AF48" i="18" s="1"/>
  <c r="U53" i="18"/>
  <c r="AF53" i="18" s="1"/>
  <c r="U49" i="18"/>
  <c r="AF49" i="18" s="1"/>
  <c r="U47" i="18"/>
  <c r="AF47" i="18" s="1"/>
  <c r="M53" i="18"/>
  <c r="X53" i="18" s="1"/>
  <c r="T44" i="18"/>
  <c r="AE44" i="18" s="1"/>
  <c r="N43" i="18"/>
  <c r="Y43" i="18" s="1"/>
  <c r="T53" i="18"/>
  <c r="AE53" i="18" s="1"/>
  <c r="U42" i="18"/>
  <c r="AF42" i="18" s="1"/>
  <c r="U43" i="18"/>
  <c r="AF43" i="18" s="1"/>
  <c r="T45" i="18"/>
  <c r="AE45" i="18" s="1"/>
  <c r="M42" i="18"/>
  <c r="X42" i="18" s="1"/>
  <c r="T43" i="18"/>
  <c r="AE43" i="18" s="1"/>
  <c r="M41" i="18"/>
  <c r="X41" i="18" s="1"/>
  <c r="U41" i="18"/>
  <c r="AF41" i="18" s="1"/>
  <c r="T50" i="18"/>
  <c r="AE50" i="18" s="1"/>
  <c r="O42" i="18"/>
  <c r="Z42" i="18" s="1"/>
  <c r="T41" i="18"/>
  <c r="AE41" i="18" s="1"/>
  <c r="M50" i="18"/>
  <c r="X50" i="18" s="1"/>
  <c r="U44" i="18"/>
  <c r="AF44" i="18" s="1"/>
  <c r="Q50" i="18"/>
  <c r="AB50" i="18" s="1"/>
  <c r="Q52" i="18"/>
  <c r="AB52" i="18" s="1"/>
  <c r="S52" i="18"/>
  <c r="AD52" i="18" s="1"/>
  <c r="U52" i="18"/>
  <c r="AF52" i="18" s="1"/>
  <c r="T46" i="18"/>
  <c r="AE46" i="18" s="1"/>
  <c r="T52" i="18"/>
  <c r="AE52" i="18" s="1"/>
  <c r="N44" i="18"/>
  <c r="Y44" i="18" s="1"/>
  <c r="N45" i="18"/>
  <c r="Y45" i="18" s="1"/>
  <c r="Q41" i="18"/>
  <c r="AB41" i="18" s="1"/>
  <c r="M43" i="18"/>
  <c r="X43" i="18" s="1"/>
  <c r="T42" i="18"/>
  <c r="AE42" i="18" s="1"/>
  <c r="U50" i="18"/>
  <c r="AF50" i="18" s="1"/>
  <c r="U46" i="18"/>
  <c r="AF46" i="18" s="1"/>
  <c r="M45" i="18"/>
  <c r="X45" i="18" s="1"/>
  <c r="Q44" i="18"/>
  <c r="AB44" i="18" s="1"/>
  <c r="S42" i="18"/>
  <c r="AD42" i="18" s="1"/>
  <c r="N52" i="18"/>
  <c r="Y52" i="18" s="1"/>
  <c r="N42" i="18"/>
  <c r="Y42" i="18" s="1"/>
  <c r="R50" i="18"/>
  <c r="AC50" i="18" s="1"/>
  <c r="R41" i="18"/>
  <c r="AC41" i="18" s="1"/>
  <c r="S45" i="18"/>
  <c r="AD45" i="18" s="1"/>
  <c r="N53" i="18"/>
  <c r="Y53" i="18" s="1"/>
  <c r="O50" i="18"/>
  <c r="Z50" i="18" s="1"/>
  <c r="S53" i="18"/>
  <c r="AD53" i="18" s="1"/>
  <c r="R42" i="18"/>
  <c r="AC42" i="18" s="1"/>
  <c r="S46" i="18"/>
  <c r="AD46" i="18" s="1"/>
  <c r="R53" i="18"/>
  <c r="AC53" i="18" s="1"/>
  <c r="O41" i="18"/>
  <c r="Z41" i="18" s="1"/>
  <c r="Q45" i="18"/>
  <c r="AB45" i="18" s="1"/>
  <c r="N46" i="18"/>
  <c r="Y46" i="18" s="1"/>
  <c r="R43" i="18"/>
  <c r="AC43" i="18" s="1"/>
  <c r="S44" i="18"/>
  <c r="AD44" i="18" s="1"/>
  <c r="M46" i="18"/>
  <c r="X46" i="18" s="1"/>
  <c r="N50" i="18"/>
  <c r="Y50" i="18" s="1"/>
  <c r="N41" i="18"/>
  <c r="Y41" i="18" s="1"/>
  <c r="Q42" i="18"/>
  <c r="AB42" i="18" s="1"/>
  <c r="M52" i="18"/>
  <c r="X52" i="18" s="1"/>
  <c r="S43" i="18"/>
  <c r="AD43" i="18" s="1"/>
  <c r="R52" i="18"/>
  <c r="AC52" i="18" s="1"/>
  <c r="R44" i="18"/>
  <c r="AC44" i="18" s="1"/>
  <c r="O52" i="18"/>
  <c r="Z52" i="18" s="1"/>
  <c r="O44" i="18"/>
  <c r="Z44" i="18" s="1"/>
  <c r="R45" i="18"/>
  <c r="AC45" i="18" s="1"/>
  <c r="S50" i="18"/>
  <c r="AD50" i="18" s="1"/>
  <c r="O45" i="18"/>
  <c r="Z45" i="18" s="1"/>
  <c r="Q46" i="18"/>
  <c r="AB46" i="18" s="1"/>
  <c r="Q43" i="18"/>
  <c r="AB43" i="18" s="1"/>
  <c r="Q53" i="18"/>
  <c r="AB53" i="18" s="1"/>
  <c r="R46" i="18"/>
  <c r="AC46" i="18" s="1"/>
  <c r="M44" i="18"/>
  <c r="X44" i="18" s="1"/>
  <c r="O46" i="18"/>
  <c r="Z46" i="18" s="1"/>
  <c r="O43" i="18"/>
  <c r="Z43" i="18" s="1"/>
</calcChain>
</file>

<file path=xl/sharedStrings.xml><?xml version="1.0" encoding="utf-8"?>
<sst xmlns="http://schemas.openxmlformats.org/spreadsheetml/2006/main" count="1151" uniqueCount="61">
  <si>
    <t>Mode</t>
  </si>
  <si>
    <t>Drive Alone</t>
  </si>
  <si>
    <t>Shared Ride 2</t>
  </si>
  <si>
    <t>Shared Ride 3+</t>
  </si>
  <si>
    <t>Bike</t>
  </si>
  <si>
    <t>Walk</t>
  </si>
  <si>
    <t>Work Tour Mode</t>
  </si>
  <si>
    <t>Total</t>
  </si>
  <si>
    <t>Table X. Estimated-Observed Workbased Tour Mode Share Difference</t>
  </si>
  <si>
    <t>Shared Ride 2 - Driver</t>
  </si>
  <si>
    <t>Shared Ride 3+ - Driver</t>
  </si>
  <si>
    <t>DA</t>
  </si>
  <si>
    <t>SR2</t>
  </si>
  <si>
    <t>SR3+</t>
  </si>
  <si>
    <t>D-Trans</t>
  </si>
  <si>
    <t>W-Trans</t>
  </si>
  <si>
    <t>Sch Bus</t>
  </si>
  <si>
    <t>Table X. Estimated-Observed Work Tour Mode Share Difference</t>
  </si>
  <si>
    <t>Table X. Estimated-Observed School Tour Mode Share Difference</t>
  </si>
  <si>
    <t>Table X. Estimated-Observed Escort Tour Mode Share Difference</t>
  </si>
  <si>
    <t>Table X. Estimated-Observed Personal Business Tour Mode Share Difference</t>
  </si>
  <si>
    <t>Table X. Estimated-Observed Shop Tour Mode Share Difference</t>
  </si>
  <si>
    <t>Table X. Estimated-Observed Meal Tour Mode Share Difference</t>
  </si>
  <si>
    <t>Table X. Estimated-Observed Social/Recreational Tour Mode Share Difference</t>
  </si>
  <si>
    <t>School Bus</t>
  </si>
  <si>
    <t>Table X. Estimated Work Tour Mode Shares: DaySim</t>
  </si>
  <si>
    <t>Table X. Estimated Work Tour Modes: DaySim</t>
  </si>
  <si>
    <t>Table X. Estimated Workbased Tour Mode Shares: DaySim</t>
  </si>
  <si>
    <t>Table X. Estimated Workbased Tour Modes: DaySim</t>
  </si>
  <si>
    <t>Table X. Estimated School Tour Modes: DaySim</t>
  </si>
  <si>
    <t>Table X. Estimated School Tour Mode Shares: DaySim</t>
  </si>
  <si>
    <t>Table X. Estimated Escort Tour Modes: DaySim</t>
  </si>
  <si>
    <t>Table X. Estimated Escort Tour Mode Shares: DaySim</t>
  </si>
  <si>
    <t>Table X. Estimated Personal Business Tour Modes: DaySim</t>
  </si>
  <si>
    <t>Table X. Estimated Personal Business Tour Mode Shares: DaySim</t>
  </si>
  <si>
    <t>Table X. Estimated Shop Tour Modes: DaySim</t>
  </si>
  <si>
    <t>Table X. Estimated Shop Tour Mode Shares: DaySim</t>
  </si>
  <si>
    <t>Table X. Estimated Meal Tour Mode Shares: DaySim</t>
  </si>
  <si>
    <t>Table X. Estimated Meal Tour Modes: DaySim</t>
  </si>
  <si>
    <t>Table X. Estimated Social/Recreational Tour Modes: DaySim</t>
  </si>
  <si>
    <t>Table X. Estimated Social/Recreational Tour Mode Shares: DaySim</t>
  </si>
  <si>
    <t>Workbased Tour Mode</t>
  </si>
  <si>
    <t>School Tour Mode</t>
  </si>
  <si>
    <t>Escort Tour Mode</t>
  </si>
  <si>
    <t>Personal Business Tour Mode</t>
  </si>
  <si>
    <t>Meal Tour Mode</t>
  </si>
  <si>
    <t>SocRec Tour Mode</t>
  </si>
  <si>
    <t>All Purposes Tour Mode</t>
  </si>
  <si>
    <t>TRIP MODE CHOICE ALL PURPOSES: EST-OBS</t>
  </si>
  <si>
    <t>For work-based tours, it is based on Work tour mode</t>
  </si>
  <si>
    <t>This set of summaries is just a crosstabulations from the trip file based on tour mode</t>
  </si>
  <si>
    <t>Transit - localbus</t>
  </si>
  <si>
    <t>Transit - lightrail</t>
  </si>
  <si>
    <t>Transit - premium bus</t>
  </si>
  <si>
    <t>Transit - commuter rail</t>
  </si>
  <si>
    <t>Transit - ferry</t>
  </si>
  <si>
    <t>SR3</t>
  </si>
  <si>
    <t>Shop Tour Mode</t>
  </si>
  <si>
    <t>Table X. Observed Work Tour Modes: Survey</t>
  </si>
  <si>
    <t>Table X. Observed Work Tour Mode Shares: Survey</t>
  </si>
  <si>
    <t>PRS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</si>
</sst>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%"/>
    <numFmt numFmtId="165" formatCode="mm/dd/yyyy\ hh:mm:ss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2"/>
      </patternFill>
    </fill>
  </fills>
  <borders count="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8">
    <xf numFmtId="0" fontId="0" fillId="0" borderId="0"/>
    <xf numFmtId="0" fontId="2" fillId="0" borderId="0">
      <alignment wrapText="1"/>
    </xf>
    <xf numFmtId="0" fontId="5" fillId="5" borderId="0">
      <alignment wrapText="1"/>
    </xf>
    <xf numFmtId="165" fontId="5" fillId="0" borderId="0">
      <alignment wrapText="1"/>
    </xf>
    <xf numFmtId="0" fontId="5" fillId="0" borderId="0">
      <alignment wrapText="1"/>
    </xf>
    <xf numFmtId="0" fontId="5" fillId="0" borderId="0">
      <alignment wrapText="1"/>
    </xf>
    <xf numFmtId="0" fontId="5" fillId="0" borderId="0">
      <alignment wrapText="1"/>
    </xf>
    <xf numFmtId="165" fontId="5" fillId="0" borderId="0">
      <alignment wrapText="1"/>
    </xf>
  </cellStyleXfs>
  <cellXfs count="33">
    <xf numFmtId="0" fontId="0" fillId="0" borderId="0" xfId="0"/>
    <xf numFmtId="0" fontId="1" fillId="0" borderId="1" xfId="0" applyFont="1" applyBorder="1"/>
    <xf numFmtId="0" fontId="0" fillId="0" borderId="1" xfId="0" applyBorder="1"/>
    <xf numFmtId="0" fontId="1" fillId="0" borderId="0" xfId="0" applyFont="1" applyBorder="1"/>
    <xf numFmtId="0" fontId="0" fillId="0" borderId="2" xfId="0" applyBorder="1"/>
    <xf numFmtId="0" fontId="0" fillId="0" borderId="2" xfId="0" applyBorder="1" applyAlignment="1">
      <alignment horizontal="center"/>
    </xf>
    <xf numFmtId="3" fontId="0" fillId="0" borderId="0" xfId="0" applyNumberFormat="1"/>
    <xf numFmtId="0" fontId="0" fillId="0" borderId="0" xfId="0" applyBorder="1" applyAlignment="1">
      <alignment horizontal="center"/>
    </xf>
    <xf numFmtId="3" fontId="0" fillId="0" borderId="0" xfId="0" applyNumberFormat="1" applyBorder="1"/>
    <xf numFmtId="3" fontId="0" fillId="0" borderId="1" xfId="0" applyNumberFormat="1" applyFill="1" applyBorder="1"/>
    <xf numFmtId="3" fontId="0" fillId="0" borderId="2" xfId="0" applyNumberFormat="1" applyBorder="1"/>
    <xf numFmtId="0" fontId="0" fillId="0" borderId="0" xfId="0" applyBorder="1" applyAlignment="1">
      <alignment horizontal="center"/>
    </xf>
    <xf numFmtId="0" fontId="0" fillId="0" borderId="3" xfId="0" applyFill="1" applyBorder="1"/>
    <xf numFmtId="164" fontId="0" fillId="0" borderId="0" xfId="0" applyNumberFormat="1"/>
    <xf numFmtId="164" fontId="0" fillId="0" borderId="2" xfId="0" applyNumberFormat="1" applyBorder="1"/>
    <xf numFmtId="164" fontId="0" fillId="0" borderId="3" xfId="0" applyNumberFormat="1" applyBorder="1"/>
    <xf numFmtId="3" fontId="0" fillId="0" borderId="3" xfId="0" applyNumberFormat="1" applyBorder="1"/>
    <xf numFmtId="164" fontId="0" fillId="0" borderId="0" xfId="0" applyNumberFormat="1" applyBorder="1"/>
    <xf numFmtId="0" fontId="1" fillId="2" borderId="1" xfId="0" applyFont="1" applyFill="1" applyBorder="1"/>
    <xf numFmtId="0" fontId="0" fillId="2" borderId="1" xfId="0" applyFill="1" applyBorder="1"/>
    <xf numFmtId="0" fontId="0" fillId="2" borderId="2" xfId="0" applyFill="1" applyBorder="1"/>
    <xf numFmtId="0" fontId="0" fillId="2" borderId="0" xfId="0" applyFill="1"/>
    <xf numFmtId="164" fontId="0" fillId="2" borderId="0" xfId="0" applyNumberFormat="1" applyFill="1"/>
    <xf numFmtId="0" fontId="3" fillId="3" borderId="0" xfId="0" applyFont="1" applyFill="1" applyBorder="1"/>
    <xf numFmtId="0" fontId="4" fillId="3" borderId="0" xfId="0" applyFont="1" applyFill="1" applyBorder="1" applyAlignment="1">
      <alignment horizontal="center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/>
    </xf>
    <xf numFmtId="0" fontId="0" fillId="4" borderId="0" xfId="0" applyFill="1"/>
    <xf numFmtId="3" fontId="0" fillId="4" borderId="1" xfId="0" applyNumberFormat="1" applyFill="1" applyBorder="1"/>
    <xf numFmtId="164" fontId="0" fillId="4" borderId="3" xfId="0" applyNumberFormat="1" applyFill="1" applyBorder="1"/>
    <xf numFmtId="0" fontId="4" fillId="3" borderId="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Font="1" applyBorder="1" applyAlignment="1">
      <alignment horizontal="center"/>
    </xf>
  </cellXfs>
  <cellStyles count="8">
    <cellStyle name="Normal" xfId="0" builtin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worksheets/sheet10.xml" Type="http://schemas.openxmlformats.org/officeDocument/2006/relationships/worksheet"/><Relationship Id="rId11" Target="theme/theme1.xml" Type="http://schemas.openxmlformats.org/officeDocument/2006/relationships/theme"/><Relationship Id="rId12" Target="styles.xml" Type="http://schemas.openxmlformats.org/officeDocument/2006/relationships/styles"/><Relationship Id="rId13" Target="sharedStrings.xml" Type="http://schemas.openxmlformats.org/officeDocument/2006/relationships/sharedStrings"/><Relationship Id="rId14" Target="calcChain.xml" Type="http://schemas.openxmlformats.org/officeDocument/2006/relationships/calcChain"/><Relationship Id="rId15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worksheets/sheet8.xml" Type="http://schemas.openxmlformats.org/officeDocument/2006/relationships/worksheet"/><Relationship Id="rId9" Target="worksheets/sheet9.xml" Type="http://schemas.openxmlformats.org/officeDocument/2006/relationships/worksheet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AF53"/>
  <sheetViews>
    <sheetView workbookViewId="0">
      <selection activeCell="X50" sqref="X50:AF51"/>
    </sheetView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  <col min="24" max="24" customWidth="true" width="25.0" collapsed="true"/>
    <col min="25" max="33" customWidth="true" width="10.7109375" collapsed="true"/>
  </cols>
  <sheetData>
    <row r="2" spans="1:21" ht="15.75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26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31" t="s">
        <v>47</v>
      </c>
      <c r="C3" s="32"/>
      <c r="D3" s="32"/>
      <c r="E3" s="32"/>
      <c r="F3" s="32"/>
      <c r="G3" s="32"/>
      <c r="H3" s="32"/>
      <c r="I3" s="32"/>
      <c r="J3" s="11"/>
      <c r="L3" s="3"/>
      <c r="M3" s="31" t="s">
        <v>47</v>
      </c>
      <c r="N3" s="32"/>
      <c r="O3" s="32"/>
      <c r="P3" s="32"/>
      <c r="Q3" s="32"/>
      <c r="R3" s="32"/>
      <c r="S3" s="32"/>
      <c r="T3" s="32"/>
      <c r="U3" s="32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>
        <f>SUM(Work!B5,Workbased!B5,School!B5,Escort!B5,Personal_Business!B5,Shop!B5,Meal!B5,SocRec!B5)</f>
        <v>5487901.7843119791</v>
      </c>
      <c r="C5" s="6">
        <f>SUM(Work!C5,Workbased!C5,School!C5,Escort!C5,Personal_Business!C5,Shop!C5,Meal!C5,SocRec!C5)</f>
        <v>872301.60612653592</v>
      </c>
      <c r="D5" s="6">
        <f>SUM(Work!D5,Workbased!D5,School!D5,Escort!D5,Personal_Business!D5,Shop!D5,Meal!D5,SocRec!D5)</f>
        <v>367911.12524327164</v>
      </c>
      <c r="E5" s="6">
        <f>SUM(Work!E5,Workbased!E5,School!E5,Escort!E5,Personal_Business!E5,Shop!E5,Meal!E5,SocRec!E5)</f>
        <v>113555.85728768079</v>
      </c>
      <c r="F5" s="6">
        <f>SUM(Work!F5,Workbased!F5,School!F5,Escort!F5,Personal_Business!F5,Shop!F5,Meal!F5,SocRec!F5)</f>
        <v>17623.451196402697</v>
      </c>
      <c r="G5" s="6">
        <f>SUM(Work!G5,Workbased!G5,School!G5,Escort!G5,Personal_Business!G5,Shop!G5,Meal!G5,SocRec!G5)</f>
        <v>0</v>
      </c>
      <c r="H5" s="6">
        <f>SUM(Work!H5,Workbased!H5,School!H5,Escort!H5,Personal_Business!H5,Shop!H5,Meal!H5,SocRec!H5)</f>
        <v>0</v>
      </c>
      <c r="I5" s="6">
        <f>SUM(Work!I5,Workbased!I5,School!I5,Escort!I5,Personal_Business!I5,Shop!I5,Meal!I5,SocRec!I5)</f>
        <v>1686.3203314759999</v>
      </c>
      <c r="J5" s="6">
        <f>SUM(B5:I5)</f>
        <v>6860980.1444973452</v>
      </c>
      <c r="K5" s="6"/>
      <c r="L5" t="s">
        <v>1</v>
      </c>
      <c r="M5" s="6">
        <f>SUM(Work!M5,Workbased!M5,School!M5,Escort!M5,Personal_Business!M5,Shop!M5,Meal!M5,SocRec!M5)</f>
        <v>5679452</v>
      </c>
      <c r="N5" s="6">
        <f>SUM(Work!N5,Workbased!N5,School!N5,Escort!N5,Personal_Business!N5,Shop!N5,Meal!N5,SocRec!N5)</f>
        <v>974947</v>
      </c>
      <c r="O5" s="6">
        <f>SUM(Work!O5,Workbased!O5,School!O5,Escort!O5,Personal_Business!O5,Shop!O5,Meal!O5,SocRec!O5)</f>
        <v>392397</v>
      </c>
      <c r="P5" s="6">
        <f>SUM(Work!P5,Workbased!P5,School!P5,Escort!P5,Personal_Business!P5,Shop!P5,Meal!P5,SocRec!P5)</f>
        <v>211607</v>
      </c>
      <c r="Q5" s="6">
        <f>SUM(Work!Q5,Workbased!Q5,School!Q5,Escort!Q5,Personal_Business!Q5,Shop!Q5,Meal!Q5,SocRec!Q5)</f>
        <v>24952</v>
      </c>
      <c r="R5" s="6">
        <f>SUM(Work!R5,Workbased!R5,School!R5,Escort!R5,Personal_Business!R5,Shop!R5,Meal!R5,SocRec!R5)</f>
        <v>0</v>
      </c>
      <c r="S5" s="6">
        <f>SUM(Work!S5,Workbased!S5,School!S5,Escort!S5,Personal_Business!S5,Shop!S5,Meal!S5,SocRec!S5)</f>
        <v>0</v>
      </c>
      <c r="T5" s="6">
        <f>SUM(Work!T5,Workbased!T5,School!T5,Escort!T5,Personal_Business!T5,Shop!T5,Meal!T5,SocRec!T5)</f>
        <v>1169</v>
      </c>
      <c r="U5" s="6">
        <f t="shared" ref="U5:U16" si="0">SUM(M5:T5)</f>
        <v>7284524</v>
      </c>
    </row>
    <row r="6" spans="1:21" x14ac:dyDescent="0.25">
      <c r="A6" t="s">
        <v>12</v>
      </c>
      <c r="B6" s="6">
        <f>SUM(Work!B6,Workbased!B6,School!B6,Escort!B6,Personal_Business!B6,Shop!B6,Meal!B6,SocRec!B6)</f>
        <v>0</v>
      </c>
      <c r="C6" s="6">
        <f>SUM(Work!C6,Workbased!C6,School!C6,Escort!C6,Personal_Business!C6,Shop!C6,Meal!C6,SocRec!C6)</f>
        <v>2988044.8520134166</v>
      </c>
      <c r="D6" s="6">
        <f>SUM(Work!D6,Workbased!D6,School!D6,Escort!D6,Personal_Business!D6,Shop!D6,Meal!D6,SocRec!D6)</f>
        <v>578286.39053844463</v>
      </c>
      <c r="E6" s="6">
        <f>SUM(Work!E6,Workbased!E6,School!E6,Escort!E6,Personal_Business!E6,Shop!E6,Meal!E6,SocRec!E6)</f>
        <v>5197.0034058516994</v>
      </c>
      <c r="F6" s="6">
        <f>SUM(Work!F6,Workbased!F6,School!F6,Escort!F6,Personal_Business!F6,Shop!F6,Meal!F6,SocRec!F6)</f>
        <v>76570.990121661715</v>
      </c>
      <c r="G6" s="6">
        <f>SUM(Work!G6,Workbased!G6,School!G6,Escort!G6,Personal_Business!G6,Shop!G6,Meal!G6,SocRec!G6)</f>
        <v>0</v>
      </c>
      <c r="H6" s="6">
        <f>SUM(Work!H6,Workbased!H6,School!H6,Escort!H6,Personal_Business!H6,Shop!H6,Meal!H6,SocRec!H6)</f>
        <v>0</v>
      </c>
      <c r="I6" s="6">
        <f>SUM(Work!I6,Workbased!I6,School!I6,Escort!I6,Personal_Business!I6,Shop!I6,Meal!I6,SocRec!I6)</f>
        <v>45050.370104024005</v>
      </c>
      <c r="J6" s="6">
        <f t="shared" ref="J6:J16" si="1">SUM(B6:I6)</f>
        <v>3693149.606183399</v>
      </c>
      <c r="K6" s="6"/>
      <c r="L6" t="s">
        <v>12</v>
      </c>
      <c r="M6" s="6">
        <f>SUM(Work!M6,Workbased!M6,School!M6,Escort!M6,Personal_Business!M6,Shop!M6,Meal!M6,SocRec!M6)</f>
        <v>0</v>
      </c>
      <c r="N6" s="6">
        <f>SUM(Work!N6,Workbased!N6,School!N6,Escort!N6,Personal_Business!N6,Shop!N6,Meal!N6,SocRec!N6)</f>
        <v>3329475</v>
      </c>
      <c r="O6" s="6">
        <f>SUM(Work!O6,Workbased!O6,School!O6,Escort!O6,Personal_Business!O6,Shop!O6,Meal!O6,SocRec!O6)</f>
        <v>615523</v>
      </c>
      <c r="P6" s="6">
        <f>SUM(Work!P6,Workbased!P6,School!P6,Escort!P6,Personal_Business!P6,Shop!P6,Meal!P6,SocRec!P6)</f>
        <v>8062</v>
      </c>
      <c r="Q6" s="6">
        <f>SUM(Work!Q6,Workbased!Q6,School!Q6,Escort!Q6,Personal_Business!Q6,Shop!Q6,Meal!Q6,SocRec!Q6)</f>
        <v>49568</v>
      </c>
      <c r="R6" s="6">
        <f>SUM(Work!R6,Workbased!R6,School!R6,Escort!R6,Personal_Business!R6,Shop!R6,Meal!R6,SocRec!R6)</f>
        <v>0</v>
      </c>
      <c r="S6" s="6">
        <f>SUM(Work!S6,Workbased!S6,School!S6,Escort!S6,Personal_Business!S6,Shop!S6,Meal!S6,SocRec!S6)</f>
        <v>0</v>
      </c>
      <c r="T6" s="6">
        <f>SUM(Work!T6,Workbased!T6,School!T6,Escort!T6,Personal_Business!T6,Shop!T6,Meal!T6,SocRec!T6)</f>
        <v>60272</v>
      </c>
      <c r="U6" s="6">
        <f t="shared" si="0"/>
        <v>4062900</v>
      </c>
    </row>
    <row r="7" spans="1:21" x14ac:dyDescent="0.25">
      <c r="A7" t="s">
        <v>56</v>
      </c>
      <c r="B7" s="6">
        <f>SUM(Work!B7,Workbased!B7,School!B7,Escort!B7,Personal_Business!B7,Shop!B7,Meal!B7,SocRec!B7)</f>
        <v>0</v>
      </c>
      <c r="C7" s="6">
        <f>SUM(Work!C7,Workbased!C7,School!C7,Escort!C7,Personal_Business!C7,Shop!C7,Meal!C7,SocRec!C7)</f>
        <v>0</v>
      </c>
      <c r="D7" s="6">
        <f>SUM(Work!D7,Workbased!D7,School!D7,Escort!D7,Personal_Business!D7,Shop!D7,Meal!D7,SocRec!D7)</f>
        <v>2542495.5579287075</v>
      </c>
      <c r="E7" s="6">
        <f>SUM(Work!E7,Workbased!E7,School!E7,Escort!E7,Personal_Business!E7,Shop!E7,Meal!E7,SocRec!E7)</f>
        <v>4202.0137338710001</v>
      </c>
      <c r="F7" s="6">
        <f>SUM(Work!F7,Workbased!F7,School!F7,Escort!F7,Personal_Business!F7,Shop!F7,Meal!F7,SocRec!F7)</f>
        <v>20670.845848217003</v>
      </c>
      <c r="G7" s="6">
        <f>SUM(Work!G7,Workbased!G7,School!G7,Escort!G7,Personal_Business!G7,Shop!G7,Meal!G7,SocRec!G7)</f>
        <v>0</v>
      </c>
      <c r="H7" s="6">
        <f>SUM(Work!H7,Workbased!H7,School!H7,Escort!H7,Personal_Business!H7,Shop!H7,Meal!H7,SocRec!H7)</f>
        <v>0</v>
      </c>
      <c r="I7" s="6">
        <f>SUM(Work!I7,Workbased!I7,School!I7,Escort!I7,Personal_Business!I7,Shop!I7,Meal!I7,SocRec!I7)</f>
        <v>71299.33425</v>
      </c>
      <c r="J7" s="6">
        <f t="shared" si="1"/>
        <v>2638667.7517607952</v>
      </c>
      <c r="K7" s="6"/>
      <c r="L7" t="s">
        <v>56</v>
      </c>
      <c r="M7" s="6">
        <f>SUM(Work!M7,Workbased!M7,School!M7,Escort!M7,Personal_Business!M7,Shop!M7,Meal!M7,SocRec!M7)</f>
        <v>0</v>
      </c>
      <c r="N7" s="6">
        <f>SUM(Work!N7,Workbased!N7,School!N7,Escort!N7,Personal_Business!N7,Shop!N7,Meal!N7,SocRec!N7)</f>
        <v>0</v>
      </c>
      <c r="O7" s="6">
        <f>SUM(Work!O7,Workbased!O7,School!O7,Escort!O7,Personal_Business!O7,Shop!O7,Meal!O7,SocRec!O7)</f>
        <v>2696278</v>
      </c>
      <c r="P7" s="6">
        <f>SUM(Work!P7,Workbased!P7,School!P7,Escort!P7,Personal_Business!P7,Shop!P7,Meal!P7,SocRec!P7)</f>
        <v>23</v>
      </c>
      <c r="Q7" s="6">
        <f>SUM(Work!Q7,Workbased!Q7,School!Q7,Escort!Q7,Personal_Business!Q7,Shop!Q7,Meal!Q7,SocRec!Q7)</f>
        <v>22507</v>
      </c>
      <c r="R7" s="6">
        <f>SUM(Work!R7,Workbased!R7,School!R7,Escort!R7,Personal_Business!R7,Shop!R7,Meal!R7,SocRec!R7)</f>
        <v>0</v>
      </c>
      <c r="S7" s="6">
        <f>SUM(Work!S7,Workbased!S7,School!S7,Escort!S7,Personal_Business!S7,Shop!S7,Meal!S7,SocRec!S7)</f>
        <v>0</v>
      </c>
      <c r="T7" s="6">
        <f>SUM(Work!T7,Workbased!T7,School!T7,Escort!T7,Personal_Business!T7,Shop!T7,Meal!T7,SocRec!T7)</f>
        <v>59858</v>
      </c>
      <c r="U7" s="6">
        <f t="shared" si="0"/>
        <v>2778666</v>
      </c>
    </row>
    <row r="8" spans="1:21" x14ac:dyDescent="0.25">
      <c r="A8" t="s">
        <v>51</v>
      </c>
      <c r="B8" s="6">
        <f>SUM(Work!B8,Workbased!B8,School!B8,Escort!B8,Personal_Business!B8,Shop!B8,Meal!B8,SocRec!B8)</f>
        <v>0</v>
      </c>
      <c r="C8" s="6">
        <f>SUM(Work!C8,Workbased!C8,School!C8,Escort!C8,Personal_Business!C8,Shop!C8,Meal!C8,SocRec!C8)</f>
        <v>0</v>
      </c>
      <c r="D8" s="6">
        <f>SUM(Work!D8,Workbased!D8,School!D8,Escort!D8,Personal_Business!D8,Shop!D8,Meal!D8,SocRec!D8)</f>
        <v>0</v>
      </c>
      <c r="E8" s="6">
        <f>SUM(Work!E8,Workbased!E8,School!E8,Escort!E8,Personal_Business!E8,Shop!E8,Meal!E8,SocRec!E8)</f>
        <v>111303.5389245945</v>
      </c>
      <c r="F8" s="6">
        <f>SUM(Work!F8,Workbased!F8,School!F8,Escort!F8,Personal_Business!F8,Shop!F8,Meal!F8,SocRec!F8)</f>
        <v>694175.94818319683</v>
      </c>
      <c r="G8" s="6">
        <f>SUM(Work!G8,Workbased!G8,School!G8,Escort!G8,Personal_Business!G8,Shop!G8,Meal!G8,SocRec!G8)</f>
        <v>0</v>
      </c>
      <c r="H8" s="6">
        <f>SUM(Work!H8,Workbased!H8,School!H8,Escort!H8,Personal_Business!H8,Shop!H8,Meal!H8,SocRec!H8)</f>
        <v>0</v>
      </c>
      <c r="I8" s="6">
        <f>SUM(Work!I8,Workbased!I8,School!I8,Escort!I8,Personal_Business!I8,Shop!I8,Meal!I8,SocRec!I8)</f>
        <v>10298.046276788</v>
      </c>
      <c r="J8" s="6">
        <f t="shared" si="1"/>
        <v>815777.53338457935</v>
      </c>
      <c r="K8" s="6"/>
      <c r="L8" t="s">
        <v>51</v>
      </c>
      <c r="M8" s="6">
        <f>SUM(Work!M8,Workbased!M8,School!M8,Escort!M8,Personal_Business!M8,Shop!M8,Meal!M8,SocRec!M8)</f>
        <v>0</v>
      </c>
      <c r="N8" s="6">
        <f>SUM(Work!N8,Workbased!N8,School!N8,Escort!N8,Personal_Business!N8,Shop!N8,Meal!N8,SocRec!N8)</f>
        <v>0</v>
      </c>
      <c r="O8" s="6">
        <f>SUM(Work!O8,Workbased!O8,School!O8,Escort!O8,Personal_Business!O8,Shop!O8,Meal!O8,SocRec!O8)</f>
        <v>0</v>
      </c>
      <c r="P8" s="6">
        <f>SUM(Work!P8,Workbased!P8,School!P8,Escort!P8,Personal_Business!P8,Shop!P8,Meal!P8,SocRec!P8)</f>
        <v>162702</v>
      </c>
      <c r="Q8" s="6">
        <f>SUM(Work!Q8,Workbased!Q8,School!Q8,Escort!Q8,Personal_Business!Q8,Shop!Q8,Meal!Q8,SocRec!Q8)</f>
        <v>383066</v>
      </c>
      <c r="R8" s="6">
        <f>SUM(Work!R8,Workbased!R8,School!R8,Escort!R8,Personal_Business!R8,Shop!R8,Meal!R8,SocRec!R8)</f>
        <v>0</v>
      </c>
      <c r="S8" s="6">
        <f>SUM(Work!S8,Workbased!S8,School!S8,Escort!S8,Personal_Business!S8,Shop!S8,Meal!S8,SocRec!S8)</f>
        <v>0</v>
      </c>
      <c r="T8" s="6">
        <f>SUM(Work!T8,Workbased!T8,School!T8,Escort!T8,Personal_Business!T8,Shop!T8,Meal!T8,SocRec!T8)</f>
        <v>208</v>
      </c>
      <c r="U8" s="6">
        <f t="shared" si="0"/>
        <v>545976</v>
      </c>
    </row>
    <row r="9" spans="1:21" x14ac:dyDescent="0.25">
      <c r="A9" t="s">
        <v>52</v>
      </c>
      <c r="B9" s="6">
        <f>SUM(Work!B9,Workbased!B9,School!B9,Escort!B9,Personal_Business!B9,Shop!B9,Meal!B9,SocRec!B9)</f>
        <v>0</v>
      </c>
      <c r="C9" s="6">
        <f>SUM(Work!C9,Workbased!C9,School!C9,Escort!C9,Personal_Business!C9,Shop!C9,Meal!C9,SocRec!C9)</f>
        <v>0</v>
      </c>
      <c r="D9" s="6">
        <f>SUM(Work!D9,Workbased!D9,School!D9,Escort!D9,Personal_Business!D9,Shop!D9,Meal!D9,SocRec!D9)</f>
        <v>0</v>
      </c>
      <c r="E9" s="6">
        <f>SUM(Work!E9,Workbased!E9,School!E9,Escort!E9,Personal_Business!E9,Shop!E9,Meal!E9,SocRec!E9)</f>
        <v>0</v>
      </c>
      <c r="F9" s="6">
        <f>SUM(Work!F9,Workbased!F9,School!F9,Escort!F9,Personal_Business!F9,Shop!F9,Meal!F9,SocRec!F9)</f>
        <v>2479.7092862560999</v>
      </c>
      <c r="G9" s="6">
        <f>SUM(Work!G9,Workbased!G9,School!G9,Escort!G9,Personal_Business!G9,Shop!G9,Meal!G9,SocRec!G9)</f>
        <v>0</v>
      </c>
      <c r="H9" s="6">
        <f>SUM(Work!H9,Workbased!H9,School!H9,Escort!H9,Personal_Business!H9,Shop!H9,Meal!H9,SocRec!H9)</f>
        <v>0</v>
      </c>
      <c r="I9" s="6">
        <f>SUM(Work!I9,Workbased!I9,School!I9,Escort!I9,Personal_Business!I9,Shop!I9,Meal!I9,SocRec!I9)</f>
        <v>0</v>
      </c>
      <c r="J9" s="6">
        <f t="shared" si="1"/>
        <v>2479.7092862560999</v>
      </c>
      <c r="K9" s="6"/>
      <c r="L9" t="s">
        <v>52</v>
      </c>
      <c r="M9" s="6">
        <f>SUM(Work!M9,Workbased!M9,School!M9,Escort!M9,Personal_Business!M9,Shop!M9,Meal!M9,SocRec!M9)</f>
        <v>0</v>
      </c>
      <c r="N9" s="6">
        <f>SUM(Work!N9,Workbased!N9,School!N9,Escort!N9,Personal_Business!N9,Shop!N9,Meal!N9,SocRec!N9)</f>
        <v>0</v>
      </c>
      <c r="O9" s="6">
        <f>SUM(Work!O9,Workbased!O9,School!O9,Escort!O9,Personal_Business!O9,Shop!O9,Meal!O9,SocRec!O9)</f>
        <v>0</v>
      </c>
      <c r="P9" s="6">
        <f>SUM(Work!P9,Workbased!P9,School!P9,Escort!P9,Personal_Business!P9,Shop!P9,Meal!P9,SocRec!P9)</f>
        <v>0</v>
      </c>
      <c r="Q9" s="6">
        <f>SUM(Work!Q9,Workbased!Q9,School!Q9,Escort!Q9,Personal_Business!Q9,Shop!Q9,Meal!Q9,SocRec!Q9)</f>
        <v>0</v>
      </c>
      <c r="R9" s="6">
        <f>SUM(Work!R9,Workbased!R9,School!R9,Escort!R9,Personal_Business!R9,Shop!R9,Meal!R9,SocRec!R9)</f>
        <v>0</v>
      </c>
      <c r="S9" s="6">
        <f>SUM(Work!S9,Workbased!S9,School!S9,Escort!S9,Personal_Business!S9,Shop!S9,Meal!S9,SocRec!S9)</f>
        <v>0</v>
      </c>
      <c r="T9" s="6">
        <f>SUM(Work!T9,Workbased!T9,School!T9,Escort!T9,Personal_Business!T9,Shop!T9,Meal!T9,SocRec!T9)</f>
        <v>0</v>
      </c>
      <c r="U9" s="6">
        <f t="shared" si="0"/>
        <v>0</v>
      </c>
    </row>
    <row r="10" spans="1:21" x14ac:dyDescent="0.25">
      <c r="A10" t="s">
        <v>53</v>
      </c>
      <c r="B10" s="6">
        <f>SUM(Work!B10,Workbased!B10,School!B10,Escort!B10,Personal_Business!B10,Shop!B10,Meal!B10,SocRec!B10)</f>
        <v>0</v>
      </c>
      <c r="C10" s="6">
        <f>SUM(Work!C10,Workbased!C10,School!C10,Escort!C10,Personal_Business!C10,Shop!C10,Meal!C10,SocRec!C10)</f>
        <v>0</v>
      </c>
      <c r="D10" s="6">
        <f>SUM(Work!D10,Workbased!D10,School!D10,Escort!D10,Personal_Business!D10,Shop!D10,Meal!D10,SocRec!D10)</f>
        <v>0</v>
      </c>
      <c r="E10" s="6">
        <f>SUM(Work!E10,Workbased!E10,School!E10,Escort!E10,Personal_Business!E10,Shop!E10,Meal!E10,SocRec!E10)</f>
        <v>0</v>
      </c>
      <c r="F10" s="6">
        <f>SUM(Work!F10,Workbased!F10,School!F10,Escort!F10,Personal_Business!F10,Shop!F10,Meal!F10,SocRec!F10)</f>
        <v>0</v>
      </c>
      <c r="G10" s="6">
        <f>SUM(Work!G10,Workbased!G10,School!G10,Escort!G10,Personal_Business!G10,Shop!G10,Meal!G10,SocRec!G10)</f>
        <v>0</v>
      </c>
      <c r="H10" s="6">
        <f>SUM(Work!H10,Workbased!H10,School!H10,Escort!H10,Personal_Business!H10,Shop!H10,Meal!H10,SocRec!H10)</f>
        <v>0</v>
      </c>
      <c r="I10" s="6">
        <f>SUM(Work!I10,Workbased!I10,School!I10,Escort!I10,Personal_Business!I10,Shop!I10,Meal!I10,SocRec!I10)</f>
        <v>0</v>
      </c>
      <c r="J10" s="6">
        <f t="shared" si="1"/>
        <v>0</v>
      </c>
      <c r="K10" s="6"/>
      <c r="L10" t="s">
        <v>53</v>
      </c>
      <c r="M10" s="6">
        <f>SUM(Work!M10,Workbased!M10,School!M10,Escort!M10,Personal_Business!M10,Shop!M10,Meal!M10,SocRec!M10)</f>
        <v>0</v>
      </c>
      <c r="N10" s="6">
        <f>SUM(Work!N10,Workbased!N10,School!N10,Escort!N10,Personal_Business!N10,Shop!N10,Meal!N10,SocRec!N10)</f>
        <v>0</v>
      </c>
      <c r="O10" s="6">
        <f>SUM(Work!O10,Workbased!O10,School!O10,Escort!O10,Personal_Business!O10,Shop!O10,Meal!O10,SocRec!O10)</f>
        <v>0</v>
      </c>
      <c r="P10" s="6">
        <f>SUM(Work!P10,Workbased!P10,School!P10,Escort!P10,Personal_Business!P10,Shop!P10,Meal!P10,SocRec!P10)</f>
        <v>0</v>
      </c>
      <c r="Q10" s="6">
        <f>SUM(Work!Q10,Workbased!Q10,School!Q10,Escort!Q10,Personal_Business!Q10,Shop!Q10,Meal!Q10,SocRec!Q10)</f>
        <v>0</v>
      </c>
      <c r="R10" s="6">
        <f>SUM(Work!R10,Workbased!R10,School!R10,Escort!R10,Personal_Business!R10,Shop!R10,Meal!R10,SocRec!R10)</f>
        <v>0</v>
      </c>
      <c r="S10" s="6">
        <f>SUM(Work!S10,Workbased!S10,School!S10,Escort!S10,Personal_Business!S10,Shop!S10,Meal!S10,SocRec!S10)</f>
        <v>0</v>
      </c>
      <c r="T10" s="6">
        <f>SUM(Work!T10,Workbased!T10,School!T10,Escort!T10,Personal_Business!T10,Shop!T10,Meal!T10,SocRec!T10)</f>
        <v>0</v>
      </c>
      <c r="U10" s="6">
        <f t="shared" si="0"/>
        <v>0</v>
      </c>
    </row>
    <row r="11" spans="1:21" x14ac:dyDescent="0.25">
      <c r="A11" t="s">
        <v>54</v>
      </c>
      <c r="B11" s="6">
        <f>SUM(Work!B11,Workbased!B11,School!B11,Escort!B11,Personal_Business!B11,Shop!B11,Meal!B11,SocRec!B11)</f>
        <v>0</v>
      </c>
      <c r="C11" s="6">
        <f>SUM(Work!C11,Workbased!C11,School!C11,Escort!C11,Personal_Business!C11,Shop!C11,Meal!C11,SocRec!C11)</f>
        <v>0</v>
      </c>
      <c r="D11" s="6">
        <f>SUM(Work!D11,Workbased!D11,School!D11,Escort!D11,Personal_Business!D11,Shop!D11,Meal!D11,SocRec!D11)</f>
        <v>0</v>
      </c>
      <c r="E11" s="6">
        <f>SUM(Work!E11,Workbased!E11,School!E11,Escort!E11,Personal_Business!E11,Shop!E11,Meal!E11,SocRec!E11)</f>
        <v>0</v>
      </c>
      <c r="F11" s="6">
        <f>SUM(Work!F11,Workbased!F11,School!F11,Escort!F11,Personal_Business!F11,Shop!F11,Meal!F11,SocRec!F11)</f>
        <v>0</v>
      </c>
      <c r="G11" s="6">
        <f>SUM(Work!G11,Workbased!G11,School!G11,Escort!G11,Personal_Business!G11,Shop!G11,Meal!G11,SocRec!G11)</f>
        <v>0</v>
      </c>
      <c r="H11" s="6">
        <f>SUM(Work!H11,Workbased!H11,School!H11,Escort!H11,Personal_Business!H11,Shop!H11,Meal!H11,SocRec!H11)</f>
        <v>0</v>
      </c>
      <c r="I11" s="6">
        <f>SUM(Work!I11,Workbased!I11,School!I11,Escort!I11,Personal_Business!I11,Shop!I11,Meal!I11,SocRec!I11)</f>
        <v>0</v>
      </c>
      <c r="J11" s="6">
        <f t="shared" si="1"/>
        <v>0</v>
      </c>
      <c r="K11" s="6"/>
      <c r="L11" t="s">
        <v>54</v>
      </c>
      <c r="M11" s="6">
        <f>SUM(Work!M11,Workbased!M11,School!M11,Escort!M11,Personal_Business!M11,Shop!M11,Meal!M11,SocRec!M11)</f>
        <v>0</v>
      </c>
      <c r="N11" s="6">
        <f>SUM(Work!N11,Workbased!N11,School!N11,Escort!N11,Personal_Business!N11,Shop!N11,Meal!N11,SocRec!N11)</f>
        <v>0</v>
      </c>
      <c r="O11" s="6">
        <f>SUM(Work!O11,Workbased!O11,School!O11,Escort!O11,Personal_Business!O11,Shop!O11,Meal!O11,SocRec!O11)</f>
        <v>0</v>
      </c>
      <c r="P11" s="6">
        <f>SUM(Work!P11,Workbased!P11,School!P11,Escort!P11,Personal_Business!P11,Shop!P11,Meal!P11,SocRec!P11)</f>
        <v>0</v>
      </c>
      <c r="Q11" s="6">
        <f>SUM(Work!Q11,Workbased!Q11,School!Q11,Escort!Q11,Personal_Business!Q11,Shop!Q11,Meal!Q11,SocRec!Q11)</f>
        <v>0</v>
      </c>
      <c r="R11" s="6">
        <f>SUM(Work!R11,Workbased!R11,School!R11,Escort!R11,Personal_Business!R11,Shop!R11,Meal!R11,SocRec!R11)</f>
        <v>0</v>
      </c>
      <c r="S11" s="6">
        <f>SUM(Work!S11,Workbased!S11,School!S11,Escort!S11,Personal_Business!S11,Shop!S11,Meal!S11,SocRec!S11)</f>
        <v>0</v>
      </c>
      <c r="T11" s="6">
        <f>SUM(Work!T11,Workbased!T11,School!T11,Escort!T11,Personal_Business!T11,Shop!T11,Meal!T11,SocRec!T11)</f>
        <v>0</v>
      </c>
      <c r="U11" s="6">
        <f t="shared" si="0"/>
        <v>0</v>
      </c>
    </row>
    <row r="12" spans="1:21" x14ac:dyDescent="0.25">
      <c r="A12" t="s">
        <v>55</v>
      </c>
      <c r="B12" s="6">
        <f>SUM(Work!B12,Workbased!B12,School!B12,Escort!B12,Personal_Business!B12,Shop!B12,Meal!B12,SocRec!B12)</f>
        <v>0</v>
      </c>
      <c r="C12" s="6">
        <f>SUM(Work!C12,Workbased!C12,School!C12,Escort!C12,Personal_Business!C12,Shop!C12,Meal!C12,SocRec!C12)</f>
        <v>0</v>
      </c>
      <c r="D12" s="6">
        <f>SUM(Work!D12,Workbased!D12,School!D12,Escort!D12,Personal_Business!D12,Shop!D12,Meal!D12,SocRec!D12)</f>
        <v>0</v>
      </c>
      <c r="E12" s="6">
        <f>SUM(Work!E12,Workbased!E12,School!E12,Escort!E12,Personal_Business!E12,Shop!E12,Meal!E12,SocRec!E12)</f>
        <v>0</v>
      </c>
      <c r="F12" s="6">
        <f>SUM(Work!F12,Workbased!F12,School!F12,Escort!F12,Personal_Business!F12,Shop!F12,Meal!F12,SocRec!F12)</f>
        <v>0</v>
      </c>
      <c r="G12" s="6">
        <f>SUM(Work!G12,Workbased!G12,School!G12,Escort!G12,Personal_Business!G12,Shop!G12,Meal!G12,SocRec!G12)</f>
        <v>0</v>
      </c>
      <c r="H12" s="6">
        <f>SUM(Work!H12,Workbased!H12,School!H12,Escort!H12,Personal_Business!H12,Shop!H12,Meal!H12,SocRec!H12)</f>
        <v>0</v>
      </c>
      <c r="I12" s="6">
        <f>SUM(Work!I12,Workbased!I12,School!I12,Escort!I12,Personal_Business!I12,Shop!I12,Meal!I12,SocRec!I12)</f>
        <v>0</v>
      </c>
      <c r="J12" s="6">
        <f t="shared" si="1"/>
        <v>0</v>
      </c>
      <c r="K12" s="6"/>
      <c r="L12" t="s">
        <v>55</v>
      </c>
      <c r="M12" s="6">
        <f>SUM(Work!M12,Workbased!M12,School!M12,Escort!M12,Personal_Business!M12,Shop!M12,Meal!M12,SocRec!M12)</f>
        <v>0</v>
      </c>
      <c r="N12" s="6">
        <f>SUM(Work!N12,Workbased!N12,School!N12,Escort!N12,Personal_Business!N12,Shop!N12,Meal!N12,SocRec!N12)</f>
        <v>0</v>
      </c>
      <c r="O12" s="6">
        <f>SUM(Work!O12,Workbased!O12,School!O12,Escort!O12,Personal_Business!O12,Shop!O12,Meal!O12,SocRec!O12)</f>
        <v>0</v>
      </c>
      <c r="P12" s="6">
        <f>SUM(Work!P12,Workbased!P12,School!P12,Escort!P12,Personal_Business!P12,Shop!P12,Meal!P12,SocRec!P12)</f>
        <v>0</v>
      </c>
      <c r="Q12" s="6">
        <f>SUM(Work!Q12,Workbased!Q12,School!Q12,Escort!Q12,Personal_Business!Q12,Shop!Q12,Meal!Q12,SocRec!Q12)</f>
        <v>0</v>
      </c>
      <c r="R12" s="6">
        <f>SUM(Work!R12,Workbased!R12,School!R12,Escort!R12,Personal_Business!R12,Shop!R12,Meal!R12,SocRec!R12)</f>
        <v>0</v>
      </c>
      <c r="S12" s="6">
        <f>SUM(Work!S12,Workbased!S12,School!S12,Escort!S12,Personal_Business!S12,Shop!S12,Meal!S12,SocRec!S12)</f>
        <v>0</v>
      </c>
      <c r="T12" s="6">
        <f>SUM(Work!T12,Workbased!T12,School!T12,Escort!T12,Personal_Business!T12,Shop!T12,Meal!T12,SocRec!T12)</f>
        <v>0</v>
      </c>
      <c r="U12" s="6">
        <f t="shared" si="0"/>
        <v>0</v>
      </c>
    </row>
    <row r="13" spans="1:21" x14ac:dyDescent="0.25">
      <c r="A13" t="s">
        <v>24</v>
      </c>
      <c r="B13" s="6">
        <f>SUM(Work!B13,Workbased!B13,School!B13,Escort!B13,Personal_Business!B13,Shop!B13,Meal!B13,SocRec!B13)</f>
        <v>0</v>
      </c>
      <c r="C13" s="6">
        <f>SUM(Work!C13,Workbased!C13,School!C13,Escort!C13,Personal_Business!C13,Shop!C13,Meal!C13,SocRec!C13)</f>
        <v>0</v>
      </c>
      <c r="D13" s="6">
        <f>SUM(Work!D13,Workbased!D13,School!D13,Escort!D13,Personal_Business!D13,Shop!D13,Meal!D13,SocRec!D13)</f>
        <v>0</v>
      </c>
      <c r="E13" s="6">
        <f>SUM(Work!E13,Workbased!E13,School!E13,Escort!E13,Personal_Business!E13,Shop!E13,Meal!E13,SocRec!E13)</f>
        <v>0</v>
      </c>
      <c r="F13" s="6">
        <f>SUM(Work!F13,Workbased!F13,School!F13,Escort!F13,Personal_Business!F13,Shop!F13,Meal!F13,SocRec!F13)</f>
        <v>0</v>
      </c>
      <c r="G13" s="6">
        <f>SUM(Work!G13,Workbased!G13,School!G13,Escort!G13,Personal_Business!G13,Shop!G13,Meal!G13,SocRec!G13)</f>
        <v>0</v>
      </c>
      <c r="H13" s="6">
        <f>SUM(Work!H13,Workbased!H13,School!H13,Escort!H13,Personal_Business!H13,Shop!H13,Meal!H13,SocRec!H13)</f>
        <v>0</v>
      </c>
      <c r="I13" s="6">
        <f>SUM(Work!I13,Workbased!I13,School!I13,Escort!I13,Personal_Business!I13,Shop!I13,Meal!I13,SocRec!I13)</f>
        <v>364497.70098569803</v>
      </c>
      <c r="J13" s="6">
        <f t="shared" si="1"/>
        <v>364497.70098569803</v>
      </c>
      <c r="K13" s="6"/>
      <c r="L13" t="s">
        <v>24</v>
      </c>
      <c r="M13" s="6">
        <f>SUM(Work!M13,Workbased!M13,School!M13,Escort!M13,Personal_Business!M13,Shop!M13,Meal!M13,SocRec!M13)</f>
        <v>0</v>
      </c>
      <c r="N13" s="6">
        <f>SUM(Work!N13,Workbased!N13,School!N13,Escort!N13,Personal_Business!N13,Shop!N13,Meal!N13,SocRec!N13)</f>
        <v>0</v>
      </c>
      <c r="O13" s="6">
        <f>SUM(Work!O13,Workbased!O13,School!O13,Escort!O13,Personal_Business!O13,Shop!O13,Meal!O13,SocRec!O13)</f>
        <v>0</v>
      </c>
      <c r="P13" s="6">
        <f>SUM(Work!P13,Workbased!P13,School!P13,Escort!P13,Personal_Business!P13,Shop!P13,Meal!P13,SocRec!P13)</f>
        <v>0</v>
      </c>
      <c r="Q13" s="6">
        <f>SUM(Work!Q13,Workbased!Q13,School!Q13,Escort!Q13,Personal_Business!Q13,Shop!Q13,Meal!Q13,SocRec!Q13)</f>
        <v>0</v>
      </c>
      <c r="R13" s="6">
        <f>SUM(Work!R13,Workbased!R13,School!R13,Escort!R13,Personal_Business!R13,Shop!R13,Meal!R13,SocRec!R13)</f>
        <v>0</v>
      </c>
      <c r="S13" s="6">
        <f>SUM(Work!S13,Workbased!S13,School!S13,Escort!S13,Personal_Business!S13,Shop!S13,Meal!S13,SocRec!S13)</f>
        <v>0</v>
      </c>
      <c r="T13" s="6">
        <f>SUM(Work!T13,Workbased!T13,School!T13,Escort!T13,Personal_Business!T13,Shop!T13,Meal!T13,SocRec!T13)</f>
        <v>378706</v>
      </c>
      <c r="U13" s="6">
        <f t="shared" si="0"/>
        <v>378706</v>
      </c>
    </row>
    <row r="14" spans="1:21" x14ac:dyDescent="0.25">
      <c r="A14" t="s">
        <v>4</v>
      </c>
      <c r="B14" s="6">
        <f>SUM(Work!B14,Workbased!B14,School!B14,Escort!B14,Personal_Business!B14,Shop!B14,Meal!B14,SocRec!B14)</f>
        <v>4132.9028970809995</v>
      </c>
      <c r="C14" s="6">
        <f>SUM(Work!C14,Workbased!C14,School!C14,Escort!C14,Personal_Business!C14,Shop!C14,Meal!C14,SocRec!C14)</f>
        <v>13935.6750388237</v>
      </c>
      <c r="D14" s="6">
        <f>SUM(Work!D14,Workbased!D14,School!D14,Escort!D14,Personal_Business!D14,Shop!D14,Meal!D14,SocRec!D14)</f>
        <v>10855.267749194001</v>
      </c>
      <c r="E14" s="6">
        <f>SUM(Work!E14,Workbased!E14,School!E14,Escort!E14,Personal_Business!E14,Shop!E14,Meal!E14,SocRec!E14)</f>
        <v>243.46345759299999</v>
      </c>
      <c r="F14" s="6">
        <f>SUM(Work!F14,Workbased!F14,School!F14,Escort!F14,Personal_Business!F14,Shop!F14,Meal!F14,SocRec!F14)</f>
        <v>8626.2684275047995</v>
      </c>
      <c r="G14" s="6">
        <f>SUM(Work!G14,Workbased!G14,School!G14,Escort!G14,Personal_Business!G14,Shop!G14,Meal!G14,SocRec!G14)</f>
        <v>185644.45009706359</v>
      </c>
      <c r="H14" s="6">
        <f>SUM(Work!H14,Workbased!H14,School!H14,Escort!H14,Personal_Business!H14,Shop!H14,Meal!H14,SocRec!H14)</f>
        <v>0</v>
      </c>
      <c r="I14" s="6">
        <f>SUM(Work!I14,Workbased!I14,School!I14,Escort!I14,Personal_Business!I14,Shop!I14,Meal!I14,SocRec!I14)</f>
        <v>3038.6592608359997</v>
      </c>
      <c r="J14" s="6">
        <f t="shared" si="1"/>
        <v>226476.68692809608</v>
      </c>
      <c r="K14" s="6"/>
      <c r="L14" t="s">
        <v>4</v>
      </c>
      <c r="M14" s="6">
        <f>SUM(Work!M14,Workbased!M14,School!M14,Escort!M14,Personal_Business!M14,Shop!M14,Meal!M14,SocRec!M14)</f>
        <v>5667</v>
      </c>
      <c r="N14" s="6">
        <f>SUM(Work!N14,Workbased!N14,School!N14,Escort!N14,Personal_Business!N14,Shop!N14,Meal!N14,SocRec!N14)</f>
        <v>17862</v>
      </c>
      <c r="O14" s="6">
        <f>SUM(Work!O14,Workbased!O14,School!O14,Escort!O14,Personal_Business!O14,Shop!O14,Meal!O14,SocRec!O14)</f>
        <v>16380</v>
      </c>
      <c r="P14" s="6">
        <f>SUM(Work!P14,Workbased!P14,School!P14,Escort!P14,Personal_Business!P14,Shop!P14,Meal!P14,SocRec!P14)</f>
        <v>0</v>
      </c>
      <c r="Q14" s="6">
        <f>SUM(Work!Q14,Workbased!Q14,School!Q14,Escort!Q14,Personal_Business!Q14,Shop!Q14,Meal!Q14,SocRec!Q14)</f>
        <v>6788</v>
      </c>
      <c r="R14" s="6">
        <f>SUM(Work!R14,Workbased!R14,School!R14,Escort!R14,Personal_Business!R14,Shop!R14,Meal!R14,SocRec!R14)</f>
        <v>215272</v>
      </c>
      <c r="S14" s="6">
        <f>SUM(Work!S14,Workbased!S14,School!S14,Escort!S14,Personal_Business!S14,Shop!S14,Meal!S14,SocRec!S14)</f>
        <v>0</v>
      </c>
      <c r="T14" s="6">
        <f>SUM(Work!T14,Workbased!T14,School!T14,Escort!T14,Personal_Business!T14,Shop!T14,Meal!T14,SocRec!T14)</f>
        <v>2949</v>
      </c>
      <c r="U14" s="6">
        <f t="shared" si="0"/>
        <v>264918</v>
      </c>
    </row>
    <row r="15" spans="1:21" x14ac:dyDescent="0.25">
      <c r="A15" t="s">
        <v>5</v>
      </c>
      <c r="B15" s="6">
        <f>SUM(Work!B15,Workbased!B15,School!B15,Escort!B15,Personal_Business!B15,Shop!B15,Meal!B15,SocRec!B15)</f>
        <v>85641.759489933291</v>
      </c>
      <c r="C15" s="6">
        <f>SUM(Work!C15,Workbased!C15,School!C15,Escort!C15,Personal_Business!C15,Shop!C15,Meal!C15,SocRec!C15)</f>
        <v>67616.464220790906</v>
      </c>
      <c r="D15" s="6">
        <f>SUM(Work!D15,Workbased!D15,School!D15,Escort!D15,Personal_Business!D15,Shop!D15,Meal!D15,SocRec!D15)</f>
        <v>101851.0916785708</v>
      </c>
      <c r="E15" s="6">
        <f>SUM(Work!E15,Workbased!E15,School!E15,Escort!E15,Personal_Business!E15,Shop!E15,Meal!E15,SocRec!E15)</f>
        <v>13792.823585942398</v>
      </c>
      <c r="F15" s="6">
        <f>SUM(Work!F15,Workbased!F15,School!F15,Escort!F15,Personal_Business!F15,Shop!F15,Meal!F15,SocRec!F15)</f>
        <v>208431.68388148418</v>
      </c>
      <c r="G15" s="6">
        <f>SUM(Work!G15,Workbased!G15,School!G15,Escort!G15,Personal_Business!G15,Shop!G15,Meal!G15,SocRec!G15)</f>
        <v>14163.596324916802</v>
      </c>
      <c r="H15" s="6">
        <f>SUM(Work!H15,Workbased!H15,School!H15,Escort!H15,Personal_Business!H15,Shop!H15,Meal!H15,SocRec!H15)</f>
        <v>1579513.8918783711</v>
      </c>
      <c r="I15" s="6">
        <f>SUM(Work!I15,Workbased!I15,School!I15,Escort!I15,Personal_Business!I15,Shop!I15,Meal!I15,SocRec!I15)</f>
        <v>13143.316485361</v>
      </c>
      <c r="J15" s="6">
        <f t="shared" si="1"/>
        <v>2084154.6275453705</v>
      </c>
      <c r="K15" s="6"/>
      <c r="L15" t="s">
        <v>5</v>
      </c>
      <c r="M15" s="6">
        <f>SUM(Work!M15,Workbased!M15,School!M15,Escort!M15,Personal_Business!M15,Shop!M15,Meal!M15,SocRec!M15)</f>
        <v>294013</v>
      </c>
      <c r="N15" s="6">
        <f>SUM(Work!N15,Workbased!N15,School!N15,Escort!N15,Personal_Business!N15,Shop!N15,Meal!N15,SocRec!N15)</f>
        <v>213985</v>
      </c>
      <c r="O15" s="6">
        <f>SUM(Work!O15,Workbased!O15,School!O15,Escort!O15,Personal_Business!O15,Shop!O15,Meal!O15,SocRec!O15)</f>
        <v>136737</v>
      </c>
      <c r="P15" s="6">
        <f>SUM(Work!P15,Workbased!P15,School!P15,Escort!P15,Personal_Business!P15,Shop!P15,Meal!P15,SocRec!P15)</f>
        <v>0</v>
      </c>
      <c r="Q15" s="6">
        <f>SUM(Work!Q15,Workbased!Q15,School!Q15,Escort!Q15,Personal_Business!Q15,Shop!Q15,Meal!Q15,SocRec!Q15)</f>
        <v>127229</v>
      </c>
      <c r="R15" s="6">
        <f>SUM(Work!R15,Workbased!R15,School!R15,Escort!R15,Personal_Business!R15,Shop!R15,Meal!R15,SocRec!R15)</f>
        <v>37020</v>
      </c>
      <c r="S15" s="6">
        <f>SUM(Work!S15,Workbased!S15,School!S15,Escort!S15,Personal_Business!S15,Shop!S15,Meal!S15,SocRec!S15)</f>
        <v>1656362</v>
      </c>
      <c r="T15" s="6">
        <f>SUM(Work!T15,Workbased!T15,School!T15,Escort!T15,Personal_Business!T15,Shop!T15,Meal!T15,SocRec!T15)</f>
        <v>20861</v>
      </c>
      <c r="U15" s="6">
        <f t="shared" ref="U15" si="2">SUM(M15:T15)</f>
        <v>2486207</v>
      </c>
    </row>
    <row r="16" spans="1:21" x14ac:dyDescent="0.25">
      <c r="A16" s="4" t="s">
        <v>60</v>
      </c>
      <c r="B16" s="6">
        <f>SUM(Work!B16,Workbased!B16,School!B16,Escort!B16,Personal_Business!B16,Shop!B16,Meal!B16,SocRec!B16)</f>
        <v>0</v>
      </c>
      <c r="C16" s="6">
        <f>SUM(Work!C16,Workbased!C16,School!C16,Escort!C16,Personal_Business!C16,Shop!C16,Meal!C16,SocRec!C16)</f>
        <v>0</v>
      </c>
      <c r="D16" s="6">
        <f>SUM(Work!D16,Workbased!D16,School!D16,Escort!D16,Personal_Business!D16,Shop!D16,Meal!D16,SocRec!D16)</f>
        <v>0</v>
      </c>
      <c r="E16" s="6">
        <f>SUM(Work!E16,Workbased!E16,School!E16,Escort!E16,Personal_Business!E16,Shop!E16,Meal!E16,SocRec!E16)</f>
        <v>0</v>
      </c>
      <c r="F16" s="6">
        <f>SUM(Work!F16,Workbased!F16,School!F16,Escort!F16,Personal_Business!F16,Shop!F16,Meal!F16,SocRec!F16)</f>
        <v>0</v>
      </c>
      <c r="G16" s="6">
        <f>SUM(Work!G16,Workbased!G16,School!G16,Escort!G16,Personal_Business!G16,Shop!G16,Meal!G16,SocRec!G16)</f>
        <v>0</v>
      </c>
      <c r="H16" s="6">
        <f>SUM(Work!H16,Workbased!H16,School!H16,Escort!H16,Personal_Business!H16,Shop!H16,Meal!H16,SocRec!H16)</f>
        <v>0</v>
      </c>
      <c r="I16" s="6">
        <f>SUM(Work!I16,Workbased!I16,School!I16,Escort!I16,Personal_Business!I16,Shop!I16,Meal!I16,SocRec!I16)</f>
        <v>0</v>
      </c>
      <c r="J16" s="6">
        <f t="shared" si="1"/>
        <v>0</v>
      </c>
      <c r="K16" s="6"/>
      <c r="L16" s="4" t="s">
        <v>60</v>
      </c>
      <c r="M16" s="6">
        <f>SUM(Work!M16,Workbased!M16,School!M16,Escort!M16,Personal_Business!M16,Shop!M16,Meal!M16,SocRec!M16)</f>
        <v>0</v>
      </c>
      <c r="N16" s="6">
        <f>SUM(Work!N16,Workbased!N16,School!N16,Escort!N16,Personal_Business!N16,Shop!N16,Meal!N16,SocRec!N16)</f>
        <v>0</v>
      </c>
      <c r="O16" s="6">
        <f>SUM(Work!O16,Workbased!O16,School!O16,Escort!O16,Personal_Business!O16,Shop!O16,Meal!O16,SocRec!O16)</f>
        <v>0</v>
      </c>
      <c r="P16" s="6">
        <f>SUM(Work!P16,Workbased!P16,School!P16,Escort!P16,Personal_Business!P16,Shop!P16,Meal!P16,SocRec!P16)</f>
        <v>0</v>
      </c>
      <c r="Q16" s="6">
        <f>SUM(Work!Q16,Workbased!Q16,School!Q16,Escort!Q16,Personal_Business!Q16,Shop!Q16,Meal!Q16,SocRec!Q16)</f>
        <v>0</v>
      </c>
      <c r="R16" s="6">
        <f>SUM(Work!R16,Workbased!R16,School!R16,Escort!R16,Personal_Business!R16,Shop!R16,Meal!R16,SocRec!R16)</f>
        <v>0</v>
      </c>
      <c r="S16" s="6">
        <f>SUM(Work!S16,Workbased!S16,School!S16,Escort!S16,Personal_Business!S16,Shop!S16,Meal!S16,SocRec!S16)</f>
        <v>0</v>
      </c>
      <c r="T16" s="6">
        <f>SUM(Work!T16,Workbased!T16,School!T16,Escort!T16,Personal_Business!T16,Shop!T16,Meal!T16,SocRec!T16)</f>
        <v>0</v>
      </c>
      <c r="U16" s="6">
        <f t="shared" si="0"/>
        <v>0</v>
      </c>
    </row>
    <row r="17" spans="1:21" ht="15.75" thickBot="1" x14ac:dyDescent="0.3">
      <c r="A17" s="12" t="s">
        <v>7</v>
      </c>
      <c r="B17" s="16">
        <f t="shared" ref="B17:J17" si="3">SUM(B5:B16)</f>
        <v>5577676.4466989934</v>
      </c>
      <c r="C17" s="16">
        <f t="shared" si="3"/>
        <v>3941898.5973995673</v>
      </c>
      <c r="D17" s="16">
        <f t="shared" si="3"/>
        <v>3601399.4331381889</v>
      </c>
      <c r="E17" s="16">
        <f t="shared" si="3"/>
        <v>248294.70039553338</v>
      </c>
      <c r="F17" s="16">
        <f t="shared" si="3"/>
        <v>1028578.8969447233</v>
      </c>
      <c r="G17" s="16">
        <f t="shared" si="3"/>
        <v>199808.0464219804</v>
      </c>
      <c r="H17" s="16">
        <f t="shared" si="3"/>
        <v>1579513.8918783711</v>
      </c>
      <c r="I17" s="16">
        <f t="shared" si="3"/>
        <v>509013.74769418308</v>
      </c>
      <c r="J17" s="16">
        <f t="shared" si="3"/>
        <v>16686183.760571539</v>
      </c>
      <c r="L17" s="9" t="s">
        <v>7</v>
      </c>
      <c r="M17" s="16">
        <f t="shared" ref="M17:U17" si="4">SUM(M5:M16)</f>
        <v>5979132</v>
      </c>
      <c r="N17" s="16">
        <f t="shared" si="4"/>
        <v>4536269</v>
      </c>
      <c r="O17" s="16">
        <f t="shared" si="4"/>
        <v>3857315</v>
      </c>
      <c r="P17" s="16">
        <f t="shared" si="4"/>
        <v>382394</v>
      </c>
      <c r="Q17" s="16">
        <f t="shared" si="4"/>
        <v>614110</v>
      </c>
      <c r="R17" s="16">
        <f t="shared" si="4"/>
        <v>252292</v>
      </c>
      <c r="S17" s="16">
        <f t="shared" si="4"/>
        <v>1656362</v>
      </c>
      <c r="T17" s="16">
        <f t="shared" si="4"/>
        <v>524023</v>
      </c>
      <c r="U17" s="16">
        <f t="shared" si="4"/>
        <v>17801897</v>
      </c>
    </row>
    <row r="20" spans="1:21" ht="15.75" thickBot="1" x14ac:dyDescent="0.3">
      <c r="A20" s="1" t="s">
        <v>59</v>
      </c>
      <c r="B20" s="1"/>
      <c r="C20" s="2"/>
      <c r="D20" s="2"/>
      <c r="E20" s="2"/>
      <c r="F20" s="2"/>
      <c r="G20" s="2"/>
      <c r="H20" s="2"/>
      <c r="I20" s="2"/>
      <c r="J20" s="2"/>
      <c r="L20" s="1" t="s">
        <v>25</v>
      </c>
      <c r="M20" s="1"/>
      <c r="N20" s="2"/>
      <c r="O20" s="2"/>
      <c r="P20" s="2"/>
      <c r="Q20" s="2"/>
      <c r="R20" s="2"/>
      <c r="S20" s="2"/>
      <c r="T20" s="2"/>
      <c r="U20" s="2"/>
    </row>
    <row r="21" spans="1:21" x14ac:dyDescent="0.25">
      <c r="A21" s="3"/>
      <c r="B21" s="31" t="s">
        <v>47</v>
      </c>
      <c r="C21" s="32"/>
      <c r="D21" s="32"/>
      <c r="E21" s="32"/>
      <c r="F21" s="32"/>
      <c r="G21" s="32"/>
      <c r="H21" s="32"/>
      <c r="I21" s="32"/>
      <c r="J21" s="11"/>
      <c r="L21" s="3"/>
      <c r="M21" s="31" t="s">
        <v>47</v>
      </c>
      <c r="N21" s="32"/>
      <c r="O21" s="32"/>
      <c r="P21" s="32"/>
      <c r="Q21" s="32"/>
      <c r="R21" s="32"/>
      <c r="S21" s="32"/>
      <c r="T21" s="32"/>
      <c r="U21" s="32"/>
    </row>
    <row r="22" spans="1:21" x14ac:dyDescent="0.25">
      <c r="A22" s="4" t="s">
        <v>0</v>
      </c>
      <c r="B22" s="5" t="s">
        <v>11</v>
      </c>
      <c r="C22" s="5" t="s">
        <v>12</v>
      </c>
      <c r="D22" s="5" t="s">
        <v>13</v>
      </c>
      <c r="E22" s="5" t="s">
        <v>14</v>
      </c>
      <c r="F22" s="5" t="s">
        <v>15</v>
      </c>
      <c r="G22" s="5" t="s">
        <v>4</v>
      </c>
      <c r="H22" s="5" t="s">
        <v>5</v>
      </c>
      <c r="I22" s="5" t="s">
        <v>16</v>
      </c>
      <c r="J22" s="5" t="s">
        <v>7</v>
      </c>
      <c r="L22" s="4" t="s">
        <v>0</v>
      </c>
      <c r="M22" s="5" t="s">
        <v>1</v>
      </c>
      <c r="N22" s="5" t="s">
        <v>2</v>
      </c>
      <c r="O22" s="5" t="s">
        <v>3</v>
      </c>
      <c r="P22" s="5" t="s">
        <v>14</v>
      </c>
      <c r="Q22" s="5" t="s">
        <v>15</v>
      </c>
      <c r="R22" s="5" t="s">
        <v>4</v>
      </c>
      <c r="S22" s="5" t="s">
        <v>5</v>
      </c>
      <c r="T22" s="5" t="s">
        <v>16</v>
      </c>
      <c r="U22" s="5" t="s">
        <v>7</v>
      </c>
    </row>
    <row r="23" spans="1:21" x14ac:dyDescent="0.25">
      <c r="A23" t="s">
        <v>1</v>
      </c>
      <c r="B23" s="13">
        <f t="shared" ref="B23:D35" si="5">B5/B$17</f>
        <v>0.98390464860324678</v>
      </c>
      <c r="C23" s="13">
        <f t="shared" si="5"/>
        <v>0.22128971219655039</v>
      </c>
      <c r="D23" s="13">
        <f t="shared" si="5"/>
        <v>0.10215782283352033</v>
      </c>
      <c r="E23" s="13">
        <f t="shared" ref="E23:E35" si="6">IF(E$17&gt;0,E5/E$17,0)</f>
        <v>0.45734305688678151</v>
      </c>
      <c r="F23" s="13">
        <f t="shared" ref="F23:J35" si="7">F5/F$17</f>
        <v>1.713378647836462E-2</v>
      </c>
      <c r="G23" s="13">
        <f t="shared" si="7"/>
        <v>0</v>
      </c>
      <c r="H23" s="13">
        <f t="shared" si="7"/>
        <v>0</v>
      </c>
      <c r="I23" s="13">
        <f t="shared" si="7"/>
        <v>3.3129170658257857E-3</v>
      </c>
      <c r="J23" s="13">
        <f t="shared" si="7"/>
        <v>0.41117730950017661</v>
      </c>
      <c r="K23" s="6"/>
      <c r="L23" t="s">
        <v>1</v>
      </c>
      <c r="M23" s="13">
        <f t="shared" ref="M23:U23" si="8">M5/M$17</f>
        <v>0.9498790125389438</v>
      </c>
      <c r="N23" s="13">
        <f t="shared" si="8"/>
        <v>0.21492266000980101</v>
      </c>
      <c r="O23" s="13">
        <f t="shared" si="8"/>
        <v>0.10172801547190209</v>
      </c>
      <c r="P23" s="13">
        <f t="shared" si="8"/>
        <v>0.55337426842471382</v>
      </c>
      <c r="Q23" s="13">
        <f t="shared" si="8"/>
        <v>4.0631157284525571E-2</v>
      </c>
      <c r="R23" s="13">
        <f t="shared" si="8"/>
        <v>0</v>
      </c>
      <c r="S23" s="13">
        <f t="shared" si="8"/>
        <v>0</v>
      </c>
      <c r="T23" s="13">
        <f t="shared" si="8"/>
        <v>2.2308181129454241E-3</v>
      </c>
      <c r="U23" s="13">
        <f t="shared" si="8"/>
        <v>0.40919931173627172</v>
      </c>
    </row>
    <row r="24" spans="1:21" x14ac:dyDescent="0.25">
      <c r="A24" t="s">
        <v>12</v>
      </c>
      <c r="B24" s="13">
        <f t="shared" si="5"/>
        <v>0</v>
      </c>
      <c r="C24" s="13">
        <f t="shared" si="5"/>
        <v>0.7580217446447256</v>
      </c>
      <c r="D24" s="13">
        <f t="shared" si="5"/>
        <v>0.16057268883239015</v>
      </c>
      <c r="E24" s="13">
        <f t="shared" si="6"/>
        <v>2.093078667234087E-2</v>
      </c>
      <c r="F24" s="13">
        <f t="shared" si="7"/>
        <v>7.4443477645815145E-2</v>
      </c>
      <c r="G24" s="13">
        <f t="shared" si="7"/>
        <v>0</v>
      </c>
      <c r="H24" s="13">
        <f t="shared" si="7"/>
        <v>0</v>
      </c>
      <c r="I24" s="13">
        <f t="shared" si="7"/>
        <v>8.8505212890812521E-2</v>
      </c>
      <c r="J24" s="13">
        <f t="shared" si="7"/>
        <v>0.22132979350917206</v>
      </c>
      <c r="K24" s="6"/>
      <c r="L24" t="s">
        <v>12</v>
      </c>
      <c r="M24" s="13">
        <f t="shared" ref="M24:U24" si="9">M6/M$17</f>
        <v>0</v>
      </c>
      <c r="N24" s="13">
        <f t="shared" si="9"/>
        <v>0.7339677166411428</v>
      </c>
      <c r="O24" s="13">
        <f t="shared" si="9"/>
        <v>0.15957291535692575</v>
      </c>
      <c r="P24" s="13">
        <f t="shared" si="9"/>
        <v>2.1082966782951615E-2</v>
      </c>
      <c r="Q24" s="13">
        <f t="shared" si="9"/>
        <v>8.0715181319307619E-2</v>
      </c>
      <c r="R24" s="13">
        <f t="shared" si="9"/>
        <v>0</v>
      </c>
      <c r="S24" s="13">
        <f t="shared" si="9"/>
        <v>0</v>
      </c>
      <c r="T24" s="13">
        <f t="shared" si="9"/>
        <v>0.11501785226984312</v>
      </c>
      <c r="U24" s="13">
        <f t="shared" si="9"/>
        <v>0.22822848598663389</v>
      </c>
    </row>
    <row r="25" spans="1:21" x14ac:dyDescent="0.25">
      <c r="A25" t="s">
        <v>56</v>
      </c>
      <c r="B25" s="13">
        <f t="shared" si="5"/>
        <v>0</v>
      </c>
      <c r="C25" s="13">
        <f t="shared" si="5"/>
        <v>0</v>
      </c>
      <c r="D25" s="13">
        <f t="shared" si="5"/>
        <v>0.70597433168173374</v>
      </c>
      <c r="E25" s="13">
        <f t="shared" si="6"/>
        <v>1.692349344217655E-2</v>
      </c>
      <c r="F25" s="13">
        <f t="shared" si="7"/>
        <v>2.0096509766647362E-2</v>
      </c>
      <c r="G25" s="13">
        <f t="shared" si="7"/>
        <v>0</v>
      </c>
      <c r="H25" s="13">
        <f t="shared" si="7"/>
        <v>0</v>
      </c>
      <c r="I25" s="13">
        <f t="shared" si="7"/>
        <v>0.14007349422875873</v>
      </c>
      <c r="J25" s="13">
        <f t="shared" si="7"/>
        <v>0.15813488510151796</v>
      </c>
      <c r="K25" s="6"/>
      <c r="L25" t="s">
        <v>56</v>
      </c>
      <c r="M25" s="13">
        <f t="shared" ref="M25:U25" si="10">M7/M$17</f>
        <v>0</v>
      </c>
      <c r="N25" s="13">
        <f t="shared" si="10"/>
        <v>0</v>
      </c>
      <c r="O25" s="13">
        <f t="shared" si="10"/>
        <v>0.69900384075451449</v>
      </c>
      <c r="P25" s="13">
        <f t="shared" si="10"/>
        <v>6.0147387249799947E-5</v>
      </c>
      <c r="Q25" s="13">
        <f t="shared" si="10"/>
        <v>3.6649785868981127E-2</v>
      </c>
      <c r="R25" s="13">
        <f t="shared" si="10"/>
        <v>0</v>
      </c>
      <c r="S25" s="13">
        <f t="shared" si="10"/>
        <v>0</v>
      </c>
      <c r="T25" s="13">
        <f t="shared" si="10"/>
        <v>0.11422781061136629</v>
      </c>
      <c r="U25" s="13">
        <f t="shared" si="10"/>
        <v>0.15608819666802926</v>
      </c>
    </row>
    <row r="26" spans="1:21" x14ac:dyDescent="0.25">
      <c r="A26" t="s">
        <v>51</v>
      </c>
      <c r="B26" s="13">
        <f t="shared" si="5"/>
        <v>0</v>
      </c>
      <c r="C26" s="13">
        <f t="shared" si="5"/>
        <v>0</v>
      </c>
      <c r="D26" s="13">
        <f t="shared" si="5"/>
        <v>0</v>
      </c>
      <c r="E26" s="13">
        <f t="shared" si="6"/>
        <v>0.44827190732338629</v>
      </c>
      <c r="F26" s="13">
        <f t="shared" si="7"/>
        <v>0.67488838264635564</v>
      </c>
      <c r="G26" s="13">
        <f t="shared" si="7"/>
        <v>0</v>
      </c>
      <c r="H26" s="13">
        <f t="shared" si="7"/>
        <v>0</v>
      </c>
      <c r="I26" s="13">
        <f t="shared" si="7"/>
        <v>2.0231371595438901E-2</v>
      </c>
      <c r="J26" s="13">
        <f t="shared" si="7"/>
        <v>4.888940126095298E-2</v>
      </c>
      <c r="K26" s="6"/>
      <c r="L26" t="s">
        <v>51</v>
      </c>
      <c r="M26" s="13">
        <f t="shared" ref="M26:U26" si="11">M8/M$17</f>
        <v>0</v>
      </c>
      <c r="N26" s="13">
        <f t="shared" si="11"/>
        <v>0</v>
      </c>
      <c r="O26" s="13">
        <f t="shared" si="11"/>
        <v>0</v>
      </c>
      <c r="P26" s="13">
        <f t="shared" si="11"/>
        <v>0.42548261740508481</v>
      </c>
      <c r="Q26" s="13">
        <f t="shared" si="11"/>
        <v>0.62377424239957013</v>
      </c>
      <c r="R26" s="13">
        <f t="shared" si="11"/>
        <v>0</v>
      </c>
      <c r="S26" s="13">
        <f t="shared" si="11"/>
        <v>0</v>
      </c>
      <c r="T26" s="13">
        <f t="shared" si="11"/>
        <v>3.9692914242313792E-4</v>
      </c>
      <c r="U26" s="13">
        <f t="shared" si="11"/>
        <v>3.0669540442796631E-2</v>
      </c>
    </row>
    <row r="27" spans="1:21" x14ac:dyDescent="0.25">
      <c r="A27" t="s">
        <v>52</v>
      </c>
      <c r="B27" s="13">
        <f t="shared" si="5"/>
        <v>0</v>
      </c>
      <c r="C27" s="13">
        <f t="shared" si="5"/>
        <v>0</v>
      </c>
      <c r="D27" s="13">
        <f t="shared" si="5"/>
        <v>0</v>
      </c>
      <c r="E27" s="13">
        <f t="shared" si="6"/>
        <v>0</v>
      </c>
      <c r="F27" s="13">
        <f t="shared" si="7"/>
        <v>2.4108109680470737E-3</v>
      </c>
      <c r="G27" s="13">
        <f t="shared" si="7"/>
        <v>0</v>
      </c>
      <c r="H27" s="13">
        <f t="shared" si="7"/>
        <v>0</v>
      </c>
      <c r="I27" s="13">
        <f t="shared" si="7"/>
        <v>0</v>
      </c>
      <c r="J27" s="13">
        <f t="shared" si="7"/>
        <v>1.4860853277401306E-4</v>
      </c>
      <c r="K27" s="6"/>
      <c r="L27" t="s">
        <v>52</v>
      </c>
      <c r="M27" s="13">
        <f t="shared" ref="M27:U27" si="12">M9/M$17</f>
        <v>0</v>
      </c>
      <c r="N27" s="13">
        <f t="shared" si="12"/>
        <v>0</v>
      </c>
      <c r="O27" s="13">
        <f t="shared" si="12"/>
        <v>0</v>
      </c>
      <c r="P27" s="13">
        <f t="shared" si="12"/>
        <v>0</v>
      </c>
      <c r="Q27" s="13">
        <f t="shared" si="12"/>
        <v>0</v>
      </c>
      <c r="R27" s="13">
        <f t="shared" si="12"/>
        <v>0</v>
      </c>
      <c r="S27" s="13">
        <f t="shared" si="12"/>
        <v>0</v>
      </c>
      <c r="T27" s="13">
        <f t="shared" si="12"/>
        <v>0</v>
      </c>
      <c r="U27" s="13">
        <f t="shared" si="12"/>
        <v>0</v>
      </c>
    </row>
    <row r="28" spans="1:21" x14ac:dyDescent="0.25">
      <c r="A28" t="s">
        <v>53</v>
      </c>
      <c r="B28" s="13">
        <f t="shared" si="5"/>
        <v>0</v>
      </c>
      <c r="C28" s="13">
        <f t="shared" si="5"/>
        <v>0</v>
      </c>
      <c r="D28" s="13">
        <f t="shared" si="5"/>
        <v>0</v>
      </c>
      <c r="E28" s="13">
        <f t="shared" si="6"/>
        <v>0</v>
      </c>
      <c r="F28" s="13">
        <f t="shared" si="7"/>
        <v>0</v>
      </c>
      <c r="G28" s="13">
        <f t="shared" si="7"/>
        <v>0</v>
      </c>
      <c r="H28" s="13">
        <f t="shared" si="7"/>
        <v>0</v>
      </c>
      <c r="I28" s="13">
        <f t="shared" si="7"/>
        <v>0</v>
      </c>
      <c r="J28" s="13">
        <f t="shared" si="7"/>
        <v>0</v>
      </c>
      <c r="K28" s="6"/>
      <c r="L28" t="s">
        <v>53</v>
      </c>
      <c r="M28" s="13">
        <f t="shared" ref="M28:U28" si="13">M10/M$17</f>
        <v>0</v>
      </c>
      <c r="N28" s="13">
        <f t="shared" si="13"/>
        <v>0</v>
      </c>
      <c r="O28" s="13">
        <f t="shared" si="13"/>
        <v>0</v>
      </c>
      <c r="P28" s="13">
        <f t="shared" si="13"/>
        <v>0</v>
      </c>
      <c r="Q28" s="13">
        <f t="shared" si="13"/>
        <v>0</v>
      </c>
      <c r="R28" s="13">
        <f t="shared" si="13"/>
        <v>0</v>
      </c>
      <c r="S28" s="13">
        <f t="shared" si="13"/>
        <v>0</v>
      </c>
      <c r="T28" s="13">
        <f t="shared" si="13"/>
        <v>0</v>
      </c>
      <c r="U28" s="13">
        <f t="shared" si="13"/>
        <v>0</v>
      </c>
    </row>
    <row r="29" spans="1:21" x14ac:dyDescent="0.25">
      <c r="A29" t="s">
        <v>54</v>
      </c>
      <c r="B29" s="13">
        <f t="shared" si="5"/>
        <v>0</v>
      </c>
      <c r="C29" s="13">
        <f t="shared" si="5"/>
        <v>0</v>
      </c>
      <c r="D29" s="13">
        <f t="shared" si="5"/>
        <v>0</v>
      </c>
      <c r="E29" s="13">
        <f t="shared" si="6"/>
        <v>0</v>
      </c>
      <c r="F29" s="13">
        <f t="shared" si="7"/>
        <v>0</v>
      </c>
      <c r="G29" s="13">
        <f t="shared" si="7"/>
        <v>0</v>
      </c>
      <c r="H29" s="13">
        <f t="shared" si="7"/>
        <v>0</v>
      </c>
      <c r="I29" s="13">
        <f t="shared" si="7"/>
        <v>0</v>
      </c>
      <c r="J29" s="13">
        <f t="shared" si="7"/>
        <v>0</v>
      </c>
      <c r="K29" s="6"/>
      <c r="L29" t="s">
        <v>54</v>
      </c>
      <c r="M29" s="13">
        <f t="shared" ref="M29:U29" si="14">M11/M$17</f>
        <v>0</v>
      </c>
      <c r="N29" s="13">
        <f t="shared" si="14"/>
        <v>0</v>
      </c>
      <c r="O29" s="13">
        <f t="shared" si="14"/>
        <v>0</v>
      </c>
      <c r="P29" s="13">
        <f t="shared" si="14"/>
        <v>0</v>
      </c>
      <c r="Q29" s="13">
        <f t="shared" si="14"/>
        <v>0</v>
      </c>
      <c r="R29" s="13">
        <f t="shared" si="14"/>
        <v>0</v>
      </c>
      <c r="S29" s="13">
        <f t="shared" si="14"/>
        <v>0</v>
      </c>
      <c r="T29" s="13">
        <f t="shared" si="14"/>
        <v>0</v>
      </c>
      <c r="U29" s="13">
        <f t="shared" si="14"/>
        <v>0</v>
      </c>
    </row>
    <row r="30" spans="1:21" x14ac:dyDescent="0.25">
      <c r="A30" t="s">
        <v>55</v>
      </c>
      <c r="B30" s="13">
        <f t="shared" si="5"/>
        <v>0</v>
      </c>
      <c r="C30" s="13">
        <f t="shared" si="5"/>
        <v>0</v>
      </c>
      <c r="D30" s="13">
        <f t="shared" si="5"/>
        <v>0</v>
      </c>
      <c r="E30" s="13">
        <f t="shared" si="6"/>
        <v>0</v>
      </c>
      <c r="F30" s="13">
        <f t="shared" si="7"/>
        <v>0</v>
      </c>
      <c r="G30" s="13">
        <f t="shared" si="7"/>
        <v>0</v>
      </c>
      <c r="H30" s="13">
        <f t="shared" si="7"/>
        <v>0</v>
      </c>
      <c r="I30" s="13">
        <f t="shared" si="7"/>
        <v>0</v>
      </c>
      <c r="J30" s="13">
        <f t="shared" si="7"/>
        <v>0</v>
      </c>
      <c r="K30" s="6"/>
      <c r="L30" t="s">
        <v>55</v>
      </c>
      <c r="M30" s="13">
        <f t="shared" ref="M30:U30" si="15">M12/M$17</f>
        <v>0</v>
      </c>
      <c r="N30" s="13">
        <f t="shared" si="15"/>
        <v>0</v>
      </c>
      <c r="O30" s="13">
        <f t="shared" si="15"/>
        <v>0</v>
      </c>
      <c r="P30" s="13">
        <f t="shared" si="15"/>
        <v>0</v>
      </c>
      <c r="Q30" s="13">
        <f t="shared" si="15"/>
        <v>0</v>
      </c>
      <c r="R30" s="13">
        <f t="shared" si="15"/>
        <v>0</v>
      </c>
      <c r="S30" s="13">
        <f t="shared" si="15"/>
        <v>0</v>
      </c>
      <c r="T30" s="13">
        <f t="shared" si="15"/>
        <v>0</v>
      </c>
      <c r="U30" s="13">
        <f t="shared" si="15"/>
        <v>0</v>
      </c>
    </row>
    <row r="31" spans="1:21" x14ac:dyDescent="0.25">
      <c r="A31" t="s">
        <v>24</v>
      </c>
      <c r="B31" s="13">
        <f t="shared" si="5"/>
        <v>0</v>
      </c>
      <c r="C31" s="13">
        <f t="shared" si="5"/>
        <v>0</v>
      </c>
      <c r="D31" s="13">
        <f t="shared" si="5"/>
        <v>0</v>
      </c>
      <c r="E31" s="13">
        <f t="shared" si="6"/>
        <v>0</v>
      </c>
      <c r="F31" s="13">
        <f t="shared" si="7"/>
        <v>0</v>
      </c>
      <c r="G31" s="13">
        <f t="shared" si="7"/>
        <v>0</v>
      </c>
      <c r="H31" s="13">
        <f t="shared" si="7"/>
        <v>0</v>
      </c>
      <c r="I31" s="13">
        <f t="shared" si="7"/>
        <v>0.71608616198847597</v>
      </c>
      <c r="J31" s="13">
        <f t="shared" si="7"/>
        <v>2.1844281845138518E-2</v>
      </c>
      <c r="K31" s="6"/>
      <c r="L31" t="s">
        <v>24</v>
      </c>
      <c r="M31" s="13">
        <f t="shared" ref="M31:U31" si="16">M13/M$17</f>
        <v>0</v>
      </c>
      <c r="N31" s="13">
        <f t="shared" si="16"/>
        <v>0</v>
      </c>
      <c r="O31" s="13">
        <f t="shared" si="16"/>
        <v>0</v>
      </c>
      <c r="P31" s="13">
        <f t="shared" si="16"/>
        <v>0</v>
      </c>
      <c r="Q31" s="13">
        <f t="shared" si="16"/>
        <v>0</v>
      </c>
      <c r="R31" s="13">
        <f t="shared" si="16"/>
        <v>0</v>
      </c>
      <c r="S31" s="13">
        <f t="shared" si="16"/>
        <v>0</v>
      </c>
      <c r="T31" s="13">
        <f t="shared" si="16"/>
        <v>0.72268965293508114</v>
      </c>
      <c r="U31" s="13">
        <f t="shared" si="16"/>
        <v>2.1273350811994923E-2</v>
      </c>
    </row>
    <row r="32" spans="1:21" x14ac:dyDescent="0.25">
      <c r="A32" t="s">
        <v>4</v>
      </c>
      <c r="B32" s="13">
        <f t="shared" si="5"/>
        <v>7.4097214791420064E-4</v>
      </c>
      <c r="C32" s="13">
        <f t="shared" si="5"/>
        <v>3.5352697930933412E-3</v>
      </c>
      <c r="D32" s="13">
        <f t="shared" si="5"/>
        <v>3.0141804458870959E-3</v>
      </c>
      <c r="E32" s="13">
        <f t="shared" si="6"/>
        <v>9.805423039845908E-4</v>
      </c>
      <c r="F32" s="13">
        <f t="shared" si="7"/>
        <v>8.3865889657352959E-3</v>
      </c>
      <c r="G32" s="13">
        <f t="shared" si="7"/>
        <v>0.92911398425364555</v>
      </c>
      <c r="H32" s="13">
        <f t="shared" si="7"/>
        <v>0</v>
      </c>
      <c r="I32" s="13">
        <f t="shared" si="7"/>
        <v>5.9696997863044653E-3</v>
      </c>
      <c r="J32" s="13">
        <f t="shared" si="7"/>
        <v>1.3572707227595505E-2</v>
      </c>
      <c r="K32" s="6"/>
      <c r="L32" t="s">
        <v>4</v>
      </c>
      <c r="M32" s="13">
        <f t="shared" ref="M32:U32" si="17">M14/M$17</f>
        <v>9.4779643600442342E-4</v>
      </c>
      <c r="N32" s="13">
        <f t="shared" si="17"/>
        <v>3.9375971751234333E-3</v>
      </c>
      <c r="O32" s="13">
        <f t="shared" si="17"/>
        <v>4.2464771479643225E-3</v>
      </c>
      <c r="P32" s="13">
        <f t="shared" si="17"/>
        <v>0</v>
      </c>
      <c r="Q32" s="13">
        <f t="shared" si="17"/>
        <v>1.1053394343033008E-2</v>
      </c>
      <c r="R32" s="13">
        <f t="shared" si="17"/>
        <v>0.85326526405910608</v>
      </c>
      <c r="S32" s="13">
        <f t="shared" si="17"/>
        <v>0</v>
      </c>
      <c r="T32" s="13">
        <f t="shared" si="17"/>
        <v>5.6276155817588163E-3</v>
      </c>
      <c r="U32" s="13">
        <f t="shared" si="17"/>
        <v>1.4881447746832824E-2</v>
      </c>
    </row>
    <row r="33" spans="1:32" x14ac:dyDescent="0.25">
      <c r="A33" t="s">
        <v>5</v>
      </c>
      <c r="B33" s="13">
        <f t="shared" si="5"/>
        <v>1.5354379248839039E-2</v>
      </c>
      <c r="C33" s="13">
        <f t="shared" si="5"/>
        <v>1.7153273365630672E-2</v>
      </c>
      <c r="D33" s="13">
        <f t="shared" si="5"/>
        <v>2.8280976206468647E-2</v>
      </c>
      <c r="E33" s="13">
        <f t="shared" si="6"/>
        <v>5.5550213371330259E-2</v>
      </c>
      <c r="F33" s="13">
        <f t="shared" si="7"/>
        <v>0.20264044352903487</v>
      </c>
      <c r="G33" s="13">
        <f t="shared" si="7"/>
        <v>7.0886015746354336E-2</v>
      </c>
      <c r="H33" s="13">
        <f t="shared" si="7"/>
        <v>1</v>
      </c>
      <c r="I33" s="13">
        <f t="shared" si="7"/>
        <v>2.5821142444383528E-2</v>
      </c>
      <c r="J33" s="13">
        <f t="shared" si="7"/>
        <v>0.12490301302267233</v>
      </c>
      <c r="K33" s="6"/>
      <c r="L33" t="s">
        <v>5</v>
      </c>
      <c r="M33" s="13">
        <f t="shared" ref="M33:U33" si="18">M15/M$17</f>
        <v>4.9173191025051799E-2</v>
      </c>
      <c r="N33" s="13">
        <f t="shared" si="18"/>
        <v>4.7172026173932805E-2</v>
      </c>
      <c r="O33" s="13">
        <f t="shared" si="18"/>
        <v>3.5448751268693381E-2</v>
      </c>
      <c r="P33" s="13">
        <f t="shared" si="18"/>
        <v>0</v>
      </c>
      <c r="Q33" s="13">
        <f t="shared" si="18"/>
        <v>0.20717623878458258</v>
      </c>
      <c r="R33" s="13">
        <f t="shared" si="18"/>
        <v>0.1467347359408939</v>
      </c>
      <c r="S33" s="13">
        <f t="shared" si="18"/>
        <v>1</v>
      </c>
      <c r="T33" s="13">
        <f t="shared" si="18"/>
        <v>3.9809321346582119E-2</v>
      </c>
      <c r="U33" s="13">
        <f t="shared" si="18"/>
        <v>0.13965966660744078</v>
      </c>
    </row>
    <row r="34" spans="1:32" x14ac:dyDescent="0.25">
      <c r="A34" s="4" t="s">
        <v>60</v>
      </c>
      <c r="B34" s="14">
        <f t="shared" si="5"/>
        <v>0</v>
      </c>
      <c r="C34" s="14">
        <f t="shared" si="5"/>
        <v>0</v>
      </c>
      <c r="D34" s="14">
        <f t="shared" si="5"/>
        <v>0</v>
      </c>
      <c r="E34" s="13">
        <f t="shared" si="6"/>
        <v>0</v>
      </c>
      <c r="F34" s="14">
        <f t="shared" si="7"/>
        <v>0</v>
      </c>
      <c r="G34" s="14">
        <f t="shared" si="7"/>
        <v>0</v>
      </c>
      <c r="H34" s="14">
        <f t="shared" si="7"/>
        <v>0</v>
      </c>
      <c r="I34" s="14">
        <f t="shared" si="7"/>
        <v>0</v>
      </c>
      <c r="J34" s="14">
        <f t="shared" si="7"/>
        <v>0</v>
      </c>
      <c r="K34" s="6"/>
      <c r="L34" s="4" t="s">
        <v>60</v>
      </c>
      <c r="M34" s="14">
        <f t="shared" ref="M34:U34" si="19">M16/M$17</f>
        <v>0</v>
      </c>
      <c r="N34" s="14">
        <f t="shared" si="19"/>
        <v>0</v>
      </c>
      <c r="O34" s="14">
        <f t="shared" si="19"/>
        <v>0</v>
      </c>
      <c r="P34" s="14">
        <f t="shared" si="19"/>
        <v>0</v>
      </c>
      <c r="Q34" s="14">
        <f t="shared" si="19"/>
        <v>0</v>
      </c>
      <c r="R34" s="14">
        <f t="shared" si="19"/>
        <v>0</v>
      </c>
      <c r="S34" s="14">
        <f t="shared" si="19"/>
        <v>0</v>
      </c>
      <c r="T34" s="14">
        <f t="shared" si="19"/>
        <v>0</v>
      </c>
      <c r="U34" s="14">
        <f t="shared" si="19"/>
        <v>0</v>
      </c>
    </row>
    <row r="35" spans="1:32" ht="15.75" thickBot="1" x14ac:dyDescent="0.3">
      <c r="A35" s="12" t="s">
        <v>7</v>
      </c>
      <c r="B35" s="15">
        <f t="shared" si="5"/>
        <v>1</v>
      </c>
      <c r="C35" s="15">
        <f t="shared" si="5"/>
        <v>1</v>
      </c>
      <c r="D35" s="15">
        <f t="shared" si="5"/>
        <v>1</v>
      </c>
      <c r="E35" s="15">
        <f t="shared" si="6"/>
        <v>1</v>
      </c>
      <c r="F35" s="15">
        <f t="shared" si="7"/>
        <v>1</v>
      </c>
      <c r="G35" s="15">
        <f t="shared" si="7"/>
        <v>1</v>
      </c>
      <c r="H35" s="15">
        <f t="shared" si="7"/>
        <v>1</v>
      </c>
      <c r="I35" s="15">
        <f t="shared" si="7"/>
        <v>1</v>
      </c>
      <c r="J35" s="15">
        <f t="shared" si="7"/>
        <v>1</v>
      </c>
      <c r="L35" s="9" t="s">
        <v>7</v>
      </c>
      <c r="M35" s="15">
        <f t="shared" ref="M35:P35" si="20">M17/M$17</f>
        <v>1</v>
      </c>
      <c r="N35" s="15">
        <f t="shared" si="20"/>
        <v>1</v>
      </c>
      <c r="O35" s="15">
        <f t="shared" si="20"/>
        <v>1</v>
      </c>
      <c r="P35" s="15">
        <f t="shared" si="20"/>
        <v>1</v>
      </c>
      <c r="Q35" s="15">
        <f>Q17/Q$17</f>
        <v>1</v>
      </c>
      <c r="R35" s="15">
        <f>R17/R$17</f>
        <v>1</v>
      </c>
      <c r="S35" s="15">
        <f>S17/S$17</f>
        <v>1</v>
      </c>
      <c r="T35" s="15">
        <f>T17/T$17</f>
        <v>1</v>
      </c>
      <c r="U35" s="15">
        <f>U17/U$17</f>
        <v>1</v>
      </c>
    </row>
    <row r="38" spans="1:32" ht="15.75" thickBot="1" x14ac:dyDescent="0.3">
      <c r="L38" s="1" t="s">
        <v>17</v>
      </c>
      <c r="M38" s="1"/>
      <c r="N38" s="2"/>
      <c r="O38" s="2"/>
      <c r="P38" s="2"/>
      <c r="Q38" s="2"/>
      <c r="R38" s="2"/>
      <c r="S38" s="2"/>
      <c r="T38" s="2"/>
      <c r="U38" s="2"/>
      <c r="W38" s="18" t="s">
        <v>48</v>
      </c>
      <c r="X38" s="18"/>
      <c r="Y38" s="19"/>
      <c r="Z38" s="19"/>
      <c r="AA38" s="19"/>
      <c r="AB38" s="19"/>
      <c r="AC38" s="19"/>
      <c r="AD38" s="19"/>
      <c r="AE38" s="19"/>
      <c r="AF38" s="19"/>
    </row>
    <row r="39" spans="1:32" x14ac:dyDescent="0.25">
      <c r="L39" s="3"/>
      <c r="M39" s="31" t="s">
        <v>47</v>
      </c>
      <c r="N39" s="32"/>
      <c r="O39" s="32"/>
      <c r="P39" s="32"/>
      <c r="Q39" s="32"/>
      <c r="R39" s="32"/>
      <c r="S39" s="32"/>
      <c r="T39" s="32"/>
      <c r="U39" s="32"/>
      <c r="W39" s="23"/>
      <c r="X39" s="30" t="s">
        <v>47</v>
      </c>
      <c r="Y39" s="30"/>
      <c r="Z39" s="30"/>
      <c r="AA39" s="30"/>
      <c r="AB39" s="30"/>
      <c r="AC39" s="30"/>
      <c r="AD39" s="30"/>
      <c r="AE39" s="30"/>
      <c r="AF39" s="24"/>
    </row>
    <row r="40" spans="1:32" x14ac:dyDescent="0.25">
      <c r="L40" s="4" t="s">
        <v>0</v>
      </c>
      <c r="M40" s="5" t="s">
        <v>11</v>
      </c>
      <c r="N40" s="5" t="s">
        <v>12</v>
      </c>
      <c r="O40" s="5" t="s">
        <v>13</v>
      </c>
      <c r="P40" s="5" t="s">
        <v>14</v>
      </c>
      <c r="Q40" s="5" t="s">
        <v>15</v>
      </c>
      <c r="R40" s="5" t="s">
        <v>4</v>
      </c>
      <c r="S40" s="5" t="s">
        <v>5</v>
      </c>
      <c r="T40" s="5" t="s">
        <v>16</v>
      </c>
      <c r="U40" s="5" t="s">
        <v>7</v>
      </c>
      <c r="W40" s="25" t="s">
        <v>0</v>
      </c>
      <c r="X40" s="26" t="s">
        <v>11</v>
      </c>
      <c r="Y40" s="26" t="s">
        <v>12</v>
      </c>
      <c r="Z40" s="26" t="s">
        <v>13</v>
      </c>
      <c r="AA40" s="26" t="s">
        <v>14</v>
      </c>
      <c r="AB40" s="26" t="s">
        <v>15</v>
      </c>
      <c r="AC40" s="5" t="s">
        <v>4</v>
      </c>
      <c r="AD40" s="5" t="s">
        <v>5</v>
      </c>
      <c r="AE40" s="5" t="s">
        <v>16</v>
      </c>
      <c r="AF40" s="26" t="s">
        <v>7</v>
      </c>
    </row>
    <row r="41" spans="1:32" x14ac:dyDescent="0.25">
      <c r="L41" t="s">
        <v>1</v>
      </c>
      <c r="M41" s="13">
        <f t="shared" ref="M41:M51" si="21">M23-B23</f>
        <v>-3.4025636064302978E-2</v>
      </c>
      <c r="N41" s="13">
        <f t="shared" ref="N41:N51" si="22">N23-C23</f>
        <v>-6.3670521867493779E-3</v>
      </c>
      <c r="O41" s="13">
        <f t="shared" ref="O41:O51" si="23">O23-D23</f>
        <v>-4.2980736161823963E-4</v>
      </c>
      <c r="P41" s="13">
        <f t="shared" ref="P41:P51" si="24">P23-E23</f>
        <v>9.6031211537932315E-2</v>
      </c>
      <c r="Q41" s="13">
        <f t="shared" ref="Q41:Q51" si="25">Q23-F23</f>
        <v>2.3497370806160951E-2</v>
      </c>
      <c r="R41" s="13">
        <f t="shared" ref="R41:R51" si="26">R23-G23</f>
        <v>0</v>
      </c>
      <c r="S41" s="13">
        <f t="shared" ref="S41:S51" si="27">S23-H23</f>
        <v>0</v>
      </c>
      <c r="T41" s="13">
        <f t="shared" ref="T41:T51" si="28">T23-I23</f>
        <v>-1.0820989528803615E-3</v>
      </c>
      <c r="U41" s="13">
        <f t="shared" ref="U41:U51" si="29">U23-J23</f>
        <v>-1.9779977639048929E-3</v>
      </c>
      <c r="W41" s="21" t="s">
        <v>1</v>
      </c>
      <c r="X41" s="22">
        <f>M41</f>
        <v>-3.4025636064302978E-2</v>
      </c>
      <c r="Y41" s="22">
        <f t="shared" ref="Y41:AF41" si="30">N41</f>
        <v>-6.3670521867493779E-3</v>
      </c>
      <c r="Z41" s="22">
        <f t="shared" si="30"/>
        <v>-4.2980736161823963E-4</v>
      </c>
      <c r="AA41" s="22">
        <f t="shared" si="30"/>
        <v>9.6031211537932315E-2</v>
      </c>
      <c r="AB41" s="22">
        <f t="shared" si="30"/>
        <v>2.3497370806160951E-2</v>
      </c>
      <c r="AC41" s="22">
        <f t="shared" si="30"/>
        <v>0</v>
      </c>
      <c r="AD41" s="22">
        <f t="shared" si="30"/>
        <v>0</v>
      </c>
      <c r="AE41" s="22">
        <f t="shared" si="30"/>
        <v>-1.0820989528803615E-3</v>
      </c>
      <c r="AF41" s="22">
        <f t="shared" si="30"/>
        <v>-1.9779977639048929E-3</v>
      </c>
    </row>
    <row r="42" spans="1:32" x14ac:dyDescent="0.25">
      <c r="L42" t="s">
        <v>9</v>
      </c>
      <c r="M42" s="13">
        <f t="shared" si="21"/>
        <v>0</v>
      </c>
      <c r="N42" s="13">
        <f t="shared" si="22"/>
        <v>-2.4054028003582806E-2</v>
      </c>
      <c r="O42" s="13">
        <f t="shared" si="23"/>
        <v>-9.9977347546439943E-4</v>
      </c>
      <c r="P42" s="13">
        <f t="shared" si="24"/>
        <v>1.5218011061074455E-4</v>
      </c>
      <c r="Q42" s="13">
        <f t="shared" si="25"/>
        <v>6.2717036734924736E-3</v>
      </c>
      <c r="R42" s="13">
        <f t="shared" si="26"/>
        <v>0</v>
      </c>
      <c r="S42" s="13">
        <f t="shared" si="27"/>
        <v>0</v>
      </c>
      <c r="T42" s="13">
        <f t="shared" si="28"/>
        <v>2.6512639379030603E-2</v>
      </c>
      <c r="U42" s="13">
        <f t="shared" si="29"/>
        <v>6.8986924774618319E-3</v>
      </c>
      <c r="W42" s="27" t="s">
        <v>9</v>
      </c>
      <c r="X42" s="22">
        <f t="shared" ref="X42:X52" si="31">M42</f>
        <v>0</v>
      </c>
      <c r="Y42" s="22">
        <f t="shared" ref="Y42:Y53" si="32">N42</f>
        <v>-2.4054028003582806E-2</v>
      </c>
      <c r="Z42" s="22">
        <f t="shared" ref="Z42:Z53" si="33">O42</f>
        <v>-9.9977347546439943E-4</v>
      </c>
      <c r="AA42" s="22">
        <f t="shared" ref="AA42:AA53" si="34">P42</f>
        <v>1.5218011061074455E-4</v>
      </c>
      <c r="AB42" s="22">
        <f t="shared" ref="AB42:AB53" si="35">Q42</f>
        <v>6.2717036734924736E-3</v>
      </c>
      <c r="AC42" s="22">
        <f t="shared" ref="AC42:AC53" si="36">R42</f>
        <v>0</v>
      </c>
      <c r="AD42" s="22">
        <f t="shared" ref="AD42:AD53" si="37">S42</f>
        <v>0</v>
      </c>
      <c r="AE42" s="22">
        <f t="shared" ref="AE42:AE53" si="38">T42</f>
        <v>2.6512639379030603E-2</v>
      </c>
      <c r="AF42" s="22">
        <f t="shared" ref="AF42:AF53" si="39">U42</f>
        <v>6.8986924774618319E-3</v>
      </c>
    </row>
    <row r="43" spans="1:32" x14ac:dyDescent="0.25">
      <c r="L43" t="s">
        <v>10</v>
      </c>
      <c r="M43" s="13">
        <f t="shared" si="21"/>
        <v>0</v>
      </c>
      <c r="N43" s="13">
        <f t="shared" si="22"/>
        <v>0</v>
      </c>
      <c r="O43" s="13">
        <f t="shared" si="23"/>
        <v>-6.9704909272192417E-3</v>
      </c>
      <c r="P43" s="13">
        <f t="shared" si="24"/>
        <v>-1.6863346054926748E-2</v>
      </c>
      <c r="Q43" s="13">
        <f t="shared" si="25"/>
        <v>1.6553276102333765E-2</v>
      </c>
      <c r="R43" s="13">
        <f t="shared" si="26"/>
        <v>0</v>
      </c>
      <c r="S43" s="13">
        <f t="shared" si="27"/>
        <v>0</v>
      </c>
      <c r="T43" s="13">
        <f t="shared" si="28"/>
        <v>-2.5845683617392437E-2</v>
      </c>
      <c r="U43" s="13">
        <f t="shared" si="29"/>
        <v>-2.0466884334887081E-3</v>
      </c>
      <c r="W43" s="27" t="s">
        <v>10</v>
      </c>
      <c r="X43" s="22">
        <f t="shared" si="31"/>
        <v>0</v>
      </c>
      <c r="Y43" s="22">
        <f t="shared" si="32"/>
        <v>0</v>
      </c>
      <c r="Z43" s="22">
        <f t="shared" si="33"/>
        <v>-6.9704909272192417E-3</v>
      </c>
      <c r="AA43" s="22">
        <f t="shared" si="34"/>
        <v>-1.6863346054926748E-2</v>
      </c>
      <c r="AB43" s="22">
        <f t="shared" si="35"/>
        <v>1.6553276102333765E-2</v>
      </c>
      <c r="AC43" s="22">
        <f t="shared" si="36"/>
        <v>0</v>
      </c>
      <c r="AD43" s="22">
        <f t="shared" si="37"/>
        <v>0</v>
      </c>
      <c r="AE43" s="22">
        <f t="shared" si="38"/>
        <v>-2.5845683617392437E-2</v>
      </c>
      <c r="AF43" s="22">
        <f t="shared" si="39"/>
        <v>-2.0466884334887081E-3</v>
      </c>
    </row>
    <row r="44" spans="1:32" x14ac:dyDescent="0.25">
      <c r="L44" t="s">
        <v>51</v>
      </c>
      <c r="M44" s="13">
        <f t="shared" si="21"/>
        <v>0</v>
      </c>
      <c r="N44" s="13">
        <f t="shared" si="22"/>
        <v>0</v>
      </c>
      <c r="O44" s="13">
        <f t="shared" si="23"/>
        <v>0</v>
      </c>
      <c r="P44" s="13">
        <f t="shared" si="24"/>
        <v>-2.2789289918301481E-2</v>
      </c>
      <c r="Q44" s="13">
        <f t="shared" si="25"/>
        <v>-5.1114140246785511E-2</v>
      </c>
      <c r="R44" s="13">
        <f t="shared" si="26"/>
        <v>0</v>
      </c>
      <c r="S44" s="13">
        <f t="shared" si="27"/>
        <v>0</v>
      </c>
      <c r="T44" s="13">
        <f t="shared" si="28"/>
        <v>-1.9834442453015765E-2</v>
      </c>
      <c r="U44" s="13">
        <f t="shared" si="29"/>
        <v>-1.8219860818156349E-2</v>
      </c>
      <c r="W44" t="s">
        <v>51</v>
      </c>
      <c r="X44" s="22">
        <f t="shared" si="31"/>
        <v>0</v>
      </c>
      <c r="Y44" s="22">
        <f t="shared" si="32"/>
        <v>0</v>
      </c>
      <c r="Z44" s="22">
        <f t="shared" si="33"/>
        <v>0</v>
      </c>
      <c r="AA44" s="22">
        <f t="shared" si="34"/>
        <v>-2.2789289918301481E-2</v>
      </c>
      <c r="AB44" s="22">
        <f t="shared" si="35"/>
        <v>-5.1114140246785511E-2</v>
      </c>
      <c r="AC44" s="22">
        <f t="shared" si="36"/>
        <v>0</v>
      </c>
      <c r="AD44" s="22">
        <f t="shared" si="37"/>
        <v>0</v>
      </c>
      <c r="AE44" s="22">
        <f t="shared" si="38"/>
        <v>-1.9834442453015765E-2</v>
      </c>
      <c r="AF44" s="22">
        <f t="shared" si="39"/>
        <v>-1.8219860818156349E-2</v>
      </c>
    </row>
    <row r="45" spans="1:32" x14ac:dyDescent="0.25">
      <c r="L45" t="s">
        <v>52</v>
      </c>
      <c r="M45" s="13">
        <f t="shared" si="21"/>
        <v>0</v>
      </c>
      <c r="N45" s="13">
        <f t="shared" si="22"/>
        <v>0</v>
      </c>
      <c r="O45" s="13">
        <f t="shared" si="23"/>
        <v>0</v>
      </c>
      <c r="P45" s="13">
        <f t="shared" si="24"/>
        <v>0</v>
      </c>
      <c r="Q45" s="13">
        <f t="shared" si="25"/>
        <v>-2.4108109680470737E-3</v>
      </c>
      <c r="R45" s="13">
        <f t="shared" si="26"/>
        <v>0</v>
      </c>
      <c r="S45" s="13">
        <f t="shared" si="27"/>
        <v>0</v>
      </c>
      <c r="T45" s="13">
        <f t="shared" si="28"/>
        <v>0</v>
      </c>
      <c r="U45" s="13">
        <f t="shared" si="29"/>
        <v>-1.4860853277401306E-4</v>
      </c>
      <c r="W45" t="s">
        <v>52</v>
      </c>
      <c r="X45" s="22">
        <f t="shared" si="31"/>
        <v>0</v>
      </c>
      <c r="Y45" s="22">
        <f t="shared" si="32"/>
        <v>0</v>
      </c>
      <c r="Z45" s="22">
        <f t="shared" si="33"/>
        <v>0</v>
      </c>
      <c r="AA45" s="22">
        <f t="shared" si="34"/>
        <v>0</v>
      </c>
      <c r="AB45" s="22">
        <f t="shared" si="35"/>
        <v>-2.4108109680470737E-3</v>
      </c>
      <c r="AC45" s="22">
        <f t="shared" si="36"/>
        <v>0</v>
      </c>
      <c r="AD45" s="22">
        <f t="shared" si="37"/>
        <v>0</v>
      </c>
      <c r="AE45" s="22">
        <f t="shared" si="38"/>
        <v>0</v>
      </c>
      <c r="AF45" s="22">
        <f t="shared" si="39"/>
        <v>-1.4860853277401306E-4</v>
      </c>
    </row>
    <row r="46" spans="1:32" x14ac:dyDescent="0.25">
      <c r="L46" t="s">
        <v>53</v>
      </c>
      <c r="M46" s="13">
        <f t="shared" si="21"/>
        <v>0</v>
      </c>
      <c r="N46" s="13">
        <f t="shared" si="22"/>
        <v>0</v>
      </c>
      <c r="O46" s="13">
        <f t="shared" si="23"/>
        <v>0</v>
      </c>
      <c r="P46" s="13">
        <f t="shared" si="24"/>
        <v>0</v>
      </c>
      <c r="Q46" s="13">
        <f t="shared" si="25"/>
        <v>0</v>
      </c>
      <c r="R46" s="13">
        <f t="shared" si="26"/>
        <v>0</v>
      </c>
      <c r="S46" s="13">
        <f t="shared" si="27"/>
        <v>0</v>
      </c>
      <c r="T46" s="13">
        <f t="shared" si="28"/>
        <v>0</v>
      </c>
      <c r="U46" s="13">
        <f t="shared" si="29"/>
        <v>0</v>
      </c>
      <c r="W46" t="s">
        <v>53</v>
      </c>
      <c r="X46" s="22">
        <f t="shared" si="31"/>
        <v>0</v>
      </c>
      <c r="Y46" s="22">
        <f t="shared" si="32"/>
        <v>0</v>
      </c>
      <c r="Z46" s="22">
        <f t="shared" si="33"/>
        <v>0</v>
      </c>
      <c r="AA46" s="22">
        <f t="shared" si="34"/>
        <v>0</v>
      </c>
      <c r="AB46" s="22">
        <f t="shared" si="35"/>
        <v>0</v>
      </c>
      <c r="AC46" s="22">
        <f t="shared" si="36"/>
        <v>0</v>
      </c>
      <c r="AD46" s="22">
        <f t="shared" si="37"/>
        <v>0</v>
      </c>
      <c r="AE46" s="22">
        <f t="shared" si="38"/>
        <v>0</v>
      </c>
      <c r="AF46" s="22">
        <f t="shared" si="39"/>
        <v>0</v>
      </c>
    </row>
    <row r="47" spans="1:32" x14ac:dyDescent="0.25">
      <c r="L47" t="s">
        <v>54</v>
      </c>
      <c r="M47" s="13">
        <f t="shared" si="21"/>
        <v>0</v>
      </c>
      <c r="N47" s="13">
        <f t="shared" si="22"/>
        <v>0</v>
      </c>
      <c r="O47" s="13">
        <f t="shared" si="23"/>
        <v>0</v>
      </c>
      <c r="P47" s="13">
        <f t="shared" si="24"/>
        <v>0</v>
      </c>
      <c r="Q47" s="13">
        <f t="shared" si="25"/>
        <v>0</v>
      </c>
      <c r="R47" s="13">
        <f t="shared" si="26"/>
        <v>0</v>
      </c>
      <c r="S47" s="13">
        <f t="shared" si="27"/>
        <v>0</v>
      </c>
      <c r="T47" s="13">
        <f t="shared" si="28"/>
        <v>0</v>
      </c>
      <c r="U47" s="13">
        <f t="shared" si="29"/>
        <v>0</v>
      </c>
      <c r="W47" t="s">
        <v>54</v>
      </c>
      <c r="X47" s="22">
        <f t="shared" si="31"/>
        <v>0</v>
      </c>
      <c r="Y47" s="22">
        <f t="shared" si="32"/>
        <v>0</v>
      </c>
      <c r="Z47" s="22">
        <f t="shared" si="33"/>
        <v>0</v>
      </c>
      <c r="AA47" s="22">
        <f t="shared" si="34"/>
        <v>0</v>
      </c>
      <c r="AB47" s="22">
        <f t="shared" si="35"/>
        <v>0</v>
      </c>
      <c r="AC47" s="22">
        <f t="shared" si="36"/>
        <v>0</v>
      </c>
      <c r="AD47" s="22">
        <f t="shared" si="37"/>
        <v>0</v>
      </c>
      <c r="AE47" s="22">
        <f t="shared" si="38"/>
        <v>0</v>
      </c>
      <c r="AF47" s="22">
        <f t="shared" si="39"/>
        <v>0</v>
      </c>
    </row>
    <row r="48" spans="1:32" x14ac:dyDescent="0.25">
      <c r="L48" t="s">
        <v>55</v>
      </c>
      <c r="M48" s="13">
        <f t="shared" si="21"/>
        <v>0</v>
      </c>
      <c r="N48" s="13">
        <f t="shared" si="22"/>
        <v>0</v>
      </c>
      <c r="O48" s="13">
        <f t="shared" si="23"/>
        <v>0</v>
      </c>
      <c r="P48" s="13">
        <f t="shared" si="24"/>
        <v>0</v>
      </c>
      <c r="Q48" s="13">
        <f t="shared" si="25"/>
        <v>0</v>
      </c>
      <c r="R48" s="13">
        <f t="shared" si="26"/>
        <v>0</v>
      </c>
      <c r="S48" s="13">
        <f t="shared" si="27"/>
        <v>0</v>
      </c>
      <c r="T48" s="13">
        <f t="shared" si="28"/>
        <v>0</v>
      </c>
      <c r="U48" s="13">
        <f t="shared" si="29"/>
        <v>0</v>
      </c>
      <c r="W48" t="s">
        <v>55</v>
      </c>
      <c r="X48" s="22">
        <f t="shared" si="31"/>
        <v>0</v>
      </c>
      <c r="Y48" s="22">
        <f t="shared" si="32"/>
        <v>0</v>
      </c>
      <c r="Z48" s="22">
        <f t="shared" si="33"/>
        <v>0</v>
      </c>
      <c r="AA48" s="22">
        <f t="shared" si="34"/>
        <v>0</v>
      </c>
      <c r="AB48" s="22">
        <f t="shared" si="35"/>
        <v>0</v>
      </c>
      <c r="AC48" s="22">
        <f t="shared" si="36"/>
        <v>0</v>
      </c>
      <c r="AD48" s="22">
        <f t="shared" si="37"/>
        <v>0</v>
      </c>
      <c r="AE48" s="22">
        <f t="shared" si="38"/>
        <v>0</v>
      </c>
      <c r="AF48" s="22">
        <f t="shared" si="39"/>
        <v>0</v>
      </c>
    </row>
    <row r="49" spans="12:32" x14ac:dyDescent="0.25">
      <c r="L49" t="s">
        <v>24</v>
      </c>
      <c r="M49" s="13">
        <f t="shared" si="21"/>
        <v>0</v>
      </c>
      <c r="N49" s="13">
        <f t="shared" si="22"/>
        <v>0</v>
      </c>
      <c r="O49" s="13">
        <f t="shared" si="23"/>
        <v>0</v>
      </c>
      <c r="P49" s="13">
        <f t="shared" si="24"/>
        <v>0</v>
      </c>
      <c r="Q49" s="13">
        <f t="shared" si="25"/>
        <v>0</v>
      </c>
      <c r="R49" s="13">
        <f t="shared" si="26"/>
        <v>0</v>
      </c>
      <c r="S49" s="13">
        <f t="shared" si="27"/>
        <v>0</v>
      </c>
      <c r="T49" s="13">
        <f t="shared" si="28"/>
        <v>6.6034909466051728E-3</v>
      </c>
      <c r="U49" s="13">
        <f t="shared" si="29"/>
        <v>-5.7093103314359572E-4</v>
      </c>
      <c r="W49" s="21" t="s">
        <v>24</v>
      </c>
      <c r="X49" s="22">
        <f t="shared" si="31"/>
        <v>0</v>
      </c>
      <c r="Y49" s="22">
        <f t="shared" si="32"/>
        <v>0</v>
      </c>
      <c r="Z49" s="22">
        <f t="shared" si="33"/>
        <v>0</v>
      </c>
      <c r="AA49" s="22">
        <f t="shared" si="34"/>
        <v>0</v>
      </c>
      <c r="AB49" s="22">
        <f t="shared" si="35"/>
        <v>0</v>
      </c>
      <c r="AC49" s="22">
        <f t="shared" si="36"/>
        <v>0</v>
      </c>
      <c r="AD49" s="22">
        <f t="shared" si="37"/>
        <v>0</v>
      </c>
      <c r="AE49" s="22">
        <f t="shared" si="38"/>
        <v>6.6034909466051728E-3</v>
      </c>
      <c r="AF49" s="22">
        <f t="shared" si="39"/>
        <v>-5.7093103314359572E-4</v>
      </c>
    </row>
    <row r="50" spans="12:32" x14ac:dyDescent="0.25">
      <c r="L50" t="s">
        <v>4</v>
      </c>
      <c r="M50" s="13">
        <f t="shared" si="21"/>
        <v>2.0682428809022278E-4</v>
      </c>
      <c r="N50" s="13">
        <f t="shared" si="22"/>
        <v>4.0232738203009209E-4</v>
      </c>
      <c r="O50" s="13">
        <f t="shared" si="23"/>
        <v>1.2322967020772266E-3</v>
      </c>
      <c r="P50" s="13">
        <f t="shared" si="24"/>
        <v>-9.805423039845908E-4</v>
      </c>
      <c r="Q50" s="13">
        <f t="shared" si="25"/>
        <v>2.6668053772977117E-3</v>
      </c>
      <c r="R50" s="13">
        <f t="shared" si="26"/>
        <v>-7.5848720194539476E-2</v>
      </c>
      <c r="S50" s="13">
        <f t="shared" si="27"/>
        <v>0</v>
      </c>
      <c r="T50" s="13">
        <f t="shared" si="28"/>
        <v>-3.4208420454564896E-4</v>
      </c>
      <c r="U50" s="13">
        <f t="shared" si="29"/>
        <v>1.308740519237319E-3</v>
      </c>
      <c r="W50" s="27" t="s">
        <v>4</v>
      </c>
      <c r="X50" s="22">
        <f t="shared" si="31"/>
        <v>2.0682428809022278E-4</v>
      </c>
      <c r="Y50" s="22">
        <f t="shared" si="32"/>
        <v>4.0232738203009209E-4</v>
      </c>
      <c r="Z50" s="22">
        <f t="shared" si="33"/>
        <v>1.2322967020772266E-3</v>
      </c>
      <c r="AA50" s="22">
        <f t="shared" si="34"/>
        <v>-9.805423039845908E-4</v>
      </c>
      <c r="AB50" s="22">
        <f t="shared" si="35"/>
        <v>2.6668053772977117E-3</v>
      </c>
      <c r="AC50" s="22">
        <f t="shared" si="36"/>
        <v>-7.5848720194539476E-2</v>
      </c>
      <c r="AD50" s="22">
        <f t="shared" si="37"/>
        <v>0</v>
      </c>
      <c r="AE50" s="22">
        <f t="shared" si="38"/>
        <v>-3.4208420454564896E-4</v>
      </c>
      <c r="AF50" s="22">
        <f t="shared" si="39"/>
        <v>1.308740519237319E-3</v>
      </c>
    </row>
    <row r="51" spans="12:32" x14ac:dyDescent="0.25">
      <c r="L51" t="s">
        <v>5</v>
      </c>
      <c r="M51" s="13">
        <f t="shared" si="21"/>
        <v>3.3818811776212758E-2</v>
      </c>
      <c r="N51" s="13">
        <f t="shared" si="22"/>
        <v>3.0018752808302133E-2</v>
      </c>
      <c r="O51" s="13">
        <f t="shared" si="23"/>
        <v>7.1677750622247335E-3</v>
      </c>
      <c r="P51" s="13">
        <f t="shared" si="24"/>
        <v>-5.5550213371330259E-2</v>
      </c>
      <c r="Q51" s="13">
        <f t="shared" si="25"/>
        <v>4.5357952555477032E-3</v>
      </c>
      <c r="R51" s="13">
        <f t="shared" si="26"/>
        <v>7.5848720194539559E-2</v>
      </c>
      <c r="S51" s="13">
        <f t="shared" si="27"/>
        <v>0</v>
      </c>
      <c r="T51" s="13">
        <f t="shared" si="28"/>
        <v>1.3988178902198591E-2</v>
      </c>
      <c r="U51" s="13">
        <f t="shared" si="29"/>
        <v>1.475665358476845E-2</v>
      </c>
      <c r="W51" s="27" t="s">
        <v>5</v>
      </c>
      <c r="X51" s="22">
        <f t="shared" ref="X51" si="40">M51</f>
        <v>3.3818811776212758E-2</v>
      </c>
      <c r="Y51" s="22">
        <f t="shared" ref="Y51" si="41">N51</f>
        <v>3.0018752808302133E-2</v>
      </c>
      <c r="Z51" s="22">
        <f t="shared" ref="Z51" si="42">O51</f>
        <v>7.1677750622247335E-3</v>
      </c>
      <c r="AA51" s="22">
        <f t="shared" ref="AA51" si="43">P51</f>
        <v>-5.5550213371330259E-2</v>
      </c>
      <c r="AB51" s="22">
        <f t="shared" ref="AB51" si="44">Q51</f>
        <v>4.5357952555477032E-3</v>
      </c>
      <c r="AC51" s="22">
        <f t="shared" ref="AC51" si="45">R51</f>
        <v>7.5848720194539559E-2</v>
      </c>
      <c r="AD51" s="22">
        <f t="shared" ref="AD51" si="46">S51</f>
        <v>0</v>
      </c>
      <c r="AE51" s="22">
        <f t="shared" ref="AE51" si="47">T51</f>
        <v>1.3988178902198591E-2</v>
      </c>
      <c r="AF51" s="22">
        <f t="shared" ref="AF51" si="48">U51</f>
        <v>1.475665358476845E-2</v>
      </c>
    </row>
    <row r="52" spans="12:32" x14ac:dyDescent="0.25">
      <c r="L52" s="4" t="s">
        <v>60</v>
      </c>
      <c r="M52" s="17">
        <f t="shared" ref="M52:P53" si="49">M34-B34</f>
        <v>0</v>
      </c>
      <c r="N52" s="17">
        <f t="shared" si="49"/>
        <v>0</v>
      </c>
      <c r="O52" s="17">
        <f t="shared" si="49"/>
        <v>0</v>
      </c>
      <c r="P52" s="17">
        <f t="shared" si="49"/>
        <v>0</v>
      </c>
      <c r="Q52" s="17">
        <f t="shared" ref="Q52:U53" si="50">Q34-F34</f>
        <v>0</v>
      </c>
      <c r="R52" s="17">
        <f t="shared" si="50"/>
        <v>0</v>
      </c>
      <c r="S52" s="17">
        <f t="shared" si="50"/>
        <v>0</v>
      </c>
      <c r="T52" s="17">
        <f t="shared" si="50"/>
        <v>0</v>
      </c>
      <c r="U52" s="13">
        <f t="shared" si="50"/>
        <v>0</v>
      </c>
      <c r="W52" s="20" t="s">
        <v>60</v>
      </c>
      <c r="X52" s="22">
        <f t="shared" si="31"/>
        <v>0</v>
      </c>
      <c r="Y52" s="22">
        <f t="shared" si="32"/>
        <v>0</v>
      </c>
      <c r="Z52" s="22">
        <f t="shared" si="33"/>
        <v>0</v>
      </c>
      <c r="AA52" s="22">
        <f t="shared" si="34"/>
        <v>0</v>
      </c>
      <c r="AB52" s="22">
        <f t="shared" si="35"/>
        <v>0</v>
      </c>
      <c r="AC52" s="22">
        <f t="shared" si="36"/>
        <v>0</v>
      </c>
      <c r="AD52" s="22">
        <f t="shared" si="37"/>
        <v>0</v>
      </c>
      <c r="AE52" s="22">
        <f t="shared" si="38"/>
        <v>0</v>
      </c>
      <c r="AF52" s="22">
        <f t="shared" si="39"/>
        <v>0</v>
      </c>
    </row>
    <row r="53" spans="12:32" ht="15.75" thickBot="1" x14ac:dyDescent="0.3">
      <c r="L53" s="9" t="s">
        <v>7</v>
      </c>
      <c r="M53" s="15">
        <f t="shared" si="49"/>
        <v>0</v>
      </c>
      <c r="N53" s="15">
        <f t="shared" si="49"/>
        <v>0</v>
      </c>
      <c r="O53" s="15">
        <f t="shared" si="49"/>
        <v>0</v>
      </c>
      <c r="P53" s="15">
        <f t="shared" si="49"/>
        <v>0</v>
      </c>
      <c r="Q53" s="15">
        <f t="shared" si="50"/>
        <v>0</v>
      </c>
      <c r="R53" s="15">
        <f t="shared" si="50"/>
        <v>0</v>
      </c>
      <c r="S53" s="15">
        <f t="shared" si="50"/>
        <v>0</v>
      </c>
      <c r="T53" s="15">
        <f t="shared" si="50"/>
        <v>0</v>
      </c>
      <c r="U53" s="15">
        <f t="shared" si="50"/>
        <v>0</v>
      </c>
      <c r="W53" s="28" t="s">
        <v>7</v>
      </c>
      <c r="X53" s="29">
        <f>M53</f>
        <v>0</v>
      </c>
      <c r="Y53" s="29">
        <f t="shared" si="32"/>
        <v>0</v>
      </c>
      <c r="Z53" s="29">
        <f t="shared" si="33"/>
        <v>0</v>
      </c>
      <c r="AA53" s="29">
        <f t="shared" si="34"/>
        <v>0</v>
      </c>
      <c r="AB53" s="29">
        <f t="shared" si="35"/>
        <v>0</v>
      </c>
      <c r="AC53" s="29">
        <f t="shared" si="36"/>
        <v>0</v>
      </c>
      <c r="AD53" s="29">
        <f t="shared" si="37"/>
        <v>0</v>
      </c>
      <c r="AE53" s="29">
        <f t="shared" si="38"/>
        <v>0</v>
      </c>
      <c r="AF53" s="29">
        <f t="shared" si="39"/>
        <v>0</v>
      </c>
    </row>
  </sheetData>
  <mergeCells count="6">
    <mergeCell ref="X39:AE39"/>
    <mergeCell ref="B3:I3"/>
    <mergeCell ref="M3:U3"/>
    <mergeCell ref="B21:I21"/>
    <mergeCell ref="M21:U21"/>
    <mergeCell ref="M39:U39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AF53"/>
  <sheetViews>
    <sheetView workbookViewId="0">
      <selection activeCell="M16" sqref="M16:T16"/>
    </sheetView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r="2" spans="1:21" ht="15.75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28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31" t="s">
        <v>41</v>
      </c>
      <c r="C3" s="31"/>
      <c r="D3" s="31"/>
      <c r="E3" s="31"/>
      <c r="F3" s="31"/>
      <c r="G3" s="31"/>
      <c r="H3" s="31"/>
      <c r="I3" s="31"/>
      <c r="J3" s="7"/>
      <c r="L3" s="3"/>
      <c r="M3" s="31" t="s">
        <v>41</v>
      </c>
      <c r="N3" s="31"/>
      <c r="O3" s="31"/>
      <c r="P3" s="31"/>
      <c r="Q3" s="31"/>
      <c r="R3" s="31"/>
      <c r="S3" s="31"/>
      <c r="T3" s="31"/>
      <c r="U3" s="31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164820.2649660987</v>
      </c>
      <c r="C5" s="6" t="n">
        <v>5896.5215928702</v>
      </c>
      <c r="D5" s="6" t="n">
        <v>1862.7626499472</v>
      </c>
      <c r="E5" s="6" t="n">
        <v>0.0</v>
      </c>
      <c r="F5" s="6" t="n">
        <v>18.7005063981</v>
      </c>
      <c r="G5" s="6" t="n">
        <v>0.0</v>
      </c>
      <c r="H5" s="6" t="n">
        <v>0.0</v>
      </c>
      <c r="I5" s="6" t="n">
        <v>0.0</v>
      </c>
      <c r="J5" s="6">
        <f>SUM(B5:I5)</f>
        <v>172598.24971531422</v>
      </c>
      <c r="K5" s="6"/>
      <c r="L5" t="s">
        <v>1</v>
      </c>
      <c r="M5" s="6" t="n">
        <v>208324.0</v>
      </c>
      <c r="N5" s="6" t="n">
        <v>4650.0</v>
      </c>
      <c r="O5" s="6" t="n">
        <v>830.0</v>
      </c>
      <c r="P5" s="6" t="n">
        <v>0.0</v>
      </c>
      <c r="Q5" s="6" t="n">
        <v>66.0</v>
      </c>
      <c r="R5" s="6" t="n">
        <v>0.0</v>
      </c>
      <c r="S5" s="6" t="n">
        <v>0.0</v>
      </c>
      <c r="T5" s="6" t="n">
        <v>0.0</v>
      </c>
      <c r="U5" s="6">
        <f t="shared" ref="U5:U16" si="0">SUM(M5:T5)</f>
        <v>213870</v>
      </c>
    </row>
    <row r="6" spans="1:21" x14ac:dyDescent="0.25">
      <c r="A6" t="s">
        <v>12</v>
      </c>
      <c r="B6" s="6" t="n">
        <v>0.0</v>
      </c>
      <c r="C6" s="6" t="n">
        <v>31299.6789399114</v>
      </c>
      <c r="D6" s="6" t="n">
        <v>149.8888510751</v>
      </c>
      <c r="E6" s="6" t="n">
        <v>0.0</v>
      </c>
      <c r="F6" s="6" t="n">
        <v>0.0</v>
      </c>
      <c r="G6" s="6" t="n">
        <v>0.0</v>
      </c>
      <c r="H6" s="6" t="n">
        <v>0.0</v>
      </c>
      <c r="I6" s="6" t="n">
        <v>0.0</v>
      </c>
      <c r="J6" s="6">
        <f t="shared" ref="J6:J16" si="1">SUM(B6:I6)</f>
        <v>31449.567790986497</v>
      </c>
      <c r="K6" s="6"/>
      <c r="L6" t="s">
        <v>12</v>
      </c>
      <c r="M6" s="6" t="n">
        <v>0.0</v>
      </c>
      <c r="N6" s="6" t="n">
        <v>45748.0</v>
      </c>
      <c r="O6" s="6" t="n">
        <v>2967.0</v>
      </c>
      <c r="P6" s="6" t="n">
        <v>0.0</v>
      </c>
      <c r="Q6" s="6" t="n">
        <v>562.0</v>
      </c>
      <c r="R6" s="6" t="n">
        <v>0.0</v>
      </c>
      <c r="S6" s="6" t="n">
        <v>0.0</v>
      </c>
      <c r="T6" s="6" t="n">
        <v>0.0</v>
      </c>
      <c r="U6" s="6">
        <f t="shared" si="0"/>
        <v>49277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13503.06476497</v>
      </c>
      <c r="E7" s="6" t="n">
        <v>0.0</v>
      </c>
      <c r="F7" s="6" t="n">
        <v>1519.928687362</v>
      </c>
      <c r="G7" s="6" t="n">
        <v>0.0</v>
      </c>
      <c r="H7" s="6" t="n">
        <v>0.0</v>
      </c>
      <c r="I7" s="6" t="n">
        <v>0.0</v>
      </c>
      <c r="J7" s="6">
        <f t="shared" si="1"/>
        <v>15022.993452332001</v>
      </c>
      <c r="K7" s="6"/>
      <c r="L7" t="s">
        <v>56</v>
      </c>
      <c r="M7" s="6" t="n">
        <v>0.0</v>
      </c>
      <c r="N7" s="6" t="n">
        <v>0.0</v>
      </c>
      <c r="O7" s="6" t="n">
        <v>15520.0</v>
      </c>
      <c r="P7" s="6" t="n">
        <v>0.0</v>
      </c>
      <c r="Q7" s="6" t="n">
        <v>214.0</v>
      </c>
      <c r="R7" s="6" t="n">
        <v>0.0</v>
      </c>
      <c r="S7" s="6" t="n">
        <v>0.0</v>
      </c>
      <c r="T7" s="6" t="n">
        <v>0.0</v>
      </c>
      <c r="U7" s="6">
        <f t="shared" si="0"/>
        <v>15734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6395.8677954755</v>
      </c>
      <c r="G8" s="6" t="n">
        <v>0.0</v>
      </c>
      <c r="H8" s="6" t="n">
        <v>0.0</v>
      </c>
      <c r="I8" s="6" t="n">
        <v>0.0</v>
      </c>
      <c r="J8" s="6">
        <f t="shared" si="1"/>
        <v>6395.8677954755003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2824.0</v>
      </c>
      <c r="R8" s="6" t="n">
        <v>0.0</v>
      </c>
      <c r="S8" s="6" t="n">
        <v>0.0</v>
      </c>
      <c r="T8" s="6" t="n">
        <v>0.0</v>
      </c>
      <c r="U8" s="6">
        <f t="shared" si="0"/>
        <v>2824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236.004091738</v>
      </c>
      <c r="G9" s="6" t="n">
        <v>0.0</v>
      </c>
      <c r="H9" s="6" t="n">
        <v>0.0</v>
      </c>
      <c r="I9" s="6" t="n">
        <v>0.0</v>
      </c>
      <c r="J9" s="6">
        <f t="shared" si="1"/>
        <v>236.004091738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t="shared" si="0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t="shared" si="1"/>
        <v>0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0.0</v>
      </c>
      <c r="R10" s="6" t="n">
        <v>0.0</v>
      </c>
      <c r="S10" s="6" t="n">
        <v>0.0</v>
      </c>
      <c r="T10" s="6" t="n">
        <v>0.0</v>
      </c>
      <c r="U10" s="6">
        <f t="shared" si="0"/>
        <v>0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t="shared" si="1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0.0</v>
      </c>
      <c r="R11" s="6" t="n">
        <v>0.0</v>
      </c>
      <c r="S11" s="6" t="n">
        <v>0.0</v>
      </c>
      <c r="T11" s="6" t="n">
        <v>0.0</v>
      </c>
      <c r="U11" s="6">
        <f t="shared" si="0"/>
        <v>0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t="shared" si="1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0.0</v>
      </c>
      <c r="R12" s="6" t="n">
        <v>0.0</v>
      </c>
      <c r="S12" s="6" t="n">
        <v>0.0</v>
      </c>
      <c r="T12" s="6" t="n">
        <v>0.0</v>
      </c>
      <c r="U12" s="6">
        <f t="shared" si="0"/>
        <v>0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1949.997832852</v>
      </c>
      <c r="J13" s="6">
        <f t="shared" si="1"/>
        <v>1949.9978328520001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t="shared" si="0"/>
        <v>0</v>
      </c>
    </row>
    <row r="14" spans="1:21" x14ac:dyDescent="0.25">
      <c r="A14" t="s">
        <v>4</v>
      </c>
      <c r="B14" s="6" t="n">
        <v>0.0</v>
      </c>
      <c r="C14" s="6" t="n">
        <v>0.0</v>
      </c>
      <c r="D14" s="6" t="n">
        <v>0.0</v>
      </c>
      <c r="E14" s="6" t="n">
        <v>0.0</v>
      </c>
      <c r="F14" s="6" t="n">
        <v>0.0</v>
      </c>
      <c r="G14" s="6" t="n">
        <v>982.882297674</v>
      </c>
      <c r="H14" s="6" t="n">
        <v>0.0</v>
      </c>
      <c r="I14" s="6" t="n">
        <v>0.0</v>
      </c>
      <c r="J14" s="6">
        <f t="shared" si="1"/>
        <v>982.88229767400003</v>
      </c>
      <c r="K14" s="6"/>
      <c r="L14" t="s">
        <v>4</v>
      </c>
      <c r="M14" s="6" t="n">
        <v>152.0</v>
      </c>
      <c r="N14" s="6" t="n">
        <v>52.0</v>
      </c>
      <c r="O14" s="6" t="n">
        <v>27.0</v>
      </c>
      <c r="P14" s="6" t="n">
        <v>0.0</v>
      </c>
      <c r="Q14" s="6" t="n">
        <v>13.0</v>
      </c>
      <c r="R14" s="6" t="n">
        <v>1018.0</v>
      </c>
      <c r="S14" s="6" t="n">
        <v>0.0</v>
      </c>
      <c r="T14" s="6" t="n">
        <v>0.0</v>
      </c>
      <c r="U14" s="6">
        <f t="shared" si="0"/>
        <v>1262</v>
      </c>
    </row>
    <row r="15" spans="1:21" x14ac:dyDescent="0.25">
      <c r="A15" t="s">
        <v>5</v>
      </c>
      <c r="B15" s="6" t="n">
        <v>1357.3149762110002</v>
      </c>
      <c r="C15" s="6" t="n">
        <v>639.8890130484</v>
      </c>
      <c r="D15" s="6" t="n">
        <v>0.0</v>
      </c>
      <c r="E15" s="6" t="n">
        <v>0.0</v>
      </c>
      <c r="F15" s="6" t="n">
        <v>2902.9889422654</v>
      </c>
      <c r="G15" s="6" t="n">
        <v>0.0</v>
      </c>
      <c r="H15" s="6" t="n">
        <v>164414.0589106828</v>
      </c>
      <c r="I15" s="6" t="n">
        <v>0.0</v>
      </c>
      <c r="J15" s="6">
        <f t="shared" si="1"/>
        <v>169314.2518422076</v>
      </c>
      <c r="K15" s="6"/>
      <c r="L15" t="s">
        <v>5</v>
      </c>
      <c r="M15" s="6" t="n">
        <v>1619.0</v>
      </c>
      <c r="N15" s="6" t="n">
        <v>331.0</v>
      </c>
      <c r="O15" s="6" t="n">
        <v>101.0</v>
      </c>
      <c r="P15" s="6" t="n">
        <v>0.0</v>
      </c>
      <c r="Q15" s="6" t="n">
        <v>141.0</v>
      </c>
      <c r="R15" s="6" t="n">
        <v>49.0</v>
      </c>
      <c r="S15" s="6" t="n">
        <v>135246.0</v>
      </c>
      <c r="T15" s="6" t="n">
        <v>0.0</v>
      </c>
      <c r="U15" s="6">
        <f t="shared" si="0"/>
        <v>137487</v>
      </c>
    </row>
    <row r="16" spans="1:21" x14ac:dyDescent="0.25">
      <c r="A16" s="4" t="s">
        <v>60</v>
      </c>
      <c r="B16" s="10" t="n">
        <v>0.0</v>
      </c>
      <c r="C16" s="10" t="n">
        <v>0.0</v>
      </c>
      <c r="D16" s="10" t="n">
        <v>0.0</v>
      </c>
      <c r="E16" s="10" t="n">
        <v>0.0</v>
      </c>
      <c r="F16" s="10" t="n">
        <v>0.0</v>
      </c>
      <c r="G16" s="10" t="n">
        <v>0.0</v>
      </c>
      <c r="H16" s="10" t="n">
        <v>0.0</v>
      </c>
      <c r="I16" s="10" t="n">
        <v>0.0</v>
      </c>
      <c r="J16" s="6">
        <f t="shared" si="1"/>
        <v>0</v>
      </c>
      <c r="K16" s="6"/>
      <c r="L16" s="4" t="s">
        <v>60</v>
      </c>
      <c r="M16" s="8" t="n">
        <v>0.0</v>
      </c>
      <c r="N16" s="8" t="n">
        <v>24352.0</v>
      </c>
      <c r="O16" s="8" t="n">
        <v>24225.0</v>
      </c>
      <c r="P16" s="8" t="n">
        <v>0.0</v>
      </c>
      <c r="Q16" s="8" t="n">
        <v>0.0</v>
      </c>
      <c r="R16" s="8" t="n">
        <v>0.0</v>
      </c>
      <c r="S16" s="8" t="n">
        <v>0.0</v>
      </c>
      <c r="T16" s="8" t="n">
        <v>0.0</v>
      </c>
      <c r="U16" s="6">
        <f t="shared" si="0"/>
        <v>0</v>
      </c>
    </row>
    <row r="17" spans="1:21" ht="15.75" thickBot="1" x14ac:dyDescent="0.3">
      <c r="A17" s="12" t="s">
        <v>7</v>
      </c>
      <c r="B17" s="16">
        <f t="shared" ref="B17:J17" si="2">SUM(B5:B16)</f>
        <v>166177.57994230971</v>
      </c>
      <c r="C17" s="16">
        <f t="shared" si="2"/>
        <v>37836.08954583</v>
      </c>
      <c r="D17" s="16">
        <f t="shared" si="2"/>
        <v>15515.716265992301</v>
      </c>
      <c r="E17" s="16">
        <f t="shared" si="2"/>
        <v>0</v>
      </c>
      <c r="F17" s="16">
        <f t="shared" si="2"/>
        <v>11073.490023239001</v>
      </c>
      <c r="G17" s="16">
        <f t="shared" si="2"/>
        <v>982.88229767400003</v>
      </c>
      <c r="H17" s="16">
        <f t="shared" si="2"/>
        <v>164414.0589106828</v>
      </c>
      <c r="I17" s="16">
        <f t="shared" si="2"/>
        <v>1949.9978328520001</v>
      </c>
      <c r="J17" s="16">
        <f t="shared" si="2"/>
        <v>397949.81481857982</v>
      </c>
      <c r="L17" s="9" t="s">
        <v>7</v>
      </c>
      <c r="M17" s="16">
        <f t="shared" ref="M17:U17" si="3">SUM(M5:M16)</f>
        <v>210095</v>
      </c>
      <c r="N17" s="16">
        <f t="shared" si="3"/>
        <v>50781</v>
      </c>
      <c r="O17" s="16">
        <f t="shared" si="3"/>
        <v>19445</v>
      </c>
      <c r="P17" s="16">
        <f t="shared" si="3"/>
        <v>0</v>
      </c>
      <c r="Q17" s="16">
        <f t="shared" si="3"/>
        <v>3820</v>
      </c>
      <c r="R17" s="16">
        <f t="shared" si="3"/>
        <v>1067</v>
      </c>
      <c r="S17" s="16">
        <f t="shared" si="3"/>
        <v>135246</v>
      </c>
      <c r="T17" s="16">
        <f t="shared" si="3"/>
        <v>0</v>
      </c>
      <c r="U17" s="16">
        <f t="shared" si="3"/>
        <v>420454</v>
      </c>
    </row>
    <row r="20" spans="1:21" ht="15.75" thickBot="1" x14ac:dyDescent="0.3">
      <c r="A20" s="1" t="s">
        <v>59</v>
      </c>
      <c r="B20" s="1"/>
      <c r="C20" s="2"/>
      <c r="D20" s="2"/>
      <c r="E20" s="2"/>
      <c r="F20" s="2"/>
      <c r="G20" s="2"/>
      <c r="H20" s="2"/>
      <c r="I20" s="2"/>
      <c r="J20" s="2"/>
      <c r="L20" s="1" t="s">
        <v>27</v>
      </c>
      <c r="M20" s="1"/>
      <c r="N20" s="2"/>
      <c r="O20" s="2"/>
      <c r="P20" s="2"/>
      <c r="Q20" s="2"/>
      <c r="R20" s="2"/>
      <c r="S20" s="2"/>
      <c r="T20" s="2"/>
      <c r="U20" s="2"/>
    </row>
    <row r="21" spans="1:21" x14ac:dyDescent="0.25">
      <c r="A21" s="3"/>
      <c r="B21" s="31" t="s">
        <v>41</v>
      </c>
      <c r="C21" s="31"/>
      <c r="D21" s="31"/>
      <c r="E21" s="31"/>
      <c r="F21" s="31"/>
      <c r="G21" s="31"/>
      <c r="H21" s="31"/>
      <c r="I21" s="31"/>
      <c r="J21" s="7"/>
      <c r="L21" s="3"/>
      <c r="M21" s="31" t="s">
        <v>41</v>
      </c>
      <c r="N21" s="31"/>
      <c r="O21" s="31"/>
      <c r="P21" s="31"/>
      <c r="Q21" s="31"/>
      <c r="R21" s="31"/>
      <c r="S21" s="31"/>
      <c r="T21" s="31"/>
      <c r="U21" s="31"/>
    </row>
    <row r="22" spans="1:21" x14ac:dyDescent="0.25">
      <c r="A22" s="4" t="s">
        <v>0</v>
      </c>
      <c r="B22" s="5" t="s">
        <v>11</v>
      </c>
      <c r="C22" s="5" t="s">
        <v>12</v>
      </c>
      <c r="D22" s="5" t="s">
        <v>13</v>
      </c>
      <c r="E22" s="5" t="s">
        <v>14</v>
      </c>
      <c r="F22" s="5" t="s">
        <v>15</v>
      </c>
      <c r="G22" s="5" t="s">
        <v>4</v>
      </c>
      <c r="H22" s="5" t="s">
        <v>5</v>
      </c>
      <c r="I22" s="5" t="s">
        <v>16</v>
      </c>
      <c r="J22" s="5" t="s">
        <v>7</v>
      </c>
      <c r="L22" s="4" t="s">
        <v>0</v>
      </c>
      <c r="M22" s="5" t="s">
        <v>1</v>
      </c>
      <c r="N22" s="5" t="s">
        <v>2</v>
      </c>
      <c r="O22" s="5" t="s">
        <v>3</v>
      </c>
      <c r="P22" s="5" t="s">
        <v>14</v>
      </c>
      <c r="Q22" s="5" t="s">
        <v>15</v>
      </c>
      <c r="R22" s="5" t="s">
        <v>4</v>
      </c>
      <c r="S22" s="5" t="s">
        <v>5</v>
      </c>
      <c r="T22" s="5" t="s">
        <v>16</v>
      </c>
      <c r="U22" s="5" t="s">
        <v>7</v>
      </c>
    </row>
    <row r="23" spans="1:21" x14ac:dyDescent="0.25">
      <c r="A23" t="s">
        <v>1</v>
      </c>
      <c r="B23" s="13">
        <f t="shared" ref="B23:J23" si="4">B5/B$17</f>
        <v>0.9918321413954746</v>
      </c>
      <c r="C23" s="13">
        <f t="shared" si="4"/>
        <v>0.15584384284025643</v>
      </c>
      <c r="D23" s="13">
        <f t="shared" si="4"/>
        <v>0.12005650387085548</v>
      </c>
      <c r="E23" s="13" t="e">
        <f t="shared" si="4"/>
        <v>#DIV/0!</v>
      </c>
      <c r="F23" s="13">
        <f t="shared" si="4"/>
        <v>1.6887635568239843E-3</v>
      </c>
      <c r="G23" s="13">
        <f t="shared" si="4"/>
        <v>0</v>
      </c>
      <c r="H23" s="13">
        <f t="shared" si="4"/>
        <v>0</v>
      </c>
      <c r="I23" s="13">
        <f t="shared" si="4"/>
        <v>0</v>
      </c>
      <c r="J23" s="13">
        <f t="shared" si="4"/>
        <v>0.43371863307437281</v>
      </c>
      <c r="K23" s="6"/>
      <c r="L23" t="s">
        <v>1</v>
      </c>
      <c r="M23" s="13">
        <f t="shared" ref="M23:P23" si="5">M5/M$17</f>
        <v>0.99157048002094295</v>
      </c>
      <c r="N23" s="13">
        <f t="shared" si="5"/>
        <v>9.156968157381698E-2</v>
      </c>
      <c r="O23" s="13">
        <f t="shared" si="5"/>
        <v>4.2684494728722037E-2</v>
      </c>
      <c r="P23" s="13" t="e">
        <f t="shared" si="5"/>
        <v>#DIV/0!</v>
      </c>
      <c r="Q23" s="13">
        <f t="shared" ref="Q23:U35" si="6">Q5/Q$17</f>
        <v>1.7277486910994764E-2</v>
      </c>
      <c r="R23" s="13">
        <f t="shared" si="6"/>
        <v>0</v>
      </c>
      <c r="S23" s="13">
        <f t="shared" si="6"/>
        <v>0</v>
      </c>
      <c r="T23" s="13" t="e">
        <f t="shared" si="6"/>
        <v>#DIV/0!</v>
      </c>
      <c r="U23" s="13">
        <f t="shared" si="6"/>
        <v>0.50866444367279184</v>
      </c>
    </row>
    <row r="24" spans="1:21" x14ac:dyDescent="0.25">
      <c r="A24" t="s">
        <v>12</v>
      </c>
      <c r="B24" s="13">
        <f t="shared" ref="B24:J24" si="7">B6/B$17</f>
        <v>0</v>
      </c>
      <c r="C24" s="13">
        <f t="shared" si="7"/>
        <v>0.82724402324925272</v>
      </c>
      <c r="D24" s="13">
        <f t="shared" si="7"/>
        <v>9.6604532143726926E-3</v>
      </c>
      <c r="E24" s="13" t="e">
        <f t="shared" si="7"/>
        <v>#DIV/0!</v>
      </c>
      <c r="F24" s="13">
        <f t="shared" si="7"/>
        <v>0</v>
      </c>
      <c r="G24" s="13">
        <f t="shared" si="7"/>
        <v>0</v>
      </c>
      <c r="H24" s="13">
        <f t="shared" si="7"/>
        <v>0</v>
      </c>
      <c r="I24" s="13">
        <f t="shared" si="7"/>
        <v>0</v>
      </c>
      <c r="J24" s="13">
        <f t="shared" si="7"/>
        <v>7.9028979584583922E-2</v>
      </c>
      <c r="K24" s="6"/>
      <c r="L24" t="s">
        <v>12</v>
      </c>
      <c r="M24" s="13">
        <f t="shared" ref="M24:P24" si="8">M6/M$17</f>
        <v>0</v>
      </c>
      <c r="N24" s="13">
        <f t="shared" si="8"/>
        <v>0.90088812744924285</v>
      </c>
      <c r="O24" s="13">
        <f t="shared" si="8"/>
        <v>0.15258421187966059</v>
      </c>
      <c r="P24" s="13" t="e">
        <f t="shared" si="8"/>
        <v>#DIV/0!</v>
      </c>
      <c r="Q24" s="13">
        <f t="shared" si="6"/>
        <v>0.14712041884816754</v>
      </c>
      <c r="R24" s="13">
        <f t="shared" si="6"/>
        <v>0</v>
      </c>
      <c r="S24" s="13">
        <f t="shared" si="6"/>
        <v>0</v>
      </c>
      <c r="T24" s="13" t="e">
        <f t="shared" si="6"/>
        <v>#DIV/0!</v>
      </c>
      <c r="U24" s="13">
        <f t="shared" si="6"/>
        <v>0.11719950339395035</v>
      </c>
    </row>
    <row r="25" spans="1:21" x14ac:dyDescent="0.25">
      <c r="A25" t="s">
        <v>56</v>
      </c>
      <c r="B25" s="13">
        <f t="shared" ref="B25:J25" si="9">B7/B$17</f>
        <v>0</v>
      </c>
      <c r="C25" s="13">
        <f t="shared" si="9"/>
        <v>0</v>
      </c>
      <c r="D25" s="13">
        <f t="shared" si="9"/>
        <v>0.87028304291477177</v>
      </c>
      <c r="E25" s="13" t="e">
        <f t="shared" si="9"/>
        <v>#DIV/0!</v>
      </c>
      <c r="F25" s="13">
        <f t="shared" si="9"/>
        <v>0.13725832453655112</v>
      </c>
      <c r="G25" s="13">
        <f t="shared" si="9"/>
        <v>0</v>
      </c>
      <c r="H25" s="13">
        <f t="shared" si="9"/>
        <v>0</v>
      </c>
      <c r="I25" s="13">
        <f t="shared" si="9"/>
        <v>0</v>
      </c>
      <c r="J25" s="13">
        <f t="shared" si="9"/>
        <v>3.77509748539041E-2</v>
      </c>
      <c r="K25" s="6"/>
      <c r="L25" t="s">
        <v>56</v>
      </c>
      <c r="M25" s="13">
        <f t="shared" ref="M25:P25" si="10">M7/M$17</f>
        <v>0</v>
      </c>
      <c r="N25" s="13">
        <f t="shared" si="10"/>
        <v>0</v>
      </c>
      <c r="O25" s="13">
        <f t="shared" si="10"/>
        <v>0.79814862432501932</v>
      </c>
      <c r="P25" s="13" t="e">
        <f t="shared" si="10"/>
        <v>#DIV/0!</v>
      </c>
      <c r="Q25" s="13">
        <f t="shared" si="6"/>
        <v>5.6020942408376961E-2</v>
      </c>
      <c r="R25" s="13">
        <f t="shared" si="6"/>
        <v>0</v>
      </c>
      <c r="S25" s="13">
        <f t="shared" si="6"/>
        <v>0</v>
      </c>
      <c r="T25" s="13" t="e">
        <f t="shared" si="6"/>
        <v>#DIV/0!</v>
      </c>
      <c r="U25" s="13">
        <f t="shared" si="6"/>
        <v>3.7421453952156479E-2</v>
      </c>
    </row>
    <row r="26" spans="1:21" x14ac:dyDescent="0.25">
      <c r="A26" t="s">
        <v>51</v>
      </c>
      <c r="B26" s="13">
        <f t="shared" ref="B26:J26" si="11">B8/B$17</f>
        <v>0</v>
      </c>
      <c r="C26" s="13">
        <f t="shared" si="11"/>
        <v>0</v>
      </c>
      <c r="D26" s="13">
        <f t="shared" si="11"/>
        <v>0</v>
      </c>
      <c r="E26" s="13" t="e">
        <f t="shared" si="11"/>
        <v>#DIV/0!</v>
      </c>
      <c r="F26" s="13">
        <f t="shared" si="11"/>
        <v>0.5775837411740139</v>
      </c>
      <c r="G26" s="13">
        <f t="shared" si="11"/>
        <v>0</v>
      </c>
      <c r="H26" s="13">
        <f t="shared" si="11"/>
        <v>0</v>
      </c>
      <c r="I26" s="13">
        <f t="shared" si="11"/>
        <v>0</v>
      </c>
      <c r="J26" s="13">
        <f t="shared" si="11"/>
        <v>1.6072046165899821E-2</v>
      </c>
      <c r="K26" s="6"/>
      <c r="L26" t="s">
        <v>51</v>
      </c>
      <c r="M26" s="13">
        <f t="shared" ref="M26:P26" si="12">M8/M$17</f>
        <v>0</v>
      </c>
      <c r="N26" s="13">
        <f t="shared" si="12"/>
        <v>0</v>
      </c>
      <c r="O26" s="13">
        <f t="shared" si="12"/>
        <v>0</v>
      </c>
      <c r="P26" s="13" t="e">
        <f t="shared" si="12"/>
        <v>#DIV/0!</v>
      </c>
      <c r="Q26" s="13">
        <f t="shared" si="6"/>
        <v>0.73926701570680631</v>
      </c>
      <c r="R26" s="13">
        <f t="shared" si="6"/>
        <v>0</v>
      </c>
      <c r="S26" s="13">
        <f t="shared" si="6"/>
        <v>0</v>
      </c>
      <c r="T26" s="13" t="e">
        <f t="shared" si="6"/>
        <v>#DIV/0!</v>
      </c>
      <c r="U26" s="13">
        <f t="shared" si="6"/>
        <v>6.7165492539017352E-3</v>
      </c>
    </row>
    <row r="27" spans="1:21" x14ac:dyDescent="0.25">
      <c r="A27" t="s">
        <v>52</v>
      </c>
      <c r="B27" s="13">
        <f t="shared" ref="B27:J27" si="13">B9/B$17</f>
        <v>0</v>
      </c>
      <c r="C27" s="13">
        <f t="shared" si="13"/>
        <v>0</v>
      </c>
      <c r="D27" s="13">
        <f t="shared" si="13"/>
        <v>0</v>
      </c>
      <c r="E27" s="13" t="e">
        <f t="shared" si="13"/>
        <v>#DIV/0!</v>
      </c>
      <c r="F27" s="13">
        <f t="shared" si="13"/>
        <v>2.1312530308215213E-2</v>
      </c>
      <c r="G27" s="13">
        <f t="shared" si="13"/>
        <v>0</v>
      </c>
      <c r="H27" s="13">
        <f t="shared" si="13"/>
        <v>0</v>
      </c>
      <c r="I27" s="13">
        <f t="shared" si="13"/>
        <v>0</v>
      </c>
      <c r="J27" s="13">
        <f t="shared" si="13"/>
        <v>5.9304988455790891E-4</v>
      </c>
      <c r="K27" s="6"/>
      <c r="L27" t="s">
        <v>52</v>
      </c>
      <c r="M27" s="13">
        <f t="shared" ref="M27:P27" si="14">M9/M$17</f>
        <v>0</v>
      </c>
      <c r="N27" s="13">
        <f t="shared" si="14"/>
        <v>0</v>
      </c>
      <c r="O27" s="13">
        <f t="shared" si="14"/>
        <v>0</v>
      </c>
      <c r="P27" s="13" t="e">
        <f t="shared" si="14"/>
        <v>#DIV/0!</v>
      </c>
      <c r="Q27" s="13">
        <f t="shared" si="6"/>
        <v>0</v>
      </c>
      <c r="R27" s="13">
        <f t="shared" si="6"/>
        <v>0</v>
      </c>
      <c r="S27" s="13">
        <f t="shared" si="6"/>
        <v>0</v>
      </c>
      <c r="T27" s="13" t="e">
        <f t="shared" si="6"/>
        <v>#DIV/0!</v>
      </c>
      <c r="U27" s="13">
        <f t="shared" si="6"/>
        <v>0</v>
      </c>
    </row>
    <row r="28" spans="1:21" x14ac:dyDescent="0.25">
      <c r="A28" t="s">
        <v>53</v>
      </c>
      <c r="B28" s="13">
        <f t="shared" ref="B28:J28" si="15">B10/B$17</f>
        <v>0</v>
      </c>
      <c r="C28" s="13">
        <f t="shared" si="15"/>
        <v>0</v>
      </c>
      <c r="D28" s="13">
        <f t="shared" si="15"/>
        <v>0</v>
      </c>
      <c r="E28" s="13" t="e">
        <f t="shared" si="15"/>
        <v>#DIV/0!</v>
      </c>
      <c r="F28" s="13">
        <f t="shared" si="15"/>
        <v>0</v>
      </c>
      <c r="G28" s="13">
        <f t="shared" si="15"/>
        <v>0</v>
      </c>
      <c r="H28" s="13">
        <f t="shared" si="15"/>
        <v>0</v>
      </c>
      <c r="I28" s="13">
        <f t="shared" si="15"/>
        <v>0</v>
      </c>
      <c r="J28" s="13">
        <f t="shared" si="15"/>
        <v>0</v>
      </c>
      <c r="K28" s="6"/>
      <c r="L28" t="s">
        <v>53</v>
      </c>
      <c r="M28" s="13">
        <f t="shared" ref="M28:P28" si="16">M10/M$17</f>
        <v>0</v>
      </c>
      <c r="N28" s="13">
        <f t="shared" si="16"/>
        <v>0</v>
      </c>
      <c r="O28" s="13">
        <f t="shared" si="16"/>
        <v>0</v>
      </c>
      <c r="P28" s="13" t="e">
        <f t="shared" si="16"/>
        <v>#DIV/0!</v>
      </c>
      <c r="Q28" s="13">
        <f t="shared" si="6"/>
        <v>0</v>
      </c>
      <c r="R28" s="13">
        <f t="shared" si="6"/>
        <v>0</v>
      </c>
      <c r="S28" s="13">
        <f t="shared" si="6"/>
        <v>0</v>
      </c>
      <c r="T28" s="13" t="e">
        <f t="shared" si="6"/>
        <v>#DIV/0!</v>
      </c>
      <c r="U28" s="13">
        <f t="shared" si="6"/>
        <v>0</v>
      </c>
    </row>
    <row r="29" spans="1:21" x14ac:dyDescent="0.25">
      <c r="A29" t="s">
        <v>54</v>
      </c>
      <c r="B29" s="13">
        <f t="shared" ref="B29:J29" si="17">B11/B$17</f>
        <v>0</v>
      </c>
      <c r="C29" s="13">
        <f t="shared" si="17"/>
        <v>0</v>
      </c>
      <c r="D29" s="13">
        <f t="shared" si="17"/>
        <v>0</v>
      </c>
      <c r="E29" s="13" t="e">
        <f t="shared" si="17"/>
        <v>#DIV/0!</v>
      </c>
      <c r="F29" s="13">
        <f t="shared" si="17"/>
        <v>0</v>
      </c>
      <c r="G29" s="13">
        <f t="shared" si="17"/>
        <v>0</v>
      </c>
      <c r="H29" s="13">
        <f t="shared" si="17"/>
        <v>0</v>
      </c>
      <c r="I29" s="13">
        <f t="shared" si="17"/>
        <v>0</v>
      </c>
      <c r="J29" s="13">
        <f t="shared" si="17"/>
        <v>0</v>
      </c>
      <c r="K29" s="6"/>
      <c r="L29" t="s">
        <v>54</v>
      </c>
      <c r="M29" s="13">
        <f t="shared" ref="M29:P29" si="18">M11/M$17</f>
        <v>0</v>
      </c>
      <c r="N29" s="13">
        <f t="shared" si="18"/>
        <v>0</v>
      </c>
      <c r="O29" s="13">
        <f t="shared" si="18"/>
        <v>0</v>
      </c>
      <c r="P29" s="13" t="e">
        <f t="shared" si="18"/>
        <v>#DIV/0!</v>
      </c>
      <c r="Q29" s="13">
        <f t="shared" si="6"/>
        <v>0</v>
      </c>
      <c r="R29" s="13">
        <f t="shared" si="6"/>
        <v>0</v>
      </c>
      <c r="S29" s="13">
        <f t="shared" si="6"/>
        <v>0</v>
      </c>
      <c r="T29" s="13" t="e">
        <f t="shared" si="6"/>
        <v>#DIV/0!</v>
      </c>
      <c r="U29" s="13">
        <f t="shared" si="6"/>
        <v>0</v>
      </c>
    </row>
    <row r="30" spans="1:21" x14ac:dyDescent="0.25">
      <c r="A30" t="s">
        <v>55</v>
      </c>
      <c r="B30" s="13">
        <f t="shared" ref="B30:J30" si="19">B12/B$17</f>
        <v>0</v>
      </c>
      <c r="C30" s="13">
        <f t="shared" si="19"/>
        <v>0</v>
      </c>
      <c r="D30" s="13">
        <f t="shared" si="19"/>
        <v>0</v>
      </c>
      <c r="E30" s="13" t="e">
        <f t="shared" si="19"/>
        <v>#DIV/0!</v>
      </c>
      <c r="F30" s="13">
        <f t="shared" si="19"/>
        <v>0</v>
      </c>
      <c r="G30" s="13">
        <f t="shared" si="19"/>
        <v>0</v>
      </c>
      <c r="H30" s="13">
        <f t="shared" si="19"/>
        <v>0</v>
      </c>
      <c r="I30" s="13">
        <f t="shared" si="19"/>
        <v>0</v>
      </c>
      <c r="J30" s="13">
        <f t="shared" si="19"/>
        <v>0</v>
      </c>
      <c r="K30" s="6"/>
      <c r="L30" t="s">
        <v>55</v>
      </c>
      <c r="M30" s="13">
        <f t="shared" ref="M30:P30" si="20">M12/M$17</f>
        <v>0</v>
      </c>
      <c r="N30" s="13">
        <f t="shared" si="20"/>
        <v>0</v>
      </c>
      <c r="O30" s="13">
        <f t="shared" si="20"/>
        <v>0</v>
      </c>
      <c r="P30" s="13" t="e">
        <f t="shared" si="20"/>
        <v>#DIV/0!</v>
      </c>
      <c r="Q30" s="13">
        <f t="shared" si="6"/>
        <v>0</v>
      </c>
      <c r="R30" s="13">
        <f t="shared" si="6"/>
        <v>0</v>
      </c>
      <c r="S30" s="13">
        <f t="shared" si="6"/>
        <v>0</v>
      </c>
      <c r="T30" s="13" t="e">
        <f t="shared" si="6"/>
        <v>#DIV/0!</v>
      </c>
      <c r="U30" s="13">
        <f t="shared" si="6"/>
        <v>0</v>
      </c>
    </row>
    <row r="31" spans="1:21" x14ac:dyDescent="0.25">
      <c r="A31" t="s">
        <v>24</v>
      </c>
      <c r="B31" s="13">
        <f t="shared" ref="B31:J31" si="21">B13/B$17</f>
        <v>0</v>
      </c>
      <c r="C31" s="13">
        <f t="shared" si="21"/>
        <v>0</v>
      </c>
      <c r="D31" s="13">
        <f t="shared" si="21"/>
        <v>0</v>
      </c>
      <c r="E31" s="13" t="e">
        <f t="shared" si="21"/>
        <v>#DIV/0!</v>
      </c>
      <c r="F31" s="13">
        <f t="shared" si="21"/>
        <v>0</v>
      </c>
      <c r="G31" s="13">
        <f t="shared" si="21"/>
        <v>0</v>
      </c>
      <c r="H31" s="13">
        <f t="shared" si="21"/>
        <v>0</v>
      </c>
      <c r="I31" s="13">
        <f t="shared" si="21"/>
        <v>1</v>
      </c>
      <c r="J31" s="13">
        <f t="shared" si="21"/>
        <v>4.9001099139623396E-3</v>
      </c>
      <c r="K31" s="6"/>
      <c r="L31" t="s">
        <v>24</v>
      </c>
      <c r="M31" s="13">
        <f t="shared" ref="M31:P31" si="22">M13/M$17</f>
        <v>0</v>
      </c>
      <c r="N31" s="13">
        <f t="shared" si="22"/>
        <v>0</v>
      </c>
      <c r="O31" s="13">
        <f t="shared" si="22"/>
        <v>0</v>
      </c>
      <c r="P31" s="13" t="e">
        <f t="shared" si="22"/>
        <v>#DIV/0!</v>
      </c>
      <c r="Q31" s="13">
        <f t="shared" si="6"/>
        <v>0</v>
      </c>
      <c r="R31" s="13">
        <f t="shared" si="6"/>
        <v>0</v>
      </c>
      <c r="S31" s="13">
        <f t="shared" si="6"/>
        <v>0</v>
      </c>
      <c r="T31" s="13" t="e">
        <f t="shared" si="6"/>
        <v>#DIV/0!</v>
      </c>
      <c r="U31" s="13">
        <f t="shared" si="6"/>
        <v>0</v>
      </c>
    </row>
    <row r="32" spans="1:21" x14ac:dyDescent="0.25">
      <c r="A32" t="s">
        <v>4</v>
      </c>
      <c r="B32" s="13">
        <f t="shared" ref="B32:J32" si="23">B14/B$17</f>
        <v>0</v>
      </c>
      <c r="C32" s="13">
        <f t="shared" si="23"/>
        <v>0</v>
      </c>
      <c r="D32" s="13">
        <f t="shared" si="23"/>
        <v>0</v>
      </c>
      <c r="E32" s="13" t="e">
        <f t="shared" si="23"/>
        <v>#DIV/0!</v>
      </c>
      <c r="F32" s="13">
        <f t="shared" si="23"/>
        <v>0</v>
      </c>
      <c r="G32" s="13">
        <f t="shared" si="23"/>
        <v>1</v>
      </c>
      <c r="H32" s="13">
        <f t="shared" si="23"/>
        <v>0</v>
      </c>
      <c r="I32" s="13">
        <f t="shared" si="23"/>
        <v>0</v>
      </c>
      <c r="J32" s="13">
        <f t="shared" si="23"/>
        <v>2.469864945463245E-3</v>
      </c>
      <c r="K32" s="6"/>
      <c r="L32" t="s">
        <v>4</v>
      </c>
      <c r="M32" s="13">
        <f t="shared" ref="M32:P32" si="24">M14/M$17</f>
        <v>7.2348223422737329E-4</v>
      </c>
      <c r="N32" s="13">
        <f t="shared" si="24"/>
        <v>1.0240050412555876E-3</v>
      </c>
      <c r="O32" s="13">
        <f t="shared" si="24"/>
        <v>1.3885317562355361E-3</v>
      </c>
      <c r="P32" s="13" t="e">
        <f t="shared" si="24"/>
        <v>#DIV/0!</v>
      </c>
      <c r="Q32" s="13">
        <f t="shared" si="6"/>
        <v>3.4031413612565444E-3</v>
      </c>
      <c r="R32" s="13">
        <f t="shared" si="6"/>
        <v>0.95407685098406747</v>
      </c>
      <c r="S32" s="13">
        <f t="shared" si="6"/>
        <v>0</v>
      </c>
      <c r="T32" s="13" t="e">
        <f t="shared" si="6"/>
        <v>#DIV/0!</v>
      </c>
      <c r="U32" s="13">
        <f t="shared" si="6"/>
        <v>3.0015174073739341E-3</v>
      </c>
    </row>
    <row r="33" spans="1:32" x14ac:dyDescent="0.25">
      <c r="A33" t="s">
        <v>5</v>
      </c>
      <c r="B33" s="13">
        <f t="shared" ref="B33:J33" si="25">B15/B$17</f>
        <v>8.1678586045253899E-3</v>
      </c>
      <c r="C33" s="13">
        <f t="shared" si="25"/>
        <v>1.6912133910490852E-2</v>
      </c>
      <c r="D33" s="13">
        <f t="shared" si="25"/>
        <v>0</v>
      </c>
      <c r="E33" s="13" t="e">
        <f t="shared" si="25"/>
        <v>#DIV/0!</v>
      </c>
      <c r="F33" s="13">
        <f t="shared" si="25"/>
        <v>0.26215664042439568</v>
      </c>
      <c r="G33" s="13">
        <f t="shared" si="25"/>
        <v>0</v>
      </c>
      <c r="H33" s="13">
        <f t="shared" si="25"/>
        <v>1</v>
      </c>
      <c r="I33" s="13">
        <f t="shared" si="25"/>
        <v>0</v>
      </c>
      <c r="J33" s="13">
        <f t="shared" si="25"/>
        <v>0.42546634157725588</v>
      </c>
      <c r="K33" s="6"/>
      <c r="L33" t="s">
        <v>5</v>
      </c>
      <c r="M33" s="13">
        <f t="shared" ref="M33:P34" si="26">M15/M$17</f>
        <v>7.7060377448297203E-3</v>
      </c>
      <c r="N33" s="13">
        <f t="shared" si="26"/>
        <v>6.5181859356846063E-3</v>
      </c>
      <c r="O33" s="13">
        <f t="shared" si="26"/>
        <v>5.1941373103625609E-3</v>
      </c>
      <c r="P33" s="13" t="e">
        <f t="shared" si="26"/>
        <v>#DIV/0!</v>
      </c>
      <c r="Q33" s="13">
        <f t="shared" si="6"/>
        <v>3.6910994764397909E-2</v>
      </c>
      <c r="R33" s="13">
        <f t="shared" si="6"/>
        <v>4.5923149015932523E-2</v>
      </c>
      <c r="S33" s="13">
        <f t="shared" si="6"/>
        <v>1</v>
      </c>
      <c r="T33" s="13" t="e">
        <f t="shared" si="6"/>
        <v>#DIV/0!</v>
      </c>
      <c r="U33" s="13">
        <f t="shared" si="6"/>
        <v>0.32699653231982573</v>
      </c>
    </row>
    <row r="34" spans="1:32" x14ac:dyDescent="0.25">
      <c r="A34" s="4" t="s">
        <v>60</v>
      </c>
      <c r="B34" s="13">
        <f t="shared" ref="B34:J34" si="27">B16/B$17</f>
        <v>0</v>
      </c>
      <c r="C34" s="13">
        <f t="shared" si="27"/>
        <v>0</v>
      </c>
      <c r="D34" s="13">
        <f t="shared" si="27"/>
        <v>0</v>
      </c>
      <c r="E34" s="13" t="e">
        <f t="shared" si="27"/>
        <v>#DIV/0!</v>
      </c>
      <c r="F34" s="13">
        <f t="shared" si="27"/>
        <v>0</v>
      </c>
      <c r="G34" s="13">
        <f t="shared" si="27"/>
        <v>0</v>
      </c>
      <c r="H34" s="13">
        <f t="shared" si="27"/>
        <v>0</v>
      </c>
      <c r="I34" s="13">
        <f t="shared" si="27"/>
        <v>0</v>
      </c>
      <c r="J34" s="13">
        <f t="shared" si="27"/>
        <v>0</v>
      </c>
      <c r="K34" s="6"/>
      <c r="L34" s="4" t="s">
        <v>60</v>
      </c>
      <c r="M34" s="14">
        <f t="shared" si="26"/>
        <v>0</v>
      </c>
      <c r="N34" s="14">
        <f t="shared" si="26"/>
        <v>0</v>
      </c>
      <c r="O34" s="14">
        <f t="shared" si="26"/>
        <v>0</v>
      </c>
      <c r="P34" s="14" t="e">
        <f t="shared" si="26"/>
        <v>#DIV/0!</v>
      </c>
      <c r="Q34" s="14">
        <f t="shared" si="6"/>
        <v>0</v>
      </c>
      <c r="R34" s="14">
        <f t="shared" si="6"/>
        <v>0</v>
      </c>
      <c r="S34" s="14">
        <f t="shared" si="6"/>
        <v>0</v>
      </c>
      <c r="T34" s="14" t="e">
        <f t="shared" si="6"/>
        <v>#DIV/0!</v>
      </c>
      <c r="U34" s="14">
        <f t="shared" si="6"/>
        <v>0</v>
      </c>
    </row>
    <row r="35" spans="1:32" ht="15.75" thickBot="1" x14ac:dyDescent="0.3">
      <c r="A35" s="12" t="s">
        <v>7</v>
      </c>
      <c r="B35" s="15">
        <f t="shared" ref="B35:J35" si="28">B17/B$17</f>
        <v>1</v>
      </c>
      <c r="C35" s="15">
        <f t="shared" si="28"/>
        <v>1</v>
      </c>
      <c r="D35" s="15">
        <f t="shared" si="28"/>
        <v>1</v>
      </c>
      <c r="E35" s="15" t="e">
        <f t="shared" si="28"/>
        <v>#DIV/0!</v>
      </c>
      <c r="F35" s="15">
        <f t="shared" si="28"/>
        <v>1</v>
      </c>
      <c r="G35" s="15">
        <f t="shared" si="28"/>
        <v>1</v>
      </c>
      <c r="H35" s="15">
        <f t="shared" si="28"/>
        <v>1</v>
      </c>
      <c r="I35" s="15">
        <f t="shared" si="28"/>
        <v>1</v>
      </c>
      <c r="J35" s="15">
        <f t="shared" si="28"/>
        <v>1</v>
      </c>
      <c r="L35" s="9" t="s">
        <v>7</v>
      </c>
      <c r="M35" s="15">
        <f t="shared" ref="M35:P35" si="29">M17/M$17</f>
        <v>1</v>
      </c>
      <c r="N35" s="15">
        <f t="shared" si="29"/>
        <v>1</v>
      </c>
      <c r="O35" s="15">
        <f t="shared" si="29"/>
        <v>1</v>
      </c>
      <c r="P35" s="15" t="e">
        <f t="shared" si="29"/>
        <v>#DIV/0!</v>
      </c>
      <c r="Q35" s="15">
        <f t="shared" si="6"/>
        <v>1</v>
      </c>
      <c r="R35" s="15">
        <f t="shared" si="6"/>
        <v>1</v>
      </c>
      <c r="S35" s="15">
        <f t="shared" si="6"/>
        <v>1</v>
      </c>
      <c r="T35" s="15" t="e">
        <f t="shared" si="6"/>
        <v>#DIV/0!</v>
      </c>
      <c r="U35" s="15">
        <f t="shared" si="6"/>
        <v>1</v>
      </c>
    </row>
    <row r="38" spans="1:32" ht="15.75" thickBot="1" x14ac:dyDescent="0.3">
      <c r="L38" s="1" t="s">
        <v>8</v>
      </c>
      <c r="M38" s="1"/>
      <c r="N38" s="2"/>
      <c r="O38" s="2"/>
      <c r="P38" s="2"/>
      <c r="Q38" s="2"/>
      <c r="R38" s="2"/>
      <c r="S38" s="2"/>
      <c r="T38" s="2"/>
      <c r="U38" s="2"/>
    </row>
    <row r="39" spans="1:32" x14ac:dyDescent="0.25">
      <c r="L39" s="3"/>
      <c r="M39" s="31" t="s">
        <v>41</v>
      </c>
      <c r="N39" s="31"/>
      <c r="O39" s="31"/>
      <c r="P39" s="31"/>
      <c r="Q39" s="31"/>
      <c r="R39" s="31"/>
      <c r="S39" s="31"/>
      <c r="T39" s="31"/>
      <c r="U39" s="31"/>
    </row>
    <row r="40" spans="1:32" x14ac:dyDescent="0.25">
      <c r="L40" s="4" t="s">
        <v>0</v>
      </c>
      <c r="M40" s="5" t="s">
        <v>11</v>
      </c>
      <c r="N40" s="5" t="s">
        <v>12</v>
      </c>
      <c r="O40" s="5" t="s">
        <v>13</v>
      </c>
      <c r="P40" s="5" t="s">
        <v>14</v>
      </c>
      <c r="Q40" s="5" t="s">
        <v>15</v>
      </c>
      <c r="R40" s="5" t="s">
        <v>4</v>
      </c>
      <c r="S40" s="5" t="s">
        <v>5</v>
      </c>
      <c r="T40" s="5" t="s">
        <v>16</v>
      </c>
      <c r="U40" s="5" t="s">
        <v>7</v>
      </c>
    </row>
    <row r="41" spans="1:32" x14ac:dyDescent="0.25">
      <c r="L41" t="s">
        <v>1</v>
      </c>
      <c r="M41" s="13">
        <f t="shared" ref="M41:U43" si="30">M23-B23</f>
        <v>-2.6166137453165206E-4</v>
      </c>
      <c r="N41" s="13">
        <f t="shared" si="30"/>
        <v>-6.427416126643945E-2</v>
      </c>
      <c r="O41" s="13">
        <f t="shared" si="30"/>
        <v>-7.7372009142133435E-2</v>
      </c>
      <c r="P41" s="13" t="e">
        <f t="shared" si="30"/>
        <v>#DIV/0!</v>
      </c>
      <c r="Q41" s="13">
        <f t="shared" si="30"/>
        <v>1.558872335417078E-2</v>
      </c>
      <c r="R41" s="13">
        <f t="shared" si="30"/>
        <v>0</v>
      </c>
      <c r="S41" s="13">
        <f t="shared" si="30"/>
        <v>0</v>
      </c>
      <c r="T41" s="13" t="e">
        <f t="shared" si="30"/>
        <v>#DIV/0!</v>
      </c>
      <c r="U41" s="13">
        <f t="shared" si="30"/>
        <v>7.4945810598419038E-2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9</v>
      </c>
      <c r="M42" s="13">
        <f t="shared" si="30"/>
        <v>0</v>
      </c>
      <c r="N42" s="13">
        <f t="shared" si="30"/>
        <v>7.3644104199990124E-2</v>
      </c>
      <c r="O42" s="13">
        <f t="shared" si="30"/>
        <v>0.14292375866528789</v>
      </c>
      <c r="P42" s="13" t="e">
        <f t="shared" si="30"/>
        <v>#DIV/0!</v>
      </c>
      <c r="Q42" s="13">
        <f t="shared" si="30"/>
        <v>0.14712041884816754</v>
      </c>
      <c r="R42" s="13">
        <f t="shared" si="30"/>
        <v>0</v>
      </c>
      <c r="S42" s="13">
        <f t="shared" si="30"/>
        <v>0</v>
      </c>
      <c r="T42" s="13" t="e">
        <f t="shared" si="30"/>
        <v>#DIV/0!</v>
      </c>
      <c r="U42" s="13">
        <f t="shared" si="30"/>
        <v>3.8170523809366433E-2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10</v>
      </c>
      <c r="M43" s="13">
        <f t="shared" si="30"/>
        <v>0</v>
      </c>
      <c r="N43" s="13">
        <f t="shared" si="30"/>
        <v>0</v>
      </c>
      <c r="O43" s="13">
        <f t="shared" si="30"/>
        <v>-7.2134418589752447E-2</v>
      </c>
      <c r="P43" s="13" t="e">
        <f t="shared" si="30"/>
        <v>#DIV/0!</v>
      </c>
      <c r="Q43" s="13">
        <f t="shared" si="30"/>
        <v>-8.1237382128174163E-2</v>
      </c>
      <c r="R43" s="13">
        <f t="shared" si="30"/>
        <v>0</v>
      </c>
      <c r="S43" s="13">
        <f t="shared" si="30"/>
        <v>0</v>
      </c>
      <c r="T43" s="13" t="e">
        <f t="shared" si="30"/>
        <v>#DIV/0!</v>
      </c>
      <c r="U43" s="13">
        <f t="shared" si="30"/>
        <v>-3.2952090174762083E-4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51</v>
      </c>
      <c r="M44" s="13">
        <f t="shared" ref="M44:P44" si="31">M26-B26</f>
        <v>0</v>
      </c>
      <c r="N44" s="13">
        <f t="shared" si="31"/>
        <v>0</v>
      </c>
      <c r="O44" s="13">
        <f t="shared" si="31"/>
        <v>0</v>
      </c>
      <c r="P44" s="13" t="e">
        <f t="shared" si="31"/>
        <v>#DIV/0!</v>
      </c>
      <c r="Q44" s="13">
        <f t="shared" ref="Q44:U51" si="32">Q26-F26</f>
        <v>0.16168327453279241</v>
      </c>
      <c r="R44" s="13">
        <f t="shared" si="32"/>
        <v>0</v>
      </c>
      <c r="S44" s="13">
        <f t="shared" si="32"/>
        <v>0</v>
      </c>
      <c r="T44" s="13" t="e">
        <f t="shared" si="32"/>
        <v>#DIV/0!</v>
      </c>
      <c r="U44" s="13">
        <f t="shared" si="32"/>
        <v>-9.355496911998086E-3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52</v>
      </c>
      <c r="M45" s="13">
        <f t="shared" ref="M45:P45" si="33">M27-B27</f>
        <v>0</v>
      </c>
      <c r="N45" s="13">
        <f t="shared" si="33"/>
        <v>0</v>
      </c>
      <c r="O45" s="13">
        <f t="shared" si="33"/>
        <v>0</v>
      </c>
      <c r="P45" s="13" t="e">
        <f t="shared" si="33"/>
        <v>#DIV/0!</v>
      </c>
      <c r="Q45" s="13">
        <f t="shared" si="32"/>
        <v>-2.1312530308215213E-2</v>
      </c>
      <c r="R45" s="13">
        <f t="shared" si="32"/>
        <v>0</v>
      </c>
      <c r="S45" s="13">
        <f t="shared" si="32"/>
        <v>0</v>
      </c>
      <c r="T45" s="13" t="e">
        <f t="shared" si="32"/>
        <v>#DIV/0!</v>
      </c>
      <c r="U45" s="13">
        <f t="shared" si="32"/>
        <v>-5.9304988455790891E-4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53</v>
      </c>
      <c r="M46" s="13">
        <f t="shared" ref="M46:P46" si="34">M28-B28</f>
        <v>0</v>
      </c>
      <c r="N46" s="13">
        <f t="shared" si="34"/>
        <v>0</v>
      </c>
      <c r="O46" s="13">
        <f t="shared" si="34"/>
        <v>0</v>
      </c>
      <c r="P46" s="13" t="e">
        <f t="shared" si="34"/>
        <v>#DIV/0!</v>
      </c>
      <c r="Q46" s="13">
        <f t="shared" si="32"/>
        <v>0</v>
      </c>
      <c r="R46" s="13">
        <f t="shared" si="32"/>
        <v>0</v>
      </c>
      <c r="S46" s="13">
        <f t="shared" si="32"/>
        <v>0</v>
      </c>
      <c r="T46" s="13" t="e">
        <f t="shared" si="32"/>
        <v>#DIV/0!</v>
      </c>
      <c r="U46" s="13">
        <f t="shared" si="32"/>
        <v>0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54</v>
      </c>
      <c r="M47" s="13">
        <f t="shared" ref="M47:P49" si="35">M29-B29</f>
        <v>0</v>
      </c>
      <c r="N47" s="13">
        <f t="shared" si="35"/>
        <v>0</v>
      </c>
      <c r="O47" s="13">
        <f t="shared" si="35"/>
        <v>0</v>
      </c>
      <c r="P47" s="13" t="e">
        <f t="shared" si="35"/>
        <v>#DIV/0!</v>
      </c>
      <c r="Q47" s="13">
        <f t="shared" si="32"/>
        <v>0</v>
      </c>
      <c r="R47" s="13">
        <f t="shared" si="32"/>
        <v>0</v>
      </c>
      <c r="S47" s="13">
        <f t="shared" si="32"/>
        <v>0</v>
      </c>
      <c r="T47" s="13" t="e">
        <f t="shared" si="32"/>
        <v>#DIV/0!</v>
      </c>
      <c r="U47" s="13">
        <f t="shared" si="32"/>
        <v>0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55</v>
      </c>
      <c r="M48" s="13">
        <f t="shared" si="35"/>
        <v>0</v>
      </c>
      <c r="N48" s="13">
        <f t="shared" si="35"/>
        <v>0</v>
      </c>
      <c r="O48" s="13">
        <f t="shared" si="35"/>
        <v>0</v>
      </c>
      <c r="P48" s="13" t="e">
        <f t="shared" si="35"/>
        <v>#DIV/0!</v>
      </c>
      <c r="Q48" s="13">
        <f t="shared" si="32"/>
        <v>0</v>
      </c>
      <c r="R48" s="13">
        <f t="shared" si="32"/>
        <v>0</v>
      </c>
      <c r="S48" s="13">
        <f t="shared" si="32"/>
        <v>0</v>
      </c>
      <c r="T48" s="13" t="e">
        <f t="shared" si="32"/>
        <v>#DIV/0!</v>
      </c>
      <c r="U48" s="13">
        <f t="shared" si="32"/>
        <v>0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t="s">
        <v>24</v>
      </c>
      <c r="M49" s="13">
        <f t="shared" si="35"/>
        <v>0</v>
      </c>
      <c r="N49" s="13">
        <f t="shared" si="35"/>
        <v>0</v>
      </c>
      <c r="O49" s="13">
        <f t="shared" si="35"/>
        <v>0</v>
      </c>
      <c r="P49" s="13" t="e">
        <f t="shared" si="35"/>
        <v>#DIV/0!</v>
      </c>
      <c r="Q49" s="13">
        <f t="shared" si="32"/>
        <v>0</v>
      </c>
      <c r="R49" s="13">
        <f t="shared" si="32"/>
        <v>0</v>
      </c>
      <c r="S49" s="13">
        <f t="shared" si="32"/>
        <v>0</v>
      </c>
      <c r="T49" s="13" t="e">
        <f t="shared" si="32"/>
        <v>#DIV/0!</v>
      </c>
      <c r="U49" s="13">
        <f t="shared" si="32"/>
        <v>-4.9001099139623396E-3</v>
      </c>
      <c r="X49" s="13"/>
      <c r="Y49" s="13"/>
      <c r="Z49" s="13"/>
      <c r="AA49" s="13"/>
      <c r="AB49" s="13"/>
      <c r="AC49" s="13"/>
      <c r="AD49" s="13"/>
      <c r="AE49" s="13"/>
      <c r="AF49" s="13"/>
    </row>
    <row r="50" spans="12:32" x14ac:dyDescent="0.25">
      <c r="L50" t="s">
        <v>4</v>
      </c>
      <c r="M50" s="13">
        <f t="shared" ref="M50:P50" si="36">M32-B32</f>
        <v>7.2348223422737329E-4</v>
      </c>
      <c r="N50" s="13">
        <f t="shared" si="36"/>
        <v>1.0240050412555876E-3</v>
      </c>
      <c r="O50" s="13">
        <f t="shared" si="36"/>
        <v>1.3885317562355361E-3</v>
      </c>
      <c r="P50" s="13" t="e">
        <f t="shared" si="36"/>
        <v>#DIV/0!</v>
      </c>
      <c r="Q50" s="13">
        <f t="shared" si="32"/>
        <v>3.4031413612565444E-3</v>
      </c>
      <c r="R50" s="13">
        <f t="shared" si="32"/>
        <v>-4.592314901593253E-2</v>
      </c>
      <c r="S50" s="13">
        <f t="shared" si="32"/>
        <v>0</v>
      </c>
      <c r="T50" s="13" t="e">
        <f t="shared" si="32"/>
        <v>#DIV/0!</v>
      </c>
      <c r="U50" s="13">
        <f t="shared" si="32"/>
        <v>5.3165246191068903E-4</v>
      </c>
      <c r="X50" s="13"/>
      <c r="Y50" s="13"/>
      <c r="Z50" s="13"/>
      <c r="AA50" s="13"/>
      <c r="AB50" s="13"/>
      <c r="AC50" s="13"/>
      <c r="AD50" s="13"/>
      <c r="AE50" s="13"/>
      <c r="AF50" s="13"/>
    </row>
    <row r="51" spans="12:32" x14ac:dyDescent="0.25">
      <c r="L51" t="s">
        <v>5</v>
      </c>
      <c r="M51" s="13">
        <f>M33-B33</f>
        <v>-4.6182085969566963E-4</v>
      </c>
      <c r="N51" s="13">
        <f>N33-C33</f>
        <v>-1.0393947974806247E-2</v>
      </c>
      <c r="O51" s="13">
        <f>O33-D33</f>
        <v>5.1941373103625609E-3</v>
      </c>
      <c r="P51" s="13" t="e">
        <f>P33-E33</f>
        <v>#DIV/0!</v>
      </c>
      <c r="Q51" s="13">
        <f t="shared" si="32"/>
        <v>-0.22524564565999777</v>
      </c>
      <c r="R51" s="13">
        <f t="shared" si="32"/>
        <v>4.5923149015932523E-2</v>
      </c>
      <c r="S51" s="13">
        <f t="shared" si="32"/>
        <v>0</v>
      </c>
      <c r="T51" s="13" t="e">
        <f t="shared" si="32"/>
        <v>#DIV/0!</v>
      </c>
      <c r="U51" s="13">
        <f t="shared" si="32"/>
        <v>-9.8469809257430152E-2</v>
      </c>
      <c r="X51" s="13"/>
      <c r="Y51" s="13"/>
      <c r="Z51" s="13"/>
      <c r="AA51" s="13"/>
      <c r="AB51" s="13"/>
      <c r="AC51" s="13"/>
      <c r="AD51" s="13"/>
      <c r="AE51" s="13"/>
      <c r="AF51" s="13"/>
    </row>
    <row r="52" spans="12:32" x14ac:dyDescent="0.25">
      <c r="L52" s="4" t="s">
        <v>60</v>
      </c>
      <c r="M52" s="17">
        <f t="shared" ref="M52:U52" si="37">M34-B34</f>
        <v>0</v>
      </c>
      <c r="N52" s="17">
        <f t="shared" si="37"/>
        <v>0</v>
      </c>
      <c r="O52" s="17">
        <f t="shared" si="37"/>
        <v>0</v>
      </c>
      <c r="P52" s="17" t="e">
        <f t="shared" si="37"/>
        <v>#DIV/0!</v>
      </c>
      <c r="Q52" s="17">
        <f t="shared" si="37"/>
        <v>0</v>
      </c>
      <c r="R52" s="17">
        <f t="shared" si="37"/>
        <v>0</v>
      </c>
      <c r="S52" s="17">
        <f t="shared" si="37"/>
        <v>0</v>
      </c>
      <c r="T52" s="17" t="e">
        <f t="shared" si="37"/>
        <v>#DIV/0!</v>
      </c>
      <c r="U52" s="13">
        <f t="shared" si="37"/>
        <v>0</v>
      </c>
      <c r="X52" s="13"/>
      <c r="Y52" s="13"/>
      <c r="Z52" s="13"/>
      <c r="AA52" s="13"/>
      <c r="AB52" s="13"/>
      <c r="AC52" s="13"/>
      <c r="AD52" s="13"/>
      <c r="AE52" s="13"/>
      <c r="AF52" s="13"/>
    </row>
    <row r="53" spans="12:32" ht="15.75" thickBot="1" x14ac:dyDescent="0.3">
      <c r="L53" s="9" t="s">
        <v>7</v>
      </c>
      <c r="M53" s="15">
        <f t="shared" ref="M53:P53" si="38">M35-B35</f>
        <v>0</v>
      </c>
      <c r="N53" s="15">
        <f t="shared" si="38"/>
        <v>0</v>
      </c>
      <c r="O53" s="15">
        <f t="shared" si="38"/>
        <v>0</v>
      </c>
      <c r="P53" s="15" t="e">
        <f t="shared" si="38"/>
        <v>#DIV/0!</v>
      </c>
      <c r="Q53" s="15">
        <f t="shared" ref="Q53" si="39">Q35-F35</f>
        <v>0</v>
      </c>
      <c r="R53" s="15">
        <f t="shared" ref="R53" si="40">R35-G35</f>
        <v>0</v>
      </c>
      <c r="S53" s="15">
        <f t="shared" ref="S53" si="41">S35-H35</f>
        <v>0</v>
      </c>
      <c r="T53" s="15" t="e">
        <f t="shared" ref="T53" si="42">T35-I35</f>
        <v>#DIV/0!</v>
      </c>
      <c r="U53" s="15">
        <f t="shared" ref="U53" si="43">U35-J35</f>
        <v>0</v>
      </c>
      <c r="X53" s="13"/>
      <c r="Y53" s="13"/>
      <c r="Z53" s="13"/>
      <c r="AA53" s="13"/>
      <c r="AB53" s="13"/>
      <c r="AC53" s="13"/>
      <c r="AD53" s="13"/>
      <c r="AE53" s="13"/>
      <c r="AF53" s="13"/>
    </row>
  </sheetData>
  <mergeCells count="5">
    <mergeCell ref="B3:I3"/>
    <mergeCell ref="M3:U3"/>
    <mergeCell ref="B21:I21"/>
    <mergeCell ref="M21:U21"/>
    <mergeCell ref="M39:U39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AF53"/>
  <sheetViews>
    <sheetView workbookViewId="0">
      <selection activeCell="M16" sqref="M16:T16"/>
    </sheetView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r="2" spans="1:21" ht="15.75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26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31" t="s">
        <v>6</v>
      </c>
      <c r="C3" s="31"/>
      <c r="D3" s="31"/>
      <c r="E3" s="31"/>
      <c r="F3" s="31"/>
      <c r="G3" s="31"/>
      <c r="H3" s="31"/>
      <c r="I3" s="31"/>
      <c r="J3" s="11"/>
      <c r="L3" s="3"/>
      <c r="M3" s="32" t="s">
        <v>6</v>
      </c>
      <c r="N3" s="32"/>
      <c r="O3" s="32"/>
      <c r="P3" s="32"/>
      <c r="Q3" s="32"/>
      <c r="R3" s="32"/>
      <c r="S3" s="32"/>
      <c r="T3" s="32"/>
      <c r="U3" s="32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2845985.377555999</v>
      </c>
      <c r="C5" s="6" t="n">
        <v>377403.3926612289</v>
      </c>
      <c r="D5" s="6" t="n">
        <v>186826.0293168562</v>
      </c>
      <c r="E5" s="6" t="n">
        <v>91849.727162148</v>
      </c>
      <c r="F5" s="6" t="n">
        <v>14069.8411119452</v>
      </c>
      <c r="G5" s="6" t="n">
        <v>0.0</v>
      </c>
      <c r="H5" s="6" t="n">
        <v>0.0</v>
      </c>
      <c r="I5" s="6" t="n">
        <v>1404.502706476</v>
      </c>
      <c r="J5" s="6">
        <f>SUM(B5:I5)</f>
        <v>3517538.8705146527</v>
      </c>
      <c r="K5" s="6"/>
      <c r="L5" t="s">
        <v>1</v>
      </c>
      <c r="M5" s="6" t="n">
        <v>3496246.0</v>
      </c>
      <c r="N5" s="6" t="n">
        <v>493883.0</v>
      </c>
      <c r="O5" s="6" t="n">
        <v>187512.0</v>
      </c>
      <c r="P5" s="6" t="n">
        <v>211607.0</v>
      </c>
      <c r="Q5" s="6" t="n">
        <v>21559.0</v>
      </c>
      <c r="R5" s="6" t="n">
        <v>0.0</v>
      </c>
      <c r="S5" s="6" t="n">
        <v>0.0</v>
      </c>
      <c r="T5" s="6" t="n">
        <v>0.0</v>
      </c>
      <c r="U5" s="6">
        <f t="shared" ref="U5:U16" si="0">SUM(M5:T5)</f>
        <v>4410807</v>
      </c>
    </row>
    <row r="6" spans="1:21" x14ac:dyDescent="0.25">
      <c r="A6" t="s">
        <v>12</v>
      </c>
      <c r="B6" s="6" t="n">
        <v>0.0</v>
      </c>
      <c r="C6" s="6" t="n">
        <v>451123.8174558835</v>
      </c>
      <c r="D6" s="6" t="n">
        <v>86027.1797256781</v>
      </c>
      <c r="E6" s="6" t="n">
        <v>4704.1750873482</v>
      </c>
      <c r="F6" s="6" t="n">
        <v>48257.4264838357</v>
      </c>
      <c r="G6" s="6" t="n">
        <v>0.0</v>
      </c>
      <c r="H6" s="6" t="n">
        <v>0.0</v>
      </c>
      <c r="I6" s="6" t="n">
        <v>0.0</v>
      </c>
      <c r="J6" s="6">
        <f t="shared" ref="J6:J16" si="1">SUM(B6:I6)</f>
        <v>590112.59875274543</v>
      </c>
      <c r="K6" s="6"/>
      <c r="L6" t="s">
        <v>12</v>
      </c>
      <c r="M6" s="6" t="n">
        <v>0.0</v>
      </c>
      <c r="N6" s="6" t="n">
        <v>597276.0</v>
      </c>
      <c r="O6" s="6" t="n">
        <v>98314.0</v>
      </c>
      <c r="P6" s="6" t="n">
        <v>8062.0</v>
      </c>
      <c r="Q6" s="6" t="n">
        <v>31568.0</v>
      </c>
      <c r="R6" s="6" t="n">
        <v>0.0</v>
      </c>
      <c r="S6" s="6" t="n">
        <v>0.0</v>
      </c>
      <c r="T6" s="6" t="n">
        <v>0.0</v>
      </c>
      <c r="U6" s="6">
        <f t="shared" si="0"/>
        <v>735220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207253.5522849683</v>
      </c>
      <c r="E7" s="6" t="n">
        <v>3815.516210835</v>
      </c>
      <c r="F7" s="6" t="n">
        <v>10656.7754784813</v>
      </c>
      <c r="G7" s="6" t="n">
        <v>0.0</v>
      </c>
      <c r="H7" s="6" t="n">
        <v>0.0</v>
      </c>
      <c r="I7" s="6" t="n">
        <v>0.0</v>
      </c>
      <c r="J7" s="6">
        <f t="shared" si="1"/>
        <v>221725.84397428459</v>
      </c>
      <c r="K7" s="6"/>
      <c r="L7" t="s">
        <v>56</v>
      </c>
      <c r="M7" s="6" t="n">
        <v>0.0</v>
      </c>
      <c r="N7" s="6" t="n">
        <v>0.0</v>
      </c>
      <c r="O7" s="6" t="n">
        <v>334529.0</v>
      </c>
      <c r="P7" s="6" t="n">
        <v>23.0</v>
      </c>
      <c r="Q7" s="6" t="n">
        <v>14239.0</v>
      </c>
      <c r="R7" s="6" t="n">
        <v>0.0</v>
      </c>
      <c r="S7" s="6" t="n">
        <v>0.0</v>
      </c>
      <c r="T7" s="6" t="n">
        <v>0.0</v>
      </c>
      <c r="U7" s="6">
        <f t="shared" si="0"/>
        <v>348791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91643.0365607317</v>
      </c>
      <c r="F8" s="6" t="n">
        <v>376735.1926677049</v>
      </c>
      <c r="G8" s="6" t="n">
        <v>0.0</v>
      </c>
      <c r="H8" s="6" t="n">
        <v>0.0</v>
      </c>
      <c r="I8" s="6" t="n">
        <v>0.0</v>
      </c>
      <c r="J8" s="6">
        <f t="shared" si="1"/>
        <v>468378.2292284366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162702.0</v>
      </c>
      <c r="Q8" s="6" t="n">
        <v>273064.0</v>
      </c>
      <c r="R8" s="6" t="n">
        <v>0.0</v>
      </c>
      <c r="S8" s="6" t="n">
        <v>0.0</v>
      </c>
      <c r="T8" s="6" t="n">
        <v>0.0</v>
      </c>
      <c r="U8" s="6">
        <f t="shared" si="0"/>
        <v>435766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2053.6406139154</v>
      </c>
      <c r="G9" s="6" t="n">
        <v>0.0</v>
      </c>
      <c r="H9" s="6" t="n">
        <v>0.0</v>
      </c>
      <c r="I9" s="6" t="n">
        <v>0.0</v>
      </c>
      <c r="J9" s="6">
        <f t="shared" si="1"/>
        <v>2053.6406139154001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t="shared" si="0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t="shared" si="1"/>
        <v>0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0.0</v>
      </c>
      <c r="R10" s="6" t="n">
        <v>0.0</v>
      </c>
      <c r="S10" s="6" t="n">
        <v>0.0</v>
      </c>
      <c r="T10" s="6" t="n">
        <v>0.0</v>
      </c>
      <c r="U10" s="6">
        <f t="shared" si="0"/>
        <v>0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t="shared" si="1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0.0</v>
      </c>
      <c r="R11" s="6" t="n">
        <v>0.0</v>
      </c>
      <c r="S11" s="6" t="n">
        <v>0.0</v>
      </c>
      <c r="T11" s="6" t="n">
        <v>0.0</v>
      </c>
      <c r="U11" s="6">
        <f t="shared" si="0"/>
        <v>0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t="shared" si="1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0.0</v>
      </c>
      <c r="R12" s="6" t="n">
        <v>0.0</v>
      </c>
      <c r="S12" s="6" t="n">
        <v>0.0</v>
      </c>
      <c r="T12" s="6" t="n">
        <v>0.0</v>
      </c>
      <c r="U12" s="6">
        <f t="shared" si="0"/>
        <v>0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3710.067183186</v>
      </c>
      <c r="J13" s="6">
        <f t="shared" si="1"/>
        <v>3710.067183186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t="shared" si="0"/>
        <v>0</v>
      </c>
    </row>
    <row r="14" spans="1:21" x14ac:dyDescent="0.25">
      <c r="A14" t="s">
        <v>4</v>
      </c>
      <c r="B14" s="6" t="n">
        <v>377.852839859</v>
      </c>
      <c r="C14" s="6" t="n">
        <v>4567.8014431551</v>
      </c>
      <c r="D14" s="6" t="n">
        <v>337.724647725</v>
      </c>
      <c r="E14" s="6" t="n">
        <v>243.463457593</v>
      </c>
      <c r="F14" s="6" t="n">
        <v>5584.6387331914</v>
      </c>
      <c r="G14" s="6" t="n">
        <v>95044.7554352582</v>
      </c>
      <c r="H14" s="6" t="n">
        <v>0.0</v>
      </c>
      <c r="I14" s="6" t="n">
        <v>0.0</v>
      </c>
      <c r="J14" s="6">
        <f t="shared" si="1"/>
        <v>106156.23655678169</v>
      </c>
      <c r="K14" s="6"/>
      <c r="L14" t="s">
        <v>4</v>
      </c>
      <c r="M14" s="6" t="n">
        <v>2542.0</v>
      </c>
      <c r="N14" s="6" t="n">
        <v>3373.0</v>
      </c>
      <c r="O14" s="6" t="n">
        <v>3126.0</v>
      </c>
      <c r="P14" s="6" t="n">
        <v>0.0</v>
      </c>
      <c r="Q14" s="6" t="n">
        <v>4223.0</v>
      </c>
      <c r="R14" s="6" t="n">
        <v>80255.0</v>
      </c>
      <c r="S14" s="6" t="n">
        <v>0.0</v>
      </c>
      <c r="T14" s="6" t="n">
        <v>0.0</v>
      </c>
      <c r="U14" s="6">
        <f t="shared" si="0"/>
        <v>93519</v>
      </c>
    </row>
    <row r="15" spans="1:21" x14ac:dyDescent="0.25">
      <c r="A15" t="s">
        <v>5</v>
      </c>
      <c r="B15" s="6" t="n">
        <v>45690.289298823904</v>
      </c>
      <c r="C15" s="6" t="n">
        <v>14140.2595746126</v>
      </c>
      <c r="D15" s="6" t="n">
        <v>13080.9868921558</v>
      </c>
      <c r="E15" s="6" t="n">
        <v>12213.7495786514</v>
      </c>
      <c r="F15" s="6" t="n">
        <v>106914.1949820079</v>
      </c>
      <c r="G15" s="6" t="n">
        <v>7699.8421964706</v>
      </c>
      <c r="H15" s="6" t="n">
        <v>96621.9896857204</v>
      </c>
      <c r="I15" s="6" t="n">
        <v>0.0</v>
      </c>
      <c r="J15" s="6">
        <f t="shared" si="1"/>
        <v>296361.3122084426</v>
      </c>
      <c r="K15" s="6"/>
      <c r="L15" t="s">
        <v>5</v>
      </c>
      <c r="M15" s="6" t="n">
        <v>267829.0</v>
      </c>
      <c r="N15" s="6" t="n">
        <v>147482.0</v>
      </c>
      <c r="O15" s="6" t="n">
        <v>83264.0</v>
      </c>
      <c r="P15" s="6" t="n">
        <v>0.0</v>
      </c>
      <c r="Q15" s="6" t="n">
        <v>104537.0</v>
      </c>
      <c r="R15" s="6" t="n">
        <v>29766.0</v>
      </c>
      <c r="S15" s="6" t="n">
        <v>53066.0</v>
      </c>
      <c r="T15" s="6" t="n">
        <v>0.0</v>
      </c>
      <c r="U15" s="6">
        <f t="shared" si="0"/>
        <v>685944</v>
      </c>
    </row>
    <row r="16" spans="1:21" x14ac:dyDescent="0.25">
      <c r="A16" s="4" t="s">
        <v>60</v>
      </c>
      <c r="B16" s="10" t="n">
        <v>0.0</v>
      </c>
      <c r="C16" s="10" t="n">
        <v>0.0</v>
      </c>
      <c r="D16" s="10" t="n">
        <v>0.0</v>
      </c>
      <c r="E16" s="10" t="n">
        <v>0.0</v>
      </c>
      <c r="F16" s="10" t="n">
        <v>0.0</v>
      </c>
      <c r="G16" s="10" t="n">
        <v>0.0</v>
      </c>
      <c r="H16" s="10" t="n">
        <v>0.0</v>
      </c>
      <c r="I16" s="10" t="n">
        <v>0.0</v>
      </c>
      <c r="J16" s="6">
        <f t="shared" si="1"/>
        <v>0</v>
      </c>
      <c r="K16" s="6"/>
      <c r="L16" s="4" t="s">
        <v>60</v>
      </c>
      <c r="M16" s="8" t="n">
        <v>0.0</v>
      </c>
      <c r="N16" s="8" t="n">
        <v>51010.0</v>
      </c>
      <c r="O16" s="8" t="n">
        <v>21865.0</v>
      </c>
      <c r="P16" s="8" t="n">
        <v>0.0</v>
      </c>
      <c r="Q16" s="8" t="n">
        <v>0.0</v>
      </c>
      <c r="R16" s="8" t="n">
        <v>0.0</v>
      </c>
      <c r="S16" s="8" t="n">
        <v>0.0</v>
      </c>
      <c r="T16" s="8" t="n">
        <v>0.0</v>
      </c>
      <c r="U16" s="6">
        <f t="shared" si="0"/>
        <v>0</v>
      </c>
    </row>
    <row r="17" spans="1:21" ht="15.75" thickBot="1" x14ac:dyDescent="0.3">
      <c r="A17" s="12" t="s">
        <v>7</v>
      </c>
      <c r="B17" s="16">
        <f t="shared" ref="B17:J17" si="2">SUM(B5:B16)</f>
        <v>2892053.5196946822</v>
      </c>
      <c r="C17" s="16">
        <f t="shared" si="2"/>
        <v>847235.27113488014</v>
      </c>
      <c r="D17" s="16">
        <f t="shared" si="2"/>
        <v>493525.47286738333</v>
      </c>
      <c r="E17" s="16">
        <f t="shared" si="2"/>
        <v>204469.66805730731</v>
      </c>
      <c r="F17" s="16">
        <f t="shared" si="2"/>
        <v>564271.71007108176</v>
      </c>
      <c r="G17" s="16">
        <f t="shared" si="2"/>
        <v>102744.5976317288</v>
      </c>
      <c r="H17" s="16">
        <f t="shared" si="2"/>
        <v>96621.9896857204</v>
      </c>
      <c r="I17" s="16">
        <f t="shared" si="2"/>
        <v>5114.5698896619997</v>
      </c>
      <c r="J17" s="16">
        <f t="shared" si="2"/>
        <v>5206036.799032446</v>
      </c>
      <c r="L17" s="9" t="s">
        <v>7</v>
      </c>
      <c r="M17" s="16">
        <f t="shared" ref="M17:U17" si="3">SUM(M5:M16)</f>
        <v>3766617</v>
      </c>
      <c r="N17" s="16">
        <f t="shared" si="3"/>
        <v>1242014</v>
      </c>
      <c r="O17" s="16">
        <f t="shared" si="3"/>
        <v>706745</v>
      </c>
      <c r="P17" s="16">
        <f t="shared" si="3"/>
        <v>382394</v>
      </c>
      <c r="Q17" s="16">
        <f t="shared" si="3"/>
        <v>449190</v>
      </c>
      <c r="R17" s="16">
        <f t="shared" si="3"/>
        <v>110021</v>
      </c>
      <c r="S17" s="16">
        <f t="shared" si="3"/>
        <v>53066</v>
      </c>
      <c r="T17" s="16">
        <f t="shared" si="3"/>
        <v>0</v>
      </c>
      <c r="U17" s="16">
        <f t="shared" si="3"/>
        <v>6710047</v>
      </c>
    </row>
    <row r="20" spans="1:21" ht="15.75" thickBot="1" x14ac:dyDescent="0.3">
      <c r="A20" s="1" t="s">
        <v>59</v>
      </c>
      <c r="B20" s="1"/>
      <c r="C20" s="2"/>
      <c r="D20" s="2"/>
      <c r="E20" s="2"/>
      <c r="F20" s="2"/>
      <c r="G20" s="2"/>
      <c r="H20" s="2"/>
      <c r="I20" s="2"/>
      <c r="J20" s="2"/>
      <c r="L20" s="1" t="s">
        <v>25</v>
      </c>
      <c r="M20" s="1"/>
      <c r="N20" s="2"/>
      <c r="O20" s="2"/>
      <c r="P20" s="2"/>
      <c r="Q20" s="2"/>
      <c r="R20" s="2"/>
      <c r="S20" s="2"/>
      <c r="T20" s="2"/>
      <c r="U20" s="2"/>
    </row>
    <row r="21" spans="1:21" x14ac:dyDescent="0.25">
      <c r="A21" s="3"/>
      <c r="B21" s="31" t="s">
        <v>6</v>
      </c>
      <c r="C21" s="31"/>
      <c r="D21" s="31"/>
      <c r="E21" s="31"/>
      <c r="F21" s="31"/>
      <c r="G21" s="31"/>
      <c r="H21" s="31"/>
      <c r="I21" s="31"/>
      <c r="J21" s="11"/>
      <c r="L21" s="3"/>
      <c r="M21" s="32" t="s">
        <v>6</v>
      </c>
      <c r="N21" s="32"/>
      <c r="O21" s="32"/>
      <c r="P21" s="32"/>
      <c r="Q21" s="32"/>
      <c r="R21" s="32"/>
      <c r="S21" s="32"/>
      <c r="T21" s="32"/>
      <c r="U21" s="32"/>
    </row>
    <row r="22" spans="1:21" x14ac:dyDescent="0.25">
      <c r="A22" s="4" t="s">
        <v>0</v>
      </c>
      <c r="B22" s="5" t="s">
        <v>11</v>
      </c>
      <c r="C22" s="5" t="s">
        <v>12</v>
      </c>
      <c r="D22" s="5" t="s">
        <v>13</v>
      </c>
      <c r="E22" s="5" t="s">
        <v>14</v>
      </c>
      <c r="F22" s="5" t="s">
        <v>15</v>
      </c>
      <c r="G22" s="5" t="s">
        <v>4</v>
      </c>
      <c r="H22" s="5" t="s">
        <v>5</v>
      </c>
      <c r="I22" s="5" t="s">
        <v>16</v>
      </c>
      <c r="J22" s="5" t="s">
        <v>7</v>
      </c>
      <c r="L22" s="4" t="s">
        <v>0</v>
      </c>
      <c r="M22" s="5" t="s">
        <v>1</v>
      </c>
      <c r="N22" s="5" t="s">
        <v>2</v>
      </c>
      <c r="O22" s="5" t="s">
        <v>3</v>
      </c>
      <c r="P22" s="5" t="s">
        <v>14</v>
      </c>
      <c r="Q22" s="5" t="s">
        <v>15</v>
      </c>
      <c r="R22" s="5" t="s">
        <v>4</v>
      </c>
      <c r="S22" s="5" t="s">
        <v>5</v>
      </c>
      <c r="T22" s="5" t="s">
        <v>16</v>
      </c>
      <c r="U22" s="5" t="s">
        <v>7</v>
      </c>
    </row>
    <row r="23" spans="1:21" x14ac:dyDescent="0.25">
      <c r="A23" t="s">
        <v>1</v>
      </c>
      <c r="B23" s="13">
        <f t="shared" ref="B23:J23" si="4">B5/B$17</f>
        <v>0.98407078505810408</v>
      </c>
      <c r="C23" s="13">
        <f t="shared" si="4"/>
        <v>0.44545288129434607</v>
      </c>
      <c r="D23" s="13">
        <f t="shared" si="4"/>
        <v>0.37855397459303741</v>
      </c>
      <c r="E23" s="13">
        <f t="shared" si="4"/>
        <v>0.4492095479726852</v>
      </c>
      <c r="F23" s="13">
        <f t="shared" si="4"/>
        <v>2.4934514456116913E-2</v>
      </c>
      <c r="G23" s="13">
        <f t="shared" si="4"/>
        <v>0</v>
      </c>
      <c r="H23" s="13">
        <f t="shared" si="4"/>
        <v>0</v>
      </c>
      <c r="I23" s="13">
        <f t="shared" si="4"/>
        <v>0.27460817561900941</v>
      </c>
      <c r="J23" s="13">
        <f t="shared" si="4"/>
        <v>0.6756653873765156</v>
      </c>
      <c r="K23" s="6"/>
      <c r="L23" t="s">
        <v>1</v>
      </c>
      <c r="M23" s="13">
        <f t="shared" ref="M23:P23" si="5">M5/M$17</f>
        <v>0.92821914200461586</v>
      </c>
      <c r="N23" s="13">
        <f t="shared" si="5"/>
        <v>0.39764688642801127</v>
      </c>
      <c r="O23" s="13">
        <f t="shared" si="5"/>
        <v>0.26531775958797021</v>
      </c>
      <c r="P23" s="13">
        <f t="shared" si="5"/>
        <v>0.55337426842471382</v>
      </c>
      <c r="Q23" s="13">
        <f t="shared" ref="Q23:U35" si="6">Q5/Q$17</f>
        <v>4.7995280393597364E-2</v>
      </c>
      <c r="R23" s="13">
        <f t="shared" si="6"/>
        <v>0</v>
      </c>
      <c r="S23" s="13">
        <f t="shared" si="6"/>
        <v>0</v>
      </c>
      <c r="T23" s="13" t="e">
        <f t="shared" si="6"/>
        <v>#DIV/0!</v>
      </c>
      <c r="U23" s="13">
        <f t="shared" si="6"/>
        <v>0.65734368179537339</v>
      </c>
    </row>
    <row r="24" spans="1:21" x14ac:dyDescent="0.25">
      <c r="A24" t="s">
        <v>12</v>
      </c>
      <c r="B24" s="13">
        <f t="shared" ref="B24:J24" si="7">B6/B$17</f>
        <v>0</v>
      </c>
      <c r="C24" s="13">
        <f t="shared" si="7"/>
        <v>0.53246581301035611</v>
      </c>
      <c r="D24" s="13">
        <f t="shared" si="7"/>
        <v>0.17431152889811366</v>
      </c>
      <c r="E24" s="13">
        <f t="shared" si="7"/>
        <v>2.3006713572938098E-2</v>
      </c>
      <c r="F24" s="13">
        <f t="shared" si="7"/>
        <v>8.5521612412142137E-2</v>
      </c>
      <c r="G24" s="13">
        <f t="shared" si="7"/>
        <v>0</v>
      </c>
      <c r="H24" s="13">
        <f t="shared" si="7"/>
        <v>0</v>
      </c>
      <c r="I24" s="13">
        <f t="shared" si="7"/>
        <v>0</v>
      </c>
      <c r="J24" s="13">
        <f t="shared" si="7"/>
        <v>0.11335159960114366</v>
      </c>
      <c r="K24" s="6"/>
      <c r="L24" t="s">
        <v>12</v>
      </c>
      <c r="M24" s="13">
        <f t="shared" ref="M24:P24" si="8">M6/M$17</f>
        <v>0</v>
      </c>
      <c r="N24" s="13">
        <f t="shared" si="8"/>
        <v>0.48089313002913009</v>
      </c>
      <c r="O24" s="13">
        <f t="shared" si="8"/>
        <v>0.13910816489681568</v>
      </c>
      <c r="P24" s="13">
        <f t="shared" si="8"/>
        <v>2.1082966782951615E-2</v>
      </c>
      <c r="Q24" s="13">
        <f t="shared" si="6"/>
        <v>7.0277610810570143E-2</v>
      </c>
      <c r="R24" s="13">
        <f t="shared" si="6"/>
        <v>0</v>
      </c>
      <c r="S24" s="13">
        <f t="shared" si="6"/>
        <v>0</v>
      </c>
      <c r="T24" s="13" t="e">
        <f t="shared" si="6"/>
        <v>#DIV/0!</v>
      </c>
      <c r="U24" s="13">
        <f t="shared" si="6"/>
        <v>0.10957002238583426</v>
      </c>
    </row>
    <row r="25" spans="1:21" x14ac:dyDescent="0.25">
      <c r="A25" t="s">
        <v>56</v>
      </c>
      <c r="B25" s="13">
        <f t="shared" ref="B25:J25" si="9">B7/B$17</f>
        <v>0</v>
      </c>
      <c r="C25" s="13">
        <f t="shared" si="9"/>
        <v>0</v>
      </c>
      <c r="D25" s="13">
        <f t="shared" si="9"/>
        <v>0.4199449950998983</v>
      </c>
      <c r="E25" s="13">
        <f t="shared" si="9"/>
        <v>1.8660548760540924E-2</v>
      </c>
      <c r="F25" s="13">
        <f t="shared" si="9"/>
        <v>1.8885893601043473E-2</v>
      </c>
      <c r="G25" s="13">
        <f t="shared" si="9"/>
        <v>0</v>
      </c>
      <c r="H25" s="13">
        <f t="shared" si="9"/>
        <v>0</v>
      </c>
      <c r="I25" s="13">
        <f t="shared" si="9"/>
        <v>0</v>
      </c>
      <c r="J25" s="13">
        <f t="shared" si="9"/>
        <v>4.2590141509467022E-2</v>
      </c>
      <c r="K25" s="6"/>
      <c r="L25" t="s">
        <v>56</v>
      </c>
      <c r="M25" s="13">
        <f t="shared" ref="M25:P25" si="10">M7/M$17</f>
        <v>0</v>
      </c>
      <c r="N25" s="13">
        <f t="shared" si="10"/>
        <v>0</v>
      </c>
      <c r="O25" s="13">
        <f t="shared" si="10"/>
        <v>0.47333762531040191</v>
      </c>
      <c r="P25" s="13">
        <f t="shared" si="10"/>
        <v>6.0147387249799947E-5</v>
      </c>
      <c r="Q25" s="13">
        <f t="shared" si="6"/>
        <v>3.1699280927892426E-2</v>
      </c>
      <c r="R25" s="13">
        <f t="shared" si="6"/>
        <v>0</v>
      </c>
      <c r="S25" s="13">
        <f t="shared" si="6"/>
        <v>0</v>
      </c>
      <c r="T25" s="13" t="e">
        <f t="shared" si="6"/>
        <v>#DIV/0!</v>
      </c>
      <c r="U25" s="13">
        <f t="shared" si="6"/>
        <v>5.1980410867464862E-2</v>
      </c>
    </row>
    <row r="26" spans="1:21" x14ac:dyDescent="0.25">
      <c r="A26" t="s">
        <v>51</v>
      </c>
      <c r="B26" s="13">
        <f t="shared" ref="B26:J26" si="11">B8/B$17</f>
        <v>0</v>
      </c>
      <c r="C26" s="13">
        <f t="shared" si="11"/>
        <v>0</v>
      </c>
      <c r="D26" s="13">
        <f t="shared" si="11"/>
        <v>0</v>
      </c>
      <c r="E26" s="13">
        <f t="shared" si="11"/>
        <v>0.44819868605179447</v>
      </c>
      <c r="F26" s="13">
        <f t="shared" si="11"/>
        <v>0.66764855643790344</v>
      </c>
      <c r="G26" s="13">
        <f t="shared" si="11"/>
        <v>0</v>
      </c>
      <c r="H26" s="13">
        <f t="shared" si="11"/>
        <v>0</v>
      </c>
      <c r="I26" s="13">
        <f t="shared" si="11"/>
        <v>0</v>
      </c>
      <c r="J26" s="13">
        <f t="shared" si="11"/>
        <v>8.9968290142606322E-2</v>
      </c>
      <c r="K26" s="6"/>
      <c r="L26" t="s">
        <v>51</v>
      </c>
      <c r="M26" s="13">
        <f t="shared" ref="M26:P26" si="12">M8/M$17</f>
        <v>0</v>
      </c>
      <c r="N26" s="13">
        <f t="shared" si="12"/>
        <v>0</v>
      </c>
      <c r="O26" s="13">
        <f t="shared" si="12"/>
        <v>0</v>
      </c>
      <c r="P26" s="13">
        <f t="shared" si="12"/>
        <v>0.42548261740508481</v>
      </c>
      <c r="Q26" s="13">
        <f t="shared" si="6"/>
        <v>0.6079031144949798</v>
      </c>
      <c r="R26" s="13">
        <f t="shared" si="6"/>
        <v>0</v>
      </c>
      <c r="S26" s="13">
        <f t="shared" si="6"/>
        <v>0</v>
      </c>
      <c r="T26" s="13" t="e">
        <f t="shared" si="6"/>
        <v>#DIV/0!</v>
      </c>
      <c r="U26" s="13">
        <f t="shared" si="6"/>
        <v>6.4942317095543448E-2</v>
      </c>
    </row>
    <row r="27" spans="1:21" x14ac:dyDescent="0.25">
      <c r="A27" t="s">
        <v>52</v>
      </c>
      <c r="B27" s="13">
        <f t="shared" ref="B27:J27" si="13">B9/B$17</f>
        <v>0</v>
      </c>
      <c r="C27" s="13">
        <f t="shared" si="13"/>
        <v>0</v>
      </c>
      <c r="D27" s="13">
        <f t="shared" si="13"/>
        <v>0</v>
      </c>
      <c r="E27" s="13">
        <f t="shared" si="13"/>
        <v>0</v>
      </c>
      <c r="F27" s="13">
        <f t="shared" si="13"/>
        <v>3.6394534357511938E-3</v>
      </c>
      <c r="G27" s="13">
        <f t="shared" si="13"/>
        <v>0</v>
      </c>
      <c r="H27" s="13">
        <f t="shared" si="13"/>
        <v>0</v>
      </c>
      <c r="I27" s="13">
        <f t="shared" si="13"/>
        <v>0</v>
      </c>
      <c r="J27" s="13">
        <f t="shared" si="13"/>
        <v>3.9447293463178629E-4</v>
      </c>
      <c r="K27" s="6"/>
      <c r="L27" t="s">
        <v>52</v>
      </c>
      <c r="M27" s="13">
        <f t="shared" ref="M27:P27" si="14">M9/M$17</f>
        <v>0</v>
      </c>
      <c r="N27" s="13">
        <f t="shared" si="14"/>
        <v>0</v>
      </c>
      <c r="O27" s="13">
        <f t="shared" si="14"/>
        <v>0</v>
      </c>
      <c r="P27" s="13">
        <f t="shared" si="14"/>
        <v>0</v>
      </c>
      <c r="Q27" s="13">
        <f t="shared" si="6"/>
        <v>0</v>
      </c>
      <c r="R27" s="13">
        <f t="shared" si="6"/>
        <v>0</v>
      </c>
      <c r="S27" s="13">
        <f t="shared" si="6"/>
        <v>0</v>
      </c>
      <c r="T27" s="13" t="e">
        <f t="shared" si="6"/>
        <v>#DIV/0!</v>
      </c>
      <c r="U27" s="13">
        <f t="shared" si="6"/>
        <v>0</v>
      </c>
    </row>
    <row r="28" spans="1:21" x14ac:dyDescent="0.25">
      <c r="A28" t="s">
        <v>53</v>
      </c>
      <c r="B28" s="13">
        <f t="shared" ref="B28:J28" si="15">B10/B$17</f>
        <v>0</v>
      </c>
      <c r="C28" s="13">
        <f t="shared" si="15"/>
        <v>0</v>
      </c>
      <c r="D28" s="13">
        <f t="shared" si="15"/>
        <v>0</v>
      </c>
      <c r="E28" s="13">
        <f t="shared" si="15"/>
        <v>0</v>
      </c>
      <c r="F28" s="13">
        <f t="shared" si="15"/>
        <v>0</v>
      </c>
      <c r="G28" s="13">
        <f t="shared" si="15"/>
        <v>0</v>
      </c>
      <c r="H28" s="13">
        <f t="shared" si="15"/>
        <v>0</v>
      </c>
      <c r="I28" s="13">
        <f t="shared" si="15"/>
        <v>0</v>
      </c>
      <c r="J28" s="13">
        <f t="shared" si="15"/>
        <v>0</v>
      </c>
      <c r="K28" s="6"/>
      <c r="L28" t="s">
        <v>53</v>
      </c>
      <c r="M28" s="13">
        <f t="shared" ref="M28:P28" si="16">M10/M$17</f>
        <v>0</v>
      </c>
      <c r="N28" s="13">
        <f t="shared" si="16"/>
        <v>0</v>
      </c>
      <c r="O28" s="13">
        <f t="shared" si="16"/>
        <v>0</v>
      </c>
      <c r="P28" s="13">
        <f t="shared" si="16"/>
        <v>0</v>
      </c>
      <c r="Q28" s="13">
        <f t="shared" si="6"/>
        <v>0</v>
      </c>
      <c r="R28" s="13">
        <f t="shared" si="6"/>
        <v>0</v>
      </c>
      <c r="S28" s="13">
        <f t="shared" si="6"/>
        <v>0</v>
      </c>
      <c r="T28" s="13" t="e">
        <f t="shared" si="6"/>
        <v>#DIV/0!</v>
      </c>
      <c r="U28" s="13">
        <f t="shared" si="6"/>
        <v>0</v>
      </c>
    </row>
    <row r="29" spans="1:21" x14ac:dyDescent="0.25">
      <c r="A29" t="s">
        <v>54</v>
      </c>
      <c r="B29" s="13">
        <f t="shared" ref="B29:J29" si="17">B11/B$17</f>
        <v>0</v>
      </c>
      <c r="C29" s="13">
        <f t="shared" si="17"/>
        <v>0</v>
      </c>
      <c r="D29" s="13">
        <f t="shared" si="17"/>
        <v>0</v>
      </c>
      <c r="E29" s="13">
        <f t="shared" si="17"/>
        <v>0</v>
      </c>
      <c r="F29" s="13">
        <f t="shared" si="17"/>
        <v>0</v>
      </c>
      <c r="G29" s="13">
        <f t="shared" si="17"/>
        <v>0</v>
      </c>
      <c r="H29" s="13">
        <f t="shared" si="17"/>
        <v>0</v>
      </c>
      <c r="I29" s="13">
        <f t="shared" si="17"/>
        <v>0</v>
      </c>
      <c r="J29" s="13">
        <f t="shared" si="17"/>
        <v>0</v>
      </c>
      <c r="K29" s="6"/>
      <c r="L29" t="s">
        <v>54</v>
      </c>
      <c r="M29" s="13">
        <f t="shared" ref="M29:P29" si="18">M11/M$17</f>
        <v>0</v>
      </c>
      <c r="N29" s="13">
        <f t="shared" si="18"/>
        <v>0</v>
      </c>
      <c r="O29" s="13">
        <f t="shared" si="18"/>
        <v>0</v>
      </c>
      <c r="P29" s="13">
        <f t="shared" si="18"/>
        <v>0</v>
      </c>
      <c r="Q29" s="13">
        <f t="shared" si="6"/>
        <v>0</v>
      </c>
      <c r="R29" s="13">
        <f t="shared" si="6"/>
        <v>0</v>
      </c>
      <c r="S29" s="13">
        <f t="shared" si="6"/>
        <v>0</v>
      </c>
      <c r="T29" s="13" t="e">
        <f t="shared" si="6"/>
        <v>#DIV/0!</v>
      </c>
      <c r="U29" s="13">
        <f t="shared" si="6"/>
        <v>0</v>
      </c>
    </row>
    <row r="30" spans="1:21" x14ac:dyDescent="0.25">
      <c r="A30" t="s">
        <v>55</v>
      </c>
      <c r="B30" s="13">
        <f t="shared" ref="B30:J30" si="19">B12/B$17</f>
        <v>0</v>
      </c>
      <c r="C30" s="13">
        <f t="shared" si="19"/>
        <v>0</v>
      </c>
      <c r="D30" s="13">
        <f t="shared" si="19"/>
        <v>0</v>
      </c>
      <c r="E30" s="13">
        <f t="shared" si="19"/>
        <v>0</v>
      </c>
      <c r="F30" s="13">
        <f t="shared" si="19"/>
        <v>0</v>
      </c>
      <c r="G30" s="13">
        <f t="shared" si="19"/>
        <v>0</v>
      </c>
      <c r="H30" s="13">
        <f t="shared" si="19"/>
        <v>0</v>
      </c>
      <c r="I30" s="13">
        <f t="shared" si="19"/>
        <v>0</v>
      </c>
      <c r="J30" s="13">
        <f t="shared" si="19"/>
        <v>0</v>
      </c>
      <c r="K30" s="6"/>
      <c r="L30" t="s">
        <v>55</v>
      </c>
      <c r="M30" s="13">
        <f t="shared" ref="M30:P30" si="20">M12/M$17</f>
        <v>0</v>
      </c>
      <c r="N30" s="13">
        <f t="shared" si="20"/>
        <v>0</v>
      </c>
      <c r="O30" s="13">
        <f t="shared" si="20"/>
        <v>0</v>
      </c>
      <c r="P30" s="13">
        <f t="shared" si="20"/>
        <v>0</v>
      </c>
      <c r="Q30" s="13">
        <f t="shared" si="6"/>
        <v>0</v>
      </c>
      <c r="R30" s="13">
        <f t="shared" si="6"/>
        <v>0</v>
      </c>
      <c r="S30" s="13">
        <f t="shared" si="6"/>
        <v>0</v>
      </c>
      <c r="T30" s="13" t="e">
        <f t="shared" si="6"/>
        <v>#DIV/0!</v>
      </c>
      <c r="U30" s="13">
        <f t="shared" si="6"/>
        <v>0</v>
      </c>
    </row>
    <row r="31" spans="1:21" x14ac:dyDescent="0.25">
      <c r="A31" t="s">
        <v>24</v>
      </c>
      <c r="B31" s="13">
        <f t="shared" ref="B31:J31" si="21">B13/B$17</f>
        <v>0</v>
      </c>
      <c r="C31" s="13">
        <f t="shared" si="21"/>
        <v>0</v>
      </c>
      <c r="D31" s="13">
        <f t="shared" si="21"/>
        <v>0</v>
      </c>
      <c r="E31" s="13">
        <f t="shared" si="21"/>
        <v>0</v>
      </c>
      <c r="F31" s="13">
        <f t="shared" si="21"/>
        <v>0</v>
      </c>
      <c r="G31" s="13">
        <f t="shared" si="21"/>
        <v>0</v>
      </c>
      <c r="H31" s="13">
        <f t="shared" si="21"/>
        <v>0</v>
      </c>
      <c r="I31" s="13">
        <f t="shared" si="21"/>
        <v>0.72539182438099059</v>
      </c>
      <c r="J31" s="13">
        <f t="shared" si="21"/>
        <v>7.1264712993875199E-4</v>
      </c>
      <c r="K31" s="6"/>
      <c r="L31" t="s">
        <v>24</v>
      </c>
      <c r="M31" s="13">
        <f t="shared" ref="M31:P31" si="22">M13/M$17</f>
        <v>0</v>
      </c>
      <c r="N31" s="13">
        <f t="shared" si="22"/>
        <v>0</v>
      </c>
      <c r="O31" s="13">
        <f t="shared" si="22"/>
        <v>0</v>
      </c>
      <c r="P31" s="13">
        <f t="shared" si="22"/>
        <v>0</v>
      </c>
      <c r="Q31" s="13">
        <f t="shared" si="6"/>
        <v>0</v>
      </c>
      <c r="R31" s="13">
        <f t="shared" si="6"/>
        <v>0</v>
      </c>
      <c r="S31" s="13">
        <f t="shared" si="6"/>
        <v>0</v>
      </c>
      <c r="T31" s="13" t="e">
        <f t="shared" si="6"/>
        <v>#DIV/0!</v>
      </c>
      <c r="U31" s="13">
        <f t="shared" si="6"/>
        <v>0</v>
      </c>
    </row>
    <row r="32" spans="1:21" x14ac:dyDescent="0.25">
      <c r="A32" t="s">
        <v>4</v>
      </c>
      <c r="B32" s="13">
        <f t="shared" ref="B32:J32" si="23">B14/B$17</f>
        <v>1.3065209107848406E-4</v>
      </c>
      <c r="C32" s="13">
        <f t="shared" si="23"/>
        <v>5.3914203041104322E-3</v>
      </c>
      <c r="D32" s="13">
        <f t="shared" si="23"/>
        <v>6.8431046884534572E-4</v>
      </c>
      <c r="E32" s="13">
        <f t="shared" si="23"/>
        <v>1.1907069635617728E-3</v>
      </c>
      <c r="F32" s="13">
        <f t="shared" si="23"/>
        <v>9.8970737563431957E-3</v>
      </c>
      <c r="G32" s="13">
        <f t="shared" si="23"/>
        <v>0.92505842278861772</v>
      </c>
      <c r="H32" s="13">
        <f t="shared" si="23"/>
        <v>0</v>
      </c>
      <c r="I32" s="13">
        <f t="shared" si="23"/>
        <v>0</v>
      </c>
      <c r="J32" s="13">
        <f t="shared" si="23"/>
        <v>2.0390988510974619E-2</v>
      </c>
      <c r="K32" s="6"/>
      <c r="L32" t="s">
        <v>4</v>
      </c>
      <c r="M32" s="13">
        <f t="shared" ref="M32:P32" si="24">M14/M$17</f>
        <v>6.7487615544665146E-4</v>
      </c>
      <c r="N32" s="13">
        <f t="shared" si="24"/>
        <v>2.7157503860665015E-3</v>
      </c>
      <c r="O32" s="13">
        <f t="shared" si="24"/>
        <v>4.4230946097956123E-3</v>
      </c>
      <c r="P32" s="13">
        <f t="shared" si="24"/>
        <v>0</v>
      </c>
      <c r="Q32" s="13">
        <f t="shared" si="6"/>
        <v>9.4013669048732158E-3</v>
      </c>
      <c r="R32" s="13">
        <f t="shared" si="6"/>
        <v>0.72945165013951885</v>
      </c>
      <c r="S32" s="13">
        <f t="shared" si="6"/>
        <v>0</v>
      </c>
      <c r="T32" s="13" t="e">
        <f t="shared" si="6"/>
        <v>#DIV/0!</v>
      </c>
      <c r="U32" s="13">
        <f t="shared" si="6"/>
        <v>1.3937160201709466E-2</v>
      </c>
    </row>
    <row r="33" spans="1:32" x14ac:dyDescent="0.25">
      <c r="A33" t="s">
        <v>5</v>
      </c>
      <c r="B33" s="13">
        <f t="shared" ref="B33:J33" si="25">B15/B$17</f>
        <v>1.5798562850817328E-2</v>
      </c>
      <c r="C33" s="13">
        <f t="shared" si="25"/>
        <v>1.6689885391187244E-2</v>
      </c>
      <c r="D33" s="13">
        <f t="shared" si="25"/>
        <v>2.6505190940105398E-2</v>
      </c>
      <c r="E33" s="13">
        <f t="shared" si="25"/>
        <v>5.9733796678479549E-2</v>
      </c>
      <c r="F33" s="13">
        <f t="shared" si="25"/>
        <v>0.18947289590069974</v>
      </c>
      <c r="G33" s="13">
        <f t="shared" si="25"/>
        <v>7.4941577211382199E-2</v>
      </c>
      <c r="H33" s="13">
        <f t="shared" si="25"/>
        <v>1</v>
      </c>
      <c r="I33" s="13">
        <f t="shared" si="25"/>
        <v>0</v>
      </c>
      <c r="J33" s="13">
        <f t="shared" si="25"/>
        <v>5.6926472794722086E-2</v>
      </c>
      <c r="K33" s="6"/>
      <c r="L33" t="s">
        <v>5</v>
      </c>
      <c r="M33" s="13">
        <f t="shared" ref="M33:P34" si="26">M15/M$17</f>
        <v>7.1105981839937535E-2</v>
      </c>
      <c r="N33" s="13">
        <f t="shared" si="26"/>
        <v>0.11874423315679211</v>
      </c>
      <c r="O33" s="13">
        <f t="shared" si="26"/>
        <v>0.11781335559501659</v>
      </c>
      <c r="P33" s="13">
        <f t="shared" si="26"/>
        <v>0</v>
      </c>
      <c r="Q33" s="13">
        <f t="shared" si="6"/>
        <v>0.23272334646808701</v>
      </c>
      <c r="R33" s="13">
        <f t="shared" si="6"/>
        <v>0.27054834986048121</v>
      </c>
      <c r="S33" s="13">
        <f t="shared" si="6"/>
        <v>1</v>
      </c>
      <c r="T33" s="13" t="e">
        <f t="shared" si="6"/>
        <v>#DIV/0!</v>
      </c>
      <c r="U33" s="13">
        <f t="shared" si="6"/>
        <v>0.10222640765407455</v>
      </c>
    </row>
    <row r="34" spans="1:32" x14ac:dyDescent="0.25">
      <c r="A34" s="4" t="s">
        <v>60</v>
      </c>
      <c r="B34" s="13">
        <f t="shared" ref="B34:J34" si="27">B16/B$17</f>
        <v>0</v>
      </c>
      <c r="C34" s="13">
        <f t="shared" si="27"/>
        <v>0</v>
      </c>
      <c r="D34" s="13">
        <f t="shared" si="27"/>
        <v>0</v>
      </c>
      <c r="E34" s="13">
        <f t="shared" si="27"/>
        <v>0</v>
      </c>
      <c r="F34" s="13">
        <f t="shared" si="27"/>
        <v>0</v>
      </c>
      <c r="G34" s="13">
        <f t="shared" si="27"/>
        <v>0</v>
      </c>
      <c r="H34" s="13">
        <f t="shared" si="27"/>
        <v>0</v>
      </c>
      <c r="I34" s="13">
        <f t="shared" si="27"/>
        <v>0</v>
      </c>
      <c r="J34" s="13">
        <f t="shared" si="27"/>
        <v>0</v>
      </c>
      <c r="K34" s="6"/>
      <c r="L34" s="4" t="s">
        <v>60</v>
      </c>
      <c r="M34" s="14">
        <f t="shared" si="26"/>
        <v>0</v>
      </c>
      <c r="N34" s="14">
        <f t="shared" si="26"/>
        <v>0</v>
      </c>
      <c r="O34" s="14">
        <f t="shared" si="26"/>
        <v>0</v>
      </c>
      <c r="P34" s="14">
        <f t="shared" si="26"/>
        <v>0</v>
      </c>
      <c r="Q34" s="14">
        <f t="shared" si="6"/>
        <v>0</v>
      </c>
      <c r="R34" s="14">
        <f t="shared" si="6"/>
        <v>0</v>
      </c>
      <c r="S34" s="14">
        <f t="shared" si="6"/>
        <v>0</v>
      </c>
      <c r="T34" s="14" t="e">
        <f t="shared" si="6"/>
        <v>#DIV/0!</v>
      </c>
      <c r="U34" s="14">
        <f t="shared" si="6"/>
        <v>0</v>
      </c>
    </row>
    <row r="35" spans="1:32" ht="15.75" thickBot="1" x14ac:dyDescent="0.3">
      <c r="A35" s="12" t="s">
        <v>7</v>
      </c>
      <c r="B35" s="15">
        <f t="shared" ref="B35:J35" si="28">B17/B$17</f>
        <v>1</v>
      </c>
      <c r="C35" s="15">
        <f t="shared" si="28"/>
        <v>1</v>
      </c>
      <c r="D35" s="15">
        <f t="shared" si="28"/>
        <v>1</v>
      </c>
      <c r="E35" s="15">
        <f t="shared" si="28"/>
        <v>1</v>
      </c>
      <c r="F35" s="15">
        <f t="shared" si="28"/>
        <v>1</v>
      </c>
      <c r="G35" s="15">
        <f t="shared" si="28"/>
        <v>1</v>
      </c>
      <c r="H35" s="15">
        <f t="shared" si="28"/>
        <v>1</v>
      </c>
      <c r="I35" s="15">
        <f t="shared" si="28"/>
        <v>1</v>
      </c>
      <c r="J35" s="15">
        <f t="shared" si="28"/>
        <v>1</v>
      </c>
      <c r="L35" s="9" t="s">
        <v>7</v>
      </c>
      <c r="M35" s="15">
        <f t="shared" ref="M35:P35" si="29">M17/M$17</f>
        <v>1</v>
      </c>
      <c r="N35" s="15">
        <f t="shared" si="29"/>
        <v>1</v>
      </c>
      <c r="O35" s="15">
        <f t="shared" si="29"/>
        <v>1</v>
      </c>
      <c r="P35" s="15">
        <f t="shared" si="29"/>
        <v>1</v>
      </c>
      <c r="Q35" s="15">
        <f t="shared" si="6"/>
        <v>1</v>
      </c>
      <c r="R35" s="15">
        <f t="shared" si="6"/>
        <v>1</v>
      </c>
      <c r="S35" s="15">
        <f t="shared" si="6"/>
        <v>1</v>
      </c>
      <c r="T35" s="15" t="e">
        <f t="shared" si="6"/>
        <v>#DIV/0!</v>
      </c>
      <c r="U35" s="15">
        <f t="shared" si="6"/>
        <v>1</v>
      </c>
    </row>
    <row r="38" spans="1:32" ht="15.75" thickBot="1" x14ac:dyDescent="0.3">
      <c r="L38" s="1" t="s">
        <v>17</v>
      </c>
      <c r="M38" s="1"/>
      <c r="N38" s="2"/>
      <c r="O38" s="2"/>
      <c r="P38" s="2"/>
      <c r="Q38" s="2"/>
      <c r="R38" s="2"/>
      <c r="S38" s="2"/>
      <c r="T38" s="2"/>
      <c r="U38" s="2"/>
    </row>
    <row r="39" spans="1:32" x14ac:dyDescent="0.25">
      <c r="L39" s="3"/>
      <c r="M39" s="32" t="s">
        <v>6</v>
      </c>
      <c r="N39" s="32"/>
      <c r="O39" s="32"/>
      <c r="P39" s="32"/>
      <c r="Q39" s="32"/>
      <c r="R39" s="32"/>
      <c r="S39" s="32"/>
      <c r="T39" s="32"/>
      <c r="U39" s="32"/>
    </row>
    <row r="40" spans="1:32" x14ac:dyDescent="0.25">
      <c r="L40" s="4" t="s">
        <v>0</v>
      </c>
      <c r="M40" s="5" t="s">
        <v>11</v>
      </c>
      <c r="N40" s="5" t="s">
        <v>12</v>
      </c>
      <c r="O40" s="5" t="s">
        <v>13</v>
      </c>
      <c r="P40" s="5" t="s">
        <v>14</v>
      </c>
      <c r="Q40" s="5" t="s">
        <v>15</v>
      </c>
      <c r="R40" s="5" t="s">
        <v>4</v>
      </c>
      <c r="S40" s="5" t="s">
        <v>5</v>
      </c>
      <c r="T40" s="5" t="s">
        <v>16</v>
      </c>
      <c r="U40" s="5" t="s">
        <v>7</v>
      </c>
    </row>
    <row r="41" spans="1:32" x14ac:dyDescent="0.25">
      <c r="L41" t="s">
        <v>1</v>
      </c>
      <c r="M41" s="13">
        <f t="shared" ref="M41:M51" si="30">M23-B23</f>
        <v>-5.585164305348822E-2</v>
      </c>
      <c r="N41" s="13">
        <f t="shared" ref="N41:N51" si="31">N23-C23</f>
        <v>-4.78059948663348E-2</v>
      </c>
      <c r="O41" s="13">
        <f t="shared" ref="O41:O51" si="32">O23-D23</f>
        <v>-0.1132362150050672</v>
      </c>
      <c r="P41" s="13">
        <f t="shared" ref="P41:P51" si="33">P23-E23</f>
        <v>0.10416472045202863</v>
      </c>
      <c r="Q41" s="13">
        <f t="shared" ref="Q41:Q51" si="34">Q23-F23</f>
        <v>2.3060765937480451E-2</v>
      </c>
      <c r="R41" s="13">
        <f t="shared" ref="R41:R51" si="35">R23-G23</f>
        <v>0</v>
      </c>
      <c r="S41" s="13">
        <f t="shared" ref="S41:S51" si="36">S23-H23</f>
        <v>0</v>
      </c>
      <c r="T41" s="13" t="e">
        <f t="shared" ref="T41:T51" si="37">T23-I23</f>
        <v>#DIV/0!</v>
      </c>
      <c r="U41" s="13">
        <f t="shared" ref="U41:U51" si="38">U23-J23</f>
        <v>-1.8321705581142211E-2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9</v>
      </c>
      <c r="M42" s="13">
        <f t="shared" si="30"/>
        <v>0</v>
      </c>
      <c r="N42" s="13">
        <f t="shared" si="31"/>
        <v>-5.1572682981226026E-2</v>
      </c>
      <c r="O42" s="13">
        <f t="shared" si="32"/>
        <v>-3.5203364001297976E-2</v>
      </c>
      <c r="P42" s="13">
        <f t="shared" si="33"/>
        <v>-1.923746789986483E-3</v>
      </c>
      <c r="Q42" s="13">
        <f t="shared" si="34"/>
        <v>-1.5244001601571994E-2</v>
      </c>
      <c r="R42" s="13">
        <f t="shared" si="35"/>
        <v>0</v>
      </c>
      <c r="S42" s="13">
        <f t="shared" si="36"/>
        <v>0</v>
      </c>
      <c r="T42" s="13" t="e">
        <f t="shared" si="37"/>
        <v>#DIV/0!</v>
      </c>
      <c r="U42" s="13">
        <f t="shared" si="38"/>
        <v>-3.7815772153094035E-3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10</v>
      </c>
      <c r="M43" s="13">
        <f t="shared" si="30"/>
        <v>0</v>
      </c>
      <c r="N43" s="13">
        <f t="shared" si="31"/>
        <v>0</v>
      </c>
      <c r="O43" s="13">
        <f t="shared" si="32"/>
        <v>5.3392630210503611E-2</v>
      </c>
      <c r="P43" s="13">
        <f t="shared" si="33"/>
        <v>-1.8600401373291123E-2</v>
      </c>
      <c r="Q43" s="13">
        <f t="shared" si="34"/>
        <v>1.2813387326848953E-2</v>
      </c>
      <c r="R43" s="13">
        <f t="shared" si="35"/>
        <v>0</v>
      </c>
      <c r="S43" s="13">
        <f t="shared" si="36"/>
        <v>0</v>
      </c>
      <c r="T43" s="13" t="e">
        <f t="shared" si="37"/>
        <v>#DIV/0!</v>
      </c>
      <c r="U43" s="13">
        <f t="shared" si="38"/>
        <v>9.3902693579978394E-3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51</v>
      </c>
      <c r="M44" s="13">
        <f t="shared" si="30"/>
        <v>0</v>
      </c>
      <c r="N44" s="13">
        <f t="shared" si="31"/>
        <v>0</v>
      </c>
      <c r="O44" s="13">
        <f t="shared" si="32"/>
        <v>0</v>
      </c>
      <c r="P44" s="13">
        <f t="shared" si="33"/>
        <v>-2.2716068646709664E-2</v>
      </c>
      <c r="Q44" s="13">
        <f t="shared" si="34"/>
        <v>-5.9745441942923638E-2</v>
      </c>
      <c r="R44" s="13">
        <f t="shared" si="35"/>
        <v>0</v>
      </c>
      <c r="S44" s="13">
        <f t="shared" si="36"/>
        <v>0</v>
      </c>
      <c r="T44" s="13" t="e">
        <f t="shared" si="37"/>
        <v>#DIV/0!</v>
      </c>
      <c r="U44" s="13">
        <f t="shared" si="38"/>
        <v>-2.5025973047062874E-2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52</v>
      </c>
      <c r="M45" s="13">
        <f t="shared" si="30"/>
        <v>0</v>
      </c>
      <c r="N45" s="13">
        <f t="shared" si="31"/>
        <v>0</v>
      </c>
      <c r="O45" s="13">
        <f t="shared" si="32"/>
        <v>0</v>
      </c>
      <c r="P45" s="13">
        <f t="shared" si="33"/>
        <v>0</v>
      </c>
      <c r="Q45" s="13">
        <f t="shared" si="34"/>
        <v>-3.6394534357511938E-3</v>
      </c>
      <c r="R45" s="13">
        <f t="shared" si="35"/>
        <v>0</v>
      </c>
      <c r="S45" s="13">
        <f t="shared" si="36"/>
        <v>0</v>
      </c>
      <c r="T45" s="13" t="e">
        <f t="shared" si="37"/>
        <v>#DIV/0!</v>
      </c>
      <c r="U45" s="13">
        <f t="shared" si="38"/>
        <v>-3.9447293463178629E-4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53</v>
      </c>
      <c r="M46" s="13">
        <f t="shared" si="30"/>
        <v>0</v>
      </c>
      <c r="N46" s="13">
        <f t="shared" si="31"/>
        <v>0</v>
      </c>
      <c r="O46" s="13">
        <f t="shared" si="32"/>
        <v>0</v>
      </c>
      <c r="P46" s="13">
        <f t="shared" si="33"/>
        <v>0</v>
      </c>
      <c r="Q46" s="13">
        <f t="shared" si="34"/>
        <v>0</v>
      </c>
      <c r="R46" s="13">
        <f t="shared" si="35"/>
        <v>0</v>
      </c>
      <c r="S46" s="13">
        <f t="shared" si="36"/>
        <v>0</v>
      </c>
      <c r="T46" s="13" t="e">
        <f t="shared" si="37"/>
        <v>#DIV/0!</v>
      </c>
      <c r="U46" s="13">
        <f t="shared" si="38"/>
        <v>0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54</v>
      </c>
      <c r="M47" s="13">
        <f t="shared" si="30"/>
        <v>0</v>
      </c>
      <c r="N47" s="13">
        <f t="shared" si="31"/>
        <v>0</v>
      </c>
      <c r="O47" s="13">
        <f t="shared" si="32"/>
        <v>0</v>
      </c>
      <c r="P47" s="13">
        <f t="shared" si="33"/>
        <v>0</v>
      </c>
      <c r="Q47" s="13">
        <f t="shared" si="34"/>
        <v>0</v>
      </c>
      <c r="R47" s="13">
        <f t="shared" si="35"/>
        <v>0</v>
      </c>
      <c r="S47" s="13">
        <f t="shared" si="36"/>
        <v>0</v>
      </c>
      <c r="T47" s="13" t="e">
        <f t="shared" si="37"/>
        <v>#DIV/0!</v>
      </c>
      <c r="U47" s="13">
        <f t="shared" si="38"/>
        <v>0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55</v>
      </c>
      <c r="M48" s="13">
        <f t="shared" si="30"/>
        <v>0</v>
      </c>
      <c r="N48" s="13">
        <f t="shared" si="31"/>
        <v>0</v>
      </c>
      <c r="O48" s="13">
        <f t="shared" si="32"/>
        <v>0</v>
      </c>
      <c r="P48" s="13">
        <f t="shared" si="33"/>
        <v>0</v>
      </c>
      <c r="Q48" s="13">
        <f t="shared" si="34"/>
        <v>0</v>
      </c>
      <c r="R48" s="13">
        <f t="shared" si="35"/>
        <v>0</v>
      </c>
      <c r="S48" s="13">
        <f t="shared" si="36"/>
        <v>0</v>
      </c>
      <c r="T48" s="13" t="e">
        <f t="shared" si="37"/>
        <v>#DIV/0!</v>
      </c>
      <c r="U48" s="13">
        <f t="shared" si="38"/>
        <v>0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t="s">
        <v>24</v>
      </c>
      <c r="M49" s="13">
        <f t="shared" si="30"/>
        <v>0</v>
      </c>
      <c r="N49" s="13">
        <f t="shared" si="31"/>
        <v>0</v>
      </c>
      <c r="O49" s="13">
        <f t="shared" si="32"/>
        <v>0</v>
      </c>
      <c r="P49" s="13">
        <f t="shared" si="33"/>
        <v>0</v>
      </c>
      <c r="Q49" s="13">
        <f t="shared" si="34"/>
        <v>0</v>
      </c>
      <c r="R49" s="13">
        <f t="shared" si="35"/>
        <v>0</v>
      </c>
      <c r="S49" s="13">
        <f t="shared" si="36"/>
        <v>0</v>
      </c>
      <c r="T49" s="13" t="e">
        <f t="shared" si="37"/>
        <v>#DIV/0!</v>
      </c>
      <c r="U49" s="13">
        <f t="shared" si="38"/>
        <v>-7.1264712993875199E-4</v>
      </c>
      <c r="X49" s="13"/>
      <c r="Y49" s="13"/>
      <c r="Z49" s="13"/>
      <c r="AA49" s="13"/>
      <c r="AB49" s="13"/>
      <c r="AC49" s="13"/>
      <c r="AD49" s="13"/>
      <c r="AE49" s="13"/>
      <c r="AF49" s="13"/>
    </row>
    <row r="50" spans="12:32" x14ac:dyDescent="0.25">
      <c r="L50" t="s">
        <v>4</v>
      </c>
      <c r="M50" s="13">
        <f t="shared" si="30"/>
        <v>5.4422406436816742E-4</v>
      </c>
      <c r="N50" s="13">
        <f t="shared" si="31"/>
        <v>-2.6756699180439307E-3</v>
      </c>
      <c r="O50" s="13">
        <f t="shared" si="32"/>
        <v>3.7387841409502664E-3</v>
      </c>
      <c r="P50" s="13">
        <f t="shared" si="33"/>
        <v>-1.1907069635617728E-3</v>
      </c>
      <c r="Q50" s="13">
        <f t="shared" si="34"/>
        <v>-4.9570685146997986E-4</v>
      </c>
      <c r="R50" s="13">
        <f t="shared" si="35"/>
        <v>-0.19560677264909887</v>
      </c>
      <c r="S50" s="13">
        <f t="shared" si="36"/>
        <v>0</v>
      </c>
      <c r="T50" s="13" t="e">
        <f t="shared" si="37"/>
        <v>#DIV/0!</v>
      </c>
      <c r="U50" s="13">
        <f t="shared" si="38"/>
        <v>-6.4538283092651534E-3</v>
      </c>
      <c r="X50" s="13"/>
      <c r="Y50" s="13"/>
      <c r="Z50" s="13"/>
      <c r="AA50" s="13"/>
      <c r="AB50" s="13"/>
      <c r="AC50" s="13"/>
      <c r="AD50" s="13"/>
      <c r="AE50" s="13"/>
      <c r="AF50" s="13"/>
    </row>
    <row r="51" spans="12:32" x14ac:dyDescent="0.25">
      <c r="L51" t="s">
        <v>5</v>
      </c>
      <c r="M51" s="13">
        <f t="shared" si="30"/>
        <v>5.5307418989120206E-2</v>
      </c>
      <c r="N51" s="13">
        <f t="shared" si="31"/>
        <v>0.10205434776560487</v>
      </c>
      <c r="O51" s="13">
        <f t="shared" si="32"/>
        <v>9.1308164654911192E-2</v>
      </c>
      <c r="P51" s="13">
        <f t="shared" si="33"/>
        <v>-5.9733796678479549E-2</v>
      </c>
      <c r="Q51" s="13">
        <f t="shared" si="34"/>
        <v>4.3250450567387272E-2</v>
      </c>
      <c r="R51" s="13">
        <f t="shared" si="35"/>
        <v>0.19560677264909901</v>
      </c>
      <c r="S51" s="13">
        <f t="shared" si="36"/>
        <v>0</v>
      </c>
      <c r="T51" s="13" t="e">
        <f t="shared" si="37"/>
        <v>#DIV/0!</v>
      </c>
      <c r="U51" s="13">
        <f t="shared" si="38"/>
        <v>4.5299934859352464E-2</v>
      </c>
      <c r="X51" s="13"/>
      <c r="Y51" s="13"/>
      <c r="Z51" s="13"/>
      <c r="AA51" s="13"/>
      <c r="AB51" s="13"/>
      <c r="AC51" s="13"/>
      <c r="AD51" s="13"/>
      <c r="AE51" s="13"/>
      <c r="AF51" s="13"/>
    </row>
    <row r="52" spans="12:32" x14ac:dyDescent="0.25">
      <c r="L52" s="4" t="s">
        <v>60</v>
      </c>
      <c r="M52" s="17">
        <f t="shared" ref="M52:U52" si="39">M34-B34</f>
        <v>0</v>
      </c>
      <c r="N52" s="17">
        <f t="shared" si="39"/>
        <v>0</v>
      </c>
      <c r="O52" s="17">
        <f t="shared" si="39"/>
        <v>0</v>
      </c>
      <c r="P52" s="17">
        <f t="shared" si="39"/>
        <v>0</v>
      </c>
      <c r="Q52" s="17">
        <f t="shared" si="39"/>
        <v>0</v>
      </c>
      <c r="R52" s="17">
        <f t="shared" si="39"/>
        <v>0</v>
      </c>
      <c r="S52" s="17">
        <f t="shared" si="39"/>
        <v>0</v>
      </c>
      <c r="T52" s="17" t="e">
        <f t="shared" si="39"/>
        <v>#DIV/0!</v>
      </c>
      <c r="U52" s="13">
        <f t="shared" si="39"/>
        <v>0</v>
      </c>
      <c r="X52" s="13"/>
      <c r="Y52" s="13"/>
      <c r="Z52" s="13"/>
      <c r="AA52" s="13"/>
      <c r="AB52" s="13"/>
      <c r="AC52" s="13"/>
      <c r="AD52" s="13"/>
      <c r="AE52" s="13"/>
      <c r="AF52" s="13"/>
    </row>
    <row r="53" spans="12:32" ht="15.75" thickBot="1" x14ac:dyDescent="0.3">
      <c r="L53" s="9" t="s">
        <v>7</v>
      </c>
      <c r="M53" s="15">
        <f t="shared" ref="M53:P53" si="40">M35-B35</f>
        <v>0</v>
      </c>
      <c r="N53" s="15">
        <f t="shared" si="40"/>
        <v>0</v>
      </c>
      <c r="O53" s="15">
        <f t="shared" si="40"/>
        <v>0</v>
      </c>
      <c r="P53" s="15">
        <f t="shared" si="40"/>
        <v>0</v>
      </c>
      <c r="Q53" s="15">
        <f t="shared" ref="Q53" si="41">Q35-F35</f>
        <v>0</v>
      </c>
      <c r="R53" s="15">
        <f t="shared" ref="R53" si="42">R35-G35</f>
        <v>0</v>
      </c>
      <c r="S53" s="15">
        <f t="shared" ref="S53" si="43">S35-H35</f>
        <v>0</v>
      </c>
      <c r="T53" s="15" t="e">
        <f t="shared" ref="T53" si="44">T35-I35</f>
        <v>#DIV/0!</v>
      </c>
      <c r="U53" s="15">
        <f t="shared" ref="U53" si="45">U35-J35</f>
        <v>0</v>
      </c>
      <c r="X53" s="13"/>
      <c r="Y53" s="13"/>
      <c r="Z53" s="13"/>
      <c r="AA53" s="13"/>
      <c r="AB53" s="13"/>
      <c r="AC53" s="13"/>
      <c r="AD53" s="13"/>
      <c r="AE53" s="13"/>
      <c r="AF53" s="13"/>
    </row>
  </sheetData>
  <mergeCells count="5">
    <mergeCell ref="B3:I3"/>
    <mergeCell ref="M3:U3"/>
    <mergeCell ref="B21:I21"/>
    <mergeCell ref="M21:U21"/>
    <mergeCell ref="M39:U39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AF53"/>
  <sheetViews>
    <sheetView workbookViewId="0">
      <selection activeCell="M16" sqref="M16:T16"/>
    </sheetView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r="2" spans="1:21" ht="15.75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29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31" t="s">
        <v>42</v>
      </c>
      <c r="C3" s="32"/>
      <c r="D3" s="32"/>
      <c r="E3" s="32"/>
      <c r="F3" s="32"/>
      <c r="G3" s="32"/>
      <c r="H3" s="32"/>
      <c r="I3" s="32"/>
      <c r="J3" s="11"/>
      <c r="L3" s="3"/>
      <c r="M3" s="31" t="s">
        <v>42</v>
      </c>
      <c r="N3" s="32"/>
      <c r="O3" s="32"/>
      <c r="P3" s="32"/>
      <c r="Q3" s="32"/>
      <c r="R3" s="32"/>
      <c r="S3" s="32"/>
      <c r="T3" s="32"/>
      <c r="U3" s="32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222521.97658634812</v>
      </c>
      <c r="C5" s="6" t="n">
        <v>26014.6239466375</v>
      </c>
      <c r="D5" s="6" t="n">
        <v>7727.910904442</v>
      </c>
      <c r="E5" s="6" t="n">
        <v>14329.393111251</v>
      </c>
      <c r="F5" s="6" t="n">
        <v>532.922625</v>
      </c>
      <c r="G5" s="6" t="n">
        <v>0.0</v>
      </c>
      <c r="H5" s="6" t="n">
        <v>0.0</v>
      </c>
      <c r="I5" s="6" t="n">
        <v>281.817625</v>
      </c>
      <c r="J5" s="6">
        <f>SUM(B5:I5)</f>
        <v>271408.64479867864</v>
      </c>
      <c r="K5" s="6"/>
      <c r="L5" t="s">
        <v>1</v>
      </c>
      <c r="M5" s="6" t="n">
        <v>193572.0</v>
      </c>
      <c r="N5" s="6" t="n">
        <v>13425.0</v>
      </c>
      <c r="O5" s="6" t="n">
        <v>10835.0</v>
      </c>
      <c r="P5" s="6" t="n">
        <v>0.0</v>
      </c>
      <c r="Q5" s="6" t="n">
        <v>2621.0</v>
      </c>
      <c r="R5" s="6" t="n">
        <v>0.0</v>
      </c>
      <c r="S5" s="6" t="n">
        <v>0.0</v>
      </c>
      <c r="T5" s="6" t="n">
        <v>1169.0</v>
      </c>
      <c r="U5" s="6">
        <f t="shared" ref="U5:U14" si="0">SUM(M5:T5)</f>
        <v>221622</v>
      </c>
    </row>
    <row r="6" spans="1:21" x14ac:dyDescent="0.25">
      <c r="A6" t="s">
        <v>12</v>
      </c>
      <c r="B6" s="6" t="n">
        <v>0.0</v>
      </c>
      <c r="C6" s="6" t="n">
        <v>290332.4455015727</v>
      </c>
      <c r="D6" s="6" t="n">
        <v>120633.021810761</v>
      </c>
      <c r="E6" s="6" t="n">
        <v>230.48097940399998</v>
      </c>
      <c r="F6" s="6" t="n">
        <v>9840.1809882788</v>
      </c>
      <c r="G6" s="6" t="n">
        <v>0.0</v>
      </c>
      <c r="H6" s="6" t="n">
        <v>0.0</v>
      </c>
      <c r="I6" s="6" t="n">
        <v>44390.738604024</v>
      </c>
      <c r="J6" s="6">
        <f t="shared" ref="J6:J14" si="1">SUM(B6:I6)</f>
        <v>465426.86788404052</v>
      </c>
      <c r="K6" s="6"/>
      <c r="L6" t="s">
        <v>12</v>
      </c>
      <c r="M6" s="6" t="n">
        <v>0.0</v>
      </c>
      <c r="N6" s="6" t="n">
        <v>296981.0</v>
      </c>
      <c r="O6" s="6" t="n">
        <v>96870.0</v>
      </c>
      <c r="P6" s="6" t="n">
        <v>0.0</v>
      </c>
      <c r="Q6" s="6" t="n">
        <v>8460.0</v>
      </c>
      <c r="R6" s="6" t="n">
        <v>0.0</v>
      </c>
      <c r="S6" s="6" t="n">
        <v>0.0</v>
      </c>
      <c r="T6" s="6" t="n">
        <v>60272.0</v>
      </c>
      <c r="U6" s="6">
        <f t="shared" si="0"/>
        <v>462583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478701.524821619</v>
      </c>
      <c r="E7" s="6" t="n">
        <v>9.9</v>
      </c>
      <c r="F7" s="6" t="n">
        <v>4825.156385366</v>
      </c>
      <c r="G7" s="6" t="n">
        <v>0.0</v>
      </c>
      <c r="H7" s="6" t="n">
        <v>0.0</v>
      </c>
      <c r="I7" s="6" t="n">
        <v>70380.923125</v>
      </c>
      <c r="J7" s="6">
        <f t="shared" si="1"/>
        <v>553917.50433198502</v>
      </c>
      <c r="K7" s="6"/>
      <c r="L7" t="s">
        <v>56</v>
      </c>
      <c r="M7" s="6" t="n">
        <v>0.0</v>
      </c>
      <c r="N7" s="6" t="n">
        <v>0.0</v>
      </c>
      <c r="O7" s="6" t="n">
        <v>428759.0</v>
      </c>
      <c r="P7" s="6" t="n">
        <v>0.0</v>
      </c>
      <c r="Q7" s="6" t="n">
        <v>4142.0</v>
      </c>
      <c r="R7" s="6" t="n">
        <v>0.0</v>
      </c>
      <c r="S7" s="6" t="n">
        <v>0.0</v>
      </c>
      <c r="T7" s="6" t="n">
        <v>59858.0</v>
      </c>
      <c r="U7" s="6">
        <f t="shared" si="0"/>
        <v>492759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12024.887139576</v>
      </c>
      <c r="F8" s="6" t="n">
        <v>90379.7974903167</v>
      </c>
      <c r="G8" s="6" t="n">
        <v>0.0</v>
      </c>
      <c r="H8" s="6" t="n">
        <v>0.0</v>
      </c>
      <c r="I8" s="6" t="n">
        <v>10298.046276788</v>
      </c>
      <c r="J8" s="6">
        <f t="shared" si="1"/>
        <v>112702.73090668069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52217.0</v>
      </c>
      <c r="R8" s="6" t="n">
        <v>0.0</v>
      </c>
      <c r="S8" s="6" t="n">
        <v>0.0</v>
      </c>
      <c r="T8" s="6" t="n">
        <v>208.0</v>
      </c>
      <c r="U8" s="6">
        <f t="shared" si="0"/>
        <v>52425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17.06375</v>
      </c>
      <c r="G9" s="6" t="n">
        <v>0.0</v>
      </c>
      <c r="H9" s="6" t="n">
        <v>0.0</v>
      </c>
      <c r="I9" s="6" t="n">
        <v>0.0</v>
      </c>
      <c r="J9" s="6">
        <f t="shared" si="1"/>
        <v>17.063749999999999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t="shared" si="0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t="shared" si="1"/>
        <v>0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0.0</v>
      </c>
      <c r="R10" s="6" t="n">
        <v>0.0</v>
      </c>
      <c r="S10" s="6" t="n">
        <v>0.0</v>
      </c>
      <c r="T10" s="6" t="n">
        <v>0.0</v>
      </c>
      <c r="U10" s="6">
        <f t="shared" si="0"/>
        <v>0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t="shared" si="1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0.0</v>
      </c>
      <c r="R11" s="6" t="n">
        <v>0.0</v>
      </c>
      <c r="S11" s="6" t="n">
        <v>0.0</v>
      </c>
      <c r="T11" s="6" t="n">
        <v>0.0</v>
      </c>
      <c r="U11" s="6">
        <f t="shared" si="0"/>
        <v>0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t="shared" si="1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0.0</v>
      </c>
      <c r="R12" s="6" t="n">
        <v>0.0</v>
      </c>
      <c r="S12" s="6" t="n">
        <v>0.0</v>
      </c>
      <c r="T12" s="6" t="n">
        <v>0.0</v>
      </c>
      <c r="U12" s="6">
        <f t="shared" si="0"/>
        <v>0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350566.746083824</v>
      </c>
      <c r="J13" s="6">
        <f t="shared" si="1"/>
        <v>350566.74608382402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378706.0</v>
      </c>
      <c r="U13" s="6">
        <f t="shared" si="0"/>
        <v>378706</v>
      </c>
    </row>
    <row r="14" spans="1:21" x14ac:dyDescent="0.25">
      <c r="A14" t="s">
        <v>4</v>
      </c>
      <c r="B14" s="6" t="n">
        <v>42.06125</v>
      </c>
      <c r="C14" s="6" t="n">
        <v>2965.13055716</v>
      </c>
      <c r="D14" s="6" t="n">
        <v>996.4035</v>
      </c>
      <c r="E14" s="6" t="n">
        <v>0.0</v>
      </c>
      <c r="F14" s="6" t="n">
        <v>1101.497262843</v>
      </c>
      <c r="G14" s="6" t="n">
        <v>22263.999937734</v>
      </c>
      <c r="H14" s="6" t="n">
        <v>0.0</v>
      </c>
      <c r="I14" s="6" t="n">
        <v>1548.13125</v>
      </c>
      <c r="J14" s="6">
        <f t="shared" si="1"/>
        <v>28917.223757736996</v>
      </c>
      <c r="K14" s="6"/>
      <c r="L14" t="s">
        <v>4</v>
      </c>
      <c r="M14" s="6" t="n">
        <v>378.0</v>
      </c>
      <c r="N14" s="6" t="n">
        <v>2761.0</v>
      </c>
      <c r="O14" s="6" t="n">
        <v>3351.0</v>
      </c>
      <c r="P14" s="6" t="n">
        <v>0.0</v>
      </c>
      <c r="Q14" s="6" t="n">
        <v>1581.0</v>
      </c>
      <c r="R14" s="6" t="n">
        <v>20777.0</v>
      </c>
      <c r="S14" s="6" t="n">
        <v>0.0</v>
      </c>
      <c r="T14" s="6" t="n">
        <v>2949.0</v>
      </c>
      <c r="U14" s="6">
        <f t="shared" si="0"/>
        <v>31797</v>
      </c>
    </row>
    <row r="15" spans="1:21" x14ac:dyDescent="0.25">
      <c r="A15" t="s">
        <v>5</v>
      </c>
      <c r="B15" s="6" t="n">
        <v>2353.9022836912</v>
      </c>
      <c r="C15" s="6" t="n">
        <v>17727.0157394805</v>
      </c>
      <c r="D15" s="6" t="n">
        <v>22397.770899834</v>
      </c>
      <c r="E15" s="6" t="n">
        <v>482.93125</v>
      </c>
      <c r="F15" s="6" t="n">
        <v>21523.8377664279</v>
      </c>
      <c r="G15" s="6" t="n">
        <v>1203.1604532640001</v>
      </c>
      <c r="H15" s="6" t="n">
        <v>136201.3825688781</v>
      </c>
      <c r="I15" s="6" t="n">
        <v>13143.316485361</v>
      </c>
      <c r="J15" s="6">
        <v>0</v>
      </c>
      <c r="K15" s="6"/>
      <c r="L15" t="s">
        <v>5</v>
      </c>
      <c r="M15" s="6" t="n">
        <v>2878.0</v>
      </c>
      <c r="N15" s="6" t="n">
        <v>13535.0</v>
      </c>
      <c r="O15" s="6" t="n">
        <v>16965.0</v>
      </c>
      <c r="P15" s="6" t="n">
        <v>0.0</v>
      </c>
      <c r="Q15" s="6" t="n">
        <v>12498.0</v>
      </c>
      <c r="R15" s="6" t="n">
        <v>1292.0</v>
      </c>
      <c r="S15" s="6" t="n">
        <v>106356.0</v>
      </c>
      <c r="T15" s="6" t="n">
        <v>20861.0</v>
      </c>
      <c r="U15" s="6">
        <v>0</v>
      </c>
    </row>
    <row r="16" spans="1:21" x14ac:dyDescent="0.25">
      <c r="A16" s="4" t="s">
        <v>60</v>
      </c>
      <c r="B16" s="10" t="n">
        <v>0.0</v>
      </c>
      <c r="C16" s="10" t="n">
        <v>0.0</v>
      </c>
      <c r="D16" s="10" t="n">
        <v>0.0</v>
      </c>
      <c r="E16" s="10" t="n">
        <v>0.0</v>
      </c>
      <c r="F16" s="10" t="n">
        <v>0.0</v>
      </c>
      <c r="G16" s="10" t="n">
        <v>0.0</v>
      </c>
      <c r="H16" s="10" t="n">
        <v>0.0</v>
      </c>
      <c r="I16" s="10" t="n">
        <v>0.0</v>
      </c>
      <c r="J16" s="6">
        <v>759047.1948592288</v>
      </c>
      <c r="K16" s="6"/>
      <c r="L16" s="4" t="s">
        <v>60</v>
      </c>
      <c r="M16" s="8" t="n">
        <v>0.0</v>
      </c>
      <c r="N16" s="8" t="n">
        <v>2353.0</v>
      </c>
      <c r="O16" s="8" t="n">
        <v>2436.0</v>
      </c>
      <c r="P16" s="8" t="n">
        <v>0.0</v>
      </c>
      <c r="Q16" s="8" t="n">
        <v>0.0</v>
      </c>
      <c r="R16" s="8" t="n">
        <v>0.0</v>
      </c>
      <c r="S16" s="8" t="n">
        <v>0.0</v>
      </c>
      <c r="T16" s="8" t="n">
        <v>0.0</v>
      </c>
      <c r="U16" s="6">
        <v>780576</v>
      </c>
    </row>
    <row r="17" spans="1:21" ht="15.75" thickBot="1" x14ac:dyDescent="0.3">
      <c r="A17" s="12" t="s">
        <v>7</v>
      </c>
      <c r="B17" s="16">
        <f t="shared" ref="B17:J17" si="2">SUM(B5:B16)</f>
        <v>224917.9401200393</v>
      </c>
      <c r="C17" s="16">
        <f t="shared" si="2"/>
        <v>337039.21574485069</v>
      </c>
      <c r="D17" s="16">
        <f t="shared" si="2"/>
        <v>630456.63193665596</v>
      </c>
      <c r="E17" s="16">
        <f t="shared" si="2"/>
        <v>27077.592480231</v>
      </c>
      <c r="F17" s="16">
        <f t="shared" si="2"/>
        <v>128220.4562682324</v>
      </c>
      <c r="G17" s="16">
        <f t="shared" si="2"/>
        <v>23467.160390998</v>
      </c>
      <c r="H17" s="16">
        <f t="shared" si="2"/>
        <v>136201.38256887809</v>
      </c>
      <c r="I17" s="16">
        <f t="shared" si="2"/>
        <v>490609.71944999701</v>
      </c>
      <c r="J17" s="16">
        <f t="shared" si="2"/>
        <v>2542003.9763721749</v>
      </c>
      <c r="L17" s="9" t="s">
        <v>7</v>
      </c>
      <c r="M17" s="16">
        <f t="shared" ref="M17:U17" si="3">SUM(M5:M16)</f>
        <v>196828</v>
      </c>
      <c r="N17" s="16">
        <f t="shared" si="3"/>
        <v>326702</v>
      </c>
      <c r="O17" s="16">
        <f t="shared" si="3"/>
        <v>556780</v>
      </c>
      <c r="P17" s="16">
        <f t="shared" si="3"/>
        <v>0</v>
      </c>
      <c r="Q17" s="16">
        <f t="shared" si="3"/>
        <v>81519</v>
      </c>
      <c r="R17" s="16">
        <f t="shared" si="3"/>
        <v>22069</v>
      </c>
      <c r="S17" s="16">
        <f t="shared" si="3"/>
        <v>106356</v>
      </c>
      <c r="T17" s="16">
        <f t="shared" si="3"/>
        <v>524023</v>
      </c>
      <c r="U17" s="16">
        <f t="shared" si="3"/>
        <v>2420468</v>
      </c>
    </row>
    <row r="20" spans="1:21" ht="15.75" thickBot="1" x14ac:dyDescent="0.3">
      <c r="A20" s="1" t="s">
        <v>59</v>
      </c>
      <c r="B20" s="1"/>
      <c r="C20" s="2"/>
      <c r="D20" s="2"/>
      <c r="E20" s="2"/>
      <c r="F20" s="2"/>
      <c r="G20" s="2"/>
      <c r="H20" s="2"/>
      <c r="I20" s="2"/>
      <c r="J20" s="2"/>
      <c r="L20" s="1" t="s">
        <v>30</v>
      </c>
      <c r="M20" s="1"/>
      <c r="N20" s="2"/>
      <c r="O20" s="2"/>
      <c r="P20" s="2"/>
      <c r="Q20" s="2"/>
      <c r="R20" s="2"/>
      <c r="S20" s="2"/>
      <c r="T20" s="2"/>
      <c r="U20" s="2"/>
    </row>
    <row r="21" spans="1:21" x14ac:dyDescent="0.25">
      <c r="A21" s="3"/>
      <c r="B21" s="31" t="s">
        <v>42</v>
      </c>
      <c r="C21" s="32"/>
      <c r="D21" s="32"/>
      <c r="E21" s="32"/>
      <c r="F21" s="32"/>
      <c r="G21" s="32"/>
      <c r="H21" s="32"/>
      <c r="I21" s="32"/>
      <c r="J21" s="11"/>
      <c r="L21" s="3"/>
      <c r="M21" s="31" t="s">
        <v>42</v>
      </c>
      <c r="N21" s="32"/>
      <c r="O21" s="32"/>
      <c r="P21" s="32"/>
      <c r="Q21" s="32"/>
      <c r="R21" s="32"/>
      <c r="S21" s="32"/>
      <c r="T21" s="32"/>
      <c r="U21" s="32"/>
    </row>
    <row r="22" spans="1:21" x14ac:dyDescent="0.25">
      <c r="A22" s="4" t="s">
        <v>0</v>
      </c>
      <c r="B22" s="5" t="s">
        <v>11</v>
      </c>
      <c r="C22" s="5" t="s">
        <v>12</v>
      </c>
      <c r="D22" s="5" t="s">
        <v>13</v>
      </c>
      <c r="E22" s="5" t="s">
        <v>14</v>
      </c>
      <c r="F22" s="5" t="s">
        <v>15</v>
      </c>
      <c r="G22" s="5" t="s">
        <v>4</v>
      </c>
      <c r="H22" s="5" t="s">
        <v>5</v>
      </c>
      <c r="I22" s="5" t="s">
        <v>16</v>
      </c>
      <c r="J22" s="5" t="s">
        <v>7</v>
      </c>
      <c r="L22" s="4" t="s">
        <v>0</v>
      </c>
      <c r="M22" s="5" t="s">
        <v>1</v>
      </c>
      <c r="N22" s="5" t="s">
        <v>2</v>
      </c>
      <c r="O22" s="5" t="s">
        <v>3</v>
      </c>
      <c r="P22" s="5" t="s">
        <v>14</v>
      </c>
      <c r="Q22" s="5" t="s">
        <v>15</v>
      </c>
      <c r="R22" s="5" t="s">
        <v>4</v>
      </c>
      <c r="S22" s="5" t="s">
        <v>5</v>
      </c>
      <c r="T22" s="5" t="s">
        <v>16</v>
      </c>
      <c r="U22" s="5" t="s">
        <v>7</v>
      </c>
    </row>
    <row r="23" spans="1:21" x14ac:dyDescent="0.25">
      <c r="A23" t="s">
        <v>1</v>
      </c>
      <c r="B23" s="13">
        <f t="shared" ref="B23:J23" si="4">B5/B$17</f>
        <v>0.98934738806334233</v>
      </c>
      <c r="C23" s="13">
        <f t="shared" si="4"/>
        <v>7.7185747922969866E-2</v>
      </c>
      <c r="D23" s="13">
        <f t="shared" si="4"/>
        <v>1.2257640752708346E-2</v>
      </c>
      <c r="E23" s="13">
        <f t="shared" si="4"/>
        <v>0.52919745807212015</v>
      </c>
      <c r="F23" s="13">
        <f t="shared" si="4"/>
        <v>4.1562995524298072E-3</v>
      </c>
      <c r="G23" s="13">
        <f t="shared" si="4"/>
        <v>0</v>
      </c>
      <c r="H23" s="13">
        <f t="shared" si="4"/>
        <v>0</v>
      </c>
      <c r="I23" s="13">
        <f t="shared" si="4"/>
        <v>5.7442324077055487E-4</v>
      </c>
      <c r="J23" s="13">
        <f t="shared" si="4"/>
        <v>0.10676955949770776</v>
      </c>
      <c r="K23" s="6"/>
      <c r="L23" t="s">
        <v>1</v>
      </c>
      <c r="M23" s="13">
        <f t="shared" ref="M23:P23" si="5">M5/M$17</f>
        <v>0.98345763814091491</v>
      </c>
      <c r="N23" s="13">
        <f t="shared" si="5"/>
        <v>4.1092494077171242E-2</v>
      </c>
      <c r="O23" s="13">
        <f t="shared" si="5"/>
        <v>1.9460109917741299E-2</v>
      </c>
      <c r="P23" s="13" t="e">
        <f t="shared" si="5"/>
        <v>#DIV/0!</v>
      </c>
      <c r="Q23" s="13">
        <f t="shared" ref="Q23:U35" si="6">Q5/Q$17</f>
        <v>3.215201364099167E-2</v>
      </c>
      <c r="R23" s="13">
        <f t="shared" si="6"/>
        <v>0</v>
      </c>
      <c r="S23" s="13">
        <f t="shared" si="6"/>
        <v>0</v>
      </c>
      <c r="T23" s="13">
        <f t="shared" si="6"/>
        <v>2.2308181129454241E-3</v>
      </c>
      <c r="U23" s="13">
        <f t="shared" si="6"/>
        <v>9.156163188275987E-2</v>
      </c>
    </row>
    <row r="24" spans="1:21" x14ac:dyDescent="0.25">
      <c r="A24" t="s">
        <v>12</v>
      </c>
      <c r="B24" s="13">
        <f t="shared" ref="B24:J24" si="7">B6/B$17</f>
        <v>0</v>
      </c>
      <c r="C24" s="13">
        <f t="shared" si="7"/>
        <v>0.86142036872458039</v>
      </c>
      <c r="D24" s="13">
        <f t="shared" si="7"/>
        <v>0.19134229969188649</v>
      </c>
      <c r="E24" s="13">
        <f t="shared" si="7"/>
        <v>8.5118711928422429E-3</v>
      </c>
      <c r="F24" s="13">
        <f t="shared" si="7"/>
        <v>7.6744236252704559E-2</v>
      </c>
      <c r="G24" s="13">
        <f t="shared" si="7"/>
        <v>0</v>
      </c>
      <c r="H24" s="13">
        <f t="shared" si="7"/>
        <v>0</v>
      </c>
      <c r="I24" s="13">
        <f t="shared" si="7"/>
        <v>9.0480756585476316E-2</v>
      </c>
      <c r="J24" s="13">
        <f t="shared" si="7"/>
        <v>0.18309446885613265</v>
      </c>
      <c r="K24" s="6"/>
      <c r="L24" t="s">
        <v>12</v>
      </c>
      <c r="M24" s="13">
        <f t="shared" ref="M24:P24" si="8">M6/M$17</f>
        <v>0</v>
      </c>
      <c r="N24" s="13">
        <f t="shared" si="8"/>
        <v>0.90902718685529937</v>
      </c>
      <c r="O24" s="13">
        <f t="shared" si="8"/>
        <v>0.17398254247638206</v>
      </c>
      <c r="P24" s="13" t="e">
        <f t="shared" si="8"/>
        <v>#DIV/0!</v>
      </c>
      <c r="Q24" s="13">
        <f t="shared" si="6"/>
        <v>0.10377948699076289</v>
      </c>
      <c r="R24" s="13">
        <f t="shared" si="6"/>
        <v>0</v>
      </c>
      <c r="S24" s="13">
        <f t="shared" si="6"/>
        <v>0</v>
      </c>
      <c r="T24" s="13">
        <f t="shared" si="6"/>
        <v>0.11501785226984312</v>
      </c>
      <c r="U24" s="13">
        <f t="shared" si="6"/>
        <v>0.19111304094910572</v>
      </c>
    </row>
    <row r="25" spans="1:21" x14ac:dyDescent="0.25">
      <c r="A25" t="s">
        <v>56</v>
      </c>
      <c r="B25" s="13">
        <f t="shared" ref="B25:J25" si="9">B7/B$17</f>
        <v>0</v>
      </c>
      <c r="C25" s="13">
        <f t="shared" si="9"/>
        <v>0</v>
      </c>
      <c r="D25" s="13">
        <f t="shared" si="9"/>
        <v>0.75929334481125055</v>
      </c>
      <c r="E25" s="13">
        <f t="shared" si="9"/>
        <v>3.6561596113937611E-4</v>
      </c>
      <c r="F25" s="13">
        <f t="shared" si="9"/>
        <v>3.7631720599027918E-2</v>
      </c>
      <c r="G25" s="13">
        <f t="shared" si="9"/>
        <v>0</v>
      </c>
      <c r="H25" s="13">
        <f t="shared" si="9"/>
        <v>0</v>
      </c>
      <c r="I25" s="13">
        <f t="shared" si="9"/>
        <v>0.14345603100546245</v>
      </c>
      <c r="J25" s="13">
        <f t="shared" si="9"/>
        <v>0.21790583707996763</v>
      </c>
      <c r="K25" s="6"/>
      <c r="L25" t="s">
        <v>56</v>
      </c>
      <c r="M25" s="13">
        <f t="shared" ref="M25:P25" si="10">M7/M$17</f>
        <v>0</v>
      </c>
      <c r="N25" s="13">
        <f t="shared" si="10"/>
        <v>0</v>
      </c>
      <c r="O25" s="13">
        <f t="shared" si="10"/>
        <v>0.77006896799454005</v>
      </c>
      <c r="P25" s="13" t="e">
        <f t="shared" si="10"/>
        <v>#DIV/0!</v>
      </c>
      <c r="Q25" s="13">
        <f t="shared" si="6"/>
        <v>5.0810240557416064E-2</v>
      </c>
      <c r="R25" s="13">
        <f t="shared" si="6"/>
        <v>0</v>
      </c>
      <c r="S25" s="13">
        <f t="shared" si="6"/>
        <v>0</v>
      </c>
      <c r="T25" s="13">
        <f t="shared" si="6"/>
        <v>0.11422781061136629</v>
      </c>
      <c r="U25" s="13">
        <f t="shared" si="6"/>
        <v>0.2035800514611224</v>
      </c>
    </row>
    <row r="26" spans="1:21" x14ac:dyDescent="0.25">
      <c r="A26" t="s">
        <v>51</v>
      </c>
      <c r="B26" s="13">
        <f t="shared" ref="B26:J26" si="11">B8/B$17</f>
        <v>0</v>
      </c>
      <c r="C26" s="13">
        <f t="shared" si="11"/>
        <v>0</v>
      </c>
      <c r="D26" s="13">
        <f t="shared" si="11"/>
        <v>0</v>
      </c>
      <c r="E26" s="13">
        <f t="shared" si="11"/>
        <v>0.44408996657864669</v>
      </c>
      <c r="F26" s="13">
        <f t="shared" si="11"/>
        <v>0.70487814597419263</v>
      </c>
      <c r="G26" s="13">
        <f t="shared" si="11"/>
        <v>0</v>
      </c>
      <c r="H26" s="13">
        <f t="shared" si="11"/>
        <v>0</v>
      </c>
      <c r="I26" s="13">
        <f t="shared" si="11"/>
        <v>2.0990302206676071E-2</v>
      </c>
      <c r="J26" s="13">
        <f t="shared" si="11"/>
        <v>4.433617411862769E-2</v>
      </c>
      <c r="K26" s="6"/>
      <c r="L26" t="s">
        <v>51</v>
      </c>
      <c r="M26" s="13">
        <f t="shared" ref="M26:P26" si="12">M8/M$17</f>
        <v>0</v>
      </c>
      <c r="N26" s="13">
        <f t="shared" si="12"/>
        <v>0</v>
      </c>
      <c r="O26" s="13">
        <f t="shared" si="12"/>
        <v>0</v>
      </c>
      <c r="P26" s="13" t="e">
        <f t="shared" si="12"/>
        <v>#DIV/0!</v>
      </c>
      <c r="Q26" s="13">
        <f t="shared" si="6"/>
        <v>0.64055005581520874</v>
      </c>
      <c r="R26" s="13">
        <f t="shared" si="6"/>
        <v>0</v>
      </c>
      <c r="S26" s="13">
        <f t="shared" si="6"/>
        <v>0</v>
      </c>
      <c r="T26" s="13">
        <f t="shared" si="6"/>
        <v>3.9692914242313792E-4</v>
      </c>
      <c r="U26" s="13">
        <f t="shared" si="6"/>
        <v>2.1659034533817428E-2</v>
      </c>
    </row>
    <row r="27" spans="1:21" x14ac:dyDescent="0.25">
      <c r="A27" t="s">
        <v>52</v>
      </c>
      <c r="B27" s="13">
        <f t="shared" ref="B27:J27" si="13">B9/B$17</f>
        <v>0</v>
      </c>
      <c r="C27" s="13">
        <f t="shared" si="13"/>
        <v>0</v>
      </c>
      <c r="D27" s="13">
        <f t="shared" si="13"/>
        <v>0</v>
      </c>
      <c r="E27" s="13">
        <f t="shared" si="13"/>
        <v>0</v>
      </c>
      <c r="F27" s="13">
        <f t="shared" si="13"/>
        <v>1.3308133894254182E-4</v>
      </c>
      <c r="G27" s="13">
        <f t="shared" si="13"/>
        <v>0</v>
      </c>
      <c r="H27" s="13">
        <f t="shared" si="13"/>
        <v>0</v>
      </c>
      <c r="I27" s="13">
        <f t="shared" si="13"/>
        <v>0</v>
      </c>
      <c r="J27" s="13">
        <f t="shared" si="13"/>
        <v>6.7127156993485731E-6</v>
      </c>
      <c r="K27" s="6"/>
      <c r="L27" t="s">
        <v>52</v>
      </c>
      <c r="M27" s="13">
        <f t="shared" ref="M27:P27" si="14">M9/M$17</f>
        <v>0</v>
      </c>
      <c r="N27" s="13">
        <f t="shared" si="14"/>
        <v>0</v>
      </c>
      <c r="O27" s="13">
        <f t="shared" si="14"/>
        <v>0</v>
      </c>
      <c r="P27" s="13" t="e">
        <f t="shared" si="14"/>
        <v>#DIV/0!</v>
      </c>
      <c r="Q27" s="13">
        <f t="shared" si="6"/>
        <v>0</v>
      </c>
      <c r="R27" s="13">
        <f t="shared" si="6"/>
        <v>0</v>
      </c>
      <c r="S27" s="13">
        <f t="shared" si="6"/>
        <v>0</v>
      </c>
      <c r="T27" s="13">
        <f t="shared" si="6"/>
        <v>0</v>
      </c>
      <c r="U27" s="13">
        <f t="shared" si="6"/>
        <v>0</v>
      </c>
    </row>
    <row r="28" spans="1:21" x14ac:dyDescent="0.25">
      <c r="A28" t="s">
        <v>53</v>
      </c>
      <c r="B28" s="13">
        <f t="shared" ref="B28:J28" si="15">B10/B$17</f>
        <v>0</v>
      </c>
      <c r="C28" s="13">
        <f t="shared" si="15"/>
        <v>0</v>
      </c>
      <c r="D28" s="13">
        <f t="shared" si="15"/>
        <v>0</v>
      </c>
      <c r="E28" s="13">
        <f t="shared" si="15"/>
        <v>0</v>
      </c>
      <c r="F28" s="13">
        <f t="shared" si="15"/>
        <v>0</v>
      </c>
      <c r="G28" s="13">
        <f t="shared" si="15"/>
        <v>0</v>
      </c>
      <c r="H28" s="13">
        <f t="shared" si="15"/>
        <v>0</v>
      </c>
      <c r="I28" s="13">
        <f t="shared" si="15"/>
        <v>0</v>
      </c>
      <c r="J28" s="13">
        <f t="shared" si="15"/>
        <v>0</v>
      </c>
      <c r="K28" s="6"/>
      <c r="L28" t="s">
        <v>53</v>
      </c>
      <c r="M28" s="13">
        <f t="shared" ref="M28:P28" si="16">M10/M$17</f>
        <v>0</v>
      </c>
      <c r="N28" s="13">
        <f t="shared" si="16"/>
        <v>0</v>
      </c>
      <c r="O28" s="13">
        <f t="shared" si="16"/>
        <v>0</v>
      </c>
      <c r="P28" s="13" t="e">
        <f t="shared" si="16"/>
        <v>#DIV/0!</v>
      </c>
      <c r="Q28" s="13">
        <f t="shared" si="6"/>
        <v>0</v>
      </c>
      <c r="R28" s="13">
        <f t="shared" si="6"/>
        <v>0</v>
      </c>
      <c r="S28" s="13">
        <f t="shared" si="6"/>
        <v>0</v>
      </c>
      <c r="T28" s="13">
        <f t="shared" si="6"/>
        <v>0</v>
      </c>
      <c r="U28" s="13">
        <f t="shared" si="6"/>
        <v>0</v>
      </c>
    </row>
    <row r="29" spans="1:21" x14ac:dyDescent="0.25">
      <c r="A29" t="s">
        <v>54</v>
      </c>
      <c r="B29" s="13">
        <f t="shared" ref="B29:J29" si="17">B11/B$17</f>
        <v>0</v>
      </c>
      <c r="C29" s="13">
        <f t="shared" si="17"/>
        <v>0</v>
      </c>
      <c r="D29" s="13">
        <f t="shared" si="17"/>
        <v>0</v>
      </c>
      <c r="E29" s="13">
        <f t="shared" si="17"/>
        <v>0</v>
      </c>
      <c r="F29" s="13">
        <f t="shared" si="17"/>
        <v>0</v>
      </c>
      <c r="G29" s="13">
        <f t="shared" si="17"/>
        <v>0</v>
      </c>
      <c r="H29" s="13">
        <f t="shared" si="17"/>
        <v>0</v>
      </c>
      <c r="I29" s="13">
        <f t="shared" si="17"/>
        <v>0</v>
      </c>
      <c r="J29" s="13">
        <f t="shared" si="17"/>
        <v>0</v>
      </c>
      <c r="K29" s="6"/>
      <c r="L29" t="s">
        <v>54</v>
      </c>
      <c r="M29" s="13">
        <f t="shared" ref="M29:P29" si="18">M11/M$17</f>
        <v>0</v>
      </c>
      <c r="N29" s="13">
        <f t="shared" si="18"/>
        <v>0</v>
      </c>
      <c r="O29" s="13">
        <f t="shared" si="18"/>
        <v>0</v>
      </c>
      <c r="P29" s="13" t="e">
        <f t="shared" si="18"/>
        <v>#DIV/0!</v>
      </c>
      <c r="Q29" s="13">
        <f t="shared" si="6"/>
        <v>0</v>
      </c>
      <c r="R29" s="13">
        <f t="shared" si="6"/>
        <v>0</v>
      </c>
      <c r="S29" s="13">
        <f t="shared" si="6"/>
        <v>0</v>
      </c>
      <c r="T29" s="13">
        <f t="shared" si="6"/>
        <v>0</v>
      </c>
      <c r="U29" s="13">
        <f t="shared" si="6"/>
        <v>0</v>
      </c>
    </row>
    <row r="30" spans="1:21" x14ac:dyDescent="0.25">
      <c r="A30" t="s">
        <v>55</v>
      </c>
      <c r="B30" s="13">
        <f t="shared" ref="B30:J30" si="19">B12/B$17</f>
        <v>0</v>
      </c>
      <c r="C30" s="13">
        <f t="shared" si="19"/>
        <v>0</v>
      </c>
      <c r="D30" s="13">
        <f t="shared" si="19"/>
        <v>0</v>
      </c>
      <c r="E30" s="13">
        <f t="shared" si="19"/>
        <v>0</v>
      </c>
      <c r="F30" s="13">
        <f t="shared" si="19"/>
        <v>0</v>
      </c>
      <c r="G30" s="13">
        <f t="shared" si="19"/>
        <v>0</v>
      </c>
      <c r="H30" s="13">
        <f t="shared" si="19"/>
        <v>0</v>
      </c>
      <c r="I30" s="13">
        <f t="shared" si="19"/>
        <v>0</v>
      </c>
      <c r="J30" s="13">
        <f t="shared" si="19"/>
        <v>0</v>
      </c>
      <c r="K30" s="6"/>
      <c r="L30" t="s">
        <v>55</v>
      </c>
      <c r="M30" s="13">
        <f t="shared" ref="M30:P30" si="20">M12/M$17</f>
        <v>0</v>
      </c>
      <c r="N30" s="13">
        <f t="shared" si="20"/>
        <v>0</v>
      </c>
      <c r="O30" s="13">
        <f t="shared" si="20"/>
        <v>0</v>
      </c>
      <c r="P30" s="13" t="e">
        <f t="shared" si="20"/>
        <v>#DIV/0!</v>
      </c>
      <c r="Q30" s="13">
        <f t="shared" si="6"/>
        <v>0</v>
      </c>
      <c r="R30" s="13">
        <f t="shared" si="6"/>
        <v>0</v>
      </c>
      <c r="S30" s="13">
        <f t="shared" si="6"/>
        <v>0</v>
      </c>
      <c r="T30" s="13">
        <f t="shared" si="6"/>
        <v>0</v>
      </c>
      <c r="U30" s="13">
        <f t="shared" si="6"/>
        <v>0</v>
      </c>
    </row>
    <row r="31" spans="1:21" x14ac:dyDescent="0.25">
      <c r="A31" t="s">
        <v>24</v>
      </c>
      <c r="B31" s="13">
        <f t="shared" ref="B31:J31" si="21">B13/B$17</f>
        <v>0</v>
      </c>
      <c r="C31" s="13">
        <f t="shared" si="21"/>
        <v>0</v>
      </c>
      <c r="D31" s="13">
        <f t="shared" si="21"/>
        <v>0</v>
      </c>
      <c r="E31" s="13">
        <f t="shared" si="21"/>
        <v>0</v>
      </c>
      <c r="F31" s="13">
        <f t="shared" si="21"/>
        <v>0</v>
      </c>
      <c r="G31" s="13">
        <f t="shared" si="21"/>
        <v>0</v>
      </c>
      <c r="H31" s="13">
        <f t="shared" si="21"/>
        <v>0</v>
      </c>
      <c r="I31" s="13">
        <f t="shared" si="21"/>
        <v>0.71455320224155039</v>
      </c>
      <c r="J31" s="13">
        <f t="shared" si="21"/>
        <v>0.13790959783789791</v>
      </c>
      <c r="K31" s="6"/>
      <c r="L31" t="s">
        <v>24</v>
      </c>
      <c r="M31" s="13">
        <f t="shared" ref="M31:P31" si="22">M13/M$17</f>
        <v>0</v>
      </c>
      <c r="N31" s="13">
        <f t="shared" si="22"/>
        <v>0</v>
      </c>
      <c r="O31" s="13">
        <f t="shared" si="22"/>
        <v>0</v>
      </c>
      <c r="P31" s="13" t="e">
        <f t="shared" si="22"/>
        <v>#DIV/0!</v>
      </c>
      <c r="Q31" s="13">
        <f t="shared" si="6"/>
        <v>0</v>
      </c>
      <c r="R31" s="13">
        <f t="shared" si="6"/>
        <v>0</v>
      </c>
      <c r="S31" s="13">
        <f t="shared" si="6"/>
        <v>0</v>
      </c>
      <c r="T31" s="13">
        <f t="shared" si="6"/>
        <v>0.72268965293508114</v>
      </c>
      <c r="U31" s="13">
        <f t="shared" si="6"/>
        <v>0.15645982512472795</v>
      </c>
    </row>
    <row r="32" spans="1:21" x14ac:dyDescent="0.25">
      <c r="A32" t="s">
        <v>4</v>
      </c>
      <c r="B32" s="13">
        <f t="shared" ref="B32:J32" si="23">B14/B$17</f>
        <v>1.8700709235355703E-4</v>
      </c>
      <c r="C32" s="13">
        <f t="shared" si="23"/>
        <v>8.7975832444515817E-3</v>
      </c>
      <c r="D32" s="13">
        <f t="shared" si="23"/>
        <v>1.5804473290085273E-3</v>
      </c>
      <c r="E32" s="13">
        <f t="shared" si="23"/>
        <v>0</v>
      </c>
      <c r="F32" s="13">
        <f t="shared" si="23"/>
        <v>8.590651561391334E-3</v>
      </c>
      <c r="G32" s="13">
        <f t="shared" si="23"/>
        <v>0.94873003664620903</v>
      </c>
      <c r="H32" s="13">
        <f t="shared" si="23"/>
        <v>0</v>
      </c>
      <c r="I32" s="13">
        <f t="shared" si="23"/>
        <v>3.1555250306405428E-3</v>
      </c>
      <c r="J32" s="13">
        <f t="shared" si="23"/>
        <v>1.1375758663842161E-2</v>
      </c>
      <c r="K32" s="6"/>
      <c r="L32" t="s">
        <v>4</v>
      </c>
      <c r="M32" s="13">
        <f t="shared" ref="M32:P32" si="24">M14/M$17</f>
        <v>1.9204584713557013E-3</v>
      </c>
      <c r="N32" s="13">
        <f t="shared" si="24"/>
        <v>8.4511267148655346E-3</v>
      </c>
      <c r="O32" s="13">
        <f t="shared" si="24"/>
        <v>6.0185351485326343E-3</v>
      </c>
      <c r="P32" s="13" t="e">
        <f t="shared" si="24"/>
        <v>#DIV/0!</v>
      </c>
      <c r="Q32" s="13">
        <f t="shared" si="6"/>
        <v>1.9394251646855334E-2</v>
      </c>
      <c r="R32" s="13">
        <f t="shared" si="6"/>
        <v>0.94145634147446644</v>
      </c>
      <c r="S32" s="13">
        <f t="shared" si="6"/>
        <v>0</v>
      </c>
      <c r="T32" s="13">
        <f t="shared" si="6"/>
        <v>5.6276155817588163E-3</v>
      </c>
      <c r="U32" s="13">
        <f t="shared" si="6"/>
        <v>1.3136715709523943E-2</v>
      </c>
    </row>
    <row r="33" spans="1:32" x14ac:dyDescent="0.25">
      <c r="A33" t="s">
        <v>5</v>
      </c>
      <c r="B33" s="13">
        <f t="shared" ref="B33:J33" si="25">B15/B$17</f>
        <v>1.0465604844304177E-2</v>
      </c>
      <c r="C33" s="13">
        <f t="shared" si="25"/>
        <v>5.2596300107998144E-2</v>
      </c>
      <c r="D33" s="13">
        <f t="shared" si="25"/>
        <v>3.5526267415146133E-2</v>
      </c>
      <c r="E33" s="13">
        <f t="shared" si="25"/>
        <v>1.7835088195251547E-2</v>
      </c>
      <c r="F33" s="13">
        <f t="shared" si="25"/>
        <v>0.16786586472131121</v>
      </c>
      <c r="G33" s="13">
        <f t="shared" si="25"/>
        <v>5.1269963353790873E-2</v>
      </c>
      <c r="H33" s="13">
        <f t="shared" si="25"/>
        <v>1</v>
      </c>
      <c r="I33" s="13">
        <f t="shared" si="25"/>
        <v>2.6789759689423698E-2</v>
      </c>
      <c r="J33" s="13">
        <f t="shared" si="25"/>
        <v>0</v>
      </c>
      <c r="K33" s="6"/>
      <c r="L33" t="s">
        <v>5</v>
      </c>
      <c r="M33" s="13">
        <f t="shared" ref="M33:P34" si="26">M15/M$17</f>
        <v>1.4621903387729389E-2</v>
      </c>
      <c r="N33" s="13">
        <f t="shared" si="26"/>
        <v>4.1429192352663895E-2</v>
      </c>
      <c r="O33" s="13">
        <f t="shared" si="26"/>
        <v>3.0469844462803979E-2</v>
      </c>
      <c r="P33" s="13" t="e">
        <f t="shared" si="26"/>
        <v>#DIV/0!</v>
      </c>
      <c r="Q33" s="13">
        <f t="shared" si="6"/>
        <v>0.15331395134876533</v>
      </c>
      <c r="R33" s="13">
        <f t="shared" si="6"/>
        <v>5.8543658525533553E-2</v>
      </c>
      <c r="S33" s="13">
        <f t="shared" si="6"/>
        <v>1</v>
      </c>
      <c r="T33" s="13">
        <f t="shared" si="6"/>
        <v>3.9809321346582119E-2</v>
      </c>
      <c r="U33" s="13">
        <f t="shared" si="6"/>
        <v>0</v>
      </c>
    </row>
    <row r="34" spans="1:32" x14ac:dyDescent="0.25">
      <c r="A34" s="4" t="s">
        <v>60</v>
      </c>
      <c r="B34" s="13">
        <f t="shared" ref="B34:J34" si="27">B16/B$17</f>
        <v>0</v>
      </c>
      <c r="C34" s="13">
        <f t="shared" si="27"/>
        <v>0</v>
      </c>
      <c r="D34" s="13">
        <f t="shared" si="27"/>
        <v>0</v>
      </c>
      <c r="E34" s="13">
        <f t="shared" si="27"/>
        <v>0</v>
      </c>
      <c r="F34" s="13">
        <f t="shared" si="27"/>
        <v>0</v>
      </c>
      <c r="G34" s="13">
        <f t="shared" si="27"/>
        <v>0</v>
      </c>
      <c r="H34" s="13">
        <f t="shared" si="27"/>
        <v>0</v>
      </c>
      <c r="I34" s="13">
        <f t="shared" si="27"/>
        <v>0</v>
      </c>
      <c r="J34" s="13">
        <f t="shared" si="27"/>
        <v>0.29860189123012476</v>
      </c>
      <c r="K34" s="6"/>
      <c r="L34" s="4" t="s">
        <v>60</v>
      </c>
      <c r="M34" s="14">
        <f t="shared" si="26"/>
        <v>0</v>
      </c>
      <c r="N34" s="14">
        <f t="shared" si="26"/>
        <v>0</v>
      </c>
      <c r="O34" s="14">
        <f t="shared" si="26"/>
        <v>0</v>
      </c>
      <c r="P34" s="14" t="e">
        <f t="shared" si="26"/>
        <v>#DIV/0!</v>
      </c>
      <c r="Q34" s="14">
        <f t="shared" si="6"/>
        <v>0</v>
      </c>
      <c r="R34" s="14">
        <f t="shared" si="6"/>
        <v>0</v>
      </c>
      <c r="S34" s="14">
        <f t="shared" si="6"/>
        <v>0</v>
      </c>
      <c r="T34" s="14">
        <f t="shared" si="6"/>
        <v>0</v>
      </c>
      <c r="U34" s="14">
        <f t="shared" si="6"/>
        <v>0.3224897003389427</v>
      </c>
    </row>
    <row r="35" spans="1:32" ht="15.75" thickBot="1" x14ac:dyDescent="0.3">
      <c r="A35" s="12" t="s">
        <v>7</v>
      </c>
      <c r="B35" s="15">
        <f t="shared" ref="B35:J35" si="28">B17/B$17</f>
        <v>1</v>
      </c>
      <c r="C35" s="15">
        <f t="shared" si="28"/>
        <v>1</v>
      </c>
      <c r="D35" s="15">
        <f t="shared" si="28"/>
        <v>1</v>
      </c>
      <c r="E35" s="15">
        <f t="shared" si="28"/>
        <v>1</v>
      </c>
      <c r="F35" s="15">
        <f t="shared" si="28"/>
        <v>1</v>
      </c>
      <c r="G35" s="15">
        <f t="shared" si="28"/>
        <v>1</v>
      </c>
      <c r="H35" s="15">
        <f t="shared" si="28"/>
        <v>1</v>
      </c>
      <c r="I35" s="15">
        <f t="shared" si="28"/>
        <v>1</v>
      </c>
      <c r="J35" s="15">
        <f t="shared" si="28"/>
        <v>1</v>
      </c>
      <c r="L35" s="9" t="s">
        <v>7</v>
      </c>
      <c r="M35" s="15">
        <f t="shared" ref="M35:P35" si="29">M17/M$17</f>
        <v>1</v>
      </c>
      <c r="N35" s="15">
        <f t="shared" si="29"/>
        <v>1</v>
      </c>
      <c r="O35" s="15">
        <f t="shared" si="29"/>
        <v>1</v>
      </c>
      <c r="P35" s="15" t="e">
        <f t="shared" si="29"/>
        <v>#DIV/0!</v>
      </c>
      <c r="Q35" s="15">
        <f t="shared" si="6"/>
        <v>1</v>
      </c>
      <c r="R35" s="15">
        <f t="shared" si="6"/>
        <v>1</v>
      </c>
      <c r="S35" s="15">
        <f t="shared" si="6"/>
        <v>1</v>
      </c>
      <c r="T35" s="15">
        <f t="shared" si="6"/>
        <v>1</v>
      </c>
      <c r="U35" s="15">
        <f t="shared" si="6"/>
        <v>1</v>
      </c>
    </row>
    <row r="38" spans="1:32" ht="15.75" thickBot="1" x14ac:dyDescent="0.3">
      <c r="L38" s="1" t="s">
        <v>18</v>
      </c>
      <c r="M38" s="1"/>
      <c r="N38" s="2"/>
      <c r="O38" s="2"/>
      <c r="P38" s="2"/>
      <c r="Q38" s="2"/>
      <c r="R38" s="2"/>
      <c r="S38" s="2"/>
      <c r="T38" s="2"/>
      <c r="U38" s="2"/>
    </row>
    <row r="39" spans="1:32" x14ac:dyDescent="0.25">
      <c r="L39" s="3"/>
      <c r="M39" s="31" t="s">
        <v>42</v>
      </c>
      <c r="N39" s="32"/>
      <c r="O39" s="32"/>
      <c r="P39" s="32"/>
      <c r="Q39" s="32"/>
      <c r="R39" s="32"/>
      <c r="S39" s="32"/>
      <c r="T39" s="32"/>
      <c r="U39" s="32"/>
    </row>
    <row r="40" spans="1:32" x14ac:dyDescent="0.25">
      <c r="L40" s="4" t="s">
        <v>0</v>
      </c>
      <c r="M40" s="5" t="s">
        <v>11</v>
      </c>
      <c r="N40" s="5" t="s">
        <v>12</v>
      </c>
      <c r="O40" s="5" t="s">
        <v>13</v>
      </c>
      <c r="P40" s="5" t="s">
        <v>14</v>
      </c>
      <c r="Q40" s="5" t="s">
        <v>15</v>
      </c>
      <c r="R40" s="5" t="s">
        <v>4</v>
      </c>
      <c r="S40" s="5" t="s">
        <v>5</v>
      </c>
      <c r="T40" s="5" t="s">
        <v>16</v>
      </c>
      <c r="U40" s="5" t="s">
        <v>7</v>
      </c>
    </row>
    <row r="41" spans="1:32" x14ac:dyDescent="0.25">
      <c r="L41" t="s">
        <v>1</v>
      </c>
      <c r="M41" s="13">
        <f t="shared" ref="M41:M51" si="30">M23-B23</f>
        <v>-5.8897499224274119E-3</v>
      </c>
      <c r="N41" s="13">
        <f t="shared" ref="N41:N51" si="31">N23-C23</f>
        <v>-3.6093253845798624E-2</v>
      </c>
      <c r="O41" s="13">
        <f t="shared" ref="O41:O51" si="32">O23-D23</f>
        <v>7.2024691650329539E-3</v>
      </c>
      <c r="P41" s="13" t="e">
        <f t="shared" ref="P41:P51" si="33">P23-E23</f>
        <v>#DIV/0!</v>
      </c>
      <c r="Q41" s="13">
        <f t="shared" ref="Q41:Q51" si="34">Q23-F23</f>
        <v>2.7995714088561864E-2</v>
      </c>
      <c r="R41" s="13">
        <f t="shared" ref="R41:R51" si="35">R23-G23</f>
        <v>0</v>
      </c>
      <c r="S41" s="13">
        <f t="shared" ref="S41:S51" si="36">S23-H23</f>
        <v>0</v>
      </c>
      <c r="T41" s="13">
        <f t="shared" ref="T41:T51" si="37">T23-I23</f>
        <v>1.6563948721748693E-3</v>
      </c>
      <c r="U41" s="13">
        <f t="shared" ref="U41:U51" si="38">U23-J23</f>
        <v>-1.5207927614947894E-2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12</v>
      </c>
      <c r="M42" s="13">
        <f t="shared" si="30"/>
        <v>0</v>
      </c>
      <c r="N42" s="13">
        <f t="shared" si="31"/>
        <v>4.7606818130718986E-2</v>
      </c>
      <c r="O42" s="13">
        <f t="shared" si="32"/>
        <v>-1.7359757215504423E-2</v>
      </c>
      <c r="P42" s="13" t="e">
        <f t="shared" si="33"/>
        <v>#DIV/0!</v>
      </c>
      <c r="Q42" s="13">
        <f t="shared" si="34"/>
        <v>2.7035250738058333E-2</v>
      </c>
      <c r="R42" s="13">
        <f t="shared" si="35"/>
        <v>0</v>
      </c>
      <c r="S42" s="13">
        <f t="shared" si="36"/>
        <v>0</v>
      </c>
      <c r="T42" s="13">
        <f t="shared" si="37"/>
        <v>2.4537095684366808E-2</v>
      </c>
      <c r="U42" s="13">
        <f t="shared" si="38"/>
        <v>8.0185720929730753E-3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56</v>
      </c>
      <c r="M43" s="13">
        <f t="shared" si="30"/>
        <v>0</v>
      </c>
      <c r="N43" s="13">
        <f t="shared" si="31"/>
        <v>0</v>
      </c>
      <c r="O43" s="13">
        <f t="shared" si="32"/>
        <v>1.0775623183289507E-2</v>
      </c>
      <c r="P43" s="13" t="e">
        <f t="shared" si="33"/>
        <v>#DIV/0!</v>
      </c>
      <c r="Q43" s="13">
        <f t="shared" si="34"/>
        <v>1.3178519958388146E-2</v>
      </c>
      <c r="R43" s="13">
        <f t="shared" si="35"/>
        <v>0</v>
      </c>
      <c r="S43" s="13">
        <f t="shared" si="36"/>
        <v>0</v>
      </c>
      <c r="T43" s="13">
        <f t="shared" si="37"/>
        <v>-2.9228220394096158E-2</v>
      </c>
      <c r="U43" s="13">
        <f t="shared" si="38"/>
        <v>-1.4325785618845233E-2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51</v>
      </c>
      <c r="M44" s="13">
        <f t="shared" si="30"/>
        <v>0</v>
      </c>
      <c r="N44" s="13">
        <f t="shared" si="31"/>
        <v>0</v>
      </c>
      <c r="O44" s="13">
        <f t="shared" si="32"/>
        <v>0</v>
      </c>
      <c r="P44" s="13" t="e">
        <f t="shared" si="33"/>
        <v>#DIV/0!</v>
      </c>
      <c r="Q44" s="13">
        <f t="shared" si="34"/>
        <v>-6.4328090158983886E-2</v>
      </c>
      <c r="R44" s="13">
        <f t="shared" si="35"/>
        <v>0</v>
      </c>
      <c r="S44" s="13">
        <f t="shared" si="36"/>
        <v>0</v>
      </c>
      <c r="T44" s="13">
        <f t="shared" si="37"/>
        <v>-2.0593373064252934E-2</v>
      </c>
      <c r="U44" s="13">
        <f t="shared" si="38"/>
        <v>-2.2677139584810262E-2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52</v>
      </c>
      <c r="M45" s="13">
        <f t="shared" si="30"/>
        <v>0</v>
      </c>
      <c r="N45" s="13">
        <f t="shared" si="31"/>
        <v>0</v>
      </c>
      <c r="O45" s="13">
        <f t="shared" si="32"/>
        <v>0</v>
      </c>
      <c r="P45" s="13" t="e">
        <f t="shared" si="33"/>
        <v>#DIV/0!</v>
      </c>
      <c r="Q45" s="13">
        <f t="shared" si="34"/>
        <v>-1.3308133894254182E-4</v>
      </c>
      <c r="R45" s="13">
        <f t="shared" si="35"/>
        <v>0</v>
      </c>
      <c r="S45" s="13">
        <f t="shared" si="36"/>
        <v>0</v>
      </c>
      <c r="T45" s="13">
        <f t="shared" si="37"/>
        <v>0</v>
      </c>
      <c r="U45" s="13">
        <f t="shared" si="38"/>
        <v>-6.7127156993485731E-6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53</v>
      </c>
      <c r="M46" s="13">
        <f t="shared" si="30"/>
        <v>0</v>
      </c>
      <c r="N46" s="13">
        <f t="shared" si="31"/>
        <v>0</v>
      </c>
      <c r="O46" s="13">
        <f t="shared" si="32"/>
        <v>0</v>
      </c>
      <c r="P46" s="13" t="e">
        <f t="shared" si="33"/>
        <v>#DIV/0!</v>
      </c>
      <c r="Q46" s="13">
        <f t="shared" si="34"/>
        <v>0</v>
      </c>
      <c r="R46" s="13">
        <f t="shared" si="35"/>
        <v>0</v>
      </c>
      <c r="S46" s="13">
        <f t="shared" si="36"/>
        <v>0</v>
      </c>
      <c r="T46" s="13">
        <f t="shared" si="37"/>
        <v>0</v>
      </c>
      <c r="U46" s="13">
        <f t="shared" si="38"/>
        <v>0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54</v>
      </c>
      <c r="M47" s="13">
        <f t="shared" si="30"/>
        <v>0</v>
      </c>
      <c r="N47" s="13">
        <f t="shared" si="31"/>
        <v>0</v>
      </c>
      <c r="O47" s="13">
        <f t="shared" si="32"/>
        <v>0</v>
      </c>
      <c r="P47" s="13" t="e">
        <f t="shared" si="33"/>
        <v>#DIV/0!</v>
      </c>
      <c r="Q47" s="13">
        <f t="shared" si="34"/>
        <v>0</v>
      </c>
      <c r="R47" s="13">
        <f t="shared" si="35"/>
        <v>0</v>
      </c>
      <c r="S47" s="13">
        <f t="shared" si="36"/>
        <v>0</v>
      </c>
      <c r="T47" s="13">
        <f t="shared" si="37"/>
        <v>0</v>
      </c>
      <c r="U47" s="13">
        <f t="shared" si="38"/>
        <v>0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55</v>
      </c>
      <c r="M48" s="13">
        <f t="shared" si="30"/>
        <v>0</v>
      </c>
      <c r="N48" s="13">
        <f t="shared" si="31"/>
        <v>0</v>
      </c>
      <c r="O48" s="13">
        <f t="shared" si="32"/>
        <v>0</v>
      </c>
      <c r="P48" s="13" t="e">
        <f t="shared" si="33"/>
        <v>#DIV/0!</v>
      </c>
      <c r="Q48" s="13">
        <f t="shared" si="34"/>
        <v>0</v>
      </c>
      <c r="R48" s="13">
        <f t="shared" si="35"/>
        <v>0</v>
      </c>
      <c r="S48" s="13">
        <f t="shared" si="36"/>
        <v>0</v>
      </c>
      <c r="T48" s="13">
        <f t="shared" si="37"/>
        <v>0</v>
      </c>
      <c r="U48" s="13">
        <f t="shared" si="38"/>
        <v>0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t="s">
        <v>24</v>
      </c>
      <c r="M49" s="13">
        <f t="shared" si="30"/>
        <v>0</v>
      </c>
      <c r="N49" s="13">
        <f t="shared" si="31"/>
        <v>0</v>
      </c>
      <c r="O49" s="13">
        <f t="shared" si="32"/>
        <v>0</v>
      </c>
      <c r="P49" s="13" t="e">
        <f t="shared" si="33"/>
        <v>#DIV/0!</v>
      </c>
      <c r="Q49" s="13">
        <f t="shared" si="34"/>
        <v>0</v>
      </c>
      <c r="R49" s="13">
        <f t="shared" si="35"/>
        <v>0</v>
      </c>
      <c r="S49" s="13">
        <f t="shared" si="36"/>
        <v>0</v>
      </c>
      <c r="T49" s="13">
        <f t="shared" si="37"/>
        <v>8.1364506935307501E-3</v>
      </c>
      <c r="U49" s="13">
        <f t="shared" si="38"/>
        <v>1.8550227286830034E-2</v>
      </c>
      <c r="X49" s="13"/>
      <c r="Y49" s="13"/>
      <c r="Z49" s="13"/>
      <c r="AA49" s="13"/>
      <c r="AB49" s="13"/>
      <c r="AC49" s="13"/>
      <c r="AD49" s="13"/>
      <c r="AE49" s="13"/>
      <c r="AF49" s="13"/>
    </row>
    <row r="50" spans="12:32" x14ac:dyDescent="0.25">
      <c r="L50" t="s">
        <v>4</v>
      </c>
      <c r="M50" s="13">
        <f t="shared" si="30"/>
        <v>1.7334513790021443E-3</v>
      </c>
      <c r="N50" s="13">
        <f t="shared" si="31"/>
        <v>-3.4645652958604709E-4</v>
      </c>
      <c r="O50" s="13">
        <f t="shared" si="32"/>
        <v>4.4380878195241068E-3</v>
      </c>
      <c r="P50" s="13" t="e">
        <f t="shared" si="33"/>
        <v>#DIV/0!</v>
      </c>
      <c r="Q50" s="13">
        <f t="shared" si="34"/>
        <v>1.0803600085464E-2</v>
      </c>
      <c r="R50" s="13">
        <f t="shared" si="35"/>
        <v>-7.2736951717425891E-3</v>
      </c>
      <c r="S50" s="13">
        <f t="shared" si="36"/>
        <v>0</v>
      </c>
      <c r="T50" s="13">
        <f t="shared" si="37"/>
        <v>2.4720905511182736E-3</v>
      </c>
      <c r="U50" s="13">
        <f t="shared" si="38"/>
        <v>1.7609570456817818E-3</v>
      </c>
      <c r="X50" s="13"/>
      <c r="Y50" s="13"/>
      <c r="Z50" s="13"/>
      <c r="AA50" s="13"/>
      <c r="AB50" s="13"/>
      <c r="AC50" s="13"/>
      <c r="AD50" s="13"/>
      <c r="AE50" s="13"/>
      <c r="AF50" s="13"/>
    </row>
    <row r="51" spans="12:32" x14ac:dyDescent="0.25">
      <c r="L51" t="s">
        <v>5</v>
      </c>
      <c r="M51" s="13">
        <f t="shared" si="30"/>
        <v>4.1562985434252121E-3</v>
      </c>
      <c r="N51" s="13">
        <f t="shared" si="31"/>
        <v>-1.1167107755334249E-2</v>
      </c>
      <c r="O51" s="13">
        <f t="shared" si="32"/>
        <v>-5.0564229523421544E-3</v>
      </c>
      <c r="P51" s="13" t="e">
        <f t="shared" si="33"/>
        <v>#DIV/0!</v>
      </c>
      <c r="Q51" s="13">
        <f t="shared" si="34"/>
        <v>-1.4551913372545883E-2</v>
      </c>
      <c r="R51" s="13">
        <f t="shared" si="35"/>
        <v>7.2736951717426793E-3</v>
      </c>
      <c r="S51" s="13">
        <f t="shared" si="36"/>
        <v>0</v>
      </c>
      <c r="T51" s="13">
        <f t="shared" si="37"/>
        <v>1.301956165715842E-2</v>
      </c>
      <c r="U51" s="13">
        <f t="shared" si="38"/>
        <v>0</v>
      </c>
      <c r="X51" s="13"/>
      <c r="Y51" s="13"/>
      <c r="Z51" s="13"/>
      <c r="AA51" s="13"/>
      <c r="AB51" s="13"/>
      <c r="AC51" s="13"/>
      <c r="AD51" s="13"/>
      <c r="AE51" s="13"/>
      <c r="AF51" s="13"/>
    </row>
    <row r="52" spans="12:32" x14ac:dyDescent="0.25">
      <c r="L52" s="4" t="s">
        <v>60</v>
      </c>
      <c r="M52" s="17">
        <f t="shared" ref="M52:U52" si="39">M34-B34</f>
        <v>0</v>
      </c>
      <c r="N52" s="17">
        <f t="shared" si="39"/>
        <v>0</v>
      </c>
      <c r="O52" s="17">
        <f t="shared" si="39"/>
        <v>0</v>
      </c>
      <c r="P52" s="17" t="e">
        <f t="shared" si="39"/>
        <v>#DIV/0!</v>
      </c>
      <c r="Q52" s="17">
        <f t="shared" si="39"/>
        <v>0</v>
      </c>
      <c r="R52" s="17">
        <f t="shared" si="39"/>
        <v>0</v>
      </c>
      <c r="S52" s="17">
        <f t="shared" si="39"/>
        <v>0</v>
      </c>
      <c r="T52" s="17">
        <f t="shared" si="39"/>
        <v>0</v>
      </c>
      <c r="U52" s="13">
        <f t="shared" si="39"/>
        <v>2.3887809108817937E-2</v>
      </c>
      <c r="X52" s="13"/>
      <c r="Y52" s="13"/>
      <c r="Z52" s="13"/>
      <c r="AA52" s="13"/>
      <c r="AB52" s="13"/>
      <c r="AC52" s="13"/>
      <c r="AD52" s="13"/>
      <c r="AE52" s="13"/>
      <c r="AF52" s="13"/>
    </row>
    <row r="53" spans="12:32" ht="15.75" thickBot="1" x14ac:dyDescent="0.3">
      <c r="L53" s="9" t="s">
        <v>7</v>
      </c>
      <c r="M53" s="15">
        <f t="shared" ref="M53:P53" si="40">M35-B35</f>
        <v>0</v>
      </c>
      <c r="N53" s="15">
        <f t="shared" si="40"/>
        <v>0</v>
      </c>
      <c r="O53" s="15">
        <f t="shared" si="40"/>
        <v>0</v>
      </c>
      <c r="P53" s="15" t="e">
        <f t="shared" si="40"/>
        <v>#DIV/0!</v>
      </c>
      <c r="Q53" s="15">
        <f t="shared" ref="Q53" si="41">Q35-F35</f>
        <v>0</v>
      </c>
      <c r="R53" s="15">
        <f t="shared" ref="R53" si="42">R35-G35</f>
        <v>0</v>
      </c>
      <c r="S53" s="15">
        <f t="shared" ref="S53" si="43">S35-H35</f>
        <v>0</v>
      </c>
      <c r="T53" s="15">
        <f t="shared" ref="T53" si="44">T35-I35</f>
        <v>0</v>
      </c>
      <c r="U53" s="15">
        <f t="shared" ref="U53" si="45">U35-J35</f>
        <v>0</v>
      </c>
      <c r="X53" s="13"/>
      <c r="Y53" s="13"/>
      <c r="Z53" s="13"/>
      <c r="AA53" s="13"/>
      <c r="AB53" s="13"/>
      <c r="AC53" s="13"/>
      <c r="AD53" s="13"/>
      <c r="AE53" s="13"/>
      <c r="AF53" s="13"/>
    </row>
  </sheetData>
  <mergeCells count="5">
    <mergeCell ref="B3:I3"/>
    <mergeCell ref="M3:U3"/>
    <mergeCell ref="B21:I21"/>
    <mergeCell ref="M21:U21"/>
    <mergeCell ref="M39:U39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AF53"/>
  <sheetViews>
    <sheetView zoomScaleNormal="100" workbookViewId="0">
      <selection activeCell="M16" sqref="M16:T16"/>
    </sheetView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r="2" spans="1:21" ht="15.75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31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31" t="s">
        <v>43</v>
      </c>
      <c r="C3" s="31"/>
      <c r="D3" s="31"/>
      <c r="E3" s="31"/>
      <c r="F3" s="31"/>
      <c r="G3" s="31"/>
      <c r="H3" s="31"/>
      <c r="I3" s="31"/>
      <c r="J3" s="11"/>
      <c r="L3" s="3"/>
      <c r="M3" s="31" t="s">
        <v>43</v>
      </c>
      <c r="N3" s="31"/>
      <c r="O3" s="31"/>
      <c r="P3" s="31"/>
      <c r="Q3" s="31"/>
      <c r="R3" s="31"/>
      <c r="S3" s="31"/>
      <c r="T3" s="31"/>
      <c r="U3" s="31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52927.3605264524</v>
      </c>
      <c r="C5" s="6" t="n">
        <v>396390.4821353514</v>
      </c>
      <c r="D5" s="6" t="n">
        <v>146937.1248664695</v>
      </c>
      <c r="E5" s="6" t="n">
        <v>373.067856556</v>
      </c>
      <c r="F5" s="6" t="n">
        <v>298.0264508996</v>
      </c>
      <c r="G5" s="6" t="n">
        <v>0.0</v>
      </c>
      <c r="H5" s="6" t="n">
        <v>0.0</v>
      </c>
      <c r="I5" s="6" t="n">
        <v>0.0</v>
      </c>
      <c r="J5" s="6">
        <f>SUM(B5:I5)</f>
        <v>596926.06183572893</v>
      </c>
      <c r="K5" s="6"/>
      <c r="L5" t="s">
        <v>1</v>
      </c>
      <c r="M5" s="6" t="n">
        <v>365.0</v>
      </c>
      <c r="N5" s="6" t="n">
        <v>342273.0</v>
      </c>
      <c r="O5" s="6" t="n">
        <v>154166.0</v>
      </c>
      <c r="P5" s="6" t="n">
        <v>0.0</v>
      </c>
      <c r="Q5" s="6" t="n">
        <v>0.0</v>
      </c>
      <c r="R5" s="6" t="n">
        <v>0.0</v>
      </c>
      <c r="S5" s="6" t="n">
        <v>0.0</v>
      </c>
      <c r="T5" s="6" t="n">
        <v>0.0</v>
      </c>
      <c r="U5" s="6">
        <f t="shared" ref="U5:U16" si="0">SUM(M5:T5)</f>
        <v>496804</v>
      </c>
    </row>
    <row r="6" spans="1:21" x14ac:dyDescent="0.25">
      <c r="A6" t="s">
        <v>12</v>
      </c>
      <c r="B6" s="6" t="n">
        <v>0.0</v>
      </c>
      <c r="C6" s="6" t="n">
        <v>433849.1964675311</v>
      </c>
      <c r="D6" s="6" t="n">
        <v>251550.0097209555</v>
      </c>
      <c r="E6" s="6" t="n">
        <v>0.0</v>
      </c>
      <c r="F6" s="6" t="n">
        <v>688.3299841567</v>
      </c>
      <c r="G6" s="6" t="n">
        <v>0.0</v>
      </c>
      <c r="H6" s="6" t="n">
        <v>0.0</v>
      </c>
      <c r="I6" s="6" t="n">
        <v>659.6315</v>
      </c>
      <c r="J6" s="6">
        <f t="shared" ref="J6:J16" si="1">SUM(B6:I6)</f>
        <v>686747.16767264332</v>
      </c>
      <c r="K6" s="6"/>
      <c r="L6" t="s">
        <v>12</v>
      </c>
      <c r="M6" s="6" t="n">
        <v>0.0</v>
      </c>
      <c r="N6" s="6" t="n">
        <v>675193.0</v>
      </c>
      <c r="O6" s="6" t="n">
        <v>136485.0</v>
      </c>
      <c r="P6" s="6" t="n">
        <v>0.0</v>
      </c>
      <c r="Q6" s="6" t="n">
        <v>0.0</v>
      </c>
      <c r="R6" s="6" t="n">
        <v>0.0</v>
      </c>
      <c r="S6" s="6" t="n">
        <v>0.0</v>
      </c>
      <c r="T6" s="6" t="n">
        <v>0.0</v>
      </c>
      <c r="U6" s="6">
        <f t="shared" si="0"/>
        <v>811678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532459.0305925972</v>
      </c>
      <c r="E7" s="6" t="n">
        <v>0.0</v>
      </c>
      <c r="F7" s="6" t="n">
        <v>0.0</v>
      </c>
      <c r="G7" s="6" t="n">
        <v>0.0</v>
      </c>
      <c r="H7" s="6" t="n">
        <v>0.0</v>
      </c>
      <c r="I7" s="6" t="n">
        <v>0.0</v>
      </c>
      <c r="J7" s="6">
        <f t="shared" si="1"/>
        <v>532459.03059259721</v>
      </c>
      <c r="K7" s="6"/>
      <c r="L7" t="s">
        <v>56</v>
      </c>
      <c r="M7" s="6" t="n">
        <v>0.0</v>
      </c>
      <c r="N7" s="6" t="n">
        <v>0.0</v>
      </c>
      <c r="O7" s="6" t="n">
        <v>523068.0</v>
      </c>
      <c r="P7" s="6" t="n">
        <v>0.0</v>
      </c>
      <c r="Q7" s="6" t="n">
        <v>0.0</v>
      </c>
      <c r="R7" s="6" t="n">
        <v>0.0</v>
      </c>
      <c r="S7" s="6" t="n">
        <v>0.0</v>
      </c>
      <c r="T7" s="6" t="n">
        <v>0.0</v>
      </c>
      <c r="U7" s="6">
        <f t="shared" si="0"/>
        <v>523068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373.067856556</v>
      </c>
      <c r="F8" s="6" t="n">
        <v>7070.435136692499</v>
      </c>
      <c r="G8" s="6" t="n">
        <v>0.0</v>
      </c>
      <c r="H8" s="6" t="n">
        <v>0.0</v>
      </c>
      <c r="I8" s="6" t="n">
        <v>0.0</v>
      </c>
      <c r="J8" s="6">
        <f t="shared" si="1"/>
        <v>7443.5029932484995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0.0</v>
      </c>
      <c r="R8" s="6" t="n">
        <v>0.0</v>
      </c>
      <c r="S8" s="6" t="n">
        <v>0.0</v>
      </c>
      <c r="T8" s="6" t="n">
        <v>0.0</v>
      </c>
      <c r="U8" s="6">
        <f t="shared" si="0"/>
        <v>0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t="shared" si="1"/>
        <v>0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t="shared" si="0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t="shared" si="1"/>
        <v>0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0.0</v>
      </c>
      <c r="R10" s="6" t="n">
        <v>0.0</v>
      </c>
      <c r="S10" s="6" t="n">
        <v>0.0</v>
      </c>
      <c r="T10" s="6" t="n">
        <v>0.0</v>
      </c>
      <c r="U10" s="6">
        <f t="shared" si="0"/>
        <v>0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t="shared" si="1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0.0</v>
      </c>
      <c r="R11" s="6" t="n">
        <v>0.0</v>
      </c>
      <c r="S11" s="6" t="n">
        <v>0.0</v>
      </c>
      <c r="T11" s="6" t="n">
        <v>0.0</v>
      </c>
      <c r="U11" s="6">
        <f t="shared" si="0"/>
        <v>0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t="shared" si="1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0.0</v>
      </c>
      <c r="R12" s="6" t="n">
        <v>0.0</v>
      </c>
      <c r="S12" s="6" t="n">
        <v>0.0</v>
      </c>
      <c r="T12" s="6" t="n">
        <v>0.0</v>
      </c>
      <c r="U12" s="6">
        <f t="shared" si="0"/>
        <v>0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1978.8944999999999</v>
      </c>
      <c r="J13" s="6">
        <f t="shared" si="1"/>
        <v>1978.8944999999999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t="shared" si="0"/>
        <v>0</v>
      </c>
    </row>
    <row r="14" spans="1:21" x14ac:dyDescent="0.25">
      <c r="A14" t="s">
        <v>4</v>
      </c>
      <c r="B14" s="6" t="n">
        <v>0.0</v>
      </c>
      <c r="C14" s="6" t="n">
        <v>5674.0894081838</v>
      </c>
      <c r="D14" s="6" t="n">
        <v>166.035106589</v>
      </c>
      <c r="E14" s="6" t="n">
        <v>0.0</v>
      </c>
      <c r="F14" s="6" t="n">
        <v>0.0</v>
      </c>
      <c r="G14" s="6" t="n">
        <v>5171.3558293273</v>
      </c>
      <c r="H14" s="6" t="n">
        <v>0.0</v>
      </c>
      <c r="I14" s="6" t="n">
        <v>0.0</v>
      </c>
      <c r="J14" s="6">
        <f t="shared" si="1"/>
        <v>11011.480344100099</v>
      </c>
      <c r="K14" s="6"/>
      <c r="L14" t="s">
        <v>4</v>
      </c>
      <c r="M14" s="6" t="n">
        <v>0.0</v>
      </c>
      <c r="N14" s="6" t="n">
        <v>8528.0</v>
      </c>
      <c r="O14" s="6" t="n">
        <v>7297.0</v>
      </c>
      <c r="P14" s="6" t="n">
        <v>0.0</v>
      </c>
      <c r="Q14" s="6" t="n">
        <v>0.0</v>
      </c>
      <c r="R14" s="6" t="n">
        <v>10012.0</v>
      </c>
      <c r="S14" s="6" t="n">
        <v>0.0</v>
      </c>
      <c r="T14" s="6" t="n">
        <v>0.0</v>
      </c>
      <c r="U14" s="6">
        <f t="shared" si="0"/>
        <v>25837</v>
      </c>
    </row>
    <row r="15" spans="1:21" x14ac:dyDescent="0.25">
      <c r="A15" t="s">
        <v>5</v>
      </c>
      <c r="B15" s="6" t="n">
        <v>4326.086940846</v>
      </c>
      <c r="C15" s="6" t="n">
        <v>9552.7248647721</v>
      </c>
      <c r="D15" s="6" t="n">
        <v>32795.0383664672</v>
      </c>
      <c r="E15" s="6" t="n">
        <v>373.067856556</v>
      </c>
      <c r="F15" s="6" t="n">
        <v>234.56112695000002</v>
      </c>
      <c r="G15" s="6" t="n">
        <v>369.703052246</v>
      </c>
      <c r="H15" s="6" t="n">
        <v>71252.3229915978</v>
      </c>
      <c r="I15" s="6" t="n">
        <v>0.0</v>
      </c>
      <c r="J15" s="6">
        <f t="shared" si="1"/>
        <v>118903.50519943509</v>
      </c>
      <c r="K15" s="6"/>
      <c r="L15" t="s">
        <v>5</v>
      </c>
      <c r="M15" s="6" t="n">
        <v>0.0</v>
      </c>
      <c r="N15" s="6" t="n">
        <v>39861.0</v>
      </c>
      <c r="O15" s="6" t="n">
        <v>28618.0</v>
      </c>
      <c r="P15" s="6" t="n">
        <v>0.0</v>
      </c>
      <c r="Q15" s="6" t="n">
        <v>0.0</v>
      </c>
      <c r="R15" s="6" t="n">
        <v>149.0</v>
      </c>
      <c r="S15" s="6" t="n">
        <v>61.0</v>
      </c>
      <c r="T15" s="6" t="n">
        <v>0.0</v>
      </c>
      <c r="U15" s="6">
        <f t="shared" si="0"/>
        <v>68689</v>
      </c>
    </row>
    <row r="16" spans="1:21" x14ac:dyDescent="0.25">
      <c r="A16" s="4" t="s">
        <v>60</v>
      </c>
      <c r="B16" s="10" t="n">
        <v>0.0</v>
      </c>
      <c r="C16" s="10" t="n">
        <v>0.0</v>
      </c>
      <c r="D16" s="10" t="n">
        <v>0.0</v>
      </c>
      <c r="E16" s="10" t="n">
        <v>0.0</v>
      </c>
      <c r="F16" s="10" t="n">
        <v>0.0</v>
      </c>
      <c r="G16" s="10" t="n">
        <v>0.0</v>
      </c>
      <c r="H16" s="10" t="n">
        <v>0.0</v>
      </c>
      <c r="I16" s="10" t="n">
        <v>0.0</v>
      </c>
      <c r="J16" s="6">
        <f t="shared" si="1"/>
        <v>0</v>
      </c>
      <c r="K16" s="6"/>
      <c r="L16" s="4" t="s">
        <v>60</v>
      </c>
      <c r="M16" s="8" t="n">
        <v>0.0</v>
      </c>
      <c r="N16" s="8" t="n">
        <v>0.0</v>
      </c>
      <c r="O16" s="8" t="n">
        <v>0.0</v>
      </c>
      <c r="P16" s="8" t="n">
        <v>0.0</v>
      </c>
      <c r="Q16" s="8" t="n">
        <v>0.0</v>
      </c>
      <c r="R16" s="8" t="n">
        <v>0.0</v>
      </c>
      <c r="S16" s="8" t="n">
        <v>0.0</v>
      </c>
      <c r="T16" s="8" t="n">
        <v>0.0</v>
      </c>
      <c r="U16" s="6">
        <f t="shared" si="0"/>
        <v>0</v>
      </c>
    </row>
    <row r="17" spans="1:21" ht="15.75" thickBot="1" x14ac:dyDescent="0.3">
      <c r="A17" s="12" t="s">
        <v>7</v>
      </c>
      <c r="B17" s="16">
        <f t="shared" ref="B17:J17" si="2">SUM(B5:B16)</f>
        <v>57253.4474672984</v>
      </c>
      <c r="C17" s="16">
        <f t="shared" si="2"/>
        <v>845466.4928758383</v>
      </c>
      <c r="D17" s="16">
        <f t="shared" si="2"/>
        <v>963907.23865307844</v>
      </c>
      <c r="E17" s="16">
        <f t="shared" si="2"/>
        <v>1119.203569668</v>
      </c>
      <c r="F17" s="16">
        <f t="shared" si="2"/>
        <v>8291.3526986987999</v>
      </c>
      <c r="G17" s="16">
        <f t="shared" si="2"/>
        <v>5541.0588815732999</v>
      </c>
      <c r="H17" s="16">
        <f t="shared" si="2"/>
        <v>71252.322991597801</v>
      </c>
      <c r="I17" s="16">
        <f t="shared" si="2"/>
        <v>2638.5259999999998</v>
      </c>
      <c r="J17" s="16">
        <f t="shared" si="2"/>
        <v>1955469.6431377532</v>
      </c>
      <c r="L17" s="9" t="s">
        <v>7</v>
      </c>
      <c r="M17" s="16">
        <f t="shared" ref="M17:U17" si="3">SUM(M5:M16)</f>
        <v>365</v>
      </c>
      <c r="N17" s="16">
        <f t="shared" si="3"/>
        <v>1065855</v>
      </c>
      <c r="O17" s="16">
        <f t="shared" si="3"/>
        <v>849634</v>
      </c>
      <c r="P17" s="16">
        <f t="shared" si="3"/>
        <v>0</v>
      </c>
      <c r="Q17" s="16">
        <f t="shared" si="3"/>
        <v>0</v>
      </c>
      <c r="R17" s="16">
        <f t="shared" si="3"/>
        <v>10161</v>
      </c>
      <c r="S17" s="16">
        <f t="shared" si="3"/>
        <v>61</v>
      </c>
      <c r="T17" s="16">
        <f t="shared" si="3"/>
        <v>0</v>
      </c>
      <c r="U17" s="16">
        <f t="shared" si="3"/>
        <v>1926076</v>
      </c>
    </row>
    <row r="20" spans="1:21" ht="15.75" thickBot="1" x14ac:dyDescent="0.3">
      <c r="A20" s="1" t="s">
        <v>59</v>
      </c>
      <c r="B20" s="1"/>
      <c r="C20" s="2"/>
      <c r="D20" s="2"/>
      <c r="E20" s="2"/>
      <c r="F20" s="2"/>
      <c r="G20" s="2"/>
      <c r="H20" s="2"/>
      <c r="I20" s="2"/>
      <c r="J20" s="2"/>
      <c r="L20" s="1" t="s">
        <v>32</v>
      </c>
      <c r="M20" s="1"/>
      <c r="N20" s="2"/>
      <c r="O20" s="2"/>
      <c r="P20" s="2"/>
      <c r="Q20" s="2"/>
      <c r="R20" s="2"/>
      <c r="S20" s="2"/>
      <c r="T20" s="2"/>
      <c r="U20" s="2"/>
    </row>
    <row r="21" spans="1:21" x14ac:dyDescent="0.25">
      <c r="A21" s="3"/>
      <c r="B21" s="31" t="s">
        <v>43</v>
      </c>
      <c r="C21" s="31"/>
      <c r="D21" s="31"/>
      <c r="E21" s="31"/>
      <c r="F21" s="31"/>
      <c r="G21" s="31"/>
      <c r="H21" s="31"/>
      <c r="I21" s="31"/>
      <c r="J21" s="11"/>
      <c r="L21" s="3"/>
      <c r="M21" s="31" t="s">
        <v>43</v>
      </c>
      <c r="N21" s="31"/>
      <c r="O21" s="31"/>
      <c r="P21" s="31"/>
      <c r="Q21" s="31"/>
      <c r="R21" s="31"/>
      <c r="S21" s="31"/>
      <c r="T21" s="31"/>
      <c r="U21" s="31"/>
    </row>
    <row r="22" spans="1:21" x14ac:dyDescent="0.25">
      <c r="A22" s="4" t="s">
        <v>0</v>
      </c>
      <c r="B22" s="5" t="s">
        <v>11</v>
      </c>
      <c r="C22" s="5" t="s">
        <v>12</v>
      </c>
      <c r="D22" s="5" t="s">
        <v>13</v>
      </c>
      <c r="E22" s="5" t="s">
        <v>14</v>
      </c>
      <c r="F22" s="5" t="s">
        <v>15</v>
      </c>
      <c r="G22" s="5" t="s">
        <v>4</v>
      </c>
      <c r="H22" s="5" t="s">
        <v>5</v>
      </c>
      <c r="I22" s="5" t="s">
        <v>16</v>
      </c>
      <c r="J22" s="5" t="s">
        <v>7</v>
      </c>
      <c r="L22" s="4" t="s">
        <v>0</v>
      </c>
      <c r="M22" s="5" t="s">
        <v>1</v>
      </c>
      <c r="N22" s="5" t="s">
        <v>2</v>
      </c>
      <c r="O22" s="5" t="s">
        <v>3</v>
      </c>
      <c r="P22" s="5" t="s">
        <v>14</v>
      </c>
      <c r="Q22" s="5" t="s">
        <v>15</v>
      </c>
      <c r="R22" s="5" t="s">
        <v>4</v>
      </c>
      <c r="S22" s="5" t="s">
        <v>5</v>
      </c>
      <c r="T22" s="5" t="s">
        <v>16</v>
      </c>
      <c r="U22" s="5" t="s">
        <v>7</v>
      </c>
    </row>
    <row r="23" spans="1:21" x14ac:dyDescent="0.25">
      <c r="A23" t="s">
        <v>1</v>
      </c>
      <c r="B23" s="13">
        <f t="shared" ref="B23:J23" si="4">B5/B$17</f>
        <v>0.92443971267726821</v>
      </c>
      <c r="C23" s="13">
        <f t="shared" si="4"/>
        <v>0.46884233198531222</v>
      </c>
      <c r="D23" s="13">
        <f t="shared" si="4"/>
        <v>0.15243907190882078</v>
      </c>
      <c r="E23" s="13">
        <f t="shared" si="4"/>
        <v>0.33333333333333331</v>
      </c>
      <c r="F23" s="13">
        <f t="shared" si="4"/>
        <v>3.5944249597097785E-2</v>
      </c>
      <c r="G23" s="13">
        <f t="shared" si="4"/>
        <v>0</v>
      </c>
      <c r="H23" s="13">
        <f t="shared" si="4"/>
        <v>0</v>
      </c>
      <c r="I23" s="13">
        <f t="shared" si="4"/>
        <v>0</v>
      </c>
      <c r="J23" s="13">
        <f t="shared" si="4"/>
        <v>0.30525969243782242</v>
      </c>
      <c r="K23" s="6"/>
      <c r="L23" t="s">
        <v>1</v>
      </c>
      <c r="M23" s="13">
        <f t="shared" ref="M23:P23" si="5">M5/M$17</f>
        <v>1</v>
      </c>
      <c r="N23" s="13">
        <f t="shared" si="5"/>
        <v>0.3211252937782344</v>
      </c>
      <c r="O23" s="13">
        <f t="shared" si="5"/>
        <v>0.18144989489591989</v>
      </c>
      <c r="P23" s="13" t="e">
        <f t="shared" si="5"/>
        <v>#DIV/0!</v>
      </c>
      <c r="Q23" s="13" t="e">
        <f t="shared" ref="Q23:U35" si="6">Q5/Q$17</f>
        <v>#DIV/0!</v>
      </c>
      <c r="R23" s="13">
        <f t="shared" si="6"/>
        <v>0</v>
      </c>
      <c r="S23" s="13">
        <f t="shared" si="6"/>
        <v>0</v>
      </c>
      <c r="T23" s="13" t="e">
        <f t="shared" si="6"/>
        <v>#DIV/0!</v>
      </c>
      <c r="U23" s="13">
        <f t="shared" si="6"/>
        <v>0.25793582392387426</v>
      </c>
    </row>
    <row r="24" spans="1:21" x14ac:dyDescent="0.25">
      <c r="A24" t="s">
        <v>12</v>
      </c>
      <c r="B24" s="13">
        <f t="shared" ref="B24:J24" si="7">B6/B$17</f>
        <v>0</v>
      </c>
      <c r="C24" s="13">
        <f t="shared" si="7"/>
        <v>0.51314771208945398</v>
      </c>
      <c r="D24" s="13">
        <f t="shared" si="7"/>
        <v>0.26096910535961992</v>
      </c>
      <c r="E24" s="13">
        <f t="shared" si="7"/>
        <v>0</v>
      </c>
      <c r="F24" s="13">
        <f t="shared" si="7"/>
        <v>8.3017814965792344E-2</v>
      </c>
      <c r="G24" s="13">
        <f t="shared" si="7"/>
        <v>0</v>
      </c>
      <c r="H24" s="13">
        <f t="shared" si="7"/>
        <v>0</v>
      </c>
      <c r="I24" s="13">
        <f t="shared" si="7"/>
        <v>0.25</v>
      </c>
      <c r="J24" s="13">
        <f t="shared" si="7"/>
        <v>0.35119295770334052</v>
      </c>
      <c r="K24" s="6"/>
      <c r="L24" t="s">
        <v>12</v>
      </c>
      <c r="M24" s="13">
        <f t="shared" ref="M24:P24" si="8">M6/M$17</f>
        <v>0</v>
      </c>
      <c r="N24" s="13">
        <f t="shared" si="8"/>
        <v>0.63347547274254001</v>
      </c>
      <c r="O24" s="13">
        <f t="shared" si="8"/>
        <v>0.16063975782513412</v>
      </c>
      <c r="P24" s="13" t="e">
        <f t="shared" si="8"/>
        <v>#DIV/0!</v>
      </c>
      <c r="Q24" s="13" t="e">
        <f t="shared" si="6"/>
        <v>#DIV/0!</v>
      </c>
      <c r="R24" s="13">
        <f t="shared" si="6"/>
        <v>0</v>
      </c>
      <c r="S24" s="13">
        <f t="shared" si="6"/>
        <v>0</v>
      </c>
      <c r="T24" s="13" t="e">
        <f t="shared" si="6"/>
        <v>#DIV/0!</v>
      </c>
      <c r="U24" s="13">
        <f t="shared" si="6"/>
        <v>0.42141535432662053</v>
      </c>
    </row>
    <row r="25" spans="1:21" x14ac:dyDescent="0.25">
      <c r="A25" t="s">
        <v>56</v>
      </c>
      <c r="B25" s="13">
        <f t="shared" ref="B25:J25" si="9">B7/B$17</f>
        <v>0</v>
      </c>
      <c r="C25" s="13">
        <f t="shared" si="9"/>
        <v>0</v>
      </c>
      <c r="D25" s="13">
        <f t="shared" si="9"/>
        <v>0.55239654734477561</v>
      </c>
      <c r="E25" s="13">
        <f t="shared" si="9"/>
        <v>0</v>
      </c>
      <c r="F25" s="13">
        <f t="shared" si="9"/>
        <v>0</v>
      </c>
      <c r="G25" s="13">
        <f t="shared" si="9"/>
        <v>0</v>
      </c>
      <c r="H25" s="13">
        <f t="shared" si="9"/>
        <v>0</v>
      </c>
      <c r="I25" s="13">
        <f t="shared" si="9"/>
        <v>0</v>
      </c>
      <c r="J25" s="13">
        <f t="shared" si="9"/>
        <v>0.27229214856959461</v>
      </c>
      <c r="K25" s="6"/>
      <c r="L25" t="s">
        <v>56</v>
      </c>
      <c r="M25" s="13">
        <f t="shared" ref="M25:P25" si="10">M7/M$17</f>
        <v>0</v>
      </c>
      <c r="N25" s="13">
        <f t="shared" si="10"/>
        <v>0</v>
      </c>
      <c r="O25" s="13">
        <f t="shared" si="10"/>
        <v>0.61563920464576516</v>
      </c>
      <c r="P25" s="13" t="e">
        <f t="shared" si="10"/>
        <v>#DIV/0!</v>
      </c>
      <c r="Q25" s="13" t="e">
        <f t="shared" si="6"/>
        <v>#DIV/0!</v>
      </c>
      <c r="R25" s="13">
        <f t="shared" si="6"/>
        <v>0</v>
      </c>
      <c r="S25" s="13">
        <f t="shared" si="6"/>
        <v>0</v>
      </c>
      <c r="T25" s="13" t="e">
        <f t="shared" si="6"/>
        <v>#DIV/0!</v>
      </c>
      <c r="U25" s="13">
        <f t="shared" si="6"/>
        <v>0.27157183828675502</v>
      </c>
    </row>
    <row r="26" spans="1:21" x14ac:dyDescent="0.25">
      <c r="A26" t="s">
        <v>51</v>
      </c>
      <c r="B26" s="13">
        <f t="shared" ref="B26:J26" si="11">B8/B$17</f>
        <v>0</v>
      </c>
      <c r="C26" s="13">
        <f t="shared" si="11"/>
        <v>0</v>
      </c>
      <c r="D26" s="13">
        <f t="shared" si="11"/>
        <v>0</v>
      </c>
      <c r="E26" s="13">
        <f t="shared" si="11"/>
        <v>0.33333333333333331</v>
      </c>
      <c r="F26" s="13">
        <f t="shared" si="11"/>
        <v>0.85274808509859856</v>
      </c>
      <c r="G26" s="13">
        <f t="shared" si="11"/>
        <v>0</v>
      </c>
      <c r="H26" s="13">
        <f t="shared" si="11"/>
        <v>0</v>
      </c>
      <c r="I26" s="13">
        <f t="shared" si="11"/>
        <v>0</v>
      </c>
      <c r="J26" s="13">
        <f t="shared" si="11"/>
        <v>3.8065039870957187E-3</v>
      </c>
      <c r="K26" s="6"/>
      <c r="L26" t="s">
        <v>51</v>
      </c>
      <c r="M26" s="13">
        <f t="shared" ref="M26:P26" si="12">M8/M$17</f>
        <v>0</v>
      </c>
      <c r="N26" s="13">
        <f t="shared" si="12"/>
        <v>0</v>
      </c>
      <c r="O26" s="13">
        <f t="shared" si="12"/>
        <v>0</v>
      </c>
      <c r="P26" s="13" t="e">
        <f t="shared" si="12"/>
        <v>#DIV/0!</v>
      </c>
      <c r="Q26" s="13" t="e">
        <f t="shared" si="6"/>
        <v>#DIV/0!</v>
      </c>
      <c r="R26" s="13">
        <f t="shared" si="6"/>
        <v>0</v>
      </c>
      <c r="S26" s="13">
        <f t="shared" si="6"/>
        <v>0</v>
      </c>
      <c r="T26" s="13" t="e">
        <f t="shared" si="6"/>
        <v>#DIV/0!</v>
      </c>
      <c r="U26" s="13">
        <f t="shared" si="6"/>
        <v>0</v>
      </c>
    </row>
    <row r="27" spans="1:21" x14ac:dyDescent="0.25">
      <c r="A27" t="s">
        <v>52</v>
      </c>
      <c r="B27" s="13">
        <f t="shared" ref="B27:J27" si="13">B9/B$17</f>
        <v>0</v>
      </c>
      <c r="C27" s="13">
        <f t="shared" si="13"/>
        <v>0</v>
      </c>
      <c r="D27" s="13">
        <f t="shared" si="13"/>
        <v>0</v>
      </c>
      <c r="E27" s="13">
        <f t="shared" si="13"/>
        <v>0</v>
      </c>
      <c r="F27" s="13">
        <f t="shared" si="13"/>
        <v>0</v>
      </c>
      <c r="G27" s="13">
        <f t="shared" si="13"/>
        <v>0</v>
      </c>
      <c r="H27" s="13">
        <f t="shared" si="13"/>
        <v>0</v>
      </c>
      <c r="I27" s="13">
        <f t="shared" si="13"/>
        <v>0</v>
      </c>
      <c r="J27" s="13">
        <f t="shared" si="13"/>
        <v>0</v>
      </c>
      <c r="K27" s="6"/>
      <c r="L27" t="s">
        <v>52</v>
      </c>
      <c r="M27" s="13">
        <f t="shared" ref="M27:P27" si="14">M9/M$17</f>
        <v>0</v>
      </c>
      <c r="N27" s="13">
        <f t="shared" si="14"/>
        <v>0</v>
      </c>
      <c r="O27" s="13">
        <f t="shared" si="14"/>
        <v>0</v>
      </c>
      <c r="P27" s="13" t="e">
        <f t="shared" si="14"/>
        <v>#DIV/0!</v>
      </c>
      <c r="Q27" s="13" t="e">
        <f t="shared" si="6"/>
        <v>#DIV/0!</v>
      </c>
      <c r="R27" s="13">
        <f t="shared" si="6"/>
        <v>0</v>
      </c>
      <c r="S27" s="13">
        <f t="shared" si="6"/>
        <v>0</v>
      </c>
      <c r="T27" s="13" t="e">
        <f t="shared" si="6"/>
        <v>#DIV/0!</v>
      </c>
      <c r="U27" s="13">
        <f t="shared" si="6"/>
        <v>0</v>
      </c>
    </row>
    <row r="28" spans="1:21" x14ac:dyDescent="0.25">
      <c r="A28" t="s">
        <v>53</v>
      </c>
      <c r="B28" s="13">
        <f t="shared" ref="B28:J28" si="15">B10/B$17</f>
        <v>0</v>
      </c>
      <c r="C28" s="13">
        <f t="shared" si="15"/>
        <v>0</v>
      </c>
      <c r="D28" s="13">
        <f t="shared" si="15"/>
        <v>0</v>
      </c>
      <c r="E28" s="13">
        <f t="shared" si="15"/>
        <v>0</v>
      </c>
      <c r="F28" s="13">
        <f t="shared" si="15"/>
        <v>0</v>
      </c>
      <c r="G28" s="13">
        <f t="shared" si="15"/>
        <v>0</v>
      </c>
      <c r="H28" s="13">
        <f t="shared" si="15"/>
        <v>0</v>
      </c>
      <c r="I28" s="13">
        <f t="shared" si="15"/>
        <v>0</v>
      </c>
      <c r="J28" s="13">
        <f t="shared" si="15"/>
        <v>0</v>
      </c>
      <c r="K28" s="6"/>
      <c r="L28" t="s">
        <v>53</v>
      </c>
      <c r="M28" s="13">
        <f t="shared" ref="M28:P28" si="16">M10/M$17</f>
        <v>0</v>
      </c>
      <c r="N28" s="13">
        <f t="shared" si="16"/>
        <v>0</v>
      </c>
      <c r="O28" s="13">
        <f t="shared" si="16"/>
        <v>0</v>
      </c>
      <c r="P28" s="13" t="e">
        <f t="shared" si="16"/>
        <v>#DIV/0!</v>
      </c>
      <c r="Q28" s="13" t="e">
        <f t="shared" si="6"/>
        <v>#DIV/0!</v>
      </c>
      <c r="R28" s="13">
        <f t="shared" si="6"/>
        <v>0</v>
      </c>
      <c r="S28" s="13">
        <f t="shared" si="6"/>
        <v>0</v>
      </c>
      <c r="T28" s="13" t="e">
        <f t="shared" si="6"/>
        <v>#DIV/0!</v>
      </c>
      <c r="U28" s="13">
        <f t="shared" si="6"/>
        <v>0</v>
      </c>
    </row>
    <row r="29" spans="1:21" x14ac:dyDescent="0.25">
      <c r="A29" t="s">
        <v>54</v>
      </c>
      <c r="B29" s="13">
        <f t="shared" ref="B29:J29" si="17">B11/B$17</f>
        <v>0</v>
      </c>
      <c r="C29" s="13">
        <f t="shared" si="17"/>
        <v>0</v>
      </c>
      <c r="D29" s="13">
        <f t="shared" si="17"/>
        <v>0</v>
      </c>
      <c r="E29" s="13">
        <f t="shared" si="17"/>
        <v>0</v>
      </c>
      <c r="F29" s="13">
        <f t="shared" si="17"/>
        <v>0</v>
      </c>
      <c r="G29" s="13">
        <f t="shared" si="17"/>
        <v>0</v>
      </c>
      <c r="H29" s="13">
        <f t="shared" si="17"/>
        <v>0</v>
      </c>
      <c r="I29" s="13">
        <f t="shared" si="17"/>
        <v>0</v>
      </c>
      <c r="J29" s="13">
        <f t="shared" si="17"/>
        <v>0</v>
      </c>
      <c r="K29" s="6"/>
      <c r="L29" t="s">
        <v>54</v>
      </c>
      <c r="M29" s="13">
        <f t="shared" ref="M29:P29" si="18">M11/M$17</f>
        <v>0</v>
      </c>
      <c r="N29" s="13">
        <f t="shared" si="18"/>
        <v>0</v>
      </c>
      <c r="O29" s="13">
        <f t="shared" si="18"/>
        <v>0</v>
      </c>
      <c r="P29" s="13" t="e">
        <f t="shared" si="18"/>
        <v>#DIV/0!</v>
      </c>
      <c r="Q29" s="13" t="e">
        <f t="shared" si="6"/>
        <v>#DIV/0!</v>
      </c>
      <c r="R29" s="13">
        <f t="shared" si="6"/>
        <v>0</v>
      </c>
      <c r="S29" s="13">
        <f t="shared" si="6"/>
        <v>0</v>
      </c>
      <c r="T29" s="13" t="e">
        <f t="shared" si="6"/>
        <v>#DIV/0!</v>
      </c>
      <c r="U29" s="13">
        <f t="shared" si="6"/>
        <v>0</v>
      </c>
    </row>
    <row r="30" spans="1:21" x14ac:dyDescent="0.25">
      <c r="A30" t="s">
        <v>55</v>
      </c>
      <c r="B30" s="13">
        <f t="shared" ref="B30:J30" si="19">B12/B$17</f>
        <v>0</v>
      </c>
      <c r="C30" s="13">
        <f t="shared" si="19"/>
        <v>0</v>
      </c>
      <c r="D30" s="13">
        <f t="shared" si="19"/>
        <v>0</v>
      </c>
      <c r="E30" s="13">
        <f t="shared" si="19"/>
        <v>0</v>
      </c>
      <c r="F30" s="13">
        <f t="shared" si="19"/>
        <v>0</v>
      </c>
      <c r="G30" s="13">
        <f t="shared" si="19"/>
        <v>0</v>
      </c>
      <c r="H30" s="13">
        <f t="shared" si="19"/>
        <v>0</v>
      </c>
      <c r="I30" s="13">
        <f t="shared" si="19"/>
        <v>0</v>
      </c>
      <c r="J30" s="13">
        <f t="shared" si="19"/>
        <v>0</v>
      </c>
      <c r="K30" s="6"/>
      <c r="L30" t="s">
        <v>55</v>
      </c>
      <c r="M30" s="13">
        <f t="shared" ref="M30:P30" si="20">M12/M$17</f>
        <v>0</v>
      </c>
      <c r="N30" s="13">
        <f t="shared" si="20"/>
        <v>0</v>
      </c>
      <c r="O30" s="13">
        <f t="shared" si="20"/>
        <v>0</v>
      </c>
      <c r="P30" s="13" t="e">
        <f t="shared" si="20"/>
        <v>#DIV/0!</v>
      </c>
      <c r="Q30" s="13" t="e">
        <f t="shared" si="6"/>
        <v>#DIV/0!</v>
      </c>
      <c r="R30" s="13">
        <f t="shared" si="6"/>
        <v>0</v>
      </c>
      <c r="S30" s="13">
        <f t="shared" si="6"/>
        <v>0</v>
      </c>
      <c r="T30" s="13" t="e">
        <f t="shared" si="6"/>
        <v>#DIV/0!</v>
      </c>
      <c r="U30" s="13">
        <f t="shared" si="6"/>
        <v>0</v>
      </c>
    </row>
    <row r="31" spans="1:21" x14ac:dyDescent="0.25">
      <c r="A31" t="s">
        <v>24</v>
      </c>
      <c r="B31" s="13">
        <f t="shared" ref="B31:J31" si="21">B13/B$17</f>
        <v>0</v>
      </c>
      <c r="C31" s="13">
        <f t="shared" si="21"/>
        <v>0</v>
      </c>
      <c r="D31" s="13">
        <f t="shared" si="21"/>
        <v>0</v>
      </c>
      <c r="E31" s="13">
        <f t="shared" si="21"/>
        <v>0</v>
      </c>
      <c r="F31" s="13">
        <f t="shared" si="21"/>
        <v>0</v>
      </c>
      <c r="G31" s="13">
        <f t="shared" si="21"/>
        <v>0</v>
      </c>
      <c r="H31" s="13">
        <f t="shared" si="21"/>
        <v>0</v>
      </c>
      <c r="I31" s="13">
        <f t="shared" si="21"/>
        <v>0.75</v>
      </c>
      <c r="J31" s="13">
        <f t="shared" si="21"/>
        <v>1.011979146260056E-3</v>
      </c>
      <c r="K31" s="6"/>
      <c r="L31" t="s">
        <v>24</v>
      </c>
      <c r="M31" s="13">
        <f t="shared" ref="M31:P31" si="22">M13/M$17</f>
        <v>0</v>
      </c>
      <c r="N31" s="13">
        <f t="shared" si="22"/>
        <v>0</v>
      </c>
      <c r="O31" s="13">
        <f t="shared" si="22"/>
        <v>0</v>
      </c>
      <c r="P31" s="13" t="e">
        <f t="shared" si="22"/>
        <v>#DIV/0!</v>
      </c>
      <c r="Q31" s="13" t="e">
        <f t="shared" si="6"/>
        <v>#DIV/0!</v>
      </c>
      <c r="R31" s="13">
        <f t="shared" si="6"/>
        <v>0</v>
      </c>
      <c r="S31" s="13">
        <f t="shared" si="6"/>
        <v>0</v>
      </c>
      <c r="T31" s="13" t="e">
        <f t="shared" si="6"/>
        <v>#DIV/0!</v>
      </c>
      <c r="U31" s="13">
        <f t="shared" si="6"/>
        <v>0</v>
      </c>
    </row>
    <row r="32" spans="1:21" x14ac:dyDescent="0.25">
      <c r="A32" t="s">
        <v>4</v>
      </c>
      <c r="B32" s="13">
        <f t="shared" ref="B32:J32" si="23">B14/B$17</f>
        <v>0</v>
      </c>
      <c r="C32" s="13">
        <f t="shared" si="23"/>
        <v>6.7111937090297826E-3</v>
      </c>
      <c r="D32" s="13">
        <f t="shared" si="23"/>
        <v>1.7225216279214808E-4</v>
      </c>
      <c r="E32" s="13">
        <f t="shared" si="23"/>
        <v>0</v>
      </c>
      <c r="F32" s="13">
        <f t="shared" si="23"/>
        <v>0</v>
      </c>
      <c r="G32" s="13">
        <f t="shared" si="23"/>
        <v>0.93327934964281978</v>
      </c>
      <c r="H32" s="13">
        <f t="shared" si="23"/>
        <v>0</v>
      </c>
      <c r="I32" s="13">
        <f t="shared" si="23"/>
        <v>0</v>
      </c>
      <c r="J32" s="13">
        <f t="shared" si="23"/>
        <v>5.6311180195214071E-3</v>
      </c>
      <c r="K32" s="6"/>
      <c r="L32" t="s">
        <v>4</v>
      </c>
      <c r="M32" s="13">
        <f t="shared" ref="M32:P32" si="24">M14/M$17</f>
        <v>0</v>
      </c>
      <c r="N32" s="13">
        <f t="shared" si="24"/>
        <v>8.0010883281497018E-3</v>
      </c>
      <c r="O32" s="13">
        <f t="shared" si="24"/>
        <v>8.5884039480529258E-3</v>
      </c>
      <c r="P32" s="13" t="e">
        <f t="shared" si="24"/>
        <v>#DIV/0!</v>
      </c>
      <c r="Q32" s="13" t="e">
        <f t="shared" si="6"/>
        <v>#DIV/0!</v>
      </c>
      <c r="R32" s="13">
        <f t="shared" si="6"/>
        <v>0.98533608896762126</v>
      </c>
      <c r="S32" s="13">
        <f t="shared" si="6"/>
        <v>0</v>
      </c>
      <c r="T32" s="13" t="e">
        <f t="shared" si="6"/>
        <v>#DIV/0!</v>
      </c>
      <c r="U32" s="13">
        <f t="shared" si="6"/>
        <v>1.3414320099518399E-2</v>
      </c>
    </row>
    <row r="33" spans="1:32" x14ac:dyDescent="0.25">
      <c r="A33" t="s">
        <v>5</v>
      </c>
      <c r="B33" s="13">
        <f t="shared" ref="B33:J33" si="25">B15/B$17</f>
        <v>7.5560287322731831E-2</v>
      </c>
      <c r="C33" s="13">
        <f t="shared" si="25"/>
        <v>1.1298762216204083E-2</v>
      </c>
      <c r="D33" s="13">
        <f t="shared" si="25"/>
        <v>3.4023023223991491E-2</v>
      </c>
      <c r="E33" s="13">
        <f t="shared" si="25"/>
        <v>0.33333333333333331</v>
      </c>
      <c r="F33" s="13">
        <f t="shared" si="25"/>
        <v>2.8289850338511204E-2</v>
      </c>
      <c r="G33" s="13">
        <f t="shared" si="25"/>
        <v>6.6720650357180181E-2</v>
      </c>
      <c r="H33" s="13">
        <f t="shared" si="25"/>
        <v>1</v>
      </c>
      <c r="I33" s="13">
        <f t="shared" si="25"/>
        <v>0</v>
      </c>
      <c r="J33" s="13">
        <f t="shared" si="25"/>
        <v>6.0805600136365261E-2</v>
      </c>
      <c r="K33" s="6"/>
      <c r="L33" t="s">
        <v>5</v>
      </c>
      <c r="M33" s="13">
        <f t="shared" ref="M33:P34" si="26">M15/M$17</f>
        <v>0</v>
      </c>
      <c r="N33" s="13">
        <f t="shared" si="26"/>
        <v>3.7398145151075896E-2</v>
      </c>
      <c r="O33" s="13">
        <f t="shared" si="26"/>
        <v>3.3682738685127951E-2</v>
      </c>
      <c r="P33" s="13" t="e">
        <f t="shared" si="26"/>
        <v>#DIV/0!</v>
      </c>
      <c r="Q33" s="13" t="e">
        <f t="shared" si="6"/>
        <v>#DIV/0!</v>
      </c>
      <c r="R33" s="13">
        <f t="shared" si="6"/>
        <v>1.4663911032378702E-2</v>
      </c>
      <c r="S33" s="13">
        <f t="shared" si="6"/>
        <v>1</v>
      </c>
      <c r="T33" s="13" t="e">
        <f t="shared" si="6"/>
        <v>#DIV/0!</v>
      </c>
      <c r="U33" s="13">
        <f t="shared" si="6"/>
        <v>3.5662663363231775E-2</v>
      </c>
    </row>
    <row r="34" spans="1:32" x14ac:dyDescent="0.25">
      <c r="A34" s="4" t="s">
        <v>60</v>
      </c>
      <c r="B34" s="13">
        <f t="shared" ref="B34:J34" si="27">B16/B$17</f>
        <v>0</v>
      </c>
      <c r="C34" s="13">
        <f t="shared" si="27"/>
        <v>0</v>
      </c>
      <c r="D34" s="13">
        <f t="shared" si="27"/>
        <v>0</v>
      </c>
      <c r="E34" s="13">
        <f t="shared" si="27"/>
        <v>0</v>
      </c>
      <c r="F34" s="13">
        <f t="shared" si="27"/>
        <v>0</v>
      </c>
      <c r="G34" s="13">
        <f t="shared" si="27"/>
        <v>0</v>
      </c>
      <c r="H34" s="13">
        <f t="shared" si="27"/>
        <v>0</v>
      </c>
      <c r="I34" s="13">
        <f t="shared" si="27"/>
        <v>0</v>
      </c>
      <c r="J34" s="13">
        <f t="shared" si="27"/>
        <v>0</v>
      </c>
      <c r="K34" s="6"/>
      <c r="L34" s="4" t="s">
        <v>60</v>
      </c>
      <c r="M34" s="14">
        <f t="shared" si="26"/>
        <v>0</v>
      </c>
      <c r="N34" s="14">
        <f t="shared" si="26"/>
        <v>0</v>
      </c>
      <c r="O34" s="14">
        <f t="shared" si="26"/>
        <v>0</v>
      </c>
      <c r="P34" s="14" t="e">
        <f t="shared" si="26"/>
        <v>#DIV/0!</v>
      </c>
      <c r="Q34" s="14" t="e">
        <f t="shared" si="6"/>
        <v>#DIV/0!</v>
      </c>
      <c r="R34" s="14">
        <f t="shared" si="6"/>
        <v>0</v>
      </c>
      <c r="S34" s="14">
        <f t="shared" si="6"/>
        <v>0</v>
      </c>
      <c r="T34" s="14" t="e">
        <f t="shared" si="6"/>
        <v>#DIV/0!</v>
      </c>
      <c r="U34" s="14">
        <f t="shared" si="6"/>
        <v>0</v>
      </c>
    </row>
    <row r="35" spans="1:32" ht="15.75" thickBot="1" x14ac:dyDescent="0.3">
      <c r="A35" s="12" t="s">
        <v>7</v>
      </c>
      <c r="B35" s="15">
        <f t="shared" ref="B35:J35" si="28">B17/B$17</f>
        <v>1</v>
      </c>
      <c r="C35" s="15">
        <f t="shared" si="28"/>
        <v>1</v>
      </c>
      <c r="D35" s="15">
        <f t="shared" si="28"/>
        <v>1</v>
      </c>
      <c r="E35" s="15">
        <f t="shared" si="28"/>
        <v>1</v>
      </c>
      <c r="F35" s="15">
        <f t="shared" si="28"/>
        <v>1</v>
      </c>
      <c r="G35" s="15">
        <f t="shared" si="28"/>
        <v>1</v>
      </c>
      <c r="H35" s="15">
        <f t="shared" si="28"/>
        <v>1</v>
      </c>
      <c r="I35" s="15">
        <f t="shared" si="28"/>
        <v>1</v>
      </c>
      <c r="J35" s="15">
        <f t="shared" si="28"/>
        <v>1</v>
      </c>
      <c r="L35" s="9" t="s">
        <v>7</v>
      </c>
      <c r="M35" s="15">
        <f t="shared" ref="M35:P35" si="29">M17/M$17</f>
        <v>1</v>
      </c>
      <c r="N35" s="15">
        <f t="shared" si="29"/>
        <v>1</v>
      </c>
      <c r="O35" s="15">
        <f t="shared" si="29"/>
        <v>1</v>
      </c>
      <c r="P35" s="15" t="e">
        <f t="shared" si="29"/>
        <v>#DIV/0!</v>
      </c>
      <c r="Q35" s="15" t="e">
        <f t="shared" si="6"/>
        <v>#DIV/0!</v>
      </c>
      <c r="R35" s="15">
        <f t="shared" si="6"/>
        <v>1</v>
      </c>
      <c r="S35" s="15">
        <f t="shared" si="6"/>
        <v>1</v>
      </c>
      <c r="T35" s="15" t="e">
        <f t="shared" si="6"/>
        <v>#DIV/0!</v>
      </c>
      <c r="U35" s="15">
        <f t="shared" si="6"/>
        <v>1</v>
      </c>
    </row>
    <row r="38" spans="1:32" ht="15.75" thickBot="1" x14ac:dyDescent="0.3">
      <c r="L38" s="1" t="s">
        <v>19</v>
      </c>
      <c r="M38" s="1"/>
      <c r="N38" s="2"/>
      <c r="O38" s="2"/>
      <c r="P38" s="2"/>
      <c r="Q38" s="2"/>
      <c r="R38" s="2"/>
      <c r="S38" s="2"/>
      <c r="T38" s="2"/>
      <c r="U38" s="2"/>
    </row>
    <row r="39" spans="1:32" x14ac:dyDescent="0.25">
      <c r="L39" s="3"/>
      <c r="M39" s="31" t="s">
        <v>43</v>
      </c>
      <c r="N39" s="31"/>
      <c r="O39" s="31"/>
      <c r="P39" s="31"/>
      <c r="Q39" s="31"/>
      <c r="R39" s="31"/>
      <c r="S39" s="31"/>
      <c r="T39" s="31"/>
      <c r="U39" s="31"/>
    </row>
    <row r="40" spans="1:32" x14ac:dyDescent="0.25">
      <c r="L40" s="4" t="s">
        <v>0</v>
      </c>
      <c r="M40" s="5" t="s">
        <v>11</v>
      </c>
      <c r="N40" s="5" t="s">
        <v>12</v>
      </c>
      <c r="O40" s="5" t="s">
        <v>13</v>
      </c>
      <c r="P40" s="5" t="s">
        <v>14</v>
      </c>
      <c r="Q40" s="5" t="s">
        <v>15</v>
      </c>
      <c r="R40" s="5" t="s">
        <v>16</v>
      </c>
      <c r="S40" s="5" t="s">
        <v>4</v>
      </c>
      <c r="T40" s="5" t="s">
        <v>5</v>
      </c>
      <c r="U40" s="5" t="s">
        <v>7</v>
      </c>
    </row>
    <row r="41" spans="1:32" x14ac:dyDescent="0.25">
      <c r="L41" t="s">
        <v>1</v>
      </c>
      <c r="M41" s="13">
        <f t="shared" ref="M41:M51" si="30">M23-B23</f>
        <v>7.5560287322731789E-2</v>
      </c>
      <c r="N41" s="13">
        <f t="shared" ref="N41:N51" si="31">N23-C23</f>
        <v>-0.14771703820707782</v>
      </c>
      <c r="O41" s="13">
        <f t="shared" ref="O41:O51" si="32">O23-D23</f>
        <v>2.9010822987099116E-2</v>
      </c>
      <c r="P41" s="13" t="e">
        <f t="shared" ref="P41:P51" si="33">P23-E23</f>
        <v>#DIV/0!</v>
      </c>
      <c r="Q41" s="13" t="e">
        <f t="shared" ref="Q41:Q51" si="34">Q23-F23</f>
        <v>#DIV/0!</v>
      </c>
      <c r="R41" s="13">
        <f t="shared" ref="R41:R51" si="35">R23-G23</f>
        <v>0</v>
      </c>
      <c r="S41" s="13">
        <f t="shared" ref="S41:S51" si="36">S23-H23</f>
        <v>0</v>
      </c>
      <c r="T41" s="13" t="e">
        <f t="shared" ref="T41:T51" si="37">T23-I23</f>
        <v>#DIV/0!</v>
      </c>
      <c r="U41" s="13">
        <f t="shared" ref="U41:U51" si="38">U23-J23</f>
        <v>-4.7323868513948153E-2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12</v>
      </c>
      <c r="M42" s="13">
        <f t="shared" si="30"/>
        <v>0</v>
      </c>
      <c r="N42" s="13">
        <f t="shared" si="31"/>
        <v>0.12032776065308604</v>
      </c>
      <c r="O42" s="13">
        <f t="shared" si="32"/>
        <v>-0.1003293475344858</v>
      </c>
      <c r="P42" s="13" t="e">
        <f t="shared" si="33"/>
        <v>#DIV/0!</v>
      </c>
      <c r="Q42" s="13" t="e">
        <f t="shared" si="34"/>
        <v>#DIV/0!</v>
      </c>
      <c r="R42" s="13">
        <f t="shared" si="35"/>
        <v>0</v>
      </c>
      <c r="S42" s="13">
        <f t="shared" si="36"/>
        <v>0</v>
      </c>
      <c r="T42" s="13" t="e">
        <f t="shared" si="37"/>
        <v>#DIV/0!</v>
      </c>
      <c r="U42" s="13">
        <f t="shared" si="38"/>
        <v>7.0222396623280003E-2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56</v>
      </c>
      <c r="M43" s="13">
        <f t="shared" si="30"/>
        <v>0</v>
      </c>
      <c r="N43" s="13">
        <f t="shared" si="31"/>
        <v>0</v>
      </c>
      <c r="O43" s="13">
        <f t="shared" si="32"/>
        <v>6.3242657300989547E-2</v>
      </c>
      <c r="P43" s="13" t="e">
        <f t="shared" si="33"/>
        <v>#DIV/0!</v>
      </c>
      <c r="Q43" s="13" t="e">
        <f t="shared" si="34"/>
        <v>#DIV/0!</v>
      </c>
      <c r="R43" s="13">
        <f t="shared" si="35"/>
        <v>0</v>
      </c>
      <c r="S43" s="13">
        <f t="shared" si="36"/>
        <v>0</v>
      </c>
      <c r="T43" s="13" t="e">
        <f t="shared" si="37"/>
        <v>#DIV/0!</v>
      </c>
      <c r="U43" s="13">
        <f t="shared" si="38"/>
        <v>-7.2031028283958687E-4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51</v>
      </c>
      <c r="M44" s="13">
        <f t="shared" si="30"/>
        <v>0</v>
      </c>
      <c r="N44" s="13">
        <f t="shared" si="31"/>
        <v>0</v>
      </c>
      <c r="O44" s="13">
        <f t="shared" si="32"/>
        <v>0</v>
      </c>
      <c r="P44" s="13" t="e">
        <f t="shared" si="33"/>
        <v>#DIV/0!</v>
      </c>
      <c r="Q44" s="13" t="e">
        <f t="shared" si="34"/>
        <v>#DIV/0!</v>
      </c>
      <c r="R44" s="13">
        <f t="shared" si="35"/>
        <v>0</v>
      </c>
      <c r="S44" s="13">
        <f t="shared" si="36"/>
        <v>0</v>
      </c>
      <c r="T44" s="13" t="e">
        <f t="shared" si="37"/>
        <v>#DIV/0!</v>
      </c>
      <c r="U44" s="13">
        <f t="shared" si="38"/>
        <v>-3.8065039870957187E-3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52</v>
      </c>
      <c r="M45" s="13">
        <f t="shared" si="30"/>
        <v>0</v>
      </c>
      <c r="N45" s="13">
        <f t="shared" si="31"/>
        <v>0</v>
      </c>
      <c r="O45" s="13">
        <f t="shared" si="32"/>
        <v>0</v>
      </c>
      <c r="P45" s="13" t="e">
        <f t="shared" si="33"/>
        <v>#DIV/0!</v>
      </c>
      <c r="Q45" s="13" t="e">
        <f t="shared" si="34"/>
        <v>#DIV/0!</v>
      </c>
      <c r="R45" s="13">
        <f t="shared" si="35"/>
        <v>0</v>
      </c>
      <c r="S45" s="13">
        <f t="shared" si="36"/>
        <v>0</v>
      </c>
      <c r="T45" s="13" t="e">
        <f t="shared" si="37"/>
        <v>#DIV/0!</v>
      </c>
      <c r="U45" s="13">
        <f t="shared" si="38"/>
        <v>0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53</v>
      </c>
      <c r="M46" s="13">
        <f t="shared" si="30"/>
        <v>0</v>
      </c>
      <c r="N46" s="13">
        <f t="shared" si="31"/>
        <v>0</v>
      </c>
      <c r="O46" s="13">
        <f t="shared" si="32"/>
        <v>0</v>
      </c>
      <c r="P46" s="13" t="e">
        <f t="shared" si="33"/>
        <v>#DIV/0!</v>
      </c>
      <c r="Q46" s="13" t="e">
        <f t="shared" si="34"/>
        <v>#DIV/0!</v>
      </c>
      <c r="R46" s="13">
        <f t="shared" si="35"/>
        <v>0</v>
      </c>
      <c r="S46" s="13">
        <f t="shared" si="36"/>
        <v>0</v>
      </c>
      <c r="T46" s="13" t="e">
        <f t="shared" si="37"/>
        <v>#DIV/0!</v>
      </c>
      <c r="U46" s="13">
        <f t="shared" si="38"/>
        <v>0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54</v>
      </c>
      <c r="M47" s="13">
        <f t="shared" si="30"/>
        <v>0</v>
      </c>
      <c r="N47" s="13">
        <f t="shared" si="31"/>
        <v>0</v>
      </c>
      <c r="O47" s="13">
        <f t="shared" si="32"/>
        <v>0</v>
      </c>
      <c r="P47" s="13" t="e">
        <f t="shared" si="33"/>
        <v>#DIV/0!</v>
      </c>
      <c r="Q47" s="13" t="e">
        <f t="shared" si="34"/>
        <v>#DIV/0!</v>
      </c>
      <c r="R47" s="13">
        <f t="shared" si="35"/>
        <v>0</v>
      </c>
      <c r="S47" s="13">
        <f t="shared" si="36"/>
        <v>0</v>
      </c>
      <c r="T47" s="13" t="e">
        <f t="shared" si="37"/>
        <v>#DIV/0!</v>
      </c>
      <c r="U47" s="13">
        <f t="shared" si="38"/>
        <v>0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55</v>
      </c>
      <c r="M48" s="13">
        <f t="shared" si="30"/>
        <v>0</v>
      </c>
      <c r="N48" s="13">
        <f t="shared" si="31"/>
        <v>0</v>
      </c>
      <c r="O48" s="13">
        <f t="shared" si="32"/>
        <v>0</v>
      </c>
      <c r="P48" s="13" t="e">
        <f t="shared" si="33"/>
        <v>#DIV/0!</v>
      </c>
      <c r="Q48" s="13" t="e">
        <f t="shared" si="34"/>
        <v>#DIV/0!</v>
      </c>
      <c r="R48" s="13">
        <f t="shared" si="35"/>
        <v>0</v>
      </c>
      <c r="S48" s="13">
        <f t="shared" si="36"/>
        <v>0</v>
      </c>
      <c r="T48" s="13" t="e">
        <f t="shared" si="37"/>
        <v>#DIV/0!</v>
      </c>
      <c r="U48" s="13">
        <f t="shared" si="38"/>
        <v>0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t="s">
        <v>24</v>
      </c>
      <c r="M49" s="13">
        <f t="shared" si="30"/>
        <v>0</v>
      </c>
      <c r="N49" s="13">
        <f t="shared" si="31"/>
        <v>0</v>
      </c>
      <c r="O49" s="13">
        <f t="shared" si="32"/>
        <v>0</v>
      </c>
      <c r="P49" s="13" t="e">
        <f t="shared" si="33"/>
        <v>#DIV/0!</v>
      </c>
      <c r="Q49" s="13" t="e">
        <f t="shared" si="34"/>
        <v>#DIV/0!</v>
      </c>
      <c r="R49" s="13">
        <f t="shared" si="35"/>
        <v>0</v>
      </c>
      <c r="S49" s="13">
        <f t="shared" si="36"/>
        <v>0</v>
      </c>
      <c r="T49" s="13" t="e">
        <f t="shared" si="37"/>
        <v>#DIV/0!</v>
      </c>
      <c r="U49" s="13">
        <f t="shared" si="38"/>
        <v>-1.011979146260056E-3</v>
      </c>
      <c r="X49" s="13"/>
      <c r="Y49" s="13"/>
      <c r="Z49" s="13"/>
      <c r="AA49" s="13"/>
      <c r="AB49" s="13"/>
      <c r="AC49" s="13"/>
      <c r="AD49" s="13"/>
      <c r="AE49" s="13"/>
      <c r="AF49" s="13"/>
    </row>
    <row r="50" spans="12:32" x14ac:dyDescent="0.25">
      <c r="L50" t="s">
        <v>4</v>
      </c>
      <c r="M50" s="13">
        <f t="shared" si="30"/>
        <v>0</v>
      </c>
      <c r="N50" s="13">
        <f t="shared" si="31"/>
        <v>1.2898946191199192E-3</v>
      </c>
      <c r="O50" s="13">
        <f t="shared" si="32"/>
        <v>8.4161517852607785E-3</v>
      </c>
      <c r="P50" s="13" t="e">
        <f t="shared" si="33"/>
        <v>#DIV/0!</v>
      </c>
      <c r="Q50" s="13" t="e">
        <f t="shared" si="34"/>
        <v>#DIV/0!</v>
      </c>
      <c r="R50" s="13">
        <f t="shared" si="35"/>
        <v>5.2056739324801482E-2</v>
      </c>
      <c r="S50" s="13">
        <f t="shared" si="36"/>
        <v>0</v>
      </c>
      <c r="T50" s="13" t="e">
        <f t="shared" si="37"/>
        <v>#DIV/0!</v>
      </c>
      <c r="U50" s="13">
        <f t="shared" si="38"/>
        <v>7.783202079996992E-3</v>
      </c>
      <c r="X50" s="13"/>
      <c r="Y50" s="13"/>
      <c r="Z50" s="13"/>
      <c r="AA50" s="13"/>
      <c r="AB50" s="13"/>
      <c r="AC50" s="13"/>
      <c r="AD50" s="13"/>
      <c r="AE50" s="13"/>
      <c r="AF50" s="13"/>
    </row>
    <row r="51" spans="12:32" x14ac:dyDescent="0.25">
      <c r="L51" t="s">
        <v>5</v>
      </c>
      <c r="M51" s="13">
        <f t="shared" si="30"/>
        <v>-7.5560287322731831E-2</v>
      </c>
      <c r="N51" s="13">
        <f t="shared" si="31"/>
        <v>2.6099382934871813E-2</v>
      </c>
      <c r="O51" s="13">
        <f t="shared" si="32"/>
        <v>-3.4028453886354032E-4</v>
      </c>
      <c r="P51" s="13" t="e">
        <f t="shared" si="33"/>
        <v>#DIV/0!</v>
      </c>
      <c r="Q51" s="13" t="e">
        <f t="shared" si="34"/>
        <v>#DIV/0!</v>
      </c>
      <c r="R51" s="13">
        <f t="shared" si="35"/>
        <v>-5.2056739324801482E-2</v>
      </c>
      <c r="S51" s="13">
        <f t="shared" si="36"/>
        <v>0</v>
      </c>
      <c r="T51" s="13" t="e">
        <f t="shared" si="37"/>
        <v>#DIV/0!</v>
      </c>
      <c r="U51" s="13">
        <f t="shared" si="38"/>
        <v>-2.5142936773133485E-2</v>
      </c>
      <c r="X51" s="13"/>
      <c r="Y51" s="13"/>
      <c r="Z51" s="13"/>
      <c r="AA51" s="13"/>
      <c r="AB51" s="13"/>
      <c r="AC51" s="13"/>
      <c r="AD51" s="13"/>
      <c r="AE51" s="13"/>
      <c r="AF51" s="13"/>
    </row>
    <row r="52" spans="12:32" x14ac:dyDescent="0.25">
      <c r="L52" s="4" t="s">
        <v>60</v>
      </c>
      <c r="M52" s="17">
        <f t="shared" ref="M52:U52" si="39">M34-B34</f>
        <v>0</v>
      </c>
      <c r="N52" s="17">
        <f t="shared" si="39"/>
        <v>0</v>
      </c>
      <c r="O52" s="17">
        <f t="shared" si="39"/>
        <v>0</v>
      </c>
      <c r="P52" s="17" t="e">
        <f t="shared" si="39"/>
        <v>#DIV/0!</v>
      </c>
      <c r="Q52" s="17" t="e">
        <f t="shared" si="39"/>
        <v>#DIV/0!</v>
      </c>
      <c r="R52" s="17">
        <f t="shared" si="39"/>
        <v>0</v>
      </c>
      <c r="S52" s="17">
        <f t="shared" si="39"/>
        <v>0</v>
      </c>
      <c r="T52" s="17" t="e">
        <f t="shared" si="39"/>
        <v>#DIV/0!</v>
      </c>
      <c r="U52" s="13">
        <f t="shared" si="39"/>
        <v>0</v>
      </c>
      <c r="X52" s="13"/>
      <c r="Y52" s="13"/>
      <c r="Z52" s="13"/>
      <c r="AA52" s="13"/>
      <c r="AB52" s="13"/>
      <c r="AC52" s="13"/>
      <c r="AD52" s="13"/>
      <c r="AE52" s="13"/>
      <c r="AF52" s="13"/>
    </row>
    <row r="53" spans="12:32" ht="15.75" thickBot="1" x14ac:dyDescent="0.3">
      <c r="L53" s="9" t="s">
        <v>7</v>
      </c>
      <c r="M53" s="15">
        <f t="shared" ref="M53:P53" si="40">M35-B35</f>
        <v>0</v>
      </c>
      <c r="N53" s="15">
        <f t="shared" si="40"/>
        <v>0</v>
      </c>
      <c r="O53" s="15">
        <f t="shared" si="40"/>
        <v>0</v>
      </c>
      <c r="P53" s="15" t="e">
        <f t="shared" si="40"/>
        <v>#DIV/0!</v>
      </c>
      <c r="Q53" s="15" t="e">
        <f t="shared" ref="Q53" si="41">Q35-F35</f>
        <v>#DIV/0!</v>
      </c>
      <c r="R53" s="15">
        <f t="shared" ref="R53" si="42">R35-G35</f>
        <v>0</v>
      </c>
      <c r="S53" s="15">
        <f t="shared" ref="S53" si="43">S35-H35</f>
        <v>0</v>
      </c>
      <c r="T53" s="15" t="e">
        <f t="shared" ref="T53" si="44">T35-I35</f>
        <v>#DIV/0!</v>
      </c>
      <c r="U53" s="15">
        <f t="shared" ref="U53" si="45">U35-J35</f>
        <v>0</v>
      </c>
      <c r="X53" s="13"/>
      <c r="Y53" s="13"/>
      <c r="Z53" s="13"/>
      <c r="AA53" s="13"/>
      <c r="AB53" s="13"/>
      <c r="AC53" s="13"/>
      <c r="AD53" s="13"/>
      <c r="AE53" s="13"/>
      <c r="AF53" s="13"/>
    </row>
  </sheetData>
  <mergeCells count="5">
    <mergeCell ref="B3:I3"/>
    <mergeCell ref="M3:U3"/>
    <mergeCell ref="B21:I21"/>
    <mergeCell ref="M21:U21"/>
    <mergeCell ref="M39:U39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AF53"/>
  <sheetViews>
    <sheetView workbookViewId="0">
      <selection activeCell="M16" sqref="M16:T16"/>
    </sheetView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r="2" spans="1:21" ht="15.75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33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31" t="s">
        <v>44</v>
      </c>
      <c r="C3" s="31"/>
      <c r="D3" s="31"/>
      <c r="E3" s="31"/>
      <c r="F3" s="31"/>
      <c r="G3" s="31"/>
      <c r="H3" s="31"/>
      <c r="I3" s="31"/>
      <c r="J3" s="11"/>
      <c r="L3" s="3"/>
      <c r="M3" s="31" t="s">
        <v>44</v>
      </c>
      <c r="N3" s="31"/>
      <c r="O3" s="31"/>
      <c r="P3" s="31"/>
      <c r="Q3" s="31"/>
      <c r="R3" s="31"/>
      <c r="S3" s="31"/>
      <c r="T3" s="31"/>
      <c r="U3" s="31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696165.8743531762</v>
      </c>
      <c r="C5" s="6" t="n">
        <v>28974.1597224348</v>
      </c>
      <c r="D5" s="6" t="n">
        <v>14622.1971247273</v>
      </c>
      <c r="E5" s="6" t="n">
        <v>3469.925244096</v>
      </c>
      <c r="F5" s="6" t="n">
        <v>1050.293716173</v>
      </c>
      <c r="G5" s="6" t="n">
        <v>0.0</v>
      </c>
      <c r="H5" s="6" t="n">
        <v>0.0</v>
      </c>
      <c r="I5" s="6" t="n">
        <v>0.0</v>
      </c>
      <c r="J5" s="6">
        <f>SUM(B5:I5)</f>
        <v>744282.45016060735</v>
      </c>
      <c r="K5" s="6"/>
      <c r="L5" t="s">
        <v>1</v>
      </c>
      <c r="M5" s="6" t="n">
        <v>615127.0</v>
      </c>
      <c r="N5" s="6" t="n">
        <v>43989.0</v>
      </c>
      <c r="O5" s="6" t="n">
        <v>13514.0</v>
      </c>
      <c r="P5" s="6" t="n">
        <v>0.0</v>
      </c>
      <c r="Q5" s="6" t="n">
        <v>328.0</v>
      </c>
      <c r="R5" s="6" t="n">
        <v>0.0</v>
      </c>
      <c r="S5" s="6" t="n">
        <v>0.0</v>
      </c>
      <c r="T5" s="6" t="n">
        <v>0.0</v>
      </c>
      <c r="U5" s="6">
        <f t="shared" ref="U5:U16" si="0">SUM(M5:T5)</f>
        <v>672958</v>
      </c>
    </row>
    <row r="6" spans="1:21" x14ac:dyDescent="0.25">
      <c r="A6" t="s">
        <v>12</v>
      </c>
      <c r="B6" s="6" t="n">
        <v>0.0</v>
      </c>
      <c r="C6" s="6" t="n">
        <v>462828.516870877</v>
      </c>
      <c r="D6" s="6" t="n">
        <v>40625.4632805012</v>
      </c>
      <c r="E6" s="6" t="n">
        <v>0.0</v>
      </c>
      <c r="F6" s="6" t="n">
        <v>8253.9479754855</v>
      </c>
      <c r="G6" s="6" t="n">
        <v>0.0</v>
      </c>
      <c r="H6" s="6" t="n">
        <v>0.0</v>
      </c>
      <c r="I6" s="6" t="n">
        <v>0.0</v>
      </c>
      <c r="J6" s="6">
        <f t="shared" ref="J6:J16" si="1">SUM(B6:I6)</f>
        <v>511707.92812686373</v>
      </c>
      <c r="K6" s="6"/>
      <c r="L6" t="s">
        <v>12</v>
      </c>
      <c r="M6" s="6" t="n">
        <v>0.0</v>
      </c>
      <c r="N6" s="6" t="n">
        <v>524244.0</v>
      </c>
      <c r="O6" s="6" t="n">
        <v>88891.0</v>
      </c>
      <c r="P6" s="6" t="n">
        <v>0.0</v>
      </c>
      <c r="Q6" s="6" t="n">
        <v>3565.0</v>
      </c>
      <c r="R6" s="6" t="n">
        <v>0.0</v>
      </c>
      <c r="S6" s="6" t="n">
        <v>0.0</v>
      </c>
      <c r="T6" s="6" t="n">
        <v>0.0</v>
      </c>
      <c r="U6" s="6">
        <f t="shared" si="0"/>
        <v>616700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342634.8368082903</v>
      </c>
      <c r="E7" s="6" t="n">
        <v>376.597523036</v>
      </c>
      <c r="F7" s="6" t="n">
        <v>261.652913556</v>
      </c>
      <c r="G7" s="6" t="n">
        <v>0.0</v>
      </c>
      <c r="H7" s="6" t="n">
        <v>0.0</v>
      </c>
      <c r="I7" s="6" t="n">
        <v>918.411125</v>
      </c>
      <c r="J7" s="6">
        <f t="shared" si="1"/>
        <v>344191.49836988229</v>
      </c>
      <c r="K7" s="6"/>
      <c r="L7" t="s">
        <v>56</v>
      </c>
      <c r="M7" s="6" t="n">
        <v>0.0</v>
      </c>
      <c r="N7" s="6" t="n">
        <v>0.0</v>
      </c>
      <c r="O7" s="6" t="n">
        <v>418208.0</v>
      </c>
      <c r="P7" s="6" t="n">
        <v>0.0</v>
      </c>
      <c r="Q7" s="6" t="n">
        <v>1582.0</v>
      </c>
      <c r="R7" s="6" t="n">
        <v>0.0</v>
      </c>
      <c r="S7" s="6" t="n">
        <v>0.0</v>
      </c>
      <c r="T7" s="6" t="n">
        <v>0.0</v>
      </c>
      <c r="U7" s="6">
        <f t="shared" si="0"/>
        <v>419790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2793.2312176259998</v>
      </c>
      <c r="F8" s="6" t="n">
        <v>75442.2594817482</v>
      </c>
      <c r="G8" s="6" t="n">
        <v>0.0</v>
      </c>
      <c r="H8" s="6" t="n">
        <v>0.0</v>
      </c>
      <c r="I8" s="6" t="n">
        <v>0.0</v>
      </c>
      <c r="J8" s="6">
        <f t="shared" si="1"/>
        <v>78235.490699374204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23554.0</v>
      </c>
      <c r="R8" s="6" t="n">
        <v>0.0</v>
      </c>
      <c r="S8" s="6" t="n">
        <v>0.0</v>
      </c>
      <c r="T8" s="6" t="n">
        <v>0.0</v>
      </c>
      <c r="U8" s="6">
        <f t="shared" si="0"/>
        <v>23554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t="shared" si="1"/>
        <v>0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t="shared" si="0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t="shared" si="1"/>
        <v>0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0.0</v>
      </c>
      <c r="R10" s="6" t="n">
        <v>0.0</v>
      </c>
      <c r="S10" s="6" t="n">
        <v>0.0</v>
      </c>
      <c r="T10" s="6" t="n">
        <v>0.0</v>
      </c>
      <c r="U10" s="6">
        <f t="shared" si="0"/>
        <v>0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t="shared" si="1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0.0</v>
      </c>
      <c r="R11" s="6" t="n">
        <v>0.0</v>
      </c>
      <c r="S11" s="6" t="n">
        <v>0.0</v>
      </c>
      <c r="T11" s="6" t="n">
        <v>0.0</v>
      </c>
      <c r="U11" s="6">
        <f t="shared" si="0"/>
        <v>0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t="shared" si="1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0.0</v>
      </c>
      <c r="R12" s="6" t="n">
        <v>0.0</v>
      </c>
      <c r="S12" s="6" t="n">
        <v>0.0</v>
      </c>
      <c r="T12" s="6" t="n">
        <v>0.0</v>
      </c>
      <c r="U12" s="6">
        <f t="shared" si="0"/>
        <v>0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4801.467375</v>
      </c>
      <c r="J13" s="6">
        <f t="shared" si="1"/>
        <v>4801.4673750000002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t="shared" si="0"/>
        <v>0</v>
      </c>
    </row>
    <row r="14" spans="1:21" x14ac:dyDescent="0.25">
      <c r="A14" t="s">
        <v>4</v>
      </c>
      <c r="B14" s="6" t="n">
        <v>1493.612561511</v>
      </c>
      <c r="C14" s="6" t="n">
        <v>597.85108062</v>
      </c>
      <c r="D14" s="6" t="n">
        <v>0.0</v>
      </c>
      <c r="E14" s="6" t="n">
        <v>0.0</v>
      </c>
      <c r="F14" s="6" t="n">
        <v>1500.082466872</v>
      </c>
      <c r="G14" s="6" t="n">
        <v>14834.572279027601</v>
      </c>
      <c r="H14" s="6" t="n">
        <v>0.0</v>
      </c>
      <c r="I14" s="6" t="n">
        <v>0.0</v>
      </c>
      <c r="J14" s="6">
        <f t="shared" si="1"/>
        <v>18426.118388030602</v>
      </c>
      <c r="K14" s="6"/>
      <c r="L14" t="s">
        <v>4</v>
      </c>
      <c r="M14" s="6" t="n">
        <v>932.0</v>
      </c>
      <c r="N14" s="6" t="n">
        <v>1202.0</v>
      </c>
      <c r="O14" s="6" t="n">
        <v>1053.0</v>
      </c>
      <c r="P14" s="6" t="n">
        <v>0.0</v>
      </c>
      <c r="Q14" s="6" t="n">
        <v>481.0</v>
      </c>
      <c r="R14" s="6" t="n">
        <v>32681.0</v>
      </c>
      <c r="S14" s="6" t="n">
        <v>0.0</v>
      </c>
      <c r="T14" s="6" t="n">
        <v>0.0</v>
      </c>
      <c r="U14" s="6">
        <f t="shared" si="0"/>
        <v>36349</v>
      </c>
    </row>
    <row r="15" spans="1:21" x14ac:dyDescent="0.25">
      <c r="A15" t="s">
        <v>5</v>
      </c>
      <c r="B15" s="6" t="n">
        <v>10978.5246973767</v>
      </c>
      <c r="C15" s="6" t="n">
        <v>4407.4861800294</v>
      </c>
      <c r="D15" s="6" t="n">
        <v>4407.5817223416</v>
      </c>
      <c r="E15" s="6" t="n">
        <v>239.334385272</v>
      </c>
      <c r="F15" s="6" t="n">
        <v>19518.6900781032</v>
      </c>
      <c r="G15" s="6" t="n">
        <v>2685.77572214</v>
      </c>
      <c r="H15" s="6" t="n">
        <v>149584.7963929759</v>
      </c>
      <c r="I15" s="6" t="n">
        <v>0.0</v>
      </c>
      <c r="J15" s="6">
        <f t="shared" si="1"/>
        <v>191822.1891782388</v>
      </c>
      <c r="K15" s="6"/>
      <c r="L15" t="s">
        <v>5</v>
      </c>
      <c r="M15" s="6" t="n">
        <v>8319.0</v>
      </c>
      <c r="N15" s="6" t="n">
        <v>5709.0</v>
      </c>
      <c r="O15" s="6" t="n">
        <v>3551.0</v>
      </c>
      <c r="P15" s="6" t="n">
        <v>0.0</v>
      </c>
      <c r="Q15" s="6" t="n">
        <v>5086.0</v>
      </c>
      <c r="R15" s="6" t="n">
        <v>2303.0</v>
      </c>
      <c r="S15" s="6" t="n">
        <v>108933.0</v>
      </c>
      <c r="T15" s="6" t="n">
        <v>0.0</v>
      </c>
      <c r="U15" s="6">
        <f t="shared" si="0"/>
        <v>133901</v>
      </c>
    </row>
    <row r="16" spans="1:21" x14ac:dyDescent="0.25">
      <c r="A16" s="4" t="s">
        <v>60</v>
      </c>
      <c r="B16" s="10" t="n">
        <v>0.0</v>
      </c>
      <c r="C16" s="10" t="n">
        <v>0.0</v>
      </c>
      <c r="D16" s="10" t="n">
        <v>0.0</v>
      </c>
      <c r="E16" s="10" t="n">
        <v>0.0</v>
      </c>
      <c r="F16" s="10" t="n">
        <v>0.0</v>
      </c>
      <c r="G16" s="10" t="n">
        <v>0.0</v>
      </c>
      <c r="H16" s="10" t="n">
        <v>0.0</v>
      </c>
      <c r="I16" s="10" t="n">
        <v>0.0</v>
      </c>
      <c r="J16" s="6">
        <f t="shared" si="1"/>
        <v>0</v>
      </c>
      <c r="K16" s="6"/>
      <c r="L16" s="4" t="s">
        <v>60</v>
      </c>
      <c r="M16" s="8" t="n">
        <v>0.0</v>
      </c>
      <c r="N16" s="8" t="n">
        <v>3956.0</v>
      </c>
      <c r="O16" s="8" t="n">
        <v>4878.0</v>
      </c>
      <c r="P16" s="8" t="n">
        <v>0.0</v>
      </c>
      <c r="Q16" s="8" t="n">
        <v>0.0</v>
      </c>
      <c r="R16" s="8" t="n">
        <v>0.0</v>
      </c>
      <c r="S16" s="8" t="n">
        <v>0.0</v>
      </c>
      <c r="T16" s="8" t="n">
        <v>0.0</v>
      </c>
      <c r="U16" s="6">
        <f t="shared" si="0"/>
        <v>0</v>
      </c>
    </row>
    <row r="17" spans="1:21" ht="15.75" thickBot="1" x14ac:dyDescent="0.3">
      <c r="A17" s="12" t="s">
        <v>7</v>
      </c>
      <c r="B17" s="16">
        <f t="shared" ref="B17:J17" si="2">SUM(B5:B16)</f>
        <v>708638.01161206386</v>
      </c>
      <c r="C17" s="16">
        <f t="shared" si="2"/>
        <v>496808.01385396125</v>
      </c>
      <c r="D17" s="16">
        <f t="shared" si="2"/>
        <v>402290.07893586037</v>
      </c>
      <c r="E17" s="16">
        <f t="shared" si="2"/>
        <v>6879.0883700299992</v>
      </c>
      <c r="F17" s="16">
        <f t="shared" si="2"/>
        <v>106026.92663193791</v>
      </c>
      <c r="G17" s="16">
        <f t="shared" si="2"/>
        <v>17520.3480011676</v>
      </c>
      <c r="H17" s="16">
        <f t="shared" si="2"/>
        <v>149584.7963929759</v>
      </c>
      <c r="I17" s="16">
        <f t="shared" si="2"/>
        <v>5719.8784999999998</v>
      </c>
      <c r="J17" s="16">
        <f t="shared" si="2"/>
        <v>1893467.1422979971</v>
      </c>
      <c r="L17" s="9" t="s">
        <v>7</v>
      </c>
      <c r="M17" s="16">
        <f t="shared" ref="M17:U17" si="3">SUM(M5:M16)</f>
        <v>624378</v>
      </c>
      <c r="N17" s="16">
        <f t="shared" si="3"/>
        <v>575144</v>
      </c>
      <c r="O17" s="16">
        <f t="shared" si="3"/>
        <v>525217</v>
      </c>
      <c r="P17" s="16">
        <f t="shared" si="3"/>
        <v>0</v>
      </c>
      <c r="Q17" s="16">
        <f t="shared" si="3"/>
        <v>34596</v>
      </c>
      <c r="R17" s="16">
        <f t="shared" si="3"/>
        <v>34984</v>
      </c>
      <c r="S17" s="16">
        <f t="shared" si="3"/>
        <v>108933</v>
      </c>
      <c r="T17" s="16">
        <f t="shared" si="3"/>
        <v>0</v>
      </c>
      <c r="U17" s="16">
        <f t="shared" si="3"/>
        <v>1903252</v>
      </c>
    </row>
    <row r="20" spans="1:21" ht="15.75" thickBot="1" x14ac:dyDescent="0.3">
      <c r="A20" s="1" t="s">
        <v>59</v>
      </c>
      <c r="B20" s="1"/>
      <c r="C20" s="2"/>
      <c r="D20" s="2"/>
      <c r="E20" s="2"/>
      <c r="F20" s="2"/>
      <c r="G20" s="2"/>
      <c r="H20" s="2"/>
      <c r="I20" s="2"/>
      <c r="J20" s="2"/>
      <c r="L20" s="1" t="s">
        <v>34</v>
      </c>
      <c r="M20" s="1"/>
      <c r="N20" s="2"/>
      <c r="O20" s="2"/>
      <c r="P20" s="2"/>
      <c r="Q20" s="2"/>
      <c r="R20" s="2"/>
      <c r="S20" s="2"/>
      <c r="T20" s="2"/>
      <c r="U20" s="2"/>
    </row>
    <row r="21" spans="1:21" x14ac:dyDescent="0.25">
      <c r="A21" s="3"/>
      <c r="B21" s="31" t="s">
        <v>44</v>
      </c>
      <c r="C21" s="31"/>
      <c r="D21" s="31"/>
      <c r="E21" s="31"/>
      <c r="F21" s="31"/>
      <c r="G21" s="31"/>
      <c r="H21" s="31"/>
      <c r="I21" s="31"/>
      <c r="J21" s="11"/>
      <c r="L21" s="3"/>
      <c r="M21" s="31" t="s">
        <v>44</v>
      </c>
      <c r="N21" s="31"/>
      <c r="O21" s="31"/>
      <c r="P21" s="31"/>
      <c r="Q21" s="31"/>
      <c r="R21" s="31"/>
      <c r="S21" s="31"/>
      <c r="T21" s="31"/>
      <c r="U21" s="31"/>
    </row>
    <row r="22" spans="1:21" x14ac:dyDescent="0.25">
      <c r="A22" s="4" t="s">
        <v>0</v>
      </c>
      <c r="B22" s="5" t="s">
        <v>11</v>
      </c>
      <c r="C22" s="5" t="s">
        <v>12</v>
      </c>
      <c r="D22" s="5" t="s">
        <v>13</v>
      </c>
      <c r="E22" s="5" t="s">
        <v>14</v>
      </c>
      <c r="F22" s="5" t="s">
        <v>15</v>
      </c>
      <c r="G22" s="5" t="s">
        <v>4</v>
      </c>
      <c r="H22" s="5" t="s">
        <v>5</v>
      </c>
      <c r="I22" s="5" t="s">
        <v>16</v>
      </c>
      <c r="J22" s="5" t="s">
        <v>7</v>
      </c>
      <c r="L22" s="4" t="s">
        <v>0</v>
      </c>
      <c r="M22" s="5" t="s">
        <v>1</v>
      </c>
      <c r="N22" s="5" t="s">
        <v>2</v>
      </c>
      <c r="O22" s="5" t="s">
        <v>3</v>
      </c>
      <c r="P22" s="5" t="s">
        <v>14</v>
      </c>
      <c r="Q22" s="5" t="s">
        <v>15</v>
      </c>
      <c r="R22" s="5" t="s">
        <v>4</v>
      </c>
      <c r="S22" s="5" t="s">
        <v>5</v>
      </c>
      <c r="T22" s="5" t="s">
        <v>16</v>
      </c>
      <c r="U22" s="5" t="s">
        <v>7</v>
      </c>
    </row>
    <row r="23" spans="1:21" x14ac:dyDescent="0.25">
      <c r="A23" t="s">
        <v>1</v>
      </c>
      <c r="B23" s="13">
        <f t="shared" ref="B23:J23" si="4">B5/B$17</f>
        <v>0.98239984723580509</v>
      </c>
      <c r="C23" s="13">
        <f t="shared" si="4"/>
        <v>5.8320636774091716E-2</v>
      </c>
      <c r="D23" s="13">
        <f t="shared" si="4"/>
        <v>3.6347396792399171E-2</v>
      </c>
      <c r="E23" s="13">
        <f t="shared" si="4"/>
        <v>0.50441643680772597</v>
      </c>
      <c r="F23" s="13">
        <f t="shared" si="4"/>
        <v>9.9059149362971891E-3</v>
      </c>
      <c r="G23" s="13">
        <f t="shared" si="4"/>
        <v>0</v>
      </c>
      <c r="H23" s="13">
        <f t="shared" si="4"/>
        <v>0</v>
      </c>
      <c r="I23" s="13">
        <f t="shared" si="4"/>
        <v>0</v>
      </c>
      <c r="J23" s="13">
        <f t="shared" si="4"/>
        <v>0.39307914752474266</v>
      </c>
      <c r="K23" s="6"/>
      <c r="L23" t="s">
        <v>1</v>
      </c>
      <c r="M23" s="13">
        <f t="shared" ref="M23:P23" si="5">M5/M$17</f>
        <v>0.98518365477323033</v>
      </c>
      <c r="N23" s="13">
        <f t="shared" si="5"/>
        <v>7.648345457833168E-2</v>
      </c>
      <c r="O23" s="13">
        <f t="shared" si="5"/>
        <v>2.5730317183183332E-2</v>
      </c>
      <c r="P23" s="13" t="e">
        <f t="shared" si="5"/>
        <v>#DIV/0!</v>
      </c>
      <c r="Q23" s="13">
        <f t="shared" ref="Q23:U35" si="6">Q5/Q$17</f>
        <v>9.4808648398658803E-3</v>
      </c>
      <c r="R23" s="13">
        <f t="shared" si="6"/>
        <v>0</v>
      </c>
      <c r="S23" s="13">
        <f t="shared" si="6"/>
        <v>0</v>
      </c>
      <c r="T23" s="13" t="e">
        <f t="shared" si="6"/>
        <v>#DIV/0!</v>
      </c>
      <c r="U23" s="13">
        <f t="shared" si="6"/>
        <v>0.35358323543072595</v>
      </c>
    </row>
    <row r="24" spans="1:21" x14ac:dyDescent="0.25">
      <c r="A24" t="s">
        <v>12</v>
      </c>
      <c r="B24" s="13">
        <f t="shared" ref="B24:J24" si="7">B6/B$17</f>
        <v>0</v>
      </c>
      <c r="C24" s="13">
        <f t="shared" si="7"/>
        <v>0.93160437022847087</v>
      </c>
      <c r="D24" s="13">
        <f t="shared" si="7"/>
        <v>0.10098549630645595</v>
      </c>
      <c r="E24" s="13">
        <f t="shared" si="7"/>
        <v>0</v>
      </c>
      <c r="F24" s="13">
        <f t="shared" si="7"/>
        <v>7.7847658492811667E-2</v>
      </c>
      <c r="G24" s="13">
        <f t="shared" si="7"/>
        <v>0</v>
      </c>
      <c r="H24" s="13">
        <f t="shared" si="7"/>
        <v>0</v>
      </c>
      <c r="I24" s="13">
        <f t="shared" si="7"/>
        <v>0</v>
      </c>
      <c r="J24" s="13">
        <f t="shared" si="7"/>
        <v>0.27024917237583107</v>
      </c>
      <c r="K24" s="6"/>
      <c r="L24" t="s">
        <v>12</v>
      </c>
      <c r="M24" s="13">
        <f t="shared" ref="M24:P24" si="8">M6/M$17</f>
        <v>0</v>
      </c>
      <c r="N24" s="13">
        <f t="shared" si="8"/>
        <v>0.91150042424158129</v>
      </c>
      <c r="O24" s="13">
        <f t="shared" si="8"/>
        <v>0.16924623536557271</v>
      </c>
      <c r="P24" s="13" t="e">
        <f t="shared" si="8"/>
        <v>#DIV/0!</v>
      </c>
      <c r="Q24" s="13">
        <f t="shared" si="6"/>
        <v>0.10304659498207885</v>
      </c>
      <c r="R24" s="13">
        <f t="shared" si="6"/>
        <v>0</v>
      </c>
      <c r="S24" s="13">
        <f t="shared" si="6"/>
        <v>0</v>
      </c>
      <c r="T24" s="13" t="e">
        <f t="shared" si="6"/>
        <v>#DIV/0!</v>
      </c>
      <c r="U24" s="13">
        <f t="shared" si="6"/>
        <v>0.32402435410549946</v>
      </c>
    </row>
    <row r="25" spans="1:21" x14ac:dyDescent="0.25">
      <c r="A25" t="s">
        <v>56</v>
      </c>
      <c r="B25" s="13">
        <f t="shared" ref="B25:J25" si="9">B7/B$17</f>
        <v>0</v>
      </c>
      <c r="C25" s="13">
        <f t="shared" si="9"/>
        <v>0</v>
      </c>
      <c r="D25" s="13">
        <f t="shared" si="9"/>
        <v>0.85171087916120025</v>
      </c>
      <c r="E25" s="13">
        <f t="shared" si="9"/>
        <v>5.47452660554145E-2</v>
      </c>
      <c r="F25" s="13">
        <f t="shared" si="9"/>
        <v>2.4677968311229322E-3</v>
      </c>
      <c r="G25" s="13">
        <f t="shared" si="9"/>
        <v>0</v>
      </c>
      <c r="H25" s="13">
        <f t="shared" si="9"/>
        <v>0</v>
      </c>
      <c r="I25" s="13">
        <f t="shared" si="9"/>
        <v>0.16056479608788893</v>
      </c>
      <c r="J25" s="13">
        <f t="shared" si="9"/>
        <v>0.18177843738664298</v>
      </c>
      <c r="K25" s="6"/>
      <c r="L25" t="s">
        <v>56</v>
      </c>
      <c r="M25" s="13">
        <f t="shared" ref="M25:P25" si="10">M7/M$17</f>
        <v>0</v>
      </c>
      <c r="N25" s="13">
        <f t="shared" si="10"/>
        <v>0</v>
      </c>
      <c r="O25" s="13">
        <f t="shared" si="10"/>
        <v>0.79625754688062267</v>
      </c>
      <c r="P25" s="13" t="e">
        <f t="shared" si="10"/>
        <v>#DIV/0!</v>
      </c>
      <c r="Q25" s="13">
        <f t="shared" si="6"/>
        <v>4.5727829806914096E-2</v>
      </c>
      <c r="R25" s="13">
        <f t="shared" si="6"/>
        <v>0</v>
      </c>
      <c r="S25" s="13">
        <f t="shared" si="6"/>
        <v>0</v>
      </c>
      <c r="T25" s="13" t="e">
        <f t="shared" si="6"/>
        <v>#DIV/0!</v>
      </c>
      <c r="U25" s="13">
        <f t="shared" si="6"/>
        <v>0.22056459155172306</v>
      </c>
    </row>
    <row r="26" spans="1:21" x14ac:dyDescent="0.25">
      <c r="A26" t="s">
        <v>51</v>
      </c>
      <c r="B26" s="13">
        <f t="shared" ref="B26:J26" si="11">B8/B$17</f>
        <v>0</v>
      </c>
      <c r="C26" s="13">
        <f t="shared" si="11"/>
        <v>0</v>
      </c>
      <c r="D26" s="13">
        <f t="shared" si="11"/>
        <v>0</v>
      </c>
      <c r="E26" s="13">
        <f t="shared" si="11"/>
        <v>0.40604671249685059</v>
      </c>
      <c r="F26" s="13">
        <f t="shared" si="11"/>
        <v>0.71153868058100578</v>
      </c>
      <c r="G26" s="13">
        <f t="shared" si="11"/>
        <v>0</v>
      </c>
      <c r="H26" s="13">
        <f t="shared" si="11"/>
        <v>0</v>
      </c>
      <c r="I26" s="13">
        <f t="shared" si="11"/>
        <v>0</v>
      </c>
      <c r="J26" s="13">
        <f t="shared" si="11"/>
        <v>4.1318641845785653E-2</v>
      </c>
      <c r="K26" s="6"/>
      <c r="L26" t="s">
        <v>51</v>
      </c>
      <c r="M26" s="13">
        <f t="shared" ref="M26:P26" si="12">M8/M$17</f>
        <v>0</v>
      </c>
      <c r="N26" s="13">
        <f t="shared" si="12"/>
        <v>0</v>
      </c>
      <c r="O26" s="13">
        <f t="shared" si="12"/>
        <v>0</v>
      </c>
      <c r="P26" s="13" t="e">
        <f t="shared" si="12"/>
        <v>#DIV/0!</v>
      </c>
      <c r="Q26" s="13">
        <f t="shared" si="6"/>
        <v>0.68083015377500289</v>
      </c>
      <c r="R26" s="13">
        <f t="shared" si="6"/>
        <v>0</v>
      </c>
      <c r="S26" s="13">
        <f t="shared" si="6"/>
        <v>0</v>
      </c>
      <c r="T26" s="13" t="e">
        <f t="shared" si="6"/>
        <v>#DIV/0!</v>
      </c>
      <c r="U26" s="13">
        <f t="shared" si="6"/>
        <v>1.2375660185829307E-2</v>
      </c>
    </row>
    <row r="27" spans="1:21" x14ac:dyDescent="0.25">
      <c r="A27" t="s">
        <v>52</v>
      </c>
      <c r="B27" s="13">
        <f t="shared" ref="B27:J27" si="13">B9/B$17</f>
        <v>0</v>
      </c>
      <c r="C27" s="13">
        <f t="shared" si="13"/>
        <v>0</v>
      </c>
      <c r="D27" s="13">
        <f t="shared" si="13"/>
        <v>0</v>
      </c>
      <c r="E27" s="13">
        <f t="shared" si="13"/>
        <v>0</v>
      </c>
      <c r="F27" s="13">
        <f t="shared" si="13"/>
        <v>0</v>
      </c>
      <c r="G27" s="13">
        <f t="shared" si="13"/>
        <v>0</v>
      </c>
      <c r="H27" s="13">
        <f t="shared" si="13"/>
        <v>0</v>
      </c>
      <c r="I27" s="13">
        <f t="shared" si="13"/>
        <v>0</v>
      </c>
      <c r="J27" s="13">
        <f t="shared" si="13"/>
        <v>0</v>
      </c>
      <c r="K27" s="6"/>
      <c r="L27" t="s">
        <v>52</v>
      </c>
      <c r="M27" s="13">
        <f t="shared" ref="M27:P27" si="14">M9/M$17</f>
        <v>0</v>
      </c>
      <c r="N27" s="13">
        <f t="shared" si="14"/>
        <v>0</v>
      </c>
      <c r="O27" s="13">
        <f t="shared" si="14"/>
        <v>0</v>
      </c>
      <c r="P27" s="13" t="e">
        <f t="shared" si="14"/>
        <v>#DIV/0!</v>
      </c>
      <c r="Q27" s="13">
        <f t="shared" si="6"/>
        <v>0</v>
      </c>
      <c r="R27" s="13">
        <f t="shared" si="6"/>
        <v>0</v>
      </c>
      <c r="S27" s="13">
        <f t="shared" si="6"/>
        <v>0</v>
      </c>
      <c r="T27" s="13" t="e">
        <f t="shared" si="6"/>
        <v>#DIV/0!</v>
      </c>
      <c r="U27" s="13">
        <f t="shared" si="6"/>
        <v>0</v>
      </c>
    </row>
    <row r="28" spans="1:21" x14ac:dyDescent="0.25">
      <c r="A28" t="s">
        <v>53</v>
      </c>
      <c r="B28" s="13">
        <f t="shared" ref="B28:J28" si="15">B10/B$17</f>
        <v>0</v>
      </c>
      <c r="C28" s="13">
        <f t="shared" si="15"/>
        <v>0</v>
      </c>
      <c r="D28" s="13">
        <f t="shared" si="15"/>
        <v>0</v>
      </c>
      <c r="E28" s="13">
        <f t="shared" si="15"/>
        <v>0</v>
      </c>
      <c r="F28" s="13">
        <f t="shared" si="15"/>
        <v>0</v>
      </c>
      <c r="G28" s="13">
        <f t="shared" si="15"/>
        <v>0</v>
      </c>
      <c r="H28" s="13">
        <f t="shared" si="15"/>
        <v>0</v>
      </c>
      <c r="I28" s="13">
        <f t="shared" si="15"/>
        <v>0</v>
      </c>
      <c r="J28" s="13">
        <f t="shared" si="15"/>
        <v>0</v>
      </c>
      <c r="K28" s="6"/>
      <c r="L28" t="s">
        <v>53</v>
      </c>
      <c r="M28" s="13">
        <f t="shared" ref="M28:P28" si="16">M10/M$17</f>
        <v>0</v>
      </c>
      <c r="N28" s="13">
        <f t="shared" si="16"/>
        <v>0</v>
      </c>
      <c r="O28" s="13">
        <f t="shared" si="16"/>
        <v>0</v>
      </c>
      <c r="P28" s="13" t="e">
        <f t="shared" si="16"/>
        <v>#DIV/0!</v>
      </c>
      <c r="Q28" s="13">
        <f t="shared" si="6"/>
        <v>0</v>
      </c>
      <c r="R28" s="13">
        <f t="shared" si="6"/>
        <v>0</v>
      </c>
      <c r="S28" s="13">
        <f t="shared" si="6"/>
        <v>0</v>
      </c>
      <c r="T28" s="13" t="e">
        <f t="shared" si="6"/>
        <v>#DIV/0!</v>
      </c>
      <c r="U28" s="13">
        <f t="shared" si="6"/>
        <v>0</v>
      </c>
    </row>
    <row r="29" spans="1:21" x14ac:dyDescent="0.25">
      <c r="A29" t="s">
        <v>54</v>
      </c>
      <c r="B29" s="13">
        <f t="shared" ref="B29:J29" si="17">B11/B$17</f>
        <v>0</v>
      </c>
      <c r="C29" s="13">
        <f t="shared" si="17"/>
        <v>0</v>
      </c>
      <c r="D29" s="13">
        <f t="shared" si="17"/>
        <v>0</v>
      </c>
      <c r="E29" s="13">
        <f t="shared" si="17"/>
        <v>0</v>
      </c>
      <c r="F29" s="13">
        <f t="shared" si="17"/>
        <v>0</v>
      </c>
      <c r="G29" s="13">
        <f t="shared" si="17"/>
        <v>0</v>
      </c>
      <c r="H29" s="13">
        <f t="shared" si="17"/>
        <v>0</v>
      </c>
      <c r="I29" s="13">
        <f t="shared" si="17"/>
        <v>0</v>
      </c>
      <c r="J29" s="13">
        <f t="shared" si="17"/>
        <v>0</v>
      </c>
      <c r="K29" s="6"/>
      <c r="L29" t="s">
        <v>54</v>
      </c>
      <c r="M29" s="13">
        <f t="shared" ref="M29:P29" si="18">M11/M$17</f>
        <v>0</v>
      </c>
      <c r="N29" s="13">
        <f t="shared" si="18"/>
        <v>0</v>
      </c>
      <c r="O29" s="13">
        <f t="shared" si="18"/>
        <v>0</v>
      </c>
      <c r="P29" s="13" t="e">
        <f t="shared" si="18"/>
        <v>#DIV/0!</v>
      </c>
      <c r="Q29" s="13">
        <f t="shared" si="6"/>
        <v>0</v>
      </c>
      <c r="R29" s="13">
        <f t="shared" si="6"/>
        <v>0</v>
      </c>
      <c r="S29" s="13">
        <f t="shared" si="6"/>
        <v>0</v>
      </c>
      <c r="T29" s="13" t="e">
        <f t="shared" si="6"/>
        <v>#DIV/0!</v>
      </c>
      <c r="U29" s="13">
        <f t="shared" si="6"/>
        <v>0</v>
      </c>
    </row>
    <row r="30" spans="1:21" x14ac:dyDescent="0.25">
      <c r="A30" t="s">
        <v>55</v>
      </c>
      <c r="B30" s="13">
        <f t="shared" ref="B30:J30" si="19">B12/B$17</f>
        <v>0</v>
      </c>
      <c r="C30" s="13">
        <f t="shared" si="19"/>
        <v>0</v>
      </c>
      <c r="D30" s="13">
        <f t="shared" si="19"/>
        <v>0</v>
      </c>
      <c r="E30" s="13">
        <f t="shared" si="19"/>
        <v>0</v>
      </c>
      <c r="F30" s="13">
        <f t="shared" si="19"/>
        <v>0</v>
      </c>
      <c r="G30" s="13">
        <f t="shared" si="19"/>
        <v>0</v>
      </c>
      <c r="H30" s="13">
        <f t="shared" si="19"/>
        <v>0</v>
      </c>
      <c r="I30" s="13">
        <f t="shared" si="19"/>
        <v>0</v>
      </c>
      <c r="J30" s="13">
        <f t="shared" si="19"/>
        <v>0</v>
      </c>
      <c r="K30" s="6"/>
      <c r="L30" t="s">
        <v>55</v>
      </c>
      <c r="M30" s="13">
        <f t="shared" ref="M30:P30" si="20">M12/M$17</f>
        <v>0</v>
      </c>
      <c r="N30" s="13">
        <f t="shared" si="20"/>
        <v>0</v>
      </c>
      <c r="O30" s="13">
        <f t="shared" si="20"/>
        <v>0</v>
      </c>
      <c r="P30" s="13" t="e">
        <f t="shared" si="20"/>
        <v>#DIV/0!</v>
      </c>
      <c r="Q30" s="13">
        <f t="shared" si="6"/>
        <v>0</v>
      </c>
      <c r="R30" s="13">
        <f t="shared" si="6"/>
        <v>0</v>
      </c>
      <c r="S30" s="13">
        <f t="shared" si="6"/>
        <v>0</v>
      </c>
      <c r="T30" s="13" t="e">
        <f t="shared" si="6"/>
        <v>#DIV/0!</v>
      </c>
      <c r="U30" s="13">
        <f t="shared" si="6"/>
        <v>0</v>
      </c>
    </row>
    <row r="31" spans="1:21" x14ac:dyDescent="0.25">
      <c r="A31" t="s">
        <v>24</v>
      </c>
      <c r="B31" s="13">
        <f t="shared" ref="B31:J31" si="21">B13/B$17</f>
        <v>0</v>
      </c>
      <c r="C31" s="13">
        <f t="shared" si="21"/>
        <v>0</v>
      </c>
      <c r="D31" s="13">
        <f t="shared" si="21"/>
        <v>0</v>
      </c>
      <c r="E31" s="13">
        <f t="shared" si="21"/>
        <v>0</v>
      </c>
      <c r="F31" s="13">
        <f t="shared" si="21"/>
        <v>0</v>
      </c>
      <c r="G31" s="13">
        <f t="shared" si="21"/>
        <v>0</v>
      </c>
      <c r="H31" s="13">
        <f t="shared" si="21"/>
        <v>0</v>
      </c>
      <c r="I31" s="13">
        <f t="shared" si="21"/>
        <v>0.83943520391211113</v>
      </c>
      <c r="J31" s="13">
        <f t="shared" si="21"/>
        <v>2.5358070746201188E-3</v>
      </c>
      <c r="K31" s="6"/>
      <c r="M31" s="13">
        <f t="shared" ref="M31:P31" si="22">M13/M$17</f>
        <v>0</v>
      </c>
      <c r="N31" s="13">
        <f t="shared" si="22"/>
        <v>0</v>
      </c>
      <c r="O31" s="13">
        <f t="shared" si="22"/>
        <v>0</v>
      </c>
      <c r="P31" s="13" t="e">
        <f t="shared" si="22"/>
        <v>#DIV/0!</v>
      </c>
      <c r="Q31" s="13">
        <f t="shared" si="6"/>
        <v>0</v>
      </c>
      <c r="R31" s="13">
        <f t="shared" si="6"/>
        <v>0</v>
      </c>
      <c r="S31" s="13">
        <f t="shared" si="6"/>
        <v>0</v>
      </c>
      <c r="T31" s="13" t="e">
        <f t="shared" si="6"/>
        <v>#DIV/0!</v>
      </c>
      <c r="U31" s="13">
        <f t="shared" si="6"/>
        <v>0</v>
      </c>
    </row>
    <row r="32" spans="1:21" x14ac:dyDescent="0.25">
      <c r="A32" t="s">
        <v>4</v>
      </c>
      <c r="B32" s="13">
        <f t="shared" ref="B32:J32" si="23">B14/B$17</f>
        <v>2.1077228952384535E-3</v>
      </c>
      <c r="C32" s="13">
        <f t="shared" si="23"/>
        <v>1.2033845347666648E-3</v>
      </c>
      <c r="D32" s="13">
        <f t="shared" si="23"/>
        <v>0</v>
      </c>
      <c r="E32" s="13">
        <f t="shared" si="23"/>
        <v>0</v>
      </c>
      <c r="F32" s="13">
        <f t="shared" si="23"/>
        <v>1.4148127409930397E-2</v>
      </c>
      <c r="G32" s="13">
        <f t="shared" si="23"/>
        <v>0.84670534386868279</v>
      </c>
      <c r="H32" s="13">
        <f t="shared" si="23"/>
        <v>0</v>
      </c>
      <c r="I32" s="13">
        <f t="shared" si="23"/>
        <v>0</v>
      </c>
      <c r="J32" s="13">
        <f t="shared" si="23"/>
        <v>9.7314170266867336E-3</v>
      </c>
      <c r="K32" s="6"/>
      <c r="L32" t="s">
        <v>4</v>
      </c>
      <c r="M32" s="13">
        <f t="shared" ref="M32:P32" si="24">M14/M$17</f>
        <v>1.4926855206301311E-3</v>
      </c>
      <c r="N32" s="13">
        <f t="shared" si="24"/>
        <v>2.0899113961025412E-3</v>
      </c>
      <c r="O32" s="13">
        <f t="shared" si="24"/>
        <v>2.0048855996664238E-3</v>
      </c>
      <c r="P32" s="13" t="e">
        <f t="shared" si="24"/>
        <v>#DIV/0!</v>
      </c>
      <c r="Q32" s="13">
        <f t="shared" si="6"/>
        <v>1.3903341426754538E-2</v>
      </c>
      <c r="R32" s="13">
        <f t="shared" si="6"/>
        <v>0.9341699062428539</v>
      </c>
      <c r="S32" s="13">
        <f t="shared" si="6"/>
        <v>0</v>
      </c>
      <c r="T32" s="13" t="e">
        <f t="shared" si="6"/>
        <v>#DIV/0!</v>
      </c>
      <c r="U32" s="13">
        <f t="shared" si="6"/>
        <v>1.9098364273359491E-2</v>
      </c>
    </row>
    <row r="33" spans="1:32" x14ac:dyDescent="0.25">
      <c r="A33" t="s">
        <v>5</v>
      </c>
      <c r="B33" s="13">
        <f t="shared" ref="B33:J33" si="25">B15/B$17</f>
        <v>1.5492429868956527E-2</v>
      </c>
      <c r="C33" s="13">
        <f t="shared" si="25"/>
        <v>8.8716084626706496E-3</v>
      </c>
      <c r="D33" s="13">
        <f t="shared" si="25"/>
        <v>1.0956227739944658E-2</v>
      </c>
      <c r="E33" s="13">
        <f t="shared" si="25"/>
        <v>3.4791584640008963E-2</v>
      </c>
      <c r="F33" s="13">
        <f t="shared" si="25"/>
        <v>0.18409182174883199</v>
      </c>
      <c r="G33" s="13">
        <f t="shared" si="25"/>
        <v>0.15329465613131732</v>
      </c>
      <c r="H33" s="13">
        <f t="shared" si="25"/>
        <v>1</v>
      </c>
      <c r="I33" s="13">
        <f t="shared" si="25"/>
        <v>0</v>
      </c>
      <c r="J33" s="13">
        <f t="shared" si="25"/>
        <v>0.10130737676569065</v>
      </c>
      <c r="K33" s="6"/>
      <c r="L33" t="s">
        <v>5</v>
      </c>
      <c r="M33" s="13">
        <f t="shared" ref="M33:P34" si="26">M15/M$17</f>
        <v>1.3323659706139549E-2</v>
      </c>
      <c r="N33" s="13">
        <f t="shared" si="26"/>
        <v>9.9262097839845319E-3</v>
      </c>
      <c r="O33" s="13">
        <f t="shared" si="26"/>
        <v>6.7610149709548626E-3</v>
      </c>
      <c r="P33" s="13" t="e">
        <f t="shared" si="26"/>
        <v>#DIV/0!</v>
      </c>
      <c r="Q33" s="13">
        <f t="shared" si="6"/>
        <v>0.14701121516938376</v>
      </c>
      <c r="R33" s="13">
        <f t="shared" si="6"/>
        <v>6.583009375714613E-2</v>
      </c>
      <c r="S33" s="13">
        <f t="shared" si="6"/>
        <v>1</v>
      </c>
      <c r="T33" s="13" t="e">
        <f t="shared" si="6"/>
        <v>#DIV/0!</v>
      </c>
      <c r="U33" s="13">
        <f t="shared" si="6"/>
        <v>7.0353794452862786E-2</v>
      </c>
    </row>
    <row r="34" spans="1:32" x14ac:dyDescent="0.25">
      <c r="A34" s="4" t="s">
        <v>60</v>
      </c>
      <c r="B34" s="13">
        <f t="shared" ref="B34:J34" si="27">B16/B$17</f>
        <v>0</v>
      </c>
      <c r="C34" s="13">
        <f t="shared" si="27"/>
        <v>0</v>
      </c>
      <c r="D34" s="13">
        <f t="shared" si="27"/>
        <v>0</v>
      </c>
      <c r="E34" s="13">
        <f t="shared" si="27"/>
        <v>0</v>
      </c>
      <c r="F34" s="13">
        <f t="shared" si="27"/>
        <v>0</v>
      </c>
      <c r="G34" s="13">
        <f t="shared" si="27"/>
        <v>0</v>
      </c>
      <c r="H34" s="13">
        <f t="shared" si="27"/>
        <v>0</v>
      </c>
      <c r="I34" s="13">
        <f t="shared" si="27"/>
        <v>0</v>
      </c>
      <c r="J34" s="13">
        <f t="shared" si="27"/>
        <v>0</v>
      </c>
      <c r="K34" s="6"/>
      <c r="L34" s="4" t="s">
        <v>60</v>
      </c>
      <c r="M34" s="14">
        <f t="shared" si="26"/>
        <v>0</v>
      </c>
      <c r="N34" s="14">
        <f t="shared" si="26"/>
        <v>0</v>
      </c>
      <c r="O34" s="14">
        <f t="shared" si="26"/>
        <v>0</v>
      </c>
      <c r="P34" s="14" t="e">
        <f t="shared" si="26"/>
        <v>#DIV/0!</v>
      </c>
      <c r="Q34" s="14">
        <f t="shared" si="6"/>
        <v>0</v>
      </c>
      <c r="R34" s="14">
        <f t="shared" si="6"/>
        <v>0</v>
      </c>
      <c r="S34" s="14">
        <f t="shared" si="6"/>
        <v>0</v>
      </c>
      <c r="T34" s="14" t="e">
        <f t="shared" si="6"/>
        <v>#DIV/0!</v>
      </c>
      <c r="U34" s="14">
        <f t="shared" si="6"/>
        <v>0</v>
      </c>
    </row>
    <row r="35" spans="1:32" ht="15.75" thickBot="1" x14ac:dyDescent="0.3">
      <c r="A35" s="12" t="s">
        <v>7</v>
      </c>
      <c r="B35" s="15">
        <f t="shared" ref="B35:J35" si="28">B17/B$17</f>
        <v>1</v>
      </c>
      <c r="C35" s="15">
        <f t="shared" si="28"/>
        <v>1</v>
      </c>
      <c r="D35" s="15">
        <f t="shared" si="28"/>
        <v>1</v>
      </c>
      <c r="E35" s="15">
        <f t="shared" si="28"/>
        <v>1</v>
      </c>
      <c r="F35" s="15">
        <f t="shared" si="28"/>
        <v>1</v>
      </c>
      <c r="G35" s="15">
        <f t="shared" si="28"/>
        <v>1</v>
      </c>
      <c r="H35" s="15">
        <f t="shared" si="28"/>
        <v>1</v>
      </c>
      <c r="I35" s="15">
        <f t="shared" si="28"/>
        <v>1</v>
      </c>
      <c r="J35" s="15">
        <f t="shared" si="28"/>
        <v>1</v>
      </c>
      <c r="L35" s="9" t="s">
        <v>7</v>
      </c>
      <c r="M35" s="15">
        <f t="shared" ref="M35:P35" si="29">M17/M$17</f>
        <v>1</v>
      </c>
      <c r="N35" s="15">
        <f t="shared" si="29"/>
        <v>1</v>
      </c>
      <c r="O35" s="15">
        <f t="shared" si="29"/>
        <v>1</v>
      </c>
      <c r="P35" s="15" t="e">
        <f t="shared" si="29"/>
        <v>#DIV/0!</v>
      </c>
      <c r="Q35" s="15">
        <f t="shared" si="6"/>
        <v>1</v>
      </c>
      <c r="R35" s="15">
        <f t="shared" si="6"/>
        <v>1</v>
      </c>
      <c r="S35" s="15">
        <f t="shared" si="6"/>
        <v>1</v>
      </c>
      <c r="T35" s="15" t="e">
        <f t="shared" si="6"/>
        <v>#DIV/0!</v>
      </c>
      <c r="U35" s="15">
        <f t="shared" si="6"/>
        <v>1</v>
      </c>
    </row>
    <row r="38" spans="1:32" ht="15.75" thickBot="1" x14ac:dyDescent="0.3">
      <c r="L38" s="1" t="s">
        <v>20</v>
      </c>
      <c r="M38" s="1"/>
      <c r="N38" s="2"/>
      <c r="O38" s="2"/>
      <c r="P38" s="2"/>
      <c r="Q38" s="2"/>
      <c r="R38" s="2"/>
      <c r="S38" s="2"/>
      <c r="T38" s="2"/>
      <c r="U38" s="2"/>
    </row>
    <row r="39" spans="1:32" x14ac:dyDescent="0.25">
      <c r="L39" s="3"/>
      <c r="M39" s="31" t="s">
        <v>44</v>
      </c>
      <c r="N39" s="31"/>
      <c r="O39" s="31"/>
      <c r="P39" s="31"/>
      <c r="Q39" s="31"/>
      <c r="R39" s="31"/>
      <c r="S39" s="31"/>
      <c r="T39" s="31"/>
      <c r="U39" s="31"/>
    </row>
    <row r="40" spans="1:32" x14ac:dyDescent="0.25">
      <c r="L40" s="4" t="s">
        <v>0</v>
      </c>
      <c r="M40" s="5" t="s">
        <v>11</v>
      </c>
      <c r="N40" s="5" t="s">
        <v>12</v>
      </c>
      <c r="O40" s="5" t="s">
        <v>13</v>
      </c>
      <c r="P40" s="5" t="s">
        <v>14</v>
      </c>
      <c r="Q40" s="5" t="s">
        <v>15</v>
      </c>
      <c r="R40" s="5" t="s">
        <v>4</v>
      </c>
      <c r="S40" s="5" t="s">
        <v>5</v>
      </c>
      <c r="T40" s="5" t="s">
        <v>16</v>
      </c>
      <c r="U40" s="5" t="s">
        <v>7</v>
      </c>
    </row>
    <row r="41" spans="1:32" x14ac:dyDescent="0.25">
      <c r="L41" t="s">
        <v>1</v>
      </c>
      <c r="M41" s="13">
        <f t="shared" ref="M41:M51" si="30">M23-B23</f>
        <v>2.7838075374252425E-3</v>
      </c>
      <c r="N41" s="13">
        <f t="shared" ref="N41:N51" si="31">N23-C23</f>
        <v>1.8162817804239964E-2</v>
      </c>
      <c r="O41" s="13">
        <f t="shared" ref="O41:O51" si="32">O23-D23</f>
        <v>-1.0617079609215839E-2</v>
      </c>
      <c r="P41" s="13" t="e">
        <f t="shared" ref="P41:P51" si="33">P23-E23</f>
        <v>#DIV/0!</v>
      </c>
      <c r="Q41" s="13">
        <f t="shared" ref="Q41:Q51" si="34">Q23-F23</f>
        <v>-4.2505009643130885E-4</v>
      </c>
      <c r="R41" s="13">
        <f t="shared" ref="R41:R51" si="35">R23-G23</f>
        <v>0</v>
      </c>
      <c r="S41" s="13">
        <f t="shared" ref="S41:S51" si="36">S23-H23</f>
        <v>0</v>
      </c>
      <c r="T41" s="13" t="e">
        <f t="shared" ref="T41:T51" si="37">T23-I23</f>
        <v>#DIV/0!</v>
      </c>
      <c r="U41" s="13">
        <f t="shared" ref="U41:U51" si="38">U23-J23</f>
        <v>-3.9495912094016705E-2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12</v>
      </c>
      <c r="M42" s="13">
        <f t="shared" si="30"/>
        <v>0</v>
      </c>
      <c r="N42" s="13">
        <f t="shared" si="31"/>
        <v>-2.0103945986889582E-2</v>
      </c>
      <c r="O42" s="13">
        <f t="shared" si="32"/>
        <v>6.8260739059116754E-2</v>
      </c>
      <c r="P42" s="13" t="e">
        <f t="shared" si="33"/>
        <v>#DIV/0!</v>
      </c>
      <c r="Q42" s="13">
        <f t="shared" si="34"/>
        <v>2.5198936489267187E-2</v>
      </c>
      <c r="R42" s="13">
        <f t="shared" si="35"/>
        <v>0</v>
      </c>
      <c r="S42" s="13">
        <f t="shared" si="36"/>
        <v>0</v>
      </c>
      <c r="T42" s="13" t="e">
        <f t="shared" si="37"/>
        <v>#DIV/0!</v>
      </c>
      <c r="U42" s="13">
        <f t="shared" si="38"/>
        <v>5.3775181729668386E-2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56</v>
      </c>
      <c r="M43" s="13">
        <f t="shared" si="30"/>
        <v>0</v>
      </c>
      <c r="N43" s="13">
        <f t="shared" si="31"/>
        <v>0</v>
      </c>
      <c r="O43" s="13">
        <f t="shared" si="32"/>
        <v>-5.5453332280577583E-2</v>
      </c>
      <c r="P43" s="13" t="e">
        <f t="shared" si="33"/>
        <v>#DIV/0!</v>
      </c>
      <c r="Q43" s="13">
        <f t="shared" si="34"/>
        <v>4.326003297579116E-2</v>
      </c>
      <c r="R43" s="13">
        <f t="shared" si="35"/>
        <v>0</v>
      </c>
      <c r="S43" s="13">
        <f t="shared" si="36"/>
        <v>0</v>
      </c>
      <c r="T43" s="13" t="e">
        <f t="shared" si="37"/>
        <v>#DIV/0!</v>
      </c>
      <c r="U43" s="13">
        <f t="shared" si="38"/>
        <v>3.8786154165080078E-2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51</v>
      </c>
      <c r="M44" s="13">
        <f t="shared" si="30"/>
        <v>0</v>
      </c>
      <c r="N44" s="13">
        <f t="shared" si="31"/>
        <v>0</v>
      </c>
      <c r="O44" s="13">
        <f t="shared" si="32"/>
        <v>0</v>
      </c>
      <c r="P44" s="13" t="e">
        <f t="shared" si="33"/>
        <v>#DIV/0!</v>
      </c>
      <c r="Q44" s="13">
        <f t="shared" si="34"/>
        <v>-3.0708526806002889E-2</v>
      </c>
      <c r="R44" s="13">
        <f t="shared" si="35"/>
        <v>0</v>
      </c>
      <c r="S44" s="13">
        <f t="shared" si="36"/>
        <v>0</v>
      </c>
      <c r="T44" s="13" t="e">
        <f t="shared" si="37"/>
        <v>#DIV/0!</v>
      </c>
      <c r="U44" s="13">
        <f t="shared" si="38"/>
        <v>-2.8942981659956346E-2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52</v>
      </c>
      <c r="M45" s="13">
        <f t="shared" si="30"/>
        <v>0</v>
      </c>
      <c r="N45" s="13">
        <f t="shared" si="31"/>
        <v>0</v>
      </c>
      <c r="O45" s="13">
        <f t="shared" si="32"/>
        <v>0</v>
      </c>
      <c r="P45" s="13" t="e">
        <f t="shared" si="33"/>
        <v>#DIV/0!</v>
      </c>
      <c r="Q45" s="13">
        <f t="shared" si="34"/>
        <v>0</v>
      </c>
      <c r="R45" s="13">
        <f t="shared" si="35"/>
        <v>0</v>
      </c>
      <c r="S45" s="13">
        <f t="shared" si="36"/>
        <v>0</v>
      </c>
      <c r="T45" s="13" t="e">
        <f t="shared" si="37"/>
        <v>#DIV/0!</v>
      </c>
      <c r="U45" s="13">
        <f t="shared" si="38"/>
        <v>0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53</v>
      </c>
      <c r="M46" s="13">
        <f t="shared" si="30"/>
        <v>0</v>
      </c>
      <c r="N46" s="13">
        <f t="shared" si="31"/>
        <v>0</v>
      </c>
      <c r="O46" s="13">
        <f t="shared" si="32"/>
        <v>0</v>
      </c>
      <c r="P46" s="13" t="e">
        <f t="shared" si="33"/>
        <v>#DIV/0!</v>
      </c>
      <c r="Q46" s="13">
        <f t="shared" si="34"/>
        <v>0</v>
      </c>
      <c r="R46" s="13">
        <f t="shared" si="35"/>
        <v>0</v>
      </c>
      <c r="S46" s="13">
        <f t="shared" si="36"/>
        <v>0</v>
      </c>
      <c r="T46" s="13" t="e">
        <f t="shared" si="37"/>
        <v>#DIV/0!</v>
      </c>
      <c r="U46" s="13">
        <f t="shared" si="38"/>
        <v>0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54</v>
      </c>
      <c r="M47" s="13">
        <f t="shared" si="30"/>
        <v>0</v>
      </c>
      <c r="N47" s="13">
        <f t="shared" si="31"/>
        <v>0</v>
      </c>
      <c r="O47" s="13">
        <f t="shared" si="32"/>
        <v>0</v>
      </c>
      <c r="P47" s="13" t="e">
        <f t="shared" si="33"/>
        <v>#DIV/0!</v>
      </c>
      <c r="Q47" s="13">
        <f t="shared" si="34"/>
        <v>0</v>
      </c>
      <c r="R47" s="13">
        <f t="shared" si="35"/>
        <v>0</v>
      </c>
      <c r="S47" s="13">
        <f t="shared" si="36"/>
        <v>0</v>
      </c>
      <c r="T47" s="13" t="e">
        <f t="shared" si="37"/>
        <v>#DIV/0!</v>
      </c>
      <c r="U47" s="13">
        <f t="shared" si="38"/>
        <v>0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55</v>
      </c>
      <c r="M48" s="13">
        <f t="shared" si="30"/>
        <v>0</v>
      </c>
      <c r="N48" s="13">
        <f t="shared" si="31"/>
        <v>0</v>
      </c>
      <c r="O48" s="13">
        <f t="shared" si="32"/>
        <v>0</v>
      </c>
      <c r="P48" s="13" t="e">
        <f t="shared" si="33"/>
        <v>#DIV/0!</v>
      </c>
      <c r="Q48" s="13">
        <f t="shared" si="34"/>
        <v>0</v>
      </c>
      <c r="R48" s="13">
        <f t="shared" si="35"/>
        <v>0</v>
      </c>
      <c r="S48" s="13">
        <f t="shared" si="36"/>
        <v>0</v>
      </c>
      <c r="T48" s="13" t="e">
        <f t="shared" si="37"/>
        <v>#DIV/0!</v>
      </c>
      <c r="U48" s="13">
        <f t="shared" si="38"/>
        <v>0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t="s">
        <v>24</v>
      </c>
      <c r="M49" s="13">
        <f t="shared" si="30"/>
        <v>0</v>
      </c>
      <c r="N49" s="13">
        <f t="shared" si="31"/>
        <v>0</v>
      </c>
      <c r="O49" s="13">
        <f t="shared" si="32"/>
        <v>0</v>
      </c>
      <c r="P49" s="13" t="e">
        <f t="shared" si="33"/>
        <v>#DIV/0!</v>
      </c>
      <c r="Q49" s="13">
        <f t="shared" si="34"/>
        <v>0</v>
      </c>
      <c r="R49" s="13">
        <f t="shared" si="35"/>
        <v>0</v>
      </c>
      <c r="S49" s="13">
        <f t="shared" si="36"/>
        <v>0</v>
      </c>
      <c r="T49" s="13" t="e">
        <f t="shared" si="37"/>
        <v>#DIV/0!</v>
      </c>
      <c r="U49" s="13">
        <f t="shared" si="38"/>
        <v>-2.5358070746201188E-3</v>
      </c>
      <c r="X49" s="13"/>
      <c r="Y49" s="13"/>
      <c r="Z49" s="13"/>
      <c r="AA49" s="13"/>
      <c r="AB49" s="13"/>
      <c r="AC49" s="13"/>
      <c r="AD49" s="13"/>
      <c r="AE49" s="13"/>
      <c r="AF49" s="13"/>
    </row>
    <row r="50" spans="12:32" x14ac:dyDescent="0.25">
      <c r="L50" t="s">
        <v>4</v>
      </c>
      <c r="M50" s="13">
        <f t="shared" si="30"/>
        <v>-6.1503737460832236E-4</v>
      </c>
      <c r="N50" s="13">
        <f t="shared" si="31"/>
        <v>8.8652686133587643E-4</v>
      </c>
      <c r="O50" s="13">
        <f t="shared" si="32"/>
        <v>2.0048855996664238E-3</v>
      </c>
      <c r="P50" s="13" t="e">
        <f t="shared" si="33"/>
        <v>#DIV/0!</v>
      </c>
      <c r="Q50" s="13">
        <f t="shared" si="34"/>
        <v>-2.4478598317585927E-4</v>
      </c>
      <c r="R50" s="13">
        <f t="shared" si="35"/>
        <v>8.7464562374171106E-2</v>
      </c>
      <c r="S50" s="13">
        <f t="shared" si="36"/>
        <v>0</v>
      </c>
      <c r="T50" s="13" t="e">
        <f t="shared" si="37"/>
        <v>#DIV/0!</v>
      </c>
      <c r="U50" s="13">
        <f t="shared" si="38"/>
        <v>9.3669472466727573E-3</v>
      </c>
      <c r="X50" s="13"/>
      <c r="Y50" s="13"/>
      <c r="Z50" s="13"/>
      <c r="AA50" s="13"/>
      <c r="AB50" s="13"/>
      <c r="AC50" s="13"/>
      <c r="AD50" s="13"/>
      <c r="AE50" s="13"/>
      <c r="AF50" s="13"/>
    </row>
    <row r="51" spans="12:32" x14ac:dyDescent="0.25">
      <c r="L51" t="s">
        <v>5</v>
      </c>
      <c r="M51" s="13">
        <f t="shared" si="30"/>
        <v>-2.1687701628169773E-3</v>
      </c>
      <c r="N51" s="13">
        <f t="shared" si="31"/>
        <v>1.0546013213138822E-3</v>
      </c>
      <c r="O51" s="13">
        <f t="shared" si="32"/>
        <v>-4.1952127689897957E-3</v>
      </c>
      <c r="P51" s="13" t="e">
        <f t="shared" si="33"/>
        <v>#DIV/0!</v>
      </c>
      <c r="Q51" s="13">
        <f t="shared" si="34"/>
        <v>-3.7080606579448228E-2</v>
      </c>
      <c r="R51" s="13">
        <f t="shared" si="35"/>
        <v>-8.746456237417119E-2</v>
      </c>
      <c r="S51" s="13">
        <f t="shared" si="36"/>
        <v>0</v>
      </c>
      <c r="T51" s="13" t="e">
        <f t="shared" si="37"/>
        <v>#DIV/0!</v>
      </c>
      <c r="U51" s="13">
        <f t="shared" si="38"/>
        <v>-3.0953582312827868E-2</v>
      </c>
      <c r="X51" s="13"/>
      <c r="Y51" s="13"/>
      <c r="Z51" s="13"/>
      <c r="AA51" s="13"/>
      <c r="AB51" s="13"/>
      <c r="AC51" s="13"/>
      <c r="AD51" s="13"/>
      <c r="AE51" s="13"/>
      <c r="AF51" s="13"/>
    </row>
    <row r="52" spans="12:32" x14ac:dyDescent="0.25">
      <c r="L52" s="4" t="s">
        <v>60</v>
      </c>
      <c r="M52" s="17">
        <f t="shared" ref="M52:U52" si="39">M34-B34</f>
        <v>0</v>
      </c>
      <c r="N52" s="17">
        <f t="shared" si="39"/>
        <v>0</v>
      </c>
      <c r="O52" s="17">
        <f t="shared" si="39"/>
        <v>0</v>
      </c>
      <c r="P52" s="17" t="e">
        <f t="shared" si="39"/>
        <v>#DIV/0!</v>
      </c>
      <c r="Q52" s="17">
        <f t="shared" si="39"/>
        <v>0</v>
      </c>
      <c r="R52" s="17">
        <f t="shared" si="39"/>
        <v>0</v>
      </c>
      <c r="S52" s="17">
        <f t="shared" si="39"/>
        <v>0</v>
      </c>
      <c r="T52" s="17" t="e">
        <f t="shared" si="39"/>
        <v>#DIV/0!</v>
      </c>
      <c r="U52" s="13">
        <f t="shared" si="39"/>
        <v>0</v>
      </c>
      <c r="X52" s="13"/>
      <c r="Y52" s="13"/>
      <c r="Z52" s="13"/>
      <c r="AA52" s="13"/>
      <c r="AB52" s="13"/>
      <c r="AC52" s="13"/>
      <c r="AD52" s="13"/>
      <c r="AE52" s="13"/>
      <c r="AF52" s="13"/>
    </row>
    <row r="53" spans="12:32" ht="15.75" thickBot="1" x14ac:dyDescent="0.3">
      <c r="L53" s="9" t="s">
        <v>7</v>
      </c>
      <c r="M53" s="15">
        <f t="shared" ref="M53:P53" si="40">M35-B35</f>
        <v>0</v>
      </c>
      <c r="N53" s="15">
        <f t="shared" si="40"/>
        <v>0</v>
      </c>
      <c r="O53" s="15">
        <f t="shared" si="40"/>
        <v>0</v>
      </c>
      <c r="P53" s="15" t="e">
        <f t="shared" si="40"/>
        <v>#DIV/0!</v>
      </c>
      <c r="Q53" s="15">
        <f t="shared" ref="Q53" si="41">Q35-F35</f>
        <v>0</v>
      </c>
      <c r="R53" s="15">
        <f t="shared" ref="R53" si="42">R35-G35</f>
        <v>0</v>
      </c>
      <c r="S53" s="15">
        <f t="shared" ref="S53" si="43">S35-H35</f>
        <v>0</v>
      </c>
      <c r="T53" s="15" t="e">
        <f t="shared" ref="T53" si="44">T35-I35</f>
        <v>#DIV/0!</v>
      </c>
      <c r="U53" s="15">
        <f t="shared" ref="U53" si="45">U35-J35</f>
        <v>0</v>
      </c>
      <c r="X53" s="13"/>
      <c r="Y53" s="13"/>
      <c r="Z53" s="13"/>
      <c r="AA53" s="13"/>
      <c r="AB53" s="13"/>
      <c r="AC53" s="13"/>
      <c r="AD53" s="13"/>
      <c r="AE53" s="13"/>
      <c r="AF53" s="13"/>
    </row>
  </sheetData>
  <mergeCells count="5">
    <mergeCell ref="B3:I3"/>
    <mergeCell ref="M3:U3"/>
    <mergeCell ref="B21:I21"/>
    <mergeCell ref="M21:U21"/>
    <mergeCell ref="M39:U39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AF53"/>
  <sheetViews>
    <sheetView workbookViewId="0">
      <selection activeCell="M16" sqref="M16:T16"/>
    </sheetView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r="2" spans="1:21" ht="15.75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35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31" t="s">
        <v>57</v>
      </c>
      <c r="C3" s="31"/>
      <c r="D3" s="31"/>
      <c r="E3" s="31"/>
      <c r="F3" s="31"/>
      <c r="G3" s="31"/>
      <c r="H3" s="31"/>
      <c r="I3" s="31"/>
      <c r="J3" s="11"/>
      <c r="L3" s="3"/>
      <c r="M3" s="32" t="s">
        <v>57</v>
      </c>
      <c r="N3" s="32"/>
      <c r="O3" s="32"/>
      <c r="P3" s="32"/>
      <c r="Q3" s="32"/>
      <c r="R3" s="32"/>
      <c r="S3" s="32"/>
      <c r="T3" s="32"/>
      <c r="U3" s="32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730719.5996859462</v>
      </c>
      <c r="C5" s="6" t="n">
        <v>8759.8979467271</v>
      </c>
      <c r="D5" s="6" t="n">
        <v>1391.45300628</v>
      </c>
      <c r="E5" s="6" t="n">
        <v>576.23121301</v>
      </c>
      <c r="F5" s="6" t="n">
        <v>482.690029647</v>
      </c>
      <c r="G5" s="6" t="n">
        <v>0.0</v>
      </c>
      <c r="H5" s="6" t="n">
        <v>0.0</v>
      </c>
      <c r="I5" s="6" t="n">
        <v>0.0</v>
      </c>
      <c r="J5" s="6">
        <f>SUM(B5:I5)</f>
        <v>741929.87188161036</v>
      </c>
      <c r="K5" s="6"/>
      <c r="L5" t="s">
        <v>1</v>
      </c>
      <c r="M5" s="6" t="n">
        <v>617758.0</v>
      </c>
      <c r="N5" s="6" t="n">
        <v>24569.0</v>
      </c>
      <c r="O5" s="6" t="n">
        <v>8778.0</v>
      </c>
      <c r="P5" s="6" t="n">
        <v>0.0</v>
      </c>
      <c r="Q5" s="6" t="n">
        <v>135.0</v>
      </c>
      <c r="R5" s="6" t="n">
        <v>0.0</v>
      </c>
      <c r="S5" s="6" t="n">
        <v>0.0</v>
      </c>
      <c r="T5" s="6" t="n">
        <v>0.0</v>
      </c>
      <c r="U5" s="6">
        <f t="shared" ref="U5:U16" si="0">SUM(M5:T5)</f>
        <v>651240</v>
      </c>
    </row>
    <row r="6" spans="1:21" x14ac:dyDescent="0.25">
      <c r="A6" t="s">
        <v>12</v>
      </c>
      <c r="B6" s="6" t="n">
        <v>0.0</v>
      </c>
      <c r="C6" s="6" t="n">
        <v>496010.0588448719</v>
      </c>
      <c r="D6" s="6" t="n">
        <v>35227.769965072</v>
      </c>
      <c r="E6" s="6" t="n">
        <v>0.0</v>
      </c>
      <c r="F6" s="6" t="n">
        <v>835.830047376</v>
      </c>
      <c r="G6" s="6" t="n">
        <v>0.0</v>
      </c>
      <c r="H6" s="6" t="n">
        <v>0.0</v>
      </c>
      <c r="I6" s="6" t="n">
        <v>0.0</v>
      </c>
      <c r="J6" s="6">
        <f t="shared" ref="J6:J16" si="1">SUM(B6:I6)</f>
        <v>532073.65885731985</v>
      </c>
      <c r="K6" s="6"/>
      <c r="L6" t="s">
        <v>12</v>
      </c>
      <c r="M6" s="6" t="n">
        <v>0.0</v>
      </c>
      <c r="N6" s="6" t="n">
        <v>472190.0</v>
      </c>
      <c r="O6" s="6" t="n">
        <v>81809.0</v>
      </c>
      <c r="P6" s="6" t="n">
        <v>0.0</v>
      </c>
      <c r="Q6" s="6" t="n">
        <v>2660.0</v>
      </c>
      <c r="R6" s="6" t="n">
        <v>0.0</v>
      </c>
      <c r="S6" s="6" t="n">
        <v>0.0</v>
      </c>
      <c r="T6" s="6" t="n">
        <v>0.0</v>
      </c>
      <c r="U6" s="6">
        <f t="shared" si="0"/>
        <v>556659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367822.1174735082</v>
      </c>
      <c r="E7" s="6" t="n">
        <v>0.0</v>
      </c>
      <c r="F7" s="6" t="n">
        <v>0.0</v>
      </c>
      <c r="G7" s="6" t="n">
        <v>0.0</v>
      </c>
      <c r="H7" s="6" t="n">
        <v>0.0</v>
      </c>
      <c r="I7" s="6" t="n">
        <v>0.0</v>
      </c>
      <c r="J7" s="6">
        <f t="shared" si="1"/>
        <v>367822.11747350817</v>
      </c>
      <c r="K7" s="6"/>
      <c r="L7" t="s">
        <v>56</v>
      </c>
      <c r="M7" s="6" t="n">
        <v>0.0</v>
      </c>
      <c r="N7" s="6" t="n">
        <v>0.0</v>
      </c>
      <c r="O7" s="6" t="n">
        <v>399767.0</v>
      </c>
      <c r="P7" s="6" t="n">
        <v>0.0</v>
      </c>
      <c r="Q7" s="6" t="n">
        <v>1124.0</v>
      </c>
      <c r="R7" s="6" t="n">
        <v>0.0</v>
      </c>
      <c r="S7" s="6" t="n">
        <v>0.0</v>
      </c>
      <c r="T7" s="6" t="n">
        <v>0.0</v>
      </c>
      <c r="U7" s="6">
        <f t="shared" si="0"/>
        <v>400891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983.158032612</v>
      </c>
      <c r="F8" s="6" t="n">
        <v>77355.0619351658</v>
      </c>
      <c r="G8" s="6" t="n">
        <v>0.0</v>
      </c>
      <c r="H8" s="6" t="n">
        <v>0.0</v>
      </c>
      <c r="I8" s="6" t="n">
        <v>0.0</v>
      </c>
      <c r="J8" s="6">
        <f t="shared" si="1"/>
        <v>78338.219967777797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13952.0</v>
      </c>
      <c r="R8" s="6" t="n">
        <v>0.0</v>
      </c>
      <c r="S8" s="6" t="n">
        <v>0.0</v>
      </c>
      <c r="T8" s="6" t="n">
        <v>0.0</v>
      </c>
      <c r="U8" s="6">
        <f t="shared" si="0"/>
        <v>13952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65.3094393907</v>
      </c>
      <c r="G9" s="6" t="n">
        <v>0.0</v>
      </c>
      <c r="H9" s="6" t="n">
        <v>0.0</v>
      </c>
      <c r="I9" s="6" t="n">
        <v>0.0</v>
      </c>
      <c r="J9" s="6">
        <f t="shared" si="1"/>
        <v>65.309439390700007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t="shared" si="0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t="shared" si="1"/>
        <v>0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0.0</v>
      </c>
      <c r="R10" s="6" t="n">
        <v>0.0</v>
      </c>
      <c r="S10" s="6" t="n">
        <v>0.0</v>
      </c>
      <c r="T10" s="6" t="n">
        <v>0.0</v>
      </c>
      <c r="U10" s="6">
        <f t="shared" si="0"/>
        <v>0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t="shared" si="1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0.0</v>
      </c>
      <c r="R11" s="6" t="n">
        <v>0.0</v>
      </c>
      <c r="S11" s="6" t="n">
        <v>0.0</v>
      </c>
      <c r="T11" s="6" t="n">
        <v>0.0</v>
      </c>
      <c r="U11" s="6">
        <f t="shared" si="0"/>
        <v>0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t="shared" si="1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0.0</v>
      </c>
      <c r="R12" s="6" t="n">
        <v>0.0</v>
      </c>
      <c r="S12" s="6" t="n">
        <v>0.0</v>
      </c>
      <c r="T12" s="6" t="n">
        <v>0.0</v>
      </c>
      <c r="U12" s="6">
        <f t="shared" si="0"/>
        <v>0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0.0</v>
      </c>
      <c r="J13" s="6">
        <f t="shared" si="1"/>
        <v>0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t="shared" si="0"/>
        <v>0</v>
      </c>
    </row>
    <row r="14" spans="1:21" x14ac:dyDescent="0.25">
      <c r="A14" t="s">
        <v>4</v>
      </c>
      <c r="B14" s="6" t="n">
        <v>284.563543833</v>
      </c>
      <c r="C14" s="6" t="n">
        <v>96.3867567495</v>
      </c>
      <c r="D14" s="6" t="n">
        <v>0.0</v>
      </c>
      <c r="E14" s="6" t="n">
        <v>0.0</v>
      </c>
      <c r="F14" s="6" t="n">
        <v>0.0</v>
      </c>
      <c r="G14" s="6" t="n">
        <v>7785.3744466986</v>
      </c>
      <c r="H14" s="6" t="n">
        <v>0.0</v>
      </c>
      <c r="I14" s="6" t="n">
        <v>0.0</v>
      </c>
      <c r="J14" s="6">
        <f t="shared" si="1"/>
        <v>8166.3247472810999</v>
      </c>
      <c r="K14" s="6"/>
      <c r="L14" t="s">
        <v>4</v>
      </c>
      <c r="M14" s="6" t="n">
        <v>1027.0</v>
      </c>
      <c r="N14" s="6" t="n">
        <v>784.0</v>
      </c>
      <c r="O14" s="6" t="n">
        <v>619.0</v>
      </c>
      <c r="P14" s="6" t="n">
        <v>0.0</v>
      </c>
      <c r="Q14" s="6" t="n">
        <v>221.0</v>
      </c>
      <c r="R14" s="6" t="n">
        <v>37287.0</v>
      </c>
      <c r="S14" s="6" t="n">
        <v>0.0</v>
      </c>
      <c r="T14" s="6" t="n">
        <v>0.0</v>
      </c>
      <c r="U14" s="6">
        <f t="shared" si="0"/>
        <v>39938</v>
      </c>
    </row>
    <row r="15" spans="1:21" x14ac:dyDescent="0.25">
      <c r="A15" t="s">
        <v>5</v>
      </c>
      <c r="B15" s="6" t="n">
        <v>8246.9502218851</v>
      </c>
      <c r="C15" s="6" t="n">
        <v>7917.644623086</v>
      </c>
      <c r="D15" s="6" t="n">
        <v>12535.3637717784</v>
      </c>
      <c r="E15" s="6" t="n">
        <v>169.304393408</v>
      </c>
      <c r="F15" s="6" t="n">
        <v>41665.3345938309</v>
      </c>
      <c r="G15" s="6" t="n">
        <v>96.3164214546</v>
      </c>
      <c r="H15" s="6" t="n">
        <v>175896.8382713744</v>
      </c>
      <c r="I15" s="6" t="n">
        <v>0.0</v>
      </c>
      <c r="J15" s="6">
        <f t="shared" si="1"/>
        <v>246527.7522968174</v>
      </c>
      <c r="K15" s="6"/>
      <c r="L15" t="s">
        <v>5</v>
      </c>
      <c r="M15" s="6" t="n">
        <v>10123.0</v>
      </c>
      <c r="N15" s="6" t="n">
        <v>3638.0</v>
      </c>
      <c r="O15" s="6" t="n">
        <v>2251.0</v>
      </c>
      <c r="P15" s="6" t="n">
        <v>0.0</v>
      </c>
      <c r="Q15" s="6" t="n">
        <v>2682.0</v>
      </c>
      <c r="R15" s="6" t="n">
        <v>2645.0</v>
      </c>
      <c r="S15" s="6" t="n">
        <v>132207.0</v>
      </c>
      <c r="T15" s="6" t="n">
        <v>0.0</v>
      </c>
      <c r="U15" s="6">
        <f t="shared" si="0"/>
        <v>153546</v>
      </c>
    </row>
    <row r="16" spans="1:21" x14ac:dyDescent="0.25">
      <c r="A16" s="4" t="s">
        <v>60</v>
      </c>
      <c r="B16" s="10" t="n">
        <v>0.0</v>
      </c>
      <c r="C16" s="10" t="n">
        <v>0.0</v>
      </c>
      <c r="D16" s="10" t="n">
        <v>0.0</v>
      </c>
      <c r="E16" s="10" t="n">
        <v>0.0</v>
      </c>
      <c r="F16" s="10" t="n">
        <v>0.0</v>
      </c>
      <c r="G16" s="10" t="n">
        <v>0.0</v>
      </c>
      <c r="H16" s="10" t="n">
        <v>0.0</v>
      </c>
      <c r="I16" s="10" t="n">
        <v>0.0</v>
      </c>
      <c r="J16" s="6">
        <f t="shared" si="1"/>
        <v>0</v>
      </c>
      <c r="K16" s="6"/>
      <c r="L16" s="4" t="s">
        <v>60</v>
      </c>
      <c r="M16" s="8" t="n">
        <v>0.0</v>
      </c>
      <c r="N16" s="8" t="n">
        <v>4311.0</v>
      </c>
      <c r="O16" s="8" t="n">
        <v>5136.0</v>
      </c>
      <c r="P16" s="8" t="n">
        <v>0.0</v>
      </c>
      <c r="Q16" s="8" t="n">
        <v>0.0</v>
      </c>
      <c r="R16" s="8" t="n">
        <v>0.0</v>
      </c>
      <c r="S16" s="8" t="n">
        <v>0.0</v>
      </c>
      <c r="T16" s="8" t="n">
        <v>0.0</v>
      </c>
      <c r="U16" s="6">
        <f t="shared" si="0"/>
        <v>0</v>
      </c>
    </row>
    <row r="17" spans="1:21" ht="15.75" thickBot="1" x14ac:dyDescent="0.3">
      <c r="A17" s="12" t="s">
        <v>7</v>
      </c>
      <c r="B17" s="16">
        <f t="shared" ref="B17:J17" si="2">SUM(B5:B16)</f>
        <v>739251.11345166434</v>
      </c>
      <c r="C17" s="16">
        <f t="shared" si="2"/>
        <v>512783.98817143444</v>
      </c>
      <c r="D17" s="16">
        <f t="shared" si="2"/>
        <v>416976.70421663858</v>
      </c>
      <c r="E17" s="16">
        <f t="shared" si="2"/>
        <v>1728.6936390300002</v>
      </c>
      <c r="F17" s="16">
        <f t="shared" si="2"/>
        <v>120404.22604541038</v>
      </c>
      <c r="G17" s="16">
        <f t="shared" si="2"/>
        <v>7881.6908681532004</v>
      </c>
      <c r="H17" s="16">
        <f t="shared" si="2"/>
        <v>175896.83827137441</v>
      </c>
      <c r="I17" s="16">
        <f t="shared" si="2"/>
        <v>0</v>
      </c>
      <c r="J17" s="16">
        <f t="shared" si="2"/>
        <v>1974923.2546637056</v>
      </c>
      <c r="L17" s="9" t="s">
        <v>7</v>
      </c>
      <c r="M17" s="16">
        <f t="shared" ref="M17:U17" si="3">SUM(M5:M16)</f>
        <v>628908</v>
      </c>
      <c r="N17" s="16">
        <f t="shared" si="3"/>
        <v>501181</v>
      </c>
      <c r="O17" s="16">
        <f t="shared" si="3"/>
        <v>493224</v>
      </c>
      <c r="P17" s="16">
        <f t="shared" si="3"/>
        <v>0</v>
      </c>
      <c r="Q17" s="16">
        <f t="shared" si="3"/>
        <v>20774</v>
      </c>
      <c r="R17" s="16">
        <f t="shared" si="3"/>
        <v>39932</v>
      </c>
      <c r="S17" s="16">
        <f t="shared" si="3"/>
        <v>132207</v>
      </c>
      <c r="T17" s="16">
        <f t="shared" si="3"/>
        <v>0</v>
      </c>
      <c r="U17" s="16">
        <f t="shared" si="3"/>
        <v>1816226</v>
      </c>
    </row>
    <row r="20" spans="1:21" ht="15.75" thickBot="1" x14ac:dyDescent="0.3">
      <c r="A20" s="1" t="s">
        <v>59</v>
      </c>
      <c r="B20" s="1"/>
      <c r="C20" s="2"/>
      <c r="D20" s="2"/>
      <c r="E20" s="2"/>
      <c r="F20" s="2"/>
      <c r="G20" s="2"/>
      <c r="H20" s="2"/>
      <c r="I20" s="2"/>
      <c r="J20" s="2"/>
      <c r="L20" s="1" t="s">
        <v>36</v>
      </c>
      <c r="M20" s="1"/>
      <c r="N20" s="2"/>
      <c r="O20" s="2"/>
      <c r="P20" s="2"/>
      <c r="Q20" s="2"/>
      <c r="R20" s="2"/>
      <c r="S20" s="2"/>
      <c r="T20" s="2"/>
      <c r="U20" s="2"/>
    </row>
    <row r="21" spans="1:21" x14ac:dyDescent="0.25">
      <c r="A21" s="3"/>
      <c r="B21" s="31" t="s">
        <v>57</v>
      </c>
      <c r="C21" s="31"/>
      <c r="D21" s="31"/>
      <c r="E21" s="31"/>
      <c r="F21" s="31"/>
      <c r="G21" s="31"/>
      <c r="H21" s="31"/>
      <c r="I21" s="31"/>
      <c r="J21" s="11"/>
      <c r="L21" s="3"/>
      <c r="M21" s="32" t="s">
        <v>57</v>
      </c>
      <c r="N21" s="32"/>
      <c r="O21" s="32"/>
      <c r="P21" s="32"/>
      <c r="Q21" s="32"/>
      <c r="R21" s="32"/>
      <c r="S21" s="32"/>
      <c r="T21" s="32"/>
      <c r="U21" s="32"/>
    </row>
    <row r="22" spans="1:21" x14ac:dyDescent="0.25">
      <c r="A22" s="4" t="s">
        <v>0</v>
      </c>
      <c r="B22" s="5" t="s">
        <v>11</v>
      </c>
      <c r="C22" s="5" t="s">
        <v>12</v>
      </c>
      <c r="D22" s="5" t="s">
        <v>13</v>
      </c>
      <c r="E22" s="5" t="s">
        <v>14</v>
      </c>
      <c r="F22" s="5" t="s">
        <v>15</v>
      </c>
      <c r="G22" s="5" t="s">
        <v>4</v>
      </c>
      <c r="H22" s="5" t="s">
        <v>5</v>
      </c>
      <c r="I22" s="5" t="s">
        <v>16</v>
      </c>
      <c r="J22" s="5" t="s">
        <v>7</v>
      </c>
      <c r="L22" s="4" t="s">
        <v>0</v>
      </c>
      <c r="M22" s="5" t="s">
        <v>1</v>
      </c>
      <c r="N22" s="5" t="s">
        <v>2</v>
      </c>
      <c r="O22" s="5" t="s">
        <v>3</v>
      </c>
      <c r="P22" s="5" t="s">
        <v>14</v>
      </c>
      <c r="Q22" s="5" t="s">
        <v>15</v>
      </c>
      <c r="R22" s="5" t="s">
        <v>4</v>
      </c>
      <c r="S22" s="5" t="s">
        <v>5</v>
      </c>
      <c r="T22" s="5" t="s">
        <v>16</v>
      </c>
      <c r="U22" s="5" t="s">
        <v>7</v>
      </c>
    </row>
    <row r="23" spans="1:21" x14ac:dyDescent="0.25">
      <c r="A23" t="s">
        <v>1</v>
      </c>
      <c r="B23" s="13">
        <f t="shared" ref="B23:J23" si="4">B5/B$17</f>
        <v>0.98845924800047535</v>
      </c>
      <c r="C23" s="13">
        <f t="shared" si="4"/>
        <v>1.7083017701009968E-2</v>
      </c>
      <c r="D23" s="13">
        <f t="shared" si="4"/>
        <v>3.3370041832290853E-3</v>
      </c>
      <c r="E23" s="13">
        <f t="shared" si="4"/>
        <v>0.33333333333333331</v>
      </c>
      <c r="F23" s="13">
        <f t="shared" si="4"/>
        <v>4.008912689368177E-3</v>
      </c>
      <c r="G23" s="13">
        <f t="shared" si="4"/>
        <v>0</v>
      </c>
      <c r="H23" s="13">
        <f t="shared" si="4"/>
        <v>0</v>
      </c>
      <c r="I23" s="13" t="e">
        <f t="shared" si="4"/>
        <v>#DIV/0!</v>
      </c>
      <c r="J23" s="13">
        <f t="shared" si="4"/>
        <v>0.37567529276369166</v>
      </c>
      <c r="K23" s="6"/>
      <c r="L23" t="s">
        <v>1</v>
      </c>
      <c r="M23" s="13">
        <f t="shared" ref="M23:U23" si="5">M5/M$17</f>
        <v>0.98227085678668424</v>
      </c>
      <c r="N23" s="13">
        <f t="shared" si="5"/>
        <v>4.902220954106401E-2</v>
      </c>
      <c r="O23" s="13">
        <f t="shared" si="5"/>
        <v>1.7797187484793926E-2</v>
      </c>
      <c r="P23" s="13" t="e">
        <f t="shared" si="5"/>
        <v>#DIV/0!</v>
      </c>
      <c r="Q23" s="13">
        <f t="shared" si="5"/>
        <v>6.4985077500722055E-3</v>
      </c>
      <c r="R23" s="13">
        <f t="shared" si="5"/>
        <v>0</v>
      </c>
      <c r="S23" s="13">
        <f t="shared" si="5"/>
        <v>0</v>
      </c>
      <c r="T23" s="13" t="e">
        <f t="shared" si="5"/>
        <v>#DIV/0!</v>
      </c>
      <c r="U23" s="13">
        <f t="shared" si="5"/>
        <v>0.35856771128703147</v>
      </c>
    </row>
    <row r="24" spans="1:21" x14ac:dyDescent="0.25">
      <c r="A24" t="s">
        <v>12</v>
      </c>
      <c r="B24" s="13">
        <f t="shared" ref="B24:J24" si="6">B6/B$17</f>
        <v>0</v>
      </c>
      <c r="C24" s="13">
        <f t="shared" si="6"/>
        <v>0.96728850800045907</v>
      </c>
      <c r="D24" s="13">
        <f t="shared" si="6"/>
        <v>8.4483784366930853E-2</v>
      </c>
      <c r="E24" s="13">
        <f t="shared" si="6"/>
        <v>0</v>
      </c>
      <c r="F24" s="13">
        <f t="shared" si="6"/>
        <v>6.9418663682183981E-3</v>
      </c>
      <c r="G24" s="13">
        <f t="shared" si="6"/>
        <v>0</v>
      </c>
      <c r="H24" s="13">
        <f t="shared" si="6"/>
        <v>0</v>
      </c>
      <c r="I24" s="13" t="e">
        <f t="shared" si="6"/>
        <v>#DIV/0!</v>
      </c>
      <c r="J24" s="13">
        <f t="shared" si="6"/>
        <v>0.26941485326118281</v>
      </c>
      <c r="K24" s="6"/>
      <c r="L24" t="s">
        <v>12</v>
      </c>
      <c r="M24" s="13">
        <f t="shared" ref="M24:U24" si="7">M6/M$17</f>
        <v>0</v>
      </c>
      <c r="N24" s="13">
        <f t="shared" si="7"/>
        <v>0.94215463076213979</v>
      </c>
      <c r="O24" s="13">
        <f t="shared" si="7"/>
        <v>0.16586581350461455</v>
      </c>
      <c r="P24" s="13" t="e">
        <f t="shared" si="7"/>
        <v>#DIV/0!</v>
      </c>
      <c r="Q24" s="13">
        <f t="shared" si="7"/>
        <v>0.12804467122364493</v>
      </c>
      <c r="R24" s="13">
        <f t="shared" si="7"/>
        <v>0</v>
      </c>
      <c r="S24" s="13">
        <f t="shared" si="7"/>
        <v>0</v>
      </c>
      <c r="T24" s="13" t="e">
        <f t="shared" si="7"/>
        <v>#DIV/0!</v>
      </c>
      <c r="U24" s="13">
        <f t="shared" si="7"/>
        <v>0.30649214359886928</v>
      </c>
    </row>
    <row r="25" spans="1:21" x14ac:dyDescent="0.25">
      <c r="A25" t="s">
        <v>56</v>
      </c>
      <c r="B25" s="13">
        <f t="shared" ref="B25:J25" si="8">B7/B$17</f>
        <v>0</v>
      </c>
      <c r="C25" s="13">
        <f t="shared" si="8"/>
        <v>0</v>
      </c>
      <c r="D25" s="13">
        <f t="shared" si="8"/>
        <v>0.88211670760965977</v>
      </c>
      <c r="E25" s="13">
        <f t="shared" si="8"/>
        <v>0</v>
      </c>
      <c r="F25" s="13">
        <f t="shared" si="8"/>
        <v>0</v>
      </c>
      <c r="G25" s="13">
        <f t="shared" si="8"/>
        <v>0</v>
      </c>
      <c r="H25" s="13">
        <f t="shared" si="8"/>
        <v>0</v>
      </c>
      <c r="I25" s="13" t="e">
        <f t="shared" si="8"/>
        <v>#DIV/0!</v>
      </c>
      <c r="J25" s="13">
        <f t="shared" si="8"/>
        <v>0.18624628405428431</v>
      </c>
      <c r="K25" s="6"/>
      <c r="L25" t="s">
        <v>56</v>
      </c>
      <c r="M25" s="13">
        <f t="shared" ref="M25:U25" si="9">M7/M$17</f>
        <v>0</v>
      </c>
      <c r="N25" s="13">
        <f t="shared" si="9"/>
        <v>0</v>
      </c>
      <c r="O25" s="13">
        <f t="shared" si="9"/>
        <v>0.81051814185846593</v>
      </c>
      <c r="P25" s="13" t="e">
        <f t="shared" si="9"/>
        <v>#DIV/0!</v>
      </c>
      <c r="Q25" s="13">
        <f t="shared" si="9"/>
        <v>5.4106094156156734E-2</v>
      </c>
      <c r="R25" s="13">
        <f t="shared" si="9"/>
        <v>0</v>
      </c>
      <c r="S25" s="13">
        <f t="shared" si="9"/>
        <v>0</v>
      </c>
      <c r="T25" s="13" t="e">
        <f t="shared" si="9"/>
        <v>#DIV/0!</v>
      </c>
      <c r="U25" s="13">
        <f t="shared" si="9"/>
        <v>0.22072748655728969</v>
      </c>
    </row>
    <row r="26" spans="1:21" x14ac:dyDescent="0.25">
      <c r="A26" t="s">
        <v>51</v>
      </c>
      <c r="B26" s="13">
        <f t="shared" ref="B26:J26" si="10">B8/B$17</f>
        <v>0</v>
      </c>
      <c r="C26" s="13">
        <f t="shared" si="10"/>
        <v>0</v>
      </c>
      <c r="D26" s="13">
        <f t="shared" si="10"/>
        <v>0</v>
      </c>
      <c r="E26" s="13">
        <f t="shared" si="10"/>
        <v>0.5687289004913948</v>
      </c>
      <c r="F26" s="13">
        <f t="shared" si="10"/>
        <v>0.64246135269364535</v>
      </c>
      <c r="G26" s="13">
        <f t="shared" si="10"/>
        <v>0</v>
      </c>
      <c r="H26" s="13">
        <f t="shared" si="10"/>
        <v>0</v>
      </c>
      <c r="I26" s="13" t="e">
        <f t="shared" si="10"/>
        <v>#DIV/0!</v>
      </c>
      <c r="J26" s="13">
        <f t="shared" si="10"/>
        <v>3.966646287787897E-2</v>
      </c>
      <c r="K26" s="6"/>
      <c r="L26" t="s">
        <v>51</v>
      </c>
      <c r="M26" s="13">
        <f t="shared" ref="M26:U26" si="11">M8/M$17</f>
        <v>0</v>
      </c>
      <c r="N26" s="13">
        <f t="shared" si="11"/>
        <v>0</v>
      </c>
      <c r="O26" s="13">
        <f t="shared" si="11"/>
        <v>0</v>
      </c>
      <c r="P26" s="13" t="e">
        <f t="shared" si="11"/>
        <v>#DIV/0!</v>
      </c>
      <c r="Q26" s="13">
        <f t="shared" si="11"/>
        <v>0.67160874169635121</v>
      </c>
      <c r="R26" s="13">
        <f t="shared" si="11"/>
        <v>0</v>
      </c>
      <c r="S26" s="13">
        <f t="shared" si="11"/>
        <v>0</v>
      </c>
      <c r="T26" s="13" t="e">
        <f t="shared" si="11"/>
        <v>#DIV/0!</v>
      </c>
      <c r="U26" s="13">
        <f t="shared" si="11"/>
        <v>7.6818633804383377E-3</v>
      </c>
    </row>
    <row r="27" spans="1:21" x14ac:dyDescent="0.25">
      <c r="A27" t="s">
        <v>52</v>
      </c>
      <c r="B27" s="13">
        <f t="shared" ref="B27:J27" si="12">B9/B$17</f>
        <v>0</v>
      </c>
      <c r="C27" s="13">
        <f t="shared" si="12"/>
        <v>0</v>
      </c>
      <c r="D27" s="13">
        <f t="shared" si="12"/>
        <v>0</v>
      </c>
      <c r="E27" s="13">
        <f t="shared" si="12"/>
        <v>0</v>
      </c>
      <c r="F27" s="13">
        <f t="shared" si="12"/>
        <v>5.4241816533971644E-4</v>
      </c>
      <c r="G27" s="13">
        <f t="shared" si="12"/>
        <v>0</v>
      </c>
      <c r="H27" s="13">
        <f t="shared" si="12"/>
        <v>0</v>
      </c>
      <c r="I27" s="13" t="e">
        <f t="shared" si="12"/>
        <v>#DIV/0!</v>
      </c>
      <c r="J27" s="13">
        <f t="shared" si="12"/>
        <v>3.3069355599755213E-5</v>
      </c>
      <c r="K27" s="6"/>
      <c r="L27" t="s">
        <v>52</v>
      </c>
      <c r="M27" s="13">
        <f t="shared" ref="M27:U27" si="13">M9/M$17</f>
        <v>0</v>
      </c>
      <c r="N27" s="13">
        <f t="shared" si="13"/>
        <v>0</v>
      </c>
      <c r="O27" s="13">
        <f t="shared" si="13"/>
        <v>0</v>
      </c>
      <c r="P27" s="13" t="e">
        <f t="shared" si="13"/>
        <v>#DIV/0!</v>
      </c>
      <c r="Q27" s="13">
        <f t="shared" si="13"/>
        <v>0</v>
      </c>
      <c r="R27" s="13">
        <f t="shared" si="13"/>
        <v>0</v>
      </c>
      <c r="S27" s="13">
        <f t="shared" si="13"/>
        <v>0</v>
      </c>
      <c r="T27" s="13" t="e">
        <f t="shared" si="13"/>
        <v>#DIV/0!</v>
      </c>
      <c r="U27" s="13">
        <f t="shared" si="13"/>
        <v>0</v>
      </c>
    </row>
    <row r="28" spans="1:21" x14ac:dyDescent="0.25">
      <c r="A28" t="s">
        <v>53</v>
      </c>
      <c r="B28" s="13">
        <f t="shared" ref="B28:J28" si="14">B10/B$17</f>
        <v>0</v>
      </c>
      <c r="C28" s="13">
        <f t="shared" si="14"/>
        <v>0</v>
      </c>
      <c r="D28" s="13">
        <f t="shared" si="14"/>
        <v>0</v>
      </c>
      <c r="E28" s="13">
        <f t="shared" si="14"/>
        <v>0</v>
      </c>
      <c r="F28" s="13">
        <f t="shared" si="14"/>
        <v>0</v>
      </c>
      <c r="G28" s="13">
        <f t="shared" si="14"/>
        <v>0</v>
      </c>
      <c r="H28" s="13">
        <f t="shared" si="14"/>
        <v>0</v>
      </c>
      <c r="I28" s="13" t="e">
        <f t="shared" si="14"/>
        <v>#DIV/0!</v>
      </c>
      <c r="J28" s="13">
        <f t="shared" si="14"/>
        <v>0</v>
      </c>
      <c r="K28" s="6"/>
      <c r="L28" t="s">
        <v>53</v>
      </c>
      <c r="M28" s="13">
        <f t="shared" ref="M28:U28" si="15">M10/M$17</f>
        <v>0</v>
      </c>
      <c r="N28" s="13">
        <f t="shared" si="15"/>
        <v>0</v>
      </c>
      <c r="O28" s="13">
        <f t="shared" si="15"/>
        <v>0</v>
      </c>
      <c r="P28" s="13" t="e">
        <f t="shared" si="15"/>
        <v>#DIV/0!</v>
      </c>
      <c r="Q28" s="13">
        <f t="shared" si="15"/>
        <v>0</v>
      </c>
      <c r="R28" s="13">
        <f t="shared" si="15"/>
        <v>0</v>
      </c>
      <c r="S28" s="13">
        <f t="shared" si="15"/>
        <v>0</v>
      </c>
      <c r="T28" s="13" t="e">
        <f t="shared" si="15"/>
        <v>#DIV/0!</v>
      </c>
      <c r="U28" s="13">
        <f t="shared" si="15"/>
        <v>0</v>
      </c>
    </row>
    <row r="29" spans="1:21" x14ac:dyDescent="0.25">
      <c r="A29" t="s">
        <v>54</v>
      </c>
      <c r="B29" s="13">
        <f t="shared" ref="B29:J29" si="16">B11/B$17</f>
        <v>0</v>
      </c>
      <c r="C29" s="13">
        <f t="shared" si="16"/>
        <v>0</v>
      </c>
      <c r="D29" s="13">
        <f t="shared" si="16"/>
        <v>0</v>
      </c>
      <c r="E29" s="13">
        <f t="shared" si="16"/>
        <v>0</v>
      </c>
      <c r="F29" s="13">
        <f t="shared" si="16"/>
        <v>0</v>
      </c>
      <c r="G29" s="13">
        <f t="shared" si="16"/>
        <v>0</v>
      </c>
      <c r="H29" s="13">
        <f t="shared" si="16"/>
        <v>0</v>
      </c>
      <c r="I29" s="13" t="e">
        <f t="shared" si="16"/>
        <v>#DIV/0!</v>
      </c>
      <c r="J29" s="13">
        <f t="shared" si="16"/>
        <v>0</v>
      </c>
      <c r="K29" s="6"/>
      <c r="L29" t="s">
        <v>54</v>
      </c>
      <c r="M29" s="13">
        <f t="shared" ref="M29:U29" si="17">M11/M$17</f>
        <v>0</v>
      </c>
      <c r="N29" s="13">
        <f t="shared" si="17"/>
        <v>0</v>
      </c>
      <c r="O29" s="13">
        <f t="shared" si="17"/>
        <v>0</v>
      </c>
      <c r="P29" s="13" t="e">
        <f t="shared" si="17"/>
        <v>#DIV/0!</v>
      </c>
      <c r="Q29" s="13">
        <f t="shared" si="17"/>
        <v>0</v>
      </c>
      <c r="R29" s="13">
        <f t="shared" si="17"/>
        <v>0</v>
      </c>
      <c r="S29" s="13">
        <f t="shared" si="17"/>
        <v>0</v>
      </c>
      <c r="T29" s="13" t="e">
        <f t="shared" si="17"/>
        <v>#DIV/0!</v>
      </c>
      <c r="U29" s="13">
        <f t="shared" si="17"/>
        <v>0</v>
      </c>
    </row>
    <row r="30" spans="1:21" x14ac:dyDescent="0.25">
      <c r="A30" t="s">
        <v>55</v>
      </c>
      <c r="B30" s="13">
        <f t="shared" ref="B30:J30" si="18">B12/B$17</f>
        <v>0</v>
      </c>
      <c r="C30" s="13">
        <f t="shared" si="18"/>
        <v>0</v>
      </c>
      <c r="D30" s="13">
        <f t="shared" si="18"/>
        <v>0</v>
      </c>
      <c r="E30" s="13">
        <f t="shared" si="18"/>
        <v>0</v>
      </c>
      <c r="F30" s="13">
        <f t="shared" si="18"/>
        <v>0</v>
      </c>
      <c r="G30" s="13">
        <f t="shared" si="18"/>
        <v>0</v>
      </c>
      <c r="H30" s="13">
        <f t="shared" si="18"/>
        <v>0</v>
      </c>
      <c r="I30" s="13" t="e">
        <f t="shared" si="18"/>
        <v>#DIV/0!</v>
      </c>
      <c r="J30" s="13">
        <f t="shared" si="18"/>
        <v>0</v>
      </c>
      <c r="K30" s="6"/>
      <c r="L30" t="s">
        <v>55</v>
      </c>
      <c r="M30" s="13">
        <f t="shared" ref="M30:U30" si="19">M12/M$17</f>
        <v>0</v>
      </c>
      <c r="N30" s="13">
        <f t="shared" si="19"/>
        <v>0</v>
      </c>
      <c r="O30" s="13">
        <f t="shared" si="19"/>
        <v>0</v>
      </c>
      <c r="P30" s="13" t="e">
        <f t="shared" si="19"/>
        <v>#DIV/0!</v>
      </c>
      <c r="Q30" s="13">
        <f t="shared" si="19"/>
        <v>0</v>
      </c>
      <c r="R30" s="13">
        <f t="shared" si="19"/>
        <v>0</v>
      </c>
      <c r="S30" s="13">
        <f t="shared" si="19"/>
        <v>0</v>
      </c>
      <c r="T30" s="13" t="e">
        <f t="shared" si="19"/>
        <v>#DIV/0!</v>
      </c>
      <c r="U30" s="13">
        <f t="shared" si="19"/>
        <v>0</v>
      </c>
    </row>
    <row r="31" spans="1:21" x14ac:dyDescent="0.25">
      <c r="A31" t="s">
        <v>24</v>
      </c>
      <c r="B31" s="13">
        <f t="shared" ref="B31:J31" si="20">B13/B$17</f>
        <v>0</v>
      </c>
      <c r="C31" s="13">
        <f t="shared" si="20"/>
        <v>0</v>
      </c>
      <c r="D31" s="13">
        <f t="shared" si="20"/>
        <v>0</v>
      </c>
      <c r="E31" s="13">
        <f t="shared" si="20"/>
        <v>0</v>
      </c>
      <c r="F31" s="13">
        <f t="shared" si="20"/>
        <v>0</v>
      </c>
      <c r="G31" s="13">
        <f t="shared" si="20"/>
        <v>0</v>
      </c>
      <c r="H31" s="13">
        <f t="shared" si="20"/>
        <v>0</v>
      </c>
      <c r="I31" s="13" t="e">
        <f t="shared" si="20"/>
        <v>#DIV/0!</v>
      </c>
      <c r="J31" s="13">
        <f t="shared" si="20"/>
        <v>0</v>
      </c>
      <c r="K31" s="6"/>
      <c r="L31" t="s">
        <v>24</v>
      </c>
      <c r="M31" s="13">
        <f t="shared" ref="M31:U31" si="21">M13/M$17</f>
        <v>0</v>
      </c>
      <c r="N31" s="13">
        <f t="shared" si="21"/>
        <v>0</v>
      </c>
      <c r="O31" s="13">
        <f t="shared" si="21"/>
        <v>0</v>
      </c>
      <c r="P31" s="13" t="e">
        <f t="shared" si="21"/>
        <v>#DIV/0!</v>
      </c>
      <c r="Q31" s="13">
        <f t="shared" si="21"/>
        <v>0</v>
      </c>
      <c r="R31" s="13">
        <f t="shared" si="21"/>
        <v>0</v>
      </c>
      <c r="S31" s="13">
        <f t="shared" si="21"/>
        <v>0</v>
      </c>
      <c r="T31" s="13" t="e">
        <f t="shared" si="21"/>
        <v>#DIV/0!</v>
      </c>
      <c r="U31" s="13">
        <f t="shared" si="21"/>
        <v>0</v>
      </c>
    </row>
    <row r="32" spans="1:21" x14ac:dyDescent="0.25">
      <c r="A32" t="s">
        <v>4</v>
      </c>
      <c r="B32" s="13">
        <f t="shared" ref="B32:J32" si="22">B14/B$17</f>
        <v>3.8493488701604246E-4</v>
      </c>
      <c r="C32" s="13">
        <f t="shared" si="22"/>
        <v>1.8796756328763503E-4</v>
      </c>
      <c r="D32" s="13">
        <f t="shared" si="22"/>
        <v>0</v>
      </c>
      <c r="E32" s="13">
        <f t="shared" si="22"/>
        <v>0</v>
      </c>
      <c r="F32" s="13">
        <f t="shared" si="22"/>
        <v>0</v>
      </c>
      <c r="G32" s="13">
        <f t="shared" si="22"/>
        <v>0.98777972606819975</v>
      </c>
      <c r="H32" s="13">
        <f t="shared" si="22"/>
        <v>0</v>
      </c>
      <c r="I32" s="13" t="e">
        <f t="shared" si="22"/>
        <v>#DIV/0!</v>
      </c>
      <c r="J32" s="13">
        <f t="shared" si="22"/>
        <v>4.1350086531193745E-3</v>
      </c>
      <c r="K32" s="6"/>
      <c r="L32" t="s">
        <v>4</v>
      </c>
      <c r="M32" s="13">
        <f t="shared" ref="M32:U32" si="23">M14/M$17</f>
        <v>1.6329892448498032E-3</v>
      </c>
      <c r="N32" s="13">
        <f t="shared" si="23"/>
        <v>1.5643051113270454E-3</v>
      </c>
      <c r="O32" s="13">
        <f t="shared" si="23"/>
        <v>1.2550078666082754E-3</v>
      </c>
      <c r="P32" s="13" t="e">
        <f t="shared" si="23"/>
        <v>#DIV/0!</v>
      </c>
      <c r="Q32" s="13">
        <f t="shared" si="23"/>
        <v>1.0638297872340425E-2</v>
      </c>
      <c r="R32" s="13">
        <f t="shared" si="23"/>
        <v>0.93376239607332467</v>
      </c>
      <c r="S32" s="13">
        <f t="shared" si="23"/>
        <v>0</v>
      </c>
      <c r="T32" s="13" t="e">
        <f t="shared" si="23"/>
        <v>#DIV/0!</v>
      </c>
      <c r="U32" s="13">
        <f t="shared" si="23"/>
        <v>2.1989554163413583E-2</v>
      </c>
    </row>
    <row r="33" spans="1:32" x14ac:dyDescent="0.25">
      <c r="A33" t="s">
        <v>5</v>
      </c>
      <c r="B33" s="13">
        <f t="shared" ref="B33:J33" si="24">B15/B$17</f>
        <v>1.1155817112508581E-2</v>
      </c>
      <c r="C33" s="13">
        <f t="shared" si="24"/>
        <v>1.544050673524339E-2</v>
      </c>
      <c r="D33" s="13">
        <f t="shared" si="24"/>
        <v>3.0062503840180246E-2</v>
      </c>
      <c r="E33" s="13">
        <f t="shared" si="24"/>
        <v>9.7937766175271876E-2</v>
      </c>
      <c r="F33" s="13">
        <f t="shared" si="24"/>
        <v>0.34604545008342852</v>
      </c>
      <c r="G33" s="13">
        <f t="shared" si="24"/>
        <v>1.222027393180017E-2</v>
      </c>
      <c r="H33" s="13">
        <f t="shared" si="24"/>
        <v>1</v>
      </c>
      <c r="I33" s="13" t="e">
        <f t="shared" si="24"/>
        <v>#DIV/0!</v>
      </c>
      <c r="J33" s="13">
        <f t="shared" si="24"/>
        <v>0.12482902903424301</v>
      </c>
      <c r="K33" s="6"/>
      <c r="L33" t="s">
        <v>5</v>
      </c>
      <c r="M33" s="13">
        <f t="shared" ref="M33:U33" si="25">M15/M$17</f>
        <v>1.6096153968465976E-2</v>
      </c>
      <c r="N33" s="13">
        <f t="shared" si="25"/>
        <v>7.2588545854691223E-3</v>
      </c>
      <c r="O33" s="13">
        <f t="shared" si="25"/>
        <v>4.5638492855173312E-3</v>
      </c>
      <c r="P33" s="13" t="e">
        <f t="shared" si="25"/>
        <v>#DIV/0!</v>
      </c>
      <c r="Q33" s="13">
        <f t="shared" si="25"/>
        <v>0.12910368730143448</v>
      </c>
      <c r="R33" s="13">
        <f t="shared" si="25"/>
        <v>6.6237603926675354E-2</v>
      </c>
      <c r="S33" s="13">
        <f t="shared" si="25"/>
        <v>1</v>
      </c>
      <c r="T33" s="13" t="e">
        <f t="shared" si="25"/>
        <v>#DIV/0!</v>
      </c>
      <c r="U33" s="13">
        <f t="shared" si="25"/>
        <v>8.4541241012957638E-2</v>
      </c>
    </row>
    <row r="34" spans="1:32" x14ac:dyDescent="0.25">
      <c r="A34" s="4" t="s">
        <v>60</v>
      </c>
      <c r="B34" s="13">
        <f t="shared" ref="B34:J34" si="26">B16/B$17</f>
        <v>0</v>
      </c>
      <c r="C34" s="13">
        <f t="shared" si="26"/>
        <v>0</v>
      </c>
      <c r="D34" s="13">
        <f t="shared" si="26"/>
        <v>0</v>
      </c>
      <c r="E34" s="13">
        <f t="shared" si="26"/>
        <v>0</v>
      </c>
      <c r="F34" s="13">
        <f t="shared" si="26"/>
        <v>0</v>
      </c>
      <c r="G34" s="13">
        <f t="shared" si="26"/>
        <v>0</v>
      </c>
      <c r="H34" s="13">
        <f t="shared" si="26"/>
        <v>0</v>
      </c>
      <c r="I34" s="13" t="e">
        <f t="shared" si="26"/>
        <v>#DIV/0!</v>
      </c>
      <c r="J34" s="13">
        <f t="shared" si="26"/>
        <v>0</v>
      </c>
      <c r="K34" s="6"/>
      <c r="L34" s="4" t="s">
        <v>60</v>
      </c>
      <c r="M34" s="14">
        <f t="shared" ref="M34:U34" si="27">M16/M$17</f>
        <v>0</v>
      </c>
      <c r="N34" s="14">
        <f t="shared" si="27"/>
        <v>0</v>
      </c>
      <c r="O34" s="14">
        <f t="shared" si="27"/>
        <v>0</v>
      </c>
      <c r="P34" s="14" t="e">
        <f t="shared" si="27"/>
        <v>#DIV/0!</v>
      </c>
      <c r="Q34" s="14">
        <f t="shared" si="27"/>
        <v>0</v>
      </c>
      <c r="R34" s="14">
        <f t="shared" si="27"/>
        <v>0</v>
      </c>
      <c r="S34" s="14">
        <f t="shared" si="27"/>
        <v>0</v>
      </c>
      <c r="T34" s="14" t="e">
        <f t="shared" si="27"/>
        <v>#DIV/0!</v>
      </c>
      <c r="U34" s="14">
        <f t="shared" si="27"/>
        <v>0</v>
      </c>
    </row>
    <row r="35" spans="1:32" ht="15.75" thickBot="1" x14ac:dyDescent="0.3">
      <c r="A35" s="12" t="s">
        <v>7</v>
      </c>
      <c r="B35" s="15">
        <f t="shared" ref="B35:J35" si="28">B17/B$17</f>
        <v>1</v>
      </c>
      <c r="C35" s="15">
        <f t="shared" si="28"/>
        <v>1</v>
      </c>
      <c r="D35" s="15">
        <f t="shared" si="28"/>
        <v>1</v>
      </c>
      <c r="E35" s="15">
        <f t="shared" si="28"/>
        <v>1</v>
      </c>
      <c r="F35" s="15">
        <f t="shared" si="28"/>
        <v>1</v>
      </c>
      <c r="G35" s="15">
        <f t="shared" si="28"/>
        <v>1</v>
      </c>
      <c r="H35" s="15">
        <f t="shared" si="28"/>
        <v>1</v>
      </c>
      <c r="I35" s="15" t="e">
        <f t="shared" si="28"/>
        <v>#DIV/0!</v>
      </c>
      <c r="J35" s="15">
        <f t="shared" si="28"/>
        <v>1</v>
      </c>
      <c r="L35" s="9" t="s">
        <v>7</v>
      </c>
      <c r="M35" s="15">
        <f t="shared" ref="M35:P35" si="29">M17/M$17</f>
        <v>1</v>
      </c>
      <c r="N35" s="15">
        <f t="shared" si="29"/>
        <v>1</v>
      </c>
      <c r="O35" s="15">
        <f t="shared" si="29"/>
        <v>1</v>
      </c>
      <c r="P35" s="15" t="e">
        <f t="shared" si="29"/>
        <v>#DIV/0!</v>
      </c>
      <c r="Q35" s="15">
        <f>Q17/Q$17</f>
        <v>1</v>
      </c>
      <c r="R35" s="15">
        <f>R17/R$17</f>
        <v>1</v>
      </c>
      <c r="S35" s="15">
        <f>S17/S$17</f>
        <v>1</v>
      </c>
      <c r="T35" s="15" t="e">
        <f>T17/T$17</f>
        <v>#DIV/0!</v>
      </c>
      <c r="U35" s="15">
        <f>U17/U$17</f>
        <v>1</v>
      </c>
    </row>
    <row r="38" spans="1:32" ht="15.75" thickBot="1" x14ac:dyDescent="0.3">
      <c r="L38" s="1" t="s">
        <v>21</v>
      </c>
      <c r="M38" s="1"/>
      <c r="N38" s="2"/>
      <c r="O38" s="2"/>
      <c r="P38" s="2"/>
      <c r="Q38" s="2"/>
      <c r="R38" s="2"/>
      <c r="S38" s="2"/>
      <c r="T38" s="2"/>
      <c r="U38" s="2"/>
    </row>
    <row r="39" spans="1:32" x14ac:dyDescent="0.25">
      <c r="L39" s="3"/>
      <c r="M39" s="32" t="s">
        <v>57</v>
      </c>
      <c r="N39" s="32"/>
      <c r="O39" s="32"/>
      <c r="P39" s="32"/>
      <c r="Q39" s="32"/>
      <c r="R39" s="32"/>
      <c r="S39" s="32"/>
      <c r="T39" s="32"/>
      <c r="U39" s="32"/>
    </row>
    <row r="40" spans="1:32" x14ac:dyDescent="0.25">
      <c r="L40" s="4" t="s">
        <v>0</v>
      </c>
      <c r="M40" s="5" t="s">
        <v>11</v>
      </c>
      <c r="N40" s="5" t="s">
        <v>12</v>
      </c>
      <c r="O40" s="5" t="s">
        <v>13</v>
      </c>
      <c r="P40" s="5" t="s">
        <v>14</v>
      </c>
      <c r="Q40" s="5" t="s">
        <v>15</v>
      </c>
      <c r="R40" s="5" t="s">
        <v>4</v>
      </c>
      <c r="S40" s="5" t="s">
        <v>5</v>
      </c>
      <c r="T40" s="5" t="s">
        <v>16</v>
      </c>
      <c r="U40" s="5" t="s">
        <v>7</v>
      </c>
    </row>
    <row r="41" spans="1:32" x14ac:dyDescent="0.25">
      <c r="L41" t="s">
        <v>1</v>
      </c>
      <c r="M41" s="13">
        <f t="shared" ref="M41:M51" si="30">M23-B23</f>
        <v>-6.1883912137911112E-3</v>
      </c>
      <c r="N41" s="13">
        <f t="shared" ref="N41:N51" si="31">N23-C23</f>
        <v>3.1939191840054046E-2</v>
      </c>
      <c r="O41" s="13">
        <f t="shared" ref="O41:O51" si="32">O23-D23</f>
        <v>1.4460183301564841E-2</v>
      </c>
      <c r="P41" s="13" t="e">
        <f t="shared" ref="P41:P51" si="33">P23-E23</f>
        <v>#DIV/0!</v>
      </c>
      <c r="Q41" s="13">
        <f t="shared" ref="Q41:Q51" si="34">Q23-F23</f>
        <v>2.4895950607040284E-3</v>
      </c>
      <c r="R41" s="13">
        <f t="shared" ref="R41:R51" si="35">R23-G23</f>
        <v>0</v>
      </c>
      <c r="S41" s="13">
        <f t="shared" ref="S41:S51" si="36">S23-H23</f>
        <v>0</v>
      </c>
      <c r="T41" s="13" t="e">
        <f t="shared" ref="T41:T51" si="37">T23-I23</f>
        <v>#DIV/0!</v>
      </c>
      <c r="U41" s="13">
        <f t="shared" ref="U41:U51" si="38">U23-J23</f>
        <v>-1.7107581476660194E-2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12</v>
      </c>
      <c r="M42" s="13">
        <f t="shared" si="30"/>
        <v>0</v>
      </c>
      <c r="N42" s="13">
        <f t="shared" si="31"/>
        <v>-2.513387723831928E-2</v>
      </c>
      <c r="O42" s="13">
        <f t="shared" si="32"/>
        <v>8.1382029137683692E-2</v>
      </c>
      <c r="P42" s="13" t="e">
        <f t="shared" si="33"/>
        <v>#DIV/0!</v>
      </c>
      <c r="Q42" s="13">
        <f t="shared" si="34"/>
        <v>0.12110280485542654</v>
      </c>
      <c r="R42" s="13">
        <f t="shared" si="35"/>
        <v>0</v>
      </c>
      <c r="S42" s="13">
        <f t="shared" si="36"/>
        <v>0</v>
      </c>
      <c r="T42" s="13" t="e">
        <f t="shared" si="37"/>
        <v>#DIV/0!</v>
      </c>
      <c r="U42" s="13">
        <f t="shared" si="38"/>
        <v>3.7077290337686475E-2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56</v>
      </c>
      <c r="M43" s="13">
        <f t="shared" si="30"/>
        <v>0</v>
      </c>
      <c r="N43" s="13">
        <f t="shared" si="31"/>
        <v>0</v>
      </c>
      <c r="O43" s="13">
        <f t="shared" si="32"/>
        <v>-7.1598565751193832E-2</v>
      </c>
      <c r="P43" s="13" t="e">
        <f t="shared" si="33"/>
        <v>#DIV/0!</v>
      </c>
      <c r="Q43" s="13">
        <f t="shared" si="34"/>
        <v>5.4106094156156734E-2</v>
      </c>
      <c r="R43" s="13">
        <f t="shared" si="35"/>
        <v>0</v>
      </c>
      <c r="S43" s="13">
        <f t="shared" si="36"/>
        <v>0</v>
      </c>
      <c r="T43" s="13" t="e">
        <f t="shared" si="37"/>
        <v>#DIV/0!</v>
      </c>
      <c r="U43" s="13">
        <f t="shared" si="38"/>
        <v>3.4481202503005376E-2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51</v>
      </c>
      <c r="M44" s="13">
        <f t="shared" si="30"/>
        <v>0</v>
      </c>
      <c r="N44" s="13">
        <f t="shared" si="31"/>
        <v>0</v>
      </c>
      <c r="O44" s="13">
        <f t="shared" si="32"/>
        <v>0</v>
      </c>
      <c r="P44" s="13" t="e">
        <f t="shared" si="33"/>
        <v>#DIV/0!</v>
      </c>
      <c r="Q44" s="13">
        <f t="shared" si="34"/>
        <v>2.9147389002705859E-2</v>
      </c>
      <c r="R44" s="13">
        <f t="shared" si="35"/>
        <v>0</v>
      </c>
      <c r="S44" s="13">
        <f t="shared" si="36"/>
        <v>0</v>
      </c>
      <c r="T44" s="13" t="e">
        <f t="shared" si="37"/>
        <v>#DIV/0!</v>
      </c>
      <c r="U44" s="13">
        <f t="shared" si="38"/>
        <v>-3.1984599497440633E-2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52</v>
      </c>
      <c r="M45" s="13">
        <f t="shared" si="30"/>
        <v>0</v>
      </c>
      <c r="N45" s="13">
        <f t="shared" si="31"/>
        <v>0</v>
      </c>
      <c r="O45" s="13">
        <f t="shared" si="32"/>
        <v>0</v>
      </c>
      <c r="P45" s="13" t="e">
        <f t="shared" si="33"/>
        <v>#DIV/0!</v>
      </c>
      <c r="Q45" s="13">
        <f t="shared" si="34"/>
        <v>-5.4241816533971644E-4</v>
      </c>
      <c r="R45" s="13">
        <f t="shared" si="35"/>
        <v>0</v>
      </c>
      <c r="S45" s="13">
        <f t="shared" si="36"/>
        <v>0</v>
      </c>
      <c r="T45" s="13" t="e">
        <f t="shared" si="37"/>
        <v>#DIV/0!</v>
      </c>
      <c r="U45" s="13">
        <f t="shared" si="38"/>
        <v>-3.3069355599755213E-5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53</v>
      </c>
      <c r="M46" s="13">
        <f t="shared" si="30"/>
        <v>0</v>
      </c>
      <c r="N46" s="13">
        <f t="shared" si="31"/>
        <v>0</v>
      </c>
      <c r="O46" s="13">
        <f t="shared" si="32"/>
        <v>0</v>
      </c>
      <c r="P46" s="13" t="e">
        <f t="shared" si="33"/>
        <v>#DIV/0!</v>
      </c>
      <c r="Q46" s="13">
        <f t="shared" si="34"/>
        <v>0</v>
      </c>
      <c r="R46" s="13">
        <f t="shared" si="35"/>
        <v>0</v>
      </c>
      <c r="S46" s="13">
        <f t="shared" si="36"/>
        <v>0</v>
      </c>
      <c r="T46" s="13" t="e">
        <f t="shared" si="37"/>
        <v>#DIV/0!</v>
      </c>
      <c r="U46" s="13">
        <f t="shared" si="38"/>
        <v>0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54</v>
      </c>
      <c r="M47" s="13">
        <f t="shared" si="30"/>
        <v>0</v>
      </c>
      <c r="N47" s="13">
        <f t="shared" si="31"/>
        <v>0</v>
      </c>
      <c r="O47" s="13">
        <f t="shared" si="32"/>
        <v>0</v>
      </c>
      <c r="P47" s="13" t="e">
        <f t="shared" si="33"/>
        <v>#DIV/0!</v>
      </c>
      <c r="Q47" s="13">
        <f t="shared" si="34"/>
        <v>0</v>
      </c>
      <c r="R47" s="13">
        <f t="shared" si="35"/>
        <v>0</v>
      </c>
      <c r="S47" s="13">
        <f t="shared" si="36"/>
        <v>0</v>
      </c>
      <c r="T47" s="13" t="e">
        <f t="shared" si="37"/>
        <v>#DIV/0!</v>
      </c>
      <c r="U47" s="13">
        <f t="shared" si="38"/>
        <v>0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55</v>
      </c>
      <c r="M48" s="13">
        <f t="shared" si="30"/>
        <v>0</v>
      </c>
      <c r="N48" s="13">
        <f t="shared" si="31"/>
        <v>0</v>
      </c>
      <c r="O48" s="13">
        <f t="shared" si="32"/>
        <v>0</v>
      </c>
      <c r="P48" s="13" t="e">
        <f t="shared" si="33"/>
        <v>#DIV/0!</v>
      </c>
      <c r="Q48" s="13">
        <f t="shared" si="34"/>
        <v>0</v>
      </c>
      <c r="R48" s="13">
        <f t="shared" si="35"/>
        <v>0</v>
      </c>
      <c r="S48" s="13">
        <f t="shared" si="36"/>
        <v>0</v>
      </c>
      <c r="T48" s="13" t="e">
        <f t="shared" si="37"/>
        <v>#DIV/0!</v>
      </c>
      <c r="U48" s="13">
        <f t="shared" si="38"/>
        <v>0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t="s">
        <v>24</v>
      </c>
      <c r="M49" s="13">
        <f t="shared" si="30"/>
        <v>0</v>
      </c>
      <c r="N49" s="13">
        <f t="shared" si="31"/>
        <v>0</v>
      </c>
      <c r="O49" s="13">
        <f t="shared" si="32"/>
        <v>0</v>
      </c>
      <c r="P49" s="13" t="e">
        <f t="shared" si="33"/>
        <v>#DIV/0!</v>
      </c>
      <c r="Q49" s="13">
        <f t="shared" si="34"/>
        <v>0</v>
      </c>
      <c r="R49" s="13">
        <f t="shared" si="35"/>
        <v>0</v>
      </c>
      <c r="S49" s="13">
        <f t="shared" si="36"/>
        <v>0</v>
      </c>
      <c r="T49" s="13" t="e">
        <f t="shared" si="37"/>
        <v>#DIV/0!</v>
      </c>
      <c r="U49" s="13">
        <f t="shared" si="38"/>
        <v>0</v>
      </c>
      <c r="X49" s="13"/>
      <c r="Y49" s="13"/>
      <c r="Z49" s="13"/>
      <c r="AA49" s="13"/>
      <c r="AB49" s="13"/>
      <c r="AC49" s="13"/>
      <c r="AD49" s="13"/>
      <c r="AE49" s="13"/>
      <c r="AF49" s="13"/>
    </row>
    <row r="50" spans="12:32" x14ac:dyDescent="0.25">
      <c r="L50" t="s">
        <v>4</v>
      </c>
      <c r="M50" s="13">
        <f t="shared" si="30"/>
        <v>1.2480543578337608E-3</v>
      </c>
      <c r="N50" s="13">
        <f t="shared" si="31"/>
        <v>1.3763375480394103E-3</v>
      </c>
      <c r="O50" s="13">
        <f t="shared" si="32"/>
        <v>1.2550078666082754E-3</v>
      </c>
      <c r="P50" s="13" t="e">
        <f t="shared" si="33"/>
        <v>#DIV/0!</v>
      </c>
      <c r="Q50" s="13">
        <f t="shared" si="34"/>
        <v>1.0638297872340425E-2</v>
      </c>
      <c r="R50" s="13">
        <f t="shared" si="35"/>
        <v>-5.4017329994875074E-2</v>
      </c>
      <c r="S50" s="13">
        <f t="shared" si="36"/>
        <v>0</v>
      </c>
      <c r="T50" s="13" t="e">
        <f t="shared" si="37"/>
        <v>#DIV/0!</v>
      </c>
      <c r="U50" s="13">
        <f t="shared" si="38"/>
        <v>1.7854545510294209E-2</v>
      </c>
      <c r="X50" s="13"/>
      <c r="Y50" s="13"/>
      <c r="Z50" s="13"/>
      <c r="AA50" s="13"/>
      <c r="AB50" s="13"/>
      <c r="AC50" s="13"/>
      <c r="AD50" s="13"/>
      <c r="AE50" s="13"/>
      <c r="AF50" s="13"/>
    </row>
    <row r="51" spans="12:32" x14ac:dyDescent="0.25">
      <c r="L51" t="s">
        <v>5</v>
      </c>
      <c r="M51" s="13">
        <f t="shared" si="30"/>
        <v>4.9403368559573953E-3</v>
      </c>
      <c r="N51" s="13">
        <f t="shared" si="31"/>
        <v>-8.181652149774267E-3</v>
      </c>
      <c r="O51" s="13">
        <f t="shared" si="32"/>
        <v>-2.5498654554662915E-2</v>
      </c>
      <c r="P51" s="13" t="e">
        <f t="shared" si="33"/>
        <v>#DIV/0!</v>
      </c>
      <c r="Q51" s="13">
        <f t="shared" si="34"/>
        <v>-0.21694176278199404</v>
      </c>
      <c r="R51" s="13">
        <f t="shared" si="35"/>
        <v>5.4017329994875185E-2</v>
      </c>
      <c r="S51" s="13">
        <f t="shared" si="36"/>
        <v>0</v>
      </c>
      <c r="T51" s="13" t="e">
        <f t="shared" si="37"/>
        <v>#DIV/0!</v>
      </c>
      <c r="U51" s="13">
        <f t="shared" si="38"/>
        <v>-4.0287788021285367E-2</v>
      </c>
      <c r="X51" s="13"/>
      <c r="Y51" s="13"/>
      <c r="Z51" s="13"/>
      <c r="AA51" s="13"/>
      <c r="AB51" s="13"/>
      <c r="AC51" s="13"/>
      <c r="AD51" s="13"/>
      <c r="AE51" s="13"/>
      <c r="AF51" s="13"/>
    </row>
    <row r="52" spans="12:32" x14ac:dyDescent="0.25">
      <c r="L52" s="4" t="s">
        <v>60</v>
      </c>
      <c r="M52" s="17">
        <f t="shared" ref="M52:U52" si="39">M34-B34</f>
        <v>0</v>
      </c>
      <c r="N52" s="17">
        <f t="shared" si="39"/>
        <v>0</v>
      </c>
      <c r="O52" s="17">
        <f t="shared" si="39"/>
        <v>0</v>
      </c>
      <c r="P52" s="17" t="e">
        <f t="shared" si="39"/>
        <v>#DIV/0!</v>
      </c>
      <c r="Q52" s="17">
        <f t="shared" si="39"/>
        <v>0</v>
      </c>
      <c r="R52" s="17">
        <f t="shared" si="39"/>
        <v>0</v>
      </c>
      <c r="S52" s="17">
        <f t="shared" si="39"/>
        <v>0</v>
      </c>
      <c r="T52" s="17" t="e">
        <f t="shared" si="39"/>
        <v>#DIV/0!</v>
      </c>
      <c r="U52" s="13">
        <f t="shared" si="39"/>
        <v>0</v>
      </c>
      <c r="X52" s="13"/>
      <c r="Y52" s="13"/>
      <c r="Z52" s="13"/>
      <c r="AA52" s="13"/>
      <c r="AB52" s="13"/>
      <c r="AC52" s="13"/>
      <c r="AD52" s="13"/>
      <c r="AE52" s="13"/>
      <c r="AF52" s="13"/>
    </row>
    <row r="53" spans="12:32" ht="15.75" thickBot="1" x14ac:dyDescent="0.3">
      <c r="L53" s="9" t="s">
        <v>7</v>
      </c>
      <c r="M53" s="15">
        <f t="shared" ref="M53:P53" si="40">M35-B35</f>
        <v>0</v>
      </c>
      <c r="N53" s="15">
        <f t="shared" si="40"/>
        <v>0</v>
      </c>
      <c r="O53" s="15">
        <f t="shared" si="40"/>
        <v>0</v>
      </c>
      <c r="P53" s="15" t="e">
        <f t="shared" si="40"/>
        <v>#DIV/0!</v>
      </c>
      <c r="Q53" s="15">
        <f t="shared" ref="Q53" si="41">Q35-F35</f>
        <v>0</v>
      </c>
      <c r="R53" s="15">
        <f t="shared" ref="R53" si="42">R35-G35</f>
        <v>0</v>
      </c>
      <c r="S53" s="15">
        <f t="shared" ref="S53" si="43">S35-H35</f>
        <v>0</v>
      </c>
      <c r="T53" s="15" t="e">
        <f t="shared" ref="T53" si="44">T35-I35</f>
        <v>#DIV/0!</v>
      </c>
      <c r="U53" s="15">
        <f t="shared" ref="U53" si="45">U35-J35</f>
        <v>0</v>
      </c>
      <c r="X53" s="13"/>
      <c r="Y53" s="13"/>
      <c r="Z53" s="13"/>
      <c r="AA53" s="13"/>
      <c r="AB53" s="13"/>
      <c r="AC53" s="13"/>
      <c r="AD53" s="13"/>
      <c r="AE53" s="13"/>
      <c r="AF53" s="13"/>
    </row>
  </sheetData>
  <mergeCells count="5">
    <mergeCell ref="B3:I3"/>
    <mergeCell ref="M3:U3"/>
    <mergeCell ref="B21:I21"/>
    <mergeCell ref="M21:U21"/>
    <mergeCell ref="M39:U39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AF53"/>
  <sheetViews>
    <sheetView workbookViewId="0">
      <selection activeCell="M16" sqref="M16:T16"/>
    </sheetView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r="2" spans="1:21" ht="15.75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38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31" t="s">
        <v>45</v>
      </c>
      <c r="C3" s="32"/>
      <c r="D3" s="32"/>
      <c r="E3" s="32"/>
      <c r="F3" s="32"/>
      <c r="G3" s="32"/>
      <c r="H3" s="32"/>
      <c r="I3" s="32"/>
      <c r="J3" s="11"/>
      <c r="L3" s="3"/>
      <c r="M3" s="31" t="s">
        <v>45</v>
      </c>
      <c r="N3" s="32"/>
      <c r="O3" s="32"/>
      <c r="P3" s="32"/>
      <c r="Q3" s="32"/>
      <c r="R3" s="32"/>
      <c r="S3" s="32"/>
      <c r="T3" s="32"/>
      <c r="U3" s="32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140661.5331899269</v>
      </c>
      <c r="C5" s="6" t="n">
        <v>6655.039925576</v>
      </c>
      <c r="D5" s="6" t="n">
        <v>368.204446166</v>
      </c>
      <c r="E5" s="6" t="n">
        <v>576.648224778</v>
      </c>
      <c r="F5" s="6" t="n">
        <v>0.0</v>
      </c>
      <c r="G5" s="6" t="n">
        <v>0.0</v>
      </c>
      <c r="H5" s="6" t="n">
        <v>0.0</v>
      </c>
      <c r="I5" s="6" t="n">
        <v>0.0</v>
      </c>
      <c r="J5" s="6">
        <f>SUM(B5:I5)</f>
        <v>148261.42578644693</v>
      </c>
      <c r="K5" s="6"/>
      <c r="L5" t="s">
        <v>1</v>
      </c>
      <c r="M5" s="6" t="n">
        <v>96064.0</v>
      </c>
      <c r="N5" s="6" t="n">
        <v>12958.0</v>
      </c>
      <c r="O5" s="6" t="n">
        <v>3930.0</v>
      </c>
      <c r="P5" s="6" t="n">
        <v>0.0</v>
      </c>
      <c r="Q5" s="6" t="n">
        <v>62.0</v>
      </c>
      <c r="R5" s="6" t="n">
        <v>0.0</v>
      </c>
      <c r="S5" s="6" t="n">
        <v>0.0</v>
      </c>
      <c r="T5" s="6" t="n">
        <v>0.0</v>
      </c>
      <c r="U5" s="6">
        <f t="shared" ref="U5:U16" si="0">SUM(M5:T5)</f>
        <v>113014</v>
      </c>
    </row>
    <row r="6" spans="1:21" x14ac:dyDescent="0.25">
      <c r="A6" t="s">
        <v>12</v>
      </c>
      <c r="B6" s="6" t="n">
        <v>0.0</v>
      </c>
      <c r="C6" s="6" t="n">
        <v>227764.4292491815</v>
      </c>
      <c r="D6" s="6" t="n">
        <v>1344.7482971880002</v>
      </c>
      <c r="E6" s="6" t="n">
        <v>0.0</v>
      </c>
      <c r="F6" s="6" t="n">
        <v>287.3385349642</v>
      </c>
      <c r="G6" s="6" t="n">
        <v>0.0</v>
      </c>
      <c r="H6" s="6" t="n">
        <v>0.0</v>
      </c>
      <c r="I6" s="6" t="n">
        <v>0.0</v>
      </c>
      <c r="J6" s="6">
        <f t="shared" ref="J6:J16" si="1">SUM(B6:I6)</f>
        <v>229396.51608133368</v>
      </c>
      <c r="K6" s="6"/>
      <c r="L6" t="s">
        <v>12</v>
      </c>
      <c r="M6" s="6" t="n">
        <v>0.0</v>
      </c>
      <c r="N6" s="6" t="n">
        <v>186410.0</v>
      </c>
      <c r="O6" s="6" t="n">
        <v>26957.0</v>
      </c>
      <c r="P6" s="6" t="n">
        <v>0.0</v>
      </c>
      <c r="Q6" s="6" t="n">
        <v>855.0</v>
      </c>
      <c r="R6" s="6" t="n">
        <v>0.0</v>
      </c>
      <c r="S6" s="6" t="n">
        <v>0.0</v>
      </c>
      <c r="T6" s="6" t="n">
        <v>0.0</v>
      </c>
      <c r="U6" s="6">
        <f t="shared" si="0"/>
        <v>214222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102340.0135417199</v>
      </c>
      <c r="E7" s="6" t="n">
        <v>0.0</v>
      </c>
      <c r="F7" s="6" t="n">
        <v>248.97111705</v>
      </c>
      <c r="G7" s="6" t="n">
        <v>0.0</v>
      </c>
      <c r="H7" s="6" t="n">
        <v>0.0</v>
      </c>
      <c r="I7" s="6" t="n">
        <v>0.0</v>
      </c>
      <c r="J7" s="6">
        <f t="shared" si="1"/>
        <v>102588.9846587699</v>
      </c>
      <c r="K7" s="6"/>
      <c r="L7" t="s">
        <v>56</v>
      </c>
      <c r="M7" s="6" t="n">
        <v>0.0</v>
      </c>
      <c r="N7" s="6" t="n">
        <v>0.0</v>
      </c>
      <c r="O7" s="6" t="n">
        <v>133263.0</v>
      </c>
      <c r="P7" s="6" t="n">
        <v>0.0</v>
      </c>
      <c r="Q7" s="6" t="n">
        <v>387.0</v>
      </c>
      <c r="R7" s="6" t="n">
        <v>0.0</v>
      </c>
      <c r="S7" s="6" t="n">
        <v>0.0</v>
      </c>
      <c r="T7" s="6" t="n">
        <v>0.0</v>
      </c>
      <c r="U7" s="6">
        <f t="shared" si="0"/>
        <v>133650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864.9723371670001</v>
      </c>
      <c r="F8" s="6" t="n">
        <v>25218.636807620398</v>
      </c>
      <c r="G8" s="6" t="n">
        <v>0.0</v>
      </c>
      <c r="H8" s="6" t="n">
        <v>0.0</v>
      </c>
      <c r="I8" s="6" t="n">
        <v>0.0</v>
      </c>
      <c r="J8" s="6">
        <f t="shared" si="1"/>
        <v>26083.609144787399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4326.0</v>
      </c>
      <c r="R8" s="6" t="n">
        <v>0.0</v>
      </c>
      <c r="S8" s="6" t="n">
        <v>0.0</v>
      </c>
      <c r="T8" s="6" t="n">
        <v>0.0</v>
      </c>
      <c r="U8" s="6">
        <f t="shared" si="0"/>
        <v>4326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t="shared" si="1"/>
        <v>0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t="shared" si="0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t="shared" si="1"/>
        <v>0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0.0</v>
      </c>
      <c r="R10" s="6" t="n">
        <v>0.0</v>
      </c>
      <c r="S10" s="6" t="n">
        <v>0.0</v>
      </c>
      <c r="T10" s="6" t="n">
        <v>0.0</v>
      </c>
      <c r="U10" s="6">
        <f t="shared" si="0"/>
        <v>0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t="shared" si="1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0.0</v>
      </c>
      <c r="R11" s="6" t="n">
        <v>0.0</v>
      </c>
      <c r="S11" s="6" t="n">
        <v>0.0</v>
      </c>
      <c r="T11" s="6" t="n">
        <v>0.0</v>
      </c>
      <c r="U11" s="6">
        <f t="shared" si="0"/>
        <v>0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t="shared" si="1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0.0</v>
      </c>
      <c r="R12" s="6" t="n">
        <v>0.0</v>
      </c>
      <c r="S12" s="6" t="n">
        <v>0.0</v>
      </c>
      <c r="T12" s="6" t="n">
        <v>0.0</v>
      </c>
      <c r="U12" s="6">
        <f t="shared" si="0"/>
        <v>0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0.0</v>
      </c>
      <c r="J13" s="6">
        <f t="shared" si="1"/>
        <v>0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t="shared" si="0"/>
        <v>0</v>
      </c>
    </row>
    <row r="14" spans="1:21" x14ac:dyDescent="0.25">
      <c r="A14" t="s">
        <v>4</v>
      </c>
      <c r="B14" s="6" t="n">
        <v>0.0</v>
      </c>
      <c r="C14" s="6" t="n">
        <v>0.0</v>
      </c>
      <c r="D14" s="6" t="n">
        <v>9355.10449488</v>
      </c>
      <c r="E14" s="6" t="n">
        <v>0.0</v>
      </c>
      <c r="F14" s="6" t="n">
        <v>154.9843497444</v>
      </c>
      <c r="G14" s="6" t="n">
        <v>7262.5157185103</v>
      </c>
      <c r="H14" s="6" t="n">
        <v>0.0</v>
      </c>
      <c r="I14" s="6" t="n">
        <v>0.0</v>
      </c>
      <c r="J14" s="6">
        <f t="shared" si="1"/>
        <v>16772.604563134701</v>
      </c>
      <c r="K14" s="6"/>
      <c r="L14" t="s">
        <v>4</v>
      </c>
      <c r="M14" s="6" t="n">
        <v>152.0</v>
      </c>
      <c r="N14" s="6" t="n">
        <v>303.0</v>
      </c>
      <c r="O14" s="6" t="n">
        <v>193.0</v>
      </c>
      <c r="P14" s="6" t="n">
        <v>0.0</v>
      </c>
      <c r="Q14" s="6" t="n">
        <v>61.0</v>
      </c>
      <c r="R14" s="6" t="n">
        <v>3207.0</v>
      </c>
      <c r="S14" s="6" t="n">
        <v>0.0</v>
      </c>
      <c r="T14" s="6" t="n">
        <v>0.0</v>
      </c>
      <c r="U14" s="6">
        <f t="shared" si="0"/>
        <v>3916</v>
      </c>
    </row>
    <row r="15" spans="1:21" x14ac:dyDescent="0.25">
      <c r="A15" t="s">
        <v>5</v>
      </c>
      <c r="B15" s="6" t="n">
        <v>229.46485907099998</v>
      </c>
      <c r="C15" s="6" t="n">
        <v>2618.0333936714</v>
      </c>
      <c r="D15" s="6" t="n">
        <v>3365.515560164</v>
      </c>
      <c r="E15" s="6" t="n">
        <v>0.0</v>
      </c>
      <c r="F15" s="6" t="n">
        <v>3753.8568361770003</v>
      </c>
      <c r="G15" s="6" t="n">
        <v>1578.8049141098</v>
      </c>
      <c r="H15" s="6" t="n">
        <v>75599.4289508704</v>
      </c>
      <c r="I15" s="6" t="n">
        <v>0.0</v>
      </c>
      <c r="J15" s="6">
        <f t="shared" si="1"/>
        <v>87145.104514063598</v>
      </c>
      <c r="K15" s="6"/>
      <c r="L15" t="s">
        <v>5</v>
      </c>
      <c r="M15" s="6" t="n">
        <v>1299.0</v>
      </c>
      <c r="N15" s="6" t="n">
        <v>1310.0</v>
      </c>
      <c r="O15" s="6" t="n">
        <v>788.0</v>
      </c>
      <c r="P15" s="6" t="n">
        <v>0.0</v>
      </c>
      <c r="Q15" s="6" t="n">
        <v>677.0</v>
      </c>
      <c r="R15" s="6" t="n">
        <v>184.0</v>
      </c>
      <c r="S15" s="6" t="n">
        <v>101494.0</v>
      </c>
      <c r="T15" s="6" t="n">
        <v>0.0</v>
      </c>
      <c r="U15" s="6">
        <f t="shared" si="0"/>
        <v>105752</v>
      </c>
    </row>
    <row r="16" spans="1:21" x14ac:dyDescent="0.25">
      <c r="A16" s="4" t="s">
        <v>60</v>
      </c>
      <c r="B16" s="10" t="n">
        <v>0.0</v>
      </c>
      <c r="C16" s="10" t="n">
        <v>0.0</v>
      </c>
      <c r="D16" s="10" t="n">
        <v>0.0</v>
      </c>
      <c r="E16" s="10" t="n">
        <v>0.0</v>
      </c>
      <c r="F16" s="10" t="n">
        <v>0.0</v>
      </c>
      <c r="G16" s="10" t="n">
        <v>0.0</v>
      </c>
      <c r="H16" s="10" t="n">
        <v>0.0</v>
      </c>
      <c r="I16" s="10" t="n">
        <v>0.0</v>
      </c>
      <c r="J16" s="6">
        <f t="shared" si="1"/>
        <v>0</v>
      </c>
      <c r="K16" s="6"/>
      <c r="L16" s="4" t="s">
        <v>60</v>
      </c>
      <c r="M16" s="8" t="n">
        <v>0.0</v>
      </c>
      <c r="N16" s="8" t="n">
        <v>562.0</v>
      </c>
      <c r="O16" s="8" t="n">
        <v>727.0</v>
      </c>
      <c r="P16" s="8" t="n">
        <v>0.0</v>
      </c>
      <c r="Q16" s="8" t="n">
        <v>0.0</v>
      </c>
      <c r="R16" s="8" t="n">
        <v>0.0</v>
      </c>
      <c r="S16" s="8" t="n">
        <v>0.0</v>
      </c>
      <c r="T16" s="8" t="n">
        <v>0.0</v>
      </c>
      <c r="U16" s="6">
        <f t="shared" si="0"/>
        <v>0</v>
      </c>
    </row>
    <row r="17" spans="1:21" ht="15.75" thickBot="1" x14ac:dyDescent="0.3">
      <c r="A17" s="12" t="s">
        <v>7</v>
      </c>
      <c r="B17" s="16">
        <f t="shared" ref="B17:J17" si="2">SUM(B5:B16)</f>
        <v>140890.99804899792</v>
      </c>
      <c r="C17" s="16">
        <f t="shared" si="2"/>
        <v>237037.5025684289</v>
      </c>
      <c r="D17" s="16">
        <f t="shared" si="2"/>
        <v>116773.58634011791</v>
      </c>
      <c r="E17" s="16">
        <f t="shared" si="2"/>
        <v>1441.6205619450002</v>
      </c>
      <c r="F17" s="16">
        <f t="shared" si="2"/>
        <v>29663.787645556</v>
      </c>
      <c r="G17" s="16">
        <f t="shared" si="2"/>
        <v>8841.3206326200998</v>
      </c>
      <c r="H17" s="16">
        <f t="shared" si="2"/>
        <v>75599.428950870395</v>
      </c>
      <c r="I17" s="16">
        <f t="shared" si="2"/>
        <v>0</v>
      </c>
      <c r="J17" s="16">
        <f t="shared" si="2"/>
        <v>610248.24474853626</v>
      </c>
      <c r="L17" s="9" t="s">
        <v>7</v>
      </c>
      <c r="M17" s="16">
        <f t="shared" ref="M17:U17" si="3">SUM(M5:M16)</f>
        <v>97515</v>
      </c>
      <c r="N17" s="16">
        <f t="shared" si="3"/>
        <v>200981</v>
      </c>
      <c r="O17" s="16">
        <f t="shared" si="3"/>
        <v>165131</v>
      </c>
      <c r="P17" s="16">
        <f t="shared" si="3"/>
        <v>0</v>
      </c>
      <c r="Q17" s="16">
        <f t="shared" si="3"/>
        <v>6368</v>
      </c>
      <c r="R17" s="16">
        <f t="shared" si="3"/>
        <v>3391</v>
      </c>
      <c r="S17" s="16">
        <f t="shared" si="3"/>
        <v>101494</v>
      </c>
      <c r="T17" s="16">
        <f t="shared" si="3"/>
        <v>0</v>
      </c>
      <c r="U17" s="16">
        <f t="shared" si="3"/>
        <v>574880</v>
      </c>
    </row>
    <row r="20" spans="1:21" ht="15.75" thickBot="1" x14ac:dyDescent="0.3">
      <c r="A20" s="1" t="s">
        <v>59</v>
      </c>
      <c r="B20" s="1"/>
      <c r="C20" s="2"/>
      <c r="D20" s="2"/>
      <c r="E20" s="2"/>
      <c r="F20" s="2"/>
      <c r="G20" s="2"/>
      <c r="H20" s="2"/>
      <c r="I20" s="2"/>
      <c r="J20" s="2"/>
      <c r="L20" s="1" t="s">
        <v>37</v>
      </c>
      <c r="M20" s="1"/>
      <c r="N20" s="2"/>
      <c r="O20" s="2"/>
      <c r="P20" s="2"/>
      <c r="Q20" s="2"/>
      <c r="R20" s="2"/>
      <c r="S20" s="2"/>
      <c r="T20" s="2"/>
      <c r="U20" s="2"/>
    </row>
    <row r="21" spans="1:21" x14ac:dyDescent="0.25">
      <c r="A21" s="3"/>
      <c r="B21" s="31" t="s">
        <v>45</v>
      </c>
      <c r="C21" s="32"/>
      <c r="D21" s="32"/>
      <c r="E21" s="32"/>
      <c r="F21" s="32"/>
      <c r="G21" s="32"/>
      <c r="H21" s="32"/>
      <c r="I21" s="32"/>
      <c r="J21" s="11"/>
      <c r="L21" s="3"/>
      <c r="M21" s="31" t="s">
        <v>45</v>
      </c>
      <c r="N21" s="32"/>
      <c r="O21" s="32"/>
      <c r="P21" s="32"/>
      <c r="Q21" s="32"/>
      <c r="R21" s="32"/>
      <c r="S21" s="32"/>
      <c r="T21" s="32"/>
      <c r="U21" s="32"/>
    </row>
    <row r="22" spans="1:21" x14ac:dyDescent="0.25">
      <c r="A22" s="4" t="s">
        <v>0</v>
      </c>
      <c r="B22" s="5" t="s">
        <v>11</v>
      </c>
      <c r="C22" s="5" t="s">
        <v>12</v>
      </c>
      <c r="D22" s="5" t="s">
        <v>13</v>
      </c>
      <c r="E22" s="5" t="s">
        <v>14</v>
      </c>
      <c r="F22" s="5" t="s">
        <v>15</v>
      </c>
      <c r="G22" s="5" t="s">
        <v>4</v>
      </c>
      <c r="H22" s="5" t="s">
        <v>5</v>
      </c>
      <c r="I22" s="5" t="s">
        <v>16</v>
      </c>
      <c r="J22" s="5" t="s">
        <v>7</v>
      </c>
      <c r="L22" s="4" t="s">
        <v>0</v>
      </c>
      <c r="M22" s="5" t="s">
        <v>1</v>
      </c>
      <c r="N22" s="5" t="s">
        <v>2</v>
      </c>
      <c r="O22" s="5" t="s">
        <v>3</v>
      </c>
      <c r="P22" s="5" t="s">
        <v>14</v>
      </c>
      <c r="Q22" s="5" t="s">
        <v>15</v>
      </c>
      <c r="R22" s="5" t="s">
        <v>4</v>
      </c>
      <c r="S22" s="5" t="s">
        <v>5</v>
      </c>
      <c r="T22" s="5" t="s">
        <v>16</v>
      </c>
      <c r="U22" s="5" t="s">
        <v>7</v>
      </c>
    </row>
    <row r="23" spans="1:21" x14ac:dyDescent="0.25">
      <c r="A23" t="s">
        <v>1</v>
      </c>
      <c r="B23" s="13">
        <f t="shared" ref="B23:J23" si="4">B5/B$17</f>
        <v>0.99837133058713079</v>
      </c>
      <c r="C23" s="13">
        <f t="shared" si="4"/>
        <v>2.8075894546074193E-2</v>
      </c>
      <c r="D23" s="13">
        <f t="shared" si="4"/>
        <v>3.1531483934522471E-3</v>
      </c>
      <c r="E23" s="13">
        <f t="shared" si="4"/>
        <v>0.39999999999999991</v>
      </c>
      <c r="F23" s="13">
        <f t="shared" si="4"/>
        <v>0</v>
      </c>
      <c r="G23" s="13">
        <f t="shared" si="4"/>
        <v>0</v>
      </c>
      <c r="H23" s="13">
        <f t="shared" si="4"/>
        <v>0</v>
      </c>
      <c r="I23" s="13" t="e">
        <f t="shared" si="4"/>
        <v>#DIV/0!</v>
      </c>
      <c r="J23" s="13">
        <f t="shared" si="4"/>
        <v>0.24295264601300198</v>
      </c>
      <c r="K23" s="6"/>
      <c r="L23" t="s">
        <v>1</v>
      </c>
      <c r="M23" s="13">
        <f t="shared" ref="M23:U23" si="5">M5/M$17</f>
        <v>0.98512023791211611</v>
      </c>
      <c r="N23" s="13">
        <f t="shared" si="5"/>
        <v>6.4473756225712872E-2</v>
      </c>
      <c r="O23" s="13">
        <f t="shared" si="5"/>
        <v>2.3799286626981005E-2</v>
      </c>
      <c r="P23" s="13" t="e">
        <f t="shared" si="5"/>
        <v>#DIV/0!</v>
      </c>
      <c r="Q23" s="13">
        <f t="shared" si="5"/>
        <v>9.7361809045226136E-3</v>
      </c>
      <c r="R23" s="13">
        <f t="shared" si="5"/>
        <v>0</v>
      </c>
      <c r="S23" s="13">
        <f t="shared" si="5"/>
        <v>0</v>
      </c>
      <c r="T23" s="13" t="e">
        <f t="shared" si="5"/>
        <v>#DIV/0!</v>
      </c>
      <c r="U23" s="13">
        <f t="shared" si="5"/>
        <v>0.19658711383245198</v>
      </c>
    </row>
    <row r="24" spans="1:21" x14ac:dyDescent="0.25">
      <c r="A24" t="s">
        <v>9</v>
      </c>
      <c r="B24" s="13">
        <f t="shared" ref="B24:J24" si="6">B6/B$17</f>
        <v>0</v>
      </c>
      <c r="C24" s="13">
        <f t="shared" si="6"/>
        <v>0.96087929876593936</v>
      </c>
      <c r="D24" s="13">
        <f t="shared" si="6"/>
        <v>1.1515860215779019E-2</v>
      </c>
      <c r="E24" s="13">
        <f t="shared" si="6"/>
        <v>0</v>
      </c>
      <c r="F24" s="13">
        <f t="shared" si="6"/>
        <v>9.6865086278773594E-3</v>
      </c>
      <c r="G24" s="13">
        <f t="shared" si="6"/>
        <v>0</v>
      </c>
      <c r="H24" s="13">
        <f t="shared" si="6"/>
        <v>0</v>
      </c>
      <c r="I24" s="13" t="e">
        <f t="shared" si="6"/>
        <v>#DIV/0!</v>
      </c>
      <c r="J24" s="13">
        <f t="shared" si="6"/>
        <v>0.37590688388765564</v>
      </c>
      <c r="K24" s="6"/>
      <c r="L24" t="s">
        <v>12</v>
      </c>
      <c r="M24" s="13">
        <f t="shared" ref="M24:U24" si="7">M6/M$17</f>
        <v>0</v>
      </c>
      <c r="N24" s="13">
        <f t="shared" si="7"/>
        <v>0.92750060951035174</v>
      </c>
      <c r="O24" s="13">
        <f t="shared" si="7"/>
        <v>0.16324615002634271</v>
      </c>
      <c r="P24" s="13" t="e">
        <f t="shared" si="7"/>
        <v>#DIV/0!</v>
      </c>
      <c r="Q24" s="13">
        <f t="shared" si="7"/>
        <v>0.13426507537688442</v>
      </c>
      <c r="R24" s="13">
        <f t="shared" si="7"/>
        <v>0</v>
      </c>
      <c r="S24" s="13">
        <f t="shared" si="7"/>
        <v>0</v>
      </c>
      <c r="T24" s="13" t="e">
        <f t="shared" si="7"/>
        <v>#DIV/0!</v>
      </c>
      <c r="U24" s="13">
        <f t="shared" si="7"/>
        <v>0.37263776788199277</v>
      </c>
    </row>
    <row r="25" spans="1:21" x14ac:dyDescent="0.25">
      <c r="A25" t="s">
        <v>10</v>
      </c>
      <c r="B25" s="13">
        <f t="shared" ref="B25:J25" si="8">B7/B$17</f>
        <v>0</v>
      </c>
      <c r="C25" s="13">
        <f t="shared" si="8"/>
        <v>0</v>
      </c>
      <c r="D25" s="13">
        <f t="shared" si="8"/>
        <v>0.87639693829083587</v>
      </c>
      <c r="E25" s="13">
        <f t="shared" si="8"/>
        <v>0</v>
      </c>
      <c r="F25" s="13">
        <f t="shared" si="8"/>
        <v>8.3930993582102091E-3</v>
      </c>
      <c r="G25" s="13">
        <f t="shared" si="8"/>
        <v>0</v>
      </c>
      <c r="H25" s="13">
        <f t="shared" si="8"/>
        <v>0</v>
      </c>
      <c r="I25" s="13" t="e">
        <f t="shared" si="8"/>
        <v>#DIV/0!</v>
      </c>
      <c r="J25" s="13">
        <f t="shared" si="8"/>
        <v>0.16811024946256672</v>
      </c>
      <c r="K25" s="6"/>
      <c r="L25" t="s">
        <v>56</v>
      </c>
      <c r="M25" s="13">
        <f t="shared" ref="M25:U25" si="9">M7/M$17</f>
        <v>0</v>
      </c>
      <c r="N25" s="13">
        <f t="shared" si="9"/>
        <v>0</v>
      </c>
      <c r="O25" s="13">
        <f t="shared" si="9"/>
        <v>0.80701382538711686</v>
      </c>
      <c r="P25" s="13" t="e">
        <f t="shared" si="9"/>
        <v>#DIV/0!</v>
      </c>
      <c r="Q25" s="13">
        <f t="shared" si="9"/>
        <v>6.0772613065326636E-2</v>
      </c>
      <c r="R25" s="13">
        <f t="shared" si="9"/>
        <v>0</v>
      </c>
      <c r="S25" s="13">
        <f t="shared" si="9"/>
        <v>0</v>
      </c>
      <c r="T25" s="13" t="e">
        <f t="shared" si="9"/>
        <v>#DIV/0!</v>
      </c>
      <c r="U25" s="13">
        <f t="shared" si="9"/>
        <v>0.23248330086278876</v>
      </c>
    </row>
    <row r="26" spans="1:21" x14ac:dyDescent="0.25">
      <c r="A26" t="s">
        <v>51</v>
      </c>
      <c r="B26" s="13">
        <f t="shared" ref="B26:J26" si="10">B8/B$17</f>
        <v>0</v>
      </c>
      <c r="C26" s="13">
        <f t="shared" si="10"/>
        <v>0</v>
      </c>
      <c r="D26" s="13">
        <f t="shared" si="10"/>
        <v>0</v>
      </c>
      <c r="E26" s="13">
        <f t="shared" si="10"/>
        <v>0.6</v>
      </c>
      <c r="F26" s="13">
        <f t="shared" si="10"/>
        <v>0.85014891250404634</v>
      </c>
      <c r="G26" s="13">
        <f t="shared" si="10"/>
        <v>0</v>
      </c>
      <c r="H26" s="13">
        <f t="shared" si="10"/>
        <v>0</v>
      </c>
      <c r="I26" s="13" t="e">
        <f t="shared" si="10"/>
        <v>#DIV/0!</v>
      </c>
      <c r="J26" s="13">
        <f t="shared" si="10"/>
        <v>4.2742620514272217E-2</v>
      </c>
      <c r="K26" s="6"/>
      <c r="L26" t="s">
        <v>51</v>
      </c>
      <c r="M26" s="13">
        <f t="shared" ref="M26:U26" si="11">M8/M$17</f>
        <v>0</v>
      </c>
      <c r="N26" s="13">
        <f t="shared" si="11"/>
        <v>0</v>
      </c>
      <c r="O26" s="13">
        <f t="shared" si="11"/>
        <v>0</v>
      </c>
      <c r="P26" s="13" t="e">
        <f t="shared" si="11"/>
        <v>#DIV/0!</v>
      </c>
      <c r="Q26" s="13">
        <f t="shared" si="11"/>
        <v>0.67933417085427139</v>
      </c>
      <c r="R26" s="13">
        <f t="shared" si="11"/>
        <v>0</v>
      </c>
      <c r="S26" s="13">
        <f t="shared" si="11"/>
        <v>0</v>
      </c>
      <c r="T26" s="13" t="e">
        <f t="shared" si="11"/>
        <v>#DIV/0!</v>
      </c>
      <c r="U26" s="13">
        <f t="shared" si="11"/>
        <v>7.5250487058168662E-3</v>
      </c>
    </row>
    <row r="27" spans="1:21" x14ac:dyDescent="0.25">
      <c r="A27" t="s">
        <v>52</v>
      </c>
      <c r="B27" s="13">
        <f t="shared" ref="B27:J27" si="12">B9/B$17</f>
        <v>0</v>
      </c>
      <c r="C27" s="13">
        <f t="shared" si="12"/>
        <v>0</v>
      </c>
      <c r="D27" s="13">
        <f t="shared" si="12"/>
        <v>0</v>
      </c>
      <c r="E27" s="13">
        <f t="shared" si="12"/>
        <v>0</v>
      </c>
      <c r="F27" s="13">
        <f t="shared" si="12"/>
        <v>0</v>
      </c>
      <c r="G27" s="13">
        <f t="shared" si="12"/>
        <v>0</v>
      </c>
      <c r="H27" s="13">
        <f t="shared" si="12"/>
        <v>0</v>
      </c>
      <c r="I27" s="13" t="e">
        <f t="shared" si="12"/>
        <v>#DIV/0!</v>
      </c>
      <c r="J27" s="13">
        <f t="shared" si="12"/>
        <v>0</v>
      </c>
      <c r="K27" s="6"/>
      <c r="L27" t="s">
        <v>52</v>
      </c>
      <c r="M27" s="13">
        <f t="shared" ref="M27:U27" si="13">M9/M$17</f>
        <v>0</v>
      </c>
      <c r="N27" s="13">
        <f t="shared" si="13"/>
        <v>0</v>
      </c>
      <c r="O27" s="13">
        <f t="shared" si="13"/>
        <v>0</v>
      </c>
      <c r="P27" s="13" t="e">
        <f t="shared" si="13"/>
        <v>#DIV/0!</v>
      </c>
      <c r="Q27" s="13">
        <f t="shared" si="13"/>
        <v>0</v>
      </c>
      <c r="R27" s="13">
        <f t="shared" si="13"/>
        <v>0</v>
      </c>
      <c r="S27" s="13">
        <f t="shared" si="13"/>
        <v>0</v>
      </c>
      <c r="T27" s="13" t="e">
        <f t="shared" si="13"/>
        <v>#DIV/0!</v>
      </c>
      <c r="U27" s="13">
        <f t="shared" si="13"/>
        <v>0</v>
      </c>
    </row>
    <row r="28" spans="1:21" x14ac:dyDescent="0.25">
      <c r="A28" t="s">
        <v>53</v>
      </c>
      <c r="B28" s="13">
        <f t="shared" ref="B28:J28" si="14">B10/B$17</f>
        <v>0</v>
      </c>
      <c r="C28" s="13">
        <f t="shared" si="14"/>
        <v>0</v>
      </c>
      <c r="D28" s="13">
        <f t="shared" si="14"/>
        <v>0</v>
      </c>
      <c r="E28" s="13">
        <f t="shared" si="14"/>
        <v>0</v>
      </c>
      <c r="F28" s="13">
        <f t="shared" si="14"/>
        <v>0</v>
      </c>
      <c r="G28" s="13">
        <f t="shared" si="14"/>
        <v>0</v>
      </c>
      <c r="H28" s="13">
        <f t="shared" si="14"/>
        <v>0</v>
      </c>
      <c r="I28" s="13" t="e">
        <f t="shared" si="14"/>
        <v>#DIV/0!</v>
      </c>
      <c r="J28" s="13">
        <f t="shared" si="14"/>
        <v>0</v>
      </c>
      <c r="K28" s="6"/>
      <c r="L28" t="s">
        <v>53</v>
      </c>
      <c r="M28" s="13">
        <f t="shared" ref="M28:U28" si="15">M10/M$17</f>
        <v>0</v>
      </c>
      <c r="N28" s="13">
        <f t="shared" si="15"/>
        <v>0</v>
      </c>
      <c r="O28" s="13">
        <f t="shared" si="15"/>
        <v>0</v>
      </c>
      <c r="P28" s="13" t="e">
        <f t="shared" si="15"/>
        <v>#DIV/0!</v>
      </c>
      <c r="Q28" s="13">
        <f t="shared" si="15"/>
        <v>0</v>
      </c>
      <c r="R28" s="13">
        <f t="shared" si="15"/>
        <v>0</v>
      </c>
      <c r="S28" s="13">
        <f t="shared" si="15"/>
        <v>0</v>
      </c>
      <c r="T28" s="13" t="e">
        <f t="shared" si="15"/>
        <v>#DIV/0!</v>
      </c>
      <c r="U28" s="13">
        <f t="shared" si="15"/>
        <v>0</v>
      </c>
    </row>
    <row r="29" spans="1:21" x14ac:dyDescent="0.25">
      <c r="A29" t="s">
        <v>54</v>
      </c>
      <c r="B29" s="13">
        <f t="shared" ref="B29:J29" si="16">B11/B$17</f>
        <v>0</v>
      </c>
      <c r="C29" s="13">
        <f t="shared" si="16"/>
        <v>0</v>
      </c>
      <c r="D29" s="13">
        <f t="shared" si="16"/>
        <v>0</v>
      </c>
      <c r="E29" s="13">
        <f t="shared" si="16"/>
        <v>0</v>
      </c>
      <c r="F29" s="13">
        <f t="shared" si="16"/>
        <v>0</v>
      </c>
      <c r="G29" s="13">
        <f t="shared" si="16"/>
        <v>0</v>
      </c>
      <c r="H29" s="13">
        <f t="shared" si="16"/>
        <v>0</v>
      </c>
      <c r="I29" s="13" t="e">
        <f t="shared" si="16"/>
        <v>#DIV/0!</v>
      </c>
      <c r="J29" s="13">
        <f t="shared" si="16"/>
        <v>0</v>
      </c>
      <c r="K29" s="6"/>
      <c r="L29" t="s">
        <v>54</v>
      </c>
      <c r="M29" s="13">
        <f t="shared" ref="M29:U29" si="17">M11/M$17</f>
        <v>0</v>
      </c>
      <c r="N29" s="13">
        <f t="shared" si="17"/>
        <v>0</v>
      </c>
      <c r="O29" s="13">
        <f t="shared" si="17"/>
        <v>0</v>
      </c>
      <c r="P29" s="13" t="e">
        <f t="shared" si="17"/>
        <v>#DIV/0!</v>
      </c>
      <c r="Q29" s="13">
        <f t="shared" si="17"/>
        <v>0</v>
      </c>
      <c r="R29" s="13">
        <f t="shared" si="17"/>
        <v>0</v>
      </c>
      <c r="S29" s="13">
        <f t="shared" si="17"/>
        <v>0</v>
      </c>
      <c r="T29" s="13" t="e">
        <f t="shared" si="17"/>
        <v>#DIV/0!</v>
      </c>
      <c r="U29" s="13">
        <f t="shared" si="17"/>
        <v>0</v>
      </c>
    </row>
    <row r="30" spans="1:21" x14ac:dyDescent="0.25">
      <c r="A30" t="s">
        <v>55</v>
      </c>
      <c r="B30" s="13">
        <f t="shared" ref="B30:J30" si="18">B12/B$17</f>
        <v>0</v>
      </c>
      <c r="C30" s="13">
        <f t="shared" si="18"/>
        <v>0</v>
      </c>
      <c r="D30" s="13">
        <f t="shared" si="18"/>
        <v>0</v>
      </c>
      <c r="E30" s="13">
        <f t="shared" si="18"/>
        <v>0</v>
      </c>
      <c r="F30" s="13">
        <f t="shared" si="18"/>
        <v>0</v>
      </c>
      <c r="G30" s="13">
        <f t="shared" si="18"/>
        <v>0</v>
      </c>
      <c r="H30" s="13">
        <f t="shared" si="18"/>
        <v>0</v>
      </c>
      <c r="I30" s="13" t="e">
        <f t="shared" si="18"/>
        <v>#DIV/0!</v>
      </c>
      <c r="J30" s="13">
        <f t="shared" si="18"/>
        <v>0</v>
      </c>
      <c r="K30" s="6"/>
      <c r="L30" t="s">
        <v>55</v>
      </c>
      <c r="M30" s="13">
        <f t="shared" ref="M30:U30" si="19">M12/M$17</f>
        <v>0</v>
      </c>
      <c r="N30" s="13">
        <f t="shared" si="19"/>
        <v>0</v>
      </c>
      <c r="O30" s="13">
        <f t="shared" si="19"/>
        <v>0</v>
      </c>
      <c r="P30" s="13" t="e">
        <f t="shared" si="19"/>
        <v>#DIV/0!</v>
      </c>
      <c r="Q30" s="13">
        <f t="shared" si="19"/>
        <v>0</v>
      </c>
      <c r="R30" s="13">
        <f t="shared" si="19"/>
        <v>0</v>
      </c>
      <c r="S30" s="13">
        <f t="shared" si="19"/>
        <v>0</v>
      </c>
      <c r="T30" s="13" t="e">
        <f t="shared" si="19"/>
        <v>#DIV/0!</v>
      </c>
      <c r="U30" s="13">
        <f t="shared" si="19"/>
        <v>0</v>
      </c>
    </row>
    <row r="31" spans="1:21" x14ac:dyDescent="0.25">
      <c r="A31" t="s">
        <v>24</v>
      </c>
      <c r="B31" s="13">
        <f t="shared" ref="B31:J31" si="20">B13/B$17</f>
        <v>0</v>
      </c>
      <c r="C31" s="13">
        <f t="shared" si="20"/>
        <v>0</v>
      </c>
      <c r="D31" s="13">
        <f t="shared" si="20"/>
        <v>0</v>
      </c>
      <c r="E31" s="13">
        <f t="shared" si="20"/>
        <v>0</v>
      </c>
      <c r="F31" s="13">
        <f t="shared" si="20"/>
        <v>0</v>
      </c>
      <c r="G31" s="13">
        <f t="shared" si="20"/>
        <v>0</v>
      </c>
      <c r="H31" s="13">
        <f t="shared" si="20"/>
        <v>0</v>
      </c>
      <c r="I31" s="13" t="e">
        <f t="shared" si="20"/>
        <v>#DIV/0!</v>
      </c>
      <c r="J31" s="13">
        <f t="shared" si="20"/>
        <v>0</v>
      </c>
      <c r="K31" s="6"/>
      <c r="L31" t="s">
        <v>24</v>
      </c>
      <c r="M31" s="13">
        <f t="shared" ref="M31:U31" si="21">M13/M$17</f>
        <v>0</v>
      </c>
      <c r="N31" s="13">
        <f t="shared" si="21"/>
        <v>0</v>
      </c>
      <c r="O31" s="13">
        <f t="shared" si="21"/>
        <v>0</v>
      </c>
      <c r="P31" s="13" t="e">
        <f t="shared" si="21"/>
        <v>#DIV/0!</v>
      </c>
      <c r="Q31" s="13">
        <f t="shared" si="21"/>
        <v>0</v>
      </c>
      <c r="R31" s="13">
        <f t="shared" si="21"/>
        <v>0</v>
      </c>
      <c r="S31" s="13">
        <f t="shared" si="21"/>
        <v>0</v>
      </c>
      <c r="T31" s="13" t="e">
        <f t="shared" si="21"/>
        <v>#DIV/0!</v>
      </c>
      <c r="U31" s="13">
        <f t="shared" si="21"/>
        <v>0</v>
      </c>
    </row>
    <row r="32" spans="1:21" x14ac:dyDescent="0.25">
      <c r="A32" t="s">
        <v>4</v>
      </c>
      <c r="B32" s="13">
        <f t="shared" ref="B32:J32" si="22">B14/B$17</f>
        <v>0</v>
      </c>
      <c r="C32" s="13">
        <f t="shared" si="22"/>
        <v>0</v>
      </c>
      <c r="D32" s="13">
        <f t="shared" si="22"/>
        <v>8.0113189875252011E-2</v>
      </c>
      <c r="E32" s="13">
        <f t="shared" si="22"/>
        <v>0</v>
      </c>
      <c r="F32" s="13">
        <f t="shared" si="22"/>
        <v>5.2246985987178399E-3</v>
      </c>
      <c r="G32" s="13">
        <f t="shared" si="22"/>
        <v>0.82142883628891472</v>
      </c>
      <c r="H32" s="13">
        <f t="shared" si="22"/>
        <v>0</v>
      </c>
      <c r="I32" s="13" t="e">
        <f t="shared" si="22"/>
        <v>#DIV/0!</v>
      </c>
      <c r="J32" s="13">
        <f t="shared" si="22"/>
        <v>2.7484887842727269E-2</v>
      </c>
      <c r="K32" s="6"/>
      <c r="L32" t="s">
        <v>4</v>
      </c>
      <c r="M32" s="13">
        <f t="shared" ref="M32:U32" si="23">M14/M$17</f>
        <v>1.5587345536584114E-3</v>
      </c>
      <c r="N32" s="13">
        <f t="shared" si="23"/>
        <v>1.5076051965111129E-3</v>
      </c>
      <c r="O32" s="13">
        <f t="shared" si="23"/>
        <v>1.1687690379153521E-3</v>
      </c>
      <c r="P32" s="13" t="e">
        <f t="shared" si="23"/>
        <v>#DIV/0!</v>
      </c>
      <c r="Q32" s="13">
        <f t="shared" si="23"/>
        <v>9.5791457286432159E-3</v>
      </c>
      <c r="R32" s="13">
        <f t="shared" si="23"/>
        <v>0.94573872014155114</v>
      </c>
      <c r="S32" s="13">
        <f t="shared" si="23"/>
        <v>0</v>
      </c>
      <c r="T32" s="13" t="e">
        <f t="shared" si="23"/>
        <v>#DIV/0!</v>
      </c>
      <c r="U32" s="13">
        <f t="shared" si="23"/>
        <v>6.8118563874199831E-3</v>
      </c>
    </row>
    <row r="33" spans="1:32" x14ac:dyDescent="0.25">
      <c r="A33" t="s">
        <v>5</v>
      </c>
      <c r="B33" s="13">
        <f t="shared" ref="B33:J33" si="24">B15/B$17</f>
        <v>1.6286694128690789E-3</v>
      </c>
      <c r="C33" s="13">
        <f t="shared" si="24"/>
        <v>1.1044806687986497E-2</v>
      </c>
      <c r="D33" s="13">
        <f t="shared" si="24"/>
        <v>2.8820863224680863E-2</v>
      </c>
      <c r="E33" s="13">
        <f t="shared" si="24"/>
        <v>0</v>
      </c>
      <c r="F33" s="13">
        <f t="shared" si="24"/>
        <v>0.12654678091114821</v>
      </c>
      <c r="G33" s="13">
        <f t="shared" si="24"/>
        <v>0.17857116371108528</v>
      </c>
      <c r="H33" s="13">
        <f t="shared" si="24"/>
        <v>1</v>
      </c>
      <c r="I33" s="13" t="e">
        <f t="shared" si="24"/>
        <v>#DIV/0!</v>
      </c>
      <c r="J33" s="13">
        <f t="shared" si="24"/>
        <v>0.14280271227977609</v>
      </c>
      <c r="K33" s="6"/>
      <c r="L33" t="s">
        <v>5</v>
      </c>
      <c r="M33" s="13">
        <f t="shared" ref="M33:U33" si="25">M15/M$17</f>
        <v>1.3321027534225503E-2</v>
      </c>
      <c r="N33" s="13">
        <f t="shared" si="25"/>
        <v>6.5180290674242839E-3</v>
      </c>
      <c r="O33" s="13">
        <f t="shared" si="25"/>
        <v>4.7719689216440282E-3</v>
      </c>
      <c r="P33" s="13" t="e">
        <f t="shared" si="25"/>
        <v>#DIV/0!</v>
      </c>
      <c r="Q33" s="13">
        <f t="shared" si="25"/>
        <v>0.10631281407035176</v>
      </c>
      <c r="R33" s="13">
        <f t="shared" si="25"/>
        <v>5.4261279858448835E-2</v>
      </c>
      <c r="S33" s="13">
        <f t="shared" si="25"/>
        <v>1</v>
      </c>
      <c r="T33" s="13" t="e">
        <f t="shared" si="25"/>
        <v>#DIV/0!</v>
      </c>
      <c r="U33" s="13">
        <f t="shared" si="25"/>
        <v>0.18395491232952965</v>
      </c>
    </row>
    <row r="34" spans="1:32" x14ac:dyDescent="0.25">
      <c r="A34" s="4" t="s">
        <v>60</v>
      </c>
      <c r="B34" s="13">
        <f t="shared" ref="B34:J34" si="26">B16/B$17</f>
        <v>0</v>
      </c>
      <c r="C34" s="13">
        <f t="shared" si="26"/>
        <v>0</v>
      </c>
      <c r="D34" s="13">
        <f t="shared" si="26"/>
        <v>0</v>
      </c>
      <c r="E34" s="13">
        <f t="shared" si="26"/>
        <v>0</v>
      </c>
      <c r="F34" s="13">
        <f t="shared" si="26"/>
        <v>0</v>
      </c>
      <c r="G34" s="13">
        <f t="shared" si="26"/>
        <v>0</v>
      </c>
      <c r="H34" s="13">
        <f t="shared" si="26"/>
        <v>0</v>
      </c>
      <c r="I34" s="13" t="e">
        <f t="shared" si="26"/>
        <v>#DIV/0!</v>
      </c>
      <c r="J34" s="13">
        <f t="shared" si="26"/>
        <v>0</v>
      </c>
      <c r="K34" s="6"/>
      <c r="L34" s="4" t="s">
        <v>60</v>
      </c>
      <c r="M34" s="14">
        <f t="shared" ref="M34:U34" si="27">M16/M$17</f>
        <v>0</v>
      </c>
      <c r="N34" s="14">
        <f t="shared" si="27"/>
        <v>0</v>
      </c>
      <c r="O34" s="14">
        <f t="shared" si="27"/>
        <v>0</v>
      </c>
      <c r="P34" s="14" t="e">
        <f t="shared" si="27"/>
        <v>#DIV/0!</v>
      </c>
      <c r="Q34" s="14">
        <f t="shared" si="27"/>
        <v>0</v>
      </c>
      <c r="R34" s="14">
        <f t="shared" si="27"/>
        <v>0</v>
      </c>
      <c r="S34" s="14">
        <f t="shared" si="27"/>
        <v>0</v>
      </c>
      <c r="T34" s="14" t="e">
        <f t="shared" si="27"/>
        <v>#DIV/0!</v>
      </c>
      <c r="U34" s="14">
        <f t="shared" si="27"/>
        <v>0</v>
      </c>
    </row>
    <row r="35" spans="1:32" ht="15.75" thickBot="1" x14ac:dyDescent="0.3">
      <c r="A35" s="12" t="s">
        <v>7</v>
      </c>
      <c r="B35" s="15">
        <f t="shared" ref="B35:J35" si="28">B17/B$17</f>
        <v>1</v>
      </c>
      <c r="C35" s="15">
        <f t="shared" si="28"/>
        <v>1</v>
      </c>
      <c r="D35" s="15">
        <f t="shared" si="28"/>
        <v>1</v>
      </c>
      <c r="E35" s="15">
        <f t="shared" si="28"/>
        <v>1</v>
      </c>
      <c r="F35" s="15">
        <f t="shared" si="28"/>
        <v>1</v>
      </c>
      <c r="G35" s="15">
        <f t="shared" si="28"/>
        <v>1</v>
      </c>
      <c r="H35" s="15">
        <f t="shared" si="28"/>
        <v>1</v>
      </c>
      <c r="I35" s="15" t="e">
        <f t="shared" si="28"/>
        <v>#DIV/0!</v>
      </c>
      <c r="J35" s="15">
        <f t="shared" si="28"/>
        <v>1</v>
      </c>
      <c r="L35" s="9" t="s">
        <v>7</v>
      </c>
      <c r="M35" s="15">
        <f t="shared" ref="M35:P35" si="29">M17/M$17</f>
        <v>1</v>
      </c>
      <c r="N35" s="15">
        <f t="shared" si="29"/>
        <v>1</v>
      </c>
      <c r="O35" s="15">
        <f t="shared" si="29"/>
        <v>1</v>
      </c>
      <c r="P35" s="15" t="e">
        <f t="shared" si="29"/>
        <v>#DIV/0!</v>
      </c>
      <c r="Q35" s="15">
        <f>Q17/Q$17</f>
        <v>1</v>
      </c>
      <c r="R35" s="15">
        <f>R17/R$17</f>
        <v>1</v>
      </c>
      <c r="S35" s="15">
        <f>S17/S$17</f>
        <v>1</v>
      </c>
      <c r="T35" s="15" t="e">
        <f>T17/T$17</f>
        <v>#DIV/0!</v>
      </c>
      <c r="U35" s="15">
        <f>U17/U$17</f>
        <v>1</v>
      </c>
    </row>
    <row r="38" spans="1:32" ht="15.75" thickBot="1" x14ac:dyDescent="0.3">
      <c r="L38" s="1" t="s">
        <v>22</v>
      </c>
      <c r="M38" s="1"/>
      <c r="N38" s="2"/>
      <c r="O38" s="2"/>
      <c r="P38" s="2"/>
      <c r="Q38" s="2"/>
      <c r="R38" s="2"/>
      <c r="S38" s="2"/>
      <c r="T38" s="2"/>
      <c r="U38" s="2"/>
    </row>
    <row r="39" spans="1:32" x14ac:dyDescent="0.25">
      <c r="L39" s="3"/>
      <c r="M39" s="31" t="s">
        <v>45</v>
      </c>
      <c r="N39" s="32"/>
      <c r="O39" s="32"/>
      <c r="P39" s="32"/>
      <c r="Q39" s="32"/>
      <c r="R39" s="32"/>
      <c r="S39" s="32"/>
      <c r="T39" s="32"/>
      <c r="U39" s="32"/>
    </row>
    <row r="40" spans="1:32" x14ac:dyDescent="0.25">
      <c r="L40" s="4" t="s">
        <v>0</v>
      </c>
      <c r="M40" s="5" t="s">
        <v>11</v>
      </c>
      <c r="N40" s="5" t="s">
        <v>12</v>
      </c>
      <c r="O40" s="5" t="s">
        <v>13</v>
      </c>
      <c r="P40" s="5" t="s">
        <v>14</v>
      </c>
      <c r="Q40" s="5" t="s">
        <v>15</v>
      </c>
      <c r="R40" s="5" t="s">
        <v>4</v>
      </c>
      <c r="S40" s="5" t="s">
        <v>5</v>
      </c>
      <c r="T40" s="5" t="s">
        <v>16</v>
      </c>
      <c r="U40" s="5" t="s">
        <v>7</v>
      </c>
    </row>
    <row r="41" spans="1:32" x14ac:dyDescent="0.25">
      <c r="L41" t="s">
        <v>1</v>
      </c>
      <c r="M41" s="13">
        <f t="shared" ref="M41:M51" si="30">M23-B23</f>
        <v>-1.3251092675014675E-2</v>
      </c>
      <c r="N41" s="13">
        <f t="shared" ref="N41:N51" si="31">N23-C23</f>
        <v>3.6397861679638682E-2</v>
      </c>
      <c r="O41" s="13">
        <f t="shared" ref="O41:O51" si="32">O23-D23</f>
        <v>2.0646138233528757E-2</v>
      </c>
      <c r="P41" s="13" t="e">
        <f t="shared" ref="P41:P51" si="33">P23-E23</f>
        <v>#DIV/0!</v>
      </c>
      <c r="Q41" s="13">
        <f t="shared" ref="Q41:Q51" si="34">Q23-F23</f>
        <v>9.7361809045226136E-3</v>
      </c>
      <c r="R41" s="13">
        <f t="shared" ref="R41:R51" si="35">R23-G23</f>
        <v>0</v>
      </c>
      <c r="S41" s="13">
        <f t="shared" ref="S41:S51" si="36">S23-H23</f>
        <v>0</v>
      </c>
      <c r="T41" s="13" t="e">
        <f t="shared" ref="T41:T51" si="37">T23-I23</f>
        <v>#DIV/0!</v>
      </c>
      <c r="U41" s="13">
        <f t="shared" ref="U41:U51" si="38">U23-J23</f>
        <v>-4.6365532180550006E-2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12</v>
      </c>
      <c r="M42" s="13">
        <f t="shared" si="30"/>
        <v>0</v>
      </c>
      <c r="N42" s="13">
        <f t="shared" si="31"/>
        <v>-3.3378689255587624E-2</v>
      </c>
      <c r="O42" s="13">
        <f t="shared" si="32"/>
        <v>0.15173028981056369</v>
      </c>
      <c r="P42" s="13" t="e">
        <f t="shared" si="33"/>
        <v>#DIV/0!</v>
      </c>
      <c r="Q42" s="13">
        <f t="shared" si="34"/>
        <v>0.12457856674900707</v>
      </c>
      <c r="R42" s="13">
        <f t="shared" si="35"/>
        <v>0</v>
      </c>
      <c r="S42" s="13">
        <f t="shared" si="36"/>
        <v>0</v>
      </c>
      <c r="T42" s="13" t="e">
        <f t="shared" si="37"/>
        <v>#DIV/0!</v>
      </c>
      <c r="U42" s="13">
        <f t="shared" si="38"/>
        <v>-3.2691160056628754E-3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56</v>
      </c>
      <c r="M43" s="13">
        <f t="shared" si="30"/>
        <v>0</v>
      </c>
      <c r="N43" s="13">
        <f t="shared" si="31"/>
        <v>0</v>
      </c>
      <c r="O43" s="13">
        <f t="shared" si="32"/>
        <v>-6.9383112903719013E-2</v>
      </c>
      <c r="P43" s="13" t="e">
        <f t="shared" si="33"/>
        <v>#DIV/0!</v>
      </c>
      <c r="Q43" s="13">
        <f t="shared" si="34"/>
        <v>5.2379513707116424E-2</v>
      </c>
      <c r="R43" s="13">
        <f t="shared" si="35"/>
        <v>0</v>
      </c>
      <c r="S43" s="13">
        <f t="shared" si="36"/>
        <v>0</v>
      </c>
      <c r="T43" s="13" t="e">
        <f t="shared" si="37"/>
        <v>#DIV/0!</v>
      </c>
      <c r="U43" s="13">
        <f t="shared" si="38"/>
        <v>6.4373051400222037E-2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51</v>
      </c>
      <c r="M44" s="13">
        <f t="shared" si="30"/>
        <v>0</v>
      </c>
      <c r="N44" s="13">
        <f t="shared" si="31"/>
        <v>0</v>
      </c>
      <c r="O44" s="13">
        <f t="shared" si="32"/>
        <v>0</v>
      </c>
      <c r="P44" s="13" t="e">
        <f t="shared" si="33"/>
        <v>#DIV/0!</v>
      </c>
      <c r="Q44" s="13">
        <f t="shared" si="34"/>
        <v>-0.17081474164977495</v>
      </c>
      <c r="R44" s="13">
        <f t="shared" si="35"/>
        <v>0</v>
      </c>
      <c r="S44" s="13">
        <f t="shared" si="36"/>
        <v>0</v>
      </c>
      <c r="T44" s="13" t="e">
        <f t="shared" si="37"/>
        <v>#DIV/0!</v>
      </c>
      <c r="U44" s="13">
        <f t="shared" si="38"/>
        <v>-3.5217571808455347E-2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52</v>
      </c>
      <c r="M45" s="13">
        <f t="shared" si="30"/>
        <v>0</v>
      </c>
      <c r="N45" s="13">
        <f t="shared" si="31"/>
        <v>0</v>
      </c>
      <c r="O45" s="13">
        <f t="shared" si="32"/>
        <v>0</v>
      </c>
      <c r="P45" s="13" t="e">
        <f t="shared" si="33"/>
        <v>#DIV/0!</v>
      </c>
      <c r="Q45" s="13">
        <f t="shared" si="34"/>
        <v>0</v>
      </c>
      <c r="R45" s="13">
        <f t="shared" si="35"/>
        <v>0</v>
      </c>
      <c r="S45" s="13">
        <f t="shared" si="36"/>
        <v>0</v>
      </c>
      <c r="T45" s="13" t="e">
        <f t="shared" si="37"/>
        <v>#DIV/0!</v>
      </c>
      <c r="U45" s="13">
        <f t="shared" si="38"/>
        <v>0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53</v>
      </c>
      <c r="M46" s="13">
        <f t="shared" si="30"/>
        <v>0</v>
      </c>
      <c r="N46" s="13">
        <f t="shared" si="31"/>
        <v>0</v>
      </c>
      <c r="O46" s="13">
        <f t="shared" si="32"/>
        <v>0</v>
      </c>
      <c r="P46" s="13" t="e">
        <f t="shared" si="33"/>
        <v>#DIV/0!</v>
      </c>
      <c r="Q46" s="13">
        <f t="shared" si="34"/>
        <v>0</v>
      </c>
      <c r="R46" s="13">
        <f t="shared" si="35"/>
        <v>0</v>
      </c>
      <c r="S46" s="13">
        <f t="shared" si="36"/>
        <v>0</v>
      </c>
      <c r="T46" s="13" t="e">
        <f t="shared" si="37"/>
        <v>#DIV/0!</v>
      </c>
      <c r="U46" s="13">
        <f t="shared" si="38"/>
        <v>0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54</v>
      </c>
      <c r="M47" s="13">
        <f t="shared" si="30"/>
        <v>0</v>
      </c>
      <c r="N47" s="13">
        <f t="shared" si="31"/>
        <v>0</v>
      </c>
      <c r="O47" s="13">
        <f t="shared" si="32"/>
        <v>0</v>
      </c>
      <c r="P47" s="13" t="e">
        <f t="shared" si="33"/>
        <v>#DIV/0!</v>
      </c>
      <c r="Q47" s="13">
        <f t="shared" si="34"/>
        <v>0</v>
      </c>
      <c r="R47" s="13">
        <f t="shared" si="35"/>
        <v>0</v>
      </c>
      <c r="S47" s="13">
        <f t="shared" si="36"/>
        <v>0</v>
      </c>
      <c r="T47" s="13" t="e">
        <f t="shared" si="37"/>
        <v>#DIV/0!</v>
      </c>
      <c r="U47" s="13">
        <f t="shared" si="38"/>
        <v>0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55</v>
      </c>
      <c r="M48" s="13">
        <f t="shared" si="30"/>
        <v>0</v>
      </c>
      <c r="N48" s="13">
        <f t="shared" si="31"/>
        <v>0</v>
      </c>
      <c r="O48" s="13">
        <f t="shared" si="32"/>
        <v>0</v>
      </c>
      <c r="P48" s="13" t="e">
        <f t="shared" si="33"/>
        <v>#DIV/0!</v>
      </c>
      <c r="Q48" s="13">
        <f t="shared" si="34"/>
        <v>0</v>
      </c>
      <c r="R48" s="13">
        <f t="shared" si="35"/>
        <v>0</v>
      </c>
      <c r="S48" s="13">
        <f t="shared" si="36"/>
        <v>0</v>
      </c>
      <c r="T48" s="13" t="e">
        <f t="shared" si="37"/>
        <v>#DIV/0!</v>
      </c>
      <c r="U48" s="13">
        <f t="shared" si="38"/>
        <v>0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t="s">
        <v>24</v>
      </c>
      <c r="M49" s="13">
        <f t="shared" si="30"/>
        <v>0</v>
      </c>
      <c r="N49" s="13">
        <f t="shared" si="31"/>
        <v>0</v>
      </c>
      <c r="O49" s="13">
        <f t="shared" si="32"/>
        <v>0</v>
      </c>
      <c r="P49" s="13" t="e">
        <f t="shared" si="33"/>
        <v>#DIV/0!</v>
      </c>
      <c r="Q49" s="13">
        <f t="shared" si="34"/>
        <v>0</v>
      </c>
      <c r="R49" s="13">
        <f t="shared" si="35"/>
        <v>0</v>
      </c>
      <c r="S49" s="13">
        <f t="shared" si="36"/>
        <v>0</v>
      </c>
      <c r="T49" s="13" t="e">
        <f t="shared" si="37"/>
        <v>#DIV/0!</v>
      </c>
      <c r="U49" s="13">
        <f t="shared" si="38"/>
        <v>0</v>
      </c>
      <c r="X49" s="13"/>
      <c r="Y49" s="13"/>
      <c r="Z49" s="13"/>
      <c r="AA49" s="13"/>
      <c r="AB49" s="13"/>
      <c r="AC49" s="13"/>
      <c r="AD49" s="13"/>
      <c r="AE49" s="13"/>
      <c r="AF49" s="13"/>
    </row>
    <row r="50" spans="12:32" x14ac:dyDescent="0.25">
      <c r="L50" t="s">
        <v>4</v>
      </c>
      <c r="M50" s="13">
        <f t="shared" si="30"/>
        <v>1.5587345536584114E-3</v>
      </c>
      <c r="N50" s="13">
        <f t="shared" si="31"/>
        <v>1.5076051965111129E-3</v>
      </c>
      <c r="O50" s="13">
        <f t="shared" si="32"/>
        <v>-7.894442083733666E-2</v>
      </c>
      <c r="P50" s="13" t="e">
        <f t="shared" si="33"/>
        <v>#DIV/0!</v>
      </c>
      <c r="Q50" s="13">
        <f t="shared" si="34"/>
        <v>4.354447129925376E-3</v>
      </c>
      <c r="R50" s="13">
        <f t="shared" si="35"/>
        <v>0.12430988385263642</v>
      </c>
      <c r="S50" s="13">
        <f t="shared" si="36"/>
        <v>0</v>
      </c>
      <c r="T50" s="13" t="e">
        <f t="shared" si="37"/>
        <v>#DIV/0!</v>
      </c>
      <c r="U50" s="13">
        <f t="shared" si="38"/>
        <v>-2.0673031455307286E-2</v>
      </c>
      <c r="X50" s="13"/>
      <c r="Y50" s="13"/>
      <c r="Z50" s="13"/>
      <c r="AA50" s="13"/>
      <c r="AB50" s="13"/>
      <c r="AC50" s="13"/>
      <c r="AD50" s="13"/>
      <c r="AE50" s="13"/>
      <c r="AF50" s="13"/>
    </row>
    <row r="51" spans="12:32" x14ac:dyDescent="0.25">
      <c r="L51" t="s">
        <v>5</v>
      </c>
      <c r="M51" s="13">
        <f t="shared" si="30"/>
        <v>1.1692358121356425E-2</v>
      </c>
      <c r="N51" s="13">
        <f t="shared" si="31"/>
        <v>-4.5267776205622128E-3</v>
      </c>
      <c r="O51" s="13">
        <f t="shared" si="32"/>
        <v>-2.4048894303036833E-2</v>
      </c>
      <c r="P51" s="13" t="e">
        <f t="shared" si="33"/>
        <v>#DIV/0!</v>
      </c>
      <c r="Q51" s="13">
        <f t="shared" si="34"/>
        <v>-2.0233966840796452E-2</v>
      </c>
      <c r="R51" s="13">
        <f t="shared" si="35"/>
        <v>-0.12430988385263644</v>
      </c>
      <c r="S51" s="13">
        <f t="shared" si="36"/>
        <v>0</v>
      </c>
      <c r="T51" s="13" t="e">
        <f t="shared" si="37"/>
        <v>#DIV/0!</v>
      </c>
      <c r="U51" s="13">
        <f t="shared" si="38"/>
        <v>4.1152200049753562E-2</v>
      </c>
      <c r="X51" s="13"/>
      <c r="Y51" s="13"/>
      <c r="Z51" s="13"/>
      <c r="AA51" s="13"/>
      <c r="AB51" s="13"/>
      <c r="AC51" s="13"/>
      <c r="AD51" s="13"/>
      <c r="AE51" s="13"/>
      <c r="AF51" s="13"/>
    </row>
    <row r="52" spans="12:32" x14ac:dyDescent="0.25">
      <c r="L52" s="4" t="s">
        <v>60</v>
      </c>
      <c r="M52" s="17">
        <f t="shared" ref="M52:U52" si="39">M34-B34</f>
        <v>0</v>
      </c>
      <c r="N52" s="17">
        <f t="shared" si="39"/>
        <v>0</v>
      </c>
      <c r="O52" s="17">
        <f t="shared" si="39"/>
        <v>0</v>
      </c>
      <c r="P52" s="17" t="e">
        <f t="shared" si="39"/>
        <v>#DIV/0!</v>
      </c>
      <c r="Q52" s="17">
        <f t="shared" si="39"/>
        <v>0</v>
      </c>
      <c r="R52" s="17">
        <f t="shared" si="39"/>
        <v>0</v>
      </c>
      <c r="S52" s="17">
        <f t="shared" si="39"/>
        <v>0</v>
      </c>
      <c r="T52" s="17" t="e">
        <f t="shared" si="39"/>
        <v>#DIV/0!</v>
      </c>
      <c r="U52" s="13">
        <f t="shared" si="39"/>
        <v>0</v>
      </c>
      <c r="X52" s="13"/>
      <c r="Y52" s="13"/>
      <c r="Z52" s="13"/>
      <c r="AA52" s="13"/>
      <c r="AB52" s="13"/>
      <c r="AC52" s="13"/>
      <c r="AD52" s="13"/>
      <c r="AE52" s="13"/>
      <c r="AF52" s="13"/>
    </row>
    <row r="53" spans="12:32" ht="15.75" thickBot="1" x14ac:dyDescent="0.3">
      <c r="L53" s="9" t="s">
        <v>7</v>
      </c>
      <c r="M53" s="15">
        <f t="shared" ref="M53:P53" si="40">M35-B35</f>
        <v>0</v>
      </c>
      <c r="N53" s="15">
        <f t="shared" si="40"/>
        <v>0</v>
      </c>
      <c r="O53" s="15">
        <f t="shared" si="40"/>
        <v>0</v>
      </c>
      <c r="P53" s="15" t="e">
        <f t="shared" si="40"/>
        <v>#DIV/0!</v>
      </c>
      <c r="Q53" s="15">
        <f t="shared" ref="Q53" si="41">Q35-F35</f>
        <v>0</v>
      </c>
      <c r="R53" s="15">
        <f t="shared" ref="R53" si="42">R35-G35</f>
        <v>0</v>
      </c>
      <c r="S53" s="15">
        <f t="shared" ref="S53" si="43">S35-H35</f>
        <v>0</v>
      </c>
      <c r="T53" s="15" t="e">
        <f t="shared" ref="T53" si="44">T35-I35</f>
        <v>#DIV/0!</v>
      </c>
      <c r="U53" s="15">
        <f t="shared" ref="U53" si="45">U35-J35</f>
        <v>0</v>
      </c>
      <c r="X53" s="13"/>
      <c r="Y53" s="13"/>
      <c r="Z53" s="13"/>
      <c r="AA53" s="13"/>
      <c r="AB53" s="13"/>
      <c r="AC53" s="13"/>
      <c r="AD53" s="13"/>
      <c r="AE53" s="13"/>
      <c r="AF53" s="13"/>
    </row>
  </sheetData>
  <mergeCells count="5">
    <mergeCell ref="B3:I3"/>
    <mergeCell ref="M3:U3"/>
    <mergeCell ref="B21:I21"/>
    <mergeCell ref="M21:U21"/>
    <mergeCell ref="M39:U39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AF53"/>
  <sheetViews>
    <sheetView tabSelected="1" workbookViewId="0">
      <selection activeCell="M16" sqref="M16:T16"/>
    </sheetView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r="2" spans="1:21" ht="15.75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39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31" t="s">
        <v>46</v>
      </c>
      <c r="C3" s="31"/>
      <c r="D3" s="31"/>
      <c r="E3" s="31"/>
      <c r="F3" s="31"/>
      <c r="G3" s="31"/>
      <c r="H3" s="31"/>
      <c r="I3" s="31"/>
      <c r="J3" s="11"/>
      <c r="L3" s="3"/>
      <c r="M3" s="31" t="s">
        <v>46</v>
      </c>
      <c r="N3" s="31"/>
      <c r="O3" s="31"/>
      <c r="P3" s="31"/>
      <c r="Q3" s="31"/>
      <c r="R3" s="31"/>
      <c r="S3" s="31"/>
      <c r="T3" s="31"/>
      <c r="U3" s="31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634099.7974480316</v>
      </c>
      <c r="C5" s="6" t="n">
        <v>22207.48819571</v>
      </c>
      <c r="D5" s="6" t="n">
        <v>8175.4429283835</v>
      </c>
      <c r="E5" s="6" t="n">
        <v>2380.8644758418</v>
      </c>
      <c r="F5" s="6" t="n">
        <v>1170.9767563398</v>
      </c>
      <c r="G5" s="6" t="n">
        <v>0.0</v>
      </c>
      <c r="H5" s="6" t="n">
        <v>0.0</v>
      </c>
      <c r="I5" s="6" t="n">
        <v>0.0</v>
      </c>
      <c r="J5" s="6">
        <f>SUM(B5:I5)</f>
        <v>668034.56980430661</v>
      </c>
      <c r="K5" s="6"/>
      <c r="L5" t="s">
        <v>1</v>
      </c>
      <c r="M5" s="6" t="n">
        <v>451996.0</v>
      </c>
      <c r="N5" s="6" t="n">
        <v>39200.0</v>
      </c>
      <c r="O5" s="6" t="n">
        <v>12832.0</v>
      </c>
      <c r="P5" s="6" t="n">
        <v>0.0</v>
      </c>
      <c r="Q5" s="6" t="n">
        <v>181.0</v>
      </c>
      <c r="R5" s="6" t="n">
        <v>0.0</v>
      </c>
      <c r="S5" s="6" t="n">
        <v>0.0</v>
      </c>
      <c r="T5" s="6" t="n">
        <v>0.0</v>
      </c>
      <c r="U5" s="6">
        <f t="shared" ref="U5:U16" si="0">SUM(M5:T5)</f>
        <v>504209</v>
      </c>
    </row>
    <row r="6" spans="1:21" x14ac:dyDescent="0.25">
      <c r="A6" t="s">
        <v>12</v>
      </c>
      <c r="B6" s="6" t="n">
        <v>0.0</v>
      </c>
      <c r="C6" s="6" t="n">
        <v>594836.7086835876</v>
      </c>
      <c r="D6" s="6" t="n">
        <v>42728.3088872137</v>
      </c>
      <c r="E6" s="6" t="n">
        <v>262.3473390995</v>
      </c>
      <c r="F6" s="6" t="n">
        <v>8407.9361075648</v>
      </c>
      <c r="G6" s="6" t="n">
        <v>0.0</v>
      </c>
      <c r="H6" s="6" t="n">
        <v>0.0</v>
      </c>
      <c r="I6" s="6" t="n">
        <v>0.0</v>
      </c>
      <c r="J6" s="6">
        <f t="shared" ref="J6:J16" si="1">SUM(B6:I6)</f>
        <v>646235.30101746565</v>
      </c>
      <c r="K6" s="6"/>
      <c r="L6" t="s">
        <v>12</v>
      </c>
      <c r="M6" s="6" t="n">
        <v>0.0</v>
      </c>
      <c r="N6" s="6" t="n">
        <v>531433.0</v>
      </c>
      <c r="O6" s="6" t="n">
        <v>83230.0</v>
      </c>
      <c r="P6" s="6" t="n">
        <v>0.0</v>
      </c>
      <c r="Q6" s="6" t="n">
        <v>1898.0</v>
      </c>
      <c r="R6" s="6" t="n">
        <v>0.0</v>
      </c>
      <c r="S6" s="6" t="n">
        <v>0.0</v>
      </c>
      <c r="T6" s="6" t="n">
        <v>0.0</v>
      </c>
      <c r="U6" s="6">
        <f t="shared" si="0"/>
        <v>616561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497781.4176410345</v>
      </c>
      <c r="E7" s="6" t="n">
        <v>0.0</v>
      </c>
      <c r="F7" s="6" t="n">
        <v>3158.3612664017</v>
      </c>
      <c r="G7" s="6" t="n">
        <v>0.0</v>
      </c>
      <c r="H7" s="6" t="n">
        <v>0.0</v>
      </c>
      <c r="I7" s="6" t="n">
        <v>0.0</v>
      </c>
      <c r="J7" s="6">
        <f t="shared" si="1"/>
        <v>500939.77890743624</v>
      </c>
      <c r="K7" s="6"/>
      <c r="L7" t="s">
        <v>56</v>
      </c>
      <c r="M7" s="6" t="n">
        <v>0.0</v>
      </c>
      <c r="N7" s="6" t="n">
        <v>0.0</v>
      </c>
      <c r="O7" s="6" t="n">
        <v>443164.0</v>
      </c>
      <c r="P7" s="6" t="n">
        <v>0.0</v>
      </c>
      <c r="Q7" s="6" t="n">
        <v>819.0</v>
      </c>
      <c r="R7" s="6" t="n">
        <v>0.0</v>
      </c>
      <c r="S7" s="6" t="n">
        <v>0.0</v>
      </c>
      <c r="T7" s="6" t="n">
        <v>0.0</v>
      </c>
      <c r="U7" s="6">
        <f t="shared" si="0"/>
        <v>443983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2621.1857803258</v>
      </c>
      <c r="F8" s="6" t="n">
        <v>35578.6968684728</v>
      </c>
      <c r="G8" s="6" t="n">
        <v>0.0</v>
      </c>
      <c r="H8" s="6" t="n">
        <v>0.0</v>
      </c>
      <c r="I8" s="6" t="n">
        <v>0.0</v>
      </c>
      <c r="J8" s="6">
        <f t="shared" si="1"/>
        <v>38199.882648798601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13129.0</v>
      </c>
      <c r="R8" s="6" t="n">
        <v>0.0</v>
      </c>
      <c r="S8" s="6" t="n">
        <v>0.0</v>
      </c>
      <c r="T8" s="6" t="n">
        <v>0.0</v>
      </c>
      <c r="U8" s="6">
        <f t="shared" si="0"/>
        <v>13129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107.691391212</v>
      </c>
      <c r="G9" s="6" t="n">
        <v>0.0</v>
      </c>
      <c r="H9" s="6" t="n">
        <v>0.0</v>
      </c>
      <c r="I9" s="6" t="n">
        <v>0.0</v>
      </c>
      <c r="J9" s="6">
        <f t="shared" si="1"/>
        <v>107.691391212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t="shared" si="0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t="shared" si="1"/>
        <v>0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0.0</v>
      </c>
      <c r="R10" s="6" t="n">
        <v>0.0</v>
      </c>
      <c r="S10" s="6" t="n">
        <v>0.0</v>
      </c>
      <c r="T10" s="6" t="n">
        <v>0.0</v>
      </c>
      <c r="U10" s="6">
        <f t="shared" si="0"/>
        <v>0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t="shared" si="1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0.0</v>
      </c>
      <c r="R11" s="6" t="n">
        <v>0.0</v>
      </c>
      <c r="S11" s="6" t="n">
        <v>0.0</v>
      </c>
      <c r="T11" s="6" t="n">
        <v>0.0</v>
      </c>
      <c r="U11" s="6">
        <f t="shared" si="0"/>
        <v>0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t="shared" si="1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0.0</v>
      </c>
      <c r="R12" s="6" t="n">
        <v>0.0</v>
      </c>
      <c r="S12" s="6" t="n">
        <v>0.0</v>
      </c>
      <c r="T12" s="6" t="n">
        <v>0.0</v>
      </c>
      <c r="U12" s="6">
        <f t="shared" si="0"/>
        <v>0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1490.528010836</v>
      </c>
      <c r="J13" s="6">
        <f t="shared" si="1"/>
        <v>1490.528010836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t="shared" si="0"/>
        <v>0</v>
      </c>
    </row>
    <row r="14" spans="1:21" x14ac:dyDescent="0.25">
      <c r="A14" t="s">
        <v>4</v>
      </c>
      <c r="B14" s="6" t="n">
        <v>1934.812701878</v>
      </c>
      <c r="C14" s="6" t="n">
        <v>34.4157929553</v>
      </c>
      <c r="D14" s="6" t="n">
        <v>0.0</v>
      </c>
      <c r="E14" s="6" t="n">
        <v>0.0</v>
      </c>
      <c r="F14" s="6" t="n">
        <v>285.065614854</v>
      </c>
      <c r="G14" s="6" t="n">
        <v>32298.9941528336</v>
      </c>
      <c r="H14" s="6" t="n">
        <v>0.0</v>
      </c>
      <c r="I14" s="6" t="n">
        <v>1490.528010836</v>
      </c>
      <c r="J14" s="6">
        <f t="shared" si="1"/>
        <v>36043.816273356904</v>
      </c>
      <c r="K14" s="6"/>
      <c r="L14" t="s">
        <v>4</v>
      </c>
      <c r="M14" s="6" t="n">
        <v>484.0</v>
      </c>
      <c r="N14" s="6" t="n">
        <v>859.0</v>
      </c>
      <c r="O14" s="6" t="n">
        <v>714.0</v>
      </c>
      <c r="P14" s="6" t="n">
        <v>0.0</v>
      </c>
      <c r="Q14" s="6" t="n">
        <v>208.0</v>
      </c>
      <c r="R14" s="6" t="n">
        <v>30035.0</v>
      </c>
      <c r="S14" s="6" t="n">
        <v>0.0</v>
      </c>
      <c r="T14" s="6" t="n">
        <v>0.0</v>
      </c>
      <c r="U14" s="6">
        <f t="shared" si="0"/>
        <v>32300</v>
      </c>
    </row>
    <row r="15" spans="1:21" x14ac:dyDescent="0.25">
      <c r="A15" t="s">
        <v>5</v>
      </c>
      <c r="B15" s="6" t="n">
        <v>12459.2262120284</v>
      </c>
      <c r="C15" s="6" t="n">
        <v>10613.4108320905</v>
      </c>
      <c r="D15" s="6" t="n">
        <v>13268.8344658298</v>
      </c>
      <c r="E15" s="6" t="n">
        <v>314.436122055</v>
      </c>
      <c r="F15" s="6" t="n">
        <v>11918.2195557219</v>
      </c>
      <c r="G15" s="6" t="n">
        <v>529.9935652318001</v>
      </c>
      <c r="H15" s="6" t="n">
        <v>709943.0741062714</v>
      </c>
      <c r="I15" s="6" t="n">
        <v>0.0</v>
      </c>
      <c r="J15" s="6">
        <f t="shared" si="1"/>
        <v>759047.1948592288</v>
      </c>
      <c r="K15" s="6"/>
      <c r="L15" t="s">
        <v>5</v>
      </c>
      <c r="M15" s="6" t="n">
        <v>1946.0</v>
      </c>
      <c r="N15" s="6" t="n">
        <v>2119.0</v>
      </c>
      <c r="O15" s="6" t="n">
        <v>1199.0</v>
      </c>
      <c r="P15" s="6" t="n">
        <v>0.0</v>
      </c>
      <c r="Q15" s="6" t="n">
        <v>1608.0</v>
      </c>
      <c r="R15" s="6" t="n">
        <v>632.0</v>
      </c>
      <c r="S15" s="6" t="n">
        <v>1018999.0</v>
      </c>
      <c r="T15" s="6" t="n">
        <v>0.0</v>
      </c>
      <c r="U15" s="6">
        <f t="shared" si="0"/>
        <v>1026503</v>
      </c>
    </row>
    <row r="16" spans="1:21" x14ac:dyDescent="0.25">
      <c r="A16" s="4" t="s">
        <v>60</v>
      </c>
      <c r="B16" s="10" t="n">
        <v>0.0</v>
      </c>
      <c r="C16" s="10" t="n">
        <v>0.0</v>
      </c>
      <c r="D16" s="10" t="n">
        <v>0.0</v>
      </c>
      <c r="E16" s="10" t="n">
        <v>0.0</v>
      </c>
      <c r="F16" s="10" t="n">
        <v>0.0</v>
      </c>
      <c r="G16" s="10" t="n">
        <v>0.0</v>
      </c>
      <c r="H16" s="10" t="n">
        <v>0.0</v>
      </c>
      <c r="I16" s="10" t="n">
        <v>0.0</v>
      </c>
      <c r="J16" s="6">
        <f t="shared" si="1"/>
        <v>0</v>
      </c>
      <c r="K16" s="6"/>
      <c r="L16" s="4" t="s">
        <v>60</v>
      </c>
      <c r="M16" s="8" t="n">
        <v>0.0</v>
      </c>
      <c r="N16" s="8" t="n">
        <v>1745.0</v>
      </c>
      <c r="O16" s="8" t="n">
        <v>2053.0</v>
      </c>
      <c r="P16" s="8" t="n">
        <v>0.0</v>
      </c>
      <c r="Q16" s="8" t="n">
        <v>0.0</v>
      </c>
      <c r="R16" s="8" t="n">
        <v>0.0</v>
      </c>
      <c r="S16" s="8" t="n">
        <v>0.0</v>
      </c>
      <c r="T16" s="8" t="n">
        <v>0.0</v>
      </c>
      <c r="U16" s="6">
        <f t="shared" si="0"/>
        <v>0</v>
      </c>
    </row>
    <row r="17" spans="1:21" ht="15.75" thickBot="1" x14ac:dyDescent="0.3">
      <c r="A17" s="12" t="s">
        <v>7</v>
      </c>
      <c r="B17" s="16">
        <f t="shared" ref="B17:J17" si="2">SUM(B5:B16)</f>
        <v>648493.83636193804</v>
      </c>
      <c r="C17" s="16">
        <f t="shared" si="2"/>
        <v>627692.02350434347</v>
      </c>
      <c r="D17" s="16">
        <f t="shared" si="2"/>
        <v>561954.00392246153</v>
      </c>
      <c r="E17" s="16">
        <f t="shared" si="2"/>
        <v>5578.8337173220998</v>
      </c>
      <c r="F17" s="16">
        <f t="shared" si="2"/>
        <v>60626.947560567001</v>
      </c>
      <c r="G17" s="16">
        <f t="shared" si="2"/>
        <v>32828.9877180654</v>
      </c>
      <c r="H17" s="16">
        <f t="shared" si="2"/>
        <v>709943.07410627138</v>
      </c>
      <c r="I17" s="16">
        <f t="shared" si="2"/>
        <v>2981.056021672</v>
      </c>
      <c r="J17" s="16">
        <f t="shared" si="2"/>
        <v>2650098.7629126403</v>
      </c>
      <c r="L17" s="9" t="s">
        <v>7</v>
      </c>
      <c r="M17" s="16">
        <f t="shared" ref="M17:U17" si="3">SUM(M5:M16)</f>
        <v>454426</v>
      </c>
      <c r="N17" s="16">
        <f t="shared" si="3"/>
        <v>573611</v>
      </c>
      <c r="O17" s="16">
        <f t="shared" si="3"/>
        <v>541139</v>
      </c>
      <c r="P17" s="16">
        <f t="shared" si="3"/>
        <v>0</v>
      </c>
      <c r="Q17" s="16">
        <f t="shared" si="3"/>
        <v>17843</v>
      </c>
      <c r="R17" s="16">
        <f t="shared" si="3"/>
        <v>30667</v>
      </c>
      <c r="S17" s="16">
        <f t="shared" si="3"/>
        <v>1018999</v>
      </c>
      <c r="T17" s="16">
        <f t="shared" si="3"/>
        <v>0</v>
      </c>
      <c r="U17" s="16">
        <f t="shared" si="3"/>
        <v>2636685</v>
      </c>
    </row>
    <row r="20" spans="1:21" ht="15.75" thickBot="1" x14ac:dyDescent="0.3">
      <c r="A20" s="1" t="s">
        <v>59</v>
      </c>
      <c r="B20" s="1"/>
      <c r="C20" s="2"/>
      <c r="D20" s="2"/>
      <c r="E20" s="2"/>
      <c r="F20" s="2"/>
      <c r="G20" s="2"/>
      <c r="H20" s="2"/>
      <c r="I20" s="2"/>
      <c r="J20" s="2"/>
      <c r="L20" s="1" t="s">
        <v>40</v>
      </c>
      <c r="M20" s="1"/>
      <c r="N20" s="2"/>
      <c r="O20" s="2"/>
      <c r="P20" s="2"/>
      <c r="Q20" s="2"/>
      <c r="R20" s="2"/>
      <c r="S20" s="2"/>
      <c r="T20" s="2"/>
      <c r="U20" s="2"/>
    </row>
    <row r="21" spans="1:21" x14ac:dyDescent="0.25">
      <c r="A21" s="3"/>
      <c r="B21" s="31" t="s">
        <v>46</v>
      </c>
      <c r="C21" s="31"/>
      <c r="D21" s="31"/>
      <c r="E21" s="31"/>
      <c r="F21" s="31"/>
      <c r="G21" s="31"/>
      <c r="H21" s="31"/>
      <c r="I21" s="31"/>
      <c r="J21" s="11"/>
      <c r="L21" s="3"/>
      <c r="M21" s="31" t="s">
        <v>46</v>
      </c>
      <c r="N21" s="31"/>
      <c r="O21" s="31"/>
      <c r="P21" s="31"/>
      <c r="Q21" s="31"/>
      <c r="R21" s="31"/>
      <c r="S21" s="31"/>
      <c r="T21" s="31"/>
      <c r="U21" s="31"/>
    </row>
    <row r="22" spans="1:21" x14ac:dyDescent="0.25">
      <c r="A22" s="4" t="s">
        <v>0</v>
      </c>
      <c r="B22" s="5" t="s">
        <v>11</v>
      </c>
      <c r="C22" s="5" t="s">
        <v>12</v>
      </c>
      <c r="D22" s="5" t="s">
        <v>13</v>
      </c>
      <c r="E22" s="5" t="s">
        <v>14</v>
      </c>
      <c r="F22" s="5" t="s">
        <v>15</v>
      </c>
      <c r="G22" s="5" t="s">
        <v>4</v>
      </c>
      <c r="H22" s="5" t="s">
        <v>5</v>
      </c>
      <c r="I22" s="5" t="s">
        <v>16</v>
      </c>
      <c r="J22" s="5" t="s">
        <v>7</v>
      </c>
      <c r="L22" s="4" t="s">
        <v>0</v>
      </c>
      <c r="M22" s="5" t="s">
        <v>1</v>
      </c>
      <c r="N22" s="5" t="s">
        <v>2</v>
      </c>
      <c r="O22" s="5" t="s">
        <v>3</v>
      </c>
      <c r="P22" s="5" t="s">
        <v>14</v>
      </c>
      <c r="Q22" s="5" t="s">
        <v>15</v>
      </c>
      <c r="R22" s="5" t="s">
        <v>4</v>
      </c>
      <c r="S22" s="5" t="s">
        <v>5</v>
      </c>
      <c r="T22" s="5" t="s">
        <v>16</v>
      </c>
      <c r="U22" s="5" t="s">
        <v>7</v>
      </c>
    </row>
    <row r="23" spans="1:21" x14ac:dyDescent="0.25">
      <c r="A23" t="s">
        <v>1</v>
      </c>
      <c r="B23" s="13">
        <f t="shared" ref="B23:J23" si="4">B5/B$17</f>
        <v>0.97780389248623045</v>
      </c>
      <c r="C23" s="13">
        <f t="shared" si="4"/>
        <v>3.5379592800507093E-2</v>
      </c>
      <c r="D23" s="13">
        <f t="shared" si="4"/>
        <v>1.4548242153839246E-2</v>
      </c>
      <c r="E23" s="13">
        <f t="shared" si="4"/>
        <v>0.42676742066165052</v>
      </c>
      <c r="F23" s="13">
        <f t="shared" si="4"/>
        <v>1.9314460045509976E-2</v>
      </c>
      <c r="G23" s="13">
        <f t="shared" si="4"/>
        <v>0</v>
      </c>
      <c r="H23" s="13">
        <f t="shared" si="4"/>
        <v>0</v>
      </c>
      <c r="I23" s="13">
        <f t="shared" si="4"/>
        <v>0</v>
      </c>
      <c r="J23" s="13">
        <f t="shared" si="4"/>
        <v>0.25207912216452294</v>
      </c>
      <c r="K23" s="6"/>
      <c r="L23" t="s">
        <v>1</v>
      </c>
      <c r="M23" s="13">
        <f t="shared" ref="M23:U23" si="5">M5/M$17</f>
        <v>0.9946525947018876</v>
      </c>
      <c r="N23" s="13">
        <f t="shared" si="5"/>
        <v>6.8338996288425435E-2</v>
      </c>
      <c r="O23" s="13">
        <f t="shared" si="5"/>
        <v>2.3712946211601825E-2</v>
      </c>
      <c r="P23" s="13" t="e">
        <f t="shared" si="5"/>
        <v>#DIV/0!</v>
      </c>
      <c r="Q23" s="13">
        <f t="shared" si="5"/>
        <v>1.0144034074987389E-2</v>
      </c>
      <c r="R23" s="13">
        <f t="shared" si="5"/>
        <v>0</v>
      </c>
      <c r="S23" s="13">
        <f t="shared" si="5"/>
        <v>0</v>
      </c>
      <c r="T23" s="13" t="e">
        <f t="shared" si="5"/>
        <v>#DIV/0!</v>
      </c>
      <c r="U23" s="13">
        <f t="shared" si="5"/>
        <v>0.19122837957511041</v>
      </c>
    </row>
    <row r="24" spans="1:21" x14ac:dyDescent="0.25">
      <c r="A24" t="s">
        <v>12</v>
      </c>
      <c r="B24" s="13">
        <f t="shared" ref="B24:J24" si="6">B6/B$17</f>
        <v>0</v>
      </c>
      <c r="C24" s="13">
        <f t="shared" si="6"/>
        <v>0.94765695023918284</v>
      </c>
      <c r="D24" s="13">
        <f t="shared" si="6"/>
        <v>7.6035242366756683E-2</v>
      </c>
      <c r="E24" s="13">
        <f t="shared" si="6"/>
        <v>4.7025481022121153E-2</v>
      </c>
      <c r="F24" s="13">
        <f t="shared" si="6"/>
        <v>0.13868315074192342</v>
      </c>
      <c r="G24" s="13">
        <f t="shared" si="6"/>
        <v>0</v>
      </c>
      <c r="H24" s="13">
        <f t="shared" si="6"/>
        <v>0</v>
      </c>
      <c r="I24" s="13">
        <f t="shared" si="6"/>
        <v>0</v>
      </c>
      <c r="J24" s="13">
        <f t="shared" si="6"/>
        <v>0.24385328956842678</v>
      </c>
      <c r="K24" s="6"/>
      <c r="L24" t="s">
        <v>12</v>
      </c>
      <c r="M24" s="13">
        <f t="shared" ref="M24:U24" si="7">M6/M$17</f>
        <v>0</v>
      </c>
      <c r="N24" s="13">
        <f t="shared" si="7"/>
        <v>0.92646933200374471</v>
      </c>
      <c r="O24" s="13">
        <f t="shared" si="7"/>
        <v>0.15380521455670354</v>
      </c>
      <c r="P24" s="13" t="e">
        <f t="shared" si="7"/>
        <v>#DIV/0!</v>
      </c>
      <c r="Q24" s="13">
        <f t="shared" si="7"/>
        <v>0.10637224681948103</v>
      </c>
      <c r="R24" s="13">
        <f t="shared" si="7"/>
        <v>0</v>
      </c>
      <c r="S24" s="13">
        <f t="shared" si="7"/>
        <v>0</v>
      </c>
      <c r="T24" s="13" t="e">
        <f t="shared" si="7"/>
        <v>#DIV/0!</v>
      </c>
      <c r="U24" s="13">
        <f t="shared" si="7"/>
        <v>0.2338394612932527</v>
      </c>
    </row>
    <row r="25" spans="1:21" x14ac:dyDescent="0.25">
      <c r="A25" t="s">
        <v>56</v>
      </c>
      <c r="B25" s="13">
        <f t="shared" ref="B25:J25" si="8">B7/B$17</f>
        <v>0</v>
      </c>
      <c r="C25" s="13">
        <f t="shared" si="8"/>
        <v>0</v>
      </c>
      <c r="D25" s="13">
        <f t="shared" si="8"/>
        <v>0.88580455725290719</v>
      </c>
      <c r="E25" s="13">
        <f t="shared" si="8"/>
        <v>0</v>
      </c>
      <c r="F25" s="13">
        <f t="shared" si="8"/>
        <v>5.2095007145897647E-2</v>
      </c>
      <c r="G25" s="13">
        <f t="shared" si="8"/>
        <v>0</v>
      </c>
      <c r="H25" s="13">
        <f t="shared" si="8"/>
        <v>0</v>
      </c>
      <c r="I25" s="13">
        <f t="shared" si="8"/>
        <v>0</v>
      </c>
      <c r="J25" s="13">
        <f t="shared" si="8"/>
        <v>0.18902683398745074</v>
      </c>
      <c r="K25" s="6"/>
      <c r="L25" t="s">
        <v>56</v>
      </c>
      <c r="M25" s="13">
        <f t="shared" ref="M25:U25" si="9">M7/M$17</f>
        <v>0</v>
      </c>
      <c r="N25" s="13">
        <f t="shared" si="9"/>
        <v>0</v>
      </c>
      <c r="O25" s="13">
        <f t="shared" si="9"/>
        <v>0.8189467031575991</v>
      </c>
      <c r="P25" s="13" t="e">
        <f t="shared" si="9"/>
        <v>#DIV/0!</v>
      </c>
      <c r="Q25" s="13">
        <f t="shared" si="9"/>
        <v>4.5900353079639071E-2</v>
      </c>
      <c r="R25" s="13">
        <f t="shared" si="9"/>
        <v>0</v>
      </c>
      <c r="S25" s="13">
        <f t="shared" si="9"/>
        <v>0</v>
      </c>
      <c r="T25" s="13" t="e">
        <f t="shared" si="9"/>
        <v>#DIV/0!</v>
      </c>
      <c r="U25" s="13">
        <f t="shared" si="9"/>
        <v>0.16838681905498762</v>
      </c>
    </row>
    <row r="26" spans="1:21" x14ac:dyDescent="0.25">
      <c r="A26" t="s">
        <v>51</v>
      </c>
      <c r="B26" s="13">
        <f t="shared" ref="B26:J26" si="10">B8/B$17</f>
        <v>0</v>
      </c>
      <c r="C26" s="13">
        <f t="shared" si="10"/>
        <v>0</v>
      </c>
      <c r="D26" s="13">
        <f t="shared" si="10"/>
        <v>0</v>
      </c>
      <c r="E26" s="13">
        <f t="shared" si="10"/>
        <v>0.46984475844603546</v>
      </c>
      <c r="F26" s="13">
        <f t="shared" si="10"/>
        <v>0.58684625071927432</v>
      </c>
      <c r="G26" s="13">
        <f t="shared" si="10"/>
        <v>0</v>
      </c>
      <c r="H26" s="13">
        <f t="shared" si="10"/>
        <v>0</v>
      </c>
      <c r="I26" s="13">
        <f t="shared" si="10"/>
        <v>0</v>
      </c>
      <c r="J26" s="13">
        <f t="shared" si="10"/>
        <v>1.4414512841330603E-2</v>
      </c>
      <c r="K26" s="6"/>
      <c r="L26" t="s">
        <v>51</v>
      </c>
      <c r="M26" s="13">
        <f t="shared" ref="M26:U26" si="11">M8/M$17</f>
        <v>0</v>
      </c>
      <c r="N26" s="13">
        <f t="shared" si="11"/>
        <v>0</v>
      </c>
      <c r="O26" s="13">
        <f t="shared" si="11"/>
        <v>0</v>
      </c>
      <c r="P26" s="13" t="e">
        <f t="shared" si="11"/>
        <v>#DIV/0!</v>
      </c>
      <c r="Q26" s="13">
        <f t="shared" si="11"/>
        <v>0.73580675895309089</v>
      </c>
      <c r="R26" s="13">
        <f t="shared" si="11"/>
        <v>0</v>
      </c>
      <c r="S26" s="13">
        <f t="shared" si="11"/>
        <v>0</v>
      </c>
      <c r="T26" s="13" t="e">
        <f t="shared" si="11"/>
        <v>#DIV/0!</v>
      </c>
      <c r="U26" s="13">
        <f t="shared" si="11"/>
        <v>4.9793585506042624E-3</v>
      </c>
    </row>
    <row r="27" spans="1:21" x14ac:dyDescent="0.25">
      <c r="A27" t="s">
        <v>52</v>
      </c>
      <c r="B27" s="13">
        <f t="shared" ref="B27:J27" si="12">B9/B$17</f>
        <v>0</v>
      </c>
      <c r="C27" s="13">
        <f t="shared" si="12"/>
        <v>0</v>
      </c>
      <c r="D27" s="13">
        <f t="shared" si="12"/>
        <v>0</v>
      </c>
      <c r="E27" s="13">
        <f t="shared" si="12"/>
        <v>0</v>
      </c>
      <c r="F27" s="13">
        <f t="shared" si="12"/>
        <v>1.7762957817464766E-3</v>
      </c>
      <c r="G27" s="13">
        <f t="shared" si="12"/>
        <v>0</v>
      </c>
      <c r="H27" s="13">
        <f t="shared" si="12"/>
        <v>0</v>
      </c>
      <c r="I27" s="13">
        <f t="shared" si="12"/>
        <v>0</v>
      </c>
      <c r="J27" s="13">
        <f t="shared" si="12"/>
        <v>4.0636746342856964E-5</v>
      </c>
      <c r="K27" s="6"/>
      <c r="L27" t="s">
        <v>52</v>
      </c>
      <c r="M27" s="13">
        <f t="shared" ref="M27:U27" si="13">M9/M$17</f>
        <v>0</v>
      </c>
      <c r="N27" s="13">
        <f t="shared" si="13"/>
        <v>0</v>
      </c>
      <c r="O27" s="13">
        <f t="shared" si="13"/>
        <v>0</v>
      </c>
      <c r="P27" s="13" t="e">
        <f t="shared" si="13"/>
        <v>#DIV/0!</v>
      </c>
      <c r="Q27" s="13">
        <f t="shared" si="13"/>
        <v>0</v>
      </c>
      <c r="R27" s="13">
        <f t="shared" si="13"/>
        <v>0</v>
      </c>
      <c r="S27" s="13">
        <f t="shared" si="13"/>
        <v>0</v>
      </c>
      <c r="T27" s="13" t="e">
        <f t="shared" si="13"/>
        <v>#DIV/0!</v>
      </c>
      <c r="U27" s="13">
        <f t="shared" si="13"/>
        <v>0</v>
      </c>
    </row>
    <row r="28" spans="1:21" x14ac:dyDescent="0.25">
      <c r="A28" t="s">
        <v>53</v>
      </c>
      <c r="B28" s="13">
        <f t="shared" ref="B28:J28" si="14">B10/B$17</f>
        <v>0</v>
      </c>
      <c r="C28" s="13">
        <f t="shared" si="14"/>
        <v>0</v>
      </c>
      <c r="D28" s="13">
        <f t="shared" si="14"/>
        <v>0</v>
      </c>
      <c r="E28" s="13">
        <f t="shared" si="14"/>
        <v>0</v>
      </c>
      <c r="F28" s="13">
        <f t="shared" si="14"/>
        <v>0</v>
      </c>
      <c r="G28" s="13">
        <f t="shared" si="14"/>
        <v>0</v>
      </c>
      <c r="H28" s="13">
        <f t="shared" si="14"/>
        <v>0</v>
      </c>
      <c r="I28" s="13">
        <f t="shared" si="14"/>
        <v>0</v>
      </c>
      <c r="J28" s="13">
        <f t="shared" si="14"/>
        <v>0</v>
      </c>
      <c r="K28" s="6"/>
      <c r="L28" t="s">
        <v>53</v>
      </c>
      <c r="M28" s="13">
        <f t="shared" ref="M28:U28" si="15">M10/M$17</f>
        <v>0</v>
      </c>
      <c r="N28" s="13">
        <f t="shared" si="15"/>
        <v>0</v>
      </c>
      <c r="O28" s="13">
        <f t="shared" si="15"/>
        <v>0</v>
      </c>
      <c r="P28" s="13" t="e">
        <f t="shared" si="15"/>
        <v>#DIV/0!</v>
      </c>
      <c r="Q28" s="13">
        <f t="shared" si="15"/>
        <v>0</v>
      </c>
      <c r="R28" s="13">
        <f t="shared" si="15"/>
        <v>0</v>
      </c>
      <c r="S28" s="13">
        <f t="shared" si="15"/>
        <v>0</v>
      </c>
      <c r="T28" s="13" t="e">
        <f t="shared" si="15"/>
        <v>#DIV/0!</v>
      </c>
      <c r="U28" s="13">
        <f t="shared" si="15"/>
        <v>0</v>
      </c>
    </row>
    <row r="29" spans="1:21" x14ac:dyDescent="0.25">
      <c r="A29" t="s">
        <v>54</v>
      </c>
      <c r="B29" s="13">
        <f t="shared" ref="B29:J29" si="16">B11/B$17</f>
        <v>0</v>
      </c>
      <c r="C29" s="13">
        <f t="shared" si="16"/>
        <v>0</v>
      </c>
      <c r="D29" s="13">
        <f t="shared" si="16"/>
        <v>0</v>
      </c>
      <c r="E29" s="13">
        <f t="shared" si="16"/>
        <v>0</v>
      </c>
      <c r="F29" s="13">
        <f t="shared" si="16"/>
        <v>0</v>
      </c>
      <c r="G29" s="13">
        <f t="shared" si="16"/>
        <v>0</v>
      </c>
      <c r="H29" s="13">
        <f t="shared" si="16"/>
        <v>0</v>
      </c>
      <c r="I29" s="13">
        <f t="shared" si="16"/>
        <v>0</v>
      </c>
      <c r="J29" s="13">
        <f t="shared" si="16"/>
        <v>0</v>
      </c>
      <c r="K29" s="6"/>
      <c r="L29" t="s">
        <v>54</v>
      </c>
      <c r="M29" s="13">
        <f t="shared" ref="M29:U29" si="17">M11/M$17</f>
        <v>0</v>
      </c>
      <c r="N29" s="13">
        <f t="shared" si="17"/>
        <v>0</v>
      </c>
      <c r="O29" s="13">
        <f t="shared" si="17"/>
        <v>0</v>
      </c>
      <c r="P29" s="13" t="e">
        <f t="shared" si="17"/>
        <v>#DIV/0!</v>
      </c>
      <c r="Q29" s="13">
        <f t="shared" si="17"/>
        <v>0</v>
      </c>
      <c r="R29" s="13">
        <f t="shared" si="17"/>
        <v>0</v>
      </c>
      <c r="S29" s="13">
        <f t="shared" si="17"/>
        <v>0</v>
      </c>
      <c r="T29" s="13" t="e">
        <f t="shared" si="17"/>
        <v>#DIV/0!</v>
      </c>
      <c r="U29" s="13">
        <f t="shared" si="17"/>
        <v>0</v>
      </c>
    </row>
    <row r="30" spans="1:21" x14ac:dyDescent="0.25">
      <c r="A30" t="s">
        <v>55</v>
      </c>
      <c r="B30" s="13">
        <f t="shared" ref="B30:J30" si="18">B12/B$17</f>
        <v>0</v>
      </c>
      <c r="C30" s="13">
        <f t="shared" si="18"/>
        <v>0</v>
      </c>
      <c r="D30" s="13">
        <f t="shared" si="18"/>
        <v>0</v>
      </c>
      <c r="E30" s="13">
        <f t="shared" si="18"/>
        <v>0</v>
      </c>
      <c r="F30" s="13">
        <f t="shared" si="18"/>
        <v>0</v>
      </c>
      <c r="G30" s="13">
        <f t="shared" si="18"/>
        <v>0</v>
      </c>
      <c r="H30" s="13">
        <f t="shared" si="18"/>
        <v>0</v>
      </c>
      <c r="I30" s="13">
        <f t="shared" si="18"/>
        <v>0</v>
      </c>
      <c r="J30" s="13">
        <f t="shared" si="18"/>
        <v>0</v>
      </c>
      <c r="K30" s="6"/>
      <c r="L30" t="s">
        <v>55</v>
      </c>
      <c r="M30" s="13">
        <f t="shared" ref="M30:U30" si="19">M12/M$17</f>
        <v>0</v>
      </c>
      <c r="N30" s="13">
        <f t="shared" si="19"/>
        <v>0</v>
      </c>
      <c r="O30" s="13">
        <f t="shared" si="19"/>
        <v>0</v>
      </c>
      <c r="P30" s="13" t="e">
        <f t="shared" si="19"/>
        <v>#DIV/0!</v>
      </c>
      <c r="Q30" s="13">
        <f t="shared" si="19"/>
        <v>0</v>
      </c>
      <c r="R30" s="13">
        <f t="shared" si="19"/>
        <v>0</v>
      </c>
      <c r="S30" s="13">
        <f t="shared" si="19"/>
        <v>0</v>
      </c>
      <c r="T30" s="13" t="e">
        <f t="shared" si="19"/>
        <v>#DIV/0!</v>
      </c>
      <c r="U30" s="13">
        <f t="shared" si="19"/>
        <v>0</v>
      </c>
    </row>
    <row r="31" spans="1:21" x14ac:dyDescent="0.25">
      <c r="A31" t="s">
        <v>24</v>
      </c>
      <c r="B31" s="13">
        <f t="shared" ref="B31:J31" si="20">B13/B$17</f>
        <v>0</v>
      </c>
      <c r="C31" s="13">
        <f t="shared" si="20"/>
        <v>0</v>
      </c>
      <c r="D31" s="13">
        <f t="shared" si="20"/>
        <v>0</v>
      </c>
      <c r="E31" s="13">
        <f t="shared" si="20"/>
        <v>0</v>
      </c>
      <c r="F31" s="13">
        <f t="shared" si="20"/>
        <v>0</v>
      </c>
      <c r="G31" s="13">
        <f t="shared" si="20"/>
        <v>0</v>
      </c>
      <c r="H31" s="13">
        <f t="shared" si="20"/>
        <v>0</v>
      </c>
      <c r="I31" s="13">
        <f t="shared" si="20"/>
        <v>0.5</v>
      </c>
      <c r="J31" s="13">
        <f t="shared" si="20"/>
        <v>5.6244243863493124E-4</v>
      </c>
      <c r="K31" s="6"/>
      <c r="L31" t="s">
        <v>24</v>
      </c>
      <c r="M31" s="13">
        <f t="shared" ref="M31:U31" si="21">M13/M$17</f>
        <v>0</v>
      </c>
      <c r="N31" s="13">
        <f t="shared" si="21"/>
        <v>0</v>
      </c>
      <c r="O31" s="13">
        <f t="shared" si="21"/>
        <v>0</v>
      </c>
      <c r="P31" s="13" t="e">
        <f t="shared" si="21"/>
        <v>#DIV/0!</v>
      </c>
      <c r="Q31" s="13">
        <f t="shared" si="21"/>
        <v>0</v>
      </c>
      <c r="R31" s="13">
        <f t="shared" si="21"/>
        <v>0</v>
      </c>
      <c r="S31" s="13">
        <f t="shared" si="21"/>
        <v>0</v>
      </c>
      <c r="T31" s="13" t="e">
        <f t="shared" si="21"/>
        <v>#DIV/0!</v>
      </c>
      <c r="U31" s="13">
        <f t="shared" si="21"/>
        <v>0</v>
      </c>
    </row>
    <row r="32" spans="1:21" x14ac:dyDescent="0.25">
      <c r="A32" t="s">
        <v>4</v>
      </c>
      <c r="B32" s="13">
        <f t="shared" ref="B32:J32" si="22">B14/B$17</f>
        <v>2.9835483290517207E-3</v>
      </c>
      <c r="C32" s="13">
        <f t="shared" si="22"/>
        <v>5.482910673798271E-5</v>
      </c>
      <c r="D32" s="13">
        <f t="shared" si="22"/>
        <v>0</v>
      </c>
      <c r="E32" s="13">
        <f t="shared" si="22"/>
        <v>0</v>
      </c>
      <c r="F32" s="13">
        <f t="shared" si="22"/>
        <v>4.7019621855317103E-3</v>
      </c>
      <c r="G32" s="13">
        <f t="shared" si="22"/>
        <v>0.98385592727429261</v>
      </c>
      <c r="H32" s="13">
        <f t="shared" si="22"/>
        <v>0</v>
      </c>
      <c r="I32" s="13">
        <f t="shared" si="22"/>
        <v>0.5</v>
      </c>
      <c r="J32" s="13">
        <f t="shared" si="22"/>
        <v>1.3600933209652262E-2</v>
      </c>
      <c r="K32" s="6"/>
      <c r="L32" t="s">
        <v>4</v>
      </c>
      <c r="M32" s="13">
        <f t="shared" ref="M32:U32" si="23">M14/M$17</f>
        <v>1.065079902998508E-3</v>
      </c>
      <c r="N32" s="13">
        <f t="shared" si="23"/>
        <v>1.4975305564223838E-3</v>
      </c>
      <c r="O32" s="13">
        <f t="shared" si="23"/>
        <v>1.3194391829086426E-3</v>
      </c>
      <c r="P32" s="13" t="e">
        <f t="shared" si="23"/>
        <v>#DIV/0!</v>
      </c>
      <c r="Q32" s="13">
        <f t="shared" si="23"/>
        <v>1.1657232528162304E-2</v>
      </c>
      <c r="R32" s="13">
        <f t="shared" si="23"/>
        <v>0.97939152835295273</v>
      </c>
      <c r="S32" s="13">
        <f t="shared" si="23"/>
        <v>0</v>
      </c>
      <c r="T32" s="13" t="e">
        <f t="shared" si="23"/>
        <v>#DIV/0!</v>
      </c>
      <c r="U32" s="13">
        <f t="shared" si="23"/>
        <v>1.2250230877029301E-2</v>
      </c>
    </row>
    <row r="33" spans="1:32" x14ac:dyDescent="0.25">
      <c r="A33" t="s">
        <v>5</v>
      </c>
      <c r="B33" s="13">
        <f t="shared" ref="B33:J33" si="24">B15/B$17</f>
        <v>1.9212559184717745E-2</v>
      </c>
      <c r="C33" s="13">
        <f t="shared" si="24"/>
        <v>1.6908627853571979E-2</v>
      </c>
      <c r="D33" s="13">
        <f t="shared" si="24"/>
        <v>2.3611958226496834E-2</v>
      </c>
      <c r="E33" s="13">
        <f t="shared" si="24"/>
        <v>5.6362339870192929E-2</v>
      </c>
      <c r="F33" s="13">
        <f t="shared" si="24"/>
        <v>0.1965828733801164</v>
      </c>
      <c r="G33" s="13">
        <f t="shared" si="24"/>
        <v>1.6144072725707316E-2</v>
      </c>
      <c r="H33" s="13">
        <f t="shared" si="24"/>
        <v>1</v>
      </c>
      <c r="I33" s="13">
        <f t="shared" si="24"/>
        <v>0</v>
      </c>
      <c r="J33" s="13">
        <f t="shared" si="24"/>
        <v>0.28642222904363906</v>
      </c>
      <c r="K33" s="6"/>
      <c r="L33" t="s">
        <v>5</v>
      </c>
      <c r="M33" s="13">
        <f t="shared" ref="M33:U33" si="25">M15/M$17</f>
        <v>4.2823253951138358E-3</v>
      </c>
      <c r="N33" s="13">
        <f t="shared" si="25"/>
        <v>3.694141151407487E-3</v>
      </c>
      <c r="O33" s="13">
        <f t="shared" si="25"/>
        <v>2.2156968911869225E-3</v>
      </c>
      <c r="P33" s="13" t="e">
        <f t="shared" si="25"/>
        <v>#DIV/0!</v>
      </c>
      <c r="Q33" s="13">
        <f t="shared" si="25"/>
        <v>9.011937454463935E-2</v>
      </c>
      <c r="R33" s="13">
        <f t="shared" si="25"/>
        <v>2.0608471647047315E-2</v>
      </c>
      <c r="S33" s="13">
        <f t="shared" si="25"/>
        <v>1</v>
      </c>
      <c r="T33" s="13" t="e">
        <f t="shared" si="25"/>
        <v>#DIV/0!</v>
      </c>
      <c r="U33" s="13">
        <f t="shared" si="25"/>
        <v>0.38931575064901569</v>
      </c>
    </row>
    <row r="34" spans="1:32" x14ac:dyDescent="0.25">
      <c r="A34" s="4" t="s">
        <v>60</v>
      </c>
      <c r="B34" s="13">
        <f t="shared" ref="B34:J34" si="26">B16/B$17</f>
        <v>0</v>
      </c>
      <c r="C34" s="13">
        <f t="shared" si="26"/>
        <v>0</v>
      </c>
      <c r="D34" s="13">
        <f t="shared" si="26"/>
        <v>0</v>
      </c>
      <c r="E34" s="13">
        <f t="shared" si="26"/>
        <v>0</v>
      </c>
      <c r="F34" s="13">
        <f t="shared" si="26"/>
        <v>0</v>
      </c>
      <c r="G34" s="13">
        <f t="shared" si="26"/>
        <v>0</v>
      </c>
      <c r="H34" s="13">
        <f t="shared" si="26"/>
        <v>0</v>
      </c>
      <c r="I34" s="13">
        <f t="shared" si="26"/>
        <v>0</v>
      </c>
      <c r="J34" s="13">
        <f t="shared" si="26"/>
        <v>0</v>
      </c>
      <c r="K34" s="6"/>
      <c r="L34" s="4" t="s">
        <v>60</v>
      </c>
      <c r="M34" s="14">
        <f t="shared" ref="M34:U34" si="27">M16/M$17</f>
        <v>0</v>
      </c>
      <c r="N34" s="14">
        <f t="shared" si="27"/>
        <v>0</v>
      </c>
      <c r="O34" s="14">
        <f t="shared" si="27"/>
        <v>0</v>
      </c>
      <c r="P34" s="14" t="e">
        <f t="shared" si="27"/>
        <v>#DIV/0!</v>
      </c>
      <c r="Q34" s="14">
        <f t="shared" si="27"/>
        <v>0</v>
      </c>
      <c r="R34" s="14">
        <f t="shared" si="27"/>
        <v>0</v>
      </c>
      <c r="S34" s="14">
        <f t="shared" si="27"/>
        <v>0</v>
      </c>
      <c r="T34" s="14" t="e">
        <f t="shared" si="27"/>
        <v>#DIV/0!</v>
      </c>
      <c r="U34" s="14">
        <f t="shared" si="27"/>
        <v>0</v>
      </c>
    </row>
    <row r="35" spans="1:32" ht="15.75" thickBot="1" x14ac:dyDescent="0.3">
      <c r="A35" s="12" t="s">
        <v>7</v>
      </c>
      <c r="B35" s="15">
        <f t="shared" ref="B35:J35" si="28">B17/B$17</f>
        <v>1</v>
      </c>
      <c r="C35" s="15">
        <f t="shared" si="28"/>
        <v>1</v>
      </c>
      <c r="D35" s="15">
        <f t="shared" si="28"/>
        <v>1</v>
      </c>
      <c r="E35" s="15">
        <f t="shared" si="28"/>
        <v>1</v>
      </c>
      <c r="F35" s="15">
        <f t="shared" si="28"/>
        <v>1</v>
      </c>
      <c r="G35" s="15">
        <f t="shared" si="28"/>
        <v>1</v>
      </c>
      <c r="H35" s="15">
        <f t="shared" si="28"/>
        <v>1</v>
      </c>
      <c r="I35" s="15">
        <f t="shared" si="28"/>
        <v>1</v>
      </c>
      <c r="J35" s="15">
        <f t="shared" si="28"/>
        <v>1</v>
      </c>
      <c r="L35" s="9" t="s">
        <v>7</v>
      </c>
      <c r="M35" s="15">
        <f t="shared" ref="M35:P35" si="29">M17/M$17</f>
        <v>1</v>
      </c>
      <c r="N35" s="15">
        <f t="shared" si="29"/>
        <v>1</v>
      </c>
      <c r="O35" s="15">
        <f t="shared" si="29"/>
        <v>1</v>
      </c>
      <c r="P35" s="15" t="e">
        <f t="shared" si="29"/>
        <v>#DIV/0!</v>
      </c>
      <c r="Q35" s="15">
        <f>Q17/Q$17</f>
        <v>1</v>
      </c>
      <c r="R35" s="15">
        <f>R17/R$17</f>
        <v>1</v>
      </c>
      <c r="S35" s="15">
        <f>S17/S$17</f>
        <v>1</v>
      </c>
      <c r="T35" s="15" t="e">
        <f>T17/T$17</f>
        <v>#DIV/0!</v>
      </c>
      <c r="U35" s="15">
        <f>U17/U$17</f>
        <v>1</v>
      </c>
    </row>
    <row r="38" spans="1:32" ht="15.75" thickBot="1" x14ac:dyDescent="0.3">
      <c r="L38" s="1" t="s">
        <v>23</v>
      </c>
      <c r="M38" s="1"/>
      <c r="N38" s="2"/>
      <c r="O38" s="2"/>
      <c r="P38" s="2"/>
      <c r="Q38" s="2"/>
      <c r="R38" s="2"/>
      <c r="S38" s="2"/>
      <c r="T38" s="2"/>
      <c r="U38" s="2"/>
    </row>
    <row r="39" spans="1:32" x14ac:dyDescent="0.25">
      <c r="L39" s="3"/>
      <c r="M39" s="31" t="s">
        <v>46</v>
      </c>
      <c r="N39" s="31"/>
      <c r="O39" s="31"/>
      <c r="P39" s="31"/>
      <c r="Q39" s="31"/>
      <c r="R39" s="31"/>
      <c r="S39" s="31"/>
      <c r="T39" s="31"/>
      <c r="U39" s="31"/>
    </row>
    <row r="40" spans="1:32" x14ac:dyDescent="0.25">
      <c r="L40" s="4" t="s">
        <v>0</v>
      </c>
      <c r="M40" s="5" t="s">
        <v>11</v>
      </c>
      <c r="N40" s="5" t="s">
        <v>12</v>
      </c>
      <c r="O40" s="5" t="s">
        <v>13</v>
      </c>
      <c r="P40" s="5" t="s">
        <v>14</v>
      </c>
      <c r="Q40" s="5" t="s">
        <v>15</v>
      </c>
      <c r="R40" s="5" t="s">
        <v>4</v>
      </c>
      <c r="S40" s="5" t="s">
        <v>5</v>
      </c>
      <c r="T40" s="5" t="s">
        <v>16</v>
      </c>
      <c r="U40" s="5" t="s">
        <v>7</v>
      </c>
    </row>
    <row r="41" spans="1:32" x14ac:dyDescent="0.25">
      <c r="L41" t="s">
        <v>1</v>
      </c>
      <c r="M41" s="13">
        <f t="shared" ref="M41:M51" si="30">M23-B23</f>
        <v>1.6848702215657152E-2</v>
      </c>
      <c r="N41" s="13">
        <f t="shared" ref="N41:N51" si="31">N23-C23</f>
        <v>3.2959403487918343E-2</v>
      </c>
      <c r="O41" s="13">
        <f t="shared" ref="O41:O51" si="32">O23-D23</f>
        <v>9.1647040577625787E-3</v>
      </c>
      <c r="P41" s="13" t="e">
        <f t="shared" ref="P41:P51" si="33">P23-E23</f>
        <v>#DIV/0!</v>
      </c>
      <c r="Q41" s="13">
        <f t="shared" ref="Q41:Q51" si="34">Q23-F23</f>
        <v>-9.1704259705225871E-3</v>
      </c>
      <c r="R41" s="13">
        <f t="shared" ref="R41:R51" si="35">R23-G23</f>
        <v>0</v>
      </c>
      <c r="S41" s="13">
        <f t="shared" ref="S41:S51" si="36">S23-H23</f>
        <v>0</v>
      </c>
      <c r="T41" s="13" t="e">
        <f t="shared" ref="T41:T51" si="37">T23-I23</f>
        <v>#DIV/0!</v>
      </c>
      <c r="U41" s="13">
        <f t="shared" ref="U41:U51" si="38">U23-J23</f>
        <v>-6.0850742589412532E-2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12</v>
      </c>
      <c r="M42" s="13">
        <f t="shared" si="30"/>
        <v>0</v>
      </c>
      <c r="N42" s="13">
        <f t="shared" si="31"/>
        <v>-2.1187618235438133E-2</v>
      </c>
      <c r="O42" s="13">
        <f t="shared" si="32"/>
        <v>7.7769972189946857E-2</v>
      </c>
      <c r="P42" s="13" t="e">
        <f t="shared" si="33"/>
        <v>#DIV/0!</v>
      </c>
      <c r="Q42" s="13">
        <f t="shared" si="34"/>
        <v>-3.2310903922442388E-2</v>
      </c>
      <c r="R42" s="13">
        <f t="shared" si="35"/>
        <v>0</v>
      </c>
      <c r="S42" s="13">
        <f t="shared" si="36"/>
        <v>0</v>
      </c>
      <c r="T42" s="13" t="e">
        <f t="shared" si="37"/>
        <v>#DIV/0!</v>
      </c>
      <c r="U42" s="13">
        <f t="shared" si="38"/>
        <v>-1.001382827517408E-2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56</v>
      </c>
      <c r="M43" s="13">
        <f t="shared" si="30"/>
        <v>0</v>
      </c>
      <c r="N43" s="13">
        <f t="shared" si="31"/>
        <v>0</v>
      </c>
      <c r="O43" s="13">
        <f t="shared" si="32"/>
        <v>-6.6857854095308089E-2</v>
      </c>
      <c r="P43" s="13" t="e">
        <f t="shared" si="33"/>
        <v>#DIV/0!</v>
      </c>
      <c r="Q43" s="13">
        <f t="shared" si="34"/>
        <v>-6.1946540662585758E-3</v>
      </c>
      <c r="R43" s="13">
        <f t="shared" si="35"/>
        <v>0</v>
      </c>
      <c r="S43" s="13">
        <f t="shared" si="36"/>
        <v>0</v>
      </c>
      <c r="T43" s="13" t="e">
        <f t="shared" si="37"/>
        <v>#DIV/0!</v>
      </c>
      <c r="U43" s="13">
        <f t="shared" si="38"/>
        <v>-2.0640014932463119E-2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51</v>
      </c>
      <c r="M44" s="13">
        <f t="shared" si="30"/>
        <v>0</v>
      </c>
      <c r="N44" s="13">
        <f t="shared" si="31"/>
        <v>0</v>
      </c>
      <c r="O44" s="13">
        <f t="shared" si="32"/>
        <v>0</v>
      </c>
      <c r="P44" s="13" t="e">
        <f t="shared" si="33"/>
        <v>#DIV/0!</v>
      </c>
      <c r="Q44" s="13">
        <f t="shared" si="34"/>
        <v>0.14896050823381657</v>
      </c>
      <c r="R44" s="13">
        <f t="shared" si="35"/>
        <v>0</v>
      </c>
      <c r="S44" s="13">
        <f t="shared" si="36"/>
        <v>0</v>
      </c>
      <c r="T44" s="13" t="e">
        <f t="shared" si="37"/>
        <v>#DIV/0!</v>
      </c>
      <c r="U44" s="13">
        <f t="shared" si="38"/>
        <v>-9.43515429072634E-3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52</v>
      </c>
      <c r="M45" s="13">
        <f t="shared" si="30"/>
        <v>0</v>
      </c>
      <c r="N45" s="13">
        <f t="shared" si="31"/>
        <v>0</v>
      </c>
      <c r="O45" s="13">
        <f t="shared" si="32"/>
        <v>0</v>
      </c>
      <c r="P45" s="13" t="e">
        <f t="shared" si="33"/>
        <v>#DIV/0!</v>
      </c>
      <c r="Q45" s="13">
        <f t="shared" si="34"/>
        <v>-1.7762957817464766E-3</v>
      </c>
      <c r="R45" s="13">
        <f t="shared" si="35"/>
        <v>0</v>
      </c>
      <c r="S45" s="13">
        <f t="shared" si="36"/>
        <v>0</v>
      </c>
      <c r="T45" s="13" t="e">
        <f t="shared" si="37"/>
        <v>#DIV/0!</v>
      </c>
      <c r="U45" s="13">
        <f t="shared" si="38"/>
        <v>-4.0636746342856964E-5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53</v>
      </c>
      <c r="M46" s="13">
        <f t="shared" si="30"/>
        <v>0</v>
      </c>
      <c r="N46" s="13">
        <f t="shared" si="31"/>
        <v>0</v>
      </c>
      <c r="O46" s="13">
        <f t="shared" si="32"/>
        <v>0</v>
      </c>
      <c r="P46" s="13" t="e">
        <f t="shared" si="33"/>
        <v>#DIV/0!</v>
      </c>
      <c r="Q46" s="13">
        <f t="shared" si="34"/>
        <v>0</v>
      </c>
      <c r="R46" s="13">
        <f t="shared" si="35"/>
        <v>0</v>
      </c>
      <c r="S46" s="13">
        <f t="shared" si="36"/>
        <v>0</v>
      </c>
      <c r="T46" s="13" t="e">
        <f t="shared" si="37"/>
        <v>#DIV/0!</v>
      </c>
      <c r="U46" s="13">
        <f t="shared" si="38"/>
        <v>0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54</v>
      </c>
      <c r="M47" s="13">
        <f t="shared" si="30"/>
        <v>0</v>
      </c>
      <c r="N47" s="13">
        <f t="shared" si="31"/>
        <v>0</v>
      </c>
      <c r="O47" s="13">
        <f t="shared" si="32"/>
        <v>0</v>
      </c>
      <c r="P47" s="13" t="e">
        <f t="shared" si="33"/>
        <v>#DIV/0!</v>
      </c>
      <c r="Q47" s="13">
        <f t="shared" si="34"/>
        <v>0</v>
      </c>
      <c r="R47" s="13">
        <f t="shared" si="35"/>
        <v>0</v>
      </c>
      <c r="S47" s="13">
        <f t="shared" si="36"/>
        <v>0</v>
      </c>
      <c r="T47" s="13" t="e">
        <f t="shared" si="37"/>
        <v>#DIV/0!</v>
      </c>
      <c r="U47" s="13">
        <f t="shared" si="38"/>
        <v>0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55</v>
      </c>
      <c r="M48" s="13">
        <f t="shared" si="30"/>
        <v>0</v>
      </c>
      <c r="N48" s="13">
        <f t="shared" si="31"/>
        <v>0</v>
      </c>
      <c r="O48" s="13">
        <f t="shared" si="32"/>
        <v>0</v>
      </c>
      <c r="P48" s="13" t="e">
        <f t="shared" si="33"/>
        <v>#DIV/0!</v>
      </c>
      <c r="Q48" s="13">
        <f t="shared" si="34"/>
        <v>0</v>
      </c>
      <c r="R48" s="13">
        <f t="shared" si="35"/>
        <v>0</v>
      </c>
      <c r="S48" s="13">
        <f t="shared" si="36"/>
        <v>0</v>
      </c>
      <c r="T48" s="13" t="e">
        <f t="shared" si="37"/>
        <v>#DIV/0!</v>
      </c>
      <c r="U48" s="13">
        <f t="shared" si="38"/>
        <v>0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t="s">
        <v>24</v>
      </c>
      <c r="M49" s="13">
        <f t="shared" si="30"/>
        <v>0</v>
      </c>
      <c r="N49" s="13">
        <f t="shared" si="31"/>
        <v>0</v>
      </c>
      <c r="O49" s="13">
        <f t="shared" si="32"/>
        <v>0</v>
      </c>
      <c r="P49" s="13" t="e">
        <f t="shared" si="33"/>
        <v>#DIV/0!</v>
      </c>
      <c r="Q49" s="13">
        <f t="shared" si="34"/>
        <v>0</v>
      </c>
      <c r="R49" s="13">
        <f t="shared" si="35"/>
        <v>0</v>
      </c>
      <c r="S49" s="13">
        <f t="shared" si="36"/>
        <v>0</v>
      </c>
      <c r="T49" s="13" t="e">
        <f t="shared" si="37"/>
        <v>#DIV/0!</v>
      </c>
      <c r="U49" s="13">
        <f t="shared" si="38"/>
        <v>-5.6244243863493124E-4</v>
      </c>
      <c r="X49" s="13"/>
      <c r="Y49" s="13"/>
      <c r="Z49" s="13"/>
      <c r="AA49" s="13"/>
      <c r="AB49" s="13"/>
      <c r="AC49" s="13"/>
      <c r="AD49" s="13"/>
      <c r="AE49" s="13"/>
      <c r="AF49" s="13"/>
    </row>
    <row r="50" spans="12:32" x14ac:dyDescent="0.25">
      <c r="L50" t="s">
        <v>4</v>
      </c>
      <c r="M50" s="13">
        <f t="shared" si="30"/>
        <v>-1.9184684260532127E-3</v>
      </c>
      <c r="N50" s="13">
        <f t="shared" si="31"/>
        <v>1.4427014496844011E-3</v>
      </c>
      <c r="O50" s="13">
        <f t="shared" si="32"/>
        <v>1.3194391829086426E-3</v>
      </c>
      <c r="P50" s="13" t="e">
        <f t="shared" si="33"/>
        <v>#DIV/0!</v>
      </c>
      <c r="Q50" s="13">
        <f t="shared" si="34"/>
        <v>6.9552703426305935E-3</v>
      </c>
      <c r="R50" s="13">
        <f t="shared" si="35"/>
        <v>-4.4643989213398738E-3</v>
      </c>
      <c r="S50" s="13">
        <f t="shared" si="36"/>
        <v>0</v>
      </c>
      <c r="T50" s="13" t="e">
        <f t="shared" si="37"/>
        <v>#DIV/0!</v>
      </c>
      <c r="U50" s="13">
        <f t="shared" si="38"/>
        <v>-1.3507023326229609E-3</v>
      </c>
      <c r="X50" s="13"/>
      <c r="Y50" s="13"/>
      <c r="Z50" s="13"/>
      <c r="AA50" s="13"/>
      <c r="AB50" s="13"/>
      <c r="AC50" s="13"/>
      <c r="AD50" s="13"/>
      <c r="AE50" s="13"/>
      <c r="AF50" s="13"/>
    </row>
    <row r="51" spans="12:32" x14ac:dyDescent="0.25">
      <c r="L51" t="s">
        <v>5</v>
      </c>
      <c r="M51" s="13">
        <f t="shared" si="30"/>
        <v>-1.4930233789603909E-2</v>
      </c>
      <c r="N51" s="13">
        <f t="shared" si="31"/>
        <v>-1.3214486702164492E-2</v>
      </c>
      <c r="O51" s="13">
        <f t="shared" si="32"/>
        <v>-2.1396261335309912E-2</v>
      </c>
      <c r="P51" s="13" t="e">
        <f t="shared" si="33"/>
        <v>#DIV/0!</v>
      </c>
      <c r="Q51" s="13">
        <f t="shared" si="34"/>
        <v>-0.10646349883547705</v>
      </c>
      <c r="R51" s="13">
        <f t="shared" si="35"/>
        <v>4.4643989213399987E-3</v>
      </c>
      <c r="S51" s="13">
        <f t="shared" si="36"/>
        <v>0</v>
      </c>
      <c r="T51" s="13" t="e">
        <f t="shared" si="37"/>
        <v>#DIV/0!</v>
      </c>
      <c r="U51" s="13">
        <f t="shared" si="38"/>
        <v>0.10289352160537663</v>
      </c>
      <c r="X51" s="13"/>
      <c r="Y51" s="13"/>
      <c r="Z51" s="13"/>
      <c r="AA51" s="13"/>
      <c r="AB51" s="13"/>
      <c r="AC51" s="13"/>
      <c r="AD51" s="13"/>
      <c r="AE51" s="13"/>
      <c r="AF51" s="13"/>
    </row>
    <row r="52" spans="12:32" x14ac:dyDescent="0.25">
      <c r="L52" s="4" t="s">
        <v>60</v>
      </c>
      <c r="M52" s="17">
        <f t="shared" ref="M52:P53" si="39">M34-B34</f>
        <v>0</v>
      </c>
      <c r="N52" s="17">
        <f t="shared" si="39"/>
        <v>0</v>
      </c>
      <c r="O52" s="17">
        <f t="shared" si="39"/>
        <v>0</v>
      </c>
      <c r="P52" s="17" t="e">
        <f t="shared" si="39"/>
        <v>#DIV/0!</v>
      </c>
      <c r="Q52" s="17">
        <f t="shared" ref="Q52:Q53" si="40">Q34-F34</f>
        <v>0</v>
      </c>
      <c r="R52" s="17">
        <f t="shared" ref="R52:R53" si="41">R34-G34</f>
        <v>0</v>
      </c>
      <c r="S52" s="17">
        <f t="shared" ref="S52:S53" si="42">S34-H34</f>
        <v>0</v>
      </c>
      <c r="T52" s="17" t="e">
        <f t="shared" ref="T52:T53" si="43">T34-I34</f>
        <v>#DIV/0!</v>
      </c>
      <c r="U52" s="13">
        <f t="shared" ref="U52:U53" si="44">U34-J34</f>
        <v>0</v>
      </c>
      <c r="X52" s="13"/>
      <c r="Y52" s="13"/>
      <c r="Z52" s="13"/>
      <c r="AA52" s="13"/>
      <c r="AB52" s="13"/>
      <c r="AC52" s="13"/>
      <c r="AD52" s="13"/>
      <c r="AE52" s="13"/>
      <c r="AF52" s="13"/>
    </row>
    <row r="53" spans="12:32" ht="15.75" thickBot="1" x14ac:dyDescent="0.3">
      <c r="L53" s="9" t="s">
        <v>7</v>
      </c>
      <c r="M53" s="15">
        <f t="shared" si="39"/>
        <v>0</v>
      </c>
      <c r="N53" s="15">
        <f t="shared" si="39"/>
        <v>0</v>
      </c>
      <c r="O53" s="15">
        <f t="shared" si="39"/>
        <v>0</v>
      </c>
      <c r="P53" s="15" t="e">
        <f t="shared" si="39"/>
        <v>#DIV/0!</v>
      </c>
      <c r="Q53" s="15">
        <f t="shared" si="40"/>
        <v>0</v>
      </c>
      <c r="R53" s="15">
        <f t="shared" si="41"/>
        <v>0</v>
      </c>
      <c r="S53" s="15">
        <f t="shared" si="42"/>
        <v>0</v>
      </c>
      <c r="T53" s="15" t="e">
        <f t="shared" si="43"/>
        <v>#DIV/0!</v>
      </c>
      <c r="U53" s="15">
        <f t="shared" si="44"/>
        <v>0</v>
      </c>
      <c r="X53" s="13"/>
      <c r="Y53" s="13"/>
      <c r="Z53" s="13"/>
      <c r="AA53" s="13"/>
      <c r="AB53" s="13"/>
      <c r="AC53" s="13"/>
      <c r="AD53" s="13"/>
      <c r="AE53" s="13"/>
      <c r="AF53" s="13"/>
    </row>
  </sheetData>
  <mergeCells count="5">
    <mergeCell ref="B3:I3"/>
    <mergeCell ref="M3:U3"/>
    <mergeCell ref="B21:I21"/>
    <mergeCell ref="M21:U21"/>
    <mergeCell ref="M39:U39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B3"/>
  <sheetViews>
    <sheetView workbookViewId="0"/>
  </sheetViews>
  <sheetFormatPr defaultRowHeight="15" x14ac:dyDescent="0.25"/>
  <sheetData>
    <row r="2" spans="2:2" x14ac:dyDescent="0.25">
      <c r="B2" t="s">
        <v>50</v>
      </c>
    </row>
    <row r="3" spans="2:2" x14ac:dyDescent="0.25">
      <c r="B3" t="s">
        <v>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40</vt:i4>
      </vt:variant>
    </vt:vector>
  </HeadingPairs>
  <TitlesOfParts>
    <vt:vector size="50" baseType="lpstr">
      <vt:lpstr>All Purposes</vt:lpstr>
      <vt:lpstr>Workbased</vt:lpstr>
      <vt:lpstr>Work</vt:lpstr>
      <vt:lpstr>School</vt:lpstr>
      <vt:lpstr>Escort</vt:lpstr>
      <vt:lpstr>Personal_Business</vt:lpstr>
      <vt:lpstr>Shop</vt:lpstr>
      <vt:lpstr>Meal</vt:lpstr>
      <vt:lpstr>SocRec</vt:lpstr>
      <vt:lpstr>Documentation</vt:lpstr>
      <vt:lpstr>out_1</vt:lpstr>
      <vt:lpstr>out_10</vt:lpstr>
      <vt:lpstr>out_11</vt:lpstr>
      <vt:lpstr>out_12</vt:lpstr>
      <vt:lpstr>out_13</vt:lpstr>
      <vt:lpstr>out_14</vt:lpstr>
      <vt:lpstr>out_15</vt:lpstr>
      <vt:lpstr>out_16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out11</vt:lpstr>
      <vt:lpstr>out12</vt:lpstr>
      <vt:lpstr>out13</vt:lpstr>
      <vt:lpstr>out14</vt:lpstr>
      <vt:lpstr>out15</vt:lpstr>
      <vt:lpstr>out16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purp1</vt:lpstr>
      <vt:lpstr>purp2</vt:lpstr>
      <vt:lpstr>purp3</vt:lpstr>
      <vt:lpstr>purp4</vt:lpstr>
      <vt:lpstr>purp5</vt:lpstr>
      <vt:lpstr>purp6</vt:lpstr>
      <vt:lpstr>purp7</vt:lpstr>
      <vt:lpstr>purp8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2011-03-29T15:31:17Z</dcterms:created>
  <dc:creator>Bhargava Sana</dc:creator>
  <cp:lastModifiedBy>Aditya Gore</cp:lastModifiedBy>
  <dcterms:modified xsi:type="dcterms:W3CDTF">2020-05-11T19:58:02Z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030fc6be-d62c-44cb-b2a6-7523b12388aa</vt:lpwstr>
  </property>
</Properties>
</file>