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activeTab="6" windowHeight="7320" windowWidth="18885" xWindow="240" yWindow="30"/>
  </bookViews>
  <sheets>
    <sheet name="All Purposes" r:id="rId1" sheetId="18"/>
    <sheet name="Workbased" r:id="rId2" sheetId="7"/>
    <sheet name="Work" r:id="rId3" sheetId="11"/>
    <sheet name="School" r:id="rId4" sheetId="12"/>
    <sheet name="Escort" r:id="rId5" sheetId="13"/>
    <sheet name="Personal_Business" r:id="rId6" sheetId="14"/>
    <sheet name="Shop" r:id="rId7" sheetId="15"/>
    <sheet name="Meal" r:id="rId8" sheetId="16"/>
    <sheet name="SocRec" r:id="rId9" sheetId="17"/>
    <sheet name="Documentation" r:id="rId10" sheetId="19"/>
  </sheets>
  <definedNames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1">Work!$B$5:$I$15</definedName>
    <definedName name="out3">School!$B$5:$I$15</definedName>
    <definedName name="out5">Escort!$B$5:$I$15</definedName>
    <definedName name="out7">Personal_Business!$B$5:$I$15</definedName>
    <definedName name="out9">Shop!$B$5:$I$15</definedName>
    <definedName name="out11">Meal!$B$5:$I$15</definedName>
    <definedName name="out13">SocRec!$B$5:$I$15</definedName>
    <definedName name="out15">Workbased!$B$5:$I$15</definedName>
    <definedName name="out2">Work!$M$5:$T$15</definedName>
    <definedName name="out4">School!$M$5:$T$15</definedName>
    <definedName name="out6">Escort!$M$5:$T$15</definedName>
    <definedName name="out8">Personal_Business!$M$5:$T$15</definedName>
    <definedName name="out10">Shop!$M$5:$T$15</definedName>
    <definedName name="out12">Meal!$M$5:$T$15</definedName>
    <definedName name="out14">SocRec!$M$5:$T$15</definedName>
    <definedName name="out16">Workbased!$M$5:$T$15</definedName>
  </definedNames>
  <calcPr calcId="171027"/>
</workbook>
</file>

<file path=xl/calcChain.xml><?xml version="1.0" encoding="utf-8"?>
<calcChain xmlns="http://schemas.openxmlformats.org/spreadsheetml/2006/main">
  <c i="18" l="1" r="B6"/>
  <c i="7" l="1" r="J11"/>
  <c i="7" r="J12"/>
  <c i="7" r="J13"/>
  <c i="1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11" r="U11"/>
  <c i="11" r="U12"/>
  <c i="11" r="U13"/>
  <c i="12" r="U11"/>
  <c i="12" r="U12"/>
  <c i="12" r="U13"/>
  <c i="13" r="U11"/>
  <c i="13" r="U12"/>
  <c i="13" r="U13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13" r="J15"/>
  <c i="13" r="U14"/>
  <c i="13" r="J14"/>
  <c i="13" r="U10"/>
  <c i="13" r="J10"/>
  <c i="13" r="U9"/>
  <c i="13" r="J9"/>
  <c i="13" r="U8"/>
  <c i="13" r="J8"/>
  <c i="13" r="U7"/>
  <c i="13" r="J7"/>
  <c i="13" r="U6"/>
  <c i="13" r="J6"/>
  <c i="13" r="U5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12" r="J15"/>
  <c i="12" r="U14"/>
  <c i="12" r="J14"/>
  <c i="12" r="U10"/>
  <c i="12" r="J10"/>
  <c i="12" r="U9"/>
  <c i="12" r="J9"/>
  <c i="12" r="U8"/>
  <c i="12" r="J8"/>
  <c i="12" r="U7"/>
  <c i="12" r="J7"/>
  <c i="12" r="U6"/>
  <c i="12" r="J6"/>
  <c i="12" r="U5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11" r="J15"/>
  <c i="11" r="U14"/>
  <c i="11" r="J14"/>
  <c i="11" r="U10"/>
  <c i="11" r="J10"/>
  <c i="11" r="U9"/>
  <c i="11" r="J9"/>
  <c i="11" r="U8"/>
  <c i="11" r="J8"/>
  <c i="11" r="U7"/>
  <c i="11" r="J7"/>
  <c i="11" r="U6"/>
  <c i="11" r="J6"/>
  <c i="11" r="U5"/>
  <c i="11" r="J5"/>
  <c i="7" r="R16"/>
  <c i="7" r="R33" s="1"/>
  <c i="7" r="U8"/>
  <c i="7" r="U7"/>
  <c i="7" r="J8"/>
  <c i="7" r="J7"/>
  <c i="7" r="G16"/>
  <c i="7" r="G33" s="1"/>
  <c i="7" r="J15"/>
  <c i="7" r="J14"/>
  <c i="7" r="J10"/>
  <c i="7" r="J9"/>
  <c i="7" r="J6"/>
  <c i="7" r="J5"/>
  <c i="7" r="U15"/>
  <c i="7" r="U14"/>
  <c i="7" r="U10"/>
  <c i="7" r="U9"/>
  <c i="7" r="U6"/>
  <c i="7" r="U5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18" l="1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13" l="1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18" l="1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18" l="1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<sst xmlns="http://schemas.openxmlformats.org/spreadsheetml/2006/main" count="1105" uniqueCount="60">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</sst>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</cellStyleXfs>
  <cellXfs count="33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4912807.2340688501</v>
      </c>
      <c r="C5" s="6">
        <f>SUM(Work!C5,Workbased!C5,School!C5,Escort!C5,Personal_Business!C5,Shop!C5,Meal!C5,SocRec!C5)</f>
        <v>742279.64206545323</v>
      </c>
      <c r="D5" s="6">
        <f>SUM(Work!D5,Workbased!D5,School!D5,Escort!D5,Personal_Business!D5,Shop!D5,Meal!D5,SocRec!D5)</f>
        <v>319823.31880495488</v>
      </c>
      <c r="E5" s="6">
        <f>SUM(Work!E5,Workbased!E5,School!E5,Escort!E5,Personal_Business!E5,Shop!E5,Meal!E5,SocRec!E5)</f>
        <v>102403.18352786377</v>
      </c>
      <c r="F5" s="6">
        <f>SUM(Work!F5,Workbased!F5,School!F5,Escort!F5,Personal_Business!F5,Shop!F5,Meal!F5,SocRec!F5)</f>
        <v>14139.133774352698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1225.2074361340001</v>
      </c>
      <c r="J5" s="6">
        <f>SUM(B5:I5)</f>
        <v>6092677.7196776085</v>
      </c>
      <c r="K5" s="6"/>
      <c r="L5" t="s">
        <v>1</v>
      </c>
      <c r="M5" s="6">
        <f>SUM(Work!M5,Workbased!M5,School!M5,Escort!M5,Personal_Business!M5,Shop!M5,Meal!M5,SocRec!M5)</f>
        <v>5116591</v>
      </c>
      <c r="N5" s="6">
        <f>SUM(Work!N5,Workbased!N5,School!N5,Escort!N5,Personal_Business!N5,Shop!N5,Meal!N5,SocRec!N5)</f>
        <v>762707</v>
      </c>
      <c r="O5" s="6">
        <f>SUM(Work!O5,Workbased!O5,School!O5,Escort!O5,Personal_Business!O5,Shop!O5,Meal!O5,SocRec!O5)</f>
        <v>321045</v>
      </c>
      <c r="P5" s="6">
        <f>SUM(Work!P5,Workbased!P5,School!P5,Escort!P5,Personal_Business!P5,Shop!P5,Meal!P5,SocRec!P5)</f>
        <v>68383</v>
      </c>
      <c r="Q5" s="6">
        <f>SUM(Work!Q5,Workbased!Q5,School!Q5,Escort!Q5,Personal_Business!Q5,Shop!Q5,Meal!Q5,SocRec!Q5)</f>
        <v>19736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1154</v>
      </c>
      <c r="U5" s="6">
        <f ref="U5:U15" si="0" t="shared">SUM(M5:T5)</f>
        <v>6289616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2570645.9807942421</v>
      </c>
      <c r="D6" s="6">
        <f>SUM(Work!D6,Workbased!D6,School!D6,Escort!D6,Personal_Business!D6,Shop!D6,Meal!D6,SocRec!D6)</f>
        <v>510299.52757705061</v>
      </c>
      <c r="E6" s="6">
        <f>SUM(Work!E6,Workbased!E6,School!E6,Escort!E6,Personal_Business!E6,Shop!E6,Meal!E6,SocRec!E6)</f>
        <v>4105.9080229216997</v>
      </c>
      <c r="F6" s="6">
        <f>SUM(Work!F6,Workbased!F6,School!F6,Escort!F6,Personal_Business!F6,Shop!F6,Meal!F6,SocRec!F6)</f>
        <v>70756.962624445601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41443.326479024006</v>
      </c>
      <c r="J6" s="6">
        <f ref="J6:J15" si="1" t="shared">SUM(B6:I6)</f>
        <v>3197251.7054976835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2710707</v>
      </c>
      <c r="O6" s="6">
        <f>SUM(Work!O6,Workbased!O6,School!O6,Escort!O6,Personal_Business!O6,Shop!O6,Meal!O6,SocRec!O6)</f>
        <v>489659</v>
      </c>
      <c r="P6" s="6">
        <f>SUM(Work!P6,Workbased!P6,School!P6,Escort!P6,Personal_Business!P6,Shop!P6,Meal!P6,SocRec!P6)</f>
        <v>3751</v>
      </c>
      <c r="Q6" s="6">
        <f>SUM(Work!Q6,Workbased!Q6,School!Q6,Escort!Q6,Personal_Business!Q6,Shop!Q6,Meal!Q6,SocRec!Q6)</f>
        <v>45394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49298</v>
      </c>
      <c r="U6" s="6">
        <f si="0" t="shared"/>
        <v>3298809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2279928.7427007793</v>
      </c>
      <c r="E7" s="6">
        <f>SUM(Work!E7,Workbased!E7,School!E7,Escort!E7,Personal_Business!E7,Shop!E7,Meal!E7,SocRec!E7)</f>
        <v>3536.5975385330003</v>
      </c>
      <c r="F7" s="6">
        <f>SUM(Work!F7,Workbased!F7,School!F7,Escort!F7,Personal_Business!F7,Shop!F7,Meal!F7,SocRec!F7)</f>
        <v>16442.458682125998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66371.082999999999</v>
      </c>
      <c r="J7" s="6">
        <f si="1" t="shared"/>
        <v>2366278.8819214385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2149908</v>
      </c>
      <c r="P7" s="6">
        <f>SUM(Work!P7,Workbased!P7,School!P7,Escort!P7,Personal_Business!P7,Shop!P7,Meal!P7,SocRec!P7)</f>
        <v>1783</v>
      </c>
      <c r="Q7" s="6">
        <f>SUM(Work!Q7,Workbased!Q7,School!Q7,Escort!Q7,Personal_Business!Q7,Shop!Q7,Meal!Q7,SocRec!Q7)</f>
        <v>20296</v>
      </c>
      <c r="R7" s="6">
        <f>SUM(Work!R7,Workbased!R7,School!R7,Escort!R7,Personal_Business!R7,Shop!R7,Meal!R7,SocRec!R7)</f>
        <v>2</v>
      </c>
      <c r="S7" s="6">
        <f>SUM(Work!S7,Workbased!S7,School!S7,Escort!S7,Personal_Business!S7,Shop!S7,Meal!S7,SocRec!S7)</f>
        <v>13</v>
      </c>
      <c r="T7" s="6">
        <f>SUM(Work!T7,Workbased!T7,School!T7,Escort!T7,Personal_Business!T7,Shop!T7,Meal!T7,SocRec!T7)</f>
        <v>49104</v>
      </c>
      <c r="U7" s="6">
        <f si="0" t="shared"/>
        <v>2221106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98979.425015788482</v>
      </c>
      <c r="F8" s="6">
        <f>SUM(Work!F8,Workbased!F8,School!F8,Escort!F8,Personal_Business!F8,Shop!F8,Meal!F8,SocRec!F8)</f>
        <v>606060.60068406642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9930.1187767880001</v>
      </c>
      <c r="J8" s="6">
        <f si="1" t="shared"/>
        <v>714970.14447664295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55916</v>
      </c>
      <c r="Q8" s="6">
        <f>SUM(Work!Q8,Workbased!Q8,School!Q8,Escort!Q8,Personal_Business!Q8,Shop!Q8,Meal!Q8,SocRec!Q8)</f>
        <v>321534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178</v>
      </c>
      <c r="U8" s="6">
        <f si="0" t="shared"/>
        <v>377628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2479.7092862560999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2479.7092862560999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si="0" t="shared"/>
        <v>0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si="0" t="shared"/>
        <v>0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si="0" t="shared"/>
        <v>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330427.71211364598</v>
      </c>
      <c r="J13" s="6">
        <f si="1" t="shared"/>
        <v>330427.71211364598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316687</v>
      </c>
      <c r="U13" s="6">
        <f si="0" t="shared"/>
        <v>316687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3124.7290846010001</v>
      </c>
      <c r="C14" s="6">
        <f>SUM(Work!C14,Workbased!C14,School!C14,Escort!C14,Personal_Business!C14,Shop!C14,Meal!C14,SocRec!C14)</f>
        <v>13309.757100214902</v>
      </c>
      <c r="D14" s="6">
        <f>SUM(Work!D14,Workbased!D14,School!D14,Escort!D14,Personal_Business!D14,Shop!D14,Meal!D14,SocRec!D14)</f>
        <v>10448.757249194001</v>
      </c>
      <c r="E14" s="6">
        <f>SUM(Work!E14,Workbased!E14,School!E14,Escort!E14,Personal_Business!E14,Shop!E14,Meal!E14,SocRec!E14)</f>
        <v>243.46345759299999</v>
      </c>
      <c r="F14" s="6">
        <f>SUM(Work!F14,Workbased!F14,School!F14,Escort!F14,Personal_Business!F14,Shop!F14,Meal!F14,SocRec!F14)</f>
        <v>8022.5949984507997</v>
      </c>
      <c r="G14" s="6">
        <f>SUM(Work!G14,Workbased!G14,School!G14,Escort!G14,Personal_Business!G14,Shop!G14,Meal!G14,SocRec!G14)</f>
        <v>167488.08024078258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3038.6592608359997</v>
      </c>
      <c r="J14" s="6">
        <f si="1" t="shared"/>
        <v>205676.04139167228</v>
      </c>
      <c r="K14" s="6"/>
      <c r="L14" t="s">
        <v>4</v>
      </c>
      <c r="M14" s="6">
        <f>SUM(Work!M14,Workbased!M14,School!M14,Escort!M14,Personal_Business!M14,Shop!M14,Meal!M14,SocRec!M14)</f>
        <v>5924</v>
      </c>
      <c r="N14" s="6">
        <f>SUM(Work!N14,Workbased!N14,School!N14,Escort!N14,Personal_Business!N14,Shop!N14,Meal!N14,SocRec!N14)</f>
        <v>13703</v>
      </c>
      <c r="O14" s="6">
        <f>SUM(Work!O14,Workbased!O14,School!O14,Escort!O14,Personal_Business!O14,Shop!O14,Meal!O14,SocRec!O14)</f>
        <v>12170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6269</v>
      </c>
      <c r="R14" s="6">
        <f>SUM(Work!R14,Workbased!R14,School!R14,Escort!R14,Personal_Business!R14,Shop!R14,Meal!R14,SocRec!R14)</f>
        <v>190597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2657</v>
      </c>
      <c r="U14" s="6">
        <f si="0" t="shared"/>
        <v>231320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74657.8532573267</v>
      </c>
      <c r="C15" s="6">
        <f>SUM(Work!C15,Workbased!C15,School!C15,Escort!C15,Personal_Business!C15,Shop!C15,Meal!C15,SocRec!C15)</f>
        <v>55377.158052566097</v>
      </c>
      <c r="D15" s="6">
        <f>SUM(Work!D15,Workbased!D15,School!D15,Escort!D15,Personal_Business!D15,Shop!D15,Meal!D15,SocRec!D15)</f>
        <v>78971.674231611803</v>
      </c>
      <c r="E15" s="6">
        <f>SUM(Work!E15,Workbased!E15,School!E15,Escort!E15,Personal_Business!E15,Shop!E15,Meal!E15,SocRec!E15)</f>
        <v>12730.3133403764</v>
      </c>
      <c r="F15" s="6">
        <f>SUM(Work!F15,Workbased!F15,School!F15,Escort!F15,Personal_Business!F15,Shop!F15,Meal!F15,SocRec!F15)</f>
        <v>197490.87819161516</v>
      </c>
      <c r="G15" s="6">
        <f>SUM(Work!G15,Workbased!G15,School!G15,Escort!G15,Personal_Business!G15,Shop!G15,Meal!G15,SocRec!G15)</f>
        <v>13868.884492029802</v>
      </c>
      <c r="H15" s="6">
        <f>SUM(Work!H15,Workbased!H15,School!H15,Escort!H15,Personal_Business!H15,Shop!H15,Meal!H15,SocRec!H15)</f>
        <v>1437045.7247083341</v>
      </c>
      <c r="I15" s="6">
        <f>SUM(Work!I15,Workbased!I15,School!I15,Escort!I15,Personal_Business!I15,Shop!I15,Meal!I15,SocRec!I15)</f>
        <v>12129.539610361</v>
      </c>
      <c r="J15" s="6">
        <f si="1" t="shared"/>
        <v>1882272.0258842211</v>
      </c>
      <c r="K15" s="6"/>
      <c r="L15" s="4" t="s">
        <v>5</v>
      </c>
      <c r="M15" s="6">
        <f>SUM(Work!M15,Workbased!M15,School!M15,Escort!M15,Personal_Business!M15,Shop!M15,Meal!M15,SocRec!M15)</f>
        <v>102335</v>
      </c>
      <c r="N15" s="6">
        <f>SUM(Work!N15,Workbased!N15,School!N15,Escort!N15,Personal_Business!N15,Shop!N15,Meal!N15,SocRec!N15)</f>
        <v>118560</v>
      </c>
      <c r="O15" s="6">
        <f>SUM(Work!O15,Workbased!O15,School!O15,Escort!O15,Personal_Business!O15,Shop!O15,Meal!O15,SocRec!O15)</f>
        <v>92191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98725</v>
      </c>
      <c r="R15" s="6">
        <f>SUM(Work!R15,Workbased!R15,School!R15,Escort!R15,Personal_Business!R15,Shop!R15,Meal!R15,SocRec!R15)</f>
        <v>16064</v>
      </c>
      <c r="S15" s="6">
        <f>SUM(Work!S15,Workbased!S15,School!S15,Escort!S15,Personal_Business!S15,Shop!S15,Meal!S15,SocRec!S15)</f>
        <v>1432662</v>
      </c>
      <c r="T15" s="6">
        <f>SUM(Work!T15,Workbased!T15,School!T15,Escort!T15,Personal_Business!T15,Shop!T15,Meal!T15,SocRec!T15)</f>
        <v>28705</v>
      </c>
      <c r="U15" s="6">
        <f si="0" t="shared"/>
        <v>1889242</v>
      </c>
    </row>
    <row ht="15.75" r="16" spans="1:21" thickBot="1" x14ac:dyDescent="0.3">
      <c r="A16" s="12" t="s">
        <v>7</v>
      </c>
      <c r="B16" s="16">
        <f ref="B16:J16" si="2" t="shared">SUM(B5:B15)</f>
        <v>4990589.8164107772</v>
      </c>
      <c r="C16" s="16">
        <f si="2" t="shared"/>
        <v>3381612.5380124762</v>
      </c>
      <c r="D16" s="16">
        <f si="2" t="shared"/>
        <v>3199472.0205635908</v>
      </c>
      <c r="E16" s="16">
        <f si="2" t="shared"/>
        <v>221998.89090307633</v>
      </c>
      <c r="F16" s="16">
        <f si="2" t="shared"/>
        <v>915392.33824131289</v>
      </c>
      <c r="G16" s="16">
        <f si="2" t="shared"/>
        <v>181356.9647328124</v>
      </c>
      <c r="H16" s="16">
        <f si="2" t="shared"/>
        <v>1437045.7247083341</v>
      </c>
      <c r="I16" s="16">
        <f si="2" t="shared"/>
        <v>464565.64667678898</v>
      </c>
      <c r="J16" s="16">
        <f si="2" t="shared"/>
        <v>14792033.940249169</v>
      </c>
      <c r="L16" s="9" t="s">
        <v>7</v>
      </c>
      <c r="M16" s="16">
        <f ref="M16:U16" si="3" t="shared">SUM(M5:M15)</f>
        <v>5224850</v>
      </c>
      <c r="N16" s="16">
        <f si="3" t="shared"/>
        <v>3605677</v>
      </c>
      <c r="O16" s="16">
        <f si="3" t="shared"/>
        <v>3064973</v>
      </c>
      <c r="P16" s="16">
        <f si="3" t="shared"/>
        <v>129833</v>
      </c>
      <c r="Q16" s="16">
        <f si="3" t="shared"/>
        <v>511954</v>
      </c>
      <c r="R16" s="16">
        <f si="3" t="shared"/>
        <v>206663</v>
      </c>
      <c r="S16" s="16">
        <f si="3" t="shared"/>
        <v>1432675</v>
      </c>
      <c r="T16" s="16">
        <f si="3" t="shared"/>
        <v>447783</v>
      </c>
      <c r="U16" s="16">
        <f si="3" t="shared"/>
        <v>14624408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0.9844141503903705</v>
      </c>
      <c r="C22" s="13">
        <f si="4" t="shared"/>
        <v>0.21950463978990448</v>
      </c>
      <c r="D22" s="13">
        <f si="4" t="shared"/>
        <v>9.9961280095400742E-2</v>
      </c>
      <c r="E22" s="13">
        <f ref="E22:E33" si="5" t="shared">IF(E$16&gt;0,E5/E$16,0)</f>
        <v>0.46127790598995616</v>
      </c>
      <c r="F22" s="13">
        <f ref="F22:J33" si="6" t="shared">F5/F$16</f>
        <v>1.5445982212957286E-2</v>
      </c>
      <c r="G22" s="13">
        <f si="6" t="shared"/>
        <v>0</v>
      </c>
      <c r="H22" s="13">
        <f si="6" t="shared"/>
        <v>0</v>
      </c>
      <c r="I22" s="13">
        <f si="6" t="shared"/>
        <v>2.6373182022785477E-3</v>
      </c>
      <c r="J22" s="13">
        <f si="6" t="shared"/>
        <v>0.411889111685947</v>
      </c>
      <c r="K22" s="6"/>
      <c r="L22" t="s">
        <v>1</v>
      </c>
      <c r="M22" s="13">
        <f ref="M22:P22" si="7" t="shared">M5/M$16</f>
        <v>0.97927997932955013</v>
      </c>
      <c r="N22" s="13">
        <f si="7" t="shared"/>
        <v>0.21152948530886156</v>
      </c>
      <c r="O22" s="13">
        <f si="7" t="shared"/>
        <v>0.10474643659177421</v>
      </c>
      <c r="P22" s="13">
        <f si="7" t="shared"/>
        <v>0.52669968343949536</v>
      </c>
      <c r="Q22" s="13">
        <f ref="Q22:U33" si="8" t="shared">Q5/Q$16</f>
        <v>3.8550338506975236E-2</v>
      </c>
      <c r="R22" s="13">
        <f si="8" t="shared"/>
        <v>0</v>
      </c>
      <c r="S22" s="13">
        <f si="8" t="shared"/>
        <v>0</v>
      </c>
      <c r="T22" s="13">
        <f si="8" t="shared"/>
        <v>2.57714115989218E-3</v>
      </c>
      <c r="U22" s="13">
        <f si="8" t="shared"/>
        <v>0.43007662258875712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0.76018347811814213</v>
      </c>
      <c r="D23" s="13">
        <f si="4" t="shared"/>
        <v>0.15949491800436522</v>
      </c>
      <c r="E23" s="13">
        <f si="5" t="shared"/>
        <v>1.8495173584963179E-2</v>
      </c>
      <c r="F23" s="13">
        <f si="6" t="shared"/>
        <v>7.7296870061624737E-2</v>
      </c>
      <c r="G23" s="13">
        <f si="6" t="shared"/>
        <v>0</v>
      </c>
      <c r="H23" s="13">
        <f si="6" t="shared"/>
        <v>0</v>
      </c>
      <c r="I23" s="13">
        <f si="6" t="shared"/>
        <v>8.9208762583896484E-2</v>
      </c>
      <c r="J23" s="13">
        <f si="6" t="shared"/>
        <v>0.21614686110190376</v>
      </c>
      <c r="K23" s="6"/>
      <c r="L23" t="s">
        <v>12</v>
      </c>
      <c r="M23" s="13">
        <f ref="M23:P23" si="9" t="shared">M6/M$16</f>
        <v>0</v>
      </c>
      <c r="N23" s="13">
        <f si="9" t="shared"/>
        <v>0.75178863775096882</v>
      </c>
      <c r="O23" s="13">
        <f si="9" t="shared"/>
        <v>0.15975964551726884</v>
      </c>
      <c r="P23" s="13">
        <f si="9" t="shared"/>
        <v>2.8890959925442685E-2</v>
      </c>
      <c r="Q23" s="13">
        <f si="8" t="shared"/>
        <v>8.8668122526633253E-2</v>
      </c>
      <c r="R23" s="13">
        <f si="8" t="shared"/>
        <v>0</v>
      </c>
      <c r="S23" s="13">
        <f si="8" t="shared"/>
        <v>0</v>
      </c>
      <c r="T23" s="13">
        <f si="8" t="shared"/>
        <v>0.11009350511296767</v>
      </c>
      <c r="U23" s="13">
        <f si="8" t="shared"/>
        <v>0.2255687204569238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0.71259530574021623</v>
      </c>
      <c r="E24" s="13">
        <f si="5" t="shared"/>
        <v>1.5930699131632427E-2</v>
      </c>
      <c r="F24" s="13">
        <f si="6" t="shared"/>
        <v>1.796219827851726E-2</v>
      </c>
      <c r="G24" s="13">
        <f si="6" t="shared"/>
        <v>0</v>
      </c>
      <c r="H24" s="13">
        <f si="6" t="shared"/>
        <v>0</v>
      </c>
      <c r="I24" s="13">
        <f si="6" t="shared"/>
        <v>0.14286696288194589</v>
      </c>
      <c r="J24" s="13">
        <f si="6" t="shared"/>
        <v>0.1599698115539599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0.70144435203833766</v>
      </c>
      <c r="P24" s="13">
        <f si="10" t="shared"/>
        <v>1.3733026272211225E-2</v>
      </c>
      <c r="Q24" s="13">
        <f si="8" t="shared"/>
        <v>3.9644186782406235E-2</v>
      </c>
      <c r="R24" s="13">
        <f si="8" t="shared"/>
        <v>9.6775910540348294E-6</v>
      </c>
      <c r="S24" s="13">
        <f si="8" t="shared"/>
        <v>9.0739351213638823E-6</v>
      </c>
      <c r="T24" s="13">
        <f si="8" t="shared"/>
        <v>0.10966025954536014</v>
      </c>
      <c r="U24" s="13">
        <f si="8" t="shared"/>
        <v>0.15187664348532945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0.44585549330065088</v>
      </c>
      <c r="F25" s="13">
        <f si="6" t="shared"/>
        <v>0.662077423379415</v>
      </c>
      <c r="G25" s="13">
        <f si="6" t="shared"/>
        <v>0</v>
      </c>
      <c r="H25" s="13">
        <f si="6" t="shared"/>
        <v>0</v>
      </c>
      <c r="I25" s="13">
        <f si="6" t="shared"/>
        <v>2.137506044155834E-2</v>
      </c>
      <c r="J25" s="13">
        <f si="6" t="shared"/>
        <v>4.83348096255517E-2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0.43067633036285075</v>
      </c>
      <c r="Q25" s="13">
        <f si="8" t="shared"/>
        <v>0.62805252034362458</v>
      </c>
      <c r="R25" s="13">
        <f si="8" t="shared"/>
        <v>0</v>
      </c>
      <c r="S25" s="13">
        <f si="8" t="shared"/>
        <v>0</v>
      </c>
      <c r="T25" s="13">
        <f si="8" t="shared"/>
        <v>3.9751397440277993E-4</v>
      </c>
      <c r="U25" s="13">
        <f si="8" t="shared"/>
        <v>2.5821763178379597E-2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2.7089032567393051E-3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1.6763815552834848E-4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0</v>
      </c>
      <c r="F27" s="13">
        <f si="6" t="shared"/>
        <v>0</v>
      </c>
      <c r="G27" s="13">
        <f si="6" t="shared"/>
        <v>0</v>
      </c>
      <c r="H27" s="13">
        <f si="6" t="shared"/>
        <v>0</v>
      </c>
      <c r="I27" s="13">
        <f si="6" t="shared"/>
        <v>0</v>
      </c>
      <c r="J27" s="13">
        <f si="6" t="shared"/>
        <v>0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</v>
      </c>
      <c r="Q27" s="13">
        <f si="8" t="shared"/>
        <v>0</v>
      </c>
      <c r="R27" s="13">
        <f si="8" t="shared"/>
        <v>0</v>
      </c>
      <c r="S27" s="13">
        <f si="8" t="shared"/>
        <v>0</v>
      </c>
      <c r="T27" s="13">
        <f si="8" t="shared"/>
        <v>0</v>
      </c>
      <c r="U27" s="13">
        <f si="8" t="shared"/>
        <v>0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0</v>
      </c>
      <c r="F28" s="13">
        <f si="6" t="shared"/>
        <v>0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0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0</v>
      </c>
      <c r="Q28" s="13">
        <f si="8" t="shared"/>
        <v>0</v>
      </c>
      <c r="R28" s="13">
        <f si="8" t="shared"/>
        <v>0</v>
      </c>
      <c r="S28" s="13">
        <f si="8" t="shared"/>
        <v>0</v>
      </c>
      <c r="T28" s="13">
        <f si="8" t="shared"/>
        <v>0</v>
      </c>
      <c r="U28" s="13">
        <f si="8" t="shared"/>
        <v>0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</v>
      </c>
      <c r="F29" s="13">
        <f si="6" t="shared"/>
        <v>0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0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0</v>
      </c>
      <c r="Q29" s="13">
        <f si="8" t="shared"/>
        <v>0</v>
      </c>
      <c r="R29" s="13">
        <f si="8" t="shared"/>
        <v>0</v>
      </c>
      <c r="S29" s="13">
        <f si="8" t="shared"/>
        <v>0</v>
      </c>
      <c r="T29" s="13">
        <f si="8" t="shared"/>
        <v>0</v>
      </c>
      <c r="U29" s="13">
        <f si="8" t="shared"/>
        <v>0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0.71126161496726759</v>
      </c>
      <c r="J30" s="13">
        <f si="6" t="shared"/>
        <v>2.2338220250735848E-2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0.70723319107692784</v>
      </c>
      <c r="U30" s="13">
        <f si="8" t="shared"/>
        <v>2.1654688517989924E-2</v>
      </c>
    </row>
    <row r="31" spans="1:21" x14ac:dyDescent="0.25">
      <c r="A31" t="s">
        <v>4</v>
      </c>
      <c r="B31" s="13">
        <f si="4" t="shared"/>
        <v>6.2612420566519314E-4</v>
      </c>
      <c r="C31" s="13">
        <f si="4" t="shared"/>
        <v>3.9359202009694571E-3</v>
      </c>
      <c r="D31" s="13">
        <f si="4" t="shared"/>
        <v>3.2657754723397895E-3</v>
      </c>
      <c r="E31" s="13">
        <f si="5" t="shared"/>
        <v>1.0966877203872833E-3</v>
      </c>
      <c r="F31" s="13">
        <f si="6" t="shared"/>
        <v>8.7641054696438892E-3</v>
      </c>
      <c r="G31" s="13">
        <f si="6" t="shared"/>
        <v>0.92352714706897299</v>
      </c>
      <c r="H31" s="13">
        <f si="6" t="shared"/>
        <v>0</v>
      </c>
      <c r="I31" s="13">
        <f si="6" t="shared"/>
        <v>6.5408608720267216E-3</v>
      </c>
      <c r="J31" s="13">
        <f si="6" t="shared"/>
        <v>1.3904513890549369E-2</v>
      </c>
      <c r="K31" s="6"/>
      <c r="L31" t="s">
        <v>4</v>
      </c>
      <c r="M31" s="13">
        <f ref="M31:P31" si="17" t="shared">M14/M$16</f>
        <v>1.1338124539460462E-3</v>
      </c>
      <c r="N31" s="13">
        <f si="17" t="shared"/>
        <v>3.8003958757259733E-3</v>
      </c>
      <c r="O31" s="13">
        <f si="17" t="shared"/>
        <v>3.9706711935145918E-3</v>
      </c>
      <c r="P31" s="13">
        <f si="17" t="shared"/>
        <v>0</v>
      </c>
      <c r="Q31" s="13">
        <f si="8" t="shared"/>
        <v>1.2245240783351629E-2</v>
      </c>
      <c r="R31" s="13">
        <f si="8" t="shared"/>
        <v>0.92225991106293825</v>
      </c>
      <c r="S31" s="13">
        <f si="8" t="shared"/>
        <v>0</v>
      </c>
      <c r="T31" s="13">
        <f si="8" t="shared"/>
        <v>5.9336776965628439E-3</v>
      </c>
      <c r="U31" s="13">
        <f si="8" t="shared"/>
        <v>1.5817392403165993E-2</v>
      </c>
    </row>
    <row r="32" spans="1:21" x14ac:dyDescent="0.25">
      <c r="A32" s="4" t="s">
        <v>5</v>
      </c>
      <c r="B32" s="14">
        <f si="4" t="shared"/>
        <v>1.4959725403964473E-2</v>
      </c>
      <c r="C32" s="14">
        <f si="4" t="shared"/>
        <v>1.6375961890984031E-2</v>
      </c>
      <c r="D32" s="14">
        <f si="4" t="shared"/>
        <v>2.4682720687677979E-2</v>
      </c>
      <c r="E32" s="13">
        <f si="5" t="shared"/>
        <v>5.734404027241017E-2</v>
      </c>
      <c r="F32" s="14">
        <f si="6" t="shared"/>
        <v>0.21574451734110237</v>
      </c>
      <c r="G32" s="14">
        <f si="6" t="shared"/>
        <v>7.6472852931026944E-2</v>
      </c>
      <c r="H32" s="14">
        <f si="6" t="shared"/>
        <v>1</v>
      </c>
      <c r="I32" s="14">
        <f si="6" t="shared"/>
        <v>2.61094200510264E-2</v>
      </c>
      <c r="J32" s="14">
        <f si="6" t="shared"/>
        <v>0.12724903373582405</v>
      </c>
      <c r="K32" s="6"/>
      <c r="L32" s="4" t="s">
        <v>5</v>
      </c>
      <c r="M32" s="14">
        <f ref="M32:P32" si="18" t="shared">M15/M$16</f>
        <v>1.9586208216503823E-2</v>
      </c>
      <c r="N32" s="14">
        <f si="18" t="shared"/>
        <v>3.2881481064443656E-2</v>
      </c>
      <c r="O32" s="14">
        <f si="18" t="shared"/>
        <v>3.0078894659104665E-2</v>
      </c>
      <c r="P32" s="14">
        <f si="18" t="shared"/>
        <v>0</v>
      </c>
      <c r="Q32" s="14">
        <f si="8" t="shared"/>
        <v>0.19283959105700904</v>
      </c>
      <c r="R32" s="14">
        <f si="8" t="shared"/>
        <v>7.7730411346007749E-2</v>
      </c>
      <c r="S32" s="14">
        <f si="8" t="shared"/>
        <v>0.9999909260648786</v>
      </c>
      <c r="T32" s="14">
        <f si="8" t="shared"/>
        <v>6.4104711433886505E-2</v>
      </c>
      <c r="U32" s="14">
        <f si="8" t="shared"/>
        <v>0.12918416936945412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-5.1341710608203694E-3</v>
      </c>
      <c r="N39" s="13">
        <f si="20" t="shared"/>
        <v>-7.975154481042912E-3</v>
      </c>
      <c r="O39" s="13">
        <f si="20" t="shared"/>
        <v>4.7851564963734688E-3</v>
      </c>
      <c r="P39" s="13">
        <f si="20" t="shared"/>
        <v>6.5421777449539198E-2</v>
      </c>
      <c r="Q39" s="13">
        <f ref="Q39:Q50" si="21" t="shared">Q22-F22</f>
        <v>2.3104356294017948E-2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-6.0177042386367653E-5</v>
      </c>
      <c r="U39" s="13">
        <f ref="U39:U50" si="25" t="shared">U22-J22</f>
        <v>1.8187510902810122E-2</v>
      </c>
      <c r="W39" s="21" t="s">
        <v>1</v>
      </c>
      <c r="X39" s="22">
        <f>M39</f>
        <v>-5.1341710608203694E-3</v>
      </c>
      <c r="Y39" s="22">
        <f ref="Y39:AF39" si="26" t="shared">N39</f>
        <v>-7.975154481042912E-3</v>
      </c>
      <c r="Z39" s="22">
        <f si="26" t="shared"/>
        <v>4.7851564963734688E-3</v>
      </c>
      <c r="AA39" s="22">
        <f si="26" t="shared"/>
        <v>6.5421777449539198E-2</v>
      </c>
      <c r="AB39" s="22">
        <f si="26" t="shared"/>
        <v>2.3104356294017948E-2</v>
      </c>
      <c r="AC39" s="22">
        <f si="26" t="shared"/>
        <v>0</v>
      </c>
      <c r="AD39" s="22">
        <f si="26" t="shared"/>
        <v>0</v>
      </c>
      <c r="AE39" s="22">
        <f si="26" t="shared"/>
        <v>-6.0177042386367653E-5</v>
      </c>
      <c r="AF39" s="22">
        <f si="26" t="shared"/>
        <v>1.8187510902810122E-2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-8.3948403671733063E-3</v>
      </c>
      <c r="O40" s="13">
        <f si="20" t="shared"/>
        <v>2.6472751290362861E-4</v>
      </c>
      <c r="P40" s="13">
        <f si="20" t="shared"/>
        <v>1.0395786340479506E-2</v>
      </c>
      <c r="Q40" s="13">
        <f si="21" t="shared"/>
        <v>1.1371252465008516E-2</v>
      </c>
      <c r="R40" s="13">
        <f si="22" t="shared"/>
        <v>0</v>
      </c>
      <c r="S40" s="13">
        <f si="23" t="shared"/>
        <v>0</v>
      </c>
      <c r="T40" s="13">
        <f si="24" t="shared"/>
        <v>2.0884742529071187E-2</v>
      </c>
      <c r="U40" s="13">
        <f si="25" t="shared"/>
        <v>9.4218593550200458E-3</v>
      </c>
      <c r="W40" s="27" t="s">
        <v>9</v>
      </c>
      <c r="X40" s="22">
        <f ref="X40:X49" si="27" t="shared">M40</f>
        <v>0</v>
      </c>
      <c r="Y40" s="22">
        <f ref="Y40:Y50" si="28" t="shared">N40</f>
        <v>-8.3948403671733063E-3</v>
      </c>
      <c r="Z40" s="22">
        <f ref="Z40:Z50" si="29" t="shared">O40</f>
        <v>2.6472751290362861E-4</v>
      </c>
      <c r="AA40" s="22">
        <f ref="AA40:AA50" si="30" t="shared">P40</f>
        <v>1.0395786340479506E-2</v>
      </c>
      <c r="AB40" s="22">
        <f ref="AB40:AB50" si="31" t="shared">Q40</f>
        <v>1.1371252465008516E-2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2.0884742529071187E-2</v>
      </c>
      <c r="AF40" s="22">
        <f ref="AF40:AF50" si="35" t="shared">U40</f>
        <v>9.4218593550200458E-3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-1.1150953701878574E-2</v>
      </c>
      <c r="P41" s="13">
        <f si="20" t="shared"/>
        <v>-2.1976728594212021E-3</v>
      </c>
      <c r="Q41" s="13">
        <f si="21" t="shared"/>
        <v>2.1681988503888975E-2</v>
      </c>
      <c r="R41" s="13">
        <f si="22" t="shared"/>
        <v>9.6775910540348294E-6</v>
      </c>
      <c r="S41" s="13">
        <f si="23" t="shared"/>
        <v>9.0739351213638823E-6</v>
      </c>
      <c r="T41" s="13">
        <f si="24" t="shared"/>
        <v>-3.3206703336585749E-2</v>
      </c>
      <c r="U41" s="13">
        <f si="25" t="shared"/>
        <v>-8.0931680686304464E-3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-1.1150953701878574E-2</v>
      </c>
      <c r="AA41" s="22">
        <f si="30" t="shared"/>
        <v>-2.1976728594212021E-3</v>
      </c>
      <c r="AB41" s="22">
        <f si="31" t="shared"/>
        <v>2.1681988503888975E-2</v>
      </c>
      <c r="AC41" s="22">
        <f si="32" t="shared"/>
        <v>9.6775910540348294E-6</v>
      </c>
      <c r="AD41" s="22">
        <f si="33" t="shared"/>
        <v>9.0739351213638823E-6</v>
      </c>
      <c r="AE41" s="22">
        <f si="34" t="shared"/>
        <v>-3.3206703336585749E-2</v>
      </c>
      <c r="AF41" s="22">
        <f si="35" t="shared"/>
        <v>-8.0931680686304464E-3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-1.5179162937800139E-2</v>
      </c>
      <c r="Q42" s="13">
        <f si="21" t="shared"/>
        <v>-3.4024903035790421E-2</v>
      </c>
      <c r="R42" s="13">
        <f si="22" t="shared"/>
        <v>0</v>
      </c>
      <c r="S42" s="13">
        <f si="23" t="shared"/>
        <v>0</v>
      </c>
      <c r="T42" s="13">
        <f si="24" t="shared"/>
        <v>-2.097754646715556E-2</v>
      </c>
      <c r="U42" s="13">
        <f si="25" t="shared"/>
        <v>-2.2513046447172103E-2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-1.5179162937800139E-2</v>
      </c>
      <c r="AB42" s="22">
        <f si="31" t="shared"/>
        <v>-3.4024903035790421E-2</v>
      </c>
      <c r="AC42" s="22">
        <f si="32" t="shared"/>
        <v>0</v>
      </c>
      <c r="AD42" s="22">
        <f si="33" t="shared"/>
        <v>0</v>
      </c>
      <c r="AE42" s="22">
        <f si="34" t="shared"/>
        <v>-2.097754646715556E-2</v>
      </c>
      <c r="AF42" s="22">
        <f si="35" t="shared"/>
        <v>-2.2513046447172103E-2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-2.7089032567393051E-3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-1.6763815552834848E-4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-2.7089032567393051E-3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-1.6763815552834848E-4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0</v>
      </c>
      <c r="Q44" s="13">
        <f si="21" t="shared"/>
        <v>0</v>
      </c>
      <c r="R44" s="13">
        <f si="22" t="shared"/>
        <v>0</v>
      </c>
      <c r="S44" s="13">
        <f si="23" t="shared"/>
        <v>0</v>
      </c>
      <c r="T44" s="13">
        <f si="24" t="shared"/>
        <v>0</v>
      </c>
      <c r="U44" s="13">
        <f si="25" t="shared"/>
        <v>0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0</v>
      </c>
      <c r="AB44" s="22">
        <f si="31" t="shared"/>
        <v>0</v>
      </c>
      <c r="AC44" s="22">
        <f si="32" t="shared"/>
        <v>0</v>
      </c>
      <c r="AD44" s="22">
        <f si="33" t="shared"/>
        <v>0</v>
      </c>
      <c r="AE44" s="22">
        <f si="34" t="shared"/>
        <v>0</v>
      </c>
      <c r="AF44" s="22">
        <f si="35" t="shared"/>
        <v>0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0</v>
      </c>
      <c r="Q45" s="13">
        <f si="21" t="shared"/>
        <v>0</v>
      </c>
      <c r="R45" s="13">
        <f si="22" t="shared"/>
        <v>0</v>
      </c>
      <c r="S45" s="13">
        <f si="23" t="shared"/>
        <v>0</v>
      </c>
      <c r="T45" s="13">
        <f si="24" t="shared"/>
        <v>0</v>
      </c>
      <c r="U45" s="13">
        <f si="25" t="shared"/>
        <v>0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0</v>
      </c>
      <c r="AB45" s="22">
        <f si="31" t="shared"/>
        <v>0</v>
      </c>
      <c r="AC45" s="22">
        <f si="32" t="shared"/>
        <v>0</v>
      </c>
      <c r="AD45" s="22">
        <f si="33" t="shared"/>
        <v>0</v>
      </c>
      <c r="AE45" s="22">
        <f si="34" t="shared"/>
        <v>0</v>
      </c>
      <c r="AF45" s="22">
        <f si="35" t="shared"/>
        <v>0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0</v>
      </c>
      <c r="Q46" s="13">
        <f si="21" t="shared"/>
        <v>0</v>
      </c>
      <c r="R46" s="13">
        <f si="22" t="shared"/>
        <v>0</v>
      </c>
      <c r="S46" s="13">
        <f si="23" t="shared"/>
        <v>0</v>
      </c>
      <c r="T46" s="13">
        <f si="24" t="shared"/>
        <v>0</v>
      </c>
      <c r="U46" s="13">
        <f si="25" t="shared"/>
        <v>0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0</v>
      </c>
      <c r="AB46" s="22">
        <f si="31" t="shared"/>
        <v>0</v>
      </c>
      <c r="AC46" s="22">
        <f si="32" t="shared"/>
        <v>0</v>
      </c>
      <c r="AD46" s="22">
        <f si="33" t="shared"/>
        <v>0</v>
      </c>
      <c r="AE46" s="22">
        <f si="34" t="shared"/>
        <v>0</v>
      </c>
      <c r="AF46" s="22">
        <f si="35" t="shared"/>
        <v>0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-4.0284238903397496E-3</v>
      </c>
      <c r="U47" s="13">
        <f si="25" t="shared"/>
        <v>-6.8353173274592408E-4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-4.0284238903397496E-3</v>
      </c>
      <c r="AF47" s="22">
        <f si="35" t="shared"/>
        <v>-6.8353173274592408E-4</v>
      </c>
    </row>
    <row r="48" spans="1:32" x14ac:dyDescent="0.25">
      <c r="L48" t="s">
        <v>4</v>
      </c>
      <c r="M48" s="13">
        <f ref="M48:P50" si="40" t="shared">M31-B31</f>
        <v>5.0768824828085308E-4</v>
      </c>
      <c r="N48" s="13">
        <f si="40" t="shared"/>
        <v>-1.3552432524348377E-4</v>
      </c>
      <c r="O48" s="13">
        <f si="40" t="shared"/>
        <v>7.0489572117480226E-4</v>
      </c>
      <c r="P48" s="13">
        <f si="40" t="shared"/>
        <v>-1.0966877203872833E-3</v>
      </c>
      <c r="Q48" s="13">
        <f si="21" t="shared"/>
        <v>3.4811353137077401E-3</v>
      </c>
      <c r="R48" s="13">
        <f si="22" t="shared"/>
        <v>-1.2672360060347332E-3</v>
      </c>
      <c r="S48" s="13">
        <f si="23" t="shared"/>
        <v>0</v>
      </c>
      <c r="T48" s="13">
        <f si="24" t="shared"/>
        <v>-6.0718317546387766E-4</v>
      </c>
      <c r="U48" s="13">
        <f si="25" t="shared"/>
        <v>1.9128785126166243E-3</v>
      </c>
      <c r="W48" s="27" t="s">
        <v>4</v>
      </c>
      <c r="X48" s="22">
        <f si="27" t="shared"/>
        <v>5.0768824828085308E-4</v>
      </c>
      <c r="Y48" s="22">
        <f si="28" t="shared"/>
        <v>-1.3552432524348377E-4</v>
      </c>
      <c r="Z48" s="22">
        <f si="29" t="shared"/>
        <v>7.0489572117480226E-4</v>
      </c>
      <c r="AA48" s="22">
        <f si="30" t="shared"/>
        <v>-1.0966877203872833E-3</v>
      </c>
      <c r="AB48" s="22">
        <f si="31" t="shared"/>
        <v>3.4811353137077401E-3</v>
      </c>
      <c r="AC48" s="22">
        <f si="32" t="shared"/>
        <v>-1.2672360060347332E-3</v>
      </c>
      <c r="AD48" s="22">
        <f si="33" t="shared"/>
        <v>0</v>
      </c>
      <c r="AE48" s="22">
        <f si="34" t="shared"/>
        <v>-6.0718317546387766E-4</v>
      </c>
      <c r="AF48" s="22">
        <f si="35" t="shared"/>
        <v>1.9128785126166243E-3</v>
      </c>
    </row>
    <row r="49" spans="12:32" x14ac:dyDescent="0.25">
      <c r="L49" s="4" t="s">
        <v>5</v>
      </c>
      <c r="M49" s="17">
        <f si="40" t="shared"/>
        <v>4.6264828125393495E-3</v>
      </c>
      <c r="N49" s="17">
        <f si="40" t="shared"/>
        <v>1.6505519173459625E-2</v>
      </c>
      <c r="O49" s="17">
        <f si="40" t="shared"/>
        <v>5.3961739714266863E-3</v>
      </c>
      <c r="P49" s="17">
        <f si="40" t="shared"/>
        <v>-5.734404027241017E-2</v>
      </c>
      <c r="Q49" s="17">
        <f si="21" t="shared"/>
        <v>-2.2904926284093324E-2</v>
      </c>
      <c r="R49" s="17">
        <f si="22" t="shared"/>
        <v>1.2575584149808056E-3</v>
      </c>
      <c r="S49" s="17">
        <f si="23" t="shared"/>
        <v>-9.0739351213953157E-6</v>
      </c>
      <c r="T49" s="17">
        <f si="24" t="shared"/>
        <v>3.7995291382860105E-2</v>
      </c>
      <c r="U49" s="13">
        <f si="25" t="shared"/>
        <v>1.9351356336300696E-3</v>
      </c>
      <c r="W49" s="20" t="s">
        <v>5</v>
      </c>
      <c r="X49" s="22">
        <f si="27" t="shared"/>
        <v>4.6264828125393495E-3</v>
      </c>
      <c r="Y49" s="22">
        <f si="28" t="shared"/>
        <v>1.6505519173459625E-2</v>
      </c>
      <c r="Z49" s="22">
        <f si="29" t="shared"/>
        <v>5.3961739714266863E-3</v>
      </c>
      <c r="AA49" s="22">
        <f si="30" t="shared"/>
        <v>-5.734404027241017E-2</v>
      </c>
      <c r="AB49" s="22">
        <f si="31" t="shared"/>
        <v>-2.2904926284093324E-2</v>
      </c>
      <c r="AC49" s="22">
        <f si="32" t="shared"/>
        <v>1.2575584149808056E-3</v>
      </c>
      <c r="AD49" s="22">
        <f si="33" t="shared"/>
        <v>-9.0739351213953157E-6</v>
      </c>
      <c r="AE49" s="22">
        <f si="34" t="shared"/>
        <v>3.7995291382860105E-2</v>
      </c>
      <c r="AF49" s="22">
        <f si="35" t="shared"/>
        <v>1.9351356336300696E-3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150355.7020996967</v>
      </c>
      <c r="C5" s="6" t="n">
        <v>5631.8050819142</v>
      </c>
      <c r="D5" s="6" t="n">
        <v>960.6288860322001</v>
      </c>
      <c r="E5" s="6" t="n">
        <v>0.0</v>
      </c>
      <c r="F5" s="6" t="n">
        <v>18.7005063981</v>
      </c>
      <c r="G5" s="6" t="n">
        <v>0.0</v>
      </c>
      <c r="H5" s="6" t="n">
        <v>0.0</v>
      </c>
      <c r="I5" s="6" t="n">
        <v>0.0</v>
      </c>
      <c r="J5" s="6">
        <f>SUM(B5:I5)</f>
        <v>156966.83657404123</v>
      </c>
      <c r="K5" s="6"/>
      <c r="L5" t="s">
        <v>1</v>
      </c>
      <c r="M5" s="6" t="n">
        <v>166415.0</v>
      </c>
      <c r="N5" s="6" t="n">
        <v>3595.0</v>
      </c>
      <c r="O5" s="6" t="n">
        <v>752.0</v>
      </c>
      <c r="P5" s="6" t="n">
        <v>0.0</v>
      </c>
      <c r="Q5" s="6" t="n">
        <v>71.0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168834</v>
      </c>
    </row>
    <row r="6" spans="1:21" x14ac:dyDescent="0.25">
      <c r="A6" t="s">
        <v>12</v>
      </c>
      <c r="B6" s="6" t="n">
        <v>0.0</v>
      </c>
      <c r="C6" s="6" t="n">
        <v>23421.8050977258</v>
      </c>
      <c r="D6" s="6" t="n">
        <v>18.7005063981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23440.5056041239</v>
      </c>
      <c r="K6" s="6"/>
      <c r="L6" t="s">
        <v>12</v>
      </c>
      <c r="M6" s="6" t="n">
        <v>0.0</v>
      </c>
      <c r="N6" s="6" t="n">
        <v>37914.0</v>
      </c>
      <c r="O6" s="6" t="n">
        <v>2404.0</v>
      </c>
      <c r="P6" s="6" t="n">
        <v>0.0</v>
      </c>
      <c r="Q6" s="6" t="n">
        <v>494.0</v>
      </c>
      <c r="R6" s="6" t="n">
        <v>0.0</v>
      </c>
      <c r="S6" s="6" t="n">
        <v>0.0</v>
      </c>
      <c r="T6" s="6" t="n">
        <v>0.0</v>
      </c>
      <c r="U6" s="6">
        <f si="0" t="shared"/>
        <v>40584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9172.823547946</v>
      </c>
      <c r="E7" s="6" t="n">
        <v>0.0</v>
      </c>
      <c r="F7" s="6" t="n">
        <v>174.354369882</v>
      </c>
      <c r="G7" s="6" t="n">
        <v>0.0</v>
      </c>
      <c r="H7" s="6" t="n">
        <v>0.0</v>
      </c>
      <c r="I7" s="6" t="n">
        <v>0.0</v>
      </c>
      <c r="J7" s="6">
        <f si="1" t="shared"/>
        <v>9347.1779178279994</v>
      </c>
      <c r="K7" s="6"/>
      <c r="L7" t="s">
        <v>56</v>
      </c>
      <c r="M7" s="6" t="n">
        <v>0.0</v>
      </c>
      <c r="N7" s="6" t="n">
        <v>0.0</v>
      </c>
      <c r="O7" s="6" t="n">
        <v>13178.0</v>
      </c>
      <c r="P7" s="6" t="n">
        <v>0.0</v>
      </c>
      <c r="Q7" s="6" t="n">
        <v>203.0</v>
      </c>
      <c r="R7" s="6" t="n">
        <v>0.0</v>
      </c>
      <c r="S7" s="6" t="n">
        <v>0.0</v>
      </c>
      <c r="T7" s="6" t="n">
        <v>0.0</v>
      </c>
      <c r="U7" s="6">
        <f si="0" t="shared"/>
        <v>13013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5050.2934779955</v>
      </c>
      <c r="G8" s="6" t="n">
        <v>0.0</v>
      </c>
      <c r="H8" s="6" t="n">
        <v>0.0</v>
      </c>
      <c r="I8" s="6" t="n">
        <v>0.0</v>
      </c>
      <c r="J8" s="6">
        <f si="1" t="shared"/>
        <v>5050.2934779955003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2649.0</v>
      </c>
      <c r="R8" s="6" t="n">
        <v>0.0</v>
      </c>
      <c r="S8" s="6" t="n">
        <v>0.0</v>
      </c>
      <c r="T8" s="6" t="n">
        <v>0.0</v>
      </c>
      <c r="U8" s="6">
        <f si="0" t="shared"/>
        <v>2511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236.004091738</v>
      </c>
      <c r="G9" s="6" t="n">
        <v>0.0</v>
      </c>
      <c r="H9" s="6" t="n">
        <v>0.0</v>
      </c>
      <c r="I9" s="6" t="n">
        <v>0.0</v>
      </c>
      <c r="J9" s="6">
        <f si="1" t="shared"/>
        <v>236.004091738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1949.997832852</v>
      </c>
      <c r="J13" s="6">
        <f si="1" t="shared"/>
        <v>1949.9978328520001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982.882297674</v>
      </c>
      <c r="H14" s="6" t="n">
        <v>0.0</v>
      </c>
      <c r="I14" s="6" t="n">
        <v>0.0</v>
      </c>
      <c r="J14" s="6">
        <f si="1" t="shared"/>
        <v>982.88229767400003</v>
      </c>
      <c r="K14" s="6"/>
      <c r="L14" t="s">
        <v>4</v>
      </c>
      <c r="M14" s="6" t="n">
        <v>122.0</v>
      </c>
      <c r="N14" s="6" t="n">
        <v>29.0</v>
      </c>
      <c r="O14" s="6" t="n">
        <v>9.0</v>
      </c>
      <c r="P14" s="6" t="n">
        <v>0.0</v>
      </c>
      <c r="Q14" s="6" t="n">
        <v>17.0</v>
      </c>
      <c r="R14" s="6" t="n">
        <v>846.0</v>
      </c>
      <c r="S14" s="6" t="n">
        <v>0.0</v>
      </c>
      <c r="T14" s="6" t="n">
        <v>0.0</v>
      </c>
      <c r="U14" s="6">
        <f si="0" t="shared"/>
        <v>981</v>
      </c>
    </row>
    <row r="15" spans="1:21" x14ac:dyDescent="0.25">
      <c r="A15" s="4" t="s">
        <v>5</v>
      </c>
      <c r="B15" s="10" t="n">
        <v>1357.3149762110002</v>
      </c>
      <c r="C15" s="10" t="n">
        <v>554.3536225348</v>
      </c>
      <c r="D15" s="10" t="n">
        <v>0.0</v>
      </c>
      <c r="E15" s="10" t="n">
        <v>0.0</v>
      </c>
      <c r="F15" s="10" t="n">
        <v>2902.9889422654</v>
      </c>
      <c r="G15" s="10" t="n">
        <v>0.0</v>
      </c>
      <c r="H15" s="10" t="n">
        <v>146940.6154411948</v>
      </c>
      <c r="I15" s="10" t="n">
        <v>0.0</v>
      </c>
      <c r="J15" s="6">
        <f si="1" t="shared"/>
        <v>151755.27298220599</v>
      </c>
      <c r="K15" s="6"/>
      <c r="L15" s="4" t="s">
        <v>5</v>
      </c>
      <c r="M15" s="8" t="n">
        <v>1521.0</v>
      </c>
      <c r="N15" s="8" t="n">
        <v>340.0</v>
      </c>
      <c r="O15" s="8" t="n">
        <v>98.0</v>
      </c>
      <c r="P15" s="8" t="n">
        <v>0.0</v>
      </c>
      <c r="Q15" s="8" t="n">
        <v>181.0</v>
      </c>
      <c r="R15" s="8" t="n">
        <v>35.0</v>
      </c>
      <c r="S15" s="8" t="n">
        <v>143506.0</v>
      </c>
      <c r="T15" s="8" t="n">
        <v>0.0</v>
      </c>
      <c r="U15" s="6">
        <f si="0" t="shared"/>
        <v>143623</v>
      </c>
    </row>
    <row ht="15.75" r="16" spans="1:21" thickBot="1" x14ac:dyDescent="0.3">
      <c r="A16" s="12" t="s">
        <v>7</v>
      </c>
      <c r="B16" s="16">
        <f ref="B16:J16" si="2" t="shared">SUM(B5:B15)</f>
        <v>151713.0170759077</v>
      </c>
      <c r="C16" s="16">
        <f si="2" t="shared"/>
        <v>29607.9638021748</v>
      </c>
      <c r="D16" s="16">
        <f si="2" t="shared"/>
        <v>10152.1529403763</v>
      </c>
      <c r="E16" s="16">
        <f si="2" t="shared"/>
        <v>0</v>
      </c>
      <c r="F16" s="16">
        <f si="2" t="shared"/>
        <v>8382.341388279001</v>
      </c>
      <c r="G16" s="16">
        <f si="2" t="shared"/>
        <v>982.88229767400003</v>
      </c>
      <c r="H16" s="16">
        <f si="2" t="shared"/>
        <v>146940.61544119479</v>
      </c>
      <c r="I16" s="16">
        <f si="2" t="shared"/>
        <v>1949.9978328520001</v>
      </c>
      <c r="J16" s="16">
        <f si="2" t="shared"/>
        <v>349728.97077845864</v>
      </c>
      <c r="L16" s="9" t="s">
        <v>7</v>
      </c>
      <c r="M16" s="16">
        <f ref="M16:U16" si="3" t="shared">SUM(M5:M15)</f>
        <v>166096</v>
      </c>
      <c r="N16" s="16">
        <f si="3" t="shared"/>
        <v>41769</v>
      </c>
      <c r="O16" s="16">
        <f si="3" t="shared"/>
        <v>15948</v>
      </c>
      <c r="P16" s="16">
        <f si="3" t="shared"/>
        <v>0</v>
      </c>
      <c r="Q16" s="16">
        <f si="3" t="shared"/>
        <v>3402</v>
      </c>
      <c r="R16" s="16">
        <f si="3" t="shared"/>
        <v>850</v>
      </c>
      <c r="S16" s="16">
        <f si="3" t="shared"/>
        <v>141481</v>
      </c>
      <c r="T16" s="16">
        <f si="3" t="shared"/>
        <v>0</v>
      </c>
      <c r="U16" s="16">
        <f si="3" t="shared"/>
        <v>369546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0.99105340462953229</v>
      </c>
      <c r="C22" s="13">
        <f si="4" t="shared"/>
        <v>0.19021250902436343</v>
      </c>
      <c r="D22" s="13">
        <f si="4" t="shared"/>
        <v>9.4623169260154322E-2</v>
      </c>
      <c r="E22" s="13" t="e">
        <f si="4" t="shared"/>
        <v>#DIV/0!</v>
      </c>
      <c r="F22" s="13">
        <f si="4" t="shared"/>
        <v>2.2309406801599434E-3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0.44882423158896484</v>
      </c>
      <c r="K22" s="6"/>
      <c r="L22" t="s">
        <v>1</v>
      </c>
      <c r="M22" s="13">
        <f ref="M22:P22" si="5" t="shared">M5/M$16</f>
        <v>0.99015629515460934</v>
      </c>
      <c r="N22" s="13">
        <f si="5" t="shared"/>
        <v>8.633196868490986E-2</v>
      </c>
      <c r="O22" s="13">
        <f si="5" t="shared"/>
        <v>4.3579132179583646E-2</v>
      </c>
      <c r="P22" s="13" t="e">
        <f si="5" t="shared"/>
        <v>#DIV/0!</v>
      </c>
      <c r="Q22" s="13">
        <f ref="Q22:U33" si="6" t="shared">Q5/Q$16</f>
        <v>2.1164021164021163E-2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0.45686869834878474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0.79106436545985614</v>
      </c>
      <c r="D23" s="13">
        <f si="7" t="shared"/>
        <v>1.8420237074764604E-3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6.7024775076390972E-2</v>
      </c>
      <c r="K23" s="6"/>
      <c r="L23" t="s">
        <v>12</v>
      </c>
      <c r="M23" s="13">
        <f ref="M23:P23" si="8" t="shared">M6/M$16</f>
        <v>0</v>
      </c>
      <c r="N23" s="13">
        <f si="8" t="shared"/>
        <v>0.90540831717302306</v>
      </c>
      <c r="O23" s="13">
        <f si="8" t="shared"/>
        <v>0.14597441685477802</v>
      </c>
      <c r="P23" s="13" t="e">
        <f si="8" t="shared"/>
        <v>#DIV/0!</v>
      </c>
      <c r="Q23" s="13">
        <f si="6" t="shared"/>
        <v>0.12874779541446207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0.10982124011625075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0.90353480703236921</v>
      </c>
      <c r="E24" s="13" t="e">
        <f si="9" t="shared"/>
        <v>#DIV/0!</v>
      </c>
      <c r="F24" s="13">
        <f si="9" t="shared"/>
        <v>2.0800199109737894E-2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2.6726919125465067E-2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0.80329821921244038</v>
      </c>
      <c r="P24" s="13" t="e">
        <f si="10" t="shared"/>
        <v>#DIV/0!</v>
      </c>
      <c r="Q24" s="13">
        <f si="6" t="shared"/>
        <v>5.9376837154614934E-2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3.5213478159687832E-2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0.60249198213965705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1.4440592287090477E-2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0.73809523809523814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6.7948239190790865E-3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2.8154912906315617E-2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6.7481996476494513E-4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1</v>
      </c>
      <c r="J30" s="13">
        <f si="21" t="shared"/>
        <v>5.5757400609721215E-3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2.8104114322762882E-3</v>
      </c>
      <c r="K31" s="6"/>
      <c r="L31" t="s">
        <v>4</v>
      </c>
      <c r="M31" s="13">
        <f ref="M31:P31" si="24" t="shared">M14/M$16</f>
        <v>6.0808207301801364E-4</v>
      </c>
      <c r="N31" s="13">
        <f si="24" t="shared"/>
        <v>8.1400081400081396E-4</v>
      </c>
      <c r="O31" s="13">
        <f si="24" t="shared"/>
        <v>8.1514923501379481E-4</v>
      </c>
      <c r="P31" s="13" t="e">
        <f si="24" t="shared"/>
        <v>#DIV/0!</v>
      </c>
      <c r="Q31" s="13">
        <f si="6" t="shared"/>
        <v>6.1728395061728392E-3</v>
      </c>
      <c r="R31" s="13">
        <f si="6" t="shared"/>
        <v>0.95529411764705885</v>
      </c>
      <c r="S31" s="13">
        <f si="6" t="shared"/>
        <v>0</v>
      </c>
      <c r="T31" s="13" t="e">
        <f si="6" t="shared"/>
        <v>#DIV/0!</v>
      </c>
      <c r="U31" s="13">
        <f si="6" t="shared"/>
        <v>2.6546086278839442E-3</v>
      </c>
    </row>
    <row r="32" spans="1:21" x14ac:dyDescent="0.25">
      <c r="A32" s="4" t="s">
        <v>5</v>
      </c>
      <c r="B32" s="14">
        <f ref="B32:J32" si="25" t="shared">B15/B$16</f>
        <v>8.9465953704676807E-3</v>
      </c>
      <c r="C32" s="14">
        <f si="25" t="shared"/>
        <v>1.8723125515780353E-2</v>
      </c>
      <c r="D32" s="14">
        <f si="25" t="shared"/>
        <v>0</v>
      </c>
      <c r="E32" s="14" t="e">
        <f si="25" t="shared"/>
        <v>#DIV/0!</v>
      </c>
      <c r="F32" s="14">
        <f si="25" t="shared"/>
        <v>0.34632196516412939</v>
      </c>
      <c r="G32" s="14">
        <f si="25" t="shared"/>
        <v>0</v>
      </c>
      <c r="H32" s="14">
        <f si="25" t="shared"/>
        <v>1</v>
      </c>
      <c r="I32" s="14">
        <f si="25" t="shared"/>
        <v>0</v>
      </c>
      <c r="J32" s="14">
        <f si="25" t="shared"/>
        <v>0.43392251046407526</v>
      </c>
      <c r="K32" s="6"/>
      <c r="L32" s="4" t="s">
        <v>5</v>
      </c>
      <c r="M32" s="14">
        <f ref="M32:P32" si="26" t="shared">M15/M$16</f>
        <v>9.235622772372604E-3</v>
      </c>
      <c r="N32" s="14">
        <f si="26" t="shared"/>
        <v>7.4457133280662691E-3</v>
      </c>
      <c r="O32" s="14">
        <f si="26" t="shared"/>
        <v>6.3330825181840984E-3</v>
      </c>
      <c r="P32" s="14" t="e">
        <f si="26" t="shared"/>
        <v>#DIV/0!</v>
      </c>
      <c r="Q32" s="14">
        <f si="6" t="shared"/>
        <v>4.6443268665490887E-2</v>
      </c>
      <c r="R32" s="14">
        <f si="6" t="shared"/>
        <v>4.4705882352941179E-2</v>
      </c>
      <c r="S32" s="14">
        <f si="6" t="shared"/>
        <v>1</v>
      </c>
      <c r="T32" s="14" t="e">
        <f si="6" t="shared"/>
        <v>#DIV/0!</v>
      </c>
      <c r="U32" s="14">
        <f si="6" t="shared"/>
        <v>0.38864715082831364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-8.9710947492294135E-4</v>
      </c>
      <c r="N39" s="13">
        <f si="29" t="shared"/>
        <v>-0.10388054033945357</v>
      </c>
      <c r="O39" s="13">
        <f si="29" t="shared"/>
        <v>-5.1044037080570676E-2</v>
      </c>
      <c r="P39" s="13" t="e">
        <f si="29" t="shared"/>
        <v>#DIV/0!</v>
      </c>
      <c r="Q39" s="13">
        <f ref="Q39:Q50" si="30" t="shared">Q22-F22</f>
        <v>1.893308048386122E-2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8.0444667598199016E-3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0.11434395171316691</v>
      </c>
      <c r="O40" s="13">
        <f si="29" t="shared"/>
        <v>0.14413239314730156</v>
      </c>
      <c r="P40" s="13" t="e">
        <f si="29" t="shared"/>
        <v>#DIV/0!</v>
      </c>
      <c r="Q40" s="13">
        <f si="30" t="shared"/>
        <v>0.12874779541446207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4.2796465039859774E-2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-0.10023658781992884</v>
      </c>
      <c r="P41" s="13" t="e">
        <f si="29" t="shared"/>
        <v>#DIV/0!</v>
      </c>
      <c r="Q41" s="13">
        <f si="30" t="shared"/>
        <v>3.8576638044877043E-2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8.4865590342227647E-3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0.13560325595558109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-7.6457683680113903E-3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-2.8154912906315617E-2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-6.7481996476494513E-4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-5.5757400609721215E-3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6.0808207301801364E-4</v>
      </c>
      <c r="N48" s="13">
        <f si="42" t="shared"/>
        <v>8.1400081400081396E-4</v>
      </c>
      <c r="O48" s="13">
        <f si="42" t="shared"/>
        <v>8.1514923501379481E-4</v>
      </c>
      <c r="P48" s="13" t="e">
        <f si="42" t="shared"/>
        <v>#DIV/0!</v>
      </c>
      <c r="Q48" s="13">
        <f si="30" t="shared"/>
        <v>6.1728395061728392E-3</v>
      </c>
      <c r="R48" s="13">
        <f si="31" t="shared"/>
        <v>-4.4705882352941151E-2</v>
      </c>
      <c r="S48" s="13">
        <f si="32" t="shared"/>
        <v>0</v>
      </c>
      <c r="T48" s="13" t="e">
        <f si="33" t="shared"/>
        <v>#DIV/0!</v>
      </c>
      <c r="U48" s="13">
        <f si="34" t="shared"/>
        <v>-1.5580280439234399E-4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2.8902740190492326E-4</v>
      </c>
      <c r="N49" s="17">
        <f si="43" t="shared"/>
        <v>-1.1277412187714084E-2</v>
      </c>
      <c r="O49" s="17">
        <f si="43" t="shared"/>
        <v>6.3330825181840984E-3</v>
      </c>
      <c r="P49" s="17" t="e">
        <f si="43" t="shared"/>
        <v>#DIV/0!</v>
      </c>
      <c r="Q49" s="17">
        <f si="30" t="shared"/>
        <v>-0.29987869649863852</v>
      </c>
      <c r="R49" s="17">
        <f si="31" t="shared"/>
        <v>4.4705882352941179E-2</v>
      </c>
      <c r="S49" s="17">
        <f si="32" t="shared"/>
        <v>0</v>
      </c>
      <c r="T49" s="17" t="e">
        <f si="33" t="shared"/>
        <v>#DIV/0!</v>
      </c>
      <c r="U49" s="13">
        <f si="34" t="shared"/>
        <v>-4.5275359635761625E-2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2521413.820144816</v>
      </c>
      <c r="C5" s="6" t="n">
        <v>315672.173619434</v>
      </c>
      <c r="D5" s="6" t="n">
        <v>171792.02026340138</v>
      </c>
      <c r="E5" s="6" t="n">
        <v>82162.480811391</v>
      </c>
      <c r="F5" s="6" t="n">
        <v>11975.0879814352</v>
      </c>
      <c r="G5" s="6" t="n">
        <v>0.0</v>
      </c>
      <c r="H5" s="6" t="n">
        <v>0.0</v>
      </c>
      <c r="I5" s="6" t="n">
        <v>943.389811134</v>
      </c>
      <c r="J5" s="6">
        <f>SUM(B5:I5)</f>
        <v>3103958.9726316109</v>
      </c>
      <c r="K5" s="6"/>
      <c r="L5" t="s">
        <v>1</v>
      </c>
      <c r="M5" s="6" t="n">
        <v>2873615.0</v>
      </c>
      <c r="N5" s="6" t="n">
        <v>439694.0</v>
      </c>
      <c r="O5" s="6" t="n">
        <v>155319.0</v>
      </c>
      <c r="P5" s="6" t="n">
        <v>64768.0</v>
      </c>
      <c r="Q5" s="6" t="n">
        <v>16992.0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3550069</v>
      </c>
    </row>
    <row r="6" spans="1:21" x14ac:dyDescent="0.25">
      <c r="A6" t="s">
        <v>12</v>
      </c>
      <c r="B6" s="6" t="n">
        <v>0.0</v>
      </c>
      <c r="C6" s="6" t="n">
        <v>394904.102118488</v>
      </c>
      <c r="D6" s="6" t="n">
        <v>76279.6779927631</v>
      </c>
      <c r="E6" s="6" t="n">
        <v>3613.0797044182</v>
      </c>
      <c r="F6" s="6" t="n">
        <v>43281.7031971077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518078.56301277701</v>
      </c>
      <c r="K6" s="6"/>
      <c r="L6" t="s">
        <v>12</v>
      </c>
      <c r="M6" s="6" t="n">
        <v>0.0</v>
      </c>
      <c r="N6" s="6" t="n">
        <v>532334.0</v>
      </c>
      <c r="O6" s="6" t="n">
        <v>83855.0</v>
      </c>
      <c r="P6" s="6" t="n">
        <v>3460.0</v>
      </c>
      <c r="Q6" s="6" t="n">
        <v>25294.0</v>
      </c>
      <c r="R6" s="6" t="n">
        <v>0.0</v>
      </c>
      <c r="S6" s="6" t="n">
        <v>0.0</v>
      </c>
      <c r="T6" s="6" t="n">
        <v>0.0</v>
      </c>
      <c r="U6" s="6">
        <f si="0" t="shared"/>
        <v>642766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186818.3443331934</v>
      </c>
      <c r="E7" s="6" t="n">
        <v>3150.100015497</v>
      </c>
      <c r="F7" s="6" t="n">
        <v>9761.7991759413</v>
      </c>
      <c r="G7" s="6" t="n">
        <v>0.0</v>
      </c>
      <c r="H7" s="6" t="n">
        <v>0.0</v>
      </c>
      <c r="I7" s="6" t="n">
        <v>0.0</v>
      </c>
      <c r="J7" s="6">
        <f si="1" t="shared"/>
        <v>199730.24352463172</v>
      </c>
      <c r="K7" s="6"/>
      <c r="L7" t="s">
        <v>56</v>
      </c>
      <c r="M7" s="6" t="n">
        <v>0.0</v>
      </c>
      <c r="N7" s="6" t="n">
        <v>0.0</v>
      </c>
      <c r="O7" s="6" t="n">
        <v>283060.0</v>
      </c>
      <c r="P7" s="6" t="n">
        <v>1096.0</v>
      </c>
      <c r="Q7" s="6" t="n">
        <v>11344.0</v>
      </c>
      <c r="R7" s="6" t="n">
        <v>1.0</v>
      </c>
      <c r="S7" s="6" t="n">
        <v>5.0</v>
      </c>
      <c r="T7" s="6" t="n">
        <v>0.0</v>
      </c>
      <c r="U7" s="6">
        <f si="0" t="shared"/>
        <v>296331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81166.0019543937</v>
      </c>
      <c r="F8" s="6" t="n">
        <v>324619.9786083393</v>
      </c>
      <c r="G8" s="6" t="n">
        <v>0.0</v>
      </c>
      <c r="H8" s="6" t="n">
        <v>0.0</v>
      </c>
      <c r="I8" s="6" t="n">
        <v>0.0</v>
      </c>
      <c r="J8" s="6">
        <f si="1" t="shared"/>
        <v>405785.98056273302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52324.0</v>
      </c>
      <c r="Q8" s="6" t="n">
        <v>206736.0</v>
      </c>
      <c r="R8" s="6" t="n">
        <v>0.0</v>
      </c>
      <c r="S8" s="6" t="n">
        <v>0.0</v>
      </c>
      <c r="T8" s="6" t="n">
        <v>0.0</v>
      </c>
      <c r="U8" s="6">
        <f si="0" t="shared"/>
        <v>258128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2053.6406139154</v>
      </c>
      <c r="G9" s="6" t="n">
        <v>0.0</v>
      </c>
      <c r="H9" s="6" t="n">
        <v>0.0</v>
      </c>
      <c r="I9" s="6" t="n">
        <v>0.0</v>
      </c>
      <c r="J9" s="6">
        <f si="1" t="shared"/>
        <v>2053.6406139154001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943.389811134</v>
      </c>
      <c r="J13" s="6">
        <f si="1" t="shared"/>
        <v>943.38981113399996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377.852839859</v>
      </c>
      <c r="C14" s="6" t="n">
        <v>4500.0708760463</v>
      </c>
      <c r="D14" s="6" t="n">
        <v>337.724647725</v>
      </c>
      <c r="E14" s="6" t="n">
        <v>243.463457593</v>
      </c>
      <c r="F14" s="6" t="n">
        <v>5162.3333646064</v>
      </c>
      <c r="G14" s="6" t="n">
        <v>85418.7367502272</v>
      </c>
      <c r="H14" s="6" t="n">
        <v>0.0</v>
      </c>
      <c r="I14" s="6" t="n">
        <v>0.0</v>
      </c>
      <c r="J14" s="6">
        <f si="1" t="shared"/>
        <v>96040.181936056892</v>
      </c>
      <c r="K14" s="6"/>
      <c r="L14" t="s">
        <v>4</v>
      </c>
      <c r="M14" s="6" t="n">
        <v>2989.0</v>
      </c>
      <c r="N14" s="6" t="n">
        <v>4061.0</v>
      </c>
      <c r="O14" s="6" t="n">
        <v>2261.0</v>
      </c>
      <c r="P14" s="6" t="n">
        <v>0.0</v>
      </c>
      <c r="Q14" s="6" t="n">
        <v>3897.0</v>
      </c>
      <c r="R14" s="6" t="n">
        <v>103468.0</v>
      </c>
      <c r="S14" s="6" t="n">
        <v>0.0</v>
      </c>
      <c r="T14" s="6" t="n">
        <v>0.0</v>
      </c>
      <c r="U14" s="6">
        <f si="0" t="shared"/>
        <v>109244</v>
      </c>
    </row>
    <row r="15" spans="1:21" x14ac:dyDescent="0.25">
      <c r="A15" s="4" t="s">
        <v>5</v>
      </c>
      <c r="B15" s="10" t="n">
        <v>38638.5485307275</v>
      </c>
      <c r="C15" s="10" t="n">
        <v>13595.2682804456</v>
      </c>
      <c r="D15" s="10" t="n">
        <v>12701.8796056518</v>
      </c>
      <c r="E15" s="10" t="n">
        <v>11538.0287264934</v>
      </c>
      <c r="F15" s="10" t="n">
        <v>99515.5727396599</v>
      </c>
      <c r="G15" s="10" t="n">
        <v>7405.1303635836</v>
      </c>
      <c r="H15" s="10" t="n">
        <v>90473.6092814888</v>
      </c>
      <c r="I15" s="10" t="n">
        <v>0.0</v>
      </c>
      <c r="J15" s="6">
        <f si="1" t="shared"/>
        <v>273868.0375280506</v>
      </c>
      <c r="K15" s="6"/>
      <c r="L15" s="4" t="s">
        <v>5</v>
      </c>
      <c r="M15" s="8" t="n">
        <v>70116.0</v>
      </c>
      <c r="N15" s="8" t="n">
        <v>55297.0</v>
      </c>
      <c r="O15" s="8" t="n">
        <v>29470.0</v>
      </c>
      <c r="P15" s="8" t="n">
        <v>0.0</v>
      </c>
      <c r="Q15" s="8" t="n">
        <v>74869.0</v>
      </c>
      <c r="R15" s="8" t="n">
        <v>12433.0</v>
      </c>
      <c r="S15" s="8" t="n">
        <v>264978.0</v>
      </c>
      <c r="T15" s="8" t="n">
        <v>0.0</v>
      </c>
      <c r="U15" s="6">
        <f si="0" t="shared"/>
        <v>482218</v>
      </c>
    </row>
    <row ht="15.75" r="16" spans="1:21" thickBot="1" x14ac:dyDescent="0.3">
      <c r="A16" s="12" t="s">
        <v>7</v>
      </c>
      <c r="B16" s="16">
        <f ref="B16:J16" si="2" t="shared">SUM(B5:B15)</f>
        <v>2560430.2215154027</v>
      </c>
      <c r="C16" s="16">
        <f si="2" t="shared"/>
        <v>728671.61489441385</v>
      </c>
      <c r="D16" s="16">
        <f si="2" t="shared"/>
        <v>447929.64684273471</v>
      </c>
      <c r="E16" s="16">
        <f si="2" t="shared"/>
        <v>181873.15466978625</v>
      </c>
      <c r="F16" s="16">
        <f si="2" t="shared"/>
        <v>496370.11568100529</v>
      </c>
      <c r="G16" s="16">
        <f si="2" t="shared"/>
        <v>92823.867113810789</v>
      </c>
      <c r="H16" s="16">
        <f si="2" t="shared"/>
        <v>90473.609281488796</v>
      </c>
      <c r="I16" s="16">
        <f si="2" t="shared"/>
        <v>1886.7796222679999</v>
      </c>
      <c r="J16" s="16">
        <f si="2" t="shared"/>
        <v>4600459.0096209105</v>
      </c>
      <c r="L16" s="9" t="s">
        <v>7</v>
      </c>
      <c r="M16" s="16">
        <f ref="M16:U16" si="3" t="shared">SUM(M5:M15)</f>
        <v>2944156</v>
      </c>
      <c r="N16" s="16">
        <f si="3" t="shared"/>
        <v>1022283</v>
      </c>
      <c r="O16" s="16">
        <f si="3" t="shared"/>
        <v>551671</v>
      </c>
      <c r="P16" s="16">
        <f si="3" t="shared"/>
        <v>129833</v>
      </c>
      <c r="Q16" s="16">
        <f si="3" t="shared"/>
        <v>330362</v>
      </c>
      <c r="R16" s="16">
        <f si="3" t="shared"/>
        <v>107869</v>
      </c>
      <c r="S16" s="16">
        <f si="3" t="shared"/>
        <v>252582</v>
      </c>
      <c r="T16" s="16">
        <f si="3" t="shared"/>
        <v>0</v>
      </c>
      <c r="U16" s="16">
        <f si="3" t="shared"/>
        <v>5338756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0.98476177907808993</v>
      </c>
      <c r="C22" s="13">
        <f si="4" t="shared"/>
        <v>0.43321596061509215</v>
      </c>
      <c r="D22" s="13">
        <f si="4" t="shared"/>
        <v>0.38352455898887283</v>
      </c>
      <c r="E22" s="13">
        <f si="4" t="shared"/>
        <v>0.45175705540802535</v>
      </c>
      <c r="F22" s="13">
        <f si="4" t="shared"/>
        <v>2.4125320205882518E-2</v>
      </c>
      <c r="G22" s="13">
        <f si="4" t="shared"/>
        <v>0</v>
      </c>
      <c r="H22" s="13">
        <f si="4" t="shared"/>
        <v>0</v>
      </c>
      <c r="I22" s="13">
        <f si="4" t="shared"/>
        <v>0.5</v>
      </c>
      <c r="J22" s="13">
        <f si="4" t="shared"/>
        <v>0.67470636433023778</v>
      </c>
      <c r="K22" s="6"/>
      <c r="L22" t="s">
        <v>1</v>
      </c>
      <c r="M22" s="13">
        <f ref="M22:P22" si="5" t="shared">M5/M$16</f>
        <v>0.97624446530686548</v>
      </c>
      <c r="N22" s="13">
        <f si="5" t="shared"/>
        <v>0.42679082015449732</v>
      </c>
      <c r="O22" s="13">
        <f si="5" t="shared"/>
        <v>0.28009991462302714</v>
      </c>
      <c r="P22" s="13">
        <f si="5" t="shared"/>
        <v>0.52669968343949536</v>
      </c>
      <c r="Q22" s="13">
        <f ref="Q22:U33" si="6" t="shared">Q5/Q$16</f>
        <v>5.0387151064589755E-2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0.66496183755166938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0.5419507142126162</v>
      </c>
      <c r="D23" s="13">
        <f si="7" t="shared"/>
        <v>0.17029388103785062</v>
      </c>
      <c r="E23" s="13">
        <f si="7" t="shared"/>
        <v>1.9865931896206473E-2</v>
      </c>
      <c r="F23" s="13">
        <f si="7" t="shared"/>
        <v>8.7196432318908779E-2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0.11261453736014659</v>
      </c>
      <c r="K23" s="6"/>
      <c r="L23" t="s">
        <v>12</v>
      </c>
      <c r="M23" s="13">
        <f ref="M23:P23" si="8" t="shared">M6/M$16</f>
        <v>0</v>
      </c>
      <c r="N23" s="13">
        <f si="8" t="shared"/>
        <v>0.51814908396207315</v>
      </c>
      <c r="O23" s="13">
        <f si="8" t="shared"/>
        <v>0.15194925961306649</v>
      </c>
      <c r="P23" s="13">
        <f si="8" t="shared"/>
        <v>2.8890959925442685E-2</v>
      </c>
      <c r="Q23" s="13">
        <f si="6" t="shared"/>
        <v>7.7169892421041164E-2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0.12039621215129517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0.41707072896379227</v>
      </c>
      <c r="E24" s="13">
        <f si="9" t="shared"/>
        <v>1.7320313276670246E-2</v>
      </c>
      <c r="F24" s="13">
        <f si="9" t="shared"/>
        <v>1.9666371660083518E-2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4.3415285976233488E-2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0.51327874765938397</v>
      </c>
      <c r="P24" s="13">
        <f si="10" t="shared"/>
        <v>1.3733026272211225E-2</v>
      </c>
      <c r="Q24" s="13">
        <f si="6" t="shared"/>
        <v>3.4437980155102584E-2</v>
      </c>
      <c r="R24" s="13">
        <f si="6" t="shared"/>
        <v>9.2705040373045081E-6</v>
      </c>
      <c r="S24" s="13">
        <f si="6" t="shared"/>
        <v>3.5631992778582797E-5</v>
      </c>
      <c r="T24" s="13" t="e">
        <f si="6" t="shared"/>
        <v>#DIV/0!</v>
      </c>
      <c r="U24" s="13">
        <f si="6" t="shared"/>
        <v>5.5505627153591586E-2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0.44627807826702548</v>
      </c>
      <c r="F25" s="13">
        <f si="11" t="shared"/>
        <v>0.65398775702475598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8.8205542037026172E-2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0.43067633036285075</v>
      </c>
      <c r="Q25" s="13">
        <f si="6" t="shared"/>
        <v>0.61209218977969626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4.8349840299875102E-2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4.1373171934371298E-3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4.4639906792357778E-4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0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0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2.0506427927324098E-4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1.47573964985996E-4</v>
      </c>
      <c r="C31" s="13">
        <f si="23" t="shared"/>
        <v>6.1757186420639846E-3</v>
      </c>
      <c r="D31" s="13">
        <f si="23" t="shared"/>
        <v>7.5396806196124141E-4</v>
      </c>
      <c r="E31" s="13">
        <f si="23" t="shared"/>
        <v>1.3386442767490273E-3</v>
      </c>
      <c r="F31" s="13">
        <f si="23" t="shared"/>
        <v>1.0400169553970488E-2</v>
      </c>
      <c r="G31" s="13">
        <f si="23" t="shared"/>
        <v>0.92022385412467023</v>
      </c>
      <c r="H31" s="13">
        <f si="23" t="shared"/>
        <v>0</v>
      </c>
      <c r="I31" s="13">
        <f si="23" t="shared"/>
        <v>0</v>
      </c>
      <c r="J31" s="13">
        <f si="23" t="shared"/>
        <v>2.0876217293798006E-2</v>
      </c>
      <c r="K31" s="6"/>
      <c r="L31" t="s">
        <v>4</v>
      </c>
      <c r="M31" s="13">
        <f ref="M31:P31" si="24" t="shared">M14/M$16</f>
        <v>9.7719006737414724E-4</v>
      </c>
      <c r="N31" s="13">
        <f si="24" t="shared"/>
        <v>3.7553201999837617E-3</v>
      </c>
      <c r="O31" s="13">
        <f si="24" t="shared"/>
        <v>3.9135644251736997E-3</v>
      </c>
      <c r="P31" s="13">
        <f si="24" t="shared"/>
        <v>0</v>
      </c>
      <c r="Q31" s="13">
        <f si="6" t="shared"/>
        <v>1.158123512994836E-2</v>
      </c>
      <c r="R31" s="13">
        <f si="6" t="shared"/>
        <v>0.89500227127348919</v>
      </c>
      <c r="S31" s="13">
        <f si="6" t="shared"/>
        <v>0</v>
      </c>
      <c r="T31" s="13" t="e">
        <f si="6" t="shared"/>
        <v>#DIV/0!</v>
      </c>
      <c r="U31" s="13">
        <f si="6" t="shared"/>
        <v>2.0462444809240206E-2</v>
      </c>
    </row>
    <row r="32" spans="1:21" x14ac:dyDescent="0.25">
      <c r="A32" s="4" t="s">
        <v>5</v>
      </c>
      <c r="B32" s="14">
        <f ref="B32:J32" si="25" t="shared">B15/B$16</f>
        <v>1.509064695692394E-2</v>
      </c>
      <c r="C32" s="14">
        <f si="25" t="shared"/>
        <v>1.8657606530227726E-2</v>
      </c>
      <c r="D32" s="14">
        <f si="25" t="shared"/>
        <v>2.8356862947522987E-2</v>
      </c>
      <c r="E32" s="14">
        <f si="25" t="shared"/>
        <v>6.3439976875323642E-2</v>
      </c>
      <c r="F32" s="14">
        <f si="25" t="shared"/>
        <v>0.20048663204296141</v>
      </c>
      <c r="G32" s="14">
        <f si="25" t="shared"/>
        <v>7.9776145875329829E-2</v>
      </c>
      <c r="H32" s="14">
        <f si="25" t="shared"/>
        <v>1</v>
      </c>
      <c r="I32" s="14">
        <f si="25" t="shared"/>
        <v>0</v>
      </c>
      <c r="J32" s="14">
        <f si="25" t="shared"/>
        <v>5.9530589655360934E-2</v>
      </c>
      <c r="K32" s="6"/>
      <c r="L32" s="4" t="s">
        <v>5</v>
      </c>
      <c r="M32" s="14">
        <f ref="M32:P32" si="26" t="shared">M15/M$16</f>
        <v>2.2778344625760321E-2</v>
      </c>
      <c r="N32" s="14">
        <f si="26" t="shared"/>
        <v>5.1304775683445776E-2</v>
      </c>
      <c r="O32" s="14">
        <f si="26" t="shared"/>
        <v>5.0758513679348742E-2</v>
      </c>
      <c r="P32" s="14">
        <f si="26" t="shared"/>
        <v>0</v>
      </c>
      <c r="Q32" s="14">
        <f si="6" t="shared"/>
        <v>0.21433155144962193</v>
      </c>
      <c r="R32" s="14">
        <f si="6" t="shared"/>
        <v>0.10498845822247356</v>
      </c>
      <c r="S32" s="14">
        <f si="6" t="shared"/>
        <v>0.99996436800722144</v>
      </c>
      <c r="T32" s="14" t="e">
        <f si="6" t="shared"/>
        <v>#DIV/0!</v>
      </c>
      <c r="U32" s="14">
        <f si="6" t="shared"/>
        <v>9.0324038034328591E-2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-8.517313771224444E-3</v>
      </c>
      <c r="N39" s="13">
        <f si="29" t="shared"/>
        <v>-6.4251404605948359E-3</v>
      </c>
      <c r="O39" s="13">
        <f si="29" t="shared"/>
        <v>-0.1034246443658457</v>
      </c>
      <c r="P39" s="13">
        <f si="29" t="shared"/>
        <v>7.4942628031470004E-2</v>
      </c>
      <c r="Q39" s="13">
        <f ref="Q39:Q50" si="30" t="shared">Q22-F22</f>
        <v>2.6261830858707237E-2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-9.7445267785684075E-3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-2.3801630250543049E-2</v>
      </c>
      <c r="O40" s="13">
        <f si="29" t="shared"/>
        <v>-1.834462142478413E-2</v>
      </c>
      <c r="P40" s="13">
        <f si="29" t="shared"/>
        <v>9.0250280292362116E-3</v>
      </c>
      <c r="Q40" s="13">
        <f si="30" t="shared"/>
        <v>-1.0026539897867615E-2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7.7816747911485795E-3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9.6208018695591702E-2</v>
      </c>
      <c r="P41" s="13">
        <f si="29" t="shared"/>
        <v>-3.5872870044590215E-3</v>
      </c>
      <c r="Q41" s="13">
        <f si="30" t="shared"/>
        <v>1.4771608495019066E-2</v>
      </c>
      <c r="R41" s="13">
        <f si="31" t="shared"/>
        <v>9.2705040373045081E-6</v>
      </c>
      <c r="S41" s="13">
        <f si="32" t="shared"/>
        <v>3.5631992778582797E-5</v>
      </c>
      <c r="T41" s="13" t="e">
        <f si="33" t="shared"/>
        <v>#DIV/0!</v>
      </c>
      <c r="U41" s="13">
        <f si="34" t="shared"/>
        <v>1.2090341177358098E-2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-1.5601747904174734E-2</v>
      </c>
      <c r="Q42" s="13">
        <f si="30" t="shared"/>
        <v>-4.1895567245059717E-2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-3.985570173715107E-2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-4.1373171934371298E-3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-4.4639906792357778E-4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0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0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0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-2.0506427927324098E-4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8.2961610238815127E-4</v>
      </c>
      <c r="N48" s="13">
        <f si="39" t="shared"/>
        <v>-2.4203984420802229E-3</v>
      </c>
      <c r="O48" s="13">
        <f si="39" t="shared"/>
        <v>3.1595963632124581E-3</v>
      </c>
      <c r="P48" s="13">
        <f si="39" t="shared"/>
        <v>-1.3386442767490273E-3</v>
      </c>
      <c r="Q48" s="13">
        <f si="30" t="shared"/>
        <v>1.1810655759778715E-3</v>
      </c>
      <c r="R48" s="13">
        <f si="31" t="shared"/>
        <v>-2.5221582851181035E-2</v>
      </c>
      <c r="S48" s="13">
        <f si="32" t="shared"/>
        <v>0</v>
      </c>
      <c r="T48" s="13" t="e">
        <f si="33" t="shared"/>
        <v>#DIV/0!</v>
      </c>
      <c r="U48" s="13">
        <f si="34" t="shared"/>
        <v>-4.1377248455779989E-4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7.6876976688363807E-3</v>
      </c>
      <c r="N49" s="17">
        <f si="39" t="shared"/>
        <v>3.2647169153218053E-2</v>
      </c>
      <c r="O49" s="17">
        <f si="39" t="shared"/>
        <v>2.2401650731825755E-2</v>
      </c>
      <c r="P49" s="17">
        <f si="39" t="shared"/>
        <v>-6.3439976875323642E-2</v>
      </c>
      <c r="Q49" s="17">
        <f si="30" t="shared"/>
        <v>1.3844919406660522E-2</v>
      </c>
      <c r="R49" s="17">
        <f si="31" t="shared"/>
        <v>2.5212312347143731E-2</v>
      </c>
      <c r="S49" s="17">
        <f si="32" t="shared"/>
        <v>-3.5631992778561994E-5</v>
      </c>
      <c r="T49" s="17" t="e">
        <f si="33" t="shared"/>
        <v>#DIV/0!</v>
      </c>
      <c r="U49" s="13">
        <f si="34" t="shared"/>
        <v>3.0793448378967657E-2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191216.3469383657</v>
      </c>
      <c r="C5" s="6" t="n">
        <v>25680.9980716375</v>
      </c>
      <c r="D5" s="6" t="n">
        <v>7303.2159044420005</v>
      </c>
      <c r="E5" s="6" t="n">
        <v>13884.148111251</v>
      </c>
      <c r="F5" s="6" t="n">
        <v>512.485125</v>
      </c>
      <c r="G5" s="6" t="n">
        <v>0.0</v>
      </c>
      <c r="H5" s="6" t="n">
        <v>0.0</v>
      </c>
      <c r="I5" s="6" t="n">
        <v>281.817625</v>
      </c>
      <c r="J5" s="6">
        <f>SUM(B5:I5)</f>
        <v>238879.01177569621</v>
      </c>
      <c r="K5" s="6"/>
      <c r="L5" t="s">
        <v>1</v>
      </c>
      <c r="M5" s="6" t="n">
        <v>174934.0</v>
      </c>
      <c r="N5" s="6" t="n">
        <v>13412.0</v>
      </c>
      <c r="O5" s="6" t="n">
        <v>10366.0</v>
      </c>
      <c r="P5" s="6" t="n">
        <v>0.0</v>
      </c>
      <c r="Q5" s="6" t="n">
        <v>2108.0</v>
      </c>
      <c r="R5" s="6" t="n">
        <v>0.0</v>
      </c>
      <c r="S5" s="6" t="n">
        <v>0.0</v>
      </c>
      <c r="T5" s="6" t="n">
        <v>1139.0</v>
      </c>
      <c r="U5" s="6">
        <f ref="U5:U15" si="0" t="shared">SUM(M5:T5)</f>
        <v>201967</v>
      </c>
    </row>
    <row r="6" spans="1:21" x14ac:dyDescent="0.25">
      <c r="A6" t="s">
        <v>12</v>
      </c>
      <c r="B6" s="6" t="n">
        <v>0.0</v>
      </c>
      <c r="C6" s="6" t="n">
        <v>245586.8328763987</v>
      </c>
      <c r="D6" s="6" t="n">
        <v>101925.186206801</v>
      </c>
      <c r="E6" s="6" t="n">
        <v>230.48097940399998</v>
      </c>
      <c r="F6" s="6" t="n">
        <v>9420.8072129187</v>
      </c>
      <c r="G6" s="6" t="n">
        <v>0.0</v>
      </c>
      <c r="H6" s="6" t="n">
        <v>0.0</v>
      </c>
      <c r="I6" s="6" t="n">
        <v>40783.694979024</v>
      </c>
      <c r="J6" s="6">
        <f ref="J6:J15" si="1" t="shared">SUM(B6:I6)</f>
        <v>397947.00225454639</v>
      </c>
      <c r="K6" s="6"/>
      <c r="L6" t="s">
        <v>12</v>
      </c>
      <c r="M6" s="6" t="n">
        <v>0.0</v>
      </c>
      <c r="N6" s="6" t="n">
        <v>282376.0</v>
      </c>
      <c r="O6" s="6" t="n">
        <v>92301.0</v>
      </c>
      <c r="P6" s="6" t="n">
        <v>0.0</v>
      </c>
      <c r="Q6" s="6" t="n">
        <v>7441.0</v>
      </c>
      <c r="R6" s="6" t="n">
        <v>0.0</v>
      </c>
      <c r="S6" s="6" t="n">
        <v>0.0</v>
      </c>
      <c r="T6" s="6" t="n">
        <v>49534.0</v>
      </c>
      <c r="U6" s="6">
        <f si="0" t="shared"/>
        <v>430395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422632.871873099</v>
      </c>
      <c r="E7" s="6" t="n">
        <v>9.9</v>
      </c>
      <c r="F7" s="6" t="n">
        <v>3552.719124046</v>
      </c>
      <c r="G7" s="6" t="n">
        <v>0.0</v>
      </c>
      <c r="H7" s="6" t="n">
        <v>0.0</v>
      </c>
      <c r="I7" s="6" t="n">
        <v>65452.671875</v>
      </c>
      <c r="J7" s="6">
        <f si="1" t="shared"/>
        <v>491648.16287214501</v>
      </c>
      <c r="K7" s="6"/>
      <c r="L7" t="s">
        <v>56</v>
      </c>
      <c r="M7" s="6" t="n">
        <v>0.0</v>
      </c>
      <c r="N7" s="6" t="n">
        <v>0.0</v>
      </c>
      <c r="O7" s="6" t="n">
        <v>406417.0</v>
      </c>
      <c r="P7" s="6" t="n">
        <v>0.0</v>
      </c>
      <c r="Q7" s="6" t="n">
        <v>3456.0</v>
      </c>
      <c r="R7" s="6" t="n">
        <v>0.0</v>
      </c>
      <c r="S7" s="6" t="n">
        <v>0.0</v>
      </c>
      <c r="T7" s="6" t="n">
        <v>49224.0</v>
      </c>
      <c r="U7" s="6">
        <f si="0" t="shared"/>
        <v>457888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11367.294639576</v>
      </c>
      <c r="F8" s="6" t="n">
        <v>77406.3334403086</v>
      </c>
      <c r="G8" s="6" t="n">
        <v>0.0</v>
      </c>
      <c r="H8" s="6" t="n">
        <v>0.0</v>
      </c>
      <c r="I8" s="6" t="n">
        <v>9930.118776788</v>
      </c>
      <c r="J8" s="6">
        <f si="1" t="shared"/>
        <v>98703.746856672602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46894.0</v>
      </c>
      <c r="R8" s="6" t="n">
        <v>0.0</v>
      </c>
      <c r="S8" s="6" t="n">
        <v>0.0</v>
      </c>
      <c r="T8" s="6" t="n">
        <v>177.0</v>
      </c>
      <c r="U8" s="6">
        <f si="0" t="shared"/>
        <v>46959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17.06375</v>
      </c>
      <c r="G9" s="6" t="n">
        <v>0.0</v>
      </c>
      <c r="H9" s="6" t="n">
        <v>0.0</v>
      </c>
      <c r="I9" s="6" t="n">
        <v>0.0</v>
      </c>
      <c r="J9" s="6">
        <f si="1" t="shared"/>
        <v>17.063749999999999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319263.434583824</v>
      </c>
      <c r="J13" s="6">
        <f si="1" t="shared"/>
        <v>319263.43458382401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318032.0</v>
      </c>
      <c r="U13" s="6">
        <f si="0" t="shared"/>
        <v>316687</v>
      </c>
    </row>
    <row r="14" spans="1:21" x14ac:dyDescent="0.25">
      <c r="A14" t="s">
        <v>4</v>
      </c>
      <c r="B14" s="6" t="n">
        <v>42.06125</v>
      </c>
      <c r="C14" s="6" t="n">
        <v>2965.13055716</v>
      </c>
      <c r="D14" s="6" t="n">
        <v>589.893</v>
      </c>
      <c r="E14" s="6" t="n">
        <v>0.0</v>
      </c>
      <c r="F14" s="6" t="n">
        <v>1048.761012843</v>
      </c>
      <c r="G14" s="6" t="n">
        <v>18845.311437734</v>
      </c>
      <c r="H14" s="6" t="n">
        <v>0.0</v>
      </c>
      <c r="I14" s="6" t="n">
        <v>1548.13125</v>
      </c>
      <c r="J14" s="6">
        <f si="1" t="shared"/>
        <v>25039.288507736997</v>
      </c>
      <c r="K14" s="6"/>
      <c r="L14" t="s">
        <v>4</v>
      </c>
      <c r="M14" s="6" t="n">
        <v>397.0</v>
      </c>
      <c r="N14" s="6" t="n">
        <v>2759.0</v>
      </c>
      <c r="O14" s="6" t="n">
        <v>3294.0</v>
      </c>
      <c r="P14" s="6" t="n">
        <v>0.0</v>
      </c>
      <c r="Q14" s="6" t="n">
        <v>1397.0</v>
      </c>
      <c r="R14" s="6" t="n">
        <v>19668.0</v>
      </c>
      <c r="S14" s="6" t="n">
        <v>0.0</v>
      </c>
      <c r="T14" s="6" t="n">
        <v>2617.0</v>
      </c>
      <c r="U14" s="6">
        <f si="0" t="shared"/>
        <v>30289</v>
      </c>
    </row>
    <row r="15" spans="1:21" x14ac:dyDescent="0.25">
      <c r="A15" s="4" t="s">
        <v>5</v>
      </c>
      <c r="B15" s="10" t="n">
        <v>916.8018410492</v>
      </c>
      <c r="C15" s="10" t="n">
        <v>12666.4976144805</v>
      </c>
      <c r="D15" s="10" t="n">
        <v>17554.075774834</v>
      </c>
      <c r="E15" s="10" t="n">
        <v>265.44625</v>
      </c>
      <c r="F15" s="10" t="n">
        <v>20941.4648447409</v>
      </c>
      <c r="G15" s="10" t="n">
        <v>1203.1604532640001</v>
      </c>
      <c r="H15" s="10" t="n">
        <v>132633.0903121661</v>
      </c>
      <c r="I15" s="10" t="n">
        <v>12129.539610361</v>
      </c>
      <c r="J15" s="6">
        <f si="1" t="shared"/>
        <v>198310.07670089573</v>
      </c>
      <c r="K15" s="6"/>
      <c r="L15" s="4" t="s">
        <v>5</v>
      </c>
      <c r="M15" s="8" t="n">
        <v>4463.0</v>
      </c>
      <c r="N15" s="8" t="n">
        <v>21264.0</v>
      </c>
      <c r="O15" s="8" t="n">
        <v>25995.0</v>
      </c>
      <c r="P15" s="8" t="n">
        <v>0.0</v>
      </c>
      <c r="Q15" s="8" t="n">
        <v>14361.0</v>
      </c>
      <c r="R15" s="8" t="n">
        <v>1573.0</v>
      </c>
      <c r="S15" s="8" t="n">
        <v>195613.0</v>
      </c>
      <c r="T15" s="8" t="n">
        <v>28714.0</v>
      </c>
      <c r="U15" s="6">
        <f si="0" t="shared"/>
        <v>291945</v>
      </c>
    </row>
    <row ht="15.75" r="16" spans="1:21" thickBot="1" x14ac:dyDescent="0.3">
      <c r="A16" s="12" t="s">
        <v>7</v>
      </c>
      <c r="B16" s="16">
        <f ref="B16:J16" si="2" t="shared">SUM(B5:B15)</f>
        <v>192175.21002941488</v>
      </c>
      <c r="C16" s="16">
        <f si="2" t="shared"/>
        <v>286899.45911967667</v>
      </c>
      <c r="D16" s="16">
        <f si="2" t="shared"/>
        <v>550005.24275917606</v>
      </c>
      <c r="E16" s="16">
        <f si="2" t="shared"/>
        <v>25757.269980230998</v>
      </c>
      <c r="F16" s="16">
        <f si="2" t="shared"/>
        <v>112899.63450985719</v>
      </c>
      <c r="G16" s="16">
        <f si="2" t="shared"/>
        <v>20048.471890998</v>
      </c>
      <c r="H16" s="16">
        <f si="2" t="shared"/>
        <v>132633.09031216611</v>
      </c>
      <c r="I16" s="16">
        <f si="2" t="shared"/>
        <v>449389.408699997</v>
      </c>
      <c r="J16" s="16">
        <f si="2" t="shared"/>
        <v>1769807.7873015171</v>
      </c>
      <c r="L16" s="9" t="s">
        <v>7</v>
      </c>
      <c r="M16" s="16">
        <f ref="M16:U16" si="3" t="shared">SUM(M5:M15)</f>
        <v>179593</v>
      </c>
      <c r="N16" s="16">
        <f si="3" t="shared"/>
        <v>319439</v>
      </c>
      <c r="O16" s="16">
        <f si="3" t="shared"/>
        <v>536960</v>
      </c>
      <c r="P16" s="16">
        <f si="3" t="shared"/>
        <v>0</v>
      </c>
      <c r="Q16" s="16">
        <f si="3" t="shared"/>
        <v>75304</v>
      </c>
      <c r="R16" s="16">
        <f si="3" t="shared"/>
        <v>21375</v>
      </c>
      <c r="S16" s="16">
        <f si="3" t="shared"/>
        <v>195676</v>
      </c>
      <c r="T16" s="16">
        <f si="3" t="shared"/>
        <v>447783</v>
      </c>
      <c r="U16" s="16">
        <f si="3" t="shared"/>
        <v>1776130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0.99501047460334546</v>
      </c>
      <c r="C22" s="13">
        <f si="4" t="shared"/>
        <v>8.9512187127982631E-2</v>
      </c>
      <c r="D22" s="13">
        <f si="4" t="shared"/>
        <v>1.3278447797705392E-2</v>
      </c>
      <c r="E22" s="13">
        <f si="4" t="shared"/>
        <v>0.53903803166668063</v>
      </c>
      <c r="F22" s="13">
        <f si="4" t="shared"/>
        <v>4.5392983531337763E-3</v>
      </c>
      <c r="G22" s="13">
        <f si="4" t="shared"/>
        <v>0</v>
      </c>
      <c r="H22" s="13">
        <f si="4" t="shared"/>
        <v>0</v>
      </c>
      <c r="I22" s="13">
        <f si="4" t="shared"/>
        <v>6.2711229847460775E-4</v>
      </c>
      <c r="J22" s="13">
        <f si="4" t="shared"/>
        <v>0.13497455118554016</v>
      </c>
      <c r="K22" s="6"/>
      <c r="L22" t="s">
        <v>1</v>
      </c>
      <c r="M22" s="13">
        <f ref="M22:P22" si="5" t="shared">M5/M$16</f>
        <v>0.97299449310385144</v>
      </c>
      <c r="N22" s="13">
        <f si="5" t="shared"/>
        <v>4.2155153253046751E-2</v>
      </c>
      <c r="O22" s="13">
        <f si="5" t="shared"/>
        <v>1.9502383790226459E-2</v>
      </c>
      <c r="P22" s="13" t="e">
        <f si="5" t="shared"/>
        <v>#DIV/0!</v>
      </c>
      <c r="Q22" s="13">
        <f ref="Q22:U33" si="6" t="shared">Q5/Q$16</f>
        <v>2.831190906193562E-2</v>
      </c>
      <c r="R22" s="13">
        <f si="6" t="shared"/>
        <v>0</v>
      </c>
      <c r="S22" s="13">
        <f si="6" t="shared"/>
        <v>0</v>
      </c>
      <c r="T22" s="13">
        <f si="6" t="shared"/>
        <v>2.57714115989218E-3</v>
      </c>
      <c r="U22" s="13">
        <f si="6" t="shared"/>
        <v>0.11371183415628361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0.85600312259199862</v>
      </c>
      <c r="D23" s="13">
        <f si="7" t="shared"/>
        <v>0.18531675388307109</v>
      </c>
      <c r="E23" s="13">
        <f si="7" t="shared"/>
        <v>8.9481913099057776E-3</v>
      </c>
      <c r="F23" s="13">
        <f si="7" t="shared"/>
        <v>8.3444089556341083E-2</v>
      </c>
      <c r="G23" s="13">
        <f si="7" t="shared"/>
        <v>0</v>
      </c>
      <c r="H23" s="13">
        <f si="7" t="shared"/>
        <v>0</v>
      </c>
      <c r="I23" s="13">
        <f si="7" t="shared"/>
        <v>9.0753574048404742E-2</v>
      </c>
      <c r="J23" s="13">
        <f si="7" t="shared"/>
        <v>0.22485323271252466</v>
      </c>
      <c r="K23" s="6"/>
      <c r="L23" t="s">
        <v>12</v>
      </c>
      <c r="M23" s="13">
        <f ref="M23:P23" si="8" t="shared">M6/M$16</f>
        <v>0</v>
      </c>
      <c r="N23" s="13">
        <f si="8" t="shared"/>
        <v>0.88233121190587249</v>
      </c>
      <c r="O23" s="13">
        <f si="8" t="shared"/>
        <v>0.17123063170441002</v>
      </c>
      <c r="P23" s="13" t="e">
        <f si="8" t="shared"/>
        <v>#DIV/0!</v>
      </c>
      <c r="Q23" s="13">
        <f si="6" t="shared"/>
        <v>9.6966960586423026E-2</v>
      </c>
      <c r="R23" s="13">
        <f si="6" t="shared"/>
        <v>0</v>
      </c>
      <c r="S23" s="13">
        <f si="6" t="shared"/>
        <v>0</v>
      </c>
      <c r="T23" s="13">
        <f si="6" t="shared"/>
        <v>0.11009350511296767</v>
      </c>
      <c r="U23" s="13">
        <f si="6" t="shared"/>
        <v>0.24232178950865083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0.76841607864118489</v>
      </c>
      <c r="E24" s="13">
        <f si="9" t="shared"/>
        <v>3.843575040211313E-4</v>
      </c>
      <c r="F24" s="13">
        <f si="9" t="shared"/>
        <v>3.1467941765000264E-2</v>
      </c>
      <c r="G24" s="13">
        <f si="9" t="shared"/>
        <v>0</v>
      </c>
      <c r="H24" s="13">
        <f si="9" t="shared"/>
        <v>0</v>
      </c>
      <c r="I24" s="13">
        <f si="9" t="shared"/>
        <v>0.1456480072913664</v>
      </c>
      <c r="J24" s="13">
        <f si="9" t="shared"/>
        <v>0.27779749100425011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0.75480110250297971</v>
      </c>
      <c r="P24" s="13" t="e">
        <f si="10" t="shared"/>
        <v>#DIV/0!</v>
      </c>
      <c r="Q24" s="13">
        <f si="6" t="shared"/>
        <v>4.6292361627536388E-2</v>
      </c>
      <c r="R24" s="13">
        <f si="6" t="shared"/>
        <v>0</v>
      </c>
      <c r="S24" s="13">
        <f si="6" t="shared"/>
        <v>0</v>
      </c>
      <c r="T24" s="13">
        <f si="6" t="shared"/>
        <v>0.10966025954536014</v>
      </c>
      <c r="U24" s="13">
        <f si="6" t="shared"/>
        <v>0.25780094925484059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0.44132373688285009</v>
      </c>
      <c r="F25" s="13">
        <f si="11" t="shared"/>
        <v>0.68562076198351474</v>
      </c>
      <c r="G25" s="13">
        <f si="11" t="shared"/>
        <v>0</v>
      </c>
      <c r="H25" s="13">
        <f si="11" t="shared"/>
        <v>0</v>
      </c>
      <c r="I25" s="13">
        <f si="11" t="shared"/>
        <v>2.2096913243937043E-2</v>
      </c>
      <c r="J25" s="13">
        <f si="11" t="shared"/>
        <v>5.5770885157630241E-2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0.62122861999362589</v>
      </c>
      <c r="R25" s="13">
        <f si="6" t="shared"/>
        <v>0</v>
      </c>
      <c r="S25" s="13">
        <f si="6" t="shared"/>
        <v>0</v>
      </c>
      <c r="T25" s="13">
        <f si="6" t="shared"/>
        <v>3.9751397440277993E-4</v>
      </c>
      <c r="U25" s="13">
        <f si="6" t="shared"/>
        <v>2.6438943095381532E-2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1.5114087901241322E-4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9.6415837484914952E-6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>
        <f si="6" t="shared"/>
        <v>0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>
        <f si="6" t="shared"/>
        <v>0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>
        <f si="6" t="shared"/>
        <v>0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0.7104382711363757</v>
      </c>
      <c r="J30" s="13">
        <f si="21" t="shared"/>
        <v>0.18039441168388984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0.70723319107692784</v>
      </c>
      <c r="U30" s="13">
        <f si="6" t="shared"/>
        <v>0.17830170088901151</v>
      </c>
    </row>
    <row r="31" spans="1:21" x14ac:dyDescent="0.25">
      <c r="A31" t="s">
        <v>4</v>
      </c>
      <c r="B31" s="13">
        <f ref="B31:J31" si="23" t="shared">B14/B$16</f>
        <v>2.1886928076499557E-4</v>
      </c>
      <c r="C31" s="13">
        <f si="23" t="shared"/>
        <v>1.0335085908695044E-2</v>
      </c>
      <c r="D31" s="13">
        <f si="23" t="shared"/>
        <v>1.0725225036778223E-3</v>
      </c>
      <c r="E31" s="13">
        <f si="23" t="shared"/>
        <v>0</v>
      </c>
      <c r="F31" s="13">
        <f si="23" t="shared"/>
        <v>9.2893215943177683E-3</v>
      </c>
      <c r="G31" s="13">
        <f si="23" t="shared"/>
        <v>0.93998742349015463</v>
      </c>
      <c r="H31" s="13">
        <f si="23" t="shared"/>
        <v>0</v>
      </c>
      <c r="I31" s="13">
        <f si="23" t="shared"/>
        <v>3.4449660362011335E-3</v>
      </c>
      <c r="J31" s="13">
        <f si="23" t="shared"/>
        <v>1.4148027083729363E-2</v>
      </c>
      <c r="K31" s="6"/>
      <c r="L31" t="s">
        <v>4</v>
      </c>
      <c r="M31" s="13">
        <f ref="M31:P31" si="24" t="shared">M14/M$16</f>
        <v>2.2383945922168458E-3</v>
      </c>
      <c r="N31" s="13">
        <f si="24" t="shared"/>
        <v>8.7184094615873446E-3</v>
      </c>
      <c r="O31" s="13">
        <f si="24" t="shared"/>
        <v>6.1066001191895109E-3</v>
      </c>
      <c r="P31" s="13" t="e">
        <f si="24" t="shared"/>
        <v>#DIV/0!</v>
      </c>
      <c r="Q31" s="13">
        <f si="6" t="shared"/>
        <v>1.8299160735153513E-2</v>
      </c>
      <c r="R31" s="13">
        <f si="6" t="shared"/>
        <v>0.92575438596491233</v>
      </c>
      <c r="S31" s="13">
        <f si="6" t="shared"/>
        <v>0</v>
      </c>
      <c r="T31" s="13">
        <f si="6" t="shared"/>
        <v>5.9336776965628439E-3</v>
      </c>
      <c r="U31" s="13">
        <f si="6" t="shared"/>
        <v>1.7053368841244729E-2</v>
      </c>
    </row>
    <row r="32" spans="1:21" x14ac:dyDescent="0.25">
      <c r="A32" s="4" t="s">
        <v>5</v>
      </c>
      <c r="B32" s="14">
        <f ref="B32:J32" si="25" t="shared">B15/B$16</f>
        <v>4.7706561158896181E-3</v>
      </c>
      <c r="C32" s="14">
        <f si="25" t="shared"/>
        <v>4.4149604371323765E-2</v>
      </c>
      <c r="D32" s="14">
        <f si="25" t="shared"/>
        <v>3.1916197174360728E-2</v>
      </c>
      <c r="E32" s="14">
        <f si="25" t="shared"/>
        <v>1.0305682636542347E-2</v>
      </c>
      <c r="F32" s="14">
        <f si="25" t="shared"/>
        <v>0.18548744586868007</v>
      </c>
      <c r="G32" s="14">
        <f si="25" t="shared"/>
        <v>6.0012576509845289E-2</v>
      </c>
      <c r="H32" s="14">
        <f si="25" t="shared"/>
        <v>1</v>
      </c>
      <c r="I32" s="14">
        <f si="25" t="shared"/>
        <v>2.6991155945240417E-2</v>
      </c>
      <c r="J32" s="14">
        <f si="25" t="shared"/>
        <v>0.11205175958868703</v>
      </c>
      <c r="K32" s="6"/>
      <c r="L32" s="4" t="s">
        <v>5</v>
      </c>
      <c r="M32" s="14">
        <f ref="M32:P32" si="26" t="shared">M15/M$16</f>
        <v>2.4767112303931669E-2</v>
      </c>
      <c r="N32" s="14">
        <f si="26" t="shared"/>
        <v>6.6795225379493423E-2</v>
      </c>
      <c r="O32" s="14">
        <f si="26" t="shared"/>
        <v>4.8359281883194279E-2</v>
      </c>
      <c r="P32" s="14" t="e">
        <f si="26" t="shared"/>
        <v>#DIV/0!</v>
      </c>
      <c r="Q32" s="14">
        <f si="6" t="shared"/>
        <v>0.18890098799532562</v>
      </c>
      <c r="R32" s="14">
        <f si="6" t="shared"/>
        <v>7.4245614035087726E-2</v>
      </c>
      <c r="S32" s="14">
        <f si="6" t="shared"/>
        <v>1</v>
      </c>
      <c r="T32" s="14">
        <f si="6" t="shared"/>
        <v>6.4104711433886505E-2</v>
      </c>
      <c r="U32" s="14">
        <f si="6" t="shared"/>
        <v>0.16437141425458723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-2.201598149949402E-2</v>
      </c>
      <c r="N39" s="13">
        <f si="29" t="shared"/>
        <v>-4.735703387493588E-2</v>
      </c>
      <c r="O39" s="13">
        <f si="29" t="shared"/>
        <v>6.223935992521067E-3</v>
      </c>
      <c r="P39" s="13" t="e">
        <f si="29" t="shared"/>
        <v>#DIV/0!</v>
      </c>
      <c r="Q39" s="13">
        <f ref="Q39:Q50" si="30" t="shared">Q22-F22</f>
        <v>2.3772610708801843E-2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1.9500288614175722E-3</v>
      </c>
      <c r="U39" s="13">
        <f ref="U39:U50" si="34" t="shared">U22-J22</f>
        <v>-2.1262717029256556E-2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2.632808931387387E-2</v>
      </c>
      <c r="O40" s="13">
        <f si="29" t="shared"/>
        <v>-1.4086122178661065E-2</v>
      </c>
      <c r="P40" s="13" t="e">
        <f si="29" t="shared"/>
        <v>#DIV/0!</v>
      </c>
      <c r="Q40" s="13">
        <f si="30" t="shared"/>
        <v>1.3522871030081943E-2</v>
      </c>
      <c r="R40" s="13">
        <f si="31" t="shared"/>
        <v>0</v>
      </c>
      <c r="S40" s="13">
        <f si="32" t="shared"/>
        <v>0</v>
      </c>
      <c r="T40" s="13">
        <f si="33" t="shared"/>
        <v>1.9339931064562929E-2</v>
      </c>
      <c r="U40" s="13">
        <f si="34" t="shared"/>
        <v>1.7468556796126161E-2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-1.361497613820517E-2</v>
      </c>
      <c r="P41" s="13" t="e">
        <f si="29" t="shared"/>
        <v>#DIV/0!</v>
      </c>
      <c r="Q41" s="13">
        <f si="30" t="shared"/>
        <v>1.4824419862536124E-2</v>
      </c>
      <c r="R41" s="13">
        <f si="31" t="shared"/>
        <v>0</v>
      </c>
      <c r="S41" s="13">
        <f si="32" t="shared"/>
        <v>0</v>
      </c>
      <c r="T41" s="13">
        <f si="33" t="shared"/>
        <v>-3.5987747746006257E-2</v>
      </c>
      <c r="U41" s="13">
        <f si="34" t="shared"/>
        <v>-1.9996541749409513E-2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-6.4392141989888851E-2</v>
      </c>
      <c r="R42" s="13">
        <f si="31" t="shared"/>
        <v>0</v>
      </c>
      <c r="S42" s="13">
        <f si="32" t="shared"/>
        <v>0</v>
      </c>
      <c r="T42" s="13">
        <f si="33" t="shared"/>
        <v>-2.1699399269534264E-2</v>
      </c>
      <c r="U42" s="13">
        <f si="34" t="shared"/>
        <v>-2.9331942062248709E-2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-1.5114087901241322E-4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-9.6415837484914952E-6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>
        <f si="33" t="shared"/>
        <v>0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>
        <f si="33" t="shared"/>
        <v>0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>
        <f si="33" t="shared"/>
        <v>0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-3.2050800594478623E-3</v>
      </c>
      <c r="U47" s="13">
        <f si="34" t="shared"/>
        <v>-2.0927107948783275E-3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2.0195253114518503E-3</v>
      </c>
      <c r="N48" s="13">
        <f si="39" t="shared"/>
        <v>-1.616676447107699E-3</v>
      </c>
      <c r="O48" s="13">
        <f si="39" t="shared"/>
        <v>5.0340776155116881E-3</v>
      </c>
      <c r="P48" s="13" t="e">
        <f si="39" t="shared"/>
        <v>#DIV/0!</v>
      </c>
      <c r="Q48" s="13">
        <f si="30" t="shared"/>
        <v>9.0098391408357445E-3</v>
      </c>
      <c r="R48" s="13">
        <f si="31" t="shared"/>
        <v>-1.4233037525242298E-2</v>
      </c>
      <c r="S48" s="13">
        <f si="32" t="shared"/>
        <v>0</v>
      </c>
      <c r="T48" s="13">
        <f si="33" t="shared"/>
        <v>2.4887116603617104E-3</v>
      </c>
      <c r="U48" s="13">
        <f si="34" t="shared"/>
        <v>2.9053417575153669E-3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1.999645618804205E-2</v>
      </c>
      <c r="N49" s="17">
        <f si="39" t="shared"/>
        <v>2.2645621008169657E-2</v>
      </c>
      <c r="O49" s="17">
        <f si="39" t="shared"/>
        <v>1.6443084708833551E-2</v>
      </c>
      <c r="P49" s="17" t="e">
        <f si="39" t="shared"/>
        <v>#DIV/0!</v>
      </c>
      <c r="Q49" s="17">
        <f si="30" t="shared"/>
        <v>3.4135421266455468E-3</v>
      </c>
      <c r="R49" s="17">
        <f si="31" t="shared"/>
        <v>1.4233037525242437E-2</v>
      </c>
      <c r="S49" s="17">
        <f si="32" t="shared"/>
        <v>0</v>
      </c>
      <c r="T49" s="17">
        <f si="33" t="shared"/>
        <v>3.7113555488646088E-2</v>
      </c>
      <c r="U49" s="13">
        <f si="34" t="shared"/>
        <v>5.2319654665900203E-2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F50"/>
  <sheetViews>
    <sheetView workbookViewId="0" zoomScaleNormal="10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47017.0901456854</v>
      </c>
      <c r="C5" s="6" t="n">
        <v>338383.1360179007</v>
      </c>
      <c r="D5" s="6" t="n">
        <v>115578.3606916885</v>
      </c>
      <c r="E5" s="6" t="n">
        <v>373.067856556</v>
      </c>
      <c r="F5" s="6" t="n">
        <v>298.0264508996</v>
      </c>
      <c r="G5" s="6" t="n">
        <v>0.0</v>
      </c>
      <c r="H5" s="6" t="n">
        <v>0.0</v>
      </c>
      <c r="I5" s="6" t="n">
        <v>0.0</v>
      </c>
      <c r="J5" s="6">
        <f>SUM(B5:I5)</f>
        <v>501649.68116273021</v>
      </c>
      <c r="K5" s="6"/>
      <c r="L5" t="s">
        <v>1</v>
      </c>
      <c r="M5" s="6" t="n">
        <v>17534.0</v>
      </c>
      <c r="N5" s="6" t="n">
        <v>213426.0</v>
      </c>
      <c r="O5" s="6" t="n">
        <v>128084.0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357221</v>
      </c>
    </row>
    <row r="6" spans="1:21" x14ac:dyDescent="0.25">
      <c r="A6" t="s">
        <v>12</v>
      </c>
      <c r="B6" s="6" t="n">
        <v>0.0</v>
      </c>
      <c r="C6" s="6" t="n">
        <v>366226.2272171662</v>
      </c>
      <c r="D6" s="6" t="n">
        <v>219107.4756911135</v>
      </c>
      <c r="E6" s="6" t="n">
        <v>0.0</v>
      </c>
      <c r="F6" s="6" t="n">
        <v>463.3983882427</v>
      </c>
      <c r="G6" s="6" t="n">
        <v>0.0</v>
      </c>
      <c r="H6" s="6" t="n">
        <v>0.0</v>
      </c>
      <c r="I6" s="6" t="n">
        <v>659.6315</v>
      </c>
      <c r="J6" s="6">
        <f ref="J6:J15" si="1" t="shared">SUM(B6:I6)</f>
        <v>586456.73279652244</v>
      </c>
      <c r="K6" s="6"/>
      <c r="L6" t="s">
        <v>12</v>
      </c>
      <c r="M6" s="6" t="n">
        <v>0.0</v>
      </c>
      <c r="N6" s="6" t="n">
        <v>405451.0</v>
      </c>
      <c r="O6" s="6" t="n">
        <v>110106.0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513136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448578.63539263123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448578.63539263123</v>
      </c>
      <c r="K7" s="6"/>
      <c r="L7" t="s">
        <v>56</v>
      </c>
      <c r="M7" s="6" t="n">
        <v>0.0</v>
      </c>
      <c r="N7" s="6" t="n">
        <v>0.0</v>
      </c>
      <c r="O7" s="6" t="n">
        <v>434185.0</v>
      </c>
      <c r="P7" s="6" t="n">
        <v>0.0</v>
      </c>
      <c r="Q7" s="6" t="n">
        <v>0.0</v>
      </c>
      <c r="R7" s="6" t="n">
        <v>1.0</v>
      </c>
      <c r="S7" s="6" t="n">
        <v>1.0</v>
      </c>
      <c r="T7" s="6" t="n">
        <v>0.0</v>
      </c>
      <c r="U7" s="6">
        <f si="0" t="shared"/>
        <v>432258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373.067856556</v>
      </c>
      <c r="F8" s="6" t="n">
        <v>6845.5035407785</v>
      </c>
      <c r="G8" s="6" t="n">
        <v>0.0</v>
      </c>
      <c r="H8" s="6" t="n">
        <v>0.0</v>
      </c>
      <c r="I8" s="6" t="n">
        <v>0.0</v>
      </c>
      <c r="J8" s="6">
        <f si="1" t="shared"/>
        <v>7218.5713973345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1978.8944999999999</v>
      </c>
      <c r="J13" s="6">
        <f si="1" t="shared"/>
        <v>1978.8944999999999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5395.9617565758</v>
      </c>
      <c r="D14" s="6" t="n">
        <v>166.035106589</v>
      </c>
      <c r="E14" s="6" t="n">
        <v>0.0</v>
      </c>
      <c r="F14" s="6" t="n">
        <v>0.0</v>
      </c>
      <c r="G14" s="6" t="n">
        <v>3574.0916688353004</v>
      </c>
      <c r="H14" s="6" t="n">
        <v>0.0</v>
      </c>
      <c r="I14" s="6" t="n">
        <v>0.0</v>
      </c>
      <c r="J14" s="6">
        <f si="1" t="shared"/>
        <v>9136.0885320000998</v>
      </c>
      <c r="K14" s="6"/>
      <c r="L14" t="s">
        <v>4</v>
      </c>
      <c r="M14" s="6" t="n">
        <v>6.0</v>
      </c>
      <c r="N14" s="6" t="n">
        <v>4439.0</v>
      </c>
      <c r="O14" s="6" t="n">
        <v>5092.0</v>
      </c>
      <c r="P14" s="6" t="n">
        <v>0.0</v>
      </c>
      <c r="Q14" s="6" t="n">
        <v>0.0</v>
      </c>
      <c r="R14" s="6" t="n">
        <v>5954.0</v>
      </c>
      <c r="S14" s="6" t="n">
        <v>0.0</v>
      </c>
      <c r="T14" s="6" t="n">
        <v>0.0</v>
      </c>
      <c r="U14" s="6">
        <f si="0" t="shared"/>
        <v>15494</v>
      </c>
    </row>
    <row r="15" spans="1:21" x14ac:dyDescent="0.25">
      <c r="A15" s="4" t="s">
        <v>5</v>
      </c>
      <c r="B15" s="10" t="n">
        <v>4021.110885484</v>
      </c>
      <c r="C15" s="10" t="n">
        <v>8928.3319904001</v>
      </c>
      <c r="D15" s="10" t="n">
        <v>15685.1222060122</v>
      </c>
      <c r="E15" s="10" t="n">
        <v>373.067856556</v>
      </c>
      <c r="F15" s="10" t="n">
        <v>234.56112695000002</v>
      </c>
      <c r="G15" s="10" t="n">
        <v>369.703052246</v>
      </c>
      <c r="H15" s="10" t="n">
        <v>67412.928387123</v>
      </c>
      <c r="I15" s="10" t="n">
        <v>0.0</v>
      </c>
      <c r="J15" s="6">
        <f si="1" t="shared"/>
        <v>97024.825504771303</v>
      </c>
      <c r="K15" s="6"/>
      <c r="L15" s="4" t="s">
        <v>5</v>
      </c>
      <c r="M15" s="8" t="n">
        <v>40.0</v>
      </c>
      <c r="N15" s="8" t="n">
        <v>28911.0</v>
      </c>
      <c r="O15" s="8" t="n">
        <v>30000.0</v>
      </c>
      <c r="P15" s="8" t="n">
        <v>0.0</v>
      </c>
      <c r="Q15" s="8" t="n">
        <v>0.0</v>
      </c>
      <c r="R15" s="8" t="n">
        <v>152.0</v>
      </c>
      <c r="S15" s="8" t="n">
        <v>48684.0</v>
      </c>
      <c r="T15" s="8" t="n">
        <v>0.0</v>
      </c>
      <c r="U15" s="6">
        <f si="0" t="shared"/>
        <v>108067</v>
      </c>
    </row>
    <row ht="15.75" r="16" spans="1:21" thickBot="1" x14ac:dyDescent="0.3">
      <c r="A16" s="12" t="s">
        <v>7</v>
      </c>
      <c r="B16" s="16">
        <f ref="B16:J16" si="2" t="shared">SUM(B5:B15)</f>
        <v>51038.201031169396</v>
      </c>
      <c r="C16" s="16">
        <f si="2" t="shared"/>
        <v>718933.65698204283</v>
      </c>
      <c r="D16" s="16">
        <f si="2" t="shared"/>
        <v>799115.6290880345</v>
      </c>
      <c r="E16" s="16">
        <f si="2" t="shared"/>
        <v>1119.203569668</v>
      </c>
      <c r="F16" s="16">
        <f si="2" t="shared"/>
        <v>7841.4895068707992</v>
      </c>
      <c r="G16" s="16">
        <f si="2" t="shared"/>
        <v>3943.7947210813004</v>
      </c>
      <c r="H16" s="16">
        <f si="2" t="shared"/>
        <v>67412.928387123</v>
      </c>
      <c r="I16" s="16">
        <f si="2" t="shared"/>
        <v>2638.5259999999998</v>
      </c>
      <c r="J16" s="16">
        <f si="2" t="shared"/>
        <v>1652043.4292859896</v>
      </c>
      <c r="L16" s="9" t="s">
        <v>7</v>
      </c>
      <c r="M16" s="16">
        <f ref="M16:U16" si="3" t="shared">SUM(M5:M15)</f>
        <v>17457</v>
      </c>
      <c r="N16" s="16">
        <f si="3" t="shared"/>
        <v>649199</v>
      </c>
      <c r="O16" s="16">
        <f si="3" t="shared"/>
        <v>704532</v>
      </c>
      <c r="P16" s="16">
        <f si="3" t="shared"/>
        <v>0</v>
      </c>
      <c r="Q16" s="16">
        <f si="3" t="shared"/>
        <v>0</v>
      </c>
      <c r="R16" s="16">
        <f si="3" t="shared"/>
        <v>6022</v>
      </c>
      <c r="S16" s="16">
        <f si="3" t="shared"/>
        <v>48966</v>
      </c>
      <c r="T16" s="16">
        <f si="3" t="shared"/>
        <v>0</v>
      </c>
      <c r="U16" s="16">
        <f si="3" t="shared"/>
        <v>1426176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0.92121370259448843</v>
      </c>
      <c r="C22" s="13">
        <f si="4" t="shared"/>
        <v>0.47067366054104864</v>
      </c>
      <c r="D22" s="13">
        <f si="4" t="shared"/>
        <v>0.14463283720728709</v>
      </c>
      <c r="E22" s="13">
        <f si="4" t="shared"/>
        <v>0.33333333333333331</v>
      </c>
      <c r="F22" s="13">
        <f si="4" t="shared"/>
        <v>3.8006357164473141E-2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0.30365405186687033</v>
      </c>
      <c r="K22" s="6"/>
      <c r="L22" t="s">
        <v>1</v>
      </c>
      <c r="M22" s="13">
        <f ref="M22:P22" si="5" t="shared">M5/M$16</f>
        <v>0.99581829638540409</v>
      </c>
      <c r="N22" s="13">
        <f si="5" t="shared"/>
        <v>0.32717086748439228</v>
      </c>
      <c r="O22" s="13">
        <f si="5" t="shared"/>
        <v>0.18088319622103752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0.25047469597020283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0.50940197841692314</v>
      </c>
      <c r="D23" s="13">
        <f si="7" t="shared"/>
        <v>0.27418744886914925</v>
      </c>
      <c r="E23" s="13">
        <f si="7" t="shared"/>
        <v>0</v>
      </c>
      <c r="F23" s="13">
        <f si="7" t="shared"/>
        <v>5.9095709792975584E-2</v>
      </c>
      <c r="G23" s="13">
        <f si="7" t="shared"/>
        <v>0</v>
      </c>
      <c r="H23" s="13">
        <f si="7" t="shared"/>
        <v>0</v>
      </c>
      <c r="I23" s="13">
        <f si="7" t="shared"/>
        <v>0.25</v>
      </c>
      <c r="J23" s="13">
        <f si="7" t="shared"/>
        <v>0.35498869000676819</v>
      </c>
      <c r="K23" s="6"/>
      <c r="L23" t="s">
        <v>12</v>
      </c>
      <c r="M23" s="13">
        <f ref="M23:P23" si="8" t="shared">M6/M$16</f>
        <v>0</v>
      </c>
      <c r="N23" s="13">
        <f si="8" t="shared"/>
        <v>0.62131796259698491</v>
      </c>
      <c r="O23" s="13">
        <f si="8" t="shared"/>
        <v>0.15581549170229314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0.35979851014180581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0.56134383944480903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0.27152956601540806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0.61353778110859403</v>
      </c>
      <c r="P24" s="13" t="e">
        <f si="10" t="shared"/>
        <v>#DIV/0!</v>
      </c>
      <c r="Q24" s="13" t="e">
        <f si="6" t="shared"/>
        <v>#DIV/0!</v>
      </c>
      <c r="R24" s="13">
        <f si="6" t="shared"/>
        <v>1.6605778811026238E-4</v>
      </c>
      <c r="S24" s="13">
        <f si="6" t="shared"/>
        <v>0</v>
      </c>
      <c r="T24" s="13" t="e">
        <f si="6" t="shared"/>
        <v>#DIV/0!</v>
      </c>
      <c r="U24" s="13">
        <f si="6" t="shared"/>
        <v>0.30308881933225634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0.33333333333333331</v>
      </c>
      <c r="F25" s="13">
        <f si="11" t="shared"/>
        <v>0.87298510503398552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4.3694804079420328E-3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0.75</v>
      </c>
      <c r="J30" s="13">
        <f si="21" t="shared"/>
        <v>1.1978465365497532E-3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7.5055072247237654E-3</v>
      </c>
      <c r="D31" s="13">
        <f si="23" t="shared"/>
        <v>2.0777356936252435E-4</v>
      </c>
      <c r="E31" s="13">
        <f si="23" t="shared"/>
        <v>0</v>
      </c>
      <c r="F31" s="13">
        <f si="23" t="shared"/>
        <v>0</v>
      </c>
      <c r="G31" s="13">
        <f si="23" t="shared"/>
        <v>0.90625702441616041</v>
      </c>
      <c r="H31" s="13">
        <f si="23" t="shared"/>
        <v>0</v>
      </c>
      <c r="I31" s="13">
        <f si="23" t="shared"/>
        <v>0</v>
      </c>
      <c r="J31" s="13">
        <f si="23" t="shared"/>
        <v>5.5301745523413399E-3</v>
      </c>
      <c r="K31" s="6"/>
      <c r="L31" t="s">
        <v>4</v>
      </c>
      <c r="M31" s="13">
        <f ref="M31:P31" si="24" t="shared">M14/M$16</f>
        <v>6.3011972274732201E-4</v>
      </c>
      <c r="N31" s="13">
        <f si="24" t="shared"/>
        <v>6.8546008234763147E-3</v>
      </c>
      <c r="O31" s="13">
        <f si="24" t="shared"/>
        <v>7.3453015618878915E-3</v>
      </c>
      <c r="P31" s="13" t="e">
        <f si="24" t="shared"/>
        <v>#DIV/0!</v>
      </c>
      <c r="Q31" s="13" t="e">
        <f si="6" t="shared"/>
        <v>#DIV/0!</v>
      </c>
      <c r="R31" s="13">
        <f si="6" t="shared"/>
        <v>0.97276652274991693</v>
      </c>
      <c r="S31" s="13">
        <f si="6" t="shared"/>
        <v>0</v>
      </c>
      <c r="T31" s="13" t="e">
        <f si="6" t="shared"/>
        <v>#DIV/0!</v>
      </c>
      <c r="U31" s="13">
        <f si="6" t="shared"/>
        <v>1.0864016783342308E-2</v>
      </c>
    </row>
    <row r="32" spans="1:21" x14ac:dyDescent="0.25">
      <c r="A32" s="4" t="s">
        <v>5</v>
      </c>
      <c r="B32" s="14">
        <f ref="B32:J32" si="25" t="shared">B15/B$16</f>
        <v>7.8786297405511588E-2</v>
      </c>
      <c r="C32" s="14">
        <f si="25" t="shared"/>
        <v>1.2418853817304462E-2</v>
      </c>
      <c r="D32" s="14">
        <f si="25" t="shared"/>
        <v>1.9628100909391988E-2</v>
      </c>
      <c r="E32" s="14">
        <f si="25" t="shared"/>
        <v>0.33333333333333331</v>
      </c>
      <c r="F32" s="14">
        <f si="25" t="shared"/>
        <v>2.9912828008565845E-2</v>
      </c>
      <c r="G32" s="14">
        <f si="25" t="shared"/>
        <v>9.3742975583839649E-2</v>
      </c>
      <c r="H32" s="14">
        <f si="25" t="shared"/>
        <v>1</v>
      </c>
      <c r="I32" s="14">
        <f si="25" t="shared"/>
        <v>0</v>
      </c>
      <c r="J32" s="14">
        <f si="25" t="shared"/>
        <v>5.8730190614120395E-2</v>
      </c>
      <c r="K32" s="6"/>
      <c r="L32" s="4" t="s">
        <v>5</v>
      </c>
      <c r="M32" s="14">
        <f ref="M32:P32" si="26" t="shared">M15/M$16</f>
        <v>3.5515838918485421E-3</v>
      </c>
      <c r="N32" s="14">
        <f si="26" t="shared"/>
        <v>4.4656569095146481E-2</v>
      </c>
      <c r="O32" s="14">
        <f si="26" t="shared"/>
        <v>4.241822940618737E-2</v>
      </c>
      <c r="P32" s="14" t="e">
        <f si="26" t="shared"/>
        <v>#DIV/0!</v>
      </c>
      <c r="Q32" s="14" t="e">
        <f si="6" t="shared"/>
        <v>#DIV/0!</v>
      </c>
      <c r="R32" s="14">
        <f si="6" t="shared"/>
        <v>2.7067419461972768E-2</v>
      </c>
      <c r="S32" s="14">
        <f si="6" t="shared"/>
        <v>1</v>
      </c>
      <c r="T32" s="14" t="e">
        <f si="6" t="shared"/>
        <v>#DIV/0!</v>
      </c>
      <c r="U32" s="14">
        <f si="6" t="shared"/>
        <v>7.577395777239275E-2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7.4604593790915663E-2</v>
      </c>
      <c r="N39" s="13">
        <f si="29" t="shared"/>
        <v>-0.14350279305665636</v>
      </c>
      <c r="O39" s="13">
        <f si="29" t="shared"/>
        <v>3.6250359013750427E-2</v>
      </c>
      <c r="P39" s="13" t="e">
        <f si="29" t="shared"/>
        <v>#DIV/0!</v>
      </c>
      <c r="Q39" s="13" t="e">
        <f ref="Q39:Q50" si="30" t="shared">Q22-F22</f>
        <v>#DIV/0!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-5.3179355896667502E-2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0.11191598418006177</v>
      </c>
      <c r="O40" s="13">
        <f si="29" t="shared"/>
        <v>-0.11837195716685611</v>
      </c>
      <c r="P40" s="13" t="e">
        <f si="29" t="shared"/>
        <v>#DIV/0!</v>
      </c>
      <c r="Q40" s="13" t="e">
        <f si="30" t="shared"/>
        <v>#DIV/0!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4.8098201350376124E-3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5.2193941663784993E-2</v>
      </c>
      <c r="P41" s="13" t="e">
        <f si="29" t="shared"/>
        <v>#DIV/0!</v>
      </c>
      <c r="Q41" s="13" t="e">
        <f si="30" t="shared"/>
        <v>#DIV/0!</v>
      </c>
      <c r="R41" s="13">
        <f si="31" t="shared"/>
        <v>1.6605778811026238E-4</v>
      </c>
      <c r="S41" s="13">
        <f si="32" t="shared"/>
        <v>0</v>
      </c>
      <c r="T41" s="13" t="e">
        <f si="33" t="shared"/>
        <v>#DIV/0!</v>
      </c>
      <c r="U41" s="13">
        <f si="34" t="shared"/>
        <v>3.1559253316848279E-2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-4.3694804079420328E-3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-1.1978465365497532E-3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6.3011972274732201E-4</v>
      </c>
      <c r="N48" s="13">
        <f si="39" t="shared"/>
        <v>-6.5090640124745077E-4</v>
      </c>
      <c r="O48" s="13">
        <f si="39" t="shared"/>
        <v>7.1375279925253669E-3</v>
      </c>
      <c r="P48" s="13" t="e">
        <f si="39" t="shared"/>
        <v>#DIV/0!</v>
      </c>
      <c r="Q48" s="13" t="e">
        <f si="30" t="shared"/>
        <v>#DIV/0!</v>
      </c>
      <c r="R48" s="13">
        <f si="31" t="shared"/>
        <v>6.6509498333756523E-2</v>
      </c>
      <c r="S48" s="13">
        <f si="32" t="shared"/>
        <v>0</v>
      </c>
      <c r="T48" s="13" t="e">
        <f si="33" t="shared"/>
        <v>#DIV/0!</v>
      </c>
      <c r="U48" s="13">
        <f si="34" t="shared"/>
        <v>5.3338422310009685E-3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-7.5234713513663051E-2</v>
      </c>
      <c r="N49" s="17">
        <f si="39" t="shared"/>
        <v>3.223771527784202E-2</v>
      </c>
      <c r="O49" s="17">
        <f si="39" t="shared"/>
        <v>2.2790128496795382E-2</v>
      </c>
      <c r="P49" s="17" t="e">
        <f si="39" t="shared"/>
        <v>#DIV/0!</v>
      </c>
      <c r="Q49" s="17" t="e">
        <f si="30" t="shared"/>
        <v>#DIV/0!</v>
      </c>
      <c r="R49" s="17">
        <f si="31" t="shared"/>
        <v>-6.6675556121866875E-2</v>
      </c>
      <c r="S49" s="17">
        <f si="32" t="shared"/>
        <v>0</v>
      </c>
      <c r="T49" s="17" t="e">
        <f si="33" t="shared"/>
        <v>#DIV/0!</v>
      </c>
      <c r="U49" s="13">
        <f si="34" t="shared"/>
        <v>1.7043767158272355E-2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638200.747426629</v>
      </c>
      <c r="C5" s="6" t="n">
        <v>28295.3583118908</v>
      </c>
      <c r="D5" s="6" t="n">
        <v>14622.1971247273</v>
      </c>
      <c r="E5" s="6" t="n">
        <v>3469.925244096</v>
      </c>
      <c r="F5" s="6" t="n">
        <v>593.918118993</v>
      </c>
      <c r="G5" s="6" t="n">
        <v>0.0</v>
      </c>
      <c r="H5" s="6" t="n">
        <v>0.0</v>
      </c>
      <c r="I5" s="6" t="n">
        <v>0.0</v>
      </c>
      <c r="J5" s="6">
        <f>SUM(B5:I5)</f>
        <v>685182.14622633602</v>
      </c>
      <c r="K5" s="6"/>
      <c r="L5" t="s">
        <v>1</v>
      </c>
      <c r="M5" s="6" t="n">
        <v>590985.0</v>
      </c>
      <c r="N5" s="6" t="n">
        <v>29862.0</v>
      </c>
      <c r="O5" s="6" t="n">
        <v>8650.0</v>
      </c>
      <c r="P5" s="6" t="n">
        <v>0.0</v>
      </c>
      <c r="Q5" s="6" t="n">
        <v>371.0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628436</v>
      </c>
    </row>
    <row r="6" spans="1:21" x14ac:dyDescent="0.25">
      <c r="A6" t="s">
        <v>12</v>
      </c>
      <c r="B6" s="6" t="n">
        <v>0.0</v>
      </c>
      <c r="C6" s="6" t="n">
        <v>424519.995393271</v>
      </c>
      <c r="D6" s="6" t="n">
        <v>36307.3354055012</v>
      </c>
      <c r="E6" s="6" t="n">
        <v>0.0</v>
      </c>
      <c r="F6" s="6" t="n">
        <v>8059.9491362715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468887.27993504365</v>
      </c>
      <c r="K6" s="6"/>
      <c r="L6" t="s">
        <v>12</v>
      </c>
      <c r="M6" s="6" t="n">
        <v>0.0</v>
      </c>
      <c r="N6" s="6" t="n">
        <v>372667.0</v>
      </c>
      <c r="O6" s="6" t="n">
        <v>54201.0</v>
      </c>
      <c r="P6" s="6" t="n">
        <v>0.0</v>
      </c>
      <c r="Q6" s="6" t="n">
        <v>4273.0</v>
      </c>
      <c r="R6" s="6" t="n">
        <v>0.0</v>
      </c>
      <c r="S6" s="6" t="n">
        <v>0.0</v>
      </c>
      <c r="T6" s="6" t="n">
        <v>0.0</v>
      </c>
      <c r="U6" s="6">
        <f si="0" t="shared"/>
        <v>429046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300885.3635041723</v>
      </c>
      <c r="E7" s="6" t="n">
        <v>376.597523036</v>
      </c>
      <c r="F7" s="6" t="n">
        <v>0.0</v>
      </c>
      <c r="G7" s="6" t="n">
        <v>0.0</v>
      </c>
      <c r="H7" s="6" t="n">
        <v>0.0</v>
      </c>
      <c r="I7" s="6" t="n">
        <v>918.411125</v>
      </c>
      <c r="J7" s="6">
        <f si="1" t="shared"/>
        <v>302180.37215220829</v>
      </c>
      <c r="K7" s="6"/>
      <c r="L7" t="s">
        <v>56</v>
      </c>
      <c r="M7" s="6" t="n">
        <v>0.0</v>
      </c>
      <c r="N7" s="6" t="n">
        <v>0.0</v>
      </c>
      <c r="O7" s="6" t="n">
        <v>255809.0</v>
      </c>
      <c r="P7" s="6" t="n">
        <v>0.0</v>
      </c>
      <c r="Q7" s="6" t="n">
        <v>1877.0</v>
      </c>
      <c r="R7" s="6" t="n">
        <v>0.0</v>
      </c>
      <c r="S7" s="6" t="n">
        <v>3.0</v>
      </c>
      <c r="T7" s="6" t="n">
        <v>0.0</v>
      </c>
      <c r="U7" s="6">
        <f si="0" t="shared"/>
        <v>256461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2793.2312176259998</v>
      </c>
      <c r="F8" s="6" t="n">
        <v>63528.3905518792</v>
      </c>
      <c r="G8" s="6" t="n">
        <v>0.0</v>
      </c>
      <c r="H8" s="6" t="n">
        <v>0.0</v>
      </c>
      <c r="I8" s="6" t="n">
        <v>0.0</v>
      </c>
      <c r="J8" s="6">
        <f si="1" t="shared"/>
        <v>66321.621769505204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26421.0</v>
      </c>
      <c r="R8" s="6" t="n">
        <v>0.0</v>
      </c>
      <c r="S8" s="6" t="n">
        <v>0.0</v>
      </c>
      <c r="T8" s="6" t="n">
        <v>0.0</v>
      </c>
      <c r="U8" s="6">
        <f si="0" t="shared"/>
        <v>26275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4801.467375</v>
      </c>
      <c r="J13" s="6">
        <f si="1" t="shared"/>
        <v>4801.4673750000002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1493.612561511</v>
      </c>
      <c r="C14" s="6" t="n">
        <v>317.791360728</v>
      </c>
      <c r="D14" s="6" t="n">
        <v>0.0</v>
      </c>
      <c r="E14" s="6" t="n">
        <v>0.0</v>
      </c>
      <c r="F14" s="6" t="n">
        <v>1371.450656403</v>
      </c>
      <c r="G14" s="6" t="n">
        <v>12074.4687747476</v>
      </c>
      <c r="H14" s="6" t="n">
        <v>0.0</v>
      </c>
      <c r="I14" s="6" t="n">
        <v>0.0</v>
      </c>
      <c r="J14" s="6">
        <f si="1" t="shared"/>
        <v>15257.3233533896</v>
      </c>
      <c r="K14" s="6"/>
      <c r="L14" t="s">
        <v>4</v>
      </c>
      <c r="M14" s="6" t="n">
        <v>828.0</v>
      </c>
      <c r="N14" s="6" t="n">
        <v>831.0</v>
      </c>
      <c r="O14" s="6" t="n">
        <v>515.0</v>
      </c>
      <c r="P14" s="6" t="n">
        <v>0.0</v>
      </c>
      <c r="Q14" s="6" t="n">
        <v>490.0</v>
      </c>
      <c r="R14" s="6" t="n">
        <v>11250.0</v>
      </c>
      <c r="S14" s="6" t="n">
        <v>0.0</v>
      </c>
      <c r="T14" s="6" t="n">
        <v>0.0</v>
      </c>
      <c r="U14" s="6">
        <f si="0" t="shared"/>
        <v>14343</v>
      </c>
    </row>
    <row r="15" spans="1:21" x14ac:dyDescent="0.25">
      <c r="A15" s="4" t="s">
        <v>5</v>
      </c>
      <c r="B15" s="10" t="n">
        <v>9939.9719895707</v>
      </c>
      <c r="C15" s="10" t="n">
        <v>3878.2140208744</v>
      </c>
      <c r="D15" s="10" t="n">
        <v>4407.5817223416</v>
      </c>
      <c r="E15" s="10" t="n">
        <v>239.334385272</v>
      </c>
      <c r="F15" s="10" t="n">
        <v>18481.0418076912</v>
      </c>
      <c r="G15" s="10" t="n">
        <v>2685.77572214</v>
      </c>
      <c r="H15" s="10" t="n">
        <v>129618.9436355889</v>
      </c>
      <c r="I15" s="10" t="n">
        <v>0.0</v>
      </c>
      <c r="J15" s="6">
        <f si="1" t="shared"/>
        <v>169250.8632834788</v>
      </c>
      <c r="K15" s="6"/>
      <c r="L15" s="4" t="s">
        <v>5</v>
      </c>
      <c r="M15" s="8" t="n">
        <v>10043.0</v>
      </c>
      <c r="N15" s="8" t="n">
        <v>5558.0</v>
      </c>
      <c r="O15" s="8" t="n">
        <v>2908.0</v>
      </c>
      <c r="P15" s="8" t="n">
        <v>0.0</v>
      </c>
      <c r="Q15" s="8" t="n">
        <v>6085.0</v>
      </c>
      <c r="R15" s="8" t="n">
        <v>681.0</v>
      </c>
      <c r="S15" s="8" t="n">
        <v>157826.0</v>
      </c>
      <c r="T15" s="8" t="n">
        <v>0.0</v>
      </c>
      <c r="U15" s="6">
        <f si="0" t="shared"/>
        <v>182888</v>
      </c>
    </row>
    <row ht="15.75" r="16" spans="1:21" thickBot="1" x14ac:dyDescent="0.3">
      <c r="A16" s="12" t="s">
        <v>7</v>
      </c>
      <c r="B16" s="16">
        <f ref="B16:J16" si="2" t="shared">SUM(B5:B15)</f>
        <v>649634.33197771059</v>
      </c>
      <c r="C16" s="16">
        <f si="2" t="shared"/>
        <v>457011.35908676416</v>
      </c>
      <c r="D16" s="16">
        <f si="2" t="shared"/>
        <v>356222.47775674239</v>
      </c>
      <c r="E16" s="16">
        <f si="2" t="shared"/>
        <v>6879.0883700299992</v>
      </c>
      <c r="F16" s="16">
        <f si="2" t="shared"/>
        <v>92034.750271237906</v>
      </c>
      <c r="G16" s="16">
        <f si="2" t="shared"/>
        <v>14760.244496887601</v>
      </c>
      <c r="H16" s="16">
        <f si="2" t="shared"/>
        <v>129618.9436355889</v>
      </c>
      <c r="I16" s="16">
        <f si="2" t="shared"/>
        <v>5719.8784999999998</v>
      </c>
      <c r="J16" s="16">
        <f si="2" t="shared"/>
        <v>1711881.0740949614</v>
      </c>
      <c r="L16" s="9" t="s">
        <v>7</v>
      </c>
      <c r="M16" s="16">
        <f ref="M16:U16" si="3" t="shared">SUM(M5:M15)</f>
        <v>600331</v>
      </c>
      <c r="N16" s="16">
        <f si="3" t="shared"/>
        <v>407166</v>
      </c>
      <c r="O16" s="16">
        <f si="3" t="shared"/>
        <v>320722</v>
      </c>
      <c r="P16" s="16">
        <f si="3" t="shared"/>
        <v>0</v>
      </c>
      <c r="Q16" s="16">
        <f si="3" t="shared"/>
        <v>39043</v>
      </c>
      <c r="R16" s="16">
        <f si="3" t="shared"/>
        <v>12336</v>
      </c>
      <c r="S16" s="16">
        <f si="3" t="shared"/>
        <v>157851</v>
      </c>
      <c r="T16" s="16">
        <f si="3" t="shared"/>
        <v>0</v>
      </c>
      <c r="U16" s="16">
        <f si="3" t="shared"/>
        <v>1537449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0.98239996873891522</v>
      </c>
      <c r="C22" s="13">
        <f si="4" t="shared"/>
        <v>6.1913905965997863E-2</v>
      </c>
      <c r="D22" s="13">
        <f si="4" t="shared"/>
        <v>4.104793503433133E-2</v>
      </c>
      <c r="E22" s="13">
        <f si="4" t="shared"/>
        <v>0.50441643680772597</v>
      </c>
      <c r="F22" s="13">
        <f si="4" t="shared"/>
        <v>6.4531942254708041E-3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0.40025102011749186</v>
      </c>
      <c r="K22" s="6"/>
      <c r="L22" t="s">
        <v>1</v>
      </c>
      <c r="M22" s="13">
        <f ref="M22:P22" si="5" t="shared">M5/M$16</f>
        <v>0.98209321191142884</v>
      </c>
      <c r="N22" s="13">
        <f si="5" t="shared"/>
        <v>7.3306710285239926E-2</v>
      </c>
      <c r="O22" s="13">
        <f si="5" t="shared"/>
        <v>2.6967280074332287E-2</v>
      </c>
      <c r="P22" s="13" t="e">
        <f si="5" t="shared"/>
        <v>#DIV/0!</v>
      </c>
      <c r="Q22" s="13">
        <f ref="Q22:U33" si="6" t="shared">Q5/Q$16</f>
        <v>9.1693773531747041E-3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0.40875242040548987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0.92890469121288366</v>
      </c>
      <c r="D23" s="13">
        <f si="7" t="shared"/>
        <v>0.10192320157375021</v>
      </c>
      <c r="E23" s="13">
        <f si="7" t="shared"/>
        <v>0</v>
      </c>
      <c r="F23" s="13">
        <f si="7" t="shared"/>
        <v>8.7575063902687003E-2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0.27390178385080594</v>
      </c>
      <c r="K23" s="6"/>
      <c r="L23" t="s">
        <v>12</v>
      </c>
      <c r="M23" s="13">
        <f ref="M23:P23" si="8" t="shared">M6/M$16</f>
        <v>0</v>
      </c>
      <c r="N23" s="13">
        <f si="8" t="shared"/>
        <v>0.91111487697892257</v>
      </c>
      <c r="O23" s="13">
        <f si="8" t="shared"/>
        <v>0.16805520045397571</v>
      </c>
      <c r="P23" s="13" t="e">
        <f si="8" t="shared"/>
        <v>#DIV/0!</v>
      </c>
      <c r="Q23" s="13">
        <f si="6" t="shared"/>
        <v>0.10685654278615885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0.27906356568575608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0.84465574828111001</v>
      </c>
      <c r="E24" s="13">
        <f si="9" t="shared"/>
        <v>5.47452660554145E-2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0.16056479608788893</v>
      </c>
      <c r="J24" s="13">
        <f si="9" t="shared"/>
        <v>0.17651948883888752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0.79406152368718075</v>
      </c>
      <c r="P24" s="13" t="e">
        <f si="10" t="shared"/>
        <v>#DIV/0!</v>
      </c>
      <c r="Q24" s="13">
        <f si="6" t="shared"/>
        <v>4.574443562226263E-2</v>
      </c>
      <c r="R24" s="13">
        <f si="6" t="shared"/>
        <v>0</v>
      </c>
      <c r="S24" s="13">
        <f si="6" t="shared"/>
        <v>1.2670176305503292E-5</v>
      </c>
      <c r="T24" s="13" t="e">
        <f si="6" t="shared"/>
        <v>#DIV/0!</v>
      </c>
      <c r="U24" s="13">
        <f si="6" t="shared"/>
        <v>0.16680943563005993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0.40604671249685059</v>
      </c>
      <c r="F25" s="13">
        <f si="11" t="shared"/>
        <v>0.69026525703229591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3.8741956303575686E-2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0.67297594959403739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1.7089997782040251E-2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0.83943520391211113</v>
      </c>
      <c r="J30" s="13">
        <f si="21" t="shared"/>
        <v>2.8047902670683147E-3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2.2991589083106632E-3</v>
      </c>
      <c r="C31" s="13">
        <f si="23" t="shared"/>
        <v>6.9536862576684202E-4</v>
      </c>
      <c r="D31" s="13">
        <f si="23" t="shared"/>
        <v>0</v>
      </c>
      <c r="E31" s="13">
        <f si="23" t="shared"/>
        <v>0</v>
      </c>
      <c r="F31" s="13">
        <f si="23" t="shared"/>
        <v>1.4901443773804608E-2</v>
      </c>
      <c r="G31" s="13">
        <f si="23" t="shared"/>
        <v>0.81803988933202743</v>
      </c>
      <c r="H31" s="13">
        <f si="23" t="shared"/>
        <v>0</v>
      </c>
      <c r="I31" s="13">
        <f si="23" t="shared"/>
        <v>0</v>
      </c>
      <c r="J31" s="13">
        <f si="23" t="shared"/>
        <v>8.912607063814788E-3</v>
      </c>
      <c r="K31" s="6"/>
      <c r="L31" t="s">
        <v>4</v>
      </c>
      <c r="M31" s="13">
        <f ref="M31:P31" si="24" t="shared">M14/M$16</f>
        <v>1.4492005243773851E-3</v>
      </c>
      <c r="N31" s="13">
        <f si="24" t="shared"/>
        <v>2.119528644336708E-3</v>
      </c>
      <c r="O31" s="13">
        <f si="24" t="shared"/>
        <v>1.6587574285518299E-3</v>
      </c>
      <c r="P31" s="13" t="e">
        <f si="24" t="shared"/>
        <v>#DIV/0!</v>
      </c>
      <c r="Q31" s="13">
        <f si="6" t="shared"/>
        <v>1.1372076940808851E-2</v>
      </c>
      <c r="R31" s="13">
        <f si="6" t="shared"/>
        <v>0.94309338521400776</v>
      </c>
      <c r="S31" s="13">
        <f si="6" t="shared"/>
        <v>0</v>
      </c>
      <c r="T31" s="13" t="e">
        <f si="6" t="shared"/>
        <v>#DIV/0!</v>
      </c>
      <c r="U31" s="13">
        <f si="6" t="shared"/>
        <v>9.3290899405443686E-3</v>
      </c>
    </row>
    <row r="32" spans="1:21" x14ac:dyDescent="0.25">
      <c r="A32" s="4" t="s">
        <v>5</v>
      </c>
      <c r="B32" s="14">
        <f ref="B32:J32" si="25" t="shared">B15/B$16</f>
        <v>1.5300872352774218E-2</v>
      </c>
      <c r="C32" s="14">
        <f si="25" t="shared"/>
        <v>8.486034195351622E-3</v>
      </c>
      <c r="D32" s="14">
        <f si="25" t="shared"/>
        <v>1.2373115110808516E-2</v>
      </c>
      <c r="E32" s="14">
        <f si="25" t="shared"/>
        <v>3.4791584640008963E-2</v>
      </c>
      <c r="F32" s="14">
        <f si="25" t="shared"/>
        <v>0.2008050410657416</v>
      </c>
      <c r="G32" s="14">
        <f si="25" t="shared"/>
        <v>0.18196011066797252</v>
      </c>
      <c r="H32" s="14">
        <f si="25" t="shared"/>
        <v>1</v>
      </c>
      <c r="I32" s="14">
        <f si="25" t="shared"/>
        <v>0</v>
      </c>
      <c r="J32" s="14">
        <f si="25" t="shared"/>
        <v>9.8868353558355965E-2</v>
      </c>
      <c r="K32" s="6"/>
      <c r="L32" s="4" t="s">
        <v>5</v>
      </c>
      <c r="M32" s="14">
        <f ref="M32:P32" si="26" t="shared">M15/M$16</f>
        <v>1.6457587564193753E-2</v>
      </c>
      <c r="N32" s="14">
        <f si="26" t="shared"/>
        <v>1.3458884091500764E-2</v>
      </c>
      <c r="O32" s="14">
        <f si="26" t="shared"/>
        <v>9.2572383559593671E-3</v>
      </c>
      <c r="P32" s="14" t="e">
        <f si="26" t="shared"/>
        <v>#DIV/0!</v>
      </c>
      <c r="Q32" s="14">
        <f si="6" t="shared"/>
        <v>0.15388161770355763</v>
      </c>
      <c r="R32" s="14">
        <f si="6" t="shared"/>
        <v>5.6906614785992217E-2</v>
      </c>
      <c r="S32" s="14">
        <f si="6" t="shared"/>
        <v>0.99998732982369454</v>
      </c>
      <c r="T32" s="14" t="e">
        <f si="6" t="shared"/>
        <v>#DIV/0!</v>
      </c>
      <c r="U32" s="14">
        <f si="6" t="shared"/>
        <v>0.1189554905561095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-3.0675682748637634E-4</v>
      </c>
      <c r="N39" s="13">
        <f si="29" t="shared"/>
        <v>1.1392804319242063E-2</v>
      </c>
      <c r="O39" s="13">
        <f si="29" t="shared"/>
        <v>-1.4080654959999044E-2</v>
      </c>
      <c r="P39" s="13" t="e">
        <f si="29" t="shared"/>
        <v>#DIV/0!</v>
      </c>
      <c r="Q39" s="13">
        <f ref="Q39:Q50" si="30" t="shared">Q22-F22</f>
        <v>2.7161831277039E-3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8.5014002879980066E-3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-1.7789814233961088E-2</v>
      </c>
      <c r="O40" s="13">
        <f si="29" t="shared"/>
        <v>6.6131998880225501E-2</v>
      </c>
      <c r="P40" s="13" t="e">
        <f si="29" t="shared"/>
        <v>#DIV/0!</v>
      </c>
      <c r="Q40" s="13">
        <f si="30" t="shared"/>
        <v>1.9281478883471842E-2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5.161781834950141E-3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-5.059422459392926E-2</v>
      </c>
      <c r="P41" s="13" t="e">
        <f si="29" t="shared"/>
        <v>#DIV/0!</v>
      </c>
      <c r="Q41" s="13">
        <f si="30" t="shared"/>
        <v>4.574443562226263E-2</v>
      </c>
      <c r="R41" s="13">
        <f si="31" t="shared"/>
        <v>0</v>
      </c>
      <c r="S41" s="13">
        <f si="32" t="shared"/>
        <v>1.2670176305503292E-5</v>
      </c>
      <c r="T41" s="13" t="e">
        <f si="33" t="shared"/>
        <v>#DIV/0!</v>
      </c>
      <c r="U41" s="13">
        <f si="34" t="shared"/>
        <v>-9.7100532088275904E-3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-1.7289307438258517E-2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-2.1651958521535435E-2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-2.8047902670683147E-3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-8.4995838393327802E-4</v>
      </c>
      <c r="N48" s="13">
        <f si="39" t="shared"/>
        <v>1.424160018569866E-3</v>
      </c>
      <c r="O48" s="13">
        <f si="39" t="shared"/>
        <v>1.6587574285518299E-3</v>
      </c>
      <c r="P48" s="13" t="e">
        <f si="39" t="shared"/>
        <v>#DIV/0!</v>
      </c>
      <c r="Q48" s="13">
        <f si="30" t="shared"/>
        <v>-3.5293668329957565E-3</v>
      </c>
      <c r="R48" s="13">
        <f si="31" t="shared"/>
        <v>0.12505349588198034</v>
      </c>
      <c r="S48" s="13">
        <f si="32" t="shared"/>
        <v>0</v>
      </c>
      <c r="T48" s="13" t="e">
        <f si="33" t="shared"/>
        <v>#DIV/0!</v>
      </c>
      <c r="U48" s="13">
        <f si="34" t="shared"/>
        <v>4.1648287672958056E-4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1.1567152114195355E-3</v>
      </c>
      <c r="N49" s="17">
        <f si="39" t="shared"/>
        <v>4.9728498961491424E-3</v>
      </c>
      <c r="O49" s="17">
        <f si="39" t="shared"/>
        <v>-3.1158767548491485E-3</v>
      </c>
      <c r="P49" s="17" t="e">
        <f si="39" t="shared"/>
        <v>#DIV/0!</v>
      </c>
      <c r="Q49" s="17">
        <f si="30" t="shared"/>
        <v>-4.6923423362183969E-2</v>
      </c>
      <c r="R49" s="17">
        <f si="31" t="shared"/>
        <v>-0.12505349588198031</v>
      </c>
      <c r="S49" s="17">
        <f si="32" t="shared"/>
        <v>-1.2670176305462633E-5</v>
      </c>
      <c r="T49" s="17" t="e">
        <f si="33" t="shared"/>
        <v>#DIV/0!</v>
      </c>
      <c r="U49" s="13">
        <f si="34" t="shared"/>
        <v>2.0087136997753538E-2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F50"/>
  <sheetViews>
    <sheetView tabSelected="1"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660329.0946295559</v>
      </c>
      <c r="C5" s="6" t="n">
        <v>5879.0722422951</v>
      </c>
      <c r="D5" s="6" t="n">
        <v>1391.45300628</v>
      </c>
      <c r="E5" s="6" t="n">
        <v>237.62242619399998</v>
      </c>
      <c r="F5" s="6" t="n">
        <v>482.690029647</v>
      </c>
      <c r="G5" s="6" t="n">
        <v>0.0</v>
      </c>
      <c r="H5" s="6" t="n">
        <v>0.0</v>
      </c>
      <c r="I5" s="6" t="n">
        <v>0.0</v>
      </c>
      <c r="J5" s="6">
        <f>SUM(B5:I5)</f>
        <v>668319.93233397207</v>
      </c>
      <c r="K5" s="6"/>
      <c r="L5" t="s">
        <v>1</v>
      </c>
      <c r="M5" s="6" t="n">
        <v>550970.0</v>
      </c>
      <c r="N5" s="6" t="n">
        <v>17062.0</v>
      </c>
      <c r="O5" s="6" t="n">
        <v>4901.0</v>
      </c>
      <c r="P5" s="6" t="n">
        <v>0.0</v>
      </c>
      <c r="Q5" s="6" t="n">
        <v>182.0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572187</v>
      </c>
    </row>
    <row r="6" spans="1:21" x14ac:dyDescent="0.25">
      <c r="A6" t="s">
        <v>12</v>
      </c>
      <c r="B6" s="6" t="n">
        <v>0.0</v>
      </c>
      <c r="C6" s="6" t="n">
        <v>425045.7345621917</v>
      </c>
      <c r="D6" s="6" t="n">
        <v>35227.769965072</v>
      </c>
      <c r="E6" s="6" t="n">
        <v>0.0</v>
      </c>
      <c r="F6" s="6" t="n">
        <v>835.830047376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461109.33457463968</v>
      </c>
      <c r="K6" s="6"/>
      <c r="L6" t="s">
        <v>12</v>
      </c>
      <c r="M6" s="6" t="n">
        <v>0.0</v>
      </c>
      <c r="N6" s="6" t="n">
        <v>373360.0</v>
      </c>
      <c r="O6" s="6" t="n">
        <v>54158.0</v>
      </c>
      <c r="P6" s="6" t="n">
        <v>0.0</v>
      </c>
      <c r="Q6" s="6" t="n">
        <v>3528.0</v>
      </c>
      <c r="R6" s="6" t="n">
        <v>0.0</v>
      </c>
      <c r="S6" s="6" t="n">
        <v>0.0</v>
      </c>
      <c r="T6" s="6" t="n">
        <v>0.0</v>
      </c>
      <c r="U6" s="6">
        <f si="0" t="shared"/>
        <v>422503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359606.8320975662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359606.83209756622</v>
      </c>
      <c r="K7" s="6"/>
      <c r="L7" t="s">
        <v>56</v>
      </c>
      <c r="M7" s="6" t="n">
        <v>0.0</v>
      </c>
      <c r="N7" s="6" t="n">
        <v>0.0</v>
      </c>
      <c r="O7" s="6" t="n">
        <v>265106.0</v>
      </c>
      <c r="P7" s="6" t="n">
        <v>0.0</v>
      </c>
      <c r="Q7" s="6" t="n">
        <v>1555.0</v>
      </c>
      <c r="R7" s="6" t="n">
        <v>0.0</v>
      </c>
      <c r="S7" s="6" t="n">
        <v>4.0</v>
      </c>
      <c r="T7" s="6" t="n">
        <v>0.0</v>
      </c>
      <c r="U7" s="6">
        <f si="0" t="shared"/>
        <v>259836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475.24485238799997</v>
      </c>
      <c r="F8" s="6" t="n">
        <v>74340.9884119632</v>
      </c>
      <c r="G8" s="6" t="n">
        <v>0.0</v>
      </c>
      <c r="H8" s="6" t="n">
        <v>0.0</v>
      </c>
      <c r="I8" s="6" t="n">
        <v>0.0</v>
      </c>
      <c r="J8" s="6">
        <f si="1" t="shared"/>
        <v>74816.233264351205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17492.0</v>
      </c>
      <c r="R8" s="6" t="n">
        <v>0.0</v>
      </c>
      <c r="S8" s="6" t="n">
        <v>0.0</v>
      </c>
      <c r="T8" s="6" t="n">
        <v>0.0</v>
      </c>
      <c r="U8" s="6">
        <f si="0" t="shared"/>
        <v>17352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65.3094393907</v>
      </c>
      <c r="G9" s="6" t="n">
        <v>0.0</v>
      </c>
      <c r="H9" s="6" t="n">
        <v>0.0</v>
      </c>
      <c r="I9" s="6" t="n">
        <v>0.0</v>
      </c>
      <c r="J9" s="6">
        <f si="1" t="shared"/>
        <v>65.309439390700007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284.563543833</v>
      </c>
      <c r="C14" s="6" t="n">
        <v>96.3867567495</v>
      </c>
      <c r="D14" s="6" t="n">
        <v>0.0</v>
      </c>
      <c r="E14" s="6" t="n">
        <v>0.0</v>
      </c>
      <c r="F14" s="6" t="n">
        <v>0.0</v>
      </c>
      <c r="G14" s="6" t="n">
        <v>7785.3744466986</v>
      </c>
      <c r="H14" s="6" t="n">
        <v>0.0</v>
      </c>
      <c r="I14" s="6" t="n">
        <v>0.0</v>
      </c>
      <c r="J14" s="6">
        <f si="1" t="shared"/>
        <v>8166.3247472810999</v>
      </c>
      <c r="K14" s="6"/>
      <c r="L14" t="s">
        <v>4</v>
      </c>
      <c r="M14" s="6" t="n">
        <v>797.0</v>
      </c>
      <c r="N14" s="6" t="n">
        <v>603.0</v>
      </c>
      <c r="O14" s="6" t="n">
        <v>335.0</v>
      </c>
      <c r="P14" s="6" t="n">
        <v>0.0</v>
      </c>
      <c r="Q14" s="6" t="n">
        <v>255.0</v>
      </c>
      <c r="R14" s="6" t="n">
        <v>12109.0</v>
      </c>
      <c r="S14" s="6" t="n">
        <v>0.0</v>
      </c>
      <c r="T14" s="6" t="n">
        <v>0.0</v>
      </c>
      <c r="U14" s="6">
        <f si="0" t="shared"/>
        <v>13376</v>
      </c>
    </row>
    <row r="15" spans="1:21" x14ac:dyDescent="0.25">
      <c r="A15" s="4" t="s">
        <v>5</v>
      </c>
      <c r="B15" s="10" t="n">
        <v>7998.3460054891</v>
      </c>
      <c r="C15" s="10" t="n">
        <v>5883.537482558</v>
      </c>
      <c r="D15" s="10" t="n">
        <v>12535.3637717784</v>
      </c>
      <c r="E15" s="10" t="n">
        <v>0.0</v>
      </c>
      <c r="F15" s="10" t="n">
        <v>39743.1723384089</v>
      </c>
      <c r="G15" s="10" t="n">
        <v>96.3164214546</v>
      </c>
      <c r="H15" s="10" t="n">
        <v>165117.494513446</v>
      </c>
      <c r="I15" s="10" t="n">
        <v>0.0</v>
      </c>
      <c r="J15" s="6">
        <f si="1" t="shared"/>
        <v>231374.23053313501</v>
      </c>
      <c r="K15" s="6"/>
      <c r="L15" s="4" t="s">
        <v>5</v>
      </c>
      <c r="M15" s="8" t="n">
        <v>11234.0</v>
      </c>
      <c r="N15" s="8" t="n">
        <v>3758.0</v>
      </c>
      <c r="O15" s="8" t="n">
        <v>2027.0</v>
      </c>
      <c r="P15" s="8" t="n">
        <v>0.0</v>
      </c>
      <c r="Q15" s="8" t="n">
        <v>3538.0</v>
      </c>
      <c r="R15" s="8" t="n">
        <v>755.0</v>
      </c>
      <c r="S15" s="8" t="n">
        <v>202647.0</v>
      </c>
      <c r="T15" s="8" t="n">
        <v>0.0</v>
      </c>
      <c r="U15" s="6">
        <f si="0" t="shared"/>
        <v>222614</v>
      </c>
    </row>
    <row ht="15.75" r="16" spans="1:21" thickBot="1" x14ac:dyDescent="0.3">
      <c r="A16" s="12" t="s">
        <v>7</v>
      </c>
      <c r="B16" s="16">
        <f ref="B16:J16" si="2" t="shared">SUM(B5:B15)</f>
        <v>668612.00417887804</v>
      </c>
      <c r="C16" s="16">
        <f si="2" t="shared"/>
        <v>436904.73104379425</v>
      </c>
      <c r="D16" s="16">
        <f si="2" t="shared"/>
        <v>408761.41884069663</v>
      </c>
      <c r="E16" s="16">
        <f si="2" t="shared"/>
        <v>712.86727858199993</v>
      </c>
      <c r="F16" s="16">
        <f si="2" t="shared"/>
        <v>115467.9902667858</v>
      </c>
      <c r="G16" s="16">
        <f si="2" t="shared"/>
        <v>7881.6908681532004</v>
      </c>
      <c r="H16" s="16">
        <f si="2" t="shared"/>
        <v>165117.494513446</v>
      </c>
      <c r="I16" s="16">
        <f si="2" t="shared"/>
        <v>0</v>
      </c>
      <c r="J16" s="16">
        <f si="2" t="shared"/>
        <v>1803458.1969903358</v>
      </c>
      <c r="L16" s="9" t="s">
        <v>7</v>
      </c>
      <c r="M16" s="16">
        <f ref="M16:U16" si="3" t="shared">SUM(M5:M15)</f>
        <v>562089</v>
      </c>
      <c r="N16" s="16">
        <f si="3" t="shared"/>
        <v>387096</v>
      </c>
      <c r="O16" s="16">
        <f si="3" t="shared"/>
        <v>318840</v>
      </c>
      <c r="P16" s="16">
        <f si="3" t="shared"/>
        <v>0</v>
      </c>
      <c r="Q16" s="16">
        <f si="3" t="shared"/>
        <v>26254</v>
      </c>
      <c r="R16" s="16">
        <f si="3" t="shared"/>
        <v>12221</v>
      </c>
      <c r="S16" s="16">
        <f si="3" t="shared"/>
        <v>201368</v>
      </c>
      <c r="T16" s="16">
        <f si="3" t="shared"/>
        <v>0</v>
      </c>
      <c r="U16" s="16">
        <f si="3" t="shared"/>
        <v>1507868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0.98761178456630561</v>
      </c>
      <c r="C22" s="13">
        <f si="4" t="shared"/>
        <v>1.3456188099061342E-2</v>
      </c>
      <c r="D22" s="13">
        <f si="4" t="shared"/>
        <v>3.4040712800791017E-3</v>
      </c>
      <c r="E22" s="13">
        <f si="4" t="shared"/>
        <v>0.33333333333333337</v>
      </c>
      <c r="F22" s="13">
        <f si="4" t="shared"/>
        <v>4.18029298450382E-3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0.37057689135755079</v>
      </c>
      <c r="K22" s="6"/>
      <c r="L22" t="s">
        <v>1</v>
      </c>
      <c r="M22" s="13">
        <f ref="M22:P22" si="5" t="shared">M5/M$16</f>
        <v>0.97861548615966509</v>
      </c>
      <c r="N22" s="13">
        <f si="5" t="shared"/>
        <v>4.4107921549176435E-2</v>
      </c>
      <c r="O22" s="13">
        <f si="5" t="shared"/>
        <v>1.5267845941538075E-2</v>
      </c>
      <c r="P22" s="13" t="e">
        <f si="5" t="shared"/>
        <v>#DIV/0!</v>
      </c>
      <c r="Q22" s="13">
        <f ref="Q22:U33" si="6" t="shared">Q5/Q$16</f>
        <v>6.7037403824179173E-3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0.37946756612647792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0.97285679087687926</v>
      </c>
      <c r="D23" s="13">
        <f si="7" t="shared"/>
        <v>8.6181739130328838E-2</v>
      </c>
      <c r="E23" s="13">
        <f si="7" t="shared"/>
        <v>0</v>
      </c>
      <c r="F23" s="13">
        <f si="7" t="shared"/>
        <v>7.2386299046587402E-3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0.25568063365380606</v>
      </c>
      <c r="K23" s="6"/>
      <c r="L23" t="s">
        <v>12</v>
      </c>
      <c r="M23" s="13">
        <f ref="M23:P23" si="8" t="shared">M6/M$16</f>
        <v>0</v>
      </c>
      <c r="N23" s="13">
        <f si="8" t="shared"/>
        <v>0.94481730630127925</v>
      </c>
      <c r="O23" s="13">
        <f si="8" t="shared"/>
        <v>0.16718416760757746</v>
      </c>
      <c r="P23" s="13" t="e">
        <f si="8" t="shared"/>
        <v>#DIV/0!</v>
      </c>
      <c r="Q23" s="13">
        <f si="6" t="shared"/>
        <v>0.13190370991087072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0.28019892987980383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0.87974748966636929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0.1993984849206312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0.81023083678333963</v>
      </c>
      <c r="P24" s="13" t="e">
        <f si="10" t="shared"/>
        <v>#DIV/0!</v>
      </c>
      <c r="Q24" s="13">
        <f si="6" t="shared"/>
        <v>5.7134150986516342E-2</v>
      </c>
      <c r="R24" s="13">
        <f si="6" t="shared"/>
        <v>0</v>
      </c>
      <c r="S24" s="13">
        <f si="6" t="shared"/>
        <v>9.9320646776051811E-6</v>
      </c>
      <c r="T24" s="13" t="e">
        <f si="6" t="shared"/>
        <v>#DIV/0!</v>
      </c>
      <c r="U24" s="13">
        <f si="6" t="shared"/>
        <v>0.17232012351213766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0.66666666666666674</v>
      </c>
      <c r="F25" s="13">
        <f si="11" t="shared"/>
        <v>0.64382335087152964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4.1484872446285001E-2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0.66092785861202108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1.1507638599665223E-2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5.6560644417387224E-4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3.6213447863493769E-5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4.2560340235361504E-4</v>
      </c>
      <c r="C31" s="13">
        <f si="23" t="shared"/>
        <v>2.2061275582717008E-4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0.98777972606819975</v>
      </c>
      <c r="H31" s="13">
        <f si="23" t="shared"/>
        <v>0</v>
      </c>
      <c r="I31" s="13" t="e">
        <f si="23" t="shared"/>
        <v>#DIV/0!</v>
      </c>
      <c r="J31" s="13">
        <f si="23" t="shared"/>
        <v>4.5281475117689464E-3</v>
      </c>
      <c r="K31" s="6"/>
      <c r="L31" t="s">
        <v>4</v>
      </c>
      <c r="M31" s="13">
        <f ref="M31:P31" si="24" t="shared">M14/M$16</f>
        <v>1.378785210171343E-3</v>
      </c>
      <c r="N31" s="13">
        <f si="24" t="shared"/>
        <v>1.4440862215057764E-3</v>
      </c>
      <c r="O31" s="13">
        <f si="24" t="shared"/>
        <v>9.5659264835026977E-4</v>
      </c>
      <c r="P31" s="13" t="e">
        <f si="24" t="shared"/>
        <v>#DIV/0!</v>
      </c>
      <c r="Q31" s="13">
        <f si="6" t="shared"/>
        <v>9.6747162337167663E-3</v>
      </c>
      <c r="R31" s="13">
        <f si="6" t="shared"/>
        <v>0.93961214303248508</v>
      </c>
      <c r="S31" s="13">
        <f si="6" t="shared"/>
        <v>0</v>
      </c>
      <c r="T31" s="13" t="e">
        <f si="6" t="shared"/>
        <v>#DIV/0!</v>
      </c>
      <c r="U31" s="13">
        <f si="6" t="shared"/>
        <v>8.870803014587484E-3</v>
      </c>
    </row>
    <row r="32" spans="1:21" x14ac:dyDescent="0.25">
      <c r="A32" s="4" t="s">
        <v>5</v>
      </c>
      <c r="B32" s="14">
        <f ref="B32:J32" si="25" t="shared">B15/B$16</f>
        <v>1.1962612031340754E-2</v>
      </c>
      <c r="C32" s="14">
        <f si="25" t="shared"/>
        <v>1.3466408268232392E-2</v>
      </c>
      <c r="D32" s="14">
        <f si="25" t="shared"/>
        <v>3.0666699923222719E-2</v>
      </c>
      <c r="E32" s="14">
        <f si="25" t="shared"/>
        <v>0</v>
      </c>
      <c r="F32" s="14">
        <f si="25" t="shared"/>
        <v>0.34419211979513398</v>
      </c>
      <c r="G32" s="14">
        <f si="25" t="shared"/>
        <v>1.222027393180017E-2</v>
      </c>
      <c r="H32" s="14">
        <f si="25" t="shared"/>
        <v>1</v>
      </c>
      <c r="I32" s="14" t="e">
        <f si="25" t="shared"/>
        <v>#DIV/0!</v>
      </c>
      <c r="J32" s="14">
        <f si="25" t="shared"/>
        <v>0.12829475666209461</v>
      </c>
      <c r="K32" s="6"/>
      <c r="L32" s="4" t="s">
        <v>5</v>
      </c>
      <c r="M32" s="14">
        <f ref="M32:P32" si="26" t="shared">M15/M$16</f>
        <v>2.000572863016355E-2</v>
      </c>
      <c r="N32" s="14">
        <f si="26" t="shared"/>
        <v>9.6306859280385227E-3</v>
      </c>
      <c r="O32" s="14">
        <f si="26" t="shared"/>
        <v>6.3605570191945801E-3</v>
      </c>
      <c r="P32" s="14" t="e">
        <f si="26" t="shared"/>
        <v>#DIV/0!</v>
      </c>
      <c r="Q32" s="14">
        <f si="6" t="shared"/>
        <v>0.13365582387445724</v>
      </c>
      <c r="R32" s="14">
        <f si="6" t="shared"/>
        <v>6.0387856967514933E-2</v>
      </c>
      <c r="S32" s="14">
        <f si="6" t="shared"/>
        <v>0.99999006793532241</v>
      </c>
      <c r="T32" s="14" t="e">
        <f si="6" t="shared"/>
        <v>#DIV/0!</v>
      </c>
      <c r="U32" s="14">
        <f si="6" t="shared"/>
        <v>0.1476349388673279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-8.9962984066405127E-3</v>
      </c>
      <c r="N39" s="13">
        <f si="29" t="shared"/>
        <v>3.0651733450115091E-2</v>
      </c>
      <c r="O39" s="13">
        <f si="29" t="shared"/>
        <v>1.1863774661458973E-2</v>
      </c>
      <c r="P39" s="13" t="e">
        <f si="29" t="shared"/>
        <v>#DIV/0!</v>
      </c>
      <c r="Q39" s="13">
        <f ref="Q39:Q50" si="30" t="shared">Q22-F22</f>
        <v>2.5234473979140973E-3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8.8906747689271315E-3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-2.8039484575600016E-2</v>
      </c>
      <c r="O40" s="13">
        <f si="29" t="shared"/>
        <v>8.1002428477248617E-2</v>
      </c>
      <c r="P40" s="13" t="e">
        <f si="29" t="shared"/>
        <v>#DIV/0!</v>
      </c>
      <c r="Q40" s="13">
        <f si="30" t="shared"/>
        <v>0.12466508000621199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2.4518296225997771E-2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-6.9516652883029662E-2</v>
      </c>
      <c r="P41" s="13" t="e">
        <f si="29" t="shared"/>
        <v>#DIV/0!</v>
      </c>
      <c r="Q41" s="13">
        <f si="30" t="shared"/>
        <v>5.7134150986516342E-2</v>
      </c>
      <c r="R41" s="13">
        <f si="31" t="shared"/>
        <v>0</v>
      </c>
      <c r="S41" s="13">
        <f si="32" t="shared"/>
        <v>9.9320646776051811E-6</v>
      </c>
      <c r="T41" s="13" t="e">
        <f si="33" t="shared"/>
        <v>#DIV/0!</v>
      </c>
      <c r="U41" s="13">
        <f si="34" t="shared"/>
        <v>-2.707836140849354E-2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1.7104507740491437E-2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-2.997723384661978E-2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-5.6560644417387224E-4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-3.6213447863493769E-5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9.5318180781772796E-4</v>
      </c>
      <c r="N48" s="13">
        <f si="39" t="shared"/>
        <v>1.2234734656786064E-3</v>
      </c>
      <c r="O48" s="13">
        <f si="39" t="shared"/>
        <v>9.5659264835026977E-4</v>
      </c>
      <c r="P48" s="13" t="e">
        <f si="39" t="shared"/>
        <v>#DIV/0!</v>
      </c>
      <c r="Q48" s="13">
        <f si="30" t="shared"/>
        <v>9.6747162337167663E-3</v>
      </c>
      <c r="R48" s="13">
        <f si="31" t="shared"/>
        <v>-4.8167583035714667E-2</v>
      </c>
      <c r="S48" s="13">
        <f si="32" t="shared"/>
        <v>0</v>
      </c>
      <c r="T48" s="13" t="e">
        <f si="33" t="shared"/>
        <v>#DIV/0!</v>
      </c>
      <c r="U48" s="13">
        <f si="34" t="shared"/>
        <v>4.3426555028185376E-3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8.0431165988227964E-3</v>
      </c>
      <c r="N49" s="17">
        <f si="39" t="shared"/>
        <v>-3.8357223401938693E-3</v>
      </c>
      <c r="O49" s="17">
        <f si="39" t="shared"/>
        <v>-2.430614290402814E-2</v>
      </c>
      <c r="P49" s="17" t="e">
        <f si="39" t="shared"/>
        <v>#DIV/0!</v>
      </c>
      <c r="Q49" s="17">
        <f si="30" t="shared"/>
        <v>-0.21053629592067674</v>
      </c>
      <c r="R49" s="17">
        <f si="31" t="shared"/>
        <v>4.8167583035714764E-2</v>
      </c>
      <c r="S49" s="17">
        <f si="32" t="shared"/>
        <v>-9.9320646775868937E-6</v>
      </c>
      <c r="T49" s="17" t="e">
        <f si="33" t="shared"/>
        <v>#DIV/0!</v>
      </c>
      <c r="U49" s="13">
        <f si="34" t="shared"/>
        <v>1.9340182205233286E-2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128430.5720209797</v>
      </c>
      <c r="C5" s="6" t="n">
        <v>3708.787632464</v>
      </c>
      <c r="D5" s="6" t="n">
        <v>0.0</v>
      </c>
      <c r="E5" s="6" t="n">
        <v>576.648224778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132716.00787822172</v>
      </c>
      <c r="K5" s="6"/>
      <c r="L5" t="s">
        <v>1</v>
      </c>
      <c r="M5" s="6" t="n">
        <v>102754.0</v>
      </c>
      <c r="N5" s="6" t="n">
        <v>10466.0</v>
      </c>
      <c r="O5" s="6" t="n">
        <v>2845.0</v>
      </c>
      <c r="P5" s="6" t="n">
        <v>0.0</v>
      </c>
      <c r="Q5" s="6" t="n">
        <v>92.0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116094</v>
      </c>
    </row>
    <row r="6" spans="1:21" x14ac:dyDescent="0.25">
      <c r="A6" t="s">
        <v>12</v>
      </c>
      <c r="B6" s="6" t="n">
        <v>0.0</v>
      </c>
      <c r="C6" s="6" t="n">
        <v>196590.5555134055</v>
      </c>
      <c r="D6" s="6" t="n">
        <v>1344.7482971880002</v>
      </c>
      <c r="E6" s="6" t="n">
        <v>0.0</v>
      </c>
      <c r="F6" s="6" t="n">
        <v>287.3385349642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198222.64234555769</v>
      </c>
      <c r="K6" s="6"/>
      <c r="L6" t="s">
        <v>12</v>
      </c>
      <c r="M6" s="6" t="n">
        <v>0.0</v>
      </c>
      <c r="N6" s="6" t="n">
        <v>157676.0</v>
      </c>
      <c r="O6" s="6" t="n">
        <v>19699.0</v>
      </c>
      <c r="P6" s="6" t="n">
        <v>0.0</v>
      </c>
      <c r="Q6" s="6" t="n">
        <v>1063.0</v>
      </c>
      <c r="R6" s="6" t="n">
        <v>0.0</v>
      </c>
      <c r="S6" s="6" t="n">
        <v>0.0</v>
      </c>
      <c r="T6" s="6" t="n">
        <v>0.0</v>
      </c>
      <c r="U6" s="6">
        <f si="0" t="shared"/>
        <v>177965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84052.4860845409</v>
      </c>
      <c r="E7" s="6" t="n">
        <v>0.0</v>
      </c>
      <c r="F7" s="6" t="n">
        <v>248.97111705</v>
      </c>
      <c r="G7" s="6" t="n">
        <v>0.0</v>
      </c>
      <c r="H7" s="6" t="n">
        <v>0.0</v>
      </c>
      <c r="I7" s="6" t="n">
        <v>0.0</v>
      </c>
      <c r="J7" s="6">
        <f si="1" t="shared"/>
        <v>84301.457201590893</v>
      </c>
      <c r="K7" s="6"/>
      <c r="L7" t="s">
        <v>56</v>
      </c>
      <c r="M7" s="6" t="n">
        <v>0.0</v>
      </c>
      <c r="N7" s="6" t="n">
        <v>0.0</v>
      </c>
      <c r="O7" s="6" t="n">
        <v>98157.0</v>
      </c>
      <c r="P7" s="6" t="n">
        <v>0.0</v>
      </c>
      <c r="Q7" s="6" t="n">
        <v>475.0</v>
      </c>
      <c r="R7" s="6" t="n">
        <v>0.0</v>
      </c>
      <c r="S7" s="6" t="n">
        <v>0.0</v>
      </c>
      <c r="T7" s="6" t="n">
        <v>0.0</v>
      </c>
      <c r="U7" s="6">
        <f si="0" t="shared"/>
        <v>98413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864.9723371670001</v>
      </c>
      <c r="F8" s="6" t="n">
        <v>22114.6222832004</v>
      </c>
      <c r="G8" s="6" t="n">
        <v>0.0</v>
      </c>
      <c r="H8" s="6" t="n">
        <v>0.0</v>
      </c>
      <c r="I8" s="6" t="n">
        <v>0.0</v>
      </c>
      <c r="J8" s="6">
        <f si="1" t="shared"/>
        <v>22979.594620367399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5064.0</v>
      </c>
      <c r="R8" s="6" t="n">
        <v>0.0</v>
      </c>
      <c r="S8" s="6" t="n">
        <v>0.0</v>
      </c>
      <c r="T8" s="6" t="n">
        <v>0.0</v>
      </c>
      <c r="U8" s="6">
        <f si="0" t="shared"/>
        <v>5052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9355.10449488</v>
      </c>
      <c r="E14" s="6" t="n">
        <v>0.0</v>
      </c>
      <c r="F14" s="6" t="n">
        <v>154.9843497444</v>
      </c>
      <c r="G14" s="6" t="n">
        <v>7262.5157185103</v>
      </c>
      <c r="H14" s="6" t="n">
        <v>0.0</v>
      </c>
      <c r="I14" s="6" t="n">
        <v>0.0</v>
      </c>
      <c r="J14" s="6">
        <f si="1" t="shared"/>
        <v>16772.604563134701</v>
      </c>
      <c r="K14" s="6"/>
      <c r="L14" t="s">
        <v>4</v>
      </c>
      <c r="M14" s="6" t="n">
        <v>159.0</v>
      </c>
      <c r="N14" s="6" t="n">
        <v>226.0</v>
      </c>
      <c r="O14" s="6" t="n">
        <v>124.0</v>
      </c>
      <c r="P14" s="6" t="n">
        <v>0.0</v>
      </c>
      <c r="Q14" s="6" t="n">
        <v>64.0</v>
      </c>
      <c r="R14" s="6" t="n">
        <v>1568.0</v>
      </c>
      <c r="S14" s="6" t="n">
        <v>0.0</v>
      </c>
      <c r="T14" s="6" t="n">
        <v>0.0</v>
      </c>
      <c r="U14" s="6">
        <f si="0" t="shared"/>
        <v>2131</v>
      </c>
    </row>
    <row r="15" spans="1:21" x14ac:dyDescent="0.25">
      <c r="A15" s="4" t="s">
        <v>5</v>
      </c>
      <c r="B15" s="10" t="n">
        <v>102.918012854</v>
      </c>
      <c r="C15" s="10" t="n">
        <v>1144.9072471154</v>
      </c>
      <c r="D15" s="10" t="n">
        <v>3365.515560164</v>
      </c>
      <c r="E15" s="10" t="n">
        <v>0.0</v>
      </c>
      <c r="F15" s="10" t="n">
        <v>3753.8568361770003</v>
      </c>
      <c r="G15" s="10" t="n">
        <v>1578.8049141098</v>
      </c>
      <c r="H15" s="10" t="n">
        <v>69970.4992943504</v>
      </c>
      <c r="I15" s="10" t="n">
        <v>0.0</v>
      </c>
      <c r="J15" s="6">
        <f si="1" t="shared"/>
        <v>79916.501864770602</v>
      </c>
      <c r="K15" s="6"/>
      <c r="L15" s="4" t="s">
        <v>5</v>
      </c>
      <c r="M15" s="8" t="n">
        <v>1897.0</v>
      </c>
      <c r="N15" s="8" t="n">
        <v>1705.0</v>
      </c>
      <c r="O15" s="8" t="n">
        <v>778.0</v>
      </c>
      <c r="P15" s="8" t="n">
        <v>0.0</v>
      </c>
      <c r="Q15" s="8" t="n">
        <v>974.0</v>
      </c>
      <c r="R15" s="8" t="n">
        <v>120.0</v>
      </c>
      <c r="S15" s="8" t="n">
        <v>78664.0</v>
      </c>
      <c r="T15" s="8" t="n">
        <v>0.0</v>
      </c>
      <c r="U15" s="6">
        <f si="0" t="shared"/>
        <v>84153</v>
      </c>
    </row>
    <row ht="15.75" r="16" spans="1:21" thickBot="1" x14ac:dyDescent="0.3">
      <c r="A16" s="12" t="s">
        <v>7</v>
      </c>
      <c r="B16" s="16">
        <f ref="B16:J16" si="2" t="shared">SUM(B5:B15)</f>
        <v>128533.4900338337</v>
      </c>
      <c r="C16" s="16">
        <f si="2" t="shared"/>
        <v>201444.25039298489</v>
      </c>
      <c r="D16" s="16">
        <f si="2" t="shared"/>
        <v>98117.85443677289</v>
      </c>
      <c r="E16" s="16">
        <f si="2" t="shared"/>
        <v>1441.6205619450002</v>
      </c>
      <c r="F16" s="16">
        <f si="2" t="shared"/>
        <v>26559.773121136001</v>
      </c>
      <c r="G16" s="16">
        <f si="2" t="shared"/>
        <v>8841.3206326200998</v>
      </c>
      <c r="H16" s="16">
        <f si="2" t="shared"/>
        <v>69970.499294350404</v>
      </c>
      <c r="I16" s="16">
        <f si="2" t="shared"/>
        <v>0</v>
      </c>
      <c r="J16" s="16">
        <f si="2" t="shared"/>
        <v>534908.80847364292</v>
      </c>
      <c r="L16" s="9" t="s">
        <v>7</v>
      </c>
      <c r="M16" s="16">
        <f ref="M16:U16" si="3" t="shared">SUM(M5:M15)</f>
        <v>104623</v>
      </c>
      <c r="N16" s="16">
        <f si="3" t="shared"/>
        <v>169803</v>
      </c>
      <c r="O16" s="16">
        <f si="3" t="shared"/>
        <v>121373</v>
      </c>
      <c r="P16" s="16">
        <f si="3" t="shared"/>
        <v>0</v>
      </c>
      <c r="Q16" s="16">
        <f si="3" t="shared"/>
        <v>7606</v>
      </c>
      <c r="R16" s="16">
        <f si="3" t="shared"/>
        <v>1687</v>
      </c>
      <c r="S16" s="16">
        <f si="3" t="shared"/>
        <v>78716</v>
      </c>
      <c r="T16" s="16">
        <f si="3" t="shared"/>
        <v>0</v>
      </c>
      <c r="U16" s="16">
        <f si="3" t="shared"/>
        <v>483808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0.99919929029526144</v>
      </c>
      <c r="C22" s="13">
        <f si="4" t="shared"/>
        <v>1.8410987780632906E-2</v>
      </c>
      <c r="D22" s="13">
        <f si="4" t="shared"/>
        <v>0</v>
      </c>
      <c r="E22" s="13">
        <f si="4" t="shared"/>
        <v>0.39999999999999991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0.24810959508579705</v>
      </c>
      <c r="K22" s="6"/>
      <c r="L22" t="s">
        <v>1</v>
      </c>
      <c r="M22" s="13">
        <f ref="M22:P22" si="5" t="shared">M5/M$16</f>
        <v>0.98060655878726477</v>
      </c>
      <c r="N22" s="13">
        <f si="5" t="shared"/>
        <v>6.2495951190497223E-2</v>
      </c>
      <c r="O22" s="13">
        <f si="5" t="shared"/>
        <v>2.3110576487357155E-2</v>
      </c>
      <c r="P22" s="13" t="e">
        <f si="5" t="shared"/>
        <v>#DIV/0!</v>
      </c>
      <c r="Q22" s="13">
        <f ref="Q22:U33" si="6" t="shared">Q5/Q$16</f>
        <v>1.0912437549303182E-2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0.23995882664197368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0.97590551792810853</v>
      </c>
      <c r="D23" s="13">
        <f si="7" t="shared"/>
        <v>1.3705439289385965E-2</v>
      </c>
      <c r="E23" s="13">
        <f si="7" t="shared"/>
        <v>0</v>
      </c>
      <c r="F23" s="13">
        <f si="7" t="shared"/>
        <v>1.0818561350418272E-2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0.37057277652836579</v>
      </c>
      <c r="K23" s="6"/>
      <c r="L23" t="s">
        <v>12</v>
      </c>
      <c r="M23" s="13">
        <f ref="M23:P23" si="8" t="shared">M6/M$16</f>
        <v>0</v>
      </c>
      <c r="N23" s="13">
        <f si="8" t="shared"/>
        <v>0.92596126099067744</v>
      </c>
      <c r="O23" s="13">
        <f si="8" t="shared"/>
        <v>0.16244139965231147</v>
      </c>
      <c r="P23" s="13" t="e">
        <f si="8" t="shared"/>
        <v>#DIV/0!</v>
      </c>
      <c r="Q23" s="13">
        <f si="6" t="shared"/>
        <v>0.13384170391795949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0.36784220186520272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0.85664822745083857</v>
      </c>
      <c r="E24" s="13">
        <f si="9" t="shared"/>
        <v>0</v>
      </c>
      <c r="F24" s="13">
        <f si="9" t="shared"/>
        <v>9.3739926133582559E-3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0.15759968029343971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0.80703286562909382</v>
      </c>
      <c r="P24" s="13" t="e">
        <f si="10" t="shared"/>
        <v>#DIV/0!</v>
      </c>
      <c r="Q24" s="13">
        <f si="6" t="shared"/>
        <v>6.0610044701551409E-2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0.20341333752232291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0.6</v>
      </c>
      <c r="F25" s="13">
        <f si="11" t="shared"/>
        <v>0.83263596350534352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4.2959835875463426E-2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0.66421246384433341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1.0442158872941332E-2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9.5345587697379039E-2</v>
      </c>
      <c r="E31" s="13">
        <f si="23" t="shared"/>
        <v>0</v>
      </c>
      <c r="F31" s="13">
        <f si="23" t="shared"/>
        <v>5.8353039778440349E-3</v>
      </c>
      <c r="G31" s="13">
        <f si="23" t="shared"/>
        <v>0.82142883628891472</v>
      </c>
      <c r="H31" s="13">
        <f si="23" t="shared"/>
        <v>0</v>
      </c>
      <c r="I31" s="13" t="e">
        <f si="23" t="shared"/>
        <v>#DIV/0!</v>
      </c>
      <c r="J31" s="13">
        <f si="23" t="shared"/>
        <v>3.1356007411796345E-2</v>
      </c>
      <c r="K31" s="6"/>
      <c r="L31" t="s">
        <v>4</v>
      </c>
      <c r="M31" s="13">
        <f ref="M31:P31" si="24" t="shared">M14/M$16</f>
        <v>1.4146029075824628E-3</v>
      </c>
      <c r="N31" s="13">
        <f si="24" t="shared"/>
        <v>1.3486216380158183E-3</v>
      </c>
      <c r="O31" s="13">
        <f si="24" t="shared"/>
        <v>1.0216440229705124E-3</v>
      </c>
      <c r="P31" s="13" t="e">
        <f si="24" t="shared"/>
        <v>#DIV/0!</v>
      </c>
      <c r="Q31" s="13">
        <f si="6" t="shared"/>
        <v>6.7052327110176174E-3</v>
      </c>
      <c r="R31" s="13">
        <f si="6" t="shared"/>
        <v>0.93598103141671607</v>
      </c>
      <c r="S31" s="13">
        <f si="6" t="shared"/>
        <v>0</v>
      </c>
      <c r="T31" s="13" t="e">
        <f si="6" t="shared"/>
        <v>#DIV/0!</v>
      </c>
      <c r="U31" s="13">
        <f si="6" t="shared"/>
        <v>4.4046398571334086E-3</v>
      </c>
    </row>
    <row r="32" spans="1:21" x14ac:dyDescent="0.25">
      <c r="A32" s="4" t="s">
        <v>5</v>
      </c>
      <c r="B32" s="14">
        <f ref="B32:J32" si="25" t="shared">B15/B$16</f>
        <v>8.0070970473850066E-4</v>
      </c>
      <c r="C32" s="14">
        <f si="25" t="shared"/>
        <v>5.6834942912586117E-3</v>
      </c>
      <c r="D32" s="14">
        <f si="25" t="shared"/>
        <v>3.4300745562396463E-2</v>
      </c>
      <c r="E32" s="14">
        <f si="25" t="shared"/>
        <v>0</v>
      </c>
      <c r="F32" s="14">
        <f si="25" t="shared"/>
        <v>0.14133617855303587</v>
      </c>
      <c r="G32" s="14">
        <f si="25" t="shared"/>
        <v>0.17857116371108528</v>
      </c>
      <c r="H32" s="14">
        <f si="25" t="shared"/>
        <v>1</v>
      </c>
      <c r="I32" s="14" t="e">
        <f si="25" t="shared"/>
        <v>#DIV/0!</v>
      </c>
      <c r="J32" s="14">
        <f si="25" t="shared"/>
        <v>0.14940210480513783</v>
      </c>
      <c r="K32" s="6"/>
      <c r="L32" s="4" t="s">
        <v>5</v>
      </c>
      <c r="M32" s="14">
        <f ref="M32:P32" si="26" t="shared">M15/M$16</f>
        <v>1.7978838305152785E-2</v>
      </c>
      <c r="N32" s="14">
        <f si="26" t="shared"/>
        <v>1.0194166180809526E-2</v>
      </c>
      <c r="O32" s="14">
        <f si="26" t="shared"/>
        <v>6.3935142082670775E-3</v>
      </c>
      <c r="P32" s="14" t="e">
        <f si="26" t="shared"/>
        <v>#DIV/0!</v>
      </c>
      <c r="Q32" s="14">
        <f si="6" t="shared"/>
        <v>0.12371811727583487</v>
      </c>
      <c r="R32" s="14">
        <f si="6" t="shared"/>
        <v>6.4018968583283931E-2</v>
      </c>
      <c r="S32" s="14">
        <f si="6" t="shared"/>
        <v>1</v>
      </c>
      <c r="T32" s="14" t="e">
        <f si="6" t="shared"/>
        <v>#DIV/0!</v>
      </c>
      <c r="U32" s="14">
        <f si="6" t="shared"/>
        <v>0.17393883524042594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-1.8592731507996674E-2</v>
      </c>
      <c r="N39" s="13">
        <f si="29" t="shared"/>
        <v>4.4084963409864314E-2</v>
      </c>
      <c r="O39" s="13">
        <f si="29" t="shared"/>
        <v>2.3110576487357155E-2</v>
      </c>
      <c r="P39" s="13" t="e">
        <f si="29" t="shared"/>
        <v>#DIV/0!</v>
      </c>
      <c r="Q39" s="13">
        <f ref="Q39:Q50" si="30" t="shared">Q22-F22</f>
        <v>1.0912437549303182E-2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-8.1507684438233696E-3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-4.9944256937431097E-2</v>
      </c>
      <c r="O40" s="13">
        <f si="29" t="shared"/>
        <v>0.1487359603629255</v>
      </c>
      <c r="P40" s="13" t="e">
        <f si="29" t="shared"/>
        <v>#DIV/0!</v>
      </c>
      <c r="Q40" s="13">
        <f si="30" t="shared"/>
        <v>0.12302314256754122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-2.7305746631630656E-3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-4.9615361821744752E-2</v>
      </c>
      <c r="P41" s="13" t="e">
        <f si="29" t="shared"/>
        <v>#DIV/0!</v>
      </c>
      <c r="Q41" s="13">
        <f si="30" t="shared"/>
        <v>5.1236052088193151E-2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4.5813657228883198E-2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-0.16842349966101011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-3.2517677002522095E-2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1.4146029075824628E-3</v>
      </c>
      <c r="N48" s="13">
        <f si="39" t="shared"/>
        <v>1.3486216380158183E-3</v>
      </c>
      <c r="O48" s="13">
        <f si="39" t="shared"/>
        <v>-9.4323943674408522E-2</v>
      </c>
      <c r="P48" s="13" t="e">
        <f si="39" t="shared"/>
        <v>#DIV/0!</v>
      </c>
      <c r="Q48" s="13">
        <f si="30" t="shared"/>
        <v>8.6992873317358246E-4</v>
      </c>
      <c r="R48" s="13">
        <f si="31" t="shared"/>
        <v>0.11455219512780135</v>
      </c>
      <c r="S48" s="13">
        <f si="32" t="shared"/>
        <v>0</v>
      </c>
      <c r="T48" s="13" t="e">
        <f si="33" t="shared"/>
        <v>#DIV/0!</v>
      </c>
      <c r="U48" s="13">
        <f si="34" t="shared"/>
        <v>-2.6951367554662937E-2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1.7178128600414285E-2</v>
      </c>
      <c r="N49" s="17">
        <f si="39" t="shared"/>
        <v>4.5106718895509147E-3</v>
      </c>
      <c r="O49" s="17">
        <f si="39" t="shared"/>
        <v>-2.7907231354129387E-2</v>
      </c>
      <c r="P49" s="17" t="e">
        <f si="39" t="shared"/>
        <v>#DIV/0!</v>
      </c>
      <c r="Q49" s="17">
        <f si="30" t="shared"/>
        <v>-1.7618061277201003E-2</v>
      </c>
      <c r="R49" s="17">
        <f si="31" t="shared"/>
        <v>-0.11455219512780135</v>
      </c>
      <c r="S49" s="17">
        <f si="32" t="shared"/>
        <v>0</v>
      </c>
      <c r="T49" s="17" t="e">
        <f si="33" t="shared"/>
        <v>#DIV/0!</v>
      </c>
      <c r="U49" s="13">
        <f si="34" t="shared"/>
        <v>2.4536730435288118E-2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575843.8606631218</v>
      </c>
      <c r="C5" s="6" t="n">
        <v>19028.311087916998</v>
      </c>
      <c r="D5" s="6" t="n">
        <v>8175.4429283835</v>
      </c>
      <c r="E5" s="6" t="n">
        <v>1699.2908535978</v>
      </c>
      <c r="F5" s="6" t="n">
        <v>258.2255619798</v>
      </c>
      <c r="G5" s="6" t="n">
        <v>0.0</v>
      </c>
      <c r="H5" s="6" t="n">
        <v>0.0</v>
      </c>
      <c r="I5" s="6" t="n">
        <v>0.0</v>
      </c>
      <c r="J5" s="6">
        <f>SUM(B5:I5)</f>
        <v>605005.13109499984</v>
      </c>
      <c r="K5" s="6"/>
      <c r="L5" t="s">
        <v>1</v>
      </c>
      <c r="M5" s="6" t="n">
        <v>646111.0</v>
      </c>
      <c r="N5" s="6" t="n">
        <v>39551.0</v>
      </c>
      <c r="O5" s="6" t="n">
        <v>11606.0</v>
      </c>
      <c r="P5" s="6" t="n">
        <v>0.0</v>
      </c>
      <c r="Q5" s="6" t="n">
        <v>266.0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694808</v>
      </c>
    </row>
    <row r="6" spans="1:21" x14ac:dyDescent="0.25">
      <c r="A6" t="s">
        <v>12</v>
      </c>
      <c r="B6" s="6" t="n">
        <v>0.0</v>
      </c>
      <c r="C6" s="6" t="n">
        <v>494350.7280155954</v>
      </c>
      <c r="D6" s="6" t="n">
        <v>40088.6335122137</v>
      </c>
      <c r="E6" s="6" t="n">
        <v>262.3473390995</v>
      </c>
      <c r="F6" s="6" t="n">
        <v>8407.9361075648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543109.6449744734</v>
      </c>
      <c r="K6" s="6"/>
      <c r="L6" t="s">
        <v>12</v>
      </c>
      <c r="M6" s="6" t="n">
        <v>0.0</v>
      </c>
      <c r="N6" s="6" t="n">
        <v>564965.0</v>
      </c>
      <c r="O6" s="6" t="n">
        <v>75048.0</v>
      </c>
      <c r="P6" s="6" t="n">
        <v>0.0</v>
      </c>
      <c r="Q6" s="6" t="n">
        <v>3488.0</v>
      </c>
      <c r="R6" s="6" t="n">
        <v>0.0</v>
      </c>
      <c r="S6" s="6" t="n">
        <v>0.0</v>
      </c>
      <c r="T6" s="6" t="n">
        <v>0.0</v>
      </c>
      <c r="U6" s="6">
        <f si="0" t="shared"/>
        <v>642414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468181.3858676305</v>
      </c>
      <c r="E7" s="6" t="n">
        <v>0.0</v>
      </c>
      <c r="F7" s="6" t="n">
        <v>2704.6148952067</v>
      </c>
      <c r="G7" s="6" t="n">
        <v>0.0</v>
      </c>
      <c r="H7" s="6" t="n">
        <v>0.0</v>
      </c>
      <c r="I7" s="6" t="n">
        <v>0.0</v>
      </c>
      <c r="J7" s="6">
        <f si="1" t="shared"/>
        <v>470886.00076283718</v>
      </c>
      <c r="K7" s="6"/>
      <c r="L7" t="s">
        <v>56</v>
      </c>
      <c r="M7" s="6" t="n">
        <v>0.0</v>
      </c>
      <c r="N7" s="6" t="n">
        <v>0.0</v>
      </c>
      <c r="O7" s="6" t="n">
        <v>405711.0</v>
      </c>
      <c r="P7" s="6" t="n">
        <v>0.0</v>
      </c>
      <c r="Q7" s="6" t="n">
        <v>1391.0</v>
      </c>
      <c r="R7" s="6" t="n">
        <v>0.0</v>
      </c>
      <c r="S7" s="6" t="n">
        <v>0.0</v>
      </c>
      <c r="T7" s="6" t="n">
        <v>0.0</v>
      </c>
      <c r="U7" s="6">
        <f si="0" t="shared"/>
        <v>406906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1939.6121580817999</v>
      </c>
      <c r="F8" s="6" t="n">
        <v>32154.4903696018</v>
      </c>
      <c r="G8" s="6" t="n">
        <v>0.0</v>
      </c>
      <c r="H8" s="6" t="n">
        <v>0.0</v>
      </c>
      <c r="I8" s="6" t="n">
        <v>0.0</v>
      </c>
      <c r="J8" s="6">
        <f si="1" t="shared"/>
        <v>34094.102527683601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21364.0</v>
      </c>
      <c r="R8" s="6" t="n">
        <v>0.0</v>
      </c>
      <c r="S8" s="6" t="n">
        <v>0.0</v>
      </c>
      <c r="T8" s="6" t="n">
        <v>0.0</v>
      </c>
      <c r="U8" s="6">
        <f si="0" t="shared"/>
        <v>21351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107.691391212</v>
      </c>
      <c r="G9" s="6" t="n">
        <v>0.0</v>
      </c>
      <c r="H9" s="6" t="n">
        <v>0.0</v>
      </c>
      <c r="I9" s="6" t="n">
        <v>0.0</v>
      </c>
      <c r="J9" s="6">
        <f si="1" t="shared"/>
        <v>107.691391212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1490.528010836</v>
      </c>
      <c r="J13" s="6">
        <f si="1" t="shared"/>
        <v>1490.528010836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926.638889398</v>
      </c>
      <c r="C14" s="6" t="n">
        <v>34.4157929553</v>
      </c>
      <c r="D14" s="6" t="n">
        <v>0.0</v>
      </c>
      <c r="E14" s="6" t="n">
        <v>0.0</v>
      </c>
      <c r="F14" s="6" t="n">
        <v>285.065614854</v>
      </c>
      <c r="G14" s="6" t="n">
        <v>31544.6991463556</v>
      </c>
      <c r="H14" s="6" t="n">
        <v>0.0</v>
      </c>
      <c r="I14" s="6" t="n">
        <v>1490.528010836</v>
      </c>
      <c r="J14" s="6">
        <f si="1" t="shared"/>
        <v>34281.3474543989</v>
      </c>
      <c r="K14" s="6"/>
      <c r="L14" t="s">
        <v>4</v>
      </c>
      <c r="M14" s="6" t="n">
        <v>764.0</v>
      </c>
      <c r="N14" s="6" t="n">
        <v>959.0</v>
      </c>
      <c r="O14" s="6" t="n">
        <v>608.0</v>
      </c>
      <c r="P14" s="6" t="n">
        <v>0.0</v>
      </c>
      <c r="Q14" s="6" t="n">
        <v>279.0</v>
      </c>
      <c r="R14" s="6" t="n">
        <v>42588.0</v>
      </c>
      <c r="S14" s="6" t="n">
        <v>0.0</v>
      </c>
      <c r="T14" s="6" t="n">
        <v>0.0</v>
      </c>
      <c r="U14" s="6">
        <f si="0" t="shared"/>
        <v>45462</v>
      </c>
    </row>
    <row r="15" spans="1:21" x14ac:dyDescent="0.25">
      <c r="A15" s="4" t="s">
        <v>5</v>
      </c>
      <c r="B15" s="10" t="n">
        <v>11682.8410159412</v>
      </c>
      <c r="C15" s="10" t="n">
        <v>8726.047794157299</v>
      </c>
      <c r="D15" s="10" t="n">
        <v>12722.1355908298</v>
      </c>
      <c r="E15" s="10" t="n">
        <v>314.436122055</v>
      </c>
      <c r="F15" s="10" t="n">
        <v>11918.2195557219</v>
      </c>
      <c r="G15" s="10" t="n">
        <v>529.9935652318001</v>
      </c>
      <c r="H15" s="10" t="n">
        <v>634878.5438429762</v>
      </c>
      <c r="I15" s="10" t="n">
        <v>0.0</v>
      </c>
      <c r="J15" s="6">
        <f si="1" t="shared"/>
        <v>680772.2174869132</v>
      </c>
      <c r="K15" s="6"/>
      <c r="L15" s="4" t="s">
        <v>5</v>
      </c>
      <c r="M15" s="8" t="n">
        <v>6153.0</v>
      </c>
      <c r="N15" s="8" t="n">
        <v>4591.0</v>
      </c>
      <c r="O15" s="8" t="n">
        <v>2485.0</v>
      </c>
      <c r="P15" s="8" t="n">
        <v>0.0</v>
      </c>
      <c r="Q15" s="8" t="n">
        <v>3080.0</v>
      </c>
      <c r="R15" s="8" t="n">
        <v>1390.0</v>
      </c>
      <c r="S15" s="8" t="n">
        <v>356136.0</v>
      </c>
      <c r="T15" s="8" t="n">
        <v>0.0</v>
      </c>
      <c r="U15" s="6">
        <f si="0" t="shared"/>
        <v>373734</v>
      </c>
    </row>
    <row ht="15.75" r="16" spans="1:21" thickBot="1" x14ac:dyDescent="0.3">
      <c r="A16" s="12" t="s">
        <v>7</v>
      </c>
      <c r="B16" s="16">
        <f ref="B16:J16" si="2" t="shared">SUM(B5:B15)</f>
        <v>588453.34056846099</v>
      </c>
      <c r="C16" s="16">
        <f si="2" t="shared"/>
        <v>522139.50269062503</v>
      </c>
      <c r="D16" s="16">
        <f si="2" t="shared"/>
        <v>529167.59789905744</v>
      </c>
      <c r="E16" s="16">
        <f si="2" t="shared"/>
        <v>4215.6864728340997</v>
      </c>
      <c r="F16" s="16">
        <f si="2" t="shared"/>
        <v>55836.243496141004</v>
      </c>
      <c r="G16" s="16">
        <f si="2" t="shared"/>
        <v>32074.692711587402</v>
      </c>
      <c r="H16" s="16">
        <f si="2" t="shared"/>
        <v>634878.54384297621</v>
      </c>
      <c r="I16" s="16">
        <f si="2" t="shared"/>
        <v>2981.056021672</v>
      </c>
      <c r="J16" s="16">
        <f si="2" t="shared"/>
        <v>2369746.6637033541</v>
      </c>
      <c r="L16" s="9" t="s">
        <v>7</v>
      </c>
      <c r="M16" s="16">
        <f ref="M16:U16" si="3" t="shared">SUM(M5:M15)</f>
        <v>650505</v>
      </c>
      <c r="N16" s="16">
        <f si="3" t="shared"/>
        <v>608922</v>
      </c>
      <c r="O16" s="16">
        <f si="3" t="shared"/>
        <v>494927</v>
      </c>
      <c r="P16" s="16">
        <f si="3" t="shared"/>
        <v>0</v>
      </c>
      <c r="Q16" s="16">
        <f si="3" t="shared"/>
        <v>29983</v>
      </c>
      <c r="R16" s="16">
        <f si="3" t="shared"/>
        <v>44303</v>
      </c>
      <c r="S16" s="16">
        <f si="3" t="shared"/>
        <v>356035</v>
      </c>
      <c r="T16" s="16">
        <f si="3" t="shared"/>
        <v>0</v>
      </c>
      <c r="U16" s="16">
        <f si="3" t="shared"/>
        <v>2184675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0.9785718271338929</v>
      </c>
      <c r="C22" s="13">
        <f si="4" t="shared"/>
        <v>3.644296397775431E-2</v>
      </c>
      <c r="D22" s="13">
        <f si="4" t="shared"/>
        <v>1.5449628739254411E-2</v>
      </c>
      <c r="E22" s="13">
        <f si="4" t="shared"/>
        <v>0.40308757886717544</v>
      </c>
      <c r="F22" s="13">
        <f si="4" t="shared"/>
        <v>4.6246943886482381E-3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0.2553037167903508</v>
      </c>
      <c r="K22" s="6"/>
      <c r="L22" t="s">
        <v>1</v>
      </c>
      <c r="M22" s="13">
        <f ref="M22:P22" si="5" t="shared">M5/M$16</f>
        <v>0.98929754575291506</v>
      </c>
      <c r="N22" s="13">
        <f si="5" t="shared"/>
        <v>6.4706152840593709E-2</v>
      </c>
      <c r="O22" s="13">
        <f si="5" t="shared"/>
        <v>2.342769741800306E-2</v>
      </c>
      <c r="P22" s="13" t="e">
        <f si="5" t="shared"/>
        <v>#DIV/0!</v>
      </c>
      <c r="Q22" s="13">
        <f ref="Q22:U33" si="6" t="shared">Q5/Q$16</f>
        <v>8.9717506587066002E-3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0.31803723665991507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0.94677902259485835</v>
      </c>
      <c r="D23" s="13">
        <f si="7" t="shared"/>
        <v>7.5757914262658432E-2</v>
      </c>
      <c r="E23" s="13">
        <f si="7" t="shared"/>
        <v>6.223122634713641E-2</v>
      </c>
      <c r="F23" s="13">
        <f si="7" t="shared"/>
        <v>0.15058205174826805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0.22918468598061928</v>
      </c>
      <c r="K23" s="6"/>
      <c r="L23" t="s">
        <v>12</v>
      </c>
      <c r="M23" s="13">
        <f ref="M23:P23" si="8" t="shared">M6/M$16</f>
        <v>0</v>
      </c>
      <c r="N23" s="13">
        <f si="8" t="shared"/>
        <v>0.92629762104177549</v>
      </c>
      <c r="O23" s="13">
        <f si="8" t="shared"/>
        <v>0.15126271147058051</v>
      </c>
      <c r="P23" s="13" t="e">
        <f si="8" t="shared"/>
        <v>#DIV/0!</v>
      </c>
      <c r="Q23" s="13">
        <f si="6" t="shared"/>
        <v>0.11696628089250576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0.29405472209825262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0.88475066826926063</v>
      </c>
      <c r="E24" s="13">
        <f si="9" t="shared"/>
        <v>0</v>
      </c>
      <c r="F24" s="13">
        <f si="9" t="shared"/>
        <v>4.8438339076188455E-2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0.19870731668293759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0.81915514813295698</v>
      </c>
      <c r="P24" s="13" t="e">
        <f si="10" t="shared"/>
        <v>#DIV/0!</v>
      </c>
      <c r="Q24" s="13">
        <f si="6" t="shared"/>
        <v>4.9494713671080277E-2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0.18625470607756303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0.46009402515596648</v>
      </c>
      <c r="F25" s="13">
        <f si="11" t="shared"/>
        <v>0.57587130430477629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1.4387235163104977E-2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0.71210352533102095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9.7730783755020766E-3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1.9287005082897965E-3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4.5444263246141174E-5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6.2898200624815189E-4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1.5747024029175245E-3</v>
      </c>
      <c r="C31" s="13">
        <f si="23" t="shared"/>
        <v>6.5913022818524106E-5</v>
      </c>
      <c r="D31" s="13">
        <f si="23" t="shared"/>
        <v>0</v>
      </c>
      <c r="E31" s="13">
        <f si="23" t="shared"/>
        <v>0</v>
      </c>
      <c r="F31" s="13">
        <f si="23" t="shared"/>
        <v>5.105386698761382E-3</v>
      </c>
      <c r="G31" s="13">
        <f si="23" t="shared"/>
        <v>0.98347626990545312</v>
      </c>
      <c r="H31" s="13">
        <f si="23" t="shared"/>
        <v>0</v>
      </c>
      <c r="I31" s="13">
        <f si="23" t="shared"/>
        <v>0.5</v>
      </c>
      <c r="J31" s="13">
        <f si="23" t="shared"/>
        <v>1.4466249907416372E-2</v>
      </c>
      <c r="K31" s="6"/>
      <c r="L31" t="s">
        <v>4</v>
      </c>
      <c r="M31" s="13">
        <f ref="M31:P31" si="24" t="shared">M14/M$16</f>
        <v>1.137577728072805E-3</v>
      </c>
      <c r="N31" s="13">
        <f si="24" t="shared"/>
        <v>1.5502806599203183E-3</v>
      </c>
      <c r="O31" s="13">
        <f si="24" t="shared"/>
        <v>1.1779514958771698E-3</v>
      </c>
      <c r="P31" s="13" t="e">
        <f si="24" t="shared"/>
        <v>#DIV/0!</v>
      </c>
      <c r="Q31" s="13">
        <f si="6" t="shared"/>
        <v>9.8389087149384647E-3</v>
      </c>
      <c r="R31" s="13">
        <f si="6" t="shared"/>
        <v>0.96833171568516807</v>
      </c>
      <c r="S31" s="13">
        <f si="6" t="shared"/>
        <v>0</v>
      </c>
      <c r="T31" s="13" t="e">
        <f si="6" t="shared"/>
        <v>#DIV/0!</v>
      </c>
      <c r="U31" s="13">
        <f si="6" t="shared"/>
        <v>2.0809502557588656E-2</v>
      </c>
    </row>
    <row r="32" spans="1:21" x14ac:dyDescent="0.25">
      <c r="A32" s="4" t="s">
        <v>5</v>
      </c>
      <c r="B32" s="14">
        <f ref="B32:J32" si="25" t="shared">B15/B$16</f>
        <v>1.9853470463189617E-2</v>
      </c>
      <c r="C32" s="14">
        <f si="25" t="shared"/>
        <v>1.6712100404568709E-2</v>
      </c>
      <c r="D32" s="14">
        <f si="25" t="shared"/>
        <v>2.4041788728826587E-2</v>
      </c>
      <c r="E32" s="14">
        <f si="25" t="shared"/>
        <v>7.4587169629721659E-2</v>
      </c>
      <c r="F32" s="14">
        <f si="25" t="shared"/>
        <v>0.21344952327506778</v>
      </c>
      <c r="G32" s="14">
        <f si="25" t="shared"/>
        <v>1.6523730094546874E-2</v>
      </c>
      <c r="H32" s="14">
        <f si="25" t="shared"/>
        <v>1</v>
      </c>
      <c r="I32" s="14">
        <f si="25" t="shared"/>
        <v>0</v>
      </c>
      <c r="J32" s="14">
        <f si="25" t="shared"/>
        <v>0.28727636920607669</v>
      </c>
      <c r="K32" s="6"/>
      <c r="L32" s="4" t="s">
        <v>5</v>
      </c>
      <c r="M32" s="14">
        <f ref="M32:P32" si="26" t="shared">M15/M$16</f>
        <v>9.5648765190121526E-3</v>
      </c>
      <c r="N32" s="14">
        <f si="26" t="shared"/>
        <v>7.4459454577105117E-3</v>
      </c>
      <c r="O32" s="14">
        <f si="26" t="shared"/>
        <v>4.9764914825822801E-3</v>
      </c>
      <c r="P32" s="14" t="e">
        <f si="26" t="shared"/>
        <v>#DIV/0!</v>
      </c>
      <c r="Q32" s="14">
        <f si="6" t="shared"/>
        <v>0.10262482073174799</v>
      </c>
      <c r="R32" s="14">
        <f si="6" t="shared"/>
        <v>3.166828431483195E-2</v>
      </c>
      <c r="S32" s="14">
        <f si="6" t="shared"/>
        <v>1</v>
      </c>
      <c r="T32" s="14" t="e">
        <f si="6" t="shared"/>
        <v>#DIV/0!</v>
      </c>
      <c r="U32" s="14">
        <f si="6" t="shared"/>
        <v>0.17107075423117854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1.0725718619022162E-2</v>
      </c>
      <c r="N39" s="13">
        <f si="29" t="shared"/>
        <v>2.8263188862839399E-2</v>
      </c>
      <c r="O39" s="13">
        <f si="29" t="shared"/>
        <v>7.9780686787486489E-3</v>
      </c>
      <c r="P39" s="13" t="e">
        <f si="29" t="shared"/>
        <v>#DIV/0!</v>
      </c>
      <c r="Q39" s="13">
        <f ref="Q39:Q50" si="30" t="shared">Q22-F22</f>
        <v>4.3470562700583621E-3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6.2733519869564269E-2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-2.0481401553082867E-2</v>
      </c>
      <c r="O40" s="13">
        <f si="29" t="shared"/>
        <v>7.5504797207922081E-2</v>
      </c>
      <c r="P40" s="13" t="e">
        <f si="29" t="shared"/>
        <v>#DIV/0!</v>
      </c>
      <c r="Q40" s="13">
        <f si="30" t="shared"/>
        <v>-3.3615770855762298E-2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6.487003611763334E-2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-6.5595520136303653E-2</v>
      </c>
      <c r="P41" s="13" t="e">
        <f si="29" t="shared"/>
        <v>#DIV/0!</v>
      </c>
      <c r="Q41" s="13">
        <f si="30" t="shared"/>
        <v>1.0563745948918221E-3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-1.2452610605374559E-2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0.13623222102624466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-4.6141567876029008E-3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-1.9287005082897965E-3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-4.5444263246141174E-5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-6.2898200624815189E-4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-4.3712467484471949E-4</v>
      </c>
      <c r="N48" s="13">
        <f si="39" t="shared"/>
        <v>1.4843676371017942E-3</v>
      </c>
      <c r="O48" s="13">
        <f si="39" t="shared"/>
        <v>1.1779514958771698E-3</v>
      </c>
      <c r="P48" s="13" t="e">
        <f si="39" t="shared"/>
        <v>#DIV/0!</v>
      </c>
      <c r="Q48" s="13">
        <f si="30" t="shared"/>
        <v>4.7335220161770827E-3</v>
      </c>
      <c r="R48" s="13">
        <f si="31" t="shared"/>
        <v>-1.5144554220285045E-2</v>
      </c>
      <c r="S48" s="13">
        <f si="32" t="shared"/>
        <v>0</v>
      </c>
      <c r="T48" s="13" t="e">
        <f si="33" t="shared"/>
        <v>#DIV/0!</v>
      </c>
      <c r="U48" s="13">
        <f si="34" t="shared"/>
        <v>6.3432526501722847E-3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-1.0288593944177464E-2</v>
      </c>
      <c r="N49" s="17">
        <f si="39" t="shared"/>
        <v>-9.2661549468581982E-3</v>
      </c>
      <c r="O49" s="17">
        <f si="39" t="shared"/>
        <v>-1.9065297246244308E-2</v>
      </c>
      <c r="P49" s="17" t="e">
        <f si="39" t="shared"/>
        <v>#DIV/0!</v>
      </c>
      <c r="Q49" s="17">
        <f si="30" t="shared"/>
        <v>-0.11082470254331979</v>
      </c>
      <c r="R49" s="17">
        <f si="31" t="shared"/>
        <v>1.5144554220285076E-2</v>
      </c>
      <c r="S49" s="17">
        <f si="32" t="shared"/>
        <v>0</v>
      </c>
      <c r="T49" s="17" t="e">
        <f si="33" t="shared"/>
        <v>#DIV/0!</v>
      </c>
      <c r="U49" s="13">
        <f si="34" t="shared"/>
        <v>-0.11620561497489815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baseType="lpstr" size="34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2017-10-26T15:43:33Z</dcterms:modified>
</cp:coreProperties>
</file>