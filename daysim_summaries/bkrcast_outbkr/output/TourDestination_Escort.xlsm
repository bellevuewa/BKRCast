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outbkr\output\"/>
    </mc:Choice>
  </mc:AlternateContent>
  <xr:revisionPtr documentId="13_ncr:1_{B237368E-103F-43DF-9EFD-FBA662896960}" revIDLastSave="0" xr10:uidLastSave="{00000000-0000-0000-0000-000000000000}" xr6:coauthVersionLast="41" xr6:coauthVersionMax="41"/>
  <bookViews>
    <workbookView activeTab="4" windowHeight="11265" windowWidth="21600" xWindow="12405" xr2:uid="{00000000-000D-0000-FFFF-FFFF00000000}" yWindow="2640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B36"/>
  <c i="6" r="B46" s="1"/>
  <c i="6" r="B34"/>
  <c i="6" r="B44" s="1"/>
  <c i="6" r="B35"/>
  <c i="6" r="B45" s="1"/>
  <c i="6" r="B33"/>
  <c i="6" r="B43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N104"/>
  <c i="6" r="M104" s="1"/>
  <c i="6" r="O104"/>
  <c i="6" r="P104"/>
  <c i="6" r="P3"/>
  <c i="6" r="O3"/>
  <c i="6" r="N3"/>
  <c i="6" r="M3" s="1"/>
  <c i="6" l="1" r="Q8"/>
  <c i="6" r="R23"/>
  <c i="6" r="Q34"/>
  <c i="6" r="Q19"/>
  <c i="6" r="Q16"/>
  <c i="6" r="Q63"/>
  <c i="6" r="Q47"/>
  <c i="6" r="Q83"/>
  <c i="6" r="R25"/>
  <c i="6" r="Q35"/>
  <c i="6" r="Q33"/>
  <c i="6" r="Q88"/>
  <c i="6" r="R24"/>
  <c i="6" r="Q49"/>
  <c i="6" r="Q44"/>
  <c i="6" r="Q22"/>
  <c i="6" r="Q62"/>
  <c i="6" r="M33"/>
  <c i="6" r="M34"/>
  <c i="6" r="M35"/>
  <c i="6" r="M47"/>
  <c i="6" r="M83"/>
  <c i="6" r="Q60"/>
  <c i="6" r="Q84"/>
  <c i="6" r="M88"/>
  <c i="6" r="Q3"/>
  <c i="6" r="Q36"/>
  <c i="6" r="Q48"/>
  <c i="6" r="Q50"/>
  <c i="6" r="Q51"/>
  <c i="6" r="Q56"/>
  <c i="6" r="Q57"/>
  <c i="6" r="M16"/>
  <c i="6" r="M19"/>
  <c i="6" r="Q90"/>
  <c i="6" r="Q80"/>
  <c i="6" r="M62"/>
  <c i="6" r="Q81"/>
  <c i="6" r="M63"/>
  <c i="6" r="Q82"/>
  <c i="6" r="Q45"/>
  <c i="6" r="Q85"/>
  <c i="6" r="Q46"/>
  <c i="6" r="Q86"/>
  <c i="6" r="Q87"/>
  <c i="6" r="M22"/>
  <c i="6" r="D23"/>
  <c i="6" r="Q58"/>
  <c i="6" r="D25"/>
  <c i="6" r="Q17"/>
  <c i="6" r="Q59"/>
  <c i="6" r="D24"/>
  <c i="6" r="Q104"/>
  <c i="6" r="Q18"/>
  <c i="6" r="D26"/>
  <c i="6" r="Q61"/>
  <c i="6" r="Q20"/>
  <c i="6" r="Q72"/>
  <c i="6" r="Q26"/>
  <c i="6" r="Q73"/>
  <c i="6" r="Q27"/>
  <c i="6" r="Q74"/>
  <c i="6" r="Q21"/>
  <c i="6" r="Q32"/>
  <c i="6" r="Q75"/>
  <c i="6" r="Q89"/>
  <c i="6" r="Q91"/>
  <c i="6" r="Q64"/>
  <c i="6" r="Q92"/>
  <c i="6" r="Q9"/>
  <c i="6" r="Q37"/>
  <c i="6" r="Q65"/>
  <c i="6" r="Q93"/>
  <c i="6" r="Q10"/>
  <c i="6" r="Q38"/>
  <c i="6" r="Q66"/>
  <c i="6" r="Q94"/>
  <c i="6" r="Q11"/>
  <c i="6" r="Q39"/>
  <c i="6" r="Q67"/>
  <c i="6" r="Q95"/>
  <c i="6" r="Q12"/>
  <c i="6" r="Q40"/>
  <c i="6" r="Q68"/>
  <c i="6" r="Q96"/>
  <c i="6" r="Q13"/>
  <c i="6" r="Q41"/>
  <c i="6" r="Q69"/>
  <c i="6" r="Q97"/>
  <c i="6" r="Q14"/>
  <c i="6" r="Q42"/>
  <c i="6" r="Q70"/>
  <c i="6" r="Q98"/>
  <c i="6" r="Q15"/>
  <c i="6" r="Q43"/>
  <c i="6" r="Q71"/>
  <c i="6" r="Q99"/>
  <c i="6" r="Q4"/>
  <c i="6" r="Q28"/>
  <c i="6" r="Q52"/>
  <c i="6" r="Q76"/>
  <c i="6" r="Q100"/>
  <c i="6" r="Q5"/>
  <c i="6" r="Q29"/>
  <c i="6" r="Q53"/>
  <c i="6" r="Q77"/>
  <c i="6" r="Q101"/>
  <c i="6" r="Q6"/>
  <c i="6" r="Q30"/>
  <c i="6" r="Q54"/>
  <c i="6" r="Q78"/>
  <c i="6" r="Q102"/>
  <c i="6" r="Q7"/>
  <c i="6" r="Q31"/>
  <c i="6" r="Q55"/>
  <c i="6" r="Q79"/>
  <c i="6" r="Q103"/>
  <c i="1" r="S20"/>
  <c i="1" r="S21"/>
  <c i="1" r="S22"/>
  <c i="1" r="S23"/>
  <c i="1" r="S24"/>
  <c i="1" r="S25"/>
  <c i="1" r="S26"/>
  <c i="1" r="L13"/>
  <c i="1" r="H6"/>
  <c i="6" l="1" r="G7"/>
  <c i="6" r="D7"/>
  <c i="6" r="G6"/>
  <c i="6" r="D6"/>
  <c i="6" r="G5"/>
  <c i="6" r="D5"/>
  <c i="6" r="G4"/>
  <c i="6" r="D4"/>
  <c i="6" l="1" r="G8"/>
  <c i="6" r="G12" s="1"/>
  <c i="6" r="D8"/>
  <c i="6" r="D14" s="1"/>
  <c i="1" r="J13"/>
  <c i="1" r="H15"/>
  <c i="1" r="U13"/>
  <c i="1" r="S15"/>
  <c i="6" l="1" r="G13"/>
  <c i="6" r="G15"/>
  <c i="6" r="G14"/>
  <c i="6" r="I14" s="1"/>
  <c i="6" r="J14" s="1"/>
  <c i="6" r="G16"/>
  <c i="1" r="D26"/>
  <c i="1" r="H26"/>
  <c i="1" r="B26"/>
  <c i="1" r="E26"/>
  <c i="1" r="F26"/>
  <c i="1" r="C26"/>
  <c i="1" r="G26"/>
  <c i="6" r="D16"/>
  <c i="6" r="D13"/>
  <c i="6" r="D12"/>
  <c i="6" r="I12" s="1"/>
  <c i="6" r="J12" s="1"/>
  <c i="6" r="K12" s="1"/>
  <c i="6" r="D33" s="1"/>
  <c i="6" r="D15"/>
  <c i="1" r="U26"/>
  <c i="1" r="S28"/>
  <c i="1" r="N26"/>
  <c i="1" r="O26"/>
  <c i="1" r="P26"/>
  <c i="1" r="Q26"/>
  <c i="1" r="R26"/>
  <c i="1" r="M26"/>
  <c i="1" r="W39"/>
  <c i="1" r="L39"/>
  <c i="1" r="A39"/>
  <c i="1" r="L26"/>
  <c i="1" r="A26"/>
  <c i="1" r="AD32"/>
  <c i="1" r="S32"/>
  <c i="1" r="H32"/>
  <c i="1" r="S19"/>
  <c i="1" r="H19"/>
  <c i="1" r="S6"/>
  <c i="6" l="1" r="I13"/>
  <c i="6" r="J13" s="1"/>
  <c i="6" r="K13" s="1"/>
  <c i="6" r="D34" s="1"/>
  <c i="6" r="D44" s="1"/>
  <c i="6" r="Q24" s="1"/>
  <c i="6" r="I15"/>
  <c i="6" r="J15" s="1"/>
  <c i="6" r="D43"/>
  <c i="6" r="Q2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5"/>
  <c i="6" r="D36" s="1"/>
  <c i="6" r="D46" s="1"/>
  <c i="6" r="K14"/>
  <c i="6" r="D35" s="1"/>
  <c i="6" r="D45" s="1"/>
  <c i="6" r="Q25" s="1"/>
  <c i="1" r="Q15"/>
  <c i="1" r="Q28" s="1"/>
  <c i="1" r="R15"/>
  <c i="1" r="R28" s="1"/>
  <c i="1" r="U10"/>
  <c i="1" r="U11"/>
  <c i="1" r="U12"/>
  <c i="1" r="J10"/>
  <c i="1" r="J11"/>
  <c i="1" r="J12"/>
  <c i="1" r="F15"/>
  <c i="1" r="G15"/>
  <c i="1" l="1" r="G23"/>
  <c i="1" r="H24"/>
  <c i="1" r="H25"/>
  <c i="1" r="H23"/>
  <c i="1" r="G25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H22"/>
  <c i="1" r="H20"/>
  <c i="1" r="H21"/>
  <c i="1" r="J23"/>
  <c i="1" r="J25"/>
  <c i="1" r="J24"/>
  <c i="1" r="U20"/>
  <c i="1" r="U21"/>
  <c i="1" r="G21"/>
  <c i="1" r="J27"/>
  <c i="1" r="G22"/>
  <c i="1" r="F21"/>
  <c i="1" r="G20"/>
  <c i="1" r="G28" s="1"/>
  <c i="1" r="B20"/>
  <c i="1" r="C20"/>
  <c i="1" r="D20"/>
  <c i="1" r="E20"/>
  <c i="1" r="F20"/>
  <c i="1" r="D21"/>
  <c i="1" r="E21"/>
  <c i="1" r="J15"/>
  <c i="1" r="C21"/>
  <c i="1" r="C22"/>
  <c i="1" r="D22"/>
  <c i="1" r="E22"/>
  <c i="1" r="F22"/>
  <c i="1" r="U15"/>
  <c i="1" r="U28" s="1"/>
  <c i="1" r="U22"/>
  <c i="1" r="B21"/>
  <c i="1" r="B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S33"/>
  <c i="1" r="S34"/>
  <c i="1" r="S35"/>
  <c i="1" r="S36"/>
  <c i="1" r="S38"/>
  <c i="1" r="S39"/>
  <c i="1" r="S37"/>
  <c i="1" r="P39"/>
  <c i="1" r="Q39"/>
  <c i="1" r="N39"/>
  <c i="1" r="R39"/>
  <c i="1" r="M39"/>
  <c i="1" r="O39"/>
  <c i="1" r="J20"/>
  <c i="1" r="H28"/>
  <c i="1" r="I28"/>
  <c i="1" r="S41"/>
  <c i="1" r="U39"/>
  <c i="1" r="C28"/>
  <c i="1" r="F28"/>
  <c i="1" r="R33"/>
  <c i="1" r="R41"/>
  <c i="1" r="Q41"/>
  <c i="1" r="E28"/>
  <c i="1" r="U35"/>
  <c i="1" r="U36"/>
  <c i="1" r="R38"/>
  <c i="1" r="O33"/>
  <c i="1" r="M41"/>
  <c i="1" r="N36"/>
  <c i="1" r="Q33"/>
  <c i="1" r="P33"/>
  <c i="1" r="O36"/>
  <c i="1" r="P35"/>
  <c i="1" r="R37"/>
  <c i="1" r="R35"/>
  <c i="1" r="O35"/>
  <c i="1" r="P37"/>
  <c i="1" r="Q35"/>
  <c i="1" r="N35"/>
  <c i="1" r="Q37"/>
  <c i="1" r="U41"/>
  <c i="1" r="T41"/>
  <c i="1" r="M37"/>
  <c i="1" r="N37"/>
  <c i="1" r="O37"/>
  <c i="1" r="O38"/>
  <c i="1" r="U37"/>
  <c i="1" r="N38"/>
  <c i="1" r="M35"/>
  <c i="1" r="M38"/>
  <c i="1" r="P38"/>
  <c i="1" r="N41"/>
  <c i="1" r="Q36"/>
  <c i="1" r="R34"/>
  <c i="1" r="P41"/>
  <c i="1" r="U38"/>
  <c i="1" r="O34"/>
  <c i="1" r="J21"/>
  <c i="1" r="B28"/>
  <c i="1" r="M36"/>
  <c i="1" r="J22"/>
  <c i="1" r="Q38"/>
  <c i="1" r="O41"/>
  <c i="1" r="D28"/>
  <c i="1" r="U34"/>
  <c i="1" r="P36"/>
  <c i="1" r="Q34"/>
  <c i="1" r="M34"/>
  <c i="1" r="P34"/>
  <c i="1" r="M33"/>
  <c i="1" r="N34"/>
  <c i="1" r="U33"/>
  <c i="1" r="R36"/>
  <c i="1" r="N33"/>
  <c i="1" l="1" r="J28"/>
  <c i="1" r="C35" s="1"/>
  <c i="1" r="Y35" s="1"/>
  <c i="1" l="1" r="E38"/>
  <c i="1" r="AA38" s="1"/>
  <c i="1" r="I41"/>
  <c i="1" r="AE41" s="1"/>
  <c i="1" r="J37"/>
  <c i="1" r="AF37" s="1"/>
  <c i="1" r="C33"/>
  <c i="1" r="Y33" s="1"/>
  <c i="1" r="E33"/>
  <c i="1" r="AA33" s="1"/>
  <c i="1" r="D34"/>
  <c i="1" r="Z34" s="1"/>
  <c i="1" r="C39"/>
  <c i="1" r="Y39" s="1"/>
  <c i="1" r="F39"/>
  <c i="1" r="AB39" s="1"/>
  <c i="1" r="D39"/>
  <c i="1" r="Z39" s="1"/>
  <c i="1" r="E39"/>
  <c i="1" r="AA39" s="1"/>
  <c i="1" r="H39"/>
  <c i="1" r="AD39" s="1"/>
  <c i="1" r="B39"/>
  <c i="1" r="X39" s="1"/>
  <c i="1" r="G39"/>
  <c i="1" r="AC39" s="1"/>
  <c i="1" r="H35"/>
  <c i="1" r="AD35" s="1"/>
  <c i="1" r="H36"/>
  <c i="1" r="AD36" s="1"/>
  <c i="1" r="H38"/>
  <c i="1" r="AD38" s="1"/>
  <c i="1" r="H37"/>
  <c i="1" r="AD37" s="1"/>
  <c i="1" r="H34"/>
  <c i="1" r="AD34" s="1"/>
  <c i="1" r="H33"/>
  <c i="1" r="AD33" s="1"/>
  <c i="1" r="G36"/>
  <c i="1" r="AC36" s="1"/>
  <c i="1" r="D33"/>
  <c i="1" r="Z33" s="1"/>
  <c i="1" r="E35"/>
  <c i="1" r="AA35" s="1"/>
  <c i="1" r="B33"/>
  <c i="1" r="X33" s="1"/>
  <c i="1" r="G33"/>
  <c i="1" r="AC33" s="1"/>
  <c i="1" r="C34"/>
  <c i="1" r="Y34" s="1"/>
  <c i="1" r="G38"/>
  <c i="1" r="AC38" s="1"/>
  <c i="1" r="E41"/>
  <c i="1" r="AA41" s="1"/>
  <c i="1" r="F33"/>
  <c i="1" r="AB33" s="1"/>
  <c i="1" r="G41"/>
  <c i="1" r="AC41" s="1"/>
  <c i="1" r="D35"/>
  <c i="1" r="Z35" s="1"/>
  <c i="1" r="G35"/>
  <c i="1" r="AC35" s="1"/>
  <c i="1" r="F41"/>
  <c i="1" r="AB41" s="1"/>
  <c i="1" r="B41"/>
  <c i="1" r="X41" s="1"/>
  <c i="1" r="J34"/>
  <c i="1" r="AF34" s="1"/>
  <c i="1" r="F35"/>
  <c i="1" r="AB35" s="1"/>
  <c i="1" r="C37"/>
  <c i="1" r="Y37" s="1"/>
  <c i="1" r="B37"/>
  <c i="1" r="X37" s="1"/>
  <c i="1" r="D41"/>
  <c i="1" r="Z41" s="1"/>
  <c i="1" r="B35"/>
  <c i="1" r="X35" s="1"/>
  <c i="1" r="B36"/>
  <c i="1" r="X36" s="1"/>
  <c i="1" r="C41"/>
  <c i="1" r="Y41" s="1"/>
  <c i="1" r="E36"/>
  <c i="1" r="AA36" s="1"/>
  <c i="1" r="F34"/>
  <c i="1" r="AB34" s="1"/>
  <c i="1" r="J40"/>
  <c i="1" r="F36"/>
  <c i="1" r="AB36" s="1"/>
  <c i="1" r="F37"/>
  <c i="1" r="AB37" s="1"/>
  <c i="1" r="D37"/>
  <c i="1" r="Z37" s="1"/>
  <c i="1" r="C38"/>
  <c i="1" r="Y38" s="1"/>
  <c i="1" r="B38"/>
  <c i="1" r="X38" s="1"/>
  <c i="1" r="J33"/>
  <c i="1" r="AF33" s="1"/>
  <c i="1" r="J35"/>
  <c i="1" r="AF35" s="1"/>
  <c i="1" r="J41"/>
  <c i="1" r="AF41" s="1"/>
  <c i="1" r="C36"/>
  <c i="1" r="Y36" s="1"/>
  <c i="1" r="F38"/>
  <c i="1" r="AB38" s="1"/>
  <c i="1" r="G34"/>
  <c i="1" r="AC34" s="1"/>
  <c i="1" r="J39"/>
  <c i="1" r="AF39" s="1"/>
  <c i="1" r="E37"/>
  <c i="1" r="AA37" s="1"/>
  <c i="1" r="J38"/>
  <c i="1" r="AF38" s="1"/>
  <c i="1" r="D36"/>
  <c i="1" r="Z36" s="1"/>
  <c i="1" r="H41"/>
  <c i="1" r="AD41" s="1"/>
  <c i="1" r="B34"/>
  <c i="1" r="X34" s="1"/>
  <c i="1" r="D38"/>
  <c i="1" r="Z38" s="1"/>
  <c i="1" r="J36"/>
  <c i="1" r="AF36" s="1"/>
  <c i="1" r="E34"/>
  <c i="1" r="AA34" s="1"/>
  <c i="1" r="G37"/>
  <c i="1" r="AC37" s="1"/>
</calcChain>
</file>

<file path=xl/sharedStrings.xml><?xml version="1.0" encoding="utf-8"?>
<sst xmlns="http://schemas.openxmlformats.org/spreadsheetml/2006/main" count="717" uniqueCount="285">
  <si>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</si>
  <si>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</si>
  <si>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</si>
  <si>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</si>
  <si>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</si>
  <si>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</si>
  <si>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</si>
  <si>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</si>
  <si>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</si>
  <si>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</si>
  <si>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</si>
  <si>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</si>
  <si>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</si>
  <si>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</si>
  <si>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</si>
  <si>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</si>
  <si>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</si>
  <si>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</si>
  <si>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</si>
  <si>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</si>
  <si>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</si>
  <si>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</si>
  <si>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</si>
  <si>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</si>
  <si>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</si>
  <si>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</si>
  <si>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</si>
  <si>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</si>
  <si>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</si>
  <si>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</si>
  <si>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</si>
  <si>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</si>
  <si>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</si>
  <si>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</si>
  <si>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</si>
  <si>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</si>
  <si>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</si>
  <si>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</si>
  <si>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</si>
  <si>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</si>
  <si>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</si>
  <si>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</si>
  <si>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</si>
  <si>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</si>
  <si>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</si>
  <si>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</si>
  <si>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</si>
  <si>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</si>
  <si>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</si>
  <si>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</si>
  <si>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</si>
  <si>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</si>
  <si>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</si>
  <si>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</si>
  <si>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</si>
  <si>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</si>
  <si>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</si>
  <si>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</si>
  <si>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</si>
  <si>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</si>
  <si>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</si>
  <si>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</si>
  <si>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</si>
  <si>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</si>
  <si>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</si>
  <si>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</si>
  <si>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</si>
  <si>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</si>
  <si>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</si>
  <si>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</si>
  <si>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</si>
  <si>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</si>
  <si>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</si>
  <si>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</si>
  <si>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</si>
  <si>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</si>
  <si>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</si>
  <si>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</si>
  <si>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</si>
  <si>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</si>
  <si>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</si>
  <si>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</si>
  <si>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</si>
  <si>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</si>
  <si>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</si>
  <si>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</si>
  <si>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</si>
  <si>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</si>
  <si>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</si>
  <si>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</si>
  <si>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</si>
  <si>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</si>
  <si>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</si>
  <si>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</si>
  <si>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</si>
  <si>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</si>
  <si>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</si>
  <si>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</si>
  <si>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</si>
  <si>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</si>
  <si>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</si>
  <si>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</si>
  <si>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</si>
  <si>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</si>
  <si>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</si>
  <si>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</si>
  <si>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</si>
  <si>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</si>
  <si>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</si>
  <si>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</si>
  <si>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</si>
  <si>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</si>
  <si>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</si>
  <si>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</si>
  <si>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</si>
  <si>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</si>
  <si>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</si>
  <si>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</si>
  <si>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</si>
  <si>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</si>
  <si>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</si>
  <si>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</si>
  <si>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</si>
  <si>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</si>
  <si>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</si>
  <si>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</si>
  <si>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</si>
  <si>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</si>
  <si>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</si>
  <si>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</si>
  <si>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</si>
  <si>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</si>
  <si>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</si>
  <si>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</si>
  <si>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</si>
  <si>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</si>
  <si>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</si>
  <si>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</si>
  <si>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</si>
  <si>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</si>
  <si>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</si>
  <si>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</si>
  <si>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</si>
  <si>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</si>
  <si>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</si>
  <si>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</si>
  <si>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</si>
  <si>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</si>
  <si>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</si>
  <si>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</si>
  <si>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</si>
  <si>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</si>
  <si>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</si>
  <si>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</si>
  <si>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</si>
  <si>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</si>
  <si>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</si>
  <si>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</si>
  <si>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</si>
  <si>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</si>
  <si>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</si>
  <si>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</si>
  <si>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</si>
  <si>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</si>
  <si>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</si>
  <si>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</si>
  <si>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</si>
  <si>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</si>
  <si>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</si>
  <si>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</si>
  <si>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</si>
  <si>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</si>
  <si>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</si>
  <si>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</si>
  <si>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</si>
  <si>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</si>
  <si>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</si>
  <si>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</si>
  <si>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</si>
  <si>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</si>
  <si>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</si>
  <si>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</si>
  <si>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</si>
  <si>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</si>
  <si>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</si>
  <si>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</si>
  <si>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</si>
  <si>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</si>
  <si>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</si>
  <si>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</si>
  <si>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</si>
  <si>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</si>
  <si>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</si>
  <si>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</si>
  <si>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</si>
  <si>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</si>
  <si>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</si>
  <si>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</si>
  <si>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</si>
  <si>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</si>
  <si>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</si>
  <si>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</si>
  <si>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</si>
  <si>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</si>
  <si>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</si>
  <si>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</si>
  <si>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</si>
  <si>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</si>
  <si>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</si>
  <si>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</si>
  <si>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</si>
  <si>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</si>
  <si>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</si>
  <si>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</si>
  <si>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</si>
  <si>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</si>
  <si>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</si>
  <si>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</si>
  <si>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</si>
  <si>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</si>
  <si>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</si>
  <si>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</si>
  <si>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</si>
  <si>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</si>
  <si>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</si>
  <si>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</si>
  <si>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</si>
  <si>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</si>
  <si>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</si>
  <si>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</si>
  <si>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</si>
  <si>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</si>
  <si>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</si>
  <si>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</si>
  <si>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</si>
  <si>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</si>
  <si>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</si>
  <si>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</si>
  <si>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</si>
  <si>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</si>
  <si>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</si>
  <si>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</si>
  <si>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</si>
  <si>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</si>
  <si>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</si>
  <si>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</si>
  <si>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</si>
  <si>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</si>
  <si>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</si>
  <si>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</si>
  <si>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</si>
  <si>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</si>
  <si>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</si>
  <si>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</si>
  <si>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</si>
  <si>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v0402)</t>
  </si>
  <si>
    <t>Oct</t>
  </si>
  <si>
    <t>Beta00118</t>
  </si>
  <si>
    <t>011:04:21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</si>
  <si>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</si>
  <si>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</si>
  <si>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</si>
  <si>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</si>
  <si>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</si>
  <si>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</si>
  <si>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</si>
  <si>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</si>
  <si>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</si>
  <si>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</si>
  <si>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</si>
  <si>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</si>
  <si>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</si>
  <si>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</si>
  <si>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</si>
  <si>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</si>
  <si>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</si>
  <si>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</si>
  <si>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</si>
  <si>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</si>
  <si>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</si>
  <si>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</si>
  <si>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</si>
  <si>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</si>
  <si>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Copy (Ctrl-c) cells Q3:Q104</t>
  </si>
  <si>
    <t>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</si>
</sst>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8.4605162727361283E-3</c:v>
                </c:pt>
                <c:pt idx="1">
                  <c:v>3.1997320115398818E-2</c:v>
                </c:pt>
                <c:pt idx="2">
                  <c:v>6.9025036304229459E-2</c:v>
                </c:pt>
                <c:pt idx="3">
                  <c:v>0.10709736587015968</c:v>
                </c:pt>
                <c:pt idx="4">
                  <c:v>0.21483231501467334</c:v>
                </c:pt>
                <c:pt idx="5">
                  <c:v>9.9898942110557845E-2</c:v>
                </c:pt>
                <c:pt idx="6">
                  <c:v>0.14046921016308067</c:v>
                </c:pt>
                <c:pt idx="7">
                  <c:v>7.8874869655634727E-2</c:v>
                </c:pt>
                <c:pt idx="8">
                  <c:v>3.2834595683085423E-2</c:v>
                </c:pt>
                <c:pt idx="9">
                  <c:v>2.5390978105163071E-2</c:v>
                </c:pt>
                <c:pt idx="10">
                  <c:v>8.2481784421311516E-2</c:v>
                </c:pt>
                <c:pt idx="11">
                  <c:v>1.2618380676541521E-2</c:v>
                </c:pt>
                <c:pt idx="12">
                  <c:v>1.7912370599145987E-2</c:v>
                </c:pt>
                <c:pt idx="13">
                  <c:v>7.34513386017005E-3</c:v>
                </c:pt>
                <c:pt idx="14">
                  <c:v>1.1186690164059702E-2</c:v>
                </c:pt>
                <c:pt idx="15">
                  <c:v>3.9706824196311724E-3</c:v>
                </c:pt>
                <c:pt idx="16">
                  <c:v>5.0409087434644985E-3</c:v>
                </c:pt>
                <c:pt idx="17">
                  <c:v>1.7054145997482922E-2</c:v>
                </c:pt>
                <c:pt idx="18">
                  <c:v>1.0129679931517678E-2</c:v>
                </c:pt>
                <c:pt idx="19">
                  <c:v>2.3692962033397555E-3</c:v>
                </c:pt>
                <c:pt idx="20">
                  <c:v>1.6788509744779744E-3</c:v>
                </c:pt>
                <c:pt idx="21">
                  <c:v>2.8162728428535477E-3</c:v>
                </c:pt>
                <c:pt idx="22">
                  <c:v>2.4625655840772882E-3</c:v>
                </c:pt>
                <c:pt idx="23">
                  <c:v>1.379138905901017E-3</c:v>
                </c:pt>
                <c:pt idx="24">
                  <c:v>1.6176752697013791E-3</c:v>
                </c:pt>
                <c:pt idx="25">
                  <c:v>0</c:v>
                </c:pt>
                <c:pt idx="26">
                  <c:v>4.5254885341135519E-4</c:v>
                </c:pt>
                <c:pt idx="27">
                  <c:v>3.3571590336169918E-3</c:v>
                </c:pt>
                <c:pt idx="28">
                  <c:v>2.3445109627306124E-3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1.0476809289920314E-3</c:v>
                </c:pt>
                <c:pt idx="34">
                  <c:v>2.6091131379118175E-3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5.352673882775957E-4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7.0899380666457042E-4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0.13300167684265304</c:v>
                </c:pt>
                <c:pt idx="1">
                  <c:v>0.11925499358602332</c:v>
                </c:pt>
                <c:pt idx="2">
                  <c:v>7.7929281356208066E-2</c:v>
                </c:pt>
                <c:pt idx="3">
                  <c:v>4.6703173151671808E-2</c:v>
                </c:pt>
                <c:pt idx="4">
                  <c:v>0.21188609462703636</c:v>
                </c:pt>
                <c:pt idx="5">
                  <c:v>8.8146671263885354E-2</c:v>
                </c:pt>
                <c:pt idx="6">
                  <c:v>8.4544564823995763E-2</c:v>
                </c:pt>
                <c:pt idx="7">
                  <c:v>3.0061098749542242E-2</c:v>
                </c:pt>
                <c:pt idx="8">
                  <c:v>6.0010836301180641E-2</c:v>
                </c:pt>
                <c:pt idx="9">
                  <c:v>1.6438626059805245E-2</c:v>
                </c:pt>
                <c:pt idx="10">
                  <c:v>8.1936142919248143E-3</c:v>
                </c:pt>
                <c:pt idx="11">
                  <c:v>1.085343367262806E-2</c:v>
                </c:pt>
                <c:pt idx="12">
                  <c:v>1.1453070892110274E-2</c:v>
                </c:pt>
                <c:pt idx="13">
                  <c:v>1.9818010103887149E-2</c:v>
                </c:pt>
                <c:pt idx="14">
                  <c:v>6.1955374141501535E-3</c:v>
                </c:pt>
                <c:pt idx="15">
                  <c:v>1.6552128819207236E-2</c:v>
                </c:pt>
                <c:pt idx="16">
                  <c:v>6.5253378848653711E-3</c:v>
                </c:pt>
                <c:pt idx="17">
                  <c:v>6.80374087962497E-3</c:v>
                </c:pt>
                <c:pt idx="18">
                  <c:v>3.7027598303026668E-3</c:v>
                </c:pt>
                <c:pt idx="19">
                  <c:v>2.6598193807032462E-3</c:v>
                </c:pt>
                <c:pt idx="20">
                  <c:v>2.786171509094141E-3</c:v>
                </c:pt>
                <c:pt idx="21">
                  <c:v>5.7779329220107546E-3</c:v>
                </c:pt>
                <c:pt idx="22">
                  <c:v>1.8503091344022581E-3</c:v>
                </c:pt>
                <c:pt idx="23">
                  <c:v>2.0751730917080882E-3</c:v>
                </c:pt>
                <c:pt idx="24">
                  <c:v>2.2100914660915859E-3</c:v>
                </c:pt>
                <c:pt idx="25">
                  <c:v>2.4156813699140593E-3</c:v>
                </c:pt>
                <c:pt idx="26">
                  <c:v>1.5569152091556037E-3</c:v>
                </c:pt>
                <c:pt idx="27">
                  <c:v>7.0178970294400463E-3</c:v>
                </c:pt>
                <c:pt idx="28">
                  <c:v>1.3684577973183368E-3</c:v>
                </c:pt>
                <c:pt idx="29">
                  <c:v>1.9766612627931529E-3</c:v>
                </c:pt>
                <c:pt idx="30">
                  <c:v>1.878149433878218E-3</c:v>
                </c:pt>
                <c:pt idx="31">
                  <c:v>8.8660646023441532E-4</c:v>
                </c:pt>
                <c:pt idx="32">
                  <c:v>7.5811277034536966E-4</c:v>
                </c:pt>
                <c:pt idx="33">
                  <c:v>7.2170622487680665E-4</c:v>
                </c:pt>
                <c:pt idx="34">
                  <c:v>8.437752302714001E-4</c:v>
                </c:pt>
                <c:pt idx="35">
                  <c:v>5.6751379700995181E-4</c:v>
                </c:pt>
                <c:pt idx="36">
                  <c:v>5.5466442802104728E-4</c:v>
                </c:pt>
                <c:pt idx="37">
                  <c:v>6.8101655641194224E-4</c:v>
                </c:pt>
                <c:pt idx="38">
                  <c:v>5.8678785049330866E-4</c:v>
                </c:pt>
                <c:pt idx="39">
                  <c:v>3.8976419266343861E-4</c:v>
                </c:pt>
                <c:pt idx="40">
                  <c:v>2.3771332629473455E-4</c:v>
                </c:pt>
                <c:pt idx="41">
                  <c:v>2.3985488779288531E-4</c:v>
                </c:pt>
                <c:pt idx="42">
                  <c:v>1.9274053483356855E-4</c:v>
                </c:pt>
                <c:pt idx="43">
                  <c:v>1.4990930487055333E-4</c:v>
                </c:pt>
                <c:pt idx="44">
                  <c:v>2.4413801078918682E-4</c:v>
                </c:pt>
                <c:pt idx="45">
                  <c:v>2.6983674876699597E-4</c:v>
                </c:pt>
                <c:pt idx="46">
                  <c:v>1.2635212839089493E-4</c:v>
                </c:pt>
                <c:pt idx="47">
                  <c:v>1.3920149737979949E-4</c:v>
                </c:pt>
                <c:pt idx="48">
                  <c:v>8.1379336929728944E-5</c:v>
                </c:pt>
                <c:pt idx="49">
                  <c:v>5.3539037453769039E-5</c:v>
                </c:pt>
                <c:pt idx="50">
                  <c:v>7.9237775431578175E-5</c:v>
                </c:pt>
                <c:pt idx="51">
                  <c:v>8.5662459926030468E-5</c:v>
                </c:pt>
                <c:pt idx="52">
                  <c:v>7.0671529438975139E-5</c:v>
                </c:pt>
                <c:pt idx="53">
                  <c:v>3.2123422472261422E-5</c:v>
                </c:pt>
                <c:pt idx="54">
                  <c:v>3.4264983970412185E-5</c:v>
                </c:pt>
                <c:pt idx="55">
                  <c:v>6.4246844944522845E-5</c:v>
                </c:pt>
                <c:pt idx="56">
                  <c:v>5.5680598951919802E-5</c:v>
                </c:pt>
                <c:pt idx="57">
                  <c:v>4.2831229963015234E-5</c:v>
                </c:pt>
                <c:pt idx="58">
                  <c:v>2.355717647965838E-5</c:v>
                </c:pt>
                <c:pt idx="59">
                  <c:v>1.4990930487055332E-5</c:v>
                </c:pt>
                <c:pt idx="60">
                  <c:v>3.2123422472261422E-5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606016"/>
        <c:axId val="118602488"/>
      </c:lineChart>
      <c:catAx>
        <c:axId val="11860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8602488"/>
        <c:crosses val="autoZero"/>
        <c:auto val="1"/>
        <c:lblAlgn val="ctr"/>
        <c:lblOffset val="100"/>
        <c:tickLblSkip val="10"/>
        <c:noMultiLvlLbl val="0"/>
      </c:catAx>
      <c:valAx>
        <c:axId val="1186024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860601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2.160847248461356E-4</c:v>
                </c:pt>
                <c:pt idx="5">
                  <c:v>8.2444315478899868E-3</c:v>
                </c:pt>
                <c:pt idx="6">
                  <c:v>6.0587732687260049E-3</c:v>
                </c:pt>
                <c:pt idx="7">
                  <c:v>8.5057679213481341E-3</c:v>
                </c:pt>
                <c:pt idx="8">
                  <c:v>7.4719086254479438E-4</c:v>
                </c:pt>
                <c:pt idx="9">
                  <c:v>1.6685588062779866E-2</c:v>
                </c:pt>
                <c:pt idx="10">
                  <c:v>5.4752269755429048E-3</c:v>
                </c:pt>
                <c:pt idx="11">
                  <c:v>1.4377142777497126E-2</c:v>
                </c:pt>
                <c:pt idx="12">
                  <c:v>3.3897214261721896E-2</c:v>
                </c:pt>
                <c:pt idx="13">
                  <c:v>1.5275452289467497E-2</c:v>
                </c:pt>
                <c:pt idx="14">
                  <c:v>1.9644269662782148E-2</c:v>
                </c:pt>
                <c:pt idx="15">
                  <c:v>2.5527869134963784E-3</c:v>
                </c:pt>
                <c:pt idx="16">
                  <c:v>6.3625205282085831E-2</c:v>
                </c:pt>
                <c:pt idx="17">
                  <c:v>2.8606617944352247E-2</c:v>
                </c:pt>
                <c:pt idx="18">
                  <c:v>9.2338411535906009E-2</c:v>
                </c:pt>
                <c:pt idx="19">
                  <c:v>3.7081655806285314E-2</c:v>
                </c:pt>
                <c:pt idx="20">
                  <c:v>8.0667854991217647E-2</c:v>
                </c:pt>
                <c:pt idx="21">
                  <c:v>7.2116124080368757E-2</c:v>
                </c:pt>
                <c:pt idx="22">
                  <c:v>4.8690858945072676E-2</c:v>
                </c:pt>
                <c:pt idx="23">
                  <c:v>3.8129766804175846E-2</c:v>
                </c:pt>
                <c:pt idx="24">
                  <c:v>4.4087570449600877E-2</c:v>
                </c:pt>
                <c:pt idx="25">
                  <c:v>3.2152575105713378E-2</c:v>
                </c:pt>
                <c:pt idx="26">
                  <c:v>5.5570782467654053E-2</c:v>
                </c:pt>
                <c:pt idx="27">
                  <c:v>1.3060602133616553E-2</c:v>
                </c:pt>
                <c:pt idx="28">
                  <c:v>2.1340859672377949E-2</c:v>
                </c:pt>
                <c:pt idx="29">
                  <c:v>4.1066865171737105E-2</c:v>
                </c:pt>
                <c:pt idx="30">
                  <c:v>1.4459843678477956E-2</c:v>
                </c:pt>
                <c:pt idx="31">
                  <c:v>9.4034598239634629E-3</c:v>
                </c:pt>
                <c:pt idx="32">
                  <c:v>7.6005198573250174E-3</c:v>
                </c:pt>
                <c:pt idx="33">
                  <c:v>8.9036145078152489E-3</c:v>
                </c:pt>
                <c:pt idx="34">
                  <c:v>1.6999480648624755E-2</c:v>
                </c:pt>
                <c:pt idx="35">
                  <c:v>3.4994948371139811E-3</c:v>
                </c:pt>
                <c:pt idx="36">
                  <c:v>2.2400876516270132E-3</c:v>
                </c:pt>
                <c:pt idx="37">
                  <c:v>1.6105224861622879E-2</c:v>
                </c:pt>
                <c:pt idx="38">
                  <c:v>1.05668664685116E-2</c:v>
                </c:pt>
                <c:pt idx="39">
                  <c:v>4.2342934191609786E-3</c:v>
                </c:pt>
                <c:pt idx="40">
                  <c:v>2.4730431868275585E-3</c:v>
                </c:pt>
                <c:pt idx="41">
                  <c:v>3.6538884292813423E-3</c:v>
                </c:pt>
                <c:pt idx="42">
                  <c:v>1.2653871694230832E-3</c:v>
                </c:pt>
                <c:pt idx="43">
                  <c:v>1.3323860077628844E-3</c:v>
                </c:pt>
                <c:pt idx="44">
                  <c:v>2.3598910342462974E-3</c:v>
                </c:pt>
                <c:pt idx="45">
                  <c:v>6.5862065462434199E-2</c:v>
                </c:pt>
                <c:pt idx="46">
                  <c:v>2.6240397331394905E-4</c:v>
                </c:pt>
                <c:pt idx="47">
                  <c:v>0</c:v>
                </c:pt>
                <c:pt idx="48">
                  <c:v>3.8748507226152597E-3</c:v>
                </c:pt>
                <c:pt idx="49">
                  <c:v>4.2111490899887459E-4</c:v>
                </c:pt>
                <c:pt idx="50">
                  <c:v>5.9396251645832106E-4</c:v>
                </c:pt>
                <c:pt idx="51">
                  <c:v>3.57085955543715E-4</c:v>
                </c:pt>
                <c:pt idx="52">
                  <c:v>0</c:v>
                </c:pt>
                <c:pt idx="53">
                  <c:v>1.1736391084875191E-3</c:v>
                </c:pt>
                <c:pt idx="54">
                  <c:v>0</c:v>
                </c:pt>
                <c:pt idx="55">
                  <c:v>1.364706099673315E-3</c:v>
                </c:pt>
                <c:pt idx="56">
                  <c:v>0</c:v>
                </c:pt>
                <c:pt idx="57">
                  <c:v>2.4415203679435619E-3</c:v>
                </c:pt>
                <c:pt idx="58">
                  <c:v>1.6759276996825389E-4</c:v>
                </c:pt>
                <c:pt idx="59">
                  <c:v>0</c:v>
                </c:pt>
                <c:pt idx="60">
                  <c:v>1.7818768419978228E-3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1.1461637138102877E-2</c:v>
                </c:pt>
                <c:pt idx="1">
                  <c:v>2.7002948930182954E-2</c:v>
                </c:pt>
                <c:pt idx="2">
                  <c:v>3.2750899991219599E-2</c:v>
                </c:pt>
                <c:pt idx="3">
                  <c:v>3.4342080184345612E-2</c:v>
                </c:pt>
                <c:pt idx="4">
                  <c:v>3.2511045103426714E-2</c:v>
                </c:pt>
                <c:pt idx="5">
                  <c:v>3.0665019092020757E-2</c:v>
                </c:pt>
                <c:pt idx="6">
                  <c:v>2.8744038428179523E-2</c:v>
                </c:pt>
                <c:pt idx="7">
                  <c:v>2.6913003347260621E-2</c:v>
                </c:pt>
                <c:pt idx="8">
                  <c:v>2.3874127581384692E-2</c:v>
                </c:pt>
                <c:pt idx="9">
                  <c:v>2.2338627987210594E-2</c:v>
                </c:pt>
                <c:pt idx="10">
                  <c:v>1.9327592520810625E-2</c:v>
                </c:pt>
                <c:pt idx="11">
                  <c:v>1.7732129204688307E-2</c:v>
                </c:pt>
                <c:pt idx="12">
                  <c:v>1.591394349275831E-2</c:v>
                </c:pt>
                <c:pt idx="13">
                  <c:v>1.3840911962548372E-2</c:v>
                </c:pt>
                <c:pt idx="14">
                  <c:v>1.2521710079687503E-2</c:v>
                </c:pt>
                <c:pt idx="15">
                  <c:v>1.1296736902745267E-2</c:v>
                </c:pt>
                <c:pt idx="16">
                  <c:v>9.8468997684972026E-3</c:v>
                </c:pt>
                <c:pt idx="17">
                  <c:v>8.71829685897175E-3</c:v>
                </c:pt>
                <c:pt idx="18">
                  <c:v>0.15883105007184939</c:v>
                </c:pt>
                <c:pt idx="19">
                  <c:v>3.680915903021529E-2</c:v>
                </c:pt>
                <c:pt idx="20">
                  <c:v>4.0766764678797897E-2</c:v>
                </c:pt>
                <c:pt idx="21">
                  <c:v>4.6354098627473236E-2</c:v>
                </c:pt>
                <c:pt idx="22">
                  <c:v>4.3441574989988199E-2</c:v>
                </c:pt>
                <c:pt idx="23">
                  <c:v>2.9592096781447225E-2</c:v>
                </c:pt>
                <c:pt idx="24">
                  <c:v>2.3400842490293373E-2</c:v>
                </c:pt>
                <c:pt idx="25">
                  <c:v>2.5859355090170448E-2</c:v>
                </c:pt>
                <c:pt idx="26">
                  <c:v>1.4969514872073824E-2</c:v>
                </c:pt>
                <c:pt idx="27">
                  <c:v>1.298857048628437E-2</c:v>
                </c:pt>
                <c:pt idx="28">
                  <c:v>1.0311618613595917E-2</c:v>
                </c:pt>
                <c:pt idx="29">
                  <c:v>1.3200585074601295E-2</c:v>
                </c:pt>
                <c:pt idx="30">
                  <c:v>2.7913112566897026E-2</c:v>
                </c:pt>
                <c:pt idx="31">
                  <c:v>1.0251654891647696E-2</c:v>
                </c:pt>
                <c:pt idx="32">
                  <c:v>1.5860404455304542E-2</c:v>
                </c:pt>
                <c:pt idx="33">
                  <c:v>7.1570985268198453E-3</c:v>
                </c:pt>
                <c:pt idx="34">
                  <c:v>1.5746901695902552E-2</c:v>
                </c:pt>
                <c:pt idx="35">
                  <c:v>5.3260634459009444E-3</c:v>
                </c:pt>
                <c:pt idx="36">
                  <c:v>5.4566986972881407E-3</c:v>
                </c:pt>
                <c:pt idx="37">
                  <c:v>7.0050476604511412E-3</c:v>
                </c:pt>
                <c:pt idx="38">
                  <c:v>1.0168133993219816E-2</c:v>
                </c:pt>
                <c:pt idx="39">
                  <c:v>5.7115445155680811E-3</c:v>
                </c:pt>
                <c:pt idx="40">
                  <c:v>3.972596579069663E-3</c:v>
                </c:pt>
                <c:pt idx="41">
                  <c:v>4.3859179482127596E-3</c:v>
                </c:pt>
                <c:pt idx="42">
                  <c:v>2.8696924075220205E-3</c:v>
                </c:pt>
                <c:pt idx="43">
                  <c:v>4.4780050926332424E-3</c:v>
                </c:pt>
                <c:pt idx="44">
                  <c:v>4.6557546969797558E-3</c:v>
                </c:pt>
                <c:pt idx="45">
                  <c:v>3.9897290710548686E-3</c:v>
                </c:pt>
                <c:pt idx="46">
                  <c:v>3.5143024184653999E-3</c:v>
                </c:pt>
                <c:pt idx="47">
                  <c:v>1.878149433878218E-3</c:v>
                </c:pt>
                <c:pt idx="48">
                  <c:v>1.9381131558264392E-3</c:v>
                </c:pt>
                <c:pt idx="49">
                  <c:v>4.578658483046328E-3</c:v>
                </c:pt>
                <c:pt idx="50">
                  <c:v>1.3084940753701154E-3</c:v>
                </c:pt>
                <c:pt idx="51">
                  <c:v>1.8524506959004088E-3</c:v>
                </c:pt>
                <c:pt idx="52">
                  <c:v>1.1478769630088083E-3</c:v>
                </c:pt>
                <c:pt idx="53">
                  <c:v>1.1928497544699743E-3</c:v>
                </c:pt>
                <c:pt idx="54">
                  <c:v>9.9582609664010413E-4</c:v>
                </c:pt>
                <c:pt idx="55">
                  <c:v>1.4519786957462163E-3</c:v>
                </c:pt>
                <c:pt idx="56">
                  <c:v>1.7368063750002676E-3</c:v>
                </c:pt>
                <c:pt idx="57">
                  <c:v>8.2664273828619394E-4</c:v>
                </c:pt>
                <c:pt idx="58">
                  <c:v>7.5168808585091733E-4</c:v>
                </c:pt>
                <c:pt idx="59">
                  <c:v>6.0177878098036401E-4</c:v>
                </c:pt>
                <c:pt idx="60">
                  <c:v>4.6686040659686602E-4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606408"/>
        <c:axId val="118602880"/>
      </c:lineChart>
      <c:catAx>
        <c:axId val="118606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18602880"/>
        <c:crosses val="autoZero"/>
        <c:auto val="1"/>
        <c:lblAlgn val="ctr"/>
        <c:lblOffset val="100"/>
        <c:tickLblSkip val="10"/>
        <c:noMultiLvlLbl val="0"/>
      </c:catAx>
      <c:valAx>
        <c:axId val="118602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860640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workbookViewId="0">
      <selection activeCell="M31" sqref="M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6" t="n">
        <v>4626.1693516567</v>
      </c>
      <c r="C11" s="11">
        <f>B11/B$102</f>
        <v>8.4605162727361283E-3</v>
      </c>
      <c r="E11" s="19">
        <v>0</v>
      </c>
      <c r="F11" s="338" t="n">
        <v>62800.0</v>
      </c>
      <c r="G11" s="11">
        <f>F11/F$102</f>
        <v>0.13300167684265304</v>
      </c>
      <c r="K11" s="8" t="n">
        <v>6.389731010667382</v>
      </c>
      <c r="L11" s="8" t="n">
        <v>5.765237369960186</v>
      </c>
    </row>
    <row r="12" spans="1:12" x14ac:dyDescent="0.25">
      <c r="A12">
        <v>1</v>
      </c>
      <c r="B12" s="336" t="n">
        <v>17495.9797819921</v>
      </c>
      <c r="C12" s="11">
        <f>B12/B$102</f>
        <v>3.1997320115398818E-2</v>
      </c>
      <c r="E12" s="20">
        <v>1</v>
      </c>
      <c r="F12" s="338" t="n">
        <v>56807.0</v>
      </c>
      <c r="G12" s="11">
        <f>F12/F$102</f>
        <v>0.11925499358602332</v>
      </c>
      <c r="K12" s="8"/>
      <c r="L12" s="289"/>
    </row>
    <row r="13" spans="1:12" x14ac:dyDescent="0.25">
      <c r="A13">
        <v>2</v>
      </c>
      <c r="B13" s="336" t="n">
        <v>37742.5557913795</v>
      </c>
      <c r="C13" s="11">
        <f ref="C13:C76" si="0" t="shared">B13/B$102</f>
        <v>6.9025036304229459E-2</v>
      </c>
      <c r="E13" s="21">
        <v>2</v>
      </c>
      <c r="F13" s="338" t="n">
        <v>37318.0</v>
      </c>
      <c r="G13" s="11">
        <f ref="G13:G76" si="1" t="shared">F13/F$102</f>
        <v>7.7929281356208066E-2</v>
      </c>
    </row>
    <row r="14" spans="1:12" x14ac:dyDescent="0.25">
      <c r="A14">
        <v>3</v>
      </c>
      <c r="B14" s="336" t="n">
        <v>58560.3213397601</v>
      </c>
      <c r="C14" s="11">
        <f si="0" t="shared"/>
        <v>0.10709736587015968</v>
      </c>
      <c r="E14" s="22">
        <v>3</v>
      </c>
      <c r="F14" s="338" t="n">
        <v>21926.0</v>
      </c>
      <c r="G14" s="11">
        <f si="1" t="shared"/>
        <v>4.6703173151671808E-2</v>
      </c>
    </row>
    <row r="15" spans="1:12" x14ac:dyDescent="0.25">
      <c r="A15">
        <v>4</v>
      </c>
      <c r="B15" s="336" t="n">
        <v>117469.2701282316</v>
      </c>
      <c r="C15" s="11">
        <f si="0" t="shared"/>
        <v>0.21483231501467334</v>
      </c>
      <c r="E15" s="23">
        <v>4</v>
      </c>
      <c r="F15" s="338" t="n">
        <v>100172.0</v>
      </c>
      <c r="G15" s="11">
        <f si="1" t="shared"/>
        <v>0.21188609462703636</v>
      </c>
    </row>
    <row r="16" spans="1:12" x14ac:dyDescent="0.25">
      <c r="A16">
        <v>5</v>
      </c>
      <c r="B16" s="336" t="n">
        <v>54624.2580661488</v>
      </c>
      <c r="C16" s="11">
        <f si="0" t="shared"/>
        <v>9.9898942110557845E-2</v>
      </c>
      <c r="E16" s="24">
        <v>5</v>
      </c>
      <c r="F16" s="338" t="n">
        <v>41930.0</v>
      </c>
      <c r="G16" s="11">
        <f si="1" t="shared"/>
        <v>8.8146671263885354E-2</v>
      </c>
    </row>
    <row r="17" spans="1:7" x14ac:dyDescent="0.25">
      <c r="A17">
        <v>6</v>
      </c>
      <c r="B17" s="336" t="n">
        <v>76807.8842897505</v>
      </c>
      <c r="C17" s="11">
        <f si="0" t="shared"/>
        <v>0.14046921016308067</v>
      </c>
      <c r="E17" s="25">
        <v>6</v>
      </c>
      <c r="F17" s="338" t="n">
        <v>40071.0</v>
      </c>
      <c r="G17" s="11">
        <f si="1" t="shared"/>
        <v>8.4544564823995763E-2</v>
      </c>
    </row>
    <row r="18" spans="1:7" x14ac:dyDescent="0.25">
      <c r="A18">
        <v>7</v>
      </c>
      <c r="B18" s="336" t="n">
        <v>43128.3969977886</v>
      </c>
      <c r="C18" s="11">
        <f si="0" t="shared"/>
        <v>7.8874869655634727E-2</v>
      </c>
      <c r="E18" s="26">
        <v>7</v>
      </c>
      <c r="F18" s="338" t="n">
        <v>27455.0</v>
      </c>
      <c r="G18" s="11">
        <f si="1" t="shared"/>
        <v>3.0061098749542242E-2</v>
      </c>
    </row>
    <row r="19" spans="1:7" x14ac:dyDescent="0.25">
      <c r="A19">
        <v>8</v>
      </c>
      <c r="B19" s="336" t="n">
        <v>17953.798010249</v>
      </c>
      <c r="C19" s="11">
        <f si="0" t="shared"/>
        <v>3.2834595683085423E-2</v>
      </c>
      <c r="E19" s="27">
        <v>8</v>
      </c>
      <c r="F19" s="338" t="n">
        <v>15320.0</v>
      </c>
      <c r="G19" s="11">
        <f si="1" t="shared"/>
        <v>6.0010836301180641E-2</v>
      </c>
    </row>
    <row r="20" spans="1:7" x14ac:dyDescent="0.25">
      <c r="A20">
        <v>9</v>
      </c>
      <c r="B20" s="336" t="n">
        <v>13883.6639434421</v>
      </c>
      <c r="C20" s="11">
        <f si="0" t="shared"/>
        <v>2.5390978105163071E-2</v>
      </c>
      <c r="E20" s="28">
        <v>9</v>
      </c>
      <c r="F20" s="338" t="n">
        <v>6241.0</v>
      </c>
      <c r="G20" s="11">
        <f si="1" t="shared"/>
        <v>1.6438626059805245E-2</v>
      </c>
    </row>
    <row r="21" spans="1:7" x14ac:dyDescent="0.25">
      <c r="A21">
        <v>10</v>
      </c>
      <c r="B21" s="336" t="n">
        <v>45100.6405353116</v>
      </c>
      <c r="C21" s="11">
        <f si="0" t="shared"/>
        <v>8.2481784421311516E-2</v>
      </c>
      <c r="E21" s="29">
        <v>10</v>
      </c>
      <c r="F21" s="338" t="n">
        <v>3872.0</v>
      </c>
      <c r="G21" s="11">
        <f si="1" t="shared"/>
        <v>8.1936142919248143E-3</v>
      </c>
    </row>
    <row r="22" spans="1:7" x14ac:dyDescent="0.25">
      <c r="A22">
        <v>11</v>
      </c>
      <c r="B22" s="336" t="n">
        <v>6899.669484883</v>
      </c>
      <c r="C22" s="11">
        <f si="0" t="shared"/>
        <v>1.2618380676541521E-2</v>
      </c>
      <c r="E22" s="30">
        <v>11</v>
      </c>
      <c r="F22" s="338" t="n">
        <v>5797.0</v>
      </c>
      <c r="G22" s="11">
        <f si="1" t="shared"/>
        <v>1.085343367262806E-2</v>
      </c>
    </row>
    <row r="23" spans="1:7" x14ac:dyDescent="0.25">
      <c r="A23">
        <v>12</v>
      </c>
      <c r="B23" s="336" t="n">
        <v>9794.3975532934</v>
      </c>
      <c r="C23" s="11">
        <f si="0" t="shared"/>
        <v>1.7912370599145987E-2</v>
      </c>
      <c r="E23" s="31">
        <v>12</v>
      </c>
      <c r="F23" s="338" t="n">
        <v>4605.0</v>
      </c>
      <c r="G23" s="11">
        <f si="1" t="shared"/>
        <v>1.1453070892110274E-2</v>
      </c>
    </row>
    <row r="24" spans="1:7" x14ac:dyDescent="0.25">
      <c r="A24">
        <v>13</v>
      </c>
      <c r="B24" s="336" t="n">
        <v>4016.2836465706</v>
      </c>
      <c r="C24" s="11">
        <f si="0" t="shared"/>
        <v>7.34513386017005E-3</v>
      </c>
      <c r="E24" s="32">
        <v>13</v>
      </c>
      <c r="F24" s="338" t="n">
        <v>8157.0</v>
      </c>
      <c r="G24" s="11">
        <f si="1" t="shared"/>
        <v>1.9818010103887149E-2</v>
      </c>
    </row>
    <row r="25" spans="1:7" x14ac:dyDescent="0.25">
      <c r="A25">
        <v>14</v>
      </c>
      <c r="B25" s="336" t="n">
        <v>6116.8280415961</v>
      </c>
      <c r="C25" s="11">
        <f si="0" t="shared"/>
        <v>1.1186690164059702E-2</v>
      </c>
      <c r="E25" s="33">
        <v>14</v>
      </c>
      <c r="F25" s="338" t="n">
        <v>2652.0</v>
      </c>
      <c r="G25" s="11">
        <f si="1" t="shared"/>
        <v>6.1955374141501535E-3</v>
      </c>
    </row>
    <row r="26" spans="1:7" x14ac:dyDescent="0.25">
      <c r="A26">
        <v>15</v>
      </c>
      <c r="B26" s="336" t="n">
        <v>2171.1499301826</v>
      </c>
      <c r="C26" s="11">
        <f si="0" t="shared"/>
        <v>3.9706824196311724E-3</v>
      </c>
      <c r="E26" s="34">
        <v>15</v>
      </c>
      <c r="F26" s="338" t="n">
        <v>8340.0</v>
      </c>
      <c r="G26" s="11">
        <f si="1" t="shared"/>
        <v>1.6552128819207236E-2</v>
      </c>
    </row>
    <row r="27" spans="1:7" x14ac:dyDescent="0.25">
      <c r="A27">
        <v>16</v>
      </c>
      <c r="B27" s="336" t="n">
        <v>2756.3445044911</v>
      </c>
      <c r="C27" s="11">
        <f si="0" t="shared"/>
        <v>5.0409087434644985E-3</v>
      </c>
      <c r="E27" s="35">
        <v>16</v>
      </c>
      <c r="F27" s="338" t="n">
        <v>2857.0</v>
      </c>
      <c r="G27" s="11">
        <f si="1" t="shared"/>
        <v>6.5253378848653711E-3</v>
      </c>
    </row>
    <row r="28" spans="1:7" x14ac:dyDescent="0.25">
      <c r="A28">
        <v>17</v>
      </c>
      <c r="B28" s="336" t="n">
        <v>9325.124494645</v>
      </c>
      <c r="C28" s="11">
        <f si="0" t="shared"/>
        <v>1.7054145997482922E-2</v>
      </c>
      <c r="E28" s="36">
        <v>17</v>
      </c>
      <c r="F28" s="338" t="n">
        <v>2438.0</v>
      </c>
      <c r="G28" s="11">
        <f si="1" t="shared"/>
        <v>6.80374087962497E-3</v>
      </c>
    </row>
    <row r="29" spans="1:7" x14ac:dyDescent="0.25">
      <c r="A29">
        <v>18</v>
      </c>
      <c r="B29" s="336" t="n">
        <v>5538.8599620439</v>
      </c>
      <c r="C29" s="11">
        <f si="0" t="shared"/>
        <v>1.0129679931517678E-2</v>
      </c>
      <c r="E29" s="37">
        <v>18</v>
      </c>
      <c r="F29" s="338" t="n">
        <v>2611.0</v>
      </c>
      <c r="G29" s="11">
        <f si="1" t="shared"/>
        <v>3.7027598303026668E-3</v>
      </c>
    </row>
    <row r="30" spans="1:7" x14ac:dyDescent="0.25">
      <c r="A30">
        <v>19</v>
      </c>
      <c r="B30" s="336" t="n">
        <v>1295.5196973272</v>
      </c>
      <c r="C30" s="11">
        <f si="0" t="shared"/>
        <v>2.3692962033397555E-3</v>
      </c>
      <c r="E30" s="38">
        <v>19</v>
      </c>
      <c r="F30" s="338" t="n">
        <v>1267.0</v>
      </c>
      <c r="G30" s="11">
        <f si="1" t="shared"/>
        <v>2.6598193807032462E-3</v>
      </c>
    </row>
    <row r="31" spans="1:7" x14ac:dyDescent="0.25">
      <c r="A31">
        <v>20</v>
      </c>
      <c r="B31" s="336" t="n">
        <v>917.9875877264</v>
      </c>
      <c r="C31" s="11">
        <f si="0" t="shared"/>
        <v>1.6788509744779744E-3</v>
      </c>
      <c r="E31" s="39">
        <v>20</v>
      </c>
      <c r="F31" s="338" t="n">
        <v>1551.0</v>
      </c>
      <c r="G31" s="11">
        <f si="1" t="shared"/>
        <v>2.786171509094141E-3</v>
      </c>
    </row>
    <row r="32" spans="1:7" x14ac:dyDescent="0.25">
      <c r="A32">
        <v>21</v>
      </c>
      <c r="B32" s="336" t="n">
        <v>1539.924360585</v>
      </c>
      <c r="C32" s="11">
        <f si="0" t="shared"/>
        <v>2.8162728428535477E-3</v>
      </c>
      <c r="E32" s="40">
        <v>21</v>
      </c>
      <c r="F32" s="338" t="n">
        <v>2621.0</v>
      </c>
      <c r="G32" s="11">
        <f si="1" t="shared"/>
        <v>5.7779329220107546E-3</v>
      </c>
    </row>
    <row r="33" spans="1:7" x14ac:dyDescent="0.25">
      <c r="A33">
        <v>22</v>
      </c>
      <c r="B33" s="336" t="n">
        <v>1346.5189433196</v>
      </c>
      <c r="C33" s="11">
        <f si="0" t="shared"/>
        <v>2.4625655840772882E-3</v>
      </c>
      <c r="E33" s="41">
        <v>22</v>
      </c>
      <c r="F33" s="338" t="n">
        <v>793.0</v>
      </c>
      <c r="G33" s="11">
        <f si="1" t="shared"/>
        <v>1.8503091344022581E-3</v>
      </c>
    </row>
    <row r="34" spans="1:7" x14ac:dyDescent="0.25">
      <c r="A34">
        <v>23</v>
      </c>
      <c r="B34" s="336" t="n">
        <v>754.106479142</v>
      </c>
      <c r="C34" s="11">
        <f si="0" t="shared"/>
        <v>1.379138905901017E-3</v>
      </c>
      <c r="E34" s="42">
        <v>23</v>
      </c>
      <c r="F34" s="338" t="n">
        <v>1067.0</v>
      </c>
      <c r="G34" s="11">
        <f si="1" t="shared"/>
        <v>2.0751730917080882E-3</v>
      </c>
    </row>
    <row r="35" spans="1:7" x14ac:dyDescent="0.25">
      <c r="A35">
        <v>24</v>
      </c>
      <c r="B35" s="336" t="n">
        <v>884.537008426</v>
      </c>
      <c r="C35" s="11">
        <f si="0" t="shared"/>
        <v>1.6176752697013791E-3</v>
      </c>
      <c r="E35" s="43">
        <v>24</v>
      </c>
      <c r="F35" s="338" t="n">
        <v>979.0</v>
      </c>
      <c r="G35" s="11">
        <f si="1" t="shared"/>
        <v>2.2100914660915859E-3</v>
      </c>
    </row>
    <row r="36" spans="1:7" x14ac:dyDescent="0.25">
      <c r="A36">
        <v>25</v>
      </c>
      <c r="B36" s="336" t="n">
        <v>0.0</v>
      </c>
      <c r="C36" s="11">
        <f si="0" t="shared"/>
        <v>0</v>
      </c>
      <c r="E36" s="44">
        <v>25</v>
      </c>
      <c r="F36" s="338" t="n">
        <v>881.0</v>
      </c>
      <c r="G36" s="11">
        <f si="1" t="shared"/>
        <v>2.4156813699140593E-3</v>
      </c>
    </row>
    <row r="37" spans="1:7" x14ac:dyDescent="0.25">
      <c r="A37">
        <v>26</v>
      </c>
      <c r="B37" s="336" t="n">
        <v>247.4515228492</v>
      </c>
      <c r="C37" s="11">
        <f si="0" t="shared"/>
        <v>4.5254885341135519E-4</v>
      </c>
      <c r="E37" s="45">
        <v>26</v>
      </c>
      <c r="F37" s="338" t="n">
        <v>998.0</v>
      </c>
      <c r="G37" s="11">
        <f si="1" t="shared"/>
        <v>1.5569152091556037E-3</v>
      </c>
    </row>
    <row r="38" spans="1:7" x14ac:dyDescent="0.25">
      <c r="A38">
        <v>27</v>
      </c>
      <c r="B38" s="336" t="n">
        <v>1835.678311973</v>
      </c>
      <c r="C38" s="11">
        <f si="0" t="shared"/>
        <v>3.3571590336169918E-3</v>
      </c>
      <c r="E38" s="46">
        <v>27</v>
      </c>
      <c r="F38" s="338" t="n">
        <v>3379.0</v>
      </c>
      <c r="G38" s="11">
        <f si="1" t="shared"/>
        <v>7.0178970294400463E-3</v>
      </c>
    </row>
    <row r="39" spans="1:7" x14ac:dyDescent="0.25">
      <c r="A39">
        <v>28</v>
      </c>
      <c r="B39" s="336" t="n">
        <v>1281.967247715</v>
      </c>
      <c r="C39" s="11">
        <f si="0" t="shared"/>
        <v>2.3445109627306124E-3</v>
      </c>
      <c r="E39" s="47">
        <v>28</v>
      </c>
      <c r="F39" s="338" t="n">
        <v>735.0</v>
      </c>
      <c r="G39" s="11">
        <f si="1" t="shared"/>
        <v>1.3684577973183368E-3</v>
      </c>
    </row>
    <row r="40" spans="1:7" x14ac:dyDescent="0.25">
      <c r="A40">
        <v>29</v>
      </c>
      <c r="B40" s="336" t="n">
        <v>0.0</v>
      </c>
      <c r="C40" s="11">
        <f si="0" t="shared"/>
        <v>0</v>
      </c>
      <c r="E40" s="48">
        <v>29</v>
      </c>
      <c r="F40" s="338" t="n">
        <v>866.0</v>
      </c>
      <c r="G40" s="11">
        <f si="1" t="shared"/>
        <v>1.9766612627931529E-3</v>
      </c>
    </row>
    <row r="41" spans="1:7" x14ac:dyDescent="0.25">
      <c r="A41">
        <v>30</v>
      </c>
      <c r="B41" s="336" t="n">
        <v>0.0</v>
      </c>
      <c r="C41" s="11">
        <f si="0" t="shared"/>
        <v>0</v>
      </c>
      <c r="E41" s="49">
        <v>30</v>
      </c>
      <c r="F41" s="338" t="n">
        <v>887.0</v>
      </c>
      <c r="G41" s="11">
        <f si="1" t="shared"/>
        <v>1.878149433878218E-3</v>
      </c>
    </row>
    <row r="42" spans="1:7" x14ac:dyDescent="0.25">
      <c r="A42">
        <v>31</v>
      </c>
      <c r="B42" s="336" t="n">
        <v>0.0</v>
      </c>
      <c r="C42" s="11">
        <f si="0" t="shared"/>
        <v>0</v>
      </c>
      <c r="E42" s="50">
        <v>31</v>
      </c>
      <c r="F42" s="338" t="n">
        <v>448.0</v>
      </c>
      <c r="G42" s="11">
        <f si="1" t="shared"/>
        <v>8.8660646023441532E-4</v>
      </c>
    </row>
    <row r="43" spans="1:7" x14ac:dyDescent="0.25">
      <c r="A43">
        <v>32</v>
      </c>
      <c r="B43" s="336" t="n">
        <v>0.0</v>
      </c>
      <c r="C43" s="11">
        <f si="0" t="shared"/>
        <v>0</v>
      </c>
      <c r="E43" s="51">
        <v>32</v>
      </c>
      <c r="F43" s="338" t="n">
        <v>374.0</v>
      </c>
      <c r="G43" s="11">
        <f si="1" t="shared"/>
        <v>7.5811277034536966E-4</v>
      </c>
    </row>
    <row r="44" spans="1:7" x14ac:dyDescent="0.25">
      <c r="A44">
        <v>33</v>
      </c>
      <c r="B44" s="336" t="n">
        <v>572.866861522</v>
      </c>
      <c r="C44" s="11">
        <f si="0" t="shared"/>
        <v>1.0476809289920314E-3</v>
      </c>
      <c r="E44" s="52">
        <v>33</v>
      </c>
      <c r="F44" s="338" t="n">
        <v>336.0</v>
      </c>
      <c r="G44" s="11">
        <f si="1" t="shared"/>
        <v>7.2170622487680665E-4</v>
      </c>
    </row>
    <row r="45" spans="1:7" x14ac:dyDescent="0.25">
      <c r="A45">
        <v>34</v>
      </c>
      <c r="B45" s="336" t="n">
        <v>1426.6504365116</v>
      </c>
      <c r="C45" s="11">
        <f si="0" t="shared"/>
        <v>2.6091131379118175E-3</v>
      </c>
      <c r="E45" s="53">
        <v>34</v>
      </c>
      <c r="F45" s="338" t="n">
        <v>363.0</v>
      </c>
      <c r="G45" s="11">
        <f si="1" t="shared"/>
        <v>8.437752302714001E-4</v>
      </c>
    </row>
    <row r="46" spans="1:7" x14ac:dyDescent="0.25">
      <c r="A46">
        <v>35</v>
      </c>
      <c r="B46" s="336" t="n">
        <v>0.0</v>
      </c>
      <c r="C46" s="11">
        <f si="0" t="shared"/>
        <v>0</v>
      </c>
      <c r="E46" s="54">
        <v>35</v>
      </c>
      <c r="F46" s="338" t="n">
        <v>216.0</v>
      </c>
      <c r="G46" s="11">
        <f si="1" t="shared"/>
        <v>5.6751379700995181E-4</v>
      </c>
    </row>
    <row r="47" spans="1:7" x14ac:dyDescent="0.25">
      <c r="A47">
        <v>36</v>
      </c>
      <c r="B47" s="336" t="n">
        <v>0.0</v>
      </c>
      <c r="C47" s="11">
        <f si="0" t="shared"/>
        <v>0</v>
      </c>
      <c r="E47" s="55">
        <v>36</v>
      </c>
      <c r="F47" s="338" t="n">
        <v>349.0</v>
      </c>
      <c r="G47" s="11">
        <f si="1" t="shared"/>
        <v>5.5466442802104728E-4</v>
      </c>
    </row>
    <row r="48" spans="1:7" x14ac:dyDescent="0.25">
      <c r="A48">
        <v>37</v>
      </c>
      <c r="B48" s="336" t="n">
        <v>0.0</v>
      </c>
      <c r="C48" s="11">
        <f si="0" t="shared"/>
        <v>0</v>
      </c>
      <c r="E48" s="56">
        <v>37</v>
      </c>
      <c r="F48" s="338" t="n">
        <v>303.0</v>
      </c>
      <c r="G48" s="11">
        <f si="1" t="shared"/>
        <v>6.8101655641194224E-4</v>
      </c>
    </row>
    <row r="49" spans="1:7" x14ac:dyDescent="0.25">
      <c r="A49">
        <v>38</v>
      </c>
      <c r="B49" s="336" t="n">
        <v>292.681617382</v>
      </c>
      <c r="C49" s="11">
        <f si="0" t="shared"/>
        <v>5.352673882775957E-4</v>
      </c>
      <c r="E49" s="57">
        <v>38</v>
      </c>
      <c r="F49" s="338" t="n">
        <v>250.0</v>
      </c>
      <c r="G49" s="11">
        <f si="1" t="shared"/>
        <v>5.8678785049330866E-4</v>
      </c>
    </row>
    <row r="50" spans="1:7" x14ac:dyDescent="0.25">
      <c r="A50">
        <v>39</v>
      </c>
      <c r="B50" s="336" t="n">
        <v>0.0</v>
      </c>
      <c r="C50" s="11">
        <f si="0" t="shared"/>
        <v>0</v>
      </c>
      <c r="E50" s="58">
        <v>39</v>
      </c>
      <c r="F50" s="338" t="n">
        <v>215.0</v>
      </c>
      <c r="G50" s="11">
        <f si="1" t="shared"/>
        <v>3.8976419266343861E-4</v>
      </c>
    </row>
    <row r="51" spans="1:7" x14ac:dyDescent="0.25">
      <c r="A51">
        <v>40</v>
      </c>
      <c r="B51" s="336" t="n">
        <v>0.0</v>
      </c>
      <c r="C51" s="11">
        <f si="0" t="shared"/>
        <v>0</v>
      </c>
      <c r="E51" s="59">
        <v>40</v>
      </c>
      <c r="F51" s="338" t="n">
        <v>87.0</v>
      </c>
      <c r="G51" s="11">
        <f si="1" t="shared"/>
        <v>2.3771332629473455E-4</v>
      </c>
    </row>
    <row r="52" spans="1:7" x14ac:dyDescent="0.25">
      <c r="A52">
        <v>41</v>
      </c>
      <c r="B52" s="336" t="n">
        <v>0.0</v>
      </c>
      <c r="C52" s="11">
        <f si="0" t="shared"/>
        <v>0</v>
      </c>
      <c r="E52" s="60">
        <v>41</v>
      </c>
      <c r="F52" s="338" t="n">
        <v>94.0</v>
      </c>
      <c r="G52" s="11">
        <f si="1" t="shared"/>
        <v>2.3985488779288531E-4</v>
      </c>
    </row>
    <row r="53" spans="1:7" x14ac:dyDescent="0.25">
      <c r="A53">
        <v>42</v>
      </c>
      <c r="B53" s="336" t="n">
        <v>0.0</v>
      </c>
      <c r="C53" s="11">
        <f si="0" t="shared"/>
        <v>0</v>
      </c>
      <c r="E53" s="61">
        <v>42</v>
      </c>
      <c r="F53" s="338" t="n">
        <v>113.0</v>
      </c>
      <c r="G53" s="11">
        <f si="1" t="shared"/>
        <v>1.9274053483356855E-4</v>
      </c>
    </row>
    <row r="54" spans="1:7" x14ac:dyDescent="0.25">
      <c r="A54">
        <v>43</v>
      </c>
      <c r="B54" s="336" t="n">
        <v>0.0</v>
      </c>
      <c r="C54" s="11">
        <f si="0" t="shared"/>
        <v>0</v>
      </c>
      <c r="E54" s="62">
        <v>43</v>
      </c>
      <c r="F54" s="338" t="n">
        <v>65.0</v>
      </c>
      <c r="G54" s="11">
        <f si="1" t="shared"/>
        <v>1.4990930487055333E-4</v>
      </c>
    </row>
    <row r="55" spans="1:7" x14ac:dyDescent="0.25">
      <c r="A55">
        <v>44</v>
      </c>
      <c r="B55" s="336" t="n">
        <v>0.0</v>
      </c>
      <c r="C55" s="11">
        <f si="0" t="shared"/>
        <v>0</v>
      </c>
      <c r="E55" s="63">
        <v>44</v>
      </c>
      <c r="F55" s="338" t="n">
        <v>130.0</v>
      </c>
      <c r="G55" s="11">
        <f si="1" t="shared"/>
        <v>2.4413801078918682E-4</v>
      </c>
    </row>
    <row r="56" spans="1:7" x14ac:dyDescent="0.25">
      <c r="A56">
        <v>45</v>
      </c>
      <c r="B56" s="336" t="n">
        <v>0.0</v>
      </c>
      <c r="C56" s="11">
        <f si="0" t="shared"/>
        <v>0</v>
      </c>
      <c r="E56" s="64">
        <v>45</v>
      </c>
      <c r="F56" s="338" t="n">
        <v>85.0</v>
      </c>
      <c r="G56" s="11">
        <f si="1" t="shared"/>
        <v>2.6983674876699597E-4</v>
      </c>
    </row>
    <row r="57" spans="1:7" x14ac:dyDescent="0.25">
      <c r="A57">
        <v>46</v>
      </c>
      <c r="B57" s="336" t="n">
        <v>0.0</v>
      </c>
      <c r="C57" s="11">
        <f si="0" t="shared"/>
        <v>0</v>
      </c>
      <c r="E57" s="65">
        <v>46</v>
      </c>
      <c r="F57" s="338" t="n">
        <v>64.0</v>
      </c>
      <c r="G57" s="11">
        <f si="1" t="shared"/>
        <v>1.2635212839089493E-4</v>
      </c>
    </row>
    <row r="58" spans="1:7" x14ac:dyDescent="0.25">
      <c r="A58">
        <v>47</v>
      </c>
      <c r="B58" s="336" t="n">
        <v>0.0</v>
      </c>
      <c r="C58" s="11">
        <f si="0" t="shared"/>
        <v>0</v>
      </c>
      <c r="E58" s="66">
        <v>47</v>
      </c>
      <c r="F58" s="338" t="n">
        <v>98.0</v>
      </c>
      <c r="G58" s="11">
        <f si="1" t="shared"/>
        <v>1.3920149737979949E-4</v>
      </c>
    </row>
    <row r="59" spans="1:7" x14ac:dyDescent="0.25">
      <c r="A59">
        <v>48</v>
      </c>
      <c r="B59" s="336" t="n">
        <v>0.0</v>
      </c>
      <c r="C59" s="11">
        <f si="0" t="shared"/>
        <v>0</v>
      </c>
      <c r="E59" s="67">
        <v>48</v>
      </c>
      <c r="F59" s="338" t="n">
        <v>26.0</v>
      </c>
      <c r="G59" s="11">
        <f si="1" t="shared"/>
        <v>8.1379336929728944E-5</v>
      </c>
    </row>
    <row r="60" spans="1:7" x14ac:dyDescent="0.25">
      <c r="A60">
        <v>49</v>
      </c>
      <c r="B60" s="336" t="n">
        <v>0.0</v>
      </c>
      <c r="C60" s="11">
        <f si="0" t="shared"/>
        <v>0</v>
      </c>
      <c r="E60" s="68">
        <v>49</v>
      </c>
      <c r="F60" s="338" t="n">
        <v>59.0</v>
      </c>
      <c r="G60" s="11">
        <f si="1" t="shared"/>
        <v>5.3539037453769039E-5</v>
      </c>
    </row>
    <row r="61" spans="1:7" x14ac:dyDescent="0.25">
      <c r="A61">
        <v>50</v>
      </c>
      <c r="B61" s="336" t="n">
        <v>0.0</v>
      </c>
      <c r="C61" s="11">
        <f si="0" t="shared"/>
        <v>0</v>
      </c>
      <c r="E61" s="69">
        <v>50</v>
      </c>
      <c r="F61" s="338" t="n">
        <v>33.0</v>
      </c>
      <c r="G61" s="11">
        <f si="1" t="shared"/>
        <v>7.9237775431578175E-5</v>
      </c>
    </row>
    <row r="62" spans="1:7" x14ac:dyDescent="0.25">
      <c r="A62">
        <v>51</v>
      </c>
      <c r="B62" s="336" t="n">
        <v>387.674382174</v>
      </c>
      <c r="C62" s="11">
        <f si="0" t="shared"/>
        <v>7.0899380666457042E-4</v>
      </c>
      <c r="E62" s="70">
        <v>51</v>
      </c>
      <c r="F62" s="338" t="n">
        <v>38.0</v>
      </c>
      <c r="G62" s="11">
        <f si="1" t="shared"/>
        <v>8.5662459926030468E-5</v>
      </c>
    </row>
    <row r="63" spans="1:7" x14ac:dyDescent="0.25">
      <c r="A63">
        <v>52</v>
      </c>
      <c r="B63" s="336" t="n">
        <v>0.0</v>
      </c>
      <c r="C63" s="11">
        <f si="0" t="shared"/>
        <v>0</v>
      </c>
      <c r="E63" s="71">
        <v>52</v>
      </c>
      <c r="F63" s="338" t="n">
        <v>26.0</v>
      </c>
      <c r="G63" s="11">
        <f si="1" t="shared"/>
        <v>7.0671529438975139E-5</v>
      </c>
    </row>
    <row r="64" spans="1:7" x14ac:dyDescent="0.25">
      <c r="A64">
        <v>53</v>
      </c>
      <c r="B64" s="336" t="n">
        <v>0.0</v>
      </c>
      <c r="C64" s="11">
        <f si="0" t="shared"/>
        <v>0</v>
      </c>
      <c r="E64" s="72">
        <v>53</v>
      </c>
      <c r="F64" s="338" t="n">
        <v>28.0</v>
      </c>
      <c r="G64" s="11">
        <f si="1" t="shared"/>
        <v>3.2123422472261422E-5</v>
      </c>
    </row>
    <row r="65" spans="1:7" x14ac:dyDescent="0.25">
      <c r="A65">
        <v>54</v>
      </c>
      <c r="B65" s="336" t="n">
        <v>0.0</v>
      </c>
      <c r="C65" s="11">
        <f si="0" t="shared"/>
        <v>0</v>
      </c>
      <c r="E65" s="73">
        <v>54</v>
      </c>
      <c r="F65" s="338" t="n">
        <v>31.0</v>
      </c>
      <c r="G65" s="11">
        <f si="1" t="shared"/>
        <v>3.4264983970412185E-5</v>
      </c>
    </row>
    <row r="66" spans="1:7" x14ac:dyDescent="0.25">
      <c r="A66">
        <v>55</v>
      </c>
      <c r="B66" s="336" t="n">
        <v>0.0</v>
      </c>
      <c r="C66" s="11">
        <f si="0" t="shared"/>
        <v>0</v>
      </c>
      <c r="E66" s="74">
        <v>55</v>
      </c>
      <c r="F66" s="338" t="n">
        <v>28.0</v>
      </c>
      <c r="G66" s="11">
        <f si="1" t="shared"/>
        <v>6.4246844944522845E-5</v>
      </c>
    </row>
    <row r="67" spans="1:7" x14ac:dyDescent="0.25">
      <c r="A67">
        <v>56</v>
      </c>
      <c r="B67" s="336" t="n">
        <v>0.0</v>
      </c>
      <c r="C67" s="11">
        <f si="0" t="shared"/>
        <v>0</v>
      </c>
      <c r="E67" s="75">
        <v>56</v>
      </c>
      <c r="F67" s="338" t="n">
        <v>13.0</v>
      </c>
      <c r="G67" s="11">
        <f si="1" t="shared"/>
        <v>5.5680598951919802E-5</v>
      </c>
    </row>
    <row r="68" spans="1:7" x14ac:dyDescent="0.25">
      <c r="A68">
        <v>57</v>
      </c>
      <c r="B68" s="336" t="n">
        <v>0.0</v>
      </c>
      <c r="C68" s="11">
        <f si="0" t="shared"/>
        <v>0</v>
      </c>
      <c r="E68" s="76">
        <v>57</v>
      </c>
      <c r="F68" s="338" t="n">
        <v>7.0</v>
      </c>
      <c r="G68" s="11">
        <f si="1" t="shared"/>
        <v>4.2831229963015234E-5</v>
      </c>
    </row>
    <row r="69" spans="1:7" x14ac:dyDescent="0.25">
      <c r="A69">
        <v>58</v>
      </c>
      <c r="B69" s="336" t="n">
        <v>0.0</v>
      </c>
      <c r="C69" s="11">
        <f si="0" t="shared"/>
        <v>0</v>
      </c>
      <c r="E69" s="77">
        <v>58</v>
      </c>
      <c r="F69" s="338" t="n">
        <v>9.0</v>
      </c>
      <c r="G69" s="11">
        <f si="1" t="shared"/>
        <v>2.355717647965838E-5</v>
      </c>
    </row>
    <row r="70" spans="1:7" x14ac:dyDescent="0.25">
      <c r="A70">
        <v>59</v>
      </c>
      <c r="B70" s="336" t="n">
        <v>0.0</v>
      </c>
      <c r="C70" s="11">
        <f si="0" t="shared"/>
        <v>0</v>
      </c>
      <c r="E70" s="78">
        <v>59</v>
      </c>
      <c r="F70" s="338" t="n">
        <v>4.0</v>
      </c>
      <c r="G70" s="11">
        <f si="1" t="shared"/>
        <v>1.4990930487055332E-5</v>
      </c>
    </row>
    <row r="71" spans="1:7" x14ac:dyDescent="0.25">
      <c r="A71">
        <v>60</v>
      </c>
      <c r="B71" s="336" t="n">
        <v>0.0</v>
      </c>
      <c r="C71" s="11">
        <f si="0" t="shared"/>
        <v>0</v>
      </c>
      <c r="E71" s="79">
        <v>60</v>
      </c>
      <c r="F71" s="338" t="n">
        <v>5.0</v>
      </c>
      <c r="G71" s="11">
        <f si="1" t="shared"/>
        <v>3.2123422472261422E-5</v>
      </c>
    </row>
    <row r="72" spans="1:7" x14ac:dyDescent="0.25">
      <c r="A72">
        <v>61</v>
      </c>
      <c r="B72" s="336" t="n">
        <v>0.0</v>
      </c>
      <c r="C72" s="11">
        <f si="0" t="shared"/>
        <v>0</v>
      </c>
      <c r="E72" s="80">
        <v>61</v>
      </c>
      <c r="F72" s="338" t="n">
        <v>6.0</v>
      </c>
      <c r="G72" s="11">
        <f si="1" t="shared"/>
        <v>6.4246844944522846E-6</v>
      </c>
    </row>
    <row r="73" spans="1:7" x14ac:dyDescent="0.25">
      <c r="A73">
        <v>62</v>
      </c>
      <c r="B73" s="336" t="n">
        <v>0.0</v>
      </c>
      <c r="C73" s="11">
        <f si="0" t="shared"/>
        <v>0</v>
      </c>
      <c r="E73" s="81">
        <v>62</v>
      </c>
      <c r="F73" s="338" t="n">
        <v>4.0</v>
      </c>
      <c r="G73" s="11">
        <f si="1" t="shared"/>
        <v>3.8548106966713709E-5</v>
      </c>
    </row>
    <row r="74" spans="1:7" x14ac:dyDescent="0.25">
      <c r="A74">
        <v>63</v>
      </c>
      <c r="B74" s="336" t="n">
        <v>0.0</v>
      </c>
      <c r="C74" s="11">
        <f si="0" t="shared"/>
        <v>0</v>
      </c>
      <c r="E74" s="82">
        <v>63</v>
      </c>
      <c r="F74" s="338" t="n">
        <v>3.0</v>
      </c>
      <c r="G74" s="11">
        <f si="1" t="shared"/>
        <v>2.1415614981507615E-6</v>
      </c>
    </row>
    <row r="75" spans="1:7" x14ac:dyDescent="0.25">
      <c r="A75">
        <v>64</v>
      </c>
      <c r="B75" s="336" t="n">
        <v>0.0</v>
      </c>
      <c r="C75" s="11">
        <f si="0" t="shared"/>
        <v>0</v>
      </c>
      <c r="E75" s="83">
        <v>64</v>
      </c>
      <c r="F75" s="338" t="n">
        <v>2.0</v>
      </c>
      <c r="G75" s="11">
        <f si="1" t="shared"/>
        <v>2.1415614981507615E-6</v>
      </c>
    </row>
    <row r="76" spans="1:7" x14ac:dyDescent="0.25">
      <c r="A76">
        <v>65</v>
      </c>
      <c r="B76" s="336" t="n">
        <v>0.0</v>
      </c>
      <c r="C76" s="11">
        <f si="0" t="shared"/>
        <v>0</v>
      </c>
      <c r="E76" s="84">
        <v>65</v>
      </c>
      <c r="F76" s="338" t="n">
        <v>3.0</v>
      </c>
      <c r="G76" s="11">
        <f si="1" t="shared"/>
        <v>4.2831229963015231E-6</v>
      </c>
    </row>
    <row r="77" spans="1:7" x14ac:dyDescent="0.25">
      <c r="A77">
        <v>66</v>
      </c>
      <c r="B77" s="336" t="n">
        <v>0.0</v>
      </c>
      <c r="C77" s="11">
        <f ref="C77:C102" si="2" t="shared">B77/B$102</f>
        <v>0</v>
      </c>
      <c r="E77" s="85">
        <v>66</v>
      </c>
      <c r="F77" s="338" t="n">
        <v>0.0</v>
      </c>
      <c r="G77" s="11">
        <f ref="G77:G102" si="3" t="shared">F77/F$102</f>
        <v>2.1415614981507615E-6</v>
      </c>
    </row>
    <row r="78" spans="1:7" x14ac:dyDescent="0.25">
      <c r="A78">
        <v>67</v>
      </c>
      <c r="B78" s="336" t="n">
        <v>0.0</v>
      </c>
      <c r="C78" s="11">
        <f si="2" t="shared"/>
        <v>0</v>
      </c>
      <c r="E78" s="86">
        <v>67</v>
      </c>
      <c r="F78" s="338" t="n">
        <v>1.0</v>
      </c>
      <c r="G78" s="11">
        <f si="3" t="shared"/>
        <v>0</v>
      </c>
    </row>
    <row r="79" spans="1:7" x14ac:dyDescent="0.25">
      <c r="A79">
        <v>68</v>
      </c>
      <c r="B79" s="336" t="n">
        <v>0.0</v>
      </c>
      <c r="C79" s="11">
        <f si="2" t="shared"/>
        <v>0</v>
      </c>
      <c r="E79" s="87">
        <v>68</v>
      </c>
      <c r="F79" s="338" t="n">
        <v>1.0</v>
      </c>
      <c r="G79" s="11">
        <f si="3" t="shared"/>
        <v>2.1415614981507615E-6</v>
      </c>
    </row>
    <row r="80" spans="1:7" x14ac:dyDescent="0.25">
      <c r="A80">
        <v>69</v>
      </c>
      <c r="B80" s="336" t="n">
        <v>0.0</v>
      </c>
      <c r="C80" s="11">
        <f si="2" t="shared"/>
        <v>0</v>
      </c>
      <c r="E80" s="88">
        <v>69</v>
      </c>
      <c r="F80" s="338" t="n">
        <v>3.0</v>
      </c>
      <c r="G80" s="11">
        <f si="3" t="shared"/>
        <v>1.0707807490753809E-5</v>
      </c>
    </row>
    <row r="81" spans="1:7" x14ac:dyDescent="0.25">
      <c r="A81">
        <v>70</v>
      </c>
      <c r="B81" s="336" t="n">
        <v>0.0</v>
      </c>
      <c r="C81" s="11">
        <f si="2" t="shared"/>
        <v>0</v>
      </c>
      <c r="E81" s="89">
        <v>70</v>
      </c>
      <c r="F81" s="338" t="n">
        <v>3.0</v>
      </c>
      <c r="G81" s="11">
        <f si="3" t="shared"/>
        <v>4.2831229963015231E-6</v>
      </c>
    </row>
    <row r="82" spans="1:7" x14ac:dyDescent="0.25">
      <c r="A82">
        <v>71</v>
      </c>
      <c r="B82" s="336" t="n">
        <v>0.0</v>
      </c>
      <c r="C82" s="11">
        <f si="2" t="shared"/>
        <v>0</v>
      </c>
      <c r="E82" s="90">
        <v>71</v>
      </c>
      <c r="F82" s="338" t="n">
        <v>2.0</v>
      </c>
      <c r="G82" s="11">
        <f si="3" t="shared"/>
        <v>2.1415614981507615E-6</v>
      </c>
    </row>
    <row r="83" spans="1:7" x14ac:dyDescent="0.25">
      <c r="A83">
        <v>72</v>
      </c>
      <c r="B83" s="336" t="n">
        <v>0.0</v>
      </c>
      <c r="C83" s="11">
        <f si="2" t="shared"/>
        <v>0</v>
      </c>
      <c r="E83" s="91">
        <v>72</v>
      </c>
      <c r="F83" s="338" t="n">
        <v>4.0</v>
      </c>
      <c r="G83" s="11">
        <f si="3" t="shared"/>
        <v>8.5662459926030462E-6</v>
      </c>
    </row>
    <row r="84" spans="1:7" x14ac:dyDescent="0.25">
      <c r="A84">
        <v>73</v>
      </c>
      <c r="B84" s="336" t="n">
        <v>0.0</v>
      </c>
      <c r="C84" s="11">
        <f si="2" t="shared"/>
        <v>0</v>
      </c>
      <c r="E84" s="92">
        <v>73</v>
      </c>
      <c r="F84" s="338" t="n">
        <v>4.0</v>
      </c>
      <c r="G84" s="11">
        <f si="3" t="shared"/>
        <v>4.2831229963015231E-6</v>
      </c>
    </row>
    <row r="85" spans="1:7" x14ac:dyDescent="0.25">
      <c r="A85">
        <v>74</v>
      </c>
      <c r="B85" s="336" t="n">
        <v>0.0</v>
      </c>
      <c r="C85" s="11">
        <f si="2" t="shared"/>
        <v>0</v>
      </c>
      <c r="E85" s="93">
        <v>74</v>
      </c>
      <c r="F85" s="338" t="n">
        <v>0.0</v>
      </c>
      <c r="G85" s="11">
        <f si="3" t="shared"/>
        <v>0</v>
      </c>
    </row>
    <row r="86" spans="1:7" x14ac:dyDescent="0.25">
      <c r="A86">
        <v>75</v>
      </c>
      <c r="B86" s="336" t="n">
        <v>0.0</v>
      </c>
      <c r="C86" s="11">
        <f si="2" t="shared"/>
        <v>0</v>
      </c>
      <c r="E86" s="94">
        <v>75</v>
      </c>
      <c r="F86" s="338" t="n">
        <v>0.0</v>
      </c>
      <c r="G86" s="11">
        <f si="3" t="shared"/>
        <v>0</v>
      </c>
    </row>
    <row r="87" spans="1:7" x14ac:dyDescent="0.25">
      <c r="A87">
        <v>76</v>
      </c>
      <c r="B87" s="336" t="n">
        <v>0.0</v>
      </c>
      <c r="C87" s="11">
        <f si="2" t="shared"/>
        <v>0</v>
      </c>
      <c r="E87" s="95">
        <v>76</v>
      </c>
      <c r="F87" s="338" t="n">
        <v>1.0</v>
      </c>
      <c r="G87" s="11">
        <f si="3" t="shared"/>
        <v>0</v>
      </c>
    </row>
    <row r="88" spans="1:7" x14ac:dyDescent="0.25">
      <c r="A88">
        <v>77</v>
      </c>
      <c r="B88" s="336" t="n">
        <v>0.0</v>
      </c>
      <c r="C88" s="11">
        <f si="2" t="shared"/>
        <v>0</v>
      </c>
      <c r="E88" s="96">
        <v>77</v>
      </c>
      <c r="F88" s="338" t="n">
        <v>0.0</v>
      </c>
      <c r="G88" s="11">
        <f si="3" t="shared"/>
        <v>0</v>
      </c>
    </row>
    <row r="89" spans="1:7" x14ac:dyDescent="0.25">
      <c r="A89">
        <v>78</v>
      </c>
      <c r="B89" s="336" t="n">
        <v>0.0</v>
      </c>
      <c r="C89" s="11">
        <f si="2" t="shared"/>
        <v>0</v>
      </c>
      <c r="E89" s="97">
        <v>78</v>
      </c>
      <c r="F89" s="338" t="n">
        <v>1.0</v>
      </c>
      <c r="G89" s="11">
        <f si="3" t="shared"/>
        <v>2.1415614981507615E-6</v>
      </c>
    </row>
    <row r="90" spans="1:7" x14ac:dyDescent="0.25">
      <c r="A90">
        <v>79</v>
      </c>
      <c r="B90" s="336" t="n">
        <v>0.0</v>
      </c>
      <c r="C90" s="11">
        <f si="2" t="shared"/>
        <v>0</v>
      </c>
      <c r="E90" s="98">
        <v>79</v>
      </c>
      <c r="F90" s="338" t="n">
        <v>0.0</v>
      </c>
      <c r="G90" s="11">
        <f si="3" t="shared"/>
        <v>0</v>
      </c>
    </row>
    <row r="91" spans="1:7" x14ac:dyDescent="0.25">
      <c r="A91">
        <v>80</v>
      </c>
      <c r="B91" s="336" t="n">
        <v>0.0</v>
      </c>
      <c r="C91" s="11">
        <f si="2" t="shared"/>
        <v>0</v>
      </c>
      <c r="E91" s="99">
        <v>80</v>
      </c>
      <c r="F91" s="338" t="n">
        <v>2.0</v>
      </c>
      <c r="G91" s="11">
        <f si="3" t="shared"/>
        <v>2.1415614981507615E-6</v>
      </c>
    </row>
    <row r="92" spans="1:7" x14ac:dyDescent="0.25">
      <c r="A92">
        <v>81</v>
      </c>
      <c r="B92" s="336" t="n">
        <v>0.0</v>
      </c>
      <c r="C92" s="11">
        <f si="2" t="shared"/>
        <v>0</v>
      </c>
      <c r="E92" s="100">
        <v>81</v>
      </c>
      <c r="F92" s="338" t="n">
        <v>0.0</v>
      </c>
      <c r="G92" s="11">
        <f si="3" t="shared"/>
        <v>0</v>
      </c>
    </row>
    <row r="93" spans="1:7" x14ac:dyDescent="0.25">
      <c r="A93">
        <v>82</v>
      </c>
      <c r="B93" s="336" t="n">
        <v>0.0</v>
      </c>
      <c r="C93" s="11">
        <f si="2" t="shared"/>
        <v>0</v>
      </c>
      <c r="E93" s="101">
        <v>82</v>
      </c>
      <c r="F93" s="338" t="n">
        <v>0.0</v>
      </c>
      <c r="G93" s="11">
        <f si="3" t="shared"/>
        <v>0</v>
      </c>
    </row>
    <row r="94" spans="1:7" x14ac:dyDescent="0.25">
      <c r="A94">
        <v>83</v>
      </c>
      <c r="B94" s="336" t="n">
        <v>0.0</v>
      </c>
      <c r="C94" s="11">
        <f si="2" t="shared"/>
        <v>0</v>
      </c>
      <c r="E94" s="102">
        <v>83</v>
      </c>
      <c r="F94" s="338" t="n">
        <v>0.0</v>
      </c>
      <c r="G94" s="11">
        <f si="3" t="shared"/>
        <v>0</v>
      </c>
    </row>
    <row r="95" spans="1:7" x14ac:dyDescent="0.25">
      <c r="A95">
        <v>84</v>
      </c>
      <c r="B95" s="336" t="n">
        <v>0.0</v>
      </c>
      <c r="C95" s="11">
        <f si="2" t="shared"/>
        <v>0</v>
      </c>
      <c r="E95" s="103">
        <v>84</v>
      </c>
      <c r="F95" s="338" t="n">
        <v>0.0</v>
      </c>
      <c r="G95" s="11">
        <f si="3" t="shared"/>
        <v>0</v>
      </c>
    </row>
    <row r="96" spans="1:7" x14ac:dyDescent="0.25">
      <c r="A96">
        <v>85</v>
      </c>
      <c r="B96" s="336" t="n">
        <v>0.0</v>
      </c>
      <c r="C96" s="11">
        <f si="2" t="shared"/>
        <v>0</v>
      </c>
      <c r="E96" s="104">
        <v>85</v>
      </c>
      <c r="F96" s="338" t="n">
        <v>0.0</v>
      </c>
      <c r="G96" s="11">
        <f si="3" t="shared"/>
        <v>0</v>
      </c>
    </row>
    <row r="97" spans="1:7" x14ac:dyDescent="0.25">
      <c r="A97">
        <v>86</v>
      </c>
      <c r="B97" s="336" t="n">
        <v>0.0</v>
      </c>
      <c r="C97" s="11">
        <f si="2" t="shared"/>
        <v>0</v>
      </c>
      <c r="E97" s="105">
        <v>86</v>
      </c>
      <c r="F97" s="338" t="n">
        <v>0.0</v>
      </c>
      <c r="G97" s="11">
        <f si="3" t="shared"/>
        <v>0</v>
      </c>
    </row>
    <row r="98" spans="1:7" x14ac:dyDescent="0.25">
      <c r="A98">
        <v>87</v>
      </c>
      <c r="B98" s="336" t="n">
        <v>0.0</v>
      </c>
      <c r="C98" s="11">
        <f si="2" t="shared"/>
        <v>0</v>
      </c>
      <c r="E98" s="106">
        <v>87</v>
      </c>
      <c r="F98" s="338" t="n">
        <v>0.0</v>
      </c>
      <c r="G98" s="11">
        <f si="3" t="shared"/>
        <v>0</v>
      </c>
    </row>
    <row r="99" spans="1:7" x14ac:dyDescent="0.25">
      <c r="A99">
        <v>88</v>
      </c>
      <c r="B99" s="336" t="n">
        <v>0.0</v>
      </c>
      <c r="C99" s="11">
        <f si="2" t="shared"/>
        <v>0</v>
      </c>
      <c r="E99" s="107">
        <v>88</v>
      </c>
      <c r="F99" s="338" t="n">
        <v>0.0</v>
      </c>
      <c r="G99" s="11">
        <f si="3" t="shared"/>
        <v>0</v>
      </c>
    </row>
    <row r="100" spans="1:7" x14ac:dyDescent="0.25">
      <c r="A100">
        <v>89</v>
      </c>
      <c r="B100" s="336" t="n">
        <v>0.0</v>
      </c>
      <c r="C100" s="11">
        <f si="2" t="shared"/>
        <v>0</v>
      </c>
      <c r="E100" s="108">
        <v>89</v>
      </c>
      <c r="F100" s="33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37" t="n">
        <v>0.0</v>
      </c>
      <c r="C101" s="11">
        <f si="2" t="shared"/>
        <v>0</v>
      </c>
      <c r="E101" s="291">
        <v>90</v>
      </c>
      <c r="F101" s="339" t="n">
        <v>0.0</v>
      </c>
      <c r="G101" s="11">
        <f si="3" t="shared"/>
        <v>0</v>
      </c>
    </row>
    <row r="102" spans="1:7" x14ac:dyDescent="0.25">
      <c r="B102" s="336">
        <f>SUM(B11:B101)</f>
        <v>546795.16031006922</v>
      </c>
      <c r="C102" s="11">
        <f si="2" t="shared"/>
        <v>1</v>
      </c>
      <c r="F102" s="336">
        <f>SUM(F11:F101)</f>
        <v>466949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K31" sqref="K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5498.0</v>
      </c>
      <c r="G11" s="11">
        <f>F11/F$102</f>
        <v>1.1461637138102877E-2</v>
      </c>
      <c r="K11" s="8" t="n">
        <v>24.35058570917269</v>
      </c>
      <c r="L11" s="8" t="n">
        <v>18.899844893864913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12639.0</v>
      </c>
      <c r="G12" s="11">
        <f>F12/F$102</f>
        <v>2.7002948930182954E-2</v>
      </c>
      <c r="K12" s="8"/>
      <c r="L12" s="290"/>
    </row>
    <row r="13" spans="1:12" x14ac:dyDescent="0.25">
      <c r="A13">
        <v>2</v>
      </c>
      <c r="B13" s="8" t="n">
        <v>0.0</v>
      </c>
      <c r="C13" s="11">
        <f ref="C13:C76" si="0" t="shared">B13/B$102</f>
        <v>0</v>
      </c>
      <c r="E13" s="111">
        <v>2</v>
      </c>
      <c r="F13" s="201" t="n">
        <v>15631.0</v>
      </c>
      <c r="G13" s="11">
        <f ref="G13:G76" si="1" t="shared">F13/F$102</f>
        <v>3.2750899991219599E-2</v>
      </c>
    </row>
    <row r="14" spans="1:12" x14ac:dyDescent="0.25">
      <c r="A14">
        <v>3</v>
      </c>
      <c r="B14" s="8" t="n">
        <v>0.0</v>
      </c>
      <c r="C14" s="11">
        <f si="0" t="shared"/>
        <v>0</v>
      </c>
      <c r="E14" s="112">
        <v>3</v>
      </c>
      <c r="F14" s="202" t="n">
        <v>15983.0</v>
      </c>
      <c r="G14" s="11">
        <f si="1" t="shared"/>
        <v>3.4342080184345612E-2</v>
      </c>
    </row>
    <row r="15" spans="1:12" x14ac:dyDescent="0.25">
      <c r="A15">
        <v>4</v>
      </c>
      <c r="B15" s="8" t="n">
        <v>118.15408176279999</v>
      </c>
      <c r="C15" s="11">
        <f si="0" t="shared"/>
        <v>2.160847248461356E-4</v>
      </c>
      <c r="E15" s="113">
        <v>4</v>
      </c>
      <c r="F15" s="203" t="n">
        <v>15582.0</v>
      </c>
      <c r="G15" s="11">
        <f si="1" t="shared"/>
        <v>3.2511045103426714E-2</v>
      </c>
    </row>
    <row r="16" spans="1:12" x14ac:dyDescent="0.25">
      <c r="A16">
        <v>5</v>
      </c>
      <c r="B16" s="8" t="n">
        <v>4508.0152698939</v>
      </c>
      <c r="C16" s="11">
        <f si="0" t="shared"/>
        <v>8.2444315478899868E-3</v>
      </c>
      <c r="E16" s="114">
        <v>5</v>
      </c>
      <c r="F16" s="204" t="n">
        <v>14788.0</v>
      </c>
      <c r="G16" s="11">
        <f si="1" t="shared"/>
        <v>3.0665019092020757E-2</v>
      </c>
    </row>
    <row r="17" spans="1:7" x14ac:dyDescent="0.25">
      <c r="A17">
        <v>6</v>
      </c>
      <c r="B17" s="8" t="n">
        <v>3312.9079007554</v>
      </c>
      <c r="C17" s="11">
        <f si="0" t="shared"/>
        <v>6.0587732687260049E-3</v>
      </c>
      <c r="E17" s="115">
        <v>6</v>
      </c>
      <c r="F17" s="205" t="n">
        <v>13590.0</v>
      </c>
      <c r="G17" s="11">
        <f si="1" t="shared"/>
        <v>2.8744038428179523E-2</v>
      </c>
    </row>
    <row r="18" spans="1:7" x14ac:dyDescent="0.25">
      <c r="A18">
        <v>7</v>
      </c>
      <c r="B18" s="8" t="n">
        <v>4650.9127341138</v>
      </c>
      <c r="C18" s="11">
        <f si="0" t="shared"/>
        <v>8.5057679213481341E-3</v>
      </c>
      <c r="E18" s="116">
        <v>7</v>
      </c>
      <c r="F18" s="206" t="n">
        <v>12640.0</v>
      </c>
      <c r="G18" s="11">
        <f si="1" t="shared"/>
        <v>2.6913003347260621E-2</v>
      </c>
    </row>
    <row r="19" spans="1:7" x14ac:dyDescent="0.25">
      <c r="A19">
        <v>8</v>
      </c>
      <c r="B19" s="8" t="n">
        <v>408.5603474674</v>
      </c>
      <c r="C19" s="11">
        <f si="0" t="shared"/>
        <v>7.4719086254479438E-4</v>
      </c>
      <c r="E19" s="117">
        <v>8</v>
      </c>
      <c r="F19" s="207" t="n">
        <v>11424.0</v>
      </c>
      <c r="G19" s="11">
        <f si="1" t="shared"/>
        <v>2.3874127581384692E-2</v>
      </c>
    </row>
    <row r="20" spans="1:7" x14ac:dyDescent="0.25">
      <c r="A20">
        <v>9</v>
      </c>
      <c r="B20" s="8" t="n">
        <v>9123.5987996555</v>
      </c>
      <c r="C20" s="11">
        <f si="0" t="shared"/>
        <v>1.6685588062779866E-2</v>
      </c>
      <c r="E20" s="118">
        <v>9</v>
      </c>
      <c r="F20" s="208" t="n">
        <v>10559.0</v>
      </c>
      <c r="G20" s="11">
        <f si="1" t="shared"/>
        <v>2.2338627987210594E-2</v>
      </c>
    </row>
    <row r="21" spans="1:7" x14ac:dyDescent="0.25">
      <c r="A21">
        <v>10</v>
      </c>
      <c r="B21" s="8" t="n">
        <v>2993.827611826</v>
      </c>
      <c r="C21" s="11">
        <f si="0" t="shared"/>
        <v>5.4752269755429048E-3</v>
      </c>
      <c r="E21" s="119">
        <v>10</v>
      </c>
      <c r="F21" s="209" t="n">
        <v>9308.0</v>
      </c>
      <c r="G21" s="11">
        <f si="1" t="shared"/>
        <v>1.9327592520810625E-2</v>
      </c>
    </row>
    <row r="22" spans="1:7" x14ac:dyDescent="0.25">
      <c r="A22">
        <v>11</v>
      </c>
      <c r="B22" s="8" t="n">
        <v>7861.3520898223005</v>
      </c>
      <c r="C22" s="11">
        <f si="0" t="shared"/>
        <v>1.4377142777497126E-2</v>
      </c>
      <c r="E22" s="120">
        <v>11</v>
      </c>
      <c r="F22" s="210" t="n">
        <v>8359.0</v>
      </c>
      <c r="G22" s="11">
        <f si="1" t="shared"/>
        <v>1.7732129204688307E-2</v>
      </c>
    </row>
    <row r="23" spans="1:7" x14ac:dyDescent="0.25">
      <c r="A23">
        <v>12</v>
      </c>
      <c r="B23" s="8" t="n">
        <v>18534.832706303</v>
      </c>
      <c r="C23" s="11">
        <f si="0" t="shared"/>
        <v>3.3897214261721896E-2</v>
      </c>
      <c r="E23" s="121">
        <v>12</v>
      </c>
      <c r="F23" s="211" t="n">
        <v>7707.0</v>
      </c>
      <c r="G23" s="11">
        <f si="1" t="shared"/>
        <v>1.591394349275831E-2</v>
      </c>
    </row>
    <row r="24" spans="1:7" x14ac:dyDescent="0.25">
      <c r="A24">
        <v>13</v>
      </c>
      <c r="B24" s="8" t="n">
        <v>8352.5433834282</v>
      </c>
      <c r="C24" s="11">
        <f si="0" t="shared"/>
        <v>1.5275452289467497E-2</v>
      </c>
      <c r="E24" s="122">
        <v>13</v>
      </c>
      <c r="F24" s="212" t="n">
        <v>6676.0</v>
      </c>
      <c r="G24" s="11">
        <f si="1" t="shared"/>
        <v>1.3840911962548372E-2</v>
      </c>
    </row>
    <row r="25" spans="1:7" x14ac:dyDescent="0.25">
      <c r="A25">
        <v>14</v>
      </c>
      <c r="B25" s="8" t="n">
        <v>10741.3915794352</v>
      </c>
      <c r="C25" s="11">
        <f si="0" t="shared"/>
        <v>1.9644269662782148E-2</v>
      </c>
      <c r="E25" s="123">
        <v>14</v>
      </c>
      <c r="F25" s="213" t="n">
        <v>5795.0</v>
      </c>
      <c r="G25" s="11">
        <f si="1" t="shared"/>
        <v>1.2521710079687503E-2</v>
      </c>
    </row>
    <row r="26" spans="1:7" x14ac:dyDescent="0.25">
      <c r="A26">
        <v>15</v>
      </c>
      <c r="B26" s="8" t="n">
        <v>1395.8515296026999</v>
      </c>
      <c r="C26" s="11">
        <f si="0" t="shared"/>
        <v>2.5527869134963784E-3</v>
      </c>
      <c r="E26" s="124">
        <v>15</v>
      </c>
      <c r="F26" s="214" t="n">
        <v>5302.0</v>
      </c>
      <c r="G26" s="11">
        <f si="1" t="shared"/>
        <v>1.1296736902745267E-2</v>
      </c>
    </row>
    <row r="27" spans="1:7" x14ac:dyDescent="0.25">
      <c r="A27">
        <v>16</v>
      </c>
      <c r="B27" s="8" t="n">
        <v>34789.9543219792</v>
      </c>
      <c r="C27" s="11">
        <f si="0" t="shared"/>
        <v>6.3625205282085831E-2</v>
      </c>
      <c r="E27" s="125">
        <v>16</v>
      </c>
      <c r="F27" s="215" t="n">
        <v>4617.0</v>
      </c>
      <c r="G27" s="11">
        <f si="1" t="shared"/>
        <v>9.8468997684972026E-3</v>
      </c>
    </row>
    <row r="28" spans="1:7" x14ac:dyDescent="0.25">
      <c r="A28">
        <v>17</v>
      </c>
      <c r="B28" s="8" t="n">
        <v>15641.960244811</v>
      </c>
      <c r="C28" s="11">
        <f si="0" t="shared"/>
        <v>2.8606617944352247E-2</v>
      </c>
      <c r="E28" s="126">
        <v>17</v>
      </c>
      <c r="F28" s="216" t="n">
        <v>4105.0</v>
      </c>
      <c r="G28" s="11">
        <f si="1" t="shared"/>
        <v>8.71829685897175E-3</v>
      </c>
    </row>
    <row r="29" spans="1:7" x14ac:dyDescent="0.25">
      <c r="A29">
        <v>18</v>
      </c>
      <c r="B29" s="8" t="n">
        <v>50490.196538552904</v>
      </c>
      <c r="C29" s="11">
        <f si="0" t="shared"/>
        <v>9.2338411535906009E-2</v>
      </c>
      <c r="E29" s="127">
        <v>18</v>
      </c>
      <c r="F29" s="217" t="n">
        <v>74831.0</v>
      </c>
      <c r="G29" s="11">
        <f si="1" t="shared"/>
        <v>0.15883105007184939</v>
      </c>
    </row>
    <row r="30" spans="1:7" x14ac:dyDescent="0.25">
      <c r="A30">
        <v>19</v>
      </c>
      <c r="B30" s="8" t="n">
        <v>20276.0699311606</v>
      </c>
      <c r="C30" s="11">
        <f si="0" t="shared"/>
        <v>3.7081655806285314E-2</v>
      </c>
      <c r="E30" s="128">
        <v>19</v>
      </c>
      <c r="F30" s="218" t="n">
        <v>17514.0</v>
      </c>
      <c r="G30" s="11">
        <f si="1" t="shared"/>
        <v>3.680915903021529E-2</v>
      </c>
    </row>
    <row r="31" spans="1:7" x14ac:dyDescent="0.25">
      <c r="A31">
        <v>20</v>
      </c>
      <c r="B31" s="8" t="n">
        <v>44108.7927017923</v>
      </c>
      <c r="C31" s="11">
        <f si="0" t="shared"/>
        <v>8.0667854991217647E-2</v>
      </c>
      <c r="E31" s="129">
        <v>20</v>
      </c>
      <c r="F31" s="219" t="n">
        <v>20753.0</v>
      </c>
      <c r="G31" s="11">
        <f si="1" t="shared"/>
        <v>4.0766764678797897E-2</v>
      </c>
    </row>
    <row r="32" spans="1:7" x14ac:dyDescent="0.25">
      <c r="A32">
        <v>21</v>
      </c>
      <c r="B32" s="8" t="n">
        <v>39432.7476274661</v>
      </c>
      <c r="C32" s="11">
        <f si="0" t="shared"/>
        <v>7.2116124080368757E-2</v>
      </c>
      <c r="E32" s="130">
        <v>21</v>
      </c>
      <c r="F32" s="220" t="n">
        <v>20941.0</v>
      </c>
      <c r="G32" s="11">
        <f si="1" t="shared"/>
        <v>4.6354098627473236E-2</v>
      </c>
    </row>
    <row r="33" spans="1:7" x14ac:dyDescent="0.25">
      <c r="A33">
        <v>22</v>
      </c>
      <c r="B33" s="8" t="n">
        <v>26623.926022506</v>
      </c>
      <c r="C33" s="11">
        <f si="0" t="shared"/>
        <v>4.8690858945072676E-2</v>
      </c>
      <c r="E33" s="131">
        <v>22</v>
      </c>
      <c r="F33" s="221" t="n">
        <v>19939.0</v>
      </c>
      <c r="G33" s="11">
        <f si="1" t="shared"/>
        <v>4.3441574989988199E-2</v>
      </c>
    </row>
    <row r="34" spans="1:7" x14ac:dyDescent="0.25">
      <c r="A34">
        <v>23</v>
      </c>
      <c r="B34" s="8" t="n">
        <v>20849.1719522749</v>
      </c>
      <c r="C34" s="11">
        <f si="0" t="shared"/>
        <v>3.8129766804175846E-2</v>
      </c>
      <c r="E34" s="132">
        <v>23</v>
      </c>
      <c r="F34" s="222" t="n">
        <v>14040.0</v>
      </c>
      <c r="G34" s="11">
        <f si="1" t="shared"/>
        <v>2.9592096781447225E-2</v>
      </c>
    </row>
    <row r="35" spans="1:7" x14ac:dyDescent="0.25">
      <c r="A35">
        <v>24</v>
      </c>
      <c r="B35" s="8" t="n">
        <v>24106.870151671</v>
      </c>
      <c r="C35" s="11">
        <f si="0" t="shared"/>
        <v>4.4087570449600877E-2</v>
      </c>
      <c r="E35" s="133">
        <v>24</v>
      </c>
      <c r="F35" s="223" t="n">
        <v>10545.0</v>
      </c>
      <c r="G35" s="11">
        <f si="1" t="shared"/>
        <v>2.3400842490293373E-2</v>
      </c>
    </row>
    <row r="36" spans="1:7" x14ac:dyDescent="0.25">
      <c r="A36">
        <v>25</v>
      </c>
      <c r="B36" s="8" t="n">
        <v>17580.8724593101</v>
      </c>
      <c r="C36" s="11">
        <f si="0" t="shared"/>
        <v>3.2152575105713378E-2</v>
      </c>
      <c r="E36" s="134">
        <v>25</v>
      </c>
      <c r="F36" s="224" t="n">
        <v>12423.0</v>
      </c>
      <c r="G36" s="11">
        <f si="1" t="shared"/>
        <v>2.5859355090170448E-2</v>
      </c>
    </row>
    <row r="37" spans="1:7" x14ac:dyDescent="0.25">
      <c r="A37">
        <v>26</v>
      </c>
      <c r="B37" s="8" t="n">
        <v>30385.8349079569</v>
      </c>
      <c r="C37" s="11">
        <f si="0" t="shared"/>
        <v>5.5570782467654053E-2</v>
      </c>
      <c r="E37" s="135">
        <v>26</v>
      </c>
      <c r="F37" s="225" t="n">
        <v>7039.0</v>
      </c>
      <c r="G37" s="11">
        <f si="1" t="shared"/>
        <v>1.4969514872073824E-2</v>
      </c>
    </row>
    <row r="38" spans="1:7" x14ac:dyDescent="0.25">
      <c r="A38">
        <v>27</v>
      </c>
      <c r="B38" s="8" t="n">
        <v>7141.4740373969</v>
      </c>
      <c r="C38" s="11">
        <f si="0" t="shared"/>
        <v>1.3060602133616553E-2</v>
      </c>
      <c r="E38" s="136">
        <v>27</v>
      </c>
      <c r="F38" s="226" t="n">
        <v>4957.0</v>
      </c>
      <c r="G38" s="11">
        <f si="1" t="shared"/>
        <v>1.298857048628437E-2</v>
      </c>
    </row>
    <row r="39" spans="1:7" x14ac:dyDescent="0.25">
      <c r="A39">
        <v>28</v>
      </c>
      <c r="B39" s="8" t="n">
        <v>11669.0787857126</v>
      </c>
      <c r="C39" s="11">
        <f si="0" t="shared"/>
        <v>2.1340859672377949E-2</v>
      </c>
      <c r="E39" s="137">
        <v>28</v>
      </c>
      <c r="F39" s="227" t="n">
        <v>5902.0</v>
      </c>
      <c r="G39" s="11">
        <f si="1" t="shared"/>
        <v>1.0311618613595917E-2</v>
      </c>
    </row>
    <row r="40" spans="1:7" x14ac:dyDescent="0.25">
      <c r="A40">
        <v>29</v>
      </c>
      <c r="B40" s="8" t="n">
        <v>22455.163125012</v>
      </c>
      <c r="C40" s="11">
        <f si="0" t="shared"/>
        <v>4.1066865171737105E-2</v>
      </c>
      <c r="E40" s="138">
        <v>29</v>
      </c>
      <c r="F40" s="228" t="n">
        <v>3725.0</v>
      </c>
      <c r="G40" s="11">
        <f si="1" t="shared"/>
        <v>1.3200585074601295E-2</v>
      </c>
    </row>
    <row r="41" spans="1:7" x14ac:dyDescent="0.25">
      <c r="A41">
        <v>30</v>
      </c>
      <c r="B41" s="8" t="n">
        <v>7906.5725422319</v>
      </c>
      <c r="C41" s="11">
        <f si="0" t="shared"/>
        <v>1.4459843678477956E-2</v>
      </c>
      <c r="E41" s="139">
        <v>30</v>
      </c>
      <c r="F41" s="229" t="n">
        <v>14795.0</v>
      </c>
      <c r="G41" s="11">
        <f si="1" t="shared"/>
        <v>2.7913112566897026E-2</v>
      </c>
    </row>
    <row r="42" spans="1:7" x14ac:dyDescent="0.25">
      <c r="A42">
        <v>31</v>
      </c>
      <c r="B42" s="8" t="n">
        <v>5141.7663219134</v>
      </c>
      <c r="C42" s="11">
        <f si="0" t="shared"/>
        <v>9.4034598239634629E-3</v>
      </c>
      <c r="E42" s="140">
        <v>31</v>
      </c>
      <c r="F42" s="230" t="n">
        <v>4957.0</v>
      </c>
      <c r="G42" s="11">
        <f si="1" t="shared"/>
        <v>1.0251654891647696E-2</v>
      </c>
    </row>
    <row r="43" spans="1:7" x14ac:dyDescent="0.25">
      <c r="A43">
        <v>32</v>
      </c>
      <c r="B43" s="8" t="n">
        <v>4155.9274738259</v>
      </c>
      <c r="C43" s="11">
        <f si="0" t="shared"/>
        <v>7.6005198573250174E-3</v>
      </c>
      <c r="E43" s="141">
        <v>32</v>
      </c>
      <c r="F43" s="231" t="n">
        <v>7552.0</v>
      </c>
      <c r="G43" s="11">
        <f si="1" t="shared"/>
        <v>1.5860404455304542E-2</v>
      </c>
    </row>
    <row r="44" spans="1:7" x14ac:dyDescent="0.25">
      <c r="A44">
        <v>33</v>
      </c>
      <c r="B44" s="8" t="n">
        <v>4868.4533221399</v>
      </c>
      <c r="C44" s="11">
        <f si="0" t="shared"/>
        <v>8.9036145078152489E-3</v>
      </c>
      <c r="E44" s="142">
        <v>33</v>
      </c>
      <c r="F44" s="232" t="n">
        <v>3367.0</v>
      </c>
      <c r="G44" s="11">
        <f si="1" t="shared"/>
        <v>7.1570985268198453E-3</v>
      </c>
    </row>
    <row r="45" spans="1:7" x14ac:dyDescent="0.25">
      <c r="A45">
        <v>34</v>
      </c>
      <c r="B45" s="8" t="n">
        <v>9295.233746452699</v>
      </c>
      <c r="C45" s="11">
        <f si="0" t="shared"/>
        <v>1.6999480648624755E-2</v>
      </c>
      <c r="E45" s="143">
        <v>34</v>
      </c>
      <c r="F45" s="233" t="n">
        <v>6372.0</v>
      </c>
      <c r="G45" s="11">
        <f si="1" t="shared"/>
        <v>1.5746901695902552E-2</v>
      </c>
    </row>
    <row r="46" spans="1:7" x14ac:dyDescent="0.25">
      <c r="A46">
        <v>35</v>
      </c>
      <c r="B46" s="8" t="n">
        <v>1913.506840464</v>
      </c>
      <c r="C46" s="11">
        <f si="0" t="shared"/>
        <v>3.4994948371139811E-3</v>
      </c>
      <c r="E46" s="144">
        <v>35</v>
      </c>
      <c r="F46" s="234" t="n">
        <v>2301.0</v>
      </c>
      <c r="G46" s="11">
        <f si="1" t="shared"/>
        <v>5.3260634459009444E-3</v>
      </c>
    </row>
    <row r="47" spans="1:7" x14ac:dyDescent="0.25">
      <c r="A47">
        <v>36</v>
      </c>
      <c r="B47" s="8" t="n">
        <v>1224.86908658</v>
      </c>
      <c r="C47" s="11">
        <f si="0" t="shared"/>
        <v>2.2400876516270132E-3</v>
      </c>
      <c r="E47" s="145">
        <v>36</v>
      </c>
      <c r="F47" s="235" t="n">
        <v>2878.0</v>
      </c>
      <c r="G47" s="11">
        <f si="1" t="shared"/>
        <v>5.4566986972881407E-3</v>
      </c>
    </row>
    <row r="48" spans="1:7" x14ac:dyDescent="0.25">
      <c r="A48">
        <v>37</v>
      </c>
      <c r="B48" s="8" t="n">
        <v>8806.2590100408</v>
      </c>
      <c r="C48" s="11">
        <f si="0" t="shared"/>
        <v>1.6105224861622879E-2</v>
      </c>
      <c r="E48" s="146">
        <v>37</v>
      </c>
      <c r="F48" s="236" t="n">
        <v>2936.0</v>
      </c>
      <c r="G48" s="11">
        <f si="1" t="shared"/>
        <v>7.0050476604511412E-3</v>
      </c>
    </row>
    <row r="49" spans="1:7" x14ac:dyDescent="0.25">
      <c r="A49">
        <v>38</v>
      </c>
      <c r="B49" s="8" t="n">
        <v>5777.9114446249</v>
      </c>
      <c r="C49" s="11">
        <f si="0" t="shared"/>
        <v>1.05668664685116E-2</v>
      </c>
      <c r="E49" s="147">
        <v>38</v>
      </c>
      <c r="F49" s="237" t="n">
        <v>5515.0</v>
      </c>
      <c r="G49" s="11">
        <f si="1" t="shared"/>
        <v>1.0168133993219816E-2</v>
      </c>
    </row>
    <row r="50" spans="1:7" x14ac:dyDescent="0.25">
      <c r="A50">
        <v>39</v>
      </c>
      <c r="B50" s="8" t="n">
        <v>2315.29114893</v>
      </c>
      <c r="C50" s="11">
        <f si="0" t="shared"/>
        <v>4.2342934191609786E-3</v>
      </c>
      <c r="E50" s="148">
        <v>39</v>
      </c>
      <c r="F50" s="238" t="n">
        <v>3041.0</v>
      </c>
      <c r="G50" s="11">
        <f si="1" t="shared"/>
        <v>5.7115445155680811E-3</v>
      </c>
    </row>
    <row r="51" spans="1:7" x14ac:dyDescent="0.25">
      <c r="A51">
        <v>40</v>
      </c>
      <c r="B51" s="8" t="n">
        <v>1352.2480457951</v>
      </c>
      <c r="C51" s="11">
        <f si="0" t="shared"/>
        <v>2.4730431868275585E-3</v>
      </c>
      <c r="E51" s="149">
        <v>40</v>
      </c>
      <c r="F51" s="239" t="n">
        <v>2142.0</v>
      </c>
      <c r="G51" s="11">
        <f si="1" t="shared"/>
        <v>3.972596579069663E-3</v>
      </c>
    </row>
    <row r="52" spans="1:7" x14ac:dyDescent="0.25">
      <c r="A52">
        <v>41</v>
      </c>
      <c r="B52" s="8" t="n">
        <v>1997.928509444</v>
      </c>
      <c r="C52" s="11">
        <f si="0" t="shared"/>
        <v>3.6538884292813423E-3</v>
      </c>
      <c r="E52" s="150">
        <v>41</v>
      </c>
      <c r="F52" s="240" t="n">
        <v>1551.0</v>
      </c>
      <c r="G52" s="11">
        <f si="1" t="shared"/>
        <v>4.3859179482127596E-3</v>
      </c>
    </row>
    <row r="53" spans="1:7" x14ac:dyDescent="0.25">
      <c r="A53">
        <v>42</v>
      </c>
      <c r="B53" s="8" t="n">
        <v>691.907580159</v>
      </c>
      <c r="C53" s="11">
        <f si="0" t="shared"/>
        <v>1.2653871694230832E-3</v>
      </c>
      <c r="E53" s="151">
        <v>42</v>
      </c>
      <c r="F53" s="241" t="n">
        <v>1714.0</v>
      </c>
      <c r="G53" s="11">
        <f si="1" t="shared"/>
        <v>2.8696924075220205E-3</v>
      </c>
    </row>
    <row r="54" spans="1:7" x14ac:dyDescent="0.25">
      <c r="A54">
        <v>43</v>
      </c>
      <c r="B54" s="8" t="n">
        <v>728.5422207096</v>
      </c>
      <c r="C54" s="11">
        <f si="0" t="shared"/>
        <v>1.3323860077628844E-3</v>
      </c>
      <c r="E54" s="152">
        <v>43</v>
      </c>
      <c r="F54" s="242" t="n">
        <v>2067.0</v>
      </c>
      <c r="G54" s="11">
        <f si="1" t="shared"/>
        <v>4.4780050926332424E-3</v>
      </c>
    </row>
    <row r="55" spans="1:7" x14ac:dyDescent="0.25">
      <c r="A55">
        <v>44</v>
      </c>
      <c r="B55" s="8" t="n">
        <v>1290.376996385</v>
      </c>
      <c r="C55" s="11">
        <f si="0" t="shared"/>
        <v>2.3598910342462974E-3</v>
      </c>
      <c r="E55" s="153">
        <v>44</v>
      </c>
      <c r="F55" s="243" t="n">
        <v>1860.0</v>
      </c>
      <c r="G55" s="11">
        <f si="1" t="shared"/>
        <v>4.6557546969797558E-3</v>
      </c>
    </row>
    <row r="56" spans="1:7" x14ac:dyDescent="0.25">
      <c r="A56">
        <v>45</v>
      </c>
      <c r="B56" s="8" t="n">
        <v>36013.058642884</v>
      </c>
      <c r="C56" s="11">
        <f si="0" t="shared"/>
        <v>6.5862065462434199E-2</v>
      </c>
      <c r="E56" s="154">
        <v>45</v>
      </c>
      <c r="F56" s="244" t="n">
        <v>958.0</v>
      </c>
      <c r="G56" s="11">
        <f si="1" t="shared"/>
        <v>3.9897290710548686E-3</v>
      </c>
    </row>
    <row r="57" spans="1:7" x14ac:dyDescent="0.25">
      <c r="A57">
        <v>46</v>
      </c>
      <c r="B57" s="8" t="n">
        <v>143.4812226542</v>
      </c>
      <c r="C57" s="11">
        <f si="0" t="shared"/>
        <v>2.6240397331394905E-4</v>
      </c>
      <c r="E57" s="155">
        <v>46</v>
      </c>
      <c r="F57" s="245" t="n">
        <v>1656.0</v>
      </c>
      <c r="G57" s="11">
        <f si="1" t="shared"/>
        <v>3.5143024184653999E-3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156">
        <v>47</v>
      </c>
      <c r="F58" s="246" t="n">
        <v>1012.0</v>
      </c>
      <c r="G58" s="11">
        <f si="1" t="shared"/>
        <v>1.878149433878218E-3</v>
      </c>
    </row>
    <row r="59" spans="1:7" x14ac:dyDescent="0.25">
      <c r="A59">
        <v>48</v>
      </c>
      <c r="B59" s="8" t="n">
        <v>2118.7496220499997</v>
      </c>
      <c r="C59" s="11">
        <f si="0" t="shared"/>
        <v>3.8748507226152597E-3</v>
      </c>
      <c r="E59" s="157">
        <v>48</v>
      </c>
      <c r="F59" s="247" t="n">
        <v>1366.0</v>
      </c>
      <c r="G59" s="11">
        <f si="1" t="shared"/>
        <v>1.9381131558264392E-3</v>
      </c>
    </row>
    <row r="60" spans="1:7" x14ac:dyDescent="0.25">
      <c r="A60">
        <v>49</v>
      </c>
      <c r="B60" s="8" t="n">
        <v>230.26359417499998</v>
      </c>
      <c r="C60" s="11">
        <f si="0" t="shared"/>
        <v>4.2111490899887459E-4</v>
      </c>
      <c r="E60" s="158">
        <v>49</v>
      </c>
      <c r="F60" s="248" t="n">
        <v>2357.0</v>
      </c>
      <c r="G60" s="11">
        <f si="1" t="shared"/>
        <v>4.578658483046328E-3</v>
      </c>
    </row>
    <row r="61" spans="1:7" x14ac:dyDescent="0.25">
      <c r="A61">
        <v>50</v>
      </c>
      <c r="B61" s="8" t="n">
        <v>324.775829405</v>
      </c>
      <c r="C61" s="11">
        <f si="0" t="shared"/>
        <v>5.9396251645832106E-4</v>
      </c>
      <c r="E61" s="159">
        <v>50</v>
      </c>
      <c r="F61" s="249" t="n">
        <v>821.0</v>
      </c>
      <c r="G61" s="11">
        <f si="1" t="shared"/>
        <v>1.3084940753701154E-3</v>
      </c>
    </row>
    <row r="62" spans="1:7" x14ac:dyDescent="0.25">
      <c r="A62">
        <v>51</v>
      </c>
      <c r="B62" s="8" t="n">
        <v>195.252872306</v>
      </c>
      <c r="C62" s="11">
        <f si="0" t="shared"/>
        <v>3.57085955543715E-4</v>
      </c>
      <c r="E62" s="160">
        <v>51</v>
      </c>
      <c r="F62" s="250" t="n">
        <v>830.0</v>
      </c>
      <c r="G62" s="11">
        <f si="1" t="shared"/>
        <v>1.8524506959004088E-3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561.0</v>
      </c>
      <c r="G63" s="11">
        <f si="1" t="shared"/>
        <v>1.1478769630088083E-3</v>
      </c>
    </row>
    <row r="64" spans="1:7" x14ac:dyDescent="0.25">
      <c r="A64">
        <v>53</v>
      </c>
      <c r="B64" s="8" t="n">
        <v>641.7401844716001</v>
      </c>
      <c r="C64" s="11">
        <f si="0" t="shared"/>
        <v>1.1736391084875191E-3</v>
      </c>
      <c r="E64" s="162">
        <v>53</v>
      </c>
      <c r="F64" s="252" t="n">
        <v>552.0</v>
      </c>
      <c r="G64" s="11">
        <f si="1" t="shared"/>
        <v>1.1928497544699743E-3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163">
        <v>54</v>
      </c>
      <c r="F65" s="253" t="n">
        <v>548.0</v>
      </c>
      <c r="G65" s="11">
        <f si="1" t="shared"/>
        <v>9.9582609664010413E-4</v>
      </c>
    </row>
    <row r="66" spans="1:7" x14ac:dyDescent="0.25">
      <c r="A66">
        <v>55</v>
      </c>
      <c r="B66" s="8" t="n">
        <v>746.214690547</v>
      </c>
      <c r="C66" s="11">
        <f si="0" t="shared"/>
        <v>1.364706099673315E-3</v>
      </c>
      <c r="E66" s="164">
        <v>55</v>
      </c>
      <c r="F66" s="254" t="n">
        <v>622.0</v>
      </c>
      <c r="G66" s="11">
        <f si="1" t="shared"/>
        <v>1.4519786957462163E-3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793.0</v>
      </c>
      <c r="G67" s="11">
        <f si="1" t="shared"/>
        <v>1.7368063750002676E-3</v>
      </c>
    </row>
    <row r="68" spans="1:7" x14ac:dyDescent="0.25">
      <c r="A68">
        <v>57</v>
      </c>
      <c r="B68" s="8" t="n">
        <v>1335.01152099</v>
      </c>
      <c r="C68" s="11">
        <f si="0" t="shared"/>
        <v>2.4415203679435619E-3</v>
      </c>
      <c r="E68" s="166">
        <v>57</v>
      </c>
      <c r="F68" s="256" t="n">
        <v>378.0</v>
      </c>
      <c r="G68" s="11">
        <f si="1" t="shared"/>
        <v>8.2664273828619394E-4</v>
      </c>
    </row>
    <row r="69" spans="1:7" x14ac:dyDescent="0.25">
      <c r="A69">
        <v>58</v>
      </c>
      <c r="B69" s="8" t="n">
        <v>91.6389155216</v>
      </c>
      <c r="C69" s="11">
        <f si="0" t="shared"/>
        <v>1.6759276996825389E-4</v>
      </c>
      <c r="E69" s="167">
        <v>58</v>
      </c>
      <c r="F69" s="257" t="n">
        <v>264.0</v>
      </c>
      <c r="G69" s="11">
        <f si="1" t="shared"/>
        <v>7.5168808585091733E-4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285.0</v>
      </c>
      <c r="G70" s="11">
        <f si="1" t="shared"/>
        <v>6.0177878098036401E-4</v>
      </c>
    </row>
    <row r="71" spans="1:7" x14ac:dyDescent="0.25">
      <c r="A71">
        <v>60</v>
      </c>
      <c r="B71" s="8" t="n">
        <v>974.321633473</v>
      </c>
      <c r="C71" s="11">
        <f si="0" t="shared"/>
        <v>1.7818768419978228E-3</v>
      </c>
      <c r="E71" s="169">
        <v>60</v>
      </c>
      <c r="F71" s="259" t="n">
        <v>249.0</v>
      </c>
      <c r="G71" s="11">
        <f si="1" t="shared"/>
        <v>4.6686040659686602E-4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225.0</v>
      </c>
      <c r="G72" s="11">
        <f si="1" t="shared"/>
        <v>5.5894755101734879E-4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221.0</v>
      </c>
      <c r="G73" s="11">
        <f si="1" t="shared"/>
        <v>3.9190575416158936E-4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166.0</v>
      </c>
      <c r="G74" s="11">
        <f si="1" t="shared"/>
        <v>2.9125236374850358E-4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165.0</v>
      </c>
      <c r="G75" s="11">
        <f si="1" t="shared"/>
        <v>4.7114352959316754E-4</v>
      </c>
    </row>
    <row r="76" spans="1:7" x14ac:dyDescent="0.25">
      <c r="A76">
        <v>65</v>
      </c>
      <c r="B76" s="8" t="n">
        <v>292.681617382</v>
      </c>
      <c r="C76" s="11">
        <f si="0" t="shared"/>
        <v>5.3526738827759537E-4</v>
      </c>
      <c r="E76" s="174">
        <v>65</v>
      </c>
      <c r="F76" s="264" t="n">
        <v>228.0</v>
      </c>
      <c r="G76" s="11">
        <f si="1" t="shared"/>
        <v>2.3557176479658377E-4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94.0</v>
      </c>
      <c r="G77" s="11">
        <f ref="G77:G102" si="3" t="shared">F77/F$102</f>
        <v>2.5056269528363911E-4</v>
      </c>
    </row>
    <row r="78" spans="1:7" x14ac:dyDescent="0.25">
      <c r="A78">
        <v>67</v>
      </c>
      <c r="B78" s="8" t="n">
        <v>498.635433791</v>
      </c>
      <c r="C78" s="11">
        <f si="2" t="shared"/>
        <v>9.1192364158497723E-4</v>
      </c>
      <c r="E78" s="176">
        <v>67</v>
      </c>
      <c r="F78" s="266" t="n">
        <v>108.0</v>
      </c>
      <c r="G78" s="11">
        <f si="3" t="shared"/>
        <v>2.8268611775590055E-4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99.0</v>
      </c>
      <c r="G79" s="11">
        <f si="3" t="shared"/>
        <v>1.4348462037610103E-4</v>
      </c>
    </row>
    <row r="80" spans="1:7" x14ac:dyDescent="0.25">
      <c r="A80">
        <v>69</v>
      </c>
      <c r="B80" s="8" t="n">
        <v>387.674382174</v>
      </c>
      <c r="C80" s="11">
        <f si="2" t="shared"/>
        <v>7.0899380666456999E-4</v>
      </c>
      <c r="E80" s="178">
        <v>69</v>
      </c>
      <c r="F80" s="268" t="n">
        <v>93.0</v>
      </c>
      <c r="G80" s="11">
        <f si="3" t="shared"/>
        <v>1.670417968557594E-4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68.0</v>
      </c>
      <c r="G81" s="11">
        <f si="3" t="shared"/>
        <v>3.5764077019117722E-4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150.0</v>
      </c>
      <c r="G82" s="11">
        <f si="3" t="shared"/>
        <v>1.3705993588164874E-4</v>
      </c>
    </row>
    <row r="83" spans="1:7" x14ac:dyDescent="0.25">
      <c r="A83">
        <v>72</v>
      </c>
      <c r="B83" s="8" t="n">
        <v>5062.342946146</v>
      </c>
      <c r="C83" s="11">
        <f si="2" t="shared"/>
        <v>9.2582073024847396E-3</v>
      </c>
      <c r="E83" s="181">
        <v>72</v>
      </c>
      <c r="F83" s="271" t="n">
        <v>47.0</v>
      </c>
      <c r="G83" s="11">
        <f si="3" t="shared"/>
        <v>1.0921963640568885E-4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53.0</v>
      </c>
      <c r="G84" s="11">
        <f si="3" t="shared"/>
        <v>1.0707807490753808E-4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65.0</v>
      </c>
      <c r="G85" s="11">
        <f si="3" t="shared"/>
        <v>1.3920149737979949E-4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59.0</v>
      </c>
      <c r="G86" s="11">
        <f si="3" t="shared"/>
        <v>1.1350275940199037E-4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42.0</v>
      </c>
      <c r="G87" s="11">
        <f si="3" t="shared"/>
        <v>3.4264983970412185E-5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36.0</v>
      </c>
      <c r="G88" s="11">
        <f si="3" t="shared"/>
        <v>8.9945582922331993E-5</v>
      </c>
    </row>
    <row r="89" spans="1:7" x14ac:dyDescent="0.25">
      <c r="A89">
        <v>78</v>
      </c>
      <c r="B89" s="8" t="n">
        <v>256.371317496</v>
      </c>
      <c r="C89" s="11">
        <f si="2" t="shared"/>
        <v>4.6886171660813578E-4</v>
      </c>
      <c r="E89" s="187">
        <v>78</v>
      </c>
      <c r="F89" s="277" t="n">
        <v>68.0</v>
      </c>
      <c r="G89" s="11">
        <f si="3" t="shared"/>
        <v>6.8529967940824369E-5</v>
      </c>
    </row>
    <row r="90" spans="1:7" x14ac:dyDescent="0.25">
      <c r="A90">
        <v>79</v>
      </c>
      <c r="B90" s="8" t="n">
        <v>256.371317496</v>
      </c>
      <c r="C90" s="11">
        <f si="2" t="shared"/>
        <v>4.6886171660813578E-4</v>
      </c>
      <c r="E90" s="188">
        <v>79</v>
      </c>
      <c r="F90" s="278" t="n">
        <v>19.0</v>
      </c>
      <c r="G90" s="11">
        <f si="3" t="shared"/>
        <v>6.4246844944522845E-5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16.0</v>
      </c>
      <c r="G91" s="11">
        <f si="3" t="shared"/>
        <v>4.0689668464864472E-5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23.0</v>
      </c>
      <c r="G92" s="11">
        <f si="3" t="shared"/>
        <v>4.9255914457467515E-5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20.0</v>
      </c>
      <c r="G93" s="11">
        <f si="3" t="shared"/>
        <v>3.4264983970412185E-5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13.0</v>
      </c>
      <c r="G94" s="11">
        <f si="3" t="shared"/>
        <v>5.1397475955618277E-5</v>
      </c>
    </row>
    <row r="95" spans="1:7" x14ac:dyDescent="0.25">
      <c r="A95">
        <v>84</v>
      </c>
      <c r="B95" s="8" t="n">
        <v>1132.619328192</v>
      </c>
      <c r="C95" s="11">
        <f si="2" t="shared"/>
        <v>2.0713777487528034E-3</v>
      </c>
      <c r="E95" s="193">
        <v>84</v>
      </c>
      <c r="F95" s="283" t="n">
        <v>13.0</v>
      </c>
      <c r="G95" s="11">
        <f si="3" t="shared"/>
        <v>2.5698737977809139E-5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10.0</v>
      </c>
      <c r="G96" s="11">
        <f si="3" t="shared"/>
        <v>4.0689668464864472E-5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18.0</v>
      </c>
      <c r="G97" s="11">
        <f si="3" t="shared"/>
        <v>2.7840299475959901E-5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21.0</v>
      </c>
      <c r="G98" s="11">
        <f si="3" t="shared"/>
        <v>1.0707807490753809E-5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4.0</v>
      </c>
      <c r="G99" s="11">
        <f si="3" t="shared"/>
        <v>1.4990930487055332E-5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20.0</v>
      </c>
      <c r="G100" s="11">
        <f si="3" t="shared"/>
        <v>1.2849368988904569E-5</v>
      </c>
    </row>
    <row ht="15.75" r="101" spans="1:7" thickBot="1" x14ac:dyDescent="0.3">
      <c r="A101" s="1">
        <v>90</v>
      </c>
      <c r="B101" s="9" t="n">
        <v>1073.10010755</v>
      </c>
      <c r="C101" s="11">
        <f si="2" t="shared"/>
        <v>1.9625267109926142E-3</v>
      </c>
      <c r="E101" s="291">
        <v>90</v>
      </c>
      <c r="F101" s="291" t="n">
        <v>54.0</v>
      </c>
      <c r="G101" s="11">
        <f si="3" t="shared"/>
        <v>1.6061711236130713E-4</v>
      </c>
    </row>
    <row r="102" spans="1:7" x14ac:dyDescent="0.25">
      <c r="B102" s="8">
        <f>SUM(B11:B101)</f>
        <v>546795.16031006956</v>
      </c>
      <c r="C102" s="11">
        <f si="2" t="shared"/>
        <v>1</v>
      </c>
      <c r="F102" s="8">
        <f>SUM(F11:F101)</f>
        <v>466949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F7" workbookViewId="0">
      <selection activeCell="AE36" sqref="AE36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3" t="s">
        <v>248</v>
      </c>
      <c r="B7" s="12" t="n">
        <v>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0</v>
      </c>
      <c r="K7" s="12"/>
      <c r="L7" t="str">
        <f>$A$7</f>
        <v>Bellevue</v>
      </c>
      <c r="M7" s="338" t="n">
        <v>0.0</v>
      </c>
      <c r="N7" s="338" t="n">
        <v>0.0</v>
      </c>
      <c r="O7" s="338" t="n">
        <v>0.0</v>
      </c>
      <c r="P7" s="338" t="n">
        <v>0.0</v>
      </c>
      <c r="Q7" s="338" t="n">
        <v>0.0</v>
      </c>
      <c r="R7" s="338" t="n">
        <v>0.0</v>
      </c>
      <c r="S7" s="338" t="n">
        <v>0.0</v>
      </c>
      <c r="T7" s="338"/>
      <c r="U7" s="336">
        <f>SUM(M7:T7)</f>
        <v>0</v>
      </c>
    </row>
    <row r="8" spans="1:21" x14ac:dyDescent="0.25">
      <c r="A8" t="s">
        <v>249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338" t="n">
        <v>0.0</v>
      </c>
      <c r="N8" s="338" t="n">
        <v>0.0</v>
      </c>
      <c r="O8" s="338" t="n">
        <v>0.0</v>
      </c>
      <c r="P8" s="338" t="n">
        <v>0.0</v>
      </c>
      <c r="Q8" s="338" t="n">
        <v>0.0</v>
      </c>
      <c r="R8" s="338" t="n">
        <v>0.0</v>
      </c>
      <c r="S8" s="338" t="n">
        <v>0.0</v>
      </c>
      <c r="T8" s="338"/>
      <c r="U8" s="336">
        <f ref="U8:U14" si="1" t="shared">SUM(M8:T8)</f>
        <v>0</v>
      </c>
    </row>
    <row r="9" spans="1:21" x14ac:dyDescent="0.25">
      <c r="A9" t="s">
        <v>250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Kirkland</v>
      </c>
      <c r="M9" s="338" t="n">
        <v>0.0</v>
      </c>
      <c r="N9" s="338" t="n">
        <v>0.0</v>
      </c>
      <c r="O9" s="338" t="n">
        <v>0.0</v>
      </c>
      <c r="P9" s="338" t="n">
        <v>0.0</v>
      </c>
      <c r="Q9" s="338" t="n">
        <v>0.0</v>
      </c>
      <c r="R9" s="338" t="n">
        <v>0.0</v>
      </c>
      <c r="S9" s="338" t="n">
        <v>0.0</v>
      </c>
      <c r="T9" s="338"/>
      <c r="U9" s="336">
        <f si="1" t="shared"/>
        <v>0</v>
      </c>
    </row>
    <row r="10" spans="1:21" x14ac:dyDescent="0.25">
      <c r="A10" t="s">
        <v>251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Redmond</v>
      </c>
      <c r="M10" s="338" t="n">
        <v>0.0</v>
      </c>
      <c r="N10" s="338" t="n">
        <v>0.0</v>
      </c>
      <c r="O10" s="338" t="n">
        <v>0.0</v>
      </c>
      <c r="P10" s="338" t="n">
        <v>0.0</v>
      </c>
      <c r="Q10" s="338" t="n">
        <v>0.0</v>
      </c>
      <c r="R10" s="338" t="n">
        <v>0.0</v>
      </c>
      <c r="S10" s="338" t="n">
        <v>0.0</v>
      </c>
      <c r="T10" s="338"/>
      <c r="U10" s="336">
        <f si="1" t="shared"/>
        <v>0</v>
      </c>
    </row>
    <row r="11" spans="1:21" x14ac:dyDescent="0.25">
      <c r="A11" t="s">
        <v>247</v>
      </c>
      <c r="B11" s="12" t="n">
        <v>193.9322355631</v>
      </c>
      <c r="C11" s="12" t="n">
        <v>204.895576933</v>
      </c>
      <c r="D11" s="12" t="n">
        <v>1516.321549231</v>
      </c>
      <c r="E11" s="12" t="n">
        <v>0.0</v>
      </c>
      <c r="F11" s="12" t="n">
        <v>67994.173376713</v>
      </c>
      <c r="G11" s="12" t="n">
        <v>11465.8802925862</v>
      </c>
      <c r="H11" s="12" t="n">
        <v>11204.6773325296</v>
      </c>
      <c r="I11" s="12"/>
      <c r="J11" s="12">
        <f si="0" t="shared"/>
        <v>92579.880363555902</v>
      </c>
      <c r="K11" s="13"/>
      <c r="L11" t="str">
        <f>$A$11</f>
        <v>Seattle</v>
      </c>
      <c r="M11" s="338" t="n">
        <v>0.0</v>
      </c>
      <c r="N11" s="338" t="n">
        <v>0.0</v>
      </c>
      <c r="O11" s="338" t="n">
        <v>0.0</v>
      </c>
      <c r="P11" s="338" t="n">
        <v>0.0</v>
      </c>
      <c r="Q11" s="338" t="n">
        <v>66414.0</v>
      </c>
      <c r="R11" s="338" t="n">
        <v>3334.0</v>
      </c>
      <c r="S11" s="338" t="n">
        <v>6091.0</v>
      </c>
      <c r="T11" s="338"/>
      <c r="U11" s="336">
        <f si="1" t="shared"/>
        <v>73925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868.1588883439</v>
      </c>
      <c r="G12" s="12" t="n">
        <v>1644.320850104</v>
      </c>
      <c r="H12" s="12" t="n">
        <v>98.7014267996</v>
      </c>
      <c r="I12" s="12"/>
      <c r="J12" s="12">
        <f si="0" t="shared"/>
        <v>2611.1811652475003</v>
      </c>
      <c r="K12" s="13"/>
      <c r="L12" t="str">
        <f>$A$12</f>
        <v>Seattle Downtown</v>
      </c>
      <c r="M12" s="338" t="n">
        <v>0.0</v>
      </c>
      <c r="N12" s="338" t="n">
        <v>0.0</v>
      </c>
      <c r="O12" s="338" t="n">
        <v>0.0</v>
      </c>
      <c r="P12" s="338" t="n">
        <v>0.0</v>
      </c>
      <c r="Q12" s="338" t="n">
        <v>1653.0</v>
      </c>
      <c r="R12" s="338" t="n">
        <v>4695.0</v>
      </c>
      <c r="S12" s="338" t="n">
        <v>160.0</v>
      </c>
      <c r="T12" s="338"/>
      <c r="U12" s="336">
        <f si="1" t="shared"/>
        <v>6697</v>
      </c>
    </row>
    <row r="13" spans="1:21" x14ac:dyDescent="0.25">
      <c r="A13" t="s">
        <v>253</v>
      </c>
      <c r="B13" s="12" t="n">
        <v>7032.93034059</v>
      </c>
      <c r="C13" s="12" t="n">
        <v>0.0</v>
      </c>
      <c r="D13" s="12" t="n">
        <v>7749.763040492</v>
      </c>
      <c r="E13" s="12" t="n">
        <v>2803.178594254</v>
      </c>
      <c r="F13" s="12" t="n">
        <v>17159.3430143765</v>
      </c>
      <c r="G13" s="12" t="n">
        <v>647.187678475</v>
      </c>
      <c r="H13" s="12" t="n">
        <v>417241.15166280343</v>
      </c>
      <c r="I13" s="12"/>
      <c r="J13" s="12">
        <f si="0" t="shared"/>
        <v>452633.55433099094</v>
      </c>
      <c r="K13" s="13"/>
      <c r="L13" t="str">
        <f>A13</f>
        <v>Rest</v>
      </c>
      <c r="M13" s="338" t="n">
        <v>1.0</v>
      </c>
      <c r="N13" s="338" t="n">
        <v>2.0</v>
      </c>
      <c r="O13" s="338" t="n">
        <v>0.0</v>
      </c>
      <c r="P13" s="338" t="n">
        <v>0.0</v>
      </c>
      <c r="Q13" s="338" t="n">
        <v>10733.0</v>
      </c>
      <c r="R13" s="338" t="n">
        <v>1018.0</v>
      </c>
      <c r="S13" s="338" t="n">
        <v>376998.0</v>
      </c>
      <c r="T13" s="338"/>
      <c r="U13" s="336">
        <f si="1" t="shared"/>
        <v>386142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40"/>
      <c r="N14" s="340"/>
      <c r="O14" s="340"/>
      <c r="P14" s="340"/>
      <c r="Q14" s="340"/>
      <c r="R14" s="340"/>
      <c r="S14" s="340"/>
      <c r="T14" s="340"/>
      <c r="U14" s="340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7226.8625761531002</v>
      </c>
      <c r="C15" s="15">
        <f si="2" t="shared"/>
        <v>204.895576933</v>
      </c>
      <c r="D15" s="15">
        <f si="2" t="shared"/>
        <v>9266.0845897229992</v>
      </c>
      <c r="E15" s="15">
        <f si="2" t="shared"/>
        <v>2803.178594254</v>
      </c>
      <c r="F15" s="15">
        <f si="2" t="shared"/>
        <v>86021.675279433402</v>
      </c>
      <c r="G15" s="15">
        <f si="2" t="shared"/>
        <v>13757.388821165201</v>
      </c>
      <c r="H15" s="15">
        <f si="2" t="shared"/>
        <v>428544.53042213264</v>
      </c>
      <c r="I15" s="15">
        <f si="2" t="shared"/>
        <v>0</v>
      </c>
      <c r="J15" s="15">
        <f si="2" t="shared"/>
        <v>547824.61585979431</v>
      </c>
      <c r="K15" s="12"/>
      <c r="L15" s="15" t="s">
        <v>4</v>
      </c>
      <c r="M15" s="337">
        <f ref="M15:U15" si="3" t="shared">SUM(M7:M14)</f>
        <v>1</v>
      </c>
      <c r="N15" s="337">
        <f si="3" t="shared"/>
        <v>0</v>
      </c>
      <c r="O15" s="337">
        <f si="3" t="shared"/>
        <v>0</v>
      </c>
      <c r="P15" s="337">
        <f si="3" t="shared"/>
        <v>0</v>
      </c>
      <c r="Q15" s="337">
        <f si="3" t="shared"/>
        <v>77066</v>
      </c>
      <c r="R15" s="337">
        <f si="3" t="shared"/>
        <v>8925</v>
      </c>
      <c r="S15" s="337">
        <f si="3" t="shared"/>
        <v>380772</v>
      </c>
      <c r="T15" s="337">
        <f si="3" t="shared"/>
        <v>0</v>
      </c>
      <c r="U15" s="337">
        <f si="3" t="shared"/>
        <v>466764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 t="e">
        <f ref="B20:G20" si="4" t="shared">($U7/$J7)*B7</f>
        <v>#DIV/0!</v>
      </c>
      <c r="C20" s="12" t="e">
        <f si="4" t="shared"/>
        <v>#DIV/0!</v>
      </c>
      <c r="D20" s="12" t="e">
        <f si="4" t="shared"/>
        <v>#DIV/0!</v>
      </c>
      <c r="E20" s="12" t="e">
        <f si="4" t="shared"/>
        <v>#DIV/0!</v>
      </c>
      <c r="F20" s="12" t="e">
        <f si="4" t="shared"/>
        <v>#DIV/0!</v>
      </c>
      <c r="G20" s="12" t="e">
        <f si="4" t="shared"/>
        <v>#DIV/0!</v>
      </c>
      <c r="H20" s="12" t="e">
        <f ref="H20" si="5" t="shared">($U7/$J7)*H7</f>
        <v>#DIV/0!</v>
      </c>
      <c r="I20" s="12"/>
      <c r="J20" s="12" t="e">
        <f>SUM(B20:I20)</f>
        <v>#DIV/0!</v>
      </c>
      <c r="K20" s="12"/>
      <c r="L20" t="str">
        <f>$A$7</f>
        <v>Bellevue</v>
      </c>
      <c r="M20" s="12">
        <f ref="M20:M26" si="6" t="shared">M7</f>
        <v>0</v>
      </c>
      <c r="N20" s="12">
        <f ref="N20:U20" si="7" t="shared">N7</f>
        <v>0</v>
      </c>
      <c r="O20" s="12">
        <f si="7" t="shared"/>
        <v>0</v>
      </c>
      <c r="P20" s="12">
        <f si="7" t="shared"/>
        <v>0</v>
      </c>
      <c r="Q20" s="12">
        <f si="7" t="shared"/>
        <v>0</v>
      </c>
      <c r="R20" s="12">
        <f si="7" t="shared"/>
        <v>0</v>
      </c>
      <c r="S20" s="12">
        <f ref="S20" si="8" t="shared">S7</f>
        <v>0</v>
      </c>
      <c r="T20" s="12"/>
      <c r="U20" s="12">
        <f si="7" t="shared"/>
        <v>0</v>
      </c>
    </row>
    <row r="21" spans="1:32" x14ac:dyDescent="0.25">
      <c r="A21" t="str">
        <f>$A$8</f>
        <v>Bellevue Downtown</v>
      </c>
      <c r="B21" s="12" t="e">
        <f ref="B21:G26" si="9" t="shared">($U8/$J8)*B8</f>
        <v>#DIV/0!</v>
      </c>
      <c r="C21" s="12" t="e">
        <f si="9" t="shared"/>
        <v>#DIV/0!</v>
      </c>
      <c r="D21" s="12" t="e">
        <f si="9" t="shared"/>
        <v>#DIV/0!</v>
      </c>
      <c r="E21" s="12" t="e">
        <f si="9" t="shared"/>
        <v>#DIV/0!</v>
      </c>
      <c r="F21" s="12" t="e">
        <f si="9" t="shared"/>
        <v>#DIV/0!</v>
      </c>
      <c r="G21" s="12" t="e">
        <f si="9" t="shared"/>
        <v>#DIV/0!</v>
      </c>
      <c r="H21" s="12" t="e">
        <f ref="H21" si="10" t="shared">($U8/$J8)*H8</f>
        <v>#DIV/0!</v>
      </c>
      <c r="I21" s="12"/>
      <c r="J21" s="12" t="e">
        <f ref="J21:J27" si="11" t="shared">SUM(B21:I21)</f>
        <v>#DIV/0!</v>
      </c>
      <c r="K21" s="12"/>
      <c r="L21" t="str">
        <f>$A$8</f>
        <v>Bellevue Downtown</v>
      </c>
      <c r="M21" s="12">
        <f si="6" t="shared"/>
        <v>0</v>
      </c>
      <c r="N21" s="12">
        <f ref="N21:R25" si="12" t="shared">N8</f>
        <v>0</v>
      </c>
      <c r="O21" s="12">
        <f si="12" t="shared"/>
        <v>0</v>
      </c>
      <c r="P21" s="12">
        <f si="12" t="shared"/>
        <v>0</v>
      </c>
      <c r="Q21" s="12">
        <f si="12" t="shared"/>
        <v>0</v>
      </c>
      <c r="R21" s="12">
        <f si="12" t="shared"/>
        <v>0</v>
      </c>
      <c r="S21" s="12">
        <f ref="S21" si="13" t="shared">S8</f>
        <v>0</v>
      </c>
      <c r="T21" s="12"/>
      <c r="U21" s="12">
        <f ref="U21:U26" si="14" t="shared">U8</f>
        <v>0</v>
      </c>
    </row>
    <row r="22" spans="1:32" x14ac:dyDescent="0.25">
      <c r="A22" t="str">
        <f>$A$9</f>
        <v>Kirkland</v>
      </c>
      <c r="B22" s="12" t="e">
        <f si="9" t="shared"/>
        <v>#DIV/0!</v>
      </c>
      <c r="C22" s="12" t="e">
        <f si="9" t="shared"/>
        <v>#DIV/0!</v>
      </c>
      <c r="D22" s="12" t="e">
        <f si="9" t="shared"/>
        <v>#DIV/0!</v>
      </c>
      <c r="E22" s="12" t="e">
        <f si="9" t="shared"/>
        <v>#DIV/0!</v>
      </c>
      <c r="F22" s="12" t="e">
        <f si="9" t="shared"/>
        <v>#DIV/0!</v>
      </c>
      <c r="G22" s="12" t="e">
        <f si="9" t="shared"/>
        <v>#DIV/0!</v>
      </c>
      <c r="H22" s="12" t="e">
        <f ref="H22" si="15" t="shared">($U9/$J9)*H9</f>
        <v>#DIV/0!</v>
      </c>
      <c r="I22" s="12"/>
      <c r="J22" s="12" t="e">
        <f si="11" t="shared"/>
        <v>#DIV/0!</v>
      </c>
      <c r="K22" s="13"/>
      <c r="L22" t="str">
        <f>$A$9</f>
        <v>Kirkland</v>
      </c>
      <c r="M22" s="12">
        <f si="6" t="shared"/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ref="S22" si="16" t="shared">S9</f>
        <v>0</v>
      </c>
      <c r="T22" s="12"/>
      <c r="U22" s="12">
        <f si="14" t="shared"/>
        <v>0</v>
      </c>
    </row>
    <row r="23" spans="1:32" x14ac:dyDescent="0.25">
      <c r="A23" t="str">
        <f>$A$10</f>
        <v>Redmond</v>
      </c>
      <c r="B23" s="12" t="e">
        <f si="9" t="shared"/>
        <v>#DIV/0!</v>
      </c>
      <c r="C23" s="12" t="e">
        <f si="9" t="shared"/>
        <v>#DIV/0!</v>
      </c>
      <c r="D23" s="12" t="e">
        <f si="9" t="shared"/>
        <v>#DIV/0!</v>
      </c>
      <c r="E23" s="12" t="e">
        <f si="9" t="shared"/>
        <v>#DIV/0!</v>
      </c>
      <c r="F23" s="12" t="e">
        <f si="9" t="shared"/>
        <v>#DIV/0!</v>
      </c>
      <c r="G23" s="12" t="e">
        <f si="9" t="shared"/>
        <v>#DIV/0!</v>
      </c>
      <c r="H23" s="12" t="e">
        <f ref="H23" si="17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si="6" t="shared"/>
        <v>0</v>
      </c>
      <c r="N23" s="12">
        <f si="12" t="shared"/>
        <v>0</v>
      </c>
      <c r="O23" s="12">
        <f si="12" t="shared"/>
        <v>0</v>
      </c>
      <c r="P23" s="12">
        <f si="12" t="shared"/>
        <v>0</v>
      </c>
      <c r="Q23" s="12">
        <f si="12" t="shared"/>
        <v>0</v>
      </c>
      <c r="R23" s="12">
        <f si="12" t="shared"/>
        <v>0</v>
      </c>
      <c r="S23" s="12">
        <f ref="S23" si="18" t="shared">S10</f>
        <v>0</v>
      </c>
      <c r="T23" s="12"/>
      <c r="U23" s="12">
        <f si="14" t="shared"/>
        <v>0</v>
      </c>
    </row>
    <row r="24" spans="1:32" x14ac:dyDescent="0.25">
      <c r="A24" t="str">
        <f>$A$11</f>
        <v>Seattle</v>
      </c>
      <c r="B24" s="12">
        <f si="9" t="shared"/>
        <v>154.85481789027793</v>
      </c>
      <c r="C24" s="12">
        <f si="9" t="shared"/>
        <v>163.60904189215836</v>
      </c>
      <c r="D24" s="12">
        <f si="9" t="shared"/>
        <v>1210.7821924884183</v>
      </c>
      <c r="E24" s="12">
        <f si="9" t="shared"/>
        <v>0</v>
      </c>
      <c r="F24" s="12">
        <f si="9" t="shared"/>
        <v>54293.322125010876</v>
      </c>
      <c r="G24" s="12">
        <f si="9" t="shared"/>
        <v>9155.5011445348428</v>
      </c>
      <c r="H24" s="12">
        <f ref="H24" si="19" t="shared">($U11/$J11)*H11</f>
        <v>8946.9306781834384</v>
      </c>
      <c r="I24" s="12"/>
      <c r="J24" s="12">
        <f si="11" t="shared"/>
        <v>73925.000000000015</v>
      </c>
      <c r="K24" s="13"/>
      <c r="L24" t="str">
        <f>$A$11</f>
        <v>Seattle</v>
      </c>
      <c r="M24" s="12">
        <f si="6" t="shared"/>
        <v>0</v>
      </c>
      <c r="N24" s="12">
        <f si="12" t="shared"/>
        <v>0</v>
      </c>
      <c r="O24" s="12">
        <f si="12" t="shared"/>
        <v>0</v>
      </c>
      <c r="P24" s="12">
        <f si="12" t="shared"/>
        <v>0</v>
      </c>
      <c r="Q24" s="12">
        <f si="12" t="shared"/>
        <v>64912</v>
      </c>
      <c r="R24" s="12">
        <f si="12" t="shared"/>
        <v>3125</v>
      </c>
      <c r="S24" s="12">
        <f ref="S24" si="20" t="shared">S11</f>
        <v>5888</v>
      </c>
      <c r="T24" s="12"/>
      <c r="U24" s="12">
        <f si="14" t="shared"/>
        <v>73925</v>
      </c>
    </row>
    <row r="25" spans="1:32" x14ac:dyDescent="0.25">
      <c r="A25" t="str">
        <f>$A$12</f>
        <v>Seattle Downtown</v>
      </c>
      <c r="B25" s="12">
        <f si="9" t="shared"/>
        <v>0</v>
      </c>
      <c r="C25" s="12">
        <f si="9" t="shared"/>
        <v>0</v>
      </c>
      <c r="D25" s="12">
        <f si="9" t="shared"/>
        <v>0</v>
      </c>
      <c r="E25" s="12">
        <f si="9" t="shared"/>
        <v>0</v>
      </c>
      <c r="F25" s="12">
        <f si="9" t="shared"/>
        <v>2226.6015673745924</v>
      </c>
      <c r="G25" s="12">
        <f si="9" t="shared"/>
        <v>4217.2549648054455</v>
      </c>
      <c r="H25" s="12">
        <f ref="H25:H26" si="21" t="shared">($U12/$J12)*H12</f>
        <v>253.1434678199619</v>
      </c>
      <c r="I25" s="12"/>
      <c r="J25" s="12">
        <f si="11" t="shared"/>
        <v>6697</v>
      </c>
      <c r="K25" s="13"/>
      <c r="L25" t="str">
        <f>$A$12</f>
        <v>Seattle Downtown</v>
      </c>
      <c r="M25" s="12">
        <f si="6" t="shared"/>
        <v>0</v>
      </c>
      <c r="N25" s="12">
        <f si="12" t="shared"/>
        <v>0</v>
      </c>
      <c r="O25" s="12">
        <f si="12" t="shared"/>
        <v>0</v>
      </c>
      <c r="P25" s="12">
        <f si="12" t="shared"/>
        <v>0</v>
      </c>
      <c r="Q25" s="12">
        <f si="12" t="shared"/>
        <v>1748</v>
      </c>
      <c r="R25" s="12">
        <f si="12" t="shared"/>
        <v>4787</v>
      </c>
      <c r="S25" s="12">
        <f ref="S25" si="22" t="shared">S12</f>
        <v>162</v>
      </c>
      <c r="T25" s="12"/>
      <c r="U25" s="12">
        <f si="14" t="shared"/>
        <v>6697</v>
      </c>
    </row>
    <row r="26" spans="1:32" x14ac:dyDescent="0.25">
      <c r="A26" t="str">
        <f>$A$13</f>
        <v>Rest</v>
      </c>
      <c r="B26" s="12">
        <f si="9" t="shared"/>
        <v>5999.7977648608548</v>
      </c>
      <c r="C26" s="12">
        <f si="9" t="shared"/>
        <v>0</v>
      </c>
      <c r="D26" s="12">
        <f si="9" t="shared"/>
        <v>6611.3282396942495</v>
      </c>
      <c r="E26" s="12">
        <f si="9" t="shared"/>
        <v>2391.3936083291305</v>
      </c>
      <c r="F26" s="12">
        <f si="9" t="shared"/>
        <v>14638.64745964483</v>
      </c>
      <c r="G26" s="12">
        <f si="9" t="shared"/>
        <v>552.11625861689424</v>
      </c>
      <c r="H26" s="12">
        <f si="21" t="shared"/>
        <v>355948.716668854</v>
      </c>
      <c r="I26" s="12"/>
      <c r="J26" s="12">
        <f si="11" t="shared"/>
        <v>386141.99999999994</v>
      </c>
      <c r="K26" s="13"/>
      <c r="L26" t="str">
        <f>$A$13</f>
        <v>Rest</v>
      </c>
      <c r="M26" s="12">
        <f si="6" t="shared"/>
        <v>1</v>
      </c>
      <c r="N26" s="12">
        <f ref="N26:R26" si="23" t="shared">N13</f>
        <v>0</v>
      </c>
      <c r="O26" s="12">
        <f si="23" t="shared"/>
        <v>0</v>
      </c>
      <c r="P26" s="12">
        <f si="23" t="shared"/>
        <v>0</v>
      </c>
      <c r="Q26" s="12">
        <f si="23" t="shared"/>
        <v>10406</v>
      </c>
      <c r="R26" s="12">
        <f si="23" t="shared"/>
        <v>1013</v>
      </c>
      <c r="S26" s="12">
        <f ref="S26" si="24" t="shared">S13</f>
        <v>374722</v>
      </c>
      <c r="T26" s="12"/>
      <c r="U26" s="12">
        <f si="14" t="shared"/>
        <v>386142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si="11" t="shared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5" t="shared">SUM(B20:B27)</f>
        <v>#DIV/0!</v>
      </c>
      <c r="C28" s="15" t="e">
        <f si="25" t="shared"/>
        <v>#DIV/0!</v>
      </c>
      <c r="D28" s="15" t="e">
        <f si="25" t="shared"/>
        <v>#DIV/0!</v>
      </c>
      <c r="E28" s="15" t="e">
        <f si="25" t="shared"/>
        <v>#DIV/0!</v>
      </c>
      <c r="F28" s="15" t="e">
        <f si="25" t="shared"/>
        <v>#DIV/0!</v>
      </c>
      <c r="G28" s="15" t="e">
        <f si="25" t="shared"/>
        <v>#DIV/0!</v>
      </c>
      <c r="H28" s="15" t="e">
        <f si="25" t="shared"/>
        <v>#DIV/0!</v>
      </c>
      <c r="I28" s="15">
        <f si="25" t="shared"/>
        <v>0</v>
      </c>
      <c r="J28" s="15" t="e">
        <f si="25" t="shared"/>
        <v>#DIV/0!</v>
      </c>
      <c r="K28" s="12"/>
      <c r="L28" s="15" t="s">
        <v>4</v>
      </c>
      <c r="M28" s="15">
        <f ref="M28:U28" si="26" t="shared">M15</f>
        <v>1</v>
      </c>
      <c r="N28" s="15">
        <f si="26" t="shared"/>
        <v>0</v>
      </c>
      <c r="O28" s="15">
        <f si="26" t="shared"/>
        <v>0</v>
      </c>
      <c r="P28" s="15">
        <f si="26" t="shared"/>
        <v>0</v>
      </c>
      <c r="Q28" s="15">
        <f si="26" t="shared"/>
        <v>77066</v>
      </c>
      <c r="R28" s="15">
        <f si="26" t="shared"/>
        <v>8925</v>
      </c>
      <c r="S28" s="15">
        <f si="26" t="shared"/>
        <v>380772</v>
      </c>
      <c r="T28" s="15"/>
      <c r="U28" s="15">
        <f si="26" t="shared"/>
        <v>466764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7" t="shared">B20/$J$28</f>
        <v>#DIV/0!</v>
      </c>
      <c r="C33" s="16" t="e">
        <f si="27" t="shared"/>
        <v>#DIV/0!</v>
      </c>
      <c r="D33" s="16" t="e">
        <f si="27" t="shared"/>
        <v>#DIV/0!</v>
      </c>
      <c r="E33" s="16" t="e">
        <f si="27" t="shared"/>
        <v>#DIV/0!</v>
      </c>
      <c r="F33" s="16" t="e">
        <f si="27" t="shared"/>
        <v>#DIV/0!</v>
      </c>
      <c r="G33" s="16" t="e">
        <f si="27" t="shared"/>
        <v>#DIV/0!</v>
      </c>
      <c r="H33" s="16" t="e">
        <f ref="H33" si="28" t="shared">H20/$J$28</f>
        <v>#DIV/0!</v>
      </c>
      <c r="I33" s="16"/>
      <c r="J33" s="16" t="e">
        <f ref="J33:J38" si="29" t="shared">J20/$J$28</f>
        <v>#DIV/0!</v>
      </c>
      <c r="K33" s="12"/>
      <c r="L33" t="str">
        <f>$A$7</f>
        <v>Bellevue</v>
      </c>
      <c r="M33" s="16">
        <f ref="M33:R33" si="30" t="shared">M20/$U$28</f>
        <v>0</v>
      </c>
      <c r="N33" s="16">
        <f si="30" t="shared"/>
        <v>0</v>
      </c>
      <c r="O33" s="16">
        <f si="30" t="shared"/>
        <v>0</v>
      </c>
      <c r="P33" s="16">
        <f si="30" t="shared"/>
        <v>0</v>
      </c>
      <c r="Q33" s="16">
        <f si="30" t="shared"/>
        <v>0</v>
      </c>
      <c r="R33" s="16">
        <f si="30" t="shared"/>
        <v>0</v>
      </c>
      <c r="S33" s="16">
        <f ref="S33" si="31" t="shared">S20/$U$28</f>
        <v>0</v>
      </c>
      <c r="T33" s="16"/>
      <c r="U33" s="16">
        <f ref="U33:U39" si="32" t="shared">U20/$U$28</f>
        <v>0</v>
      </c>
      <c r="W33" t="str">
        <f>$A$7</f>
        <v>Bellevue</v>
      </c>
      <c r="X33" s="16" t="e">
        <f ref="X33:AD33" si="33" t="shared">M33-B33</f>
        <v>#DIV/0!</v>
      </c>
      <c r="Y33" s="16" t="e">
        <f si="33" t="shared"/>
        <v>#DIV/0!</v>
      </c>
      <c r="Z33" s="16" t="e">
        <f si="33" t="shared"/>
        <v>#DIV/0!</v>
      </c>
      <c r="AA33" s="16" t="e">
        <f si="33" t="shared"/>
        <v>#DIV/0!</v>
      </c>
      <c r="AB33" s="16" t="e">
        <f si="33" t="shared"/>
        <v>#DIV/0!</v>
      </c>
      <c r="AC33" s="16" t="e">
        <f si="33" t="shared"/>
        <v>#DIV/0!</v>
      </c>
      <c r="AD33" s="16" t="e">
        <f si="33" t="shared"/>
        <v>#DIV/0!</v>
      </c>
      <c r="AE33" s="16"/>
      <c r="AF33" s="16" t="e">
        <f ref="AF33:AF39" si="34" t="shared">U33-J33</f>
        <v>#DIV/0!</v>
      </c>
    </row>
    <row r="34" spans="1:32" x14ac:dyDescent="0.25">
      <c r="A34" t="str">
        <f>$A$8</f>
        <v>Bellevue Downtown</v>
      </c>
      <c r="B34" s="16" t="e">
        <f si="27" t="shared"/>
        <v>#DIV/0!</v>
      </c>
      <c r="C34" s="16" t="e">
        <f si="27" t="shared"/>
        <v>#DIV/0!</v>
      </c>
      <c r="D34" s="16" t="e">
        <f si="27" t="shared"/>
        <v>#DIV/0!</v>
      </c>
      <c r="E34" s="16" t="e">
        <f si="27" t="shared"/>
        <v>#DIV/0!</v>
      </c>
      <c r="F34" s="16" t="e">
        <f si="27" t="shared"/>
        <v>#DIV/0!</v>
      </c>
      <c r="G34" s="16" t="e">
        <f si="27" t="shared"/>
        <v>#DIV/0!</v>
      </c>
      <c r="H34" s="16" t="e">
        <f ref="H34" si="35" t="shared">H21/$J$28</f>
        <v>#DIV/0!</v>
      </c>
      <c r="I34" s="16"/>
      <c r="J34" s="16" t="e">
        <f si="29" t="shared"/>
        <v>#DIV/0!</v>
      </c>
      <c r="K34" s="12"/>
      <c r="L34" t="str">
        <f>$A$8</f>
        <v>Bellevue Downtown</v>
      </c>
      <c r="M34" s="16">
        <f ref="M34:R39" si="36" t="shared">M21/$U$28</f>
        <v>0</v>
      </c>
      <c r="N34" s="16">
        <f si="36" t="shared"/>
        <v>0</v>
      </c>
      <c r="O34" s="16">
        <f si="36" t="shared"/>
        <v>0</v>
      </c>
      <c r="P34" s="16">
        <f si="36" t="shared"/>
        <v>0</v>
      </c>
      <c r="Q34" s="16">
        <f si="36" t="shared"/>
        <v>0</v>
      </c>
      <c r="R34" s="16">
        <f si="36" t="shared"/>
        <v>0</v>
      </c>
      <c r="S34" s="16">
        <f ref="S34" si="37" t="shared">S21/$U$28</f>
        <v>0</v>
      </c>
      <c r="T34" s="16"/>
      <c r="U34" s="16">
        <f si="32" t="shared"/>
        <v>0</v>
      </c>
      <c r="W34" t="str">
        <f>$A$8</f>
        <v>Bellevue Downtown</v>
      </c>
      <c r="X34" s="16" t="e">
        <f ref="X34:X38" si="38" t="shared">M34-B34</f>
        <v>#DIV/0!</v>
      </c>
      <c r="Y34" s="16" t="e">
        <f ref="Y34:AD38" si="39" t="shared">N34-C34</f>
        <v>#DIV/0!</v>
      </c>
      <c r="Z34" s="16" t="e">
        <f si="39" t="shared"/>
        <v>#DIV/0!</v>
      </c>
      <c r="AA34" s="16" t="e">
        <f si="39" t="shared"/>
        <v>#DIV/0!</v>
      </c>
      <c r="AB34" s="16" t="e">
        <f si="39" t="shared"/>
        <v>#DIV/0!</v>
      </c>
      <c r="AC34" s="16" t="e">
        <f si="39" t="shared"/>
        <v>#DIV/0!</v>
      </c>
      <c r="AD34" s="16" t="e">
        <f si="39" t="shared"/>
        <v>#DIV/0!</v>
      </c>
      <c r="AE34" s="16"/>
      <c r="AF34" s="16" t="e">
        <f si="34" t="shared"/>
        <v>#DIV/0!</v>
      </c>
    </row>
    <row r="35" spans="1:32" x14ac:dyDescent="0.25">
      <c r="A35" t="str">
        <f>$A$9</f>
        <v>Kirkland</v>
      </c>
      <c r="B35" s="16" t="e">
        <f si="27" t="shared"/>
        <v>#DIV/0!</v>
      </c>
      <c r="C35" s="16" t="e">
        <f si="27" t="shared"/>
        <v>#DIV/0!</v>
      </c>
      <c r="D35" s="16" t="e">
        <f si="27" t="shared"/>
        <v>#DIV/0!</v>
      </c>
      <c r="E35" s="16" t="e">
        <f si="27" t="shared"/>
        <v>#DIV/0!</v>
      </c>
      <c r="F35" s="16" t="e">
        <f si="27" t="shared"/>
        <v>#DIV/0!</v>
      </c>
      <c r="G35" s="16" t="e">
        <f si="27" t="shared"/>
        <v>#DIV/0!</v>
      </c>
      <c r="H35" s="16" t="e">
        <f ref="H35" si="40" t="shared">H22/$J$28</f>
        <v>#DIV/0!</v>
      </c>
      <c r="I35" s="16"/>
      <c r="J35" s="16" t="e">
        <f si="29" t="shared"/>
        <v>#DIV/0!</v>
      </c>
      <c r="K35" s="13"/>
      <c r="L35" t="str">
        <f>$A$9</f>
        <v>Kirkland</v>
      </c>
      <c r="M35" s="16">
        <f si="36" t="shared"/>
        <v>0</v>
      </c>
      <c r="N35" s="16">
        <f si="36" t="shared"/>
        <v>0</v>
      </c>
      <c r="O35" s="16">
        <f si="36" t="shared"/>
        <v>0</v>
      </c>
      <c r="P35" s="16">
        <f si="36" t="shared"/>
        <v>0</v>
      </c>
      <c r="Q35" s="16">
        <f si="36" t="shared"/>
        <v>0</v>
      </c>
      <c r="R35" s="16">
        <f si="36" t="shared"/>
        <v>0</v>
      </c>
      <c r="S35" s="16">
        <f ref="S35" si="41" t="shared">S22/$U$28</f>
        <v>0</v>
      </c>
      <c r="T35" s="16"/>
      <c r="U35" s="16">
        <f si="32" t="shared"/>
        <v>0</v>
      </c>
      <c r="W35" t="str">
        <f>$A$9</f>
        <v>Kirkland</v>
      </c>
      <c r="X35" s="16" t="e">
        <f si="38" t="shared"/>
        <v>#DIV/0!</v>
      </c>
      <c r="Y35" s="16" t="e">
        <f si="39" t="shared"/>
        <v>#DIV/0!</v>
      </c>
      <c r="Z35" s="16" t="e">
        <f si="39" t="shared"/>
        <v>#DIV/0!</v>
      </c>
      <c r="AA35" s="16" t="e">
        <f si="39" t="shared"/>
        <v>#DIV/0!</v>
      </c>
      <c r="AB35" s="16" t="e">
        <f si="39" t="shared"/>
        <v>#DIV/0!</v>
      </c>
      <c r="AC35" s="16" t="e">
        <f si="39" t="shared"/>
        <v>#DIV/0!</v>
      </c>
      <c r="AD35" s="16" t="e">
        <f si="39" t="shared"/>
        <v>#DIV/0!</v>
      </c>
      <c r="AE35" s="16"/>
      <c r="AF35" s="16" t="e">
        <f si="34" t="shared"/>
        <v>#DIV/0!</v>
      </c>
    </row>
    <row r="36" spans="1:32" x14ac:dyDescent="0.25">
      <c r="A36" t="str">
        <f>$A$10</f>
        <v>Redmond</v>
      </c>
      <c r="B36" s="16" t="e">
        <f si="27" t="shared"/>
        <v>#DIV/0!</v>
      </c>
      <c r="C36" s="16" t="e">
        <f si="27" t="shared"/>
        <v>#DIV/0!</v>
      </c>
      <c r="D36" s="16" t="e">
        <f si="27" t="shared"/>
        <v>#DIV/0!</v>
      </c>
      <c r="E36" s="16" t="e">
        <f si="27" t="shared"/>
        <v>#DIV/0!</v>
      </c>
      <c r="F36" s="16" t="e">
        <f si="27" t="shared"/>
        <v>#DIV/0!</v>
      </c>
      <c r="G36" s="16" t="e">
        <f si="27" t="shared"/>
        <v>#DIV/0!</v>
      </c>
      <c r="H36" s="16" t="e">
        <f ref="H36" si="42" t="shared">H23/$J$28</f>
        <v>#DIV/0!</v>
      </c>
      <c r="I36" s="16"/>
      <c r="J36" s="16" t="e">
        <f si="29" t="shared"/>
        <v>#DIV/0!</v>
      </c>
      <c r="K36" s="13"/>
      <c r="L36" t="str">
        <f>$A$10</f>
        <v>Redmond</v>
      </c>
      <c r="M36" s="16">
        <f si="36" t="shared"/>
        <v>0</v>
      </c>
      <c r="N36" s="16">
        <f si="36" t="shared"/>
        <v>0</v>
      </c>
      <c r="O36" s="16">
        <f si="36" t="shared"/>
        <v>0</v>
      </c>
      <c r="P36" s="16">
        <f si="36" t="shared"/>
        <v>0</v>
      </c>
      <c r="Q36" s="16">
        <f si="36" t="shared"/>
        <v>0</v>
      </c>
      <c r="R36" s="16">
        <f si="36" t="shared"/>
        <v>0</v>
      </c>
      <c r="S36" s="16">
        <f ref="S36" si="43" t="shared">S23/$U$28</f>
        <v>0</v>
      </c>
      <c r="T36" s="16"/>
      <c r="U36" s="16">
        <f si="32" t="shared"/>
        <v>0</v>
      </c>
      <c r="W36" t="str">
        <f>$A$10</f>
        <v>Redmond</v>
      </c>
      <c r="X36" s="16" t="e">
        <f si="38" t="shared"/>
        <v>#DIV/0!</v>
      </c>
      <c r="Y36" s="16" t="e">
        <f si="39" t="shared"/>
        <v>#DIV/0!</v>
      </c>
      <c r="Z36" s="16" t="e">
        <f si="39" t="shared"/>
        <v>#DIV/0!</v>
      </c>
      <c r="AA36" s="16" t="e">
        <f si="39" t="shared"/>
        <v>#DIV/0!</v>
      </c>
      <c r="AB36" s="16" t="e">
        <f si="39" t="shared"/>
        <v>#DIV/0!</v>
      </c>
      <c r="AC36" s="16" t="e">
        <f si="39" t="shared"/>
        <v>#DIV/0!</v>
      </c>
      <c r="AD36" s="16" t="e">
        <f si="39" t="shared"/>
        <v>#DIV/0!</v>
      </c>
      <c r="AE36" s="16"/>
      <c r="AF36" s="16" t="e">
        <f si="34" t="shared"/>
        <v>#DIV/0!</v>
      </c>
    </row>
    <row r="37" spans="1:32" x14ac:dyDescent="0.25">
      <c r="A37" t="str">
        <f>$A$11</f>
        <v>Seattle</v>
      </c>
      <c r="B37" s="16" t="e">
        <f si="27" t="shared"/>
        <v>#DIV/0!</v>
      </c>
      <c r="C37" s="16" t="e">
        <f si="27" t="shared"/>
        <v>#DIV/0!</v>
      </c>
      <c r="D37" s="16" t="e">
        <f si="27" t="shared"/>
        <v>#DIV/0!</v>
      </c>
      <c r="E37" s="16" t="e">
        <f si="27" t="shared"/>
        <v>#DIV/0!</v>
      </c>
      <c r="F37" s="16" t="e">
        <f si="27" t="shared"/>
        <v>#DIV/0!</v>
      </c>
      <c r="G37" s="16" t="e">
        <f si="27" t="shared"/>
        <v>#DIV/0!</v>
      </c>
      <c r="H37" s="16" t="e">
        <f ref="H37" si="44" t="shared">H24/$J$28</f>
        <v>#DIV/0!</v>
      </c>
      <c r="I37" s="16"/>
      <c r="J37" s="16" t="e">
        <f si="29" t="shared"/>
        <v>#DIV/0!</v>
      </c>
      <c r="K37" s="13"/>
      <c r="L37" t="str">
        <f>$A$11</f>
        <v>Seattle</v>
      </c>
      <c r="M37" s="16">
        <f si="36" t="shared"/>
        <v>0</v>
      </c>
      <c r="N37" s="16">
        <f si="36" t="shared"/>
        <v>0</v>
      </c>
      <c r="O37" s="16">
        <f si="36" t="shared"/>
        <v>0</v>
      </c>
      <c r="P37" s="16">
        <f si="36" t="shared"/>
        <v>0</v>
      </c>
      <c r="Q37" s="16">
        <f si="36" t="shared"/>
        <v>0.13906813721709471</v>
      </c>
      <c r="R37" s="16">
        <f si="36" t="shared"/>
        <v>6.6950321790026652E-3</v>
      </c>
      <c r="S37" s="16">
        <f ref="S37" si="45" t="shared">S24/$U$28</f>
        <v>1.2614511830389662E-2</v>
      </c>
      <c r="T37" s="16"/>
      <c r="U37" s="16">
        <f si="32" t="shared"/>
        <v>0.15837768122648704</v>
      </c>
      <c r="W37" t="str">
        <f>$A$11</f>
        <v>Seattle</v>
      </c>
      <c r="X37" s="16" t="e">
        <f si="38" t="shared"/>
        <v>#DIV/0!</v>
      </c>
      <c r="Y37" s="16" t="e">
        <f si="39" t="shared"/>
        <v>#DIV/0!</v>
      </c>
      <c r="Z37" s="16" t="e">
        <f si="39" t="shared"/>
        <v>#DIV/0!</v>
      </c>
      <c r="AA37" s="16" t="e">
        <f si="39" t="shared"/>
        <v>#DIV/0!</v>
      </c>
      <c r="AB37" s="16" t="e">
        <f si="39" t="shared"/>
        <v>#DIV/0!</v>
      </c>
      <c r="AC37" s="16" t="e">
        <f si="39" t="shared"/>
        <v>#DIV/0!</v>
      </c>
      <c r="AD37" s="16" t="e">
        <f si="39" t="shared"/>
        <v>#DIV/0!</v>
      </c>
      <c r="AE37" s="16"/>
      <c r="AF37" s="16" t="e">
        <f si="34" t="shared"/>
        <v>#DIV/0!</v>
      </c>
    </row>
    <row r="38" spans="1:32" x14ac:dyDescent="0.25">
      <c r="A38" t="str">
        <f>$A$12</f>
        <v>Seattle Downtown</v>
      </c>
      <c r="B38" s="16" t="e">
        <f si="27" t="shared"/>
        <v>#DIV/0!</v>
      </c>
      <c r="C38" s="16" t="e">
        <f si="27" t="shared"/>
        <v>#DIV/0!</v>
      </c>
      <c r="D38" s="16" t="e">
        <f si="27" t="shared"/>
        <v>#DIV/0!</v>
      </c>
      <c r="E38" s="16" t="e">
        <f si="27" t="shared"/>
        <v>#DIV/0!</v>
      </c>
      <c r="F38" s="16" t="e">
        <f si="27" t="shared"/>
        <v>#DIV/0!</v>
      </c>
      <c r="G38" s="16" t="e">
        <f si="27" t="shared"/>
        <v>#DIV/0!</v>
      </c>
      <c r="H38" s="16" t="e">
        <f ref="H38:H39" si="46" t="shared">H25/$J$28</f>
        <v>#DIV/0!</v>
      </c>
      <c r="I38" s="16"/>
      <c r="J38" s="16" t="e">
        <f si="29" t="shared"/>
        <v>#DIV/0!</v>
      </c>
      <c r="K38" s="13"/>
      <c r="L38" t="str">
        <f>$A$12</f>
        <v>Seattle Downtown</v>
      </c>
      <c r="M38" s="16">
        <f si="36" t="shared"/>
        <v>0</v>
      </c>
      <c r="N38" s="16">
        <f si="36" t="shared"/>
        <v>0</v>
      </c>
      <c r="O38" s="16">
        <f si="36" t="shared"/>
        <v>0</v>
      </c>
      <c r="P38" s="16">
        <f si="36" t="shared"/>
        <v>0</v>
      </c>
      <c r="Q38" s="16">
        <f si="36" t="shared"/>
        <v>3.7449331996469307E-3</v>
      </c>
      <c r="R38" s="16">
        <f si="36" t="shared"/>
        <v>1.0255718093083442E-2</v>
      </c>
      <c r="S38" s="16">
        <f ref="S38:S39" si="47" t="shared">S25/$U$28</f>
        <v>3.4707046815949814E-4</v>
      </c>
      <c r="T38" s="16"/>
      <c r="U38" s="16">
        <f si="32" t="shared"/>
        <v>1.4347721760889871E-2</v>
      </c>
      <c r="W38" t="str">
        <f>$A$12</f>
        <v>Seattle Downtown</v>
      </c>
      <c r="X38" s="16" t="e">
        <f si="38" t="shared"/>
        <v>#DIV/0!</v>
      </c>
      <c r="Y38" s="16" t="e">
        <f si="39" t="shared"/>
        <v>#DIV/0!</v>
      </c>
      <c r="Z38" s="16" t="e">
        <f si="39" t="shared"/>
        <v>#DIV/0!</v>
      </c>
      <c r="AA38" s="16" t="e">
        <f si="39" t="shared"/>
        <v>#DIV/0!</v>
      </c>
      <c r="AB38" s="16" t="e">
        <f si="39" t="shared"/>
        <v>#DIV/0!</v>
      </c>
      <c r="AC38" s="16" t="e">
        <f si="39" t="shared"/>
        <v>#DIV/0!</v>
      </c>
      <c r="AD38" s="16" t="e">
        <f si="39" t="shared"/>
        <v>#DIV/0!</v>
      </c>
      <c r="AE38" s="16"/>
      <c r="AF38" s="16" t="e">
        <f si="34" t="shared"/>
        <v>#DIV/0!</v>
      </c>
    </row>
    <row r="39" spans="1:32" x14ac:dyDescent="0.25">
      <c r="A39" t="str">
        <f>$A$13</f>
        <v>Rest</v>
      </c>
      <c r="B39" s="16" t="e">
        <f si="27" t="shared"/>
        <v>#DIV/0!</v>
      </c>
      <c r="C39" s="16" t="e">
        <f si="27" t="shared"/>
        <v>#DIV/0!</v>
      </c>
      <c r="D39" s="16" t="e">
        <f si="27" t="shared"/>
        <v>#DIV/0!</v>
      </c>
      <c r="E39" s="16" t="e">
        <f si="27" t="shared"/>
        <v>#DIV/0!</v>
      </c>
      <c r="F39" s="16" t="e">
        <f si="27" t="shared"/>
        <v>#DIV/0!</v>
      </c>
      <c r="G39" s="16" t="e">
        <f si="27" t="shared"/>
        <v>#DIV/0!</v>
      </c>
      <c r="H39" s="16" t="e">
        <f si="46" t="shared"/>
        <v>#DIV/0!</v>
      </c>
      <c r="I39" s="16"/>
      <c r="J39" s="16" t="e">
        <f si="27" t="shared"/>
        <v>#DIV/0!</v>
      </c>
      <c r="K39" s="13"/>
      <c r="L39" t="str">
        <f>$A$13</f>
        <v>Rest</v>
      </c>
      <c r="M39" s="16">
        <f si="36" t="shared"/>
        <v>2.1424102972808528E-6</v>
      </c>
      <c r="N39" s="16">
        <f si="36" t="shared"/>
        <v>0</v>
      </c>
      <c r="O39" s="16">
        <f si="36" t="shared"/>
        <v>0</v>
      </c>
      <c r="P39" s="16">
        <f si="36" t="shared"/>
        <v>0</v>
      </c>
      <c r="Q39" s="16">
        <f si="36" t="shared"/>
        <v>2.2293921553504556E-2</v>
      </c>
      <c r="R39" s="16">
        <f si="36" t="shared"/>
        <v>2.1702616311455041E-3</v>
      </c>
      <c r="S39" s="16">
        <f si="47" t="shared"/>
        <v>0.80280827141767575</v>
      </c>
      <c r="T39" s="16"/>
      <c r="U39" s="16">
        <f si="32" t="shared"/>
        <v>0.82727459701262307</v>
      </c>
      <c r="W39" t="str">
        <f>$A$13</f>
        <v>Rest</v>
      </c>
      <c r="X39" s="16" t="e">
        <f ref="X39" si="48" t="shared">M39-B39</f>
        <v>#DIV/0!</v>
      </c>
      <c r="Y39" s="16" t="e">
        <f ref="Y39" si="49" t="shared">N39-C39</f>
        <v>#DIV/0!</v>
      </c>
      <c r="Z39" s="16" t="e">
        <f ref="Z39" si="50" t="shared">O39-D39</f>
        <v>#DIV/0!</v>
      </c>
      <c r="AA39" s="16" t="e">
        <f ref="AA39" si="51" t="shared">P39-E39</f>
        <v>#DIV/0!</v>
      </c>
      <c r="AB39" s="16" t="e">
        <f ref="AB39" si="52" t="shared">Q39-F39</f>
        <v>#DIV/0!</v>
      </c>
      <c r="AC39" s="16" t="e">
        <f ref="AC39" si="53" t="shared">R39-G39</f>
        <v>#DIV/0!</v>
      </c>
      <c r="AD39" s="16" t="e">
        <f ref="AD39" si="54" t="shared">S39-H39</f>
        <v>#DIV/0!</v>
      </c>
      <c r="AE39" s="16"/>
      <c r="AF39" s="16" t="e">
        <f si="34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5" t="shared">B28/$J$28</f>
        <v>#DIV/0!</v>
      </c>
      <c r="C41" s="18" t="e">
        <f si="55" t="shared"/>
        <v>#DIV/0!</v>
      </c>
      <c r="D41" s="18" t="e">
        <f si="55" t="shared"/>
        <v>#DIV/0!</v>
      </c>
      <c r="E41" s="18" t="e">
        <f si="55" t="shared"/>
        <v>#DIV/0!</v>
      </c>
      <c r="F41" s="18" t="e">
        <f si="55" t="shared"/>
        <v>#DIV/0!</v>
      </c>
      <c r="G41" s="18" t="e">
        <f si="55" t="shared"/>
        <v>#DIV/0!</v>
      </c>
      <c r="H41" s="18" t="e">
        <f si="55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2.1424102972808528E-6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56" t="shared">Q28/$U$28</f>
        <v>0.1651069919702462</v>
      </c>
      <c r="R41" s="18">
        <f si="56" t="shared"/>
        <v>1.9121011903231611E-2</v>
      </c>
      <c r="S41" s="18">
        <f si="56" t="shared"/>
        <v>0.8157698537162249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7" t="shared">M41-B41</f>
        <v>#DIV/0!</v>
      </c>
      <c r="Y41" s="18" t="e">
        <f si="57" t="shared"/>
        <v>#DIV/0!</v>
      </c>
      <c r="Z41" s="18" t="e">
        <f si="57" t="shared"/>
        <v>#DIV/0!</v>
      </c>
      <c r="AA41" s="18" t="e">
        <f si="57" t="shared"/>
        <v>#DIV/0!</v>
      </c>
      <c r="AB41" s="18" t="e">
        <f si="57" t="shared"/>
        <v>#DIV/0!</v>
      </c>
      <c r="AC41" s="18" t="e">
        <f si="57" t="shared"/>
        <v>#DIV/0!</v>
      </c>
      <c r="AD41" s="18" t="e">
        <f si="57" t="shared"/>
        <v>#DIV/0!</v>
      </c>
      <c r="AE41" s="18" t="e">
        <f si="57" t="shared"/>
        <v>#DIV/0!</v>
      </c>
      <c r="AF41" s="18" t="e">
        <f si="57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J16" sqref="J16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abSelected="1" topLeftCell="A10" workbookViewId="0">
      <selection activeCell="D28" sqref="D28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41</v>
      </c>
    </row>
    <row r="2" spans="1:4" x14ac:dyDescent="0.25">
      <c r="A2" t="s">
        <v>259</v>
      </c>
      <c r="B2" t="s">
        <v>260</v>
      </c>
      <c r="C2" t="s">
        <v>90</v>
      </c>
      <c r="D2" t="s">
        <v>261</v>
      </c>
    </row>
    <row r="3" spans="1:4" x14ac:dyDescent="0.25">
      <c r="A3">
        <v>1</v>
      </c>
      <c r="B3" t="s">
        <v>44</v>
      </c>
      <c r="C3" t="s">
        <v>278</v>
      </c>
      <c r="D3" t="s">
        <v>45</v>
      </c>
    </row>
    <row r="4" spans="1:4" x14ac:dyDescent="0.25">
      <c r="A4">
        <v>2</v>
      </c>
      <c r="B4" t="s">
        <v>47</v>
      </c>
      <c r="C4" t="s">
        <v>278</v>
      </c>
      <c r="D4" t="s">
        <v>48</v>
      </c>
    </row>
    <row r="5" spans="1:4" x14ac:dyDescent="0.25">
      <c r="A5">
        <v>3</v>
      </c>
      <c r="B5" t="s">
        <v>50</v>
      </c>
      <c r="C5" t="s">
        <v>278</v>
      </c>
      <c r="D5" t="s">
        <v>51</v>
      </c>
    </row>
    <row r="6" spans="1:4" x14ac:dyDescent="0.25">
      <c r="A6">
        <v>4</v>
      </c>
      <c r="B6" t="s">
        <v>53</v>
      </c>
      <c r="C6" t="s">
        <v>278</v>
      </c>
      <c r="D6" t="s">
        <v>54</v>
      </c>
    </row>
    <row r="7" spans="1:4" x14ac:dyDescent="0.25">
      <c r="A7">
        <v>5</v>
      </c>
      <c r="B7" t="s">
        <v>56</v>
      </c>
      <c r="C7" t="s">
        <v>278</v>
      </c>
      <c r="D7" t="s">
        <v>57</v>
      </c>
    </row>
    <row r="8" spans="1:4" x14ac:dyDescent="0.25">
      <c r="A8">
        <v>6</v>
      </c>
      <c r="B8" t="s">
        <v>58</v>
      </c>
      <c r="C8" t="s">
        <v>278</v>
      </c>
      <c r="D8" t="s">
        <v>59</v>
      </c>
    </row>
    <row r="9" spans="1:4" x14ac:dyDescent="0.25">
      <c r="A9">
        <v>7</v>
      </c>
      <c r="B9" t="s">
        <v>60</v>
      </c>
      <c r="C9" t="s">
        <v>278</v>
      </c>
      <c r="D9" t="s">
        <v>61</v>
      </c>
    </row>
    <row r="10" spans="1:4" x14ac:dyDescent="0.25">
      <c r="A10">
        <v>8</v>
      </c>
      <c r="B10" t="s">
        <v>63</v>
      </c>
      <c r="C10" t="s">
        <v>278</v>
      </c>
      <c r="D10" t="s">
        <v>64</v>
      </c>
    </row>
    <row r="11" spans="1:4" x14ac:dyDescent="0.25">
      <c r="A11">
        <v>9</v>
      </c>
      <c r="B11" t="s">
        <v>65</v>
      </c>
      <c r="C11" t="s">
        <v>278</v>
      </c>
      <c r="D11" t="s">
        <v>66</v>
      </c>
    </row>
    <row r="12" spans="1:4" x14ac:dyDescent="0.25">
      <c r="A12">
        <v>10</v>
      </c>
      <c r="B12" t="s">
        <v>67</v>
      </c>
      <c r="C12" t="s">
        <v>278</v>
      </c>
      <c r="D12" t="s">
        <v>68</v>
      </c>
    </row>
    <row r="13" spans="1:4" x14ac:dyDescent="0.25">
      <c r="A13">
        <v>11</v>
      </c>
      <c r="B13" t="s">
        <v>69</v>
      </c>
      <c r="C13" t="s">
        <v>278</v>
      </c>
      <c r="D13" t="s">
        <v>70</v>
      </c>
    </row>
    <row r="14" spans="1:4" x14ac:dyDescent="0.25">
      <c r="A14">
        <v>12</v>
      </c>
      <c r="B14" t="s">
        <v>71</v>
      </c>
      <c r="C14" t="s">
        <v>278</v>
      </c>
      <c r="D14" t="s">
        <v>72</v>
      </c>
    </row>
    <row r="15" spans="1:4" x14ac:dyDescent="0.25">
      <c r="A15">
        <v>13</v>
      </c>
      <c r="B15" t="s">
        <v>73</v>
      </c>
      <c r="C15" t="s">
        <v>278</v>
      </c>
      <c r="D15" t="s">
        <v>74</v>
      </c>
    </row>
    <row r="16" spans="1:4" x14ac:dyDescent="0.25">
      <c r="A16">
        <v>14</v>
      </c>
      <c r="B16" t="s">
        <v>75</v>
      </c>
      <c r="C16" t="s">
        <v>278</v>
      </c>
      <c r="D16" t="s">
        <v>76</v>
      </c>
    </row>
    <row r="17" spans="1:4" x14ac:dyDescent="0.25">
      <c r="A17">
        <v>15</v>
      </c>
      <c r="B17" t="s">
        <v>77</v>
      </c>
      <c r="C17" t="s">
        <v>278</v>
      </c>
      <c r="D17" t="s">
        <v>78</v>
      </c>
    </row>
    <row r="18" spans="1:4" x14ac:dyDescent="0.25">
      <c r="A18">
        <v>16</v>
      </c>
      <c r="B18" t="s">
        <v>79</v>
      </c>
      <c r="C18" t="s">
        <v>278</v>
      </c>
      <c r="D18" t="s">
        <v>80</v>
      </c>
    </row>
    <row r="19" spans="1:4" x14ac:dyDescent="0.25">
      <c r="A19">
        <v>17</v>
      </c>
      <c r="B19" t="s">
        <v>82</v>
      </c>
      <c r="C19" t="s">
        <v>278</v>
      </c>
      <c r="D19" t="s">
        <v>83</v>
      </c>
    </row>
    <row r="20" spans="1:4" x14ac:dyDescent="0.25">
      <c r="A20">
        <v>18</v>
      </c>
      <c r="B20" t="s">
        <v>85</v>
      </c>
      <c r="C20" t="s">
        <v>278</v>
      </c>
      <c r="D20" t="s">
        <v>86</v>
      </c>
    </row>
    <row r="21" spans="1:4" x14ac:dyDescent="0.25">
      <c r="A21">
        <v>19</v>
      </c>
      <c r="B21" t="s">
        <v>88</v>
      </c>
      <c r="C21" t="s">
        <v>278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257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Q14" sqref="Q14"/>
    </sheetView>
  </sheetViews>
  <sheetFormatPr defaultRowHeight="15" x14ac:dyDescent="0.25"/>
  <sheetData>
    <row r="1" spans="1:11" x14ac:dyDescent="0.25">
      <c r="A1" s="341" t="s">
        <v>237</v>
      </c>
      <c r="B1" s="342"/>
      <c r="C1" s="342"/>
      <c r="D1" s="342"/>
      <c r="E1" s="342"/>
      <c r="F1" s="342"/>
      <c r="G1" s="342"/>
      <c r="H1" s="342" t="s">
        <v>238</v>
      </c>
      <c r="I1" s="342"/>
      <c r="J1" s="342"/>
      <c r="K1" s="343"/>
    </row>
    <row r="2" spans="1:11" x14ac:dyDescent="0.25">
      <c r="A2" s="344">
        <v>1</v>
      </c>
      <c r="B2" s="345" t="s">
        <v>254</v>
      </c>
      <c r="C2" s="345"/>
      <c r="D2" s="345"/>
      <c r="E2" s="345"/>
      <c r="F2" s="345"/>
      <c r="G2" s="345"/>
      <c r="H2" s="345"/>
      <c r="I2" s="345"/>
      <c r="J2" s="345"/>
      <c r="K2" s="346"/>
    </row>
    <row r="3" spans="1:11" x14ac:dyDescent="0.25">
      <c r="A3" s="344">
        <v>2</v>
      </c>
      <c r="B3" s="345" t="s">
        <v>239</v>
      </c>
      <c r="C3" s="345"/>
      <c r="D3" s="345"/>
      <c r="E3" s="345"/>
      <c r="F3" s="345"/>
      <c r="G3" s="345"/>
      <c r="H3" s="345"/>
      <c r="I3" s="345"/>
      <c r="J3" s="345"/>
      <c r="K3" s="346"/>
    </row>
    <row r="4" spans="1:11" x14ac:dyDescent="0.25">
      <c r="A4" s="344">
        <v>3</v>
      </c>
      <c r="B4" s="345" t="s">
        <v>240</v>
      </c>
      <c r="C4" s="345"/>
      <c r="D4" s="345"/>
      <c r="E4" s="345"/>
      <c r="F4" s="345"/>
      <c r="G4" s="345"/>
      <c r="H4" s="345"/>
      <c r="I4" s="345"/>
      <c r="J4" s="345"/>
      <c r="K4" s="346"/>
    </row>
    <row r="5" spans="1:11" x14ac:dyDescent="0.25">
      <c r="A5" s="347">
        <v>4</v>
      </c>
      <c r="B5" s="348" t="s">
        <v>241</v>
      </c>
      <c r="C5" s="348"/>
      <c r="D5" s="348"/>
      <c r="E5" s="348"/>
      <c r="F5" s="348"/>
      <c r="G5" s="348"/>
      <c r="H5" s="348"/>
      <c r="I5" s="348"/>
      <c r="J5" s="348"/>
      <c r="K5" s="349"/>
    </row>
    <row r="8" spans="1:11" x14ac:dyDescent="0.25">
      <c r="A8" t="s">
        <v>227</v>
      </c>
      <c r="B8" t="s">
        <v>228</v>
      </c>
      <c r="C8" t="s">
        <v>229</v>
      </c>
      <c r="D8" t="s">
        <v>255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3">
        <v>0.46135416666666668</v>
      </c>
      <c r="G9" t="s">
        <v>234</v>
      </c>
      <c r="H9">
        <v>31</v>
      </c>
      <c r="I9" t="s">
        <v>256</v>
      </c>
      <c r="J9">
        <v>16</v>
      </c>
    </row>
    <row r="10" spans="1:11" x14ac:dyDescent="0.25">
      <c r="A10" t="s">
        <v>226</v>
      </c>
    </row>
    <row r="11" spans="1:11" x14ac:dyDescent="0.25">
      <c r="B11">
        <v>1</v>
      </c>
      <c r="C11" t="s">
        <v>44</v>
      </c>
      <c r="D11" t="s">
        <v>235</v>
      </c>
      <c r="E11">
        <v>1</v>
      </c>
      <c r="F11">
        <v>0</v>
      </c>
    </row>
    <row r="12" spans="1:11" x14ac:dyDescent="0.25">
      <c r="B12">
        <v>2</v>
      </c>
      <c r="C12" t="s">
        <v>47</v>
      </c>
      <c r="D12" t="s">
        <v>236</v>
      </c>
      <c r="E12">
        <v>11.7146172749</v>
      </c>
      <c r="F12">
        <v>1.25201685879</v>
      </c>
    </row>
    <row r="13" spans="1:11" x14ac:dyDescent="0.25">
      <c r="B13">
        <v>3</v>
      </c>
      <c r="C13" t="s">
        <v>50</v>
      </c>
      <c r="D13" t="s">
        <v>235</v>
      </c>
      <c r="E13" s="334">
        <v>-0.2117</v>
      </c>
      <c r="F13">
        <v>0</v>
      </c>
    </row>
    <row r="14" spans="1:11" x14ac:dyDescent="0.25">
      <c r="B14">
        <v>4</v>
      </c>
      <c r="C14" t="s">
        <v>53</v>
      </c>
      <c r="D14" t="s">
        <v>236</v>
      </c>
      <c r="E14" s="334">
        <v>0.27120783067900001</v>
      </c>
      <c r="F14">
        <v>0.28080475059900001</v>
      </c>
    </row>
    <row r="15" spans="1:11" x14ac:dyDescent="0.25">
      <c r="B15">
        <v>5</v>
      </c>
      <c r="C15" t="s">
        <v>56</v>
      </c>
      <c r="D15" t="s">
        <v>236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58</v>
      </c>
      <c r="D16" t="s">
        <v>236</v>
      </c>
      <c r="E16" s="334">
        <v>-8.2865473150899996E-2</v>
      </c>
      <c r="F16">
        <v>0.12955742148800001</v>
      </c>
    </row>
    <row r="17" spans="2:6" x14ac:dyDescent="0.25">
      <c r="B17">
        <v>7</v>
      </c>
      <c r="C17" t="s">
        <v>60</v>
      </c>
      <c r="D17" t="s">
        <v>236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63</v>
      </c>
      <c r="D18" t="s">
        <v>235</v>
      </c>
      <c r="E18" s="334">
        <v>6.9400000000000003E-2</v>
      </c>
      <c r="F18">
        <v>0</v>
      </c>
    </row>
    <row r="19" spans="2:6" x14ac:dyDescent="0.25">
      <c r="B19">
        <v>9</v>
      </c>
      <c r="C19" t="s">
        <v>65</v>
      </c>
      <c r="D19" t="s">
        <v>236</v>
      </c>
      <c r="E19" s="334">
        <v>-9.5820044919499997E-2</v>
      </c>
      <c r="F19">
        <v>0.17082561533000001</v>
      </c>
    </row>
    <row r="20" spans="2:6" x14ac:dyDescent="0.25">
      <c r="B20">
        <v>10</v>
      </c>
      <c r="C20" t="s">
        <v>67</v>
      </c>
      <c r="D20" t="s">
        <v>236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69</v>
      </c>
      <c r="D21" t="s">
        <v>236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71</v>
      </c>
      <c r="D22" t="s">
        <v>236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73</v>
      </c>
      <c r="D23" t="s">
        <v>236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75</v>
      </c>
      <c r="D24" t="s">
        <v>236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77</v>
      </c>
      <c r="D25" t="s">
        <v>236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79</v>
      </c>
      <c r="D26" t="s">
        <v>236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82</v>
      </c>
      <c r="D27" t="s">
        <v>235</v>
      </c>
      <c r="E27">
        <v>0</v>
      </c>
      <c r="F27">
        <v>0</v>
      </c>
    </row>
    <row r="28" spans="2:6" x14ac:dyDescent="0.25">
      <c r="B28">
        <v>18</v>
      </c>
      <c r="C28" t="s">
        <v>85</v>
      </c>
      <c r="D28" t="s">
        <v>235</v>
      </c>
      <c r="E28">
        <v>0</v>
      </c>
      <c r="F28">
        <v>0</v>
      </c>
    </row>
    <row r="29" spans="2:6" x14ac:dyDescent="0.25">
      <c r="B29">
        <v>19</v>
      </c>
      <c r="C29" t="s">
        <v>88</v>
      </c>
      <c r="D29" t="s">
        <v>235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236</v>
      </c>
      <c r="E30">
        <v>0.63771148688699997</v>
      </c>
      <c r="F30" s="334">
        <v>6.0015015733300002E-2</v>
      </c>
    </row>
    <row r="31" spans="2:6" x14ac:dyDescent="0.25">
      <c r="B31">
        <v>21</v>
      </c>
      <c r="C31" t="s">
        <v>93</v>
      </c>
      <c r="D31" t="s">
        <v>236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95</v>
      </c>
      <c r="D32" t="s">
        <v>236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97</v>
      </c>
      <c r="D33" t="s">
        <v>236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99</v>
      </c>
      <c r="D34" t="s">
        <v>236</v>
      </c>
      <c r="E34">
        <v>0.10429329553199999</v>
      </c>
      <c r="F34" s="334">
        <v>1.6423300294899999E-2</v>
      </c>
    </row>
    <row r="35" spans="2:6" x14ac:dyDescent="0.25">
      <c r="B35">
        <v>25</v>
      </c>
      <c r="C35" t="s">
        <v>102</v>
      </c>
      <c r="D35" t="s">
        <v>235</v>
      </c>
      <c r="E35">
        <v>0</v>
      </c>
      <c r="F35" s="334">
        <v>0</v>
      </c>
    </row>
    <row r="36" spans="2:6" x14ac:dyDescent="0.25">
      <c r="B36">
        <v>26</v>
      </c>
      <c r="C36" t="s">
        <v>104</v>
      </c>
      <c r="D36" t="s">
        <v>236</v>
      </c>
      <c r="E36">
        <v>0.417326479157</v>
      </c>
      <c r="F36" s="334">
        <v>9.4301876730200004E-2</v>
      </c>
    </row>
    <row r="37" spans="2:6" x14ac:dyDescent="0.25">
      <c r="B37">
        <v>27</v>
      </c>
      <c r="C37" t="s">
        <v>105</v>
      </c>
      <c r="D37" t="s">
        <v>236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107</v>
      </c>
      <c r="D38" t="s">
        <v>236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108</v>
      </c>
      <c r="D39" t="s">
        <v>236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109</v>
      </c>
      <c r="D40" t="s">
        <v>236</v>
      </c>
      <c r="E40">
        <v>-0.91046169190000004</v>
      </c>
      <c r="F40" s="334">
        <v>9.2244527309799998E-2</v>
      </c>
    </row>
    <row r="41" spans="2:6" x14ac:dyDescent="0.25">
      <c r="B41">
        <v>31</v>
      </c>
      <c r="C41" t="s">
        <v>111</v>
      </c>
      <c r="D41" t="s">
        <v>236</v>
      </c>
      <c r="E41" s="334">
        <v>5.7553461640599997E-2</v>
      </c>
      <c r="F41" s="334">
        <v>1.69631861578E-2</v>
      </c>
    </row>
    <row r="42" spans="2:6" x14ac:dyDescent="0.25">
      <c r="B42">
        <v>32</v>
      </c>
      <c r="C42" t="s">
        <v>113</v>
      </c>
      <c r="D42" t="s">
        <v>236</v>
      </c>
      <c r="E42">
        <v>0.237798002151</v>
      </c>
      <c r="F42" s="334">
        <v>2.05709725741E-2</v>
      </c>
    </row>
    <row r="43" spans="2:6" x14ac:dyDescent="0.25">
      <c r="B43">
        <v>33</v>
      </c>
      <c r="C43" t="s">
        <v>115</v>
      </c>
      <c r="D43" t="s">
        <v>235</v>
      </c>
      <c r="E43">
        <v>0</v>
      </c>
      <c r="F43" s="334">
        <v>0</v>
      </c>
    </row>
    <row r="44" spans="2:6" x14ac:dyDescent="0.25">
      <c r="B44">
        <v>34</v>
      </c>
      <c r="C44" t="s">
        <v>117</v>
      </c>
      <c r="D44" t="s">
        <v>235</v>
      </c>
      <c r="E44">
        <v>0</v>
      </c>
      <c r="F44" s="334">
        <v>0</v>
      </c>
    </row>
    <row r="45" spans="2:6" x14ac:dyDescent="0.25">
      <c r="B45">
        <v>35</v>
      </c>
      <c r="C45" t="s">
        <v>120</v>
      </c>
      <c r="D45" t="s">
        <v>235</v>
      </c>
      <c r="E45">
        <v>0</v>
      </c>
      <c r="F45" s="334">
        <v>0</v>
      </c>
    </row>
    <row r="46" spans="2:6" x14ac:dyDescent="0.25">
      <c r="B46">
        <v>36</v>
      </c>
      <c r="C46" t="s">
        <v>122</v>
      </c>
      <c r="D46" t="s">
        <v>236</v>
      </c>
      <c r="E46" s="334">
        <v>0.61259135262599995</v>
      </c>
      <c r="F46" s="334">
        <v>9.8788050589500007E-2</v>
      </c>
    </row>
    <row r="47" spans="2:6" x14ac:dyDescent="0.25">
      <c r="B47">
        <v>37</v>
      </c>
      <c r="C47" t="s">
        <v>123</v>
      </c>
      <c r="D47" t="s">
        <v>236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125</v>
      </c>
      <c r="D48" t="s">
        <v>236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126</v>
      </c>
      <c r="D49" t="s">
        <v>236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127</v>
      </c>
      <c r="D50" t="s">
        <v>236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128</v>
      </c>
      <c r="D51" t="s">
        <v>236</v>
      </c>
      <c r="E51">
        <v>-0.22141031751900001</v>
      </c>
      <c r="F51" s="334">
        <v>1.8224220405400001E-2</v>
      </c>
    </row>
    <row r="52" spans="2:6" x14ac:dyDescent="0.25">
      <c r="B52">
        <v>42</v>
      </c>
      <c r="C52" t="s">
        <v>130</v>
      </c>
      <c r="D52" t="s">
        <v>236</v>
      </c>
      <c r="E52">
        <v>0.64228876129599999</v>
      </c>
      <c r="F52" s="334">
        <v>2.3327425635499999E-2</v>
      </c>
    </row>
    <row r="53" spans="2:6" x14ac:dyDescent="0.25">
      <c r="B53">
        <v>43</v>
      </c>
      <c r="C53" t="s">
        <v>132</v>
      </c>
      <c r="D53" t="s">
        <v>236</v>
      </c>
      <c r="E53">
        <v>0.74588429254199995</v>
      </c>
      <c r="F53" s="334">
        <v>9.8514285453599998E-2</v>
      </c>
    </row>
    <row r="54" spans="2:6" x14ac:dyDescent="0.25">
      <c r="B54">
        <v>44</v>
      </c>
      <c r="C54" t="s">
        <v>133</v>
      </c>
      <c r="D54" t="s">
        <v>236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135</v>
      </c>
      <c r="D55" t="s">
        <v>236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137</v>
      </c>
      <c r="D56" t="s">
        <v>236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139</v>
      </c>
      <c r="D57" t="s">
        <v>236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142</v>
      </c>
      <c r="D58" t="s">
        <v>236</v>
      </c>
      <c r="E58">
        <v>0.65760260093900003</v>
      </c>
      <c r="F58" s="334">
        <v>2.9500746847800002E-2</v>
      </c>
    </row>
    <row r="59" spans="2:6" x14ac:dyDescent="0.25">
      <c r="B59">
        <v>49</v>
      </c>
      <c r="C59" t="s">
        <v>144</v>
      </c>
      <c r="D59" t="s">
        <v>236</v>
      </c>
      <c r="E59">
        <v>0.201576719663</v>
      </c>
      <c r="F59" s="334">
        <v>0.11309559824400001</v>
      </c>
    </row>
    <row r="60" spans="2:6" x14ac:dyDescent="0.25">
      <c r="B60">
        <v>50</v>
      </c>
      <c r="C60" t="s">
        <v>145</v>
      </c>
      <c r="D60" t="s">
        <v>236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146</v>
      </c>
      <c r="D61" t="s">
        <v>236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147</v>
      </c>
      <c r="D62" t="s">
        <v>236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148</v>
      </c>
      <c r="D63" t="s">
        <v>236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149</v>
      </c>
      <c r="D64" t="s">
        <v>236</v>
      </c>
      <c r="E64">
        <v>0.20818008309700001</v>
      </c>
      <c r="F64" s="334">
        <v>4.2700310294800002E-2</v>
      </c>
    </row>
    <row r="65" spans="2:6" x14ac:dyDescent="0.25">
      <c r="B65">
        <v>55</v>
      </c>
      <c r="C65" t="s">
        <v>151</v>
      </c>
      <c r="D65" t="s">
        <v>236</v>
      </c>
      <c r="E65">
        <v>0.42522231451499998</v>
      </c>
      <c r="F65" s="334">
        <v>4.5274903018000003E-2</v>
      </c>
    </row>
    <row r="66" spans="2:6" x14ac:dyDescent="0.25">
      <c r="B66">
        <v>56</v>
      </c>
      <c r="C66" t="s">
        <v>152</v>
      </c>
      <c r="D66" t="s">
        <v>236</v>
      </c>
      <c r="E66">
        <v>-0.743588483327</v>
      </c>
      <c r="F66" s="334">
        <v>4.4293261467400001E-2</v>
      </c>
    </row>
    <row r="67" spans="2:6" x14ac:dyDescent="0.25">
      <c r="B67">
        <v>57</v>
      </c>
      <c r="C67" t="s">
        <v>153</v>
      </c>
      <c r="D67" t="s">
        <v>235</v>
      </c>
      <c r="E67" s="334">
        <v>6.2100000000000002E-2</v>
      </c>
      <c r="F67" s="334">
        <v>0</v>
      </c>
    </row>
    <row r="68" spans="2:6" x14ac:dyDescent="0.25">
      <c r="B68">
        <v>118</v>
      </c>
      <c r="C68" t="s">
        <v>257</v>
      </c>
      <c r="D68" t="s">
        <v>235</v>
      </c>
      <c r="E68" s="334">
        <v>-3</v>
      </c>
      <c r="F68" s="334">
        <v>0</v>
      </c>
    </row>
    <row r="69" spans="2:6" x14ac:dyDescent="0.25">
      <c r="B69">
        <v>70</v>
      </c>
      <c r="C69" t="s">
        <v>154</v>
      </c>
      <c r="D69" t="s">
        <v>236</v>
      </c>
      <c r="E69">
        <v>0.29394695214400002</v>
      </c>
      <c r="F69" s="334">
        <v>8.1089668188599993E-3</v>
      </c>
    </row>
    <row r="70" spans="2:6" x14ac:dyDescent="0.25">
      <c r="B70">
        <v>71</v>
      </c>
      <c r="C70" t="s">
        <v>155</v>
      </c>
      <c r="D70" t="s">
        <v>235</v>
      </c>
      <c r="E70">
        <v>0</v>
      </c>
      <c r="F70">
        <v>0</v>
      </c>
    </row>
    <row r="71" spans="2:6" x14ac:dyDescent="0.25">
      <c r="B71">
        <v>72</v>
      </c>
      <c r="C71" t="s">
        <v>157</v>
      </c>
      <c r="D71" t="s">
        <v>236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159</v>
      </c>
      <c r="D72" t="s">
        <v>236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161</v>
      </c>
      <c r="D73" t="s">
        <v>236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163</v>
      </c>
      <c r="D74" t="s">
        <v>236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165</v>
      </c>
      <c r="D75" t="s">
        <v>236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167</v>
      </c>
      <c r="D76" t="s">
        <v>236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169</v>
      </c>
      <c r="D77" t="s">
        <v>236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171</v>
      </c>
      <c r="D78" t="s">
        <v>236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173</v>
      </c>
      <c r="D79" t="s">
        <v>236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175</v>
      </c>
      <c r="D80" t="s">
        <v>236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177</v>
      </c>
      <c r="D81" t="s">
        <v>236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178</v>
      </c>
      <c r="D82" t="s">
        <v>236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180</v>
      </c>
      <c r="D83" t="s">
        <v>236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182</v>
      </c>
      <c r="D84" t="s">
        <v>236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184</v>
      </c>
      <c r="D85" t="s">
        <v>236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186</v>
      </c>
      <c r="D86" t="s">
        <v>236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188</v>
      </c>
      <c r="D87" t="s">
        <v>235</v>
      </c>
      <c r="E87">
        <v>0</v>
      </c>
      <c r="F87">
        <v>0</v>
      </c>
    </row>
    <row r="88" spans="2:6" x14ac:dyDescent="0.25">
      <c r="B88">
        <v>89</v>
      </c>
      <c r="C88" t="s">
        <v>190</v>
      </c>
      <c r="D88" t="s">
        <v>236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192</v>
      </c>
      <c r="D89" t="s">
        <v>236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194</v>
      </c>
      <c r="D90" t="s">
        <v>236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196</v>
      </c>
      <c r="D91" t="s">
        <v>236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198</v>
      </c>
      <c r="D92" t="s">
        <v>236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200</v>
      </c>
      <c r="D93" t="s">
        <v>235</v>
      </c>
      <c r="E93">
        <v>0</v>
      </c>
      <c r="F93">
        <v>0</v>
      </c>
    </row>
    <row r="94" spans="2:6" x14ac:dyDescent="0.25">
      <c r="B94">
        <v>95</v>
      </c>
      <c r="C94" t="s">
        <v>202</v>
      </c>
      <c r="D94" t="s">
        <v>236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204</v>
      </c>
      <c r="D95" t="s">
        <v>236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206</v>
      </c>
      <c r="D96" t="s">
        <v>235</v>
      </c>
      <c r="E96">
        <v>-30</v>
      </c>
      <c r="F96">
        <v>0</v>
      </c>
    </row>
    <row r="97" spans="2:6" x14ac:dyDescent="0.25">
      <c r="B97">
        <v>98</v>
      </c>
      <c r="C97" t="s">
        <v>208</v>
      </c>
      <c r="D97" t="s">
        <v>236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209</v>
      </c>
      <c r="D98" t="s">
        <v>236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210</v>
      </c>
      <c r="D99" t="s">
        <v>235</v>
      </c>
      <c r="E99">
        <v>-0.7</v>
      </c>
      <c r="F99">
        <v>0</v>
      </c>
    </row>
    <row r="100" spans="2:6" x14ac:dyDescent="0.25">
      <c r="B100">
        <v>101</v>
      </c>
      <c r="C100" t="s">
        <v>211</v>
      </c>
      <c r="D100" t="s">
        <v>236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212</v>
      </c>
      <c r="D101" t="s">
        <v>235</v>
      </c>
      <c r="E101">
        <v>0</v>
      </c>
      <c r="F101">
        <v>0</v>
      </c>
    </row>
    <row r="102" spans="2:6" x14ac:dyDescent="0.25">
      <c r="B102">
        <v>103</v>
      </c>
      <c r="C102" t="s">
        <v>213</v>
      </c>
      <c r="D102" t="s">
        <v>235</v>
      </c>
      <c r="E102">
        <v>5</v>
      </c>
      <c r="F102">
        <v>0</v>
      </c>
    </row>
    <row r="103" spans="2:6" x14ac:dyDescent="0.25">
      <c r="B103">
        <v>104</v>
      </c>
      <c r="C103" t="s">
        <v>214</v>
      </c>
      <c r="D103" t="s">
        <v>235</v>
      </c>
      <c r="E103">
        <v>-30</v>
      </c>
      <c r="F103">
        <v>0</v>
      </c>
    </row>
    <row r="104" spans="2:6" x14ac:dyDescent="0.25">
      <c r="B104">
        <v>105</v>
      </c>
      <c r="C104" t="s">
        <v>215</v>
      </c>
      <c r="D104" t="s">
        <v>236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216</v>
      </c>
      <c r="D105" t="s">
        <v>236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217</v>
      </c>
      <c r="D106" t="s">
        <v>235</v>
      </c>
      <c r="E106">
        <v>0</v>
      </c>
      <c r="F106">
        <v>0</v>
      </c>
    </row>
    <row r="107" spans="2:6" x14ac:dyDescent="0.25">
      <c r="B107">
        <v>108</v>
      </c>
      <c r="C107" t="s">
        <v>219</v>
      </c>
      <c r="D107" t="s">
        <v>236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220</v>
      </c>
      <c r="D108" t="s">
        <v>236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221</v>
      </c>
      <c r="D109" t="s">
        <v>236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222</v>
      </c>
      <c r="D110" t="s">
        <v>236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223</v>
      </c>
      <c r="D111" t="s">
        <v>235</v>
      </c>
      <c r="E111">
        <v>-5.6623999999999999</v>
      </c>
      <c r="F111">
        <v>0</v>
      </c>
    </row>
    <row r="112" spans="2:6" x14ac:dyDescent="0.25">
      <c r="B112">
        <v>113</v>
      </c>
      <c r="C112" t="s">
        <v>225</v>
      </c>
      <c r="D112" t="s">
        <v>236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4">
        <v>-5981.59020986</v>
      </c>
      <c r="D114" s="334">
        <v>-29805.783655800002</v>
      </c>
      <c r="E114" s="334">
        <v>-17292.021287899999</v>
      </c>
    </row>
    <row r="115" spans="1:11" x14ac:dyDescent="0.25">
      <c r="B115">
        <v>17</v>
      </c>
      <c r="C115" t="s">
        <v>258</v>
      </c>
      <c r="D115" t="s">
        <v>234</v>
      </c>
      <c r="E115">
        <v>31</v>
      </c>
      <c r="F115" t="s">
        <v>256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opLeftCell="A31" workbookViewId="0" zoomScaleNormal="100">
      <selection activeCell="N51" sqref="N51"/>
    </sheetView>
  </sheetViews>
  <sheetFormatPr defaultColWidth="9.140625" defaultRowHeight="15" x14ac:dyDescent="0.25"/>
  <cols>
    <col min="1" max="2" style="295" width="9.140625" collapsed="true"/>
    <col min="3" max="3" bestFit="true" customWidth="true" style="295" width="12.7109375" collapsed="true"/>
    <col min="4" max="4" customWidth="true" style="294" width="18.85546875" collapsed="true"/>
    <col min="5" max="5" customWidth="true" style="295" width="6.710937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5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263</v>
      </c>
      <c r="S1" s="296"/>
      <c r="T1" s="296" t="s">
        <v>263</v>
      </c>
      <c r="U1" s="320"/>
      <c r="V1" s="320"/>
      <c r="W1" s="320"/>
    </row>
    <row ht="15.75" r="2" spans="3:23" thickBot="1" x14ac:dyDescent="0.3">
      <c r="C2" s="296" t="s">
        <v>42</v>
      </c>
      <c r="M2" s="10" t="s">
        <v>90</v>
      </c>
      <c r="N2" s="10" t="s">
        <v>259</v>
      </c>
      <c r="O2" s="10" t="s">
        <v>260</v>
      </c>
      <c r="P2" s="359" t="s">
        <v>264</v>
      </c>
      <c r="Q2" s="356" t="s">
        <v>262</v>
      </c>
      <c r="T2" s="320"/>
      <c r="U2" s="296" t="s">
        <v>265</v>
      </c>
      <c r="V2"/>
      <c r="W2" s="320"/>
    </row>
    <row r="3" spans="3:23" x14ac:dyDescent="0.25">
      <c r="C3" s="298" t="s">
        <v>3</v>
      </c>
      <c r="D3" s="299" t="s">
        <v>43</v>
      </c>
      <c r="F3" s="298" t="s">
        <v>3</v>
      </c>
      <c r="G3" s="299" t="s">
        <v>43</v>
      </c>
      <c r="H3" s="367"/>
      <c r="I3" s="367"/>
      <c r="J3" s="367"/>
      <c r="K3" s="367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7">
        <f>_xlfn.IFNA(VLOOKUP(N3,$B$43:$D$46,3,FALSE),P3)</f>
        <v>1</v>
      </c>
      <c r="T3">
        <v>1</v>
      </c>
      <c r="U3" s="293" t="s">
        <v>283</v>
      </c>
      <c r="V3"/>
      <c r="W3" s="320"/>
    </row>
    <row r="4" spans="3:23" x14ac:dyDescent="0.25">
      <c r="C4" s="301" t="s">
        <v>46</v>
      </c>
      <c r="D4" s="302">
        <f>TLFD!B11</f>
        <v>4626.1693516567002</v>
      </c>
      <c r="F4" s="301" t="s">
        <v>46</v>
      </c>
      <c r="G4" s="302">
        <f>TLFD!F11</f>
        <v>62105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11.7146172749</v>
      </c>
      <c r="Q4" s="357">
        <f>_xlfn.IFNA(VLOOKUP(N4,$B$43:$D$46,3,FALSE),P4)</f>
        <v>11.7146172749</v>
      </c>
      <c r="T4">
        <v>2</v>
      </c>
      <c r="U4" s="293" t="s">
        <v>267</v>
      </c>
      <c r="V4"/>
      <c r="W4" s="320"/>
    </row>
    <row r="5" spans="3:23" x14ac:dyDescent="0.25">
      <c r="C5" s="304" t="s">
        <v>49</v>
      </c>
      <c r="D5" s="305">
        <f>TLFD!B12+TLFD!B13+(TLFD!B14/2)</f>
        <v>84518.696243251645</v>
      </c>
      <c r="F5" s="304" t="s">
        <v>49</v>
      </c>
      <c r="G5" s="305">
        <f>TLFD!F12+TLFD!F13+(TLFD!F14/2)</f>
        <v>102979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-0.2117</v>
      </c>
      <c r="Q5" s="357">
        <f ref="Q5:Q68" si="0" t="shared">_xlfn.IFNA(VLOOKUP(N5,$B$43:$D$46,3,FALSE),P5)</f>
        <v>-0.2117</v>
      </c>
      <c r="T5">
        <v>3</v>
      </c>
      <c r="U5" s="320" t="s">
        <v>268</v>
      </c>
      <c r="V5" s="320"/>
      <c r="W5" s="320"/>
    </row>
    <row r="6" spans="3:23" x14ac:dyDescent="0.25">
      <c r="C6" s="304" t="s">
        <v>52</v>
      </c>
      <c r="D6" s="305">
        <f>(TLFD!B14/2)+SUM(TLFD!B15:B20)</f>
        <v>353147.43210549065</v>
      </c>
      <c r="F6" s="304" t="s">
        <v>52</v>
      </c>
      <c r="G6" s="305">
        <f>(TLFD!F14/2)+SUM(TLFD!F15:F20)</f>
        <v>240217</v>
      </c>
      <c r="H6" s="305"/>
      <c r="I6" s="305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0.27120783067900001</v>
      </c>
      <c r="Q6" s="357">
        <f si="0" t="shared"/>
        <v>0.27120783067900001</v>
      </c>
      <c r="T6">
        <v>4</v>
      </c>
      <c r="U6" s="320" t="s">
        <v>269</v>
      </c>
      <c r="V6" s="320"/>
      <c r="W6" s="320"/>
    </row>
    <row r="7" spans="3:23" x14ac:dyDescent="0.25">
      <c r="C7" s="307" t="s">
        <v>55</v>
      </c>
      <c r="D7" s="308">
        <f>SUM(TLFD!B21:B101)</f>
        <v>104502.86260967031</v>
      </c>
      <c r="F7" s="307" t="s">
        <v>55</v>
      </c>
      <c r="G7" s="308">
        <f>SUM(TLFD!F21:F101)</f>
        <v>61648</v>
      </c>
      <c r="H7" s="368"/>
      <c r="I7" s="368"/>
      <c r="J7" s="368"/>
      <c r="K7" s="368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-0.34490013167299999</v>
      </c>
      <c r="Q7" s="357">
        <f si="0" t="shared"/>
        <v>-0.34490013167299999</v>
      </c>
      <c r="T7" s="320">
        <v>5</v>
      </c>
      <c r="U7" s="320" t="s">
        <v>270</v>
      </c>
      <c r="V7" s="320"/>
      <c r="W7" s="320"/>
    </row>
    <row ht="15.75" r="8" spans="3:23" thickBot="1" x14ac:dyDescent="0.3">
      <c r="C8" s="310" t="s">
        <v>4</v>
      </c>
      <c r="D8" s="311">
        <f>SUM(D4:D7)</f>
        <v>546795.16031006933</v>
      </c>
      <c r="E8" s="312"/>
      <c r="F8" s="310" t="s">
        <v>4</v>
      </c>
      <c r="G8" s="311">
        <f>SUM(G4:G7)</f>
        <v>466949</v>
      </c>
      <c r="H8" s="369"/>
      <c r="I8" s="369"/>
      <c r="J8" s="369"/>
      <c r="K8" s="369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-8.2865473150899996E-2</v>
      </c>
      <c r="Q8" s="357">
        <f si="0" t="shared"/>
        <v>-8.2865473150899996E-2</v>
      </c>
      <c r="T8" s="320"/>
      <c r="U8" s="320"/>
      <c r="V8" s="320"/>
      <c r="W8" s="320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-3.9895313632499998</v>
      </c>
      <c r="Q9" s="357">
        <f si="0" t="shared"/>
        <v>-3.9895313632499998</v>
      </c>
      <c r="T9" s="320"/>
      <c r="U9" s="358" t="s">
        <v>271</v>
      </c>
      <c r="V9" s="320"/>
      <c r="W9" s="320"/>
    </row>
    <row ht="15.75" r="10" spans="3:23" thickBot="1" x14ac:dyDescent="0.3">
      <c r="C10" s="313" t="s">
        <v>62</v>
      </c>
      <c r="I10" s="378" t="s">
        <v>284</v>
      </c>
      <c r="J10" s="374"/>
      <c r="K10" s="374"/>
      <c r="L10" s="300"/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6.9400000000000003E-2</v>
      </c>
      <c r="Q10" s="357">
        <f si="0" t="shared"/>
        <v>6.9400000000000003E-2</v>
      </c>
      <c r="T10" s="320">
        <v>1</v>
      </c>
      <c r="U10" s="293" t="s">
        <v>266</v>
      </c>
      <c r="V10" s="320"/>
      <c r="W10" s="320"/>
    </row>
    <row r="11" spans="3:23" x14ac:dyDescent="0.25">
      <c r="C11" s="298" t="s">
        <v>3</v>
      </c>
      <c r="D11" s="299" t="s">
        <v>43</v>
      </c>
      <c r="F11" s="298" t="s">
        <v>3</v>
      </c>
      <c r="G11" s="299" t="s">
        <v>43</v>
      </c>
      <c r="H11" s="367"/>
      <c r="I11" s="299" t="s">
        <v>280</v>
      </c>
      <c r="J11" s="299" t="s">
        <v>281</v>
      </c>
      <c r="K11" s="299" t="s">
        <v>282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-9.5820044919499997E-2</v>
      </c>
      <c r="Q11" s="357">
        <f si="0" t="shared"/>
        <v>-9.5820044919499997E-2</v>
      </c>
      <c r="T11" s="320">
        <v>2</v>
      </c>
      <c r="U11" s="320" t="s">
        <v>272</v>
      </c>
      <c r="V11" s="320"/>
      <c r="W11" s="320"/>
    </row>
    <row r="12" spans="3:23" x14ac:dyDescent="0.25">
      <c r="C12" s="301" t="s">
        <v>46</v>
      </c>
      <c r="D12" s="315">
        <f>D4/D$8</f>
        <v>8.4605162727361266E-3</v>
      </c>
      <c r="F12" s="301" t="s">
        <v>46</v>
      </c>
      <c r="G12" s="315">
        <f>G4/G$8</f>
        <v>0.13300167684265304</v>
      </c>
      <c r="H12" s="315"/>
      <c r="I12" s="372">
        <f>D12/G12</f>
        <v>6.3612102295110884E-2</v>
      </c>
      <c r="J12" s="371">
        <f>LN(I12)</f>
        <v>-2.7549515390794848</v>
      </c>
      <c r="K12" s="371">
        <f>J12</f>
        <v>-2.7549515390794848</v>
      </c>
      <c r="L12" s="314"/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0.517563261484</v>
      </c>
      <c r="Q12" s="357">
        <f si="0" t="shared"/>
        <v>0.517563261484</v>
      </c>
      <c r="T12" s="320">
        <v>3</v>
      </c>
      <c r="U12" s="320" t="s">
        <v>273</v>
      </c>
      <c r="V12" s="320"/>
      <c r="W12" s="320"/>
    </row>
    <row r="13" spans="3:23" x14ac:dyDescent="0.25">
      <c r="C13" s="304" t="s">
        <v>49</v>
      </c>
      <c r="D13" s="316">
        <f ref="D13:D16" si="1" t="shared">D5/D$8</f>
        <v>0.15457103935470809</v>
      </c>
      <c r="F13" s="304" t="s">
        <v>49</v>
      </c>
      <c r="G13" s="316">
        <f ref="G13:G16" si="2" t="shared">G5/G$8</f>
        <v>0.22053586151806728</v>
      </c>
      <c r="H13" s="316"/>
      <c r="I13" s="372">
        <f ref="I13:I15" si="3" t="shared">D13/G13</f>
        <v>0.70088845546802347</v>
      </c>
      <c r="J13" s="371">
        <f ref="J13:J15" si="4" t="shared">LN(I13)</f>
        <v>-0.35540652662302968</v>
      </c>
      <c r="K13" s="371">
        <f>J13-J12</f>
        <v>2.3995450124564552</v>
      </c>
      <c r="L13" s="314"/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-0.80352358260699996</v>
      </c>
      <c r="Q13" s="357">
        <f si="0" t="shared"/>
        <v>-0.80352358260699996</v>
      </c>
      <c r="T13" s="320">
        <v>4</v>
      </c>
      <c r="U13" s="320" t="s">
        <v>274</v>
      </c>
      <c r="V13" s="320"/>
      <c r="W13" s="320"/>
    </row>
    <row r="14" spans="3:23" x14ac:dyDescent="0.25">
      <c r="C14" s="304" t="s">
        <v>52</v>
      </c>
      <c r="D14" s="316">
        <f si="1" t="shared"/>
        <v>0.64584959366727479</v>
      </c>
      <c r="F14" s="304" t="s">
        <v>52</v>
      </c>
      <c r="G14" s="316">
        <f si="2" t="shared"/>
        <v>0.51443947840128146</v>
      </c>
      <c r="H14" s="316"/>
      <c r="I14" s="372">
        <f si="3" t="shared"/>
        <v>1.2554432946599963</v>
      </c>
      <c r="J14" s="371">
        <f si="4" t="shared"/>
        <v>0.22748873305189768</v>
      </c>
      <c r="K14" s="371">
        <f>J14-J13-J12</f>
        <v>3.3378467987544123</v>
      </c>
      <c r="L14" s="317"/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-0.80534348065299999</v>
      </c>
      <c r="Q14" s="357">
        <f si="0" t="shared"/>
        <v>-0.80534348065299999</v>
      </c>
      <c r="T14" s="320">
        <v>5</v>
      </c>
      <c r="U14" s="293" t="s">
        <v>275</v>
      </c>
      <c r="V14" s="320"/>
      <c r="W14" s="320"/>
    </row>
    <row ht="15.75" r="15" spans="3:23" thickBot="1" x14ac:dyDescent="0.3">
      <c r="C15" s="307" t="s">
        <v>55</v>
      </c>
      <c r="D15" s="316">
        <f si="1" t="shared"/>
        <v>0.19111885070528095</v>
      </c>
      <c r="F15" s="307" t="s">
        <v>55</v>
      </c>
      <c r="G15" s="316">
        <f si="2" t="shared"/>
        <v>0.13202298323799816</v>
      </c>
      <c r="H15" s="316"/>
      <c r="I15" s="373">
        <f si="3" t="shared"/>
        <v>1.447618028451535</v>
      </c>
      <c r="J15" s="375">
        <f si="4" t="shared"/>
        <v>0.36991946665831554</v>
      </c>
      <c r="K15" s="375">
        <f>J15-J14-J13-J12</f>
        <v>3.2527887993089322</v>
      </c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-0.51977799879300002</v>
      </c>
      <c r="Q15" s="357">
        <f si="0" t="shared"/>
        <v>-0.51977799879300002</v>
      </c>
      <c r="T15" s="320">
        <v>6</v>
      </c>
      <c r="U15" s="320" t="s">
        <v>276</v>
      </c>
      <c r="V15" s="320"/>
      <c r="W15" s="320"/>
    </row>
    <row ht="15.75" r="16" spans="3:23" thickBot="1" x14ac:dyDescent="0.3">
      <c r="C16" s="310" t="s">
        <v>4</v>
      </c>
      <c r="D16" s="318">
        <f si="1" t="shared"/>
        <v>1</v>
      </c>
      <c r="E16" s="312"/>
      <c r="F16" s="310" t="s">
        <v>4</v>
      </c>
      <c r="G16" s="318">
        <f si="2" t="shared"/>
        <v>1</v>
      </c>
      <c r="H16" s="370"/>
      <c r="I16" s="372"/>
      <c r="J16" s="372"/>
      <c r="K16" s="372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-0.27562686954600002</v>
      </c>
      <c r="Q16" s="357">
        <f si="0" t="shared"/>
        <v>-0.27562686954600002</v>
      </c>
      <c r="T16" s="320">
        <v>7</v>
      </c>
      <c r="U16" s="320" t="s">
        <v>269</v>
      </c>
      <c r="V16" s="320"/>
      <c r="W16" s="320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-0.55245424085299999</v>
      </c>
      <c r="Q17" s="357">
        <f si="0" t="shared"/>
        <v>-0.55245424085299999</v>
      </c>
      <c r="T17" s="320">
        <v>8</v>
      </c>
      <c r="U17" s="320" t="s">
        <v>277</v>
      </c>
      <c r="V17" s="320"/>
      <c r="W17" s="320"/>
    </row>
    <row r="18" spans="2:23" x14ac:dyDescent="0.25">
      <c r="F18" s="376"/>
      <c r="G18" s="377"/>
      <c r="H18" s="377"/>
      <c r="I18" s="377"/>
      <c r="J18" s="377"/>
      <c r="K18" s="371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-0.493022087256</v>
      </c>
      <c r="Q18" s="357">
        <f si="0" t="shared"/>
        <v>-0.493022087256</v>
      </c>
    </row>
    <row r="19" spans="2:23" x14ac:dyDescent="0.25">
      <c r="C19" s="319" t="s">
        <v>81</v>
      </c>
      <c r="F19" s="376"/>
      <c r="G19" s="377"/>
      <c r="H19" s="377"/>
      <c r="I19" s="377"/>
      <c r="J19" s="377"/>
      <c r="K19" s="371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7">
        <f si="0" t="shared"/>
        <v>0</v>
      </c>
    </row>
    <row r="20" spans="2:23" x14ac:dyDescent="0.25">
      <c r="C20" s="319" t="s">
        <v>84</v>
      </c>
      <c r="F20" s="376"/>
      <c r="G20" s="377"/>
      <c r="H20" s="377"/>
      <c r="I20" s="377"/>
      <c r="J20" s="377"/>
      <c r="K20" s="371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7">
        <f si="0" t="shared"/>
        <v>0</v>
      </c>
    </row>
    <row ht="15.75" r="21" spans="2:23" thickBot="1" x14ac:dyDescent="0.3">
      <c r="C21" s="320"/>
      <c r="F21" s="376"/>
      <c r="G21" s="377"/>
      <c r="H21" s="377"/>
      <c r="I21" s="377"/>
      <c r="J21" s="377"/>
      <c r="K21" s="371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7">
        <f si="0" t="shared"/>
        <v>0</v>
      </c>
    </row>
    <row r="22" spans="2:23" x14ac:dyDescent="0.25">
      <c r="B22" s="350" t="s">
        <v>259</v>
      </c>
      <c r="C22" s="321" t="s">
        <v>90</v>
      </c>
      <c r="D22" s="322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0.63771148688699997</v>
      </c>
      <c r="Q22" s="357">
        <f si="0" t="shared"/>
        <v>0.63771148688699997</v>
      </c>
    </row>
    <row r="23" spans="2:23" x14ac:dyDescent="0.25">
      <c r="B23" s="351">
        <v>21</v>
      </c>
      <c r="C23" s="301" t="s">
        <v>46</v>
      </c>
      <c r="D23" s="363">
        <f>_xlfn.IFNA(VLOOKUP($B23,$N$3:$P$104,3,FALSE),0)</f>
        <v>-12.0946718381</v>
      </c>
      <c r="G23" s="366"/>
      <c r="H23" s="366"/>
      <c r="I23" s="366"/>
      <c r="J23" s="366"/>
      <c r="K23" s="366"/>
      <c r="M23" s="295" t="str">
        <f>VLOOKUP(N23,Coeff_Descr!$A:$D,3,FALSE)</f>
        <v>ESCORT</v>
      </c>
      <c r="N23" s="335">
        <f>OtherTourDestination!B31</f>
        <v>21</v>
      </c>
      <c r="O23" s="335" t="str">
        <f>OtherTourDestination!C31</f>
        <v>Beta00021</v>
      </c>
      <c r="P23" s="335">
        <f>OtherTourDestination!E31</f>
        <v>-12.0946718381</v>
      </c>
      <c r="Q23" s="357">
        <f si="0" t="shared"/>
        <v>-14.849623377179485</v>
      </c>
      <c r="R23" s="295" t="str">
        <f>VLOOKUP(N23,Coeff_Descr!$A$2:$E$104,4,FALSE)</f>
        <v>distanceFromOrigin4</v>
      </c>
    </row>
    <row r="24" spans="2:23" x14ac:dyDescent="0.25">
      <c r="B24" s="351">
        <v>22</v>
      </c>
      <c r="C24" s="304" t="s">
        <v>49</v>
      </c>
      <c r="D24" s="364">
        <f ref="D24:D26" si="5" t="shared">_xlfn.IFNA(VLOOKUP($B24,$N$3:$P$104,3,FALSE),0)</f>
        <v>-4.03623745316</v>
      </c>
      <c r="F24" s="365"/>
      <c r="M24" s="295" t="str">
        <f>VLOOKUP(N24,Coeff_Descr!$A:$D,3,FALSE)</f>
        <v>ESCORT</v>
      </c>
      <c r="N24" s="335">
        <f>OtherTourDestination!B32</f>
        <v>22</v>
      </c>
      <c r="O24" s="335" t="str">
        <f>OtherTourDestination!C32</f>
        <v>Beta00022</v>
      </c>
      <c r="P24" s="335">
        <f>OtherTourDestination!E32</f>
        <v>-4.03623745316</v>
      </c>
      <c r="Q24" s="357">
        <f si="0" t="shared"/>
        <v>-1.6366924407035448</v>
      </c>
      <c r="R24" s="295" t="str">
        <f>VLOOKUP(N24,Coeff_Descr!$A$2:$E$104,4,FALSE)</f>
        <v>distanceFromOrigin8</v>
      </c>
    </row>
    <row r="25" spans="2:23" x14ac:dyDescent="0.25">
      <c r="B25" s="351">
        <v>23</v>
      </c>
      <c r="C25" s="304" t="s">
        <v>52</v>
      </c>
      <c r="D25" s="364">
        <f si="5" t="shared"/>
        <v>-2.16371815818</v>
      </c>
      <c r="M25" s="295" t="str">
        <f>VLOOKUP(N25,Coeff_Descr!$A:$D,3,FALSE)</f>
        <v>ESCORT</v>
      </c>
      <c r="N25" s="335">
        <f>OtherTourDestination!B33</f>
        <v>23</v>
      </c>
      <c r="O25" s="335" t="str">
        <f>OtherTourDestination!C33</f>
        <v>Beta00023</v>
      </c>
      <c r="P25" s="335">
        <f>OtherTourDestination!E33</f>
        <v>-2.16371815818</v>
      </c>
      <c r="Q25" s="357">
        <f si="0" t="shared"/>
        <v>1.1741286405744122</v>
      </c>
      <c r="R25" s="295" t="str">
        <f>VLOOKUP(N25,Coeff_Descr!$A$2:$E$104,4,FALSE)</f>
        <v>distanceFromOrigin9</v>
      </c>
    </row>
    <row ht="15.75" r="26" spans="2:23" thickBot="1" x14ac:dyDescent="0.3">
      <c r="B26" s="352"/>
      <c r="C26" s="324" t="s">
        <v>55</v>
      </c>
      <c r="D26" s="362">
        <f si="5" t="shared"/>
        <v>0</v>
      </c>
      <c r="E26" s="295" t="s">
        <v>279</v>
      </c>
      <c r="M26" s="295" t="str">
        <f>VLOOKUP(N26,Coeff_Descr!$A:$D,3,FALSE)</f>
        <v>ESCORT</v>
      </c>
      <c r="N26" s="332">
        <f>OtherTourDestination!B34</f>
        <v>24</v>
      </c>
      <c r="O26" s="332" t="str">
        <f>OtherTourDestination!C34</f>
        <v>Beta00024</v>
      </c>
      <c r="P26" s="332">
        <f>OtherTourDestination!E34</f>
        <v>0.10429329553199999</v>
      </c>
      <c r="Q26" s="357">
        <f si="0" t="shared"/>
        <v>0.10429329553199999</v>
      </c>
    </row>
    <row r="27" spans="2:23" x14ac:dyDescent="0.25">
      <c r="C27" s="320"/>
      <c r="D27" s="326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0</v>
      </c>
      <c r="Q27" s="357">
        <f si="0" t="shared"/>
        <v>0</v>
      </c>
    </row>
    <row r="28" spans="2:23" x14ac:dyDescent="0.25">
      <c r="C28" s="320"/>
      <c r="D28" s="326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0.417326479157</v>
      </c>
      <c r="Q28" s="357">
        <f si="0" t="shared"/>
        <v>0.417326479157</v>
      </c>
    </row>
    <row r="29" spans="2:23" x14ac:dyDescent="0.25">
      <c r="C29" s="319" t="s">
        <v>81</v>
      </c>
      <c r="D29" s="327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-14.8384910501</v>
      </c>
      <c r="Q29" s="357">
        <f si="0" t="shared"/>
        <v>-14.8384910501</v>
      </c>
    </row>
    <row r="30" spans="2:23" x14ac:dyDescent="0.25">
      <c r="C30" s="319" t="s">
        <v>106</v>
      </c>
      <c r="D30" s="327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-5.1880432348000003</v>
      </c>
      <c r="Q30" s="357">
        <f si="0" t="shared"/>
        <v>-5.1880432348000003</v>
      </c>
    </row>
    <row ht="15.75" r="31" spans="2:23" thickBot="1" x14ac:dyDescent="0.3">
      <c r="C31" s="320"/>
      <c r="D31" s="326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-2.6156308707</v>
      </c>
      <c r="Q31" s="357">
        <f si="0" t="shared"/>
        <v>-2.6156308707</v>
      </c>
    </row>
    <row r="32" spans="2:23" x14ac:dyDescent="0.25">
      <c r="B32" s="350" t="s">
        <v>259</v>
      </c>
      <c r="C32" s="321" t="s">
        <v>90</v>
      </c>
      <c r="D32" s="322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-0.91046169190000004</v>
      </c>
      <c r="Q32" s="357">
        <f si="0" t="shared"/>
        <v>-0.91046169190000004</v>
      </c>
    </row>
    <row r="33" spans="2:17" x14ac:dyDescent="0.25">
      <c r="B33" s="351">
        <f>B23</f>
        <v>21</v>
      </c>
      <c r="C33" s="301" t="s">
        <v>46</v>
      </c>
      <c r="D33" s="323">
        <f>K12</f>
        <v>-2.7549515390794848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5.7553461640599997E-2</v>
      </c>
      <c r="Q33" s="357">
        <f si="0" t="shared"/>
        <v>5.7553461640599997E-2</v>
      </c>
    </row>
    <row r="34" spans="2:17" x14ac:dyDescent="0.25">
      <c r="B34" s="351">
        <f ref="B34:B36" si="6" t="shared">B24</f>
        <v>22</v>
      </c>
      <c r="C34" s="304" t="s">
        <v>49</v>
      </c>
      <c r="D34" s="323">
        <f ref="D34:D36" si="7" t="shared">K13</f>
        <v>2.3995450124564552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0.237798002151</v>
      </c>
      <c r="Q34" s="357">
        <f si="0" t="shared"/>
        <v>0.237798002151</v>
      </c>
    </row>
    <row r="35" spans="2:17" x14ac:dyDescent="0.25">
      <c r="B35" s="351">
        <f si="6" t="shared"/>
        <v>23</v>
      </c>
      <c r="C35" s="304" t="s">
        <v>52</v>
      </c>
      <c r="D35" s="323">
        <f si="7" t="shared"/>
        <v>3.3378467987544123</v>
      </c>
      <c r="G35" s="328"/>
      <c r="H35" s="328"/>
      <c r="I35" s="328"/>
      <c r="J35" s="328"/>
      <c r="K35" s="328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</v>
      </c>
      <c r="Q35" s="357">
        <f si="0" t="shared"/>
        <v>0</v>
      </c>
    </row>
    <row ht="15.75" r="36" spans="2:17" thickBot="1" x14ac:dyDescent="0.3">
      <c r="B36" s="352">
        <f si="6" t="shared"/>
        <v>0</v>
      </c>
      <c r="C36" s="324" t="s">
        <v>55</v>
      </c>
      <c r="D36" s="325">
        <f si="7" t="shared"/>
        <v>3.2527887993089322</v>
      </c>
      <c r="G36" s="329"/>
      <c r="H36" s="329"/>
      <c r="I36" s="329"/>
      <c r="J36" s="329"/>
      <c r="K36" s="329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0</v>
      </c>
      <c r="Q36" s="357">
        <f si="0" t="shared"/>
        <v>0</v>
      </c>
    </row>
    <row r="37" spans="2:17" x14ac:dyDescent="0.25">
      <c r="C37" s="320"/>
      <c r="D37" s="323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0</v>
      </c>
      <c r="Q37" s="357">
        <f si="0" t="shared"/>
        <v>0</v>
      </c>
    </row>
    <row r="38" spans="2:17" x14ac:dyDescent="0.25">
      <c r="C38" s="320"/>
      <c r="D38" s="323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0.61259135262599995</v>
      </c>
      <c r="Q38" s="357">
        <f si="0" t="shared"/>
        <v>0.61259135262599995</v>
      </c>
    </row>
    <row r="39" spans="2:17" x14ac:dyDescent="0.25">
      <c r="C39" s="319" t="s">
        <v>81</v>
      </c>
      <c r="D39" s="330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-20.810228388700001</v>
      </c>
      <c r="Q39" s="357">
        <f si="0" t="shared"/>
        <v>-20.810228388700001</v>
      </c>
    </row>
    <row r="40" spans="2:17" x14ac:dyDescent="0.25">
      <c r="C40" s="319" t="s">
        <v>124</v>
      </c>
      <c r="D40" s="330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-7.1836373472300004</v>
      </c>
      <c r="Q40" s="357">
        <f si="0" t="shared"/>
        <v>-7.1836373472300004</v>
      </c>
    </row>
    <row ht="15.75" r="41" spans="2:17" thickBot="1" x14ac:dyDescent="0.3">
      <c r="B41" s="353"/>
      <c r="C41" s="320"/>
      <c r="D41" s="323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-3.6600975390500001</v>
      </c>
      <c r="Q41" s="357">
        <f si="0" t="shared"/>
        <v>-3.6600975390500001</v>
      </c>
    </row>
    <row r="42" spans="2:17" x14ac:dyDescent="0.25">
      <c r="B42" s="350" t="s">
        <v>259</v>
      </c>
      <c r="C42" s="321" t="s">
        <v>90</v>
      </c>
      <c r="D42" s="331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-1.3605457273599999</v>
      </c>
      <c r="Q42" s="357">
        <f si="0" t="shared"/>
        <v>-1.3605457273599999</v>
      </c>
    </row>
    <row r="43" spans="2:17" x14ac:dyDescent="0.25">
      <c r="B43" s="351">
        <f>B33</f>
        <v>21</v>
      </c>
      <c r="C43" s="301" t="s">
        <v>46</v>
      </c>
      <c r="D43" s="360">
        <f>D23+D33</f>
        <v>-14.849623377179485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-0.22141031751900001</v>
      </c>
      <c r="Q43" s="357">
        <f si="0" t="shared"/>
        <v>-0.22141031751900001</v>
      </c>
    </row>
    <row r="44" spans="2:17" x14ac:dyDescent="0.25">
      <c r="B44" s="351">
        <f ref="B44:B46" si="8" t="shared">B34</f>
        <v>22</v>
      </c>
      <c r="C44" s="304" t="s">
        <v>49</v>
      </c>
      <c r="D44" s="360">
        <f ref="D44:D46" si="9" t="shared">D24+D34</f>
        <v>-1.6366924407035448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0.64228876129599999</v>
      </c>
      <c r="Q44" s="357">
        <f si="0" t="shared"/>
        <v>0.64228876129599999</v>
      </c>
    </row>
    <row r="45" spans="2:17" x14ac:dyDescent="0.25">
      <c r="B45" s="351">
        <f si="8" t="shared"/>
        <v>23</v>
      </c>
      <c r="C45" s="304" t="s">
        <v>52</v>
      </c>
      <c r="D45" s="360">
        <f si="9" t="shared"/>
        <v>1.1741286405744122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0.74588429254199995</v>
      </c>
      <c r="Q45" s="357">
        <f si="0" t="shared"/>
        <v>0.74588429254199995</v>
      </c>
    </row>
    <row ht="15.75" r="46" spans="2:17" thickBot="1" x14ac:dyDescent="0.3">
      <c r="B46" s="354">
        <f si="8" t="shared"/>
        <v>0</v>
      </c>
      <c r="C46" s="324" t="s">
        <v>55</v>
      </c>
      <c r="D46" s="361">
        <f si="9" t="shared"/>
        <v>3.2527887993089322</v>
      </c>
      <c r="E46" s="295" t="s">
        <v>279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-32.156094092099998</v>
      </c>
      <c r="Q46" s="357">
        <f si="0" t="shared"/>
        <v>-32.156094092099998</v>
      </c>
    </row>
    <row ht="15.75" r="47" spans="2:17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-7.5551873767200002</v>
      </c>
      <c r="Q47" s="357">
        <f si="0" t="shared"/>
        <v>-7.5551873767200002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-3.4784098231399998</v>
      </c>
      <c r="Q48" s="357">
        <f si="0" t="shared"/>
        <v>-3.4784098231399998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-0.79171784712299997</v>
      </c>
      <c r="Q49" s="357">
        <f si="0" t="shared"/>
        <v>-0.79171784712299997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0.65760260093900003</v>
      </c>
      <c r="Q50" s="357">
        <f si="0" t="shared"/>
        <v>0.65760260093900003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0.201576719663</v>
      </c>
      <c r="Q51" s="357">
        <f si="0" t="shared"/>
        <v>0.201576719663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-28.552058518999999</v>
      </c>
      <c r="Q52" s="357">
        <f si="0" t="shared"/>
        <v>-28.552058518999999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-7.25833529236</v>
      </c>
      <c r="Q53" s="357">
        <f si="0" t="shared"/>
        <v>-7.25833529236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-2.64524710889</v>
      </c>
      <c r="Q54" s="357">
        <f si="0" t="shared"/>
        <v>-2.64524710889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-0.76461618005800003</v>
      </c>
      <c r="Q55" s="357">
        <f si="0" t="shared"/>
        <v>-0.76461618005800003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0.20818008309700001</v>
      </c>
      <c r="Q56" s="357">
        <f si="0" t="shared"/>
        <v>0.20818008309700001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0.42522231451499998</v>
      </c>
      <c r="Q57" s="357">
        <f si="0" t="shared"/>
        <v>0.42522231451499998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-0.743588483327</v>
      </c>
      <c r="Q58" s="357">
        <f si="0" t="shared"/>
        <v>-0.743588483327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6.2100000000000002E-2</v>
      </c>
      <c r="Q59" s="357">
        <f si="0" t="shared"/>
        <v>6.2100000000000002E-2</v>
      </c>
    </row>
    <row r="60" spans="13:17" x14ac:dyDescent="0.25">
      <c r="M60" s="295">
        <f>VLOOKUP(N60,Coeff_Descr!$A:$D,3,FALSE)</f>
        <v>0</v>
      </c>
      <c r="N60" s="295">
        <f>OtherTourDestination!B68</f>
        <v>118</v>
      </c>
      <c r="O60" s="295" t="str">
        <f>OtherTourDestination!C68</f>
        <v>Beta00118</v>
      </c>
      <c r="P60" s="295">
        <f>OtherTourDestination!E68</f>
        <v>-3</v>
      </c>
      <c r="Q60" s="357">
        <f si="0" t="shared"/>
        <v>-3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70</v>
      </c>
      <c r="O61" s="295" t="str">
        <f>OtherTourDestination!C69</f>
        <v>LSM_0070</v>
      </c>
      <c r="P61" s="295">
        <f>OtherTourDestination!E69</f>
        <v>0.29394695214400002</v>
      </c>
      <c r="Q61" s="357">
        <f si="0" t="shared"/>
        <v>0.29394695214400002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71</v>
      </c>
      <c r="O62" s="295" t="str">
        <f>OtherTourDestination!C70</f>
        <v>Gamma071</v>
      </c>
      <c r="P62" s="295">
        <f>OtherTourDestination!E70</f>
        <v>0</v>
      </c>
      <c r="Q62" s="357">
        <f si="0" t="shared"/>
        <v>0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72</v>
      </c>
      <c r="O63" s="295" t="str">
        <f>OtherTourDestination!C71</f>
        <v>Gamma072</v>
      </c>
      <c r="P63" s="295">
        <f>OtherTourDestination!E71</f>
        <v>-6.2798471793299999</v>
      </c>
      <c r="Q63" s="357">
        <f si="0" t="shared"/>
        <v>-6.2798471793299999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73</v>
      </c>
      <c r="O64" s="295" t="str">
        <f>OtherTourDestination!C72</f>
        <v>Gamma073</v>
      </c>
      <c r="P64" s="295">
        <f>OtherTourDestination!E72</f>
        <v>3.2962256518299999</v>
      </c>
      <c r="Q64" s="357">
        <f si="0" t="shared"/>
        <v>3.2962256518299999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74</v>
      </c>
      <c r="O65" s="295" t="str">
        <f>OtherTourDestination!C73</f>
        <v>Gamma074</v>
      </c>
      <c r="P65" s="295">
        <f>OtherTourDestination!E73</f>
        <v>-5.4150639062700003</v>
      </c>
      <c r="Q65" s="357">
        <f si="0" t="shared"/>
        <v>-5.4150639062700003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75</v>
      </c>
      <c r="O66" s="295" t="str">
        <f>OtherTourDestination!C74</f>
        <v>Gamma075</v>
      </c>
      <c r="P66" s="295">
        <f>OtherTourDestination!E74</f>
        <v>-5.94820877094</v>
      </c>
      <c r="Q66" s="357">
        <f si="0" t="shared"/>
        <v>-5.94820877094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76</v>
      </c>
      <c r="O67" s="295" t="str">
        <f>OtherTourDestination!C75</f>
        <v>Gamma076</v>
      </c>
      <c r="P67" s="295">
        <f>OtherTourDestination!E75</f>
        <v>-4.8479831726300002</v>
      </c>
      <c r="Q67" s="357">
        <f si="0" t="shared"/>
        <v>-4.8479831726300002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77</v>
      </c>
      <c r="O68" s="295" t="str">
        <f>OtherTourDestination!C76</f>
        <v>Gamma077</v>
      </c>
      <c r="P68" s="295">
        <f>OtherTourDestination!E76</f>
        <v>-5.4883496585599998</v>
      </c>
      <c r="Q68" s="357">
        <f si="0" t="shared"/>
        <v>-5.4883496585599998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78</v>
      </c>
      <c r="O69" s="295" t="str">
        <f>OtherTourDestination!C77</f>
        <v>Gamma078</v>
      </c>
      <c r="P69" s="295">
        <f>OtherTourDestination!E77</f>
        <v>-6.9308352438999998</v>
      </c>
      <c r="Q69" s="357">
        <f ref="Q69:Q104" si="10" t="shared">_xlfn.IFNA(VLOOKUP(N69,$B$43:$D$46,3,FALSE),P69)</f>
        <v>-6.9308352438999998</v>
      </c>
    </row>
    <row r="70" spans="13:17" x14ac:dyDescent="0.25">
      <c r="M70" s="295" t="str">
        <f>VLOOKUP(N70,Coeff_Descr!$A:$D,3,FALSE)</f>
        <v>ESCORT</v>
      </c>
      <c r="N70" s="295">
        <f>OtherTourDestination!B78</f>
        <v>79</v>
      </c>
      <c r="O70" s="295" t="str">
        <f>OtherTourDestination!C78</f>
        <v>Gamma079</v>
      </c>
      <c r="P70" s="295">
        <f>OtherTourDestination!E78</f>
        <v>-22.404820174200001</v>
      </c>
      <c r="Q70" s="357">
        <f si="10" t="shared"/>
        <v>-22.404820174200001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80</v>
      </c>
      <c r="O71" s="295" t="str">
        <f>OtherTourDestination!C79</f>
        <v>Gamma080</v>
      </c>
      <c r="P71" s="295">
        <f>OtherTourDestination!E79</f>
        <v>-2.8929233973800002</v>
      </c>
      <c r="Q71" s="357">
        <f si="10" t="shared"/>
        <v>-2.8929233973800002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81</v>
      </c>
      <c r="O72" s="295" t="str">
        <f>OtherTourDestination!C80</f>
        <v>Gamma081</v>
      </c>
      <c r="P72" s="295">
        <f>OtherTourDestination!E80</f>
        <v>-2.5610724948299999</v>
      </c>
      <c r="Q72" s="357">
        <f si="10" t="shared"/>
        <v>-2.5610724948299999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82</v>
      </c>
      <c r="O73" s="295" t="str">
        <f>OtherTourDestination!C81</f>
        <v>Gamma082</v>
      </c>
      <c r="P73" s="295">
        <f>OtherTourDestination!E81</f>
        <v>-6.7871010869299999</v>
      </c>
      <c r="Q73" s="357">
        <f si="10" t="shared"/>
        <v>-6.7871010869299999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83</v>
      </c>
      <c r="O74" s="295" t="str">
        <f>OtherTourDestination!C82</f>
        <v>Gamma083</v>
      </c>
      <c r="P74" s="295">
        <f>OtherTourDestination!E82</f>
        <v>-7.1983706387300002</v>
      </c>
      <c r="Q74" s="357">
        <f si="10" t="shared"/>
        <v>-7.1983706387300002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84</v>
      </c>
      <c r="O75" s="295" t="str">
        <f>OtherTourDestination!C83</f>
        <v>Gamma084</v>
      </c>
      <c r="P75" s="295">
        <f>OtherTourDestination!E83</f>
        <v>-6.5584328775399996</v>
      </c>
      <c r="Q75" s="357">
        <f si="10" t="shared"/>
        <v>-6.5584328775399996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85</v>
      </c>
      <c r="O76" s="295" t="str">
        <f>OtherTourDestination!C84</f>
        <v>Gamma085</v>
      </c>
      <c r="P76" s="295">
        <f>OtherTourDestination!E84</f>
        <v>-7.3832576457999997</v>
      </c>
      <c r="Q76" s="357">
        <f si="10" t="shared"/>
        <v>-7.3832576457999997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86</v>
      </c>
      <c r="O77" s="295" t="str">
        <f>OtherTourDestination!C85</f>
        <v>Gamma086</v>
      </c>
      <c r="P77" s="295">
        <f>OtherTourDestination!E85</f>
        <v>-8.5452246906399996</v>
      </c>
      <c r="Q77" s="357">
        <f si="10" t="shared"/>
        <v>-8.5452246906399996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87</v>
      </c>
      <c r="O78" s="295" t="str">
        <f>OtherTourDestination!C86</f>
        <v>Gamma087</v>
      </c>
      <c r="P78" s="295">
        <f>OtherTourDestination!E86</f>
        <v>-24.633851965200002</v>
      </c>
      <c r="Q78" s="357">
        <f si="10" t="shared"/>
        <v>-24.633851965200002</v>
      </c>
    </row>
    <row r="79" spans="13:17" x14ac:dyDescent="0.25">
      <c r="M79" s="295" t="str">
        <f>VLOOKUP(N79,Coeff_Descr!$A:$D,3,FALSE)</f>
        <v>ESCORT</v>
      </c>
      <c r="N79" s="295">
        <f>OtherTourDestination!B87</f>
        <v>88</v>
      </c>
      <c r="O79" s="295" t="str">
        <f>OtherTourDestination!C87</f>
        <v>Gamma088</v>
      </c>
      <c r="P79" s="295">
        <f>OtherTourDestination!E87</f>
        <v>0</v>
      </c>
      <c r="Q79" s="357">
        <f si="10" t="shared"/>
        <v>0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89</v>
      </c>
      <c r="O80" s="295" t="str">
        <f>OtherTourDestination!C88</f>
        <v>Gamma089</v>
      </c>
      <c r="P80" s="295">
        <f>OtherTourDestination!E88</f>
        <v>-0.55009338373399996</v>
      </c>
      <c r="Q80" s="357">
        <f si="10" t="shared"/>
        <v>-0.55009338373399996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90</v>
      </c>
      <c r="O81" s="295" t="str">
        <f>OtherTourDestination!C89</f>
        <v>Gamma090</v>
      </c>
      <c r="P81" s="295">
        <f>OtherTourDestination!E89</f>
        <v>-9.9117567037699992</v>
      </c>
      <c r="Q81" s="357">
        <f si="10" t="shared"/>
        <v>-9.9117567037699992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91</v>
      </c>
      <c r="O82" s="295" t="str">
        <f>OtherTourDestination!C90</f>
        <v>Gamma091</v>
      </c>
      <c r="P82" s="295">
        <f>OtherTourDestination!E90</f>
        <v>-9.3194311560499994</v>
      </c>
      <c r="Q82" s="357">
        <f si="10" t="shared"/>
        <v>-9.3194311560499994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92</v>
      </c>
      <c r="O83" s="295" t="str">
        <f>OtherTourDestination!C91</f>
        <v>Gamma092</v>
      </c>
      <c r="P83" s="295">
        <f>OtherTourDestination!E91</f>
        <v>-0.20086270196799999</v>
      </c>
      <c r="Q83" s="357">
        <f si="10" t="shared"/>
        <v>-0.20086270196799999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93</v>
      </c>
      <c r="O84" s="295" t="str">
        <f>OtherTourDestination!C92</f>
        <v>Gamma093</v>
      </c>
      <c r="P84" s="295">
        <f>OtherTourDestination!E92</f>
        <v>-2.1843835309699999</v>
      </c>
      <c r="Q84" s="357">
        <f si="10" t="shared"/>
        <v>-2.1843835309699999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94</v>
      </c>
      <c r="O85" s="295" t="str">
        <f>OtherTourDestination!C93</f>
        <v>Gamma094</v>
      </c>
      <c r="P85" s="295">
        <f>OtherTourDestination!E93</f>
        <v>0</v>
      </c>
      <c r="Q85" s="357">
        <f si="10" t="shared"/>
        <v>0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95</v>
      </c>
      <c r="O86" s="295" t="str">
        <f>OtherTourDestination!C94</f>
        <v>Gamma095</v>
      </c>
      <c r="P86" s="295">
        <f>OtherTourDestination!E94</f>
        <v>-9.9476357147400005</v>
      </c>
      <c r="Q86" s="357">
        <f si="10" t="shared"/>
        <v>-9.9476357147400005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96</v>
      </c>
      <c r="O87" s="295" t="str">
        <f>OtherTourDestination!C95</f>
        <v>Gamma096</v>
      </c>
      <c r="P87" s="295">
        <f>OtherTourDestination!E95</f>
        <v>-12.800107987600001</v>
      </c>
      <c r="Q87" s="357">
        <f si="10" t="shared"/>
        <v>-12.800107987600001</v>
      </c>
    </row>
    <row r="88" spans="13:17" x14ac:dyDescent="0.25">
      <c r="M88" s="295" t="str">
        <f>VLOOKUP(N88,Coeff_Descr!$A:$D,3,FALSE)</f>
        <v>PERSBUS/MED</v>
      </c>
      <c r="N88" s="295">
        <f>OtherTourDestination!B96</f>
        <v>97</v>
      </c>
      <c r="O88" s="295" t="str">
        <f>OtherTourDestination!C96</f>
        <v>Gamma097</v>
      </c>
      <c r="P88" s="295">
        <f>OtherTourDestination!E96</f>
        <v>-30</v>
      </c>
      <c r="Q88" s="357">
        <f si="10" t="shared"/>
        <v>-30</v>
      </c>
    </row>
    <row r="89" spans="13:17" x14ac:dyDescent="0.25">
      <c r="M89" s="295" t="str">
        <f>VLOOKUP(N89,Coeff_Descr!$A:$D,3,FALSE)</f>
        <v>SHOP</v>
      </c>
      <c r="N89" s="295">
        <f>OtherTourDestination!B97</f>
        <v>98</v>
      </c>
      <c r="O89" s="295" t="str">
        <f>OtherTourDestination!C97</f>
        <v>Gamma098</v>
      </c>
      <c r="P89" s="295">
        <f>OtherTourDestination!E97</f>
        <v>-21.699928591700001</v>
      </c>
      <c r="Q89" s="357">
        <f si="10" t="shared"/>
        <v>-21.699928591700001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99</v>
      </c>
      <c r="O90" s="295" t="str">
        <f>OtherTourDestination!C98</f>
        <v>Gamma099</v>
      </c>
      <c r="P90" s="295">
        <f>OtherTourDestination!E98</f>
        <v>-17.700475093400001</v>
      </c>
      <c r="Q90" s="357">
        <f si="10" t="shared"/>
        <v>-17.700475093400001</v>
      </c>
    </row>
    <row r="91" spans="13:17" x14ac:dyDescent="0.25">
      <c r="M91" s="295" t="str">
        <f>VLOOKUP(N91,Coeff_Descr!$A:$D,3,FALSE)</f>
        <v>SHOP</v>
      </c>
      <c r="N91" s="295">
        <f>OtherTourDestination!B99</f>
        <v>100</v>
      </c>
      <c r="O91" s="295" t="str">
        <f>OtherTourDestination!C99</f>
        <v>Gamma100</v>
      </c>
      <c r="P91" s="295">
        <f>OtherTourDestination!E99</f>
        <v>-0.7</v>
      </c>
      <c r="Q91" s="357">
        <f si="10" t="shared"/>
        <v>-0.7</v>
      </c>
    </row>
    <row r="92" spans="13:17" x14ac:dyDescent="0.25">
      <c r="M92" s="295" t="str">
        <f>VLOOKUP(N92,Coeff_Descr!$A:$D,3,FALSE)</f>
        <v>SHOP</v>
      </c>
      <c r="N92" s="295">
        <f>OtherTourDestination!B100</f>
        <v>101</v>
      </c>
      <c r="O92" s="295" t="str">
        <f>OtherTourDestination!C100</f>
        <v>Gamma101</v>
      </c>
      <c r="P92" s="295">
        <f>OtherTourDestination!E100</f>
        <v>-17.8758745875</v>
      </c>
      <c r="Q92" s="357">
        <f si="10" t="shared"/>
        <v>-17.8758745875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102</v>
      </c>
      <c r="O93" s="295" t="str">
        <f>OtherTourDestination!C101</f>
        <v>Gamma102</v>
      </c>
      <c r="P93" s="295">
        <f>OtherTourDestination!E101</f>
        <v>0</v>
      </c>
      <c r="Q93" s="357">
        <f si="10" t="shared"/>
        <v>0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103</v>
      </c>
      <c r="O94" s="295" t="str">
        <f>OtherTourDestination!C102</f>
        <v>Gamma103</v>
      </c>
      <c r="P94" s="295">
        <f>OtherTourDestination!E102</f>
        <v>5</v>
      </c>
      <c r="Q94" s="357">
        <f si="10" t="shared"/>
        <v>5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104</v>
      </c>
      <c r="O95" s="295" t="str">
        <f>OtherTourDestination!C103</f>
        <v>Gamma104</v>
      </c>
      <c r="P95" s="295">
        <f>OtherTourDestination!E103</f>
        <v>-30</v>
      </c>
      <c r="Q95" s="357">
        <f si="10" t="shared"/>
        <v>-30</v>
      </c>
    </row>
    <row r="96" spans="13:17" x14ac:dyDescent="0.25">
      <c r="M96" s="295" t="str">
        <f>VLOOKUP(N96,Coeff_Descr!$A:$D,3,FALSE)</f>
        <v>MEAL</v>
      </c>
      <c r="N96" s="295">
        <f>OtherTourDestination!B104</f>
        <v>105</v>
      </c>
      <c r="O96" s="295" t="str">
        <f>OtherTourDestination!C104</f>
        <v>Gamma105</v>
      </c>
      <c r="P96" s="295">
        <f>OtherTourDestination!E104</f>
        <v>-24.158093970700001</v>
      </c>
      <c r="Q96" s="357">
        <f si="10" t="shared"/>
        <v>-24.158093970700001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106</v>
      </c>
      <c r="O97" s="295" t="str">
        <f>OtherTourDestination!C105</f>
        <v>Gamma106</v>
      </c>
      <c r="P97" s="295">
        <f>OtherTourDestination!E105</f>
        <v>-9.5803170794600003</v>
      </c>
      <c r="Q97" s="357">
        <f si="10" t="shared"/>
        <v>-9.5803170794600003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107</v>
      </c>
      <c r="O98" s="295" t="str">
        <f>OtherTourDestination!C106</f>
        <v>Gamma107</v>
      </c>
      <c r="P98" s="295">
        <f>OtherTourDestination!E106</f>
        <v>0</v>
      </c>
      <c r="Q98" s="357">
        <f si="10" t="shared"/>
        <v>0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108</v>
      </c>
      <c r="O99" s="295" t="str">
        <f>OtherTourDestination!C107</f>
        <v>Gamma108</v>
      </c>
      <c r="P99" s="295">
        <f>OtherTourDestination!E107</f>
        <v>-15.671349338700001</v>
      </c>
      <c r="Q99" s="357">
        <f si="10" t="shared"/>
        <v>-15.671349338700001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109</v>
      </c>
      <c r="O100" s="295" t="str">
        <f>OtherTourDestination!C108</f>
        <v>Gamma109</v>
      </c>
      <c r="P100" s="295">
        <f>OtherTourDestination!E108</f>
        <v>-18.208541213899998</v>
      </c>
      <c r="Q100" s="357">
        <f si="10" t="shared"/>
        <v>-18.208541213899998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110</v>
      </c>
      <c r="O101" s="295" t="str">
        <f>OtherTourDestination!C109</f>
        <v>Gamma110</v>
      </c>
      <c r="P101" s="295">
        <f>OtherTourDestination!E109</f>
        <v>-11.2471450075</v>
      </c>
      <c r="Q101" s="357">
        <f si="10" t="shared"/>
        <v>-11.2471450075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111</v>
      </c>
      <c r="O102" s="295" t="str">
        <f>OtherTourDestination!C110</f>
        <v>Gamma111</v>
      </c>
      <c r="P102" s="295">
        <f>OtherTourDestination!E110</f>
        <v>-10.0807778908</v>
      </c>
      <c r="Q102" s="357">
        <f si="10" t="shared"/>
        <v>-10.0807778908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112</v>
      </c>
      <c r="O103" s="295" t="str">
        <f>OtherTourDestination!C111</f>
        <v>Gamma112</v>
      </c>
      <c r="P103" s="295">
        <f>OtherTourDestination!E111</f>
        <v>-5.6623999999999999</v>
      </c>
      <c r="Q103" s="357">
        <f si="10" t="shared"/>
        <v>-5.6623999999999999</v>
      </c>
    </row>
    <row r="104" spans="13:17" x14ac:dyDescent="0.25">
      <c r="M104" s="295" t="str">
        <f>VLOOKUP(N104,Coeff_Descr!$A:$D,3,FALSE)</f>
        <v>SOCREC</v>
      </c>
      <c r="N104" s="295">
        <f>OtherTourDestination!B112</f>
        <v>113</v>
      </c>
      <c r="O104" s="295" t="str">
        <f>OtherTourDestination!C112</f>
        <v>Gamma113</v>
      </c>
      <c r="P104" s="295">
        <f>OtherTourDestination!E112</f>
        <v>-12.0597581892</v>
      </c>
      <c r="Q104" s="357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2019-10-07T21:07:19Z</dcterms:modified>
</cp:coreProperties>
</file>