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30905761-C63B-4010-A800-C879278B4165}" revIDLastSave="0" xr10:uidLastSave="{00000000-0000-0000-0000-000000000000}" xr6:coauthVersionLast="41" xr6:coauthVersionMax="41"/>
  <bookViews>
    <workbookView activeTab="3" windowHeight="11265" windowWidth="21600" xWindow="12405" xr2:uid="{00000000-000D-0000-FFFF-FFFF00000000}" yWindow="2640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5"/>
  <c i="1" r="H24"/>
  <c i="1" r="H23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D26" s="1"/>
  <c i="1" r="U9"/>
  <c i="1" r="H22" s="1"/>
  <c i="1" r="U8"/>
  <c i="1" r="H21" s="1"/>
  <c i="1" r="U7"/>
  <c i="1" r="J7"/>
  <c i="1" l="1" r="H20"/>
  <c i="1" r="H26"/>
  <c i="1" r="B26"/>
  <c i="1" r="G26"/>
  <c i="1" r="E26"/>
  <c i="1" r="C26"/>
  <c i="1" r="I26"/>
  <c i="1" r="F26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S33"/>
  <c i="1" r="S36"/>
  <c i="1" r="P39"/>
  <c i="1" r="R39"/>
  <c i="1" r="S37"/>
  <c i="1" r="M39"/>
  <c i="1" r="O39"/>
  <c i="1" r="S34"/>
  <c i="1" r="S39"/>
  <c i="1" r="N39"/>
  <c i="1" r="S35"/>
  <c i="1" r="S38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D39"/>
  <c i="1" r="H36"/>
  <c i="1" r="H38"/>
  <c i="1" r="H33"/>
  <c i="1" r="H34"/>
  <c i="1" r="H35"/>
  <c i="1" r="H37"/>
  <c i="1" r="Z39"/>
  <c i="1" r="AD36"/>
  <c i="1" r="AD33"/>
  <c i="1" r="AD38"/>
  <c i="1" r="G39"/>
  <c i="1" r="AC39" s="1"/>
  <c i="1" r="B39"/>
  <c i="1" r="X39" s="1"/>
  <c i="1" r="AD34"/>
  <c i="1" r="H39"/>
  <c i="1" r="AD35"/>
  <c i="1" r="E39"/>
  <c i="1" r="AA39" s="1"/>
  <c i="1" r="AD39"/>
  <c i="1" r="F39"/>
  <c i="1" r="AB39" s="1"/>
  <c i="1" r="AD37"/>
  <c i="1" r="C39"/>
  <c i="1" r="Y39" s="1"/>
  <c i="1" r="I39"/>
  <c i="1" r="AE39" s="1"/>
  <c i="1" r="F35"/>
  <c i="1" r="AB35" s="1"/>
  <c i="1" r="H40"/>
  <c i="1" r="AD40" s="1"/>
  <c i="1" r="J39"/>
  <c i="1" r="AF39" s="1"/>
  <c i="1" r="H41"/>
  <c i="1" r="AD41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<sst xmlns="http://schemas.openxmlformats.org/spreadsheetml/2006/main" count="673" uniqueCount="260">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</sst>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13449.250400000001</c:v>
                </c:pt>
                <c:pt idx="1">
                  <c:v>18505.056499999999</c:v>
                </c:pt>
                <c:pt idx="2">
                  <c:v>34783.411999999997</c:v>
                </c:pt>
                <c:pt idx="3">
                  <c:v>53922.775099999999</c:v>
                </c:pt>
                <c:pt idx="4">
                  <c:v>120608.25200000001</c:v>
                </c:pt>
                <c:pt idx="5">
                  <c:v>49259.2546</c:v>
                </c:pt>
                <c:pt idx="6">
                  <c:v>92286.077999999994</c:v>
                </c:pt>
                <c:pt idx="7">
                  <c:v>26169.298300000002</c:v>
                </c:pt>
                <c:pt idx="8">
                  <c:v>22460.7228</c:v>
                </c:pt>
                <c:pt idx="9">
                  <c:v>12996.7245</c:v>
                </c:pt>
                <c:pt idx="10">
                  <c:v>27721.662800000002</c:v>
                </c:pt>
                <c:pt idx="11">
                  <c:v>10677.8676</c:v>
                </c:pt>
                <c:pt idx="12">
                  <c:v>6635.6228000000001</c:v>
                </c:pt>
                <c:pt idx="13">
                  <c:v>2201.4341999999997</c:v>
                </c:pt>
                <c:pt idx="14">
                  <c:v>3388.4443999999999</c:v>
                </c:pt>
                <c:pt idx="15">
                  <c:v>2118.5565000000001</c:v>
                </c:pt>
                <c:pt idx="16">
                  <c:v>5923.4503999999997</c:v>
                </c:pt>
                <c:pt idx="17">
                  <c:v>1395.5049999999999</c:v>
                </c:pt>
                <c:pt idx="18">
                  <c:v>3011.0068000000001</c:v>
                </c:pt>
                <c:pt idx="19">
                  <c:v>1708.3232</c:v>
                </c:pt>
                <c:pt idx="20">
                  <c:v>47.592999999999996</c:v>
                </c:pt>
                <c:pt idx="21">
                  <c:v>6176.7619000000004</c:v>
                </c:pt>
                <c:pt idx="22">
                  <c:v>253.89509999999999</c:v>
                </c:pt>
                <c:pt idx="23">
                  <c:v>2951.8852999999999</c:v>
                </c:pt>
                <c:pt idx="24">
                  <c:v>35.024999999999999</c:v>
                </c:pt>
                <c:pt idx="25">
                  <c:v>32.000999999999998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113296</c:v>
                </c:pt>
                <c:pt idx="1">
                  <c:v>64160</c:v>
                </c:pt>
                <c:pt idx="2">
                  <c:v>36715</c:v>
                </c:pt>
                <c:pt idx="3">
                  <c:v>20564</c:v>
                </c:pt>
                <c:pt idx="4">
                  <c:v>100521</c:v>
                </c:pt>
                <c:pt idx="5">
                  <c:v>44630</c:v>
                </c:pt>
                <c:pt idx="6">
                  <c:v>48000</c:v>
                </c:pt>
                <c:pt idx="7">
                  <c:v>21256</c:v>
                </c:pt>
                <c:pt idx="8">
                  <c:v>26713</c:v>
                </c:pt>
                <c:pt idx="9">
                  <c:v>15577</c:v>
                </c:pt>
                <c:pt idx="10">
                  <c:v>4492</c:v>
                </c:pt>
                <c:pt idx="11">
                  <c:v>5213</c:v>
                </c:pt>
                <c:pt idx="12">
                  <c:v>5352</c:v>
                </c:pt>
                <c:pt idx="13">
                  <c:v>6691</c:v>
                </c:pt>
                <c:pt idx="14">
                  <c:v>3487</c:v>
                </c:pt>
                <c:pt idx="15">
                  <c:v>2154</c:v>
                </c:pt>
                <c:pt idx="16">
                  <c:v>2089</c:v>
                </c:pt>
                <c:pt idx="17">
                  <c:v>2658</c:v>
                </c:pt>
                <c:pt idx="18">
                  <c:v>1753</c:v>
                </c:pt>
                <c:pt idx="19">
                  <c:v>1577</c:v>
                </c:pt>
                <c:pt idx="20">
                  <c:v>1887</c:v>
                </c:pt>
                <c:pt idx="21">
                  <c:v>1054</c:v>
                </c:pt>
                <c:pt idx="22">
                  <c:v>1137</c:v>
                </c:pt>
                <c:pt idx="23">
                  <c:v>838</c:v>
                </c:pt>
                <c:pt idx="24">
                  <c:v>653</c:v>
                </c:pt>
                <c:pt idx="25">
                  <c:v>978</c:v>
                </c:pt>
                <c:pt idx="26">
                  <c:v>693</c:v>
                </c:pt>
                <c:pt idx="27">
                  <c:v>564</c:v>
                </c:pt>
                <c:pt idx="28">
                  <c:v>223</c:v>
                </c:pt>
                <c:pt idx="29">
                  <c:v>913</c:v>
                </c:pt>
                <c:pt idx="30">
                  <c:v>590</c:v>
                </c:pt>
                <c:pt idx="31">
                  <c:v>537</c:v>
                </c:pt>
                <c:pt idx="32">
                  <c:v>281</c:v>
                </c:pt>
                <c:pt idx="33">
                  <c:v>283</c:v>
                </c:pt>
                <c:pt idx="34">
                  <c:v>328</c:v>
                </c:pt>
                <c:pt idx="35">
                  <c:v>257</c:v>
                </c:pt>
                <c:pt idx="36">
                  <c:v>575</c:v>
                </c:pt>
                <c:pt idx="37">
                  <c:v>201</c:v>
                </c:pt>
                <c:pt idx="38">
                  <c:v>148</c:v>
                </c:pt>
                <c:pt idx="39">
                  <c:v>280</c:v>
                </c:pt>
                <c:pt idx="40">
                  <c:v>67</c:v>
                </c:pt>
                <c:pt idx="41">
                  <c:v>165</c:v>
                </c:pt>
                <c:pt idx="42">
                  <c:v>86</c:v>
                </c:pt>
                <c:pt idx="43">
                  <c:v>64</c:v>
                </c:pt>
                <c:pt idx="44">
                  <c:v>222</c:v>
                </c:pt>
                <c:pt idx="45">
                  <c:v>100</c:v>
                </c:pt>
                <c:pt idx="46">
                  <c:v>80</c:v>
                </c:pt>
                <c:pt idx="47">
                  <c:v>98</c:v>
                </c:pt>
                <c:pt idx="48">
                  <c:v>29</c:v>
                </c:pt>
                <c:pt idx="49">
                  <c:v>132</c:v>
                </c:pt>
                <c:pt idx="50">
                  <c:v>22</c:v>
                </c:pt>
                <c:pt idx="51">
                  <c:v>14</c:v>
                </c:pt>
                <c:pt idx="52">
                  <c:v>12</c:v>
                </c:pt>
                <c:pt idx="53">
                  <c:v>46</c:v>
                </c:pt>
                <c:pt idx="54">
                  <c:v>6</c:v>
                </c:pt>
                <c:pt idx="55">
                  <c:v>9</c:v>
                </c:pt>
                <c:pt idx="56">
                  <c:v>3</c:v>
                </c:pt>
                <c:pt idx="57">
                  <c:v>2</c:v>
                </c:pt>
                <c:pt idx="58">
                  <c:v>8</c:v>
                </c:pt>
                <c:pt idx="59">
                  <c:v>2</c:v>
                </c:pt>
                <c:pt idx="6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45912"/>
        <c:axId val="145046304"/>
      </c:lineChart>
      <c:catAx>
        <c:axId val="145045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6304"/>
        <c:crosses val="autoZero"/>
        <c:auto val="1"/>
        <c:lblAlgn val="ctr"/>
        <c:lblOffset val="100"/>
        <c:noMultiLvlLbl val="0"/>
      </c:catAx>
      <c:valAx>
        <c:axId val="1450463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45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112.982</c:v>
                </c:pt>
                <c:pt idx="4">
                  <c:v>2974.8512000000001</c:v>
                </c:pt>
                <c:pt idx="5">
                  <c:v>10361.4172</c:v>
                </c:pt>
                <c:pt idx="6">
                  <c:v>4808.4508000000005</c:v>
                </c:pt>
                <c:pt idx="7">
                  <c:v>3082.9245999999998</c:v>
                </c:pt>
                <c:pt idx="8">
                  <c:v>1402.2856999999999</c:v>
                </c:pt>
                <c:pt idx="9">
                  <c:v>9211.3953999999994</c:v>
                </c:pt>
                <c:pt idx="10">
                  <c:v>2206.6204000000002</c:v>
                </c:pt>
                <c:pt idx="11">
                  <c:v>5705.3152999999993</c:v>
                </c:pt>
                <c:pt idx="12">
                  <c:v>18781.993299999998</c:v>
                </c:pt>
                <c:pt idx="13">
                  <c:v>8089.4829999999993</c:v>
                </c:pt>
                <c:pt idx="14">
                  <c:v>12715.929</c:v>
                </c:pt>
                <c:pt idx="15">
                  <c:v>1309.7293</c:v>
                </c:pt>
                <c:pt idx="16">
                  <c:v>29645.162799999998</c:v>
                </c:pt>
                <c:pt idx="17">
                  <c:v>11290.459499999999</c:v>
                </c:pt>
                <c:pt idx="18">
                  <c:v>47442.8151</c:v>
                </c:pt>
                <c:pt idx="19">
                  <c:v>27976.960299999999</c:v>
                </c:pt>
                <c:pt idx="20">
                  <c:v>46526.866699999999</c:v>
                </c:pt>
                <c:pt idx="21">
                  <c:v>26372.836499999998</c:v>
                </c:pt>
                <c:pt idx="22">
                  <c:v>26966.772000000001</c:v>
                </c:pt>
                <c:pt idx="23">
                  <c:v>6011.6054000000004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41359.412899999996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19640.666800000003</c:v>
                </c:pt>
                <c:pt idx="31">
                  <c:v>8290.7476000000006</c:v>
                </c:pt>
                <c:pt idx="32">
                  <c:v>5551.5294000000004</c:v>
                </c:pt>
                <c:pt idx="33">
                  <c:v>5682.5353999999998</c:v>
                </c:pt>
                <c:pt idx="34">
                  <c:v>14120.4557</c:v>
                </c:pt>
                <c:pt idx="35">
                  <c:v>644.71780000000001</c:v>
                </c:pt>
                <c:pt idx="36">
                  <c:v>1592.0895</c:v>
                </c:pt>
                <c:pt idx="37">
                  <c:v>6612.2948000000006</c:v>
                </c:pt>
                <c:pt idx="38">
                  <c:v>6095.4216999999999</c:v>
                </c:pt>
                <c:pt idx="39">
                  <c:v>1802.7855</c:v>
                </c:pt>
                <c:pt idx="40">
                  <c:v>184.36840000000001</c:v>
                </c:pt>
                <c:pt idx="41">
                  <c:v>5701.9362000000001</c:v>
                </c:pt>
                <c:pt idx="42">
                  <c:v>210.09460000000001</c:v>
                </c:pt>
                <c:pt idx="43">
                  <c:v>928.51990000000001</c:v>
                </c:pt>
                <c:pt idx="44">
                  <c:v>1009.3191</c:v>
                </c:pt>
                <c:pt idx="45">
                  <c:v>20992.665500000003</c:v>
                </c:pt>
                <c:pt idx="46">
                  <c:v>1468.7342000000001</c:v>
                </c:pt>
                <c:pt idx="47">
                  <c:v>727.88810000000001</c:v>
                </c:pt>
                <c:pt idx="48">
                  <c:v>39.186</c:v>
                </c:pt>
                <c:pt idx="49">
                  <c:v>1305.0394000000001</c:v>
                </c:pt>
                <c:pt idx="50">
                  <c:v>319.60469999999998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51413</c:v>
                </c:pt>
                <c:pt idx="1">
                  <c:v>12617</c:v>
                </c:pt>
                <c:pt idx="2">
                  <c:v>16900</c:v>
                </c:pt>
                <c:pt idx="3">
                  <c:v>17857</c:v>
                </c:pt>
                <c:pt idx="4">
                  <c:v>17653</c:v>
                </c:pt>
                <c:pt idx="5">
                  <c:v>16969</c:v>
                </c:pt>
                <c:pt idx="6">
                  <c:v>15682</c:v>
                </c:pt>
                <c:pt idx="7">
                  <c:v>14305</c:v>
                </c:pt>
                <c:pt idx="8">
                  <c:v>12183</c:v>
                </c:pt>
                <c:pt idx="9">
                  <c:v>10833</c:v>
                </c:pt>
                <c:pt idx="10">
                  <c:v>9351</c:v>
                </c:pt>
                <c:pt idx="11">
                  <c:v>8262</c:v>
                </c:pt>
                <c:pt idx="12">
                  <c:v>7181</c:v>
                </c:pt>
                <c:pt idx="13">
                  <c:v>6131</c:v>
                </c:pt>
                <c:pt idx="14">
                  <c:v>5447</c:v>
                </c:pt>
                <c:pt idx="15">
                  <c:v>4879</c:v>
                </c:pt>
                <c:pt idx="16">
                  <c:v>4428</c:v>
                </c:pt>
                <c:pt idx="17">
                  <c:v>3830</c:v>
                </c:pt>
                <c:pt idx="18">
                  <c:v>78003</c:v>
                </c:pt>
                <c:pt idx="19">
                  <c:v>16019</c:v>
                </c:pt>
                <c:pt idx="20">
                  <c:v>17039</c:v>
                </c:pt>
                <c:pt idx="21">
                  <c:v>26340</c:v>
                </c:pt>
                <c:pt idx="22">
                  <c:v>20023</c:v>
                </c:pt>
                <c:pt idx="23">
                  <c:v>18954</c:v>
                </c:pt>
                <c:pt idx="24">
                  <c:v>14619</c:v>
                </c:pt>
                <c:pt idx="25">
                  <c:v>15026</c:v>
                </c:pt>
                <c:pt idx="26">
                  <c:v>14098</c:v>
                </c:pt>
                <c:pt idx="27">
                  <c:v>8842</c:v>
                </c:pt>
                <c:pt idx="28">
                  <c:v>5510</c:v>
                </c:pt>
                <c:pt idx="29">
                  <c:v>5503</c:v>
                </c:pt>
                <c:pt idx="30">
                  <c:v>6641</c:v>
                </c:pt>
                <c:pt idx="31">
                  <c:v>10743</c:v>
                </c:pt>
                <c:pt idx="32">
                  <c:v>7421</c:v>
                </c:pt>
                <c:pt idx="33">
                  <c:v>6052</c:v>
                </c:pt>
                <c:pt idx="34">
                  <c:v>2931</c:v>
                </c:pt>
                <c:pt idx="35">
                  <c:v>2442</c:v>
                </c:pt>
                <c:pt idx="36">
                  <c:v>3794</c:v>
                </c:pt>
                <c:pt idx="37">
                  <c:v>2629</c:v>
                </c:pt>
                <c:pt idx="38">
                  <c:v>1997</c:v>
                </c:pt>
                <c:pt idx="39">
                  <c:v>2464</c:v>
                </c:pt>
                <c:pt idx="40">
                  <c:v>1020</c:v>
                </c:pt>
                <c:pt idx="41">
                  <c:v>938</c:v>
                </c:pt>
                <c:pt idx="42">
                  <c:v>835</c:v>
                </c:pt>
                <c:pt idx="43">
                  <c:v>702</c:v>
                </c:pt>
                <c:pt idx="44">
                  <c:v>834</c:v>
                </c:pt>
                <c:pt idx="45">
                  <c:v>2216</c:v>
                </c:pt>
                <c:pt idx="46">
                  <c:v>1548</c:v>
                </c:pt>
                <c:pt idx="47">
                  <c:v>259</c:v>
                </c:pt>
                <c:pt idx="48">
                  <c:v>1211</c:v>
                </c:pt>
                <c:pt idx="49">
                  <c:v>524</c:v>
                </c:pt>
                <c:pt idx="50">
                  <c:v>788</c:v>
                </c:pt>
                <c:pt idx="51">
                  <c:v>314</c:v>
                </c:pt>
                <c:pt idx="52">
                  <c:v>406</c:v>
                </c:pt>
                <c:pt idx="53">
                  <c:v>1152</c:v>
                </c:pt>
                <c:pt idx="54">
                  <c:v>521</c:v>
                </c:pt>
                <c:pt idx="55">
                  <c:v>190</c:v>
                </c:pt>
                <c:pt idx="56">
                  <c:v>191</c:v>
                </c:pt>
                <c:pt idx="57">
                  <c:v>435</c:v>
                </c:pt>
                <c:pt idx="58">
                  <c:v>107</c:v>
                </c:pt>
                <c:pt idx="59">
                  <c:v>97</c:v>
                </c:pt>
                <c:pt idx="60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50616"/>
        <c:axId val="145047480"/>
      </c:lineChart>
      <c:catAx>
        <c:axId val="145050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7480"/>
        <c:crosses val="autoZero"/>
        <c:auto val="1"/>
        <c:lblAlgn val="ctr"/>
        <c:lblOffset val="100"/>
        <c:noMultiLvlLbl val="0"/>
      </c:catAx>
      <c:valAx>
        <c:axId val="145047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50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5962.6515</v>
      </c>
      <c r="C11" s="83" t="n">
        <v>0.0</v>
      </c>
      <c r="D11" s="83" t="n">
        <v>7486.5989</v>
      </c>
      <c r="E11" s="83">
        <f ref="E11:E42" si="0" t="shared">SUM(B11:D11)</f>
        <v>13449.250400000001</v>
      </c>
      <c r="G11">
        <v>0</v>
      </c>
      <c r="H11" s="83" t="n">
        <v>77082.0</v>
      </c>
      <c r="I11" s="83" t="n">
        <v>11227.0</v>
      </c>
      <c r="J11" s="85" t="n">
        <v>24913.0</v>
      </c>
      <c r="K11" s="83">
        <f ref="K11:K42" si="1" t="shared">SUM(H11:J11)</f>
        <v>113296</v>
      </c>
      <c r="M11" t="s">
        <v>41</v>
      </c>
      <c r="N11" s="9" t="n">
        <v>5.704377106093364</v>
      </c>
      <c r="O11" s="9" t="n">
        <v>3.5039187534074974</v>
      </c>
      <c r="Q11" s="1" t="s">
        <v>3</v>
      </c>
      <c r="R11" s="10"/>
      <c r="S11" s="10"/>
    </row>
    <row r="12" spans="1:19" x14ac:dyDescent="0.25">
      <c r="A12">
        <v>1</v>
      </c>
      <c r="B12" s="83" t="n">
        <v>17543.5964</v>
      </c>
      <c r="C12" s="83" t="n">
        <v>411.5173</v>
      </c>
      <c r="D12" s="83" t="n">
        <v>549.9428</v>
      </c>
      <c r="E12" s="83">
        <f si="0" t="shared"/>
        <v>18505.056499999999</v>
      </c>
      <c r="G12">
        <v>1</v>
      </c>
      <c r="H12" s="83" t="n">
        <v>51411.0</v>
      </c>
      <c r="I12" s="83" t="n">
        <v>6510.0</v>
      </c>
      <c r="J12" s="85" t="n">
        <v>7632.0</v>
      </c>
      <c r="K12" s="83">
        <f si="1" t="shared"/>
        <v>64160</v>
      </c>
      <c r="M12" t="s">
        <v>42</v>
      </c>
      <c r="N12" s="9" t="n">
        <v>6.775872419438738</v>
      </c>
      <c r="O12" s="9" t="n">
        <v>4.803280684584106</v>
      </c>
      <c r="R12" s="9"/>
      <c r="S12" s="9"/>
    </row>
    <row r="13" spans="1:19" x14ac:dyDescent="0.25">
      <c r="A13">
        <v>2</v>
      </c>
      <c r="B13" s="83" t="n">
        <v>31180.7782</v>
      </c>
      <c r="C13" s="83" t="n">
        <v>2232.3593</v>
      </c>
      <c r="D13" s="83" t="n">
        <v>1370.2745</v>
      </c>
      <c r="E13" s="83">
        <f si="0" t="shared"/>
        <v>34783.411999999997</v>
      </c>
      <c r="G13">
        <v>2</v>
      </c>
      <c r="H13" s="83" t="n">
        <v>29727.0</v>
      </c>
      <c r="I13" s="83" t="n">
        <v>4292.0</v>
      </c>
      <c r="J13" s="85" t="n">
        <v>3403.0</v>
      </c>
      <c r="K13" s="83">
        <f si="1" t="shared"/>
        <v>36715</v>
      </c>
      <c r="M13" s="6" t="s">
        <v>43</v>
      </c>
      <c r="N13" s="18" t="n">
        <v>7.836691010091815</v>
      </c>
      <c r="O13" s="18" t="n">
        <v>7.965803547327435</v>
      </c>
      <c r="Q13" s="7"/>
      <c r="R13" s="33"/>
      <c r="S13" s="33"/>
    </row>
    <row ht="15.75" r="14" spans="1:19" thickBot="1" x14ac:dyDescent="0.3">
      <c r="A14">
        <v>3</v>
      </c>
      <c r="B14" s="83" t="n">
        <v>46981.5065</v>
      </c>
      <c r="C14" s="83" t="n">
        <v>3518.988</v>
      </c>
      <c r="D14" s="83" t="n">
        <v>3422.2806</v>
      </c>
      <c r="E14" s="83">
        <f si="0" t="shared"/>
        <v>53922.775099999999</v>
      </c>
      <c r="G14">
        <v>3</v>
      </c>
      <c r="H14" s="83" t="n">
        <v>16218.0</v>
      </c>
      <c r="I14" s="83" t="n">
        <v>2622.0</v>
      </c>
      <c r="J14" s="85" t="n">
        <v>2082.0</v>
      </c>
      <c r="K14" s="83">
        <f si="1" t="shared"/>
        <v>20564</v>
      </c>
      <c r="M14" s="1" t="s">
        <v>3</v>
      </c>
      <c r="N14" s="10" t="n">
        <v>6.079411014239382</v>
      </c>
      <c r="O14" s="10" t="n">
        <v>4.907015593790193</v>
      </c>
    </row>
    <row r="15" spans="1:19" x14ac:dyDescent="0.25">
      <c r="A15">
        <v>4</v>
      </c>
      <c r="B15" s="83" t="n">
        <v>96693.67050000001</v>
      </c>
      <c r="C15" s="83" t="n">
        <v>12046.4493</v>
      </c>
      <c r="D15" s="83" t="n">
        <v>11868.1322</v>
      </c>
      <c r="E15" s="83">
        <f si="0" t="shared"/>
        <v>120608.25200000001</v>
      </c>
      <c r="G15">
        <v>4</v>
      </c>
      <c r="H15" s="83" t="n">
        <v>70889.0</v>
      </c>
      <c r="I15" s="83" t="n">
        <v>13959.0</v>
      </c>
      <c r="J15" s="85" t="n">
        <v>16601.0</v>
      </c>
      <c r="K15" s="83">
        <f si="1" t="shared"/>
        <v>100521</v>
      </c>
    </row>
    <row r="16" spans="1:19" x14ac:dyDescent="0.25">
      <c r="A16">
        <v>5</v>
      </c>
      <c r="B16" s="83" t="n">
        <v>35959.4025</v>
      </c>
      <c r="C16" s="83" t="n">
        <v>8335.1854</v>
      </c>
      <c r="D16" s="83" t="n">
        <v>4964.6667</v>
      </c>
      <c r="E16" s="83">
        <f si="0" t="shared"/>
        <v>49259.2546</v>
      </c>
      <c r="G16">
        <v>5</v>
      </c>
      <c r="H16" s="83" t="n">
        <v>21101.0</v>
      </c>
      <c r="I16" s="83" t="n">
        <v>5672.0</v>
      </c>
      <c r="J16" s="85" t="n">
        <v>18380.0</v>
      </c>
      <c r="K16" s="83">
        <f si="1" t="shared"/>
        <v>44630</v>
      </c>
    </row>
    <row r="17" spans="1:11" x14ac:dyDescent="0.25">
      <c r="A17">
        <v>6</v>
      </c>
      <c r="B17" s="83" t="n">
        <v>71627.8275</v>
      </c>
      <c r="C17" s="83" t="n">
        <v>13266.2097</v>
      </c>
      <c r="D17" s="83" t="n">
        <v>7392.0408</v>
      </c>
      <c r="E17" s="83">
        <f si="0" t="shared"/>
        <v>92286.077999999994</v>
      </c>
      <c r="G17">
        <v>6</v>
      </c>
      <c r="H17" s="83" t="n">
        <v>28652.0</v>
      </c>
      <c r="I17" s="83" t="n">
        <v>6611.0</v>
      </c>
      <c r="J17" s="85" t="n">
        <v>14280.0</v>
      </c>
      <c r="K17" s="83">
        <f si="1" t="shared"/>
        <v>48000</v>
      </c>
    </row>
    <row r="18" spans="1:11" x14ac:dyDescent="0.25">
      <c r="A18">
        <v>7</v>
      </c>
      <c r="B18" s="83" t="n">
        <v>18891.3201</v>
      </c>
      <c r="C18" s="83" t="n">
        <v>1816.2806</v>
      </c>
      <c r="D18" s="83" t="n">
        <v>5461.6975999999995</v>
      </c>
      <c r="E18" s="83">
        <f si="0" t="shared"/>
        <v>26169.298300000002</v>
      </c>
      <c r="G18">
        <v>7</v>
      </c>
      <c r="H18" s="83" t="n">
        <v>11575.0</v>
      </c>
      <c r="I18" s="83" t="n">
        <v>2954.0</v>
      </c>
      <c r="J18" s="85" t="n">
        <v>10483.0</v>
      </c>
      <c r="K18" s="83">
        <f si="1" t="shared"/>
        <v>21256</v>
      </c>
    </row>
    <row r="19" spans="1:11" x14ac:dyDescent="0.25">
      <c r="A19">
        <v>8</v>
      </c>
      <c r="B19" s="83" t="n">
        <v>16330.6595</v>
      </c>
      <c r="C19" s="83" t="n">
        <v>4914.1557</v>
      </c>
      <c r="D19" s="83" t="n">
        <v>1215.9076</v>
      </c>
      <c r="E19" s="83">
        <f si="0" t="shared"/>
        <v>22460.7228</v>
      </c>
      <c r="G19">
        <v>8</v>
      </c>
      <c r="H19" s="83" t="n">
        <v>10421.0</v>
      </c>
      <c r="I19" s="83" t="n">
        <v>2956.0</v>
      </c>
      <c r="J19" s="85" t="n">
        <v>12952.0</v>
      </c>
      <c r="K19" s="83">
        <f si="1" t="shared"/>
        <v>26713</v>
      </c>
    </row>
    <row r="20" spans="1:11" x14ac:dyDescent="0.25">
      <c r="A20">
        <v>9</v>
      </c>
      <c r="B20" s="83" t="n">
        <v>8463.8262</v>
      </c>
      <c r="C20" s="83" t="n">
        <v>3760.0686</v>
      </c>
      <c r="D20" s="83" t="n">
        <v>772.8297</v>
      </c>
      <c r="E20" s="83">
        <f si="0" t="shared"/>
        <v>12996.7245</v>
      </c>
      <c r="G20">
        <v>9</v>
      </c>
      <c r="H20" s="83" t="n">
        <v>3931.0</v>
      </c>
      <c r="I20" s="83" t="n">
        <v>1608.0</v>
      </c>
      <c r="J20" s="85" t="n">
        <v>8009.0</v>
      </c>
      <c r="K20" s="83">
        <f si="1" t="shared"/>
        <v>15577</v>
      </c>
    </row>
    <row r="21" spans="1:11" x14ac:dyDescent="0.25">
      <c r="A21">
        <v>10</v>
      </c>
      <c r="B21" s="83" t="n">
        <v>19585.2007</v>
      </c>
      <c r="C21" s="83" t="n">
        <v>3606.0438</v>
      </c>
      <c r="D21" s="83" t="n">
        <v>4530.4183</v>
      </c>
      <c r="E21" s="83">
        <f si="0" t="shared"/>
        <v>27721.662800000002</v>
      </c>
      <c r="G21">
        <v>10</v>
      </c>
      <c r="H21" s="83" t="n">
        <v>2026.0</v>
      </c>
      <c r="I21" s="83" t="n">
        <v>850.0</v>
      </c>
      <c r="J21" s="85" t="n">
        <v>2044.0</v>
      </c>
      <c r="K21" s="83">
        <f si="1" t="shared"/>
        <v>4492</v>
      </c>
    </row>
    <row r="22" spans="1:11" x14ac:dyDescent="0.25">
      <c r="A22">
        <v>11</v>
      </c>
      <c r="B22" s="83" t="n">
        <v>8485.6852</v>
      </c>
      <c r="C22" s="83" t="n">
        <v>1609.5451</v>
      </c>
      <c r="D22" s="83" t="n">
        <v>582.6373</v>
      </c>
      <c r="E22" s="83">
        <f si="0" t="shared"/>
        <v>10677.8676</v>
      </c>
      <c r="G22">
        <v>11</v>
      </c>
      <c r="H22" s="83" t="n">
        <v>2172.0</v>
      </c>
      <c r="I22" s="83" t="n">
        <v>936.0</v>
      </c>
      <c r="J22" s="85" t="n">
        <v>2642.0</v>
      </c>
      <c r="K22" s="83">
        <f si="1" t="shared"/>
        <v>5213</v>
      </c>
    </row>
    <row r="23" spans="1:11" x14ac:dyDescent="0.25">
      <c r="A23">
        <v>12</v>
      </c>
      <c r="B23" s="83" t="n">
        <v>2878.1041</v>
      </c>
      <c r="C23" s="83" t="n">
        <v>1171.11</v>
      </c>
      <c r="D23" s="83" t="n">
        <v>2586.4087</v>
      </c>
      <c r="E23" s="83">
        <f si="0" t="shared"/>
        <v>6635.6228000000001</v>
      </c>
      <c r="G23">
        <v>12</v>
      </c>
      <c r="H23" s="83" t="n">
        <v>1751.0</v>
      </c>
      <c r="I23" s="83" t="n">
        <v>735.0</v>
      </c>
      <c r="J23" s="85" t="n">
        <v>2922.0</v>
      </c>
      <c r="K23" s="83">
        <f si="1" t="shared"/>
        <v>5352</v>
      </c>
    </row>
    <row r="24" spans="1:11" x14ac:dyDescent="0.25">
      <c r="A24">
        <v>13</v>
      </c>
      <c r="B24" s="83" t="n">
        <v>1833.3625</v>
      </c>
      <c r="C24" s="83" t="n">
        <v>0.0</v>
      </c>
      <c r="D24" s="83" t="n">
        <v>368.07169999999996</v>
      </c>
      <c r="E24" s="83">
        <f si="0" t="shared"/>
        <v>2201.4341999999997</v>
      </c>
      <c r="G24">
        <v>13</v>
      </c>
      <c r="H24" s="83" t="n">
        <v>1398.0</v>
      </c>
      <c r="I24" s="83" t="n">
        <v>653.0</v>
      </c>
      <c r="J24" s="85" t="n">
        <v>4611.0</v>
      </c>
      <c r="K24" s="83">
        <f si="1" t="shared"/>
        <v>6691</v>
      </c>
    </row>
    <row r="25" spans="1:11" x14ac:dyDescent="0.25">
      <c r="A25">
        <v>14</v>
      </c>
      <c r="B25" s="83" t="n">
        <v>1214.683</v>
      </c>
      <c r="C25" s="83" t="n">
        <v>0.0</v>
      </c>
      <c r="D25" s="83" t="n">
        <v>2173.7614</v>
      </c>
      <c r="E25" s="83">
        <f si="0" t="shared"/>
        <v>3388.4443999999999</v>
      </c>
      <c r="G25">
        <v>14</v>
      </c>
      <c r="H25" s="83" t="n">
        <v>336.0</v>
      </c>
      <c r="I25" s="83" t="n">
        <v>326.0</v>
      </c>
      <c r="J25" s="85" t="n">
        <v>2938.0</v>
      </c>
      <c r="K25" s="83">
        <f si="1" t="shared"/>
        <v>3487</v>
      </c>
    </row>
    <row r="26" spans="1:11" x14ac:dyDescent="0.25">
      <c r="A26">
        <v>15</v>
      </c>
      <c r="B26" s="83" t="n">
        <v>1031.4047</v>
      </c>
      <c r="C26" s="83" t="n">
        <v>0.0</v>
      </c>
      <c r="D26" s="83" t="n">
        <v>1087.1518</v>
      </c>
      <c r="E26" s="83">
        <f si="0" t="shared"/>
        <v>2118.5565000000001</v>
      </c>
      <c r="G26">
        <v>15</v>
      </c>
      <c r="H26" s="83" t="n">
        <v>466.0</v>
      </c>
      <c r="I26" s="83" t="n">
        <v>365.0</v>
      </c>
      <c r="J26" s="85" t="n">
        <v>1336.0</v>
      </c>
      <c r="K26" s="83">
        <f si="1" t="shared"/>
        <v>2154</v>
      </c>
    </row>
    <row r="27" spans="1:11" x14ac:dyDescent="0.25">
      <c r="A27">
        <v>16</v>
      </c>
      <c r="B27" s="83" t="n">
        <v>4593.0206</v>
      </c>
      <c r="C27" s="83" t="n">
        <v>644.3417</v>
      </c>
      <c r="D27" s="83" t="n">
        <v>686.0880999999999</v>
      </c>
      <c r="E27" s="83">
        <f si="0" t="shared"/>
        <v>5923.4503999999997</v>
      </c>
      <c r="G27">
        <v>16</v>
      </c>
      <c r="H27" s="83" t="n">
        <v>198.0</v>
      </c>
      <c r="I27" s="83" t="n">
        <v>285.0</v>
      </c>
      <c r="J27" s="85" t="n">
        <v>1307.0</v>
      </c>
      <c r="K27" s="83">
        <f si="1" t="shared"/>
        <v>2089</v>
      </c>
    </row>
    <row r="28" spans="1:11" x14ac:dyDescent="0.25">
      <c r="A28">
        <v>17</v>
      </c>
      <c r="B28" s="83" t="n">
        <v>476.72499999999997</v>
      </c>
      <c r="C28" s="83" t="n">
        <v>542.7239</v>
      </c>
      <c r="D28" s="83" t="n">
        <v>376.0561</v>
      </c>
      <c r="E28" s="83">
        <f si="0" t="shared"/>
        <v>1395.5049999999999</v>
      </c>
      <c r="G28">
        <v>17</v>
      </c>
      <c r="H28" s="83" t="n">
        <v>184.0</v>
      </c>
      <c r="I28" s="83" t="n">
        <v>237.0</v>
      </c>
      <c r="J28" s="85" t="n">
        <v>1618.0</v>
      </c>
      <c r="K28" s="83">
        <f si="1" t="shared"/>
        <v>2658</v>
      </c>
    </row>
    <row r="29" spans="1:11" x14ac:dyDescent="0.25">
      <c r="A29">
        <v>18</v>
      </c>
      <c r="B29" s="83" t="n">
        <v>1154.3296</v>
      </c>
      <c r="C29" s="83" t="n">
        <v>522.3251</v>
      </c>
      <c r="D29" s="83" t="n">
        <v>1334.3520999999998</v>
      </c>
      <c r="E29" s="83">
        <f si="0" t="shared"/>
        <v>3011.0068000000001</v>
      </c>
      <c r="G29">
        <v>18</v>
      </c>
      <c r="H29" s="83" t="n">
        <v>115.0</v>
      </c>
      <c r="I29" s="83" t="n">
        <v>209.0</v>
      </c>
      <c r="J29" s="85" t="n">
        <v>2521.0</v>
      </c>
      <c r="K29" s="83">
        <f si="1" t="shared"/>
        <v>1753</v>
      </c>
    </row>
    <row r="30" spans="1:11" x14ac:dyDescent="0.25">
      <c r="A30">
        <v>19</v>
      </c>
      <c r="B30" s="83" t="n">
        <v>279.8517</v>
      </c>
      <c r="C30" s="83" t="n">
        <v>438.0688</v>
      </c>
      <c r="D30" s="83" t="n">
        <v>990.4027000000001</v>
      </c>
      <c r="E30" s="83">
        <f si="0" t="shared"/>
        <v>1708.3232</v>
      </c>
      <c r="G30">
        <v>19</v>
      </c>
      <c r="H30" s="83" t="n">
        <v>65.0</v>
      </c>
      <c r="I30" s="83" t="n">
        <v>97.0</v>
      </c>
      <c r="J30" s="85" t="n">
        <v>902.0</v>
      </c>
      <c r="K30" s="83">
        <f si="1" t="shared"/>
        <v>1577</v>
      </c>
    </row>
    <row r="31" spans="1:11" x14ac:dyDescent="0.25">
      <c r="A31">
        <v>20</v>
      </c>
      <c r="B31" s="83" t="n">
        <v>0.0</v>
      </c>
      <c r="C31" s="83" t="n">
        <v>0.0</v>
      </c>
      <c r="D31" s="83" t="n">
        <v>47.592999999999996</v>
      </c>
      <c r="E31" s="83">
        <f si="0" t="shared"/>
        <v>47.592999999999996</v>
      </c>
      <c r="G31">
        <v>20</v>
      </c>
      <c r="H31" s="83" t="n">
        <v>30.0</v>
      </c>
      <c r="I31" s="83" t="n">
        <v>85.0</v>
      </c>
      <c r="J31" s="85" t="n">
        <v>2089.0</v>
      </c>
      <c r="K31" s="83">
        <f si="1" t="shared"/>
        <v>1887</v>
      </c>
    </row>
    <row r="32" spans="1:11" x14ac:dyDescent="0.25">
      <c r="A32">
        <v>21</v>
      </c>
      <c r="B32" s="83" t="n">
        <v>5789.6123</v>
      </c>
      <c r="C32" s="83" t="n">
        <v>309.8473</v>
      </c>
      <c r="D32" s="83" t="n">
        <v>77.30229999999999</v>
      </c>
      <c r="E32" s="83">
        <f si="0" t="shared"/>
        <v>6176.7619000000004</v>
      </c>
      <c r="G32">
        <v>21</v>
      </c>
      <c r="H32" s="83" t="n">
        <v>31.0</v>
      </c>
      <c r="I32" s="83" t="n">
        <v>75.0</v>
      </c>
      <c r="J32" s="85" t="n">
        <v>928.0</v>
      </c>
      <c r="K32" s="83">
        <f si="1" t="shared"/>
        <v>1054</v>
      </c>
    </row>
    <row r="33" spans="1:11" x14ac:dyDescent="0.25">
      <c r="A33">
        <v>22</v>
      </c>
      <c r="B33" s="83" t="n">
        <v>212.6231</v>
      </c>
      <c r="C33" s="83" t="n">
        <v>0.0</v>
      </c>
      <c r="D33" s="83" t="n">
        <v>41.272</v>
      </c>
      <c r="E33" s="83">
        <f si="0" t="shared"/>
        <v>253.89509999999999</v>
      </c>
      <c r="G33">
        <v>22</v>
      </c>
      <c r="H33" s="83" t="n">
        <v>11.0</v>
      </c>
      <c r="I33" s="83" t="n">
        <v>46.0</v>
      </c>
      <c r="J33" s="85" t="n">
        <v>716.0</v>
      </c>
      <c r="K33" s="83">
        <f si="1" t="shared"/>
        <v>1137</v>
      </c>
    </row>
    <row r="34" spans="1:11" x14ac:dyDescent="0.25">
      <c r="A34">
        <v>23</v>
      </c>
      <c r="B34" s="83" t="n">
        <v>2931.9003</v>
      </c>
      <c r="C34" s="83" t="n">
        <v>0.0</v>
      </c>
      <c r="D34" s="83" t="n">
        <v>19.985</v>
      </c>
      <c r="E34" s="83">
        <f si="0" t="shared"/>
        <v>2951.8852999999999</v>
      </c>
      <c r="G34">
        <v>23</v>
      </c>
      <c r="H34" s="83" t="n">
        <v>4.0</v>
      </c>
      <c r="I34" s="83" t="n">
        <v>50.0</v>
      </c>
      <c r="J34" s="85" t="n">
        <v>751.0</v>
      </c>
      <c r="K34" s="83">
        <f si="1" t="shared"/>
        <v>838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35.025</v>
      </c>
      <c r="E35" s="83">
        <f si="0" t="shared"/>
        <v>35.024999999999999</v>
      </c>
      <c r="G35">
        <v>24</v>
      </c>
      <c r="H35" s="83" t="n">
        <v>5.0</v>
      </c>
      <c r="I35" s="83" t="n">
        <v>47.0</v>
      </c>
      <c r="J35" s="85" t="n">
        <v>653.0</v>
      </c>
      <c r="K35" s="83">
        <f si="1" t="shared"/>
        <v>653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32.001</v>
      </c>
      <c r="E36" s="83">
        <f si="0" t="shared"/>
        <v>32.000999999999998</v>
      </c>
      <c r="G36">
        <v>25</v>
      </c>
      <c r="H36" s="83" t="n">
        <v>8.0</v>
      </c>
      <c r="I36" s="83" t="n">
        <v>38.0</v>
      </c>
      <c r="J36" s="85" t="n">
        <v>767.0</v>
      </c>
      <c r="K36" s="83">
        <f si="1" t="shared"/>
        <v>978</v>
      </c>
    </row>
    <row r="37" spans="1:11" x14ac:dyDescent="0.2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si="0" t="shared"/>
        <v>1621.4752000000001</v>
      </c>
      <c r="G37">
        <v>26</v>
      </c>
      <c r="H37" s="83" t="n">
        <v>7.0</v>
      </c>
      <c r="I37" s="83" t="n">
        <v>42.0</v>
      </c>
      <c r="J37" s="85" t="n">
        <v>518.0</v>
      </c>
      <c r="K37" s="83">
        <f si="1" t="shared"/>
        <v>693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569.2839</v>
      </c>
      <c r="E38" s="83">
        <f si="0" t="shared"/>
        <v>569.28390000000002</v>
      </c>
      <c r="G38">
        <v>27</v>
      </c>
      <c r="H38" s="83" t="n">
        <v>3.0</v>
      </c>
      <c r="I38" s="83" t="n">
        <v>34.0</v>
      </c>
      <c r="J38" s="85" t="n">
        <v>559.0</v>
      </c>
      <c r="K38" s="83">
        <f si="1" t="shared"/>
        <v>564</v>
      </c>
    </row>
    <row r="39" spans="1:11" x14ac:dyDescent="0.25">
      <c r="A39">
        <v>28</v>
      </c>
      <c r="B39" s="83" t="n">
        <v>1297.2364</v>
      </c>
      <c r="C39" s="83" t="n">
        <v>0.0</v>
      </c>
      <c r="D39" s="83" t="n">
        <v>0.0</v>
      </c>
      <c r="E39" s="83">
        <f si="0" t="shared"/>
        <v>1297.2364</v>
      </c>
      <c r="G39">
        <v>28</v>
      </c>
      <c r="H39" s="83" t="n">
        <v>2.0</v>
      </c>
      <c r="I39" s="83" t="n">
        <v>16.0</v>
      </c>
      <c r="J39" s="85" t="n">
        <v>195.0</v>
      </c>
      <c r="K39" s="83">
        <f si="1" t="shared"/>
        <v>223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31.814</v>
      </c>
      <c r="E40" s="83">
        <f si="0" t="shared"/>
        <v>31.814</v>
      </c>
      <c r="G40">
        <v>29</v>
      </c>
      <c r="H40" s="83" t="n">
        <v>3.0</v>
      </c>
      <c r="I40" s="83" t="n">
        <v>22.0</v>
      </c>
      <c r="J40" s="85" t="n">
        <v>759.0</v>
      </c>
      <c r="K40" s="83">
        <f si="1" t="shared"/>
        <v>913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13.399</v>
      </c>
      <c r="E41" s="83">
        <f si="0" t="shared"/>
        <v>13.398999999999999</v>
      </c>
      <c r="G41">
        <v>30</v>
      </c>
      <c r="H41" s="83" t="n">
        <v>0.0</v>
      </c>
      <c r="I41" s="83" t="n">
        <v>12.0</v>
      </c>
      <c r="J41" s="85" t="n">
        <v>606.0</v>
      </c>
      <c r="K41" s="83">
        <f si="1" t="shared"/>
        <v>590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3.0</v>
      </c>
      <c r="I42" s="83" t="n">
        <v>14.0</v>
      </c>
      <c r="J42" s="85" t="n">
        <v>405.0</v>
      </c>
      <c r="K42" s="83">
        <f si="1" t="shared"/>
        <v>537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12.739</v>
      </c>
      <c r="E43" s="83">
        <f ref="E43:E74" si="2" t="shared">SUM(B43:D43)</f>
        <v>12.739000000000001</v>
      </c>
      <c r="G43">
        <v>32</v>
      </c>
      <c r="H43" s="83" t="n">
        <v>0.0</v>
      </c>
      <c r="I43" s="83" t="n">
        <v>15.0</v>
      </c>
      <c r="J43" s="85" t="n">
        <v>249.0</v>
      </c>
      <c r="K43" s="83">
        <f ref="K43:K74" si="3" t="shared">SUM(H43:J43)</f>
        <v>281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10.791</v>
      </c>
      <c r="E44" s="83">
        <f si="2" t="shared"/>
        <v>10.791</v>
      </c>
      <c r="G44">
        <v>33</v>
      </c>
      <c r="H44" s="83" t="n">
        <v>1.0</v>
      </c>
      <c r="I44" s="83" t="n">
        <v>12.0</v>
      </c>
      <c r="J44" s="85" t="n">
        <v>254.0</v>
      </c>
      <c r="K44" s="83">
        <f si="3" t="shared"/>
        <v>283</v>
      </c>
    </row>
    <row r="45" spans="1:11" x14ac:dyDescent="0.25">
      <c r="A45">
        <v>34</v>
      </c>
      <c r="B45" s="83" t="n">
        <v>0.0</v>
      </c>
      <c r="C45" s="83" t="n">
        <v>78.9631</v>
      </c>
      <c r="D45" s="83" t="n">
        <v>0.0</v>
      </c>
      <c r="E45" s="83">
        <f si="2" t="shared"/>
        <v>78.963099999999997</v>
      </c>
      <c r="G45">
        <v>34</v>
      </c>
      <c r="H45" s="83" t="n">
        <v>0.0</v>
      </c>
      <c r="I45" s="83" t="n">
        <v>18.0</v>
      </c>
      <c r="J45" s="85" t="n">
        <v>443.0</v>
      </c>
      <c r="K45" s="83">
        <f si="3" t="shared"/>
        <v>328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25.786</v>
      </c>
      <c r="E46" s="83">
        <f si="2" t="shared"/>
        <v>25.786000000000001</v>
      </c>
      <c r="G46">
        <v>35</v>
      </c>
      <c r="H46" s="83" t="n">
        <v>0.0</v>
      </c>
      <c r="I46" s="83" t="n">
        <v>2.0</v>
      </c>
      <c r="J46" s="85" t="n">
        <v>62.0</v>
      </c>
      <c r="K46" s="83">
        <f si="3" t="shared"/>
        <v>257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1.0</v>
      </c>
      <c r="I47" s="83" t="n">
        <v>16.0</v>
      </c>
      <c r="J47" s="85" t="n">
        <v>575.0</v>
      </c>
      <c r="K47" s="83">
        <f si="3" t="shared"/>
        <v>575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0.0</v>
      </c>
      <c r="I48" s="83" t="n">
        <v>2.0</v>
      </c>
      <c r="J48" s="85" t="n">
        <v>74.0</v>
      </c>
      <c r="K48" s="83">
        <f si="3" t="shared"/>
        <v>201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0.0</v>
      </c>
      <c r="I49" s="83" t="n">
        <v>4.0</v>
      </c>
      <c r="J49" s="85" t="n">
        <v>159.0</v>
      </c>
      <c r="K49" s="83">
        <f si="3" t="shared"/>
        <v>148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4.128</v>
      </c>
      <c r="E50" s="83">
        <f si="2" t="shared"/>
        <v>4.1280000000000001</v>
      </c>
      <c r="G50">
        <v>39</v>
      </c>
      <c r="H50" s="83" t="n">
        <v>0.0</v>
      </c>
      <c r="I50" s="83" t="n">
        <v>2.0</v>
      </c>
      <c r="J50" s="85" t="n">
        <v>196.0</v>
      </c>
      <c r="K50" s="83">
        <f si="3" t="shared"/>
        <v>280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860.3701</v>
      </c>
      <c r="E51" s="83">
        <f si="2" t="shared"/>
        <v>860.37009999999998</v>
      </c>
      <c r="G51">
        <v>40</v>
      </c>
      <c r="H51" s="83" t="n">
        <v>0.0</v>
      </c>
      <c r="I51" s="83" t="n">
        <v>1.0</v>
      </c>
      <c r="J51" s="85" t="n">
        <v>64.0</v>
      </c>
      <c r="K51" s="83">
        <f si="3" t="shared"/>
        <v>67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0.0</v>
      </c>
      <c r="I52" s="83" t="n">
        <v>1.0</v>
      </c>
      <c r="J52" s="85" t="n">
        <v>108.0</v>
      </c>
      <c r="K52" s="83">
        <f si="3" t="shared"/>
        <v>165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286.7204</v>
      </c>
      <c r="E53" s="83">
        <f si="2" t="shared"/>
        <v>286.72039999999998</v>
      </c>
      <c r="G53">
        <v>42</v>
      </c>
      <c r="H53" s="83" t="n">
        <v>0.0</v>
      </c>
      <c r="I53" s="83" t="n">
        <v>3.0</v>
      </c>
      <c r="J53" s="85" t="n">
        <v>42.0</v>
      </c>
      <c r="K53" s="83">
        <f si="3" t="shared"/>
        <v>86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0.0</v>
      </c>
      <c r="I54" s="83" t="n">
        <v>2.0</v>
      </c>
      <c r="J54" s="85" t="n">
        <v>53.0</v>
      </c>
      <c r="K54" s="83">
        <f si="3" t="shared"/>
        <v>64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0.0</v>
      </c>
      <c r="I55" s="83" t="n">
        <v>3.0</v>
      </c>
      <c r="J55" s="85" t="n">
        <v>173.0</v>
      </c>
      <c r="K55" s="83">
        <f si="3" t="shared"/>
        <v>222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0.0</v>
      </c>
      <c r="I56" s="83" t="n">
        <v>7.0</v>
      </c>
      <c r="J56" s="85" t="n">
        <v>21.0</v>
      </c>
      <c r="K56" s="83">
        <f si="3" t="shared"/>
        <v>100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0.0</v>
      </c>
      <c r="I57" s="83" t="n">
        <v>5.0</v>
      </c>
      <c r="J57" s="85" t="n">
        <v>97.0</v>
      </c>
      <c r="K57" s="83">
        <f si="3" t="shared"/>
        <v>80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3.0</v>
      </c>
      <c r="J58" s="85" t="n">
        <v>75.0</v>
      </c>
      <c r="K58" s="83">
        <f si="3" t="shared"/>
        <v>98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468.9894</v>
      </c>
      <c r="E59" s="83">
        <f si="2" t="shared"/>
        <v>468.98939999999999</v>
      </c>
      <c r="G59">
        <v>48</v>
      </c>
      <c r="H59" s="83" t="n">
        <v>0.0</v>
      </c>
      <c r="I59" s="83" t="n">
        <v>0.0</v>
      </c>
      <c r="J59" s="85" t="n">
        <v>53.0</v>
      </c>
      <c r="K59" s="83">
        <f si="3" t="shared"/>
        <v>29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2.0</v>
      </c>
      <c r="J60" s="85" t="n">
        <v>144.0</v>
      </c>
      <c r="K60" s="83">
        <f si="3" t="shared"/>
        <v>132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249.3058</v>
      </c>
      <c r="E61" s="83">
        <f si="2" t="shared"/>
        <v>249.3058</v>
      </c>
      <c r="G61">
        <v>50</v>
      </c>
      <c r="H61" s="83" t="n">
        <v>0.0</v>
      </c>
      <c r="I61" s="83" t="n">
        <v>1.0</v>
      </c>
      <c r="J61" s="85" t="n">
        <v>23.0</v>
      </c>
      <c r="K61" s="83">
        <f si="3" t="shared"/>
        <v>22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0.0</v>
      </c>
      <c r="I62" s="83" t="n">
        <v>2.0</v>
      </c>
      <c r="J62" s="85" t="n">
        <v>16.0</v>
      </c>
      <c r="K62" s="83">
        <f si="3" t="shared"/>
        <v>14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0.0</v>
      </c>
      <c r="J63" s="85" t="n">
        <v>8.0</v>
      </c>
      <c r="K63" s="83">
        <f si="3" t="shared"/>
        <v>12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13.487</v>
      </c>
      <c r="E64" s="83">
        <f si="2" t="shared"/>
        <v>13.487</v>
      </c>
      <c r="G64">
        <v>53</v>
      </c>
      <c r="H64" s="83" t="n">
        <v>0.0</v>
      </c>
      <c r="I64" s="83" t="n">
        <v>2.0</v>
      </c>
      <c r="J64" s="85" t="n">
        <v>21.0</v>
      </c>
      <c r="K64" s="83">
        <f si="3" t="shared"/>
        <v>46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0.0</v>
      </c>
      <c r="J65" s="85" t="n">
        <v>1.0</v>
      </c>
      <c r="K65" s="83">
        <f si="3" t="shared"/>
        <v>6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3.675</v>
      </c>
      <c r="E66" s="83">
        <f si="2" t="shared"/>
        <v>3.6749999999999998</v>
      </c>
      <c r="G66">
        <v>55</v>
      </c>
      <c r="H66" s="83" t="n">
        <v>0.0</v>
      </c>
      <c r="I66" s="83" t="n">
        <v>0.0</v>
      </c>
      <c r="J66" s="85" t="n">
        <v>2.0</v>
      </c>
      <c r="K66" s="83">
        <f si="3" t="shared"/>
        <v>9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1.0</v>
      </c>
      <c r="J67" s="85" t="n">
        <v>1.0</v>
      </c>
      <c r="K67" s="83">
        <f si="3" t="shared"/>
        <v>3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2.0</v>
      </c>
      <c r="J68" s="85" t="n">
        <v>4.0</v>
      </c>
      <c r="K68" s="83">
        <f si="3" t="shared"/>
        <v>2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1.0</v>
      </c>
      <c r="J69" s="85" t="n">
        <v>2.0</v>
      </c>
      <c r="K69" s="83">
        <f si="3" t="shared"/>
        <v>8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0.0</v>
      </c>
      <c r="J70" s="85" t="n">
        <v>1.0</v>
      </c>
      <c r="K70" s="83">
        <f si="3" t="shared"/>
        <v>2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3.0</v>
      </c>
      <c r="K71" s="83">
        <f si="3" t="shared"/>
        <v>3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0.0</v>
      </c>
      <c r="J72" s="85" t="n">
        <v>1.0</v>
      </c>
      <c r="K72" s="83">
        <f si="3" t="shared"/>
        <v>1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1.0</v>
      </c>
      <c r="K73" s="83">
        <f si="3" t="shared"/>
        <v>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si="3" t="shared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1.0</v>
      </c>
      <c r="K75" s="83">
        <f ref="K75:K101" si="5" t="shared">SUM(H75:J75)</f>
        <v>3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si="5" t="shared"/>
        <v>1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si="5" t="shared"/>
        <v>2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si="5" t="shared"/>
        <v>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si="5" t="shared"/>
        <v>1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0.0</v>
      </c>
      <c r="J81" s="85" t="n">
        <v>1.0</v>
      </c>
      <c r="K81" s="83">
        <f si="5" t="shared"/>
        <v>4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1.0</v>
      </c>
      <c r="K82" s="83">
        <f si="5" t="shared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2.0</v>
      </c>
      <c r="K85" s="83">
        <f si="5" t="shared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1.0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si="5" t="shared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1.0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si="4" t="shared"/>
        <v>101200.0551</v>
      </c>
      <c r="G101" s="1">
        <v>90</v>
      </c>
      <c r="H101" s="84" t="n">
        <v>47209.0</v>
      </c>
      <c r="I101" s="84" t="n">
        <v>0.0</v>
      </c>
      <c r="J101" s="84" t="n">
        <v>0.0</v>
      </c>
      <c r="K101" s="84">
        <f si="5" t="shared"/>
        <v>46926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26802.0</v>
      </c>
      <c r="I11" s="83" t="n">
        <v>5694.0</v>
      </c>
      <c r="J11" s="85" t="n">
        <v>17206.0</v>
      </c>
      <c r="K11" s="83">
        <f ref="K11:K42" si="1" t="shared">SUM(H11:J11)</f>
        <v>51413</v>
      </c>
      <c r="M11" t="s">
        <v>41</v>
      </c>
      <c r="N11" s="9" t="n">
        <v>23.085102667855164</v>
      </c>
      <c r="O11" s="9" t="n">
        <v>13.939429512027335</v>
      </c>
    </row>
    <row r="12" spans="1:15" x14ac:dyDescent="0.25">
      <c r="A12">
        <v>1</v>
      </c>
      <c r="B12" s="83" t="n">
        <v>0.0</v>
      </c>
      <c r="C12" s="83" t="n">
        <v>0.0</v>
      </c>
      <c r="D12" s="83" t="n">
        <v>0.0</v>
      </c>
      <c r="E12" s="83">
        <f si="0" t="shared"/>
        <v>0</v>
      </c>
      <c r="G12">
        <v>1</v>
      </c>
      <c r="H12" s="83" t="n">
        <v>11007.0</v>
      </c>
      <c r="I12" s="83" t="n">
        <v>1221.0</v>
      </c>
      <c r="J12" s="85" t="n">
        <v>1062.0</v>
      </c>
      <c r="K12" s="83">
        <f si="1" t="shared"/>
        <v>12617</v>
      </c>
      <c r="M12" t="s">
        <v>42</v>
      </c>
      <c r="N12" s="9" t="n">
        <v>26.479383194170914</v>
      </c>
      <c r="O12" s="9" t="n">
        <v>17.195330514484944</v>
      </c>
    </row>
    <row r="13" spans="1:15" x14ac:dyDescent="0.25">
      <c r="A13">
        <v>2</v>
      </c>
      <c r="B13" s="83" t="n">
        <v>0.0</v>
      </c>
      <c r="C13" s="83" t="n">
        <v>0.0</v>
      </c>
      <c r="D13" s="83" t="n">
        <v>0.0</v>
      </c>
      <c r="E13" s="83">
        <f si="0" t="shared"/>
        <v>0</v>
      </c>
      <c r="G13">
        <v>2</v>
      </c>
      <c r="H13" s="83" t="n">
        <v>13543.0</v>
      </c>
      <c r="I13" s="83" t="n">
        <v>1575.0</v>
      </c>
      <c r="J13" s="85" t="n">
        <v>1772.0</v>
      </c>
      <c r="K13" s="83">
        <f si="1" t="shared"/>
        <v>16900</v>
      </c>
      <c r="M13" s="6" t="s">
        <v>43</v>
      </c>
      <c r="N13" s="18" t="n">
        <v>25.2931279268345</v>
      </c>
      <c r="O13" s="18" t="n">
        <v>22.769518369365695</v>
      </c>
    </row>
    <row ht="15.75" r="14" spans="1:15" thickBot="1" x14ac:dyDescent="0.3">
      <c r="A14">
        <v>3</v>
      </c>
      <c r="B14" s="83" t="n">
        <v>0.0</v>
      </c>
      <c r="C14" s="83" t="n">
        <v>0.0</v>
      </c>
      <c r="D14" s="83" t="n">
        <v>112.982</v>
      </c>
      <c r="E14" s="83">
        <f si="0" t="shared"/>
        <v>112.982</v>
      </c>
      <c r="G14">
        <v>3</v>
      </c>
      <c r="H14" s="83" t="n">
        <v>14631.0</v>
      </c>
      <c r="I14" s="83" t="n">
        <v>1599.0</v>
      </c>
      <c r="J14" s="85" t="n">
        <v>2057.0</v>
      </c>
      <c r="K14" s="83">
        <f si="1" t="shared"/>
        <v>17857</v>
      </c>
      <c r="M14" s="1" t="s">
        <v>3</v>
      </c>
      <c r="N14" s="19" t="n">
        <v>23.73523648717293</v>
      </c>
      <c r="O14" s="19" t="n">
        <v>16.795865343074855</v>
      </c>
    </row>
    <row r="15" spans="1:15" x14ac:dyDescent="0.25">
      <c r="A15">
        <v>4</v>
      </c>
      <c r="B15" s="83" t="n">
        <v>2961.9232</v>
      </c>
      <c r="C15" s="83" t="n">
        <v>0.0</v>
      </c>
      <c r="D15" s="83" t="n">
        <v>12.928</v>
      </c>
      <c r="E15" s="83">
        <f si="0" t="shared"/>
        <v>2974.8512000000001</v>
      </c>
      <c r="G15">
        <v>4</v>
      </c>
      <c r="H15" s="83" t="n">
        <v>14253.0</v>
      </c>
      <c r="I15" s="83" t="n">
        <v>1639.0</v>
      </c>
      <c r="J15" s="85" t="n">
        <v>2149.0</v>
      </c>
      <c r="K15" s="83">
        <f si="1" t="shared"/>
        <v>17653</v>
      </c>
    </row>
    <row r="16" spans="1:15" x14ac:dyDescent="0.25">
      <c r="A16">
        <v>5</v>
      </c>
      <c r="B16" s="83" t="n">
        <v>3000.7282999999998</v>
      </c>
      <c r="C16" s="83" t="n">
        <v>0.0</v>
      </c>
      <c r="D16" s="83" t="n">
        <v>7360.6889</v>
      </c>
      <c r="E16" s="83">
        <f si="0" t="shared"/>
        <v>10361.4172</v>
      </c>
      <c r="G16">
        <v>5</v>
      </c>
      <c r="H16" s="83" t="n">
        <v>13633.0</v>
      </c>
      <c r="I16" s="83" t="n">
        <v>1600.0</v>
      </c>
      <c r="J16" s="85" t="n">
        <v>2266.0</v>
      </c>
      <c r="K16" s="83">
        <f si="1" t="shared"/>
        <v>16969</v>
      </c>
    </row>
    <row r="17" spans="1:11" x14ac:dyDescent="0.25">
      <c r="A17">
        <v>6</v>
      </c>
      <c r="B17" s="83" t="n">
        <v>4431.9179</v>
      </c>
      <c r="C17" s="83" t="n">
        <v>325.3169</v>
      </c>
      <c r="D17" s="83" t="n">
        <v>51.216</v>
      </c>
      <c r="E17" s="83">
        <f si="0" t="shared"/>
        <v>4808.4508000000005</v>
      </c>
      <c r="G17">
        <v>6</v>
      </c>
      <c r="H17" s="83" t="n">
        <v>12420.0</v>
      </c>
      <c r="I17" s="83" t="n">
        <v>1535.0</v>
      </c>
      <c r="J17" s="85" t="n">
        <v>2234.0</v>
      </c>
      <c r="K17" s="83">
        <f si="1" t="shared"/>
        <v>15682</v>
      </c>
    </row>
    <row r="18" spans="1:11" x14ac:dyDescent="0.25">
      <c r="A18">
        <v>7</v>
      </c>
      <c r="B18" s="83" t="n">
        <v>2967.5932</v>
      </c>
      <c r="C18" s="83" t="n">
        <v>86.2004</v>
      </c>
      <c r="D18" s="83" t="n">
        <v>29.131</v>
      </c>
      <c r="E18" s="83">
        <f si="0" t="shared"/>
        <v>3082.9245999999998</v>
      </c>
      <c r="G18">
        <v>7</v>
      </c>
      <c r="H18" s="83" t="n">
        <v>11154.0</v>
      </c>
      <c r="I18" s="83" t="n">
        <v>1408.0</v>
      </c>
      <c r="J18" s="85" t="n">
        <v>2010.0</v>
      </c>
      <c r="K18" s="83">
        <f si="1" t="shared"/>
        <v>14305</v>
      </c>
    </row>
    <row r="19" spans="1:11" x14ac:dyDescent="0.25">
      <c r="A19">
        <v>8</v>
      </c>
      <c r="B19" s="83" t="n">
        <v>1012.9456</v>
      </c>
      <c r="C19" s="83" t="n">
        <v>0.0</v>
      </c>
      <c r="D19" s="83" t="n">
        <v>389.3401</v>
      </c>
      <c r="E19" s="83">
        <f si="0" t="shared"/>
        <v>1402.2856999999999</v>
      </c>
      <c r="G19">
        <v>8</v>
      </c>
      <c r="H19" s="83" t="n">
        <v>9652.0</v>
      </c>
      <c r="I19" s="83" t="n">
        <v>1333.0</v>
      </c>
      <c r="J19" s="85" t="n">
        <v>1454.0</v>
      </c>
      <c r="K19" s="83">
        <f si="1" t="shared"/>
        <v>12183</v>
      </c>
    </row>
    <row r="20" spans="1:11" x14ac:dyDescent="0.25">
      <c r="A20">
        <v>9</v>
      </c>
      <c r="B20" s="83" t="n">
        <v>9131.1397</v>
      </c>
      <c r="C20" s="83" t="n">
        <v>0.0</v>
      </c>
      <c r="D20" s="83" t="n">
        <v>80.25569999999999</v>
      </c>
      <c r="E20" s="83">
        <f si="0" t="shared"/>
        <v>9211.3953999999994</v>
      </c>
      <c r="G20">
        <v>9</v>
      </c>
      <c r="H20" s="83" t="n">
        <v>8807.0</v>
      </c>
      <c r="I20" s="83" t="n">
        <v>1189.0</v>
      </c>
      <c r="J20" s="85" t="n">
        <v>1070.0</v>
      </c>
      <c r="K20" s="83">
        <f si="1" t="shared"/>
        <v>10833</v>
      </c>
    </row>
    <row r="21" spans="1:11" x14ac:dyDescent="0.25">
      <c r="A21">
        <v>10</v>
      </c>
      <c r="B21" s="83" t="n">
        <v>2206.6204000000002</v>
      </c>
      <c r="C21" s="83" t="n">
        <v>0.0</v>
      </c>
      <c r="D21" s="83" t="n">
        <v>0.0</v>
      </c>
      <c r="E21" s="83">
        <f si="0" t="shared"/>
        <v>2206.6204000000002</v>
      </c>
      <c r="G21">
        <v>10</v>
      </c>
      <c r="H21" s="83" t="n">
        <v>7604.0</v>
      </c>
      <c r="I21" s="83" t="n">
        <v>1091.0</v>
      </c>
      <c r="J21" s="85" t="n">
        <v>895.0</v>
      </c>
      <c r="K21" s="83">
        <f si="1" t="shared"/>
        <v>9351</v>
      </c>
    </row>
    <row r="22" spans="1:11" x14ac:dyDescent="0.25">
      <c r="A22">
        <v>11</v>
      </c>
      <c r="B22" s="83" t="n">
        <v>5259.3976999999995</v>
      </c>
      <c r="C22" s="83" t="n">
        <v>0.0</v>
      </c>
      <c r="D22" s="83" t="n">
        <v>445.9176</v>
      </c>
      <c r="E22" s="83">
        <f si="0" t="shared"/>
        <v>5705.3152999999993</v>
      </c>
      <c r="G22">
        <v>11</v>
      </c>
      <c r="H22" s="83" t="n">
        <v>6601.0</v>
      </c>
      <c r="I22" s="83" t="n">
        <v>966.0</v>
      </c>
      <c r="J22" s="85" t="n">
        <v>744.0</v>
      </c>
      <c r="K22" s="83">
        <f si="1" t="shared"/>
        <v>8262</v>
      </c>
    </row>
    <row r="23" spans="1:11" x14ac:dyDescent="0.25">
      <c r="A23">
        <v>12</v>
      </c>
      <c r="B23" s="83" t="n">
        <v>16790.8753</v>
      </c>
      <c r="C23" s="83" t="n">
        <v>1991.118</v>
      </c>
      <c r="D23" s="83" t="n">
        <v>0.0</v>
      </c>
      <c r="E23" s="83">
        <f si="0" t="shared"/>
        <v>18781.993299999998</v>
      </c>
      <c r="G23">
        <v>12</v>
      </c>
      <c r="H23" s="83" t="n">
        <v>5745.0</v>
      </c>
      <c r="I23" s="83" t="n">
        <v>871.0</v>
      </c>
      <c r="J23" s="85" t="n">
        <v>624.0</v>
      </c>
      <c r="K23" s="83">
        <f si="1" t="shared"/>
        <v>7181</v>
      </c>
    </row>
    <row r="24" spans="1:11" x14ac:dyDescent="0.25">
      <c r="A24">
        <v>13</v>
      </c>
      <c r="B24" s="83" t="n">
        <v>6923.8848</v>
      </c>
      <c r="C24" s="83" t="n">
        <v>241.2413</v>
      </c>
      <c r="D24" s="83" t="n">
        <v>924.3569</v>
      </c>
      <c r="E24" s="83">
        <f si="0" t="shared"/>
        <v>8089.4829999999993</v>
      </c>
      <c r="G24">
        <v>13</v>
      </c>
      <c r="H24" s="83" t="n">
        <v>4983.0</v>
      </c>
      <c r="I24" s="83" t="n">
        <v>743.0</v>
      </c>
      <c r="J24" s="85" t="n">
        <v>623.0</v>
      </c>
      <c r="K24" s="83">
        <f si="1" t="shared"/>
        <v>6131</v>
      </c>
    </row>
    <row r="25" spans="1:11" x14ac:dyDescent="0.25">
      <c r="A25">
        <v>14</v>
      </c>
      <c r="B25" s="83" t="n">
        <v>10541.3889</v>
      </c>
      <c r="C25" s="83" t="n">
        <v>539.8364</v>
      </c>
      <c r="D25" s="83" t="n">
        <v>1634.7037</v>
      </c>
      <c r="E25" s="83">
        <f si="0" t="shared"/>
        <v>12715.929</v>
      </c>
      <c r="G25">
        <v>14</v>
      </c>
      <c r="H25" s="83" t="n">
        <v>4434.0</v>
      </c>
      <c r="I25" s="83" t="n">
        <v>701.0</v>
      </c>
      <c r="J25" s="85" t="n">
        <v>536.0</v>
      </c>
      <c r="K25" s="83">
        <f si="1" t="shared"/>
        <v>5447</v>
      </c>
    </row>
    <row r="26" spans="1:11" x14ac:dyDescent="0.25">
      <c r="A26">
        <v>15</v>
      </c>
      <c r="B26" s="83" t="n">
        <v>1112.7793</v>
      </c>
      <c r="C26" s="83" t="n">
        <v>0.0</v>
      </c>
      <c r="D26" s="83" t="n">
        <v>196.95</v>
      </c>
      <c r="E26" s="83">
        <f si="0" t="shared"/>
        <v>1309.7293</v>
      </c>
      <c r="G26">
        <v>15</v>
      </c>
      <c r="H26" s="83" t="n">
        <v>3907.0</v>
      </c>
      <c r="I26" s="83" t="n">
        <v>598.0</v>
      </c>
      <c r="J26" s="85" t="n">
        <v>427.0</v>
      </c>
      <c r="K26" s="83">
        <f si="1" t="shared"/>
        <v>4879</v>
      </c>
    </row>
    <row r="27" spans="1:11" x14ac:dyDescent="0.2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si="0" t="shared"/>
        <v>29645.162799999998</v>
      </c>
      <c r="G27">
        <v>16</v>
      </c>
      <c r="H27" s="83" t="n">
        <v>3406.0</v>
      </c>
      <c r="I27" s="83" t="n">
        <v>534.0</v>
      </c>
      <c r="J27" s="85" t="n">
        <v>482.0</v>
      </c>
      <c r="K27" s="83">
        <f si="1" t="shared"/>
        <v>4428</v>
      </c>
    </row>
    <row r="28" spans="1:11" x14ac:dyDescent="0.25">
      <c r="A28">
        <v>17</v>
      </c>
      <c r="B28" s="83" t="n">
        <v>10623.5363</v>
      </c>
      <c r="C28" s="83" t="n">
        <v>666.9232</v>
      </c>
      <c r="D28" s="83" t="n">
        <v>0.0</v>
      </c>
      <c r="E28" s="83">
        <f si="0" t="shared"/>
        <v>11290.459499999999</v>
      </c>
      <c r="G28">
        <v>17</v>
      </c>
      <c r="H28" s="83" t="n">
        <v>2966.0</v>
      </c>
      <c r="I28" s="83" t="n">
        <v>506.0</v>
      </c>
      <c r="J28" s="85" t="n">
        <v>438.0</v>
      </c>
      <c r="K28" s="83">
        <f si="1" t="shared"/>
        <v>3830</v>
      </c>
    </row>
    <row r="29" spans="1:11" x14ac:dyDescent="0.25">
      <c r="A29">
        <v>18</v>
      </c>
      <c r="B29" s="83" t="n">
        <v>36993.8717</v>
      </c>
      <c r="C29" s="83" t="n">
        <v>5096.0102</v>
      </c>
      <c r="D29" s="83" t="n">
        <v>5352.9331999999995</v>
      </c>
      <c r="E29" s="83">
        <f si="0" t="shared"/>
        <v>47442.8151</v>
      </c>
      <c r="G29">
        <v>18</v>
      </c>
      <c r="H29" s="83" t="n">
        <v>55324.0</v>
      </c>
      <c r="I29" s="83" t="n">
        <v>10718.0</v>
      </c>
      <c r="J29" s="85" t="n">
        <v>11804.0</v>
      </c>
      <c r="K29" s="83">
        <f si="1" t="shared"/>
        <v>78003</v>
      </c>
    </row>
    <row r="30" spans="1:11" x14ac:dyDescent="0.25">
      <c r="A30">
        <v>19</v>
      </c>
      <c r="B30" s="83" t="n">
        <v>18722.4765</v>
      </c>
      <c r="C30" s="83" t="n">
        <v>5036.694</v>
      </c>
      <c r="D30" s="83" t="n">
        <v>4217.7898</v>
      </c>
      <c r="E30" s="83">
        <f si="0" t="shared"/>
        <v>27976.960299999999</v>
      </c>
      <c r="G30">
        <v>19</v>
      </c>
      <c r="H30" s="83" t="n">
        <v>10219.0</v>
      </c>
      <c r="I30" s="83" t="n">
        <v>2091.0</v>
      </c>
      <c r="J30" s="85" t="n">
        <v>4380.0</v>
      </c>
      <c r="K30" s="83">
        <f si="1" t="shared"/>
        <v>16019</v>
      </c>
    </row>
    <row r="31" spans="1:11" x14ac:dyDescent="0.25">
      <c r="A31">
        <v>20</v>
      </c>
      <c r="B31" s="83" t="n">
        <v>41135.0582</v>
      </c>
      <c r="C31" s="83" t="n">
        <v>2008.2398</v>
      </c>
      <c r="D31" s="83" t="n">
        <v>3383.5687</v>
      </c>
      <c r="E31" s="83">
        <f si="0" t="shared"/>
        <v>46526.866699999999</v>
      </c>
      <c r="G31">
        <v>20</v>
      </c>
      <c r="H31" s="83" t="n">
        <v>8535.0</v>
      </c>
      <c r="I31" s="83" t="n">
        <v>2156.0</v>
      </c>
      <c r="J31" s="85" t="n">
        <v>6540.0</v>
      </c>
      <c r="K31" s="83">
        <f si="1" t="shared"/>
        <v>17039</v>
      </c>
    </row>
    <row r="32" spans="1:11" x14ac:dyDescent="0.25">
      <c r="A32">
        <v>21</v>
      </c>
      <c r="B32" s="83" t="n">
        <v>19792.749499999998</v>
      </c>
      <c r="C32" s="83" t="n">
        <v>3177.5144</v>
      </c>
      <c r="D32" s="83" t="n">
        <v>3402.5726</v>
      </c>
      <c r="E32" s="83">
        <f si="0" t="shared"/>
        <v>26372.836499999998</v>
      </c>
      <c r="G32">
        <v>21</v>
      </c>
      <c r="H32" s="83" t="n">
        <v>11389.0</v>
      </c>
      <c r="I32" s="83" t="n">
        <v>3343.0</v>
      </c>
      <c r="J32" s="85" t="n">
        <v>12326.0</v>
      </c>
      <c r="K32" s="83">
        <f si="1" t="shared"/>
        <v>26340</v>
      </c>
    </row>
    <row r="33" spans="1:11" x14ac:dyDescent="0.25">
      <c r="A33">
        <v>22</v>
      </c>
      <c r="B33" s="83" t="n">
        <v>20777.6028</v>
      </c>
      <c r="C33" s="83" t="n">
        <v>2015.7887</v>
      </c>
      <c r="D33" s="83" t="n">
        <v>4173.3805</v>
      </c>
      <c r="E33" s="83">
        <f si="0" t="shared"/>
        <v>26966.772000000001</v>
      </c>
      <c r="G33">
        <v>22</v>
      </c>
      <c r="H33" s="83" t="n">
        <v>14139.0</v>
      </c>
      <c r="I33" s="83" t="n">
        <v>3360.0</v>
      </c>
      <c r="J33" s="85" t="n">
        <v>3093.0</v>
      </c>
      <c r="K33" s="83">
        <f si="1" t="shared"/>
        <v>20023</v>
      </c>
    </row>
    <row r="34" spans="1:11" x14ac:dyDescent="0.25">
      <c r="A34">
        <v>23</v>
      </c>
      <c r="B34" s="83" t="n">
        <v>3476.5962</v>
      </c>
      <c r="C34" s="83" t="n">
        <v>87.1083</v>
      </c>
      <c r="D34" s="83" t="n">
        <v>2447.9009</v>
      </c>
      <c r="E34" s="83">
        <f si="0" t="shared"/>
        <v>6011.6054000000004</v>
      </c>
      <c r="G34">
        <v>23</v>
      </c>
      <c r="H34" s="83" t="n">
        <v>9853.0</v>
      </c>
      <c r="I34" s="83" t="n">
        <v>2102.0</v>
      </c>
      <c r="J34" s="85" t="n">
        <v>7763.0</v>
      </c>
      <c r="K34" s="83">
        <f si="1" t="shared"/>
        <v>18954</v>
      </c>
    </row>
    <row r="35" spans="1:11" x14ac:dyDescent="0.2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si="0" t="shared"/>
        <v>21119.6397</v>
      </c>
      <c r="G35">
        <v>24</v>
      </c>
      <c r="H35" s="83" t="n">
        <v>6465.0</v>
      </c>
      <c r="I35" s="83" t="n">
        <v>1725.0</v>
      </c>
      <c r="J35" s="85" t="n">
        <v>5846.0</v>
      </c>
      <c r="K35" s="83">
        <f si="1" t="shared"/>
        <v>14619</v>
      </c>
    </row>
    <row r="36" spans="1:11" x14ac:dyDescent="0.2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si="0" t="shared"/>
        <v>15741.9714</v>
      </c>
      <c r="G36">
        <v>25</v>
      </c>
      <c r="H36" s="83" t="n">
        <v>6934.0</v>
      </c>
      <c r="I36" s="83" t="n">
        <v>2043.0</v>
      </c>
      <c r="J36" s="85" t="n">
        <v>5783.0</v>
      </c>
      <c r="K36" s="83">
        <f si="1" t="shared"/>
        <v>15026</v>
      </c>
    </row>
    <row r="37" spans="1:11" x14ac:dyDescent="0.25">
      <c r="A37">
        <v>26</v>
      </c>
      <c r="B37" s="83" t="n">
        <v>33297.3339</v>
      </c>
      <c r="C37" s="83" t="n">
        <v>7174.651</v>
      </c>
      <c r="D37" s="83" t="n">
        <v>887.428</v>
      </c>
      <c r="E37" s="83">
        <f si="0" t="shared"/>
        <v>41359.412899999996</v>
      </c>
      <c r="G37">
        <v>26</v>
      </c>
      <c r="H37" s="83" t="n">
        <v>3723.0</v>
      </c>
      <c r="I37" s="83" t="n">
        <v>1075.0</v>
      </c>
      <c r="J37" s="85" t="n">
        <v>6438.0</v>
      </c>
      <c r="K37" s="83">
        <f si="1" t="shared"/>
        <v>14098</v>
      </c>
    </row>
    <row r="38" spans="1:11" x14ac:dyDescent="0.2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si="0" t="shared"/>
        <v>6237.0288999999993</v>
      </c>
      <c r="G38">
        <v>27</v>
      </c>
      <c r="H38" s="83" t="n">
        <v>4405.0</v>
      </c>
      <c r="I38" s="83" t="n">
        <v>1590.0</v>
      </c>
      <c r="J38" s="85" t="n">
        <v>7511.0</v>
      </c>
      <c r="K38" s="83">
        <f si="1" t="shared"/>
        <v>8842</v>
      </c>
    </row>
    <row r="39" spans="1:11" x14ac:dyDescent="0.2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si="0" t="shared"/>
        <v>14996.461899999998</v>
      </c>
      <c r="G39">
        <v>28</v>
      </c>
      <c r="H39" s="83" t="n">
        <v>2053.0</v>
      </c>
      <c r="I39" s="83" t="n">
        <v>784.0</v>
      </c>
      <c r="J39" s="85" t="n">
        <v>2886.0</v>
      </c>
      <c r="K39" s="83">
        <f si="1" t="shared"/>
        <v>5510</v>
      </c>
    </row>
    <row r="40" spans="1:11" x14ac:dyDescent="0.2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si="0" t="shared"/>
        <v>8498.5537000000004</v>
      </c>
      <c r="G40">
        <v>29</v>
      </c>
      <c r="H40" s="83" t="n">
        <v>1707.0</v>
      </c>
      <c r="I40" s="83" t="n">
        <v>753.0</v>
      </c>
      <c r="J40" s="85" t="n">
        <v>2689.0</v>
      </c>
      <c r="K40" s="83">
        <f si="1" t="shared"/>
        <v>5503</v>
      </c>
    </row>
    <row r="41" spans="1:11" x14ac:dyDescent="0.25">
      <c r="A41">
        <v>30</v>
      </c>
      <c r="B41" s="83" t="n">
        <v>14496.886</v>
      </c>
      <c r="C41" s="83" t="n">
        <v>3870.1862</v>
      </c>
      <c r="D41" s="83" t="n">
        <v>1273.5946</v>
      </c>
      <c r="E41" s="83">
        <f si="0" t="shared"/>
        <v>19640.666800000003</v>
      </c>
      <c r="G41">
        <v>30</v>
      </c>
      <c r="H41" s="83" t="n">
        <v>2801.0</v>
      </c>
      <c r="I41" s="83" t="n">
        <v>913.0</v>
      </c>
      <c r="J41" s="85" t="n">
        <v>3224.0</v>
      </c>
      <c r="K41" s="83">
        <f si="1" t="shared"/>
        <v>6641</v>
      </c>
    </row>
    <row r="42" spans="1:11" x14ac:dyDescent="0.2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si="0" t="shared"/>
        <v>8290.7476000000006</v>
      </c>
      <c r="G42">
        <v>31</v>
      </c>
      <c r="H42" s="83" t="n">
        <v>5997.0</v>
      </c>
      <c r="I42" s="83" t="n">
        <v>1475.0</v>
      </c>
      <c r="J42" s="85" t="n">
        <v>2658.0</v>
      </c>
      <c r="K42" s="83">
        <f si="1" t="shared"/>
        <v>10743</v>
      </c>
    </row>
    <row r="43" spans="1:11" x14ac:dyDescent="0.25">
      <c r="A43">
        <v>32</v>
      </c>
      <c r="B43" s="83" t="n">
        <v>4797.0135</v>
      </c>
      <c r="C43" s="83" t="n">
        <v>679.5339</v>
      </c>
      <c r="D43" s="83" t="n">
        <v>74.982</v>
      </c>
      <c r="E43" s="83">
        <f ref="E43:E74" si="2" t="shared">SUM(B43:D43)</f>
        <v>5551.5294000000004</v>
      </c>
      <c r="G43">
        <v>32</v>
      </c>
      <c r="H43" s="83" t="n">
        <v>3235.0</v>
      </c>
      <c r="I43" s="83" t="n">
        <v>893.0</v>
      </c>
      <c r="J43" s="85" t="n">
        <v>4391.0</v>
      </c>
      <c r="K43" s="83">
        <f ref="K43:K74" si="3" t="shared">SUM(H43:J43)</f>
        <v>7421</v>
      </c>
    </row>
    <row r="44" spans="1:11" x14ac:dyDescent="0.25">
      <c r="A44">
        <v>33</v>
      </c>
      <c r="B44" s="83" t="n">
        <v>3526.8323</v>
      </c>
      <c r="C44" s="83" t="n">
        <v>0.0</v>
      </c>
      <c r="D44" s="83" t="n">
        <v>2155.7030999999997</v>
      </c>
      <c r="E44" s="83">
        <f si="2" t="shared"/>
        <v>5682.5353999999998</v>
      </c>
      <c r="G44">
        <v>33</v>
      </c>
      <c r="H44" s="83" t="n">
        <v>543.0</v>
      </c>
      <c r="I44" s="83" t="n">
        <v>409.0</v>
      </c>
      <c r="J44" s="85" t="n">
        <v>3482.0</v>
      </c>
      <c r="K44" s="83">
        <f si="3" t="shared"/>
        <v>6052</v>
      </c>
    </row>
    <row r="45" spans="1:11" x14ac:dyDescent="0.25">
      <c r="A45">
        <v>34</v>
      </c>
      <c r="B45" s="83" t="n">
        <v>12612.1371</v>
      </c>
      <c r="C45" s="83" t="n">
        <v>645.0735999999999</v>
      </c>
      <c r="D45" s="83" t="n">
        <v>863.245</v>
      </c>
      <c r="E45" s="83">
        <f si="2" t="shared"/>
        <v>14120.4557</v>
      </c>
      <c r="G45">
        <v>34</v>
      </c>
      <c r="H45" s="83" t="n">
        <v>973.0</v>
      </c>
      <c r="I45" s="83" t="n">
        <v>337.0</v>
      </c>
      <c r="J45" s="85" t="n">
        <v>2096.0</v>
      </c>
      <c r="K45" s="83">
        <f si="3" t="shared"/>
        <v>2931</v>
      </c>
    </row>
    <row r="46" spans="1:11" x14ac:dyDescent="0.25">
      <c r="A46">
        <v>35</v>
      </c>
      <c r="B46" s="83" t="n">
        <v>0.0</v>
      </c>
      <c r="C46" s="83" t="n">
        <v>438.0688</v>
      </c>
      <c r="D46" s="83" t="n">
        <v>206.649</v>
      </c>
      <c r="E46" s="83">
        <f si="2" t="shared"/>
        <v>644.71780000000001</v>
      </c>
      <c r="G46">
        <v>35</v>
      </c>
      <c r="H46" s="83" t="n">
        <v>617.0</v>
      </c>
      <c r="I46" s="83" t="n">
        <v>337.0</v>
      </c>
      <c r="J46" s="85" t="n">
        <v>538.0</v>
      </c>
      <c r="K46" s="83">
        <f si="3" t="shared"/>
        <v>2442</v>
      </c>
    </row>
    <row r="47" spans="1:11" x14ac:dyDescent="0.25">
      <c r="A47">
        <v>36</v>
      </c>
      <c r="B47" s="83" t="n">
        <v>264.5087</v>
      </c>
      <c r="C47" s="83" t="n">
        <v>0.0</v>
      </c>
      <c r="D47" s="83" t="n">
        <v>1327.5808</v>
      </c>
      <c r="E47" s="83">
        <f si="2" t="shared"/>
        <v>1592.0895</v>
      </c>
      <c r="G47">
        <v>36</v>
      </c>
      <c r="H47" s="83" t="n">
        <v>1666.0</v>
      </c>
      <c r="I47" s="83" t="n">
        <v>541.0</v>
      </c>
      <c r="J47" s="85" t="n">
        <v>2905.0</v>
      </c>
      <c r="K47" s="83">
        <f si="3" t="shared"/>
        <v>3794</v>
      </c>
    </row>
    <row r="48" spans="1:11" x14ac:dyDescent="0.25">
      <c r="A48">
        <v>37</v>
      </c>
      <c r="B48" s="83" t="n">
        <v>4936.4268</v>
      </c>
      <c r="C48" s="83" t="n">
        <v>1379.2523</v>
      </c>
      <c r="D48" s="83" t="n">
        <v>296.61569999999995</v>
      </c>
      <c r="E48" s="83">
        <f si="2" t="shared"/>
        <v>6612.2948000000006</v>
      </c>
      <c r="G48">
        <v>37</v>
      </c>
      <c r="H48" s="83" t="n">
        <v>1962.0</v>
      </c>
      <c r="I48" s="83" t="n">
        <v>590.0</v>
      </c>
      <c r="J48" s="85" t="n">
        <v>1439.0</v>
      </c>
      <c r="K48" s="83">
        <f si="3" t="shared"/>
        <v>2629</v>
      </c>
    </row>
    <row r="49" spans="1:11" x14ac:dyDescent="0.25">
      <c r="A49">
        <v>38</v>
      </c>
      <c r="B49" s="83" t="n">
        <v>3535.002</v>
      </c>
      <c r="C49" s="83" t="n">
        <v>1625.885</v>
      </c>
      <c r="D49" s="83" t="n">
        <v>934.5346999999999</v>
      </c>
      <c r="E49" s="83">
        <f si="2" t="shared"/>
        <v>6095.4216999999999</v>
      </c>
      <c r="G49">
        <v>38</v>
      </c>
      <c r="H49" s="83" t="n">
        <v>524.0</v>
      </c>
      <c r="I49" s="83" t="n">
        <v>324.0</v>
      </c>
      <c r="J49" s="85" t="n">
        <v>835.0</v>
      </c>
      <c r="K49" s="83">
        <f si="3" t="shared"/>
        <v>1997</v>
      </c>
    </row>
    <row r="50" spans="1:11" x14ac:dyDescent="0.25">
      <c r="A50">
        <v>39</v>
      </c>
      <c r="B50" s="83" t="n">
        <v>469.6627</v>
      </c>
      <c r="C50" s="83" t="n">
        <v>0.0</v>
      </c>
      <c r="D50" s="83" t="n">
        <v>1333.1227999999999</v>
      </c>
      <c r="E50" s="83">
        <f si="2" t="shared"/>
        <v>1802.7855</v>
      </c>
      <c r="G50">
        <v>39</v>
      </c>
      <c r="H50" s="83" t="n">
        <v>354.0</v>
      </c>
      <c r="I50" s="83" t="n">
        <v>268.0</v>
      </c>
      <c r="J50" s="85" t="n">
        <v>2120.0</v>
      </c>
      <c r="K50" s="83">
        <f si="3" t="shared"/>
        <v>2464</v>
      </c>
    </row>
    <row r="51" spans="1:11" x14ac:dyDescent="0.25">
      <c r="A51">
        <v>40</v>
      </c>
      <c r="B51" s="83" t="n">
        <v>0.0</v>
      </c>
      <c r="C51" s="83" t="n">
        <v>55.7339</v>
      </c>
      <c r="D51" s="83" t="n">
        <v>128.6345</v>
      </c>
      <c r="E51" s="83">
        <f si="2" t="shared"/>
        <v>184.36840000000001</v>
      </c>
      <c r="G51">
        <v>40</v>
      </c>
      <c r="H51" s="83" t="n">
        <v>182.0</v>
      </c>
      <c r="I51" s="83" t="n">
        <v>184.0</v>
      </c>
      <c r="J51" s="85" t="n">
        <v>676.0</v>
      </c>
      <c r="K51" s="83">
        <f si="3" t="shared"/>
        <v>1020</v>
      </c>
    </row>
    <row r="52" spans="1:11" x14ac:dyDescent="0.25">
      <c r="A52">
        <v>41</v>
      </c>
      <c r="B52" s="83" t="n">
        <v>5402.1254</v>
      </c>
      <c r="C52" s="83" t="n">
        <v>0.0</v>
      </c>
      <c r="D52" s="83" t="n">
        <v>299.81080000000003</v>
      </c>
      <c r="E52" s="83">
        <f si="2" t="shared"/>
        <v>5701.9362000000001</v>
      </c>
      <c r="G52">
        <v>41</v>
      </c>
      <c r="H52" s="83" t="n">
        <v>94.0</v>
      </c>
      <c r="I52" s="83" t="n">
        <v>73.0</v>
      </c>
      <c r="J52" s="85" t="n">
        <v>811.0</v>
      </c>
      <c r="K52" s="83">
        <f si="3" t="shared"/>
        <v>938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210.0946</v>
      </c>
      <c r="E53" s="83">
        <f si="2" t="shared"/>
        <v>210.09460000000001</v>
      </c>
      <c r="G53">
        <v>42</v>
      </c>
      <c r="H53" s="83" t="n">
        <v>79.0</v>
      </c>
      <c r="I53" s="83" t="n">
        <v>108.0</v>
      </c>
      <c r="J53" s="85" t="n">
        <v>691.0</v>
      </c>
      <c r="K53" s="83">
        <f si="3" t="shared"/>
        <v>835</v>
      </c>
    </row>
    <row r="54" spans="1:11" x14ac:dyDescent="0.25">
      <c r="A54">
        <v>43</v>
      </c>
      <c r="B54" s="83" t="n">
        <v>353.8466</v>
      </c>
      <c r="C54" s="83" t="n">
        <v>254.1134</v>
      </c>
      <c r="D54" s="83" t="n">
        <v>320.55989999999997</v>
      </c>
      <c r="E54" s="83">
        <f si="2" t="shared"/>
        <v>928.51990000000001</v>
      </c>
      <c r="G54">
        <v>43</v>
      </c>
      <c r="H54" s="83" t="n">
        <v>115.0</v>
      </c>
      <c r="I54" s="83" t="n">
        <v>101.0</v>
      </c>
      <c r="J54" s="85" t="n">
        <v>464.0</v>
      </c>
      <c r="K54" s="83">
        <f si="3" t="shared"/>
        <v>702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1009.3191</v>
      </c>
      <c r="E55" s="83">
        <f si="2" t="shared"/>
        <v>1009.3191</v>
      </c>
      <c r="G55">
        <v>44</v>
      </c>
      <c r="H55" s="83" t="n">
        <v>36.0</v>
      </c>
      <c r="I55" s="83" t="n">
        <v>60.0</v>
      </c>
      <c r="J55" s="85" t="n">
        <v>734.0</v>
      </c>
      <c r="K55" s="83">
        <f si="3" t="shared"/>
        <v>834</v>
      </c>
    </row>
    <row r="56" spans="1:11" x14ac:dyDescent="0.25">
      <c r="A56">
        <v>45</v>
      </c>
      <c r="B56" s="83" t="n">
        <v>14075.8714</v>
      </c>
      <c r="C56" s="83" t="n">
        <v>3017.0855</v>
      </c>
      <c r="D56" s="83" t="n">
        <v>3899.7086</v>
      </c>
      <c r="E56" s="83">
        <f si="2" t="shared"/>
        <v>20992.665500000003</v>
      </c>
      <c r="G56">
        <v>45</v>
      </c>
      <c r="H56" s="83" t="n">
        <v>103.0</v>
      </c>
      <c r="I56" s="83" t="n">
        <v>73.0</v>
      </c>
      <c r="J56" s="85" t="n">
        <v>1989.0</v>
      </c>
      <c r="K56" s="83">
        <f si="3" t="shared"/>
        <v>2216</v>
      </c>
    </row>
    <row r="57" spans="1:11" x14ac:dyDescent="0.25">
      <c r="A57">
        <v>46</v>
      </c>
      <c r="B57" s="83" t="n">
        <v>522.3251</v>
      </c>
      <c r="C57" s="83" t="n">
        <v>522.3251</v>
      </c>
      <c r="D57" s="83" t="n">
        <v>424.084</v>
      </c>
      <c r="E57" s="83">
        <f si="2" t="shared"/>
        <v>1468.7342000000001</v>
      </c>
      <c r="G57">
        <v>46</v>
      </c>
      <c r="H57" s="83" t="n">
        <v>46.0</v>
      </c>
      <c r="I57" s="83" t="n">
        <v>67.0</v>
      </c>
      <c r="J57" s="85" t="n">
        <v>1381.0</v>
      </c>
      <c r="K57" s="83">
        <f si="3" t="shared"/>
        <v>1548</v>
      </c>
    </row>
    <row r="58" spans="1:11" x14ac:dyDescent="0.25">
      <c r="A58">
        <v>47</v>
      </c>
      <c r="B58" s="83" t="n">
        <v>321.005</v>
      </c>
      <c r="C58" s="83" t="n">
        <v>0.0</v>
      </c>
      <c r="D58" s="83" t="n">
        <v>406.8831</v>
      </c>
      <c r="E58" s="83">
        <f si="2" t="shared"/>
        <v>727.88810000000001</v>
      </c>
      <c r="G58">
        <v>47</v>
      </c>
      <c r="H58" s="83" t="n">
        <v>42.0</v>
      </c>
      <c r="I58" s="83" t="n">
        <v>33.0</v>
      </c>
      <c r="J58" s="85" t="n">
        <v>164.0</v>
      </c>
      <c r="K58" s="83">
        <f si="3" t="shared"/>
        <v>259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39.186</v>
      </c>
      <c r="E59" s="83">
        <f si="2" t="shared"/>
        <v>39.186</v>
      </c>
      <c r="G59">
        <v>48</v>
      </c>
      <c r="H59" s="83" t="n">
        <v>22.0</v>
      </c>
      <c r="I59" s="83" t="n">
        <v>48.0</v>
      </c>
      <c r="J59" s="85" t="n">
        <v>1041.0</v>
      </c>
      <c r="K59" s="83">
        <f si="3" t="shared"/>
        <v>1211</v>
      </c>
    </row>
    <row r="60" spans="1:11" x14ac:dyDescent="0.25">
      <c r="A60">
        <v>49</v>
      </c>
      <c r="B60" s="83" t="n">
        <v>1297.2364</v>
      </c>
      <c r="C60" s="83" t="n">
        <v>0.0</v>
      </c>
      <c r="D60" s="83" t="n">
        <v>7.803</v>
      </c>
      <c r="E60" s="83">
        <f si="2" t="shared"/>
        <v>1305.0394000000001</v>
      </c>
      <c r="G60">
        <v>49</v>
      </c>
      <c r="H60" s="83" t="n">
        <v>21.0</v>
      </c>
      <c r="I60" s="83" t="n">
        <v>38.0</v>
      </c>
      <c r="J60" s="85" t="n">
        <v>380.0</v>
      </c>
      <c r="K60" s="83">
        <f si="3" t="shared"/>
        <v>524</v>
      </c>
    </row>
    <row r="61" spans="1:11" x14ac:dyDescent="0.25">
      <c r="A61">
        <v>50</v>
      </c>
      <c r="B61" s="83" t="n">
        <v>279.8517</v>
      </c>
      <c r="C61" s="83" t="n">
        <v>0.0</v>
      </c>
      <c r="D61" s="83" t="n">
        <v>39.753</v>
      </c>
      <c r="E61" s="83">
        <f si="2" t="shared"/>
        <v>319.60469999999998</v>
      </c>
      <c r="G61">
        <v>50</v>
      </c>
      <c r="H61" s="83" t="n">
        <v>17.0</v>
      </c>
      <c r="I61" s="83" t="n">
        <v>29.0</v>
      </c>
      <c r="J61" s="85" t="n">
        <v>783.0</v>
      </c>
      <c r="K61" s="83">
        <f si="3" t="shared"/>
        <v>788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si="2" t="shared"/>
        <v>27.320999999999998</v>
      </c>
      <c r="G62">
        <v>51</v>
      </c>
      <c r="H62" s="83" t="n">
        <v>14.0</v>
      </c>
      <c r="I62" s="83" t="n">
        <v>42.0</v>
      </c>
      <c r="J62" s="85" t="n">
        <v>329.0</v>
      </c>
      <c r="K62" s="83">
        <f si="3" t="shared"/>
        <v>314</v>
      </c>
    </row>
    <row r="63" spans="1:11" x14ac:dyDescent="0.25">
      <c r="A63">
        <v>52</v>
      </c>
      <c r="B63" s="83" t="n">
        <v>775.4409</v>
      </c>
      <c r="C63" s="83" t="n">
        <v>0.0</v>
      </c>
      <c r="D63" s="83" t="n">
        <v>0.0</v>
      </c>
      <c r="E63" s="83">
        <f si="2" t="shared"/>
        <v>775.44090000000006</v>
      </c>
      <c r="G63">
        <v>52</v>
      </c>
      <c r="H63" s="83" t="n">
        <v>12.0</v>
      </c>
      <c r="I63" s="83" t="n">
        <v>28.0</v>
      </c>
      <c r="J63" s="85" t="n">
        <v>289.0</v>
      </c>
      <c r="K63" s="83">
        <f si="3" t="shared"/>
        <v>406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227.0372</v>
      </c>
      <c r="E64" s="83">
        <f si="2" t="shared"/>
        <v>227.03720000000001</v>
      </c>
      <c r="G64">
        <v>53</v>
      </c>
      <c r="H64" s="83" t="n">
        <v>6.0</v>
      </c>
      <c r="I64" s="83" t="n">
        <v>12.0</v>
      </c>
      <c r="J64" s="85" t="n">
        <v>964.0</v>
      </c>
      <c r="K64" s="83">
        <f si="3" t="shared"/>
        <v>1152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6.0</v>
      </c>
      <c r="I65" s="83" t="n">
        <v>18.0</v>
      </c>
      <c r="J65" s="85" t="n">
        <v>447.0</v>
      </c>
      <c r="K65" s="83">
        <f si="3" t="shared"/>
        <v>521</v>
      </c>
    </row>
    <row r="66" spans="1:11" x14ac:dyDescent="0.2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si="2" t="shared"/>
        <v>2513.8201999999997</v>
      </c>
      <c r="G66">
        <v>55</v>
      </c>
      <c r="H66" s="83" t="n">
        <v>9.0</v>
      </c>
      <c r="I66" s="83" t="n">
        <v>10.0</v>
      </c>
      <c r="J66" s="85" t="n">
        <v>136.0</v>
      </c>
      <c r="K66" s="83">
        <f si="3" t="shared"/>
        <v>190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4.0</v>
      </c>
      <c r="I67" s="83" t="n">
        <v>8.0</v>
      </c>
      <c r="J67" s="85" t="n">
        <v>146.0</v>
      </c>
      <c r="K67" s="83">
        <f si="3" t="shared"/>
        <v>191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16.64</v>
      </c>
      <c r="E68" s="83">
        <f si="2" t="shared"/>
        <v>16.64</v>
      </c>
      <c r="G68">
        <v>57</v>
      </c>
      <c r="H68" s="83" t="n">
        <v>3.0</v>
      </c>
      <c r="I68" s="83" t="n">
        <v>15.0</v>
      </c>
      <c r="J68" s="85" t="n">
        <v>440.0</v>
      </c>
      <c r="K68" s="83">
        <f si="3" t="shared"/>
        <v>435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16.385</v>
      </c>
      <c r="E69" s="83">
        <f si="2" t="shared"/>
        <v>16.385000000000002</v>
      </c>
      <c r="G69">
        <v>58</v>
      </c>
      <c r="H69" s="83" t="n">
        <v>3.0</v>
      </c>
      <c r="I69" s="83" t="n">
        <v>14.0</v>
      </c>
      <c r="J69" s="85" t="n">
        <v>68.0</v>
      </c>
      <c r="K69" s="83">
        <f si="3" t="shared"/>
        <v>107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4.0</v>
      </c>
      <c r="I70" s="83" t="n">
        <v>9.0</v>
      </c>
      <c r="J70" s="85" t="n">
        <v>133.0</v>
      </c>
      <c r="K70" s="83">
        <f si="3" t="shared"/>
        <v>97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2.0</v>
      </c>
      <c r="I71" s="83" t="n">
        <v>7.0</v>
      </c>
      <c r="J71" s="85" t="n">
        <v>133.0</v>
      </c>
      <c r="K71" s="83">
        <f si="3" t="shared"/>
        <v>279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7.0</v>
      </c>
      <c r="I72" s="83" t="n">
        <v>7.0</v>
      </c>
      <c r="J72" s="85" t="n">
        <v>335.0</v>
      </c>
      <c r="K72" s="83">
        <f si="3" t="shared"/>
        <v>305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si="2" t="shared"/>
        <v>21.709000000000003</v>
      </c>
      <c r="G73">
        <v>62</v>
      </c>
      <c r="H73" s="83" t="n">
        <v>5.0</v>
      </c>
      <c r="I73" s="83" t="n">
        <v>10.0</v>
      </c>
      <c r="J73" s="85" t="n">
        <v>332.0</v>
      </c>
      <c r="K73" s="83">
        <f si="3" t="shared"/>
        <v>531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4.128</v>
      </c>
      <c r="E74" s="83">
        <f si="2" t="shared"/>
        <v>4.1280000000000001</v>
      </c>
      <c r="G74">
        <v>63</v>
      </c>
      <c r="H74" s="83" t="n">
        <v>3.0</v>
      </c>
      <c r="I74" s="83" t="n">
        <v>7.0</v>
      </c>
      <c r="J74" s="85" t="n">
        <v>118.0</v>
      </c>
      <c r="K74" s="83">
        <f si="3" t="shared"/>
        <v>177</v>
      </c>
    </row>
    <row r="75" spans="1:11" x14ac:dyDescent="0.25">
      <c r="A75">
        <v>64</v>
      </c>
      <c r="B75" s="83" t="n">
        <v>0.0</v>
      </c>
      <c r="C75" s="83" t="n">
        <v>78.9631</v>
      </c>
      <c r="D75" s="83" t="n">
        <v>10.791</v>
      </c>
      <c r="E75" s="83">
        <f ref="E75:E101" si="4" t="shared">SUM(B75:D75)</f>
        <v>89.754099999999994</v>
      </c>
      <c r="G75">
        <v>64</v>
      </c>
      <c r="H75" s="83" t="n">
        <v>0.0</v>
      </c>
      <c r="I75" s="83" t="n">
        <v>5.0</v>
      </c>
      <c r="J75" s="85" t="n">
        <v>157.0</v>
      </c>
      <c r="K75" s="83">
        <f ref="K75:K101" si="5" t="shared">SUM(H75:J75)</f>
        <v>219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2.0</v>
      </c>
      <c r="I76" s="83" t="n">
        <v>11.0</v>
      </c>
      <c r="J76" s="85" t="n">
        <v>264.0</v>
      </c>
      <c r="K76" s="83">
        <f si="5" t="shared"/>
        <v>166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275.5614</v>
      </c>
      <c r="E77" s="83">
        <f si="4" t="shared"/>
        <v>275.56139999999999</v>
      </c>
      <c r="G77">
        <v>66</v>
      </c>
      <c r="H77" s="83" t="n">
        <v>1.0</v>
      </c>
      <c r="I77" s="83" t="n">
        <v>4.0</v>
      </c>
      <c r="J77" s="85" t="n">
        <v>102.0</v>
      </c>
      <c r="K77" s="83">
        <f si="5" t="shared"/>
        <v>66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495.275</v>
      </c>
      <c r="E78" s="83">
        <f si="4" t="shared"/>
        <v>495.27499999999998</v>
      </c>
      <c r="G78">
        <v>67</v>
      </c>
      <c r="H78" s="83" t="n">
        <v>2.0</v>
      </c>
      <c r="I78" s="83" t="n">
        <v>3.0</v>
      </c>
      <c r="J78" s="85" t="n">
        <v>53.0</v>
      </c>
      <c r="K78" s="83">
        <f si="5" t="shared"/>
        <v>65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3.0</v>
      </c>
      <c r="J79" s="85" t="n">
        <v>30.0</v>
      </c>
      <c r="K79" s="83">
        <f si="5" t="shared"/>
        <v>65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8.485</v>
      </c>
      <c r="E80" s="83">
        <f si="4" t="shared"/>
        <v>8.4849999999999994</v>
      </c>
      <c r="G80">
        <v>69</v>
      </c>
      <c r="H80" s="83" t="n">
        <v>0.0</v>
      </c>
      <c r="I80" s="83" t="n">
        <v>4.0</v>
      </c>
      <c r="J80" s="85" t="n">
        <v>359.0</v>
      </c>
      <c r="K80" s="83">
        <f si="5" t="shared"/>
        <v>470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6.0</v>
      </c>
      <c r="I81" s="83" t="n">
        <v>7.0</v>
      </c>
      <c r="J81" s="85" t="n">
        <v>119.0</v>
      </c>
      <c r="K81" s="83">
        <f si="5" t="shared"/>
        <v>98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4.0</v>
      </c>
      <c r="I82" s="83" t="n">
        <v>4.0</v>
      </c>
      <c r="J82" s="85" t="n">
        <v>86.0</v>
      </c>
      <c r="K82" s="83">
        <f si="5" t="shared"/>
        <v>52</v>
      </c>
    </row>
    <row r="83" spans="1:11" x14ac:dyDescent="0.2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si="4" t="shared"/>
        <v>653.86899999999991</v>
      </c>
      <c r="G83">
        <v>72</v>
      </c>
      <c r="H83" s="83" t="n">
        <v>0.0</v>
      </c>
      <c r="I83" s="83" t="n">
        <v>0.0</v>
      </c>
      <c r="J83" s="85" t="n">
        <v>14.0</v>
      </c>
      <c r="K83" s="83">
        <f si="5" t="shared"/>
        <v>31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3.0</v>
      </c>
      <c r="I84" s="83" t="n">
        <v>2.0</v>
      </c>
      <c r="J84" s="85" t="n">
        <v>6.0</v>
      </c>
      <c r="K84" s="83">
        <f si="5" t="shared"/>
        <v>17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1.0</v>
      </c>
      <c r="J85" s="85" t="n">
        <v>146.0</v>
      </c>
      <c r="K85" s="83">
        <f si="5" t="shared"/>
        <v>198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3.0</v>
      </c>
      <c r="J86" s="85" t="n">
        <v>18.0</v>
      </c>
      <c r="K86" s="83">
        <f si="5" t="shared"/>
        <v>27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598.7239</v>
      </c>
      <c r="E87" s="83">
        <f si="4" t="shared"/>
        <v>598.72389999999996</v>
      </c>
      <c r="G87">
        <v>76</v>
      </c>
      <c r="H87" s="83" t="n">
        <v>0.0</v>
      </c>
      <c r="I87" s="83" t="n">
        <v>2.0</v>
      </c>
      <c r="J87" s="85" t="n">
        <v>9.0</v>
      </c>
      <c r="K87" s="83">
        <f si="5" t="shared"/>
        <v>66</v>
      </c>
    </row>
    <row r="88" spans="1:11" x14ac:dyDescent="0.25">
      <c r="A88">
        <v>77</v>
      </c>
      <c r="B88" s="83" t="n">
        <v>1031.4047</v>
      </c>
      <c r="C88" s="83" t="n">
        <v>0.0</v>
      </c>
      <c r="D88" s="83" t="n">
        <v>0.0</v>
      </c>
      <c r="E88" s="83">
        <f si="4" t="shared"/>
        <v>1031.4047</v>
      </c>
      <c r="G88">
        <v>77</v>
      </c>
      <c r="H88" s="83" t="n">
        <v>0.0</v>
      </c>
      <c r="I88" s="83" t="n">
        <v>2.0</v>
      </c>
      <c r="J88" s="85" t="n">
        <v>48.0</v>
      </c>
      <c r="K88" s="83">
        <f si="5" t="shared"/>
        <v>44</v>
      </c>
    </row>
    <row r="89" spans="1:11" x14ac:dyDescent="0.25">
      <c r="A89">
        <v>78</v>
      </c>
      <c r="B89" s="83" t="n">
        <v>212.6231</v>
      </c>
      <c r="C89" s="83" t="n">
        <v>0.0</v>
      </c>
      <c r="D89" s="83" t="n">
        <v>0.0</v>
      </c>
      <c r="E89" s="83">
        <f si="4" t="shared"/>
        <v>212.62309999999999</v>
      </c>
      <c r="G89">
        <v>78</v>
      </c>
      <c r="H89" s="83" t="n">
        <v>2.0</v>
      </c>
      <c r="I89" s="83" t="n">
        <v>2.0</v>
      </c>
      <c r="J89" s="85" t="n">
        <v>6.0</v>
      </c>
      <c r="K89" s="83">
        <f si="5" t="shared"/>
        <v>7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1.0</v>
      </c>
      <c r="J90" s="85" t="n">
        <v>3.0</v>
      </c>
      <c r="K90" s="83">
        <f si="5" t="shared"/>
        <v>1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1.0</v>
      </c>
      <c r="I91" s="83" t="n">
        <v>1.0</v>
      </c>
      <c r="J91" s="85" t="n">
        <v>6.0</v>
      </c>
      <c r="K91" s="83">
        <f si="5" t="shared"/>
        <v>9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1.0</v>
      </c>
      <c r="I92" s="83" t="n">
        <v>0.0</v>
      </c>
      <c r="J92" s="85" t="n">
        <v>125.0</v>
      </c>
      <c r="K92" s="83">
        <f si="5" t="shared"/>
        <v>165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5" t="n">
        <v>3.0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5" t="n">
        <v>1.0</v>
      </c>
      <c r="K94" s="83">
        <f si="5" t="shared"/>
        <v>4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11.269</v>
      </c>
      <c r="E95" s="83">
        <f si="4" t="shared"/>
        <v>11.269</v>
      </c>
      <c r="G95">
        <v>84</v>
      </c>
      <c r="H95" s="83" t="n">
        <v>0.0</v>
      </c>
      <c r="I95" s="83" t="n">
        <v>1.0</v>
      </c>
      <c r="J95" s="85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2.0</v>
      </c>
      <c r="I96" s="83" t="n">
        <v>0.0</v>
      </c>
      <c r="J96" s="85" t="n">
        <v>19.0</v>
      </c>
      <c r="K96" s="83">
        <f si="5" t="shared"/>
        <v>23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468.9894</v>
      </c>
      <c r="E97" s="83">
        <f si="4" t="shared"/>
        <v>468.98939999999999</v>
      </c>
      <c r="G97">
        <v>86</v>
      </c>
      <c r="H97" s="83" t="n">
        <v>0.0</v>
      </c>
      <c r="I97" s="83" t="n">
        <v>2.0</v>
      </c>
      <c r="J97" s="85" t="n">
        <v>78.0</v>
      </c>
      <c r="K97" s="83">
        <f si="5" t="shared"/>
        <v>79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13.487</v>
      </c>
      <c r="E98" s="83">
        <f si="4" t="shared"/>
        <v>13.487</v>
      </c>
      <c r="G98">
        <v>87</v>
      </c>
      <c r="H98" s="83" t="n">
        <v>0.0</v>
      </c>
      <c r="I98" s="83" t="n">
        <v>0.0</v>
      </c>
      <c r="J98" s="85" t="n">
        <v>5.0</v>
      </c>
      <c r="K98" s="83">
        <f si="5" t="shared"/>
        <v>12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1.0</v>
      </c>
      <c r="J99" s="85" t="n">
        <v>2.0</v>
      </c>
      <c r="K99" s="83">
        <f si="5" t="shared"/>
        <v>2</v>
      </c>
    </row>
    <row r="100" spans="1:11" x14ac:dyDescent="0.2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si="4" t="shared"/>
        <v>2935.5753</v>
      </c>
      <c r="G100">
        <v>89</v>
      </c>
      <c r="H100" s="83" t="n">
        <v>2.0</v>
      </c>
      <c r="I100" s="83" t="n">
        <v>2.0</v>
      </c>
      <c r="J100" s="85" t="n">
        <v>16.0</v>
      </c>
      <c r="K100" s="83">
        <f si="5" t="shared"/>
        <v>24</v>
      </c>
    </row>
    <row ht="15.75" r="101" spans="1:11" thickBot="1" x14ac:dyDescent="0.3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si="4" t="shared"/>
        <v>101200.0551</v>
      </c>
      <c r="G101" s="1">
        <v>90</v>
      </c>
      <c r="H101" s="84" t="n">
        <v>47209.0</v>
      </c>
      <c r="I101" s="84" t="n">
        <v>0.0</v>
      </c>
      <c r="J101" s="84" t="n">
        <v>0.0</v>
      </c>
      <c r="K101" s="84">
        <f si="5" t="shared"/>
        <v>46926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2961.9232000000002</v>
      </c>
      <c r="C11" s="13">
        <f>SUM(TDFD!C11:C15)</f>
        <v>0</v>
      </c>
      <c r="D11" s="13">
        <f>SUM(TDFD!D11:D15)</f>
        <v>125.91</v>
      </c>
      <c r="E11" s="13">
        <f>SUM(TDFD!E11:E15)</f>
        <v>3087.8332</v>
      </c>
      <c r="H11" t="s">
        <v>15</v>
      </c>
      <c r="I11" s="13">
        <f>SUM(TDFD!H11:H15)</f>
        <v>80380</v>
      </c>
      <c r="J11" s="13">
        <f>SUM(TDFD!I11:I15)</f>
        <v>11814</v>
      </c>
      <c r="K11" s="13">
        <f>SUM(TDFD!J11:J15)</f>
        <v>24246</v>
      </c>
      <c r="L11" s="13">
        <f>SUM(TDFD!K11:K15)</f>
        <v>116440</v>
      </c>
    </row>
    <row r="12" spans="1:12" x14ac:dyDescent="0.25">
      <c r="A12" t="s">
        <v>16</v>
      </c>
      <c r="B12" s="13">
        <f>SUM(TDFD!B16:B20)</f>
        <v>20544.324700000001</v>
      </c>
      <c r="C12" s="13">
        <f>SUM(TDFD!C16:C20)</f>
        <v>411.51729999999998</v>
      </c>
      <c r="D12" s="13">
        <f>SUM(TDFD!D16:D20)</f>
        <v>7910.6317000000008</v>
      </c>
      <c r="E12" s="13">
        <f>SUM(TDFD!E16:E20)</f>
        <v>28866.473700000002</v>
      </c>
      <c r="H12" t="s">
        <v>16</v>
      </c>
      <c r="I12" s="13">
        <f>SUM(TDFD!H16:H20)</f>
        <v>54220</v>
      </c>
      <c r="J12" s="13">
        <f>SUM(TDFD!I16:I20)</f>
        <v>7057</v>
      </c>
      <c r="K12" s="13">
        <f>SUM(TDFD!J16:J20)</f>
        <v>8695</v>
      </c>
      <c r="L12" s="13">
        <f>SUM(TDFD!K16:K20)</f>
        <v>69972</v>
      </c>
    </row>
    <row r="13" spans="1:12" x14ac:dyDescent="0.25">
      <c r="A13" t="s">
        <v>17</v>
      </c>
      <c r="B13" s="13">
        <f>SUM(TDFD!B21:B25)</f>
        <v>41722.167099999999</v>
      </c>
      <c r="C13" s="13">
        <f>SUM(TDFD!C21:C25)</f>
        <v>2772.1957000000002</v>
      </c>
      <c r="D13" s="13">
        <f>SUM(TDFD!D21:D25)</f>
        <v>3004.9782</v>
      </c>
      <c r="E13" s="13">
        <f>SUM(TDFD!E21:E25)</f>
        <v>47499.341</v>
      </c>
      <c r="H13" t="s">
        <v>17</v>
      </c>
      <c r="I13" s="13">
        <f>SUM(TDFD!H21:H25)</f>
        <v>28905</v>
      </c>
      <c r="J13" s="13">
        <f>SUM(TDFD!I21:I25)</f>
        <v>4189</v>
      </c>
      <c r="K13" s="13">
        <f>SUM(TDFD!J21:J25)</f>
        <v>3278</v>
      </c>
      <c r="L13" s="13">
        <f>SUM(TDFD!K21:K25)</f>
        <v>36372</v>
      </c>
    </row>
    <row r="14" spans="1:12" x14ac:dyDescent="0.25">
      <c r="A14" t="s">
        <v>18</v>
      </c>
      <c r="B14" s="13">
        <f>SUM(TDFD!B26:B30)</f>
        <v>93194.971300000005</v>
      </c>
      <c r="C14" s="13">
        <f>SUM(TDFD!C26:C30)</f>
        <v>13111.855800000001</v>
      </c>
      <c r="D14" s="13">
        <f>SUM(TDFD!D26:D30)</f>
        <v>11358.299899999998</v>
      </c>
      <c r="E14" s="13">
        <f>SUM(TDFD!E26:E30)</f>
        <v>117665.12700000001</v>
      </c>
      <c r="H14" t="s">
        <v>18</v>
      </c>
      <c r="I14" s="13">
        <f>SUM(TDFD!H26:H30)</f>
        <v>75671</v>
      </c>
      <c r="J14" s="13">
        <f>SUM(TDFD!I26:I30)</f>
        <v>14399</v>
      </c>
      <c r="K14" s="13">
        <f>SUM(TDFD!J26:J30)</f>
        <v>17089</v>
      </c>
      <c r="L14" s="13">
        <f>SUM(TDFD!K26:K30)</f>
        <v>107159</v>
      </c>
    </row>
    <row r="15" spans="1:12" x14ac:dyDescent="0.25">
      <c r="A15" t="s">
        <v>19</v>
      </c>
      <c r="B15" s="13">
        <f>SUM(TDFD!B31:B35)</f>
        <v>99413.063299999994</v>
      </c>
      <c r="C15" s="13">
        <f>SUM(TDFD!C31:C35)</f>
        <v>12622.574100000002</v>
      </c>
      <c r="D15" s="13">
        <f>SUM(TDFD!D31:D35)</f>
        <v>14962.082899999999</v>
      </c>
      <c r="E15" s="13">
        <f>SUM(TDFD!E31:E35)</f>
        <v>126997.72029999999</v>
      </c>
      <c r="H15" t="s">
        <v>19</v>
      </c>
      <c r="I15" s="13">
        <f>SUM(TDFD!H31:H35)</f>
        <v>50107</v>
      </c>
      <c r="J15" s="13">
        <f>SUM(TDFD!I31:I35)</f>
        <v>12437</v>
      </c>
      <c r="K15" s="13">
        <f>SUM(TDFD!J31:J35)</f>
        <v>34431</v>
      </c>
      <c r="L15" s="13">
        <f>SUM(TDFD!K31:K35)</f>
        <v>96975</v>
      </c>
    </row>
    <row r="16" spans="1:12" x14ac:dyDescent="0.25">
      <c r="A16" t="s">
        <v>20</v>
      </c>
      <c r="B16" s="13">
        <f>SUM(TDFD!B36:B40)</f>
        <v>66736.737299999993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86833.428799999994</v>
      </c>
      <c r="H16" t="s">
        <v>20</v>
      </c>
      <c r="I16" s="13">
        <f>SUM(TDFD!H36:H40)</f>
        <v>18777</v>
      </c>
      <c r="J16" s="13">
        <f>SUM(TDFD!I36:I40)</f>
        <v>6207</v>
      </c>
      <c r="K16" s="13">
        <f>SUM(TDFD!J36:J40)</f>
        <v>23995</v>
      </c>
      <c r="L16" s="13">
        <f>SUM(TDFD!K36:K40)</f>
        <v>48979</v>
      </c>
    </row>
    <row r="17" spans="1:12" x14ac:dyDescent="0.25">
      <c r="A17" t="s">
        <v>21</v>
      </c>
      <c r="B17" s="13">
        <f>SUM(TDFD!B41:B45)</f>
        <v>39804.732000000004</v>
      </c>
      <c r="C17" s="13">
        <f>SUM(TDFD!C41:C45)</f>
        <v>7960.3927999999996</v>
      </c>
      <c r="D17" s="13">
        <f>SUM(TDFD!D41:D45)</f>
        <v>5520.8100999999997</v>
      </c>
      <c r="E17" s="13">
        <f>SUM(TDFD!E41:E45)</f>
        <v>53285.9349</v>
      </c>
      <c r="H17" t="s">
        <v>21</v>
      </c>
      <c r="I17" s="13">
        <f>SUM(TDFD!H41:H45)</f>
        <v>14072</v>
      </c>
      <c r="J17" s="13">
        <f>SUM(TDFD!I41:I45)</f>
        <v>4094</v>
      </c>
      <c r="K17" s="13">
        <f>SUM(TDFD!J41:J45)</f>
        <v>15622</v>
      </c>
      <c r="L17" s="13">
        <f>SUM(TDFD!K41:K45)</f>
        <v>33788</v>
      </c>
    </row>
    <row r="18" spans="1:12" x14ac:dyDescent="0.25">
      <c r="A18" t="s">
        <v>22</v>
      </c>
      <c r="B18" s="13">
        <f>SUM(TDFD!B46:B50)</f>
        <v>9205.6002000000008</v>
      </c>
      <c r="C18" s="13">
        <f>SUM(TDFD!C46:C50)</f>
        <v>3443.2061000000003</v>
      </c>
      <c r="D18" s="13">
        <f>SUM(TDFD!D46:D50)</f>
        <v>4098.5029999999997</v>
      </c>
      <c r="E18" s="13">
        <f>SUM(TDFD!E46:E50)</f>
        <v>16747.309300000001</v>
      </c>
      <c r="H18" t="s">
        <v>22</v>
      </c>
      <c r="I18" s="13">
        <f>SUM(TDFD!H46:H50)</f>
        <v>3405</v>
      </c>
      <c r="J18" s="13">
        <f>SUM(TDFD!I46:I50)</f>
        <v>1724</v>
      </c>
      <c r="K18" s="13">
        <f>SUM(TDFD!J46:J50)</f>
        <v>8197</v>
      </c>
      <c r="L18" s="13">
        <f>SUM(TDFD!K46:K50)</f>
        <v>13326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309.84730000000002</v>
      </c>
      <c r="D19" s="13">
        <f>SUM(TDFD!D51:D55)</f>
        <v>1968.4189000000001</v>
      </c>
      <c r="E19" s="13">
        <f>SUM(TDFD!E51:E55)</f>
        <v>8034.2382000000007</v>
      </c>
      <c r="H19" t="s">
        <v>23</v>
      </c>
      <c r="I19" s="13">
        <f>SUM(TDFD!H51:H55)</f>
        <v>480</v>
      </c>
      <c r="J19" s="13">
        <f>SUM(TDFD!I51:I55)</f>
        <v>460</v>
      </c>
      <c r="K19" s="13">
        <f>SUM(TDFD!J51:J55)</f>
        <v>3389</v>
      </c>
      <c r="L19" s="13">
        <f>SUM(TDFD!K51:K55)</f>
        <v>4329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5136.6148999999996</v>
      </c>
      <c r="E20" s="13">
        <f>SUM(TDFD!E56:E70)</f>
        <v>28429.762200000001</v>
      </c>
      <c r="H20" t="s">
        <v>24</v>
      </c>
      <c r="I20" s="13">
        <f>SUM(TDFD!H56:H70)</f>
        <v>266</v>
      </c>
      <c r="J20" s="13">
        <f>SUM(TDFD!I56:I70)</f>
        <v>484</v>
      </c>
      <c r="K20" s="13">
        <f>SUM(TDFD!J56:J70)</f>
        <v>9209</v>
      </c>
      <c r="L20" s="13">
        <f>SUM(TDFD!K56:K70)</f>
        <v>9959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42</v>
      </c>
      <c r="J21" s="13">
        <f>SUM(TDFD!I71:I100)</f>
        <v>73</v>
      </c>
      <c r="K21" s="13">
        <f>SUM(TDFD!J71:J100)</f>
        <v>3087</v>
      </c>
      <c r="L21" s="13">
        <f>SUM(TDFD!K71:K100)</f>
        <v>3202</v>
      </c>
    </row>
    <row ht="15.75" r="22" spans="1:12" thickBot="1" x14ac:dyDescent="0.3">
      <c r="A22" s="1" t="s">
        <v>26</v>
      </c>
      <c r="B22" s="14">
        <f>TDFD!B101</f>
        <v>51330.931199999999</v>
      </c>
      <c r="C22" s="14">
        <f>TDFD!C101</f>
        <v>10417.5607</v>
      </c>
      <c r="D22" s="14">
        <f>TDFD!D101</f>
        <v>39451.563199999997</v>
      </c>
      <c r="E22" s="14">
        <f>TDFD!E101</f>
        <v>101200.0551</v>
      </c>
      <c r="H22" s="1" t="s">
        <v>26</v>
      </c>
      <c r="I22" s="14">
        <f>TDFD!H101</f>
        <v>46926</v>
      </c>
      <c r="J22" s="14">
        <f>TDFD!I101</f>
        <v>0</v>
      </c>
      <c r="K22" s="14">
        <f>TDFD!J101</f>
        <v>0</v>
      </c>
      <c r="L22" s="14">
        <f>TDFD!K101</f>
        <v>46926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0.0</v>
      </c>
      <c r="C7" s="20" t="n">
        <v>0.0</v>
      </c>
      <c r="D7" s="20" t="n">
        <v>0.0</v>
      </c>
      <c r="E7" s="20" t="n">
        <v>0.0</v>
      </c>
      <c r="F7" s="20" t="n">
        <v>0.0</v>
      </c>
      <c r="G7" s="20" t="n">
        <v>0.0</v>
      </c>
      <c r="H7" s="20" t="n">
        <v>0.0</v>
      </c>
      <c r="I7" s="20">
        <v>7878.4522999999999</v>
      </c>
      <c r="J7" s="20">
        <f>SUM(B7:I7)</f>
        <v>7878.4522999999999</v>
      </c>
      <c r="K7" s="20"/>
      <c r="L7" t="str">
        <f>$A$7</f>
        <v>Bellevue</v>
      </c>
      <c r="M7" s="20" t="n">
        <v>1.0</v>
      </c>
      <c r="N7" s="20" t="n">
        <v>0.0</v>
      </c>
      <c r="O7" s="20" t="n">
        <v>0.0</v>
      </c>
      <c r="P7" s="20" t="n">
        <v>0.0</v>
      </c>
      <c r="Q7" s="20" t="n">
        <v>1.0</v>
      </c>
      <c r="R7" s="20" t="n">
        <v>0.0</v>
      </c>
      <c r="S7" s="20" t="n">
        <v>1.0</v>
      </c>
      <c r="T7" s="20">
        <v>2344.5</v>
      </c>
      <c r="U7" s="20">
        <f>SUM(M7:T7)</f>
        <v>2352.5</v>
      </c>
    </row>
    <row r="8" spans="1:22" x14ac:dyDescent="0.25">
      <c r="A8" t="s">
        <v>255</v>
      </c>
      <c r="B8" s="21" t="n">
        <v>0.0</v>
      </c>
      <c r="C8" s="21" t="n">
        <v>0.0</v>
      </c>
      <c r="D8" s="21" t="n">
        <v>0.0</v>
      </c>
      <c r="E8" s="21" t="n">
        <v>0.0</v>
      </c>
      <c r="F8" s="21" t="n">
        <v>0.0</v>
      </c>
      <c r="G8" s="21" t="n">
        <v>0.0</v>
      </c>
      <c r="H8" s="21" t="n">
        <v>0.0</v>
      </c>
      <c r="I8" s="21">
        <v>4018.4690000000001</v>
      </c>
      <c r="J8" s="21">
        <f ref="J8:J12" si="0" t="shared">SUM(B8:I8)</f>
        <v>4018.4690000000001</v>
      </c>
      <c r="K8" s="20"/>
      <c r="L8" s="7" t="str">
        <f>$A$8</f>
        <v>Bellevue Downtown</v>
      </c>
      <c r="M8" s="21" t="n">
        <v>1.0</v>
      </c>
      <c r="N8" s="21" t="n">
        <v>0.0</v>
      </c>
      <c r="O8" s="21" t="n">
        <v>0.0</v>
      </c>
      <c r="P8" s="21" t="n">
        <v>0.0</v>
      </c>
      <c r="Q8" s="21" t="n">
        <v>1.0</v>
      </c>
      <c r="R8" s="21" t="n">
        <v>0.0</v>
      </c>
      <c r="S8" s="21" t="n">
        <v>0.0</v>
      </c>
      <c r="T8" s="21">
        <v>1069.8725374786757</v>
      </c>
      <c r="U8" s="21">
        <f>SUM(M8:T8)</f>
        <v>1072.8725374786757</v>
      </c>
    </row>
    <row r="9" spans="1:22" x14ac:dyDescent="0.25">
      <c r="A9" t="s">
        <v>256</v>
      </c>
      <c r="B9" s="21" t="n">
        <v>0.0</v>
      </c>
      <c r="C9" s="21" t="n">
        <v>0.0</v>
      </c>
      <c r="D9" s="21" t="n">
        <v>0.0</v>
      </c>
      <c r="E9" s="21" t="n">
        <v>0.0</v>
      </c>
      <c r="F9" s="21" t="n">
        <v>0.0</v>
      </c>
      <c r="G9" s="21" t="n">
        <v>0.0</v>
      </c>
      <c r="H9" s="21" t="n">
        <v>0.0</v>
      </c>
      <c r="I9" s="21">
        <v>28396.036</v>
      </c>
      <c r="J9" s="21">
        <f si="0" t="shared"/>
        <v>28396.036</v>
      </c>
      <c r="K9" s="20"/>
      <c r="L9" s="7" t="str">
        <f>$A$9</f>
        <v>Kirkland</v>
      </c>
      <c r="M9" s="21" t="n">
        <v>0.0</v>
      </c>
      <c r="N9" s="21" t="n">
        <v>0.0</v>
      </c>
      <c r="O9" s="21" t="n">
        <v>7.0</v>
      </c>
      <c r="P9" s="21" t="n">
        <v>0.0</v>
      </c>
      <c r="Q9" s="21" t="n">
        <v>2.0</v>
      </c>
      <c r="R9" s="21" t="n">
        <v>0.0</v>
      </c>
      <c r="S9" s="21" t="n">
        <v>0.0</v>
      </c>
      <c r="T9" s="21">
        <v>5418.9547298933257</v>
      </c>
      <c r="U9" s="21">
        <f>SUM(M9:T9)</f>
        <v>5420.9547298933257</v>
      </c>
      <c r="V9" s="7"/>
    </row>
    <row r="10" spans="1:22" x14ac:dyDescent="0.25">
      <c r="A10" t="s">
        <v>257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v>20922.748800000001</v>
      </c>
      <c r="J10" s="21">
        <f si="0" t="shared"/>
        <v>20922.748800000001</v>
      </c>
      <c r="K10" s="20"/>
      <c r="L10" s="7" t="str">
        <f>$A$10</f>
        <v>Redmond</v>
      </c>
      <c r="M10" s="21" t="n">
        <v>2.0</v>
      </c>
      <c r="N10" s="21" t="n">
        <v>0.0</v>
      </c>
      <c r="O10" s="21" t="n">
        <v>1.0</v>
      </c>
      <c r="P10" s="21" t="n">
        <v>0.0</v>
      </c>
      <c r="Q10" s="21" t="n">
        <v>0.0</v>
      </c>
      <c r="R10" s="21" t="n">
        <v>0.0</v>
      </c>
      <c r="S10" s="21" t="n">
        <v>0.0</v>
      </c>
      <c r="T10" s="21">
        <v>5838.2308904845268</v>
      </c>
      <c r="U10" s="21">
        <f ref="U10:U13" si="1" t="shared">SUM(M10:T10)</f>
        <v>5842.2308904845268</v>
      </c>
      <c r="V10" s="7"/>
    </row>
    <row r="11" spans="1:22" x14ac:dyDescent="0.2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si="0" t="shared"/>
        <v>112619.321</v>
      </c>
      <c r="K11" s="20"/>
      <c r="L11" s="7" t="str">
        <f>$A$11</f>
        <v>Seattle</v>
      </c>
      <c r="M11" s="21" t="n">
        <v>67.0</v>
      </c>
      <c r="N11" s="21" t="n">
        <v>1.0</v>
      </c>
      <c r="O11" s="21" t="n">
        <v>36.0</v>
      </c>
      <c r="P11" s="21" t="n">
        <v>2.0</v>
      </c>
      <c r="Q11" s="21" t="n">
        <v>83477.0</v>
      </c>
      <c r="R11" s="21" t="n">
        <v>4601.0</v>
      </c>
      <c r="S11" s="21" t="n">
        <v>4446.0</v>
      </c>
      <c r="T11" s="21">
        <v>2309.1428943957899</v>
      </c>
      <c r="U11" s="21">
        <f si="1" t="shared"/>
        <v>93355.142894395787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si="0" t="shared"/>
        <v>34219.062399999995</v>
      </c>
      <c r="K12" s="20"/>
      <c r="L12" s="7" t="str">
        <f>$A$12</f>
        <v>Seattle Downtown</v>
      </c>
      <c r="M12" s="21" t="n">
        <v>15.0</v>
      </c>
      <c r="N12" s="21" t="n">
        <v>0.0</v>
      </c>
      <c r="O12" s="21" t="n">
        <v>1.0</v>
      </c>
      <c r="P12" s="21" t="n">
        <v>0.0</v>
      </c>
      <c r="Q12" s="21" t="n">
        <v>2901.0</v>
      </c>
      <c r="R12" s="21" t="n">
        <v>2517.0</v>
      </c>
      <c r="S12" s="21" t="n">
        <v>23.0</v>
      </c>
      <c r="T12" s="21">
        <v>4066.7245950088954</v>
      </c>
      <c r="U12" s="21">
        <f si="1" t="shared"/>
        <v>9506.7245950088945</v>
      </c>
      <c r="V12" s="7"/>
    </row>
    <row r="13" spans="1:22" x14ac:dyDescent="0.2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1072.0</v>
      </c>
      <c r="N13" s="21" t="n">
        <v>8.0</v>
      </c>
      <c r="O13" s="21" t="n">
        <v>877.0</v>
      </c>
      <c r="P13" s="21" t="n">
        <v>69.0</v>
      </c>
      <c r="Q13" s="21" t="n">
        <v>22680.0</v>
      </c>
      <c r="R13" s="21" t="n">
        <v>2734.0</v>
      </c>
      <c r="S13" s="21" t="n">
        <v>421430.0</v>
      </c>
      <c r="T13" s="21"/>
      <c r="U13" s="21">
        <f si="1" t="shared"/>
        <v>443998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6599.8289999999997</v>
      </c>
      <c r="C15" s="53">
        <f si="2" t="shared"/>
        <v>19.176000000000002</v>
      </c>
      <c r="D15" s="53">
        <f si="2" t="shared"/>
        <v>10622.130799999999</v>
      </c>
      <c r="E15" s="53">
        <f si="2" t="shared"/>
        <v>2213.6704000000004</v>
      </c>
      <c r="F15" s="53">
        <f si="2" t="shared"/>
        <v>104476.4857</v>
      </c>
      <c r="G15" s="53">
        <f si="2" t="shared"/>
        <v>3555.7980000000002</v>
      </c>
      <c r="H15" s="53"/>
      <c r="I15" s="53">
        <f>SUM(I7:I13)</f>
        <v>109078.5074</v>
      </c>
      <c r="J15" s="53">
        <f>SUM(J7:J13)</f>
        <v>638158.82810000004</v>
      </c>
      <c r="K15" s="20"/>
      <c r="L15" s="53" t="s">
        <v>3</v>
      </c>
      <c r="M15" s="53">
        <f ref="M15:S15" si="3" t="shared">SUM(M7:M13)</f>
        <v>1423</v>
      </c>
      <c r="N15" s="53">
        <f si="3" t="shared"/>
        <v>1</v>
      </c>
      <c r="O15" s="53">
        <f si="3" t="shared"/>
        <v>978</v>
      </c>
      <c r="P15" s="53">
        <f si="3" t="shared"/>
        <v>68</v>
      </c>
      <c r="Q15" s="53">
        <f si="3" t="shared"/>
        <v>108457</v>
      </c>
      <c r="R15" s="53">
        <f si="3" t="shared"/>
        <v>9978</v>
      </c>
      <c r="S15" s="53">
        <f si="3" t="shared"/>
        <v>419596</v>
      </c>
      <c r="T15" s="53">
        <f>SUM(T7:T13)</f>
        <v>21047.425647261214</v>
      </c>
      <c r="U15" s="53">
        <f>SUM(U7:U13)</f>
        <v>561548.4256472612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0</v>
      </c>
      <c r="C20" s="20">
        <f si="4" t="shared"/>
        <v>0</v>
      </c>
      <c r="D20" s="20">
        <f si="4" t="shared"/>
        <v>0</v>
      </c>
      <c r="E20" s="20">
        <f si="4" t="shared"/>
        <v>0</v>
      </c>
      <c r="F20" s="20">
        <f si="4" t="shared"/>
        <v>0</v>
      </c>
      <c r="G20" s="20">
        <f si="4" t="shared"/>
        <v>0</v>
      </c>
      <c r="H20" s="20">
        <f ref="H20" si="5" t="shared">($U7/$J7)*H7</f>
        <v>0</v>
      </c>
      <c r="I20" s="20">
        <f ref="I20:J26" si="6" t="shared">($U7/$J7)*I7</f>
        <v>2352.5</v>
      </c>
      <c r="J20" s="20">
        <f si="6" t="shared"/>
        <v>2352.5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0</v>
      </c>
      <c r="C21" s="20">
        <f si="4" t="shared"/>
        <v>0</v>
      </c>
      <c r="D21" s="20">
        <f si="4" t="shared"/>
        <v>0</v>
      </c>
      <c r="E21" s="20">
        <f si="4" t="shared"/>
        <v>0</v>
      </c>
      <c r="F21" s="20">
        <f si="4" t="shared"/>
        <v>0</v>
      </c>
      <c r="G21" s="20">
        <f si="4" t="shared"/>
        <v>0</v>
      </c>
      <c r="H21" s="20">
        <f ref="H21" si="7" t="shared">($U8/$J8)*H8</f>
        <v>0</v>
      </c>
      <c r="I21" s="20">
        <f si="6" t="shared"/>
        <v>1072.8725374786757</v>
      </c>
      <c r="J21" s="20">
        <f si="6" t="shared"/>
        <v>1072.8725374786757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0</v>
      </c>
      <c r="C22" s="20">
        <f si="4" t="shared"/>
        <v>0</v>
      </c>
      <c r="D22" s="20">
        <f si="4" t="shared"/>
        <v>0</v>
      </c>
      <c r="E22" s="20">
        <f si="4" t="shared"/>
        <v>0</v>
      </c>
      <c r="F22" s="20">
        <f si="4" t="shared"/>
        <v>0</v>
      </c>
      <c r="G22" s="20">
        <f si="4" t="shared"/>
        <v>0</v>
      </c>
      <c r="H22" s="20">
        <f ref="H22" si="8" t="shared">($U9/$J9)*H9</f>
        <v>0</v>
      </c>
      <c r="I22" s="20">
        <f si="6" t="shared"/>
        <v>5420.9547298933257</v>
      </c>
      <c r="J22" s="20">
        <f si="6" t="shared"/>
        <v>5420.9547298933257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0</v>
      </c>
      <c r="C23" s="20">
        <f si="4" t="shared"/>
        <v>0</v>
      </c>
      <c r="D23" s="20">
        <f si="4" t="shared"/>
        <v>0</v>
      </c>
      <c r="E23" s="20">
        <f si="4" t="shared"/>
        <v>0</v>
      </c>
      <c r="F23" s="20">
        <f si="4" t="shared"/>
        <v>0</v>
      </c>
      <c r="G23" s="20">
        <f si="4" t="shared"/>
        <v>0</v>
      </c>
      <c r="H23" s="20">
        <f ref="H23" si="9" t="shared">($U10/$J10)*H10</f>
        <v>0</v>
      </c>
      <c r="I23" s="20">
        <f si="6" t="shared"/>
        <v>5842.2308904845268</v>
      </c>
      <c r="J23" s="20">
        <f si="6" t="shared"/>
        <v>5842.2308904845268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292.12833953179586</v>
      </c>
      <c r="C24" s="20">
        <f si="4" t="shared"/>
        <v>15.895835672308252</v>
      </c>
      <c r="D24" s="20">
        <f si="4" t="shared"/>
        <v>585.60669773150585</v>
      </c>
      <c r="E24" s="20">
        <f si="4" t="shared"/>
        <v>3.6829994728861886</v>
      </c>
      <c r="F24" s="20">
        <f si="4" t="shared"/>
        <v>74057.221881717836</v>
      </c>
      <c r="G24" s="20">
        <f si="4" t="shared"/>
        <v>2218.7478886405506</v>
      </c>
      <c r="H24" s="20">
        <f ref="H24" si="10" t="shared">($U11/$J11)*H11</f>
        <v>2688.2481730545701</v>
      </c>
      <c r="I24" s="20">
        <f si="6" t="shared"/>
        <v>13493.611078574342</v>
      </c>
      <c r="J24" s="20">
        <f si="6" t="shared"/>
        <v>93355.142894395787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509.84674672117973</v>
      </c>
      <c r="G25" s="20">
        <f si="4" t="shared"/>
        <v>222.02124545838836</v>
      </c>
      <c r="H25" s="20">
        <f ref="H25:H26" si="11" t="shared">($U12/$J12)*H12</f>
        <v>0</v>
      </c>
      <c r="I25" s="20">
        <f si="6" t="shared"/>
        <v>8774.856602829328</v>
      </c>
      <c r="J25" s="20">
        <f si="6" t="shared"/>
        <v>9506.7245950088945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si="4" t="shared"/>
        <v>6449.2232887066366</v>
      </c>
      <c r="C26" s="20">
        <f si="4" t="shared"/>
        <v>0</v>
      </c>
      <c r="D26" s="20">
        <f si="4" t="shared"/>
        <v>10235.978778021303</v>
      </c>
      <c r="E26" s="20">
        <f si="4" t="shared"/>
        <v>2280.5899566185349</v>
      </c>
      <c r="F26" s="20">
        <f si="4" t="shared"/>
        <v>13731.795937434485</v>
      </c>
      <c r="G26" s="20">
        <f si="4" t="shared"/>
        <v>82.632681568879605</v>
      </c>
      <c r="H26" s="20">
        <f si="11" t="shared"/>
        <v>411217.7793576502</v>
      </c>
      <c r="I26" s="20">
        <f si="6" t="shared"/>
        <v>0</v>
      </c>
      <c r="J26" s="20">
        <f si="6" t="shared"/>
        <v>443998.00000000006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5807.5253703305116</v>
      </c>
      <c r="C28" s="24">
        <f si="13" t="shared"/>
        <v>16.873938173467511</v>
      </c>
      <c r="D28" s="24">
        <f si="13" t="shared"/>
        <v>9346.953399545524</v>
      </c>
      <c r="E28" s="24">
        <f si="13" t="shared"/>
        <v>1947.9212278908583</v>
      </c>
      <c r="F28" s="24">
        <f si="13" t="shared"/>
        <v>91934.176068156157</v>
      </c>
      <c r="G28" s="24">
        <f si="13" t="shared"/>
        <v>3128.9275974832826</v>
      </c>
      <c r="H28" s="24">
        <f si="13" t="shared"/>
        <v>0</v>
      </c>
      <c r="I28" s="24">
        <f>($U15/$J15)*I15</f>
        <v>95983.729136510126</v>
      </c>
      <c r="J28" s="24">
        <f>($U15/$J15)*J15</f>
        <v>561548.4256472612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0</v>
      </c>
      <c r="C33" s="26">
        <f si="14" t="shared"/>
        <v>0</v>
      </c>
      <c r="D33" s="26">
        <f si="14" t="shared"/>
        <v>0</v>
      </c>
      <c r="E33" s="26">
        <f si="14" t="shared"/>
        <v>0</v>
      </c>
      <c r="F33" s="26">
        <f si="14" t="shared"/>
        <v>0</v>
      </c>
      <c r="G33" s="26">
        <f si="14" t="shared"/>
        <v>0</v>
      </c>
      <c r="H33" s="26">
        <f ref="H33" si="15" t="shared">H20/$J$28</f>
        <v>0</v>
      </c>
      <c r="I33" s="26">
        <f ref="I33:J39" si="16" t="shared">I20/$J$28</f>
        <v>4.1893092252701493E-3</v>
      </c>
      <c r="J33" s="26">
        <f si="16" t="shared"/>
        <v>4.1893092252701493E-3</v>
      </c>
      <c r="L33" t="str">
        <f>$A$7</f>
        <v>Bellevue</v>
      </c>
      <c r="M33" s="26">
        <f ref="M33:U39" si="17" t="shared">M7/$U$15</f>
        <v>8.903951594623059E-6</v>
      </c>
      <c r="N33" s="26">
        <f si="17" t="shared"/>
        <v>0</v>
      </c>
      <c r="O33" s="26">
        <f si="17" t="shared"/>
        <v>1.7807903189246118E-6</v>
      </c>
      <c r="P33" s="26">
        <f si="17" t="shared"/>
        <v>0</v>
      </c>
      <c r="Q33" s="26">
        <f si="17" t="shared"/>
        <v>3.5615806378492237E-6</v>
      </c>
      <c r="R33" s="26">
        <f si="17" t="shared"/>
        <v>0</v>
      </c>
      <c r="S33" s="26">
        <f ref="S33" si="18" t="shared">S7/$U$15</f>
        <v>0</v>
      </c>
      <c r="T33" s="26">
        <f ref="T33:U38" si="19" t="shared">T7/$U$15</f>
        <v>4.1750629027187524E-3</v>
      </c>
      <c r="U33" s="26">
        <f si="19" t="shared"/>
        <v>4.1893092252701493E-3</v>
      </c>
      <c r="W33" t="str">
        <f>$A$7</f>
        <v>Bellevue</v>
      </c>
      <c r="X33" s="26">
        <f ref="X33:Z35" si="20" t="shared">M33-B33</f>
        <v>8.903951594623059E-6</v>
      </c>
      <c r="Y33" s="26">
        <f si="20" t="shared"/>
        <v>0</v>
      </c>
      <c r="Z33" s="26">
        <f si="20" t="shared"/>
        <v>1.7807903189246118E-6</v>
      </c>
      <c r="AA33" s="26">
        <f ref="AA33:AA35" si="21" t="shared">P33-E33</f>
        <v>0</v>
      </c>
      <c r="AB33" s="26">
        <f ref="AB33:AB35" si="22" t="shared">Q33-F33</f>
        <v>3.5615806378492237E-6</v>
      </c>
      <c r="AC33" s="26">
        <f ref="AC33:AD40" si="23" t="shared">R33-G33</f>
        <v>0</v>
      </c>
      <c r="AD33" s="26">
        <f si="23" t="shared"/>
        <v>0</v>
      </c>
      <c r="AE33" s="26">
        <f ref="AE33:AF35" si="24" t="shared">T33-I33</f>
        <v>-1.4246322551396927E-5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0</v>
      </c>
      <c r="C34" s="26">
        <f si="14" t="shared"/>
        <v>0</v>
      </c>
      <c r="D34" s="26">
        <f si="14" t="shared"/>
        <v>0</v>
      </c>
      <c r="E34" s="26">
        <f si="14" t="shared"/>
        <v>0</v>
      </c>
      <c r="F34" s="26">
        <f si="14" t="shared"/>
        <v>0</v>
      </c>
      <c r="G34" s="26">
        <f si="14" t="shared"/>
        <v>0</v>
      </c>
      <c r="H34" s="26">
        <f ref="H34" si="25" t="shared">H21/$J$28</f>
        <v>0</v>
      </c>
      <c r="I34" s="26">
        <f si="16" t="shared"/>
        <v>1.9105610281821084E-3</v>
      </c>
      <c r="J34" s="26">
        <f si="16" t="shared"/>
        <v>1.9105610281821084E-3</v>
      </c>
      <c r="L34" t="str">
        <f>$A$8</f>
        <v>Bellevue Downtown</v>
      </c>
      <c r="M34" s="26">
        <f si="17" t="shared"/>
        <v>1.7807903189246118E-6</v>
      </c>
      <c r="N34" s="26">
        <f si="17" t="shared"/>
        <v>0</v>
      </c>
      <c r="O34" s="26">
        <f si="17" t="shared"/>
        <v>1.7807903189246118E-6</v>
      </c>
      <c r="P34" s="26">
        <f si="17" t="shared"/>
        <v>0</v>
      </c>
      <c r="Q34" s="26">
        <f si="17" t="shared"/>
        <v>1.7807903189246118E-6</v>
      </c>
      <c r="R34" s="26">
        <f si="17" t="shared"/>
        <v>0</v>
      </c>
      <c r="S34" s="26">
        <f ref="S34" si="26" t="shared">S8/$U$15</f>
        <v>0</v>
      </c>
      <c r="T34" s="26">
        <f si="19" t="shared"/>
        <v>1.9052186572253347E-3</v>
      </c>
      <c r="U34" s="26">
        <f si="19" t="shared"/>
        <v>1.9105610281821084E-3</v>
      </c>
      <c r="W34" t="str">
        <f>$A$8</f>
        <v>Bellevue Downtown</v>
      </c>
      <c r="X34" s="26">
        <f si="20" t="shared"/>
        <v>1.7807903189246118E-6</v>
      </c>
      <c r="Y34" s="26">
        <f si="20" t="shared"/>
        <v>0</v>
      </c>
      <c r="Z34" s="26">
        <f si="20" t="shared"/>
        <v>1.7807903189246118E-6</v>
      </c>
      <c r="AA34" s="26">
        <f si="21" t="shared"/>
        <v>0</v>
      </c>
      <c r="AB34" s="26">
        <f si="22" t="shared"/>
        <v>1.7807903189246118E-6</v>
      </c>
      <c r="AC34" s="26">
        <f si="23" t="shared"/>
        <v>0</v>
      </c>
      <c r="AD34" s="26">
        <f si="23" t="shared"/>
        <v>0</v>
      </c>
      <c r="AE34" s="26">
        <f si="24" t="shared"/>
        <v>-5.3423709567737392E-6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0</v>
      </c>
      <c r="C35" s="26">
        <f si="14" t="shared"/>
        <v>0</v>
      </c>
      <c r="D35" s="26">
        <f si="14" t="shared"/>
        <v>0</v>
      </c>
      <c r="E35" s="26">
        <f si="14" t="shared"/>
        <v>0</v>
      </c>
      <c r="F35" s="26">
        <f si="14" t="shared"/>
        <v>0</v>
      </c>
      <c r="G35" s="26">
        <f si="14" t="shared"/>
        <v>0</v>
      </c>
      <c r="H35" s="26">
        <f ref="H35" si="27" t="shared">H22/$J$28</f>
        <v>0</v>
      </c>
      <c r="I35" s="26">
        <f si="16" t="shared"/>
        <v>9.6535837023226188E-3</v>
      </c>
      <c r="J35" s="26">
        <f si="16" t="shared"/>
        <v>9.6535837023226188E-3</v>
      </c>
      <c r="L35" t="str">
        <f>$A$9</f>
        <v>Kirkland</v>
      </c>
      <c r="M35" s="26">
        <f si="17" t="shared"/>
        <v>1.7807903189246118E-6</v>
      </c>
      <c r="N35" s="26">
        <f si="17" t="shared"/>
        <v>0</v>
      </c>
      <c r="O35" s="26">
        <f si="17" t="shared"/>
        <v>1.7807903189246118E-6</v>
      </c>
      <c r="P35" s="26">
        <f si="17" t="shared"/>
        <v>0</v>
      </c>
      <c r="Q35" s="26">
        <f si="17" t="shared"/>
        <v>0</v>
      </c>
      <c r="R35" s="26">
        <f si="17" t="shared"/>
        <v>0</v>
      </c>
      <c r="S35" s="26">
        <f ref="S35" si="28" t="shared">S9/$U$15</f>
        <v>0</v>
      </c>
      <c r="T35" s="26">
        <f si="19" t="shared"/>
        <v>9.6500221216847693E-3</v>
      </c>
      <c r="U35" s="26">
        <f si="19" t="shared"/>
        <v>9.6535837023226188E-3</v>
      </c>
      <c r="W35" t="str">
        <f>$A$9</f>
        <v>Kirkland</v>
      </c>
      <c r="X35" s="26">
        <f si="20" t="shared"/>
        <v>1.7807903189246118E-6</v>
      </c>
      <c r="Y35" s="26">
        <f si="20" t="shared"/>
        <v>0</v>
      </c>
      <c r="Z35" s="26">
        <f si="20" t="shared"/>
        <v>1.7807903189246118E-6</v>
      </c>
      <c r="AA35" s="26">
        <f si="21" t="shared"/>
        <v>0</v>
      </c>
      <c r="AB35" s="26">
        <f si="22" t="shared"/>
        <v>0</v>
      </c>
      <c r="AC35" s="26">
        <f si="23" t="shared"/>
        <v>0</v>
      </c>
      <c r="AD35" s="26">
        <f si="23" t="shared"/>
        <v>0</v>
      </c>
      <c r="AE35" s="26">
        <f si="24" t="shared"/>
        <v>-3.5615806378494486E-6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0</v>
      </c>
      <c r="C36" s="26">
        <f si="14" t="shared"/>
        <v>0</v>
      </c>
      <c r="D36" s="26">
        <f si="14" t="shared"/>
        <v>0</v>
      </c>
      <c r="E36" s="26">
        <f si="14" t="shared"/>
        <v>0</v>
      </c>
      <c r="F36" s="26">
        <f si="14" t="shared"/>
        <v>0</v>
      </c>
      <c r="G36" s="26">
        <f si="14" t="shared"/>
        <v>0</v>
      </c>
      <c r="H36" s="26">
        <f ref="H36" si="29" t="shared">H23/$J$28</f>
        <v>0</v>
      </c>
      <c r="I36" s="26">
        <f si="16" t="shared"/>
        <v>1.040378821069716E-2</v>
      </c>
      <c r="J36" s="26">
        <f si="16" t="shared"/>
        <v>1.040378821069716E-2</v>
      </c>
      <c r="L36" t="str">
        <f>$A$10</f>
        <v>Redmond</v>
      </c>
      <c r="M36" s="26">
        <f si="17" t="shared"/>
        <v>0</v>
      </c>
      <c r="N36" s="26">
        <f si="17" t="shared"/>
        <v>0</v>
      </c>
      <c r="O36" s="26">
        <f si="17" t="shared"/>
        <v>3.5615806378492237E-6</v>
      </c>
      <c r="P36" s="26">
        <f si="17" t="shared"/>
        <v>0</v>
      </c>
      <c r="Q36" s="26">
        <f si="17" t="shared"/>
        <v>3.5615806378492237E-6</v>
      </c>
      <c r="R36" s="26">
        <f si="17" t="shared"/>
        <v>0</v>
      </c>
      <c r="S36" s="26">
        <f ref="S36" si="30" t="shared">S10/$U$15</f>
        <v>0</v>
      </c>
      <c r="T36" s="26">
        <f si="19" t="shared"/>
        <v>1.0396665049421461E-2</v>
      </c>
      <c r="U36" s="26">
        <f si="19" t="shared"/>
        <v>1.040378821069716E-2</v>
      </c>
      <c r="W36" t="str">
        <f>$A$10</f>
        <v>Redmond</v>
      </c>
      <c r="X36" s="26">
        <f ref="X36:X38" si="31" t="shared">M36-B36</f>
        <v>0</v>
      </c>
      <c r="Y36" s="26">
        <f ref="Y36:Y38" si="32" t="shared">N36-C36</f>
        <v>0</v>
      </c>
      <c r="Z36" s="26">
        <f ref="Z36:Z38" si="33" t="shared">O36-D36</f>
        <v>3.5615806378492237E-6</v>
      </c>
      <c r="AA36" s="26">
        <f ref="AA36:AA38" si="34" t="shared">P36-E36</f>
        <v>0</v>
      </c>
      <c r="AB36" s="26">
        <f ref="AB36:AB38" si="35" t="shared">Q36-F36</f>
        <v>3.5615806378492237E-6</v>
      </c>
      <c r="AC36" s="26">
        <f ref="AC36:AD38" si="36" t="shared">R36-G36</f>
        <v>0</v>
      </c>
      <c r="AD36" s="26">
        <f si="36" t="shared"/>
        <v>0</v>
      </c>
      <c r="AE36" s="26">
        <f ref="AE36:AE39" si="37" t="shared">T36-I36</f>
        <v>-7.1231612756988971E-6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5.2021931892174409E-4</v>
      </c>
      <c r="C37" s="26">
        <f si="14" t="shared"/>
        <v>2.8307150276463035E-5</v>
      </c>
      <c r="D37" s="26">
        <f si="14" t="shared"/>
        <v>1.0428427380176771E-3</v>
      </c>
      <c r="E37" s="26">
        <f si="14" t="shared"/>
        <v>6.5586498059201737E-6</v>
      </c>
      <c r="F37" s="26">
        <f si="14" t="shared"/>
        <v>0.13188038377341504</v>
      </c>
      <c r="G37" s="26">
        <f si="14" t="shared"/>
        <v>3.9511247602255157E-3</v>
      </c>
      <c r="H37" s="26">
        <f ref="H37" si="39" t="shared">H24/$J$28</f>
        <v>4.7872063214423532E-3</v>
      </c>
      <c r="I37" s="26">
        <f si="16" t="shared"/>
        <v>2.4029291976059079E-2</v>
      </c>
      <c r="J37" s="26">
        <f si="16" t="shared"/>
        <v>0.16624593468816379</v>
      </c>
      <c r="L37" t="str">
        <f>$A$11</f>
        <v>Seattle</v>
      </c>
      <c r="M37" s="26">
        <f si="17" t="shared"/>
        <v>1.4602480615181818E-4</v>
      </c>
      <c r="N37" s="26">
        <f si="17" t="shared"/>
        <v>1.7807903189246118E-6</v>
      </c>
      <c r="O37" s="26">
        <f si="17" t="shared"/>
        <v>7.6573983713758306E-5</v>
      </c>
      <c r="P37" s="26">
        <f si="17" t="shared"/>
        <v>7.1231612756984473E-6</v>
      </c>
      <c r="Q37" s="26">
        <f si="17" t="shared"/>
        <v>0.14638274500592202</v>
      </c>
      <c r="R37" s="26">
        <f si="17" t="shared"/>
        <v>7.9316400804902206E-3</v>
      </c>
      <c r="S37" s="26">
        <f ref="S37" si="40" t="shared">S11/$U$15</f>
        <v>7.5879475489377714E-3</v>
      </c>
      <c r="T37" s="26">
        <f si="19" t="shared"/>
        <v>4.1120993113535802E-3</v>
      </c>
      <c r="U37" s="26">
        <f si="19" t="shared"/>
        <v>0.16624593468816379</v>
      </c>
      <c r="W37" t="str">
        <f>$A$11</f>
        <v>Seattle</v>
      </c>
      <c r="X37" s="26">
        <f si="31" t="shared"/>
        <v>-3.7419451276992591E-4</v>
      </c>
      <c r="Y37" s="26">
        <f si="32" t="shared"/>
        <v>-2.6526359957538423E-5</v>
      </c>
      <c r="Z37" s="26">
        <f si="33" t="shared"/>
        <v>-9.6626875430391886E-4</v>
      </c>
      <c r="AA37" s="26">
        <f si="34" t="shared"/>
        <v>5.6451146977827362E-7</v>
      </c>
      <c r="AB37" s="26">
        <f si="35" t="shared"/>
        <v>1.4502361232506977E-2</v>
      </c>
      <c r="AC37" s="26">
        <f si="36" t="shared"/>
        <v>3.980515320264705E-3</v>
      </c>
      <c r="AD37" s="26">
        <f si="36" t="shared"/>
        <v>2.8007412274954182E-3</v>
      </c>
      <c r="AE37" s="26">
        <f si="37" t="shared"/>
        <v>-1.9917192664705499E-2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9.0793015069628546E-4</v>
      </c>
      <c r="G38" s="26">
        <f si="14" t="shared"/>
        <v>3.9537328450788293E-4</v>
      </c>
      <c r="H38" s="26">
        <f ref="H38:H39" si="41" t="shared">H25/$J$28</f>
        <v>0</v>
      </c>
      <c r="I38" s="26">
        <f si="16" t="shared"/>
        <v>1.5626179688270177E-2</v>
      </c>
      <c r="J38" s="26">
        <f si="16" t="shared"/>
        <v>1.6929483123474341E-2</v>
      </c>
      <c r="L38" t="str">
        <f>$A$12</f>
        <v>Seattle Downtown</v>
      </c>
      <c r="M38" s="26">
        <f si="17" t="shared"/>
        <v>1.0684741913547671E-5</v>
      </c>
      <c r="N38" s="26">
        <f si="17" t="shared"/>
        <v>0</v>
      </c>
      <c r="O38" s="26">
        <f si="17" t="shared"/>
        <v>0</v>
      </c>
      <c r="P38" s="26">
        <f si="17" t="shared"/>
        <v>0</v>
      </c>
      <c r="Q38" s="26">
        <f si="17" t="shared"/>
        <v>5.2479890698708311E-3</v>
      </c>
      <c r="R38" s="26">
        <f si="17" t="shared"/>
        <v>4.3664978620031481E-3</v>
      </c>
      <c r="S38" s="26">
        <f ref="S38" si="42" t="shared">S12/$U$15</f>
        <v>6.232766116236142E-5</v>
      </c>
      <c r="T38" s="26">
        <f si="19" t="shared"/>
        <v>7.2419837885244545E-3</v>
      </c>
      <c r="U38" s="26">
        <f si="19" t="shared"/>
        <v>1.6929483123474341E-2</v>
      </c>
      <c r="W38" t="str">
        <f>$A$12</f>
        <v>Seattle Downtown</v>
      </c>
      <c r="X38" s="26">
        <f si="31" t="shared"/>
        <v>1.0684741913547671E-5</v>
      </c>
      <c r="Y38" s="26">
        <f si="32" t="shared"/>
        <v>0</v>
      </c>
      <c r="Z38" s="26">
        <f si="33" t="shared"/>
        <v>0</v>
      </c>
      <c r="AA38" s="26">
        <f si="34" t="shared"/>
        <v>0</v>
      </c>
      <c r="AB38" s="26">
        <f si="35" t="shared"/>
        <v>4.3400589191745454E-3</v>
      </c>
      <c r="AC38" s="26">
        <f si="36" t="shared"/>
        <v>3.9711245774952655E-3</v>
      </c>
      <c r="AD38" s="26">
        <f si="36" t="shared"/>
        <v>6.232766116236142E-5</v>
      </c>
      <c r="AE38" s="26">
        <f si="37" t="shared"/>
        <v>-8.3841958997457229E-3</v>
      </c>
      <c r="AF38" s="26">
        <f si="38" t="shared"/>
        <v>0</v>
      </c>
    </row>
    <row r="39" spans="1:32" x14ac:dyDescent="0.25">
      <c r="A39" t="str">
        <f>$A$13</f>
        <v>Rest</v>
      </c>
      <c r="B39" s="26">
        <f si="14" t="shared"/>
        <v>1.1484714397111927E-2</v>
      </c>
      <c r="C39" s="26">
        <f si="14" t="shared"/>
        <v>0</v>
      </c>
      <c r="D39" s="26">
        <f si="14" t="shared"/>
        <v>1.8228131912618115E-2</v>
      </c>
      <c r="E39" s="26">
        <f si="14" t="shared"/>
        <v>4.0612525161829874E-3</v>
      </c>
      <c r="F39" s="26">
        <f si="14" t="shared"/>
        <v>2.4453449266831646E-2</v>
      </c>
      <c r="G39" s="26">
        <f si="14" t="shared"/>
        <v>1.4715147936464101E-4</v>
      </c>
      <c r="H39" s="26">
        <f si="41" t="shared"/>
        <v>0.7322926404497806</v>
      </c>
      <c r="I39" s="26">
        <f si="16" t="shared"/>
        <v>0</v>
      </c>
      <c r="J39" s="26">
        <f si="14" t="shared"/>
        <v>0.79066734002188999</v>
      </c>
      <c r="L39" t="str">
        <f>$A$13</f>
        <v>Rest</v>
      </c>
      <c r="M39" s="26">
        <f si="17" t="shared"/>
        <v>2.3648895435318847E-3</v>
      </c>
      <c r="N39" s="26">
        <f si="17" t="shared"/>
        <v>0</v>
      </c>
      <c r="O39" s="26">
        <f si="17" t="shared"/>
        <v>1.6561349965998891E-3</v>
      </c>
      <c r="P39" s="26">
        <f si="17" t="shared"/>
        <v>1.1397058041117516E-4</v>
      </c>
      <c r="Q39" s="26">
        <f si="17" t="shared"/>
        <v>4.1499537592219159E-2</v>
      </c>
      <c r="R39" s="26">
        <f si="17" t="shared"/>
        <v>5.4705878597364078E-3</v>
      </c>
      <c r="S39" s="26">
        <f ref="S39" si="43" t="shared">S13/$U$15</f>
        <v>0.73956221944939138</v>
      </c>
      <c r="T39" s="26">
        <f si="17" t="shared"/>
        <v>0</v>
      </c>
      <c r="U39" s="26">
        <f si="17" t="shared"/>
        <v>0.79066734002188988</v>
      </c>
      <c r="W39" t="str">
        <f>$A$13</f>
        <v>Rest</v>
      </c>
      <c r="X39" s="26">
        <f ref="X39" si="44" t="shared">M39-B39</f>
        <v>-9.1198248535800421E-3</v>
      </c>
      <c r="Y39" s="26">
        <f ref="Y39" si="45" t="shared">N39-C39</f>
        <v>0</v>
      </c>
      <c r="Z39" s="26">
        <f ref="Z39" si="46" t="shared">O39-D39</f>
        <v>-1.6571996916018225E-2</v>
      </c>
      <c r="AA39" s="26">
        <f ref="AA39" si="47" t="shared">P39-E39</f>
        <v>-3.947281935771812E-3</v>
      </c>
      <c r="AB39" s="26">
        <f ref="AB39" si="48" t="shared">Q39-F39</f>
        <v>1.7046088325387513E-2</v>
      </c>
      <c r="AC39" s="26">
        <f ref="AC39" si="49" t="shared">R39-G39</f>
        <v>5.323436380371767E-3</v>
      </c>
      <c r="AD39" s="26">
        <f ref="AD39" si="50" t="shared">S39-H39</f>
        <v>7.2695789996107818E-3</v>
      </c>
      <c r="AE39" s="26">
        <f si="37" t="shared"/>
        <v>0</v>
      </c>
      <c r="AF39" s="26">
        <f si="38" t="shared"/>
        <v>0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1.0341984956393647E-2</v>
      </c>
      <c r="C41" s="28">
        <f>C28/$J$28</f>
        <v>3.0048945741443391E-5</v>
      </c>
      <c r="D41" s="28">
        <f>D28/$J$28</f>
        <v>1.6644964125350159E-2</v>
      </c>
      <c r="E41" s="28">
        <f ref="E41:H41" si="57" t="shared">E28/$J$28</f>
        <v>3.468839264655783E-3</v>
      </c>
      <c r="F41" s="28">
        <f si="57" t="shared"/>
        <v>0.16371549072048322</v>
      </c>
      <c r="G41" s="28">
        <f si="57" t="shared"/>
        <v>5.5719639742142744E-3</v>
      </c>
      <c r="H41" s="28">
        <f si="57" t="shared"/>
        <v>0</v>
      </c>
      <c r="I41" s="28">
        <f>I28/$J$28</f>
        <v>0.17092689562057944</v>
      </c>
      <c r="J41" s="28">
        <f>J28/$J$28</f>
        <v>1</v>
      </c>
      <c r="L41" s="24" t="s">
        <v>3</v>
      </c>
      <c r="M41" s="28">
        <f>M15/$U$15</f>
        <v>2.5340646238297226E-3</v>
      </c>
      <c r="N41" s="28">
        <f>N15/$U$15</f>
        <v>1.7807903189246118E-6</v>
      </c>
      <c r="O41" s="28">
        <f>O15/$U$15</f>
        <v>1.7416129319082704E-3</v>
      </c>
      <c r="P41" s="28">
        <f ref="P41:S41" si="58" t="shared">P15/$U$15</f>
        <v>1.2109374168687361E-4</v>
      </c>
      <c r="Q41" s="28">
        <f si="58" t="shared"/>
        <v>0.19313917561960664</v>
      </c>
      <c r="R41" s="28">
        <f si="58" t="shared"/>
        <v>1.7768725802229778E-2</v>
      </c>
      <c r="S41" s="28">
        <f si="58" t="shared"/>
        <v>0.74721249465949147</v>
      </c>
      <c r="T41" s="28">
        <f>T15/$U$15</f>
        <v>3.7481051830928355E-2</v>
      </c>
      <c r="U41" s="28">
        <f>U15/$U$15</f>
        <v>1</v>
      </c>
      <c r="W41" s="24" t="s">
        <v>3</v>
      </c>
      <c r="X41" s="28">
        <f si="53" t="shared"/>
        <v>-7.8079203325639238E-3</v>
      </c>
      <c r="Y41" s="28">
        <f si="53" t="shared"/>
        <v>-2.8268155422518779E-5</v>
      </c>
      <c r="Z41" s="28">
        <f si="53" t="shared"/>
        <v>-1.4903351193441888E-2</v>
      </c>
      <c r="AA41" s="28">
        <f si="54" t="shared"/>
        <v>-3.3477455229689096E-3</v>
      </c>
      <c r="AB41" s="28">
        <f si="55" t="shared"/>
        <v>2.942368489912342E-2</v>
      </c>
      <c r="AC41" s="28">
        <f si="56" t="shared"/>
        <v>1.2196761828015504E-2</v>
      </c>
      <c r="AD41" s="28">
        <f si="56" t="shared"/>
        <v>0.74721249465949147</v>
      </c>
      <c r="AE41" s="28">
        <f>T41-I41</f>
        <v>-0.13344584378965108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0.0</v>
      </c>
      <c r="J7" s="83" t="n">
        <v>0.0</v>
      </c>
      <c r="K7" s="83" t="n">
        <v>0.0</v>
      </c>
      <c r="L7" s="83">
        <f>SUM(I7:K7)</f>
        <v>0</v>
      </c>
      <c r="O7" s="15" t="str">
        <f>$A$7</f>
        <v>Bellevue</v>
      </c>
      <c r="P7" s="20">
        <f>I7-B7</f>
        <v>0</v>
      </c>
      <c r="Q7" s="20">
        <f ref="Q7:S14" si="0" t="shared">J7-C7</f>
        <v>0</v>
      </c>
      <c r="R7" s="20">
        <f si="0" t="shared"/>
        <v>0</v>
      </c>
      <c r="S7" s="20">
        <f si="0" t="shared"/>
        <v>0</v>
      </c>
    </row>
    <row r="8" spans="1:19" x14ac:dyDescent="0.2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0.0</v>
      </c>
      <c r="L8" s="83">
        <f>SUM(I8:K8)</f>
        <v>0</v>
      </c>
      <c r="O8" t="str">
        <f>$A$8</f>
        <v>Bellevue Downtown</v>
      </c>
      <c r="P8" s="20">
        <f ref="P8:P14" si="1" t="shared">I8-B8</f>
        <v>0</v>
      </c>
      <c r="Q8" s="20">
        <f si="0" t="shared"/>
        <v>0</v>
      </c>
      <c r="R8" s="20">
        <f si="0" t="shared"/>
        <v>0</v>
      </c>
      <c r="S8" s="20">
        <f si="0" t="shared"/>
        <v>0</v>
      </c>
    </row>
    <row r="9" spans="1:19" x14ac:dyDescent="0.25">
      <c r="A9" s="7" t="s">
        <v>256</v>
      </c>
      <c r="B9" s="83" t="n">
        <v>0.0</v>
      </c>
      <c r="C9" s="83" t="n">
        <v>0.0</v>
      </c>
      <c r="D9" s="83" t="n">
        <v>0.0</v>
      </c>
      <c r="E9" s="83">
        <f ref="E9:E11" si="2" t="shared">SUM(B9:D9)</f>
        <v>0</v>
      </c>
      <c r="H9" t="str">
        <f>$A$9</f>
        <v>Kirkland</v>
      </c>
      <c r="I9" s="83" t="n">
        <v>0.0</v>
      </c>
      <c r="J9" s="83" t="n">
        <v>0.0</v>
      </c>
      <c r="K9" s="83" t="n">
        <v>0.0</v>
      </c>
      <c r="L9" s="83">
        <f ref="L9:L11" si="3" t="shared">SUM(I9:K9)</f>
        <v>0</v>
      </c>
      <c r="O9" t="str">
        <f>$A$9</f>
        <v>Kirkland</v>
      </c>
      <c r="P9" s="20">
        <f ref="P9:P11" si="4" t="shared">I9-B9</f>
        <v>0</v>
      </c>
      <c r="Q9" s="20">
        <f ref="Q9:Q11" si="5" t="shared">J9-C9</f>
        <v>0</v>
      </c>
      <c r="R9" s="20">
        <f ref="R9:R11" si="6" t="shared">K9-D9</f>
        <v>0</v>
      </c>
      <c r="S9" s="20">
        <f ref="S9:S11" si="7" t="shared">L9-E9</f>
        <v>0</v>
      </c>
    </row>
    <row r="10" spans="1:19" x14ac:dyDescent="0.2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si="2" t="shared"/>
        <v>0</v>
      </c>
      <c r="H10" t="str">
        <f>$A$10</f>
        <v>Redmond</v>
      </c>
      <c r="I10" s="83" t="n">
        <v>0.0</v>
      </c>
      <c r="J10" s="83" t="n">
        <v>0.0</v>
      </c>
      <c r="K10" s="83" t="n">
        <v>0.0</v>
      </c>
      <c r="L10" s="83">
        <f si="3" t="shared"/>
        <v>0</v>
      </c>
      <c r="O10" s="7" t="str">
        <f>$A$10</f>
        <v>Redmond</v>
      </c>
      <c r="P10" s="21">
        <f si="4" t="shared"/>
        <v>0</v>
      </c>
      <c r="Q10" s="21">
        <f si="5" t="shared"/>
        <v>0</v>
      </c>
      <c r="R10" s="21">
        <f si="6" t="shared"/>
        <v>0</v>
      </c>
      <c r="S10" s="21">
        <f si="7" t="shared"/>
        <v>0</v>
      </c>
    </row>
    <row r="11" spans="1:19" x14ac:dyDescent="0.2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si="2" t="shared"/>
        <v>996.87599999999998</v>
      </c>
      <c r="H11" t="str">
        <f>$A$11</f>
        <v>Seattle</v>
      </c>
      <c r="I11" s="83" t="n">
        <v>392.0</v>
      </c>
      <c r="J11" s="83" t="n">
        <v>51.0</v>
      </c>
      <c r="K11" s="83" t="n">
        <v>42.0</v>
      </c>
      <c r="L11" s="83">
        <f si="3" t="shared"/>
        <v>467</v>
      </c>
      <c r="O11" s="7" t="str">
        <f>$A$11</f>
        <v>Seattle</v>
      </c>
      <c r="P11" s="21">
        <f si="4" t="shared"/>
        <v>372</v>
      </c>
      <c r="Q11" s="21">
        <f si="5" t="shared"/>
        <v>41</v>
      </c>
      <c r="R11" s="21">
        <f si="6" t="shared"/>
        <v>-942.87599999999998</v>
      </c>
      <c r="S11" s="21">
        <f si="7" t="shared"/>
        <v>-529.87599999999998</v>
      </c>
    </row>
    <row r="12" spans="1:19" x14ac:dyDescent="0.2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11.0</v>
      </c>
      <c r="J12" s="87" t="n">
        <v>0.0</v>
      </c>
      <c r="K12" s="87" t="n">
        <v>9.0</v>
      </c>
      <c r="L12" s="87">
        <f>SUM(I12:K12)</f>
        <v>24</v>
      </c>
      <c r="O12" s="7" t="str">
        <f>$A$12</f>
        <v>Seattle Downtown</v>
      </c>
      <c r="P12" s="21">
        <f si="1" t="shared"/>
        <v>17</v>
      </c>
      <c r="Q12" s="21">
        <f si="0" t="shared"/>
        <v>2</v>
      </c>
      <c r="R12" s="21">
        <f si="0" t="shared"/>
        <v>-9.4960000000000004</v>
      </c>
      <c r="S12" s="21">
        <f si="0" t="shared"/>
        <v>9.5039999999999996</v>
      </c>
    </row>
    <row r="13" spans="1:19" x14ac:dyDescent="0.2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23466.0</v>
      </c>
      <c r="J13" s="87" t="n">
        <v>5142.0</v>
      </c>
      <c r="K13" s="87" t="n">
        <v>8536.0</v>
      </c>
      <c r="L13" s="87">
        <f>SUM(I13:K13)</f>
        <v>39176</v>
      </c>
      <c r="O13" s="7" t="str">
        <f>$A$13</f>
        <v>Rest</v>
      </c>
      <c r="P13" s="21">
        <f si="1" t="shared"/>
        <v>22510.556100000002</v>
      </c>
      <c r="Q13" s="21">
        <f si="0" t="shared"/>
        <v>5318</v>
      </c>
      <c r="R13" s="21">
        <f si="0" t="shared"/>
        <v>8904</v>
      </c>
      <c r="S13" s="21">
        <f si="0" t="shared"/>
        <v>36732.556100000002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1011.372</v>
      </c>
      <c r="E14" s="82">
        <f ref="E14" si="10" t="shared">SUM(E7:E13)</f>
        <v>3454.8159000000001</v>
      </c>
      <c r="H14" s="12" t="s">
        <v>3</v>
      </c>
      <c r="I14" s="82">
        <f>SUM(I7:I13)</f>
        <v>25343</v>
      </c>
      <c r="J14" s="82">
        <f ref="J14:L14" si="11" t="shared">SUM(J7:J13)</f>
        <v>5361</v>
      </c>
      <c r="K14" s="82">
        <f si="11" t="shared"/>
        <v>8963</v>
      </c>
      <c r="L14" s="82">
        <f si="11" t="shared"/>
        <v>39667</v>
      </c>
      <c r="O14" s="12" t="s">
        <v>3</v>
      </c>
      <c r="P14" s="12">
        <f si="1" t="shared"/>
        <v>22899.556100000002</v>
      </c>
      <c r="Q14" s="12">
        <f si="0" t="shared"/>
        <v>5361</v>
      </c>
      <c r="R14" s="12">
        <f si="0" t="shared"/>
        <v>7951.6279999999997</v>
      </c>
      <c r="S14" s="12">
        <f si="0" t="shared"/>
        <v>36212.184099999999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0.0</v>
      </c>
      <c r="C18" s="83" t="n">
        <v>0.0</v>
      </c>
      <c r="D18" s="83" t="n">
        <v>0.0</v>
      </c>
      <c r="E18" s="83">
        <f>SUM(B18:D18)</f>
        <v>0</v>
      </c>
      <c r="H18" s="15" t="str">
        <f>$A$7</f>
        <v>Bellevue</v>
      </c>
      <c r="I18" s="83" t="n">
        <v>0.0</v>
      </c>
      <c r="J18" s="83" t="n">
        <v>0.0</v>
      </c>
      <c r="K18" s="83" t="n">
        <v>3.0</v>
      </c>
      <c r="L18" s="83">
        <f>SUM(I18:K18)</f>
        <v>8</v>
      </c>
      <c r="O18" s="15" t="str">
        <f>$A$7</f>
        <v>Bellevue</v>
      </c>
      <c r="P18" s="20">
        <f>I18-B18</f>
        <v>0</v>
      </c>
      <c r="Q18" s="20">
        <f ref="Q18:Q25" si="12" t="shared">J18-C18</f>
        <v>0</v>
      </c>
      <c r="R18" s="20">
        <f ref="R18:R25" si="13" t="shared">K18-D18</f>
        <v>8</v>
      </c>
      <c r="S18" s="20">
        <f ref="S18:S25" si="14" t="shared">L18-E18</f>
        <v>8</v>
      </c>
    </row>
    <row r="19" spans="1:20" x14ac:dyDescent="0.25">
      <c r="A19" t="str">
        <f>$A$8</f>
        <v>Bellevue Downtown</v>
      </c>
      <c r="B19" s="83" t="n">
        <v>0.0</v>
      </c>
      <c r="C19" s="83" t="n">
        <v>0.0</v>
      </c>
      <c r="D19" s="83" t="n">
        <v>0.0</v>
      </c>
      <c r="E19" s="83">
        <f>SUM(B19:D19)</f>
        <v>0</v>
      </c>
      <c r="H19" t="str">
        <f>$A$8</f>
        <v>Bellevue Downtown</v>
      </c>
      <c r="I19" s="83" t="n">
        <v>0.0</v>
      </c>
      <c r="J19" s="83" t="n">
        <v>0.0</v>
      </c>
      <c r="K19" s="83" t="n">
        <v>2.0</v>
      </c>
      <c r="L19" s="83">
        <f>SUM(I19:K19)</f>
        <v>3</v>
      </c>
      <c r="O19" t="str">
        <f>$A$8</f>
        <v>Bellevue Downtown</v>
      </c>
      <c r="P19" s="20">
        <f ref="P19:P25" si="15" t="shared">I19-B19</f>
        <v>0</v>
      </c>
      <c r="Q19" s="20">
        <f si="12" t="shared"/>
        <v>0</v>
      </c>
      <c r="R19" s="20">
        <f si="13" t="shared"/>
        <v>3</v>
      </c>
      <c r="S19" s="20">
        <f si="14" t="shared"/>
        <v>3</v>
      </c>
    </row>
    <row r="20" spans="1:20" x14ac:dyDescent="0.25">
      <c r="A20" t="str">
        <f>$A$9</f>
        <v>Kirkland</v>
      </c>
      <c r="B20" s="83" t="n">
        <v>0.0</v>
      </c>
      <c r="C20" s="83" t="n">
        <v>0.0</v>
      </c>
      <c r="D20" s="83" t="n">
        <v>0.0</v>
      </c>
      <c r="E20" s="83">
        <f ref="E20:E22" si="16" t="shared">SUM(B20:D20)</f>
        <v>0</v>
      </c>
      <c r="H20" t="str">
        <f>$A$9</f>
        <v>Kirkland</v>
      </c>
      <c r="I20" s="83" t="n">
        <v>0.0</v>
      </c>
      <c r="J20" s="83" t="n">
        <v>0.0</v>
      </c>
      <c r="K20" s="83" t="n">
        <v>9.0</v>
      </c>
      <c r="L20" s="83">
        <f ref="L20:L22" si="17" t="shared">SUM(I20:K20)</f>
        <v>2</v>
      </c>
      <c r="O20" t="str">
        <f>$A$9</f>
        <v>Kirkland</v>
      </c>
      <c r="P20" s="20">
        <f ref="P20:P22" si="18" t="shared">I20-B20</f>
        <v>0</v>
      </c>
      <c r="Q20" s="20">
        <f ref="Q20:Q22" si="19" t="shared">J20-C20</f>
        <v>0</v>
      </c>
      <c r="R20" s="20">
        <f ref="R20:R22" si="20" t="shared">K20-D20</f>
        <v>2</v>
      </c>
      <c r="S20" s="20">
        <f ref="S20:S22" si="21" t="shared">L20-E20</f>
        <v>2</v>
      </c>
    </row>
    <row r="21" spans="1:20" x14ac:dyDescent="0.25">
      <c r="A21" t="str">
        <f>$A$10</f>
        <v>Redmond</v>
      </c>
      <c r="B21" s="83" t="n">
        <v>0.0</v>
      </c>
      <c r="C21" s="83" t="n">
        <v>0.0</v>
      </c>
      <c r="D21" s="83" t="n">
        <v>0.0</v>
      </c>
      <c r="E21" s="83">
        <f si="16" t="shared"/>
        <v>0</v>
      </c>
      <c r="H21" t="str">
        <f>$A$10</f>
        <v>Redmond</v>
      </c>
      <c r="I21" s="83" t="n">
        <v>0.0</v>
      </c>
      <c r="J21" s="83" t="n">
        <v>0.0</v>
      </c>
      <c r="K21" s="83" t="n">
        <v>3.0</v>
      </c>
      <c r="L21" s="83">
        <f si="17" t="shared"/>
        <v>4</v>
      </c>
      <c r="O21" s="7" t="str">
        <f>$A$10</f>
        <v>Redmond</v>
      </c>
      <c r="P21" s="21">
        <f si="18" t="shared"/>
        <v>0</v>
      </c>
      <c r="Q21" s="21">
        <f si="19" t="shared"/>
        <v>0</v>
      </c>
      <c r="R21" s="21">
        <f si="20" t="shared"/>
        <v>4</v>
      </c>
      <c r="S21" s="21">
        <f si="21" t="shared"/>
        <v>4</v>
      </c>
      <c r="T21" s="7"/>
    </row>
    <row r="22" spans="1:20" x14ac:dyDescent="0.2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si="16" t="shared"/>
        <v>112150.2061</v>
      </c>
      <c r="H22" t="str">
        <f>$A$11</f>
        <v>Seattle</v>
      </c>
      <c r="I22" s="83" t="n">
        <v>52671.0</v>
      </c>
      <c r="J22" s="83" t="n">
        <v>7191.0</v>
      </c>
      <c r="K22" s="83" t="n">
        <v>39049.0</v>
      </c>
      <c r="L22" s="83">
        <f si="17" t="shared"/>
        <v>97159</v>
      </c>
      <c r="O22" s="7" t="str">
        <f>$A$11</f>
        <v>Seattle</v>
      </c>
      <c r="P22" s="21">
        <f si="18" t="shared"/>
        <v>-21872.718999999997</v>
      </c>
      <c r="Q22" s="21">
        <f si="19" t="shared"/>
        <v>2269.0550999999996</v>
      </c>
      <c r="R22" s="21">
        <f si="20" t="shared"/>
        <v>4612.4578000000038</v>
      </c>
      <c r="S22" s="21">
        <f si="21" t="shared"/>
        <v>-14991.206099999996</v>
      </c>
      <c r="T22" s="7"/>
    </row>
    <row r="23" spans="1:20" x14ac:dyDescent="0.2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1104.0</v>
      </c>
      <c r="J23" s="87" t="n">
        <v>120.0</v>
      </c>
      <c r="K23" s="87" t="n">
        <v>4383.0</v>
      </c>
      <c r="L23" s="87">
        <f>SUM(I23:K23)</f>
        <v>5596</v>
      </c>
      <c r="O23" s="7" t="str">
        <f>$A$12</f>
        <v>Seattle Downtown</v>
      </c>
      <c r="P23" s="21">
        <f si="15" t="shared"/>
        <v>414.52549999999997</v>
      </c>
      <c r="Q23" s="21">
        <f si="12" t="shared"/>
        <v>-64.057800000000015</v>
      </c>
      <c r="R23" s="21">
        <f si="13" t="shared"/>
        <v>1953.0228999999999</v>
      </c>
      <c r="S23" s="21">
        <f si="14" t="shared"/>
        <v>2303.4906000000001</v>
      </c>
      <c r="T23" s="7"/>
    </row>
    <row r="24" spans="1:20" x14ac:dyDescent="0.2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323261.0</v>
      </c>
      <c r="J24" s="87" t="n">
        <v>56381.0</v>
      </c>
      <c r="K24" s="87" t="n">
        <v>110006.0</v>
      </c>
      <c r="L24" s="87">
        <f>SUM(I24:K24)</f>
        <v>484655</v>
      </c>
      <c r="O24" s="7" t="str">
        <f>$A$13</f>
        <v>Rest</v>
      </c>
      <c r="P24" s="21">
        <f si="15" t="shared"/>
        <v>-60950.332200000004</v>
      </c>
      <c r="Q24" s="21">
        <f si="12" t="shared"/>
        <v>-9754.7749999999942</v>
      </c>
      <c r="R24" s="21">
        <f si="13" t="shared"/>
        <v>40522.446899999995</v>
      </c>
      <c r="S24" s="21">
        <f si="14" t="shared"/>
        <v>-30182.660299999989</v>
      </c>
      <c r="T24" s="7"/>
    </row>
    <row ht="15.75" r="25" spans="1:20" thickBot="1" x14ac:dyDescent="0.3">
      <c r="A25" s="12" t="s">
        <v>3</v>
      </c>
      <c r="B25" s="84">
        <f>SUM(B18:B24)</f>
        <v>455659.5257</v>
      </c>
      <c r="C25" s="84">
        <f ref="C25" si="22" t="shared">SUM(C18:C24)</f>
        <v>70487.777699999991</v>
      </c>
      <c r="D25" s="84">
        <f ref="D25" si="23" t="shared">SUM(D18:D24)</f>
        <v>104133.0724</v>
      </c>
      <c r="E25" s="84">
        <f ref="E25" si="24" t="shared">SUM(E18:E24)</f>
        <v>630280.37580000004</v>
      </c>
      <c r="H25" s="12" t="s">
        <v>3</v>
      </c>
      <c r="I25" s="82">
        <f>SUM(I18:I24)</f>
        <v>373251</v>
      </c>
      <c r="J25" s="82">
        <f ref="J25" si="25" t="shared">SUM(J18:J24)</f>
        <v>62938</v>
      </c>
      <c r="K25" s="82">
        <f ref="K25" si="26" t="shared">SUM(K18:K24)</f>
        <v>151238</v>
      </c>
      <c r="L25" s="82">
        <f ref="L25" si="27" t="shared">SUM(L18:L24)</f>
        <v>587427</v>
      </c>
      <c r="O25" s="12" t="s">
        <v>3</v>
      </c>
      <c r="P25" s="12">
        <f si="15" t="shared"/>
        <v>-82408.525699999998</v>
      </c>
      <c r="Q25" s="12">
        <f si="12" t="shared"/>
        <v>-7549.7776999999915</v>
      </c>
      <c r="R25" s="12">
        <f si="13" t="shared"/>
        <v>47104.927599999995</v>
      </c>
      <c r="S25" s="12">
        <f si="14" t="shared"/>
        <v>-42853.375800000038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0</v>
      </c>
      <c r="J29" s="16">
        <f si="29" t="shared"/>
        <v>0</v>
      </c>
      <c r="K29" s="16">
        <f si="29" t="shared"/>
        <v>0</v>
      </c>
      <c r="L29" s="16">
        <f si="29" t="shared"/>
        <v>0</v>
      </c>
      <c r="O29" s="15" t="str">
        <f>$A$7</f>
        <v>Bellevue</v>
      </c>
      <c r="P29" s="26">
        <f ref="P29:S36" si="30" t="shared">I29-B29</f>
        <v>0</v>
      </c>
      <c r="Q29" s="26">
        <f si="30" t="shared"/>
        <v>0</v>
      </c>
      <c r="R29" s="26">
        <f si="30" t="shared"/>
        <v>0</v>
      </c>
      <c r="S29" s="26">
        <f si="30" t="shared"/>
        <v>0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0</v>
      </c>
      <c r="J30" s="16">
        <f si="29" t="shared"/>
        <v>0</v>
      </c>
      <c r="K30" s="16">
        <f si="29" t="shared"/>
        <v>0</v>
      </c>
      <c r="L30" s="16">
        <f si="29" t="shared"/>
        <v>0</v>
      </c>
      <c r="O30" t="str">
        <f>$A$8</f>
        <v>Bellevue Downtown</v>
      </c>
      <c r="P30" s="26">
        <f si="30" t="shared"/>
        <v>0</v>
      </c>
      <c r="Q30" s="26">
        <f si="30" t="shared"/>
        <v>0</v>
      </c>
      <c r="R30" s="26">
        <f si="30" t="shared"/>
        <v>0</v>
      </c>
      <c r="S30" s="26">
        <f si="30" t="shared"/>
        <v>0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0</v>
      </c>
      <c r="J31" s="16">
        <f si="33" t="shared"/>
        <v>0</v>
      </c>
      <c r="K31" s="16">
        <f si="33" t="shared"/>
        <v>0</v>
      </c>
      <c r="L31" s="16">
        <f si="33" t="shared"/>
        <v>0</v>
      </c>
      <c r="O31" t="str">
        <f>$A$9</f>
        <v>Kirkland</v>
      </c>
      <c r="P31" s="26">
        <f ref="P31:P33" si="34" t="shared">I31-B31</f>
        <v>0</v>
      </c>
      <c r="Q31" s="26">
        <f ref="Q31:Q33" si="35" t="shared">J31-C31</f>
        <v>0</v>
      </c>
      <c r="R31" s="26">
        <f ref="R31:R33" si="36" t="shared">K31-D31</f>
        <v>0</v>
      </c>
      <c r="S31" s="26">
        <f ref="S31:S33" si="37" t="shared">L31-E31</f>
        <v>0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0</v>
      </c>
      <c r="J32" s="16">
        <f si="39" t="shared"/>
        <v>0</v>
      </c>
      <c r="K32" s="16">
        <f si="39" t="shared"/>
        <v>0</v>
      </c>
      <c r="L32" s="16">
        <f si="39" t="shared"/>
        <v>0</v>
      </c>
      <c r="O32" t="str">
        <f>$A$10</f>
        <v>Redmond</v>
      </c>
      <c r="P32" s="26">
        <f si="34" t="shared"/>
        <v>0</v>
      </c>
      <c r="Q32" s="26">
        <f si="35" t="shared"/>
        <v>0</v>
      </c>
      <c r="R32" s="26">
        <f si="36" t="shared"/>
        <v>0</v>
      </c>
      <c r="S32" s="26">
        <f si="37" t="shared"/>
        <v>0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2.9541843954842571E-2</v>
      </c>
      <c r="E33" s="50">
        <f si="40" t="shared"/>
        <v>8.8887576284177698E-3</v>
      </c>
      <c r="H33" s="7" t="str">
        <f>$A$11</f>
        <v>Seattle</v>
      </c>
      <c r="I33" s="50">
        <f ref="I33:L33" si="41" t="shared">IF(I22&lt;&gt;0,I11/I22,0)</f>
        <v>7.1847960444993818E-3</v>
      </c>
      <c r="J33" s="50">
        <f si="41" t="shared"/>
        <v>5.8354682607458016E-3</v>
      </c>
      <c r="K33" s="50">
        <f si="41" t="shared"/>
        <v>1.4078264723518523E-3</v>
      </c>
      <c r="L33" s="50">
        <f si="41" t="shared"/>
        <v>4.806554204962999E-3</v>
      </c>
      <c r="O33" s="7" t="str">
        <f>$A$11</f>
        <v>Seattle</v>
      </c>
      <c r="P33" s="51">
        <f si="34" t="shared"/>
        <v>7.1847960444993818E-3</v>
      </c>
      <c r="Q33" s="51">
        <f si="35" t="shared"/>
        <v>5.8354682607458016E-3</v>
      </c>
      <c r="R33" s="51">
        <f si="36" t="shared"/>
        <v>-2.8134017482490718E-2</v>
      </c>
      <c r="S33" s="51">
        <f si="37" t="shared"/>
        <v>-4.0822034234547708E-3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5.9704022743871845E-3</v>
      </c>
      <c r="E34" s="50">
        <f si="42" t="shared"/>
        <v>4.4027209155424133E-3</v>
      </c>
      <c r="H34" s="7" t="str">
        <f>$A$12</f>
        <v>Seattle Downtown</v>
      </c>
      <c r="I34" s="50">
        <f ref="I34:L35" si="43" t="shared">IF(I23&lt;&gt;0,I12/I23,0)</f>
        <v>1.5440508628519528E-2</v>
      </c>
      <c r="J34" s="50">
        <f si="43" t="shared"/>
        <v>1.7543859649122806E-2</v>
      </c>
      <c r="K34" s="50">
        <f si="43" t="shared"/>
        <v>1.1412919424788862E-3</v>
      </c>
      <c r="L34" s="50">
        <f si="43" t="shared"/>
        <v>4.2887776983559682E-3</v>
      </c>
      <c r="O34" s="7" t="str">
        <f>$A$12</f>
        <v>Seattle Downtown</v>
      </c>
      <c r="P34" s="51">
        <f si="30" t="shared"/>
        <v>1.5440508628519528E-2</v>
      </c>
      <c r="Q34" s="51">
        <f si="30" t="shared"/>
        <v>1.7543859649122806E-2</v>
      </c>
      <c r="R34" s="51">
        <f si="30" t="shared"/>
        <v>-4.8291103319082988E-3</v>
      </c>
      <c r="S34" s="51">
        <f si="30" t="shared"/>
        <v>-1.1394321718644507E-4</v>
      </c>
    </row>
    <row r="35" spans="1:19" x14ac:dyDescent="0.25">
      <c r="A35" s="7" t="str">
        <f>$A$13</f>
        <v>Rest</v>
      </c>
      <c r="B35" s="50">
        <f si="42" t="shared"/>
        <v>6.4077838566001695E-3</v>
      </c>
      <c r="C35" s="50">
        <f si="42" t="shared"/>
        <v>0</v>
      </c>
      <c r="D35" s="50">
        <f si="42" t="shared"/>
        <v>0</v>
      </c>
      <c r="E35" s="50">
        <f si="42" t="shared"/>
        <v>4.7460473240752941E-3</v>
      </c>
      <c r="H35" s="7" t="str">
        <f>$A$13</f>
        <v>Rest</v>
      </c>
      <c r="I35" s="50">
        <f si="43" t="shared"/>
        <v>7.7890215810271751E-2</v>
      </c>
      <c r="J35" s="50">
        <f si="43" t="shared"/>
        <v>9.5308075558263733E-2</v>
      </c>
      <c r="K35" s="50">
        <f si="43" t="shared"/>
        <v>8.2077376178756115E-2</v>
      </c>
      <c r="L35" s="50">
        <f si="43" t="shared"/>
        <v>8.0832757322218896E-2</v>
      </c>
      <c r="O35" s="7" t="str">
        <f>$A$13</f>
        <v>Rest</v>
      </c>
      <c r="P35" s="51">
        <f si="30" t="shared"/>
        <v>7.1482431953671585E-2</v>
      </c>
      <c r="Q35" s="51">
        <f si="30" t="shared"/>
        <v>9.5308075558263733E-2</v>
      </c>
      <c r="R35" s="51">
        <f si="30" t="shared"/>
        <v>8.2077376178756115E-2</v>
      </c>
      <c r="S35" s="51">
        <f si="30" t="shared"/>
        <v>7.6086709998143598E-2</v>
      </c>
    </row>
    <row ht="15.75" r="36" spans="1:19" thickBot="1" x14ac:dyDescent="0.3">
      <c r="A36" s="12" t="s">
        <v>3</v>
      </c>
      <c r="B36" s="17">
        <f>IF(B25&lt;&gt;0,B14/B25,0)</f>
        <v>5.3624334885708728E-3</v>
      </c>
      <c r="C36" s="17">
        <f ref="C36:E36" si="44" t="shared">IF(C25&lt;&gt;0,C14/C25,0)</f>
        <v>0</v>
      </c>
      <c r="D36" s="17">
        <f si="44" t="shared"/>
        <v>9.7123034660408225E-3</v>
      </c>
      <c r="E36" s="17">
        <f si="44" t="shared"/>
        <v>5.481395316512724E-3</v>
      </c>
      <c r="H36" s="12" t="s">
        <v>3</v>
      </c>
      <c r="I36" s="17">
        <f>IF(I25&lt;&gt;0,I14/I25,0)</f>
        <v>6.7898009650342525E-2</v>
      </c>
      <c r="J36" s="17">
        <f ref="J36:L36" si="45" t="shared">IF(J25&lt;&gt;0,J14/J25,0)</f>
        <v>8.5179065111697219E-2</v>
      </c>
      <c r="K36" s="17">
        <f si="45" t="shared"/>
        <v>5.9264206085772098E-2</v>
      </c>
      <c r="L36" s="17">
        <f si="45" t="shared"/>
        <v>6.7526688422561446E-2</v>
      </c>
      <c r="O36" s="12" t="s">
        <v>3</v>
      </c>
      <c r="P36" s="45">
        <f si="30" t="shared"/>
        <v>6.2535576161771647E-2</v>
      </c>
      <c r="Q36" s="45">
        <f ref="Q36" si="46" t="shared">J36-C36</f>
        <v>8.5179065111697219E-2</v>
      </c>
      <c r="R36" s="45">
        <f ref="R36" si="47" t="shared">K36-D36</f>
        <v>4.9551902619731275E-2</v>
      </c>
      <c r="S36" s="45">
        <f ref="S36" si="48" t="shared">L36-E36</f>
        <v>6.204529310604872E-2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L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V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5962.6514999999999</v>
      </c>
      <c r="C8" s="83">
        <f>TLFD!H11</f>
        <v>77177</v>
      </c>
      <c r="D8" s="7"/>
      <c r="E8" s="57" t="s">
        <v>224</v>
      </c>
      <c r="F8" s="72">
        <f>B8/B$11</f>
        <v>1.3147918756350761E-2</v>
      </c>
      <c r="G8" s="72">
        <f>C8/C$11</f>
        <v>0.20676970724793772</v>
      </c>
      <c r="H8" s="7">
        <v>1</v>
      </c>
      <c r="I8">
        <v>10</v>
      </c>
      <c r="J8" s="9">
        <f>F8/G8</f>
        <v>6.3587258169230179E-2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192399.55160000001</v>
      </c>
      <c r="C9" s="83">
        <f>SUM(TLFD!H12:H15)</f>
        <v>165945</v>
      </c>
      <c r="E9" s="57" t="s">
        <v>226</v>
      </c>
      <c r="F9" s="72">
        <f ref="F9:F10" si="1" t="shared">B9/B$11</f>
        <v>0.42424979444046262</v>
      </c>
      <c r="G9" s="72">
        <f ref="G9:G10" si="2" t="shared">C9/C$11</f>
        <v>0.4445935844780054</v>
      </c>
      <c r="H9">
        <v>0.1</v>
      </c>
      <c r="I9">
        <v>11</v>
      </c>
      <c r="J9" s="9">
        <f ref="J9:J10" si="3" t="shared">F9/G9</f>
        <v>0.95424182726021944</v>
      </c>
      <c r="K9" s="9">
        <f>(LN(J9)-LN(J8))*H9</f>
        <v>0.27085040199962712</v>
      </c>
      <c r="L9" s="59">
        <f ref="L9:L10" si="4" t="shared">T13</f>
        <v>-9.7518039976427993</v>
      </c>
      <c r="M9" s="59">
        <f ref="M9:M10" si="5" t="shared">L9+K9</f>
        <v>-9.4809535956431716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255143.14709999997</v>
      </c>
      <c r="C10" s="86">
        <f>SUM(TLFD!H16:H101)</f>
        <v>130129</v>
      </c>
      <c r="E10" s="69" t="s">
        <v>227</v>
      </c>
      <c r="F10" s="75">
        <f si="1" t="shared"/>
        <v>0.56260228680318658</v>
      </c>
      <c r="G10" s="75">
        <f si="2" t="shared"/>
        <v>0.34863670827405685</v>
      </c>
      <c r="H10">
        <v>0.1</v>
      </c>
      <c r="I10" s="6">
        <v>12</v>
      </c>
      <c r="J10" s="18">
        <f si="3" t="shared"/>
        <v>1.6137207398164606</v>
      </c>
      <c r="K10" s="18">
        <f>(LN(J10)-LN(J9)-LN(J8))*H10</f>
        <v>0.32807228551405559</v>
      </c>
      <c r="L10" s="74">
        <f si="4" t="shared"/>
        <v>-1.0599160072038001</v>
      </c>
      <c r="M10" s="74">
        <f si="5" t="shared"/>
        <v>-0.73184372168974443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453505.35019999999</v>
      </c>
      <c r="C11" s="82">
        <f>SUM(C8:C10)</f>
        <v>373251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-9.4809535956431716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-0.73184372168974443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39667</v>
      </c>
      <c r="E17" s="64" t="s">
        <v>225</v>
      </c>
      <c r="F17" s="77">
        <f>B17/B18</f>
        <v>5.481395316512724E-3</v>
      </c>
      <c r="G17" s="77">
        <f>C17/C18</f>
        <v>6.7526688422561446E-2</v>
      </c>
      <c r="I17" s="65">
        <v>50</v>
      </c>
      <c r="J17" s="66">
        <f>F17/G17</f>
        <v>8.1173761731240565E-2</v>
      </c>
      <c r="K17" s="66">
        <f>LN(J17)</f>
        <v>-2.5111632154213641</v>
      </c>
      <c r="L17" s="79">
        <f>T33</f>
        <v>-52.496387392000003</v>
      </c>
      <c r="M17" s="78">
        <f ref="M17" si="7" t="shared">L17+K17</f>
        <v>-55.007550607421365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630280.37580000004</v>
      </c>
      <c r="C18" s="82">
        <f>SchoolAtHome!L25</f>
        <v>587427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-55.007550607421365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baseType="lpstr" size="44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2019-10-07T21:07:08Z</dcterms:modified>
</cp:coreProperties>
</file>