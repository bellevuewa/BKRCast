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50E6A7F5-FD1A-420E-A9F7-B9F4A28C65BD}" xr6:coauthVersionLast="47" xr6:coauthVersionMax="47" xr10:uidLastSave="{00000000-0000-0000-0000-000000000000}"/>
  <bookViews>
    <workbookView xWindow="10545" yWindow="4890" windowWidth="7200" windowHeight="4050" firstSheet="3" activeTab="3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County_Flow!$M$7:$S$13</definedName>
    <definedName name="out_12">SchoolAtHome!$I$18:$K$24</definedName>
    <definedName name="out_14">SchoolAtHome!$I$7:$K$13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5" i="1" l="1"/>
  <c r="H24" i="1"/>
  <c r="H23" i="1"/>
  <c r="Q33" i="12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D26" i="1" s="1"/>
  <c r="U9" i="1"/>
  <c r="H22" i="1" s="1"/>
  <c r="U8" i="1"/>
  <c r="H21" i="1" s="1"/>
  <c r="U7" i="1"/>
  <c r="J7" i="1"/>
  <c r="H20" i="1" l="1"/>
  <c r="H26" i="1"/>
  <c r="B26" i="1"/>
  <c r="G26" i="1"/>
  <c r="E26" i="1"/>
  <c r="C26" i="1"/>
  <c r="I26" i="1"/>
  <c r="F26" i="1"/>
  <c r="J26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Q39" i="1" l="1"/>
  <c r="S33" i="1"/>
  <c r="S36" i="1"/>
  <c r="P39" i="1"/>
  <c r="R39" i="1"/>
  <c r="S37" i="1"/>
  <c r="M39" i="1"/>
  <c r="O39" i="1"/>
  <c r="S34" i="1"/>
  <c r="S39" i="1"/>
  <c r="N39" i="1"/>
  <c r="S35" i="1"/>
  <c r="S38" i="1"/>
  <c r="G17" i="15"/>
  <c r="H28" i="1"/>
  <c r="T40" i="1"/>
  <c r="N40" i="1"/>
  <c r="Q40" i="1"/>
  <c r="U40" i="1"/>
  <c r="T39" i="1"/>
  <c r="P40" i="1"/>
  <c r="M40" i="1"/>
  <c r="R40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D39" i="1" l="1"/>
  <c r="H36" i="1"/>
  <c r="H38" i="1"/>
  <c r="H33" i="1"/>
  <c r="H34" i="1"/>
  <c r="H35" i="1"/>
  <c r="H37" i="1"/>
  <c r="Z39" i="1"/>
  <c r="AD36" i="1"/>
  <c r="AD33" i="1"/>
  <c r="AD38" i="1"/>
  <c r="G39" i="1"/>
  <c r="AC39" i="1" s="1"/>
  <c r="B39" i="1"/>
  <c r="X39" i="1" s="1"/>
  <c r="AD34" i="1"/>
  <c r="H39" i="1"/>
  <c r="AD35" i="1"/>
  <c r="E39" i="1"/>
  <c r="AA39" i="1" s="1"/>
  <c r="AD39" i="1"/>
  <c r="F39" i="1"/>
  <c r="AB39" i="1" s="1"/>
  <c r="AD37" i="1"/>
  <c r="C39" i="1"/>
  <c r="Y39" i="1" s="1"/>
  <c r="I39" i="1"/>
  <c r="AE39" i="1" s="1"/>
  <c r="F35" i="1"/>
  <c r="AB35" i="1" s="1"/>
  <c r="H40" i="1"/>
  <c r="AD40" i="1" s="1"/>
  <c r="J39" i="1"/>
  <c r="AF39" i="1" s="1"/>
  <c r="H41" i="1"/>
  <c r="AD41" i="1" s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<sst xmlns="http://schemas.openxmlformats.org/spreadsheetml/2006/main" count="673" uniqueCount="260">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</sst>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168" fontId="0" fillId="0" borderId="5" xfId="8" applyNumberFormat="1" applyFont="1" applyBorder="1"/>
    <xf numFmtId="168" fontId="0" fillId="0" borderId="4" xfId="8" applyNumberFormat="1" applyFont="1" applyBorder="1"/>
    <xf numFmtId="168" fontId="0" fillId="0" borderId="0" xfId="8" applyNumberFormat="1" applyFont="1"/>
    <xf numFmtId="168" fontId="0" fillId="0" borderId="1" xfId="8" applyNumberFormat="1" applyFont="1" applyBorder="1"/>
    <xf numFmtId="168" fontId="2" fillId="0" borderId="0" xfId="8" applyNumberFormat="1" applyFont="1" applyAlignment="1"/>
    <xf numFmtId="168" fontId="0" fillId="0" borderId="3" xfId="8" applyNumberFormat="1" applyFont="1" applyBorder="1"/>
    <xf numFmtId="168" fontId="0" fillId="0" borderId="0" xfId="8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13449.250400000001</c:v>
                </c:pt>
                <c:pt idx="1">
                  <c:v>18505.056499999999</c:v>
                </c:pt>
                <c:pt idx="2">
                  <c:v>34783.411999999997</c:v>
                </c:pt>
                <c:pt idx="3">
                  <c:v>53922.775099999999</c:v>
                </c:pt>
                <c:pt idx="4">
                  <c:v>120608.25200000001</c:v>
                </c:pt>
                <c:pt idx="5">
                  <c:v>49259.2546</c:v>
                </c:pt>
                <c:pt idx="6">
                  <c:v>92286.077999999994</c:v>
                </c:pt>
                <c:pt idx="7">
                  <c:v>26169.298300000002</c:v>
                </c:pt>
                <c:pt idx="8">
                  <c:v>22460.7228</c:v>
                </c:pt>
                <c:pt idx="9">
                  <c:v>12996.7245</c:v>
                </c:pt>
                <c:pt idx="10">
                  <c:v>27721.662800000002</c:v>
                </c:pt>
                <c:pt idx="11">
                  <c:v>10677.8676</c:v>
                </c:pt>
                <c:pt idx="12">
                  <c:v>6635.6228000000001</c:v>
                </c:pt>
                <c:pt idx="13">
                  <c:v>2201.4341999999997</c:v>
                </c:pt>
                <c:pt idx="14">
                  <c:v>3388.4443999999999</c:v>
                </c:pt>
                <c:pt idx="15">
                  <c:v>2118.5565000000001</c:v>
                </c:pt>
                <c:pt idx="16">
                  <c:v>5923.4503999999997</c:v>
                </c:pt>
                <c:pt idx="17">
                  <c:v>1395.5049999999999</c:v>
                </c:pt>
                <c:pt idx="18">
                  <c:v>3011.0068000000001</c:v>
                </c:pt>
                <c:pt idx="19">
                  <c:v>1708.3232</c:v>
                </c:pt>
                <c:pt idx="20">
                  <c:v>47.592999999999996</c:v>
                </c:pt>
                <c:pt idx="21">
                  <c:v>6176.7619000000004</c:v>
                </c:pt>
                <c:pt idx="22">
                  <c:v>253.89509999999999</c:v>
                </c:pt>
                <c:pt idx="23">
                  <c:v>2951.8852999999999</c:v>
                </c:pt>
                <c:pt idx="24">
                  <c:v>35.024999999999999</c:v>
                </c:pt>
                <c:pt idx="25">
                  <c:v>32.000999999999998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144512</c:v>
                </c:pt>
                <c:pt idx="1">
                  <c:v>88030</c:v>
                </c:pt>
                <c:pt idx="2">
                  <c:v>48351</c:v>
                </c:pt>
                <c:pt idx="3">
                  <c:v>27803</c:v>
                </c:pt>
                <c:pt idx="4">
                  <c:v>128904</c:v>
                </c:pt>
                <c:pt idx="5">
                  <c:v>61944</c:v>
                </c:pt>
                <c:pt idx="6">
                  <c:v>61579</c:v>
                </c:pt>
                <c:pt idx="7">
                  <c:v>34598</c:v>
                </c:pt>
                <c:pt idx="8">
                  <c:v>32366</c:v>
                </c:pt>
                <c:pt idx="9">
                  <c:v>22512</c:v>
                </c:pt>
                <c:pt idx="10">
                  <c:v>7549</c:v>
                </c:pt>
                <c:pt idx="11">
                  <c:v>9900</c:v>
                </c:pt>
                <c:pt idx="12">
                  <c:v>7830</c:v>
                </c:pt>
                <c:pt idx="13">
                  <c:v>9520</c:v>
                </c:pt>
                <c:pt idx="14">
                  <c:v>6445</c:v>
                </c:pt>
                <c:pt idx="15">
                  <c:v>3906</c:v>
                </c:pt>
                <c:pt idx="16">
                  <c:v>3301</c:v>
                </c:pt>
                <c:pt idx="17">
                  <c:v>2885</c:v>
                </c:pt>
                <c:pt idx="18">
                  <c:v>3793</c:v>
                </c:pt>
                <c:pt idx="19">
                  <c:v>1593</c:v>
                </c:pt>
                <c:pt idx="20">
                  <c:v>3650</c:v>
                </c:pt>
                <c:pt idx="21">
                  <c:v>2538</c:v>
                </c:pt>
                <c:pt idx="22">
                  <c:v>1911</c:v>
                </c:pt>
                <c:pt idx="23">
                  <c:v>1686</c:v>
                </c:pt>
                <c:pt idx="24">
                  <c:v>1817</c:v>
                </c:pt>
                <c:pt idx="25">
                  <c:v>1173</c:v>
                </c:pt>
                <c:pt idx="26">
                  <c:v>955</c:v>
                </c:pt>
                <c:pt idx="27">
                  <c:v>1427</c:v>
                </c:pt>
                <c:pt idx="28">
                  <c:v>1000</c:v>
                </c:pt>
                <c:pt idx="29">
                  <c:v>283</c:v>
                </c:pt>
                <c:pt idx="30">
                  <c:v>1307</c:v>
                </c:pt>
                <c:pt idx="31">
                  <c:v>788</c:v>
                </c:pt>
                <c:pt idx="32">
                  <c:v>521</c:v>
                </c:pt>
                <c:pt idx="33">
                  <c:v>502</c:v>
                </c:pt>
                <c:pt idx="34">
                  <c:v>449</c:v>
                </c:pt>
                <c:pt idx="35">
                  <c:v>172</c:v>
                </c:pt>
                <c:pt idx="36">
                  <c:v>752</c:v>
                </c:pt>
                <c:pt idx="37">
                  <c:v>208</c:v>
                </c:pt>
                <c:pt idx="38">
                  <c:v>327</c:v>
                </c:pt>
                <c:pt idx="39">
                  <c:v>216</c:v>
                </c:pt>
                <c:pt idx="40">
                  <c:v>204</c:v>
                </c:pt>
                <c:pt idx="41">
                  <c:v>140</c:v>
                </c:pt>
                <c:pt idx="42">
                  <c:v>67</c:v>
                </c:pt>
                <c:pt idx="43">
                  <c:v>98</c:v>
                </c:pt>
                <c:pt idx="44">
                  <c:v>44</c:v>
                </c:pt>
                <c:pt idx="45">
                  <c:v>205</c:v>
                </c:pt>
                <c:pt idx="46">
                  <c:v>174</c:v>
                </c:pt>
                <c:pt idx="47">
                  <c:v>79</c:v>
                </c:pt>
                <c:pt idx="48">
                  <c:v>25</c:v>
                </c:pt>
                <c:pt idx="49">
                  <c:v>161</c:v>
                </c:pt>
                <c:pt idx="50">
                  <c:v>4</c:v>
                </c:pt>
                <c:pt idx="51">
                  <c:v>30</c:v>
                </c:pt>
                <c:pt idx="52">
                  <c:v>7</c:v>
                </c:pt>
                <c:pt idx="53">
                  <c:v>36</c:v>
                </c:pt>
                <c:pt idx="54">
                  <c:v>3</c:v>
                </c:pt>
                <c:pt idx="55">
                  <c:v>0</c:v>
                </c:pt>
                <c:pt idx="56">
                  <c:v>9</c:v>
                </c:pt>
                <c:pt idx="57">
                  <c:v>3</c:v>
                </c:pt>
                <c:pt idx="58">
                  <c:v>7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45912"/>
        <c:axId val="145046304"/>
      </c:lineChart>
      <c:catAx>
        <c:axId val="145045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5046304"/>
        <c:crosses val="autoZero"/>
        <c:auto val="1"/>
        <c:lblAlgn val="ctr"/>
        <c:lblOffset val="100"/>
        <c:noMultiLvlLbl val="0"/>
      </c:catAx>
      <c:valAx>
        <c:axId val="1450463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45045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112.982</c:v>
                </c:pt>
                <c:pt idx="4">
                  <c:v>2974.8512000000001</c:v>
                </c:pt>
                <c:pt idx="5">
                  <c:v>10361.4172</c:v>
                </c:pt>
                <c:pt idx="6">
                  <c:v>4808.4508000000005</c:v>
                </c:pt>
                <c:pt idx="7">
                  <c:v>3082.9245999999998</c:v>
                </c:pt>
                <c:pt idx="8">
                  <c:v>1402.2856999999999</c:v>
                </c:pt>
                <c:pt idx="9">
                  <c:v>9211.3953999999994</c:v>
                </c:pt>
                <c:pt idx="10">
                  <c:v>2206.6204000000002</c:v>
                </c:pt>
                <c:pt idx="11">
                  <c:v>5705.3152999999993</c:v>
                </c:pt>
                <c:pt idx="12">
                  <c:v>18781.993299999998</c:v>
                </c:pt>
                <c:pt idx="13">
                  <c:v>8089.4829999999993</c:v>
                </c:pt>
                <c:pt idx="14">
                  <c:v>12715.929</c:v>
                </c:pt>
                <c:pt idx="15">
                  <c:v>1309.7293</c:v>
                </c:pt>
                <c:pt idx="16">
                  <c:v>29645.162799999998</c:v>
                </c:pt>
                <c:pt idx="17">
                  <c:v>11290.459499999999</c:v>
                </c:pt>
                <c:pt idx="18">
                  <c:v>47442.8151</c:v>
                </c:pt>
                <c:pt idx="19">
                  <c:v>27976.960299999999</c:v>
                </c:pt>
                <c:pt idx="20">
                  <c:v>46526.866699999999</c:v>
                </c:pt>
                <c:pt idx="21">
                  <c:v>26372.836499999998</c:v>
                </c:pt>
                <c:pt idx="22">
                  <c:v>26966.772000000001</c:v>
                </c:pt>
                <c:pt idx="23">
                  <c:v>6011.6054000000004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41359.412899999996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19640.666800000003</c:v>
                </c:pt>
                <c:pt idx="31">
                  <c:v>8290.7476000000006</c:v>
                </c:pt>
                <c:pt idx="32">
                  <c:v>5551.5294000000004</c:v>
                </c:pt>
                <c:pt idx="33">
                  <c:v>5682.5353999999998</c:v>
                </c:pt>
                <c:pt idx="34">
                  <c:v>14120.4557</c:v>
                </c:pt>
                <c:pt idx="35">
                  <c:v>644.71780000000001</c:v>
                </c:pt>
                <c:pt idx="36">
                  <c:v>1592.0895</c:v>
                </c:pt>
                <c:pt idx="37">
                  <c:v>6612.2948000000006</c:v>
                </c:pt>
                <c:pt idx="38">
                  <c:v>6095.4216999999999</c:v>
                </c:pt>
                <c:pt idx="39">
                  <c:v>1802.7855</c:v>
                </c:pt>
                <c:pt idx="40">
                  <c:v>184.36840000000001</c:v>
                </c:pt>
                <c:pt idx="41">
                  <c:v>5701.9362000000001</c:v>
                </c:pt>
                <c:pt idx="42">
                  <c:v>210.09460000000001</c:v>
                </c:pt>
                <c:pt idx="43">
                  <c:v>928.51990000000001</c:v>
                </c:pt>
                <c:pt idx="44">
                  <c:v>1009.3191</c:v>
                </c:pt>
                <c:pt idx="45">
                  <c:v>20992.665500000003</c:v>
                </c:pt>
                <c:pt idx="46">
                  <c:v>1468.7342000000001</c:v>
                </c:pt>
                <c:pt idx="47">
                  <c:v>727.88810000000001</c:v>
                </c:pt>
                <c:pt idx="48">
                  <c:v>39.186</c:v>
                </c:pt>
                <c:pt idx="49">
                  <c:v>1305.0394000000001</c:v>
                </c:pt>
                <c:pt idx="50">
                  <c:v>319.60469999999998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56014</c:v>
                </c:pt>
                <c:pt idx="1">
                  <c:v>18167</c:v>
                </c:pt>
                <c:pt idx="2">
                  <c:v>23422</c:v>
                </c:pt>
                <c:pt idx="3">
                  <c:v>25228</c:v>
                </c:pt>
                <c:pt idx="4">
                  <c:v>24651</c:v>
                </c:pt>
                <c:pt idx="5">
                  <c:v>23594</c:v>
                </c:pt>
                <c:pt idx="6">
                  <c:v>22069</c:v>
                </c:pt>
                <c:pt idx="7">
                  <c:v>19380</c:v>
                </c:pt>
                <c:pt idx="8">
                  <c:v>16540</c:v>
                </c:pt>
                <c:pt idx="9">
                  <c:v>14399</c:v>
                </c:pt>
                <c:pt idx="10">
                  <c:v>12401</c:v>
                </c:pt>
                <c:pt idx="11">
                  <c:v>10843</c:v>
                </c:pt>
                <c:pt idx="12">
                  <c:v>9809</c:v>
                </c:pt>
                <c:pt idx="13">
                  <c:v>8485</c:v>
                </c:pt>
                <c:pt idx="14">
                  <c:v>8452</c:v>
                </c:pt>
                <c:pt idx="15">
                  <c:v>7248</c:v>
                </c:pt>
                <c:pt idx="16">
                  <c:v>6983</c:v>
                </c:pt>
                <c:pt idx="17">
                  <c:v>6763</c:v>
                </c:pt>
                <c:pt idx="18">
                  <c:v>94783</c:v>
                </c:pt>
                <c:pt idx="19">
                  <c:v>22624</c:v>
                </c:pt>
                <c:pt idx="20">
                  <c:v>30285</c:v>
                </c:pt>
                <c:pt idx="21">
                  <c:v>27600</c:v>
                </c:pt>
                <c:pt idx="22">
                  <c:v>27748</c:v>
                </c:pt>
                <c:pt idx="23">
                  <c:v>24618</c:v>
                </c:pt>
                <c:pt idx="24">
                  <c:v>21786</c:v>
                </c:pt>
                <c:pt idx="25">
                  <c:v>20620</c:v>
                </c:pt>
                <c:pt idx="26">
                  <c:v>16855</c:v>
                </c:pt>
                <c:pt idx="27">
                  <c:v>15546</c:v>
                </c:pt>
                <c:pt idx="28">
                  <c:v>13281</c:v>
                </c:pt>
                <c:pt idx="29">
                  <c:v>8459</c:v>
                </c:pt>
                <c:pt idx="30">
                  <c:v>8532</c:v>
                </c:pt>
                <c:pt idx="31">
                  <c:v>7990</c:v>
                </c:pt>
                <c:pt idx="32">
                  <c:v>10346</c:v>
                </c:pt>
                <c:pt idx="33">
                  <c:v>10177</c:v>
                </c:pt>
                <c:pt idx="34">
                  <c:v>5883</c:v>
                </c:pt>
                <c:pt idx="35">
                  <c:v>3245</c:v>
                </c:pt>
                <c:pt idx="36">
                  <c:v>3582</c:v>
                </c:pt>
                <c:pt idx="37">
                  <c:v>5652</c:v>
                </c:pt>
                <c:pt idx="38">
                  <c:v>1507</c:v>
                </c:pt>
                <c:pt idx="39">
                  <c:v>4626</c:v>
                </c:pt>
                <c:pt idx="40">
                  <c:v>2608</c:v>
                </c:pt>
                <c:pt idx="41">
                  <c:v>1440</c:v>
                </c:pt>
                <c:pt idx="42">
                  <c:v>1823</c:v>
                </c:pt>
                <c:pt idx="43">
                  <c:v>1279</c:v>
                </c:pt>
                <c:pt idx="44">
                  <c:v>913</c:v>
                </c:pt>
                <c:pt idx="45">
                  <c:v>2510</c:v>
                </c:pt>
                <c:pt idx="46">
                  <c:v>997</c:v>
                </c:pt>
                <c:pt idx="47">
                  <c:v>2724</c:v>
                </c:pt>
                <c:pt idx="48">
                  <c:v>1800</c:v>
                </c:pt>
                <c:pt idx="49">
                  <c:v>1537</c:v>
                </c:pt>
                <c:pt idx="50">
                  <c:v>787</c:v>
                </c:pt>
                <c:pt idx="51">
                  <c:v>1397</c:v>
                </c:pt>
                <c:pt idx="52">
                  <c:v>796</c:v>
                </c:pt>
                <c:pt idx="53">
                  <c:v>461</c:v>
                </c:pt>
                <c:pt idx="54">
                  <c:v>893</c:v>
                </c:pt>
                <c:pt idx="55">
                  <c:v>1170</c:v>
                </c:pt>
                <c:pt idx="56">
                  <c:v>845</c:v>
                </c:pt>
                <c:pt idx="57">
                  <c:v>775</c:v>
                </c:pt>
                <c:pt idx="58">
                  <c:v>527</c:v>
                </c:pt>
                <c:pt idx="59">
                  <c:v>321</c:v>
                </c:pt>
                <c:pt idx="60">
                  <c:v>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50616"/>
        <c:axId val="145047480"/>
      </c:lineChart>
      <c:catAx>
        <c:axId val="145050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5047480"/>
        <c:crosses val="autoZero"/>
        <c:auto val="1"/>
        <c:lblAlgn val="ctr"/>
        <c:lblOffset val="100"/>
        <c:noMultiLvlLbl val="0"/>
      </c:catAx>
      <c:valAx>
        <c:axId val="145047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45050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workbookViewId="0">
      <selection activeCell="L21" sqref="L2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3" max="4" bestFit="true" customWidth="true" width="9.59765625" collapsed="true"/>
    <col min="5" max="5" bestFit="true" customWidth="true" width="10.59765625" collapsed="true"/>
    <col min="7" max="7" customWidth="true" width="13.13281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5.86328125" collapsed="true"/>
    <col min="15" max="15" bestFit="true" customWidth="true" width="15.73046875" collapsed="true"/>
  </cols>
  <sheetData>
    <row r="1" spans="1:19" x14ac:dyDescent="0.45">
      <c r="A1" t="s">
        <v>1</v>
      </c>
    </row>
    <row r="2" spans="1:19" x14ac:dyDescent="0.45">
      <c r="A2" t="s">
        <v>247</v>
      </c>
    </row>
    <row r="3" spans="1:19" x14ac:dyDescent="0.45">
      <c r="A3" t="s">
        <v>248</v>
      </c>
    </row>
    <row r="4" spans="1:19" x14ac:dyDescent="0.45">
      <c r="A4" t="s">
        <v>4</v>
      </c>
    </row>
    <row r="5" spans="1:19" x14ac:dyDescent="0.45">
      <c r="A5" t="s">
        <v>5</v>
      </c>
    </row>
    <row r="7" spans="1:19" x14ac:dyDescent="0.45">
      <c r="A7" t="s">
        <v>8</v>
      </c>
    </row>
    <row r="9" spans="1:19" ht="14.65" thickBot="1" x14ac:dyDescent="0.5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4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r="11" spans="1:19" ht="14.65" thickBot="1" x14ac:dyDescent="0.5">
      <c r="A11">
        <v>0</v>
      </c>
      <c r="B11" s="83" t="n">
        <v>5962.6515</v>
      </c>
      <c r="C11" s="83" t="n">
        <v>0.0</v>
      </c>
      <c r="D11" s="83" t="n">
        <v>7486.5989</v>
      </c>
      <c r="E11" s="83">
        <f t="shared" ref="E11:E42" si="0">SUM(B11:D11)</f>
        <v>13449.250400000001</v>
      </c>
      <c r="G11">
        <v>0</v>
      </c>
      <c r="H11" s="83" t="n">
        <v>105339.0</v>
      </c>
      <c r="I11" s="83" t="n">
        <v>14330.0</v>
      </c>
      <c r="J11" s="85" t="n">
        <v>26030.0</v>
      </c>
      <c r="K11" s="83">
        <f t="shared" ref="K11:K42" si="1">SUM(H11:J11)</f>
        <v>144512</v>
      </c>
      <c r="M11" t="s">
        <v>41</v>
      </c>
      <c r="N11" s="9" t="n">
        <v>5.704377106093364</v>
      </c>
      <c r="O11" s="9" t="n">
        <v>3.5343539493495806</v>
      </c>
      <c r="Q11" s="1" t="s">
        <v>3</v>
      </c>
      <c r="R11" s="10"/>
      <c r="S11" s="10"/>
    </row>
    <row r="12" spans="1:19" x14ac:dyDescent="0.45">
      <c r="A12">
        <v>1</v>
      </c>
      <c r="B12" s="83" t="n">
        <v>17543.5964</v>
      </c>
      <c r="C12" s="83" t="n">
        <v>411.5173</v>
      </c>
      <c r="D12" s="83" t="n">
        <v>549.9428</v>
      </c>
      <c r="E12" s="83">
        <f t="shared" si="0"/>
        <v>18505.056499999999</v>
      </c>
      <c r="G12">
        <v>1</v>
      </c>
      <c r="H12" s="83" t="n">
        <v>69822.0</v>
      </c>
      <c r="I12" s="83" t="n">
        <v>8340.0</v>
      </c>
      <c r="J12" s="85" t="n">
        <v>9397.0</v>
      </c>
      <c r="K12" s="83">
        <f t="shared" si="1"/>
        <v>88030</v>
      </c>
      <c r="M12" t="s">
        <v>42</v>
      </c>
      <c r="N12" s="9" t="n">
        <v>6.775872419438738</v>
      </c>
      <c r="O12" s="9" t="n">
        <v>5.196680517297892</v>
      </c>
      <c r="R12" s="9"/>
      <c r="S12" s="9"/>
    </row>
    <row r="13" spans="1:19" x14ac:dyDescent="0.45">
      <c r="A13">
        <v>2</v>
      </c>
      <c r="B13" s="83" t="n">
        <v>31180.7782</v>
      </c>
      <c r="C13" s="83" t="n">
        <v>2232.3593</v>
      </c>
      <c r="D13" s="83" t="n">
        <v>1370.2745</v>
      </c>
      <c r="E13" s="83">
        <f t="shared" si="0"/>
        <v>34783.411999999997</v>
      </c>
      <c r="G13">
        <v>2</v>
      </c>
      <c r="H13" s="83" t="n">
        <v>38301.0</v>
      </c>
      <c r="I13" s="83" t="n">
        <v>5420.0</v>
      </c>
      <c r="J13" s="85" t="n">
        <v>4449.0</v>
      </c>
      <c r="K13" s="83">
        <f t="shared" si="1"/>
        <v>48351</v>
      </c>
      <c r="M13" s="6" t="s">
        <v>43</v>
      </c>
      <c r="N13" s="18" t="n">
        <v>7.836691010091815</v>
      </c>
      <c r="O13" s="18" t="n">
        <v>8.041199539266506</v>
      </c>
      <c r="Q13" s="7"/>
      <c r="R13" s="33"/>
      <c r="S13" s="33"/>
    </row>
    <row r="14" spans="1:19" ht="14.65" thickBot="1" x14ac:dyDescent="0.5">
      <c r="A14">
        <v>3</v>
      </c>
      <c r="B14" s="83" t="n">
        <v>46981.5065</v>
      </c>
      <c r="C14" s="83" t="n">
        <v>3518.988</v>
      </c>
      <c r="D14" s="83" t="n">
        <v>3422.2806</v>
      </c>
      <c r="E14" s="83">
        <f t="shared" si="0"/>
        <v>53922.775099999999</v>
      </c>
      <c r="G14">
        <v>3</v>
      </c>
      <c r="H14" s="83" t="n">
        <v>21411.0</v>
      </c>
      <c r="I14" s="83" t="n">
        <v>3337.0</v>
      </c>
      <c r="J14" s="85" t="n">
        <v>2957.0</v>
      </c>
      <c r="K14" s="83">
        <f t="shared" si="1"/>
        <v>27803</v>
      </c>
      <c r="M14" s="1" t="s">
        <v>3</v>
      </c>
      <c r="N14" s="10" t="n">
        <v>6.079411014239382</v>
      </c>
      <c r="O14" s="10" t="n">
        <v>4.986019145467388</v>
      </c>
    </row>
    <row r="15" spans="1:19" x14ac:dyDescent="0.45">
      <c r="A15">
        <v>4</v>
      </c>
      <c r="B15" s="83" t="n">
        <v>96693.67050000001</v>
      </c>
      <c r="C15" s="83" t="n">
        <v>12046.4493</v>
      </c>
      <c r="D15" s="83" t="n">
        <v>11868.1322</v>
      </c>
      <c r="E15" s="83">
        <f t="shared" si="0"/>
        <v>120608.25200000001</v>
      </c>
      <c r="G15">
        <v>4</v>
      </c>
      <c r="H15" s="83" t="n">
        <v>90246.0</v>
      </c>
      <c r="I15" s="83" t="n">
        <v>17228.0</v>
      </c>
      <c r="J15" s="85" t="n">
        <v>22770.0</v>
      </c>
      <c r="K15" s="83">
        <f t="shared" si="1"/>
        <v>128904</v>
      </c>
    </row>
    <row r="16" spans="1:19" x14ac:dyDescent="0.45">
      <c r="A16">
        <v>5</v>
      </c>
      <c r="B16" s="83" t="n">
        <v>35959.4025</v>
      </c>
      <c r="C16" s="83" t="n">
        <v>8335.1854</v>
      </c>
      <c r="D16" s="83" t="n">
        <v>4964.6667</v>
      </c>
      <c r="E16" s="83">
        <f t="shared" si="0"/>
        <v>49259.2546</v>
      </c>
      <c r="G16">
        <v>5</v>
      </c>
      <c r="H16" s="83" t="n">
        <v>32489.0</v>
      </c>
      <c r="I16" s="83" t="n">
        <v>8362.0</v>
      </c>
      <c r="J16" s="85" t="n">
        <v>22881.0</v>
      </c>
      <c r="K16" s="83">
        <f t="shared" si="1"/>
        <v>61944</v>
      </c>
    </row>
    <row r="17" spans="1:11" x14ac:dyDescent="0.45">
      <c r="A17">
        <v>6</v>
      </c>
      <c r="B17" s="83" t="n">
        <v>71627.8275</v>
      </c>
      <c r="C17" s="83" t="n">
        <v>13266.2097</v>
      </c>
      <c r="D17" s="83" t="n">
        <v>7392.0408</v>
      </c>
      <c r="E17" s="83">
        <f t="shared" si="0"/>
        <v>92286.077999999994</v>
      </c>
      <c r="G17">
        <v>6</v>
      </c>
      <c r="H17" s="83" t="n">
        <v>35026.0</v>
      </c>
      <c r="I17" s="83" t="n">
        <v>8315.0</v>
      </c>
      <c r="J17" s="85" t="n">
        <v>21468.0</v>
      </c>
      <c r="K17" s="83">
        <f t="shared" si="1"/>
        <v>61579</v>
      </c>
    </row>
    <row r="18" spans="1:11" x14ac:dyDescent="0.45">
      <c r="A18">
        <v>7</v>
      </c>
      <c r="B18" s="83" t="n">
        <v>18891.3201</v>
      </c>
      <c r="C18" s="83" t="n">
        <v>1816.2806</v>
      </c>
      <c r="D18" s="83" t="n">
        <v>5461.6975999999995</v>
      </c>
      <c r="E18" s="83">
        <f t="shared" si="0"/>
        <v>26169.298300000002</v>
      </c>
      <c r="G18">
        <v>7</v>
      </c>
      <c r="H18" s="83" t="n">
        <v>12250.0</v>
      </c>
      <c r="I18" s="83" t="n">
        <v>3451.0</v>
      </c>
      <c r="J18" s="85" t="n">
        <v>14907.0</v>
      </c>
      <c r="K18" s="83">
        <f t="shared" si="1"/>
        <v>34598</v>
      </c>
    </row>
    <row r="19" spans="1:11" x14ac:dyDescent="0.45">
      <c r="A19">
        <v>8</v>
      </c>
      <c r="B19" s="83" t="n">
        <v>16330.6595</v>
      </c>
      <c r="C19" s="83" t="n">
        <v>4914.1557</v>
      </c>
      <c r="D19" s="83" t="n">
        <v>1215.9076</v>
      </c>
      <c r="E19" s="83">
        <f t="shared" si="0"/>
        <v>22460.7228</v>
      </c>
      <c r="G19">
        <v>8</v>
      </c>
      <c r="H19" s="83" t="n">
        <v>16472.0</v>
      </c>
      <c r="I19" s="83" t="n">
        <v>4313.0</v>
      </c>
      <c r="J19" s="85" t="n">
        <v>15523.0</v>
      </c>
      <c r="K19" s="83">
        <f t="shared" si="1"/>
        <v>32366</v>
      </c>
    </row>
    <row r="20" spans="1:11" x14ac:dyDescent="0.45">
      <c r="A20">
        <v>9</v>
      </c>
      <c r="B20" s="83" t="n">
        <v>8463.8262</v>
      </c>
      <c r="C20" s="83" t="n">
        <v>3760.0686</v>
      </c>
      <c r="D20" s="83" t="n">
        <v>772.8297</v>
      </c>
      <c r="E20" s="83">
        <f t="shared" si="0"/>
        <v>12996.7245</v>
      </c>
      <c r="G20">
        <v>9</v>
      </c>
      <c r="H20" s="83" t="n">
        <v>5482.0</v>
      </c>
      <c r="I20" s="83" t="n">
        <v>2245.0</v>
      </c>
      <c r="J20" s="85" t="n">
        <v>13000.0</v>
      </c>
      <c r="K20" s="83">
        <f t="shared" si="1"/>
        <v>22512</v>
      </c>
    </row>
    <row r="21" spans="1:11" x14ac:dyDescent="0.45">
      <c r="A21">
        <v>10</v>
      </c>
      <c r="B21" s="83" t="n">
        <v>19585.2007</v>
      </c>
      <c r="C21" s="83" t="n">
        <v>3606.0438</v>
      </c>
      <c r="D21" s="83" t="n">
        <v>4530.4183</v>
      </c>
      <c r="E21" s="83">
        <f t="shared" si="0"/>
        <v>27721.662800000002</v>
      </c>
      <c r="G21">
        <v>10</v>
      </c>
      <c r="H21" s="83" t="n">
        <v>3251.0</v>
      </c>
      <c r="I21" s="83" t="n">
        <v>1396.0</v>
      </c>
      <c r="J21" s="85" t="n">
        <v>3579.0</v>
      </c>
      <c r="K21" s="83">
        <f t="shared" si="1"/>
        <v>7549</v>
      </c>
    </row>
    <row r="22" spans="1:11" x14ac:dyDescent="0.45">
      <c r="A22">
        <v>11</v>
      </c>
      <c r="B22" s="83" t="n">
        <v>8485.6852</v>
      </c>
      <c r="C22" s="83" t="n">
        <v>1609.5451</v>
      </c>
      <c r="D22" s="83" t="n">
        <v>582.6373</v>
      </c>
      <c r="E22" s="83">
        <f t="shared" si="0"/>
        <v>10677.8676</v>
      </c>
      <c r="G22">
        <v>11</v>
      </c>
      <c r="H22" s="83" t="n">
        <v>4432.0</v>
      </c>
      <c r="I22" s="83" t="n">
        <v>1726.0</v>
      </c>
      <c r="J22" s="85" t="n">
        <v>4828.0</v>
      </c>
      <c r="K22" s="83">
        <f t="shared" si="1"/>
        <v>9900</v>
      </c>
    </row>
    <row r="23" spans="1:11" x14ac:dyDescent="0.45">
      <c r="A23">
        <v>12</v>
      </c>
      <c r="B23" s="83" t="n">
        <v>2878.1041</v>
      </c>
      <c r="C23" s="83" t="n">
        <v>1171.11</v>
      </c>
      <c r="D23" s="83" t="n">
        <v>2586.4087</v>
      </c>
      <c r="E23" s="83">
        <f t="shared" si="0"/>
        <v>6635.6228000000001</v>
      </c>
      <c r="G23">
        <v>12</v>
      </c>
      <c r="H23" s="83" t="n">
        <v>2349.0</v>
      </c>
      <c r="I23" s="83" t="n">
        <v>1015.0</v>
      </c>
      <c r="J23" s="85" t="n">
        <v>6193.0</v>
      </c>
      <c r="K23" s="83">
        <f t="shared" si="1"/>
        <v>7830</v>
      </c>
    </row>
    <row r="24" spans="1:11" x14ac:dyDescent="0.45">
      <c r="A24">
        <v>13</v>
      </c>
      <c r="B24" s="83" t="n">
        <v>1833.3625</v>
      </c>
      <c r="C24" s="83" t="n">
        <v>0.0</v>
      </c>
      <c r="D24" s="83" t="n">
        <v>368.07169999999996</v>
      </c>
      <c r="E24" s="83">
        <f t="shared" si="0"/>
        <v>2201.4341999999997</v>
      </c>
      <c r="G24">
        <v>13</v>
      </c>
      <c r="H24" s="83" t="n">
        <v>1424.0</v>
      </c>
      <c r="I24" s="83" t="n">
        <v>1071.0</v>
      </c>
      <c r="J24" s="85" t="n">
        <v>5868.0</v>
      </c>
      <c r="K24" s="83">
        <f t="shared" si="1"/>
        <v>9520</v>
      </c>
    </row>
    <row r="25" spans="1:11" x14ac:dyDescent="0.45">
      <c r="A25">
        <v>14</v>
      </c>
      <c r="B25" s="83" t="n">
        <v>1214.683</v>
      </c>
      <c r="C25" s="83" t="n">
        <v>0.0</v>
      </c>
      <c r="D25" s="83" t="n">
        <v>2173.7614</v>
      </c>
      <c r="E25" s="83">
        <f t="shared" si="0"/>
        <v>3388.4443999999999</v>
      </c>
      <c r="G25">
        <v>14</v>
      </c>
      <c r="H25" s="83" t="n">
        <v>669.0</v>
      </c>
      <c r="I25" s="83" t="n">
        <v>603.0</v>
      </c>
      <c r="J25" s="85" t="n">
        <v>4857.0</v>
      </c>
      <c r="K25" s="83">
        <f t="shared" si="1"/>
        <v>6445</v>
      </c>
    </row>
    <row r="26" spans="1:11" x14ac:dyDescent="0.45">
      <c r="A26">
        <v>15</v>
      </c>
      <c r="B26" s="83" t="n">
        <v>1031.4047</v>
      </c>
      <c r="C26" s="83" t="n">
        <v>0.0</v>
      </c>
      <c r="D26" s="83" t="n">
        <v>1087.1518</v>
      </c>
      <c r="E26" s="83">
        <f t="shared" si="0"/>
        <v>2118.5565000000001</v>
      </c>
      <c r="G26">
        <v>15</v>
      </c>
      <c r="H26" s="83" t="n">
        <v>848.0</v>
      </c>
      <c r="I26" s="83" t="n">
        <v>841.0</v>
      </c>
      <c r="J26" s="85" t="n">
        <v>2513.0</v>
      </c>
      <c r="K26" s="83">
        <f t="shared" si="1"/>
        <v>3906</v>
      </c>
    </row>
    <row r="27" spans="1:11" x14ac:dyDescent="0.45">
      <c r="A27">
        <v>16</v>
      </c>
      <c r="B27" s="83" t="n">
        <v>4593.0206</v>
      </c>
      <c r="C27" s="83" t="n">
        <v>644.3417</v>
      </c>
      <c r="D27" s="83" t="n">
        <v>686.0880999999999</v>
      </c>
      <c r="E27" s="83">
        <f t="shared" si="0"/>
        <v>5923.4503999999997</v>
      </c>
      <c r="G27">
        <v>16</v>
      </c>
      <c r="H27" s="83" t="n">
        <v>352.0</v>
      </c>
      <c r="I27" s="83" t="n">
        <v>499.0</v>
      </c>
      <c r="J27" s="85" t="n">
        <v>2822.0</v>
      </c>
      <c r="K27" s="83">
        <f t="shared" si="1"/>
        <v>3301</v>
      </c>
    </row>
    <row r="28" spans="1:11" x14ac:dyDescent="0.45">
      <c r="A28">
        <v>17</v>
      </c>
      <c r="B28" s="83" t="n">
        <v>476.72499999999997</v>
      </c>
      <c r="C28" s="83" t="n">
        <v>542.7239</v>
      </c>
      <c r="D28" s="83" t="n">
        <v>376.0561</v>
      </c>
      <c r="E28" s="83">
        <f t="shared" si="0"/>
        <v>1395.5049999999999</v>
      </c>
      <c r="G28">
        <v>17</v>
      </c>
      <c r="H28" s="83" t="n">
        <v>296.0</v>
      </c>
      <c r="I28" s="83" t="n">
        <v>508.0</v>
      </c>
      <c r="J28" s="85" t="n">
        <v>2416.0</v>
      </c>
      <c r="K28" s="83">
        <f t="shared" si="1"/>
        <v>2885</v>
      </c>
    </row>
    <row r="29" spans="1:11" x14ac:dyDescent="0.45">
      <c r="A29">
        <v>18</v>
      </c>
      <c r="B29" s="83" t="n">
        <v>1154.3296</v>
      </c>
      <c r="C29" s="83" t="n">
        <v>522.3251</v>
      </c>
      <c r="D29" s="83" t="n">
        <v>1334.3520999999998</v>
      </c>
      <c r="E29" s="83">
        <f t="shared" si="0"/>
        <v>3011.0068000000001</v>
      </c>
      <c r="G29">
        <v>18</v>
      </c>
      <c r="H29" s="83" t="n">
        <v>142.0</v>
      </c>
      <c r="I29" s="83" t="n">
        <v>357.0</v>
      </c>
      <c r="J29" s="85" t="n">
        <v>2380.0</v>
      </c>
      <c r="K29" s="83">
        <f t="shared" si="1"/>
        <v>3793</v>
      </c>
    </row>
    <row r="30" spans="1:11" x14ac:dyDescent="0.45">
      <c r="A30">
        <v>19</v>
      </c>
      <c r="B30" s="83" t="n">
        <v>279.8517</v>
      </c>
      <c r="C30" s="83" t="n">
        <v>438.0688</v>
      </c>
      <c r="D30" s="83" t="n">
        <v>990.4027000000001</v>
      </c>
      <c r="E30" s="83">
        <f t="shared" si="0"/>
        <v>1708.3232</v>
      </c>
      <c r="G30">
        <v>19</v>
      </c>
      <c r="H30" s="83" t="n">
        <v>66.0</v>
      </c>
      <c r="I30" s="83" t="n">
        <v>215.0</v>
      </c>
      <c r="J30" s="85" t="n">
        <v>1141.0</v>
      </c>
      <c r="K30" s="83">
        <f t="shared" si="1"/>
        <v>1593</v>
      </c>
    </row>
    <row r="31" spans="1:11" x14ac:dyDescent="0.45">
      <c r="A31">
        <v>20</v>
      </c>
      <c r="B31" s="83" t="n">
        <v>0.0</v>
      </c>
      <c r="C31" s="83" t="n">
        <v>0.0</v>
      </c>
      <c r="D31" s="83" t="n">
        <v>47.592999999999996</v>
      </c>
      <c r="E31" s="83">
        <f t="shared" si="0"/>
        <v>47.592999999999996</v>
      </c>
      <c r="G31">
        <v>20</v>
      </c>
      <c r="H31" s="83" t="n">
        <v>61.0</v>
      </c>
      <c r="I31" s="83" t="n">
        <v>228.0</v>
      </c>
      <c r="J31" s="85" t="n">
        <v>3038.0</v>
      </c>
      <c r="K31" s="83">
        <f t="shared" si="1"/>
        <v>3650</v>
      </c>
    </row>
    <row r="32" spans="1:11" x14ac:dyDescent="0.45">
      <c r="A32">
        <v>21</v>
      </c>
      <c r="B32" s="83" t="n">
        <v>5789.6123</v>
      </c>
      <c r="C32" s="83" t="n">
        <v>309.8473</v>
      </c>
      <c r="D32" s="83" t="n">
        <v>77.30229999999999</v>
      </c>
      <c r="E32" s="83">
        <f t="shared" si="0"/>
        <v>6176.7619000000004</v>
      </c>
      <c r="G32">
        <v>21</v>
      </c>
      <c r="H32" s="83" t="n">
        <v>47.0</v>
      </c>
      <c r="I32" s="83" t="n">
        <v>160.0</v>
      </c>
      <c r="J32" s="85" t="n">
        <v>1498.0</v>
      </c>
      <c r="K32" s="83">
        <f t="shared" si="1"/>
        <v>2538</v>
      </c>
    </row>
    <row r="33" spans="1:11" x14ac:dyDescent="0.45">
      <c r="A33">
        <v>22</v>
      </c>
      <c r="B33" s="83" t="n">
        <v>212.6231</v>
      </c>
      <c r="C33" s="83" t="n">
        <v>0.0</v>
      </c>
      <c r="D33" s="83" t="n">
        <v>41.272</v>
      </c>
      <c r="E33" s="83">
        <f t="shared" si="0"/>
        <v>253.89509999999999</v>
      </c>
      <c r="G33">
        <v>22</v>
      </c>
      <c r="H33" s="83" t="n">
        <v>16.0</v>
      </c>
      <c r="I33" s="83" t="n">
        <v>126.0</v>
      </c>
      <c r="J33" s="85" t="n">
        <v>1415.0</v>
      </c>
      <c r="K33" s="83">
        <f t="shared" si="1"/>
        <v>1911</v>
      </c>
    </row>
    <row r="34" spans="1:11" x14ac:dyDescent="0.45">
      <c r="A34">
        <v>23</v>
      </c>
      <c r="B34" s="83" t="n">
        <v>2931.9003</v>
      </c>
      <c r="C34" s="83" t="n">
        <v>0.0</v>
      </c>
      <c r="D34" s="83" t="n">
        <v>19.985</v>
      </c>
      <c r="E34" s="83">
        <f t="shared" si="0"/>
        <v>2951.8852999999999</v>
      </c>
      <c r="G34">
        <v>23</v>
      </c>
      <c r="H34" s="83" t="n">
        <v>9.0</v>
      </c>
      <c r="I34" s="83" t="n">
        <v>131.0</v>
      </c>
      <c r="J34" s="85" t="n">
        <v>797.0</v>
      </c>
      <c r="K34" s="83">
        <f t="shared" si="1"/>
        <v>1686</v>
      </c>
    </row>
    <row r="35" spans="1:11" x14ac:dyDescent="0.45">
      <c r="A35">
        <v>24</v>
      </c>
      <c r="B35" s="83" t="n">
        <v>0.0</v>
      </c>
      <c r="C35" s="83" t="n">
        <v>0.0</v>
      </c>
      <c r="D35" s="83" t="n">
        <v>35.025</v>
      </c>
      <c r="E35" s="83">
        <f t="shared" si="0"/>
        <v>35.024999999999999</v>
      </c>
      <c r="G35">
        <v>24</v>
      </c>
      <c r="H35" s="83" t="n">
        <v>10.0</v>
      </c>
      <c r="I35" s="83" t="n">
        <v>148.0</v>
      </c>
      <c r="J35" s="85" t="n">
        <v>1098.0</v>
      </c>
      <c r="K35" s="83">
        <f t="shared" si="1"/>
        <v>1817</v>
      </c>
    </row>
    <row r="36" spans="1:11" x14ac:dyDescent="0.45">
      <c r="A36">
        <v>25</v>
      </c>
      <c r="B36" s="83" t="n">
        <v>0.0</v>
      </c>
      <c r="C36" s="83" t="n">
        <v>0.0</v>
      </c>
      <c r="D36" s="83" t="n">
        <v>32.001</v>
      </c>
      <c r="E36" s="83">
        <f t="shared" si="0"/>
        <v>32.000999999999998</v>
      </c>
      <c r="G36">
        <v>25</v>
      </c>
      <c r="H36" s="83" t="n">
        <v>11.0</v>
      </c>
      <c r="I36" s="83" t="n">
        <v>68.0</v>
      </c>
      <c r="J36" s="85" t="n">
        <v>974.0</v>
      </c>
      <c r="K36" s="83">
        <f t="shared" si="1"/>
        <v>1173</v>
      </c>
    </row>
    <row r="37" spans="1:11" x14ac:dyDescent="0.45">
      <c r="A37">
        <v>26</v>
      </c>
      <c r="B37" s="83" t="n">
        <v>775.4409</v>
      </c>
      <c r="C37" s="83" t="n">
        <v>846.0343</v>
      </c>
      <c r="D37" s="83" t="n">
        <v>0.0</v>
      </c>
      <c r="E37" s="83">
        <f t="shared" si="0"/>
        <v>1621.4752000000001</v>
      </c>
      <c r="G37">
        <v>26</v>
      </c>
      <c r="H37" s="83" t="n">
        <v>5.0</v>
      </c>
      <c r="I37" s="83" t="n">
        <v>60.0</v>
      </c>
      <c r="J37" s="85" t="n">
        <v>489.0</v>
      </c>
      <c r="K37" s="83">
        <f t="shared" si="1"/>
        <v>955</v>
      </c>
    </row>
    <row r="38" spans="1:11" x14ac:dyDescent="0.45">
      <c r="A38">
        <v>27</v>
      </c>
      <c r="B38" s="83" t="n">
        <v>0.0</v>
      </c>
      <c r="C38" s="83" t="n">
        <v>0.0</v>
      </c>
      <c r="D38" s="83" t="n">
        <v>569.2839</v>
      </c>
      <c r="E38" s="83">
        <f t="shared" si="0"/>
        <v>569.28390000000002</v>
      </c>
      <c r="G38">
        <v>27</v>
      </c>
      <c r="H38" s="83" t="n">
        <v>2.0</v>
      </c>
      <c r="I38" s="83" t="n">
        <v>67.0</v>
      </c>
      <c r="J38" s="85" t="n">
        <v>837.0</v>
      </c>
      <c r="K38" s="83">
        <f t="shared" si="1"/>
        <v>1427</v>
      </c>
    </row>
    <row r="39" spans="1:11" x14ac:dyDescent="0.45">
      <c r="A39">
        <v>28</v>
      </c>
      <c r="B39" s="83" t="n">
        <v>1297.2364</v>
      </c>
      <c r="C39" s="83" t="n">
        <v>0.0</v>
      </c>
      <c r="D39" s="83" t="n">
        <v>0.0</v>
      </c>
      <c r="E39" s="83">
        <f t="shared" si="0"/>
        <v>1297.2364</v>
      </c>
      <c r="G39">
        <v>28</v>
      </c>
      <c r="H39" s="83" t="n">
        <v>3.0</v>
      </c>
      <c r="I39" s="83" t="n">
        <v>45.0</v>
      </c>
      <c r="J39" s="85" t="n">
        <v>295.0</v>
      </c>
      <c r="K39" s="83">
        <f t="shared" si="1"/>
        <v>1000</v>
      </c>
    </row>
    <row r="40" spans="1:11" x14ac:dyDescent="0.45">
      <c r="A40">
        <v>29</v>
      </c>
      <c r="B40" s="83" t="n">
        <v>0.0</v>
      </c>
      <c r="C40" s="83" t="n">
        <v>0.0</v>
      </c>
      <c r="D40" s="83" t="n">
        <v>31.814</v>
      </c>
      <c r="E40" s="83">
        <f t="shared" si="0"/>
        <v>31.814</v>
      </c>
      <c r="G40">
        <v>29</v>
      </c>
      <c r="H40" s="83" t="n">
        <v>2.0</v>
      </c>
      <c r="I40" s="83" t="n">
        <v>51.0</v>
      </c>
      <c r="J40" s="85" t="n">
        <v>386.0</v>
      </c>
      <c r="K40" s="83">
        <f t="shared" si="1"/>
        <v>283</v>
      </c>
    </row>
    <row r="41" spans="1:11" x14ac:dyDescent="0.45">
      <c r="A41">
        <v>30</v>
      </c>
      <c r="B41" s="83" t="n">
        <v>0.0</v>
      </c>
      <c r="C41" s="83" t="n">
        <v>0.0</v>
      </c>
      <c r="D41" s="83" t="n">
        <v>13.399</v>
      </c>
      <c r="E41" s="83">
        <f t="shared" si="0"/>
        <v>13.398999999999999</v>
      </c>
      <c r="G41">
        <v>30</v>
      </c>
      <c r="H41" s="83" t="n">
        <v>1.0</v>
      </c>
      <c r="I41" s="83" t="n">
        <v>29.0</v>
      </c>
      <c r="J41" s="85" t="n">
        <v>385.0</v>
      </c>
      <c r="K41" s="83">
        <f t="shared" si="1"/>
        <v>1307</v>
      </c>
    </row>
    <row r="42" spans="1:11" x14ac:dyDescent="0.45">
      <c r="A42">
        <v>31</v>
      </c>
      <c r="B42" s="83" t="n">
        <v>0.0</v>
      </c>
      <c r="C42" s="83" t="n">
        <v>0.0</v>
      </c>
      <c r="D42" s="83" t="n">
        <v>0.0</v>
      </c>
      <c r="E42" s="83">
        <f t="shared" si="0"/>
        <v>0</v>
      </c>
      <c r="G42">
        <v>31</v>
      </c>
      <c r="H42" s="83" t="n">
        <v>0.0</v>
      </c>
      <c r="I42" s="83" t="n">
        <v>20.0</v>
      </c>
      <c r="J42" s="85" t="n">
        <v>215.0</v>
      </c>
      <c r="K42" s="83">
        <f t="shared" si="1"/>
        <v>788</v>
      </c>
    </row>
    <row r="43" spans="1:11" x14ac:dyDescent="0.45">
      <c r="A43">
        <v>32</v>
      </c>
      <c r="B43" s="83" t="n">
        <v>0.0</v>
      </c>
      <c r="C43" s="83" t="n">
        <v>0.0</v>
      </c>
      <c r="D43" s="83" t="n">
        <v>12.739</v>
      </c>
      <c r="E43" s="83">
        <f t="shared" ref="E43:E74" si="2">SUM(B43:D43)</f>
        <v>12.739000000000001</v>
      </c>
      <c r="G43">
        <v>32</v>
      </c>
      <c r="H43" s="83" t="n">
        <v>0.0</v>
      </c>
      <c r="I43" s="83" t="n">
        <v>19.0</v>
      </c>
      <c r="J43" s="85" t="n">
        <v>462.0</v>
      </c>
      <c r="K43" s="83">
        <f t="shared" ref="K43:K74" si="3">SUM(H43:J43)</f>
        <v>521</v>
      </c>
    </row>
    <row r="44" spans="1:11" x14ac:dyDescent="0.45">
      <c r="A44">
        <v>33</v>
      </c>
      <c r="B44" s="83" t="n">
        <v>0.0</v>
      </c>
      <c r="C44" s="83" t="n">
        <v>0.0</v>
      </c>
      <c r="D44" s="83" t="n">
        <v>10.791</v>
      </c>
      <c r="E44" s="83">
        <f t="shared" si="2"/>
        <v>10.791</v>
      </c>
      <c r="G44">
        <v>33</v>
      </c>
      <c r="H44" s="83" t="n">
        <v>0.0</v>
      </c>
      <c r="I44" s="83" t="n">
        <v>13.0</v>
      </c>
      <c r="J44" s="85" t="n">
        <v>184.0</v>
      </c>
      <c r="K44" s="83">
        <f t="shared" si="3"/>
        <v>502</v>
      </c>
    </row>
    <row r="45" spans="1:11" x14ac:dyDescent="0.45">
      <c r="A45">
        <v>34</v>
      </c>
      <c r="B45" s="83" t="n">
        <v>0.0</v>
      </c>
      <c r="C45" s="83" t="n">
        <v>78.9631</v>
      </c>
      <c r="D45" s="83" t="n">
        <v>0.0</v>
      </c>
      <c r="E45" s="83">
        <f t="shared" si="2"/>
        <v>78.963099999999997</v>
      </c>
      <c r="G45">
        <v>34</v>
      </c>
      <c r="H45" s="83" t="n">
        <v>0.0</v>
      </c>
      <c r="I45" s="83" t="n">
        <v>15.0</v>
      </c>
      <c r="J45" s="85" t="n">
        <v>227.0</v>
      </c>
      <c r="K45" s="83">
        <f t="shared" si="3"/>
        <v>449</v>
      </c>
    </row>
    <row r="46" spans="1:11" x14ac:dyDescent="0.45">
      <c r="A46">
        <v>35</v>
      </c>
      <c r="B46" s="83" t="n">
        <v>0.0</v>
      </c>
      <c r="C46" s="83" t="n">
        <v>0.0</v>
      </c>
      <c r="D46" s="83" t="n">
        <v>25.786</v>
      </c>
      <c r="E46" s="83">
        <f t="shared" si="2"/>
        <v>25.786000000000001</v>
      </c>
      <c r="G46">
        <v>35</v>
      </c>
      <c r="H46" s="83" t="n">
        <v>0.0</v>
      </c>
      <c r="I46" s="83" t="n">
        <v>9.0</v>
      </c>
      <c r="J46" s="85" t="n">
        <v>61.0</v>
      </c>
      <c r="K46" s="83">
        <f t="shared" si="3"/>
        <v>172</v>
      </c>
    </row>
    <row r="47" spans="1:11" x14ac:dyDescent="0.45">
      <c r="A47">
        <v>36</v>
      </c>
      <c r="B47" s="83" t="n">
        <v>0.0</v>
      </c>
      <c r="C47" s="83" t="n">
        <v>0.0</v>
      </c>
      <c r="D47" s="83" t="n">
        <v>0.0</v>
      </c>
      <c r="E47" s="83">
        <f t="shared" si="2"/>
        <v>0</v>
      </c>
      <c r="G47">
        <v>36</v>
      </c>
      <c r="H47" s="83" t="n">
        <v>0.0</v>
      </c>
      <c r="I47" s="83" t="n">
        <v>9.0</v>
      </c>
      <c r="J47" s="85" t="n">
        <v>436.0</v>
      </c>
      <c r="K47" s="83">
        <f t="shared" si="3"/>
        <v>752</v>
      </c>
    </row>
    <row r="48" spans="1:11" x14ac:dyDescent="0.45">
      <c r="A48">
        <v>37</v>
      </c>
      <c r="B48" s="83" t="n">
        <v>0.0</v>
      </c>
      <c r="C48" s="83" t="n">
        <v>0.0</v>
      </c>
      <c r="D48" s="83" t="n">
        <v>0.0</v>
      </c>
      <c r="E48" s="83">
        <f t="shared" si="2"/>
        <v>0</v>
      </c>
      <c r="G48">
        <v>37</v>
      </c>
      <c r="H48" s="83" t="n">
        <v>0.0</v>
      </c>
      <c r="I48" s="83" t="n">
        <v>8.0</v>
      </c>
      <c r="J48" s="85" t="n">
        <v>134.0</v>
      </c>
      <c r="K48" s="83">
        <f t="shared" si="3"/>
        <v>208</v>
      </c>
    </row>
    <row r="49" spans="1:11" x14ac:dyDescent="0.45">
      <c r="A49">
        <v>38</v>
      </c>
      <c r="B49" s="83" t="n">
        <v>0.0</v>
      </c>
      <c r="C49" s="83" t="n">
        <v>0.0</v>
      </c>
      <c r="D49" s="83" t="n">
        <v>0.0</v>
      </c>
      <c r="E49" s="83">
        <f t="shared" si="2"/>
        <v>0</v>
      </c>
      <c r="G49">
        <v>38</v>
      </c>
      <c r="H49" s="83" t="n">
        <v>0.0</v>
      </c>
      <c r="I49" s="83" t="n">
        <v>3.0</v>
      </c>
      <c r="J49" s="85" t="n">
        <v>132.0</v>
      </c>
      <c r="K49" s="83">
        <f t="shared" si="3"/>
        <v>327</v>
      </c>
    </row>
    <row r="50" spans="1:11" x14ac:dyDescent="0.45">
      <c r="A50">
        <v>39</v>
      </c>
      <c r="B50" s="83" t="n">
        <v>0.0</v>
      </c>
      <c r="C50" s="83" t="n">
        <v>0.0</v>
      </c>
      <c r="D50" s="83" t="n">
        <v>4.128</v>
      </c>
      <c r="E50" s="83">
        <f t="shared" si="2"/>
        <v>4.1280000000000001</v>
      </c>
      <c r="G50">
        <v>39</v>
      </c>
      <c r="H50" s="83" t="n">
        <v>0.0</v>
      </c>
      <c r="I50" s="83" t="n">
        <v>10.0</v>
      </c>
      <c r="J50" s="85" t="n">
        <v>58.0</v>
      </c>
      <c r="K50" s="83">
        <f t="shared" si="3"/>
        <v>216</v>
      </c>
    </row>
    <row r="51" spans="1:11" x14ac:dyDescent="0.45">
      <c r="A51">
        <v>40</v>
      </c>
      <c r="B51" s="83" t="n">
        <v>0.0</v>
      </c>
      <c r="C51" s="83" t="n">
        <v>0.0</v>
      </c>
      <c r="D51" s="83" t="n">
        <v>860.3701</v>
      </c>
      <c r="E51" s="83">
        <f t="shared" si="2"/>
        <v>860.37009999999998</v>
      </c>
      <c r="G51">
        <v>40</v>
      </c>
      <c r="H51" s="83" t="n">
        <v>0.0</v>
      </c>
      <c r="I51" s="83" t="n">
        <v>6.0</v>
      </c>
      <c r="J51" s="85" t="n">
        <v>109.0</v>
      </c>
      <c r="K51" s="83">
        <f t="shared" si="3"/>
        <v>204</v>
      </c>
    </row>
    <row r="52" spans="1:11" x14ac:dyDescent="0.45">
      <c r="A52">
        <v>41</v>
      </c>
      <c r="B52" s="83" t="n">
        <v>0.0</v>
      </c>
      <c r="C52" s="83" t="n">
        <v>0.0</v>
      </c>
      <c r="D52" s="83" t="n">
        <v>0.0</v>
      </c>
      <c r="E52" s="83">
        <f t="shared" si="2"/>
        <v>0</v>
      </c>
      <c r="G52">
        <v>41</v>
      </c>
      <c r="H52" s="83" t="n">
        <v>0.0</v>
      </c>
      <c r="I52" s="83" t="n">
        <v>4.0</v>
      </c>
      <c r="J52" s="85" t="n">
        <v>41.0</v>
      </c>
      <c r="K52" s="83">
        <f t="shared" si="3"/>
        <v>140</v>
      </c>
    </row>
    <row r="53" spans="1:11" x14ac:dyDescent="0.45">
      <c r="A53">
        <v>42</v>
      </c>
      <c r="B53" s="83" t="n">
        <v>0.0</v>
      </c>
      <c r="C53" s="83" t="n">
        <v>0.0</v>
      </c>
      <c r="D53" s="83" t="n">
        <v>286.7204</v>
      </c>
      <c r="E53" s="83">
        <f t="shared" si="2"/>
        <v>286.72039999999998</v>
      </c>
      <c r="G53">
        <v>42</v>
      </c>
      <c r="H53" s="83" t="n">
        <v>0.0</v>
      </c>
      <c r="I53" s="83" t="n">
        <v>4.0</v>
      </c>
      <c r="J53" s="85" t="n">
        <v>24.0</v>
      </c>
      <c r="K53" s="83">
        <f t="shared" si="3"/>
        <v>67</v>
      </c>
    </row>
    <row r="54" spans="1:11" x14ac:dyDescent="0.45">
      <c r="A54">
        <v>43</v>
      </c>
      <c r="B54" s="83" t="n">
        <v>0.0</v>
      </c>
      <c r="C54" s="83" t="n">
        <v>0.0</v>
      </c>
      <c r="D54" s="83" t="n">
        <v>0.0</v>
      </c>
      <c r="E54" s="83">
        <f t="shared" si="2"/>
        <v>0</v>
      </c>
      <c r="G54">
        <v>43</v>
      </c>
      <c r="H54" s="83" t="n">
        <v>0.0</v>
      </c>
      <c r="I54" s="83" t="n">
        <v>2.0</v>
      </c>
      <c r="J54" s="85" t="n">
        <v>25.0</v>
      </c>
      <c r="K54" s="83">
        <f t="shared" si="3"/>
        <v>98</v>
      </c>
    </row>
    <row r="55" spans="1:11" x14ac:dyDescent="0.45">
      <c r="A55">
        <v>44</v>
      </c>
      <c r="B55" s="83" t="n">
        <v>0.0</v>
      </c>
      <c r="C55" s="83" t="n">
        <v>0.0</v>
      </c>
      <c r="D55" s="83" t="n">
        <v>0.0</v>
      </c>
      <c r="E55" s="83">
        <f t="shared" si="2"/>
        <v>0</v>
      </c>
      <c r="G55">
        <v>44</v>
      </c>
      <c r="H55" s="83" t="n">
        <v>0.0</v>
      </c>
      <c r="I55" s="83" t="n">
        <v>2.0</v>
      </c>
      <c r="J55" s="85" t="n">
        <v>18.0</v>
      </c>
      <c r="K55" s="83">
        <f t="shared" si="3"/>
        <v>44</v>
      </c>
    </row>
    <row r="56" spans="1:11" x14ac:dyDescent="0.45">
      <c r="A56">
        <v>45</v>
      </c>
      <c r="B56" s="83" t="n">
        <v>0.0</v>
      </c>
      <c r="C56" s="83" t="n">
        <v>0.0</v>
      </c>
      <c r="D56" s="83" t="n">
        <v>0.0</v>
      </c>
      <c r="E56" s="83">
        <f t="shared" si="2"/>
        <v>0</v>
      </c>
      <c r="G56">
        <v>45</v>
      </c>
      <c r="H56" s="83" t="n">
        <v>0.0</v>
      </c>
      <c r="I56" s="83" t="n">
        <v>2.0</v>
      </c>
      <c r="J56" s="85" t="n">
        <v>16.0</v>
      </c>
      <c r="K56" s="83">
        <f t="shared" si="3"/>
        <v>205</v>
      </c>
    </row>
    <row r="57" spans="1:11" x14ac:dyDescent="0.45">
      <c r="A57">
        <v>46</v>
      </c>
      <c r="B57" s="83" t="n">
        <v>0.0</v>
      </c>
      <c r="C57" s="83" t="n">
        <v>0.0</v>
      </c>
      <c r="D57" s="83" t="n">
        <v>0.0</v>
      </c>
      <c r="E57" s="83">
        <f t="shared" si="2"/>
        <v>0</v>
      </c>
      <c r="G57">
        <v>46</v>
      </c>
      <c r="H57" s="83" t="n">
        <v>0.0</v>
      </c>
      <c r="I57" s="83" t="n">
        <v>3.0</v>
      </c>
      <c r="J57" s="85" t="n">
        <v>88.0</v>
      </c>
      <c r="K57" s="83">
        <f t="shared" si="3"/>
        <v>174</v>
      </c>
    </row>
    <row r="58" spans="1:11" x14ac:dyDescent="0.45">
      <c r="A58">
        <v>47</v>
      </c>
      <c r="B58" s="83" t="n">
        <v>0.0</v>
      </c>
      <c r="C58" s="83" t="n">
        <v>0.0</v>
      </c>
      <c r="D58" s="83" t="n">
        <v>0.0</v>
      </c>
      <c r="E58" s="83">
        <f t="shared" si="2"/>
        <v>0</v>
      </c>
      <c r="G58">
        <v>47</v>
      </c>
      <c r="H58" s="83" t="n">
        <v>0.0</v>
      </c>
      <c r="I58" s="83" t="n">
        <v>1.0</v>
      </c>
      <c r="J58" s="85" t="n">
        <v>82.0</v>
      </c>
      <c r="K58" s="83">
        <f t="shared" si="3"/>
        <v>79</v>
      </c>
    </row>
    <row r="59" spans="1:11" x14ac:dyDescent="0.45">
      <c r="A59">
        <v>48</v>
      </c>
      <c r="B59" s="83" t="n">
        <v>0.0</v>
      </c>
      <c r="C59" s="83" t="n">
        <v>0.0</v>
      </c>
      <c r="D59" s="83" t="n">
        <v>468.9894</v>
      </c>
      <c r="E59" s="83">
        <f t="shared" si="2"/>
        <v>468.98939999999999</v>
      </c>
      <c r="G59">
        <v>48</v>
      </c>
      <c r="H59" s="83" t="n">
        <v>0.0</v>
      </c>
      <c r="I59" s="83" t="n">
        <v>0.0</v>
      </c>
      <c r="J59" s="85" t="n">
        <v>66.0</v>
      </c>
      <c r="K59" s="83">
        <f t="shared" si="3"/>
        <v>25</v>
      </c>
    </row>
    <row r="60" spans="1:11" x14ac:dyDescent="0.45">
      <c r="A60">
        <v>49</v>
      </c>
      <c r="B60" s="83" t="n">
        <v>0.0</v>
      </c>
      <c r="C60" s="83" t="n">
        <v>0.0</v>
      </c>
      <c r="D60" s="83" t="n">
        <v>0.0</v>
      </c>
      <c r="E60" s="83">
        <f t="shared" si="2"/>
        <v>0</v>
      </c>
      <c r="G60">
        <v>49</v>
      </c>
      <c r="H60" s="83" t="n">
        <v>0.0</v>
      </c>
      <c r="I60" s="83" t="n">
        <v>1.0</v>
      </c>
      <c r="J60" s="85" t="n">
        <v>25.0</v>
      </c>
      <c r="K60" s="83">
        <f t="shared" si="3"/>
        <v>161</v>
      </c>
    </row>
    <row r="61" spans="1:11" x14ac:dyDescent="0.45">
      <c r="A61">
        <v>50</v>
      </c>
      <c r="B61" s="83" t="n">
        <v>0.0</v>
      </c>
      <c r="C61" s="83" t="n">
        <v>0.0</v>
      </c>
      <c r="D61" s="83" t="n">
        <v>249.3058</v>
      </c>
      <c r="E61" s="83">
        <f t="shared" si="2"/>
        <v>249.3058</v>
      </c>
      <c r="G61">
        <v>50</v>
      </c>
      <c r="H61" s="83" t="n">
        <v>0.0</v>
      </c>
      <c r="I61" s="83" t="n">
        <v>1.0</v>
      </c>
      <c r="J61" s="85" t="n">
        <v>5.0</v>
      </c>
      <c r="K61" s="83">
        <f t="shared" si="3"/>
        <v>4</v>
      </c>
    </row>
    <row r="62" spans="1:11" x14ac:dyDescent="0.45">
      <c r="A62">
        <v>51</v>
      </c>
      <c r="B62" s="83" t="n">
        <v>0.0</v>
      </c>
      <c r="C62" s="83" t="n">
        <v>0.0</v>
      </c>
      <c r="D62" s="83" t="n">
        <v>0.0</v>
      </c>
      <c r="E62" s="83">
        <f t="shared" si="2"/>
        <v>0</v>
      </c>
      <c r="G62">
        <v>51</v>
      </c>
      <c r="H62" s="83" t="n">
        <v>0.0</v>
      </c>
      <c r="I62" s="83" t="n">
        <v>0.0</v>
      </c>
      <c r="J62" s="85" t="n">
        <v>6.0</v>
      </c>
      <c r="K62" s="83">
        <f t="shared" si="3"/>
        <v>30</v>
      </c>
    </row>
    <row r="63" spans="1:11" x14ac:dyDescent="0.45">
      <c r="A63">
        <v>52</v>
      </c>
      <c r="B63" s="83" t="n">
        <v>0.0</v>
      </c>
      <c r="C63" s="83" t="n">
        <v>0.0</v>
      </c>
      <c r="D63" s="83" t="n">
        <v>0.0</v>
      </c>
      <c r="E63" s="83">
        <f t="shared" si="2"/>
        <v>0</v>
      </c>
      <c r="G63">
        <v>52</v>
      </c>
      <c r="H63" s="83" t="n">
        <v>0.0</v>
      </c>
      <c r="I63" s="83" t="n">
        <v>3.0</v>
      </c>
      <c r="J63" s="85" t="n">
        <v>2.0</v>
      </c>
      <c r="K63" s="83">
        <f t="shared" si="3"/>
        <v>7</v>
      </c>
    </row>
    <row r="64" spans="1:11" x14ac:dyDescent="0.45">
      <c r="A64">
        <v>53</v>
      </c>
      <c r="B64" s="83" t="n">
        <v>0.0</v>
      </c>
      <c r="C64" s="83" t="n">
        <v>0.0</v>
      </c>
      <c r="D64" s="83" t="n">
        <v>13.487</v>
      </c>
      <c r="E64" s="83">
        <f t="shared" si="2"/>
        <v>13.487</v>
      </c>
      <c r="G64">
        <v>53</v>
      </c>
      <c r="H64" s="83" t="n">
        <v>0.0</v>
      </c>
      <c r="I64" s="83" t="n">
        <v>0.0</v>
      </c>
      <c r="J64" s="85" t="n">
        <v>0.0</v>
      </c>
      <c r="K64" s="83">
        <f t="shared" si="3"/>
        <v>36</v>
      </c>
    </row>
    <row r="65" spans="1:11" x14ac:dyDescent="0.45">
      <c r="A65">
        <v>54</v>
      </c>
      <c r="B65" s="83" t="n">
        <v>0.0</v>
      </c>
      <c r="C65" s="83" t="n">
        <v>0.0</v>
      </c>
      <c r="D65" s="83" t="n">
        <v>0.0</v>
      </c>
      <c r="E65" s="83">
        <f t="shared" si="2"/>
        <v>0</v>
      </c>
      <c r="G65">
        <v>54</v>
      </c>
      <c r="H65" s="83" t="n">
        <v>0.0</v>
      </c>
      <c r="I65" s="83" t="n">
        <v>1.0</v>
      </c>
      <c r="J65" s="85" t="n">
        <v>2.0</v>
      </c>
      <c r="K65" s="83">
        <f t="shared" si="3"/>
        <v>3</v>
      </c>
    </row>
    <row r="66" spans="1:11" x14ac:dyDescent="0.45">
      <c r="A66">
        <v>55</v>
      </c>
      <c r="B66" s="83" t="n">
        <v>0.0</v>
      </c>
      <c r="C66" s="83" t="n">
        <v>0.0</v>
      </c>
      <c r="D66" s="83" t="n">
        <v>3.675</v>
      </c>
      <c r="E66" s="83">
        <f t="shared" si="2"/>
        <v>3.6749999999999998</v>
      </c>
      <c r="G66">
        <v>55</v>
      </c>
      <c r="H66" s="83" t="n">
        <v>0.0</v>
      </c>
      <c r="I66" s="83" t="n">
        <v>0.0</v>
      </c>
      <c r="J66" s="85" t="n">
        <v>0.0</v>
      </c>
      <c r="K66" s="83">
        <f t="shared" si="3"/>
        <v>0</v>
      </c>
    </row>
    <row r="67" spans="1:11" x14ac:dyDescent="0.45">
      <c r="A67">
        <v>56</v>
      </c>
      <c r="B67" s="83" t="n">
        <v>0.0</v>
      </c>
      <c r="C67" s="83" t="n">
        <v>0.0</v>
      </c>
      <c r="D67" s="83" t="n">
        <v>0.0</v>
      </c>
      <c r="E67" s="83">
        <f t="shared" si="2"/>
        <v>0</v>
      </c>
      <c r="G67">
        <v>56</v>
      </c>
      <c r="H67" s="83" t="n">
        <v>0.0</v>
      </c>
      <c r="I67" s="83" t="n">
        <v>0.0</v>
      </c>
      <c r="J67" s="85" t="n">
        <v>0.0</v>
      </c>
      <c r="K67" s="83">
        <f t="shared" si="3"/>
        <v>9</v>
      </c>
    </row>
    <row r="68" spans="1:11" x14ac:dyDescent="0.45">
      <c r="A68">
        <v>57</v>
      </c>
      <c r="B68" s="83" t="n">
        <v>0.0</v>
      </c>
      <c r="C68" s="83" t="n">
        <v>0.0</v>
      </c>
      <c r="D68" s="83" t="n">
        <v>0.0</v>
      </c>
      <c r="E68" s="83">
        <f t="shared" si="2"/>
        <v>0</v>
      </c>
      <c r="G68">
        <v>57</v>
      </c>
      <c r="H68" s="83" t="n">
        <v>0.0</v>
      </c>
      <c r="I68" s="83" t="n">
        <v>0.0</v>
      </c>
      <c r="J68" s="85" t="n">
        <v>0.0</v>
      </c>
      <c r="K68" s="83">
        <f t="shared" si="3"/>
        <v>3</v>
      </c>
    </row>
    <row r="69" spans="1:11" x14ac:dyDescent="0.45">
      <c r="A69">
        <v>58</v>
      </c>
      <c r="B69" s="83" t="n">
        <v>0.0</v>
      </c>
      <c r="C69" s="83" t="n">
        <v>0.0</v>
      </c>
      <c r="D69" s="83" t="n">
        <v>0.0</v>
      </c>
      <c r="E69" s="83">
        <f t="shared" si="2"/>
        <v>0</v>
      </c>
      <c r="G69">
        <v>58</v>
      </c>
      <c r="H69" s="83" t="n">
        <v>0.0</v>
      </c>
      <c r="I69" s="83" t="n">
        <v>1.0</v>
      </c>
      <c r="J69" s="85" t="n">
        <v>3.0</v>
      </c>
      <c r="K69" s="83">
        <f t="shared" si="3"/>
        <v>7</v>
      </c>
    </row>
    <row r="70" spans="1:11" x14ac:dyDescent="0.45">
      <c r="A70">
        <v>59</v>
      </c>
      <c r="B70" s="83" t="n">
        <v>0.0</v>
      </c>
      <c r="C70" s="83" t="n">
        <v>0.0</v>
      </c>
      <c r="D70" s="83" t="n">
        <v>0.0</v>
      </c>
      <c r="E70" s="83">
        <f t="shared" si="2"/>
        <v>0</v>
      </c>
      <c r="G70">
        <v>59</v>
      </c>
      <c r="H70" s="83" t="n">
        <v>0.0</v>
      </c>
      <c r="I70" s="83" t="n">
        <v>1.0</v>
      </c>
      <c r="J70" s="85" t="n">
        <v>0.0</v>
      </c>
      <c r="K70" s="83">
        <f t="shared" si="3"/>
        <v>0</v>
      </c>
    </row>
    <row r="71" spans="1:11" x14ac:dyDescent="0.45">
      <c r="A71">
        <v>60</v>
      </c>
      <c r="B71" s="83" t="n">
        <v>0.0</v>
      </c>
      <c r="C71" s="83" t="n">
        <v>0.0</v>
      </c>
      <c r="D71" s="83" t="n">
        <v>0.0</v>
      </c>
      <c r="E71" s="83">
        <f t="shared" si="2"/>
        <v>0</v>
      </c>
      <c r="G71">
        <v>60</v>
      </c>
      <c r="H71" s="83" t="n">
        <v>0.0</v>
      </c>
      <c r="I71" s="83" t="n">
        <v>0.0</v>
      </c>
      <c r="J71" s="85" t="n">
        <v>0.0</v>
      </c>
      <c r="K71" s="83">
        <f t="shared" si="3"/>
        <v>0</v>
      </c>
    </row>
    <row r="72" spans="1:11" x14ac:dyDescent="0.45">
      <c r="A72">
        <v>61</v>
      </c>
      <c r="B72" s="83" t="n">
        <v>0.0</v>
      </c>
      <c r="C72" s="83" t="n">
        <v>0.0</v>
      </c>
      <c r="D72" s="83" t="n">
        <v>0.0</v>
      </c>
      <c r="E72" s="83">
        <f t="shared" si="2"/>
        <v>0</v>
      </c>
      <c r="G72">
        <v>61</v>
      </c>
      <c r="H72" s="83" t="n">
        <v>0.0</v>
      </c>
      <c r="I72" s="83" t="n">
        <v>0.0</v>
      </c>
      <c r="J72" s="85" t="n">
        <v>0.0</v>
      </c>
      <c r="K72" s="83">
        <f t="shared" si="3"/>
        <v>1</v>
      </c>
    </row>
    <row r="73" spans="1:11" x14ac:dyDescent="0.45">
      <c r="A73">
        <v>62</v>
      </c>
      <c r="B73" s="83" t="n">
        <v>0.0</v>
      </c>
      <c r="C73" s="83" t="n">
        <v>0.0</v>
      </c>
      <c r="D73" s="83" t="n">
        <v>0.0</v>
      </c>
      <c r="E73" s="83">
        <f t="shared" si="2"/>
        <v>0</v>
      </c>
      <c r="G73">
        <v>62</v>
      </c>
      <c r="H73" s="83" t="n">
        <v>0.0</v>
      </c>
      <c r="I73" s="83" t="n">
        <v>0.0</v>
      </c>
      <c r="J73" s="85" t="n">
        <v>0.0</v>
      </c>
      <c r="K73" s="83">
        <f t="shared" si="3"/>
        <v>0</v>
      </c>
    </row>
    <row r="74" spans="1:11" x14ac:dyDescent="0.45">
      <c r="A74">
        <v>63</v>
      </c>
      <c r="B74" s="83" t="n">
        <v>0.0</v>
      </c>
      <c r="C74" s="83" t="n">
        <v>0.0</v>
      </c>
      <c r="D74" s="83" t="n">
        <v>0.0</v>
      </c>
      <c r="E74" s="83">
        <f t="shared" si="2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t="shared" si="3"/>
        <v>0</v>
      </c>
    </row>
    <row r="75" spans="1:11" x14ac:dyDescent="0.45">
      <c r="A75">
        <v>64</v>
      </c>
      <c r="B75" s="83" t="n">
        <v>0.0</v>
      </c>
      <c r="C75" s="83" t="n">
        <v>0.0</v>
      </c>
      <c r="D75" s="83" t="n">
        <v>0.0</v>
      </c>
      <c r="E75" s="83">
        <f t="shared" ref="E75:E101" si="4">SUM(B75:D75)</f>
        <v>0</v>
      </c>
      <c r="G75">
        <v>64</v>
      </c>
      <c r="H75" s="83" t="n">
        <v>0.0</v>
      </c>
      <c r="I75" s="83" t="n">
        <v>0.0</v>
      </c>
      <c r="J75" s="85" t="n">
        <v>0.0</v>
      </c>
      <c r="K75" s="83">
        <f t="shared" ref="K75:K101" si="5">SUM(H75:J75)</f>
        <v>0</v>
      </c>
    </row>
    <row r="76" spans="1:11" x14ac:dyDescent="0.45">
      <c r="A76">
        <v>65</v>
      </c>
      <c r="B76" s="83" t="n">
        <v>0.0</v>
      </c>
      <c r="C76" s="83" t="n">
        <v>0.0</v>
      </c>
      <c r="D76" s="83" t="n">
        <v>0.0</v>
      </c>
      <c r="E76" s="83">
        <f t="shared" si="4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t="shared" si="5"/>
        <v>0</v>
      </c>
    </row>
    <row r="77" spans="1:11" x14ac:dyDescent="0.45">
      <c r="A77">
        <v>66</v>
      </c>
      <c r="B77" s="83" t="n">
        <v>0.0</v>
      </c>
      <c r="C77" s="83" t="n">
        <v>0.0</v>
      </c>
      <c r="D77" s="83" t="n">
        <v>0.0</v>
      </c>
      <c r="E77" s="83">
        <f t="shared" si="4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t="shared" si="5"/>
        <v>0</v>
      </c>
    </row>
    <row r="78" spans="1:11" x14ac:dyDescent="0.45">
      <c r="A78">
        <v>67</v>
      </c>
      <c r="B78" s="83" t="n">
        <v>0.0</v>
      </c>
      <c r="C78" s="83" t="n">
        <v>0.0</v>
      </c>
      <c r="D78" s="83" t="n">
        <v>0.0</v>
      </c>
      <c r="E78" s="83">
        <f t="shared" si="4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t="shared" si="5"/>
        <v>1</v>
      </c>
    </row>
    <row r="79" spans="1:11" x14ac:dyDescent="0.45">
      <c r="A79">
        <v>68</v>
      </c>
      <c r="B79" s="83" t="n">
        <v>0.0</v>
      </c>
      <c r="C79" s="83" t="n">
        <v>0.0</v>
      </c>
      <c r="D79" s="83" t="n">
        <v>0.0</v>
      </c>
      <c r="E79" s="83">
        <f t="shared" si="4"/>
        <v>0</v>
      </c>
      <c r="G79">
        <v>68</v>
      </c>
      <c r="H79" s="83" t="n">
        <v>0.0</v>
      </c>
      <c r="I79" s="83" t="n">
        <v>0.0</v>
      </c>
      <c r="J79" s="85" t="n">
        <v>0.0</v>
      </c>
      <c r="K79" s="83">
        <f t="shared" si="5"/>
        <v>0</v>
      </c>
    </row>
    <row r="80" spans="1:11" x14ac:dyDescent="0.45">
      <c r="A80">
        <v>69</v>
      </c>
      <c r="B80" s="83" t="n">
        <v>0.0</v>
      </c>
      <c r="C80" s="83" t="n">
        <v>0.0</v>
      </c>
      <c r="D80" s="83" t="n">
        <v>0.0</v>
      </c>
      <c r="E80" s="83">
        <f t="shared" si="4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t="shared" si="5"/>
        <v>0</v>
      </c>
    </row>
    <row r="81" spans="1:11" x14ac:dyDescent="0.45">
      <c r="A81">
        <v>70</v>
      </c>
      <c r="B81" s="83" t="n">
        <v>0.0</v>
      </c>
      <c r="C81" s="83" t="n">
        <v>0.0</v>
      </c>
      <c r="D81" s="83" t="n">
        <v>0.0</v>
      </c>
      <c r="E81" s="83">
        <f t="shared" si="4"/>
        <v>0</v>
      </c>
      <c r="G81">
        <v>70</v>
      </c>
      <c r="H81" s="83" t="n">
        <v>0.0</v>
      </c>
      <c r="I81" s="83" t="n">
        <v>0.0</v>
      </c>
      <c r="J81" s="85" t="n">
        <v>0.0</v>
      </c>
      <c r="K81" s="83">
        <f t="shared" si="5"/>
        <v>0</v>
      </c>
    </row>
    <row r="82" spans="1:11" x14ac:dyDescent="0.45">
      <c r="A82">
        <v>71</v>
      </c>
      <c r="B82" s="83" t="n">
        <v>0.0</v>
      </c>
      <c r="C82" s="83" t="n">
        <v>0.0</v>
      </c>
      <c r="D82" s="83" t="n">
        <v>0.0</v>
      </c>
      <c r="E82" s="83">
        <f t="shared" si="4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t="shared" si="5"/>
        <v>0</v>
      </c>
    </row>
    <row r="83" spans="1:11" x14ac:dyDescent="0.45">
      <c r="A83">
        <v>72</v>
      </c>
      <c r="B83" s="83" t="n">
        <v>0.0</v>
      </c>
      <c r="C83" s="83" t="n">
        <v>0.0</v>
      </c>
      <c r="D83" s="83" t="n">
        <v>0.0</v>
      </c>
      <c r="E83" s="83">
        <f t="shared" si="4"/>
        <v>0</v>
      </c>
      <c r="G83">
        <v>72</v>
      </c>
      <c r="H83" s="83" t="n">
        <v>0.0</v>
      </c>
      <c r="I83" s="83" t="n">
        <v>0.0</v>
      </c>
      <c r="J83" s="83" t="n">
        <v>1.0</v>
      </c>
      <c r="K83" s="83">
        <f t="shared" si="5"/>
        <v>1</v>
      </c>
    </row>
    <row r="84" spans="1:11" x14ac:dyDescent="0.45">
      <c r="A84">
        <v>73</v>
      </c>
      <c r="B84" s="83" t="n">
        <v>0.0</v>
      </c>
      <c r="C84" s="83" t="n">
        <v>0.0</v>
      </c>
      <c r="D84" s="83" t="n">
        <v>0.0</v>
      </c>
      <c r="E84" s="83">
        <f t="shared" si="4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t="shared" si="5"/>
        <v>0</v>
      </c>
    </row>
    <row r="85" spans="1:11" x14ac:dyDescent="0.45">
      <c r="A85">
        <v>74</v>
      </c>
      <c r="B85" s="83" t="n">
        <v>0.0</v>
      </c>
      <c r="C85" s="83" t="n">
        <v>0.0</v>
      </c>
      <c r="D85" s="83" t="n">
        <v>0.0</v>
      </c>
      <c r="E85" s="83">
        <f t="shared" si="4"/>
        <v>0</v>
      </c>
      <c r="G85">
        <v>74</v>
      </c>
      <c r="H85" s="83" t="n">
        <v>0.0</v>
      </c>
      <c r="I85" s="83" t="n">
        <v>0.0</v>
      </c>
      <c r="J85" s="83" t="n">
        <v>0.0</v>
      </c>
      <c r="K85" s="83">
        <f t="shared" si="5"/>
        <v>0</v>
      </c>
    </row>
    <row r="86" spans="1:11" x14ac:dyDescent="0.45">
      <c r="A86">
        <v>75</v>
      </c>
      <c r="B86" s="83" t="n">
        <v>0.0</v>
      </c>
      <c r="C86" s="83" t="n">
        <v>0.0</v>
      </c>
      <c r="D86" s="83" t="n">
        <v>0.0</v>
      </c>
      <c r="E86" s="83">
        <f t="shared" si="4"/>
        <v>0</v>
      </c>
      <c r="G86">
        <v>75</v>
      </c>
      <c r="H86" s="83" t="n">
        <v>0.0</v>
      </c>
      <c r="I86" s="83" t="n">
        <v>0.0</v>
      </c>
      <c r="J86" s="83" t="n">
        <v>0.0</v>
      </c>
      <c r="K86" s="83">
        <f t="shared" si="5"/>
        <v>2</v>
      </c>
    </row>
    <row r="87" spans="1:11" x14ac:dyDescent="0.45">
      <c r="A87">
        <v>76</v>
      </c>
      <c r="B87" s="83" t="n">
        <v>0.0</v>
      </c>
      <c r="C87" s="83" t="n">
        <v>0.0</v>
      </c>
      <c r="D87" s="83" t="n">
        <v>0.0</v>
      </c>
      <c r="E87" s="83">
        <f t="shared" si="4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t="shared" si="5"/>
        <v>0</v>
      </c>
    </row>
    <row r="88" spans="1:11" x14ac:dyDescent="0.45">
      <c r="A88">
        <v>77</v>
      </c>
      <c r="B88" s="83" t="n">
        <v>0.0</v>
      </c>
      <c r="C88" s="83" t="n">
        <v>0.0</v>
      </c>
      <c r="D88" s="83" t="n">
        <v>0.0</v>
      </c>
      <c r="E88" s="83">
        <f t="shared" si="4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t="shared" si="5"/>
        <v>0</v>
      </c>
    </row>
    <row r="89" spans="1:11" x14ac:dyDescent="0.45">
      <c r="A89">
        <v>78</v>
      </c>
      <c r="B89" s="83" t="n">
        <v>0.0</v>
      </c>
      <c r="C89" s="83" t="n">
        <v>0.0</v>
      </c>
      <c r="D89" s="83" t="n">
        <v>0.0</v>
      </c>
      <c r="E89" s="83">
        <f t="shared" si="4"/>
        <v>0</v>
      </c>
      <c r="G89">
        <v>78</v>
      </c>
      <c r="H89" s="83" t="n">
        <v>0.0</v>
      </c>
      <c r="I89" s="83" t="n">
        <v>0.0</v>
      </c>
      <c r="J89" s="85" t="n">
        <v>0.0</v>
      </c>
      <c r="K89" s="83">
        <f t="shared" si="5"/>
        <v>1</v>
      </c>
    </row>
    <row r="90" spans="1:11" x14ac:dyDescent="0.45">
      <c r="A90">
        <v>79</v>
      </c>
      <c r="B90" s="83" t="n">
        <v>0.0</v>
      </c>
      <c r="C90" s="83" t="n">
        <v>0.0</v>
      </c>
      <c r="D90" s="83" t="n">
        <v>0.0</v>
      </c>
      <c r="E90" s="83">
        <f t="shared" si="4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t="shared" si="5"/>
        <v>0</v>
      </c>
    </row>
    <row r="91" spans="1:11" x14ac:dyDescent="0.45">
      <c r="A91">
        <v>80</v>
      </c>
      <c r="B91" s="83" t="n">
        <v>0.0</v>
      </c>
      <c r="C91" s="83" t="n">
        <v>0.0</v>
      </c>
      <c r="D91" s="83" t="n">
        <v>0.0</v>
      </c>
      <c r="E91" s="83">
        <f t="shared" si="4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t="shared" si="5"/>
        <v>0</v>
      </c>
    </row>
    <row r="92" spans="1:11" x14ac:dyDescent="0.45">
      <c r="A92">
        <v>81</v>
      </c>
      <c r="B92" s="83" t="n">
        <v>0.0</v>
      </c>
      <c r="C92" s="83" t="n">
        <v>0.0</v>
      </c>
      <c r="D92" s="83" t="n">
        <v>0.0</v>
      </c>
      <c r="E92" s="83">
        <f t="shared" si="4"/>
        <v>0</v>
      </c>
      <c r="G92">
        <v>81</v>
      </c>
      <c r="H92" s="83" t="n">
        <v>0.0</v>
      </c>
      <c r="I92" s="83" t="n">
        <v>0.0</v>
      </c>
      <c r="J92" s="85" t="n">
        <v>0.0</v>
      </c>
      <c r="K92" s="83">
        <f t="shared" si="5"/>
        <v>0</v>
      </c>
    </row>
    <row r="93" spans="1:11" x14ac:dyDescent="0.45">
      <c r="A93">
        <v>82</v>
      </c>
      <c r="B93" s="83" t="n">
        <v>0.0</v>
      </c>
      <c r="C93" s="83" t="n">
        <v>0.0</v>
      </c>
      <c r="D93" s="83" t="n">
        <v>0.0</v>
      </c>
      <c r="E93" s="83">
        <f t="shared" si="4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t="shared" si="5"/>
        <v>0</v>
      </c>
    </row>
    <row r="94" spans="1:11" x14ac:dyDescent="0.45">
      <c r="A94">
        <v>83</v>
      </c>
      <c r="B94" s="83" t="n">
        <v>0.0</v>
      </c>
      <c r="C94" s="83" t="n">
        <v>0.0</v>
      </c>
      <c r="D94" s="83" t="n">
        <v>0.0</v>
      </c>
      <c r="E94" s="83">
        <f t="shared" si="4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t="shared" si="5"/>
        <v>0</v>
      </c>
    </row>
    <row r="95" spans="1:11" x14ac:dyDescent="0.45">
      <c r="A95">
        <v>84</v>
      </c>
      <c r="B95" s="83" t="n">
        <v>0.0</v>
      </c>
      <c r="C95" s="83" t="n">
        <v>0.0</v>
      </c>
      <c r="D95" s="83" t="n">
        <v>0.0</v>
      </c>
      <c r="E95" s="83">
        <f t="shared" si="4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t="shared" si="5"/>
        <v>0</v>
      </c>
    </row>
    <row r="96" spans="1:11" x14ac:dyDescent="0.45">
      <c r="A96">
        <v>85</v>
      </c>
      <c r="B96" s="83" t="n">
        <v>0.0</v>
      </c>
      <c r="C96" s="83" t="n">
        <v>0.0</v>
      </c>
      <c r="D96" s="83" t="n">
        <v>0.0</v>
      </c>
      <c r="E96" s="83">
        <f t="shared" si="4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t="shared" si="5"/>
        <v>0</v>
      </c>
    </row>
    <row r="97" spans="1:12" x14ac:dyDescent="0.45">
      <c r="A97">
        <v>86</v>
      </c>
      <c r="B97" s="83" t="n">
        <v>0.0</v>
      </c>
      <c r="C97" s="83" t="n">
        <v>0.0</v>
      </c>
      <c r="D97" s="83" t="n">
        <v>0.0</v>
      </c>
      <c r="E97" s="83">
        <f t="shared" si="4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t="shared" si="5"/>
        <v>0</v>
      </c>
    </row>
    <row r="98" spans="1:12" x14ac:dyDescent="0.45">
      <c r="A98">
        <v>87</v>
      </c>
      <c r="B98" s="83" t="n">
        <v>0.0</v>
      </c>
      <c r="C98" s="83" t="n">
        <v>0.0</v>
      </c>
      <c r="D98" s="83" t="n">
        <v>0.0</v>
      </c>
      <c r="E98" s="83">
        <f t="shared" si="4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t="shared" si="5"/>
        <v>0</v>
      </c>
    </row>
    <row r="99" spans="1:12" x14ac:dyDescent="0.45">
      <c r="A99">
        <v>88</v>
      </c>
      <c r="B99" s="83" t="n">
        <v>0.0</v>
      </c>
      <c r="C99" s="83" t="n">
        <v>0.0</v>
      </c>
      <c r="D99" s="83" t="n">
        <v>0.0</v>
      </c>
      <c r="E99" s="83">
        <f t="shared" si="4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t="shared" si="5"/>
        <v>0</v>
      </c>
    </row>
    <row r="100" spans="1:12" x14ac:dyDescent="0.45">
      <c r="A100">
        <v>89</v>
      </c>
      <c r="B100" s="83" t="n">
        <v>0.0</v>
      </c>
      <c r="C100" s="83" t="n">
        <v>0.0</v>
      </c>
      <c r="D100" s="83" t="n">
        <v>0.0</v>
      </c>
      <c r="E100" s="83">
        <f t="shared" si="4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t="shared" si="5"/>
        <v>0</v>
      </c>
    </row>
    <row r="101" spans="1:12" ht="14.65" thickBot="1" x14ac:dyDescent="0.5">
      <c r="A101" s="1">
        <v>90</v>
      </c>
      <c r="B101" s="84" t="n">
        <v>51330.9312</v>
      </c>
      <c r="C101" s="84" t="n">
        <v>10417.5607</v>
      </c>
      <c r="D101" s="84" t="n">
        <v>39451.5632</v>
      </c>
      <c r="E101" s="84">
        <f t="shared" si="4"/>
        <v>101200.0551</v>
      </c>
      <c r="G101" s="1">
        <v>90</v>
      </c>
      <c r="H101" s="84" t="n">
        <v>62640.0</v>
      </c>
      <c r="I101" s="84" t="n">
        <v>0.0</v>
      </c>
      <c r="J101" s="84" t="n">
        <v>0.0</v>
      </c>
      <c r="K101" s="84">
        <f t="shared" si="5"/>
        <v>62616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1"/>
  <sheetViews>
    <sheetView workbookViewId="0">
      <selection activeCell="P12" sqref="P12"/>
    </sheetView>
  </sheetViews>
  <sheetFormatPr defaultRowHeight="14.25" x14ac:dyDescent="0.45"/>
  <cols>
    <col min="2" max="2" bestFit="true" customWidth="true" width="10.59765625" collapsed="true"/>
    <col min="3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5.86328125" collapsed="true"/>
    <col min="15" max="15" bestFit="true" customWidth="true" width="15.73046875" collapsed="true"/>
  </cols>
  <sheetData>
    <row r="1" spans="1:15" x14ac:dyDescent="0.45">
      <c r="A1" t="s">
        <v>0</v>
      </c>
    </row>
    <row r="2" spans="1:15" x14ac:dyDescent="0.45">
      <c r="A2" t="s">
        <v>247</v>
      </c>
    </row>
    <row r="3" spans="1:15" x14ac:dyDescent="0.45">
      <c r="A3" t="s">
        <v>249</v>
      </c>
    </row>
    <row r="4" spans="1:15" x14ac:dyDescent="0.45">
      <c r="A4" t="s">
        <v>6</v>
      </c>
    </row>
    <row r="5" spans="1:15" x14ac:dyDescent="0.45">
      <c r="A5" t="s">
        <v>7</v>
      </c>
    </row>
    <row r="9" spans="1:15" ht="14.65" thickBot="1" x14ac:dyDescent="0.5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4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45">
      <c r="A11">
        <v>0</v>
      </c>
      <c r="B11" s="83" t="n">
        <v>0.0</v>
      </c>
      <c r="C11" s="83" t="n">
        <v>0.0</v>
      </c>
      <c r="D11" s="83" t="n">
        <v>0.0</v>
      </c>
      <c r="E11" s="83">
        <f t="shared" ref="E11:E42" si="0">SUM(B11:D11)</f>
        <v>0</v>
      </c>
      <c r="G11">
        <v>0</v>
      </c>
      <c r="H11" s="83" t="n">
        <v>33361.0</v>
      </c>
      <c r="I11" s="83" t="n">
        <v>7078.0</v>
      </c>
      <c r="J11" s="85" t="n">
        <v>16440.0</v>
      </c>
      <c r="K11" s="83">
        <f t="shared" ref="K11:K42" si="1">SUM(H11:J11)</f>
        <v>56014</v>
      </c>
      <c r="M11" t="s">
        <v>41</v>
      </c>
      <c r="N11" s="9" t="n">
        <v>23.085102667855164</v>
      </c>
      <c r="O11" s="9" t="n">
        <v>13.82375225367446</v>
      </c>
    </row>
    <row r="12" spans="1:15" x14ac:dyDescent="0.45">
      <c r="A12">
        <v>1</v>
      </c>
      <c r="B12" s="83" t="n">
        <v>0.0</v>
      </c>
      <c r="C12" s="83" t="n">
        <v>0.0</v>
      </c>
      <c r="D12" s="83" t="n">
        <v>0.0</v>
      </c>
      <c r="E12" s="83">
        <f t="shared" si="0"/>
        <v>0</v>
      </c>
      <c r="G12">
        <v>1</v>
      </c>
      <c r="H12" s="83" t="n">
        <v>15388.0</v>
      </c>
      <c r="I12" s="83" t="n">
        <v>1554.0</v>
      </c>
      <c r="J12" s="85" t="n">
        <v>1260.0</v>
      </c>
      <c r="K12" s="83">
        <f t="shared" si="1"/>
        <v>18167</v>
      </c>
      <c r="M12" t="s">
        <v>42</v>
      </c>
      <c r="N12" s="9" t="n">
        <v>26.479383194170914</v>
      </c>
      <c r="O12" s="9" t="n">
        <v>17.785596482368504</v>
      </c>
    </row>
    <row r="13" spans="1:15" x14ac:dyDescent="0.45">
      <c r="A13">
        <v>2</v>
      </c>
      <c r="B13" s="83" t="n">
        <v>0.0</v>
      </c>
      <c r="C13" s="83" t="n">
        <v>0.0</v>
      </c>
      <c r="D13" s="83" t="n">
        <v>0.0</v>
      </c>
      <c r="E13" s="83">
        <f t="shared" si="0"/>
        <v>0</v>
      </c>
      <c r="G13">
        <v>2</v>
      </c>
      <c r="H13" s="83" t="n">
        <v>19420.0</v>
      </c>
      <c r="I13" s="83" t="n">
        <v>2001.0</v>
      </c>
      <c r="J13" s="85" t="n">
        <v>2173.0</v>
      </c>
      <c r="K13" s="83">
        <f t="shared" si="1"/>
        <v>23422</v>
      </c>
      <c r="M13" s="6" t="s">
        <v>43</v>
      </c>
      <c r="N13" s="18" t="n">
        <v>25.2931279268345</v>
      </c>
      <c r="O13" s="18" t="n">
        <v>23.488857039731574</v>
      </c>
    </row>
    <row r="14" spans="1:15" ht="14.65" thickBot="1" x14ac:dyDescent="0.5">
      <c r="A14">
        <v>3</v>
      </c>
      <c r="B14" s="83" t="n">
        <v>0.0</v>
      </c>
      <c r="C14" s="83" t="n">
        <v>0.0</v>
      </c>
      <c r="D14" s="83" t="n">
        <v>112.982</v>
      </c>
      <c r="E14" s="83">
        <f t="shared" si="0"/>
        <v>112.982</v>
      </c>
      <c r="G14">
        <v>3</v>
      </c>
      <c r="H14" s="83" t="n">
        <v>20563.0</v>
      </c>
      <c r="I14" s="83" t="n">
        <v>2126.0</v>
      </c>
      <c r="J14" s="85" t="n">
        <v>2567.0</v>
      </c>
      <c r="K14" s="83">
        <f t="shared" si="1"/>
        <v>25228</v>
      </c>
      <c r="M14" s="1" t="s">
        <v>3</v>
      </c>
      <c r="N14" s="19" t="n">
        <v>23.73523648717293</v>
      </c>
      <c r="O14" s="19" t="n">
        <v>16.983071153140994</v>
      </c>
    </row>
    <row r="15" spans="1:15" x14ac:dyDescent="0.45">
      <c r="A15">
        <v>4</v>
      </c>
      <c r="B15" s="83" t="n">
        <v>2961.9232</v>
      </c>
      <c r="C15" s="83" t="n">
        <v>0.0</v>
      </c>
      <c r="D15" s="83" t="n">
        <v>12.928</v>
      </c>
      <c r="E15" s="83">
        <f t="shared" si="0"/>
        <v>2974.8512000000001</v>
      </c>
      <c r="G15">
        <v>4</v>
      </c>
      <c r="H15" s="83" t="n">
        <v>19959.0</v>
      </c>
      <c r="I15" s="83" t="n">
        <v>2100.0</v>
      </c>
      <c r="J15" s="85" t="n">
        <v>2666.0</v>
      </c>
      <c r="K15" s="83">
        <f t="shared" si="1"/>
        <v>24651</v>
      </c>
    </row>
    <row r="16" spans="1:15" x14ac:dyDescent="0.45">
      <c r="A16">
        <v>5</v>
      </c>
      <c r="B16" s="83" t="n">
        <v>3000.7282999999998</v>
      </c>
      <c r="C16" s="83" t="n">
        <v>0.0</v>
      </c>
      <c r="D16" s="83" t="n">
        <v>7360.6889</v>
      </c>
      <c r="E16" s="83">
        <f t="shared" si="0"/>
        <v>10361.4172</v>
      </c>
      <c r="G16">
        <v>5</v>
      </c>
      <c r="H16" s="83" t="n">
        <v>18659.0</v>
      </c>
      <c r="I16" s="83" t="n">
        <v>2066.0</v>
      </c>
      <c r="J16" s="85" t="n">
        <v>2651.0</v>
      </c>
      <c r="K16" s="83">
        <f t="shared" si="1"/>
        <v>23594</v>
      </c>
    </row>
    <row r="17" spans="1:11" x14ac:dyDescent="0.45">
      <c r="A17">
        <v>6</v>
      </c>
      <c r="B17" s="83" t="n">
        <v>4431.9179</v>
      </c>
      <c r="C17" s="83" t="n">
        <v>325.3169</v>
      </c>
      <c r="D17" s="83" t="n">
        <v>51.216</v>
      </c>
      <c r="E17" s="83">
        <f t="shared" si="0"/>
        <v>4808.4508000000005</v>
      </c>
      <c r="G17">
        <v>6</v>
      </c>
      <c r="H17" s="83" t="n">
        <v>16952.0</v>
      </c>
      <c r="I17" s="83" t="n">
        <v>1981.0</v>
      </c>
      <c r="J17" s="85" t="n">
        <v>2988.0</v>
      </c>
      <c r="K17" s="83">
        <f t="shared" si="1"/>
        <v>22069</v>
      </c>
    </row>
    <row r="18" spans="1:11" x14ac:dyDescent="0.45">
      <c r="A18">
        <v>7</v>
      </c>
      <c r="B18" s="83" t="n">
        <v>2967.5932</v>
      </c>
      <c r="C18" s="83" t="n">
        <v>86.2004</v>
      </c>
      <c r="D18" s="83" t="n">
        <v>29.131</v>
      </c>
      <c r="E18" s="83">
        <f t="shared" si="0"/>
        <v>3082.9245999999998</v>
      </c>
      <c r="G18">
        <v>7</v>
      </c>
      <c r="H18" s="83" t="n">
        <v>15005.0</v>
      </c>
      <c r="I18" s="83" t="n">
        <v>1829.0</v>
      </c>
      <c r="J18" s="85" t="n">
        <v>2368.0</v>
      </c>
      <c r="K18" s="83">
        <f t="shared" si="1"/>
        <v>19380</v>
      </c>
    </row>
    <row r="19" spans="1:11" x14ac:dyDescent="0.45">
      <c r="A19">
        <v>8</v>
      </c>
      <c r="B19" s="83" t="n">
        <v>1012.9456</v>
      </c>
      <c r="C19" s="83" t="n">
        <v>0.0</v>
      </c>
      <c r="D19" s="83" t="n">
        <v>389.3401</v>
      </c>
      <c r="E19" s="83">
        <f t="shared" si="0"/>
        <v>1402.2856999999999</v>
      </c>
      <c r="G19">
        <v>8</v>
      </c>
      <c r="H19" s="83" t="n">
        <v>12942.0</v>
      </c>
      <c r="I19" s="83" t="n">
        <v>1692.0</v>
      </c>
      <c r="J19" s="85" t="n">
        <v>1858.0</v>
      </c>
      <c r="K19" s="83">
        <f t="shared" si="1"/>
        <v>16540</v>
      </c>
    </row>
    <row r="20" spans="1:11" x14ac:dyDescent="0.45">
      <c r="A20">
        <v>9</v>
      </c>
      <c r="B20" s="83" t="n">
        <v>9131.1397</v>
      </c>
      <c r="C20" s="83" t="n">
        <v>0.0</v>
      </c>
      <c r="D20" s="83" t="n">
        <v>80.25569999999999</v>
      </c>
      <c r="E20" s="83">
        <f t="shared" si="0"/>
        <v>9211.3953999999994</v>
      </c>
      <c r="G20">
        <v>9</v>
      </c>
      <c r="H20" s="83" t="n">
        <v>11594.0</v>
      </c>
      <c r="I20" s="83" t="n">
        <v>1515.0</v>
      </c>
      <c r="J20" s="85" t="n">
        <v>1392.0</v>
      </c>
      <c r="K20" s="83">
        <f t="shared" si="1"/>
        <v>14399</v>
      </c>
    </row>
    <row r="21" spans="1:11" x14ac:dyDescent="0.45">
      <c r="A21">
        <v>10</v>
      </c>
      <c r="B21" s="83" t="n">
        <v>2206.6204000000002</v>
      </c>
      <c r="C21" s="83" t="n">
        <v>0.0</v>
      </c>
      <c r="D21" s="83" t="n">
        <v>0.0</v>
      </c>
      <c r="E21" s="83">
        <f t="shared" si="0"/>
        <v>2206.6204000000002</v>
      </c>
      <c r="G21">
        <v>10</v>
      </c>
      <c r="H21" s="83" t="n">
        <v>9917.0</v>
      </c>
      <c r="I21" s="83" t="n">
        <v>1379.0</v>
      </c>
      <c r="J21" s="85" t="n">
        <v>1175.0</v>
      </c>
      <c r="K21" s="83">
        <f t="shared" si="1"/>
        <v>12401</v>
      </c>
    </row>
    <row r="22" spans="1:11" x14ac:dyDescent="0.45">
      <c r="A22">
        <v>11</v>
      </c>
      <c r="B22" s="83" t="n">
        <v>5259.3976999999995</v>
      </c>
      <c r="C22" s="83" t="n">
        <v>0.0</v>
      </c>
      <c r="D22" s="83" t="n">
        <v>445.9176</v>
      </c>
      <c r="E22" s="83">
        <f t="shared" si="0"/>
        <v>5705.3152999999993</v>
      </c>
      <c r="G22">
        <v>11</v>
      </c>
      <c r="H22" s="83" t="n">
        <v>8515.0</v>
      </c>
      <c r="I22" s="83" t="n">
        <v>1204.0</v>
      </c>
      <c r="J22" s="85" t="n">
        <v>976.0</v>
      </c>
      <c r="K22" s="83">
        <f t="shared" si="1"/>
        <v>10843</v>
      </c>
    </row>
    <row r="23" spans="1:11" x14ac:dyDescent="0.45">
      <c r="A23">
        <v>12</v>
      </c>
      <c r="B23" s="83" t="n">
        <v>16790.8753</v>
      </c>
      <c r="C23" s="83" t="n">
        <v>1991.118</v>
      </c>
      <c r="D23" s="83" t="n">
        <v>0.0</v>
      </c>
      <c r="E23" s="83">
        <f t="shared" si="0"/>
        <v>18781.993299999998</v>
      </c>
      <c r="G23">
        <v>12</v>
      </c>
      <c r="H23" s="83" t="n">
        <v>7814.0</v>
      </c>
      <c r="I23" s="83" t="n">
        <v>1081.0</v>
      </c>
      <c r="J23" s="85" t="n">
        <v>872.0</v>
      </c>
      <c r="K23" s="83">
        <f t="shared" si="1"/>
        <v>9809</v>
      </c>
    </row>
    <row r="24" spans="1:11" x14ac:dyDescent="0.45">
      <c r="A24">
        <v>13</v>
      </c>
      <c r="B24" s="83" t="n">
        <v>6923.8848</v>
      </c>
      <c r="C24" s="83" t="n">
        <v>241.2413</v>
      </c>
      <c r="D24" s="83" t="n">
        <v>924.3569</v>
      </c>
      <c r="E24" s="83">
        <f t="shared" si="0"/>
        <v>8089.4829999999993</v>
      </c>
      <c r="G24">
        <v>13</v>
      </c>
      <c r="H24" s="83" t="n">
        <v>6632.0</v>
      </c>
      <c r="I24" s="83" t="n">
        <v>991.0</v>
      </c>
      <c r="J24" s="85" t="n">
        <v>829.0</v>
      </c>
      <c r="K24" s="83">
        <f t="shared" si="1"/>
        <v>8485</v>
      </c>
    </row>
    <row r="25" spans="1:11" x14ac:dyDescent="0.45">
      <c r="A25">
        <v>14</v>
      </c>
      <c r="B25" s="83" t="n">
        <v>10541.3889</v>
      </c>
      <c r="C25" s="83" t="n">
        <v>539.8364</v>
      </c>
      <c r="D25" s="83" t="n">
        <v>1634.7037</v>
      </c>
      <c r="E25" s="83">
        <f t="shared" si="0"/>
        <v>12715.929</v>
      </c>
      <c r="G25">
        <v>14</v>
      </c>
      <c r="H25" s="83" t="n">
        <v>5994.0</v>
      </c>
      <c r="I25" s="83" t="n">
        <v>873.0</v>
      </c>
      <c r="J25" s="85" t="n">
        <v>794.0</v>
      </c>
      <c r="K25" s="83">
        <f t="shared" si="1"/>
        <v>8452</v>
      </c>
    </row>
    <row r="26" spans="1:11" x14ac:dyDescent="0.45">
      <c r="A26">
        <v>15</v>
      </c>
      <c r="B26" s="83" t="n">
        <v>1112.7793</v>
      </c>
      <c r="C26" s="83" t="n">
        <v>0.0</v>
      </c>
      <c r="D26" s="83" t="n">
        <v>196.95</v>
      </c>
      <c r="E26" s="83">
        <f t="shared" si="0"/>
        <v>1309.7293</v>
      </c>
      <c r="G26">
        <v>15</v>
      </c>
      <c r="H26" s="83" t="n">
        <v>6604.0</v>
      </c>
      <c r="I26" s="83" t="n">
        <v>962.0</v>
      </c>
      <c r="J26" s="85" t="n">
        <v>617.0</v>
      </c>
      <c r="K26" s="83">
        <f t="shared" si="1"/>
        <v>7248</v>
      </c>
    </row>
    <row r="27" spans="1:11" x14ac:dyDescent="0.45">
      <c r="A27">
        <v>16</v>
      </c>
      <c r="B27" s="83" t="n">
        <v>25742.3075</v>
      </c>
      <c r="C27" s="83" t="n">
        <v>2312.2284</v>
      </c>
      <c r="D27" s="83" t="n">
        <v>1590.6269</v>
      </c>
      <c r="E27" s="83">
        <f t="shared" si="0"/>
        <v>29645.162799999998</v>
      </c>
      <c r="G27">
        <v>16</v>
      </c>
      <c r="H27" s="83" t="n">
        <v>4641.0</v>
      </c>
      <c r="I27" s="83" t="n">
        <v>816.0</v>
      </c>
      <c r="J27" s="85" t="n">
        <v>1193.0</v>
      </c>
      <c r="K27" s="83">
        <f t="shared" si="1"/>
        <v>6983</v>
      </c>
    </row>
    <row r="28" spans="1:11" x14ac:dyDescent="0.45">
      <c r="A28">
        <v>17</v>
      </c>
      <c r="B28" s="83" t="n">
        <v>10623.5363</v>
      </c>
      <c r="C28" s="83" t="n">
        <v>666.9232</v>
      </c>
      <c r="D28" s="83" t="n">
        <v>0.0</v>
      </c>
      <c r="E28" s="83">
        <f t="shared" si="0"/>
        <v>11290.459499999999</v>
      </c>
      <c r="G28">
        <v>17</v>
      </c>
      <c r="H28" s="83" t="n">
        <v>5154.0</v>
      </c>
      <c r="I28" s="83" t="n">
        <v>868.0</v>
      </c>
      <c r="J28" s="85" t="n">
        <v>948.0</v>
      </c>
      <c r="K28" s="83">
        <f t="shared" si="1"/>
        <v>6763</v>
      </c>
    </row>
    <row r="29" spans="1:11" x14ac:dyDescent="0.45">
      <c r="A29">
        <v>18</v>
      </c>
      <c r="B29" s="83" t="n">
        <v>36993.8717</v>
      </c>
      <c r="C29" s="83" t="n">
        <v>5096.0102</v>
      </c>
      <c r="D29" s="83" t="n">
        <v>5352.9331999999995</v>
      </c>
      <c r="E29" s="83">
        <f t="shared" si="0"/>
        <v>47442.8151</v>
      </c>
      <c r="G29">
        <v>18</v>
      </c>
      <c r="H29" s="83" t="n">
        <v>67403.0</v>
      </c>
      <c r="I29" s="83" t="n">
        <v>12583.0</v>
      </c>
      <c r="J29" s="85" t="n">
        <v>16006.0</v>
      </c>
      <c r="K29" s="83">
        <f t="shared" si="1"/>
        <v>94783</v>
      </c>
    </row>
    <row r="30" spans="1:11" x14ac:dyDescent="0.45">
      <c r="A30">
        <v>19</v>
      </c>
      <c r="B30" s="83" t="n">
        <v>18722.4765</v>
      </c>
      <c r="C30" s="83" t="n">
        <v>5036.694</v>
      </c>
      <c r="D30" s="83" t="n">
        <v>4217.7898</v>
      </c>
      <c r="E30" s="83">
        <f t="shared" si="0"/>
        <v>27976.960299999999</v>
      </c>
      <c r="G30">
        <v>19</v>
      </c>
      <c r="H30" s="83" t="n">
        <v>14885.0</v>
      </c>
      <c r="I30" s="83" t="n">
        <v>3033.0</v>
      </c>
      <c r="J30" s="85" t="n">
        <v>4824.0</v>
      </c>
      <c r="K30" s="83">
        <f t="shared" si="1"/>
        <v>22624</v>
      </c>
    </row>
    <row r="31" spans="1:11" x14ac:dyDescent="0.45">
      <c r="A31">
        <v>20</v>
      </c>
      <c r="B31" s="83" t="n">
        <v>41135.0582</v>
      </c>
      <c r="C31" s="83" t="n">
        <v>2008.2398</v>
      </c>
      <c r="D31" s="83" t="n">
        <v>3383.5687</v>
      </c>
      <c r="E31" s="83">
        <f t="shared" si="0"/>
        <v>46526.866699999999</v>
      </c>
      <c r="G31">
        <v>20</v>
      </c>
      <c r="H31" s="83" t="n">
        <v>13527.0</v>
      </c>
      <c r="I31" s="83" t="n">
        <v>3328.0</v>
      </c>
      <c r="J31" s="85" t="n">
        <v>9093.0</v>
      </c>
      <c r="K31" s="83">
        <f t="shared" si="1"/>
        <v>30285</v>
      </c>
    </row>
    <row r="32" spans="1:11" x14ac:dyDescent="0.45">
      <c r="A32">
        <v>21</v>
      </c>
      <c r="B32" s="83" t="n">
        <v>19792.749499999998</v>
      </c>
      <c r="C32" s="83" t="n">
        <v>3177.5144</v>
      </c>
      <c r="D32" s="83" t="n">
        <v>3402.5726</v>
      </c>
      <c r="E32" s="83">
        <f t="shared" si="0"/>
        <v>26372.836499999998</v>
      </c>
      <c r="G32">
        <v>21</v>
      </c>
      <c r="H32" s="83" t="n">
        <v>15052.0</v>
      </c>
      <c r="I32" s="83" t="n">
        <v>4361.0</v>
      </c>
      <c r="J32" s="85" t="n">
        <v>16015.0</v>
      </c>
      <c r="K32" s="83">
        <f t="shared" si="1"/>
        <v>27600</v>
      </c>
    </row>
    <row r="33" spans="1:11" x14ac:dyDescent="0.45">
      <c r="A33">
        <v>22</v>
      </c>
      <c r="B33" s="83" t="n">
        <v>20777.6028</v>
      </c>
      <c r="C33" s="83" t="n">
        <v>2015.7887</v>
      </c>
      <c r="D33" s="83" t="n">
        <v>4173.3805</v>
      </c>
      <c r="E33" s="83">
        <f t="shared" si="0"/>
        <v>26966.772000000001</v>
      </c>
      <c r="G33">
        <v>22</v>
      </c>
      <c r="H33" s="83" t="n">
        <v>19040.0</v>
      </c>
      <c r="I33" s="83" t="n">
        <v>4495.0</v>
      </c>
      <c r="J33" s="85" t="n">
        <v>4518.0</v>
      </c>
      <c r="K33" s="83">
        <f t="shared" si="1"/>
        <v>27748</v>
      </c>
    </row>
    <row r="34" spans="1:11" x14ac:dyDescent="0.45">
      <c r="A34">
        <v>23</v>
      </c>
      <c r="B34" s="83" t="n">
        <v>3476.5962</v>
      </c>
      <c r="C34" s="83" t="n">
        <v>87.1083</v>
      </c>
      <c r="D34" s="83" t="n">
        <v>2447.9009</v>
      </c>
      <c r="E34" s="83">
        <f t="shared" si="0"/>
        <v>6011.6054000000004</v>
      </c>
      <c r="G34">
        <v>23</v>
      </c>
      <c r="H34" s="83" t="n">
        <v>15374.0</v>
      </c>
      <c r="I34" s="83" t="n">
        <v>3337.0</v>
      </c>
      <c r="J34" s="85" t="n">
        <v>10532.0</v>
      </c>
      <c r="K34" s="83">
        <f t="shared" si="1"/>
        <v>24618</v>
      </c>
    </row>
    <row r="35" spans="1:11" x14ac:dyDescent="0.45">
      <c r="A35">
        <v>24</v>
      </c>
      <c r="B35" s="83" t="n">
        <v>14231.0566</v>
      </c>
      <c r="C35" s="83" t="n">
        <v>5333.9229000000005</v>
      </c>
      <c r="D35" s="83" t="n">
        <v>1554.6602</v>
      </c>
      <c r="E35" s="83">
        <f t="shared" si="0"/>
        <v>21119.6397</v>
      </c>
      <c r="G35">
        <v>24</v>
      </c>
      <c r="H35" s="83" t="n">
        <v>7832.0</v>
      </c>
      <c r="I35" s="83" t="n">
        <v>2316.0</v>
      </c>
      <c r="J35" s="85" t="n">
        <v>9800.0</v>
      </c>
      <c r="K35" s="83">
        <f t="shared" si="1"/>
        <v>21786</v>
      </c>
    </row>
    <row r="36" spans="1:11" x14ac:dyDescent="0.45">
      <c r="A36">
        <v>25</v>
      </c>
      <c r="B36" s="83" t="n">
        <v>14298.2394</v>
      </c>
      <c r="C36" s="83" t="n">
        <v>294.7741</v>
      </c>
      <c r="D36" s="83" t="n">
        <v>1148.9579</v>
      </c>
      <c r="E36" s="83">
        <f t="shared" si="0"/>
        <v>15741.9714</v>
      </c>
      <c r="G36">
        <v>25</v>
      </c>
      <c r="H36" s="83" t="n">
        <v>8606.0</v>
      </c>
      <c r="I36" s="83" t="n">
        <v>2631.0</v>
      </c>
      <c r="J36" s="85" t="n">
        <v>7222.0</v>
      </c>
      <c r="K36" s="83">
        <f t="shared" si="1"/>
        <v>20620</v>
      </c>
    </row>
    <row r="37" spans="1:11" x14ac:dyDescent="0.45">
      <c r="A37">
        <v>26</v>
      </c>
      <c r="B37" s="83" t="n">
        <v>33297.3339</v>
      </c>
      <c r="C37" s="83" t="n">
        <v>7174.651</v>
      </c>
      <c r="D37" s="83" t="n">
        <v>887.428</v>
      </c>
      <c r="E37" s="83">
        <f t="shared" si="0"/>
        <v>41359.412899999996</v>
      </c>
      <c r="G37">
        <v>26</v>
      </c>
      <c r="H37" s="83" t="n">
        <v>5443.0</v>
      </c>
      <c r="I37" s="83" t="n">
        <v>1604.0</v>
      </c>
      <c r="J37" s="85" t="n">
        <v>9219.0</v>
      </c>
      <c r="K37" s="83">
        <f t="shared" si="1"/>
        <v>16855</v>
      </c>
    </row>
    <row r="38" spans="1:11" x14ac:dyDescent="0.45">
      <c r="A38">
        <v>27</v>
      </c>
      <c r="B38" s="83" t="n">
        <v>3780.4168</v>
      </c>
      <c r="C38" s="83" t="n">
        <v>2004.8523</v>
      </c>
      <c r="D38" s="83" t="n">
        <v>451.7598</v>
      </c>
      <c r="E38" s="83">
        <f t="shared" si="0"/>
        <v>6237.0288999999993</v>
      </c>
      <c r="G38">
        <v>27</v>
      </c>
      <c r="H38" s="83" t="n">
        <v>5692.0</v>
      </c>
      <c r="I38" s="83" t="n">
        <v>2193.0</v>
      </c>
      <c r="J38" s="85" t="n">
        <v>12127.0</v>
      </c>
      <c r="K38" s="83">
        <f t="shared" si="1"/>
        <v>15546</v>
      </c>
    </row>
    <row r="39" spans="1:11" x14ac:dyDescent="0.45">
      <c r="A39">
        <v>28</v>
      </c>
      <c r="B39" s="83" t="n">
        <v>11328.2202</v>
      </c>
      <c r="C39" s="83" t="n">
        <v>1681.9155</v>
      </c>
      <c r="D39" s="83" t="n">
        <v>1986.3262</v>
      </c>
      <c r="E39" s="83">
        <f t="shared" si="0"/>
        <v>14996.461899999998</v>
      </c>
      <c r="G39">
        <v>28</v>
      </c>
      <c r="H39" s="83" t="n">
        <v>3211.0</v>
      </c>
      <c r="I39" s="83" t="n">
        <v>1255.0</v>
      </c>
      <c r="J39" s="85" t="n">
        <v>5592.0</v>
      </c>
      <c r="K39" s="83">
        <f t="shared" si="1"/>
        <v>13281</v>
      </c>
    </row>
    <row r="40" spans="1:11" x14ac:dyDescent="0.45">
      <c r="A40">
        <v>29</v>
      </c>
      <c r="B40" s="83" t="n">
        <v>4032.5270000000005</v>
      </c>
      <c r="C40" s="83" t="n">
        <v>2926.6144000000004</v>
      </c>
      <c r="D40" s="83" t="n">
        <v>1539.4123</v>
      </c>
      <c r="E40" s="83">
        <f t="shared" si="0"/>
        <v>8498.5537000000004</v>
      </c>
      <c r="G40">
        <v>29</v>
      </c>
      <c r="H40" s="83" t="n">
        <v>2265.0</v>
      </c>
      <c r="I40" s="83" t="n">
        <v>1034.0</v>
      </c>
      <c r="J40" s="85" t="n">
        <v>5181.0</v>
      </c>
      <c r="K40" s="83">
        <f t="shared" si="1"/>
        <v>8459</v>
      </c>
    </row>
    <row r="41" spans="1:11" x14ac:dyDescent="0.45">
      <c r="A41">
        <v>30</v>
      </c>
      <c r="B41" s="83" t="n">
        <v>14496.886</v>
      </c>
      <c r="C41" s="83" t="n">
        <v>3870.1862</v>
      </c>
      <c r="D41" s="83" t="n">
        <v>1273.5946</v>
      </c>
      <c r="E41" s="83">
        <f t="shared" si="0"/>
        <v>19640.666800000003</v>
      </c>
      <c r="G41">
        <v>30</v>
      </c>
      <c r="H41" s="83" t="n">
        <v>6216.0</v>
      </c>
      <c r="I41" s="83" t="n">
        <v>1625.0</v>
      </c>
      <c r="J41" s="85" t="n">
        <v>3046.0</v>
      </c>
      <c r="K41" s="83">
        <f t="shared" si="1"/>
        <v>8532</v>
      </c>
    </row>
    <row r="42" spans="1:11" x14ac:dyDescent="0.45">
      <c r="A42">
        <v>31</v>
      </c>
      <c r="B42" s="83" t="n">
        <v>4371.8631</v>
      </c>
      <c r="C42" s="83" t="n">
        <v>2765.5991</v>
      </c>
      <c r="D42" s="83" t="n">
        <v>1153.2854</v>
      </c>
      <c r="E42" s="83">
        <f t="shared" si="0"/>
        <v>8290.7476000000006</v>
      </c>
      <c r="G42">
        <v>31</v>
      </c>
      <c r="H42" s="83" t="n">
        <v>4392.0</v>
      </c>
      <c r="I42" s="83" t="n">
        <v>1456.0</v>
      </c>
      <c r="J42" s="85" t="n">
        <v>3144.0</v>
      </c>
      <c r="K42" s="83">
        <f t="shared" si="1"/>
        <v>7990</v>
      </c>
    </row>
    <row r="43" spans="1:11" x14ac:dyDescent="0.45">
      <c r="A43">
        <v>32</v>
      </c>
      <c r="B43" s="83" t="n">
        <v>4797.0135</v>
      </c>
      <c r="C43" s="83" t="n">
        <v>679.5339</v>
      </c>
      <c r="D43" s="83" t="n">
        <v>74.982</v>
      </c>
      <c r="E43" s="83">
        <f t="shared" ref="E43:E74" si="2">SUM(B43:D43)</f>
        <v>5551.5294000000004</v>
      </c>
      <c r="G43">
        <v>32</v>
      </c>
      <c r="H43" s="83" t="n">
        <v>3699.0</v>
      </c>
      <c r="I43" s="83" t="n">
        <v>1292.0</v>
      </c>
      <c r="J43" s="85" t="n">
        <v>6073.0</v>
      </c>
      <c r="K43" s="83">
        <f t="shared" ref="K43:K74" si="3">SUM(H43:J43)</f>
        <v>10346</v>
      </c>
    </row>
    <row r="44" spans="1:11" x14ac:dyDescent="0.45">
      <c r="A44">
        <v>33</v>
      </c>
      <c r="B44" s="83" t="n">
        <v>3526.8323</v>
      </c>
      <c r="C44" s="83" t="n">
        <v>0.0</v>
      </c>
      <c r="D44" s="83" t="n">
        <v>2155.7030999999997</v>
      </c>
      <c r="E44" s="83">
        <f t="shared" si="2"/>
        <v>5682.5353999999998</v>
      </c>
      <c r="G44">
        <v>33</v>
      </c>
      <c r="H44" s="83" t="n">
        <v>889.0</v>
      </c>
      <c r="I44" s="83" t="n">
        <v>677.0</v>
      </c>
      <c r="J44" s="85" t="n">
        <v>3546.0</v>
      </c>
      <c r="K44" s="83">
        <f t="shared" si="3"/>
        <v>10177</v>
      </c>
    </row>
    <row r="45" spans="1:11" x14ac:dyDescent="0.45">
      <c r="A45">
        <v>34</v>
      </c>
      <c r="B45" s="83" t="n">
        <v>12612.1371</v>
      </c>
      <c r="C45" s="83" t="n">
        <v>645.0735999999999</v>
      </c>
      <c r="D45" s="83" t="n">
        <v>863.245</v>
      </c>
      <c r="E45" s="83">
        <f t="shared" si="2"/>
        <v>14120.4557</v>
      </c>
      <c r="G45">
        <v>34</v>
      </c>
      <c r="H45" s="83" t="n">
        <v>548.0</v>
      </c>
      <c r="I45" s="83" t="n">
        <v>482.0</v>
      </c>
      <c r="J45" s="85" t="n">
        <v>4135.0</v>
      </c>
      <c r="K45" s="83">
        <f t="shared" si="3"/>
        <v>5883</v>
      </c>
    </row>
    <row r="46" spans="1:11" x14ac:dyDescent="0.45">
      <c r="A46">
        <v>35</v>
      </c>
      <c r="B46" s="83" t="n">
        <v>0.0</v>
      </c>
      <c r="C46" s="83" t="n">
        <v>438.0688</v>
      </c>
      <c r="D46" s="83" t="n">
        <v>206.649</v>
      </c>
      <c r="E46" s="83">
        <f t="shared" si="2"/>
        <v>644.71780000000001</v>
      </c>
      <c r="G46">
        <v>35</v>
      </c>
      <c r="H46" s="83" t="n">
        <v>1446.0</v>
      </c>
      <c r="I46" s="83" t="n">
        <v>537.0</v>
      </c>
      <c r="J46" s="85" t="n">
        <v>940.0</v>
      </c>
      <c r="K46" s="83">
        <f t="shared" si="3"/>
        <v>3245</v>
      </c>
    </row>
    <row r="47" spans="1:11" x14ac:dyDescent="0.45">
      <c r="A47">
        <v>36</v>
      </c>
      <c r="B47" s="83" t="n">
        <v>264.5087</v>
      </c>
      <c r="C47" s="83" t="n">
        <v>0.0</v>
      </c>
      <c r="D47" s="83" t="n">
        <v>1327.5808</v>
      </c>
      <c r="E47" s="83">
        <f t="shared" si="2"/>
        <v>1592.0895</v>
      </c>
      <c r="G47">
        <v>36</v>
      </c>
      <c r="H47" s="83" t="n">
        <v>3412.0</v>
      </c>
      <c r="I47" s="83" t="n">
        <v>1154.0</v>
      </c>
      <c r="J47" s="85" t="n">
        <v>4141.0</v>
      </c>
      <c r="K47" s="83">
        <f t="shared" si="3"/>
        <v>3582</v>
      </c>
    </row>
    <row r="48" spans="1:11" x14ac:dyDescent="0.45">
      <c r="A48">
        <v>37</v>
      </c>
      <c r="B48" s="83" t="n">
        <v>4936.4268</v>
      </c>
      <c r="C48" s="83" t="n">
        <v>1379.2523</v>
      </c>
      <c r="D48" s="83" t="n">
        <v>296.61569999999995</v>
      </c>
      <c r="E48" s="83">
        <f t="shared" si="2"/>
        <v>6612.2948000000006</v>
      </c>
      <c r="G48">
        <v>37</v>
      </c>
      <c r="H48" s="83" t="n">
        <v>395.0</v>
      </c>
      <c r="I48" s="83" t="n">
        <v>350.0</v>
      </c>
      <c r="J48" s="85" t="n">
        <v>2350.0</v>
      </c>
      <c r="K48" s="83">
        <f t="shared" si="3"/>
        <v>5652</v>
      </c>
    </row>
    <row r="49" spans="1:11" x14ac:dyDescent="0.45">
      <c r="A49">
        <v>38</v>
      </c>
      <c r="B49" s="83" t="n">
        <v>3535.002</v>
      </c>
      <c r="C49" s="83" t="n">
        <v>1625.885</v>
      </c>
      <c r="D49" s="83" t="n">
        <v>934.5346999999999</v>
      </c>
      <c r="E49" s="83">
        <f t="shared" si="2"/>
        <v>6095.4216999999999</v>
      </c>
      <c r="G49">
        <v>38</v>
      </c>
      <c r="H49" s="83" t="n">
        <v>819.0</v>
      </c>
      <c r="I49" s="83" t="n">
        <v>554.0</v>
      </c>
      <c r="J49" s="85" t="n">
        <v>1371.0</v>
      </c>
      <c r="K49" s="83">
        <f t="shared" si="3"/>
        <v>1507</v>
      </c>
    </row>
    <row r="50" spans="1:11" x14ac:dyDescent="0.45">
      <c r="A50">
        <v>39</v>
      </c>
      <c r="B50" s="83" t="n">
        <v>469.6627</v>
      </c>
      <c r="C50" s="83" t="n">
        <v>0.0</v>
      </c>
      <c r="D50" s="83" t="n">
        <v>1333.1227999999999</v>
      </c>
      <c r="E50" s="83">
        <f t="shared" si="2"/>
        <v>1802.7855</v>
      </c>
      <c r="G50">
        <v>39</v>
      </c>
      <c r="H50" s="83" t="n">
        <v>512.0</v>
      </c>
      <c r="I50" s="83" t="n">
        <v>462.0</v>
      </c>
      <c r="J50" s="85" t="n">
        <v>3369.0</v>
      </c>
      <c r="K50" s="83">
        <f t="shared" si="3"/>
        <v>4626</v>
      </c>
    </row>
    <row r="51" spans="1:11" x14ac:dyDescent="0.45">
      <c r="A51">
        <v>40</v>
      </c>
      <c r="B51" s="83" t="n">
        <v>0.0</v>
      </c>
      <c r="C51" s="83" t="n">
        <v>55.7339</v>
      </c>
      <c r="D51" s="83" t="n">
        <v>128.6345</v>
      </c>
      <c r="E51" s="83">
        <f t="shared" si="2"/>
        <v>184.36840000000001</v>
      </c>
      <c r="G51">
        <v>40</v>
      </c>
      <c r="H51" s="83" t="n">
        <v>172.0</v>
      </c>
      <c r="I51" s="83" t="n">
        <v>284.0</v>
      </c>
      <c r="J51" s="85" t="n">
        <v>1063.0</v>
      </c>
      <c r="K51" s="83">
        <f t="shared" si="3"/>
        <v>2608</v>
      </c>
    </row>
    <row r="52" spans="1:11" x14ac:dyDescent="0.45">
      <c r="A52">
        <v>41</v>
      </c>
      <c r="B52" s="83" t="n">
        <v>5402.1254</v>
      </c>
      <c r="C52" s="83" t="n">
        <v>0.0</v>
      </c>
      <c r="D52" s="83" t="n">
        <v>299.81080000000003</v>
      </c>
      <c r="E52" s="83">
        <f t="shared" si="2"/>
        <v>5701.9362000000001</v>
      </c>
      <c r="G52">
        <v>41</v>
      </c>
      <c r="H52" s="83" t="n">
        <v>206.0</v>
      </c>
      <c r="I52" s="83" t="n">
        <v>226.0</v>
      </c>
      <c r="J52" s="85" t="n">
        <v>835.0</v>
      </c>
      <c r="K52" s="83">
        <f t="shared" si="3"/>
        <v>1440</v>
      </c>
    </row>
    <row r="53" spans="1:11" x14ac:dyDescent="0.45">
      <c r="A53">
        <v>42</v>
      </c>
      <c r="B53" s="83" t="n">
        <v>0.0</v>
      </c>
      <c r="C53" s="83" t="n">
        <v>0.0</v>
      </c>
      <c r="D53" s="83" t="n">
        <v>210.0946</v>
      </c>
      <c r="E53" s="83">
        <f t="shared" si="2"/>
        <v>210.09460000000001</v>
      </c>
      <c r="G53">
        <v>42</v>
      </c>
      <c r="H53" s="83" t="n">
        <v>96.0</v>
      </c>
      <c r="I53" s="83" t="n">
        <v>170.0</v>
      </c>
      <c r="J53" s="85" t="n">
        <v>926.0</v>
      </c>
      <c r="K53" s="83">
        <f t="shared" si="3"/>
        <v>1823</v>
      </c>
    </row>
    <row r="54" spans="1:11" x14ac:dyDescent="0.45">
      <c r="A54">
        <v>43</v>
      </c>
      <c r="B54" s="83" t="n">
        <v>353.8466</v>
      </c>
      <c r="C54" s="83" t="n">
        <v>254.1134</v>
      </c>
      <c r="D54" s="83" t="n">
        <v>320.55989999999997</v>
      </c>
      <c r="E54" s="83">
        <f t="shared" si="2"/>
        <v>928.51990000000001</v>
      </c>
      <c r="G54">
        <v>43</v>
      </c>
      <c r="H54" s="83" t="n">
        <v>88.0</v>
      </c>
      <c r="I54" s="83" t="n">
        <v>149.0</v>
      </c>
      <c r="J54" s="85" t="n">
        <v>1100.0</v>
      </c>
      <c r="K54" s="83">
        <f t="shared" si="3"/>
        <v>1279</v>
      </c>
    </row>
    <row r="55" spans="1:11" x14ac:dyDescent="0.45">
      <c r="A55">
        <v>44</v>
      </c>
      <c r="B55" s="83" t="n">
        <v>0.0</v>
      </c>
      <c r="C55" s="83" t="n">
        <v>0.0</v>
      </c>
      <c r="D55" s="83" t="n">
        <v>1009.3191</v>
      </c>
      <c r="E55" s="83">
        <f t="shared" si="2"/>
        <v>1009.3191</v>
      </c>
      <c r="G55">
        <v>44</v>
      </c>
      <c r="H55" s="83" t="n">
        <v>52.0</v>
      </c>
      <c r="I55" s="83" t="n">
        <v>92.0</v>
      </c>
      <c r="J55" s="85" t="n">
        <v>625.0</v>
      </c>
      <c r="K55" s="83">
        <f t="shared" si="3"/>
        <v>913</v>
      </c>
    </row>
    <row r="56" spans="1:11" x14ac:dyDescent="0.45">
      <c r="A56">
        <v>45</v>
      </c>
      <c r="B56" s="83" t="n">
        <v>14075.8714</v>
      </c>
      <c r="C56" s="83" t="n">
        <v>3017.0855</v>
      </c>
      <c r="D56" s="83" t="n">
        <v>3899.7086</v>
      </c>
      <c r="E56" s="83">
        <f t="shared" si="2"/>
        <v>20992.665500000003</v>
      </c>
      <c r="G56">
        <v>45</v>
      </c>
      <c r="H56" s="83" t="n">
        <v>82.0</v>
      </c>
      <c r="I56" s="83" t="n">
        <v>140.0</v>
      </c>
      <c r="J56" s="85" t="n">
        <v>2242.0</v>
      </c>
      <c r="K56" s="83">
        <f t="shared" si="3"/>
        <v>2510</v>
      </c>
    </row>
    <row r="57" spans="1:11" x14ac:dyDescent="0.45">
      <c r="A57">
        <v>46</v>
      </c>
      <c r="B57" s="83" t="n">
        <v>522.3251</v>
      </c>
      <c r="C57" s="83" t="n">
        <v>522.3251</v>
      </c>
      <c r="D57" s="83" t="n">
        <v>424.084</v>
      </c>
      <c r="E57" s="83">
        <f t="shared" si="2"/>
        <v>1468.7342000000001</v>
      </c>
      <c r="G57">
        <v>46</v>
      </c>
      <c r="H57" s="83" t="n">
        <v>48.0</v>
      </c>
      <c r="I57" s="83" t="n">
        <v>114.0</v>
      </c>
      <c r="J57" s="85" t="n">
        <v>756.0</v>
      </c>
      <c r="K57" s="83">
        <f t="shared" si="3"/>
        <v>997</v>
      </c>
    </row>
    <row r="58" spans="1:11" x14ac:dyDescent="0.45">
      <c r="A58">
        <v>47</v>
      </c>
      <c r="B58" s="83" t="n">
        <v>321.005</v>
      </c>
      <c r="C58" s="83" t="n">
        <v>0.0</v>
      </c>
      <c r="D58" s="83" t="n">
        <v>406.8831</v>
      </c>
      <c r="E58" s="83">
        <f t="shared" si="2"/>
        <v>727.88810000000001</v>
      </c>
      <c r="G58">
        <v>47</v>
      </c>
      <c r="H58" s="83" t="n">
        <v>54.0</v>
      </c>
      <c r="I58" s="83" t="n">
        <v>87.0</v>
      </c>
      <c r="J58" s="85" t="n">
        <v>1966.0</v>
      </c>
      <c r="K58" s="83">
        <f t="shared" si="3"/>
        <v>2724</v>
      </c>
    </row>
    <row r="59" spans="1:11" x14ac:dyDescent="0.45">
      <c r="A59">
        <v>48</v>
      </c>
      <c r="B59" s="83" t="n">
        <v>0.0</v>
      </c>
      <c r="C59" s="83" t="n">
        <v>0.0</v>
      </c>
      <c r="D59" s="83" t="n">
        <v>39.186</v>
      </c>
      <c r="E59" s="83">
        <f t="shared" si="2"/>
        <v>39.186</v>
      </c>
      <c r="G59">
        <v>48</v>
      </c>
      <c r="H59" s="83" t="n">
        <v>96.0</v>
      </c>
      <c r="I59" s="83" t="n">
        <v>136.0</v>
      </c>
      <c r="J59" s="85" t="n">
        <v>1417.0</v>
      </c>
      <c r="K59" s="83">
        <f t="shared" si="3"/>
        <v>1800</v>
      </c>
    </row>
    <row r="60" spans="1:11" x14ac:dyDescent="0.45">
      <c r="A60">
        <v>49</v>
      </c>
      <c r="B60" s="83" t="n">
        <v>1297.2364</v>
      </c>
      <c r="C60" s="83" t="n">
        <v>0.0</v>
      </c>
      <c r="D60" s="83" t="n">
        <v>7.803</v>
      </c>
      <c r="E60" s="83">
        <f t="shared" si="2"/>
        <v>1305.0394000000001</v>
      </c>
      <c r="G60">
        <v>49</v>
      </c>
      <c r="H60" s="83" t="n">
        <v>19.0</v>
      </c>
      <c r="I60" s="83" t="n">
        <v>61.0</v>
      </c>
      <c r="J60" s="85" t="n">
        <v>734.0</v>
      </c>
      <c r="K60" s="83">
        <f t="shared" si="3"/>
        <v>1537</v>
      </c>
    </row>
    <row r="61" spans="1:11" x14ac:dyDescent="0.45">
      <c r="A61">
        <v>50</v>
      </c>
      <c r="B61" s="83" t="n">
        <v>279.8517</v>
      </c>
      <c r="C61" s="83" t="n">
        <v>0.0</v>
      </c>
      <c r="D61" s="83" t="n">
        <v>39.753</v>
      </c>
      <c r="E61" s="83">
        <f t="shared" si="2"/>
        <v>319.60469999999998</v>
      </c>
      <c r="G61">
        <v>50</v>
      </c>
      <c r="H61" s="83" t="n">
        <v>19.0</v>
      </c>
      <c r="I61" s="83" t="n">
        <v>59.0</v>
      </c>
      <c r="J61" s="85" t="n">
        <v>400.0</v>
      </c>
      <c r="K61" s="83">
        <f t="shared" si="3"/>
        <v>787</v>
      </c>
    </row>
    <row r="62" spans="1:11" x14ac:dyDescent="0.45">
      <c r="A62">
        <v>51</v>
      </c>
      <c r="B62" s="83" t="n">
        <v>0.0</v>
      </c>
      <c r="C62" s="83" t="n">
        <v>0.0</v>
      </c>
      <c r="D62" s="83" t="n">
        <v>27.320999999999998</v>
      </c>
      <c r="E62" s="83">
        <f t="shared" si="2"/>
        <v>27.320999999999998</v>
      </c>
      <c r="G62">
        <v>51</v>
      </c>
      <c r="H62" s="83" t="n">
        <v>13.0</v>
      </c>
      <c r="I62" s="83" t="n">
        <v>52.0</v>
      </c>
      <c r="J62" s="85" t="n">
        <v>630.0</v>
      </c>
      <c r="K62" s="83">
        <f t="shared" si="3"/>
        <v>1397</v>
      </c>
    </row>
    <row r="63" spans="1:11" x14ac:dyDescent="0.45">
      <c r="A63">
        <v>52</v>
      </c>
      <c r="B63" s="83" t="n">
        <v>775.4409</v>
      </c>
      <c r="C63" s="83" t="n">
        <v>0.0</v>
      </c>
      <c r="D63" s="83" t="n">
        <v>0.0</v>
      </c>
      <c r="E63" s="83">
        <f t="shared" si="2"/>
        <v>775.44090000000006</v>
      </c>
      <c r="G63">
        <v>52</v>
      </c>
      <c r="H63" s="83" t="n">
        <v>19.0</v>
      </c>
      <c r="I63" s="83" t="n">
        <v>33.0</v>
      </c>
      <c r="J63" s="85" t="n">
        <v>630.0</v>
      </c>
      <c r="K63" s="83">
        <f t="shared" si="3"/>
        <v>796</v>
      </c>
    </row>
    <row r="64" spans="1:11" x14ac:dyDescent="0.45">
      <c r="A64">
        <v>53</v>
      </c>
      <c r="B64" s="83" t="n">
        <v>0.0</v>
      </c>
      <c r="C64" s="83" t="n">
        <v>0.0</v>
      </c>
      <c r="D64" s="83" t="n">
        <v>227.0372</v>
      </c>
      <c r="E64" s="83">
        <f t="shared" si="2"/>
        <v>227.03720000000001</v>
      </c>
      <c r="G64">
        <v>53</v>
      </c>
      <c r="H64" s="83" t="n">
        <v>8.0</v>
      </c>
      <c r="I64" s="83" t="n">
        <v>53.0</v>
      </c>
      <c r="J64" s="85" t="n">
        <v>222.0</v>
      </c>
      <c r="K64" s="83">
        <f t="shared" si="3"/>
        <v>461</v>
      </c>
    </row>
    <row r="65" spans="1:11" x14ac:dyDescent="0.45">
      <c r="A65">
        <v>54</v>
      </c>
      <c r="B65" s="83" t="n">
        <v>0.0</v>
      </c>
      <c r="C65" s="83" t="n">
        <v>0.0</v>
      </c>
      <c r="D65" s="83" t="n">
        <v>0.0</v>
      </c>
      <c r="E65" s="83">
        <f t="shared" si="2"/>
        <v>0</v>
      </c>
      <c r="G65">
        <v>54</v>
      </c>
      <c r="H65" s="83" t="n">
        <v>3.0</v>
      </c>
      <c r="I65" s="83" t="n">
        <v>45.0</v>
      </c>
      <c r="J65" s="85" t="n">
        <v>603.0</v>
      </c>
      <c r="K65" s="83">
        <f t="shared" si="3"/>
        <v>893</v>
      </c>
    </row>
    <row r="66" spans="1:11" x14ac:dyDescent="0.45">
      <c r="A66">
        <v>55</v>
      </c>
      <c r="B66" s="83" t="n">
        <v>1287.2831999999999</v>
      </c>
      <c r="C66" s="83" t="n">
        <v>1194.723</v>
      </c>
      <c r="D66" s="83" t="n">
        <v>31.814</v>
      </c>
      <c r="E66" s="83">
        <f t="shared" si="2"/>
        <v>2513.8201999999997</v>
      </c>
      <c r="G66">
        <v>55</v>
      </c>
      <c r="H66" s="83" t="n">
        <v>7.0</v>
      </c>
      <c r="I66" s="83" t="n">
        <v>29.0</v>
      </c>
      <c r="J66" s="85" t="n">
        <v>141.0</v>
      </c>
      <c r="K66" s="83">
        <f t="shared" si="3"/>
        <v>1170</v>
      </c>
    </row>
    <row r="67" spans="1:11" x14ac:dyDescent="0.45">
      <c r="A67">
        <v>56</v>
      </c>
      <c r="B67" s="83" t="n">
        <v>0.0</v>
      </c>
      <c r="C67" s="83" t="n">
        <v>0.0</v>
      </c>
      <c r="D67" s="83" t="n">
        <v>0.0</v>
      </c>
      <c r="E67" s="83">
        <f t="shared" si="2"/>
        <v>0</v>
      </c>
      <c r="G67">
        <v>56</v>
      </c>
      <c r="H67" s="83" t="n">
        <v>9.0</v>
      </c>
      <c r="I67" s="83" t="n">
        <v>39.0</v>
      </c>
      <c r="J67" s="85" t="n">
        <v>639.0</v>
      </c>
      <c r="K67" s="83">
        <f t="shared" si="3"/>
        <v>845</v>
      </c>
    </row>
    <row r="68" spans="1:11" x14ac:dyDescent="0.45">
      <c r="A68">
        <v>57</v>
      </c>
      <c r="B68" s="83" t="n">
        <v>0.0</v>
      </c>
      <c r="C68" s="83" t="n">
        <v>0.0</v>
      </c>
      <c r="D68" s="83" t="n">
        <v>16.64</v>
      </c>
      <c r="E68" s="83">
        <f t="shared" si="2"/>
        <v>16.64</v>
      </c>
      <c r="G68">
        <v>57</v>
      </c>
      <c r="H68" s="83" t="n">
        <v>5.0</v>
      </c>
      <c r="I68" s="83" t="n">
        <v>13.0</v>
      </c>
      <c r="J68" s="85" t="n">
        <v>300.0</v>
      </c>
      <c r="K68" s="83">
        <f t="shared" si="3"/>
        <v>775</v>
      </c>
    </row>
    <row r="69" spans="1:11" x14ac:dyDescent="0.45">
      <c r="A69">
        <v>58</v>
      </c>
      <c r="B69" s="83" t="n">
        <v>0.0</v>
      </c>
      <c r="C69" s="83" t="n">
        <v>0.0</v>
      </c>
      <c r="D69" s="83" t="n">
        <v>16.385</v>
      </c>
      <c r="E69" s="83">
        <f t="shared" si="2"/>
        <v>16.385000000000002</v>
      </c>
      <c r="G69">
        <v>58</v>
      </c>
      <c r="H69" s="83" t="n">
        <v>4.0</v>
      </c>
      <c r="I69" s="83" t="n">
        <v>22.0</v>
      </c>
      <c r="J69" s="85" t="n">
        <v>244.0</v>
      </c>
      <c r="K69" s="83">
        <f t="shared" si="3"/>
        <v>527</v>
      </c>
    </row>
    <row r="70" spans="1:11" x14ac:dyDescent="0.45">
      <c r="A70">
        <v>59</v>
      </c>
      <c r="B70" s="83" t="n">
        <v>0.0</v>
      </c>
      <c r="C70" s="83" t="n">
        <v>0.0</v>
      </c>
      <c r="D70" s="83" t="n">
        <v>0.0</v>
      </c>
      <c r="E70" s="83">
        <f t="shared" si="2"/>
        <v>0</v>
      </c>
      <c r="G70">
        <v>59</v>
      </c>
      <c r="H70" s="83" t="n">
        <v>4.0</v>
      </c>
      <c r="I70" s="83" t="n">
        <v>7.0</v>
      </c>
      <c r="J70" s="85" t="n">
        <v>41.0</v>
      </c>
      <c r="K70" s="83">
        <f t="shared" si="3"/>
        <v>321</v>
      </c>
    </row>
    <row r="71" spans="1:11" x14ac:dyDescent="0.45">
      <c r="A71">
        <v>60</v>
      </c>
      <c r="B71" s="83" t="n">
        <v>0.0</v>
      </c>
      <c r="C71" s="83" t="n">
        <v>0.0</v>
      </c>
      <c r="D71" s="83" t="n">
        <v>0.0</v>
      </c>
      <c r="E71" s="83">
        <f t="shared" si="2"/>
        <v>0</v>
      </c>
      <c r="G71">
        <v>60</v>
      </c>
      <c r="H71" s="83" t="n">
        <v>1.0</v>
      </c>
      <c r="I71" s="83" t="n">
        <v>22.0</v>
      </c>
      <c r="J71" s="85" t="n">
        <v>178.0</v>
      </c>
      <c r="K71" s="83">
        <f t="shared" si="3"/>
        <v>311</v>
      </c>
    </row>
    <row r="72" spans="1:11" x14ac:dyDescent="0.45">
      <c r="A72">
        <v>61</v>
      </c>
      <c r="B72" s="83" t="n">
        <v>0.0</v>
      </c>
      <c r="C72" s="83" t="n">
        <v>0.0</v>
      </c>
      <c r="D72" s="83" t="n">
        <v>0.0</v>
      </c>
      <c r="E72" s="83">
        <f t="shared" si="2"/>
        <v>0</v>
      </c>
      <c r="G72">
        <v>61</v>
      </c>
      <c r="H72" s="83" t="n">
        <v>8.0</v>
      </c>
      <c r="I72" s="83" t="n">
        <v>12.0</v>
      </c>
      <c r="J72" s="85" t="n">
        <v>110.0</v>
      </c>
      <c r="K72" s="83">
        <f t="shared" si="3"/>
        <v>190</v>
      </c>
    </row>
    <row r="73" spans="1:11" x14ac:dyDescent="0.45">
      <c r="A73">
        <v>62</v>
      </c>
      <c r="B73" s="83" t="n">
        <v>0.0</v>
      </c>
      <c r="C73" s="83" t="n">
        <v>0.0</v>
      </c>
      <c r="D73" s="83" t="n">
        <v>21.709000000000003</v>
      </c>
      <c r="E73" s="83">
        <f t="shared" si="2"/>
        <v>21.709000000000003</v>
      </c>
      <c r="G73">
        <v>62</v>
      </c>
      <c r="H73" s="83" t="n">
        <v>6.0</v>
      </c>
      <c r="I73" s="83" t="n">
        <v>10.0</v>
      </c>
      <c r="J73" s="85" t="n">
        <v>346.0</v>
      </c>
      <c r="K73" s="83">
        <f t="shared" si="3"/>
        <v>558</v>
      </c>
    </row>
    <row r="74" spans="1:11" x14ac:dyDescent="0.45">
      <c r="A74">
        <v>63</v>
      </c>
      <c r="B74" s="83" t="n">
        <v>0.0</v>
      </c>
      <c r="C74" s="83" t="n">
        <v>0.0</v>
      </c>
      <c r="D74" s="83" t="n">
        <v>4.128</v>
      </c>
      <c r="E74" s="83">
        <f t="shared" si="2"/>
        <v>4.1280000000000001</v>
      </c>
      <c r="G74">
        <v>63</v>
      </c>
      <c r="H74" s="83" t="n">
        <v>3.0</v>
      </c>
      <c r="I74" s="83" t="n">
        <v>11.0</v>
      </c>
      <c r="J74" s="85" t="n">
        <v>133.0</v>
      </c>
      <c r="K74" s="83">
        <f t="shared" si="3"/>
        <v>184</v>
      </c>
    </row>
    <row r="75" spans="1:11" x14ac:dyDescent="0.45">
      <c r="A75">
        <v>64</v>
      </c>
      <c r="B75" s="83" t="n">
        <v>0.0</v>
      </c>
      <c r="C75" s="83" t="n">
        <v>78.9631</v>
      </c>
      <c r="D75" s="83" t="n">
        <v>10.791</v>
      </c>
      <c r="E75" s="83">
        <f t="shared" ref="E75:E101" si="4">SUM(B75:D75)</f>
        <v>89.754099999999994</v>
      </c>
      <c r="G75">
        <v>64</v>
      </c>
      <c r="H75" s="83" t="n">
        <v>0.0</v>
      </c>
      <c r="I75" s="83" t="n">
        <v>10.0</v>
      </c>
      <c r="J75" s="85" t="n">
        <v>168.0</v>
      </c>
      <c r="K75" s="83">
        <f t="shared" ref="K75:K101" si="5">SUM(H75:J75)</f>
        <v>382</v>
      </c>
    </row>
    <row r="76" spans="1:11" x14ac:dyDescent="0.45">
      <c r="A76">
        <v>65</v>
      </c>
      <c r="B76" s="83" t="n">
        <v>0.0</v>
      </c>
      <c r="C76" s="83" t="n">
        <v>0.0</v>
      </c>
      <c r="D76" s="83" t="n">
        <v>0.0</v>
      </c>
      <c r="E76" s="83">
        <f t="shared" si="4"/>
        <v>0</v>
      </c>
      <c r="G76">
        <v>65</v>
      </c>
      <c r="H76" s="83" t="n">
        <v>4.0</v>
      </c>
      <c r="I76" s="83" t="n">
        <v>16.0</v>
      </c>
      <c r="J76" s="85" t="n">
        <v>80.0</v>
      </c>
      <c r="K76" s="83">
        <f t="shared" si="5"/>
        <v>229</v>
      </c>
    </row>
    <row r="77" spans="1:11" x14ac:dyDescent="0.45">
      <c r="A77">
        <v>66</v>
      </c>
      <c r="B77" s="83" t="n">
        <v>0.0</v>
      </c>
      <c r="C77" s="83" t="n">
        <v>0.0</v>
      </c>
      <c r="D77" s="83" t="n">
        <v>275.5614</v>
      </c>
      <c r="E77" s="83">
        <f t="shared" si="4"/>
        <v>275.56139999999999</v>
      </c>
      <c r="G77">
        <v>66</v>
      </c>
      <c r="H77" s="83" t="n">
        <v>0.0</v>
      </c>
      <c r="I77" s="83" t="n">
        <v>1.0</v>
      </c>
      <c r="J77" s="85" t="n">
        <v>297.0</v>
      </c>
      <c r="K77" s="83">
        <f t="shared" si="5"/>
        <v>321</v>
      </c>
    </row>
    <row r="78" spans="1:11" x14ac:dyDescent="0.45">
      <c r="A78">
        <v>67</v>
      </c>
      <c r="B78" s="83" t="n">
        <v>0.0</v>
      </c>
      <c r="C78" s="83" t="n">
        <v>0.0</v>
      </c>
      <c r="D78" s="83" t="n">
        <v>495.275</v>
      </c>
      <c r="E78" s="83">
        <f t="shared" si="4"/>
        <v>495.27499999999998</v>
      </c>
      <c r="G78">
        <v>67</v>
      </c>
      <c r="H78" s="83" t="n">
        <v>2.0</v>
      </c>
      <c r="I78" s="83" t="n">
        <v>7.0</v>
      </c>
      <c r="J78" s="85" t="n">
        <v>46.0</v>
      </c>
      <c r="K78" s="83">
        <f t="shared" si="5"/>
        <v>470</v>
      </c>
    </row>
    <row r="79" spans="1:11" x14ac:dyDescent="0.45">
      <c r="A79">
        <v>68</v>
      </c>
      <c r="B79" s="83" t="n">
        <v>0.0</v>
      </c>
      <c r="C79" s="83" t="n">
        <v>0.0</v>
      </c>
      <c r="D79" s="83" t="n">
        <v>0.0</v>
      </c>
      <c r="E79" s="83">
        <f t="shared" si="4"/>
        <v>0</v>
      </c>
      <c r="G79">
        <v>68</v>
      </c>
      <c r="H79" s="83" t="n">
        <v>0.0</v>
      </c>
      <c r="I79" s="83" t="n">
        <v>4.0</v>
      </c>
      <c r="J79" s="85" t="n">
        <v>29.0</v>
      </c>
      <c r="K79" s="83">
        <f t="shared" si="5"/>
        <v>55</v>
      </c>
    </row>
    <row r="80" spans="1:11" x14ac:dyDescent="0.45">
      <c r="A80">
        <v>69</v>
      </c>
      <c r="B80" s="83" t="n">
        <v>0.0</v>
      </c>
      <c r="C80" s="83" t="n">
        <v>0.0</v>
      </c>
      <c r="D80" s="83" t="n">
        <v>8.485</v>
      </c>
      <c r="E80" s="83">
        <f t="shared" si="4"/>
        <v>8.4849999999999994</v>
      </c>
      <c r="G80">
        <v>69</v>
      </c>
      <c r="H80" s="83" t="n">
        <v>0.0</v>
      </c>
      <c r="I80" s="83" t="n">
        <v>7.0</v>
      </c>
      <c r="J80" s="85" t="n">
        <v>47.0</v>
      </c>
      <c r="K80" s="83">
        <f t="shared" si="5"/>
        <v>95</v>
      </c>
    </row>
    <row r="81" spans="1:11" x14ac:dyDescent="0.45">
      <c r="A81">
        <v>70</v>
      </c>
      <c r="B81" s="83" t="n">
        <v>0.0</v>
      </c>
      <c r="C81" s="83" t="n">
        <v>0.0</v>
      </c>
      <c r="D81" s="83" t="n">
        <v>0.0</v>
      </c>
      <c r="E81" s="83">
        <f t="shared" si="4"/>
        <v>0</v>
      </c>
      <c r="G81">
        <v>70</v>
      </c>
      <c r="H81" s="83" t="n">
        <v>9.0</v>
      </c>
      <c r="I81" s="83" t="n">
        <v>5.0</v>
      </c>
      <c r="J81" s="85" t="n">
        <v>190.0</v>
      </c>
      <c r="K81" s="83">
        <f t="shared" si="5"/>
        <v>252</v>
      </c>
    </row>
    <row r="82" spans="1:11" x14ac:dyDescent="0.45">
      <c r="A82">
        <v>71</v>
      </c>
      <c r="B82" s="83" t="n">
        <v>0.0</v>
      </c>
      <c r="C82" s="83" t="n">
        <v>0.0</v>
      </c>
      <c r="D82" s="83" t="n">
        <v>0.0</v>
      </c>
      <c r="E82" s="83">
        <f t="shared" si="4"/>
        <v>0</v>
      </c>
      <c r="G82">
        <v>71</v>
      </c>
      <c r="H82" s="83" t="n">
        <v>4.0</v>
      </c>
      <c r="I82" s="83" t="n">
        <v>1.0</v>
      </c>
      <c r="J82" s="85" t="n">
        <v>67.0</v>
      </c>
      <c r="K82" s="83">
        <f t="shared" si="5"/>
        <v>309</v>
      </c>
    </row>
    <row r="83" spans="1:11" x14ac:dyDescent="0.45">
      <c r="A83">
        <v>72</v>
      </c>
      <c r="B83" s="83" t="n">
        <v>99.9861</v>
      </c>
      <c r="C83" s="83" t="n">
        <v>542.7239</v>
      </c>
      <c r="D83" s="83" t="n">
        <v>11.159</v>
      </c>
      <c r="E83" s="83">
        <f t="shared" si="4"/>
        <v>653.86899999999991</v>
      </c>
      <c r="G83">
        <v>72</v>
      </c>
      <c r="H83" s="83" t="n">
        <v>0.0</v>
      </c>
      <c r="I83" s="83" t="n">
        <v>2.0</v>
      </c>
      <c r="J83" s="85" t="n">
        <v>16.0</v>
      </c>
      <c r="K83" s="83">
        <f t="shared" si="5"/>
        <v>237</v>
      </c>
    </row>
    <row r="84" spans="1:11" x14ac:dyDescent="0.45">
      <c r="A84">
        <v>73</v>
      </c>
      <c r="B84" s="83" t="n">
        <v>0.0</v>
      </c>
      <c r="C84" s="83" t="n">
        <v>0.0</v>
      </c>
      <c r="D84" s="83" t="n">
        <v>0.0</v>
      </c>
      <c r="E84" s="83">
        <f t="shared" si="4"/>
        <v>0</v>
      </c>
      <c r="G84">
        <v>73</v>
      </c>
      <c r="H84" s="83" t="n">
        <v>2.0</v>
      </c>
      <c r="I84" s="83" t="n">
        <v>4.0</v>
      </c>
      <c r="J84" s="85" t="n">
        <v>20.0</v>
      </c>
      <c r="K84" s="83">
        <f t="shared" si="5"/>
        <v>30</v>
      </c>
    </row>
    <row r="85" spans="1:11" x14ac:dyDescent="0.45">
      <c r="A85">
        <v>74</v>
      </c>
      <c r="B85" s="83" t="n">
        <v>0.0</v>
      </c>
      <c r="C85" s="83" t="n">
        <v>0.0</v>
      </c>
      <c r="D85" s="83" t="n">
        <v>0.0</v>
      </c>
      <c r="E85" s="83">
        <f t="shared" si="4"/>
        <v>0</v>
      </c>
      <c r="G85">
        <v>74</v>
      </c>
      <c r="H85" s="83" t="n">
        <v>0.0</v>
      </c>
      <c r="I85" s="83" t="n">
        <v>0.0</v>
      </c>
      <c r="J85" s="85" t="n">
        <v>7.0</v>
      </c>
      <c r="K85" s="83">
        <f t="shared" si="5"/>
        <v>30</v>
      </c>
    </row>
    <row r="86" spans="1:11" x14ac:dyDescent="0.45">
      <c r="A86">
        <v>75</v>
      </c>
      <c r="B86" s="83" t="n">
        <v>0.0</v>
      </c>
      <c r="C86" s="83" t="n">
        <v>0.0</v>
      </c>
      <c r="D86" s="83" t="n">
        <v>0.0</v>
      </c>
      <c r="E86" s="83">
        <f t="shared" si="4"/>
        <v>0</v>
      </c>
      <c r="G86">
        <v>75</v>
      </c>
      <c r="H86" s="83" t="n">
        <v>2.0</v>
      </c>
      <c r="I86" s="83" t="n">
        <v>2.0</v>
      </c>
      <c r="J86" s="85" t="n">
        <v>11.0</v>
      </c>
      <c r="K86" s="83">
        <f t="shared" si="5"/>
        <v>13</v>
      </c>
    </row>
    <row r="87" spans="1:11" x14ac:dyDescent="0.45">
      <c r="A87">
        <v>76</v>
      </c>
      <c r="B87" s="83" t="n">
        <v>0.0</v>
      </c>
      <c r="C87" s="83" t="n">
        <v>0.0</v>
      </c>
      <c r="D87" s="83" t="n">
        <v>598.7239</v>
      </c>
      <c r="E87" s="83">
        <f t="shared" si="4"/>
        <v>598.72389999999996</v>
      </c>
      <c r="G87">
        <v>76</v>
      </c>
      <c r="H87" s="83" t="n">
        <v>0.0</v>
      </c>
      <c r="I87" s="83" t="n">
        <v>1.0</v>
      </c>
      <c r="J87" s="85" t="n">
        <v>14.0</v>
      </c>
      <c r="K87" s="83">
        <f t="shared" si="5"/>
        <v>8</v>
      </c>
    </row>
    <row r="88" spans="1:11" x14ac:dyDescent="0.45">
      <c r="A88">
        <v>77</v>
      </c>
      <c r="B88" s="83" t="n">
        <v>1031.4047</v>
      </c>
      <c r="C88" s="83" t="n">
        <v>0.0</v>
      </c>
      <c r="D88" s="83" t="n">
        <v>0.0</v>
      </c>
      <c r="E88" s="83">
        <f t="shared" si="4"/>
        <v>1031.4047</v>
      </c>
      <c r="G88">
        <v>77</v>
      </c>
      <c r="H88" s="83" t="n">
        <v>2.0</v>
      </c>
      <c r="I88" s="83" t="n">
        <v>2.0</v>
      </c>
      <c r="J88" s="85" t="n">
        <v>62.0</v>
      </c>
      <c r="K88" s="83">
        <f t="shared" si="5"/>
        <v>233</v>
      </c>
    </row>
    <row r="89" spans="1:11" x14ac:dyDescent="0.45">
      <c r="A89">
        <v>78</v>
      </c>
      <c r="B89" s="83" t="n">
        <v>212.6231</v>
      </c>
      <c r="C89" s="83" t="n">
        <v>0.0</v>
      </c>
      <c r="D89" s="83" t="n">
        <v>0.0</v>
      </c>
      <c r="E89" s="83">
        <f t="shared" si="4"/>
        <v>212.62309999999999</v>
      </c>
      <c r="G89">
        <v>78</v>
      </c>
      <c r="H89" s="83" t="n">
        <v>1.0</v>
      </c>
      <c r="I89" s="83" t="n">
        <v>3.0</v>
      </c>
      <c r="J89" s="85" t="n">
        <v>1.0</v>
      </c>
      <c r="K89" s="83">
        <f t="shared" si="5"/>
        <v>22</v>
      </c>
    </row>
    <row r="90" spans="1:11" x14ac:dyDescent="0.45">
      <c r="A90">
        <v>79</v>
      </c>
      <c r="B90" s="83" t="n">
        <v>0.0</v>
      </c>
      <c r="C90" s="83" t="n">
        <v>0.0</v>
      </c>
      <c r="D90" s="83" t="n">
        <v>0.0</v>
      </c>
      <c r="E90" s="83">
        <f t="shared" si="4"/>
        <v>0</v>
      </c>
      <c r="G90">
        <v>79</v>
      </c>
      <c r="H90" s="83" t="n">
        <v>0.0</v>
      </c>
      <c r="I90" s="83" t="n">
        <v>2.0</v>
      </c>
      <c r="J90" s="85" t="n">
        <v>0.0</v>
      </c>
      <c r="K90" s="83">
        <f t="shared" si="5"/>
        <v>66</v>
      </c>
    </row>
    <row r="91" spans="1:11" x14ac:dyDescent="0.45">
      <c r="A91">
        <v>80</v>
      </c>
      <c r="B91" s="83" t="n">
        <v>0.0</v>
      </c>
      <c r="C91" s="83" t="n">
        <v>0.0</v>
      </c>
      <c r="D91" s="83" t="n">
        <v>0.0</v>
      </c>
      <c r="E91" s="83">
        <f t="shared" si="4"/>
        <v>0</v>
      </c>
      <c r="G91">
        <v>80</v>
      </c>
      <c r="H91" s="83" t="n">
        <v>0.0</v>
      </c>
      <c r="I91" s="83" t="n">
        <v>4.0</v>
      </c>
      <c r="J91" s="85" t="n">
        <v>1.0</v>
      </c>
      <c r="K91" s="83">
        <f t="shared" si="5"/>
        <v>0</v>
      </c>
    </row>
    <row r="92" spans="1:11" x14ac:dyDescent="0.45">
      <c r="A92">
        <v>81</v>
      </c>
      <c r="B92" s="83" t="n">
        <v>0.0</v>
      </c>
      <c r="C92" s="83" t="n">
        <v>0.0</v>
      </c>
      <c r="D92" s="83" t="n">
        <v>0.0</v>
      </c>
      <c r="E92" s="83">
        <f t="shared" si="4"/>
        <v>0</v>
      </c>
      <c r="G92">
        <v>81</v>
      </c>
      <c r="H92" s="83" t="n">
        <v>4.0</v>
      </c>
      <c r="I92" s="83" t="n">
        <v>3.0</v>
      </c>
      <c r="J92" s="85" t="n">
        <v>157.0</v>
      </c>
      <c r="K92" s="83">
        <f t="shared" si="5"/>
        <v>3</v>
      </c>
    </row>
    <row r="93" spans="1:11" x14ac:dyDescent="0.45">
      <c r="A93">
        <v>82</v>
      </c>
      <c r="B93" s="83" t="n">
        <v>0.0</v>
      </c>
      <c r="C93" s="83" t="n">
        <v>0.0</v>
      </c>
      <c r="D93" s="83" t="n">
        <v>0.0</v>
      </c>
      <c r="E93" s="83">
        <f t="shared" si="4"/>
        <v>0</v>
      </c>
      <c r="G93">
        <v>82</v>
      </c>
      <c r="H93" s="83" t="n">
        <v>0.0</v>
      </c>
      <c r="I93" s="83" t="n">
        <v>0.0</v>
      </c>
      <c r="J93" s="85" t="n">
        <v>3.0</v>
      </c>
      <c r="K93" s="83">
        <f t="shared" si="5"/>
        <v>187</v>
      </c>
    </row>
    <row r="94" spans="1:11" x14ac:dyDescent="0.45">
      <c r="A94">
        <v>83</v>
      </c>
      <c r="B94" s="83" t="n">
        <v>0.0</v>
      </c>
      <c r="C94" s="83" t="n">
        <v>0.0</v>
      </c>
      <c r="D94" s="83" t="n">
        <v>0.0</v>
      </c>
      <c r="E94" s="83">
        <f t="shared" si="4"/>
        <v>0</v>
      </c>
      <c r="G94">
        <v>83</v>
      </c>
      <c r="H94" s="83" t="n">
        <v>0.0</v>
      </c>
      <c r="I94" s="83" t="n">
        <v>0.0</v>
      </c>
      <c r="J94" s="85" t="n">
        <v>2.0</v>
      </c>
      <c r="K94" s="83">
        <f t="shared" si="5"/>
        <v>6</v>
      </c>
    </row>
    <row r="95" spans="1:11" x14ac:dyDescent="0.45">
      <c r="A95">
        <v>84</v>
      </c>
      <c r="B95" s="83" t="n">
        <v>0.0</v>
      </c>
      <c r="C95" s="83" t="n">
        <v>0.0</v>
      </c>
      <c r="D95" s="83" t="n">
        <v>11.269</v>
      </c>
      <c r="E95" s="83">
        <f t="shared" si="4"/>
        <v>11.269</v>
      </c>
      <c r="G95">
        <v>84</v>
      </c>
      <c r="H95" s="83" t="n">
        <v>0.0</v>
      </c>
      <c r="I95" s="83" t="n">
        <v>1.0</v>
      </c>
      <c r="J95" s="85" t="n">
        <v>1.0</v>
      </c>
      <c r="K95" s="83">
        <f t="shared" si="5"/>
        <v>47</v>
      </c>
    </row>
    <row r="96" spans="1:11" x14ac:dyDescent="0.45">
      <c r="A96">
        <v>85</v>
      </c>
      <c r="B96" s="83" t="n">
        <v>0.0</v>
      </c>
      <c r="C96" s="83" t="n">
        <v>0.0</v>
      </c>
      <c r="D96" s="83" t="n">
        <v>0.0</v>
      </c>
      <c r="E96" s="83">
        <f t="shared" si="4"/>
        <v>0</v>
      </c>
      <c r="G96">
        <v>85</v>
      </c>
      <c r="H96" s="83" t="n">
        <v>0.0</v>
      </c>
      <c r="I96" s="83" t="n">
        <v>1.0</v>
      </c>
      <c r="J96" s="85" t="n">
        <v>2.0</v>
      </c>
      <c r="K96" s="83">
        <f t="shared" si="5"/>
        <v>8</v>
      </c>
    </row>
    <row r="97" spans="1:11" x14ac:dyDescent="0.45">
      <c r="A97">
        <v>86</v>
      </c>
      <c r="B97" s="83" t="n">
        <v>0.0</v>
      </c>
      <c r="C97" s="83" t="n">
        <v>0.0</v>
      </c>
      <c r="D97" s="83" t="n">
        <v>468.9894</v>
      </c>
      <c r="E97" s="83">
        <f t="shared" si="4"/>
        <v>468.98939999999999</v>
      </c>
      <c r="G97">
        <v>86</v>
      </c>
      <c r="H97" s="83" t="n">
        <v>0.0</v>
      </c>
      <c r="I97" s="83" t="n">
        <v>0.0</v>
      </c>
      <c r="J97" s="85" t="n">
        <v>6.0</v>
      </c>
      <c r="K97" s="83">
        <f t="shared" si="5"/>
        <v>15</v>
      </c>
    </row>
    <row r="98" spans="1:11" x14ac:dyDescent="0.45">
      <c r="A98">
        <v>87</v>
      </c>
      <c r="B98" s="83" t="n">
        <v>0.0</v>
      </c>
      <c r="C98" s="83" t="n">
        <v>0.0</v>
      </c>
      <c r="D98" s="83" t="n">
        <v>13.487</v>
      </c>
      <c r="E98" s="83">
        <f t="shared" si="4"/>
        <v>13.487</v>
      </c>
      <c r="G98">
        <v>87</v>
      </c>
      <c r="H98" s="83" t="n">
        <v>0.0</v>
      </c>
      <c r="I98" s="83" t="n">
        <v>1.0</v>
      </c>
      <c r="J98" s="85" t="n">
        <v>79.0</v>
      </c>
      <c r="K98" s="83">
        <f t="shared" si="5"/>
        <v>14</v>
      </c>
    </row>
    <row r="99" spans="1:11" x14ac:dyDescent="0.45">
      <c r="A99">
        <v>88</v>
      </c>
      <c r="B99" s="83" t="n">
        <v>0.0</v>
      </c>
      <c r="C99" s="83" t="n">
        <v>0.0</v>
      </c>
      <c r="D99" s="83" t="n">
        <v>0.0</v>
      </c>
      <c r="E99" s="83">
        <f t="shared" si="4"/>
        <v>0</v>
      </c>
      <c r="G99">
        <v>88</v>
      </c>
      <c r="H99" s="83" t="n">
        <v>0.0</v>
      </c>
      <c r="I99" s="83" t="n">
        <v>1.0</v>
      </c>
      <c r="J99" s="85" t="n">
        <v>1.0</v>
      </c>
      <c r="K99" s="83">
        <f t="shared" si="5"/>
        <v>28</v>
      </c>
    </row>
    <row r="100" spans="1:11" x14ac:dyDescent="0.45">
      <c r="A100">
        <v>89</v>
      </c>
      <c r="B100" s="83" t="n">
        <v>2931.9003</v>
      </c>
      <c r="C100" s="83" t="n">
        <v>0.0</v>
      </c>
      <c r="D100" s="83" t="n">
        <v>3.675</v>
      </c>
      <c r="E100" s="83">
        <f t="shared" si="4"/>
        <v>2935.5753</v>
      </c>
      <c r="G100">
        <v>89</v>
      </c>
      <c r="H100" s="83" t="n">
        <v>10.0</v>
      </c>
      <c r="I100" s="83" t="n">
        <v>4.0</v>
      </c>
      <c r="J100" s="85" t="n">
        <v>14.0</v>
      </c>
      <c r="K100" s="83">
        <f t="shared" si="5"/>
        <v>206</v>
      </c>
    </row>
    <row r="101" spans="1:11" ht="14.65" thickBot="1" x14ac:dyDescent="0.5">
      <c r="A101" s="1">
        <v>90</v>
      </c>
      <c r="B101" s="84" t="n">
        <v>51330.9312</v>
      </c>
      <c r="C101" s="84" t="n">
        <v>10417.5607</v>
      </c>
      <c r="D101" s="84" t="n">
        <v>39451.5632</v>
      </c>
      <c r="E101" s="84">
        <f t="shared" si="4"/>
        <v>101200.0551</v>
      </c>
      <c r="G101" s="1">
        <v>90</v>
      </c>
      <c r="H101" s="84" t="n">
        <v>62640.0</v>
      </c>
      <c r="I101" s="84" t="n">
        <v>0.0</v>
      </c>
      <c r="J101" s="84" t="n">
        <v>0.0</v>
      </c>
      <c r="K101" s="84">
        <f t="shared" si="5"/>
        <v>62616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C2" sqref="C2"/>
    </sheetView>
  </sheetViews>
  <sheetFormatPr defaultRowHeight="14.25" x14ac:dyDescent="0.45"/>
  <cols>
    <col min="1" max="1" customWidth="true" width="12.1328125" collapsed="true"/>
    <col min="5" max="5" bestFit="true" customWidth="true" width="9.59765625" collapsed="true"/>
    <col min="8" max="8" customWidth="true" width="10.86328125" collapsed="true"/>
    <col min="12" max="12" bestFit="true" customWidth="true" width="9.59765625" collapsed="true"/>
  </cols>
  <sheetData>
    <row r="1" spans="1:12" x14ac:dyDescent="0.45">
      <c r="A1" t="s">
        <v>14</v>
      </c>
    </row>
    <row r="2" spans="1:12" x14ac:dyDescent="0.45">
      <c r="A2" t="s">
        <v>250</v>
      </c>
    </row>
    <row r="3" spans="1:12" x14ac:dyDescent="0.45">
      <c r="A3" t="s">
        <v>251</v>
      </c>
    </row>
    <row r="4" spans="1:12" x14ac:dyDescent="0.45">
      <c r="A4" t="s">
        <v>6</v>
      </c>
    </row>
    <row r="5" spans="1:12" x14ac:dyDescent="0.45">
      <c r="A5" t="s">
        <v>7</v>
      </c>
    </row>
    <row r="9" spans="1:12" ht="14.65" thickBot="1" x14ac:dyDescent="0.5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4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45">
      <c r="A11" t="s">
        <v>15</v>
      </c>
      <c r="B11" s="13">
        <f>SUM(TDFD!B11:B15)</f>
        <v>2961.9232000000002</v>
      </c>
      <c r="C11" s="13">
        <f>SUM(TDFD!C11:C15)</f>
        <v>0</v>
      </c>
      <c r="D11" s="13">
        <f>SUM(TDFD!D11:D15)</f>
        <v>125.91</v>
      </c>
      <c r="E11" s="13">
        <f>SUM(TDFD!E11:E15)</f>
        <v>3087.8332</v>
      </c>
      <c r="H11" t="s">
        <v>15</v>
      </c>
      <c r="I11" s="13">
        <f>SUM(TDFD!H11:H15)</f>
        <v>108412</v>
      </c>
      <c r="J11" s="13">
        <f>SUM(TDFD!I11:I15)</f>
        <v>14890</v>
      </c>
      <c r="K11" s="13">
        <f>SUM(TDFD!J11:J15)</f>
        <v>24180</v>
      </c>
      <c r="L11" s="13">
        <f>SUM(TDFD!K11:K15)</f>
        <v>147482</v>
      </c>
    </row>
    <row r="12" spans="1:12" x14ac:dyDescent="0.45">
      <c r="A12" t="s">
        <v>16</v>
      </c>
      <c r="B12" s="13">
        <f>SUM(TDFD!B16:B20)</f>
        <v>20544.324700000001</v>
      </c>
      <c r="C12" s="13">
        <f>SUM(TDFD!C16:C20)</f>
        <v>411.51729999999998</v>
      </c>
      <c r="D12" s="13">
        <f>SUM(TDFD!D16:D20)</f>
        <v>7910.6317000000008</v>
      </c>
      <c r="E12" s="13">
        <f>SUM(TDFD!E16:E20)</f>
        <v>28866.473700000002</v>
      </c>
      <c r="H12" t="s">
        <v>16</v>
      </c>
      <c r="I12" s="13">
        <f>SUM(TDFD!H16:H20)</f>
        <v>75778</v>
      </c>
      <c r="J12" s="13">
        <f>SUM(TDFD!I16:I20)</f>
        <v>9046</v>
      </c>
      <c r="K12" s="13">
        <f>SUM(TDFD!J16:J20)</f>
        <v>11158</v>
      </c>
      <c r="L12" s="13">
        <f>SUM(TDFD!K16:K20)</f>
        <v>95982</v>
      </c>
    </row>
    <row r="13" spans="1:12" x14ac:dyDescent="0.45">
      <c r="A13" t="s">
        <v>17</v>
      </c>
      <c r="B13" s="13">
        <f>SUM(TDFD!B21:B25)</f>
        <v>41722.167099999999</v>
      </c>
      <c r="C13" s="13">
        <f>SUM(TDFD!C21:C25)</f>
        <v>2772.1957000000002</v>
      </c>
      <c r="D13" s="13">
        <f>SUM(TDFD!D21:D25)</f>
        <v>3004.9782</v>
      </c>
      <c r="E13" s="13">
        <f>SUM(TDFD!E21:E25)</f>
        <v>47499.341</v>
      </c>
      <c r="H13" t="s">
        <v>17</v>
      </c>
      <c r="I13" s="13">
        <f>SUM(TDFD!H21:H25)</f>
        <v>39990</v>
      </c>
      <c r="J13" s="13">
        <f>SUM(TDFD!I21:I25)</f>
        <v>5542</v>
      </c>
      <c r="K13" s="13">
        <f>SUM(TDFD!J21:J25)</f>
        <v>4458</v>
      </c>
      <c r="L13" s="13">
        <f>SUM(TDFD!K21:K25)</f>
        <v>49990</v>
      </c>
    </row>
    <row r="14" spans="1:12" x14ac:dyDescent="0.45">
      <c r="A14" t="s">
        <v>18</v>
      </c>
      <c r="B14" s="13">
        <f>SUM(TDFD!B26:B30)</f>
        <v>93194.971300000005</v>
      </c>
      <c r="C14" s="13">
        <f>SUM(TDFD!C26:C30)</f>
        <v>13111.855800000001</v>
      </c>
      <c r="D14" s="13">
        <f>SUM(TDFD!D26:D30)</f>
        <v>11358.299899999998</v>
      </c>
      <c r="E14" s="13">
        <f>SUM(TDFD!E26:E30)</f>
        <v>117665.12700000001</v>
      </c>
      <c r="H14" t="s">
        <v>18</v>
      </c>
      <c r="I14" s="13">
        <f>SUM(TDFD!H26:H30)</f>
        <v>98026</v>
      </c>
      <c r="J14" s="13">
        <f>SUM(TDFD!I26:I30)</f>
        <v>18318</v>
      </c>
      <c r="K14" s="13">
        <f>SUM(TDFD!J26:J30)</f>
        <v>22057</v>
      </c>
      <c r="L14" s="13">
        <f>SUM(TDFD!K26:K30)</f>
        <v>138401</v>
      </c>
    </row>
    <row r="15" spans="1:12" x14ac:dyDescent="0.45">
      <c r="A15" t="s">
        <v>19</v>
      </c>
      <c r="B15" s="13">
        <f>SUM(TDFD!B31:B35)</f>
        <v>99413.063299999994</v>
      </c>
      <c r="C15" s="13">
        <f>SUM(TDFD!C31:C35)</f>
        <v>12622.574100000002</v>
      </c>
      <c r="D15" s="13">
        <f>SUM(TDFD!D31:D35)</f>
        <v>14962.082899999999</v>
      </c>
      <c r="E15" s="13">
        <f>SUM(TDFD!E31:E35)</f>
        <v>126997.72029999999</v>
      </c>
      <c r="H15" t="s">
        <v>19</v>
      </c>
      <c r="I15" s="13">
        <f>SUM(TDFD!H31:H35)</f>
        <v>70013</v>
      </c>
      <c r="J15" s="13">
        <f>SUM(TDFD!I31:I35)</f>
        <v>17506</v>
      </c>
      <c r="K15" s="13">
        <f>SUM(TDFD!J31:J35)</f>
        <v>44518</v>
      </c>
      <c r="L15" s="13">
        <f>SUM(TDFD!K31:K35)</f>
        <v>132037</v>
      </c>
    </row>
    <row r="16" spans="1:12" x14ac:dyDescent="0.45">
      <c r="A16" t="s">
        <v>20</v>
      </c>
      <c r="B16" s="13">
        <f>SUM(TDFD!B36:B40)</f>
        <v>66736.737299999993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86833.428799999994</v>
      </c>
      <c r="H16" t="s">
        <v>20</v>
      </c>
      <c r="I16" s="13">
        <f>SUM(TDFD!H36:H40)</f>
        <v>27068</v>
      </c>
      <c r="J16" s="13">
        <f>SUM(TDFD!I36:I40)</f>
        <v>9291</v>
      </c>
      <c r="K16" s="13">
        <f>SUM(TDFD!J36:J40)</f>
        <v>38402</v>
      </c>
      <c r="L16" s="13">
        <f>SUM(TDFD!K36:K40)</f>
        <v>74761</v>
      </c>
    </row>
    <row r="17" spans="1:12" x14ac:dyDescent="0.45">
      <c r="A17" t="s">
        <v>21</v>
      </c>
      <c r="B17" s="13">
        <f>SUM(TDFD!B41:B45)</f>
        <v>39804.732000000004</v>
      </c>
      <c r="C17" s="13">
        <f>SUM(TDFD!C41:C45)</f>
        <v>7960.3927999999996</v>
      </c>
      <c r="D17" s="13">
        <f>SUM(TDFD!D41:D45)</f>
        <v>5520.8100999999997</v>
      </c>
      <c r="E17" s="13">
        <f>SUM(TDFD!E41:E45)</f>
        <v>53285.9349</v>
      </c>
      <c r="H17" t="s">
        <v>21</v>
      </c>
      <c r="I17" s="13">
        <f>SUM(TDFD!H41:H45)</f>
        <v>16727</v>
      </c>
      <c r="J17" s="13">
        <f>SUM(TDFD!I41:I45)</f>
        <v>5758</v>
      </c>
      <c r="K17" s="13">
        <f>SUM(TDFD!J41:J45)</f>
        <v>20443</v>
      </c>
      <c r="L17" s="13">
        <f>SUM(TDFD!K41:K45)</f>
        <v>42928</v>
      </c>
    </row>
    <row r="18" spans="1:12" x14ac:dyDescent="0.45">
      <c r="A18" t="s">
        <v>22</v>
      </c>
      <c r="B18" s="13">
        <f>SUM(TDFD!B46:B50)</f>
        <v>9205.6002000000008</v>
      </c>
      <c r="C18" s="13">
        <f>SUM(TDFD!C46:C50)</f>
        <v>3443.2061000000003</v>
      </c>
      <c r="D18" s="13">
        <f>SUM(TDFD!D46:D50)</f>
        <v>4098.5029999999997</v>
      </c>
      <c r="E18" s="13">
        <f>SUM(TDFD!E46:E50)</f>
        <v>16747.309300000001</v>
      </c>
      <c r="H18" t="s">
        <v>22</v>
      </c>
      <c r="I18" s="13">
        <f>SUM(TDFD!H46:H50)</f>
        <v>4416</v>
      </c>
      <c r="J18" s="13">
        <f>SUM(TDFD!I46:I50)</f>
        <v>2568</v>
      </c>
      <c r="K18" s="13">
        <f>SUM(TDFD!J46:J50)</f>
        <v>11628</v>
      </c>
      <c r="L18" s="13">
        <f>SUM(TDFD!K46:K50)</f>
        <v>18612</v>
      </c>
    </row>
    <row r="19" spans="1:12" x14ac:dyDescent="0.45">
      <c r="A19" t="s">
        <v>23</v>
      </c>
      <c r="B19" s="13">
        <f>SUM(TDFD!B51:B55)</f>
        <v>5755.9719999999998</v>
      </c>
      <c r="C19" s="13">
        <f>SUM(TDFD!C51:C55)</f>
        <v>309.84730000000002</v>
      </c>
      <c r="D19" s="13">
        <f>SUM(TDFD!D51:D55)</f>
        <v>1968.4189000000001</v>
      </c>
      <c r="E19" s="13">
        <f>SUM(TDFD!E51:E55)</f>
        <v>8034.2382000000007</v>
      </c>
      <c r="H19" t="s">
        <v>23</v>
      </c>
      <c r="I19" s="13">
        <f>SUM(TDFD!H51:H55)</f>
        <v>776</v>
      </c>
      <c r="J19" s="13">
        <f>SUM(TDFD!I51:I55)</f>
        <v>948</v>
      </c>
      <c r="K19" s="13">
        <f>SUM(TDFD!J51:J55)</f>
        <v>6339</v>
      </c>
      <c r="L19" s="13">
        <f>SUM(TDFD!K51:K55)</f>
        <v>8063</v>
      </c>
    </row>
    <row r="20" spans="1:12" x14ac:dyDescent="0.4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5136.6148999999996</v>
      </c>
      <c r="E20" s="13">
        <f>SUM(TDFD!E56:E70)</f>
        <v>28429.762200000001</v>
      </c>
      <c r="H20" t="s">
        <v>24</v>
      </c>
      <c r="I20" s="13">
        <f>SUM(TDFD!H56:H70)</f>
        <v>330</v>
      </c>
      <c r="J20" s="13">
        <f>SUM(TDFD!I56:I70)</f>
        <v>896</v>
      </c>
      <c r="K20" s="13">
        <f>SUM(TDFD!J56:J70)</f>
        <v>16314</v>
      </c>
      <c r="L20" s="13">
        <f>SUM(TDFD!K56:K70)</f>
        <v>17540</v>
      </c>
    </row>
    <row r="21" spans="1:12" x14ac:dyDescent="0.4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54</v>
      </c>
      <c r="J21" s="13">
        <f>SUM(TDFD!I71:I100)</f>
        <v>134</v>
      </c>
      <c r="K21" s="13">
        <f>SUM(TDFD!J71:J100)</f>
        <v>4321</v>
      </c>
      <c r="L21" s="13">
        <f>SUM(TDFD!K71:K100)</f>
        <v>4509</v>
      </c>
    </row>
    <row r="22" spans="1:12" ht="14.65" thickBot="1" x14ac:dyDescent="0.5">
      <c r="A22" s="1" t="s">
        <v>26</v>
      </c>
      <c r="B22" s="14">
        <f>TDFD!B101</f>
        <v>51330.931199999999</v>
      </c>
      <c r="C22" s="14">
        <f>TDFD!C101</f>
        <v>10417.5607</v>
      </c>
      <c r="D22" s="14">
        <f>TDFD!D101</f>
        <v>39451.563199999997</v>
      </c>
      <c r="E22" s="14">
        <f>TDFD!E101</f>
        <v>101200.0551</v>
      </c>
      <c r="H22" s="1" t="s">
        <v>26</v>
      </c>
      <c r="I22" s="14">
        <f>TDFD!H101</f>
        <v>62616</v>
      </c>
      <c r="J22" s="14">
        <f>TDFD!I101</f>
        <v>0</v>
      </c>
      <c r="K22" s="14">
        <f>TDFD!J101</f>
        <v>0</v>
      </c>
      <c r="L22" s="14">
        <f>TDFD!K101</f>
        <v>62616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52"/>
  <sheetViews>
    <sheetView tabSelected="1" workbookViewId="0">
      <selection activeCell="L19" sqref="L19"/>
    </sheetView>
  </sheetViews>
  <sheetFormatPr defaultRowHeight="14.25" x14ac:dyDescent="0.45"/>
  <cols>
    <col min="1" max="1" customWidth="true" width="18.59765625" collapsed="true"/>
    <col min="4" max="4" bestFit="true" customWidth="true" width="12.265625" collapsed="true"/>
    <col min="12" max="12" customWidth="true" width="20.0" collapsed="true"/>
    <col min="15" max="15" bestFit="true" customWidth="true" width="12.265625" collapsed="true"/>
    <col min="20" max="21" bestFit="true" customWidth="true" width="9.59765625" collapsed="true"/>
    <col min="26" max="26" bestFit="true" customWidth="true" width="12.265625" collapsed="true"/>
  </cols>
  <sheetData>
    <row r="1" spans="1:22" x14ac:dyDescent="0.45">
      <c r="A1" t="s">
        <v>27</v>
      </c>
    </row>
    <row r="2" spans="1:22" x14ac:dyDescent="0.45">
      <c r="A2" t="s">
        <v>247</v>
      </c>
    </row>
    <row r="5" spans="1:22" ht="14.65" thickBot="1" x14ac:dyDescent="0.5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4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45">
      <c r="A7" s="52" t="s">
        <v>254</v>
      </c>
      <c r="B7" s="20" t="n">
        <v>0.0</v>
      </c>
      <c r="C7" s="20" t="n">
        <v>0.0</v>
      </c>
      <c r="D7" s="20" t="n">
        <v>0.0</v>
      </c>
      <c r="E7" s="20" t="n">
        <v>0.0</v>
      </c>
      <c r="F7" s="20" t="n">
        <v>0.0</v>
      </c>
      <c r="G7" s="20" t="n">
        <v>0.0</v>
      </c>
      <c r="H7" s="20" t="n">
        <v>0.0</v>
      </c>
      <c r="I7" s="20">
        <v>7878.4522999999999</v>
      </c>
      <c r="J7" s="20">
        <f>SUM(B7:I7)</f>
        <v>7878.4522999999999</v>
      </c>
      <c r="K7" s="20"/>
      <c r="L7" t="str">
        <f>$A$7</f>
        <v>Bellevue</v>
      </c>
      <c r="M7" s="20" t="n">
        <v>0.0</v>
      </c>
      <c r="N7" s="20" t="n">
        <v>0.0</v>
      </c>
      <c r="O7" s="20" t="n">
        <v>0.0</v>
      </c>
      <c r="P7" s="20" t="n">
        <v>0.0</v>
      </c>
      <c r="Q7" s="20" t="n">
        <v>0.0</v>
      </c>
      <c r="R7" s="20" t="n">
        <v>0.0</v>
      </c>
      <c r="S7" s="20" t="n">
        <v>0.0</v>
      </c>
      <c r="T7" s="20">
        <v>2344.5</v>
      </c>
      <c r="U7" s="20">
        <f>SUM(M7:T7)</f>
        <v>2344.5</v>
      </c>
    </row>
    <row r="8" spans="1:22" x14ac:dyDescent="0.45">
      <c r="A8" t="s">
        <v>255</v>
      </c>
      <c r="B8" s="21" t="n">
        <v>0.0</v>
      </c>
      <c r="C8" s="21" t="n">
        <v>0.0</v>
      </c>
      <c r="D8" s="21" t="n">
        <v>0.0</v>
      </c>
      <c r="E8" s="21" t="n">
        <v>0.0</v>
      </c>
      <c r="F8" s="21" t="n">
        <v>0.0</v>
      </c>
      <c r="G8" s="21" t="n">
        <v>0.0</v>
      </c>
      <c r="H8" s="21" t="n">
        <v>0.0</v>
      </c>
      <c r="I8" s="21">
        <v>4018.4690000000001</v>
      </c>
      <c r="J8" s="21">
        <f t="shared" ref="J8:J12" si="0">SUM(B8:I8)</f>
        <v>4018.4690000000001</v>
      </c>
      <c r="K8" s="20"/>
      <c r="L8" s="7" t="str">
        <f>$A$8</f>
        <v>Bellevue Downtown</v>
      </c>
      <c r="M8" s="21" t="n">
        <v>0.0</v>
      </c>
      <c r="N8" s="21" t="n">
        <v>0.0</v>
      </c>
      <c r="O8" s="21" t="n">
        <v>0.0</v>
      </c>
      <c r="P8" s="21" t="n">
        <v>0.0</v>
      </c>
      <c r="Q8" s="21" t="n">
        <v>0.0</v>
      </c>
      <c r="R8" s="21" t="n">
        <v>0.0</v>
      </c>
      <c r="S8" s="21" t="n">
        <v>0.0</v>
      </c>
      <c r="T8" s="21">
        <v>1069.8725374786757</v>
      </c>
      <c r="U8" s="21">
        <f>SUM(M8:T8)</f>
        <v>1069.8725374786757</v>
      </c>
    </row>
    <row r="9" spans="1:22" x14ac:dyDescent="0.45">
      <c r="A9" t="s">
        <v>256</v>
      </c>
      <c r="B9" s="21" t="n">
        <v>0.0</v>
      </c>
      <c r="C9" s="21" t="n">
        <v>0.0</v>
      </c>
      <c r="D9" s="21" t="n">
        <v>0.0</v>
      </c>
      <c r="E9" s="21" t="n">
        <v>0.0</v>
      </c>
      <c r="F9" s="21" t="n">
        <v>0.0</v>
      </c>
      <c r="G9" s="21" t="n">
        <v>0.0</v>
      </c>
      <c r="H9" s="21" t="n">
        <v>0.0</v>
      </c>
      <c r="I9" s="21">
        <v>28396.036</v>
      </c>
      <c r="J9" s="21">
        <f t="shared" si="0"/>
        <v>28396.036</v>
      </c>
      <c r="K9" s="20"/>
      <c r="L9" s="7" t="str">
        <f>$A$9</f>
        <v>Kirkland</v>
      </c>
      <c r="M9" s="21" t="n">
        <v>0.0</v>
      </c>
      <c r="N9" s="21" t="n">
        <v>0.0</v>
      </c>
      <c r="O9" s="21" t="n">
        <v>0.0</v>
      </c>
      <c r="P9" s="21" t="n">
        <v>0.0</v>
      </c>
      <c r="Q9" s="21" t="n">
        <v>0.0</v>
      </c>
      <c r="R9" s="21" t="n">
        <v>0.0</v>
      </c>
      <c r="S9" s="21" t="n">
        <v>0.0</v>
      </c>
      <c r="T9" s="21">
        <v>5418.9547298933257</v>
      </c>
      <c r="U9" s="21">
        <f>SUM(M9:T9)</f>
        <v>5418.9547298933257</v>
      </c>
      <c r="V9" s="7"/>
    </row>
    <row r="10" spans="1:22" x14ac:dyDescent="0.45">
      <c r="A10" t="s">
        <v>257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v>20922.748800000001</v>
      </c>
      <c r="J10" s="21">
        <f t="shared" si="0"/>
        <v>20922.748800000001</v>
      </c>
      <c r="K10" s="20"/>
      <c r="L10" s="7" t="str">
        <f>$A$10</f>
        <v>Redmond</v>
      </c>
      <c r="M10" s="21" t="n">
        <v>0.0</v>
      </c>
      <c r="N10" s="21" t="n">
        <v>0.0</v>
      </c>
      <c r="O10" s="21" t="n">
        <v>0.0</v>
      </c>
      <c r="P10" s="21" t="n">
        <v>0.0</v>
      </c>
      <c r="Q10" s="21" t="n">
        <v>0.0</v>
      </c>
      <c r="R10" s="21" t="n">
        <v>0.0</v>
      </c>
      <c r="S10" s="21" t="n">
        <v>0.0</v>
      </c>
      <c r="T10" s="21">
        <v>5838.2308904845268</v>
      </c>
      <c r="U10" s="21">
        <f t="shared" ref="U10:U13" si="1">SUM(M10:T10)</f>
        <v>5838.2308904845268</v>
      </c>
      <c r="V10" s="7"/>
    </row>
    <row r="11" spans="1:22" x14ac:dyDescent="0.45">
      <c r="A11" t="s">
        <v>253</v>
      </c>
      <c r="B11" s="21" t="n">
        <v>352.4101</v>
      </c>
      <c r="C11" s="21" t="n">
        <v>19.176000000000002</v>
      </c>
      <c r="D11" s="21" t="n">
        <v>706.4488</v>
      </c>
      <c r="E11" s="21" t="n">
        <v>4.443</v>
      </c>
      <c r="F11" s="21" t="n">
        <v>89339.2028</v>
      </c>
      <c r="G11" s="21" t="n">
        <v>2676.5947</v>
      </c>
      <c r="H11" s="21" t="n">
        <v>3242.9781000000003</v>
      </c>
      <c r="I11" s="21">
        <v>16278.067500000001</v>
      </c>
      <c r="J11" s="21">
        <f t="shared" si="0"/>
        <v>112619.321</v>
      </c>
      <c r="K11" s="20"/>
      <c r="L11" s="7" t="str">
        <f>$A$11</f>
        <v>Seattle</v>
      </c>
      <c r="M11" s="21" t="n">
        <v>827.0</v>
      </c>
      <c r="N11" s="21" t="n">
        <v>53.0</v>
      </c>
      <c r="O11" s="21" t="n">
        <v>968.0</v>
      </c>
      <c r="P11" s="21" t="n">
        <v>43.0</v>
      </c>
      <c r="Q11" s="21" t="n">
        <v>113716.0</v>
      </c>
      <c r="R11" s="21" t="n">
        <v>5938.0</v>
      </c>
      <c r="S11" s="21" t="n">
        <v>6553.0</v>
      </c>
      <c r="T11" s="21">
        <v>2309.1428943957899</v>
      </c>
      <c r="U11" s="21">
        <f t="shared" si="1"/>
        <v>130874.14289439579</v>
      </c>
      <c r="V11" s="7"/>
    </row>
    <row r="12" spans="1:22" x14ac:dyDescent="0.4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1835.1723</v>
      </c>
      <c r="G12" s="21" t="n">
        <v>799.1563</v>
      </c>
      <c r="H12" s="21" t="n">
        <v>0.0</v>
      </c>
      <c r="I12" s="21">
        <v>31584.733799999998</v>
      </c>
      <c r="J12" s="21">
        <f t="shared" si="0"/>
        <v>34219.062399999995</v>
      </c>
      <c r="K12" s="20"/>
      <c r="L12" s="7" t="str">
        <f>$A$12</f>
        <v>Seattle Downtown</v>
      </c>
      <c r="M12" s="21" t="n">
        <v>50.0</v>
      </c>
      <c r="N12" s="21" t="n">
        <v>1.0</v>
      </c>
      <c r="O12" s="21" t="n">
        <v>10.0</v>
      </c>
      <c r="P12" s="21" t="n">
        <v>0.0</v>
      </c>
      <c r="Q12" s="21" t="n">
        <v>3701.0</v>
      </c>
      <c r="R12" s="21" t="n">
        <v>3262.0</v>
      </c>
      <c r="S12" s="21" t="n">
        <v>35.0</v>
      </c>
      <c r="T12" s="21">
        <v>4066.7245950088954</v>
      </c>
      <c r="U12" s="21">
        <f t="shared" si="1"/>
        <v>11201.724595008895</v>
      </c>
      <c r="V12" s="7"/>
    </row>
    <row r="13" spans="1:22" x14ac:dyDescent="0.45">
      <c r="A13" s="7" t="s">
        <v>259</v>
      </c>
      <c r="B13" s="21" t="n">
        <v>6247.4189</v>
      </c>
      <c r="C13" s="21" t="n">
        <v>0.0</v>
      </c>
      <c r="D13" s="21" t="n">
        <v>9915.681999999999</v>
      </c>
      <c r="E13" s="21" t="n">
        <v>2209.2274</v>
      </c>
      <c r="F13" s="21" t="n">
        <v>13302.1106</v>
      </c>
      <c r="G13" s="21" t="n">
        <v>80.047</v>
      </c>
      <c r="H13" s="21" t="n">
        <v>398350.2527</v>
      </c>
      <c r="I13" s="21"/>
      <c r="J13" s="21">
        <f>SUM(B13:I13)</f>
        <v>430104.73859999998</v>
      </c>
      <c r="K13" s="20"/>
      <c r="L13" t="str">
        <f>$A$13</f>
        <v>Rest</v>
      </c>
      <c r="M13" s="21" t="n">
        <v>10410.0</v>
      </c>
      <c r="N13" s="21" t="n">
        <v>253.0</v>
      </c>
      <c r="O13" s="21" t="n">
        <v>8154.0</v>
      </c>
      <c r="P13" s="21" t="n">
        <v>3634.0</v>
      </c>
      <c r="Q13" s="21" t="n">
        <v>27609.0</v>
      </c>
      <c r="R13" s="21" t="n">
        <v>2500.0</v>
      </c>
      <c r="S13" s="21" t="n">
        <v>541553.0</v>
      </c>
      <c r="T13" s="21"/>
      <c r="U13" s="21">
        <f t="shared" si="1"/>
        <v>594605</v>
      </c>
    </row>
    <row r="14" spans="1:22" x14ac:dyDescent="0.4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r="15" spans="1:22" ht="14.65" thickBot="1" x14ac:dyDescent="0.5">
      <c r="A15" s="12" t="s">
        <v>3</v>
      </c>
      <c r="B15" s="53">
        <f t="shared" ref="B15:G15" si="2">SUM(B7:B13)</f>
        <v>6599.8289999999997</v>
      </c>
      <c r="C15" s="53">
        <f t="shared" si="2"/>
        <v>19.176000000000002</v>
      </c>
      <c r="D15" s="53">
        <f t="shared" si="2"/>
        <v>10622.130799999999</v>
      </c>
      <c r="E15" s="53">
        <f t="shared" si="2"/>
        <v>2213.6704000000004</v>
      </c>
      <c r="F15" s="53">
        <f t="shared" si="2"/>
        <v>104476.4857</v>
      </c>
      <c r="G15" s="53">
        <f t="shared" si="2"/>
        <v>3555.7980000000002</v>
      </c>
      <c r="H15" s="53"/>
      <c r="I15" s="53">
        <f>SUM(I7:I13)</f>
        <v>109078.5074</v>
      </c>
      <c r="J15" s="53">
        <f>SUM(J7:J13)</f>
        <v>638158.82810000004</v>
      </c>
      <c r="K15" s="20"/>
      <c r="L15" s="53" t="s">
        <v>3</v>
      </c>
      <c r="M15" s="53">
        <f t="shared" ref="M15:S15" si="3">SUM(M7:M13)</f>
        <v>12910</v>
      </c>
      <c r="N15" s="53">
        <f t="shared" si="3"/>
        <v>300</v>
      </c>
      <c r="O15" s="53">
        <f t="shared" si="3"/>
        <v>9787</v>
      </c>
      <c r="P15" s="53">
        <f t="shared" si="3"/>
        <v>3660</v>
      </c>
      <c r="Q15" s="53">
        <f t="shared" si="3"/>
        <v>154539</v>
      </c>
      <c r="R15" s="53">
        <f t="shared" si="3"/>
        <v>13502</v>
      </c>
      <c r="S15" s="53">
        <f t="shared" si="3"/>
        <v>535607</v>
      </c>
      <c r="T15" s="53">
        <f>SUM(T7:T13)</f>
        <v>21047.425647261214</v>
      </c>
      <c r="U15" s="53">
        <f>SUM(U7:U13)</f>
        <v>751352.4256472612</v>
      </c>
    </row>
    <row r="18" spans="1:32" ht="14.65" thickBot="1" x14ac:dyDescent="0.5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4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45">
      <c r="A20" t="str">
        <f>$A$7</f>
        <v>Bellevue</v>
      </c>
      <c r="B20" s="20">
        <f t="shared" ref="B20:G26" si="4">($U7/$J7)*B7</f>
        <v>0</v>
      </c>
      <c r="C20" s="20">
        <f t="shared" si="4"/>
        <v>0</v>
      </c>
      <c r="D20" s="20">
        <f t="shared" si="4"/>
        <v>0</v>
      </c>
      <c r="E20" s="20">
        <f t="shared" si="4"/>
        <v>0</v>
      </c>
      <c r="F20" s="20">
        <f t="shared" si="4"/>
        <v>0</v>
      </c>
      <c r="G20" s="20">
        <f t="shared" si="4"/>
        <v>0</v>
      </c>
      <c r="H20" s="20">
        <f t="shared" ref="H20" si="5">($U7/$J7)*H7</f>
        <v>0</v>
      </c>
      <c r="I20" s="20">
        <f t="shared" ref="I20:J26" si="6">($U7/$J7)*I7</f>
        <v>2344.5</v>
      </c>
      <c r="J20" s="20">
        <f t="shared" si="6"/>
        <v>2344.5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45">
      <c r="A21" t="str">
        <f>$A$8</f>
        <v>Bellevue Downtown</v>
      </c>
      <c r="B21" s="20">
        <f t="shared" si="4"/>
        <v>0</v>
      </c>
      <c r="C21" s="20">
        <f t="shared" si="4"/>
        <v>0</v>
      </c>
      <c r="D21" s="20">
        <f t="shared" si="4"/>
        <v>0</v>
      </c>
      <c r="E21" s="20">
        <f t="shared" si="4"/>
        <v>0</v>
      </c>
      <c r="F21" s="20">
        <f t="shared" si="4"/>
        <v>0</v>
      </c>
      <c r="G21" s="20">
        <f t="shared" si="4"/>
        <v>0</v>
      </c>
      <c r="H21" s="20">
        <f t="shared" ref="H21" si="7">($U8/$J8)*H8</f>
        <v>0</v>
      </c>
      <c r="I21" s="20">
        <f t="shared" si="6"/>
        <v>1069.8725374786757</v>
      </c>
      <c r="J21" s="20">
        <f t="shared" si="6"/>
        <v>1069.8725374786757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45">
      <c r="A22" t="str">
        <f>$A$9</f>
        <v>Kirkland</v>
      </c>
      <c r="B22" s="20">
        <f t="shared" si="4"/>
        <v>0</v>
      </c>
      <c r="C22" s="20">
        <f t="shared" si="4"/>
        <v>0</v>
      </c>
      <c r="D22" s="20">
        <f t="shared" si="4"/>
        <v>0</v>
      </c>
      <c r="E22" s="20">
        <f t="shared" si="4"/>
        <v>0</v>
      </c>
      <c r="F22" s="20">
        <f t="shared" si="4"/>
        <v>0</v>
      </c>
      <c r="G22" s="20">
        <f t="shared" si="4"/>
        <v>0</v>
      </c>
      <c r="H22" s="20">
        <f t="shared" ref="H22" si="8">($U9/$J9)*H9</f>
        <v>0</v>
      </c>
      <c r="I22" s="20">
        <f t="shared" si="6"/>
        <v>5418.9547298933257</v>
      </c>
      <c r="J22" s="20">
        <f t="shared" si="6"/>
        <v>5418.9547298933257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45">
      <c r="A23" t="str">
        <f>$A$10</f>
        <v>Redmond</v>
      </c>
      <c r="B23" s="20">
        <f t="shared" si="4"/>
        <v>0</v>
      </c>
      <c r="C23" s="20">
        <f t="shared" si="4"/>
        <v>0</v>
      </c>
      <c r="D23" s="20">
        <f t="shared" si="4"/>
        <v>0</v>
      </c>
      <c r="E23" s="20">
        <f t="shared" si="4"/>
        <v>0</v>
      </c>
      <c r="F23" s="20">
        <f t="shared" si="4"/>
        <v>0</v>
      </c>
      <c r="G23" s="20">
        <f t="shared" si="4"/>
        <v>0</v>
      </c>
      <c r="H23" s="20">
        <f t="shared" ref="H23" si="9">($U10/$J10)*H10</f>
        <v>0</v>
      </c>
      <c r="I23" s="20">
        <f t="shared" si="6"/>
        <v>5838.2308904845268</v>
      </c>
      <c r="J23" s="20">
        <f t="shared" si="6"/>
        <v>5838.2308904845268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45">
      <c r="A24" t="str">
        <f>$A$11</f>
        <v>Seattle</v>
      </c>
      <c r="B24" s="20">
        <f t="shared" si="4"/>
        <v>409.53336758999205</v>
      </c>
      <c r="C24" s="20">
        <f t="shared" si="4"/>
        <v>22.284298483232146</v>
      </c>
      <c r="D24" s="20">
        <f t="shared" si="4"/>
        <v>820.95932010435797</v>
      </c>
      <c r="E24" s="20">
        <f t="shared" si="4"/>
        <v>5.1631799207864209</v>
      </c>
      <c r="F24" s="20">
        <f t="shared" si="4"/>
        <v>103820.4767130376</v>
      </c>
      <c r="G24" s="20">
        <f t="shared" si="4"/>
        <v>3110.4523995326031</v>
      </c>
      <c r="H24" s="20">
        <f t="shared" ref="H24" si="10">($U11/$J11)*H11</f>
        <v>3768.6426760004729</v>
      </c>
      <c r="I24" s="20">
        <f t="shared" si="6"/>
        <v>18916.630939726765</v>
      </c>
      <c r="J24" s="20">
        <f t="shared" si="6"/>
        <v>130874.1428943958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45">
      <c r="A25" t="str">
        <f>$A$12</f>
        <v>Seattle Downtown</v>
      </c>
      <c r="B25" s="20">
        <f t="shared" si="4"/>
        <v>0</v>
      </c>
      <c r="C25" s="20">
        <f t="shared" si="4"/>
        <v>0</v>
      </c>
      <c r="D25" s="20">
        <f t="shared" si="4"/>
        <v>0</v>
      </c>
      <c r="E25" s="20">
        <f t="shared" si="4"/>
        <v>0</v>
      </c>
      <c r="F25" s="20">
        <f t="shared" si="4"/>
        <v>600.74979403845509</v>
      </c>
      <c r="G25" s="20">
        <f t="shared" si="4"/>
        <v>261.6064892814336</v>
      </c>
      <c r="H25" s="20">
        <f t="shared" ref="H25:H26" si="11">($U12/$J12)*H12</f>
        <v>0</v>
      </c>
      <c r="I25" s="20">
        <f t="shared" si="6"/>
        <v>10339.368311689008</v>
      </c>
      <c r="J25" s="20">
        <f t="shared" si="6"/>
        <v>11201.724595008895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45">
      <c r="A26" t="str">
        <f>$A$13</f>
        <v>Rest</v>
      </c>
      <c r="B26" s="20">
        <f t="shared" si="4"/>
        <v>8636.8416379835253</v>
      </c>
      <c r="C26" s="20">
        <f t="shared" si="4"/>
        <v>0</v>
      </c>
      <c r="D26" s="20">
        <f t="shared" si="4"/>
        <v>13708.089138476651</v>
      </c>
      <c r="E26" s="20">
        <f t="shared" si="4"/>
        <v>3054.1808547677324</v>
      </c>
      <c r="F26" s="20">
        <f t="shared" si="4"/>
        <v>18389.710141438092</v>
      </c>
      <c r="G26" s="20">
        <f t="shared" si="4"/>
        <v>110.66222285745354</v>
      </c>
      <c r="H26" s="20">
        <f t="shared" si="11"/>
        <v>550705.51600447658</v>
      </c>
      <c r="I26" s="20">
        <f t="shared" si="6"/>
        <v>0</v>
      </c>
      <c r="J26" s="20">
        <f t="shared" si="6"/>
        <v>594605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45">
      <c r="A27" s="8" t="s">
        <v>12</v>
      </c>
      <c r="B27" s="22" t="e">
        <f>($U14/$J14)*B14</f>
        <v>#DIV/0!</v>
      </c>
      <c r="C27" s="22" t="e">
        <f t="shared" ref="C27:J27" si="12">($U14/$J14)*C14</f>
        <v>#DIV/0!</v>
      </c>
      <c r="D27" s="22" t="e">
        <f t="shared" si="12"/>
        <v>#DIV/0!</v>
      </c>
      <c r="E27" s="22" t="e">
        <f t="shared" si="12"/>
        <v>#DIV/0!</v>
      </c>
      <c r="F27" s="22" t="e">
        <f t="shared" si="12"/>
        <v>#DIV/0!</v>
      </c>
      <c r="G27" s="22" t="e">
        <f t="shared" si="12"/>
        <v>#DIV/0!</v>
      </c>
      <c r="H27" s="22" t="e">
        <f t="shared" si="12"/>
        <v>#DIV/0!</v>
      </c>
      <c r="I27" s="22" t="e">
        <f t="shared" si="12"/>
        <v>#DIV/0!</v>
      </c>
      <c r="J27" s="22" t="e">
        <f t="shared" si="12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r="28" spans="1:32" ht="14.65" thickBot="1" x14ac:dyDescent="0.5">
      <c r="A28" s="1" t="s">
        <v>3</v>
      </c>
      <c r="B28" s="24">
        <f t="shared" ref="B28:H28" si="13">($U15/$J15)*B15</f>
        <v>7770.4754829938511</v>
      </c>
      <c r="C28" s="24">
        <f t="shared" si="13"/>
        <v>22.577348270976433</v>
      </c>
      <c r="D28" s="24">
        <f t="shared" si="13"/>
        <v>12506.234170393484</v>
      </c>
      <c r="E28" s="24">
        <f t="shared" si="13"/>
        <v>2606.3207956795845</v>
      </c>
      <c r="F28" s="24">
        <f t="shared" si="13"/>
        <v>123008.03106886675</v>
      </c>
      <c r="G28" s="24">
        <f t="shared" si="13"/>
        <v>4186.5086476450488</v>
      </c>
      <c r="H28" s="24">
        <f t="shared" si="13"/>
        <v>0</v>
      </c>
      <c r="I28" s="24">
        <f>($U15/$J15)*I15</f>
        <v>128426.33763287858</v>
      </c>
      <c r="J28" s="24">
        <f>($U15/$J15)*J15</f>
        <v>751352.4256472612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31" spans="1:32" ht="14.65" thickBot="1" x14ac:dyDescent="0.5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45">
      <c r="A33" t="str">
        <f>$A$7</f>
        <v>Bellevue</v>
      </c>
      <c r="B33" s="26">
        <f t="shared" ref="B33:J39" si="14">B20/$J$28</f>
        <v>0</v>
      </c>
      <c r="C33" s="26">
        <f t="shared" si="14"/>
        <v>0</v>
      </c>
      <c r="D33" s="26">
        <f t="shared" si="14"/>
        <v>0</v>
      </c>
      <c r="E33" s="26">
        <f t="shared" si="14"/>
        <v>0</v>
      </c>
      <c r="F33" s="26">
        <f t="shared" si="14"/>
        <v>0</v>
      </c>
      <c r="G33" s="26">
        <f t="shared" si="14"/>
        <v>0</v>
      </c>
      <c r="H33" s="26">
        <f t="shared" ref="H33" si="15">H20/$J$28</f>
        <v>0</v>
      </c>
      <c r="I33" s="26">
        <f t="shared" ref="I33:J39" si="16">I20/$J$28</f>
        <v>3.1203732362749788E-3</v>
      </c>
      <c r="J33" s="26">
        <f t="shared" si="16"/>
        <v>3.1203732362749788E-3</v>
      </c>
      <c r="L33" t="str">
        <f>$A$7</f>
        <v>Bellevue</v>
      </c>
      <c r="M33" s="26">
        <f t="shared" ref="M33:U39" si="17">M7/$U$15</f>
        <v>0</v>
      </c>
      <c r="N33" s="26">
        <f t="shared" si="17"/>
        <v>0</v>
      </c>
      <c r="O33" s="26">
        <f t="shared" si="17"/>
        <v>0</v>
      </c>
      <c r="P33" s="26">
        <f t="shared" si="17"/>
        <v>0</v>
      </c>
      <c r="Q33" s="26">
        <f t="shared" si="17"/>
        <v>0</v>
      </c>
      <c r="R33" s="26">
        <f t="shared" si="17"/>
        <v>0</v>
      </c>
      <c r="S33" s="26">
        <f t="shared" ref="S33" si="18">S7/$U$15</f>
        <v>0</v>
      </c>
      <c r="T33" s="26">
        <f t="shared" ref="T33:U38" si="19">T7/$U$15</f>
        <v>3.1203732362749788E-3</v>
      </c>
      <c r="U33" s="26">
        <f t="shared" si="19"/>
        <v>3.1203732362749788E-3</v>
      </c>
      <c r="W33" t="str">
        <f>$A$7</f>
        <v>Bellevue</v>
      </c>
      <c r="X33" s="26">
        <f t="shared" ref="X33:Z35" si="20">M33-B33</f>
        <v>0</v>
      </c>
      <c r="Y33" s="26">
        <f t="shared" si="20"/>
        <v>0</v>
      </c>
      <c r="Z33" s="26">
        <f t="shared" si="20"/>
        <v>0</v>
      </c>
      <c r="AA33" s="26">
        <f t="shared" ref="AA33:AA35" si="21">P33-E33</f>
        <v>0</v>
      </c>
      <c r="AB33" s="26">
        <f t="shared" ref="AB33:AB35" si="22">Q33-F33</f>
        <v>0</v>
      </c>
      <c r="AC33" s="26">
        <f t="shared" ref="AC33:AD40" si="23">R33-G33</f>
        <v>0</v>
      </c>
      <c r="AD33" s="26">
        <f t="shared" si="23"/>
        <v>0</v>
      </c>
      <c r="AE33" s="26">
        <f t="shared" ref="AE33:AF35" si="24">T33-I33</f>
        <v>0</v>
      </c>
      <c r="AF33" s="26">
        <f t="shared" si="24"/>
        <v>0</v>
      </c>
    </row>
    <row r="34" spans="1:32" x14ac:dyDescent="0.45">
      <c r="A34" t="str">
        <f>$A$8</f>
        <v>Bellevue Downtown</v>
      </c>
      <c r="B34" s="26">
        <f t="shared" si="14"/>
        <v>0</v>
      </c>
      <c r="C34" s="26">
        <f t="shared" si="14"/>
        <v>0</v>
      </c>
      <c r="D34" s="26">
        <f t="shared" si="14"/>
        <v>0</v>
      </c>
      <c r="E34" s="26">
        <f t="shared" si="14"/>
        <v>0</v>
      </c>
      <c r="F34" s="26">
        <f t="shared" si="14"/>
        <v>0</v>
      </c>
      <c r="G34" s="26">
        <f t="shared" si="14"/>
        <v>0</v>
      </c>
      <c r="H34" s="26">
        <f t="shared" ref="H34" si="25">H21/$J$28</f>
        <v>0</v>
      </c>
      <c r="I34" s="26">
        <f t="shared" si="16"/>
        <v>1.4239290391017526E-3</v>
      </c>
      <c r="J34" s="26">
        <f t="shared" si="16"/>
        <v>1.4239290391017526E-3</v>
      </c>
      <c r="L34" t="str">
        <f>$A$8</f>
        <v>Bellevue Downtown</v>
      </c>
      <c r="M34" s="26">
        <f t="shared" si="17"/>
        <v>0</v>
      </c>
      <c r="N34" s="26">
        <f t="shared" si="17"/>
        <v>0</v>
      </c>
      <c r="O34" s="26">
        <f t="shared" si="17"/>
        <v>0</v>
      </c>
      <c r="P34" s="26">
        <f t="shared" si="17"/>
        <v>0</v>
      </c>
      <c r="Q34" s="26">
        <f t="shared" si="17"/>
        <v>0</v>
      </c>
      <c r="R34" s="26">
        <f t="shared" si="17"/>
        <v>0</v>
      </c>
      <c r="S34" s="26">
        <f t="shared" ref="S34" si="26">S8/$U$15</f>
        <v>0</v>
      </c>
      <c r="T34" s="26">
        <f t="shared" si="19"/>
        <v>1.4239290391017526E-3</v>
      </c>
      <c r="U34" s="26">
        <f t="shared" si="19"/>
        <v>1.4239290391017526E-3</v>
      </c>
      <c r="W34" t="str">
        <f>$A$8</f>
        <v>Bellevue Downtown</v>
      </c>
      <c r="X34" s="26">
        <f t="shared" si="20"/>
        <v>0</v>
      </c>
      <c r="Y34" s="26">
        <f t="shared" si="20"/>
        <v>0</v>
      </c>
      <c r="Z34" s="26">
        <f t="shared" si="20"/>
        <v>0</v>
      </c>
      <c r="AA34" s="26">
        <f t="shared" si="21"/>
        <v>0</v>
      </c>
      <c r="AB34" s="26">
        <f t="shared" si="22"/>
        <v>0</v>
      </c>
      <c r="AC34" s="26">
        <f t="shared" si="23"/>
        <v>0</v>
      </c>
      <c r="AD34" s="26">
        <f t="shared" si="23"/>
        <v>0</v>
      </c>
      <c r="AE34" s="26">
        <f t="shared" si="24"/>
        <v>0</v>
      </c>
      <c r="AF34" s="26">
        <f t="shared" si="24"/>
        <v>0</v>
      </c>
    </row>
    <row r="35" spans="1:32" x14ac:dyDescent="0.45">
      <c r="A35" t="str">
        <f>$A$9</f>
        <v>Kirkland</v>
      </c>
      <c r="B35" s="26">
        <f t="shared" si="14"/>
        <v>0</v>
      </c>
      <c r="C35" s="26">
        <f t="shared" si="14"/>
        <v>0</v>
      </c>
      <c r="D35" s="26">
        <f t="shared" si="14"/>
        <v>0</v>
      </c>
      <c r="E35" s="26">
        <f t="shared" si="14"/>
        <v>0</v>
      </c>
      <c r="F35" s="26">
        <f t="shared" si="14"/>
        <v>0</v>
      </c>
      <c r="G35" s="26">
        <f t="shared" si="14"/>
        <v>0</v>
      </c>
      <c r="H35" s="26">
        <f t="shared" ref="H35" si="27">H22/$J$28</f>
        <v>0</v>
      </c>
      <c r="I35" s="26">
        <f t="shared" si="16"/>
        <v>7.2122675656834468E-3</v>
      </c>
      <c r="J35" s="26">
        <f t="shared" si="16"/>
        <v>7.2122675656834468E-3</v>
      </c>
      <c r="L35" t="str">
        <f>$A$9</f>
        <v>Kirkland</v>
      </c>
      <c r="M35" s="26">
        <f t="shared" si="17"/>
        <v>0</v>
      </c>
      <c r="N35" s="26">
        <f t="shared" si="17"/>
        <v>0</v>
      </c>
      <c r="O35" s="26">
        <f t="shared" si="17"/>
        <v>0</v>
      </c>
      <c r="P35" s="26">
        <f t="shared" si="17"/>
        <v>0</v>
      </c>
      <c r="Q35" s="26">
        <f t="shared" si="17"/>
        <v>0</v>
      </c>
      <c r="R35" s="26">
        <f t="shared" si="17"/>
        <v>0</v>
      </c>
      <c r="S35" s="26">
        <f t="shared" ref="S35" si="28">S9/$U$15</f>
        <v>0</v>
      </c>
      <c r="T35" s="26">
        <f t="shared" si="19"/>
        <v>7.2122675656834468E-3</v>
      </c>
      <c r="U35" s="26">
        <f t="shared" si="19"/>
        <v>7.2122675656834468E-3</v>
      </c>
      <c r="W35" t="str">
        <f>$A$9</f>
        <v>Kirkland</v>
      </c>
      <c r="X35" s="26">
        <f t="shared" si="20"/>
        <v>0</v>
      </c>
      <c r="Y35" s="26">
        <f t="shared" si="20"/>
        <v>0</v>
      </c>
      <c r="Z35" s="26">
        <f t="shared" si="20"/>
        <v>0</v>
      </c>
      <c r="AA35" s="26">
        <f t="shared" si="21"/>
        <v>0</v>
      </c>
      <c r="AB35" s="26">
        <f t="shared" si="22"/>
        <v>0</v>
      </c>
      <c r="AC35" s="26">
        <f t="shared" si="23"/>
        <v>0</v>
      </c>
      <c r="AD35" s="26">
        <f t="shared" si="23"/>
        <v>0</v>
      </c>
      <c r="AE35" s="26">
        <f t="shared" si="24"/>
        <v>0</v>
      </c>
      <c r="AF35" s="26">
        <f t="shared" si="24"/>
        <v>0</v>
      </c>
    </row>
    <row r="36" spans="1:32" x14ac:dyDescent="0.45">
      <c r="A36" t="str">
        <f>$A$10</f>
        <v>Redmond</v>
      </c>
      <c r="B36" s="26">
        <f t="shared" si="14"/>
        <v>0</v>
      </c>
      <c r="C36" s="26">
        <f t="shared" si="14"/>
        <v>0</v>
      </c>
      <c r="D36" s="26">
        <f t="shared" si="14"/>
        <v>0</v>
      </c>
      <c r="E36" s="26">
        <f t="shared" si="14"/>
        <v>0</v>
      </c>
      <c r="F36" s="26">
        <f t="shared" si="14"/>
        <v>0</v>
      </c>
      <c r="G36" s="26">
        <f t="shared" si="14"/>
        <v>0</v>
      </c>
      <c r="H36" s="26">
        <f t="shared" ref="H36" si="29">H23/$J$28</f>
        <v>0</v>
      </c>
      <c r="I36" s="26">
        <f t="shared" si="16"/>
        <v>7.7702961901734936E-3</v>
      </c>
      <c r="J36" s="26">
        <f t="shared" si="16"/>
        <v>7.7702961901734936E-3</v>
      </c>
      <c r="L36" t="str">
        <f>$A$10</f>
        <v>Redmond</v>
      </c>
      <c r="M36" s="26">
        <f t="shared" si="17"/>
        <v>0</v>
      </c>
      <c r="N36" s="26">
        <f t="shared" si="17"/>
        <v>0</v>
      </c>
      <c r="O36" s="26">
        <f t="shared" si="17"/>
        <v>0</v>
      </c>
      <c r="P36" s="26">
        <f t="shared" si="17"/>
        <v>0</v>
      </c>
      <c r="Q36" s="26">
        <f t="shared" si="17"/>
        <v>0</v>
      </c>
      <c r="R36" s="26">
        <f t="shared" si="17"/>
        <v>0</v>
      </c>
      <c r="S36" s="26">
        <f t="shared" ref="S36" si="30">S10/$U$15</f>
        <v>0</v>
      </c>
      <c r="T36" s="26">
        <f t="shared" si="19"/>
        <v>7.7702961901734936E-3</v>
      </c>
      <c r="U36" s="26">
        <f t="shared" si="19"/>
        <v>7.7702961901734936E-3</v>
      </c>
      <c r="W36" t="str">
        <f>$A$10</f>
        <v>Redmond</v>
      </c>
      <c r="X36" s="26">
        <f t="shared" ref="X36:X38" si="31">M36-B36</f>
        <v>0</v>
      </c>
      <c r="Y36" s="26">
        <f t="shared" ref="Y36:Y38" si="32">N36-C36</f>
        <v>0</v>
      </c>
      <c r="Z36" s="26">
        <f t="shared" ref="Z36:Z38" si="33">O36-D36</f>
        <v>0</v>
      </c>
      <c r="AA36" s="26">
        <f t="shared" ref="AA36:AA38" si="34">P36-E36</f>
        <v>0</v>
      </c>
      <c r="AB36" s="26">
        <f t="shared" ref="AB36:AB38" si="35">Q36-F36</f>
        <v>0</v>
      </c>
      <c r="AC36" s="26">
        <f t="shared" ref="AC36:AD38" si="36">R36-G36</f>
        <v>0</v>
      </c>
      <c r="AD36" s="26">
        <f t="shared" si="36"/>
        <v>0</v>
      </c>
      <c r="AE36" s="26">
        <f t="shared" ref="AE36:AE39" si="37">T36-I36</f>
        <v>0</v>
      </c>
      <c r="AF36" s="26">
        <f t="shared" ref="AF36:AF39" si="38">U36-J36</f>
        <v>0</v>
      </c>
    </row>
    <row r="37" spans="1:32" x14ac:dyDescent="0.45">
      <c r="A37" t="str">
        <f>$A$11</f>
        <v>Seattle</v>
      </c>
      <c r="B37" s="26">
        <f t="shared" si="14"/>
        <v>5.4506161637422651E-4</v>
      </c>
      <c r="C37" s="26">
        <f t="shared" si="14"/>
        <v>2.9658916006074085E-5</v>
      </c>
      <c r="D37" s="26">
        <f t="shared" si="14"/>
        <v>1.0926421371397492E-3</v>
      </c>
      <c r="E37" s="26">
        <f t="shared" si="14"/>
        <v>6.8718483424586542E-6</v>
      </c>
      <c r="F37" s="26">
        <f t="shared" si="14"/>
        <v>0.13817813474628801</v>
      </c>
      <c r="G37" s="26">
        <f t="shared" si="14"/>
        <v>4.1398048284106729E-3</v>
      </c>
      <c r="H37" s="26">
        <f t="shared" ref="H37" si="39">H24/$J$28</f>
        <v>5.015812217221409E-3</v>
      </c>
      <c r="I37" s="26">
        <f t="shared" si="16"/>
        <v>2.5176774964732182E-2</v>
      </c>
      <c r="J37" s="26">
        <f t="shared" si="16"/>
        <v>0.17418476127451477</v>
      </c>
      <c r="L37" t="str">
        <f>$A$11</f>
        <v>Seattle</v>
      </c>
      <c r="M37" s="26">
        <f t="shared" si="17"/>
        <v>1.2191349475060272E-3</v>
      </c>
      <c r="N37" s="26">
        <f t="shared" si="17"/>
        <v>5.3237333952228262E-5</v>
      </c>
      <c r="O37" s="26">
        <f t="shared" si="17"/>
        <v>1.2271205475988614E-3</v>
      </c>
      <c r="P37" s="26">
        <f t="shared" si="17"/>
        <v>7.5863200881925272E-5</v>
      </c>
      <c r="Q37" s="26">
        <f t="shared" si="17"/>
        <v>0.15177298443105874</v>
      </c>
      <c r="R37" s="26">
        <f t="shared" si="17"/>
        <v>8.2837291629667183E-3</v>
      </c>
      <c r="S37" s="26">
        <f t="shared" ref="S37" si="40">S11/$U$15</f>
        <v>8.479376365241157E-3</v>
      </c>
      <c r="T37" s="26">
        <f t="shared" si="19"/>
        <v>3.0733152853090907E-3</v>
      </c>
      <c r="U37" s="26">
        <f t="shared" si="19"/>
        <v>0.17418476127451474</v>
      </c>
      <c r="W37" t="str">
        <f>$A$11</f>
        <v>Seattle</v>
      </c>
      <c r="X37" s="26">
        <f t="shared" si="31"/>
        <v>6.7407333113180066E-4</v>
      </c>
      <c r="Y37" s="26">
        <f t="shared" si="32"/>
        <v>2.3578417946154177E-5</v>
      </c>
      <c r="Z37" s="26">
        <f t="shared" si="33"/>
        <v>1.3447841045911217E-4</v>
      </c>
      <c r="AA37" s="26">
        <f t="shared" si="34"/>
        <v>6.8991352539466617E-5</v>
      </c>
      <c r="AB37" s="26">
        <f t="shared" si="35"/>
        <v>1.3594849684770732E-2</v>
      </c>
      <c r="AC37" s="26">
        <f t="shared" si="36"/>
        <v>4.1439243345560454E-3</v>
      </c>
      <c r="AD37" s="26">
        <f t="shared" si="36"/>
        <v>3.4635641480197481E-3</v>
      </c>
      <c r="AE37" s="26">
        <f t="shared" si="37"/>
        <v>-2.2103459679423093E-2</v>
      </c>
      <c r="AF37" s="26">
        <f t="shared" si="38"/>
        <v>0</v>
      </c>
    </row>
    <row r="38" spans="1:32" x14ac:dyDescent="0.45">
      <c r="A38" t="str">
        <f>$A$12</f>
        <v>Seattle Downtown</v>
      </c>
      <c r="B38" s="26">
        <f t="shared" si="14"/>
        <v>0</v>
      </c>
      <c r="C38" s="26">
        <f t="shared" si="14"/>
        <v>0</v>
      </c>
      <c r="D38" s="26">
        <f t="shared" si="14"/>
        <v>0</v>
      </c>
      <c r="E38" s="26">
        <f t="shared" si="14"/>
        <v>0</v>
      </c>
      <c r="F38" s="26">
        <f t="shared" si="14"/>
        <v>7.9955793517393948E-4</v>
      </c>
      <c r="G38" s="26">
        <f t="shared" si="14"/>
        <v>3.4818080084864257E-4</v>
      </c>
      <c r="H38" s="26">
        <f t="shared" ref="H38:H39" si="41">H25/$J$28</f>
        <v>0</v>
      </c>
      <c r="I38" s="26">
        <f t="shared" si="16"/>
        <v>1.3761010091611856E-2</v>
      </c>
      <c r="J38" s="26">
        <f t="shared" si="16"/>
        <v>1.4908748827634434E-2</v>
      </c>
      <c r="L38" t="str">
        <f>$A$12</f>
        <v>Seattle Downtown</v>
      </c>
      <c r="M38" s="26">
        <f t="shared" si="17"/>
        <v>9.1834401067593757E-5</v>
      </c>
      <c r="N38" s="26">
        <f t="shared" si="17"/>
        <v>0</v>
      </c>
      <c r="O38" s="26">
        <f t="shared" si="17"/>
        <v>7.9856000928342387E-6</v>
      </c>
      <c r="P38" s="26">
        <f t="shared" si="17"/>
        <v>0</v>
      </c>
      <c r="Q38" s="26">
        <f t="shared" si="17"/>
        <v>5.0801725923913816E-3</v>
      </c>
      <c r="R38" s="26">
        <f t="shared" si="17"/>
        <v>4.2709651163175127E-3</v>
      </c>
      <c r="S38" s="26">
        <f t="shared" ref="S38" si="42">S12/$U$15</f>
        <v>4.525173385939402E-5</v>
      </c>
      <c r="T38" s="26">
        <f t="shared" si="19"/>
        <v>5.4125393839057198E-3</v>
      </c>
      <c r="U38" s="26">
        <f t="shared" si="19"/>
        <v>1.4908748827634434E-2</v>
      </c>
      <c r="W38" t="str">
        <f>$A$12</f>
        <v>Seattle Downtown</v>
      </c>
      <c r="X38" s="26">
        <f t="shared" si="31"/>
        <v>9.1834401067593757E-5</v>
      </c>
      <c r="Y38" s="26">
        <f t="shared" si="32"/>
        <v>0</v>
      </c>
      <c r="Z38" s="26">
        <f t="shared" si="33"/>
        <v>7.9856000928342387E-6</v>
      </c>
      <c r="AA38" s="26">
        <f t="shared" si="34"/>
        <v>0</v>
      </c>
      <c r="AB38" s="26">
        <f t="shared" si="35"/>
        <v>4.2806146572174422E-3</v>
      </c>
      <c r="AC38" s="26">
        <f t="shared" si="36"/>
        <v>3.9227843154688701E-3</v>
      </c>
      <c r="AD38" s="26">
        <f t="shared" si="36"/>
        <v>4.525173385939402E-5</v>
      </c>
      <c r="AE38" s="26">
        <f t="shared" si="37"/>
        <v>-8.3484707077061369E-3</v>
      </c>
      <c r="AF38" s="26">
        <f t="shared" si="38"/>
        <v>0</v>
      </c>
    </row>
    <row r="39" spans="1:32" x14ac:dyDescent="0.45">
      <c r="A39" t="str">
        <f>$A$13</f>
        <v>Rest</v>
      </c>
      <c r="B39" s="26">
        <f t="shared" si="14"/>
        <v>1.1495060564345978E-2</v>
      </c>
      <c r="C39" s="26">
        <f t="shared" si="14"/>
        <v>0</v>
      </c>
      <c r="D39" s="26">
        <f t="shared" si="14"/>
        <v>1.8244552982799863E-2</v>
      </c>
      <c r="E39" s="26">
        <f t="shared" si="14"/>
        <v>4.0649111528942936E-3</v>
      </c>
      <c r="F39" s="26">
        <f t="shared" si="14"/>
        <v>2.4475478502110463E-2</v>
      </c>
      <c r="G39" s="26">
        <f t="shared" si="14"/>
        <v>1.4728404285395405E-4</v>
      </c>
      <c r="H39" s="26">
        <f t="shared" si="41"/>
        <v>0.73295233662161263</v>
      </c>
      <c r="I39" s="26">
        <f t="shared" si="16"/>
        <v>0</v>
      </c>
      <c r="J39" s="26">
        <f t="shared" si="14"/>
        <v>0.7913796238666172</v>
      </c>
      <c r="L39" t="str">
        <f>$A$13</f>
        <v>Rest</v>
      </c>
      <c r="M39" s="26">
        <f t="shared" si="17"/>
        <v>1.5871380184508052E-2</v>
      </c>
      <c r="N39" s="26">
        <f t="shared" si="17"/>
        <v>3.4604267068948373E-4</v>
      </c>
      <c r="O39" s="26">
        <f t="shared" si="17"/>
        <v>1.1790738537069755E-2</v>
      </c>
      <c r="P39" s="26">
        <f t="shared" si="17"/>
        <v>4.7953528557469604E-3</v>
      </c>
      <c r="Q39" s="26">
        <f t="shared" si="17"/>
        <v>4.8827951767634957E-2</v>
      </c>
      <c r="R39" s="26">
        <f t="shared" si="17"/>
        <v>5.4155677962904204E-3</v>
      </c>
      <c r="S39" s="26">
        <f t="shared" ref="S39" si="43">S13/$U$15</f>
        <v>0.70433259005467752</v>
      </c>
      <c r="T39" s="26">
        <f t="shared" si="17"/>
        <v>0</v>
      </c>
      <c r="U39" s="26">
        <f t="shared" si="17"/>
        <v>0.7913796238666172</v>
      </c>
      <c r="W39" t="str">
        <f>$A$13</f>
        <v>Rest</v>
      </c>
      <c r="X39" s="26">
        <f t="shared" ref="X39" si="44">M39-B39</f>
        <v>4.3763196201620745E-3</v>
      </c>
      <c r="Y39" s="26">
        <f t="shared" ref="Y39" si="45">N39-C39</f>
        <v>3.4604267068948373E-4</v>
      </c>
      <c r="Z39" s="26">
        <f t="shared" ref="Z39" si="46">O39-D39</f>
        <v>-6.4538144457301078E-3</v>
      </c>
      <c r="AA39" s="26">
        <f t="shared" ref="AA39" si="47">P39-E39</f>
        <v>7.3044170285266677E-4</v>
      </c>
      <c r="AB39" s="26">
        <f t="shared" ref="AB39" si="48">Q39-F39</f>
        <v>2.4352473265524494E-2</v>
      </c>
      <c r="AC39" s="26">
        <f t="shared" ref="AC39" si="49">R39-G39</f>
        <v>5.2682837534364663E-3</v>
      </c>
      <c r="AD39" s="26">
        <f t="shared" ref="AD39" si="50">S39-H39</f>
        <v>-2.8619746566935111E-2</v>
      </c>
      <c r="AE39" s="26">
        <f t="shared" si="37"/>
        <v>0</v>
      </c>
      <c r="AF39" s="26">
        <f t="shared" si="38"/>
        <v>0</v>
      </c>
    </row>
    <row r="40" spans="1:32" x14ac:dyDescent="0.45">
      <c r="A40" s="8" t="s">
        <v>12</v>
      </c>
      <c r="B40" s="27" t="e">
        <f t="shared" ref="B40:H40" si="51">B27/$J$28</f>
        <v>#DIV/0!</v>
      </c>
      <c r="C40" s="27" t="e">
        <f t="shared" si="51"/>
        <v>#DIV/0!</v>
      </c>
      <c r="D40" s="27" t="e">
        <f t="shared" si="51"/>
        <v>#DIV/0!</v>
      </c>
      <c r="E40" s="27" t="e">
        <f t="shared" si="51"/>
        <v>#DIV/0!</v>
      </c>
      <c r="F40" s="27" t="e">
        <f t="shared" si="51"/>
        <v>#DIV/0!</v>
      </c>
      <c r="G40" s="27" t="e">
        <f t="shared" si="51"/>
        <v>#DIV/0!</v>
      </c>
      <c r="H40" s="27" t="e">
        <f t="shared" si="51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t="shared" ref="N40:U40" si="52">N14/$U$15</f>
        <v>0</v>
      </c>
      <c r="O40" s="27">
        <f t="shared" si="52"/>
        <v>0</v>
      </c>
      <c r="P40" s="27">
        <f t="shared" si="52"/>
        <v>0</v>
      </c>
      <c r="Q40" s="27">
        <f t="shared" si="52"/>
        <v>0</v>
      </c>
      <c r="R40" s="27">
        <f t="shared" si="52"/>
        <v>0</v>
      </c>
      <c r="S40" s="27">
        <f t="shared" si="52"/>
        <v>0</v>
      </c>
      <c r="T40" s="27">
        <f t="shared" si="52"/>
        <v>0</v>
      </c>
      <c r="U40" s="27">
        <f t="shared" si="52"/>
        <v>0</v>
      </c>
      <c r="W40" s="23" t="s">
        <v>12</v>
      </c>
      <c r="X40" s="27" t="e">
        <f t="shared" ref="X40:Z41" si="53">M40-B40</f>
        <v>#DIV/0!</v>
      </c>
      <c r="Y40" s="27" t="e">
        <f t="shared" si="53"/>
        <v>#DIV/0!</v>
      </c>
      <c r="Z40" s="27" t="e">
        <f t="shared" si="53"/>
        <v>#DIV/0!</v>
      </c>
      <c r="AA40" s="27" t="e">
        <f t="shared" ref="AA40:AA41" si="54">P40-E40</f>
        <v>#DIV/0!</v>
      </c>
      <c r="AB40" s="27" t="e">
        <f t="shared" ref="AB40:AB41" si="55">Q40-F40</f>
        <v>#DIV/0!</v>
      </c>
      <c r="AC40" s="27" t="e">
        <f t="shared" ref="AC40:AD41" si="56">R40-G40</f>
        <v>#DIV/0!</v>
      </c>
      <c r="AD40" s="26" t="e">
        <f t="shared" si="23"/>
        <v>#DIV/0!</v>
      </c>
      <c r="AE40" s="27" t="e">
        <f>T40-I40</f>
        <v>#DIV/0!</v>
      </c>
      <c r="AF40" s="27" t="e">
        <f>U40-J40</f>
        <v>#DIV/0!</v>
      </c>
    </row>
    <row r="41" spans="1:32" ht="14.65" thickBot="1" x14ac:dyDescent="0.5">
      <c r="A41" s="1" t="s">
        <v>3</v>
      </c>
      <c r="B41" s="28">
        <f>B28/$J$28</f>
        <v>1.0341984956393647E-2</v>
      </c>
      <c r="C41" s="28">
        <f>C28/$J$28</f>
        <v>3.0048945741443391E-5</v>
      </c>
      <c r="D41" s="28">
        <f>D28/$J$28</f>
        <v>1.6644964125350156E-2</v>
      </c>
      <c r="E41" s="28">
        <f t="shared" ref="E41:H41" si="57">E28/$J$28</f>
        <v>3.468839264655783E-3</v>
      </c>
      <c r="F41" s="28">
        <f t="shared" si="57"/>
        <v>0.16371549072048322</v>
      </c>
      <c r="G41" s="28">
        <f t="shared" si="57"/>
        <v>5.5719639742142744E-3</v>
      </c>
      <c r="H41" s="28">
        <f t="shared" si="57"/>
        <v>0</v>
      </c>
      <c r="I41" s="28">
        <f>I28/$J$28</f>
        <v>0.17092689562057942</v>
      </c>
      <c r="J41" s="28">
        <f>J28/$J$28</f>
        <v>1</v>
      </c>
      <c r="L41" s="24" t="s">
        <v>3</v>
      </c>
      <c r="M41" s="28">
        <f>M15/$U$15</f>
        <v>1.7182349533081672E-2</v>
      </c>
      <c r="N41" s="28">
        <f>N15/$U$15</f>
        <v>3.9928000464171199E-4</v>
      </c>
      <c r="O41" s="28">
        <f>O15/$U$15</f>
        <v>1.3025844684761451E-2</v>
      </c>
      <c r="P41" s="28">
        <f t="shared" ref="P41:S41" si="58">P15/$U$15</f>
        <v>4.8712160566288859E-3</v>
      </c>
      <c r="Q41" s="28">
        <f t="shared" si="58"/>
        <v>0.20568110879108509</v>
      </c>
      <c r="R41" s="28">
        <f t="shared" si="58"/>
        <v>1.7970262075574651E-2</v>
      </c>
      <c r="S41" s="28">
        <f t="shared" si="58"/>
        <v>0.71285721815377812</v>
      </c>
      <c r="T41" s="28">
        <f>T15/$U$15</f>
        <v>2.8012720700448485E-2</v>
      </c>
      <c r="U41" s="28">
        <f>U15/$U$15</f>
        <v>1</v>
      </c>
      <c r="W41" s="24" t="s">
        <v>3</v>
      </c>
      <c r="X41" s="28">
        <f t="shared" si="53"/>
        <v>6.8403645766880253E-3</v>
      </c>
      <c r="Y41" s="28">
        <f t="shared" si="53"/>
        <v>3.6923105890026859E-4</v>
      </c>
      <c r="Z41" s="28">
        <f t="shared" si="53"/>
        <v>-3.6191194405887049E-3</v>
      </c>
      <c r="AA41" s="28">
        <f t="shared" si="54"/>
        <v>1.4023767919731029E-3</v>
      </c>
      <c r="AB41" s="28">
        <f t="shared" si="55"/>
        <v>4.1965618070601868E-2</v>
      </c>
      <c r="AC41" s="28">
        <f t="shared" si="56"/>
        <v>1.2398298101360377E-2</v>
      </c>
      <c r="AD41" s="28">
        <f t="shared" si="56"/>
        <v>0.71285721815377812</v>
      </c>
      <c r="AE41" s="28">
        <f>T41-I41</f>
        <v>-0.14291417492013092</v>
      </c>
      <c r="AF41" s="28">
        <f>U41-J41</f>
        <v>0</v>
      </c>
    </row>
    <row r="44" spans="1:32" ht="14.65" thickBot="1" x14ac:dyDescent="0.5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4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4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4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4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4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4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4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r="52" spans="1:32" ht="14.65" thickBot="1" x14ac:dyDescent="0.5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36"/>
  <sheetViews>
    <sheetView topLeftCell="A10" workbookViewId="0">
      <selection activeCell="G14" sqref="G14"/>
    </sheetView>
  </sheetViews>
  <sheetFormatPr defaultRowHeight="14.25" x14ac:dyDescent="0.45"/>
  <cols>
    <col min="1" max="1" customWidth="true" width="18.265625" collapsed="true"/>
    <col min="2" max="2" bestFit="true" customWidth="true" width="11.59765625" collapsed="true"/>
    <col min="3" max="3" bestFit="true" customWidth="true" width="10.59765625" collapsed="true"/>
    <col min="4" max="4" bestFit="true" customWidth="true" width="12.265625" collapsed="true"/>
    <col min="5" max="5" bestFit="true" customWidth="true" width="11.59765625" collapsed="true"/>
    <col min="8" max="8" customWidth="true" width="19.86328125" collapsed="true"/>
    <col min="9" max="10" bestFit="true" customWidth="true" width="11.59765625" collapsed="true"/>
    <col min="11" max="11" bestFit="true" customWidth="true" width="12.265625" collapsed="true"/>
    <col min="12" max="12" bestFit="true" customWidth="true" width="11.59765625" collapsed="true"/>
    <col min="13" max="13" bestFit="true" customWidth="true" width="9.59765625" collapsed="true"/>
    <col min="15" max="15" customWidth="true" width="18.3984375" collapsed="true"/>
  </cols>
  <sheetData>
    <row r="1" spans="1:19" x14ac:dyDescent="0.45">
      <c r="A1" t="s">
        <v>29</v>
      </c>
    </row>
    <row r="2" spans="1:19" x14ac:dyDescent="0.45">
      <c r="A2" t="s">
        <v>247</v>
      </c>
    </row>
    <row r="3" spans="1:19" x14ac:dyDescent="0.45">
      <c r="A3" t="s">
        <v>30</v>
      </c>
    </row>
    <row r="5" spans="1:19" ht="14.65" thickBot="1" x14ac:dyDescent="0.5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4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45">
      <c r="A7" s="52" t="s">
        <v>254</v>
      </c>
      <c r="B7" s="83" t="n">
        <v>0.0</v>
      </c>
      <c r="C7" s="83" t="n">
        <v>0.0</v>
      </c>
      <c r="D7" s="83" t="n">
        <v>0.0</v>
      </c>
      <c r="E7" s="83">
        <f>SUM(B7:D7)</f>
        <v>0</v>
      </c>
      <c r="H7" s="15" t="str">
        <f>$A$7</f>
        <v>Bellevue</v>
      </c>
      <c r="I7" s="83" t="n">
        <v>0.0</v>
      </c>
      <c r="J7" s="83" t="n">
        <v>0.0</v>
      </c>
      <c r="K7" s="83" t="n">
        <v>0.0</v>
      </c>
      <c r="L7" s="83">
        <f>SUM(I7:K7)</f>
        <v>0</v>
      </c>
      <c r="O7" s="15" t="str">
        <f>$A$7</f>
        <v>Bellevue</v>
      </c>
      <c r="P7" s="20">
        <f>I7-B7</f>
        <v>0</v>
      </c>
      <c r="Q7" s="20">
        <f t="shared" ref="Q7:S14" si="0">J7-C7</f>
        <v>0</v>
      </c>
      <c r="R7" s="20">
        <f t="shared" si="0"/>
        <v>0</v>
      </c>
      <c r="S7" s="20">
        <f t="shared" si="0"/>
        <v>0</v>
      </c>
    </row>
    <row r="8" spans="1:19" x14ac:dyDescent="0.45">
      <c r="A8" s="7" t="s">
        <v>255</v>
      </c>
      <c r="B8" s="83" t="n">
        <v>0.0</v>
      </c>
      <c r="C8" s="83" t="n">
        <v>0.0</v>
      </c>
      <c r="D8" s="83" t="n">
        <v>0.0</v>
      </c>
      <c r="E8" s="83">
        <f>SUM(B8:D8)</f>
        <v>0</v>
      </c>
      <c r="H8" t="str">
        <f>$A$8</f>
        <v>Bellevue Downtown</v>
      </c>
      <c r="I8" s="83" t="n">
        <v>0.0</v>
      </c>
      <c r="J8" s="83" t="n">
        <v>0.0</v>
      </c>
      <c r="K8" s="83" t="n">
        <v>0.0</v>
      </c>
      <c r="L8" s="83">
        <f>SUM(I8:K8)</f>
        <v>0</v>
      </c>
      <c r="O8" t="str">
        <f>$A$8</f>
        <v>Bellevue Downtown</v>
      </c>
      <c r="P8" s="20">
        <f t="shared" ref="P8:P14" si="1">I8-B8</f>
        <v>0</v>
      </c>
      <c r="Q8" s="20">
        <f t="shared" si="0"/>
        <v>0</v>
      </c>
      <c r="R8" s="20">
        <f t="shared" si="0"/>
        <v>0</v>
      </c>
      <c r="S8" s="20">
        <f t="shared" si="0"/>
        <v>0</v>
      </c>
    </row>
    <row r="9" spans="1:19" x14ac:dyDescent="0.45">
      <c r="A9" s="7" t="s">
        <v>256</v>
      </c>
      <c r="B9" s="83" t="n">
        <v>0.0</v>
      </c>
      <c r="C9" s="83" t="n">
        <v>0.0</v>
      </c>
      <c r="D9" s="83" t="n">
        <v>0.0</v>
      </c>
      <c r="E9" s="83">
        <f t="shared" ref="E9:E11" si="2">SUM(B9:D9)</f>
        <v>0</v>
      </c>
      <c r="H9" t="str">
        <f>$A$9</f>
        <v>Kirkland</v>
      </c>
      <c r="I9" s="83" t="n">
        <v>0.0</v>
      </c>
      <c r="J9" s="83" t="n">
        <v>0.0</v>
      </c>
      <c r="K9" s="83" t="n">
        <v>0.0</v>
      </c>
      <c r="L9" s="83">
        <f t="shared" ref="L9:L11" si="3">SUM(I9:K9)</f>
        <v>0</v>
      </c>
      <c r="O9" t="str">
        <f>$A$9</f>
        <v>Kirkland</v>
      </c>
      <c r="P9" s="20">
        <f t="shared" ref="P9:P11" si="4">I9-B9</f>
        <v>0</v>
      </c>
      <c r="Q9" s="20">
        <f t="shared" ref="Q9:Q11" si="5">J9-C9</f>
        <v>0</v>
      </c>
      <c r="R9" s="20">
        <f t="shared" ref="R9:R11" si="6">K9-D9</f>
        <v>0</v>
      </c>
      <c r="S9" s="20">
        <f t="shared" ref="S9:S11" si="7">L9-E9</f>
        <v>0</v>
      </c>
    </row>
    <row r="10" spans="1:19" x14ac:dyDescent="0.45">
      <c r="A10" s="7" t="s">
        <v>257</v>
      </c>
      <c r="B10" s="83" t="n">
        <v>0.0</v>
      </c>
      <c r="C10" s="83" t="n">
        <v>0.0</v>
      </c>
      <c r="D10" s="83" t="n">
        <v>0.0</v>
      </c>
      <c r="E10" s="83">
        <f t="shared" si="2"/>
        <v>0</v>
      </c>
      <c r="H10" t="str">
        <f>$A$10</f>
        <v>Redmond</v>
      </c>
      <c r="I10" s="83" t="n">
        <v>0.0</v>
      </c>
      <c r="J10" s="83" t="n">
        <v>0.0</v>
      </c>
      <c r="K10" s="83" t="n">
        <v>0.0</v>
      </c>
      <c r="L10" s="83">
        <f t="shared" si="3"/>
        <v>0</v>
      </c>
      <c r="O10" s="7" t="str">
        <f>$A$10</f>
        <v>Redmond</v>
      </c>
      <c r="P10" s="21">
        <f t="shared" si="4"/>
        <v>0</v>
      </c>
      <c r="Q10" s="21">
        <f t="shared" si="5"/>
        <v>0</v>
      </c>
      <c r="R10" s="21">
        <f t="shared" si="6"/>
        <v>0</v>
      </c>
      <c r="S10" s="21">
        <f t="shared" si="7"/>
        <v>0</v>
      </c>
    </row>
    <row r="11" spans="1:19" x14ac:dyDescent="0.45">
      <c r="A11" s="7" t="s">
        <v>253</v>
      </c>
      <c r="B11" s="83" t="n">
        <v>0.0</v>
      </c>
      <c r="C11" s="83" t="n">
        <v>0.0</v>
      </c>
      <c r="D11" s="83" t="n">
        <v>996.876</v>
      </c>
      <c r="E11" s="83">
        <f t="shared" si="2"/>
        <v>996.87599999999998</v>
      </c>
      <c r="H11" t="str">
        <f>$A$11</f>
        <v>Seattle</v>
      </c>
      <c r="I11" s="83" t="n">
        <v>511.0</v>
      </c>
      <c r="J11" s="83" t="n">
        <v>63.0</v>
      </c>
      <c r="K11" s="83" t="n">
        <v>65.0</v>
      </c>
      <c r="L11" s="83">
        <f t="shared" si="3"/>
        <v>640</v>
      </c>
      <c r="O11" s="7" t="str">
        <f>$A$11</f>
        <v>Seattle</v>
      </c>
      <c r="P11" s="21">
        <f t="shared" si="4"/>
        <v>510</v>
      </c>
      <c r="Q11" s="21">
        <f t="shared" si="5"/>
        <v>70</v>
      </c>
      <c r="R11" s="21">
        <f t="shared" si="6"/>
        <v>-936.87599999999998</v>
      </c>
      <c r="S11" s="21">
        <f t="shared" si="7"/>
        <v>-356.87599999999998</v>
      </c>
    </row>
    <row r="12" spans="1:19" x14ac:dyDescent="0.45">
      <c r="A12" s="7" t="s">
        <v>258</v>
      </c>
      <c r="B12" s="87" t="n">
        <v>0.0</v>
      </c>
      <c r="C12" s="87" t="n">
        <v>0.0</v>
      </c>
      <c r="D12" s="87" t="n">
        <v>14.496</v>
      </c>
      <c r="E12" s="87">
        <f>SUM(B12:D12)</f>
        <v>14.496</v>
      </c>
      <c r="H12" s="7" t="str">
        <f>$A$12</f>
        <v>Seattle Downtown</v>
      </c>
      <c r="I12" s="87" t="n">
        <v>12.0</v>
      </c>
      <c r="J12" s="87" t="n">
        <v>2.0</v>
      </c>
      <c r="K12" s="87" t="n">
        <v>6.0</v>
      </c>
      <c r="L12" s="87">
        <f>SUM(I12:K12)</f>
        <v>17</v>
      </c>
      <c r="O12" s="7" t="str">
        <f>$A$12</f>
        <v>Seattle Downtown</v>
      </c>
      <c r="P12" s="21">
        <f t="shared" si="1"/>
        <v>12</v>
      </c>
      <c r="Q12" s="21">
        <f t="shared" si="0"/>
        <v>0</v>
      </c>
      <c r="R12" s="21">
        <f t="shared" si="0"/>
        <v>-9.4960000000000004</v>
      </c>
      <c r="S12" s="21">
        <f t="shared" si="0"/>
        <v>2.5039999999999996</v>
      </c>
    </row>
    <row r="13" spans="1:19" x14ac:dyDescent="0.45">
      <c r="A13" s="7" t="s">
        <v>259</v>
      </c>
      <c r="B13" s="86" t="n">
        <v>2443.4439</v>
      </c>
      <c r="C13" s="86" t="n">
        <v>0.0</v>
      </c>
      <c r="D13" s="86" t="n">
        <v>0.0</v>
      </c>
      <c r="E13" s="83">
        <f>SUM(B13:D13)</f>
        <v>2443.4439000000002</v>
      </c>
      <c r="H13" s="7" t="str">
        <f>$A$13</f>
        <v>Rest</v>
      </c>
      <c r="I13" s="87" t="n">
        <v>24257.0</v>
      </c>
      <c r="J13" s="87" t="n">
        <v>4475.0</v>
      </c>
      <c r="K13" s="87" t="n">
        <v>12068.0</v>
      </c>
      <c r="L13" s="87">
        <f>SUM(I13:K13)</f>
        <v>34123</v>
      </c>
      <c r="O13" s="7" t="str">
        <f>$A$13</f>
        <v>Rest</v>
      </c>
      <c r="P13" s="21">
        <f t="shared" si="1"/>
        <v>23277.556100000002</v>
      </c>
      <c r="Q13" s="21">
        <f t="shared" si="0"/>
        <v>4524</v>
      </c>
      <c r="R13" s="21">
        <f t="shared" si="0"/>
        <v>3878</v>
      </c>
      <c r="S13" s="21">
        <f t="shared" si="0"/>
        <v>31679.556100000002</v>
      </c>
    </row>
    <row r="14" spans="1:19" ht="14.65" thickBot="1" x14ac:dyDescent="0.5">
      <c r="A14" s="12" t="s">
        <v>3</v>
      </c>
      <c r="B14" s="84">
        <f>SUM(B7:B13)</f>
        <v>2443.4439000000002</v>
      </c>
      <c r="C14" s="84">
        <f t="shared" ref="C14" si="8">SUM(C7:C13)</f>
        <v>0</v>
      </c>
      <c r="D14" s="84">
        <f t="shared" ref="D14" si="9">SUM(D7:D13)</f>
        <v>1011.372</v>
      </c>
      <c r="E14" s="82">
        <f t="shared" ref="E14" si="10">SUM(E7:E13)</f>
        <v>3454.8159000000001</v>
      </c>
      <c r="H14" s="12" t="s">
        <v>3</v>
      </c>
      <c r="I14" s="82">
        <f>SUM(I7:I13)</f>
        <v>26243</v>
      </c>
      <c r="J14" s="82">
        <f t="shared" ref="J14:L14" si="11">SUM(J7:J13)</f>
        <v>4594</v>
      </c>
      <c r="K14" s="82">
        <f t="shared" si="11"/>
        <v>3943</v>
      </c>
      <c r="L14" s="82">
        <f t="shared" si="11"/>
        <v>34780</v>
      </c>
      <c r="O14" s="12" t="s">
        <v>3</v>
      </c>
      <c r="P14" s="12">
        <f t="shared" si="1"/>
        <v>23799.556100000002</v>
      </c>
      <c r="Q14" s="12">
        <f t="shared" si="0"/>
        <v>4594</v>
      </c>
      <c r="R14" s="12">
        <f t="shared" si="0"/>
        <v>2931.6280000000002</v>
      </c>
      <c r="S14" s="12">
        <f t="shared" si="0"/>
        <v>31325.184099999999</v>
      </c>
    </row>
    <row r="15" spans="1:19" x14ac:dyDescent="0.45">
      <c r="O15" s="20"/>
      <c r="P15" s="20"/>
      <c r="Q15" s="20"/>
      <c r="R15" s="20"/>
      <c r="S15" s="20"/>
    </row>
    <row r="16" spans="1:19" ht="14.65" thickBot="1" x14ac:dyDescent="0.5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4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45">
      <c r="A18" s="15" t="str">
        <f>$A$7</f>
        <v>Bellevue</v>
      </c>
      <c r="B18" s="83" t="n">
        <v>0.0</v>
      </c>
      <c r="C18" s="83" t="n">
        <v>0.0</v>
      </c>
      <c r="D18" s="83" t="n">
        <v>0.0</v>
      </c>
      <c r="E18" s="83">
        <f>SUM(B18:D18)</f>
        <v>0</v>
      </c>
      <c r="H18" s="15" t="str">
        <f>$A$7</f>
        <v>Bellevue</v>
      </c>
      <c r="I18" s="83" t="n">
        <v>0.0</v>
      </c>
      <c r="J18" s="83" t="n">
        <v>0.0</v>
      </c>
      <c r="K18" s="83" t="n">
        <v>0.0</v>
      </c>
      <c r="L18" s="83">
        <f>SUM(I18:K18)</f>
        <v>0</v>
      </c>
      <c r="O18" s="15" t="str">
        <f>$A$7</f>
        <v>Bellevue</v>
      </c>
      <c r="P18" s="20">
        <f>I18-B18</f>
        <v>0</v>
      </c>
      <c r="Q18" s="20">
        <f t="shared" ref="Q18:Q25" si="12">J18-C18</f>
        <v>0</v>
      </c>
      <c r="R18" s="20">
        <f t="shared" ref="R18:R25" si="13">K18-D18</f>
        <v>0</v>
      </c>
      <c r="S18" s="20">
        <f t="shared" ref="S18:S25" si="14">L18-E18</f>
        <v>0</v>
      </c>
    </row>
    <row r="19" spans="1:20" x14ac:dyDescent="0.45">
      <c r="A19" t="str">
        <f>$A$8</f>
        <v>Bellevue Downtown</v>
      </c>
      <c r="B19" s="83" t="n">
        <v>0.0</v>
      </c>
      <c r="C19" s="83" t="n">
        <v>0.0</v>
      </c>
      <c r="D19" s="83" t="n">
        <v>0.0</v>
      </c>
      <c r="E19" s="83">
        <f>SUM(B19:D19)</f>
        <v>0</v>
      </c>
      <c r="H19" t="str">
        <f>$A$8</f>
        <v>Bellevue Downtown</v>
      </c>
      <c r="I19" s="83" t="n">
        <v>0.0</v>
      </c>
      <c r="J19" s="83" t="n">
        <v>0.0</v>
      </c>
      <c r="K19" s="83" t="n">
        <v>0.0</v>
      </c>
      <c r="L19" s="83">
        <f>SUM(I19:K19)</f>
        <v>0</v>
      </c>
      <c r="O19" t="str">
        <f>$A$8</f>
        <v>Bellevue Downtown</v>
      </c>
      <c r="P19" s="20">
        <f t="shared" ref="P19:P25" si="15">I19-B19</f>
        <v>0</v>
      </c>
      <c r="Q19" s="20">
        <f t="shared" si="12"/>
        <v>0</v>
      </c>
      <c r="R19" s="20">
        <f t="shared" si="13"/>
        <v>0</v>
      </c>
      <c r="S19" s="20">
        <f t="shared" si="14"/>
        <v>0</v>
      </c>
    </row>
    <row r="20" spans="1:20" x14ac:dyDescent="0.45">
      <c r="A20" t="str">
        <f>$A$9</f>
        <v>Kirkland</v>
      </c>
      <c r="B20" s="83" t="n">
        <v>0.0</v>
      </c>
      <c r="C20" s="83" t="n">
        <v>0.0</v>
      </c>
      <c r="D20" s="83" t="n">
        <v>0.0</v>
      </c>
      <c r="E20" s="83">
        <f t="shared" ref="E20:E22" si="16">SUM(B20:D20)</f>
        <v>0</v>
      </c>
      <c r="H20" t="str">
        <f>$A$9</f>
        <v>Kirkland</v>
      </c>
      <c r="I20" s="83" t="n">
        <v>0.0</v>
      </c>
      <c r="J20" s="83" t="n">
        <v>0.0</v>
      </c>
      <c r="K20" s="83" t="n">
        <v>0.0</v>
      </c>
      <c r="L20" s="83">
        <f t="shared" ref="L20:L22" si="17">SUM(I20:K20)</f>
        <v>0</v>
      </c>
      <c r="O20" t="str">
        <f>$A$9</f>
        <v>Kirkland</v>
      </c>
      <c r="P20" s="20">
        <f t="shared" ref="P20:P22" si="18">I20-B20</f>
        <v>0</v>
      </c>
      <c r="Q20" s="20">
        <f t="shared" ref="Q20:Q22" si="19">J20-C20</f>
        <v>0</v>
      </c>
      <c r="R20" s="20">
        <f t="shared" ref="R20:R22" si="20">K20-D20</f>
        <v>0</v>
      </c>
      <c r="S20" s="20">
        <f t="shared" ref="S20:S22" si="21">L20-E20</f>
        <v>0</v>
      </c>
    </row>
    <row r="21" spans="1:20" x14ac:dyDescent="0.45">
      <c r="A21" t="str">
        <f>$A$10</f>
        <v>Redmond</v>
      </c>
      <c r="B21" s="83" t="n">
        <v>0.0</v>
      </c>
      <c r="C21" s="83" t="n">
        <v>0.0</v>
      </c>
      <c r="D21" s="83" t="n">
        <v>0.0</v>
      </c>
      <c r="E21" s="83">
        <f t="shared" si="16"/>
        <v>0</v>
      </c>
      <c r="H21" t="str">
        <f>$A$10</f>
        <v>Redmond</v>
      </c>
      <c r="I21" s="83" t="n">
        <v>0.0</v>
      </c>
      <c r="J21" s="83" t="n">
        <v>0.0</v>
      </c>
      <c r="K21" s="83" t="n">
        <v>0.0</v>
      </c>
      <c r="L21" s="83">
        <f t="shared" si="17"/>
        <v>0</v>
      </c>
      <c r="O21" s="7" t="str">
        <f>$A$10</f>
        <v>Redmond</v>
      </c>
      <c r="P21" s="21">
        <f t="shared" si="18"/>
        <v>0</v>
      </c>
      <c r="Q21" s="21">
        <f t="shared" si="19"/>
        <v>0</v>
      </c>
      <c r="R21" s="21">
        <f t="shared" si="20"/>
        <v>0</v>
      </c>
      <c r="S21" s="21">
        <f t="shared" si="21"/>
        <v>0</v>
      </c>
      <c r="T21" s="7"/>
    </row>
    <row r="22" spans="1:20" x14ac:dyDescent="0.45">
      <c r="A22" t="str">
        <f>$A$11</f>
        <v>Seattle</v>
      </c>
      <c r="B22" s="83" t="n">
        <v>73648.719</v>
      </c>
      <c r="C22" s="83" t="n">
        <v>4756.9449</v>
      </c>
      <c r="D22" s="83" t="n">
        <v>33744.542199999996</v>
      </c>
      <c r="E22" s="83">
        <f t="shared" si="16"/>
        <v>112150.2061</v>
      </c>
      <c r="H22" t="str">
        <f>$A$11</f>
        <v>Seattle</v>
      </c>
      <c r="I22" s="83" t="n">
        <v>74736.0</v>
      </c>
      <c r="J22" s="83" t="n">
        <v>10490.0</v>
      </c>
      <c r="K22" s="83" t="n">
        <v>51646.0</v>
      </c>
      <c r="L22" s="83">
        <f t="shared" si="17"/>
        <v>137400</v>
      </c>
      <c r="O22" s="7" t="str">
        <f>$A$11</f>
        <v>Seattle</v>
      </c>
      <c r="P22" s="21">
        <f t="shared" si="18"/>
        <v>1548.2810000000027</v>
      </c>
      <c r="Q22" s="21">
        <f t="shared" si="19"/>
        <v>5698.0550999999996</v>
      </c>
      <c r="R22" s="21">
        <f t="shared" si="20"/>
        <v>18003.457800000004</v>
      </c>
      <c r="S22" s="21">
        <f t="shared" si="21"/>
        <v>25249.793900000004</v>
      </c>
      <c r="T22" s="7"/>
    </row>
    <row r="23" spans="1:20" x14ac:dyDescent="0.45">
      <c r="A23" s="7" t="str">
        <f>$A$12</f>
        <v>Seattle Downtown</v>
      </c>
      <c r="B23" s="87" t="n">
        <v>686.4745</v>
      </c>
      <c r="C23" s="87" t="n">
        <v>178.05780000000001</v>
      </c>
      <c r="D23" s="87" t="n">
        <v>2427.9771</v>
      </c>
      <c r="E23" s="87">
        <f>SUM(B23:D23)</f>
        <v>3292.5093999999999</v>
      </c>
      <c r="H23" s="7" t="str">
        <f>$A$12</f>
        <v>Seattle Downtown</v>
      </c>
      <c r="I23" s="87" t="n">
        <v>1549.0</v>
      </c>
      <c r="J23" s="87" t="n">
        <v>167.0</v>
      </c>
      <c r="K23" s="87" t="n">
        <v>5575.0</v>
      </c>
      <c r="L23" s="87">
        <f>SUM(I23:K23)</f>
        <v>7355</v>
      </c>
      <c r="O23" s="7" t="str">
        <f>$A$12</f>
        <v>Seattle Downtown</v>
      </c>
      <c r="P23" s="21">
        <f t="shared" si="15"/>
        <v>817.52549999999997</v>
      </c>
      <c r="Q23" s="21">
        <f t="shared" si="12"/>
        <v>-23.057800000000015</v>
      </c>
      <c r="R23" s="21">
        <f t="shared" si="13"/>
        <v>3268.0228999999999</v>
      </c>
      <c r="S23" s="21">
        <f t="shared" si="14"/>
        <v>4062.4906000000001</v>
      </c>
      <c r="T23" s="7"/>
    </row>
    <row r="24" spans="1:20" x14ac:dyDescent="0.45">
      <c r="A24" s="7" t="str">
        <f>$A$13</f>
        <v>Rest</v>
      </c>
      <c r="B24" s="86" t="n">
        <v>381324.3322</v>
      </c>
      <c r="C24" s="86" t="n">
        <v>65552.775</v>
      </c>
      <c r="D24" s="86" t="n">
        <v>67960.5531</v>
      </c>
      <c r="E24" s="86">
        <f>SUM(B24:D24)</f>
        <v>514837.66029999999</v>
      </c>
      <c r="H24" s="7" t="str">
        <f>$A$13</f>
        <v>Rest</v>
      </c>
      <c r="I24" s="87" t="n">
        <v>427189.0</v>
      </c>
      <c r="J24" s="87" t="n">
        <v>74166.0</v>
      </c>
      <c r="K24" s="87" t="n">
        <v>146392.0</v>
      </c>
      <c r="L24" s="87">
        <f>SUM(I24:K24)</f>
        <v>648166</v>
      </c>
      <c r="O24" s="7" t="str">
        <f>$A$13</f>
        <v>Rest</v>
      </c>
      <c r="P24" s="21">
        <f t="shared" si="15"/>
        <v>46180.667799999996</v>
      </c>
      <c r="Q24" s="21">
        <f t="shared" si="12"/>
        <v>8734.2250000000058</v>
      </c>
      <c r="R24" s="21">
        <f t="shared" si="13"/>
        <v>78413.446899999995</v>
      </c>
      <c r="S24" s="21">
        <f t="shared" si="14"/>
        <v>133328.33970000001</v>
      </c>
      <c r="T24" s="7"/>
    </row>
    <row r="25" spans="1:20" ht="14.65" thickBot="1" x14ac:dyDescent="0.5">
      <c r="A25" s="12" t="s">
        <v>3</v>
      </c>
      <c r="B25" s="84">
        <f>SUM(B18:B24)</f>
        <v>455659.5257</v>
      </c>
      <c r="C25" s="84">
        <f t="shared" ref="C25" si="22">SUM(C18:C24)</f>
        <v>70487.777699999991</v>
      </c>
      <c r="D25" s="84">
        <f t="shared" ref="D25" si="23">SUM(D18:D24)</f>
        <v>104133.0724</v>
      </c>
      <c r="E25" s="84">
        <f t="shared" ref="E25" si="24">SUM(E18:E24)</f>
        <v>630280.37580000004</v>
      </c>
      <c r="H25" s="12" t="s">
        <v>3</v>
      </c>
      <c r="I25" s="82">
        <f>SUM(I18:I24)</f>
        <v>504206</v>
      </c>
      <c r="J25" s="82">
        <f t="shared" ref="J25" si="25">SUM(J18:J24)</f>
        <v>84897</v>
      </c>
      <c r="K25" s="82">
        <f t="shared" ref="K25" si="26">SUM(K18:K24)</f>
        <v>203818</v>
      </c>
      <c r="L25" s="82">
        <f t="shared" ref="L25" si="27">SUM(L18:L24)</f>
        <v>792921</v>
      </c>
      <c r="O25" s="12" t="s">
        <v>3</v>
      </c>
      <c r="P25" s="12">
        <f t="shared" si="15"/>
        <v>48546.474300000002</v>
      </c>
      <c r="Q25" s="12">
        <f t="shared" si="12"/>
        <v>14409.222300000009</v>
      </c>
      <c r="R25" s="12">
        <f t="shared" si="13"/>
        <v>99684.927599999995</v>
      </c>
      <c r="S25" s="12">
        <f t="shared" si="14"/>
        <v>162640.62419999996</v>
      </c>
      <c r="T25" s="7"/>
    </row>
    <row r="27" spans="1:20" ht="14.65" thickBot="1" x14ac:dyDescent="0.5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4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45">
      <c r="A29" s="15" t="str">
        <f>$A$7</f>
        <v>Bellevue</v>
      </c>
      <c r="B29" s="16">
        <f t="shared" ref="B29:E29" si="28">IF(B18&lt;&gt;0,B7/B18,0)</f>
        <v>0</v>
      </c>
      <c r="C29" s="16">
        <f t="shared" si="28"/>
        <v>0</v>
      </c>
      <c r="D29" s="16">
        <f t="shared" si="28"/>
        <v>0</v>
      </c>
      <c r="E29" s="16">
        <f t="shared" si="28"/>
        <v>0</v>
      </c>
      <c r="H29" s="15" t="str">
        <f>$A$7</f>
        <v>Bellevue</v>
      </c>
      <c r="I29" s="16">
        <f t="shared" ref="I29:L30" si="29">IF(I18&lt;&gt;0,I7/I18,0)</f>
        <v>0</v>
      </c>
      <c r="J29" s="16">
        <f t="shared" si="29"/>
        <v>0</v>
      </c>
      <c r="K29" s="16">
        <f t="shared" si="29"/>
        <v>0</v>
      </c>
      <c r="L29" s="16">
        <f t="shared" si="29"/>
        <v>0</v>
      </c>
      <c r="O29" s="15" t="str">
        <f>$A$7</f>
        <v>Bellevue</v>
      </c>
      <c r="P29" s="26">
        <f t="shared" ref="P29:S36" si="30">I29-B29</f>
        <v>0</v>
      </c>
      <c r="Q29" s="26">
        <f t="shared" si="30"/>
        <v>0</v>
      </c>
      <c r="R29" s="26">
        <f t="shared" si="30"/>
        <v>0</v>
      </c>
      <c r="S29" s="26">
        <f t="shared" si="30"/>
        <v>0</v>
      </c>
    </row>
    <row r="30" spans="1:20" x14ac:dyDescent="0.45">
      <c r="A30" t="str">
        <f>$A$8</f>
        <v>Bellevue Downtown</v>
      </c>
      <c r="B30" s="16">
        <f t="shared" ref="B30:E30" si="31">IF(B19&lt;&gt;0,B8/B19,0)</f>
        <v>0</v>
      </c>
      <c r="C30" s="16">
        <f t="shared" si="31"/>
        <v>0</v>
      </c>
      <c r="D30" s="16">
        <f t="shared" si="31"/>
        <v>0</v>
      </c>
      <c r="E30" s="16">
        <f t="shared" si="31"/>
        <v>0</v>
      </c>
      <c r="H30" t="str">
        <f>$A$8</f>
        <v>Bellevue Downtown</v>
      </c>
      <c r="I30" s="16">
        <f t="shared" si="29"/>
        <v>0</v>
      </c>
      <c r="J30" s="16">
        <f t="shared" si="29"/>
        <v>0</v>
      </c>
      <c r="K30" s="16">
        <f t="shared" si="29"/>
        <v>0</v>
      </c>
      <c r="L30" s="16">
        <f t="shared" si="29"/>
        <v>0</v>
      </c>
      <c r="O30" t="str">
        <f>$A$8</f>
        <v>Bellevue Downtown</v>
      </c>
      <c r="P30" s="26">
        <f t="shared" si="30"/>
        <v>0</v>
      </c>
      <c r="Q30" s="26">
        <f t="shared" si="30"/>
        <v>0</v>
      </c>
      <c r="R30" s="26">
        <f t="shared" si="30"/>
        <v>0</v>
      </c>
      <c r="S30" s="26">
        <f t="shared" si="30"/>
        <v>0</v>
      </c>
    </row>
    <row r="31" spans="1:20" x14ac:dyDescent="0.45">
      <c r="A31" t="str">
        <f>$A$9</f>
        <v>Kirkland</v>
      </c>
      <c r="B31" s="16">
        <f t="shared" ref="B31:E31" si="32">IF(B20&lt;&gt;0,B9/B20,0)</f>
        <v>0</v>
      </c>
      <c r="C31" s="16">
        <f t="shared" si="32"/>
        <v>0</v>
      </c>
      <c r="D31" s="16">
        <f t="shared" si="32"/>
        <v>0</v>
      </c>
      <c r="E31" s="16">
        <f t="shared" si="32"/>
        <v>0</v>
      </c>
      <c r="H31" t="str">
        <f>$A$9</f>
        <v>Kirkland</v>
      </c>
      <c r="I31" s="16">
        <f t="shared" ref="I31:L31" si="33">IF(I20&lt;&gt;0,I9/I20,0)</f>
        <v>0</v>
      </c>
      <c r="J31" s="16">
        <f t="shared" si="33"/>
        <v>0</v>
      </c>
      <c r="K31" s="16">
        <f t="shared" si="33"/>
        <v>0</v>
      </c>
      <c r="L31" s="16">
        <f t="shared" si="33"/>
        <v>0</v>
      </c>
      <c r="O31" t="str">
        <f>$A$9</f>
        <v>Kirkland</v>
      </c>
      <c r="P31" s="26">
        <f t="shared" ref="P31:P33" si="34">I31-B31</f>
        <v>0</v>
      </c>
      <c r="Q31" s="26">
        <f t="shared" ref="Q31:Q33" si="35">J31-C31</f>
        <v>0</v>
      </c>
      <c r="R31" s="26">
        <f t="shared" ref="R31:R33" si="36">K31-D31</f>
        <v>0</v>
      </c>
      <c r="S31" s="26">
        <f t="shared" ref="S31:S33" si="37">L31-E31</f>
        <v>0</v>
      </c>
    </row>
    <row r="32" spans="1:20" x14ac:dyDescent="0.45">
      <c r="A32" t="str">
        <f>$A$10</f>
        <v>Redmond</v>
      </c>
      <c r="B32" s="16">
        <f t="shared" ref="B32:E32" si="38">IF(B21&lt;&gt;0,B10/B21,0)</f>
        <v>0</v>
      </c>
      <c r="C32" s="16">
        <f t="shared" si="38"/>
        <v>0</v>
      </c>
      <c r="D32" s="16">
        <f t="shared" si="38"/>
        <v>0</v>
      </c>
      <c r="E32" s="16">
        <f t="shared" si="38"/>
        <v>0</v>
      </c>
      <c r="H32" t="str">
        <f>$A$10</f>
        <v>Redmond</v>
      </c>
      <c r="I32" s="16">
        <f t="shared" ref="I32:L32" si="39">IF(I21&lt;&gt;0,I10/I21,0)</f>
        <v>0</v>
      </c>
      <c r="J32" s="16">
        <f t="shared" si="39"/>
        <v>0</v>
      </c>
      <c r="K32" s="16">
        <f t="shared" si="39"/>
        <v>0</v>
      </c>
      <c r="L32" s="16">
        <f t="shared" si="39"/>
        <v>0</v>
      </c>
      <c r="O32" t="str">
        <f>$A$10</f>
        <v>Redmond</v>
      </c>
      <c r="P32" s="26">
        <f t="shared" si="34"/>
        <v>0</v>
      </c>
      <c r="Q32" s="26">
        <f t="shared" si="35"/>
        <v>0</v>
      </c>
      <c r="R32" s="26">
        <f t="shared" si="36"/>
        <v>0</v>
      </c>
      <c r="S32" s="26">
        <f t="shared" si="37"/>
        <v>0</v>
      </c>
    </row>
    <row r="33" spans="1:19" x14ac:dyDescent="0.45">
      <c r="A33" s="7" t="str">
        <f>$A$11</f>
        <v>Seattle</v>
      </c>
      <c r="B33" s="50">
        <f t="shared" ref="B33:E33" si="40">IF(B22&lt;&gt;0,B11/B22,0)</f>
        <v>0</v>
      </c>
      <c r="C33" s="50">
        <f t="shared" si="40"/>
        <v>0</v>
      </c>
      <c r="D33" s="50">
        <f t="shared" si="40"/>
        <v>2.9541843954842571E-2</v>
      </c>
      <c r="E33" s="50">
        <f t="shared" si="40"/>
        <v>8.8887576284177698E-3</v>
      </c>
      <c r="H33" s="7" t="str">
        <f>$A$11</f>
        <v>Seattle</v>
      </c>
      <c r="I33" s="50">
        <f t="shared" ref="I33:L33" si="41">IF(I22&lt;&gt;0,I11/I22,0)</f>
        <v>6.7821854595263107E-3</v>
      </c>
      <c r="J33" s="50">
        <f t="shared" si="41"/>
        <v>6.6953610712577718E-3</v>
      </c>
      <c r="K33" s="50">
        <f t="shared" si="41"/>
        <v>1.1594651001004871E-3</v>
      </c>
      <c r="L33" s="50">
        <f t="shared" si="41"/>
        <v>4.6579330422125186E-3</v>
      </c>
      <c r="O33" s="7" t="str">
        <f>$A$11</f>
        <v>Seattle</v>
      </c>
      <c r="P33" s="51">
        <f t="shared" si="34"/>
        <v>6.7821854595263107E-3</v>
      </c>
      <c r="Q33" s="51">
        <f t="shared" si="35"/>
        <v>6.6953610712577718E-3</v>
      </c>
      <c r="R33" s="51">
        <f t="shared" si="36"/>
        <v>-2.8382378854742082E-2</v>
      </c>
      <c r="S33" s="51">
        <f t="shared" si="37"/>
        <v>-4.2308245862052512E-3</v>
      </c>
    </row>
    <row r="34" spans="1:19" x14ac:dyDescent="0.45">
      <c r="A34" s="7" t="str">
        <f>$A$12</f>
        <v>Seattle Downtown</v>
      </c>
      <c r="B34" s="50">
        <f t="shared" ref="B34:E35" si="42">IF(B23&lt;&gt;0,B12/B23,0)</f>
        <v>0</v>
      </c>
      <c r="C34" s="50">
        <f t="shared" si="42"/>
        <v>0</v>
      </c>
      <c r="D34" s="50">
        <f t="shared" si="42"/>
        <v>5.9704022743871845E-3</v>
      </c>
      <c r="E34" s="50">
        <f t="shared" si="42"/>
        <v>4.4027209155424133E-3</v>
      </c>
      <c r="H34" s="7" t="str">
        <f>$A$12</f>
        <v>Seattle Downtown</v>
      </c>
      <c r="I34" s="50">
        <f t="shared" ref="I34:L35" si="43">IF(I23&lt;&gt;0,I12/I23,0)</f>
        <v>7.9787234042553185E-3</v>
      </c>
      <c r="J34" s="50">
        <f t="shared" si="43"/>
        <v>0</v>
      </c>
      <c r="K34" s="50">
        <f t="shared" si="43"/>
        <v>8.7780898876404492E-4</v>
      </c>
      <c r="L34" s="50">
        <f t="shared" si="43"/>
        <v>2.3113528212100613E-3</v>
      </c>
      <c r="O34" s="7" t="str">
        <f>$A$12</f>
        <v>Seattle Downtown</v>
      </c>
      <c r="P34" s="51">
        <f t="shared" si="30"/>
        <v>7.9787234042553185E-3</v>
      </c>
      <c r="Q34" s="51">
        <f t="shared" si="30"/>
        <v>0</v>
      </c>
      <c r="R34" s="51">
        <f t="shared" si="30"/>
        <v>-5.0925932856231391E-3</v>
      </c>
      <c r="S34" s="51">
        <f t="shared" si="30"/>
        <v>-2.091368094332352E-3</v>
      </c>
    </row>
    <row r="35" spans="1:19" x14ac:dyDescent="0.45">
      <c r="A35" s="7" t="str">
        <f>$A$13</f>
        <v>Rest</v>
      </c>
      <c r="B35" s="50">
        <f t="shared" si="42"/>
        <v>6.4077838566001695E-3</v>
      </c>
      <c r="C35" s="50">
        <f t="shared" si="42"/>
        <v>0</v>
      </c>
      <c r="D35" s="50">
        <f t="shared" si="42"/>
        <v>0</v>
      </c>
      <c r="E35" s="50">
        <f t="shared" si="42"/>
        <v>4.7460473240752941E-3</v>
      </c>
      <c r="H35" s="7" t="str">
        <f>$A$13</f>
        <v>Rest</v>
      </c>
      <c r="I35" s="50">
        <f t="shared" si="43"/>
        <v>6.016537818271131E-2</v>
      </c>
      <c r="J35" s="50">
        <f t="shared" si="43"/>
        <v>6.089894597978112E-2</v>
      </c>
      <c r="K35" s="50">
        <f t="shared" si="43"/>
        <v>2.6493776217087733E-2</v>
      </c>
      <c r="L35" s="50">
        <f t="shared" si="43"/>
        <v>5.2645464279212427E-2</v>
      </c>
      <c r="O35" s="7" t="str">
        <f>$A$13</f>
        <v>Rest</v>
      </c>
      <c r="P35" s="51">
        <f t="shared" si="30"/>
        <v>5.3757594326111144E-2</v>
      </c>
      <c r="Q35" s="51">
        <f t="shared" si="30"/>
        <v>6.089894597978112E-2</v>
      </c>
      <c r="R35" s="51">
        <f t="shared" si="30"/>
        <v>2.6493776217087733E-2</v>
      </c>
      <c r="S35" s="51">
        <f t="shared" si="30"/>
        <v>4.7899416955137136E-2</v>
      </c>
    </row>
    <row r="36" spans="1:19" ht="14.65" thickBot="1" x14ac:dyDescent="0.5">
      <c r="A36" s="12" t="s">
        <v>3</v>
      </c>
      <c r="B36" s="17">
        <f>IF(B25&lt;&gt;0,B14/B25,0)</f>
        <v>5.3624334885708728E-3</v>
      </c>
      <c r="C36" s="17">
        <f t="shared" ref="C36:E36" si="44">IF(C25&lt;&gt;0,C14/C25,0)</f>
        <v>0</v>
      </c>
      <c r="D36" s="17">
        <f t="shared" si="44"/>
        <v>9.7123034660408225E-3</v>
      </c>
      <c r="E36" s="17">
        <f t="shared" si="44"/>
        <v>5.481395316512724E-3</v>
      </c>
      <c r="H36" s="12" t="s">
        <v>3</v>
      </c>
      <c r="I36" s="17">
        <f>IF(I25&lt;&gt;0,I14/I25,0)</f>
        <v>5.2048170787336923E-2</v>
      </c>
      <c r="J36" s="17">
        <f t="shared" ref="J36:L36" si="45">IF(J25&lt;&gt;0,J14/J25,0)</f>
        <v>5.4112630599432256E-2</v>
      </c>
      <c r="K36" s="17">
        <f t="shared" si="45"/>
        <v>1.9345690763328066E-2</v>
      </c>
      <c r="L36" s="17">
        <f t="shared" si="45"/>
        <v>4.3863133906152062E-2</v>
      </c>
      <c r="O36" s="12" t="s">
        <v>3</v>
      </c>
      <c r="P36" s="45">
        <f t="shared" si="30"/>
        <v>4.6685737298766052E-2</v>
      </c>
      <c r="Q36" s="45">
        <f t="shared" ref="Q36" si="46">J36-C36</f>
        <v>5.4112630599432256E-2</v>
      </c>
      <c r="R36" s="45">
        <f t="shared" ref="R36" si="47">K36-D36</f>
        <v>9.6333872972872436E-3</v>
      </c>
      <c r="S36" s="45">
        <f t="shared" ref="S36" si="48">L36-E36</f>
        <v>3.8381738589639336E-2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5"/>
  <sheetViews>
    <sheetView workbookViewId="0">
      <selection activeCell="B16" sqref="B16"/>
    </sheetView>
  </sheetViews>
  <sheetFormatPr defaultRowHeight="14.25" x14ac:dyDescent="0.45"/>
  <cols>
    <col min="3" max="3" bestFit="true" customWidth="true" width="27.3984375" collapsed="true"/>
  </cols>
  <sheetData>
    <row r="1" spans="1:2" x14ac:dyDescent="0.45">
      <c r="A1" s="11" t="s">
        <v>44</v>
      </c>
    </row>
    <row r="2" spans="1:2" x14ac:dyDescent="0.45">
      <c r="A2" s="41"/>
    </row>
    <row r="3" spans="1:2" x14ac:dyDescent="0.45">
      <c r="A3" s="11"/>
    </row>
    <row r="12" spans="1:2" x14ac:dyDescent="0.45">
      <c r="A12" s="11" t="s">
        <v>45</v>
      </c>
    </row>
    <row r="13" spans="1:2" x14ac:dyDescent="0.45">
      <c r="A13">
        <v>1</v>
      </c>
      <c r="B13" t="s">
        <v>46</v>
      </c>
    </row>
    <row r="15" spans="1:2" x14ac:dyDescent="0.45">
      <c r="A15">
        <v>2</v>
      </c>
      <c r="B15" t="s">
        <v>47</v>
      </c>
    </row>
    <row r="16" spans="1:2" x14ac:dyDescent="0.45">
      <c r="B16" t="s">
        <v>48</v>
      </c>
    </row>
    <row r="18" spans="1:4" x14ac:dyDescent="0.45">
      <c r="A18">
        <v>3</v>
      </c>
      <c r="B18" t="s">
        <v>49</v>
      </c>
    </row>
    <row r="19" spans="1:4" x14ac:dyDescent="0.45">
      <c r="B19" t="s">
        <v>50</v>
      </c>
    </row>
    <row r="20" spans="1:4" x14ac:dyDescent="0.45">
      <c r="B20" t="s">
        <v>51</v>
      </c>
      <c r="C20" t="s">
        <v>54</v>
      </c>
      <c r="D20" t="s">
        <v>57</v>
      </c>
    </row>
    <row r="21" spans="1:4" x14ac:dyDescent="0.45">
      <c r="B21" t="s">
        <v>41</v>
      </c>
      <c r="C21" t="s">
        <v>53</v>
      </c>
      <c r="D21" t="s">
        <v>58</v>
      </c>
    </row>
    <row r="22" spans="1:4" x14ac:dyDescent="0.45">
      <c r="B22" t="s">
        <v>42</v>
      </c>
      <c r="C22" t="s">
        <v>55</v>
      </c>
      <c r="D22" t="s">
        <v>59</v>
      </c>
    </row>
    <row r="23" spans="1:4" x14ac:dyDescent="0.45">
      <c r="B23" t="s">
        <v>52</v>
      </c>
      <c r="C23" t="s">
        <v>56</v>
      </c>
      <c r="D23" t="s">
        <v>60</v>
      </c>
    </row>
    <row r="25" spans="1:4" x14ac:dyDescent="0.45">
      <c r="A25" s="11" t="s">
        <v>61</v>
      </c>
    </row>
    <row r="26" spans="1:4" x14ac:dyDescent="0.45">
      <c r="A26">
        <v>1</v>
      </c>
      <c r="B26" t="s">
        <v>62</v>
      </c>
    </row>
    <row r="28" spans="1:4" x14ac:dyDescent="0.45">
      <c r="A28">
        <v>2</v>
      </c>
      <c r="B28" t="s">
        <v>63</v>
      </c>
    </row>
    <row r="30" spans="1:4" x14ac:dyDescent="0.45">
      <c r="A30" s="11" t="s">
        <v>64</v>
      </c>
    </row>
    <row r="31" spans="1:4" x14ac:dyDescent="0.45">
      <c r="A31">
        <v>1</v>
      </c>
      <c r="B31" t="s">
        <v>65</v>
      </c>
    </row>
    <row r="33" spans="1:2" x14ac:dyDescent="0.45">
      <c r="A33" s="11">
        <v>2</v>
      </c>
      <c r="B33" t="s">
        <v>66</v>
      </c>
    </row>
    <row r="35" spans="1:2" x14ac:dyDescent="0.45">
      <c r="A35">
        <v>3</v>
      </c>
      <c r="B3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61"/>
  <sheetViews>
    <sheetView workbookViewId="0">
      <selection activeCell="A32" sqref="A32:E32"/>
    </sheetView>
  </sheetViews>
  <sheetFormatPr defaultRowHeight="14.25" x14ac:dyDescent="0.45"/>
  <sheetData>
    <row r="1" spans="1:6" x14ac:dyDescent="0.45">
      <c r="A1" t="s">
        <v>133</v>
      </c>
      <c r="B1" t="s">
        <v>135</v>
      </c>
      <c r="F1" t="s">
        <v>134</v>
      </c>
    </row>
    <row r="2" spans="1:6" x14ac:dyDescent="0.4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4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4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4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4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4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4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4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4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4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4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4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4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4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4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4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4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4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4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4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4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4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4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4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4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4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4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4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4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4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4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4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4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4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4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4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4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4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4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4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4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4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4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4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4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4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4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4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4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4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4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4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4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4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4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4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4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4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4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4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250"/>
  <sheetViews>
    <sheetView workbookViewId="0">
      <selection activeCell="A8" sqref="A8:K250"/>
    </sheetView>
  </sheetViews>
  <sheetFormatPr defaultRowHeight="14.25" x14ac:dyDescent="0.45"/>
  <sheetData>
    <row r="1" spans="1:10" x14ac:dyDescent="0.45">
      <c r="A1" s="55" t="s">
        <v>201</v>
      </c>
    </row>
    <row r="2" spans="1:10" x14ac:dyDescent="0.45">
      <c r="A2">
        <v>1</v>
      </c>
      <c r="B2" t="s">
        <v>202</v>
      </c>
    </row>
    <row r="3" spans="1:10" x14ac:dyDescent="0.45">
      <c r="A3">
        <v>2</v>
      </c>
      <c r="B3" t="s">
        <v>203</v>
      </c>
    </row>
    <row r="4" spans="1:10" x14ac:dyDescent="0.45">
      <c r="A4">
        <v>3</v>
      </c>
      <c r="B4" t="s">
        <v>204</v>
      </c>
    </row>
    <row r="5" spans="1:10" x14ac:dyDescent="0.45">
      <c r="A5">
        <v>4</v>
      </c>
      <c r="B5" t="s">
        <v>205</v>
      </c>
    </row>
    <row r="8" spans="1:10" x14ac:dyDescent="0.4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4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45">
      <c r="A10" t="s">
        <v>220</v>
      </c>
    </row>
    <row r="11" spans="1:10" x14ac:dyDescent="0.4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4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4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4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4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4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4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4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4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4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4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4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4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4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4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4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4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4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4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4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4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4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4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4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4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4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4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4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4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4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4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4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4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4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4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4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4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4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4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4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4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4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4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4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4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4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4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4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4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4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4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4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4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4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4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4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4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4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4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4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45">
      <c r="B71">
        <v>-1</v>
      </c>
    </row>
    <row r="72" spans="2:11" x14ac:dyDescent="0.4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4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4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4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4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4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4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4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4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4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4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4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4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4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U62"/>
  <sheetViews>
    <sheetView workbookViewId="0">
      <selection activeCell="H13" sqref="H13"/>
    </sheetView>
  </sheetViews>
  <sheetFormatPr defaultRowHeight="14.25" x14ac:dyDescent="0.45"/>
  <cols>
    <col min="1" max="1" bestFit="true" customWidth="true" width="12.73046875" collapsed="true"/>
    <col min="2" max="3" bestFit="true" customWidth="true" width="11.59765625" collapsed="true"/>
    <col min="5" max="5" bestFit="true" customWidth="true" width="11.86328125" collapsed="true"/>
    <col min="6" max="6" customWidth="true" width="7.73046875" collapsed="true"/>
    <col min="7" max="7" bestFit="true" customWidth="true" width="7.1328125" collapsed="true"/>
    <col min="8" max="8" bestFit="true" customWidth="true" width="17.59765625" collapsed="true"/>
    <col min="9" max="9" bestFit="true" customWidth="true" width="11.0" collapsed="true"/>
    <col min="11" max="11" customWidth="true" width="8.3984375" collapsed="true"/>
    <col min="12" max="13" bestFit="true" customWidth="true" width="17.59765625" collapsed="true"/>
    <col min="19" max="19" bestFit="true" customWidth="true" width="11.73046875" collapsed="true"/>
    <col min="20" max="21" bestFit="true" customWidth="true" width="17.59765625" collapsed="true"/>
  </cols>
  <sheetData>
    <row r="1" spans="1:21" x14ac:dyDescent="0.45">
      <c r="K1" s="55" t="s">
        <v>201</v>
      </c>
      <c r="R1" s="55" t="s">
        <v>235</v>
      </c>
    </row>
    <row r="2" spans="1:21" x14ac:dyDescent="0.4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4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4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t="shared" ref="U4:U62" si="0">T4</f>
        <v>1</v>
      </c>
    </row>
    <row r="5" spans="1:21" x14ac:dyDescent="0.4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t="shared" si="0"/>
        <v>1</v>
      </c>
    </row>
    <row r="6" spans="1:21" ht="14.65" thickBot="1" x14ac:dyDescent="0.5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t="shared" si="0"/>
        <v>0.5</v>
      </c>
    </row>
    <row r="7" spans="1:21" x14ac:dyDescent="0.4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t="shared" si="0"/>
        <v>0.1</v>
      </c>
    </row>
    <row r="8" spans="1:21" x14ac:dyDescent="0.45">
      <c r="A8" s="57" t="s">
        <v>224</v>
      </c>
      <c r="B8" s="83">
        <f>TLFD!B11</f>
        <v>5962.6514999999999</v>
      </c>
      <c r="C8" s="83">
        <f>TLFD!H11</f>
        <v>105070</v>
      </c>
      <c r="D8" s="7"/>
      <c r="E8" s="57" t="s">
        <v>224</v>
      </c>
      <c r="F8" s="72">
        <f>B8/B$11</f>
        <v>1.3147918756350761E-2</v>
      </c>
      <c r="G8" s="72">
        <f>C8/C$11</f>
        <v>0.20838704815095418</v>
      </c>
      <c r="H8" s="7">
        <v>1</v>
      </c>
      <c r="I8">
        <v>10</v>
      </c>
      <c r="J8" s="9">
        <f>F8/G8</f>
        <v>6.3093742499900934E-2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t="shared" si="0"/>
        <v>1</v>
      </c>
    </row>
    <row r="9" spans="1:21" x14ac:dyDescent="0.45">
      <c r="A9" s="57" t="s">
        <v>226</v>
      </c>
      <c r="B9" s="83">
        <f>SUM(TLFD!B12:B15)</f>
        <v>192399.55160000001</v>
      </c>
      <c r="C9" s="83">
        <f>SUM(TLFD!H12:H15)</f>
        <v>220943</v>
      </c>
      <c r="E9" s="57" t="s">
        <v>226</v>
      </c>
      <c r="F9" s="72">
        <f t="shared" ref="F9:F10" si="1">B9/B$11</f>
        <v>0.42424979444046262</v>
      </c>
      <c r="G9" s="72">
        <f t="shared" ref="G9:G10" si="2">C9/C$11</f>
        <v>0.43819986275450906</v>
      </c>
      <c r="H9">
        <v>0.1</v>
      </c>
      <c r="I9">
        <v>11</v>
      </c>
      <c r="J9" s="9">
        <f t="shared" ref="J9:J10" si="3">F9/G9</f>
        <v>0.96816505549235732</v>
      </c>
      <c r="K9" s="9">
        <f>(LN(J9)-LN(J8))*H9</f>
        <v>0.27307809879725442</v>
      </c>
      <c r="L9" s="59">
        <f t="shared" ref="L9:L10" si="4">T13</f>
        <v>-9.7518039976427993</v>
      </c>
      <c r="M9" s="59">
        <f t="shared" ref="M9:M10" si="5">L9+K9</f>
        <v>-9.4787258988455445</v>
      </c>
      <c r="R9">
        <v>7</v>
      </c>
      <c r="S9" t="s">
        <v>78</v>
      </c>
      <c r="T9" s="59">
        <f>SchoolLocationCoefficient!E17</f>
        <v>-21.977719252</v>
      </c>
      <c r="U9" s="60">
        <f t="shared" si="0"/>
        <v>-21.977719252</v>
      </c>
    </row>
    <row r="10" spans="1:21" x14ac:dyDescent="0.45">
      <c r="A10" s="69" t="s">
        <v>227</v>
      </c>
      <c r="B10" s="86">
        <f>SUM(TLFD!B16:B101)</f>
        <v>255143.14709999997</v>
      </c>
      <c r="C10" s="86">
        <f>SUM(TLFD!H16:H101)</f>
        <v>178193</v>
      </c>
      <c r="E10" s="69" t="s">
        <v>227</v>
      </c>
      <c r="F10" s="75">
        <f t="shared" si="1"/>
        <v>0.56260228680318658</v>
      </c>
      <c r="G10" s="75">
        <f t="shared" si="2"/>
        <v>0.35341308909453678</v>
      </c>
      <c r="H10">
        <v>0.1</v>
      </c>
      <c r="I10" s="6">
        <v>12</v>
      </c>
      <c r="J10" s="18">
        <f t="shared" si="3"/>
        <v>1.591911290678576</v>
      </c>
      <c r="K10" s="18">
        <f>(LN(J10)-LN(J9)-LN(J8))*H10</f>
        <v>0.32604217406442171</v>
      </c>
      <c r="L10" s="74">
        <f t="shared" si="4"/>
        <v>-1.0599160072038001</v>
      </c>
      <c r="M10" s="74">
        <f t="shared" si="5"/>
        <v>-0.73387383313937837</v>
      </c>
      <c r="R10">
        <v>8</v>
      </c>
      <c r="S10" t="s">
        <v>79</v>
      </c>
      <c r="T10" s="59">
        <f>SchoolLocationCoefficient!E18</f>
        <v>-1.4857940511400001</v>
      </c>
      <c r="U10" s="60">
        <f t="shared" si="0"/>
        <v>-1.4857940511400001</v>
      </c>
    </row>
    <row r="11" spans="1:21" ht="14.65" thickBot="1" x14ac:dyDescent="0.5">
      <c r="A11" s="71" t="s">
        <v>3</v>
      </c>
      <c r="B11" s="82">
        <f>SUM(B8:B10)</f>
        <v>453505.35019999999</v>
      </c>
      <c r="C11" s="82">
        <f>SUM(C8:C10)</f>
        <v>504206</v>
      </c>
      <c r="D11" s="58"/>
      <c r="E11" s="71" t="s">
        <v>3</v>
      </c>
      <c r="F11" s="73">
        <f>SUM(F8:F10)</f>
        <v>1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t="shared" si="0"/>
        <v>-4.85028348146</v>
      </c>
    </row>
    <row r="12" spans="1:21" x14ac:dyDescent="0.4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4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t="shared" ref="U13:U14" si="6">M9</f>
        <v>-9.4787258988455445</v>
      </c>
    </row>
    <row r="14" spans="1:21" x14ac:dyDescent="0.4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t="shared" si="6"/>
        <v>-0.73387383313937837</v>
      </c>
    </row>
    <row r="15" spans="1:21" ht="14.65" thickBot="1" x14ac:dyDescent="0.5">
      <c r="R15">
        <v>13</v>
      </c>
      <c r="S15" t="s">
        <v>84</v>
      </c>
      <c r="T15" s="59">
        <f>SchoolLocationCoefficient!E23</f>
        <v>-6.5192578502799998</v>
      </c>
      <c r="U15" s="60">
        <f t="shared" si="0"/>
        <v>-6.5192578502799998</v>
      </c>
    </row>
    <row r="16" spans="1:21" x14ac:dyDescent="0.4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t="shared" si="0"/>
        <v>-3.04866060786</v>
      </c>
    </row>
    <row r="17" spans="1:21" x14ac:dyDescent="0.45">
      <c r="A17" s="64" t="s">
        <v>225</v>
      </c>
      <c r="B17" s="81">
        <f>SchoolAtHome!E14</f>
        <v>3454.8159000000001</v>
      </c>
      <c r="C17" s="81">
        <f>SchoolAtHome!L14</f>
        <v>34780</v>
      </c>
      <c r="E17" s="64" t="s">
        <v>225</v>
      </c>
      <c r="F17" s="77">
        <f>B17/B18</f>
        <v>5.481395316512724E-3</v>
      </c>
      <c r="G17" s="77">
        <f>C17/C18</f>
        <v>4.3863133906152062E-2</v>
      </c>
      <c r="I17" s="65">
        <v>50</v>
      </c>
      <c r="J17" s="66">
        <f>F17/G17</f>
        <v>0.12496588429455394</v>
      </c>
      <c r="K17" s="66">
        <f>LN(J17)</f>
        <v>-2.0797145045743859</v>
      </c>
      <c r="L17" s="79">
        <f>T33</f>
        <v>-52.496387392000003</v>
      </c>
      <c r="M17" s="78">
        <f t="shared" ref="M17" si="7">L17+K17</f>
        <v>-54.576101896574386</v>
      </c>
      <c r="R17">
        <v>15</v>
      </c>
      <c r="S17" t="s">
        <v>86</v>
      </c>
      <c r="T17" s="59">
        <f>SchoolLocationCoefficient!E25</f>
        <v>0</v>
      </c>
      <c r="U17" s="60">
        <f t="shared" si="0"/>
        <v>0</v>
      </c>
    </row>
    <row r="18" spans="1:21" ht="14.65" thickBot="1" x14ac:dyDescent="0.5">
      <c r="A18" s="12" t="s">
        <v>3</v>
      </c>
      <c r="B18" s="82">
        <f>SchoolAtHome!E25</f>
        <v>630280.37580000004</v>
      </c>
      <c r="C18" s="82">
        <f>SchoolAtHome!L25</f>
        <v>792921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t="shared" si="0"/>
        <v>-2.2084934246199999</v>
      </c>
    </row>
    <row r="19" spans="1:21" x14ac:dyDescent="0.45">
      <c r="R19">
        <v>17</v>
      </c>
      <c r="S19" t="s">
        <v>88</v>
      </c>
      <c r="T19" s="59">
        <f>SchoolLocationCoefficient!E27</f>
        <v>0</v>
      </c>
      <c r="U19" s="60">
        <f t="shared" si="0"/>
        <v>0</v>
      </c>
    </row>
    <row r="20" spans="1:21" x14ac:dyDescent="0.45">
      <c r="R20">
        <v>18</v>
      </c>
      <c r="S20" t="s">
        <v>89</v>
      </c>
      <c r="T20" s="59">
        <f>SchoolLocationCoefficient!E28</f>
        <v>0</v>
      </c>
      <c r="U20" s="60">
        <f t="shared" si="0"/>
        <v>0</v>
      </c>
    </row>
    <row r="21" spans="1:21" x14ac:dyDescent="0.45">
      <c r="R21">
        <v>19</v>
      </c>
      <c r="S21" t="s">
        <v>90</v>
      </c>
      <c r="T21" s="59">
        <f>SchoolLocationCoefficient!E29</f>
        <v>0</v>
      </c>
      <c r="U21" s="60">
        <f t="shared" si="0"/>
        <v>0</v>
      </c>
    </row>
    <row r="22" spans="1:21" x14ac:dyDescent="0.45">
      <c r="G22" s="7"/>
      <c r="R22">
        <v>20</v>
      </c>
      <c r="S22" t="s">
        <v>91</v>
      </c>
      <c r="T22" s="59">
        <f>SchoolLocationCoefficient!E30</f>
        <v>0</v>
      </c>
      <c r="U22" s="60">
        <f t="shared" si="0"/>
        <v>0</v>
      </c>
    </row>
    <row r="23" spans="1:21" x14ac:dyDescent="0.45">
      <c r="G23" s="7"/>
      <c r="R23">
        <v>21</v>
      </c>
      <c r="S23" t="s">
        <v>92</v>
      </c>
      <c r="T23" s="59">
        <f>SchoolLocationCoefficient!E31</f>
        <v>0</v>
      </c>
      <c r="U23" s="60">
        <f t="shared" si="0"/>
        <v>0</v>
      </c>
    </row>
    <row r="24" spans="1:21" x14ac:dyDescent="0.45">
      <c r="R24">
        <v>30</v>
      </c>
      <c r="S24" t="s">
        <v>93</v>
      </c>
      <c r="T24" s="59">
        <f>SchoolLocationCoefficient!E32</f>
        <v>0</v>
      </c>
      <c r="U24" s="60">
        <f t="shared" si="0"/>
        <v>0</v>
      </c>
    </row>
    <row r="25" spans="1:21" x14ac:dyDescent="0.45">
      <c r="R25">
        <v>31</v>
      </c>
      <c r="S25" t="s">
        <v>94</v>
      </c>
      <c r="T25" s="59">
        <f>SchoolLocationCoefficient!E33</f>
        <v>0</v>
      </c>
      <c r="U25" s="60">
        <f t="shared" si="0"/>
        <v>0</v>
      </c>
    </row>
    <row r="26" spans="1:21" x14ac:dyDescent="0.45">
      <c r="R26">
        <v>32</v>
      </c>
      <c r="S26" t="s">
        <v>95</v>
      </c>
      <c r="T26" s="59">
        <f>SchoolLocationCoefficient!E34</f>
        <v>0</v>
      </c>
      <c r="U26" s="60">
        <f t="shared" si="0"/>
        <v>0</v>
      </c>
    </row>
    <row r="27" spans="1:21" x14ac:dyDescent="0.45">
      <c r="R27">
        <v>33</v>
      </c>
      <c r="S27" t="s">
        <v>96</v>
      </c>
      <c r="T27" s="59">
        <f>SchoolLocationCoefficient!E35</f>
        <v>0.20475756801299999</v>
      </c>
      <c r="U27" s="60">
        <f t="shared" si="0"/>
        <v>0.20475756801299999</v>
      </c>
    </row>
    <row r="28" spans="1:21" x14ac:dyDescent="0.4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t="shared" si="0"/>
        <v>0.73914409694299998</v>
      </c>
    </row>
    <row r="29" spans="1:21" x14ac:dyDescent="0.4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t="shared" si="0"/>
        <v>0.91950533972299997</v>
      </c>
    </row>
    <row r="30" spans="1:21" x14ac:dyDescent="0.4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t="shared" si="0"/>
        <v>0</v>
      </c>
    </row>
    <row r="31" spans="1:21" x14ac:dyDescent="0.45">
      <c r="R31">
        <v>37</v>
      </c>
      <c r="S31" t="s">
        <v>100</v>
      </c>
      <c r="T31" s="59">
        <f>SchoolLocationCoefficient!E39</f>
        <v>0.47967991030399998</v>
      </c>
      <c r="U31" s="60">
        <f t="shared" si="0"/>
        <v>0.47967991030399998</v>
      </c>
    </row>
    <row r="32" spans="1:21" x14ac:dyDescent="0.45">
      <c r="R32">
        <v>38</v>
      </c>
      <c r="S32" t="s">
        <v>101</v>
      </c>
      <c r="T32" s="59">
        <f>SchoolLocationCoefficient!E40</f>
        <v>-0.117361085083</v>
      </c>
      <c r="U32" s="60">
        <f t="shared" si="0"/>
        <v>-0.117361085083</v>
      </c>
    </row>
    <row r="33" spans="18:21" x14ac:dyDescent="0.4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-54.576101896574386</v>
      </c>
    </row>
    <row r="34" spans="18:21" x14ac:dyDescent="0.45">
      <c r="R34">
        <v>51</v>
      </c>
      <c r="S34" t="s">
        <v>104</v>
      </c>
      <c r="T34" s="59">
        <f>SchoolLocationCoefficient!E42</f>
        <v>17.602734273900001</v>
      </c>
      <c r="U34" s="60">
        <f t="shared" si="0"/>
        <v>17.602734273900001</v>
      </c>
    </row>
    <row r="35" spans="18:21" x14ac:dyDescent="0.45">
      <c r="R35">
        <v>52</v>
      </c>
      <c r="S35" t="s">
        <v>105</v>
      </c>
      <c r="T35" s="59">
        <f>SchoolLocationCoefficient!E43</f>
        <v>4.20952630757</v>
      </c>
      <c r="U35" s="60">
        <f t="shared" si="0"/>
        <v>4.20952630757</v>
      </c>
    </row>
    <row r="36" spans="18:21" x14ac:dyDescent="0.45">
      <c r="R36">
        <v>60</v>
      </c>
      <c r="S36" t="s">
        <v>106</v>
      </c>
      <c r="T36" s="59">
        <f>SchoolLocationCoefficient!E44</f>
        <v>0.20359321296800001</v>
      </c>
      <c r="U36" s="60">
        <f t="shared" si="0"/>
        <v>0.20359321296800001</v>
      </c>
    </row>
    <row r="37" spans="18:21" x14ac:dyDescent="0.45">
      <c r="R37">
        <v>61</v>
      </c>
      <c r="S37" t="s">
        <v>107</v>
      </c>
      <c r="T37" s="59">
        <f>SchoolLocationCoefficient!E45</f>
        <v>-3.7139025588600001</v>
      </c>
      <c r="U37" s="60">
        <f t="shared" si="0"/>
        <v>-3.7139025588600001</v>
      </c>
    </row>
    <row r="38" spans="18:21" x14ac:dyDescent="0.45">
      <c r="R38">
        <v>62</v>
      </c>
      <c r="S38" t="s">
        <v>108</v>
      </c>
      <c r="T38" s="59">
        <f>SchoolLocationCoefficient!E46</f>
        <v>-14.9292134206</v>
      </c>
      <c r="U38" s="60">
        <f t="shared" si="0"/>
        <v>-14.9292134206</v>
      </c>
    </row>
    <row r="39" spans="18:21" x14ac:dyDescent="0.45">
      <c r="R39">
        <v>63</v>
      </c>
      <c r="S39" t="s">
        <v>109</v>
      </c>
      <c r="T39" s="59">
        <f>SchoolLocationCoefficient!E47</f>
        <v>-18.363643827400001</v>
      </c>
      <c r="U39" s="60">
        <f t="shared" si="0"/>
        <v>-18.363643827400001</v>
      </c>
    </row>
    <row r="40" spans="18:21" x14ac:dyDescent="0.45">
      <c r="R40">
        <v>64</v>
      </c>
      <c r="S40" t="s">
        <v>110</v>
      </c>
      <c r="T40" s="59">
        <f>SchoolLocationCoefficient!E48</f>
        <v>-19.6107408341</v>
      </c>
      <c r="U40" s="60">
        <f t="shared" si="0"/>
        <v>-19.6107408341</v>
      </c>
    </row>
    <row r="41" spans="18:21" x14ac:dyDescent="0.45">
      <c r="R41">
        <v>65</v>
      </c>
      <c r="S41" t="s">
        <v>111</v>
      </c>
      <c r="T41" s="59">
        <f>SchoolLocationCoefficient!E49</f>
        <v>-29.386377866</v>
      </c>
      <c r="U41" s="60">
        <f t="shared" si="0"/>
        <v>-29.386377866</v>
      </c>
    </row>
    <row r="42" spans="18:21" x14ac:dyDescent="0.45">
      <c r="R42">
        <v>66</v>
      </c>
      <c r="S42" t="s">
        <v>112</v>
      </c>
      <c r="T42" s="59">
        <f>SchoolLocationCoefficient!E50</f>
        <v>0</v>
      </c>
      <c r="U42" s="60">
        <f t="shared" si="0"/>
        <v>0</v>
      </c>
    </row>
    <row r="43" spans="18:21" x14ac:dyDescent="0.45">
      <c r="R43">
        <v>67</v>
      </c>
      <c r="S43" t="s">
        <v>113</v>
      </c>
      <c r="T43" s="59">
        <f>SchoolLocationCoefficient!E51</f>
        <v>-6.7290240321499999</v>
      </c>
      <c r="U43" s="60">
        <f t="shared" si="0"/>
        <v>-6.7290240321499999</v>
      </c>
    </row>
    <row r="44" spans="18:21" x14ac:dyDescent="0.45">
      <c r="R44">
        <v>68</v>
      </c>
      <c r="S44" t="s">
        <v>114</v>
      </c>
      <c r="T44" s="59">
        <f>SchoolLocationCoefficient!E52</f>
        <v>-26.1597322567</v>
      </c>
      <c r="U44" s="60">
        <f t="shared" si="0"/>
        <v>-26.1597322567</v>
      </c>
    </row>
    <row r="45" spans="18:21" x14ac:dyDescent="0.45">
      <c r="R45">
        <v>69</v>
      </c>
      <c r="S45" t="s">
        <v>115</v>
      </c>
      <c r="T45" s="59">
        <f>SchoolLocationCoefficient!E53</f>
        <v>-0.14966845132199999</v>
      </c>
      <c r="U45" s="60">
        <f t="shared" si="0"/>
        <v>-0.14966845132199999</v>
      </c>
    </row>
    <row r="46" spans="18:21" x14ac:dyDescent="0.45">
      <c r="R46">
        <v>70</v>
      </c>
      <c r="S46" t="s">
        <v>116</v>
      </c>
      <c r="T46" s="59">
        <f>SchoolLocationCoefficient!E54</f>
        <v>-28.815960729</v>
      </c>
      <c r="U46" s="60">
        <f t="shared" si="0"/>
        <v>-28.815960729</v>
      </c>
    </row>
    <row r="47" spans="18:21" x14ac:dyDescent="0.45">
      <c r="R47">
        <v>71</v>
      </c>
      <c r="S47" t="s">
        <v>117</v>
      </c>
      <c r="T47" s="59">
        <f>SchoolLocationCoefficient!E55</f>
        <v>-38.204969650199999</v>
      </c>
      <c r="U47" s="60">
        <f t="shared" si="0"/>
        <v>-38.204969650199999</v>
      </c>
    </row>
    <row r="48" spans="18:21" x14ac:dyDescent="0.45">
      <c r="R48">
        <v>72</v>
      </c>
      <c r="S48" t="s">
        <v>118</v>
      </c>
      <c r="T48" s="59">
        <f>SchoolLocationCoefficient!E56</f>
        <v>0</v>
      </c>
      <c r="U48" s="60">
        <f t="shared" si="0"/>
        <v>0</v>
      </c>
    </row>
    <row r="49" spans="18:21" x14ac:dyDescent="0.45">
      <c r="R49">
        <v>73</v>
      </c>
      <c r="S49" t="s">
        <v>119</v>
      </c>
      <c r="T49" s="59">
        <f>SchoolLocationCoefficient!E57</f>
        <v>-0.78460574570499997</v>
      </c>
      <c r="U49" s="60">
        <f t="shared" si="0"/>
        <v>-0.78460574570499997</v>
      </c>
    </row>
    <row r="50" spans="18:21" x14ac:dyDescent="0.45">
      <c r="R50">
        <v>74</v>
      </c>
      <c r="S50" t="s">
        <v>120</v>
      </c>
      <c r="T50" s="59">
        <f>SchoolLocationCoefficient!E58</f>
        <v>-60</v>
      </c>
      <c r="U50" s="60">
        <f t="shared" si="0"/>
        <v>-60</v>
      </c>
    </row>
    <row r="51" spans="18:21" x14ac:dyDescent="0.45">
      <c r="R51">
        <v>75</v>
      </c>
      <c r="S51" t="s">
        <v>121</v>
      </c>
      <c r="T51" s="59">
        <f>SchoolLocationCoefficient!E59</f>
        <v>-40</v>
      </c>
      <c r="U51" s="60">
        <f t="shared" si="0"/>
        <v>-40</v>
      </c>
    </row>
    <row r="52" spans="18:21" x14ac:dyDescent="0.45">
      <c r="R52">
        <v>76</v>
      </c>
      <c r="S52" t="s">
        <v>122</v>
      </c>
      <c r="T52" s="59">
        <f>SchoolLocationCoefficient!E60</f>
        <v>-19.3366724551</v>
      </c>
      <c r="U52" s="60">
        <f t="shared" si="0"/>
        <v>-19.3366724551</v>
      </c>
    </row>
    <row r="53" spans="18:21" x14ac:dyDescent="0.45">
      <c r="R53">
        <v>77</v>
      </c>
      <c r="S53" t="s">
        <v>123</v>
      </c>
      <c r="T53" s="59">
        <f>SchoolLocationCoefficient!E61</f>
        <v>-29.8899113495</v>
      </c>
      <c r="U53" s="60">
        <f t="shared" si="0"/>
        <v>-29.8899113495</v>
      </c>
    </row>
    <row r="54" spans="18:21" x14ac:dyDescent="0.45">
      <c r="R54">
        <v>78</v>
      </c>
      <c r="S54" t="s">
        <v>124</v>
      </c>
      <c r="T54" s="59">
        <f>SchoolLocationCoefficient!E62</f>
        <v>0</v>
      </c>
      <c r="U54" s="60">
        <f t="shared" si="0"/>
        <v>0</v>
      </c>
    </row>
    <row r="55" spans="18:21" x14ac:dyDescent="0.45">
      <c r="R55">
        <v>79</v>
      </c>
      <c r="S55" t="s">
        <v>125</v>
      </c>
      <c r="T55" s="59">
        <f>SchoolLocationCoefficient!E63</f>
        <v>-4.6085602533700003</v>
      </c>
      <c r="U55" s="60">
        <f t="shared" si="0"/>
        <v>-4.6085602533700003</v>
      </c>
    </row>
    <row r="56" spans="18:21" x14ac:dyDescent="0.45">
      <c r="R56">
        <v>80</v>
      </c>
      <c r="S56" t="s">
        <v>126</v>
      </c>
      <c r="T56" s="59">
        <f>SchoolLocationCoefficient!E64</f>
        <v>-20</v>
      </c>
      <c r="U56" s="60">
        <f t="shared" si="0"/>
        <v>-20</v>
      </c>
    </row>
    <row r="57" spans="18:21" x14ac:dyDescent="0.45">
      <c r="R57">
        <v>81</v>
      </c>
      <c r="S57" t="s">
        <v>127</v>
      </c>
      <c r="T57" s="59">
        <f>SchoolLocationCoefficient!E65</f>
        <v>-16.8297323695</v>
      </c>
      <c r="U57" s="60">
        <f t="shared" si="0"/>
        <v>-16.8297323695</v>
      </c>
    </row>
    <row r="58" spans="18:21" x14ac:dyDescent="0.45">
      <c r="R58">
        <v>82</v>
      </c>
      <c r="S58" t="s">
        <v>128</v>
      </c>
      <c r="T58" s="59">
        <f>SchoolLocationCoefficient!E66</f>
        <v>-30</v>
      </c>
      <c r="U58" s="60">
        <f t="shared" si="0"/>
        <v>-30</v>
      </c>
    </row>
    <row r="59" spans="18:21" x14ac:dyDescent="0.45">
      <c r="R59">
        <v>83</v>
      </c>
      <c r="S59" t="s">
        <v>129</v>
      </c>
      <c r="T59" s="59">
        <f>SchoolLocationCoefficient!E67</f>
        <v>0</v>
      </c>
      <c r="U59" s="60">
        <f t="shared" si="0"/>
        <v>0</v>
      </c>
    </row>
    <row r="60" spans="18:21" x14ac:dyDescent="0.45">
      <c r="R60">
        <v>84</v>
      </c>
      <c r="S60" t="s">
        <v>130</v>
      </c>
      <c r="T60" s="59">
        <f>SchoolLocationCoefficient!E68</f>
        <v>-3.8243167264700002</v>
      </c>
      <c r="U60" s="60">
        <f t="shared" si="0"/>
        <v>-3.8243167264700002</v>
      </c>
    </row>
    <row r="61" spans="18:21" x14ac:dyDescent="0.45">
      <c r="R61">
        <v>98</v>
      </c>
      <c r="S61" t="s">
        <v>131</v>
      </c>
      <c r="T61" s="59">
        <f>SchoolLocationCoefficient!E69</f>
        <v>0</v>
      </c>
      <c r="U61" s="60">
        <f t="shared" si="0"/>
        <v>0</v>
      </c>
    </row>
    <row r="62" spans="18:21" x14ac:dyDescent="0.45">
      <c r="R62">
        <v>99</v>
      </c>
      <c r="S62" t="s">
        <v>132</v>
      </c>
      <c r="T62" s="59">
        <f>SchoolLocationCoefficient!E70</f>
        <v>0.11248071060500001</v>
      </c>
      <c r="U62" s="60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2022-01-21T23:36:51Z</dcterms:modified>
</cp:coreProperties>
</file>