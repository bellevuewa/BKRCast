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33602D84-CCC4-4B29-8096-D119D1F18752}" xr6:coauthVersionLast="47" xr6:coauthVersionMax="47" xr10:uidLastSave="{00000000-0000-0000-0000-000000000000}"/>
  <bookViews>
    <workbookView xWindow="10545" yWindow="4890" windowWidth="7200" windowHeight="4050" xr2:uid="{00000000-000D-0000-FFFF-FFFF00000000}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6" i="3" l="1"/>
  <c r="V16" i="3"/>
  <c r="Z17" i="3"/>
  <c r="V17" i="3"/>
  <c r="Z15" i="3"/>
  <c r="V15" i="3"/>
  <c r="Z14" i="3"/>
  <c r="V14" i="3"/>
  <c r="Z13" i="3"/>
  <c r="V13" i="3"/>
  <c r="Z12" i="3"/>
  <c r="V12" i="3"/>
  <c r="Z11" i="3"/>
  <c r="V11" i="3"/>
  <c r="Z10" i="3"/>
  <c r="V10" i="3"/>
  <c r="F102" i="22" l="1"/>
  <c r="G102" i="22" s="1"/>
  <c r="B102" i="22"/>
  <c r="C65" i="22" s="1"/>
  <c r="F102" i="21"/>
  <c r="B102" i="21"/>
  <c r="F102" i="20"/>
  <c r="G102" i="20" s="1"/>
  <c r="B102" i="20"/>
  <c r="C101" i="20" s="1"/>
  <c r="F102" i="19"/>
  <c r="B102" i="19"/>
  <c r="F102" i="18"/>
  <c r="G48" i="18" s="1"/>
  <c r="B102" i="18"/>
  <c r="C93" i="18" s="1"/>
  <c r="F102" i="17"/>
  <c r="B102" i="17"/>
  <c r="F102" i="16"/>
  <c r="G89" i="16" s="1"/>
  <c r="B102" i="16"/>
  <c r="C37" i="16" s="1"/>
  <c r="F102" i="15"/>
  <c r="B102" i="15"/>
  <c r="F102" i="14"/>
  <c r="G65" i="14" s="1"/>
  <c r="B102" i="14"/>
  <c r="C34" i="14" s="1"/>
  <c r="F102" i="13"/>
  <c r="B102" i="13"/>
  <c r="F102" i="12"/>
  <c r="G102" i="12" s="1"/>
  <c r="B102" i="12"/>
  <c r="C34" i="12" s="1"/>
  <c r="F102" i="11"/>
  <c r="B102" i="11"/>
  <c r="F102" i="9"/>
  <c r="G78" i="9" s="1"/>
  <c r="B102" i="9"/>
  <c r="C61" i="9" s="1"/>
  <c r="F102" i="8"/>
  <c r="B102" i="8"/>
  <c r="G12" i="22" l="1"/>
  <c r="G32" i="22"/>
  <c r="G34" i="22"/>
  <c r="G36" i="22"/>
  <c r="C30" i="15"/>
  <c r="U14" i="3"/>
  <c r="W14" i="3" s="1"/>
  <c r="G29" i="21"/>
  <c r="Y17" i="3"/>
  <c r="G27" i="15"/>
  <c r="Y14" i="3"/>
  <c r="AA14" i="3" s="1"/>
  <c r="G89" i="17"/>
  <c r="Y15" i="3"/>
  <c r="AA15" i="3" s="1"/>
  <c r="G81" i="19"/>
  <c r="Y16" i="3"/>
  <c r="AA16" i="3" s="1"/>
  <c r="C92" i="17"/>
  <c r="U15" i="3"/>
  <c r="W15" i="3" s="1"/>
  <c r="G38" i="22"/>
  <c r="C46" i="8"/>
  <c r="U11" i="3"/>
  <c r="W11" i="3" s="1"/>
  <c r="C40" i="22"/>
  <c r="C100" i="19"/>
  <c r="U16" i="3"/>
  <c r="W16" i="3" s="1"/>
  <c r="G51" i="8"/>
  <c r="Y11" i="3"/>
  <c r="AA11" i="3" s="1"/>
  <c r="C12" i="11"/>
  <c r="U12" i="3"/>
  <c r="W12" i="3" s="1"/>
  <c r="G57" i="13"/>
  <c r="Y13" i="3"/>
  <c r="AA13" i="3" s="1"/>
  <c r="C99" i="21"/>
  <c r="U17" i="3"/>
  <c r="G67" i="11"/>
  <c r="Y12" i="3"/>
  <c r="AA12" i="3" s="1"/>
  <c r="C38" i="13"/>
  <c r="U13" i="3"/>
  <c r="W13" i="3" s="1"/>
  <c r="C33" i="20"/>
  <c r="C32" i="20"/>
  <c r="C34" i="20"/>
  <c r="C30" i="20"/>
  <c r="G40" i="22"/>
  <c r="C42" i="22"/>
  <c r="C43" i="22"/>
  <c r="C37" i="20"/>
  <c r="C31" i="20"/>
  <c r="C38" i="20"/>
  <c r="G18" i="22"/>
  <c r="G22" i="22"/>
  <c r="C23" i="22"/>
  <c r="G29" i="20"/>
  <c r="G24" i="22"/>
  <c r="G69" i="20"/>
  <c r="G44" i="22"/>
  <c r="C73" i="20"/>
  <c r="C47" i="22"/>
  <c r="C74" i="20"/>
  <c r="G48" i="22"/>
  <c r="C39" i="20"/>
  <c r="C72" i="20"/>
  <c r="C45" i="22"/>
  <c r="C75" i="20"/>
  <c r="C50" i="22"/>
  <c r="C76" i="20"/>
  <c r="G50" i="22"/>
  <c r="C79" i="20"/>
  <c r="G54" i="22"/>
  <c r="G81" i="8"/>
  <c r="G12" i="12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B102" i="3"/>
  <c r="C13" i="3" l="1"/>
  <c r="U10" i="3"/>
  <c r="W10" i="3" s="1"/>
  <c r="G102" i="3"/>
  <c r="Y10" i="3"/>
  <c r="AA10" i="3" s="1"/>
  <c r="AA17" i="3"/>
  <c r="W17" i="3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U18" i="3" l="1"/>
  <c r="U19" i="3" s="1"/>
  <c r="W18" i="3"/>
  <c r="AA18" i="3"/>
  <c r="AA19" i="3" s="1"/>
  <c r="Y18" i="3"/>
  <c r="Y19" i="3" s="1"/>
  <c r="V18" i="3" l="1"/>
  <c r="W19" i="3"/>
  <c r="V19" i="3" s="1"/>
  <c r="Z19" i="3"/>
  <c r="Z18" i="3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<sst xmlns="http://schemas.openxmlformats.org/spreadsheetml/2006/main" count="303" uniqueCount="49">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</sst>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  <xf numFmtId="43" fontId="3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165" fontId="0" fillId="0" borderId="0" xfId="8" applyNumberFormat="1" applyFont="1"/>
    <xf numFmtId="0" fontId="0" fillId="0" borderId="3" xfId="0" applyBorder="1"/>
    <xf numFmtId="0" fontId="1" fillId="0" borderId="3" xfId="0" applyFont="1" applyBorder="1"/>
    <xf numFmtId="165" fontId="1" fillId="0" borderId="3" xfId="8" applyNumberFormat="1" applyFont="1" applyBorder="1"/>
    <xf numFmtId="2" fontId="1" fillId="0" borderId="3" xfId="0" applyNumberFormat="1" applyFont="1" applyBorder="1"/>
    <xf numFmtId="43" fontId="1" fillId="0" borderId="3" xfId="0" applyNumberFormat="1" applyFont="1" applyBorder="1"/>
    <xf numFmtId="165" fontId="1" fillId="0" borderId="3" xfId="0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theme/theme1.xml" Type="http://schemas.openxmlformats.org/officeDocument/2006/relationships/theme"/><Relationship Id="rId18" Target="styles.xml" Type="http://schemas.openxmlformats.org/officeDocument/2006/relationships/styles"/><Relationship Id="rId19" Target="sharedStrings.xml" Type="http://schemas.openxmlformats.org/officeDocument/2006/relationships/sharedStrings"/><Relationship Id="rId2" Target="worksheets/sheet2.xml" Type="http://schemas.openxmlformats.org/officeDocument/2006/relationships/worksheet"/><Relationship Id="rId20" Target="calcChain.xml" Type="http://schemas.openxmlformats.org/officeDocument/2006/relationships/calcChain"/><Relationship Id="rId21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1.9654695131084528E-2</c:v>
                </c:pt>
                <c:pt idx="1">
                  <c:v>4.3094932385830342E-2</c:v>
                </c:pt>
                <c:pt idx="2">
                  <c:v>6.3523209455472268E-2</c:v>
                </c:pt>
                <c:pt idx="3">
                  <c:v>9.5508444616339547E-2</c:v>
                </c:pt>
                <c:pt idx="4">
                  <c:v>0.18063910553625942</c:v>
                </c:pt>
                <c:pt idx="5">
                  <c:v>0.10653865164001304</c:v>
                </c:pt>
                <c:pt idx="6">
                  <c:v>0.12467505256260905</c:v>
                </c:pt>
                <c:pt idx="7">
                  <c:v>5.1163885295601355E-2</c:v>
                </c:pt>
                <c:pt idx="8">
                  <c:v>5.6637484510600647E-2</c:v>
                </c:pt>
                <c:pt idx="9">
                  <c:v>2.7607250389832846E-2</c:v>
                </c:pt>
                <c:pt idx="10">
                  <c:v>5.6486728778218254E-2</c:v>
                </c:pt>
                <c:pt idx="11">
                  <c:v>1.8112932728412648E-2</c:v>
                </c:pt>
                <c:pt idx="12">
                  <c:v>1.2120252199617253E-2</c:v>
                </c:pt>
                <c:pt idx="13">
                  <c:v>1.2314521200957869E-2</c:v>
                </c:pt>
                <c:pt idx="14">
                  <c:v>1.3841423972113654E-2</c:v>
                </c:pt>
                <c:pt idx="15">
                  <c:v>1.0682442766992884E-2</c:v>
                </c:pt>
                <c:pt idx="16">
                  <c:v>1.8538918345545542E-2</c:v>
                </c:pt>
                <c:pt idx="17">
                  <c:v>1.2165727119357579E-2</c:v>
                </c:pt>
                <c:pt idx="18">
                  <c:v>9.6730107842342566E-3</c:v>
                </c:pt>
                <c:pt idx="19">
                  <c:v>4.9706494329707059E-3</c:v>
                </c:pt>
                <c:pt idx="20">
                  <c:v>4.9846720097499186E-3</c:v>
                </c:pt>
                <c:pt idx="21">
                  <c:v>5.463088008970619E-3</c:v>
                </c:pt>
                <c:pt idx="22">
                  <c:v>4.2087075147463912E-3</c:v>
                </c:pt>
                <c:pt idx="23">
                  <c:v>7.486028816954547E-3</c:v>
                </c:pt>
                <c:pt idx="24">
                  <c:v>6.8343387558487236E-3</c:v>
                </c:pt>
                <c:pt idx="25">
                  <c:v>2.7319774842133816E-3</c:v>
                </c:pt>
                <c:pt idx="26">
                  <c:v>4.5222558355524087E-3</c:v>
                </c:pt>
                <c:pt idx="27">
                  <c:v>1.8042295512228426E-3</c:v>
                </c:pt>
                <c:pt idx="28">
                  <c:v>2.454940762292513E-3</c:v>
                </c:pt>
                <c:pt idx="29">
                  <c:v>6.8370701205980279E-4</c:v>
                </c:pt>
                <c:pt idx="30">
                  <c:v>1.7013198546204258E-3</c:v>
                </c:pt>
                <c:pt idx="31">
                  <c:v>6.2601660064565926E-4</c:v>
                </c:pt>
                <c:pt idx="32">
                  <c:v>8.7521481339580983E-4</c:v>
                </c:pt>
                <c:pt idx="33">
                  <c:v>1.2863830820143639E-3</c:v>
                </c:pt>
                <c:pt idx="34">
                  <c:v>1.4750034048731145E-3</c:v>
                </c:pt>
                <c:pt idx="35">
                  <c:v>4.3198113526378223E-4</c:v>
                </c:pt>
                <c:pt idx="36">
                  <c:v>8.9419360775469363E-4</c:v>
                </c:pt>
                <c:pt idx="37">
                  <c:v>7.8282285770788764E-4</c:v>
                </c:pt>
                <c:pt idx="38">
                  <c:v>1.1253572781404337E-3</c:v>
                </c:pt>
                <c:pt idx="39">
                  <c:v>7.6703834183540097E-4</c:v>
                </c:pt>
                <c:pt idx="40">
                  <c:v>4.2041819097666941E-4</c:v>
                </c:pt>
                <c:pt idx="41">
                  <c:v>7.6892172224518032E-4</c:v>
                </c:pt>
                <c:pt idx="42">
                  <c:v>3.1908089196015479E-4</c:v>
                </c:pt>
                <c:pt idx="43">
                  <c:v>7.6577395816616173E-4</c:v>
                </c:pt>
                <c:pt idx="44">
                  <c:v>4.9751084857879485E-4</c:v>
                </c:pt>
                <c:pt idx="45">
                  <c:v>8.5792513422148581E-5</c:v>
                </c:pt>
                <c:pt idx="46">
                  <c:v>1.1711243555436492E-3</c:v>
                </c:pt>
                <c:pt idx="47">
                  <c:v>9.8317556296422188E-4</c:v>
                </c:pt>
                <c:pt idx="48">
                  <c:v>1.2074598933712726E-4</c:v>
                </c:pt>
                <c:pt idx="49">
                  <c:v>1.0376531622879335E-3</c:v>
                </c:pt>
                <c:pt idx="50">
                  <c:v>1.2230759503474841E-4</c:v>
                </c:pt>
                <c:pt idx="51">
                  <c:v>1.8720130421146815E-4</c:v>
                </c:pt>
                <c:pt idx="52">
                  <c:v>2.0811190648978322E-4</c:v>
                </c:pt>
                <c:pt idx="53">
                  <c:v>9.9412222817299098E-4</c:v>
                </c:pt>
                <c:pt idx="54">
                  <c:v>2.6028178220208951E-4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1.371508200359619E-4</c:v>
                </c:pt>
                <c:pt idx="59">
                  <c:v>9.7842864422850902E-5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0.12748919723941635</c:v>
                </c:pt>
                <c:pt idx="1">
                  <c:v>0.10612116350806608</c:v>
                </c:pt>
                <c:pt idx="2">
                  <c:v>6.3516837028093187E-2</c:v>
                </c:pt>
                <c:pt idx="3">
                  <c:v>3.6161219840156633E-2</c:v>
                </c:pt>
                <c:pt idx="4">
                  <c:v>0.15566019385199317</c:v>
                </c:pt>
                <c:pt idx="5">
                  <c:v>8.5142163551213471E-2</c:v>
                </c:pt>
                <c:pt idx="6">
                  <c:v>8.1334583900084814E-2</c:v>
                </c:pt>
                <c:pt idx="7">
                  <c:v>5.1555463130561856E-2</c:v>
                </c:pt>
                <c:pt idx="8">
                  <c:v>5.4696026691960935E-2</c:v>
                </c:pt>
                <c:pt idx="9">
                  <c:v>2.716180763482319E-2</c:v>
                </c:pt>
                <c:pt idx="10">
                  <c:v>2.4516908468840869E-2</c:v>
                </c:pt>
                <c:pt idx="11">
                  <c:v>2.4162003566378713E-2</c:v>
                </c:pt>
                <c:pt idx="12">
                  <c:v>2.2545568233341043E-2</c:v>
                </c:pt>
                <c:pt idx="13">
                  <c:v>1.8569996725042955E-2</c:v>
                </c:pt>
                <c:pt idx="14">
                  <c:v>1.485879134986939E-2</c:v>
                </c:pt>
                <c:pt idx="15">
                  <c:v>1.5182396716837876E-2</c:v>
                </c:pt>
                <c:pt idx="16">
                  <c:v>1.3294345075787316E-2</c:v>
                </c:pt>
                <c:pt idx="17">
                  <c:v>8.8947267532868048E-3</c:v>
                </c:pt>
                <c:pt idx="18">
                  <c:v>8.3493721348546681E-3</c:v>
                </c:pt>
                <c:pt idx="19">
                  <c:v>7.1180802385696568E-3</c:v>
                </c:pt>
                <c:pt idx="20">
                  <c:v>7.4006602256820294E-3</c:v>
                </c:pt>
                <c:pt idx="21">
                  <c:v>5.3451472280636233E-3</c:v>
                </c:pt>
                <c:pt idx="22">
                  <c:v>3.9605406579197727E-3</c:v>
                </c:pt>
                <c:pt idx="23">
                  <c:v>3.9875961886007448E-3</c:v>
                </c:pt>
                <c:pt idx="24">
                  <c:v>4.0033343731145123E-3</c:v>
                </c:pt>
                <c:pt idx="25">
                  <c:v>4.2804325206771453E-3</c:v>
                </c:pt>
                <c:pt idx="26">
                  <c:v>3.4625774265628017E-3</c:v>
                </c:pt>
                <c:pt idx="27">
                  <c:v>2.5379148779954715E-3</c:v>
                </c:pt>
                <c:pt idx="28">
                  <c:v>2.1495884376332881E-3</c:v>
                </c:pt>
                <c:pt idx="29">
                  <c:v>1.6827479082361279E-3</c:v>
                </c:pt>
                <c:pt idx="30">
                  <c:v>1.531732070317501E-3</c:v>
                </c:pt>
                <c:pt idx="31">
                  <c:v>1.5780624561894921E-3</c:v>
                </c:pt>
                <c:pt idx="32">
                  <c:v>1.3897347426258648E-3</c:v>
                </c:pt>
                <c:pt idx="33">
                  <c:v>1.1402226263457916E-3</c:v>
                </c:pt>
                <c:pt idx="34">
                  <c:v>1.0935385734060757E-3</c:v>
                </c:pt>
                <c:pt idx="35">
                  <c:v>7.7187837531007765E-4</c:v>
                </c:pt>
                <c:pt idx="36">
                  <c:v>9.5790725293349145E-4</c:v>
                </c:pt>
                <c:pt idx="37">
                  <c:v>6.9566312221531394E-4</c:v>
                </c:pt>
                <c:pt idx="38">
                  <c:v>7.8142738613865589E-4</c:v>
                </c:pt>
                <c:pt idx="39">
                  <c:v>6.6454042025550328E-4</c:v>
                </c:pt>
                <c:pt idx="40">
                  <c:v>4.5393168142519343E-4</c:v>
                </c:pt>
                <c:pt idx="41">
                  <c:v>3.8372876848175681E-4</c:v>
                </c:pt>
                <c:pt idx="42">
                  <c:v>3.6728324983253865E-4</c:v>
                </c:pt>
                <c:pt idx="43">
                  <c:v>2.8081165177374647E-4</c:v>
                </c:pt>
                <c:pt idx="44">
                  <c:v>2.7532981222400707E-4</c:v>
                </c:pt>
                <c:pt idx="45">
                  <c:v>3.1140385313196945E-4</c:v>
                </c:pt>
                <c:pt idx="46">
                  <c:v>2.6896380500495489E-4</c:v>
                </c:pt>
                <c:pt idx="47">
                  <c:v>2.5888429357478891E-4</c:v>
                </c:pt>
                <c:pt idx="48">
                  <c:v>1.6038801521334257E-4</c:v>
                </c:pt>
                <c:pt idx="49">
                  <c:v>1.8443737581865085E-4</c:v>
                </c:pt>
                <c:pt idx="50">
                  <c:v>1.9663888965516753E-4</c:v>
                </c:pt>
                <c:pt idx="51">
                  <c:v>1.5225367265566479E-4</c:v>
                </c:pt>
                <c:pt idx="52">
                  <c:v>8.5764263923341949E-5</c:v>
                </c:pt>
                <c:pt idx="53">
                  <c:v>9.9557279564621692E-5</c:v>
                </c:pt>
                <c:pt idx="54">
                  <c:v>1.4111316002232347E-4</c:v>
                </c:pt>
                <c:pt idx="55">
                  <c:v>7.6392086628626239E-5</c:v>
                </c:pt>
                <c:pt idx="56">
                  <c:v>5.6763564369881996E-5</c:v>
                </c:pt>
                <c:pt idx="57">
                  <c:v>6.3836905724384425E-5</c:v>
                </c:pt>
                <c:pt idx="58">
                  <c:v>4.7921887676753958E-5</c:v>
                </c:pt>
                <c:pt idx="59">
                  <c:v>4.7745054142891401E-5</c:v>
                </c:pt>
                <c:pt idx="60">
                  <c:v>2.5640862410071306E-5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2728"/>
        <c:axId val="174260376"/>
      </c:lineChart>
      <c:catAx>
        <c:axId val="1742627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0376"/>
        <c:crosses val="autoZero"/>
        <c:auto val="1"/>
        <c:lblAlgn val="ctr"/>
        <c:lblOffset val="100"/>
        <c:tickLblSkip val="10"/>
        <c:noMultiLvlLbl val="0"/>
      </c:catAx>
      <c:valAx>
        <c:axId val="1742603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27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7.4203775286718133E-5</c:v>
                </c:pt>
                <c:pt idx="4">
                  <c:v>5.2208549653190558E-4</c:v>
                </c:pt>
                <c:pt idx="5">
                  <c:v>6.5973905370380441E-3</c:v>
                </c:pt>
                <c:pt idx="6">
                  <c:v>4.3078596719253893E-3</c:v>
                </c:pt>
                <c:pt idx="7">
                  <c:v>5.8084489049752813E-3</c:v>
                </c:pt>
                <c:pt idx="8">
                  <c:v>2.8926703379366578E-3</c:v>
                </c:pt>
                <c:pt idx="9">
                  <c:v>1.2791731820066385E-2</c:v>
                </c:pt>
                <c:pt idx="10">
                  <c:v>2.861726209111654E-3</c:v>
                </c:pt>
                <c:pt idx="11">
                  <c:v>9.9544363367105974E-3</c:v>
                </c:pt>
                <c:pt idx="12">
                  <c:v>1.9265936521830448E-2</c:v>
                </c:pt>
                <c:pt idx="13">
                  <c:v>1.8373098129720211E-2</c:v>
                </c:pt>
                <c:pt idx="14">
                  <c:v>1.1707524897949717E-2</c:v>
                </c:pt>
                <c:pt idx="15">
                  <c:v>6.873023612670481E-3</c:v>
                </c:pt>
                <c:pt idx="16">
                  <c:v>3.6614208775304656E-2</c:v>
                </c:pt>
                <c:pt idx="17">
                  <c:v>2.0835781079689569E-2</c:v>
                </c:pt>
                <c:pt idx="18">
                  <c:v>7.1191645005765761E-2</c:v>
                </c:pt>
                <c:pt idx="19">
                  <c:v>4.306581801238589E-2</c:v>
                </c:pt>
                <c:pt idx="20">
                  <c:v>6.2928612302342854E-2</c:v>
                </c:pt>
                <c:pt idx="21">
                  <c:v>5.5410409713109052E-2</c:v>
                </c:pt>
                <c:pt idx="22">
                  <c:v>4.655548748118056E-2</c:v>
                </c:pt>
                <c:pt idx="23">
                  <c:v>2.8736656940011245E-2</c:v>
                </c:pt>
                <c:pt idx="24">
                  <c:v>3.5794010734332971E-2</c:v>
                </c:pt>
                <c:pt idx="25">
                  <c:v>2.3997194096515177E-2</c:v>
                </c:pt>
                <c:pt idx="26">
                  <c:v>6.2947645999627461E-2</c:v>
                </c:pt>
                <c:pt idx="27">
                  <c:v>1.5608177715254056E-2</c:v>
                </c:pt>
                <c:pt idx="28">
                  <c:v>2.4379877242610249E-2</c:v>
                </c:pt>
                <c:pt idx="29">
                  <c:v>2.2065117972397595E-2</c:v>
                </c:pt>
                <c:pt idx="30">
                  <c:v>1.5991415654101455E-2</c:v>
                </c:pt>
                <c:pt idx="31">
                  <c:v>1.1751910600069528E-2</c:v>
                </c:pt>
                <c:pt idx="32">
                  <c:v>1.2097041310541385E-2</c:v>
                </c:pt>
                <c:pt idx="33">
                  <c:v>1.1041047370719615E-2</c:v>
                </c:pt>
                <c:pt idx="34">
                  <c:v>2.005263292041097E-2</c:v>
                </c:pt>
                <c:pt idx="35">
                  <c:v>7.6901714657753445E-3</c:v>
                </c:pt>
                <c:pt idx="36">
                  <c:v>1.1786500256360738E-2</c:v>
                </c:pt>
                <c:pt idx="37">
                  <c:v>1.4929655279196829E-2</c:v>
                </c:pt>
                <c:pt idx="38">
                  <c:v>1.6959319495023783E-2</c:v>
                </c:pt>
                <c:pt idx="39">
                  <c:v>5.3423193712815939E-3</c:v>
                </c:pt>
                <c:pt idx="40">
                  <c:v>8.8964388084156916E-3</c:v>
                </c:pt>
                <c:pt idx="41">
                  <c:v>5.6921117532731623E-3</c:v>
                </c:pt>
                <c:pt idx="42">
                  <c:v>4.3910433170598522E-3</c:v>
                </c:pt>
                <c:pt idx="43">
                  <c:v>3.6598654910824885E-3</c:v>
                </c:pt>
                <c:pt idx="44">
                  <c:v>2.6294966207784385E-3</c:v>
                </c:pt>
                <c:pt idx="45">
                  <c:v>4.4196908578454097E-2</c:v>
                </c:pt>
                <c:pt idx="46">
                  <c:v>3.8782810268260322E-3</c:v>
                </c:pt>
                <c:pt idx="47">
                  <c:v>4.0707945186093438E-3</c:v>
                </c:pt>
                <c:pt idx="48">
                  <c:v>5.3328691310379865E-3</c:v>
                </c:pt>
                <c:pt idx="49">
                  <c:v>3.3056761132209665E-3</c:v>
                </c:pt>
                <c:pt idx="50">
                  <c:v>1.7406312241280298E-3</c:v>
                </c:pt>
                <c:pt idx="51">
                  <c:v>3.9623571340801685E-3</c:v>
                </c:pt>
                <c:pt idx="52">
                  <c:v>3.6189677044026333E-3</c:v>
                </c:pt>
                <c:pt idx="53">
                  <c:v>1.8744671760870225E-4</c:v>
                </c:pt>
                <c:pt idx="54">
                  <c:v>7.2014226403772303E-3</c:v>
                </c:pt>
                <c:pt idx="55">
                  <c:v>6.3527604950712078E-4</c:v>
                </c:pt>
                <c:pt idx="56">
                  <c:v>1.5386102756207662E-3</c:v>
                </c:pt>
                <c:pt idx="57">
                  <c:v>6.9056284140891664E-4</c:v>
                </c:pt>
                <c:pt idx="58">
                  <c:v>2.7608714261091066E-3</c:v>
                </c:pt>
                <c:pt idx="59">
                  <c:v>3.6006273301416596E-3</c:v>
                </c:pt>
                <c:pt idx="60">
                  <c:v>4.8236892895235804E-3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3.4579797546823751E-3</c:v>
                </c:pt>
                <c:pt idx="1">
                  <c:v>1.480078995076247E-2</c:v>
                </c:pt>
                <c:pt idx="2">
                  <c:v>1.9091655649937506E-2</c:v>
                </c:pt>
                <c:pt idx="3">
                  <c:v>2.1610649339809683E-2</c:v>
                </c:pt>
                <c:pt idx="4">
                  <c:v>2.2275543427132914E-2</c:v>
                </c:pt>
                <c:pt idx="5">
                  <c:v>2.2313032136311774E-2</c:v>
                </c:pt>
                <c:pt idx="6">
                  <c:v>2.161931418296895E-2</c:v>
                </c:pt>
                <c:pt idx="7">
                  <c:v>2.0654864089282545E-2</c:v>
                </c:pt>
                <c:pt idx="8">
                  <c:v>1.931481956967206E-2</c:v>
                </c:pt>
                <c:pt idx="9">
                  <c:v>1.7933042336070008E-2</c:v>
                </c:pt>
                <c:pt idx="10">
                  <c:v>1.6653474885040518E-2</c:v>
                </c:pt>
                <c:pt idx="11">
                  <c:v>1.5520325600049231E-2</c:v>
                </c:pt>
                <c:pt idx="12">
                  <c:v>1.4826430813172541E-2</c:v>
                </c:pt>
                <c:pt idx="13">
                  <c:v>1.3229800835927482E-2</c:v>
                </c:pt>
                <c:pt idx="14">
                  <c:v>1.3075601994399328E-2</c:v>
                </c:pt>
                <c:pt idx="15">
                  <c:v>1.229399777472681E-2</c:v>
                </c:pt>
                <c:pt idx="16">
                  <c:v>1.1193385859966232E-2</c:v>
                </c:pt>
                <c:pt idx="17">
                  <c:v>1.0991265130761325E-2</c:v>
                </c:pt>
                <c:pt idx="18">
                  <c:v>0.11075402526173131</c:v>
                </c:pt>
                <c:pt idx="19">
                  <c:v>4.0294880527727853E-2</c:v>
                </c:pt>
                <c:pt idx="20">
                  <c:v>4.1843411783762295E-2</c:v>
                </c:pt>
                <c:pt idx="21">
                  <c:v>4.8220205848380097E-2</c:v>
                </c:pt>
                <c:pt idx="22">
                  <c:v>4.2931468517618629E-2</c:v>
                </c:pt>
                <c:pt idx="23">
                  <c:v>3.9750940577566618E-2</c:v>
                </c:pt>
                <c:pt idx="24">
                  <c:v>2.8759498613271428E-2</c:v>
                </c:pt>
                <c:pt idx="25">
                  <c:v>2.7885940955990379E-2</c:v>
                </c:pt>
                <c:pt idx="26">
                  <c:v>2.8939691984277378E-2</c:v>
                </c:pt>
                <c:pt idx="27">
                  <c:v>2.630823216686861E-2</c:v>
                </c:pt>
                <c:pt idx="28">
                  <c:v>2.306386732109221E-2</c:v>
                </c:pt>
                <c:pt idx="29">
                  <c:v>1.7116778743760427E-2</c:v>
                </c:pt>
                <c:pt idx="30">
                  <c:v>1.9805532626140664E-2</c:v>
                </c:pt>
                <c:pt idx="31">
                  <c:v>1.7411383411175454E-2</c:v>
                </c:pt>
                <c:pt idx="32">
                  <c:v>1.1556425104986069E-2</c:v>
                </c:pt>
                <c:pt idx="33">
                  <c:v>2.043435267255593E-2</c:v>
                </c:pt>
                <c:pt idx="34">
                  <c:v>1.7603778296017922E-2</c:v>
                </c:pt>
                <c:pt idx="35">
                  <c:v>1.0266070808390964E-2</c:v>
                </c:pt>
                <c:pt idx="36">
                  <c:v>1.0187203052288261E-2</c:v>
                </c:pt>
                <c:pt idx="37">
                  <c:v>8.2551198613059224E-3</c:v>
                </c:pt>
                <c:pt idx="38">
                  <c:v>6.9140143404922624E-3</c:v>
                </c:pt>
                <c:pt idx="39">
                  <c:v>8.2130334802466339E-3</c:v>
                </c:pt>
                <c:pt idx="40">
                  <c:v>6.0584937036651937E-3</c:v>
                </c:pt>
                <c:pt idx="41">
                  <c:v>7.4625519625339254E-3</c:v>
                </c:pt>
                <c:pt idx="42">
                  <c:v>5.9872297895185809E-3</c:v>
                </c:pt>
                <c:pt idx="43">
                  <c:v>5.7115463102268491E-3</c:v>
                </c:pt>
                <c:pt idx="44">
                  <c:v>4.7594745639108222E-3</c:v>
                </c:pt>
                <c:pt idx="45">
                  <c:v>4.1053673221532099E-3</c:v>
                </c:pt>
                <c:pt idx="46">
                  <c:v>4.952046282287151E-3</c:v>
                </c:pt>
                <c:pt idx="47">
                  <c:v>3.8135919912799846E-3</c:v>
                </c:pt>
                <c:pt idx="48">
                  <c:v>3.3027199119510468E-3</c:v>
                </c:pt>
                <c:pt idx="49">
                  <c:v>3.240651341565288E-3</c:v>
                </c:pt>
                <c:pt idx="50">
                  <c:v>3.5851230655295561E-3</c:v>
                </c:pt>
                <c:pt idx="51">
                  <c:v>2.7649691354749996E-3</c:v>
                </c:pt>
                <c:pt idx="52">
                  <c:v>2.6102397933452592E-3</c:v>
                </c:pt>
                <c:pt idx="53">
                  <c:v>2.2259805242619145E-3</c:v>
                </c:pt>
                <c:pt idx="54">
                  <c:v>2.3380929847307782E-3</c:v>
                </c:pt>
                <c:pt idx="55">
                  <c:v>2.0799160252914393E-3</c:v>
                </c:pt>
                <c:pt idx="56">
                  <c:v>2.0521531604750175E-3</c:v>
                </c:pt>
                <c:pt idx="57">
                  <c:v>1.6302283486789473E-3</c:v>
                </c:pt>
                <c:pt idx="58">
                  <c:v>1.9112168339865563E-3</c:v>
                </c:pt>
                <c:pt idx="59">
                  <c:v>1.6388931918382128E-3</c:v>
                </c:pt>
                <c:pt idx="60">
                  <c:v>1.399283753454443E-3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3120"/>
        <c:axId val="174267432"/>
      </c:lineChart>
      <c:catAx>
        <c:axId val="174263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7432"/>
        <c:crosses val="autoZero"/>
        <c:auto val="1"/>
        <c:lblAlgn val="ctr"/>
        <c:lblOffset val="100"/>
        <c:tickLblSkip val="10"/>
        <c:noMultiLvlLbl val="0"/>
      </c:catAx>
      <c:valAx>
        <c:axId val="17426743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31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3.8226749699430074E-2</c:v>
                </c:pt>
                <c:pt idx="1">
                  <c:v>3.3708375250107087E-2</c:v>
                </c:pt>
                <c:pt idx="2">
                  <c:v>2.8513569708552223E-2</c:v>
                </c:pt>
                <c:pt idx="3">
                  <c:v>5.8446091589819268E-2</c:v>
                </c:pt>
                <c:pt idx="4">
                  <c:v>0.11994402167290648</c:v>
                </c:pt>
                <c:pt idx="5">
                  <c:v>8.5933601221040559E-2</c:v>
                </c:pt>
                <c:pt idx="6">
                  <c:v>7.809663322387414E-2</c:v>
                </c:pt>
                <c:pt idx="7">
                  <c:v>4.978757990255387E-2</c:v>
                </c:pt>
                <c:pt idx="8">
                  <c:v>6.4710173831896839E-2</c:v>
                </c:pt>
                <c:pt idx="9">
                  <c:v>4.0422465778854492E-2</c:v>
                </c:pt>
                <c:pt idx="10">
                  <c:v>5.9005559368506322E-2</c:v>
                </c:pt>
                <c:pt idx="11">
                  <c:v>2.7947591714860144E-2</c:v>
                </c:pt>
                <c:pt idx="12">
                  <c:v>2.8505847436333175E-2</c:v>
                </c:pt>
                <c:pt idx="13">
                  <c:v>2.500540073830472E-2</c:v>
                </c:pt>
                <c:pt idx="14">
                  <c:v>1.3635572821071657E-2</c:v>
                </c:pt>
                <c:pt idx="15">
                  <c:v>2.3568846068371983E-2</c:v>
                </c:pt>
                <c:pt idx="16">
                  <c:v>2.6339124600516756E-2</c:v>
                </c:pt>
                <c:pt idx="17">
                  <c:v>2.1287032209429149E-2</c:v>
                </c:pt>
                <c:pt idx="18">
                  <c:v>2.3453556875431564E-2</c:v>
                </c:pt>
                <c:pt idx="19">
                  <c:v>1.4925053619952416E-2</c:v>
                </c:pt>
                <c:pt idx="20">
                  <c:v>1.3499623764600652E-2</c:v>
                </c:pt>
                <c:pt idx="21">
                  <c:v>1.1423605099428915E-2</c:v>
                </c:pt>
                <c:pt idx="22">
                  <c:v>1.0643970673777063E-2</c:v>
                </c:pt>
                <c:pt idx="23">
                  <c:v>1.0561034169208117E-2</c:v>
                </c:pt>
                <c:pt idx="24">
                  <c:v>9.183542884629619E-3</c:v>
                </c:pt>
                <c:pt idx="25">
                  <c:v>6.5854347197879595E-3</c:v>
                </c:pt>
                <c:pt idx="26">
                  <c:v>7.6746359641333807E-3</c:v>
                </c:pt>
                <c:pt idx="27">
                  <c:v>6.2857347986341513E-3</c:v>
                </c:pt>
                <c:pt idx="28">
                  <c:v>5.2577769171617793E-3</c:v>
                </c:pt>
                <c:pt idx="29">
                  <c:v>3.4170783370281637E-3</c:v>
                </c:pt>
                <c:pt idx="30">
                  <c:v>4.651342006523531E-3</c:v>
                </c:pt>
                <c:pt idx="31">
                  <c:v>4.1672632167764076E-3</c:v>
                </c:pt>
                <c:pt idx="32">
                  <c:v>1.5985526757384715E-3</c:v>
                </c:pt>
                <c:pt idx="33">
                  <c:v>2.7248009035116439E-3</c:v>
                </c:pt>
                <c:pt idx="34">
                  <c:v>6.9055574656900886E-3</c:v>
                </c:pt>
                <c:pt idx="35">
                  <c:v>2.165729072308312E-3</c:v>
                </c:pt>
                <c:pt idx="36">
                  <c:v>3.2029065106176646E-3</c:v>
                </c:pt>
                <c:pt idx="37">
                  <c:v>2.5025443468808407E-3</c:v>
                </c:pt>
                <c:pt idx="38">
                  <c:v>3.6825273200418412E-3</c:v>
                </c:pt>
                <c:pt idx="39">
                  <c:v>1.4170227004053433E-3</c:v>
                </c:pt>
                <c:pt idx="40">
                  <c:v>1.8108621778767631E-3</c:v>
                </c:pt>
                <c:pt idx="41">
                  <c:v>1.9125549139269282E-3</c:v>
                </c:pt>
                <c:pt idx="42">
                  <c:v>3.0063717606709263E-4</c:v>
                </c:pt>
                <c:pt idx="43">
                  <c:v>8.8452679153324927E-4</c:v>
                </c:pt>
                <c:pt idx="44">
                  <c:v>2.3528528615857423E-3</c:v>
                </c:pt>
                <c:pt idx="45">
                  <c:v>1.1318173331199394E-3</c:v>
                </c:pt>
                <c:pt idx="46">
                  <c:v>3.4298036857505383E-4</c:v>
                </c:pt>
                <c:pt idx="47">
                  <c:v>3.1250869561632554E-3</c:v>
                </c:pt>
                <c:pt idx="48">
                  <c:v>1.7522881478523307E-3</c:v>
                </c:pt>
                <c:pt idx="49">
                  <c:v>2.4508239041410316E-4</c:v>
                </c:pt>
                <c:pt idx="50">
                  <c:v>5.8356304230435343E-4</c:v>
                </c:pt>
                <c:pt idx="51">
                  <c:v>2.8154555529678524E-4</c:v>
                </c:pt>
                <c:pt idx="52">
                  <c:v>1.0917455945335065E-3</c:v>
                </c:pt>
                <c:pt idx="53">
                  <c:v>2.2981978014204835E-4</c:v>
                </c:pt>
                <c:pt idx="54">
                  <c:v>4.9311185119962268E-4</c:v>
                </c:pt>
                <c:pt idx="55">
                  <c:v>8.008285402341511E-4</c:v>
                </c:pt>
                <c:pt idx="56">
                  <c:v>1.471515406368988E-3</c:v>
                </c:pt>
                <c:pt idx="57">
                  <c:v>6.3117932547753733E-4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9.7154073015491962E-2</c:v>
                </c:pt>
                <c:pt idx="1">
                  <c:v>6.0911763213203657E-2</c:v>
                </c:pt>
                <c:pt idx="2">
                  <c:v>4.1746384791433215E-2</c:v>
                </c:pt>
                <c:pt idx="3">
                  <c:v>2.6131164946634842E-2</c:v>
                </c:pt>
                <c:pt idx="4">
                  <c:v>0.10390436886204005</c:v>
                </c:pt>
                <c:pt idx="5">
                  <c:v>8.6110075055201865E-2</c:v>
                </c:pt>
                <c:pt idx="6">
                  <c:v>7.6855253904409143E-2</c:v>
                </c:pt>
                <c:pt idx="7">
                  <c:v>5.4022506088115145E-2</c:v>
                </c:pt>
                <c:pt idx="8">
                  <c:v>5.3842863391799112E-2</c:v>
                </c:pt>
                <c:pt idx="9">
                  <c:v>3.830820080992272E-2</c:v>
                </c:pt>
                <c:pt idx="10">
                  <c:v>3.5258705622010819E-2</c:v>
                </c:pt>
                <c:pt idx="11">
                  <c:v>2.9936690047069607E-2</c:v>
                </c:pt>
                <c:pt idx="12">
                  <c:v>2.5894326593644192E-2</c:v>
                </c:pt>
                <c:pt idx="13">
                  <c:v>3.1826966221534081E-2</c:v>
                </c:pt>
                <c:pt idx="14">
                  <c:v>2.2920555232878965E-2</c:v>
                </c:pt>
                <c:pt idx="15">
                  <c:v>2.1858004934937926E-2</c:v>
                </c:pt>
                <c:pt idx="16">
                  <c:v>2.5272424523886436E-2</c:v>
                </c:pt>
                <c:pt idx="17">
                  <c:v>1.3340282739881403E-2</c:v>
                </c:pt>
                <c:pt idx="18">
                  <c:v>1.6599226811390474E-2</c:v>
                </c:pt>
                <c:pt idx="19">
                  <c:v>1.5241031358525737E-2</c:v>
                </c:pt>
                <c:pt idx="20">
                  <c:v>1.3019262047137277E-2</c:v>
                </c:pt>
                <c:pt idx="21">
                  <c:v>1.0724991199119027E-2</c:v>
                </c:pt>
                <c:pt idx="22">
                  <c:v>9.818721991246648E-3</c:v>
                </c:pt>
                <c:pt idx="23">
                  <c:v>9.1206933080276113E-3</c:v>
                </c:pt>
                <c:pt idx="24">
                  <c:v>8.5604175444051779E-3</c:v>
                </c:pt>
                <c:pt idx="25">
                  <c:v>8.3674828997070128E-3</c:v>
                </c:pt>
                <c:pt idx="26">
                  <c:v>8.114935880446577E-3</c:v>
                </c:pt>
                <c:pt idx="27">
                  <c:v>6.3007863194433815E-3</c:v>
                </c:pt>
                <c:pt idx="28">
                  <c:v>4.224825653943721E-3</c:v>
                </c:pt>
                <c:pt idx="29">
                  <c:v>4.7214611798577846E-3</c:v>
                </c:pt>
                <c:pt idx="30">
                  <c:v>3.5143105949717768E-3</c:v>
                </c:pt>
                <c:pt idx="31">
                  <c:v>4.0121544798296695E-3</c:v>
                </c:pt>
                <c:pt idx="32">
                  <c:v>3.4261003920721986E-3</c:v>
                </c:pt>
                <c:pt idx="33">
                  <c:v>2.6728899837516001E-3</c:v>
                </c:pt>
                <c:pt idx="34">
                  <c:v>2.8730747821127433E-3</c:v>
                </c:pt>
                <c:pt idx="35">
                  <c:v>2.198004918826474E-3</c:v>
                </c:pt>
                <c:pt idx="36">
                  <c:v>2.5149977484245013E-3</c:v>
                </c:pt>
                <c:pt idx="37">
                  <c:v>2.2817844722653425E-3</c:v>
                </c:pt>
                <c:pt idx="38">
                  <c:v>2.3820782646032193E-3</c:v>
                </c:pt>
                <c:pt idx="39">
                  <c:v>2.07998852864576E-3</c:v>
                </c:pt>
                <c:pt idx="40">
                  <c:v>1.2562905152684208E-3</c:v>
                </c:pt>
                <c:pt idx="41">
                  <c:v>1.225678755358065E-3</c:v>
                </c:pt>
                <c:pt idx="42">
                  <c:v>1.0706060242332358E-3</c:v>
                </c:pt>
                <c:pt idx="43">
                  <c:v>8.7807416584968171E-4</c:v>
                </c:pt>
                <c:pt idx="44">
                  <c:v>8.6719893535521322E-4</c:v>
                </c:pt>
                <c:pt idx="45">
                  <c:v>8.5954599537762426E-4</c:v>
                </c:pt>
                <c:pt idx="46">
                  <c:v>8.9257447317563977E-4</c:v>
                </c:pt>
                <c:pt idx="47">
                  <c:v>5.8645687407208106E-4</c:v>
                </c:pt>
                <c:pt idx="48">
                  <c:v>4.2050891245278335E-4</c:v>
                </c:pt>
                <c:pt idx="49">
                  <c:v>4.1124482721675463E-4</c:v>
                </c:pt>
                <c:pt idx="50">
                  <c:v>4.5917639865533817E-4</c:v>
                </c:pt>
                <c:pt idx="51">
                  <c:v>3.9513337463235681E-4</c:v>
                </c:pt>
                <c:pt idx="52">
                  <c:v>2.3482442141759837E-4</c:v>
                </c:pt>
                <c:pt idx="53">
                  <c:v>2.4851915611433652E-4</c:v>
                </c:pt>
                <c:pt idx="54">
                  <c:v>3.161872569688074E-4</c:v>
                </c:pt>
                <c:pt idx="55">
                  <c:v>2.8114484759774215E-4</c:v>
                </c:pt>
                <c:pt idx="56">
                  <c:v>1.9172628575433418E-4</c:v>
                </c:pt>
                <c:pt idx="57">
                  <c:v>1.0553001442780579E-4</c:v>
                </c:pt>
                <c:pt idx="58">
                  <c:v>1.5507273112482913E-4</c:v>
                </c:pt>
                <c:pt idx="59">
                  <c:v>1.0150215128170634E-4</c:v>
                </c:pt>
                <c:pt idx="60">
                  <c:v>1.2325261227064341E-4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1160"/>
        <c:axId val="174263512"/>
      </c:lineChart>
      <c:catAx>
        <c:axId val="1742611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3512"/>
        <c:crosses val="autoZero"/>
        <c:auto val="1"/>
        <c:lblAlgn val="ctr"/>
        <c:lblOffset val="100"/>
        <c:tickLblSkip val="10"/>
        <c:noMultiLvlLbl val="0"/>
      </c:catAx>
      <c:valAx>
        <c:axId val="17426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11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6.2679003394311092E-4</c:v>
                </c:pt>
                <c:pt idx="2">
                  <c:v>1.093803330245622E-3</c:v>
                </c:pt>
                <c:pt idx="3">
                  <c:v>9.9061701346136143E-4</c:v>
                </c:pt>
                <c:pt idx="4">
                  <c:v>3.1874761934202341E-3</c:v>
                </c:pt>
                <c:pt idx="5">
                  <c:v>1.0115931625060474E-2</c:v>
                </c:pt>
                <c:pt idx="6">
                  <c:v>6.224157736595742E-3</c:v>
                </c:pt>
                <c:pt idx="7">
                  <c:v>6.422319378154193E-3</c:v>
                </c:pt>
                <c:pt idx="8">
                  <c:v>4.0850391846485251E-3</c:v>
                </c:pt>
                <c:pt idx="9">
                  <c:v>1.6714259247161623E-2</c:v>
                </c:pt>
                <c:pt idx="10">
                  <c:v>3.0314090740380367E-3</c:v>
                </c:pt>
                <c:pt idx="11">
                  <c:v>1.2444046819291382E-2</c:v>
                </c:pt>
                <c:pt idx="12">
                  <c:v>8.8867690516884514E-3</c:v>
                </c:pt>
                <c:pt idx="13">
                  <c:v>8.4839381713854474E-3</c:v>
                </c:pt>
                <c:pt idx="14">
                  <c:v>1.0855813972932817E-2</c:v>
                </c:pt>
                <c:pt idx="15">
                  <c:v>6.375761360138339E-3</c:v>
                </c:pt>
                <c:pt idx="16">
                  <c:v>1.656706199743422E-2</c:v>
                </c:pt>
                <c:pt idx="17">
                  <c:v>9.1691442893016856E-3</c:v>
                </c:pt>
                <c:pt idx="18">
                  <c:v>4.9260237683699047E-2</c:v>
                </c:pt>
                <c:pt idx="19">
                  <c:v>3.005301397220168E-2</c:v>
                </c:pt>
                <c:pt idx="20">
                  <c:v>3.5547346788861706E-2</c:v>
                </c:pt>
                <c:pt idx="21">
                  <c:v>5.0115704845856507E-2</c:v>
                </c:pt>
                <c:pt idx="22">
                  <c:v>3.4095612506336234E-2</c:v>
                </c:pt>
                <c:pt idx="23">
                  <c:v>2.957700334369354E-2</c:v>
                </c:pt>
                <c:pt idx="24">
                  <c:v>3.9659841257098795E-2</c:v>
                </c:pt>
                <c:pt idx="25">
                  <c:v>2.366832304238627E-2</c:v>
                </c:pt>
                <c:pt idx="26">
                  <c:v>3.9846372297375435E-2</c:v>
                </c:pt>
                <c:pt idx="27">
                  <c:v>2.5253506365211013E-2</c:v>
                </c:pt>
                <c:pt idx="28">
                  <c:v>2.9549995136401712E-2</c:v>
                </c:pt>
                <c:pt idx="29">
                  <c:v>2.3915477731207432E-2</c:v>
                </c:pt>
                <c:pt idx="30">
                  <c:v>2.7577763961158217E-2</c:v>
                </c:pt>
                <c:pt idx="31">
                  <c:v>1.8500242782540505E-2</c:v>
                </c:pt>
                <c:pt idx="32">
                  <c:v>1.9514525541277493E-2</c:v>
                </c:pt>
                <c:pt idx="33">
                  <c:v>2.1648990790516145E-2</c:v>
                </c:pt>
                <c:pt idx="34">
                  <c:v>3.1034470927573114E-2</c:v>
                </c:pt>
                <c:pt idx="35">
                  <c:v>1.9568161820007295E-2</c:v>
                </c:pt>
                <c:pt idx="36">
                  <c:v>1.1820792436254725E-2</c:v>
                </c:pt>
                <c:pt idx="37">
                  <c:v>1.7798706101039837E-2</c:v>
                </c:pt>
                <c:pt idx="38">
                  <c:v>2.2998672879286901E-2</c:v>
                </c:pt>
                <c:pt idx="39">
                  <c:v>1.2502628929030526E-2</c:v>
                </c:pt>
                <c:pt idx="40">
                  <c:v>9.6422256610848942E-3</c:v>
                </c:pt>
                <c:pt idx="41">
                  <c:v>1.25811041835727E-2</c:v>
                </c:pt>
                <c:pt idx="42">
                  <c:v>6.7405365377231291E-3</c:v>
                </c:pt>
                <c:pt idx="43">
                  <c:v>1.0755943598846065E-2</c:v>
                </c:pt>
                <c:pt idx="44">
                  <c:v>7.3772454503311206E-3</c:v>
                </c:pt>
                <c:pt idx="45">
                  <c:v>3.8553501225516679E-2</c:v>
                </c:pt>
                <c:pt idx="46">
                  <c:v>1.0855997095483093E-2</c:v>
                </c:pt>
                <c:pt idx="47">
                  <c:v>7.4737665383145793E-3</c:v>
                </c:pt>
                <c:pt idx="48">
                  <c:v>7.1411735749748106E-3</c:v>
                </c:pt>
                <c:pt idx="49">
                  <c:v>5.0460653529782904E-3</c:v>
                </c:pt>
                <c:pt idx="50">
                  <c:v>6.3503754060585992E-3</c:v>
                </c:pt>
                <c:pt idx="51">
                  <c:v>4.6528459321889155E-3</c:v>
                </c:pt>
                <c:pt idx="52">
                  <c:v>6.8799345938923345E-3</c:v>
                </c:pt>
                <c:pt idx="53">
                  <c:v>4.5678058818100446E-3</c:v>
                </c:pt>
                <c:pt idx="54">
                  <c:v>4.5140857498845452E-3</c:v>
                </c:pt>
                <c:pt idx="55">
                  <c:v>6.0693106853449957E-3</c:v>
                </c:pt>
                <c:pt idx="56">
                  <c:v>3.5382095757181616E-3</c:v>
                </c:pt>
                <c:pt idx="57">
                  <c:v>1.7856593084768421E-3</c:v>
                </c:pt>
                <c:pt idx="58">
                  <c:v>2.2657410109352357E-3</c:v>
                </c:pt>
                <c:pt idx="59">
                  <c:v>3.2402949196895969E-3</c:v>
                </c:pt>
                <c:pt idx="60">
                  <c:v>2.4841642115444348E-3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7.8341938191634451E-4</c:v>
                </c:pt>
                <c:pt idx="1">
                  <c:v>9.7679709156057951E-3</c:v>
                </c:pt>
                <c:pt idx="2">
                  <c:v>1.2715158379606769E-2</c:v>
                </c:pt>
                <c:pt idx="3">
                  <c:v>1.5013859877085728E-2</c:v>
                </c:pt>
                <c:pt idx="4">
                  <c:v>1.5576955144910433E-2</c:v>
                </c:pt>
                <c:pt idx="5">
                  <c:v>1.5626095075292844E-2</c:v>
                </c:pt>
                <c:pt idx="6">
                  <c:v>1.5159265736659919E-2</c:v>
                </c:pt>
                <c:pt idx="7">
                  <c:v>1.5129459549378783E-2</c:v>
                </c:pt>
                <c:pt idx="8">
                  <c:v>1.4594156537262164E-2</c:v>
                </c:pt>
                <c:pt idx="9">
                  <c:v>1.4392360593642581E-2</c:v>
                </c:pt>
                <c:pt idx="10">
                  <c:v>1.3367672209274879E-2</c:v>
                </c:pt>
                <c:pt idx="11">
                  <c:v>1.2510542931784916E-2</c:v>
                </c:pt>
                <c:pt idx="12">
                  <c:v>1.180284737701524E-2</c:v>
                </c:pt>
                <c:pt idx="13">
                  <c:v>1.1187389888291243E-2</c:v>
                </c:pt>
                <c:pt idx="14">
                  <c:v>1.0786214718939738E-2</c:v>
                </c:pt>
                <c:pt idx="15">
                  <c:v>9.9484191845510498E-3</c:v>
                </c:pt>
                <c:pt idx="16">
                  <c:v>9.0320803188134232E-3</c:v>
                </c:pt>
                <c:pt idx="17">
                  <c:v>8.7928252479351158E-3</c:v>
                </c:pt>
                <c:pt idx="18">
                  <c:v>6.6419866065494659E-2</c:v>
                </c:pt>
                <c:pt idx="19">
                  <c:v>3.1674712994611526E-2</c:v>
                </c:pt>
                <c:pt idx="20">
                  <c:v>3.5425861942573952E-2</c:v>
                </c:pt>
                <c:pt idx="21">
                  <c:v>3.9698619167956258E-2</c:v>
                </c:pt>
                <c:pt idx="22">
                  <c:v>4.242064908209027E-2</c:v>
                </c:pt>
                <c:pt idx="23">
                  <c:v>3.8991729185815796E-2</c:v>
                </c:pt>
                <c:pt idx="24">
                  <c:v>2.7405178059746099E-2</c:v>
                </c:pt>
                <c:pt idx="25">
                  <c:v>3.1285621414698317E-2</c:v>
                </c:pt>
                <c:pt idx="26">
                  <c:v>2.7731837760894766E-2</c:v>
                </c:pt>
                <c:pt idx="27">
                  <c:v>2.5008599487816922E-2</c:v>
                </c:pt>
                <c:pt idx="28">
                  <c:v>2.7876035261525125E-2</c:v>
                </c:pt>
                <c:pt idx="29">
                  <c:v>2.3547693524726649E-2</c:v>
                </c:pt>
                <c:pt idx="30">
                  <c:v>2.2766690860697963E-2</c:v>
                </c:pt>
                <c:pt idx="31">
                  <c:v>1.9696250784426349E-2</c:v>
                </c:pt>
                <c:pt idx="32">
                  <c:v>2.041764107389276E-2</c:v>
                </c:pt>
                <c:pt idx="33">
                  <c:v>2.4783844724264571E-2</c:v>
                </c:pt>
                <c:pt idx="34">
                  <c:v>2.0741078484524549E-2</c:v>
                </c:pt>
                <c:pt idx="35">
                  <c:v>1.7141377190855463E-2</c:v>
                </c:pt>
                <c:pt idx="36">
                  <c:v>1.3933184194987245E-2</c:v>
                </c:pt>
                <c:pt idx="37">
                  <c:v>1.5584205298573411E-2</c:v>
                </c:pt>
                <c:pt idx="38">
                  <c:v>1.2804576941450176E-2</c:v>
                </c:pt>
                <c:pt idx="39">
                  <c:v>1.3387811525005377E-2</c:v>
                </c:pt>
                <c:pt idx="40">
                  <c:v>1.017116001653035E-2</c:v>
                </c:pt>
                <c:pt idx="41">
                  <c:v>1.2445291548818104E-2</c:v>
                </c:pt>
                <c:pt idx="42">
                  <c:v>9.4280192660749999E-3</c:v>
                </c:pt>
                <c:pt idx="43">
                  <c:v>1.136703258460728E-2</c:v>
                </c:pt>
                <c:pt idx="44">
                  <c:v>1.0226744527946523E-2</c:v>
                </c:pt>
                <c:pt idx="45">
                  <c:v>9.5182434005476289E-3</c:v>
                </c:pt>
                <c:pt idx="46">
                  <c:v>7.5917164577682574E-3</c:v>
                </c:pt>
                <c:pt idx="47">
                  <c:v>7.6340090208023023E-3</c:v>
                </c:pt>
                <c:pt idx="48">
                  <c:v>6.4155804191072157E-3</c:v>
                </c:pt>
                <c:pt idx="49">
                  <c:v>6.4256500769724646E-3</c:v>
                </c:pt>
                <c:pt idx="50">
                  <c:v>5.9451260036427998E-3</c:v>
                </c:pt>
                <c:pt idx="51">
                  <c:v>5.0694685556807772E-3</c:v>
                </c:pt>
                <c:pt idx="52">
                  <c:v>5.6156467982918642E-3</c:v>
                </c:pt>
                <c:pt idx="53">
                  <c:v>4.3504949841020246E-3</c:v>
                </c:pt>
                <c:pt idx="54">
                  <c:v>4.5547076456092664E-3</c:v>
                </c:pt>
                <c:pt idx="55">
                  <c:v>7.2908350807546285E-3</c:v>
                </c:pt>
                <c:pt idx="56">
                  <c:v>3.4563093656679446E-3</c:v>
                </c:pt>
                <c:pt idx="57">
                  <c:v>3.4228781015553191E-3</c:v>
                </c:pt>
                <c:pt idx="58">
                  <c:v>3.5106855181402871E-3</c:v>
                </c:pt>
                <c:pt idx="59">
                  <c:v>3.9670424125933558E-3</c:v>
                </c:pt>
                <c:pt idx="60">
                  <c:v>3.2504855589022622E-3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3904"/>
        <c:axId val="174264688"/>
      </c:lineChart>
      <c:catAx>
        <c:axId val="1742639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4688"/>
        <c:crosses val="autoZero"/>
        <c:auto val="1"/>
        <c:lblAlgn val="ctr"/>
        <c:lblOffset val="100"/>
        <c:tickLblSkip val="10"/>
        <c:noMultiLvlLbl val="0"/>
      </c:catAx>
      <c:valAx>
        <c:axId val="1742646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39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4.9257376135212576E-2</c:v>
                </c:pt>
                <c:pt idx="1">
                  <c:v>2.8575002894438085E-2</c:v>
                </c:pt>
                <c:pt idx="2">
                  <c:v>6.1506300328945371E-2</c:v>
                </c:pt>
                <c:pt idx="3">
                  <c:v>9.6285376384149121E-2</c:v>
                </c:pt>
                <c:pt idx="4">
                  <c:v>0.2220595269989902</c:v>
                </c:pt>
                <c:pt idx="5">
                  <c:v>8.0746269385372216E-2</c:v>
                </c:pt>
                <c:pt idx="6">
                  <c:v>0.15911922252945207</c:v>
                </c:pt>
                <c:pt idx="7">
                  <c:v>5.4659847344419643E-2</c:v>
                </c:pt>
                <c:pt idx="8">
                  <c:v>4.8894696959678415E-2</c:v>
                </c:pt>
                <c:pt idx="9">
                  <c:v>3.6322667368167139E-2</c:v>
                </c:pt>
                <c:pt idx="10">
                  <c:v>6.8013856443175771E-2</c:v>
                </c:pt>
                <c:pt idx="11">
                  <c:v>1.255469482356459E-2</c:v>
                </c:pt>
                <c:pt idx="12">
                  <c:v>9.3112334691236726E-3</c:v>
                </c:pt>
                <c:pt idx="13">
                  <c:v>5.6114268135190873E-3</c:v>
                </c:pt>
                <c:pt idx="14">
                  <c:v>6.622013245294686E-3</c:v>
                </c:pt>
                <c:pt idx="15">
                  <c:v>2.7708826746129967E-3</c:v>
                </c:pt>
                <c:pt idx="16">
                  <c:v>1.2104414342725805E-2</c:v>
                </c:pt>
                <c:pt idx="17">
                  <c:v>4.6258713673887992E-3</c:v>
                </c:pt>
                <c:pt idx="18">
                  <c:v>5.1750033488989393E-3</c:v>
                </c:pt>
                <c:pt idx="19">
                  <c:v>2.3537945061183384E-3</c:v>
                </c:pt>
                <c:pt idx="20">
                  <c:v>1.9235756758031342E-3</c:v>
                </c:pt>
                <c:pt idx="21">
                  <c:v>1.0066942817427992E-2</c:v>
                </c:pt>
                <c:pt idx="22">
                  <c:v>2.870847071166522E-3</c:v>
                </c:pt>
                <c:pt idx="23">
                  <c:v>1.2112567070729779E-2</c:v>
                </c:pt>
                <c:pt idx="24">
                  <c:v>2.2769440929943649E-4</c:v>
                </c:pt>
                <c:pt idx="25">
                  <c:v>7.2301789178359831E-4</c:v>
                </c:pt>
                <c:pt idx="26">
                  <c:v>1.3783132008658061E-3</c:v>
                </c:pt>
                <c:pt idx="27">
                  <c:v>2.3759461905299719E-5</c:v>
                </c:pt>
                <c:pt idx="28">
                  <c:v>0</c:v>
                </c:pt>
                <c:pt idx="29">
                  <c:v>4.0243389494593057E-4</c:v>
                </c:pt>
                <c:pt idx="30">
                  <c:v>0</c:v>
                </c:pt>
                <c:pt idx="31">
                  <c:v>0</c:v>
                </c:pt>
                <c:pt idx="32">
                  <c:v>2.0753687960203863E-5</c:v>
                </c:pt>
                <c:pt idx="33">
                  <c:v>0</c:v>
                </c:pt>
                <c:pt idx="34">
                  <c:v>7.7804717651206367E-4</c:v>
                </c:pt>
                <c:pt idx="35">
                  <c:v>1.3284054606130961E-5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6.7251137373201619E-6</c:v>
                </c:pt>
                <c:pt idx="40">
                  <c:v>7.1812745528360641E-6</c:v>
                </c:pt>
                <c:pt idx="41">
                  <c:v>0</c:v>
                </c:pt>
                <c:pt idx="42">
                  <c:v>4.4274463718784883E-4</c:v>
                </c:pt>
                <c:pt idx="43">
                  <c:v>4.5801641254759033E-4</c:v>
                </c:pt>
                <c:pt idx="44">
                  <c:v>0</c:v>
                </c:pt>
                <c:pt idx="45">
                  <c:v>0</c:v>
                </c:pt>
                <c:pt idx="46">
                  <c:v>1.8607817363192032E-3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0.15737588940370084</c:v>
                </c:pt>
                <c:pt idx="1">
                  <c:v>0.14445597777867983</c:v>
                </c:pt>
                <c:pt idx="2">
                  <c:v>7.9824525796331633E-2</c:v>
                </c:pt>
                <c:pt idx="3">
                  <c:v>4.5454545454545456E-2</c:v>
                </c:pt>
                <c:pt idx="4">
                  <c:v>0.18894500919122978</c:v>
                </c:pt>
                <c:pt idx="5">
                  <c:v>8.0252193427545859E-2</c:v>
                </c:pt>
                <c:pt idx="6">
                  <c:v>8.3590900392584391E-2</c:v>
                </c:pt>
                <c:pt idx="7">
                  <c:v>4.9039704952826085E-2</c:v>
                </c:pt>
                <c:pt idx="8">
                  <c:v>4.0686413796702757E-2</c:v>
                </c:pt>
                <c:pt idx="9">
                  <c:v>2.6906817746901946E-2</c:v>
                </c:pt>
                <c:pt idx="10">
                  <c:v>1.9710403776232698E-2</c:v>
                </c:pt>
                <c:pt idx="11">
                  <c:v>1.2331324986807541E-2</c:v>
                </c:pt>
                <c:pt idx="12">
                  <c:v>1.2767690942724431E-2</c:v>
                </c:pt>
                <c:pt idx="13">
                  <c:v>8.9694224892285738E-3</c:v>
                </c:pt>
                <c:pt idx="14">
                  <c:v>8.30979953261002E-3</c:v>
                </c:pt>
                <c:pt idx="15">
                  <c:v>5.7249473751355487E-3</c:v>
                </c:pt>
                <c:pt idx="16">
                  <c:v>4.646355112005428E-3</c:v>
                </c:pt>
                <c:pt idx="17">
                  <c:v>2.6210951770688964E-3</c:v>
                </c:pt>
                <c:pt idx="18">
                  <c:v>2.795061671122142E-3</c:v>
                </c:pt>
                <c:pt idx="19">
                  <c:v>3.4358382575515956E-3</c:v>
                </c:pt>
                <c:pt idx="20">
                  <c:v>4.0911120518188201E-3</c:v>
                </c:pt>
                <c:pt idx="21">
                  <c:v>2.3601454359890284E-3</c:v>
                </c:pt>
                <c:pt idx="22">
                  <c:v>1.8237487459915221E-3</c:v>
                </c:pt>
                <c:pt idx="23">
                  <c:v>1.6193381154789588E-3</c:v>
                </c:pt>
                <c:pt idx="24">
                  <c:v>1.4627682708310379E-3</c:v>
                </c:pt>
                <c:pt idx="25">
                  <c:v>9.5971515886040344E-4</c:v>
                </c:pt>
                <c:pt idx="26">
                  <c:v>8.6548330791489563E-4</c:v>
                </c:pt>
                <c:pt idx="27">
                  <c:v>1.3090978677506712E-3</c:v>
                </c:pt>
                <c:pt idx="28">
                  <c:v>5.7408943037570964E-4</c:v>
                </c:pt>
                <c:pt idx="29">
                  <c:v>6.7267044367254867E-4</c:v>
                </c:pt>
                <c:pt idx="30">
                  <c:v>7.7850006088827294E-4</c:v>
                </c:pt>
                <c:pt idx="31">
                  <c:v>3.8852517005224792E-4</c:v>
                </c:pt>
                <c:pt idx="32">
                  <c:v>4.7405869629509354E-4</c:v>
                </c:pt>
                <c:pt idx="33">
                  <c:v>6.567235150510012E-4</c:v>
                </c:pt>
                <c:pt idx="34">
                  <c:v>1.3757850238044153E-3</c:v>
                </c:pt>
                <c:pt idx="35">
                  <c:v>4.2766763121422814E-4</c:v>
                </c:pt>
                <c:pt idx="36">
                  <c:v>1.9571230580990102E-4</c:v>
                </c:pt>
                <c:pt idx="37">
                  <c:v>3.3053633870116616E-4</c:v>
                </c:pt>
                <c:pt idx="38">
                  <c:v>2.60949741079868E-4</c:v>
                </c:pt>
                <c:pt idx="39">
                  <c:v>2.377542085394353E-4</c:v>
                </c:pt>
                <c:pt idx="40">
                  <c:v>1.4352235759392741E-4</c:v>
                </c:pt>
                <c:pt idx="41">
                  <c:v>1.7686593562079943E-4</c:v>
                </c:pt>
                <c:pt idx="42">
                  <c:v>3.9142461161980204E-5</c:v>
                </c:pt>
                <c:pt idx="43">
                  <c:v>1.3337431210748809E-4</c:v>
                </c:pt>
                <c:pt idx="44">
                  <c:v>8.5533526242845628E-5</c:v>
                </c:pt>
                <c:pt idx="45">
                  <c:v>9.4231850945507891E-5</c:v>
                </c:pt>
                <c:pt idx="46">
                  <c:v>1.30474870539934E-4</c:v>
                </c:pt>
                <c:pt idx="47">
                  <c:v>5.2189948215973606E-5</c:v>
                </c:pt>
                <c:pt idx="48">
                  <c:v>4.494134429708838E-5</c:v>
                </c:pt>
                <c:pt idx="49">
                  <c:v>4.7840785864642468E-5</c:v>
                </c:pt>
                <c:pt idx="50">
                  <c:v>7.8284922323960409E-5</c:v>
                </c:pt>
                <c:pt idx="51">
                  <c:v>7.3935759972629277E-5</c:v>
                </c:pt>
                <c:pt idx="52">
                  <c:v>2.899441567554089E-6</c:v>
                </c:pt>
                <c:pt idx="53">
                  <c:v>3.1893857243094978E-5</c:v>
                </c:pt>
                <c:pt idx="54">
                  <c:v>8.6983247026622665E-6</c:v>
                </c:pt>
                <c:pt idx="55">
                  <c:v>1.884637018910158E-5</c:v>
                </c:pt>
                <c:pt idx="56">
                  <c:v>1.4497207837770445E-5</c:v>
                </c:pt>
                <c:pt idx="57">
                  <c:v>4.3491623513311333E-6</c:v>
                </c:pt>
                <c:pt idx="58">
                  <c:v>4.3491623513311333E-6</c:v>
                </c:pt>
                <c:pt idx="59">
                  <c:v>0</c:v>
                </c:pt>
                <c:pt idx="60">
                  <c:v>1.5946928621547489E-5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0208"/>
        <c:axId val="135601384"/>
      </c:lineChart>
      <c:catAx>
        <c:axId val="135600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1384"/>
        <c:crosses val="autoZero"/>
        <c:auto val="1"/>
        <c:lblAlgn val="ctr"/>
        <c:lblOffset val="100"/>
        <c:tickLblSkip val="10"/>
        <c:noMultiLvlLbl val="0"/>
      </c:catAx>
      <c:valAx>
        <c:axId val="1356013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0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4.7143136571501575E-4</c:v>
                </c:pt>
                <c:pt idx="2">
                  <c:v>0</c:v>
                </c:pt>
                <c:pt idx="3">
                  <c:v>0</c:v>
                </c:pt>
                <c:pt idx="4">
                  <c:v>3.1276984258150728E-3</c:v>
                </c:pt>
                <c:pt idx="5">
                  <c:v>5.0569653833144549E-3</c:v>
                </c:pt>
                <c:pt idx="6">
                  <c:v>3.3055353220811864E-3</c:v>
                </c:pt>
                <c:pt idx="7">
                  <c:v>5.7928266149780642E-3</c:v>
                </c:pt>
                <c:pt idx="8">
                  <c:v>2.1377677542333152E-3</c:v>
                </c:pt>
                <c:pt idx="9">
                  <c:v>7.8071838924067705E-3</c:v>
                </c:pt>
                <c:pt idx="10">
                  <c:v>3.5949062899929538E-3</c:v>
                </c:pt>
                <c:pt idx="11">
                  <c:v>1.0564572421239002E-2</c:v>
                </c:pt>
                <c:pt idx="12">
                  <c:v>3.013077343533254E-2</c:v>
                </c:pt>
                <c:pt idx="13">
                  <c:v>1.0660815817610124E-2</c:v>
                </c:pt>
                <c:pt idx="14">
                  <c:v>1.4473584014232096E-2</c:v>
                </c:pt>
                <c:pt idx="15">
                  <c:v>2.6085435678489927E-3</c:v>
                </c:pt>
                <c:pt idx="16">
                  <c:v>4.3497469019783484E-2</c:v>
                </c:pt>
                <c:pt idx="17">
                  <c:v>1.7223506265048181E-2</c:v>
                </c:pt>
                <c:pt idx="18">
                  <c:v>0.11515988517723059</c:v>
                </c:pt>
                <c:pt idx="19">
                  <c:v>4.1201046526931927E-2</c:v>
                </c:pt>
                <c:pt idx="20">
                  <c:v>7.1206860278474809E-2</c:v>
                </c:pt>
                <c:pt idx="21">
                  <c:v>4.8820766840998467E-2</c:v>
                </c:pt>
                <c:pt idx="22">
                  <c:v>4.1356070256686396E-2</c:v>
                </c:pt>
                <c:pt idx="23">
                  <c:v>1.9253533781388079E-2</c:v>
                </c:pt>
                <c:pt idx="24">
                  <c:v>4.0569680701871141E-2</c:v>
                </c:pt>
                <c:pt idx="25">
                  <c:v>3.6977413122890865E-2</c:v>
                </c:pt>
                <c:pt idx="26">
                  <c:v>8.4220048115207127E-2</c:v>
                </c:pt>
                <c:pt idx="27">
                  <c:v>1.3250843778329593E-2</c:v>
                </c:pt>
                <c:pt idx="28">
                  <c:v>2.429889891122881E-2</c:v>
                </c:pt>
                <c:pt idx="29">
                  <c:v>1.9861804862137369E-2</c:v>
                </c:pt>
                <c:pt idx="30">
                  <c:v>2.0623002119968915E-2</c:v>
                </c:pt>
                <c:pt idx="31">
                  <c:v>1.3549989858353952E-2</c:v>
                </c:pt>
                <c:pt idx="32">
                  <c:v>6.8327465217552664E-3</c:v>
                </c:pt>
                <c:pt idx="33">
                  <c:v>1.0043520665052218E-2</c:v>
                </c:pt>
                <c:pt idx="34">
                  <c:v>2.4663481223785547E-2</c:v>
                </c:pt>
                <c:pt idx="35">
                  <c:v>6.2964680850554015E-3</c:v>
                </c:pt>
                <c:pt idx="36">
                  <c:v>6.6734405572259304E-3</c:v>
                </c:pt>
                <c:pt idx="37">
                  <c:v>1.3471542559743555E-2</c:v>
                </c:pt>
                <c:pt idx="38">
                  <c:v>1.8369360496232407E-2</c:v>
                </c:pt>
                <c:pt idx="39">
                  <c:v>2.7221444435768056E-3</c:v>
                </c:pt>
                <c:pt idx="40">
                  <c:v>1.2768701983620998E-3</c:v>
                </c:pt>
                <c:pt idx="41">
                  <c:v>9.4240952597096066E-3</c:v>
                </c:pt>
                <c:pt idx="42">
                  <c:v>1.6769958988452312E-3</c:v>
                </c:pt>
                <c:pt idx="43">
                  <c:v>1.5288182510404249E-3</c:v>
                </c:pt>
                <c:pt idx="44">
                  <c:v>1.2830556516534482E-3</c:v>
                </c:pt>
                <c:pt idx="45">
                  <c:v>4.8776141864723788E-2</c:v>
                </c:pt>
                <c:pt idx="46">
                  <c:v>4.8561337904387885E-3</c:v>
                </c:pt>
                <c:pt idx="47">
                  <c:v>5.5314060159341281E-3</c:v>
                </c:pt>
                <c:pt idx="48">
                  <c:v>3.2681939642319885E-3</c:v>
                </c:pt>
                <c:pt idx="49">
                  <c:v>1.1582612495715798E-3</c:v>
                </c:pt>
                <c:pt idx="50">
                  <c:v>4.6190632390190225E-4</c:v>
                </c:pt>
                <c:pt idx="51">
                  <c:v>1.8579842189842444E-3</c:v>
                </c:pt>
                <c:pt idx="52">
                  <c:v>1.4281961781028166E-3</c:v>
                </c:pt>
                <c:pt idx="53">
                  <c:v>0</c:v>
                </c:pt>
                <c:pt idx="54">
                  <c:v>2.0477164793661698E-3</c:v>
                </c:pt>
                <c:pt idx="55">
                  <c:v>4.2601743843663662E-3</c:v>
                </c:pt>
                <c:pt idx="56">
                  <c:v>0</c:v>
                </c:pt>
                <c:pt idx="57">
                  <c:v>0</c:v>
                </c:pt>
                <c:pt idx="58">
                  <c:v>2.0753687960203866E-5</c:v>
                </c:pt>
                <c:pt idx="59">
                  <c:v>8.4884257590732621E-4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8.2634084675291535E-4</c:v>
                </c:pt>
                <c:pt idx="1">
                  <c:v>2.0356979245797258E-2</c:v>
                </c:pt>
                <c:pt idx="2">
                  <c:v>2.81666251080042E-2</c:v>
                </c:pt>
                <c:pt idx="3">
                  <c:v>3.3433460715466198E-2</c:v>
                </c:pt>
                <c:pt idx="4">
                  <c:v>3.3849530580410216E-2</c:v>
                </c:pt>
                <c:pt idx="5">
                  <c:v>3.3613226092654554E-2</c:v>
                </c:pt>
                <c:pt idx="6">
                  <c:v>3.2733245576901888E-2</c:v>
                </c:pt>
                <c:pt idx="7">
                  <c:v>3.0180287276670513E-2</c:v>
                </c:pt>
                <c:pt idx="8">
                  <c:v>2.6998150156279901E-2</c:v>
                </c:pt>
                <c:pt idx="9">
                  <c:v>2.4607560583831553E-2</c:v>
                </c:pt>
                <c:pt idx="10">
                  <c:v>2.2106792231816153E-2</c:v>
                </c:pt>
                <c:pt idx="11">
                  <c:v>1.9953956867907241E-2</c:v>
                </c:pt>
                <c:pt idx="12">
                  <c:v>1.8592669051940597E-2</c:v>
                </c:pt>
                <c:pt idx="13">
                  <c:v>1.5851247049818204E-2</c:v>
                </c:pt>
                <c:pt idx="14">
                  <c:v>1.6091900699925193E-2</c:v>
                </c:pt>
                <c:pt idx="15">
                  <c:v>1.5372839191171781E-2</c:v>
                </c:pt>
                <c:pt idx="16">
                  <c:v>1.3754950796476598E-2</c:v>
                </c:pt>
                <c:pt idx="17">
                  <c:v>1.3402668646018776E-2</c:v>
                </c:pt>
                <c:pt idx="18">
                  <c:v>0.14413269004389753</c:v>
                </c:pt>
                <c:pt idx="19">
                  <c:v>3.6734474940126528E-2</c:v>
                </c:pt>
                <c:pt idx="20">
                  <c:v>3.7973986210255904E-2</c:v>
                </c:pt>
                <c:pt idx="21">
                  <c:v>4.054144171832505E-2</c:v>
                </c:pt>
                <c:pt idx="22">
                  <c:v>4.1011151252268813E-2</c:v>
                </c:pt>
                <c:pt idx="23">
                  <c:v>4.0251497561569642E-2</c:v>
                </c:pt>
                <c:pt idx="24">
                  <c:v>2.3518820275214992E-2</c:v>
                </c:pt>
                <c:pt idx="25">
                  <c:v>2.791002452927566E-2</c:v>
                </c:pt>
                <c:pt idx="26">
                  <c:v>2.3784119178646194E-2</c:v>
                </c:pt>
                <c:pt idx="27">
                  <c:v>1.7282121463406148E-2</c:v>
                </c:pt>
                <c:pt idx="28">
                  <c:v>2.0961512812632286E-2</c:v>
                </c:pt>
                <c:pt idx="29">
                  <c:v>1.1965995349295726E-2</c:v>
                </c:pt>
                <c:pt idx="30">
                  <c:v>1.1981942277917273E-2</c:v>
                </c:pt>
                <c:pt idx="31">
                  <c:v>8.9607241645259118E-3</c:v>
                </c:pt>
                <c:pt idx="32">
                  <c:v>8.9621738853096888E-3</c:v>
                </c:pt>
                <c:pt idx="33">
                  <c:v>1.3962260868556717E-2</c:v>
                </c:pt>
                <c:pt idx="34">
                  <c:v>1.0133548278601542E-2</c:v>
                </c:pt>
                <c:pt idx="35">
                  <c:v>6.8702267943194142E-3</c:v>
                </c:pt>
                <c:pt idx="36">
                  <c:v>5.1885506851380428E-3</c:v>
                </c:pt>
                <c:pt idx="37">
                  <c:v>5.0624249769494391E-3</c:v>
                </c:pt>
                <c:pt idx="38">
                  <c:v>3.9258438824682365E-3</c:v>
                </c:pt>
                <c:pt idx="39">
                  <c:v>3.4706315563622445E-3</c:v>
                </c:pt>
                <c:pt idx="40">
                  <c:v>4.8667126711395385E-3</c:v>
                </c:pt>
                <c:pt idx="41">
                  <c:v>3.8287125899551747E-3</c:v>
                </c:pt>
                <c:pt idx="42">
                  <c:v>2.6761845668524242E-3</c:v>
                </c:pt>
                <c:pt idx="43">
                  <c:v>2.9675784443916101E-3</c:v>
                </c:pt>
                <c:pt idx="44">
                  <c:v>2.799410833473473E-3</c:v>
                </c:pt>
                <c:pt idx="45">
                  <c:v>2.0180113310176461E-3</c:v>
                </c:pt>
                <c:pt idx="46">
                  <c:v>1.8309973499104073E-3</c:v>
                </c:pt>
                <c:pt idx="47">
                  <c:v>1.6642794597760472E-3</c:v>
                </c:pt>
                <c:pt idx="48">
                  <c:v>1.7773576809106567E-3</c:v>
                </c:pt>
                <c:pt idx="49">
                  <c:v>1.6570308558571619E-3</c:v>
                </c:pt>
                <c:pt idx="50">
                  <c:v>1.4279749720203889E-3</c:v>
                </c:pt>
                <c:pt idx="51">
                  <c:v>1.4120280433988414E-3</c:v>
                </c:pt>
                <c:pt idx="52">
                  <c:v>1.4555196669121526E-3</c:v>
                </c:pt>
                <c:pt idx="53">
                  <c:v>1.2569079195346976E-3</c:v>
                </c:pt>
                <c:pt idx="54">
                  <c:v>1.2612570818860288E-3</c:v>
                </c:pt>
                <c:pt idx="55">
                  <c:v>1.3322934002911039E-3</c:v>
                </c:pt>
                <c:pt idx="56">
                  <c:v>1.4192766473177267E-3</c:v>
                </c:pt>
                <c:pt idx="57">
                  <c:v>8.1909224283403012E-4</c:v>
                </c:pt>
                <c:pt idx="58">
                  <c:v>9.3941906788752485E-4</c:v>
                </c:pt>
                <c:pt idx="59">
                  <c:v>1.1162850035083243E-3</c:v>
                </c:pt>
                <c:pt idx="60">
                  <c:v>6.6542183975366344E-4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9816"/>
        <c:axId val="135601776"/>
      </c:lineChart>
      <c:catAx>
        <c:axId val="135599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1776"/>
        <c:crosses val="autoZero"/>
        <c:auto val="1"/>
        <c:lblAlgn val="ctr"/>
        <c:lblOffset val="100"/>
        <c:tickLblSkip val="10"/>
        <c:noMultiLvlLbl val="0"/>
      </c:catAx>
      <c:valAx>
        <c:axId val="1356017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98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9.8939778111072942E-3</c:v>
                </c:pt>
                <c:pt idx="1">
                  <c:v>3.7392915900920587E-2</c:v>
                </c:pt>
                <c:pt idx="2">
                  <c:v>5.1180266227556968E-2</c:v>
                </c:pt>
                <c:pt idx="3">
                  <c:v>9.4260184069532196E-2</c:v>
                </c:pt>
                <c:pt idx="4">
                  <c:v>0.20521137881435314</c:v>
                </c:pt>
                <c:pt idx="5">
                  <c:v>0.10064333856301691</c:v>
                </c:pt>
                <c:pt idx="6">
                  <c:v>0.1212698390823011</c:v>
                </c:pt>
                <c:pt idx="7">
                  <c:v>9.2823272569646065E-2</c:v>
                </c:pt>
                <c:pt idx="8">
                  <c:v>4.2835197039780872E-2</c:v>
                </c:pt>
                <c:pt idx="9">
                  <c:v>2.5762385980760683E-2</c:v>
                </c:pt>
                <c:pt idx="10">
                  <c:v>7.66334104791878E-2</c:v>
                </c:pt>
                <c:pt idx="11">
                  <c:v>1.7466319011546272E-2</c:v>
                </c:pt>
                <c:pt idx="12">
                  <c:v>1.4098588158592343E-2</c:v>
                </c:pt>
                <c:pt idx="13">
                  <c:v>7.432358573945465E-3</c:v>
                </c:pt>
                <c:pt idx="14">
                  <c:v>6.214253653015255E-3</c:v>
                </c:pt>
                <c:pt idx="15">
                  <c:v>7.9171501034166515E-3</c:v>
                </c:pt>
                <c:pt idx="16">
                  <c:v>7.6413573730115579E-3</c:v>
                </c:pt>
                <c:pt idx="17">
                  <c:v>1.4496598624770445E-2</c:v>
                </c:pt>
                <c:pt idx="18">
                  <c:v>1.373572517008646E-2</c:v>
                </c:pt>
                <c:pt idx="19">
                  <c:v>5.2064591857677424E-3</c:v>
                </c:pt>
                <c:pt idx="20">
                  <c:v>7.1894480254484335E-3</c:v>
                </c:pt>
                <c:pt idx="21">
                  <c:v>5.2792577600180562E-3</c:v>
                </c:pt>
                <c:pt idx="22">
                  <c:v>3.8169059955104096E-3</c:v>
                </c:pt>
                <c:pt idx="23">
                  <c:v>6.7304733059714355E-3</c:v>
                </c:pt>
                <c:pt idx="24">
                  <c:v>1.7766762678905524E-3</c:v>
                </c:pt>
                <c:pt idx="25">
                  <c:v>1.4864008280769374E-3</c:v>
                </c:pt>
                <c:pt idx="26">
                  <c:v>4.7444915205232467E-4</c:v>
                </c:pt>
                <c:pt idx="27">
                  <c:v>3.359099803626934E-3</c:v>
                </c:pt>
                <c:pt idx="28">
                  <c:v>1.8094243426682076E-3</c:v>
                </c:pt>
                <c:pt idx="29">
                  <c:v>5.3594515252950044E-4</c:v>
                </c:pt>
                <c:pt idx="30">
                  <c:v>0</c:v>
                </c:pt>
                <c:pt idx="31">
                  <c:v>2.3468904657216553E-4</c:v>
                </c:pt>
                <c:pt idx="32">
                  <c:v>1.5067623933555445E-4</c:v>
                </c:pt>
                <c:pt idx="33">
                  <c:v>9.4077368802203821E-4</c:v>
                </c:pt>
                <c:pt idx="34">
                  <c:v>7.9469643335768284E-3</c:v>
                </c:pt>
                <c:pt idx="35">
                  <c:v>5.6431401692066409E-4</c:v>
                </c:pt>
                <c:pt idx="36">
                  <c:v>0</c:v>
                </c:pt>
                <c:pt idx="37">
                  <c:v>1.9379530195507745E-4</c:v>
                </c:pt>
                <c:pt idx="38">
                  <c:v>1.1332742217579535E-3</c:v>
                </c:pt>
                <c:pt idx="39">
                  <c:v>1.680779524733428E-3</c:v>
                </c:pt>
                <c:pt idx="40">
                  <c:v>0</c:v>
                </c:pt>
                <c:pt idx="41">
                  <c:v>0</c:v>
                </c:pt>
                <c:pt idx="42">
                  <c:v>2.9971887763834642E-4</c:v>
                </c:pt>
                <c:pt idx="43">
                  <c:v>7.5059078734521689E-4</c:v>
                </c:pt>
                <c:pt idx="44">
                  <c:v>3.6646452702233793E-4</c:v>
                </c:pt>
                <c:pt idx="45">
                  <c:v>3.2514467358430246E-4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5.2431544212113866E-4</c:v>
                </c:pt>
                <c:pt idx="53">
                  <c:v>4.3424236896140404E-6</c:v>
                </c:pt>
                <c:pt idx="54">
                  <c:v>0</c:v>
                </c:pt>
                <c:pt idx="55">
                  <c:v>0</c:v>
                </c:pt>
                <c:pt idx="56">
                  <c:v>2.3444420111914612E-4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0.1588865389949318</c:v>
                </c:pt>
                <c:pt idx="1">
                  <c:v>0.13693849441488692</c:v>
                </c:pt>
                <c:pt idx="2">
                  <c:v>8.0130771073400747E-2</c:v>
                </c:pt>
                <c:pt idx="3">
                  <c:v>4.4863713154643332E-2</c:v>
                </c:pt>
                <c:pt idx="4">
                  <c:v>0.17145067954310497</c:v>
                </c:pt>
                <c:pt idx="5">
                  <c:v>7.9221456668095519E-2</c:v>
                </c:pt>
                <c:pt idx="6">
                  <c:v>7.4164281751935249E-2</c:v>
                </c:pt>
                <c:pt idx="7">
                  <c:v>4.1976600519428121E-2</c:v>
                </c:pt>
                <c:pt idx="8">
                  <c:v>3.6822505610328043E-2</c:v>
                </c:pt>
                <c:pt idx="9">
                  <c:v>2.1468172419879472E-2</c:v>
                </c:pt>
                <c:pt idx="10">
                  <c:v>1.8744169041075166E-2</c:v>
                </c:pt>
                <c:pt idx="11">
                  <c:v>1.7514151894904056E-2</c:v>
                </c:pt>
                <c:pt idx="12">
                  <c:v>1.3729544365717744E-2</c:v>
                </c:pt>
                <c:pt idx="13">
                  <c:v>1.1803751985677903E-2</c:v>
                </c:pt>
                <c:pt idx="14">
                  <c:v>1.2065357169873168E-2</c:v>
                </c:pt>
                <c:pt idx="15">
                  <c:v>1.1717075569227665E-2</c:v>
                </c:pt>
                <c:pt idx="16">
                  <c:v>1.0587130285685468E-2</c:v>
                </c:pt>
                <c:pt idx="17">
                  <c:v>5.653666254822361E-3</c:v>
                </c:pt>
                <c:pt idx="18">
                  <c:v>6.1343263824100453E-3</c:v>
                </c:pt>
                <c:pt idx="19">
                  <c:v>6.0909881741849263E-3</c:v>
                </c:pt>
                <c:pt idx="20">
                  <c:v>5.0248682518469956E-3</c:v>
                </c:pt>
                <c:pt idx="21">
                  <c:v>3.8145502912327591E-3</c:v>
                </c:pt>
                <c:pt idx="22">
                  <c:v>2.8650495473915125E-3</c:v>
                </c:pt>
                <c:pt idx="23">
                  <c:v>3.1699929398118962E-3</c:v>
                </c:pt>
                <c:pt idx="24">
                  <c:v>3.016339292468292E-3</c:v>
                </c:pt>
                <c:pt idx="25">
                  <c:v>3.475724299654555E-3</c:v>
                </c:pt>
                <c:pt idx="26">
                  <c:v>2.3048047101540633E-3</c:v>
                </c:pt>
                <c:pt idx="27">
                  <c:v>2.1346037469426862E-3</c:v>
                </c:pt>
                <c:pt idx="28">
                  <c:v>1.7351042638493153E-3</c:v>
                </c:pt>
                <c:pt idx="29">
                  <c:v>1.538112408280592E-3</c:v>
                </c:pt>
                <c:pt idx="30">
                  <c:v>1.3032981164426737E-3</c:v>
                </c:pt>
                <c:pt idx="31">
                  <c:v>1.2922665725308253E-3</c:v>
                </c:pt>
                <c:pt idx="32">
                  <c:v>1.0015065937113896E-3</c:v>
                </c:pt>
                <c:pt idx="33">
                  <c:v>8.7227993645830706E-4</c:v>
                </c:pt>
                <c:pt idx="34">
                  <c:v>9.1010237272750195E-4</c:v>
                </c:pt>
                <c:pt idx="35">
                  <c:v>5.9570337123981943E-4</c:v>
                </c:pt>
                <c:pt idx="36">
                  <c:v>7.477810837388739E-4</c:v>
                </c:pt>
                <c:pt idx="37">
                  <c:v>6.3904157946493862E-4</c:v>
                </c:pt>
                <c:pt idx="38">
                  <c:v>5.9097556670617015E-4</c:v>
                </c:pt>
                <c:pt idx="39">
                  <c:v>4.4598956100758971E-4</c:v>
                </c:pt>
                <c:pt idx="40">
                  <c:v>3.5773720971280166E-4</c:v>
                </c:pt>
                <c:pt idx="41">
                  <c:v>2.9863965304218463E-4</c:v>
                </c:pt>
                <c:pt idx="42">
                  <c:v>2.3245038957109358E-4</c:v>
                </c:pt>
                <c:pt idx="43">
                  <c:v>2.2063087823697016E-4</c:v>
                </c:pt>
                <c:pt idx="44">
                  <c:v>1.6626112610000252E-4</c:v>
                </c:pt>
                <c:pt idx="45">
                  <c:v>1.7098893063365188E-4</c:v>
                </c:pt>
                <c:pt idx="46">
                  <c:v>1.6074535414407827E-4</c:v>
                </c:pt>
                <c:pt idx="47">
                  <c:v>1.5522958218815402E-4</c:v>
                </c:pt>
                <c:pt idx="48">
                  <c:v>8.1160644494314026E-5</c:v>
                </c:pt>
                <c:pt idx="49">
                  <c:v>1.079515368516604E-4</c:v>
                </c:pt>
                <c:pt idx="50">
                  <c:v>7.4856905116114873E-5</c:v>
                </c:pt>
                <c:pt idx="51">
                  <c:v>7.5644872538389776E-5</c:v>
                </c:pt>
                <c:pt idx="52">
                  <c:v>6.0673491515166797E-5</c:v>
                </c:pt>
                <c:pt idx="53">
                  <c:v>4.4126175647394034E-5</c:v>
                </c:pt>
                <c:pt idx="54">
                  <c:v>5.6733654403792332E-5</c:v>
                </c:pt>
                <c:pt idx="55">
                  <c:v>2.8366827201896166E-5</c:v>
                </c:pt>
                <c:pt idx="56">
                  <c:v>4.0974305958294457E-5</c:v>
                </c:pt>
                <c:pt idx="57">
                  <c:v>3.1518696890995735E-5</c:v>
                </c:pt>
                <c:pt idx="58">
                  <c:v>3.2306664313270631E-5</c:v>
                </c:pt>
                <c:pt idx="59">
                  <c:v>1.8911218134597444E-5</c:v>
                </c:pt>
                <c:pt idx="60">
                  <c:v>2.0487152979147229E-5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0992"/>
        <c:axId val="135602168"/>
      </c:lineChart>
      <c:catAx>
        <c:axId val="135600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2168"/>
        <c:crosses val="autoZero"/>
        <c:auto val="1"/>
        <c:lblAlgn val="ctr"/>
        <c:lblOffset val="100"/>
        <c:tickLblSkip val="10"/>
        <c:noMultiLvlLbl val="0"/>
      </c:catAx>
      <c:valAx>
        <c:axId val="1356021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0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3.4225682192741019E-3</c:v>
                </c:pt>
                <c:pt idx="5">
                  <c:v>7.129724480319454E-3</c:v>
                </c:pt>
                <c:pt idx="6">
                  <c:v>5.8821961401707866E-3</c:v>
                </c:pt>
                <c:pt idx="7">
                  <c:v>7.4507624461349889E-3</c:v>
                </c:pt>
                <c:pt idx="8">
                  <c:v>2.5293340952232696E-3</c:v>
                </c:pt>
                <c:pt idx="9">
                  <c:v>1.7231753314652397E-2</c:v>
                </c:pt>
                <c:pt idx="10">
                  <c:v>4.1719813716529107E-3</c:v>
                </c:pt>
                <c:pt idx="11">
                  <c:v>1.1935307381560716E-2</c:v>
                </c:pt>
                <c:pt idx="12">
                  <c:v>2.2107785132288164E-2</c:v>
                </c:pt>
                <c:pt idx="13">
                  <c:v>1.2241477427720122E-2</c:v>
                </c:pt>
                <c:pt idx="14">
                  <c:v>1.4347733815127552E-2</c:v>
                </c:pt>
                <c:pt idx="15">
                  <c:v>8.6214864255375421E-3</c:v>
                </c:pt>
                <c:pt idx="16">
                  <c:v>4.8451237548315873E-2</c:v>
                </c:pt>
                <c:pt idx="17">
                  <c:v>1.6464659033333807E-2</c:v>
                </c:pt>
                <c:pt idx="18">
                  <c:v>9.5880116007261526E-2</c:v>
                </c:pt>
                <c:pt idx="19">
                  <c:v>3.5491066269459512E-2</c:v>
                </c:pt>
                <c:pt idx="20">
                  <c:v>6.3931515922740864E-2</c:v>
                </c:pt>
                <c:pt idx="21">
                  <c:v>6.631580364161041E-2</c:v>
                </c:pt>
                <c:pt idx="22">
                  <c:v>4.3832964614715204E-2</c:v>
                </c:pt>
                <c:pt idx="23">
                  <c:v>2.7875201425721922E-2</c:v>
                </c:pt>
                <c:pt idx="24">
                  <c:v>4.3419695367950734E-2</c:v>
                </c:pt>
                <c:pt idx="25">
                  <c:v>4.5787795459807518E-2</c:v>
                </c:pt>
                <c:pt idx="26">
                  <c:v>5.5830177711958869E-2</c:v>
                </c:pt>
                <c:pt idx="27">
                  <c:v>1.4482101635318505E-2</c:v>
                </c:pt>
                <c:pt idx="28">
                  <c:v>3.4573714123348927E-2</c:v>
                </c:pt>
                <c:pt idx="29">
                  <c:v>3.2126528643986935E-2</c:v>
                </c:pt>
                <c:pt idx="30">
                  <c:v>1.1611620187502045E-2</c:v>
                </c:pt>
                <c:pt idx="31">
                  <c:v>1.2442608637442265E-2</c:v>
                </c:pt>
                <c:pt idx="32">
                  <c:v>1.056006965834696E-2</c:v>
                </c:pt>
                <c:pt idx="33">
                  <c:v>8.2789167193803165E-3</c:v>
                </c:pt>
                <c:pt idx="34">
                  <c:v>2.1789817438529847E-2</c:v>
                </c:pt>
                <c:pt idx="35">
                  <c:v>5.1355925439675407E-3</c:v>
                </c:pt>
                <c:pt idx="36">
                  <c:v>5.3167422303248644E-3</c:v>
                </c:pt>
                <c:pt idx="37">
                  <c:v>1.2286561271736473E-2</c:v>
                </c:pt>
                <c:pt idx="38">
                  <c:v>8.8965686671550852E-3</c:v>
                </c:pt>
                <c:pt idx="39">
                  <c:v>7.3047950756029685E-3</c:v>
                </c:pt>
                <c:pt idx="40">
                  <c:v>2.9638636800957134E-3</c:v>
                </c:pt>
                <c:pt idx="41">
                  <c:v>4.8634199020688587E-3</c:v>
                </c:pt>
                <c:pt idx="42">
                  <c:v>3.849885345576824E-3</c:v>
                </c:pt>
                <c:pt idx="43">
                  <c:v>1.6649507160851039E-3</c:v>
                </c:pt>
                <c:pt idx="44">
                  <c:v>3.9144872133313538E-3</c:v>
                </c:pt>
                <c:pt idx="45">
                  <c:v>5.7341102379437264E-2</c:v>
                </c:pt>
                <c:pt idx="46">
                  <c:v>4.5373686035310151E-3</c:v>
                </c:pt>
                <c:pt idx="47">
                  <c:v>5.3448517014202191E-4</c:v>
                </c:pt>
                <c:pt idx="48">
                  <c:v>7.152233369148199E-3</c:v>
                </c:pt>
                <c:pt idx="49">
                  <c:v>2.5855781733599733E-3</c:v>
                </c:pt>
                <c:pt idx="50">
                  <c:v>3.0700718485383827E-4</c:v>
                </c:pt>
                <c:pt idx="51">
                  <c:v>2.881864750100575E-3</c:v>
                </c:pt>
                <c:pt idx="52">
                  <c:v>5.24412623683131E-4</c:v>
                </c:pt>
                <c:pt idx="53">
                  <c:v>1.2543800085073448E-3</c:v>
                </c:pt>
                <c:pt idx="54">
                  <c:v>1.0140139796089602E-3</c:v>
                </c:pt>
                <c:pt idx="55">
                  <c:v>1.9108524447693615E-3</c:v>
                </c:pt>
                <c:pt idx="56">
                  <c:v>6.5105229748850323E-5</c:v>
                </c:pt>
                <c:pt idx="57">
                  <c:v>5.5125089441937598E-3</c:v>
                </c:pt>
                <c:pt idx="58">
                  <c:v>1.5890065950380505E-3</c:v>
                </c:pt>
                <c:pt idx="59">
                  <c:v>9.9711466414286105E-4</c:v>
                </c:pt>
                <c:pt idx="60">
                  <c:v>1.6628925439139903E-3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5.0477193070929674E-3</c:v>
                </c:pt>
                <c:pt idx="1">
                  <c:v>2.2620180791245368E-2</c:v>
                </c:pt>
                <c:pt idx="2">
                  <c:v>2.8912100658110392E-2</c:v>
                </c:pt>
                <c:pt idx="3">
                  <c:v>3.2400432436521347E-2</c:v>
                </c:pt>
                <c:pt idx="4">
                  <c:v>3.2930734511712349E-2</c:v>
                </c:pt>
                <c:pt idx="5">
                  <c:v>3.2740834362944102E-2</c:v>
                </c:pt>
                <c:pt idx="6">
                  <c:v>3.1340616253561611E-2</c:v>
                </c:pt>
                <c:pt idx="7">
                  <c:v>2.9428219319700445E-2</c:v>
                </c:pt>
                <c:pt idx="8">
                  <c:v>2.7050921606697094E-2</c:v>
                </c:pt>
                <c:pt idx="9">
                  <c:v>2.463974129453592E-2</c:v>
                </c:pt>
                <c:pt idx="10">
                  <c:v>2.1842456945460047E-2</c:v>
                </c:pt>
                <c:pt idx="11">
                  <c:v>1.9815016767946746E-2</c:v>
                </c:pt>
                <c:pt idx="12">
                  <c:v>1.8349397362515445E-2</c:v>
                </c:pt>
                <c:pt idx="13">
                  <c:v>1.6112357850677023E-2</c:v>
                </c:pt>
                <c:pt idx="14">
                  <c:v>1.586572404750498E-2</c:v>
                </c:pt>
                <c:pt idx="15">
                  <c:v>1.4288213268110644E-2</c:v>
                </c:pt>
                <c:pt idx="16">
                  <c:v>1.2455401043899242E-2</c:v>
                </c:pt>
                <c:pt idx="17">
                  <c:v>1.1809267757633829E-2</c:v>
                </c:pt>
                <c:pt idx="18">
                  <c:v>0.12391575682694975</c:v>
                </c:pt>
                <c:pt idx="19">
                  <c:v>3.9091851786479739E-2</c:v>
                </c:pt>
                <c:pt idx="20">
                  <c:v>3.8904315539978314E-2</c:v>
                </c:pt>
                <c:pt idx="21">
                  <c:v>4.3419368869613457E-2</c:v>
                </c:pt>
                <c:pt idx="22">
                  <c:v>4.1266641871958443E-2</c:v>
                </c:pt>
                <c:pt idx="23">
                  <c:v>3.5550726190776372E-2</c:v>
                </c:pt>
                <c:pt idx="24">
                  <c:v>2.2674550543382334E-2</c:v>
                </c:pt>
                <c:pt idx="25">
                  <c:v>2.2351483900249627E-2</c:v>
                </c:pt>
                <c:pt idx="26">
                  <c:v>2.1793602965279005E-2</c:v>
                </c:pt>
                <c:pt idx="27">
                  <c:v>1.5869663884616355E-2</c:v>
                </c:pt>
                <c:pt idx="28">
                  <c:v>1.9610145238155272E-2</c:v>
                </c:pt>
                <c:pt idx="29">
                  <c:v>1.2954972389621523E-2</c:v>
                </c:pt>
                <c:pt idx="30">
                  <c:v>1.4427683501853299E-2</c:v>
                </c:pt>
                <c:pt idx="31">
                  <c:v>1.057767467661817E-2</c:v>
                </c:pt>
                <c:pt idx="32">
                  <c:v>9.2940757457323688E-3</c:v>
                </c:pt>
                <c:pt idx="33">
                  <c:v>1.5537929599838624E-2</c:v>
                </c:pt>
                <c:pt idx="34">
                  <c:v>1.3760275095186465E-2</c:v>
                </c:pt>
                <c:pt idx="35">
                  <c:v>9.0624133235835489E-3</c:v>
                </c:pt>
                <c:pt idx="36">
                  <c:v>5.6749413752237828E-3</c:v>
                </c:pt>
                <c:pt idx="37">
                  <c:v>7.2390567084394467E-3</c:v>
                </c:pt>
                <c:pt idx="38">
                  <c:v>5.1083927986081343E-3</c:v>
                </c:pt>
                <c:pt idx="39">
                  <c:v>6.5251582238583924E-3</c:v>
                </c:pt>
                <c:pt idx="40">
                  <c:v>4.422073173806702E-3</c:v>
                </c:pt>
                <c:pt idx="41">
                  <c:v>5.4984366726342068E-3</c:v>
                </c:pt>
                <c:pt idx="42">
                  <c:v>4.2093219697924809E-3</c:v>
                </c:pt>
                <c:pt idx="43">
                  <c:v>3.8531606949242288E-3</c:v>
                </c:pt>
                <c:pt idx="44">
                  <c:v>3.8232179328777831E-3</c:v>
                </c:pt>
                <c:pt idx="45">
                  <c:v>3.9390491439521922E-3</c:v>
                </c:pt>
                <c:pt idx="46">
                  <c:v>3.1518696890995737E-3</c:v>
                </c:pt>
                <c:pt idx="47">
                  <c:v>2.7106079326256337E-3</c:v>
                </c:pt>
                <c:pt idx="48">
                  <c:v>2.6680576918227893E-3</c:v>
                </c:pt>
                <c:pt idx="49">
                  <c:v>3.5269421821024233E-3</c:v>
                </c:pt>
                <c:pt idx="50">
                  <c:v>2.4174840515393732E-3</c:v>
                </c:pt>
                <c:pt idx="51">
                  <c:v>2.0881136690284676E-3</c:v>
                </c:pt>
                <c:pt idx="52">
                  <c:v>1.9541592072417359E-3</c:v>
                </c:pt>
                <c:pt idx="53">
                  <c:v>1.4002181093824857E-3</c:v>
                </c:pt>
                <c:pt idx="54">
                  <c:v>1.6421241080208781E-3</c:v>
                </c:pt>
                <c:pt idx="55">
                  <c:v>1.6673390655336745E-3</c:v>
                </c:pt>
                <c:pt idx="56">
                  <c:v>1.4679833076981265E-3</c:v>
                </c:pt>
                <c:pt idx="57">
                  <c:v>1.065331954915656E-3</c:v>
                </c:pt>
                <c:pt idx="58">
                  <c:v>1.3056620187094985E-3</c:v>
                </c:pt>
                <c:pt idx="59">
                  <c:v>1.1047303260294007E-3</c:v>
                </c:pt>
                <c:pt idx="60">
                  <c:v>9.5186464610807131E-4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2560"/>
        <c:axId val="135595504"/>
      </c:lineChart>
      <c:catAx>
        <c:axId val="1356025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5504"/>
        <c:crosses val="autoZero"/>
        <c:auto val="1"/>
        <c:lblAlgn val="ctr"/>
        <c:lblOffset val="100"/>
        <c:tickLblSkip val="10"/>
        <c:noMultiLvlLbl val="0"/>
      </c:catAx>
      <c:valAx>
        <c:axId val="135595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25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3.0170621149902752E-2</c:v>
                </c:pt>
                <c:pt idx="1">
                  <c:v>4.2466649923068013E-2</c:v>
                </c:pt>
                <c:pt idx="2">
                  <c:v>5.1437597505184542E-2</c:v>
                </c:pt>
                <c:pt idx="3">
                  <c:v>0.10559758155762267</c:v>
                </c:pt>
                <c:pt idx="4">
                  <c:v>0.1726749861827907</c:v>
                </c:pt>
                <c:pt idx="5">
                  <c:v>0.11850253599881463</c:v>
                </c:pt>
                <c:pt idx="6">
                  <c:v>0.11309375266154519</c:v>
                </c:pt>
                <c:pt idx="7">
                  <c:v>5.5394096926911815E-2</c:v>
                </c:pt>
                <c:pt idx="8">
                  <c:v>4.6808839594186177E-2</c:v>
                </c:pt>
                <c:pt idx="9">
                  <c:v>3.5453557497192076E-2</c:v>
                </c:pt>
                <c:pt idx="10">
                  <c:v>7.0425587265715003E-2</c:v>
                </c:pt>
                <c:pt idx="11">
                  <c:v>2.0102871107625094E-2</c:v>
                </c:pt>
                <c:pt idx="12">
                  <c:v>1.8854151399380976E-2</c:v>
                </c:pt>
                <c:pt idx="13">
                  <c:v>8.5361404557916503E-3</c:v>
                </c:pt>
                <c:pt idx="14">
                  <c:v>1.0020448053538708E-2</c:v>
                </c:pt>
                <c:pt idx="15">
                  <c:v>9.7791361568456397E-3</c:v>
                </c:pt>
                <c:pt idx="16">
                  <c:v>1.6103514450881182E-2</c:v>
                </c:pt>
                <c:pt idx="17">
                  <c:v>8.2143678545269615E-3</c:v>
                </c:pt>
                <c:pt idx="18">
                  <c:v>7.0377173662154379E-3</c:v>
                </c:pt>
                <c:pt idx="19">
                  <c:v>7.4161046986423278E-3</c:v>
                </c:pt>
                <c:pt idx="20">
                  <c:v>5.310721568912739E-3</c:v>
                </c:pt>
                <c:pt idx="21">
                  <c:v>5.2457249397710381E-3</c:v>
                </c:pt>
                <c:pt idx="22">
                  <c:v>6.9257493091834715E-3</c:v>
                </c:pt>
                <c:pt idx="23">
                  <c:v>8.6570757099840127E-3</c:v>
                </c:pt>
                <c:pt idx="24">
                  <c:v>6.4518276059243322E-4</c:v>
                </c:pt>
                <c:pt idx="25">
                  <c:v>1.042669904675741E-3</c:v>
                </c:pt>
                <c:pt idx="26">
                  <c:v>8.310934261657395E-4</c:v>
                </c:pt>
                <c:pt idx="27">
                  <c:v>1.2334038280250527E-3</c:v>
                </c:pt>
                <c:pt idx="28">
                  <c:v>2.0175375845024367E-3</c:v>
                </c:pt>
                <c:pt idx="29">
                  <c:v>5.6510049723846299E-4</c:v>
                </c:pt>
                <c:pt idx="30">
                  <c:v>9.5380680283741934E-4</c:v>
                </c:pt>
                <c:pt idx="31">
                  <c:v>1.6185940667784731E-3</c:v>
                </c:pt>
                <c:pt idx="32">
                  <c:v>6.1217281514386085E-4</c:v>
                </c:pt>
                <c:pt idx="33">
                  <c:v>9.1779514899832844E-4</c:v>
                </c:pt>
                <c:pt idx="34">
                  <c:v>8.7124947759168792E-4</c:v>
                </c:pt>
                <c:pt idx="35">
                  <c:v>5.2852518722881108E-4</c:v>
                </c:pt>
                <c:pt idx="36">
                  <c:v>6.5250687044529263E-4</c:v>
                </c:pt>
                <c:pt idx="37">
                  <c:v>3.4322087541246743E-4</c:v>
                </c:pt>
                <c:pt idx="38">
                  <c:v>2.7619367508685644E-6</c:v>
                </c:pt>
                <c:pt idx="39">
                  <c:v>2.3811256085469687E-4</c:v>
                </c:pt>
                <c:pt idx="40">
                  <c:v>1.2200869579212948E-3</c:v>
                </c:pt>
                <c:pt idx="41">
                  <c:v>1.4856189651420713E-3</c:v>
                </c:pt>
                <c:pt idx="42">
                  <c:v>0</c:v>
                </c:pt>
                <c:pt idx="43">
                  <c:v>8.6331318153327655E-5</c:v>
                </c:pt>
                <c:pt idx="44">
                  <c:v>6.7663247632373971E-4</c:v>
                </c:pt>
                <c:pt idx="45">
                  <c:v>0</c:v>
                </c:pt>
                <c:pt idx="46">
                  <c:v>9.2105839289144474E-4</c:v>
                </c:pt>
                <c:pt idx="47">
                  <c:v>3.0958837447106939E-3</c:v>
                </c:pt>
                <c:pt idx="48">
                  <c:v>1.28596683371504E-4</c:v>
                </c:pt>
                <c:pt idx="49">
                  <c:v>2.4459081280374395E-4</c:v>
                </c:pt>
                <c:pt idx="50">
                  <c:v>2.731828159904091E-4</c:v>
                </c:pt>
                <c:pt idx="51">
                  <c:v>5.6951954349153717E-5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4.6157143006342202E-4</c:v>
                </c:pt>
                <c:pt idx="57">
                  <c:v>3.937550615496847E-4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0.18928428765450417</c:v>
                </c:pt>
                <c:pt idx="1">
                  <c:v>0.1317699357445303</c:v>
                </c:pt>
                <c:pt idx="2">
                  <c:v>7.7511156256063182E-2</c:v>
                </c:pt>
                <c:pt idx="3">
                  <c:v>4.2085620698706902E-2</c:v>
                </c:pt>
                <c:pt idx="4">
                  <c:v>0.15819970554331822</c:v>
                </c:pt>
                <c:pt idx="5">
                  <c:v>7.9265341992033694E-2</c:v>
                </c:pt>
                <c:pt idx="6">
                  <c:v>7.2045446763829762E-2</c:v>
                </c:pt>
                <c:pt idx="7">
                  <c:v>4.4482931784202054E-2</c:v>
                </c:pt>
                <c:pt idx="8">
                  <c:v>3.9141624533491591E-2</c:v>
                </c:pt>
                <c:pt idx="9">
                  <c:v>2.3633572626941646E-2</c:v>
                </c:pt>
                <c:pt idx="10">
                  <c:v>1.91961789109668E-2</c:v>
                </c:pt>
                <c:pt idx="11">
                  <c:v>1.7753569431287735E-2</c:v>
                </c:pt>
                <c:pt idx="12">
                  <c:v>1.3451420354032802E-2</c:v>
                </c:pt>
                <c:pt idx="13">
                  <c:v>1.2258186009883701E-2</c:v>
                </c:pt>
                <c:pt idx="14">
                  <c:v>1.1401636631324256E-2</c:v>
                </c:pt>
                <c:pt idx="15">
                  <c:v>1.0664353621931317E-2</c:v>
                </c:pt>
                <c:pt idx="16">
                  <c:v>9.5224780013467396E-3</c:v>
                </c:pt>
                <c:pt idx="17">
                  <c:v>5.3316061584816081E-3</c:v>
                </c:pt>
                <c:pt idx="18">
                  <c:v>5.7938346705623213E-3</c:v>
                </c:pt>
                <c:pt idx="19">
                  <c:v>5.6460356771933029E-3</c:v>
                </c:pt>
                <c:pt idx="20">
                  <c:v>4.060192424017622E-3</c:v>
                </c:pt>
                <c:pt idx="21">
                  <c:v>3.4028007623917189E-3</c:v>
                </c:pt>
                <c:pt idx="22">
                  <c:v>2.7345667035688606E-3</c:v>
                </c:pt>
                <c:pt idx="23">
                  <c:v>2.7003275545258447E-3</c:v>
                </c:pt>
                <c:pt idx="24">
                  <c:v>2.438398064346774E-3</c:v>
                </c:pt>
                <c:pt idx="25">
                  <c:v>2.6586699231901756E-3</c:v>
                </c:pt>
                <c:pt idx="26">
                  <c:v>2.1456533400289893E-3</c:v>
                </c:pt>
                <c:pt idx="27">
                  <c:v>1.6155171823462947E-3</c:v>
                </c:pt>
                <c:pt idx="28">
                  <c:v>1.2668485145915841E-3</c:v>
                </c:pt>
                <c:pt idx="29">
                  <c:v>1.1310332233876214E-3</c:v>
                </c:pt>
                <c:pt idx="30">
                  <c:v>1.0111962017370661E-3</c:v>
                </c:pt>
                <c:pt idx="31">
                  <c:v>9.016309247994157E-4</c:v>
                </c:pt>
                <c:pt idx="32">
                  <c:v>7.4070692429724144E-4</c:v>
                </c:pt>
                <c:pt idx="33">
                  <c:v>5.7692966137481592E-4</c:v>
                </c:pt>
                <c:pt idx="34">
                  <c:v>5.6836987411406205E-4</c:v>
                </c:pt>
                <c:pt idx="35">
                  <c:v>4.2627740558554651E-4</c:v>
                </c:pt>
                <c:pt idx="36">
                  <c:v>5.5296225704470491E-4</c:v>
                </c:pt>
                <c:pt idx="37">
                  <c:v>4.4796219997945649E-4</c:v>
                </c:pt>
                <c:pt idx="38">
                  <c:v>3.8690238418607835E-4</c:v>
                </c:pt>
                <c:pt idx="39">
                  <c:v>3.0815234138714204E-4</c:v>
                </c:pt>
                <c:pt idx="40">
                  <c:v>2.2940229858820575E-4</c:v>
                </c:pt>
                <c:pt idx="41">
                  <c:v>1.8432075234823498E-4</c:v>
                </c:pt>
                <c:pt idx="42">
                  <c:v>1.6548922037457628E-4</c:v>
                </c:pt>
                <c:pt idx="43">
                  <c:v>1.2326093655485682E-4</c:v>
                </c:pt>
                <c:pt idx="44">
                  <c:v>1.1641310674625367E-4</c:v>
                </c:pt>
                <c:pt idx="45">
                  <c:v>1.1070658190575104E-4</c:v>
                </c:pt>
                <c:pt idx="46">
                  <c:v>9.5298964836393934E-5</c:v>
                </c:pt>
                <c:pt idx="47">
                  <c:v>8.5027220123489204E-5</c:v>
                </c:pt>
                <c:pt idx="48">
                  <c:v>5.5353290952875518E-5</c:v>
                </c:pt>
                <c:pt idx="49">
                  <c:v>4.2798936303769731E-5</c:v>
                </c:pt>
                <c:pt idx="50">
                  <c:v>3.7092411463267101E-5</c:v>
                </c:pt>
                <c:pt idx="51">
                  <c:v>4.0516326367568675E-5</c:v>
                </c:pt>
                <c:pt idx="52">
                  <c:v>3.309784407491526E-5</c:v>
                </c:pt>
                <c:pt idx="53">
                  <c:v>1.9972836941759208E-5</c:v>
                </c:pt>
                <c:pt idx="54">
                  <c:v>2.8532624202513154E-5</c:v>
                </c:pt>
                <c:pt idx="55">
                  <c:v>2.2255446877960261E-5</c:v>
                </c:pt>
                <c:pt idx="56">
                  <c:v>1.5978269553407364E-5</c:v>
                </c:pt>
                <c:pt idx="57">
                  <c:v>1.1413049681005262E-5</c:v>
                </c:pt>
                <c:pt idx="58">
                  <c:v>8.5597872607539463E-6</c:v>
                </c:pt>
                <c:pt idx="59">
                  <c:v>1.0842397196954998E-5</c:v>
                </c:pt>
                <c:pt idx="60">
                  <c:v>7.9891347767036822E-6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8248"/>
        <c:axId val="135595896"/>
      </c:lineChart>
      <c:catAx>
        <c:axId val="135598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5896"/>
        <c:crosses val="autoZero"/>
        <c:auto val="1"/>
        <c:lblAlgn val="ctr"/>
        <c:lblOffset val="100"/>
        <c:tickLblSkip val="10"/>
        <c:noMultiLvlLbl val="0"/>
      </c:catAx>
      <c:valAx>
        <c:axId val="1355958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8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2.0070831080937175E-4</c:v>
                </c:pt>
                <c:pt idx="2">
                  <c:v>8.9304634871663674E-5</c:v>
                </c:pt>
                <c:pt idx="3">
                  <c:v>4.6374793358276706E-4</c:v>
                </c:pt>
                <c:pt idx="4">
                  <c:v>8.0939409300420087E-4</c:v>
                </c:pt>
                <c:pt idx="5">
                  <c:v>1.1757845695027339E-2</c:v>
                </c:pt>
                <c:pt idx="6">
                  <c:v>1.1243671577118816E-2</c:v>
                </c:pt>
                <c:pt idx="7">
                  <c:v>9.8740180743943605E-3</c:v>
                </c:pt>
                <c:pt idx="8">
                  <c:v>3.354299217694904E-3</c:v>
                </c:pt>
                <c:pt idx="9">
                  <c:v>1.2229287725279819E-2</c:v>
                </c:pt>
                <c:pt idx="10">
                  <c:v>2.4774155287255449E-3</c:v>
                </c:pt>
                <c:pt idx="11">
                  <c:v>1.3088150838622255E-2</c:v>
                </c:pt>
                <c:pt idx="12">
                  <c:v>1.0177756993687207E-2</c:v>
                </c:pt>
                <c:pt idx="13">
                  <c:v>2.1677220905935411E-2</c:v>
                </c:pt>
                <c:pt idx="14">
                  <c:v>1.6672438707578199E-2</c:v>
                </c:pt>
                <c:pt idx="15">
                  <c:v>8.1769769273449585E-3</c:v>
                </c:pt>
                <c:pt idx="16">
                  <c:v>4.2137850139147469E-2</c:v>
                </c:pt>
                <c:pt idx="17">
                  <c:v>2.6288339772226828E-2</c:v>
                </c:pt>
                <c:pt idx="18">
                  <c:v>6.4902494632655724E-2</c:v>
                </c:pt>
                <c:pt idx="19">
                  <c:v>4.8236165404774434E-2</c:v>
                </c:pt>
                <c:pt idx="20">
                  <c:v>6.7271669992631303E-2</c:v>
                </c:pt>
                <c:pt idx="21">
                  <c:v>6.8591527357606749E-2</c:v>
                </c:pt>
                <c:pt idx="22">
                  <c:v>4.0339141308378235E-2</c:v>
                </c:pt>
                <c:pt idx="23">
                  <c:v>2.7766615419715934E-2</c:v>
                </c:pt>
                <c:pt idx="24">
                  <c:v>4.7867502339171079E-2</c:v>
                </c:pt>
                <c:pt idx="25">
                  <c:v>2.1046705766146978E-2</c:v>
                </c:pt>
                <c:pt idx="26">
                  <c:v>6.6239257077928548E-2</c:v>
                </c:pt>
                <c:pt idx="27">
                  <c:v>1.3161154864952274E-2</c:v>
                </c:pt>
                <c:pt idx="28">
                  <c:v>1.9848670827178366E-2</c:v>
                </c:pt>
                <c:pt idx="29">
                  <c:v>1.9416460656830063E-2</c:v>
                </c:pt>
                <c:pt idx="30">
                  <c:v>5.9380781860471094E-3</c:v>
                </c:pt>
                <c:pt idx="31">
                  <c:v>1.4564616629679821E-2</c:v>
                </c:pt>
                <c:pt idx="32">
                  <c:v>7.2772038930360603E-3</c:v>
                </c:pt>
                <c:pt idx="33">
                  <c:v>1.6197421586790949E-2</c:v>
                </c:pt>
                <c:pt idx="34">
                  <c:v>2.0495107552298122E-2</c:v>
                </c:pt>
                <c:pt idx="35">
                  <c:v>1.4241715694584711E-2</c:v>
                </c:pt>
                <c:pt idx="36">
                  <c:v>6.7220586160776676E-3</c:v>
                </c:pt>
                <c:pt idx="37">
                  <c:v>1.4873345480423867E-2</c:v>
                </c:pt>
                <c:pt idx="38">
                  <c:v>1.3338646454546174E-2</c:v>
                </c:pt>
                <c:pt idx="39">
                  <c:v>5.8301906769863184E-3</c:v>
                </c:pt>
                <c:pt idx="40">
                  <c:v>1.064245522096864E-2</c:v>
                </c:pt>
                <c:pt idx="41">
                  <c:v>1.0587503649163608E-2</c:v>
                </c:pt>
                <c:pt idx="42">
                  <c:v>2.989354804210241E-3</c:v>
                </c:pt>
                <c:pt idx="43">
                  <c:v>2.7184094482209562E-3</c:v>
                </c:pt>
                <c:pt idx="44">
                  <c:v>2.2150003910084526E-3</c:v>
                </c:pt>
                <c:pt idx="45">
                  <c:v>5.8622665854005065E-2</c:v>
                </c:pt>
                <c:pt idx="46">
                  <c:v>3.3031540322418676E-3</c:v>
                </c:pt>
                <c:pt idx="47">
                  <c:v>1.8000843931581757E-3</c:v>
                </c:pt>
                <c:pt idx="48">
                  <c:v>3.450772830262756E-4</c:v>
                </c:pt>
                <c:pt idx="49">
                  <c:v>1.9111273109675021E-3</c:v>
                </c:pt>
                <c:pt idx="50">
                  <c:v>1.6826030374364552E-3</c:v>
                </c:pt>
                <c:pt idx="51">
                  <c:v>7.9180431695635614E-4</c:v>
                </c:pt>
                <c:pt idx="52">
                  <c:v>1.0224611083269985E-3</c:v>
                </c:pt>
                <c:pt idx="53">
                  <c:v>2.1479057598380894E-3</c:v>
                </c:pt>
                <c:pt idx="54">
                  <c:v>3.5175275796139964E-3</c:v>
                </c:pt>
                <c:pt idx="55">
                  <c:v>0</c:v>
                </c:pt>
                <c:pt idx="56">
                  <c:v>1.1472614999133181E-3</c:v>
                </c:pt>
                <c:pt idx="57">
                  <c:v>9.3630881831917767E-4</c:v>
                </c:pt>
                <c:pt idx="58">
                  <c:v>3.5805307764119852E-3</c:v>
                </c:pt>
                <c:pt idx="59">
                  <c:v>2.7771515859533517E-3</c:v>
                </c:pt>
                <c:pt idx="60">
                  <c:v>2.9949547866418456E-3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6.9825037948390185E-3</c:v>
                </c:pt>
                <c:pt idx="1">
                  <c:v>2.8073819605336742E-2</c:v>
                </c:pt>
                <c:pt idx="2">
                  <c:v>3.3014528812243919E-2</c:v>
                </c:pt>
                <c:pt idx="3">
                  <c:v>3.5959666282427326E-2</c:v>
                </c:pt>
                <c:pt idx="4">
                  <c:v>3.5334801812392291E-2</c:v>
                </c:pt>
                <c:pt idx="5">
                  <c:v>3.4497654618290553E-2</c:v>
                </c:pt>
                <c:pt idx="6">
                  <c:v>3.2093495702986793E-2</c:v>
                </c:pt>
                <c:pt idx="7">
                  <c:v>2.9966103242447414E-2</c:v>
                </c:pt>
                <c:pt idx="8">
                  <c:v>2.7228683276458301E-2</c:v>
                </c:pt>
                <c:pt idx="9">
                  <c:v>2.4694415594791085E-2</c:v>
                </c:pt>
                <c:pt idx="10">
                  <c:v>2.251395245323503E-2</c:v>
                </c:pt>
                <c:pt idx="11">
                  <c:v>2.0000228260993621E-2</c:v>
                </c:pt>
                <c:pt idx="12">
                  <c:v>1.8440635022084251E-2</c:v>
                </c:pt>
                <c:pt idx="13">
                  <c:v>1.6093541355185519E-2</c:v>
                </c:pt>
                <c:pt idx="14">
                  <c:v>1.5466964927698331E-2</c:v>
                </c:pt>
                <c:pt idx="15">
                  <c:v>1.3259681119391912E-2</c:v>
                </c:pt>
                <c:pt idx="16">
                  <c:v>1.2504137230509364E-2</c:v>
                </c:pt>
                <c:pt idx="17">
                  <c:v>1.1296065921774958E-2</c:v>
                </c:pt>
                <c:pt idx="18">
                  <c:v>0.11194147388123581</c:v>
                </c:pt>
                <c:pt idx="19">
                  <c:v>3.8314749084102762E-2</c:v>
                </c:pt>
                <c:pt idx="20">
                  <c:v>3.7681895479291024E-2</c:v>
                </c:pt>
                <c:pt idx="21">
                  <c:v>4.136602791631952E-2</c:v>
                </c:pt>
                <c:pt idx="22">
                  <c:v>4.15360823565665E-2</c:v>
                </c:pt>
                <c:pt idx="23">
                  <c:v>3.5482030153277257E-2</c:v>
                </c:pt>
                <c:pt idx="24">
                  <c:v>2.2996724454741553E-2</c:v>
                </c:pt>
                <c:pt idx="25">
                  <c:v>2.3158789760211827E-2</c:v>
                </c:pt>
                <c:pt idx="26">
                  <c:v>2.1634576975313572E-2</c:v>
                </c:pt>
                <c:pt idx="27">
                  <c:v>1.6179139227793057E-2</c:v>
                </c:pt>
                <c:pt idx="28">
                  <c:v>2.088816352617583E-2</c:v>
                </c:pt>
                <c:pt idx="29">
                  <c:v>1.375500747554754E-2</c:v>
                </c:pt>
                <c:pt idx="30">
                  <c:v>1.3454273616453053E-2</c:v>
                </c:pt>
                <c:pt idx="31">
                  <c:v>1.099590271516452E-2</c:v>
                </c:pt>
                <c:pt idx="32">
                  <c:v>9.4317442563827472E-3</c:v>
                </c:pt>
                <c:pt idx="33">
                  <c:v>1.6065579383467057E-2</c:v>
                </c:pt>
                <c:pt idx="34">
                  <c:v>1.3103892991246192E-2</c:v>
                </c:pt>
                <c:pt idx="35">
                  <c:v>8.9187276732215614E-3</c:v>
                </c:pt>
                <c:pt idx="36">
                  <c:v>5.7076661454707311E-3</c:v>
                </c:pt>
                <c:pt idx="37">
                  <c:v>6.8153026170122916E-3</c:v>
                </c:pt>
                <c:pt idx="38">
                  <c:v>5.1683995480432329E-3</c:v>
                </c:pt>
                <c:pt idx="39">
                  <c:v>6.0905739622684578E-3</c:v>
                </c:pt>
                <c:pt idx="40">
                  <c:v>4.1047033177735422E-3</c:v>
                </c:pt>
                <c:pt idx="41">
                  <c:v>5.069676668302537E-3</c:v>
                </c:pt>
                <c:pt idx="42">
                  <c:v>3.5397573585637817E-3</c:v>
                </c:pt>
                <c:pt idx="43">
                  <c:v>3.4353279539825836E-3</c:v>
                </c:pt>
                <c:pt idx="44">
                  <c:v>3.3736974857051551E-3</c:v>
                </c:pt>
                <c:pt idx="45">
                  <c:v>3.4752736278661021E-3</c:v>
                </c:pt>
                <c:pt idx="46">
                  <c:v>2.8190232712082997E-3</c:v>
                </c:pt>
                <c:pt idx="47">
                  <c:v>2.4395393693148748E-3</c:v>
                </c:pt>
                <c:pt idx="48">
                  <c:v>2.3944578230749038E-3</c:v>
                </c:pt>
                <c:pt idx="49">
                  <c:v>2.8098928314634953E-3</c:v>
                </c:pt>
                <c:pt idx="50">
                  <c:v>2.0554902475490478E-3</c:v>
                </c:pt>
                <c:pt idx="51">
                  <c:v>1.7770118353325193E-3</c:v>
                </c:pt>
                <c:pt idx="52">
                  <c:v>1.5019573380202925E-3</c:v>
                </c:pt>
                <c:pt idx="53">
                  <c:v>1.2440224152295734E-3</c:v>
                </c:pt>
                <c:pt idx="54">
                  <c:v>1.4089409831200995E-3</c:v>
                </c:pt>
                <c:pt idx="55">
                  <c:v>1.3570116070715256E-3</c:v>
                </c:pt>
                <c:pt idx="56">
                  <c:v>1.1852452093723963E-3</c:v>
                </c:pt>
                <c:pt idx="57">
                  <c:v>8.753809105331036E-4</c:v>
                </c:pt>
                <c:pt idx="58">
                  <c:v>1.0106255492530159E-3</c:v>
                </c:pt>
                <c:pt idx="59">
                  <c:v>8.4513632887843959E-4</c:v>
                </c:pt>
                <c:pt idx="60">
                  <c:v>7.2986452710028648E-4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7072"/>
        <c:axId val="135597464"/>
      </c:lineChart>
      <c:catAx>
        <c:axId val="13559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7464"/>
        <c:crosses val="autoZero"/>
        <c:auto val="1"/>
        <c:lblAlgn val="ctr"/>
        <c:lblOffset val="100"/>
        <c:tickLblSkip val="10"/>
        <c:noMultiLvlLbl val="0"/>
      </c:catAx>
      <c:valAx>
        <c:axId val="13559746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4.2391882785050308E-2</c:v>
                </c:pt>
                <c:pt idx="1">
                  <c:v>4.5858263226831203E-2</c:v>
                </c:pt>
                <c:pt idx="2">
                  <c:v>6.6312781851289193E-2</c:v>
                </c:pt>
                <c:pt idx="3">
                  <c:v>0.11200928984902733</c:v>
                </c:pt>
                <c:pt idx="4">
                  <c:v>0.21744880649125842</c:v>
                </c:pt>
                <c:pt idx="5">
                  <c:v>0.11891958937210406</c:v>
                </c:pt>
                <c:pt idx="6">
                  <c:v>0.12341499476342228</c:v>
                </c:pt>
                <c:pt idx="7">
                  <c:v>5.5262010220532273E-2</c:v>
                </c:pt>
                <c:pt idx="8">
                  <c:v>4.1571188084006234E-2</c:v>
                </c:pt>
                <c:pt idx="9">
                  <c:v>2.3263982157136091E-2</c:v>
                </c:pt>
                <c:pt idx="10">
                  <c:v>6.2237190528871125E-2</c:v>
                </c:pt>
                <c:pt idx="11">
                  <c:v>7.1039030814199818E-3</c:v>
                </c:pt>
                <c:pt idx="12">
                  <c:v>9.853312909722925E-3</c:v>
                </c:pt>
                <c:pt idx="13">
                  <c:v>6.3751255875876536E-3</c:v>
                </c:pt>
                <c:pt idx="14">
                  <c:v>8.6614589106223105E-3</c:v>
                </c:pt>
                <c:pt idx="15">
                  <c:v>8.6373371554294715E-3</c:v>
                </c:pt>
                <c:pt idx="16">
                  <c:v>1.2816152384190517E-2</c:v>
                </c:pt>
                <c:pt idx="17">
                  <c:v>4.8066027975377122E-3</c:v>
                </c:pt>
                <c:pt idx="18">
                  <c:v>4.9073625126442536E-3</c:v>
                </c:pt>
                <c:pt idx="19">
                  <c:v>1.8115911286795423E-3</c:v>
                </c:pt>
                <c:pt idx="20">
                  <c:v>4.0206818370713297E-3</c:v>
                </c:pt>
                <c:pt idx="21">
                  <c:v>1.2989636125252438E-3</c:v>
                </c:pt>
                <c:pt idx="22">
                  <c:v>2.5620083673216711E-3</c:v>
                </c:pt>
                <c:pt idx="23">
                  <c:v>1.5042093648253698E-3</c:v>
                </c:pt>
                <c:pt idx="24">
                  <c:v>9.761180386815985E-4</c:v>
                </c:pt>
                <c:pt idx="25">
                  <c:v>2.3671137571363359E-3</c:v>
                </c:pt>
                <c:pt idx="26">
                  <c:v>1.5041484515673298E-3</c:v>
                </c:pt>
                <c:pt idx="27">
                  <c:v>8.8667865993709391E-4</c:v>
                </c:pt>
                <c:pt idx="28">
                  <c:v>3.9184017480114585E-4</c:v>
                </c:pt>
                <c:pt idx="29">
                  <c:v>2.3606567768890622E-4</c:v>
                </c:pt>
                <c:pt idx="30">
                  <c:v>2.8994622831906306E-4</c:v>
                </c:pt>
                <c:pt idx="31">
                  <c:v>1.2275549837063894E-3</c:v>
                </c:pt>
                <c:pt idx="32">
                  <c:v>1.1624390545719894E-3</c:v>
                </c:pt>
                <c:pt idx="33">
                  <c:v>1.5375032785749132E-4</c:v>
                </c:pt>
                <c:pt idx="34">
                  <c:v>1.3674608102798186E-4</c:v>
                </c:pt>
                <c:pt idx="35">
                  <c:v>4.5174644814092356E-4</c:v>
                </c:pt>
                <c:pt idx="36">
                  <c:v>3.4688381491379257E-4</c:v>
                </c:pt>
                <c:pt idx="37">
                  <c:v>0</c:v>
                </c:pt>
                <c:pt idx="38">
                  <c:v>3.5422763532160883E-4</c:v>
                </c:pt>
                <c:pt idx="39">
                  <c:v>3.6172577732980921E-4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2.5025213769554386E-6</c:v>
                </c:pt>
                <c:pt idx="44">
                  <c:v>2.7698794789424255E-3</c:v>
                </c:pt>
                <c:pt idx="45">
                  <c:v>1.3641120282605157E-4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6.3863253914337944E-4</c:v>
                </c:pt>
                <c:pt idx="51">
                  <c:v>0</c:v>
                </c:pt>
                <c:pt idx="52">
                  <c:v>0</c:v>
                </c:pt>
                <c:pt idx="53">
                  <c:v>2.8507633202594628E-4</c:v>
                </c:pt>
                <c:pt idx="54">
                  <c:v>1.0167952286604727E-3</c:v>
                </c:pt>
                <c:pt idx="55">
                  <c:v>0</c:v>
                </c:pt>
                <c:pt idx="56">
                  <c:v>3.6429168180323896E-4</c:v>
                </c:pt>
                <c:pt idx="57">
                  <c:v>3.1024521357324536E-4</c:v>
                </c:pt>
                <c:pt idx="58">
                  <c:v>0</c:v>
                </c:pt>
                <c:pt idx="59">
                  <c:v>1.2239968451433224E-4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0.2114068234946361</c:v>
                </c:pt>
                <c:pt idx="1">
                  <c:v>0.12954288937608899</c:v>
                </c:pt>
                <c:pt idx="2">
                  <c:v>7.8591954243422413E-2</c:v>
                </c:pt>
                <c:pt idx="3">
                  <c:v>4.4184513480935529E-2</c:v>
                </c:pt>
                <c:pt idx="4">
                  <c:v>0.14517863690688973</c:v>
                </c:pt>
                <c:pt idx="5">
                  <c:v>7.7080236126687712E-2</c:v>
                </c:pt>
                <c:pt idx="6">
                  <c:v>6.9432660782421524E-2</c:v>
                </c:pt>
                <c:pt idx="7">
                  <c:v>4.2767405598164256E-2</c:v>
                </c:pt>
                <c:pt idx="8">
                  <c:v>4.4374756762202545E-2</c:v>
                </c:pt>
                <c:pt idx="9">
                  <c:v>2.6940391972756345E-2</c:v>
                </c:pt>
                <c:pt idx="10">
                  <c:v>2.1169167700986657E-2</c:v>
                </c:pt>
                <c:pt idx="11">
                  <c:v>1.9274405988367545E-2</c:v>
                </c:pt>
                <c:pt idx="12">
                  <c:v>1.4913129905988112E-2</c:v>
                </c:pt>
                <c:pt idx="13">
                  <c:v>1.2313649802008908E-2</c:v>
                </c:pt>
                <c:pt idx="14">
                  <c:v>1.0727266311443594E-2</c:v>
                </c:pt>
                <c:pt idx="15">
                  <c:v>1.0557479296979479E-2</c:v>
                </c:pt>
                <c:pt idx="16">
                  <c:v>8.5691301637370737E-3</c:v>
                </c:pt>
                <c:pt idx="17">
                  <c:v>4.387869229223209E-3</c:v>
                </c:pt>
                <c:pt idx="18">
                  <c:v>4.0503408269752699E-3</c:v>
                </c:pt>
                <c:pt idx="19">
                  <c:v>4.0564777070161411E-3</c:v>
                </c:pt>
                <c:pt idx="20">
                  <c:v>3.1640730677393934E-3</c:v>
                </c:pt>
                <c:pt idx="21">
                  <c:v>2.3918489959297144E-3</c:v>
                </c:pt>
                <c:pt idx="22">
                  <c:v>1.8400411989213411E-3</c:v>
                </c:pt>
                <c:pt idx="23">
                  <c:v>1.7367370515666688E-3</c:v>
                </c:pt>
                <c:pt idx="24">
                  <c:v>1.8108910187272008E-3</c:v>
                </c:pt>
                <c:pt idx="25">
                  <c:v>1.5449595502894306E-3</c:v>
                </c:pt>
                <c:pt idx="26">
                  <c:v>1.2110109947319999E-3</c:v>
                </c:pt>
                <c:pt idx="27">
                  <c:v>8.7859665918478709E-4</c:v>
                </c:pt>
                <c:pt idx="28">
                  <c:v>7.4511951829582936E-4</c:v>
                </c:pt>
                <c:pt idx="29">
                  <c:v>6.9295603794842055E-4</c:v>
                </c:pt>
                <c:pt idx="30">
                  <c:v>5.5436483035873642E-4</c:v>
                </c:pt>
                <c:pt idx="31">
                  <c:v>5.2981731019524994E-4</c:v>
                </c:pt>
                <c:pt idx="32">
                  <c:v>4.4696942964348309E-4</c:v>
                </c:pt>
                <c:pt idx="33">
                  <c:v>3.8304359588440368E-4</c:v>
                </c:pt>
                <c:pt idx="34">
                  <c:v>3.4315387561873812E-4</c:v>
                </c:pt>
                <c:pt idx="35">
                  <c:v>2.2655315484217735E-4</c:v>
                </c:pt>
                <c:pt idx="36">
                  <c:v>3.3906262225815706E-4</c:v>
                </c:pt>
                <c:pt idx="37">
                  <c:v>2.3831550825384796E-4</c:v>
                </c:pt>
                <c:pt idx="38">
                  <c:v>2.4240676161442904E-4</c:v>
                </c:pt>
                <c:pt idx="39">
                  <c:v>2.15813614770652E-4</c:v>
                </c:pt>
                <c:pt idx="40">
                  <c:v>1.4779652765099154E-4</c:v>
                </c:pt>
                <c:pt idx="41">
                  <c:v>1.2222619414735977E-4</c:v>
                </c:pt>
                <c:pt idx="42">
                  <c:v>9.7678673983873305E-5</c:v>
                </c:pt>
                <c:pt idx="43">
                  <c:v>7.0574120470023638E-5</c:v>
                </c:pt>
                <c:pt idx="44">
                  <c:v>6.0857393738643574E-5</c:v>
                </c:pt>
                <c:pt idx="45">
                  <c:v>6.0857393738643574E-5</c:v>
                </c:pt>
                <c:pt idx="46">
                  <c:v>6.1880207078788847E-5</c:v>
                </c:pt>
                <c:pt idx="47">
                  <c:v>5.4209107027699321E-5</c:v>
                </c:pt>
                <c:pt idx="48">
                  <c:v>2.710455351384966E-5</c:v>
                </c:pt>
                <c:pt idx="49">
                  <c:v>3.2218620214576009E-5</c:v>
                </c:pt>
                <c:pt idx="50">
                  <c:v>2.9661586864212834E-5</c:v>
                </c:pt>
                <c:pt idx="51">
                  <c:v>2.5058926833559119E-5</c:v>
                </c:pt>
                <c:pt idx="52">
                  <c:v>1.7899233452542229E-5</c:v>
                </c:pt>
                <c:pt idx="53">
                  <c:v>1.2785166751815878E-5</c:v>
                </c:pt>
                <c:pt idx="54">
                  <c:v>1.8922046792687498E-5</c:v>
                </c:pt>
                <c:pt idx="55">
                  <c:v>1.2273760081743241E-5</c:v>
                </c:pt>
                <c:pt idx="56">
                  <c:v>8.6939133912347966E-6</c:v>
                </c:pt>
                <c:pt idx="57">
                  <c:v>7.6711000510895259E-6</c:v>
                </c:pt>
                <c:pt idx="58">
                  <c:v>1.2273760081743241E-5</c:v>
                </c:pt>
                <c:pt idx="59">
                  <c:v>5.6254733707989862E-6</c:v>
                </c:pt>
                <c:pt idx="60">
                  <c:v>6.1368800408716207E-6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8640"/>
        <c:axId val="135599032"/>
      </c:lineChart>
      <c:catAx>
        <c:axId val="1355986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9032"/>
        <c:crosses val="autoZero"/>
        <c:auto val="1"/>
        <c:lblAlgn val="ctr"/>
        <c:lblOffset val="100"/>
        <c:tickLblSkip val="10"/>
        <c:noMultiLvlLbl val="0"/>
      </c:catAx>
      <c:valAx>
        <c:axId val="13559903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86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2.8401650421544403E-4</c:v>
                </c:pt>
                <c:pt idx="3">
                  <c:v>2.5561853755619317E-3</c:v>
                </c:pt>
                <c:pt idx="4">
                  <c:v>6.7562539698032015E-3</c:v>
                </c:pt>
                <c:pt idx="5">
                  <c:v>1.6955702695069411E-2</c:v>
                </c:pt>
                <c:pt idx="6">
                  <c:v>6.6087246927808421E-3</c:v>
                </c:pt>
                <c:pt idx="7">
                  <c:v>1.3039074390251253E-2</c:v>
                </c:pt>
                <c:pt idx="8">
                  <c:v>3.1477711109614433E-3</c:v>
                </c:pt>
                <c:pt idx="9">
                  <c:v>1.7794663500712973E-2</c:v>
                </c:pt>
                <c:pt idx="10">
                  <c:v>2.8047412594817724E-3</c:v>
                </c:pt>
                <c:pt idx="11">
                  <c:v>7.6829242547154343E-3</c:v>
                </c:pt>
                <c:pt idx="12">
                  <c:v>2.0089076517022856E-2</c:v>
                </c:pt>
                <c:pt idx="13">
                  <c:v>2.5959822453794291E-2</c:v>
                </c:pt>
                <c:pt idx="14">
                  <c:v>1.4052138895509551E-2</c:v>
                </c:pt>
                <c:pt idx="15">
                  <c:v>1.135315448177931E-2</c:v>
                </c:pt>
                <c:pt idx="16">
                  <c:v>4.279603753008826E-2</c:v>
                </c:pt>
                <c:pt idx="17">
                  <c:v>3.1245367795126499E-2</c:v>
                </c:pt>
                <c:pt idx="18">
                  <c:v>9.7803874805605054E-2</c:v>
                </c:pt>
                <c:pt idx="19">
                  <c:v>4.7454887182902597E-2</c:v>
                </c:pt>
                <c:pt idx="20">
                  <c:v>7.643856097215744E-2</c:v>
                </c:pt>
                <c:pt idx="21">
                  <c:v>7.091932623699887E-2</c:v>
                </c:pt>
                <c:pt idx="22">
                  <c:v>4.4063632583695757E-2</c:v>
                </c:pt>
                <c:pt idx="23">
                  <c:v>3.4617857251361309E-2</c:v>
                </c:pt>
                <c:pt idx="24">
                  <c:v>4.2136225082183093E-2</c:v>
                </c:pt>
                <c:pt idx="25">
                  <c:v>1.636250697375017E-2</c:v>
                </c:pt>
                <c:pt idx="26">
                  <c:v>6.4995315805956452E-2</c:v>
                </c:pt>
                <c:pt idx="27">
                  <c:v>8.7705241668832711E-3</c:v>
                </c:pt>
                <c:pt idx="28">
                  <c:v>1.8660240631031531E-2</c:v>
                </c:pt>
                <c:pt idx="29">
                  <c:v>9.680347444311713E-3</c:v>
                </c:pt>
                <c:pt idx="30">
                  <c:v>1.0439365510905326E-2</c:v>
                </c:pt>
                <c:pt idx="31">
                  <c:v>5.0406060963084868E-3</c:v>
                </c:pt>
                <c:pt idx="32">
                  <c:v>1.3448289711989617E-2</c:v>
                </c:pt>
                <c:pt idx="33">
                  <c:v>6.1153381914330644E-3</c:v>
                </c:pt>
                <c:pt idx="34">
                  <c:v>1.1259707345700193E-2</c:v>
                </c:pt>
                <c:pt idx="35">
                  <c:v>9.1933609836785755E-3</c:v>
                </c:pt>
                <c:pt idx="36">
                  <c:v>3.1628897622645656E-3</c:v>
                </c:pt>
                <c:pt idx="37">
                  <c:v>1.3041788132080727E-2</c:v>
                </c:pt>
                <c:pt idx="38">
                  <c:v>9.5867660567846881E-3</c:v>
                </c:pt>
                <c:pt idx="39">
                  <c:v>2.1035674683339742E-3</c:v>
                </c:pt>
                <c:pt idx="40">
                  <c:v>3.2687593295129495E-3</c:v>
                </c:pt>
                <c:pt idx="41">
                  <c:v>3.7861098608552857E-3</c:v>
                </c:pt>
                <c:pt idx="42">
                  <c:v>1.1871434420906381E-3</c:v>
                </c:pt>
                <c:pt idx="43">
                  <c:v>1.2692755861880125E-3</c:v>
                </c:pt>
                <c:pt idx="44">
                  <c:v>1.7080432092667227E-3</c:v>
                </c:pt>
                <c:pt idx="45">
                  <c:v>5.4816303833193018E-2</c:v>
                </c:pt>
                <c:pt idx="46">
                  <c:v>3.5519017329897627E-3</c:v>
                </c:pt>
                <c:pt idx="47">
                  <c:v>1.2604003794236243E-3</c:v>
                </c:pt>
                <c:pt idx="48">
                  <c:v>9.1736284619398404E-4</c:v>
                </c:pt>
                <c:pt idx="49">
                  <c:v>2.1654250432166823E-3</c:v>
                </c:pt>
                <c:pt idx="50">
                  <c:v>5.7662205748179617E-4</c:v>
                </c:pt>
                <c:pt idx="51">
                  <c:v>4.4347656127678134E-4</c:v>
                </c:pt>
                <c:pt idx="52">
                  <c:v>6.9856504394927446E-3</c:v>
                </c:pt>
                <c:pt idx="53">
                  <c:v>4.770480142922842E-4</c:v>
                </c:pt>
                <c:pt idx="54">
                  <c:v>3.0890885613755787E-3</c:v>
                </c:pt>
                <c:pt idx="55">
                  <c:v>3.6115684336562653E-4</c:v>
                </c:pt>
                <c:pt idx="56">
                  <c:v>5.7948795633468737E-5</c:v>
                </c:pt>
                <c:pt idx="57">
                  <c:v>7.546978826537226E-4</c:v>
                </c:pt>
                <c:pt idx="58">
                  <c:v>2.6616468862768316E-3</c:v>
                </c:pt>
                <c:pt idx="59">
                  <c:v>8.1955024778688915E-4</c:v>
                </c:pt>
                <c:pt idx="60">
                  <c:v>3.2975316095234975E-3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1.033450598882781E-2</c:v>
                </c:pt>
                <c:pt idx="1">
                  <c:v>3.3034313853341865E-2</c:v>
                </c:pt>
                <c:pt idx="2">
                  <c:v>3.6247481961408229E-2</c:v>
                </c:pt>
                <c:pt idx="3">
                  <c:v>3.7761245704823226E-2</c:v>
                </c:pt>
                <c:pt idx="4">
                  <c:v>3.6724112977915925E-2</c:v>
                </c:pt>
                <c:pt idx="5">
                  <c:v>3.4744457758064756E-2</c:v>
                </c:pt>
                <c:pt idx="6">
                  <c:v>3.2573025036936348E-2</c:v>
                </c:pt>
                <c:pt idx="7">
                  <c:v>3.0266580954908761E-2</c:v>
                </c:pt>
                <c:pt idx="8">
                  <c:v>2.7613403150571932E-2</c:v>
                </c:pt>
                <c:pt idx="9">
                  <c:v>2.4908573272557764E-2</c:v>
                </c:pt>
                <c:pt idx="10">
                  <c:v>2.3181552947722475E-2</c:v>
                </c:pt>
                <c:pt idx="11">
                  <c:v>2.0486951203109761E-2</c:v>
                </c:pt>
                <c:pt idx="12">
                  <c:v>1.9195649361176358E-2</c:v>
                </c:pt>
                <c:pt idx="13">
                  <c:v>1.7284522635114919E-2</c:v>
                </c:pt>
                <c:pt idx="14">
                  <c:v>1.6299553388555026E-2</c:v>
                </c:pt>
                <c:pt idx="15">
                  <c:v>1.3951685366251559E-2</c:v>
                </c:pt>
                <c:pt idx="16">
                  <c:v>1.3171790194390789E-2</c:v>
                </c:pt>
                <c:pt idx="17">
                  <c:v>1.1697404764571382E-2</c:v>
                </c:pt>
                <c:pt idx="18">
                  <c:v>9.9934488805563701E-2</c:v>
                </c:pt>
                <c:pt idx="19">
                  <c:v>3.7536738176661345E-2</c:v>
                </c:pt>
                <c:pt idx="20">
                  <c:v>3.6331864061970212E-2</c:v>
                </c:pt>
                <c:pt idx="21">
                  <c:v>3.9852387578750231E-2</c:v>
                </c:pt>
                <c:pt idx="22">
                  <c:v>3.8600975457082499E-2</c:v>
                </c:pt>
                <c:pt idx="23">
                  <c:v>3.4425851402609502E-2</c:v>
                </c:pt>
                <c:pt idx="24">
                  <c:v>2.2051855613532026E-2</c:v>
                </c:pt>
                <c:pt idx="25">
                  <c:v>2.1141551740802733E-2</c:v>
                </c:pt>
                <c:pt idx="26">
                  <c:v>2.5476746083008463E-2</c:v>
                </c:pt>
                <c:pt idx="27">
                  <c:v>1.5916509792670622E-2</c:v>
                </c:pt>
                <c:pt idx="28">
                  <c:v>2.0593323790484869E-2</c:v>
                </c:pt>
                <c:pt idx="29">
                  <c:v>1.3340042988844687E-2</c:v>
                </c:pt>
                <c:pt idx="30">
                  <c:v>1.4988306686488789E-2</c:v>
                </c:pt>
                <c:pt idx="31">
                  <c:v>1.0133011760819191E-2</c:v>
                </c:pt>
                <c:pt idx="32">
                  <c:v>9.8394643321974996E-3</c:v>
                </c:pt>
                <c:pt idx="33">
                  <c:v>2.0187266894447199E-2</c:v>
                </c:pt>
                <c:pt idx="34">
                  <c:v>1.5439878776162926E-2</c:v>
                </c:pt>
                <c:pt idx="35">
                  <c:v>7.591832017228268E-3</c:v>
                </c:pt>
                <c:pt idx="36">
                  <c:v>4.8118253587134232E-3</c:v>
                </c:pt>
                <c:pt idx="37">
                  <c:v>5.6960474912690099E-3</c:v>
                </c:pt>
                <c:pt idx="38">
                  <c:v>3.9669815397534308E-3</c:v>
                </c:pt>
                <c:pt idx="39">
                  <c:v>4.9708728331060133E-3</c:v>
                </c:pt>
                <c:pt idx="40">
                  <c:v>3.4381870428983256E-3</c:v>
                </c:pt>
                <c:pt idx="41">
                  <c:v>4.5965231506128442E-3</c:v>
                </c:pt>
                <c:pt idx="42">
                  <c:v>2.8899590925804608E-3</c:v>
                </c:pt>
                <c:pt idx="43">
                  <c:v>3.0142309134081114E-3</c:v>
                </c:pt>
                <c:pt idx="44">
                  <c:v>2.7943260452768779E-3</c:v>
                </c:pt>
                <c:pt idx="45">
                  <c:v>3.3399969622443797E-3</c:v>
                </c:pt>
                <c:pt idx="46">
                  <c:v>2.6930675246024964E-3</c:v>
                </c:pt>
                <c:pt idx="47">
                  <c:v>1.91163813273151E-3</c:v>
                </c:pt>
                <c:pt idx="48">
                  <c:v>1.8497579256527212E-3</c:v>
                </c:pt>
                <c:pt idx="49">
                  <c:v>4.3490023222976888E-3</c:v>
                </c:pt>
                <c:pt idx="50">
                  <c:v>1.97760959317088E-3</c:v>
                </c:pt>
                <c:pt idx="51">
                  <c:v>1.5245032834865252E-3</c:v>
                </c:pt>
                <c:pt idx="52">
                  <c:v>1.2012942680006198E-3</c:v>
                </c:pt>
                <c:pt idx="53">
                  <c:v>9.7627533316866038E-4</c:v>
                </c:pt>
                <c:pt idx="54">
                  <c:v>1.0570775870401368E-3</c:v>
                </c:pt>
                <c:pt idx="55">
                  <c:v>1.3040870086852194E-3</c:v>
                </c:pt>
                <c:pt idx="56">
                  <c:v>1.1036155940167464E-3</c:v>
                </c:pt>
                <c:pt idx="57">
                  <c:v>7.0778683138052699E-4</c:v>
                </c:pt>
                <c:pt idx="58">
                  <c:v>8.5302632568115533E-4</c:v>
                </c:pt>
                <c:pt idx="59">
                  <c:v>7.28754504853505E-4</c:v>
                </c:pt>
                <c:pt idx="60">
                  <c:v>6.3056442419955907E-4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5864"/>
        <c:axId val="174267824"/>
      </c:lineChart>
      <c:catAx>
        <c:axId val="17426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7824"/>
        <c:crosses val="autoZero"/>
        <c:auto val="1"/>
        <c:lblAlgn val="ctr"/>
        <c:lblOffset val="100"/>
        <c:tickLblSkip val="10"/>
        <c:noMultiLvlLbl val="0"/>
      </c:catAx>
      <c:valAx>
        <c:axId val="17426782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8.6998452461036699E-2</c:v>
                </c:pt>
                <c:pt idx="1">
                  <c:v>7.2717293112250531E-2</c:v>
                </c:pt>
                <c:pt idx="2">
                  <c:v>6.4422275674881763E-2</c:v>
                </c:pt>
                <c:pt idx="3">
                  <c:v>0.13884880053382953</c:v>
                </c:pt>
                <c:pt idx="4">
                  <c:v>0.20770005943911218</c:v>
                </c:pt>
                <c:pt idx="5">
                  <c:v>0.1254636335456597</c:v>
                </c:pt>
                <c:pt idx="6">
                  <c:v>8.2591767704578586E-2</c:v>
                </c:pt>
                <c:pt idx="7">
                  <c:v>2.7228325875358783E-2</c:v>
                </c:pt>
                <c:pt idx="8">
                  <c:v>3.8375926003377227E-2</c:v>
                </c:pt>
                <c:pt idx="9">
                  <c:v>1.4812102875309527E-2</c:v>
                </c:pt>
                <c:pt idx="10">
                  <c:v>5.0691124318474695E-2</c:v>
                </c:pt>
                <c:pt idx="11">
                  <c:v>1.0178911812573226E-2</c:v>
                </c:pt>
                <c:pt idx="12">
                  <c:v>8.134666597900516E-3</c:v>
                </c:pt>
                <c:pt idx="13">
                  <c:v>1.6706439778194342E-2</c:v>
                </c:pt>
                <c:pt idx="14">
                  <c:v>3.4095608456494136E-3</c:v>
                </c:pt>
                <c:pt idx="15">
                  <c:v>1.3175007191503645E-2</c:v>
                </c:pt>
                <c:pt idx="16">
                  <c:v>7.683546693899374E-3</c:v>
                </c:pt>
                <c:pt idx="17">
                  <c:v>3.5295165215494507E-3</c:v>
                </c:pt>
                <c:pt idx="18">
                  <c:v>5.8528460854917292E-3</c:v>
                </c:pt>
                <c:pt idx="19">
                  <c:v>5.4753788636534783E-4</c:v>
                </c:pt>
                <c:pt idx="20">
                  <c:v>8.6422621983204791E-4</c:v>
                </c:pt>
                <c:pt idx="21">
                  <c:v>3.4147668172024477E-3</c:v>
                </c:pt>
                <c:pt idx="22">
                  <c:v>3.230212459737169E-3</c:v>
                </c:pt>
                <c:pt idx="23">
                  <c:v>2.4109176155780085E-3</c:v>
                </c:pt>
                <c:pt idx="24">
                  <c:v>0</c:v>
                </c:pt>
                <c:pt idx="25">
                  <c:v>1.5804078058896248E-3</c:v>
                </c:pt>
                <c:pt idx="26">
                  <c:v>1.531393749817376E-3</c:v>
                </c:pt>
                <c:pt idx="27">
                  <c:v>4.1707057784683404E-4</c:v>
                </c:pt>
                <c:pt idx="28">
                  <c:v>8.2538349640242379E-4</c:v>
                </c:pt>
                <c:pt idx="29">
                  <c:v>0</c:v>
                </c:pt>
                <c:pt idx="30">
                  <c:v>0</c:v>
                </c:pt>
                <c:pt idx="31">
                  <c:v>8.3982634884542694E-5</c:v>
                </c:pt>
                <c:pt idx="32">
                  <c:v>3.961429162387866E-4</c:v>
                </c:pt>
                <c:pt idx="33">
                  <c:v>1.9066102812730399E-4</c:v>
                </c:pt>
                <c:pt idx="34">
                  <c:v>1.829885765243169E-3</c:v>
                </c:pt>
                <c:pt idx="35">
                  <c:v>4.6642782526052935E-4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4.874374335240506E-4</c:v>
                </c:pt>
                <c:pt idx="40">
                  <c:v>5.6923322405076301E-4</c:v>
                </c:pt>
                <c:pt idx="41">
                  <c:v>1.9523907321412871E-3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5.2011266062405967E-4</c:v>
                </c:pt>
                <c:pt idx="48">
                  <c:v>0</c:v>
                </c:pt>
                <c:pt idx="49">
                  <c:v>0</c:v>
                </c:pt>
                <c:pt idx="50">
                  <c:v>1.9184169643028623E-5</c:v>
                </c:pt>
                <c:pt idx="51">
                  <c:v>5.6874513548817605E-5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6.2562626176351222E-6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0.25846144886288103</c:v>
                </c:pt>
                <c:pt idx="1">
                  <c:v>0.12971372936783959</c:v>
                </c:pt>
                <c:pt idx="2">
                  <c:v>7.2257032058107462E-2</c:v>
                </c:pt>
                <c:pt idx="3">
                  <c:v>3.6765348225669021E-2</c:v>
                </c:pt>
                <c:pt idx="4">
                  <c:v>0.14104503783644173</c:v>
                </c:pt>
                <c:pt idx="5">
                  <c:v>7.4603056034902956E-2</c:v>
                </c:pt>
                <c:pt idx="6">
                  <c:v>6.5144262116587137E-2</c:v>
                </c:pt>
                <c:pt idx="7">
                  <c:v>3.9941912800833576E-2</c:v>
                </c:pt>
                <c:pt idx="8">
                  <c:v>3.3863520403318616E-2</c:v>
                </c:pt>
                <c:pt idx="9">
                  <c:v>2.2787957667750842E-2</c:v>
                </c:pt>
                <c:pt idx="10">
                  <c:v>1.8306076999722733E-2</c:v>
                </c:pt>
                <c:pt idx="11">
                  <c:v>1.475982057284512E-2</c:v>
                </c:pt>
                <c:pt idx="12">
                  <c:v>1.1465511675045927E-2</c:v>
                </c:pt>
                <c:pt idx="13">
                  <c:v>1.0524823161954151E-2</c:v>
                </c:pt>
                <c:pt idx="14">
                  <c:v>9.7398610110565713E-3</c:v>
                </c:pt>
                <c:pt idx="15">
                  <c:v>8.3687093829564463E-3</c:v>
                </c:pt>
                <c:pt idx="16">
                  <c:v>8.4535359379727965E-3</c:v>
                </c:pt>
                <c:pt idx="17">
                  <c:v>4.4869449399693867E-3</c:v>
                </c:pt>
                <c:pt idx="18">
                  <c:v>5.6023508350351399E-3</c:v>
                </c:pt>
                <c:pt idx="19">
                  <c:v>5.3212837422943939E-3</c:v>
                </c:pt>
                <c:pt idx="20">
                  <c:v>3.7007167210864889E-3</c:v>
                </c:pt>
                <c:pt idx="21">
                  <c:v>3.0334988928235468E-3</c:v>
                </c:pt>
                <c:pt idx="22">
                  <c:v>2.7283765083617462E-3</c:v>
                </c:pt>
                <c:pt idx="23">
                  <c:v>2.5840447580354172E-3</c:v>
                </c:pt>
                <c:pt idx="24">
                  <c:v>2.3017115973093523E-3</c:v>
                </c:pt>
                <c:pt idx="25">
                  <c:v>2.4371808717384507E-3</c:v>
                </c:pt>
                <c:pt idx="26">
                  <c:v>1.8535235305065412E-3</c:v>
                </c:pt>
                <c:pt idx="27">
                  <c:v>1.3407659964524774E-3</c:v>
                </c:pt>
                <c:pt idx="28">
                  <c:v>9.48284921003688E-4</c:v>
                </c:pt>
                <c:pt idx="29">
                  <c:v>9.0397254151753444E-4</c:v>
                </c:pt>
                <c:pt idx="30">
                  <c:v>7.8243001492694149E-4</c:v>
                </c:pt>
                <c:pt idx="31">
                  <c:v>8.1028351060395242E-4</c:v>
                </c:pt>
                <c:pt idx="32">
                  <c:v>6.5582321639507399E-4</c:v>
                </c:pt>
                <c:pt idx="33">
                  <c:v>4.8617010636237145E-4</c:v>
                </c:pt>
                <c:pt idx="34">
                  <c:v>5.3301462181916241E-4</c:v>
                </c:pt>
                <c:pt idx="35">
                  <c:v>4.0514175530197621E-4</c:v>
                </c:pt>
                <c:pt idx="36">
                  <c:v>4.8363797039173412E-4</c:v>
                </c:pt>
                <c:pt idx="37">
                  <c:v>3.8741680350751472E-4</c:v>
                </c:pt>
                <c:pt idx="38">
                  <c:v>3.5576510387454787E-4</c:v>
                </c:pt>
                <c:pt idx="39">
                  <c:v>3.3170981215349302E-4</c:v>
                </c:pt>
                <c:pt idx="40">
                  <c:v>2.1523155750417485E-4</c:v>
                </c:pt>
                <c:pt idx="41">
                  <c:v>2.0003874168035075E-4</c:v>
                </c:pt>
                <c:pt idx="42">
                  <c:v>1.1774432263463684E-4</c:v>
                </c:pt>
                <c:pt idx="43">
                  <c:v>1.3420320644377961E-4</c:v>
                </c:pt>
                <c:pt idx="44">
                  <c:v>8.6092623001669948E-5</c:v>
                </c:pt>
                <c:pt idx="45">
                  <c:v>9.8753302854856707E-5</c:v>
                </c:pt>
                <c:pt idx="46">
                  <c:v>7.7230147104439216E-5</c:v>
                </c:pt>
                <c:pt idx="47">
                  <c:v>7.343194314848319E-5</c:v>
                </c:pt>
                <c:pt idx="48">
                  <c:v>4.0514175530197621E-5</c:v>
                </c:pt>
                <c:pt idx="49">
                  <c:v>5.9505195309977752E-5</c:v>
                </c:pt>
                <c:pt idx="50">
                  <c:v>3.5449903588922915E-5</c:v>
                </c:pt>
                <c:pt idx="51">
                  <c:v>3.5449903588922915E-5</c:v>
                </c:pt>
                <c:pt idx="52">
                  <c:v>1.3926747838505431E-5</c:v>
                </c:pt>
                <c:pt idx="53">
                  <c:v>1.139461186786808E-5</c:v>
                </c:pt>
                <c:pt idx="54">
                  <c:v>2.7853495677010863E-5</c:v>
                </c:pt>
                <c:pt idx="55">
                  <c:v>1.5192815823824108E-5</c:v>
                </c:pt>
                <c:pt idx="56">
                  <c:v>1.3926747838505431E-5</c:v>
                </c:pt>
                <c:pt idx="57">
                  <c:v>8.8624758972307288E-6</c:v>
                </c:pt>
                <c:pt idx="58">
                  <c:v>3.798203955956027E-6</c:v>
                </c:pt>
                <c:pt idx="59">
                  <c:v>7.596407911912054E-6</c:v>
                </c:pt>
                <c:pt idx="60">
                  <c:v>8.8624758972307288E-6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7208"/>
        <c:axId val="136705640"/>
      </c:lineChart>
      <c:catAx>
        <c:axId val="136707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5640"/>
        <c:crosses val="autoZero"/>
        <c:auto val="1"/>
        <c:lblAlgn val="ctr"/>
        <c:lblOffset val="100"/>
        <c:tickLblSkip val="10"/>
        <c:noMultiLvlLbl val="0"/>
      </c:catAx>
      <c:valAx>
        <c:axId val="136705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7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1.4223708381904867E-3</c:v>
                </c:pt>
                <c:pt idx="3">
                  <c:v>5.6525104631887941E-3</c:v>
                </c:pt>
                <c:pt idx="4">
                  <c:v>3.9544482338175627E-3</c:v>
                </c:pt>
                <c:pt idx="5">
                  <c:v>1.2442219132360707E-2</c:v>
                </c:pt>
                <c:pt idx="6">
                  <c:v>1.2872975570339906E-2</c:v>
                </c:pt>
                <c:pt idx="7">
                  <c:v>1.4573574889906498E-2</c:v>
                </c:pt>
                <c:pt idx="8">
                  <c:v>9.1142307804044191E-3</c:v>
                </c:pt>
                <c:pt idx="9">
                  <c:v>2.0407087664097011E-2</c:v>
                </c:pt>
                <c:pt idx="10">
                  <c:v>6.3302636856583062E-3</c:v>
                </c:pt>
                <c:pt idx="11">
                  <c:v>1.386333970709025E-2</c:v>
                </c:pt>
                <c:pt idx="12">
                  <c:v>1.3260440602839272E-2</c:v>
                </c:pt>
                <c:pt idx="13">
                  <c:v>3.028742551653691E-2</c:v>
                </c:pt>
                <c:pt idx="14">
                  <c:v>3.0710431922476057E-2</c:v>
                </c:pt>
                <c:pt idx="15">
                  <c:v>2.4114692514448727E-2</c:v>
                </c:pt>
                <c:pt idx="16">
                  <c:v>3.9871694596063184E-2</c:v>
                </c:pt>
                <c:pt idx="17">
                  <c:v>2.4714096644331114E-2</c:v>
                </c:pt>
                <c:pt idx="18">
                  <c:v>8.351578980261759E-2</c:v>
                </c:pt>
                <c:pt idx="19">
                  <c:v>4.6155355989214206E-2</c:v>
                </c:pt>
                <c:pt idx="20">
                  <c:v>8.9615732653473779E-2</c:v>
                </c:pt>
                <c:pt idx="21">
                  <c:v>5.1766912837457511E-2</c:v>
                </c:pt>
                <c:pt idx="22">
                  <c:v>4.2446809968105362E-2</c:v>
                </c:pt>
                <c:pt idx="23">
                  <c:v>1.9539111951634266E-2</c:v>
                </c:pt>
                <c:pt idx="24">
                  <c:v>2.8198712524123971E-2</c:v>
                </c:pt>
                <c:pt idx="25">
                  <c:v>2.3911611297047605E-2</c:v>
                </c:pt>
                <c:pt idx="26">
                  <c:v>3.6207313593425453E-2</c:v>
                </c:pt>
                <c:pt idx="27">
                  <c:v>1.8976534514795917E-2</c:v>
                </c:pt>
                <c:pt idx="28">
                  <c:v>1.7363906571390249E-2</c:v>
                </c:pt>
                <c:pt idx="29">
                  <c:v>1.3382695243602012E-2</c:v>
                </c:pt>
                <c:pt idx="30">
                  <c:v>1.230264342200723E-2</c:v>
                </c:pt>
                <c:pt idx="31">
                  <c:v>5.5390606472915998E-3</c:v>
                </c:pt>
                <c:pt idx="32">
                  <c:v>3.9684442350594058E-3</c:v>
                </c:pt>
                <c:pt idx="33">
                  <c:v>1.0211306721520683E-2</c:v>
                </c:pt>
                <c:pt idx="34">
                  <c:v>1.5038817085865082E-2</c:v>
                </c:pt>
                <c:pt idx="35">
                  <c:v>3.915927912902707E-3</c:v>
                </c:pt>
                <c:pt idx="36">
                  <c:v>4.2264461964160917E-3</c:v>
                </c:pt>
                <c:pt idx="37">
                  <c:v>5.9893879237875817E-3</c:v>
                </c:pt>
                <c:pt idx="38">
                  <c:v>1.0080581250553538E-2</c:v>
                </c:pt>
                <c:pt idx="39">
                  <c:v>8.8807072507593697E-3</c:v>
                </c:pt>
                <c:pt idx="40">
                  <c:v>2.0398645681382866E-3</c:v>
                </c:pt>
                <c:pt idx="41">
                  <c:v>1.8539570349183645E-3</c:v>
                </c:pt>
                <c:pt idx="42">
                  <c:v>1.8706063791742295E-3</c:v>
                </c:pt>
                <c:pt idx="43">
                  <c:v>2.2718918474513665E-4</c:v>
                </c:pt>
                <c:pt idx="44">
                  <c:v>2.2851166370391226E-3</c:v>
                </c:pt>
                <c:pt idx="45">
                  <c:v>4.7642155292469367E-2</c:v>
                </c:pt>
                <c:pt idx="46">
                  <c:v>3.3496299220306335E-3</c:v>
                </c:pt>
                <c:pt idx="47">
                  <c:v>7.8456813826493143E-4</c:v>
                </c:pt>
                <c:pt idx="48">
                  <c:v>2.0746534107880352E-3</c:v>
                </c:pt>
                <c:pt idx="49">
                  <c:v>1.7937233572133382E-3</c:v>
                </c:pt>
                <c:pt idx="50">
                  <c:v>6.1353297982733425E-4</c:v>
                </c:pt>
                <c:pt idx="51">
                  <c:v>2.479125806274649E-3</c:v>
                </c:pt>
                <c:pt idx="52">
                  <c:v>1.2810102899781105E-3</c:v>
                </c:pt>
                <c:pt idx="53">
                  <c:v>2.2260286814819561E-3</c:v>
                </c:pt>
                <c:pt idx="54">
                  <c:v>6.7726972075734572E-4</c:v>
                </c:pt>
                <c:pt idx="55">
                  <c:v>0</c:v>
                </c:pt>
                <c:pt idx="56">
                  <c:v>1.6602720663825158E-3</c:v>
                </c:pt>
                <c:pt idx="57">
                  <c:v>5.5525996644259534E-4</c:v>
                </c:pt>
                <c:pt idx="58">
                  <c:v>5.4644689650237604E-4</c:v>
                </c:pt>
                <c:pt idx="59">
                  <c:v>6.82806957513206E-3</c:v>
                </c:pt>
                <c:pt idx="60">
                  <c:v>6.4795165479332034E-3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8.5320321530625558E-3</c:v>
                </c:pt>
                <c:pt idx="1">
                  <c:v>3.4749767993041691E-2</c:v>
                </c:pt>
                <c:pt idx="2">
                  <c:v>3.9001224287741804E-2</c:v>
                </c:pt>
                <c:pt idx="3">
                  <c:v>4.1029465200222319E-2</c:v>
                </c:pt>
                <c:pt idx="4">
                  <c:v>3.9429155266779516E-2</c:v>
                </c:pt>
                <c:pt idx="5">
                  <c:v>3.7811120381542246E-2</c:v>
                </c:pt>
                <c:pt idx="6">
                  <c:v>3.4886503335456107E-2</c:v>
                </c:pt>
                <c:pt idx="7">
                  <c:v>3.248097416335062E-2</c:v>
                </c:pt>
                <c:pt idx="8">
                  <c:v>2.9073985214858069E-2</c:v>
                </c:pt>
                <c:pt idx="9">
                  <c:v>2.6178487732434256E-2</c:v>
                </c:pt>
                <c:pt idx="10">
                  <c:v>2.3629892877987762E-2</c:v>
                </c:pt>
                <c:pt idx="11">
                  <c:v>2.0977480448745138E-2</c:v>
                </c:pt>
                <c:pt idx="12">
                  <c:v>1.899481798373609E-2</c:v>
                </c:pt>
                <c:pt idx="13">
                  <c:v>1.668171177455887E-2</c:v>
                </c:pt>
                <c:pt idx="14">
                  <c:v>1.5722032241687313E-2</c:v>
                </c:pt>
                <c:pt idx="15">
                  <c:v>1.3746966184590179E-2</c:v>
                </c:pt>
                <c:pt idx="16">
                  <c:v>1.2665744125128031E-2</c:v>
                </c:pt>
                <c:pt idx="17">
                  <c:v>1.1487034830796343E-2</c:v>
                </c:pt>
                <c:pt idx="18">
                  <c:v>0.10068405653246768</c:v>
                </c:pt>
                <c:pt idx="19">
                  <c:v>3.7389519742431127E-2</c:v>
                </c:pt>
                <c:pt idx="20">
                  <c:v>3.7595888824038075E-2</c:v>
                </c:pt>
                <c:pt idx="21">
                  <c:v>4.1497910354790231E-2</c:v>
                </c:pt>
                <c:pt idx="22">
                  <c:v>3.9096179386640707E-2</c:v>
                </c:pt>
                <c:pt idx="23">
                  <c:v>3.3583719378563193E-2</c:v>
                </c:pt>
                <c:pt idx="24">
                  <c:v>2.3189301219096865E-2</c:v>
                </c:pt>
                <c:pt idx="25">
                  <c:v>2.2738581016323416E-2</c:v>
                </c:pt>
                <c:pt idx="26">
                  <c:v>2.0244427085245622E-2</c:v>
                </c:pt>
                <c:pt idx="27">
                  <c:v>1.5956254818971269E-2</c:v>
                </c:pt>
                <c:pt idx="28">
                  <c:v>1.6341139486508147E-2</c:v>
                </c:pt>
                <c:pt idx="29">
                  <c:v>1.3078482288341919E-2</c:v>
                </c:pt>
                <c:pt idx="30">
                  <c:v>1.2108674211587813E-2</c:v>
                </c:pt>
                <c:pt idx="31">
                  <c:v>1.0426069859099293E-2</c:v>
                </c:pt>
                <c:pt idx="32">
                  <c:v>8.6649692915210155E-3</c:v>
                </c:pt>
                <c:pt idx="33">
                  <c:v>1.2522678442787021E-2</c:v>
                </c:pt>
                <c:pt idx="34">
                  <c:v>9.9171105290011864E-3</c:v>
                </c:pt>
                <c:pt idx="35">
                  <c:v>8.0205406869938104E-3</c:v>
                </c:pt>
                <c:pt idx="36">
                  <c:v>5.5175242800187888E-3</c:v>
                </c:pt>
                <c:pt idx="37">
                  <c:v>5.8365734123190949E-3</c:v>
                </c:pt>
                <c:pt idx="38">
                  <c:v>4.8768938794475384E-3</c:v>
                </c:pt>
                <c:pt idx="39">
                  <c:v>5.0718683491866147E-3</c:v>
                </c:pt>
                <c:pt idx="40">
                  <c:v>4.0184997854014765E-3</c:v>
                </c:pt>
                <c:pt idx="41">
                  <c:v>4.3717327533053874E-3</c:v>
                </c:pt>
                <c:pt idx="42">
                  <c:v>3.5070083193327315E-3</c:v>
                </c:pt>
                <c:pt idx="43">
                  <c:v>3.21201447875348E-3</c:v>
                </c:pt>
                <c:pt idx="44">
                  <c:v>3.1195915158252169E-3</c:v>
                </c:pt>
                <c:pt idx="45">
                  <c:v>2.9322134539980526E-3</c:v>
                </c:pt>
                <c:pt idx="46">
                  <c:v>2.7587621400093944E-3</c:v>
                </c:pt>
                <c:pt idx="47">
                  <c:v>2.2687938296910666E-3</c:v>
                </c:pt>
                <c:pt idx="48">
                  <c:v>1.9383500855228925E-3</c:v>
                </c:pt>
                <c:pt idx="49">
                  <c:v>2.5979715058739223E-3</c:v>
                </c:pt>
                <c:pt idx="50">
                  <c:v>1.7927522672112448E-3</c:v>
                </c:pt>
                <c:pt idx="51">
                  <c:v>1.675007944576608E-3</c:v>
                </c:pt>
                <c:pt idx="52">
                  <c:v>1.4293907554247848E-3</c:v>
                </c:pt>
                <c:pt idx="53">
                  <c:v>1.1597182745519069E-3</c:v>
                </c:pt>
                <c:pt idx="54">
                  <c:v>1.2217556058325221E-3</c:v>
                </c:pt>
                <c:pt idx="55">
                  <c:v>1.1445254587280828E-3</c:v>
                </c:pt>
                <c:pt idx="56">
                  <c:v>1.1584522065665882E-3</c:v>
                </c:pt>
                <c:pt idx="57">
                  <c:v>8.457334141928753E-4</c:v>
                </c:pt>
                <c:pt idx="58">
                  <c:v>9.4068851309177595E-4</c:v>
                </c:pt>
                <c:pt idx="59">
                  <c:v>9.2043142532667718E-4</c:v>
                </c:pt>
                <c:pt idx="60">
                  <c:v>6.8241064408676617E-4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2896"/>
        <c:axId val="136706816"/>
      </c:lineChart>
      <c:catAx>
        <c:axId val="136702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6816"/>
        <c:crosses val="autoZero"/>
        <c:auto val="1"/>
        <c:lblAlgn val="ctr"/>
        <c:lblOffset val="100"/>
        <c:tickLblSkip val="10"/>
        <c:noMultiLvlLbl val="0"/>
      </c:catAx>
      <c:valAx>
        <c:axId val="1367068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2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3.1099722656476838E-2</c:v>
                </c:pt>
                <c:pt idx="1">
                  <c:v>7.2343277882113408E-2</c:v>
                </c:pt>
                <c:pt idx="2">
                  <c:v>8.8271315512395809E-2</c:v>
                </c:pt>
                <c:pt idx="3">
                  <c:v>0.10255018448909474</c:v>
                </c:pt>
                <c:pt idx="4">
                  <c:v>0.17017196636861229</c:v>
                </c:pt>
                <c:pt idx="5">
                  <c:v>0.11447914334585042</c:v>
                </c:pt>
                <c:pt idx="6">
                  <c:v>0.10885395852457955</c:v>
                </c:pt>
                <c:pt idx="7">
                  <c:v>4.5671454594662562E-2</c:v>
                </c:pt>
                <c:pt idx="8">
                  <c:v>4.1055150947230626E-2</c:v>
                </c:pt>
                <c:pt idx="9">
                  <c:v>3.2680075513326176E-2</c:v>
                </c:pt>
                <c:pt idx="10">
                  <c:v>4.3876752508764667E-2</c:v>
                </c:pt>
                <c:pt idx="11">
                  <c:v>1.0931907646696442E-2</c:v>
                </c:pt>
                <c:pt idx="12">
                  <c:v>2.6718681839607194E-2</c:v>
                </c:pt>
                <c:pt idx="13">
                  <c:v>9.6734261095838079E-3</c:v>
                </c:pt>
                <c:pt idx="14">
                  <c:v>9.6784082626338412E-3</c:v>
                </c:pt>
                <c:pt idx="15">
                  <c:v>1.3055543756106468E-2</c:v>
                </c:pt>
                <c:pt idx="16">
                  <c:v>1.3484892127073671E-2</c:v>
                </c:pt>
                <c:pt idx="17">
                  <c:v>7.4095255572271829E-3</c:v>
                </c:pt>
                <c:pt idx="18">
                  <c:v>6.06995756211943E-3</c:v>
                </c:pt>
                <c:pt idx="19">
                  <c:v>3.7033624788921932E-3</c:v>
                </c:pt>
                <c:pt idx="20">
                  <c:v>3.9777529782269614E-3</c:v>
                </c:pt>
                <c:pt idx="21">
                  <c:v>2.0606991361735876E-3</c:v>
                </c:pt>
                <c:pt idx="22">
                  <c:v>2.8355217570463684E-3</c:v>
                </c:pt>
                <c:pt idx="23">
                  <c:v>2.3304360443313831E-3</c:v>
                </c:pt>
                <c:pt idx="24">
                  <c:v>6.5968401360401337E-3</c:v>
                </c:pt>
                <c:pt idx="25">
                  <c:v>1.6850464050100554E-3</c:v>
                </c:pt>
                <c:pt idx="26">
                  <c:v>6.2801417386950612E-3</c:v>
                </c:pt>
                <c:pt idx="27">
                  <c:v>1.1709993816047723E-3</c:v>
                </c:pt>
                <c:pt idx="28">
                  <c:v>4.2347889478061671E-4</c:v>
                </c:pt>
                <c:pt idx="29">
                  <c:v>3.6527016935537858E-4</c:v>
                </c:pt>
                <c:pt idx="30">
                  <c:v>2.3975644620486167E-4</c:v>
                </c:pt>
                <c:pt idx="31">
                  <c:v>1.111567541366812E-3</c:v>
                </c:pt>
                <c:pt idx="32">
                  <c:v>9.2037727996573712E-4</c:v>
                </c:pt>
                <c:pt idx="33">
                  <c:v>9.1315224298763303E-4</c:v>
                </c:pt>
                <c:pt idx="34">
                  <c:v>1.4509215588334153E-3</c:v>
                </c:pt>
                <c:pt idx="35">
                  <c:v>8.3195291927459965E-4</c:v>
                </c:pt>
                <c:pt idx="36">
                  <c:v>9.2954522459544331E-4</c:v>
                </c:pt>
                <c:pt idx="37">
                  <c:v>2.8891373181994684E-4</c:v>
                </c:pt>
                <c:pt idx="38">
                  <c:v>4.1601425682950957E-4</c:v>
                </c:pt>
                <c:pt idx="39">
                  <c:v>8.4680488840300691E-4</c:v>
                </c:pt>
                <c:pt idx="40">
                  <c:v>0</c:v>
                </c:pt>
                <c:pt idx="41">
                  <c:v>9.6853600379338464E-4</c:v>
                </c:pt>
                <c:pt idx="42">
                  <c:v>2.8902831054131964E-4</c:v>
                </c:pt>
                <c:pt idx="43">
                  <c:v>1.13548347678619E-3</c:v>
                </c:pt>
                <c:pt idx="44">
                  <c:v>2.7211423786794135E-3</c:v>
                </c:pt>
                <c:pt idx="45">
                  <c:v>0</c:v>
                </c:pt>
                <c:pt idx="46">
                  <c:v>0</c:v>
                </c:pt>
                <c:pt idx="47">
                  <c:v>5.3289604898657027E-4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2.5711110077817446E-4</c:v>
                </c:pt>
                <c:pt idx="52">
                  <c:v>1.200628605831091E-4</c:v>
                </c:pt>
                <c:pt idx="53">
                  <c:v>4.6877008279387877E-4</c:v>
                </c:pt>
                <c:pt idx="54">
                  <c:v>7.7987627436769077E-4</c:v>
                </c:pt>
                <c:pt idx="55">
                  <c:v>0</c:v>
                </c:pt>
                <c:pt idx="56">
                  <c:v>1.2133359862210404E-3</c:v>
                </c:pt>
                <c:pt idx="57">
                  <c:v>3.5955490056146204E-4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0.11711799330722465</c:v>
                </c:pt>
                <c:pt idx="1">
                  <c:v>0.11514745291703164</c:v>
                </c:pt>
                <c:pt idx="2">
                  <c:v>7.0261132221339825E-2</c:v>
                </c:pt>
                <c:pt idx="3">
                  <c:v>4.0698690064536594E-2</c:v>
                </c:pt>
                <c:pt idx="4">
                  <c:v>0.17383313159195629</c:v>
                </c:pt>
                <c:pt idx="5">
                  <c:v>9.7988698353071779E-2</c:v>
                </c:pt>
                <c:pt idx="6">
                  <c:v>9.1573446457177757E-2</c:v>
                </c:pt>
                <c:pt idx="7">
                  <c:v>5.6778324427391072E-2</c:v>
                </c:pt>
                <c:pt idx="8">
                  <c:v>7.4594338769406507E-2</c:v>
                </c:pt>
                <c:pt idx="9">
                  <c:v>3.0102621729342777E-2</c:v>
                </c:pt>
                <c:pt idx="10">
                  <c:v>2.0236291394666841E-2</c:v>
                </c:pt>
                <c:pt idx="11">
                  <c:v>2.277364865283427E-2</c:v>
                </c:pt>
                <c:pt idx="12">
                  <c:v>1.5419896696851471E-2</c:v>
                </c:pt>
                <c:pt idx="13">
                  <c:v>1.2772273425023448E-2</c:v>
                </c:pt>
                <c:pt idx="14">
                  <c:v>1.0817219834501865E-2</c:v>
                </c:pt>
                <c:pt idx="15">
                  <c:v>1.0231818806921733E-2</c:v>
                </c:pt>
                <c:pt idx="16">
                  <c:v>9.5311959897861464E-3</c:v>
                </c:pt>
                <c:pt idx="17">
                  <c:v>6.1711799330722468E-3</c:v>
                </c:pt>
                <c:pt idx="18">
                  <c:v>4.7990494821833658E-3</c:v>
                </c:pt>
                <c:pt idx="19">
                  <c:v>3.3166530176338897E-3</c:v>
                </c:pt>
                <c:pt idx="20">
                  <c:v>2.4667374516656984E-3</c:v>
                </c:pt>
                <c:pt idx="21">
                  <c:v>2.1359394106839095E-3</c:v>
                </c:pt>
                <c:pt idx="22">
                  <c:v>1.4811575205757621E-3</c:v>
                </c:pt>
                <c:pt idx="23">
                  <c:v>1.6508928449746575E-3</c:v>
                </c:pt>
                <c:pt idx="24">
                  <c:v>1.266200741136285E-3</c:v>
                </c:pt>
                <c:pt idx="25">
                  <c:v>1.6261139655003661E-3</c:v>
                </c:pt>
                <c:pt idx="26">
                  <c:v>7.8115417542703298E-4</c:v>
                </c:pt>
                <c:pt idx="27">
                  <c:v>6.1513568294928138E-4</c:v>
                </c:pt>
                <c:pt idx="28">
                  <c:v>5.1973699697325983E-4</c:v>
                </c:pt>
                <c:pt idx="29">
                  <c:v>4.2743567093152479E-4</c:v>
                </c:pt>
                <c:pt idx="30">
                  <c:v>3.7292213608808398E-4</c:v>
                </c:pt>
                <c:pt idx="31">
                  <c:v>3.7354160807494122E-4</c:v>
                </c:pt>
                <c:pt idx="32">
                  <c:v>2.6079770646691584E-4</c:v>
                </c:pt>
                <c:pt idx="33">
                  <c:v>2.5336404262462845E-4</c:v>
                </c:pt>
                <c:pt idx="34">
                  <c:v>2.2796569116347989E-4</c:v>
                </c:pt>
                <c:pt idx="35">
                  <c:v>1.8088582016232644E-4</c:v>
                </c:pt>
                <c:pt idx="36">
                  <c:v>1.8336370810975556E-4</c:v>
                </c:pt>
                <c:pt idx="37">
                  <c:v>1.4185908499031767E-4</c:v>
                </c:pt>
                <c:pt idx="38">
                  <c:v>1.3194753320060115E-4</c:v>
                </c:pt>
                <c:pt idx="39">
                  <c:v>1.6416007651717983E-4</c:v>
                </c:pt>
                <c:pt idx="40">
                  <c:v>7.9911886304589414E-5</c:v>
                </c:pt>
                <c:pt idx="41">
                  <c:v>6.1327726698870951E-5</c:v>
                </c:pt>
                <c:pt idx="42">
                  <c:v>4.5840927027438891E-5</c:v>
                </c:pt>
                <c:pt idx="43">
                  <c:v>5.1416174909154431E-5</c:v>
                </c:pt>
                <c:pt idx="44">
                  <c:v>4.274356709315248E-5</c:v>
                </c:pt>
                <c:pt idx="45">
                  <c:v>4.7079871001153459E-5</c:v>
                </c:pt>
                <c:pt idx="46">
                  <c:v>3.964620715886607E-5</c:v>
                </c:pt>
                <c:pt idx="47">
                  <c:v>3.407095927715053E-5</c:v>
                </c:pt>
                <c:pt idx="48">
                  <c:v>1.4247855697717493E-5</c:v>
                </c:pt>
                <c:pt idx="49">
                  <c:v>1.548679967143206E-5</c:v>
                </c:pt>
                <c:pt idx="50">
                  <c:v>2.1681519540004881E-5</c:v>
                </c:pt>
                <c:pt idx="51">
                  <c:v>2.2300991526862165E-5</c:v>
                </c:pt>
                <c:pt idx="52">
                  <c:v>1.7345215632003905E-5</c:v>
                </c:pt>
                <c:pt idx="53">
                  <c:v>8.6726078160019526E-6</c:v>
                </c:pt>
                <c:pt idx="54">
                  <c:v>1.05310237765738E-5</c:v>
                </c:pt>
                <c:pt idx="55">
                  <c:v>8.6726078160019526E-6</c:v>
                </c:pt>
                <c:pt idx="56">
                  <c:v>7.4336638422873877E-6</c:v>
                </c:pt>
                <c:pt idx="57">
                  <c:v>4.3363039080009763E-6</c:v>
                </c:pt>
                <c:pt idx="58">
                  <c:v>8.0531358291446701E-6</c:v>
                </c:pt>
                <c:pt idx="59">
                  <c:v>7.4336638422873877E-6</c:v>
                </c:pt>
                <c:pt idx="60">
                  <c:v>1.8584159605718469E-6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4856"/>
        <c:axId val="136703680"/>
      </c:lineChart>
      <c:catAx>
        <c:axId val="136704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3680"/>
        <c:crosses val="autoZero"/>
        <c:auto val="1"/>
        <c:lblAlgn val="ctr"/>
        <c:lblOffset val="100"/>
        <c:tickLblSkip val="10"/>
        <c:noMultiLvlLbl val="0"/>
      </c:catAx>
      <c:valAx>
        <c:axId val="1367036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48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3.1402327144202215E-4</c:v>
                </c:pt>
                <c:pt idx="3">
                  <c:v>3.0867625074704251E-5</c:v>
                </c:pt>
                <c:pt idx="4">
                  <c:v>2.2969584241640706E-3</c:v>
                </c:pt>
                <c:pt idx="5">
                  <c:v>5.9864231459520589E-3</c:v>
                </c:pt>
                <c:pt idx="6">
                  <c:v>3.8430704236853707E-3</c:v>
                </c:pt>
                <c:pt idx="7">
                  <c:v>5.3941485071770006E-3</c:v>
                </c:pt>
                <c:pt idx="8">
                  <c:v>2.6870958355038107E-3</c:v>
                </c:pt>
                <c:pt idx="9">
                  <c:v>1.5226792364240209E-2</c:v>
                </c:pt>
                <c:pt idx="10">
                  <c:v>6.2639586036947218E-3</c:v>
                </c:pt>
                <c:pt idx="11">
                  <c:v>7.8997649693074452E-3</c:v>
                </c:pt>
                <c:pt idx="12">
                  <c:v>2.0768785959633131E-2</c:v>
                </c:pt>
                <c:pt idx="13">
                  <c:v>1.903012589974111E-2</c:v>
                </c:pt>
                <c:pt idx="14">
                  <c:v>1.0366148497956681E-2</c:v>
                </c:pt>
                <c:pt idx="15">
                  <c:v>4.863086900070231E-3</c:v>
                </c:pt>
                <c:pt idx="16">
                  <c:v>2.7749170714676044E-2</c:v>
                </c:pt>
                <c:pt idx="17">
                  <c:v>1.5371064214037913E-2</c:v>
                </c:pt>
                <c:pt idx="18">
                  <c:v>5.1140214957001225E-2</c:v>
                </c:pt>
                <c:pt idx="19">
                  <c:v>4.9107043672575595E-2</c:v>
                </c:pt>
                <c:pt idx="20">
                  <c:v>5.2278719250852847E-2</c:v>
                </c:pt>
                <c:pt idx="21">
                  <c:v>4.3016672540653375E-2</c:v>
                </c:pt>
                <c:pt idx="22">
                  <c:v>4.4944706623926849E-2</c:v>
                </c:pt>
                <c:pt idx="23">
                  <c:v>3.2809309426334733E-2</c:v>
                </c:pt>
                <c:pt idx="24">
                  <c:v>2.711191246119277E-2</c:v>
                </c:pt>
                <c:pt idx="25">
                  <c:v>1.9442319897248667E-2</c:v>
                </c:pt>
                <c:pt idx="26">
                  <c:v>5.3814520913928104E-2</c:v>
                </c:pt>
                <c:pt idx="27">
                  <c:v>1.8410891843667149E-2</c:v>
                </c:pt>
                <c:pt idx="28">
                  <c:v>1.3905101702905317E-2</c:v>
                </c:pt>
                <c:pt idx="29">
                  <c:v>2.5796796065345035E-2</c:v>
                </c:pt>
                <c:pt idx="30">
                  <c:v>1.5603251765859716E-2</c:v>
                </c:pt>
                <c:pt idx="31">
                  <c:v>1.4615447599888219E-2</c:v>
                </c:pt>
                <c:pt idx="32">
                  <c:v>8.7220947359849636E-3</c:v>
                </c:pt>
                <c:pt idx="33">
                  <c:v>8.6164218981608087E-3</c:v>
                </c:pt>
                <c:pt idx="34">
                  <c:v>1.490414076644948E-2</c:v>
                </c:pt>
                <c:pt idx="35">
                  <c:v>1.2591625511277868E-2</c:v>
                </c:pt>
                <c:pt idx="36">
                  <c:v>1.168387385547681E-2</c:v>
                </c:pt>
                <c:pt idx="37">
                  <c:v>9.8186997622539407E-3</c:v>
                </c:pt>
                <c:pt idx="38">
                  <c:v>1.1800864251621142E-2</c:v>
                </c:pt>
                <c:pt idx="39">
                  <c:v>1.9244304655909369E-3</c:v>
                </c:pt>
                <c:pt idx="40">
                  <c:v>4.7465607362097758E-3</c:v>
                </c:pt>
                <c:pt idx="41">
                  <c:v>3.3616611918245135E-3</c:v>
                </c:pt>
                <c:pt idx="42">
                  <c:v>5.1171903477629207E-3</c:v>
                </c:pt>
                <c:pt idx="43">
                  <c:v>2.0366221125759565E-3</c:v>
                </c:pt>
                <c:pt idx="44">
                  <c:v>1.2772222923384741E-3</c:v>
                </c:pt>
                <c:pt idx="45">
                  <c:v>3.5389271251564193E-2</c:v>
                </c:pt>
                <c:pt idx="46">
                  <c:v>3.6141085034968874E-3</c:v>
                </c:pt>
                <c:pt idx="47">
                  <c:v>2.3651168138172796E-3</c:v>
                </c:pt>
                <c:pt idx="48">
                  <c:v>7.3372901582107984E-3</c:v>
                </c:pt>
                <c:pt idx="49">
                  <c:v>3.9636904628395997E-3</c:v>
                </c:pt>
                <c:pt idx="50">
                  <c:v>4.9442594409976695E-4</c:v>
                </c:pt>
                <c:pt idx="51">
                  <c:v>6.6489487139450255E-3</c:v>
                </c:pt>
                <c:pt idx="52">
                  <c:v>3.1596320969299566E-3</c:v>
                </c:pt>
                <c:pt idx="53">
                  <c:v>6.0620187981302582E-4</c:v>
                </c:pt>
                <c:pt idx="54">
                  <c:v>1.4772429771934929E-2</c:v>
                </c:pt>
                <c:pt idx="55">
                  <c:v>2.2184847760656521E-4</c:v>
                </c:pt>
                <c:pt idx="56">
                  <c:v>5.271490212999861E-3</c:v>
                </c:pt>
                <c:pt idx="57">
                  <c:v>1.3511156239936744E-3</c:v>
                </c:pt>
                <c:pt idx="58">
                  <c:v>1.7891484973076943E-3</c:v>
                </c:pt>
                <c:pt idx="59">
                  <c:v>1.3222846089192313E-2</c:v>
                </c:pt>
                <c:pt idx="60">
                  <c:v>1.0004818338428451E-2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2.541074090088572E-3</c:v>
                </c:pt>
                <c:pt idx="1">
                  <c:v>9.8743834705050798E-3</c:v>
                </c:pt>
                <c:pt idx="2">
                  <c:v>1.0801113562843575E-2</c:v>
                </c:pt>
                <c:pt idx="3">
                  <c:v>1.185731330043524E-2</c:v>
                </c:pt>
                <c:pt idx="4">
                  <c:v>1.2942628221409199E-2</c:v>
                </c:pt>
                <c:pt idx="5">
                  <c:v>1.3855729930036835E-2</c:v>
                </c:pt>
                <c:pt idx="6">
                  <c:v>1.477069005462504E-2</c:v>
                </c:pt>
                <c:pt idx="7">
                  <c:v>1.5185736285819419E-2</c:v>
                </c:pt>
                <c:pt idx="8">
                  <c:v>1.5333170618691452E-2</c:v>
                </c:pt>
                <c:pt idx="9">
                  <c:v>1.4976974226248515E-2</c:v>
                </c:pt>
                <c:pt idx="10">
                  <c:v>1.5009806241551951E-2</c:v>
                </c:pt>
                <c:pt idx="11">
                  <c:v>1.4587945818502141E-2</c:v>
                </c:pt>
                <c:pt idx="12">
                  <c:v>1.4275731937126071E-2</c:v>
                </c:pt>
                <c:pt idx="13">
                  <c:v>1.2845371119472607E-2</c:v>
                </c:pt>
                <c:pt idx="14">
                  <c:v>1.3052274763082938E-2</c:v>
                </c:pt>
                <c:pt idx="15">
                  <c:v>1.3119177737663525E-2</c:v>
                </c:pt>
                <c:pt idx="16">
                  <c:v>1.303616849142465E-2</c:v>
                </c:pt>
                <c:pt idx="17">
                  <c:v>1.1878994819975246E-2</c:v>
                </c:pt>
                <c:pt idx="18">
                  <c:v>0.11978543968263211</c:v>
                </c:pt>
                <c:pt idx="19">
                  <c:v>4.990032695731466E-2</c:v>
                </c:pt>
                <c:pt idx="20">
                  <c:v>4.9446253990948277E-2</c:v>
                </c:pt>
                <c:pt idx="21">
                  <c:v>5.3991319958520155E-2</c:v>
                </c:pt>
                <c:pt idx="22">
                  <c:v>5.0501834256553087E-2</c:v>
                </c:pt>
                <c:pt idx="23">
                  <c:v>4.4241450357373389E-2</c:v>
                </c:pt>
                <c:pt idx="24">
                  <c:v>3.41917563145877E-2</c:v>
                </c:pt>
                <c:pt idx="25">
                  <c:v>3.3323256589013792E-2</c:v>
                </c:pt>
                <c:pt idx="26">
                  <c:v>3.5665480171321172E-2</c:v>
                </c:pt>
                <c:pt idx="27">
                  <c:v>2.2564886593263365E-2</c:v>
                </c:pt>
                <c:pt idx="28">
                  <c:v>2.5766937293328657E-2</c:v>
                </c:pt>
                <c:pt idx="29">
                  <c:v>1.7584331818930817E-2</c:v>
                </c:pt>
                <c:pt idx="30">
                  <c:v>1.7070170069839272E-2</c:v>
                </c:pt>
                <c:pt idx="31">
                  <c:v>1.799813910615148E-2</c:v>
                </c:pt>
                <c:pt idx="32">
                  <c:v>1.2202978669101604E-2</c:v>
                </c:pt>
                <c:pt idx="33">
                  <c:v>1.9512128642030679E-2</c:v>
                </c:pt>
                <c:pt idx="34">
                  <c:v>1.6017687164168751E-2</c:v>
                </c:pt>
                <c:pt idx="35">
                  <c:v>1.2471210039410808E-2</c:v>
                </c:pt>
                <c:pt idx="36">
                  <c:v>8.2241100975172805E-3</c:v>
                </c:pt>
                <c:pt idx="37">
                  <c:v>6.663040690636929E-3</c:v>
                </c:pt>
                <c:pt idx="38">
                  <c:v>6.5732172525426224E-3</c:v>
                </c:pt>
                <c:pt idx="39">
                  <c:v>6.7863156160215283E-3</c:v>
                </c:pt>
                <c:pt idx="40">
                  <c:v>6.7051647857432235E-3</c:v>
                </c:pt>
                <c:pt idx="41">
                  <c:v>5.8930370109733267E-3</c:v>
                </c:pt>
                <c:pt idx="42">
                  <c:v>4.4391362578192848E-3</c:v>
                </c:pt>
                <c:pt idx="43">
                  <c:v>4.3982511066867043E-3</c:v>
                </c:pt>
                <c:pt idx="44">
                  <c:v>3.9317887005831708E-3</c:v>
                </c:pt>
                <c:pt idx="45">
                  <c:v>4.0532052100071981E-3</c:v>
                </c:pt>
                <c:pt idx="46">
                  <c:v>4.1083382168374963E-3</c:v>
                </c:pt>
                <c:pt idx="47">
                  <c:v>2.9703681769806685E-3</c:v>
                </c:pt>
                <c:pt idx="48">
                  <c:v>2.791340772778914E-3</c:v>
                </c:pt>
                <c:pt idx="49">
                  <c:v>3.4009012078464801E-3</c:v>
                </c:pt>
                <c:pt idx="50">
                  <c:v>2.9040846743869394E-3</c:v>
                </c:pt>
                <c:pt idx="51">
                  <c:v>2.1793024497639194E-3</c:v>
                </c:pt>
                <c:pt idx="52">
                  <c:v>2.2561169761342223E-3</c:v>
                </c:pt>
                <c:pt idx="53">
                  <c:v>1.8701859283221354E-3</c:v>
                </c:pt>
                <c:pt idx="54">
                  <c:v>1.7791235462541149E-3</c:v>
                </c:pt>
                <c:pt idx="55">
                  <c:v>1.8900090319015684E-3</c:v>
                </c:pt>
                <c:pt idx="56">
                  <c:v>1.8516017687164169E-3</c:v>
                </c:pt>
                <c:pt idx="57">
                  <c:v>1.3993872183106007E-3</c:v>
                </c:pt>
                <c:pt idx="58">
                  <c:v>1.6087687498683623E-3</c:v>
                </c:pt>
                <c:pt idx="59">
                  <c:v>1.7122205716735284E-3</c:v>
                </c:pt>
                <c:pt idx="60">
                  <c:v>1.3089443082294375E-3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1328"/>
        <c:axId val="136707600"/>
      </c:lineChart>
      <c:catAx>
        <c:axId val="136701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7600"/>
        <c:crosses val="autoZero"/>
        <c:auto val="1"/>
        <c:lblAlgn val="ctr"/>
        <c:lblOffset val="100"/>
        <c:tickLblSkip val="10"/>
        <c:noMultiLvlLbl val="0"/>
      </c:catAx>
      <c:valAx>
        <c:axId val="1367076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13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0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11.xml" Type="http://schemas.openxmlformats.org/officeDocument/2006/relationships/chart"/></Relationships>
</file>

<file path=xl/drawings/_rels/drawing12.xml.rels><?xml version="1.0" encoding="UTF-8" standalone="no"?><Relationships xmlns="http://schemas.openxmlformats.org/package/2006/relationships"><Relationship Id="rId1" Target="../charts/chart12.xml" Type="http://schemas.openxmlformats.org/officeDocument/2006/relationships/chart"/></Relationships>
</file>

<file path=xl/drawings/_rels/drawing13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14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15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16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11.xml" Type="http://schemas.openxmlformats.org/officeDocument/2006/relationships/drawing"/></Relationships>
</file>

<file path=xl/worksheets/_rels/sheet12.xml.rels><?xml version="1.0" encoding="UTF-8" standalone="no"?><Relationships xmlns="http://schemas.openxmlformats.org/package/2006/relationships"><Relationship Id="rId1" Target="../drawings/drawing12.xml" Type="http://schemas.openxmlformats.org/officeDocument/2006/relationships/drawing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13.xml" Type="http://schemas.openxmlformats.org/officeDocument/2006/relationships/drawing"/></Relationships>
</file>

<file path=xl/worksheets/_rels/sheet14.xml.rels><?xml version="1.0" encoding="UTF-8" standalone="no"?><Relationships xmlns="http://schemas.openxmlformats.org/package/2006/relationships"><Relationship Id="rId1" Target="../drawings/drawing14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15.xml" Type="http://schemas.openxmlformats.org/officeDocument/2006/relationships/drawing"/></Relationships>
</file>

<file path=xl/worksheets/_rels/sheet16.xml.rels><?xml version="1.0" encoding="UTF-8" standalone="no"?><Relationships xmlns="http://schemas.openxmlformats.org/package/2006/relationships"><Relationship Id="rId1" Target="../drawings/drawing1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2"/>
  <sheetViews>
    <sheetView tabSelected="1" topLeftCell="O1" workbookViewId="0">
      <selection activeCell="T21" sqref="T2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20" max="20" bestFit="true" customWidth="true" width="15.265625" collapsed="true"/>
    <col min="21" max="21" bestFit="true" customWidth="true" width="14.265625" collapsed="true"/>
    <col min="23" max="23" bestFit="true" customWidth="true" width="12.265625" collapsed="true"/>
    <col min="25" max="25" bestFit="true" customWidth="true" width="14.265625" collapsed="true"/>
    <col min="27" max="27" bestFit="true" customWidth="true" width="12.265625" collapsed="true"/>
  </cols>
  <sheetData>
    <row r="1" spans="1:27" x14ac:dyDescent="0.45">
      <c r="A1" t="s">
        <v>1</v>
      </c>
    </row>
    <row r="2" spans="1:27" x14ac:dyDescent="0.45">
      <c r="A2" t="s">
        <v>19</v>
      </c>
    </row>
    <row r="3" spans="1:27" x14ac:dyDescent="0.45">
      <c r="A3" t="s">
        <v>20</v>
      </c>
    </row>
    <row r="4" spans="1:27" x14ac:dyDescent="0.45">
      <c r="A4" t="s">
        <v>4</v>
      </c>
    </row>
    <row r="5" spans="1:27" x14ac:dyDescent="0.45">
      <c r="A5" t="s">
        <v>6</v>
      </c>
    </row>
    <row r="7" spans="1:27" x14ac:dyDescent="0.45">
      <c r="A7" t="s">
        <v>9</v>
      </c>
      <c r="T7" t="s">
        <v>23</v>
      </c>
    </row>
    <row r="8" spans="1:27" x14ac:dyDescent="0.45">
      <c r="U8" t="s">
        <v>17</v>
      </c>
      <c r="Y8" t="s">
        <v>13</v>
      </c>
    </row>
    <row r="9" spans="1:27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5189378.9151415937</v>
      </c>
      <c r="V10" s="6">
        <f>K11</f>
        <v>7.6881207237445928</v>
      </c>
      <c r="W10" s="373">
        <f>U10*V10</f>
        <v>39896571.580863319</v>
      </c>
      <c r="Y10" s="373">
        <f>F102</f>
        <v>5655036</v>
      </c>
      <c r="Z10" s="6">
        <f>L11</f>
        <v>6.9487975583626067</v>
      </c>
      <c r="AA10" s="373">
        <f>Y10*Z10</f>
        <v>39295700.349252641</v>
      </c>
    </row>
    <row r="11" spans="1:27" x14ac:dyDescent="0.45">
      <c r="A11">
        <v>0</v>
      </c>
      <c r="B11" s="6" t="n">
        <v>101995.6604967862</v>
      </c>
      <c r="C11" s="9">
        <f>B11/B$102</f>
        <v>1.9654695131084528E-2</v>
      </c>
      <c r="E11" s="10">
        <v>0</v>
      </c>
      <c r="F11" s="100" t="n">
        <v>721703.0</v>
      </c>
      <c r="G11" s="9">
        <f>F11/F$102</f>
        <v>0.12748919723941635</v>
      </c>
      <c r="K11" s="6" t="n">
        <v>7.688120723744593</v>
      </c>
      <c r="L11" s="6" t="n">
        <v>6.888851437764937</v>
      </c>
      <c r="S11" t="s">
        <v>42</v>
      </c>
      <c r="T11" t="s">
        <v>27</v>
      </c>
      <c r="U11" s="373">
        <f>TLFD_Work!B102</f>
        <v>2008874.5801324961</v>
      </c>
      <c r="V11" s="6">
        <f>TLFD_Work!K11</f>
        <v>10.66532263481937</v>
      </c>
      <c r="W11" s="373">
        <f t="shared" ref="W11:W16" si="0">U11*V11</f>
        <v>21425295.53000037</v>
      </c>
      <c r="Y11" s="373">
        <f>TLFD_Work!F102</f>
        <v>2482706</v>
      </c>
      <c r="Z11" s="6">
        <f>TLFD_Work!L11</f>
        <v>9.8983872795276824</v>
      </c>
      <c r="AA11" s="373">
        <f t="shared" ref="AA11:AA16" si="1">Y11*Z11</f>
        <v>24574785.489207055</v>
      </c>
    </row>
    <row r="12" spans="1:27" x14ac:dyDescent="0.45">
      <c r="A12">
        <v>1</v>
      </c>
      <c r="B12" s="6" t="n">
        <v>223635.9334724806</v>
      </c>
      <c r="C12" s="9">
        <f>B12/B$102</f>
        <v>4.3094932385830342E-2</v>
      </c>
      <c r="E12" s="11">
        <v>1</v>
      </c>
      <c r="F12" s="101" t="n">
        <v>601535.0</v>
      </c>
      <c r="G12" s="9">
        <f>F12/F$102</f>
        <v>0.10612116350806608</v>
      </c>
      <c r="K12" s="6"/>
      <c r="L12" s="370"/>
      <c r="S12" t="s">
        <v>43</v>
      </c>
      <c r="T12" t="s">
        <v>28</v>
      </c>
      <c r="U12" s="373">
        <f>TLFD_School!B102</f>
        <v>767273.26875755831</v>
      </c>
      <c r="V12" s="6">
        <f>TLFD_School!K11</f>
        <v>6.2394996181404805</v>
      </c>
      <c r="W12" s="373">
        <f t="shared" si="0"/>
        <v>4787401.2674221834</v>
      </c>
      <c r="Y12" s="373">
        <f>TLFD_School!F102</f>
        <v>689788</v>
      </c>
      <c r="Z12" s="6">
        <f>TLFD_School!L11</f>
        <v>5.0792013593800496</v>
      </c>
      <c r="AA12" s="373">
        <f t="shared" si="1"/>
        <v>3503572.1472840458</v>
      </c>
    </row>
    <row r="13" spans="1:27" x14ac:dyDescent="0.45">
      <c r="A13">
        <v>2</v>
      </c>
      <c r="B13" s="6" t="n">
        <v>329646.0037703509</v>
      </c>
      <c r="C13" s="9">
        <f t="shared" ref="C13:C76" si="2">B13/B$102</f>
        <v>6.3523209455472268E-2</v>
      </c>
      <c r="E13" s="12">
        <v>2</v>
      </c>
      <c r="F13" s="102" t="n">
        <v>361963.0</v>
      </c>
      <c r="G13" s="9">
        <f t="shared" ref="G13:G76" si="3">F13/F$102</f>
        <v>6.3516837028093187E-2</v>
      </c>
      <c r="S13" t="s">
        <v>44</v>
      </c>
      <c r="T13" t="s">
        <v>29</v>
      </c>
      <c r="U13" s="373">
        <f>TLFD_Escort!B102</f>
        <v>1057876.9664938655</v>
      </c>
      <c r="V13" s="6">
        <f>TLFD_Escort!K11</f>
        <v>7.1809751992848003</v>
      </c>
      <c r="W13" s="373">
        <f t="shared" si="0"/>
        <v>7596588.2602870855</v>
      </c>
      <c r="Y13" s="373">
        <f>TLFD_Escort!F102</f>
        <v>1269088</v>
      </c>
      <c r="Z13" s="6">
        <f>TLFD_Escort!L11</f>
        <v>5.8041582991053637</v>
      </c>
      <c r="AA13" s="373">
        <f t="shared" si="1"/>
        <v>7365987.6474950276</v>
      </c>
    </row>
    <row r="14" spans="1:27" x14ac:dyDescent="0.45">
      <c r="A14">
        <v>3</v>
      </c>
      <c r="B14" s="6" t="n">
        <v>495629.50871000113</v>
      </c>
      <c r="C14" s="9">
        <f t="shared" si="2"/>
        <v>9.5508444616339547E-2</v>
      </c>
      <c r="E14" s="13">
        <v>3</v>
      </c>
      <c r="F14" s="103" t="n">
        <v>205206.0</v>
      </c>
      <c r="G14" s="9">
        <f t="shared" si="3"/>
        <v>3.6161219840156633E-2</v>
      </c>
      <c r="S14" t="s">
        <v>45</v>
      </c>
      <c r="T14" t="s">
        <v>30</v>
      </c>
      <c r="U14" s="373">
        <f>TLFD_PerBus!B102</f>
        <v>1663235.0464055245</v>
      </c>
      <c r="V14" s="6">
        <f>TLFD_PerBus!K11</f>
        <v>7.4049966815025154</v>
      </c>
      <c r="W14" s="373">
        <f t="shared" si="0"/>
        <v>12316249.999191592</v>
      </c>
      <c r="Y14" s="373">
        <f>TLFD_PerBus!F102</f>
        <v>1752380</v>
      </c>
      <c r="Z14" s="6">
        <f>TLFD_PerBus!L11</f>
        <v>5.4673952079514416</v>
      </c>
      <c r="AA14" s="373">
        <f t="shared" si="1"/>
        <v>9580954.014509948</v>
      </c>
    </row>
    <row r="15" spans="1:27" x14ac:dyDescent="0.45">
      <c r="A15">
        <v>4</v>
      </c>
      <c r="B15" s="6" t="n">
        <v>937404.7655199018</v>
      </c>
      <c r="C15" s="9">
        <f t="shared" si="2"/>
        <v>0.18063910553625942</v>
      </c>
      <c r="E15" s="14">
        <v>4</v>
      </c>
      <c r="F15" s="104" t="n">
        <v>883194.0</v>
      </c>
      <c r="G15" s="9">
        <f t="shared" si="3"/>
        <v>0.15566019385199317</v>
      </c>
      <c r="S15" t="s">
        <v>46</v>
      </c>
      <c r="T15" t="s">
        <v>31</v>
      </c>
      <c r="U15" s="373">
        <f>TLFD_Shop!B102</f>
        <v>1835648.6551130863</v>
      </c>
      <c r="V15" s="6">
        <f>TLFD_Shop!K11</f>
        <v>6.0915413687935915</v>
      </c>
      <c r="W15" s="373">
        <f t="shared" si="0"/>
        <v>11181929.721191686</v>
      </c>
      <c r="Y15" s="373">
        <f>TLFD_Shop!F102</f>
        <v>1955391</v>
      </c>
      <c r="Z15" s="6">
        <f>TLFD_Shop!L11</f>
        <v>5.1098374178815389</v>
      </c>
      <c r="AA15" s="373">
        <f t="shared" si="1"/>
        <v>9991730.0983888004</v>
      </c>
    </row>
    <row r="16" spans="1:27" x14ac:dyDescent="0.45">
      <c r="A16">
        <v>5</v>
      </c>
      <c r="B16" s="6" t="n">
        <v>552869.432468299</v>
      </c>
      <c r="C16" s="9">
        <f t="shared" si="2"/>
        <v>0.10653865164001304</v>
      </c>
      <c r="E16" s="15">
        <v>5</v>
      </c>
      <c r="F16" s="105" t="n">
        <v>479800.0</v>
      </c>
      <c r="G16" s="9">
        <f t="shared" si="3"/>
        <v>8.5142163551213471E-2</v>
      </c>
      <c r="S16" t="s">
        <v>34</v>
      </c>
      <c r="T16" t="s">
        <v>48</v>
      </c>
      <c r="U16" s="6">
        <f>TLFD_Meal!B102</f>
        <v>734264.25339805277</v>
      </c>
      <c r="V16" s="6">
        <f>TLFD_Meal!K11</f>
        <v>5.3663220715914592</v>
      </c>
      <c r="W16" s="373">
        <f t="shared" si="0"/>
        <v>3940298.4693905949</v>
      </c>
      <c r="Y16" s="6">
        <f>TLFD_Meal!F102</f>
        <v>789847</v>
      </c>
      <c r="Z16" s="6">
        <f>TLFD_Meal!L11</f>
        <v>4.942989197561527</v>
      </c>
      <c r="AA16" s="373">
        <f t="shared" si="1"/>
        <v>3904205.1887263795</v>
      </c>
    </row>
    <row r="17" spans="1:28" x14ac:dyDescent="0.45">
      <c r="A17">
        <v>6</v>
      </c>
      <c r="B17" s="6" t="n">
        <v>646986.0890125734</v>
      </c>
      <c r="C17" s="9">
        <f t="shared" si="2"/>
        <v>0.12467505256260905</v>
      </c>
      <c r="E17" s="16">
        <v>6</v>
      </c>
      <c r="F17" s="106" t="n">
        <v>476726.0</v>
      </c>
      <c r="G17" s="9">
        <f t="shared" si="3"/>
        <v>8.1334583900084814E-2</v>
      </c>
      <c r="S17" t="s">
        <v>47</v>
      </c>
      <c r="T17" t="s">
        <v>32</v>
      </c>
      <c r="U17" s="373">
        <f>TLFD_SocRec!B102</f>
        <v>1507808.8071680365</v>
      </c>
      <c r="V17" s="6">
        <f>TLFD_SocRec!K11</f>
        <v>7.0337545608664671</v>
      </c>
      <c r="W17" s="373">
        <f>U17*V17</f>
        <v>10605557.074332803</v>
      </c>
      <c r="Y17" s="373">
        <f>TLFD_SocRec!F102</f>
        <v>1614278</v>
      </c>
      <c r="Z17" s="6">
        <f>TLFD_SocRec!L11</f>
        <v>5.7415014628594641</v>
      </c>
      <c r="AA17" s="373">
        <f>Y17*Z17</f>
        <v>9268379.49846185</v>
      </c>
    </row>
    <row r="18" spans="1:28" x14ac:dyDescent="0.45">
      <c r="A18">
        <v>7</v>
      </c>
      <c r="B18" s="6" t="n">
        <v>265508.7875697167</v>
      </c>
      <c r="C18" s="9">
        <f t="shared" si="2"/>
        <v>5.1163885295601355E-2</v>
      </c>
      <c r="E18" s="17">
        <v>7</v>
      </c>
      <c r="F18" s="107" t="n">
        <v>269540.0</v>
      </c>
      <c r="G18" s="9">
        <f t="shared" si="3"/>
        <v>5.1555463130561856E-2</v>
      </c>
      <c r="T18" s="375" t="s">
        <v>35</v>
      </c>
      <c r="U18" s="376">
        <f>SUM(U10:U15)+U17</f>
        <v>14030096.239212159</v>
      </c>
      <c r="V18" s="377">
        <f>W18/U18</f>
        <v>7.6841663517586074</v>
      </c>
      <c r="W18" s="376">
        <f>SUM(W10:W15)+W17</f>
        <v>107809593.43328905</v>
      </c>
      <c r="X18" s="375"/>
      <c r="Y18" s="376">
        <f>SUM(Y10:Y15)+Y17</f>
        <v>15418667</v>
      </c>
      <c r="Z18" s="377">
        <f>AA18/Y18</f>
        <v>6.7179029967116728</v>
      </c>
      <c r="AA18" s="376">
        <f>SUM(AA10:AA15)+AA17</f>
        <v>103581109.24459937</v>
      </c>
      <c r="AB18" t="s">
        <v>38</v>
      </c>
    </row>
    <row r="19" spans="1:28" x14ac:dyDescent="0.45">
      <c r="A19">
        <v>8</v>
      </c>
      <c r="B19" s="6" t="n">
        <v>293913.3679259696</v>
      </c>
      <c r="C19" s="9">
        <f t="shared" si="2"/>
        <v>5.6637484510600647E-2</v>
      </c>
      <c r="E19" s="18">
        <v>8</v>
      </c>
      <c r="F19" s="108" t="n">
        <v>306752.0</v>
      </c>
      <c r="G19" s="9">
        <f t="shared" si="3"/>
        <v>5.4696026691960935E-2</v>
      </c>
      <c r="S19" s="375" t="s">
        <v>36</v>
      </c>
      <c r="U19" s="378">
        <f>U18+U16</f>
        <v>14764360.492610212</v>
      </c>
      <c r="V19" s="377">
        <f>W19/U19</f>
        <v>7.5688948369021585</v>
      </c>
      <c r="W19" s="379">
        <f>W18+W16</f>
        <v>111749891.90267965</v>
      </c>
      <c r="X19" s="375"/>
      <c r="Y19" s="378">
        <f>Y18+Y16</f>
        <v>16208514</v>
      </c>
      <c r="Z19" s="377">
        <f>AA19/Y19</f>
        <v>6.6314107778989335</v>
      </c>
      <c r="AA19" s="379">
        <f>AA18+AA16</f>
        <v>107485314.43332575</v>
      </c>
      <c r="AB19" t="s">
        <v>37</v>
      </c>
    </row>
    <row r="20" spans="1:28" x14ac:dyDescent="0.45">
      <c r="A20">
        <v>9</v>
      </c>
      <c r="B20" s="6" t="n">
        <v>143264.4830780331</v>
      </c>
      <c r="C20" s="9">
        <f t="shared" si="2"/>
        <v>2.7607250389832846E-2</v>
      </c>
      <c r="E20" s="19">
        <v>9</v>
      </c>
      <c r="F20" s="109" t="n">
        <v>148469.0</v>
      </c>
      <c r="G20" s="9">
        <f t="shared" si="3"/>
        <v>2.716180763482319E-2</v>
      </c>
    </row>
    <row r="21" spans="1:28" x14ac:dyDescent="0.45">
      <c r="A21">
        <v>10</v>
      </c>
      <c r="B21" s="6" t="n">
        <v>293131.0393070077</v>
      </c>
      <c r="C21" s="9">
        <f t="shared" si="2"/>
        <v>5.6486728778218254E-2</v>
      </c>
      <c r="E21" s="20">
        <v>10</v>
      </c>
      <c r="F21" s="110" t="n">
        <v>141628.0</v>
      </c>
      <c r="G21" s="9">
        <f t="shared" si="3"/>
        <v>2.4516908468840869E-2</v>
      </c>
    </row>
    <row r="22" spans="1:28" x14ac:dyDescent="0.45">
      <c r="A22">
        <v>11</v>
      </c>
      <c r="B22" s="6" t="n">
        <v>93994.8711922027</v>
      </c>
      <c r="C22" s="9">
        <f t="shared" si="2"/>
        <v>1.8112932728412648E-2</v>
      </c>
      <c r="E22" s="21">
        <v>11</v>
      </c>
      <c r="F22" s="111" t="n">
        <v>169671.0</v>
      </c>
      <c r="G22" s="9">
        <f t="shared" si="3"/>
        <v>2.4162003566378713E-2</v>
      </c>
    </row>
    <row r="23" spans="1:28" x14ac:dyDescent="0.45">
      <c r="A23">
        <v>12</v>
      </c>
      <c r="B23" s="6" t="n">
        <v>62896.5812108923</v>
      </c>
      <c r="C23" s="9">
        <f t="shared" si="2"/>
        <v>1.2120252199617253E-2</v>
      </c>
      <c r="E23" s="22">
        <v>12</v>
      </c>
      <c r="F23" s="112" t="n">
        <v>108920.0</v>
      </c>
      <c r="G23" s="9">
        <f t="shared" si="3"/>
        <v>2.2545568233341043E-2</v>
      </c>
    </row>
    <row r="24" spans="1:28" x14ac:dyDescent="0.45">
      <c r="A24">
        <v>13</v>
      </c>
      <c r="B24" s="6" t="n">
        <v>63904.7166703149</v>
      </c>
      <c r="C24" s="9">
        <f t="shared" si="2"/>
        <v>1.2314521200957869E-2</v>
      </c>
      <c r="E24" s="23">
        <v>13</v>
      </c>
      <c r="F24" s="113" t="n">
        <v>90611.0</v>
      </c>
      <c r="G24" s="9">
        <f t="shared" si="3"/>
        <v>1.8569996725042955E-2</v>
      </c>
    </row>
    <row r="25" spans="1:28" x14ac:dyDescent="0.45">
      <c r="A25">
        <v>14</v>
      </c>
      <c r="B25" s="6" t="n">
        <v>71828.393716422</v>
      </c>
      <c r="C25" s="9">
        <f t="shared" si="2"/>
        <v>1.3841423972113654E-2</v>
      </c>
      <c r="E25" s="24">
        <v>14</v>
      </c>
      <c r="F25" s="114" t="n">
        <v>79069.0</v>
      </c>
      <c r="G25" s="9">
        <f t="shared" si="3"/>
        <v>1.485879134986939E-2</v>
      </c>
    </row>
    <row r="26" spans="1:28" x14ac:dyDescent="0.45">
      <c r="A26">
        <v>15</v>
      </c>
      <c r="B26" s="6" t="n">
        <v>55435.2432572397</v>
      </c>
      <c r="C26" s="9">
        <f t="shared" si="2"/>
        <v>1.0682442766992884E-2</v>
      </c>
      <c r="E26" s="25">
        <v>15</v>
      </c>
      <c r="F26" s="115" t="n">
        <v>84252.0</v>
      </c>
      <c r="G26" s="9">
        <f t="shared" si="3"/>
        <v>1.5182396716837876E-2</v>
      </c>
    </row>
    <row r="27" spans="1:28" x14ac:dyDescent="0.45">
      <c r="A27">
        <v>16</v>
      </c>
      <c r="B27" s="6" t="n">
        <v>96205.4719719057</v>
      </c>
      <c r="C27" s="9">
        <f t="shared" si="2"/>
        <v>1.8538918345545542E-2</v>
      </c>
      <c r="E27" s="26">
        <v>16</v>
      </c>
      <c r="F27" s="116" t="n">
        <v>80828.0</v>
      </c>
      <c r="G27" s="9">
        <f t="shared" si="3"/>
        <v>1.3294345075787316E-2</v>
      </c>
    </row>
    <row r="28" spans="1:28" x14ac:dyDescent="0.45">
      <c r="A28">
        <v>17</v>
      </c>
      <c r="B28" s="6" t="n">
        <v>63132.5678005605</v>
      </c>
      <c r="C28" s="9">
        <f t="shared" si="2"/>
        <v>1.2165727119357579E-2</v>
      </c>
      <c r="E28" s="27">
        <v>17</v>
      </c>
      <c r="F28" s="117" t="n">
        <v>62122.0</v>
      </c>
      <c r="G28" s="9">
        <f t="shared" si="3"/>
        <v>8.8947267532868048E-3</v>
      </c>
    </row>
    <row r="29" spans="1:28" x14ac:dyDescent="0.45">
      <c r="A29">
        <v>18</v>
      </c>
      <c r="B29" s="6" t="n">
        <v>50196.9182096425</v>
      </c>
      <c r="C29" s="9">
        <f t="shared" si="2"/>
        <v>9.6730107842342566E-3</v>
      </c>
      <c r="E29" s="28">
        <v>18</v>
      </c>
      <c r="F29" s="118" t="n">
        <v>45774.0</v>
      </c>
      <c r="G29" s="9">
        <f t="shared" si="3"/>
        <v>8.3493721348546681E-3</v>
      </c>
    </row>
    <row r="30" spans="1:28" x14ac:dyDescent="0.45">
      <c r="A30">
        <v>19</v>
      </c>
      <c r="B30" s="6" t="n">
        <v>25794.5833620187</v>
      </c>
      <c r="C30" s="9">
        <f t="shared" si="2"/>
        <v>4.9706494329707059E-3</v>
      </c>
      <c r="E30" s="29">
        <v>19</v>
      </c>
      <c r="F30" s="119" t="n">
        <v>38266.0</v>
      </c>
      <c r="G30" s="9">
        <f t="shared" si="3"/>
        <v>7.1180802385696568E-3</v>
      </c>
    </row>
    <row r="31" spans="1:28" x14ac:dyDescent="0.45">
      <c r="A31">
        <v>20</v>
      </c>
      <c r="B31" s="6" t="n">
        <v>25867.3518262927</v>
      </c>
      <c r="C31" s="9">
        <f t="shared" si="2"/>
        <v>4.9846720097499186E-3</v>
      </c>
      <c r="E31" s="30">
        <v>20</v>
      </c>
      <c r="F31" s="120" t="n">
        <v>34713.0</v>
      </c>
      <c r="G31" s="9">
        <f t="shared" si="3"/>
        <v>7.4006602256820294E-3</v>
      </c>
    </row>
    <row r="32" spans="1:28" x14ac:dyDescent="0.45">
      <c r="A32">
        <v>21</v>
      </c>
      <c r="B32" s="6" t="n">
        <v>28350.033725315</v>
      </c>
      <c r="C32" s="9">
        <f t="shared" si="2"/>
        <v>5.463088008970619E-3</v>
      </c>
      <c r="E32" s="31">
        <v>21</v>
      </c>
      <c r="F32" s="121" t="n">
        <v>30186.0</v>
      </c>
      <c r="G32" s="9">
        <f t="shared" si="3"/>
        <v>5.3451472280636233E-3</v>
      </c>
    </row>
    <row r="33" spans="1:7" x14ac:dyDescent="0.45">
      <c r="A33">
        <v>22</v>
      </c>
      <c r="B33" s="6" t="n">
        <v>21840.5780370229</v>
      </c>
      <c r="C33" s="9">
        <f t="shared" si="2"/>
        <v>4.2087075147463912E-3</v>
      </c>
      <c r="E33" s="32">
        <v>22</v>
      </c>
      <c r="F33" s="122" t="n">
        <v>24932.0</v>
      </c>
      <c r="G33" s="9">
        <f t="shared" si="3"/>
        <v>3.9605406579197727E-3</v>
      </c>
    </row>
    <row r="34" spans="1:7" x14ac:dyDescent="0.45">
      <c r="A34">
        <v>23</v>
      </c>
      <c r="B34" s="6" t="n">
        <v>38847.8401008463</v>
      </c>
      <c r="C34" s="9">
        <f t="shared" si="2"/>
        <v>7.486028816954547E-3</v>
      </c>
      <c r="E34" s="33">
        <v>23</v>
      </c>
      <c r="F34" s="123" t="n">
        <v>23056.0</v>
      </c>
      <c r="G34" s="9">
        <f t="shared" si="3"/>
        <v>3.9875961886007448E-3</v>
      </c>
    </row>
    <row r="35" spans="1:7" x14ac:dyDescent="0.45">
      <c r="A35">
        <v>24</v>
      </c>
      <c r="B35" s="6" t="n">
        <v>35465.9734385364</v>
      </c>
      <c r="C35" s="9">
        <f t="shared" si="2"/>
        <v>6.8343387558487236E-3</v>
      </c>
      <c r="E35" s="34">
        <v>24</v>
      </c>
      <c r="F35" s="124" t="n">
        <v>21921.0</v>
      </c>
      <c r="G35" s="9">
        <f t="shared" si="3"/>
        <v>4.0033343731145123E-3</v>
      </c>
    </row>
    <row r="36" spans="1:7" x14ac:dyDescent="0.45">
      <c r="A36">
        <v>25</v>
      </c>
      <c r="B36" s="6" t="n">
        <v>14177.2663532185</v>
      </c>
      <c r="C36" s="9">
        <f t="shared" si="2"/>
        <v>2.7319774842133816E-3</v>
      </c>
      <c r="E36" s="35">
        <v>25</v>
      </c>
      <c r="F36" s="125" t="n">
        <v>25843.0</v>
      </c>
      <c r="G36" s="9">
        <f t="shared" si="3"/>
        <v>4.2804325206771453E-3</v>
      </c>
    </row>
    <row r="37" spans="1:7" x14ac:dyDescent="0.45">
      <c r="A37">
        <v>26</v>
      </c>
      <c r="B37" s="6" t="n">
        <v>23467.6990818917</v>
      </c>
      <c r="C37" s="9">
        <f t="shared" si="2"/>
        <v>4.5222558355524087E-3</v>
      </c>
      <c r="E37" s="36">
        <v>26</v>
      </c>
      <c r="F37" s="126" t="n">
        <v>17260.0</v>
      </c>
      <c r="G37" s="9">
        <f t="shared" si="3"/>
        <v>3.4625774265628017E-3</v>
      </c>
    </row>
    <row r="38" spans="1:7" x14ac:dyDescent="0.45">
      <c r="A38">
        <v>27</v>
      </c>
      <c r="B38" s="6" t="n">
        <v>9362.8307911912</v>
      </c>
      <c r="C38" s="9">
        <f t="shared" si="2"/>
        <v>1.8042295512228426E-3</v>
      </c>
      <c r="E38" s="37">
        <v>27</v>
      </c>
      <c r="F38" s="127" t="n">
        <v>13787.0</v>
      </c>
      <c r="G38" s="9">
        <f t="shared" si="3"/>
        <v>2.5379148779954715E-3</v>
      </c>
    </row>
    <row r="39" spans="1:7" x14ac:dyDescent="0.45">
      <c r="A39">
        <v>28</v>
      </c>
      <c r="B39" s="6" t="n">
        <v>12739.6178297624</v>
      </c>
      <c r="C39" s="9">
        <f t="shared" si="2"/>
        <v>2.454940762292513E-3</v>
      </c>
      <c r="E39" s="38">
        <v>28</v>
      </c>
      <c r="F39" s="128" t="n">
        <v>12198.0</v>
      </c>
      <c r="G39" s="9">
        <f t="shared" si="3"/>
        <v>2.1495884376332881E-3</v>
      </c>
    </row>
    <row r="40" spans="1:7" x14ac:dyDescent="0.45">
      <c r="A40">
        <v>29</v>
      </c>
      <c r="B40" s="6" t="n">
        <v>3548.0147525176</v>
      </c>
      <c r="C40" s="9">
        <f t="shared" si="2"/>
        <v>6.8370701205980279E-4</v>
      </c>
      <c r="E40" s="39">
        <v>29</v>
      </c>
      <c r="F40" s="129" t="n">
        <v>9665.0</v>
      </c>
      <c r="G40" s="9">
        <f t="shared" si="3"/>
        <v>1.6827479082361279E-3</v>
      </c>
    </row>
    <row r="41" spans="1:7" x14ac:dyDescent="0.45">
      <c r="A41">
        <v>30</v>
      </c>
      <c r="B41" s="6" t="n">
        <v>8828.793381479</v>
      </c>
      <c r="C41" s="9">
        <f t="shared" si="2"/>
        <v>1.7013198546204258E-3</v>
      </c>
      <c r="E41" s="40">
        <v>30</v>
      </c>
      <c r="F41" s="130" t="n">
        <v>8464.0</v>
      </c>
      <c r="G41" s="9">
        <f t="shared" si="3"/>
        <v>1.531732070317501E-3</v>
      </c>
    </row>
    <row r="42" spans="1:7" x14ac:dyDescent="0.45">
      <c r="A42">
        <v>31</v>
      </c>
      <c r="B42" s="6" t="n">
        <v>3248.6373479192</v>
      </c>
      <c r="C42" s="9">
        <f t="shared" si="2"/>
        <v>6.2601660064565926E-4</v>
      </c>
      <c r="E42" s="41">
        <v>31</v>
      </c>
      <c r="F42" s="131" t="n">
        <v>7880.0</v>
      </c>
      <c r="G42" s="9">
        <f t="shared" si="3"/>
        <v>1.5780624561894921E-3</v>
      </c>
    </row>
    <row r="43" spans="1:7" x14ac:dyDescent="0.45">
      <c r="A43">
        <v>32</v>
      </c>
      <c r="B43" s="6" t="n">
        <v>4541.8212988558</v>
      </c>
      <c r="C43" s="9">
        <f t="shared" si="2"/>
        <v>8.7521481339580983E-4</v>
      </c>
      <c r="E43" s="42">
        <v>32</v>
      </c>
      <c r="F43" s="132" t="n">
        <v>7365.0</v>
      </c>
      <c r="G43" s="9">
        <f t="shared" si="3"/>
        <v>1.3897347426258648E-3</v>
      </c>
    </row>
    <row r="44" spans="1:7" x14ac:dyDescent="0.45">
      <c r="A44">
        <v>33</v>
      </c>
      <c r="B44" s="6" t="n">
        <v>6675.5292426002</v>
      </c>
      <c r="C44" s="9">
        <f t="shared" si="2"/>
        <v>1.2863830820143639E-3</v>
      </c>
      <c r="E44" s="43">
        <v>33</v>
      </c>
      <c r="F44" s="133" t="n">
        <v>5425.0</v>
      </c>
      <c r="G44" s="9">
        <f t="shared" si="3"/>
        <v>1.1402226263457916E-3</v>
      </c>
    </row>
    <row r="45" spans="1:7" x14ac:dyDescent="0.45">
      <c r="A45">
        <v>34</v>
      </c>
      <c r="B45" s="6" t="n">
        <v>7654.3515690106</v>
      </c>
      <c r="C45" s="9">
        <f t="shared" si="2"/>
        <v>1.4750034048731145E-3</v>
      </c>
      <c r="E45" s="44">
        <v>34</v>
      </c>
      <c r="F45" s="134" t="n">
        <v>5387.0</v>
      </c>
      <c r="G45" s="9">
        <f t="shared" si="3"/>
        <v>1.0935385734060757E-3</v>
      </c>
    </row>
    <row r="46" spans="1:7" x14ac:dyDescent="0.45">
      <c r="A46">
        <v>35</v>
      </c>
      <c r="B46" s="6" t="n">
        <v>2241.7137950768</v>
      </c>
      <c r="C46" s="9">
        <f t="shared" si="2"/>
        <v>4.3198113526378223E-4</v>
      </c>
      <c r="E46" s="45">
        <v>35</v>
      </c>
      <c r="F46" s="135" t="n">
        <v>4438.0</v>
      </c>
      <c r="G46" s="9">
        <f t="shared" si="3"/>
        <v>7.7187837531007765E-4</v>
      </c>
    </row>
    <row r="47" spans="1:7" x14ac:dyDescent="0.45">
      <c r="A47">
        <v>36</v>
      </c>
      <c r="B47" s="6" t="n">
        <v>4640.3094541366</v>
      </c>
      <c r="C47" s="9">
        <f t="shared" si="2"/>
        <v>8.9419360775469363E-4</v>
      </c>
      <c r="E47" s="46">
        <v>36</v>
      </c>
      <c r="F47" s="136" t="n">
        <v>5110.0</v>
      </c>
      <c r="G47" s="9">
        <f t="shared" si="3"/>
        <v>9.5790725293349145E-4</v>
      </c>
    </row>
    <row r="48" spans="1:7" x14ac:dyDescent="0.45">
      <c r="A48">
        <v>37</v>
      </c>
      <c r="B48" s="6" t="n">
        <v>4062.3644320802</v>
      </c>
      <c r="C48" s="9">
        <f t="shared" si="2"/>
        <v>7.8282285770788764E-4</v>
      </c>
      <c r="E48" s="47">
        <v>37</v>
      </c>
      <c r="F48" s="137" t="n">
        <v>4219.0</v>
      </c>
      <c r="G48" s="9">
        <f t="shared" si="3"/>
        <v>6.9566312221531394E-4</v>
      </c>
    </row>
    <row r="49" spans="1:7" x14ac:dyDescent="0.45">
      <c r="A49">
        <v>38</v>
      </c>
      <c r="B49" s="6" t="n">
        <v>5839.9053311831</v>
      </c>
      <c r="C49" s="9">
        <f t="shared" si="2"/>
        <v>1.1253572781404337E-3</v>
      </c>
      <c r="E49" s="48">
        <v>38</v>
      </c>
      <c r="F49" s="138" t="n">
        <v>4638.0</v>
      </c>
      <c r="G49" s="9">
        <f t="shared" si="3"/>
        <v>7.8142738613865589E-4</v>
      </c>
    </row>
    <row r="50" spans="1:7" x14ac:dyDescent="0.45">
      <c r="A50">
        <v>39</v>
      </c>
      <c r="B50" s="6" t="n">
        <v>3980.4525982258</v>
      </c>
      <c r="C50" s="9">
        <f t="shared" si="2"/>
        <v>7.6703834183540097E-4</v>
      </c>
      <c r="E50" s="49">
        <v>39</v>
      </c>
      <c r="F50" s="139" t="n">
        <v>3288.0</v>
      </c>
      <c r="G50" s="9">
        <f t="shared" si="3"/>
        <v>6.6454042025550328E-4</v>
      </c>
    </row>
    <row r="51" spans="1:7" x14ac:dyDescent="0.45">
      <c r="A51">
        <v>40</v>
      </c>
      <c r="B51" s="6" t="n">
        <v>2181.7092957963</v>
      </c>
      <c r="C51" s="9">
        <f t="shared" si="2"/>
        <v>4.2041819097666941E-4</v>
      </c>
      <c r="E51" s="50">
        <v>40</v>
      </c>
      <c r="F51" s="140" t="n">
        <v>2711.0</v>
      </c>
      <c r="G51" s="9">
        <f t="shared" si="3"/>
        <v>4.5393168142519343E-4</v>
      </c>
    </row>
    <row r="52" spans="1:7" x14ac:dyDescent="0.45">
      <c r="A52">
        <v>41</v>
      </c>
      <c r="B52" s="6" t="n">
        <v>3990.2261728135</v>
      </c>
      <c r="C52" s="9">
        <f t="shared" si="2"/>
        <v>7.6892172224518032E-4</v>
      </c>
      <c r="E52" s="51">
        <v>41</v>
      </c>
      <c r="F52" s="141" t="n">
        <v>2401.0</v>
      </c>
      <c r="G52" s="9">
        <f t="shared" si="3"/>
        <v>3.8372876848175681E-4</v>
      </c>
    </row>
    <row r="53" spans="1:7" x14ac:dyDescent="0.45">
      <c r="A53">
        <v>42</v>
      </c>
      <c r="B53" s="6" t="n">
        <v>1655.8316529626002</v>
      </c>
      <c r="C53" s="9">
        <f t="shared" si="2"/>
        <v>3.1908089196015479E-4</v>
      </c>
      <c r="E53" s="52">
        <v>42</v>
      </c>
      <c r="F53" s="142" t="n">
        <v>1864.0</v>
      </c>
      <c r="G53" s="9">
        <f t="shared" si="3"/>
        <v>3.6728324983253865E-4</v>
      </c>
    </row>
    <row r="54" spans="1:7" x14ac:dyDescent="0.45">
      <c r="A54">
        <v>43</v>
      </c>
      <c r="B54" s="6" t="n">
        <v>3973.8912322720003</v>
      </c>
      <c r="C54" s="9">
        <f t="shared" si="2"/>
        <v>7.6577395816616173E-4</v>
      </c>
      <c r="E54" s="53">
        <v>43</v>
      </c>
      <c r="F54" s="143" t="n">
        <v>1389.0</v>
      </c>
      <c r="G54" s="9">
        <f t="shared" si="3"/>
        <v>2.8081165177374647E-4</v>
      </c>
    </row>
    <row r="55" spans="1:7" x14ac:dyDescent="0.45">
      <c r="A55">
        <v>44</v>
      </c>
      <c r="B55" s="6" t="n">
        <v>2581.772307669</v>
      </c>
      <c r="C55" s="9">
        <f t="shared" si="2"/>
        <v>4.9751084857879485E-4</v>
      </c>
      <c r="E55" s="54">
        <v>44</v>
      </c>
      <c r="F55" s="144" t="n">
        <v>1649.0</v>
      </c>
      <c r="G55" s="9">
        <f t="shared" si="3"/>
        <v>2.7532981222400707E-4</v>
      </c>
    </row>
    <row r="56" spans="1:7" x14ac:dyDescent="0.45">
      <c r="A56">
        <v>45</v>
      </c>
      <c r="B56" s="6" t="n">
        <v>445.2098602299</v>
      </c>
      <c r="C56" s="9">
        <f t="shared" si="2"/>
        <v>8.5792513422148581E-5</v>
      </c>
      <c r="E56" s="55">
        <v>45</v>
      </c>
      <c r="F56" s="145" t="n">
        <v>1740.0</v>
      </c>
      <c r="G56" s="9">
        <f t="shared" si="3"/>
        <v>3.1140385313196945E-4</v>
      </c>
    </row>
    <row r="57" spans="1:7" x14ac:dyDescent="0.45">
      <c r="A57">
        <v>46</v>
      </c>
      <c r="B57" s="6" t="n">
        <v>6077.408037667</v>
      </c>
      <c r="C57" s="9">
        <f t="shared" si="2"/>
        <v>1.1711243555436492E-3</v>
      </c>
      <c r="E57" s="56">
        <v>46</v>
      </c>
      <c r="F57" s="146" t="n">
        <v>1221.0</v>
      </c>
      <c r="G57" s="9">
        <f t="shared" si="3"/>
        <v>2.6896380500495489E-4</v>
      </c>
    </row>
    <row r="58" spans="1:7" x14ac:dyDescent="0.45">
      <c r="A58">
        <v>47</v>
      </c>
      <c r="B58" s="6" t="n">
        <v>5102.070536329</v>
      </c>
      <c r="C58" s="9">
        <f t="shared" si="2"/>
        <v>9.8317556296422188E-4</v>
      </c>
      <c r="E58" s="57">
        <v>47</v>
      </c>
      <c r="F58" s="147" t="n">
        <v>1229.0</v>
      </c>
      <c r="G58" s="9">
        <f t="shared" si="3"/>
        <v>2.5888429357478891E-4</v>
      </c>
    </row>
    <row r="59" spans="1:7" x14ac:dyDescent="0.45">
      <c r="A59">
        <v>48</v>
      </c>
      <c r="B59" s="6" t="n">
        <v>626.5966911539999</v>
      </c>
      <c r="C59" s="9">
        <f t="shared" si="2"/>
        <v>1.2074598933712726E-4</v>
      </c>
      <c r="E59" s="58">
        <v>48</v>
      </c>
      <c r="F59" s="148" t="n">
        <v>886.0</v>
      </c>
      <c r="G59" s="9">
        <f t="shared" si="3"/>
        <v>1.6038801521334257E-4</v>
      </c>
    </row>
    <row r="60" spans="1:7" x14ac:dyDescent="0.45">
      <c r="A60">
        <v>49</v>
      </c>
      <c r="B60" s="6" t="n">
        <v>5384.775441607</v>
      </c>
      <c r="C60" s="9">
        <f t="shared" si="2"/>
        <v>1.0376531622879335E-3</v>
      </c>
      <c r="E60" s="59">
        <v>49</v>
      </c>
      <c r="F60" s="149" t="n">
        <v>837.0</v>
      </c>
      <c r="G60" s="9">
        <f t="shared" si="3"/>
        <v>1.8443737581865085E-4</v>
      </c>
    </row>
    <row r="61" spans="1:7" x14ac:dyDescent="0.45">
      <c r="A61">
        <v>50</v>
      </c>
      <c r="B61" s="6" t="n">
        <v>634.7004548350001</v>
      </c>
      <c r="C61" s="9">
        <f t="shared" si="2"/>
        <v>1.2230759503474841E-4</v>
      </c>
      <c r="E61" s="60">
        <v>50</v>
      </c>
      <c r="F61" s="150" t="n">
        <v>686.0</v>
      </c>
      <c r="G61" s="9">
        <f t="shared" si="3"/>
        <v>1.9663888965516753E-4</v>
      </c>
    </row>
    <row r="62" spans="1:7" x14ac:dyDescent="0.45">
      <c r="A62">
        <v>51</v>
      </c>
      <c r="B62" s="6" t="n">
        <v>971.458500962</v>
      </c>
      <c r="C62" s="9">
        <f t="shared" si="2"/>
        <v>1.8720130421146815E-4</v>
      </c>
      <c r="E62" s="61">
        <v>51</v>
      </c>
      <c r="F62" s="151" t="n">
        <v>742.0</v>
      </c>
      <c r="G62" s="9">
        <f t="shared" si="3"/>
        <v>1.5225367265566479E-4</v>
      </c>
    </row>
    <row r="63" spans="1:7" x14ac:dyDescent="0.45">
      <c r="A63">
        <v>52</v>
      </c>
      <c r="B63" s="6" t="n">
        <v>1079.971539528</v>
      </c>
      <c r="C63" s="9">
        <f t="shared" si="2"/>
        <v>2.0811190648978322E-4</v>
      </c>
      <c r="E63" s="62">
        <v>52</v>
      </c>
      <c r="F63" s="152" t="n">
        <v>563.0</v>
      </c>
      <c r="G63" s="9">
        <f t="shared" si="3"/>
        <v>8.5764263923341949E-5</v>
      </c>
    </row>
    <row r="64" spans="1:7" x14ac:dyDescent="0.45">
      <c r="A64">
        <v>53</v>
      </c>
      <c r="B64" s="6" t="n">
        <v>5158.8769299545</v>
      </c>
      <c r="C64" s="9">
        <f t="shared" si="2"/>
        <v>9.9412222817299098E-4</v>
      </c>
      <c r="E64" s="63">
        <v>53</v>
      </c>
      <c r="F64" s="153" t="n">
        <v>380.0</v>
      </c>
      <c r="G64" s="9">
        <f t="shared" si="3"/>
        <v>9.9557279564621692E-5</v>
      </c>
    </row>
    <row r="65" spans="1:7" x14ac:dyDescent="0.45">
      <c r="A65">
        <v>54</v>
      </c>
      <c r="B65" s="6" t="n">
        <v>1350.700792555</v>
      </c>
      <c r="C65" s="9">
        <f t="shared" si="2"/>
        <v>2.6028178220208951E-4</v>
      </c>
      <c r="E65" s="64">
        <v>54</v>
      </c>
      <c r="F65" s="154" t="n">
        <v>500.0</v>
      </c>
      <c r="G65" s="9">
        <f t="shared" si="3"/>
        <v>1.4111316002232347E-4</v>
      </c>
    </row>
    <row r="66" spans="1:7" x14ac:dyDescent="0.45">
      <c r="A66">
        <v>55</v>
      </c>
      <c r="B66" s="6" t="n">
        <v>0.0</v>
      </c>
      <c r="C66" s="9">
        <f t="shared" si="2"/>
        <v>0</v>
      </c>
      <c r="E66" s="65">
        <v>55</v>
      </c>
      <c r="F66" s="155" t="n">
        <v>273.0</v>
      </c>
      <c r="G66" s="9">
        <f t="shared" si="3"/>
        <v>7.6392086628626239E-5</v>
      </c>
    </row>
    <row r="67" spans="1:7" x14ac:dyDescent="0.45">
      <c r="A67">
        <v>56</v>
      </c>
      <c r="B67" s="6" t="n">
        <v>0.0</v>
      </c>
      <c r="C67" s="9">
        <f t="shared" si="2"/>
        <v>0</v>
      </c>
      <c r="E67" s="66">
        <v>56</v>
      </c>
      <c r="F67" s="156" t="n">
        <v>216.0</v>
      </c>
      <c r="G67" s="9">
        <f t="shared" si="3"/>
        <v>5.6763564369881996E-5</v>
      </c>
    </row>
    <row r="68" spans="1:7" x14ac:dyDescent="0.45">
      <c r="A68">
        <v>57</v>
      </c>
      <c r="B68" s="6" t="n">
        <v>0.0</v>
      </c>
      <c r="C68" s="9">
        <f t="shared" si="2"/>
        <v>0</v>
      </c>
      <c r="E68" s="67">
        <v>57</v>
      </c>
      <c r="F68" s="157" t="n">
        <v>254.0</v>
      </c>
      <c r="G68" s="9">
        <f t="shared" si="3"/>
        <v>6.3836905724384425E-5</v>
      </c>
    </row>
    <row r="69" spans="1:7" x14ac:dyDescent="0.45">
      <c r="A69">
        <v>58</v>
      </c>
      <c r="B69" s="6" t="n">
        <v>711.727573689</v>
      </c>
      <c r="C69" s="9">
        <f t="shared" si="2"/>
        <v>1.371508200359619E-4</v>
      </c>
      <c r="E69" s="68">
        <v>58</v>
      </c>
      <c r="F69" s="158" t="n">
        <v>241.0</v>
      </c>
      <c r="G69" s="9">
        <f t="shared" si="3"/>
        <v>4.7921887676753958E-5</v>
      </c>
    </row>
    <row r="70" spans="1:7" x14ac:dyDescent="0.45">
      <c r="A70">
        <v>59</v>
      </c>
      <c r="B70" s="6" t="n">
        <v>507.743697633</v>
      </c>
      <c r="C70" s="9">
        <f t="shared" si="2"/>
        <v>9.7842864422850902E-5</v>
      </c>
      <c r="E70" s="69">
        <v>59</v>
      </c>
      <c r="F70" s="159" t="n">
        <v>264.0</v>
      </c>
      <c r="G70" s="9">
        <f t="shared" si="3"/>
        <v>4.7745054142891401E-5</v>
      </c>
    </row>
    <row r="71" spans="1:7" x14ac:dyDescent="0.45">
      <c r="A71">
        <v>60</v>
      </c>
      <c r="B71" s="6" t="n">
        <v>0.0</v>
      </c>
      <c r="C71" s="9">
        <f t="shared" si="2"/>
        <v>0</v>
      </c>
      <c r="E71" s="70">
        <v>60</v>
      </c>
      <c r="F71" s="160" t="n">
        <v>178.0</v>
      </c>
      <c r="G71" s="9">
        <f t="shared" si="3"/>
        <v>2.5640862410071306E-5</v>
      </c>
    </row>
    <row r="72" spans="1:7" x14ac:dyDescent="0.45">
      <c r="A72">
        <v>61</v>
      </c>
      <c r="B72" s="6" t="n">
        <v>1707.027510072</v>
      </c>
      <c r="C72" s="9">
        <f t="shared" si="2"/>
        <v>3.2894639955683856E-4</v>
      </c>
      <c r="E72" s="71">
        <v>61</v>
      </c>
      <c r="F72" s="161" t="n">
        <v>130.0</v>
      </c>
      <c r="G72" s="9">
        <f t="shared" si="3"/>
        <v>2.6878697147109232E-5</v>
      </c>
    </row>
    <row r="73" spans="1:7" x14ac:dyDescent="0.45">
      <c r="A73">
        <v>62</v>
      </c>
      <c r="B73" s="6" t="n">
        <v>413.740782213</v>
      </c>
      <c r="C73" s="9">
        <f t="shared" si="2"/>
        <v>7.9728381561382079E-5</v>
      </c>
      <c r="E73" s="72">
        <v>62</v>
      </c>
      <c r="F73" s="162" t="n">
        <v>168.0</v>
      </c>
      <c r="G73" s="9">
        <f t="shared" si="3"/>
        <v>3.2891037298436299E-5</v>
      </c>
    </row>
    <row r="74" spans="1:7" x14ac:dyDescent="0.45">
      <c r="A74">
        <v>63</v>
      </c>
      <c r="B74" s="6" t="n">
        <v>0.0</v>
      </c>
      <c r="C74" s="9">
        <f t="shared" si="2"/>
        <v>0</v>
      </c>
      <c r="E74" s="73">
        <v>63</v>
      </c>
      <c r="F74" s="163" t="n">
        <v>116.0</v>
      </c>
      <c r="G74" s="9">
        <f t="shared" si="3"/>
        <v>3.1830036095260934E-5</v>
      </c>
    </row>
    <row r="75" spans="1:7" x14ac:dyDescent="0.45">
      <c r="A75">
        <v>64</v>
      </c>
      <c r="B75" s="6" t="n">
        <v>0.0</v>
      </c>
      <c r="C75" s="9">
        <f t="shared" si="2"/>
        <v>0</v>
      </c>
      <c r="E75" s="74">
        <v>64</v>
      </c>
      <c r="F75" s="164" t="n">
        <v>82.0</v>
      </c>
      <c r="G75" s="9">
        <f t="shared" si="3"/>
        <v>1.0610012031753644E-5</v>
      </c>
    </row>
    <row r="76" spans="1:7" x14ac:dyDescent="0.45">
      <c r="A76">
        <v>65</v>
      </c>
      <c r="B76" s="6" t="n">
        <v>0.0</v>
      </c>
      <c r="C76" s="9">
        <f t="shared" si="2"/>
        <v>0</v>
      </c>
      <c r="E76" s="75">
        <v>65</v>
      </c>
      <c r="F76" s="165" t="n">
        <v>96.0</v>
      </c>
      <c r="G76" s="9">
        <f t="shared" si="3"/>
        <v>2.2988359402132896E-5</v>
      </c>
    </row>
    <row r="77" spans="1:7" x14ac:dyDescent="0.45">
      <c r="A77">
        <v>66</v>
      </c>
      <c r="B77" s="6" t="n">
        <v>0.0</v>
      </c>
      <c r="C77" s="9">
        <f t="shared" ref="C77:C102" si="4">B77/B$102</f>
        <v>0</v>
      </c>
      <c r="E77" s="76">
        <v>66</v>
      </c>
      <c r="F77" s="166" t="n">
        <v>69.0</v>
      </c>
      <c r="G77" s="9">
        <f t="shared" ref="G77:G102" si="5">F77/F$102</f>
        <v>2.2811525868270335E-5</v>
      </c>
    </row>
    <row r="78" spans="1:7" x14ac:dyDescent="0.45">
      <c r="A78">
        <v>67</v>
      </c>
      <c r="B78" s="6" t="n">
        <v>0.0</v>
      </c>
      <c r="C78" s="9">
        <f t="shared" si="4"/>
        <v>0</v>
      </c>
      <c r="E78" s="77">
        <v>67</v>
      </c>
      <c r="F78" s="167" t="n">
        <v>66.0</v>
      </c>
      <c r="G78" s="9">
        <f t="shared" si="5"/>
        <v>8.3111760915403553E-6</v>
      </c>
    </row>
    <row r="79" spans="1:7" x14ac:dyDescent="0.45">
      <c r="A79">
        <v>68</v>
      </c>
      <c r="B79" s="6" t="n">
        <v>629.76290591</v>
      </c>
      <c r="C79" s="9">
        <f t="shared" si="4"/>
        <v>1.2135612299816358E-4</v>
      </c>
      <c r="E79" s="78">
        <v>68</v>
      </c>
      <c r="F79" s="168" t="n">
        <v>67.0</v>
      </c>
      <c r="G79" s="9">
        <f t="shared" si="5"/>
        <v>1.7329686318530951E-5</v>
      </c>
    </row>
    <row r="80" spans="1:7" x14ac:dyDescent="0.45">
      <c r="A80">
        <v>69</v>
      </c>
      <c r="B80" s="6" t="n">
        <v>1092.741662888</v>
      </c>
      <c r="C80" s="9">
        <f t="shared" si="4"/>
        <v>2.1057272570703856E-4</v>
      </c>
      <c r="E80" s="79">
        <v>69</v>
      </c>
      <c r="F80" s="169" t="n">
        <v>67.0</v>
      </c>
      <c r="G80" s="9">
        <f t="shared" si="5"/>
        <v>1.1671013234929009E-5</v>
      </c>
    </row>
    <row r="81" spans="1:7" x14ac:dyDescent="0.45">
      <c r="A81">
        <v>70</v>
      </c>
      <c r="B81" s="6" t="n">
        <v>0.0</v>
      </c>
      <c r="C81" s="9">
        <f t="shared" si="4"/>
        <v>0</v>
      </c>
      <c r="E81" s="80">
        <v>70</v>
      </c>
      <c r="F81" s="170" t="n">
        <v>31.0</v>
      </c>
      <c r="G81" s="9">
        <f t="shared" si="5"/>
        <v>1.8567521055568877E-5</v>
      </c>
    </row>
    <row r="82" spans="1:7" x14ac:dyDescent="0.45">
      <c r="A82">
        <v>71</v>
      </c>
      <c r="B82" s="6" t="n">
        <v>2000.113239284</v>
      </c>
      <c r="C82" s="9">
        <f t="shared" si="4"/>
        <v>3.8542439702139697E-4</v>
      </c>
      <c r="E82" s="81">
        <v>71</v>
      </c>
      <c r="F82" s="171" t="n">
        <v>39.0</v>
      </c>
      <c r="G82" s="9">
        <f t="shared" si="5"/>
        <v>2.440302767303338E-5</v>
      </c>
    </row>
    <row r="83" spans="1:7" x14ac:dyDescent="0.45">
      <c r="A83">
        <v>72</v>
      </c>
      <c r="B83" s="6" t="n">
        <v>432.731781518</v>
      </c>
      <c r="C83" s="9">
        <f t="shared" si="4"/>
        <v>8.3387971584686788E-5</v>
      </c>
      <c r="E83" s="82">
        <v>72</v>
      </c>
      <c r="F83" s="172" t="n">
        <v>27.0</v>
      </c>
      <c r="G83" s="9">
        <f t="shared" si="5"/>
        <v>1.220151383651669E-5</v>
      </c>
    </row>
    <row r="84" spans="1:7" x14ac:dyDescent="0.45">
      <c r="A84">
        <v>73</v>
      </c>
      <c r="B84" s="6" t="n">
        <v>0.0</v>
      </c>
      <c r="C84" s="9">
        <f t="shared" si="4"/>
        <v>0</v>
      </c>
      <c r="E84" s="83">
        <v>73</v>
      </c>
      <c r="F84" s="173" t="n">
        <v>29.0</v>
      </c>
      <c r="G84" s="9">
        <f t="shared" si="5"/>
        <v>1.1317346167203887E-5</v>
      </c>
    </row>
    <row r="85" spans="1:7" x14ac:dyDescent="0.45">
      <c r="A85">
        <v>74</v>
      </c>
      <c r="B85" s="6" t="n">
        <v>0.0</v>
      </c>
      <c r="C85" s="9">
        <f t="shared" si="4"/>
        <v>0</v>
      </c>
      <c r="E85" s="84">
        <v>74</v>
      </c>
      <c r="F85" s="174" t="n">
        <v>13.0</v>
      </c>
      <c r="G85" s="9">
        <f t="shared" si="5"/>
        <v>1.1671013234929009E-5</v>
      </c>
    </row>
    <row r="86" spans="1:7" x14ac:dyDescent="0.45">
      <c r="A86">
        <v>75</v>
      </c>
      <c r="B86" s="6" t="n">
        <v>531.697250215</v>
      </c>
      <c r="C86" s="9">
        <f t="shared" si="4"/>
        <v>1.0245874485357224E-4</v>
      </c>
      <c r="E86" s="85">
        <v>75</v>
      </c>
      <c r="F86" s="175" t="n">
        <v>21.0</v>
      </c>
      <c r="G86" s="9">
        <f t="shared" si="5"/>
        <v>6.3660072190521863E-6</v>
      </c>
    </row>
    <row r="87" spans="1:7" x14ac:dyDescent="0.45">
      <c r="A87">
        <v>76</v>
      </c>
      <c r="B87" s="6" t="n">
        <v>0.0</v>
      </c>
      <c r="C87" s="9">
        <f t="shared" si="4"/>
        <v>0</v>
      </c>
      <c r="E87" s="86">
        <v>76</v>
      </c>
      <c r="F87" s="176" t="n">
        <v>14.0</v>
      </c>
      <c r="G87" s="9">
        <f t="shared" si="5"/>
        <v>8.4880096254029145E-6</v>
      </c>
    </row>
    <row r="88" spans="1:7" x14ac:dyDescent="0.45">
      <c r="A88">
        <v>77</v>
      </c>
      <c r="B88" s="6" t="n">
        <v>0.0</v>
      </c>
      <c r="C88" s="9">
        <f t="shared" si="4"/>
        <v>0</v>
      </c>
      <c r="E88" s="87">
        <v>77</v>
      </c>
      <c r="F88" s="177" t="n">
        <v>17.0</v>
      </c>
      <c r="G88" s="9">
        <f t="shared" si="5"/>
        <v>2.4756694740758504E-6</v>
      </c>
    </row>
    <row r="89" spans="1:7" x14ac:dyDescent="0.45">
      <c r="A89">
        <v>78</v>
      </c>
      <c r="B89" s="6" t="n">
        <v>1107.419474436</v>
      </c>
      <c r="C89" s="9">
        <f t="shared" si="4"/>
        <v>2.134011588949048E-4</v>
      </c>
      <c r="E89" s="88">
        <v>78</v>
      </c>
      <c r="F89" s="178" t="n">
        <v>17.0</v>
      </c>
      <c r="G89" s="9">
        <f t="shared" si="5"/>
        <v>4.9513389481517008E-6</v>
      </c>
    </row>
    <row r="90" spans="1:7" x14ac:dyDescent="0.45">
      <c r="A90">
        <v>79</v>
      </c>
      <c r="B90" s="6" t="n">
        <v>0.0</v>
      </c>
      <c r="C90" s="9">
        <f t="shared" si="4"/>
        <v>0</v>
      </c>
      <c r="E90" s="89">
        <v>79</v>
      </c>
      <c r="F90" s="179" t="n">
        <v>6.0</v>
      </c>
      <c r="G90" s="9">
        <f t="shared" si="5"/>
        <v>2.2988359402132895E-6</v>
      </c>
    </row>
    <row r="91" spans="1:7" x14ac:dyDescent="0.45">
      <c r="A91">
        <v>80</v>
      </c>
      <c r="B91" s="6" t="n">
        <v>0.0</v>
      </c>
      <c r="C91" s="9">
        <f t="shared" si="4"/>
        <v>0</v>
      </c>
      <c r="E91" s="90">
        <v>80</v>
      </c>
      <c r="F91" s="180" t="n">
        <v>8.0</v>
      </c>
      <c r="G91" s="9">
        <f t="shared" si="5"/>
        <v>1.0610012031753643E-6</v>
      </c>
    </row>
    <row r="92" spans="1:7" x14ac:dyDescent="0.45">
      <c r="A92">
        <v>81</v>
      </c>
      <c r="B92" s="6" t="n">
        <v>779.472231969</v>
      </c>
      <c r="C92" s="9">
        <f t="shared" si="4"/>
        <v>1.5020530293030873E-4</v>
      </c>
      <c r="E92" s="91">
        <v>81</v>
      </c>
      <c r="F92" s="181" t="n">
        <v>8.0</v>
      </c>
      <c r="G92" s="9">
        <f t="shared" si="5"/>
        <v>4.2440048127014572E-6</v>
      </c>
    </row>
    <row r="93" spans="1:7" x14ac:dyDescent="0.45">
      <c r="A93">
        <v>82</v>
      </c>
      <c r="B93" s="6" t="n">
        <v>0.0</v>
      </c>
      <c r="C93" s="9">
        <f t="shared" si="4"/>
        <v>0</v>
      </c>
      <c r="E93" s="92">
        <v>82</v>
      </c>
      <c r="F93" s="182" t="n">
        <v>9.0</v>
      </c>
      <c r="G93" s="9">
        <f t="shared" si="5"/>
        <v>2.2988359402132895E-6</v>
      </c>
    </row>
    <row r="94" spans="1:7" x14ac:dyDescent="0.45">
      <c r="A94">
        <v>83</v>
      </c>
      <c r="B94" s="6" t="n">
        <v>351.630709955</v>
      </c>
      <c r="C94" s="9">
        <f t="shared" si="4"/>
        <v>6.7759690649879178E-5</v>
      </c>
      <c r="E94" s="93">
        <v>83</v>
      </c>
      <c r="F94" s="183" t="n">
        <v>9.0</v>
      </c>
      <c r="G94" s="9">
        <f t="shared" si="5"/>
        <v>3.1830036095260931E-6</v>
      </c>
    </row>
    <row r="95" spans="1:7" x14ac:dyDescent="0.45">
      <c r="A95">
        <v>84</v>
      </c>
      <c r="B95" s="6" t="n">
        <v>667.452792716</v>
      </c>
      <c r="C95" s="9">
        <f t="shared" si="4"/>
        <v>1.2861901272395105E-4</v>
      </c>
      <c r="E95" s="94">
        <v>84</v>
      </c>
      <c r="F95" s="184" t="n">
        <v>7.0</v>
      </c>
      <c r="G95" s="9">
        <f t="shared" si="5"/>
        <v>2.8293365418009718E-6</v>
      </c>
    </row>
    <row r="96" spans="1:7" x14ac:dyDescent="0.45">
      <c r="A96">
        <v>85</v>
      </c>
      <c r="B96" s="6" t="n">
        <v>0.0</v>
      </c>
      <c r="C96" s="9">
        <f t="shared" si="4"/>
        <v>0</v>
      </c>
      <c r="E96" s="95">
        <v>85</v>
      </c>
      <c r="F96" s="185" t="n">
        <v>5.0</v>
      </c>
      <c r="G96" s="9">
        <f t="shared" si="5"/>
        <v>1.7683353386256073E-6</v>
      </c>
    </row>
    <row r="97" spans="1:7" x14ac:dyDescent="0.45">
      <c r="A97">
        <v>86</v>
      </c>
      <c r="B97" s="6" t="n">
        <v>143.175005361</v>
      </c>
      <c r="C97" s="9">
        <f t="shared" si="4"/>
        <v>2.7590007918528228E-5</v>
      </c>
      <c r="E97" s="96">
        <v>86</v>
      </c>
      <c r="F97" s="186" t="n">
        <v>4.0</v>
      </c>
      <c r="G97" s="9">
        <f t="shared" si="5"/>
        <v>1.5915018047630466E-6</v>
      </c>
    </row>
    <row r="98" spans="1:7" x14ac:dyDescent="0.45">
      <c r="A98">
        <v>87</v>
      </c>
      <c r="B98" s="6" t="n">
        <v>82.8897619551</v>
      </c>
      <c r="C98" s="9">
        <f t="shared" si="4"/>
        <v>1.5972963876899386E-5</v>
      </c>
      <c r="E98" s="97">
        <v>87</v>
      </c>
      <c r="F98" s="187" t="n">
        <v>6.0</v>
      </c>
      <c r="G98" s="9">
        <f t="shared" si="5"/>
        <v>8.8416766931280363E-7</v>
      </c>
    </row>
    <row r="99" spans="1:7" x14ac:dyDescent="0.45">
      <c r="A99">
        <v>88</v>
      </c>
      <c r="B99" s="6" t="n">
        <v>0.0</v>
      </c>
      <c r="C99" s="9">
        <f t="shared" si="4"/>
        <v>0</v>
      </c>
      <c r="E99" s="98">
        <v>88</v>
      </c>
      <c r="F99" s="188" t="n">
        <v>0.0</v>
      </c>
      <c r="G99" s="9">
        <f t="shared" si="5"/>
        <v>7.0733413545024294E-7</v>
      </c>
    </row>
    <row r="100" spans="1:7" x14ac:dyDescent="0.45">
      <c r="A100">
        <v>89</v>
      </c>
      <c r="B100" s="6" t="n">
        <v>292.16039971099997</v>
      </c>
      <c r="C100" s="9">
        <f t="shared" si="4"/>
        <v>5.6299685278046091E-5</v>
      </c>
      <c r="E100" s="99">
        <v>89</v>
      </c>
      <c r="F100" s="189" t="n">
        <v>3.0</v>
      </c>
      <c r="G100" s="9">
        <f t="shared" si="5"/>
        <v>1.9451688724881681E-6</v>
      </c>
    </row>
    <row r="101" spans="1:7" ht="14.65" thickBot="1" x14ac:dyDescent="0.5">
      <c r="A101" s="1">
        <v>90</v>
      </c>
      <c r="B101" s="7" t="n">
        <v>3956.7258062524</v>
      </c>
      <c r="C101" s="9">
        <f t="shared" si="4"/>
        <v>7.6246615846598659E-4</v>
      </c>
      <c r="E101" s="372">
        <v>90</v>
      </c>
      <c r="F101" s="372" t="n">
        <v>21.0</v>
      </c>
      <c r="G101" s="9">
        <f t="shared" si="5"/>
        <v>6.5428407529147472E-6</v>
      </c>
    </row>
    <row r="102" spans="1:7" x14ac:dyDescent="0.45">
      <c r="B102" s="6">
        <f>SUM(B11:B101)</f>
        <v>5189378.9151415937</v>
      </c>
      <c r="C102" s="9">
        <f t="shared" si="4"/>
        <v>1</v>
      </c>
      <c r="F102" s="6">
        <f>SUM(F11:F101)</f>
        <v>5655036</v>
      </c>
      <c r="G102" s="9">
        <f t="shared" si="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3" sqref="A3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19716.0</v>
      </c>
      <c r="G11" s="9">
        <f>F11/F$102</f>
        <v>3.4579797546823751E-3</v>
      </c>
      <c r="K11" s="6" t="n">
        <v>33.15637566194111</v>
      </c>
      <c r="L11" s="6" t="n">
        <v>23.912974705358014</v>
      </c>
    </row>
    <row r="12" spans="1:12" x14ac:dyDescent="0.4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83967.0</v>
      </c>
      <c r="G12" s="9">
        <f>F12/F$102</f>
        <v>1.480078995076247E-2</v>
      </c>
      <c r="K12" s="6"/>
      <c r="L12" s="371"/>
    </row>
    <row r="13" spans="1:12" x14ac:dyDescent="0.45">
      <c r="A13">
        <v>2</v>
      </c>
      <c r="B13" s="6" t="n">
        <v>0.0</v>
      </c>
      <c r="C13" s="9">
        <f t="shared" ref="C13:C76" si="0">B13/B$102</f>
        <v>0</v>
      </c>
      <c r="E13" s="192">
        <v>2</v>
      </c>
      <c r="F13" s="282" t="n">
        <v>108609.0</v>
      </c>
      <c r="G13" s="9">
        <f t="shared" ref="G13:G76" si="1">F13/F$102</f>
        <v>1.9091655649937506E-2</v>
      </c>
    </row>
    <row r="14" spans="1:12" x14ac:dyDescent="0.45">
      <c r="A14">
        <v>3</v>
      </c>
      <c r="B14" s="6" t="n">
        <v>385.0715068968</v>
      </c>
      <c r="C14" s="9">
        <f t="shared" si="0"/>
        <v>7.4203775286718133E-5</v>
      </c>
      <c r="E14" s="193">
        <v>3</v>
      </c>
      <c r="F14" s="283" t="n">
        <v>122110.0</v>
      </c>
      <c r="G14" s="9">
        <f t="shared" si="1"/>
        <v>2.1610649339809683E-2</v>
      </c>
    </row>
    <row r="15" spans="1:12" x14ac:dyDescent="0.45">
      <c r="A15">
        <v>4</v>
      </c>
      <c r="B15" s="6" t="n">
        <v>2709.2994676039</v>
      </c>
      <c r="C15" s="9">
        <f t="shared" si="0"/>
        <v>5.2208549653190558E-4</v>
      </c>
      <c r="E15" s="194">
        <v>4</v>
      </c>
      <c r="F15" s="284" t="n">
        <v>126082.0</v>
      </c>
      <c r="G15" s="9">
        <f t="shared" si="1"/>
        <v>2.2275543427132914E-2</v>
      </c>
    </row>
    <row r="16" spans="1:12" x14ac:dyDescent="0.45">
      <c r="A16">
        <v>5</v>
      </c>
      <c r="B16" s="6" t="n">
        <v>34236.3593478599</v>
      </c>
      <c r="C16" s="9">
        <f t="shared" si="0"/>
        <v>6.5973905370380441E-3</v>
      </c>
      <c r="E16" s="195">
        <v>5</v>
      </c>
      <c r="F16" s="285" t="n">
        <v>126816.0</v>
      </c>
      <c r="G16" s="9">
        <f t="shared" si="1"/>
        <v>2.2313032136311774E-2</v>
      </c>
    </row>
    <row r="17" spans="1:7" x14ac:dyDescent="0.45">
      <c r="A17">
        <v>6</v>
      </c>
      <c r="B17" s="6" t="n">
        <v>22355.1161508784</v>
      </c>
      <c r="C17" s="9">
        <f t="shared" si="0"/>
        <v>4.3078596719253893E-3</v>
      </c>
      <c r="E17" s="196">
        <v>6</v>
      </c>
      <c r="F17" s="286" t="n">
        <v>122897.0</v>
      </c>
      <c r="G17" s="9">
        <f t="shared" si="1"/>
        <v>2.161931418296895E-2</v>
      </c>
    </row>
    <row r="18" spans="1:7" x14ac:dyDescent="0.45">
      <c r="A18">
        <v>7</v>
      </c>
      <c r="B18" s="6" t="n">
        <v>30142.242277156</v>
      </c>
      <c r="C18" s="9">
        <f t="shared" si="0"/>
        <v>5.8084489049752813E-3</v>
      </c>
      <c r="E18" s="197">
        <v>7</v>
      </c>
      <c r="F18" s="287" t="n">
        <v>117326.0</v>
      </c>
      <c r="G18" s="9">
        <f t="shared" si="1"/>
        <v>2.0654864089282545E-2</v>
      </c>
    </row>
    <row r="19" spans="1:7" x14ac:dyDescent="0.45">
      <c r="A19">
        <v>8</v>
      </c>
      <c r="B19" s="6" t="n">
        <v>15011.162460144</v>
      </c>
      <c r="C19" s="9">
        <f t="shared" si="0"/>
        <v>2.8926703379366578E-3</v>
      </c>
      <c r="E19" s="198">
        <v>8</v>
      </c>
      <c r="F19" s="288" t="n">
        <v>109110.0</v>
      </c>
      <c r="G19" s="9">
        <f t="shared" si="1"/>
        <v>1.931481956967206E-2</v>
      </c>
    </row>
    <row r="20" spans="1:7" x14ac:dyDescent="0.45">
      <c r="A20">
        <v>9</v>
      </c>
      <c r="B20" s="6" t="n">
        <v>66381.1433951983</v>
      </c>
      <c r="C20" s="9">
        <f t="shared" si="0"/>
        <v>1.2791731820066385E-2</v>
      </c>
      <c r="E20" s="199">
        <v>9</v>
      </c>
      <c r="F20" s="289" t="n">
        <v>102164.0</v>
      </c>
      <c r="G20" s="9">
        <f t="shared" si="1"/>
        <v>1.7933042336070008E-2</v>
      </c>
    </row>
    <row r="21" spans="1:7" x14ac:dyDescent="0.45">
      <c r="A21">
        <v>10</v>
      </c>
      <c r="B21" s="6" t="n">
        <v>14850.5816504721</v>
      </c>
      <c r="C21" s="9">
        <f t="shared" si="0"/>
        <v>2.861726209111654E-3</v>
      </c>
      <c r="E21" s="200">
        <v>10</v>
      </c>
      <c r="F21" s="290" t="n">
        <v>95005.0</v>
      </c>
      <c r="G21" s="9">
        <f t="shared" si="1"/>
        <v>1.6653474885040518E-2</v>
      </c>
    </row>
    <row r="22" spans="1:7" x14ac:dyDescent="0.45">
      <c r="A22">
        <v>11</v>
      </c>
      <c r="B22" s="6" t="n">
        <v>51657.3420378453</v>
      </c>
      <c r="C22" s="9">
        <f t="shared" si="0"/>
        <v>9.9544363367105974E-3</v>
      </c>
      <c r="E22" s="201">
        <v>11</v>
      </c>
      <c r="F22" s="291" t="n">
        <v>87267.0</v>
      </c>
      <c r="G22" s="9">
        <f t="shared" si="1"/>
        <v>1.5520325600049231E-2</v>
      </c>
    </row>
    <row r="23" spans="1:7" x14ac:dyDescent="0.45">
      <c r="A23">
        <v>12</v>
      </c>
      <c r="B23" s="6" t="n">
        <v>99978.2447668433</v>
      </c>
      <c r="C23" s="9">
        <f t="shared" si="0"/>
        <v>1.9265936521830448E-2</v>
      </c>
      <c r="E23" s="202">
        <v>12</v>
      </c>
      <c r="F23" s="292" t="n">
        <v>84347.0</v>
      </c>
      <c r="G23" s="9">
        <f t="shared" si="1"/>
        <v>1.4826430813172541E-2</v>
      </c>
    </row>
    <row r="24" spans="1:7" x14ac:dyDescent="0.45">
      <c r="A24">
        <v>13</v>
      </c>
      <c r="B24" s="6" t="n">
        <v>95344.9680401975</v>
      </c>
      <c r="C24" s="9">
        <f t="shared" si="0"/>
        <v>1.8373098129720211E-2</v>
      </c>
      <c r="E24" s="203">
        <v>13</v>
      </c>
      <c r="F24" s="293" t="n">
        <v>75147.0</v>
      </c>
      <c r="G24" s="9">
        <f t="shared" si="1"/>
        <v>1.3229800835927482E-2</v>
      </c>
    </row>
    <row r="25" spans="1:7" x14ac:dyDescent="0.45">
      <c r="A25">
        <v>14</v>
      </c>
      <c r="B25" s="6" t="n">
        <v>60754.7828539155</v>
      </c>
      <c r="C25" s="9">
        <f t="shared" si="0"/>
        <v>1.1707524897949717E-2</v>
      </c>
      <c r="E25" s="204">
        <v>14</v>
      </c>
      <c r="F25" s="294" t="n">
        <v>74983.0</v>
      </c>
      <c r="G25" s="9">
        <f t="shared" si="1"/>
        <v>1.3075601994399328E-2</v>
      </c>
    </row>
    <row r="26" spans="1:7" x14ac:dyDescent="0.45">
      <c r="A26">
        <v>15</v>
      </c>
      <c r="B26" s="6" t="n">
        <v>35666.7238188625</v>
      </c>
      <c r="C26" s="9">
        <f t="shared" si="0"/>
        <v>6.873023612670481E-3</v>
      </c>
      <c r="E26" s="205">
        <v>15</v>
      </c>
      <c r="F26" s="295" t="n">
        <v>68635.0</v>
      </c>
      <c r="G26" s="9">
        <f t="shared" si="1"/>
        <v>1.229399777472681E-2</v>
      </c>
    </row>
    <row r="27" spans="1:7" x14ac:dyDescent="0.45">
      <c r="A27">
        <v>16</v>
      </c>
      <c r="B27" s="6" t="n">
        <v>190005.0030131583</v>
      </c>
      <c r="C27" s="9">
        <f t="shared" si="0"/>
        <v>3.6614208775304656E-2</v>
      </c>
      <c r="E27" s="206">
        <v>16</v>
      </c>
      <c r="F27" s="296" t="n">
        <v>64798.0</v>
      </c>
      <c r="G27" s="9">
        <f t="shared" si="1"/>
        <v>1.1193385859966232E-2</v>
      </c>
    </row>
    <row r="28" spans="1:7" x14ac:dyDescent="0.45">
      <c r="A28">
        <v>17</v>
      </c>
      <c r="B28" s="6" t="n">
        <v>108124.7630154472</v>
      </c>
      <c r="C28" s="9">
        <f t="shared" si="0"/>
        <v>2.0835781079689569E-2</v>
      </c>
      <c r="E28" s="207">
        <v>17</v>
      </c>
      <c r="F28" s="297" t="n">
        <v>61621.0</v>
      </c>
      <c r="G28" s="9">
        <f t="shared" si="1"/>
        <v>1.0991265130761325E-2</v>
      </c>
    </row>
    <row r="29" spans="1:7" x14ac:dyDescent="0.45">
      <c r="A29">
        <v>18</v>
      </c>
      <c r="B29" s="6" t="n">
        <v>369440.4215271662</v>
      </c>
      <c r="C29" s="9">
        <f t="shared" si="0"/>
        <v>7.1191645005765761E-2</v>
      </c>
      <c r="E29" s="208">
        <v>18</v>
      </c>
      <c r="F29" s="298" t="n">
        <v>626701.0</v>
      </c>
      <c r="G29" s="9">
        <f t="shared" si="1"/>
        <v>0.11075402526173131</v>
      </c>
    </row>
    <row r="30" spans="1:7" x14ac:dyDescent="0.45">
      <c r="A30">
        <v>19</v>
      </c>
      <c r="B30" s="6" t="n">
        <v>223484.8479568004</v>
      </c>
      <c r="C30" s="9">
        <f t="shared" si="0"/>
        <v>4.306581801238589E-2</v>
      </c>
      <c r="E30" s="209">
        <v>19</v>
      </c>
      <c r="F30" s="299" t="n">
        <v>228426.0</v>
      </c>
      <c r="G30" s="9">
        <f t="shared" si="1"/>
        <v>4.0294880527727853E-2</v>
      </c>
    </row>
    <row r="31" spans="1:7" x14ac:dyDescent="0.45">
      <c r="A31">
        <v>20</v>
      </c>
      <c r="B31" s="6" t="n">
        <v>326560.4138408979</v>
      </c>
      <c r="C31" s="9">
        <f t="shared" si="0"/>
        <v>6.2928612302342854E-2</v>
      </c>
      <c r="E31" s="210">
        <v>20</v>
      </c>
      <c r="F31" s="300" t="n">
        <v>240634.0</v>
      </c>
      <c r="G31" s="9">
        <f t="shared" si="1"/>
        <v>4.1843411783762295E-2</v>
      </c>
    </row>
    <row r="32" spans="1:7" x14ac:dyDescent="0.45">
      <c r="A32">
        <v>21</v>
      </c>
      <c r="B32" s="6" t="n">
        <v>287545.6118445651</v>
      </c>
      <c r="C32" s="9">
        <f t="shared" si="0"/>
        <v>5.5410409713109052E-2</v>
      </c>
      <c r="E32" s="211">
        <v>21</v>
      </c>
      <c r="F32" s="301" t="n">
        <v>267759.0</v>
      </c>
      <c r="G32" s="9">
        <f t="shared" si="1"/>
        <v>4.8220205848380097E-2</v>
      </c>
    </row>
    <row r="33" spans="1:7" x14ac:dyDescent="0.45">
      <c r="A33">
        <v>22</v>
      </c>
      <c r="B33" s="6" t="n">
        <v>241594.0651189768</v>
      </c>
      <c r="C33" s="9">
        <f t="shared" si="0"/>
        <v>4.655548748118056E-2</v>
      </c>
      <c r="E33" s="212">
        <v>22</v>
      </c>
      <c r="F33" s="302" t="n">
        <v>246886.0</v>
      </c>
      <c r="G33" s="9">
        <f t="shared" si="1"/>
        <v>4.2931468517618629E-2</v>
      </c>
    </row>
    <row r="34" spans="1:7" x14ac:dyDescent="0.45">
      <c r="A34">
        <v>23</v>
      </c>
      <c r="B34" s="6" t="n">
        <v>149125.4016161517</v>
      </c>
      <c r="C34" s="9">
        <f t="shared" si="0"/>
        <v>2.8736656940011245E-2</v>
      </c>
      <c r="E34" s="213">
        <v>23</v>
      </c>
      <c r="F34" s="303" t="n">
        <v>229325.0</v>
      </c>
      <c r="G34" s="9">
        <f t="shared" si="1"/>
        <v>3.9750940577566618E-2</v>
      </c>
    </row>
    <row r="35" spans="1:7" x14ac:dyDescent="0.45">
      <c r="A35">
        <v>24</v>
      </c>
      <c r="B35" s="6" t="n">
        <v>185748.6845930994</v>
      </c>
      <c r="C35" s="9">
        <f t="shared" si="0"/>
        <v>3.5794010734332971E-2</v>
      </c>
      <c r="E35" s="214">
        <v>24</v>
      </c>
      <c r="F35" s="304" t="n">
        <v>163537.0</v>
      </c>
      <c r="G35" s="9">
        <f t="shared" si="1"/>
        <v>2.8759498613271428E-2</v>
      </c>
    </row>
    <row r="36" spans="1:7" x14ac:dyDescent="0.45">
      <c r="A36">
        <v>25</v>
      </c>
      <c r="B36" s="6" t="n">
        <v>124530.5330670162</v>
      </c>
      <c r="C36" s="9">
        <f t="shared" si="0"/>
        <v>2.3997194096515177E-2</v>
      </c>
      <c r="E36" s="215">
        <v>25</v>
      </c>
      <c r="F36" s="305" t="n">
        <v>157952.0</v>
      </c>
      <c r="G36" s="9">
        <f t="shared" si="1"/>
        <v>2.7885940955990379E-2</v>
      </c>
    </row>
    <row r="37" spans="1:7" x14ac:dyDescent="0.45">
      <c r="A37">
        <v>26</v>
      </c>
      <c r="B37" s="6" t="n">
        <v>326659.18690826383</v>
      </c>
      <c r="C37" s="9">
        <f t="shared" si="0"/>
        <v>6.2947645999627461E-2</v>
      </c>
      <c r="E37" s="216">
        <v>26</v>
      </c>
      <c r="F37" s="306" t="n">
        <v>166525.0</v>
      </c>
      <c r="G37" s="9">
        <f t="shared" si="1"/>
        <v>2.8939691984277378E-2</v>
      </c>
    </row>
    <row r="38" spans="1:7" x14ac:dyDescent="0.45">
      <c r="A38">
        <v>27</v>
      </c>
      <c r="B38" s="6" t="n">
        <v>80996.7483393223</v>
      </c>
      <c r="C38" s="9">
        <f t="shared" si="0"/>
        <v>1.5608177715254056E-2</v>
      </c>
      <c r="E38" s="217">
        <v>27</v>
      </c>
      <c r="F38" s="307" t="n">
        <v>150650.0</v>
      </c>
      <c r="G38" s="9">
        <f t="shared" si="1"/>
        <v>2.630823216686861E-2</v>
      </c>
    </row>
    <row r="39" spans="1:7" x14ac:dyDescent="0.45">
      <c r="A39">
        <v>28</v>
      </c>
      <c r="B39" s="6" t="n">
        <v>126516.420916542</v>
      </c>
      <c r="C39" s="9">
        <f t="shared" si="0"/>
        <v>2.4379877242610249E-2</v>
      </c>
      <c r="E39" s="218">
        <v>28</v>
      </c>
      <c r="F39" s="308" t="n">
        <v>113174.0</v>
      </c>
      <c r="G39" s="9">
        <f t="shared" si="1"/>
        <v>2.306386732109221E-2</v>
      </c>
    </row>
    <row r="40" spans="1:7" x14ac:dyDescent="0.45">
      <c r="A40">
        <v>29</v>
      </c>
      <c r="B40" s="6" t="n">
        <v>114504.2579660719</v>
      </c>
      <c r="C40" s="9">
        <f t="shared" si="0"/>
        <v>2.2065117972397595E-2</v>
      </c>
      <c r="E40" s="219">
        <v>29</v>
      </c>
      <c r="F40" s="309" t="n">
        <v>113842.0</v>
      </c>
      <c r="G40" s="9">
        <f t="shared" si="1"/>
        <v>1.7116778743760427E-2</v>
      </c>
    </row>
    <row r="41" spans="1:7" x14ac:dyDescent="0.45">
      <c r="A41">
        <v>30</v>
      </c>
      <c r="B41" s="6" t="n">
        <v>82985.5152186593</v>
      </c>
      <c r="C41" s="9">
        <f t="shared" si="0"/>
        <v>1.5991415654101455E-2</v>
      </c>
      <c r="E41" s="220">
        <v>30</v>
      </c>
      <c r="F41" s="310" t="n">
        <v>108372.0</v>
      </c>
      <c r="G41" s="9">
        <f t="shared" si="1"/>
        <v>1.9805532626140664E-2</v>
      </c>
    </row>
    <row r="42" spans="1:7" x14ac:dyDescent="0.45">
      <c r="A42">
        <v>31</v>
      </c>
      <c r="B42" s="6" t="n">
        <v>60985.1170806298</v>
      </c>
      <c r="C42" s="9">
        <f t="shared" si="0"/>
        <v>1.1751910600069528E-2</v>
      </c>
      <c r="E42" s="221">
        <v>31</v>
      </c>
      <c r="F42" s="311" t="n">
        <v>97284.0</v>
      </c>
      <c r="G42" s="9">
        <f t="shared" si="1"/>
        <v>1.7411383411175454E-2</v>
      </c>
    </row>
    <row r="43" spans="1:7" x14ac:dyDescent="0.45">
      <c r="A43">
        <v>32</v>
      </c>
      <c r="B43" s="6" t="n">
        <v>62776.1311125203</v>
      </c>
      <c r="C43" s="9">
        <f t="shared" si="0"/>
        <v>1.2097041310541385E-2</v>
      </c>
      <c r="E43" s="222">
        <v>32</v>
      </c>
      <c r="F43" s="312" t="n">
        <v>67411.0</v>
      </c>
      <c r="G43" s="9">
        <f t="shared" si="1"/>
        <v>1.1556425104986069E-2</v>
      </c>
    </row>
    <row r="44" spans="1:7" x14ac:dyDescent="0.45">
      <c r="A44">
        <v>33</v>
      </c>
      <c r="B44" s="6" t="n">
        <v>57296.1784266919</v>
      </c>
      <c r="C44" s="9">
        <f t="shared" si="0"/>
        <v>1.1041047370719615E-2</v>
      </c>
      <c r="E44" s="223">
        <v>33</v>
      </c>
      <c r="F44" s="313" t="n">
        <v>104941.0</v>
      </c>
      <c r="G44" s="9">
        <f t="shared" si="1"/>
        <v>2.043435267255593E-2</v>
      </c>
    </row>
    <row r="45" spans="1:7" x14ac:dyDescent="0.45">
      <c r="A45">
        <v>34</v>
      </c>
      <c r="B45" s="6" t="n">
        <v>104060.7104702549</v>
      </c>
      <c r="C45" s="9">
        <f t="shared" si="0"/>
        <v>2.005263292041097E-2</v>
      </c>
      <c r="E45" s="224">
        <v>34</v>
      </c>
      <c r="F45" s="314" t="n">
        <v>89251.0</v>
      </c>
      <c r="G45" s="9">
        <f t="shared" si="1"/>
        <v>1.7603778296017922E-2</v>
      </c>
    </row>
    <row r="46" spans="1:7" x14ac:dyDescent="0.45">
      <c r="A46">
        <v>35</v>
      </c>
      <c r="B46" s="6" t="n">
        <v>39907.2136583181</v>
      </c>
      <c r="C46" s="9">
        <f t="shared" si="0"/>
        <v>7.6901714657753445E-3</v>
      </c>
      <c r="E46" s="225">
        <v>35</v>
      </c>
      <c r="F46" s="315" t="n">
        <v>73993.0</v>
      </c>
      <c r="G46" s="9">
        <f t="shared" si="1"/>
        <v>1.0266070808390964E-2</v>
      </c>
    </row>
    <row r="47" spans="1:7" x14ac:dyDescent="0.45">
      <c r="A47">
        <v>36</v>
      </c>
      <c r="B47" s="6" t="n">
        <v>61164.615913669404</v>
      </c>
      <c r="C47" s="9">
        <f t="shared" si="0"/>
        <v>1.1786500256360738E-2</v>
      </c>
      <c r="E47" s="226">
        <v>36</v>
      </c>
      <c r="F47" s="316" t="n">
        <v>44887.0</v>
      </c>
      <c r="G47" s="9">
        <f t="shared" si="1"/>
        <v>1.0187203052288261E-2</v>
      </c>
    </row>
    <row r="48" spans="1:7" x14ac:dyDescent="0.45">
      <c r="A48">
        <v>37</v>
      </c>
      <c r="B48" s="6" t="n">
        <v>77475.6383161964</v>
      </c>
      <c r="C48" s="9">
        <f t="shared" si="0"/>
        <v>1.4929655279196829E-2</v>
      </c>
      <c r="E48" s="227">
        <v>37</v>
      </c>
      <c r="F48" s="317" t="n">
        <v>40944.0</v>
      </c>
      <c r="G48" s="9">
        <f t="shared" si="1"/>
        <v>8.2551198613059224E-3</v>
      </c>
    </row>
    <row r="49" spans="1:7" x14ac:dyDescent="0.45">
      <c r="A49">
        <v>38</v>
      </c>
      <c r="B49" s="6" t="n">
        <v>88008.3350026262</v>
      </c>
      <c r="C49" s="9">
        <f t="shared" si="0"/>
        <v>1.6959319495023783E-2</v>
      </c>
      <c r="E49" s="228">
        <v>38</v>
      </c>
      <c r="F49" s="318" t="n">
        <v>44085.0</v>
      </c>
      <c r="G49" s="9">
        <f t="shared" si="1"/>
        <v>6.9140143404922624E-3</v>
      </c>
    </row>
    <row r="50" spans="1:7" x14ac:dyDescent="0.45">
      <c r="A50">
        <v>39</v>
      </c>
      <c r="B50" s="6" t="n">
        <v>27723.3195032812</v>
      </c>
      <c r="C50" s="9">
        <f t="shared" si="0"/>
        <v>5.3423193712815939E-3</v>
      </c>
      <c r="E50" s="229">
        <v>39</v>
      </c>
      <c r="F50" s="319" t="n">
        <v>44397.0</v>
      </c>
      <c r="G50" s="9">
        <f t="shared" si="1"/>
        <v>8.2130334802466339E-3</v>
      </c>
    </row>
    <row r="51" spans="1:7" x14ac:dyDescent="0.45">
      <c r="A51">
        <v>40</v>
      </c>
      <c r="B51" s="6" t="n">
        <v>46166.9919722398</v>
      </c>
      <c r="C51" s="9">
        <f t="shared" si="0"/>
        <v>8.8964388084156916E-3</v>
      </c>
      <c r="E51" s="230">
        <v>40</v>
      </c>
      <c r="F51" s="320" t="n">
        <v>36667.0</v>
      </c>
      <c r="G51" s="9">
        <f t="shared" si="1"/>
        <v>6.0584937036651937E-3</v>
      </c>
    </row>
    <row r="52" spans="1:7" x14ac:dyDescent="0.45">
      <c r="A52">
        <v>41</v>
      </c>
      <c r="B52" s="6" t="n">
        <v>29538.5247150654</v>
      </c>
      <c r="C52" s="9">
        <f t="shared" si="0"/>
        <v>5.6921117532731623E-3</v>
      </c>
      <c r="E52" s="231">
        <v>41</v>
      </c>
      <c r="F52" s="321" t="n">
        <v>49097.0</v>
      </c>
      <c r="G52" s="9">
        <f t="shared" si="1"/>
        <v>7.4625519625339254E-3</v>
      </c>
    </row>
    <row r="53" spans="1:7" x14ac:dyDescent="0.45">
      <c r="A53">
        <v>42</v>
      </c>
      <c r="B53" s="6" t="n">
        <v>22786.7876050238</v>
      </c>
      <c r="C53" s="9">
        <f t="shared" si="0"/>
        <v>4.3910433170598522E-3</v>
      </c>
      <c r="E53" s="232">
        <v>42</v>
      </c>
      <c r="F53" s="322" t="n">
        <v>30858.0</v>
      </c>
      <c r="G53" s="9">
        <f t="shared" si="1"/>
        <v>5.9872297895185809E-3</v>
      </c>
    </row>
    <row r="54" spans="1:7" x14ac:dyDescent="0.45">
      <c r="A54">
        <v>43</v>
      </c>
      <c r="B54" s="6" t="n">
        <v>18992.4288116778</v>
      </c>
      <c r="C54" s="9">
        <f t="shared" si="0"/>
        <v>3.6598654910824885E-3</v>
      </c>
      <c r="E54" s="233">
        <v>43</v>
      </c>
      <c r="F54" s="323" t="n">
        <v>28907.0</v>
      </c>
      <c r="G54" s="9">
        <f t="shared" si="1"/>
        <v>5.7115463102268491E-3</v>
      </c>
    </row>
    <row r="55" spans="1:7" x14ac:dyDescent="0.45">
      <c r="A55">
        <v>44</v>
      </c>
      <c r="B55" s="6" t="n">
        <v>13645.4543213037</v>
      </c>
      <c r="C55" s="9">
        <f t="shared" si="0"/>
        <v>2.6294966207784385E-3</v>
      </c>
      <c r="E55" s="234">
        <v>44</v>
      </c>
      <c r="F55" s="324" t="n">
        <v>23389.0</v>
      </c>
      <c r="G55" s="9">
        <f t="shared" si="1"/>
        <v>4.7594745639108222E-3</v>
      </c>
    </row>
    <row r="56" spans="1:7" x14ac:dyDescent="0.45">
      <c r="A56">
        <v>45</v>
      </c>
      <c r="B56" s="6" t="n">
        <v>229354.5054914703</v>
      </c>
      <c r="C56" s="9">
        <f t="shared" si="0"/>
        <v>4.4196908578454097E-2</v>
      </c>
      <c r="E56" s="235">
        <v>45</v>
      </c>
      <c r="F56" s="325" t="n">
        <v>27665.0</v>
      </c>
      <c r="G56" s="9">
        <f t="shared" si="1"/>
        <v>4.1053673221532099E-3</v>
      </c>
    </row>
    <row r="57" spans="1:7" x14ac:dyDescent="0.45">
      <c r="A57">
        <v>46</v>
      </c>
      <c r="B57" s="6" t="n">
        <v>20125.8697876047</v>
      </c>
      <c r="C57" s="9">
        <f t="shared" si="0"/>
        <v>3.8782810268260322E-3</v>
      </c>
      <c r="E57" s="236">
        <v>46</v>
      </c>
      <c r="F57" s="326" t="n">
        <v>21598.0</v>
      </c>
      <c r="G57" s="9">
        <f t="shared" si="1"/>
        <v>4.952046282287151E-3</v>
      </c>
    </row>
    <row r="58" spans="1:7" x14ac:dyDescent="0.45">
      <c r="A58">
        <v>47</v>
      </c>
      <c r="B58" s="6" t="n">
        <v>21124.8952427453</v>
      </c>
      <c r="C58" s="9">
        <f t="shared" si="0"/>
        <v>4.0707945186093438E-3</v>
      </c>
      <c r="E58" s="237">
        <v>47</v>
      </c>
      <c r="F58" s="327" t="n">
        <v>17974.0</v>
      </c>
      <c r="G58" s="9">
        <f t="shared" si="1"/>
        <v>3.8135919912799846E-3</v>
      </c>
    </row>
    <row r="59" spans="1:7" x14ac:dyDescent="0.45">
      <c r="A59">
        <v>48</v>
      </c>
      <c r="B59" s="6" t="n">
        <v>27674.278625818</v>
      </c>
      <c r="C59" s="9">
        <f t="shared" si="0"/>
        <v>5.3328691310379865E-3</v>
      </c>
      <c r="E59" s="238">
        <v>48</v>
      </c>
      <c r="F59" s="328" t="n">
        <v>20897.0</v>
      </c>
      <c r="G59" s="9">
        <f t="shared" si="1"/>
        <v>3.3027199119510468E-3</v>
      </c>
    </row>
    <row r="60" spans="1:7" x14ac:dyDescent="0.45">
      <c r="A60">
        <v>49</v>
      </c>
      <c r="B60" s="6" t="n">
        <v>17154.4059222361</v>
      </c>
      <c r="C60" s="9">
        <f t="shared" si="0"/>
        <v>3.3056761132209665E-3</v>
      </c>
      <c r="E60" s="239">
        <v>49</v>
      </c>
      <c r="F60" s="329" t="n">
        <v>19095.0</v>
      </c>
      <c r="G60" s="9">
        <f t="shared" si="1"/>
        <v>3.240651341565288E-3</v>
      </c>
    </row>
    <row r="61" spans="1:7" x14ac:dyDescent="0.45">
      <c r="A61">
        <v>50</v>
      </c>
      <c r="B61" s="6" t="n">
        <v>9032.7949735271</v>
      </c>
      <c r="C61" s="9">
        <f t="shared" si="0"/>
        <v>1.7406312241280298E-3</v>
      </c>
      <c r="E61" s="240">
        <v>50</v>
      </c>
      <c r="F61" s="330" t="n">
        <v>21700.0</v>
      </c>
      <c r="G61" s="9">
        <f t="shared" si="1"/>
        <v>3.5851230655295561E-3</v>
      </c>
    </row>
    <row r="62" spans="1:7" x14ac:dyDescent="0.45">
      <c r="A62">
        <v>51</v>
      </c>
      <c r="B62" s="6" t="n">
        <v>20562.1725658565</v>
      </c>
      <c r="C62" s="9">
        <f t="shared" si="0"/>
        <v>3.9623571340801685E-3</v>
      </c>
      <c r="E62" s="241">
        <v>51</v>
      </c>
      <c r="F62" s="331" t="n">
        <v>14859.0</v>
      </c>
      <c r="G62" s="9">
        <f t="shared" si="1"/>
        <v>2.7649691354749996E-3</v>
      </c>
    </row>
    <row r="63" spans="1:7" x14ac:dyDescent="0.45">
      <c r="A63">
        <v>52</v>
      </c>
      <c r="B63" s="6" t="n">
        <v>18780.1946998054</v>
      </c>
      <c r="C63" s="9">
        <f t="shared" si="0"/>
        <v>3.6189677044026333E-3</v>
      </c>
      <c r="E63" s="242">
        <v>52</v>
      </c>
      <c r="F63" s="332" t="n">
        <v>15182.0</v>
      </c>
      <c r="G63" s="9">
        <f t="shared" si="1"/>
        <v>2.6102397933452592E-3</v>
      </c>
    </row>
    <row r="64" spans="1:7" x14ac:dyDescent="0.45">
      <c r="A64">
        <v>53</v>
      </c>
      <c r="B64" s="6" t="n">
        <v>972.7320440711</v>
      </c>
      <c r="C64" s="9">
        <f t="shared" si="0"/>
        <v>1.8744671760870225E-4</v>
      </c>
      <c r="E64" s="243">
        <v>53</v>
      </c>
      <c r="F64" s="333" t="n">
        <v>13445.0</v>
      </c>
      <c r="G64" s="9">
        <f t="shared" si="1"/>
        <v>2.2259805242619145E-3</v>
      </c>
    </row>
    <row r="65" spans="1:7" x14ac:dyDescent="0.45">
      <c r="A65">
        <v>54</v>
      </c>
      <c r="B65" s="6" t="n">
        <v>37370.9108089969</v>
      </c>
      <c r="C65" s="9">
        <f t="shared" si="0"/>
        <v>7.2014226403772303E-3</v>
      </c>
      <c r="E65" s="244">
        <v>54</v>
      </c>
      <c r="F65" s="334" t="n">
        <v>11870.0</v>
      </c>
      <c r="G65" s="9">
        <f t="shared" si="1"/>
        <v>2.3380929847307782E-3</v>
      </c>
    </row>
    <row r="66" spans="1:7" x14ac:dyDescent="0.45">
      <c r="A66">
        <v>55</v>
      </c>
      <c r="B66" s="6" t="n">
        <v>3296.6881366067</v>
      </c>
      <c r="C66" s="9">
        <f t="shared" si="0"/>
        <v>6.3527604950712078E-4</v>
      </c>
      <c r="E66" s="245">
        <v>55</v>
      </c>
      <c r="F66" s="335" t="n">
        <v>12471.0</v>
      </c>
      <c r="G66" s="9">
        <f t="shared" si="1"/>
        <v>2.0799160252914393E-3</v>
      </c>
    </row>
    <row r="67" spans="1:7" x14ac:dyDescent="0.45">
      <c r="A67">
        <v>56</v>
      </c>
      <c r="B67" s="6" t="n">
        <v>7984.4317229266</v>
      </c>
      <c r="C67" s="9">
        <f t="shared" si="0"/>
        <v>1.5386102756207662E-3</v>
      </c>
      <c r="E67" s="246">
        <v>56</v>
      </c>
      <c r="F67" s="336" t="n">
        <v>10577.0</v>
      </c>
      <c r="G67" s="9">
        <f t="shared" si="1"/>
        <v>2.0521531604750175E-3</v>
      </c>
    </row>
    <row r="68" spans="1:7" x14ac:dyDescent="0.45">
      <c r="A68">
        <v>57</v>
      </c>
      <c r="B68" s="6" t="n">
        <v>3583.5922487877</v>
      </c>
      <c r="C68" s="9">
        <f t="shared" si="0"/>
        <v>6.9056284140891664E-4</v>
      </c>
      <c r="E68" s="247">
        <v>57</v>
      </c>
      <c r="F68" s="337" t="n">
        <v>9811.0</v>
      </c>
      <c r="G68" s="9">
        <f t="shared" si="1"/>
        <v>1.6302283486789473E-3</v>
      </c>
    </row>
    <row r="69" spans="1:7" x14ac:dyDescent="0.45">
      <c r="A69">
        <v>58</v>
      </c>
      <c r="B69" s="6" t="n">
        <v>14327.207966067499</v>
      </c>
      <c r="C69" s="9">
        <f t="shared" si="0"/>
        <v>2.7608714261091066E-3</v>
      </c>
      <c r="E69" s="248">
        <v>58</v>
      </c>
      <c r="F69" s="338" t="n">
        <v>9411.0</v>
      </c>
      <c r="G69" s="9">
        <f t="shared" si="1"/>
        <v>1.9112168339865563E-3</v>
      </c>
    </row>
    <row r="70" spans="1:7" x14ac:dyDescent="0.45">
      <c r="A70">
        <v>59</v>
      </c>
      <c r="B70" s="6" t="n">
        <v>18685.0195483197</v>
      </c>
      <c r="C70" s="9">
        <f t="shared" si="0"/>
        <v>3.6006273301416596E-3</v>
      </c>
      <c r="E70" s="249">
        <v>59</v>
      </c>
      <c r="F70" s="339" t="n">
        <v>7973.0</v>
      </c>
      <c r="G70" s="9">
        <f t="shared" si="1"/>
        <v>1.6388931918382128E-3</v>
      </c>
    </row>
    <row r="71" spans="1:7" x14ac:dyDescent="0.45">
      <c r="A71">
        <v>60</v>
      </c>
      <c r="B71" s="6" t="n">
        <v>25031.951492248</v>
      </c>
      <c r="C71" s="9">
        <f t="shared" si="0"/>
        <v>4.8236892895235804E-3</v>
      </c>
      <c r="E71" s="250">
        <v>60</v>
      </c>
      <c r="F71" s="340" t="n">
        <v>13680.0</v>
      </c>
      <c r="G71" s="9">
        <f t="shared" si="1"/>
        <v>1.399283753454443E-3</v>
      </c>
    </row>
    <row r="72" spans="1:7" x14ac:dyDescent="0.45">
      <c r="A72">
        <v>61</v>
      </c>
      <c r="B72" s="6" t="n">
        <v>27069.790527837</v>
      </c>
      <c r="C72" s="9">
        <f t="shared" si="0"/>
        <v>5.2163834960774671E-3</v>
      </c>
      <c r="E72" s="251">
        <v>61</v>
      </c>
      <c r="F72" s="341" t="n">
        <v>6484.0</v>
      </c>
      <c r="G72" s="9">
        <f t="shared" si="1"/>
        <v>1.2995496403559589E-3</v>
      </c>
    </row>
    <row r="73" spans="1:7" x14ac:dyDescent="0.45">
      <c r="A73">
        <v>62</v>
      </c>
      <c r="B73" s="6" t="n">
        <v>5113.9781545569995</v>
      </c>
      <c r="C73" s="9">
        <f t="shared" si="0"/>
        <v>9.854701763317784E-4</v>
      </c>
      <c r="E73" s="252">
        <v>62</v>
      </c>
      <c r="F73" s="342" t="n">
        <v>5498.0</v>
      </c>
      <c r="G73" s="9">
        <f t="shared" si="1"/>
        <v>1.1660403222897254E-3</v>
      </c>
    </row>
    <row r="74" spans="1:7" x14ac:dyDescent="0.45">
      <c r="A74">
        <v>63</v>
      </c>
      <c r="B74" s="6" t="n">
        <v>2698.5191981036</v>
      </c>
      <c r="C74" s="9">
        <f t="shared" si="0"/>
        <v>5.2000812471601342E-4</v>
      </c>
      <c r="E74" s="253">
        <v>63</v>
      </c>
      <c r="F74" s="343" t="n">
        <v>5393.0</v>
      </c>
      <c r="G74" s="9">
        <f t="shared" si="1"/>
        <v>1.0353603407652931E-3</v>
      </c>
    </row>
    <row r="75" spans="1:7" x14ac:dyDescent="0.45">
      <c r="A75">
        <v>64</v>
      </c>
      <c r="B75" s="6" t="n">
        <v>5281.13223875</v>
      </c>
      <c r="C75" s="9">
        <f t="shared" si="0"/>
        <v>1.0176809836222767E-3</v>
      </c>
      <c r="E75" s="254">
        <v>64</v>
      </c>
      <c r="F75" s="344" t="n">
        <v>5442.0</v>
      </c>
      <c r="G75" s="9">
        <f t="shared" si="1"/>
        <v>1.0084816436181838E-3</v>
      </c>
    </row>
    <row r="76" spans="1:7" x14ac:dyDescent="0.45">
      <c r="A76">
        <v>65</v>
      </c>
      <c r="B76" s="6" t="n">
        <v>6358.2571598738</v>
      </c>
      <c r="C76" s="9">
        <f t="shared" si="0"/>
        <v>1.2252443430796022E-3</v>
      </c>
      <c r="E76" s="255">
        <v>65</v>
      </c>
      <c r="F76" s="345" t="n">
        <v>4810.0</v>
      </c>
      <c r="G76" s="9">
        <f t="shared" si="1"/>
        <v>8.931861795397943E-4</v>
      </c>
    </row>
    <row r="77" spans="1:7" x14ac:dyDescent="0.45">
      <c r="A77">
        <v>66</v>
      </c>
      <c r="B77" s="6" t="n">
        <v>7041.898167223</v>
      </c>
      <c r="C77" s="9">
        <f t="shared" ref="C77:C102" si="2">B77/B$102</f>
        <v>1.356982845611084E-3</v>
      </c>
      <c r="E77" s="256">
        <v>66</v>
      </c>
      <c r="F77" s="346" t="n">
        <v>5159.0</v>
      </c>
      <c r="G77" s="9">
        <f t="shared" ref="G77:G102" si="3">F77/F$102</f>
        <v>1.1271369448399621E-3</v>
      </c>
    </row>
    <row r="78" spans="1:7" x14ac:dyDescent="0.45">
      <c r="A78">
        <v>67</v>
      </c>
      <c r="B78" s="6" t="n">
        <v>13229.806233146</v>
      </c>
      <c r="C78" s="9">
        <f t="shared" si="2"/>
        <v>2.5494006989052217E-3</v>
      </c>
      <c r="E78" s="257">
        <v>67</v>
      </c>
      <c r="F78" s="347" t="n">
        <v>5687.0</v>
      </c>
      <c r="G78" s="9">
        <f t="shared" si="3"/>
        <v>9.2802238571071871E-4</v>
      </c>
    </row>
    <row r="79" spans="1:7" x14ac:dyDescent="0.45">
      <c r="A79">
        <v>68</v>
      </c>
      <c r="B79" s="6" t="n">
        <v>1444.023518146</v>
      </c>
      <c r="C79" s="9">
        <f t="shared" si="2"/>
        <v>2.7826519160753933E-4</v>
      </c>
      <c r="E79" s="258">
        <v>68</v>
      </c>
      <c r="F79" s="348" t="n">
        <v>4797.0</v>
      </c>
      <c r="G79" s="9">
        <f t="shared" si="3"/>
        <v>8.6241714464770872E-4</v>
      </c>
    </row>
    <row r="80" spans="1:7" x14ac:dyDescent="0.45">
      <c r="A80">
        <v>69</v>
      </c>
      <c r="B80" s="6" t="n">
        <v>9242.7549155323</v>
      </c>
      <c r="C80" s="9">
        <f t="shared" si="2"/>
        <v>1.7810907753457253E-3</v>
      </c>
      <c r="E80" s="259">
        <v>69</v>
      </c>
      <c r="F80" s="349" t="n">
        <v>6508.0</v>
      </c>
      <c r="G80" s="9">
        <f t="shared" si="3"/>
        <v>7.1759048041427145E-4</v>
      </c>
    </row>
    <row r="81" spans="1:7" x14ac:dyDescent="0.45">
      <c r="A81">
        <v>70</v>
      </c>
      <c r="B81" s="6" t="n">
        <v>7767.2073140823995</v>
      </c>
      <c r="C81" s="9">
        <f t="shared" si="2"/>
        <v>1.4967508522877768E-3</v>
      </c>
      <c r="E81" s="260">
        <v>70</v>
      </c>
      <c r="F81" s="350" t="n">
        <v>3602.0</v>
      </c>
      <c r="G81" s="9">
        <f t="shared" si="3"/>
        <v>7.2537115590422415E-4</v>
      </c>
    </row>
    <row r="82" spans="1:7" x14ac:dyDescent="0.45">
      <c r="A82">
        <v>71</v>
      </c>
      <c r="B82" s="6" t="n">
        <v>6545.5658596602</v>
      </c>
      <c r="C82" s="9">
        <f t="shared" si="2"/>
        <v>1.2613389707507227E-3</v>
      </c>
      <c r="E82" s="261">
        <v>71</v>
      </c>
      <c r="F82" s="351" t="n">
        <v>4164.0</v>
      </c>
      <c r="G82" s="9">
        <f t="shared" si="3"/>
        <v>7.5702435846562255E-4</v>
      </c>
    </row>
    <row r="83" spans="1:7" x14ac:dyDescent="0.45">
      <c r="A83">
        <v>72</v>
      </c>
      <c r="B83" s="6" t="n">
        <v>44741.4452130761</v>
      </c>
      <c r="C83" s="9">
        <f t="shared" si="2"/>
        <v>8.6217341120590173E-3</v>
      </c>
      <c r="E83" s="262">
        <v>72</v>
      </c>
      <c r="F83" s="352" t="n">
        <v>4315.0</v>
      </c>
      <c r="G83" s="9">
        <f t="shared" si="3"/>
        <v>7.6250619801536185E-4</v>
      </c>
    </row>
    <row r="84" spans="1:7" x14ac:dyDescent="0.45">
      <c r="A84">
        <v>73</v>
      </c>
      <c r="B84" s="6" t="n">
        <v>3851.127302794</v>
      </c>
      <c r="C84" s="9">
        <f t="shared" si="2"/>
        <v>7.4211719085633988E-4</v>
      </c>
      <c r="E84" s="263">
        <v>73</v>
      </c>
      <c r="F84" s="353" t="n">
        <v>2838.0</v>
      </c>
      <c r="G84" s="9">
        <f t="shared" si="3"/>
        <v>5.6003180174272983E-4</v>
      </c>
    </row>
    <row r="85" spans="1:7" x14ac:dyDescent="0.45">
      <c r="A85">
        <v>74</v>
      </c>
      <c r="B85" s="6" t="n">
        <v>11507.2270041624</v>
      </c>
      <c r="C85" s="9">
        <f t="shared" si="2"/>
        <v>2.2174574630861046E-3</v>
      </c>
      <c r="E85" s="264">
        <v>74</v>
      </c>
      <c r="F85" s="354" t="n">
        <v>2667.0</v>
      </c>
      <c r="G85" s="9">
        <f t="shared" si="3"/>
        <v>4.9920106609400896E-4</v>
      </c>
    </row>
    <row r="86" spans="1:7" x14ac:dyDescent="0.45">
      <c r="A86">
        <v>75</v>
      </c>
      <c r="B86" s="6" t="n">
        <v>9615.6426573921</v>
      </c>
      <c r="C86" s="9">
        <f t="shared" si="2"/>
        <v>1.8529467234191617E-3</v>
      </c>
      <c r="E86" s="265">
        <v>75</v>
      </c>
      <c r="F86" s="355" t="n">
        <v>2563.0</v>
      </c>
      <c r="G86" s="9">
        <f t="shared" si="3"/>
        <v>4.7232236894689973E-4</v>
      </c>
    </row>
    <row r="87" spans="1:7" x14ac:dyDescent="0.45">
      <c r="A87">
        <v>76</v>
      </c>
      <c r="B87" s="6" t="n">
        <v>17131.290225189</v>
      </c>
      <c r="C87" s="9">
        <f t="shared" si="2"/>
        <v>3.3012216886308386E-3</v>
      </c>
      <c r="E87" s="266">
        <v>76</v>
      </c>
      <c r="F87" s="356" t="n">
        <v>2439.0</v>
      </c>
      <c r="G87" s="9">
        <f t="shared" si="3"/>
        <v>4.2086381059289456E-4</v>
      </c>
    </row>
    <row r="88" spans="1:7" x14ac:dyDescent="0.45">
      <c r="A88">
        <v>77</v>
      </c>
      <c r="B88" s="6" t="n">
        <v>3761.1715561875</v>
      </c>
      <c r="C88" s="9">
        <f t="shared" si="2"/>
        <v>7.2478260263730907E-4</v>
      </c>
      <c r="E88" s="267">
        <v>77</v>
      </c>
      <c r="F88" s="357" t="n">
        <v>2147.0</v>
      </c>
      <c r="G88" s="9">
        <f t="shared" si="3"/>
        <v>3.8178359960926861E-4</v>
      </c>
    </row>
    <row r="89" spans="1:7" x14ac:dyDescent="0.45">
      <c r="A89">
        <v>78</v>
      </c>
      <c r="B89" s="6" t="n">
        <v>1208.3615056104</v>
      </c>
      <c r="C89" s="9">
        <f t="shared" si="2"/>
        <v>2.3285281829866713E-4</v>
      </c>
      <c r="E89" s="268">
        <v>78</v>
      </c>
      <c r="F89" s="358" t="n">
        <v>2790.0</v>
      </c>
      <c r="G89" s="9">
        <f t="shared" si="3"/>
        <v>4.77450541428914E-4</v>
      </c>
    </row>
    <row r="90" spans="1:7" x14ac:dyDescent="0.45">
      <c r="A90">
        <v>79</v>
      </c>
      <c r="B90" s="6" t="n">
        <v>2981.6171355287</v>
      </c>
      <c r="C90" s="9">
        <f t="shared" si="2"/>
        <v>5.7456146184063064E-4</v>
      </c>
      <c r="E90" s="269">
        <v>79</v>
      </c>
      <c r="F90" s="359" t="n">
        <v>1839.0</v>
      </c>
      <c r="G90" s="9">
        <f t="shared" si="3"/>
        <v>4.0424145840981386E-4</v>
      </c>
    </row>
    <row r="91" spans="1:7" x14ac:dyDescent="0.45">
      <c r="A91">
        <v>80</v>
      </c>
      <c r="B91" s="6" t="n">
        <v>35198.386924146704</v>
      </c>
      <c r="C91" s="9">
        <f t="shared" si="2"/>
        <v>6.7827744899191479E-3</v>
      </c>
      <c r="E91" s="270">
        <v>80</v>
      </c>
      <c r="F91" s="360" t="n">
        <v>1769.0</v>
      </c>
      <c r="G91" s="9">
        <f t="shared" si="3"/>
        <v>3.3757521614362845E-4</v>
      </c>
    </row>
    <row r="92" spans="1:7" x14ac:dyDescent="0.45">
      <c r="A92">
        <v>81</v>
      </c>
      <c r="B92" s="6" t="n">
        <v>2632.678679736</v>
      </c>
      <c r="C92" s="9">
        <f t="shared" si="2"/>
        <v>5.0732057203499979E-4</v>
      </c>
      <c r="E92" s="271">
        <v>81</v>
      </c>
      <c r="F92" s="361" t="n">
        <v>1657.0</v>
      </c>
      <c r="G92" s="9">
        <f t="shared" si="3"/>
        <v>3.2944087358595067E-4</v>
      </c>
    </row>
    <row r="93" spans="1:7" x14ac:dyDescent="0.45">
      <c r="A93">
        <v>82</v>
      </c>
      <c r="B93" s="6" t="n">
        <v>9855.246057459</v>
      </c>
      <c r="C93" s="9">
        <f t="shared" si="2"/>
        <v>1.8991186071811634E-3</v>
      </c>
      <c r="E93" s="272">
        <v>82</v>
      </c>
      <c r="F93" s="362" t="n">
        <v>2713.0</v>
      </c>
      <c r="G93" s="9">
        <f t="shared" si="3"/>
        <v>3.2378220050234872E-4</v>
      </c>
    </row>
    <row r="94" spans="1:7" x14ac:dyDescent="0.45">
      <c r="A94">
        <v>83</v>
      </c>
      <c r="B94" s="6" t="n">
        <v>5837.9404788961</v>
      </c>
      <c r="C94" s="9">
        <f t="shared" si="2"/>
        <v>1.1249786485743275E-3</v>
      </c>
      <c r="E94" s="273">
        <v>83</v>
      </c>
      <c r="F94" s="363" t="n">
        <v>1595.0</v>
      </c>
      <c r="G94" s="9">
        <f t="shared" si="3"/>
        <v>3.039768447097419E-4</v>
      </c>
    </row>
    <row r="95" spans="1:7" x14ac:dyDescent="0.45">
      <c r="A95">
        <v>84</v>
      </c>
      <c r="B95" s="6" t="n">
        <v>8223.5712677336</v>
      </c>
      <c r="C95" s="9">
        <f t="shared" si="2"/>
        <v>1.584692773876817E-3</v>
      </c>
      <c r="E95" s="274">
        <v>84</v>
      </c>
      <c r="F95" s="364" t="n">
        <v>1412.0</v>
      </c>
      <c r="G95" s="9">
        <f t="shared" si="3"/>
        <v>2.7886648290125827E-4</v>
      </c>
    </row>
    <row r="96" spans="1:7" x14ac:dyDescent="0.45">
      <c r="A96">
        <v>85</v>
      </c>
      <c r="B96" s="6" t="n">
        <v>5006.9698036617</v>
      </c>
      <c r="C96" s="9">
        <f t="shared" si="2"/>
        <v>9.6484952930539351E-4</v>
      </c>
      <c r="E96" s="275">
        <v>85</v>
      </c>
      <c r="F96" s="365" t="n">
        <v>1461.0</v>
      </c>
      <c r="G96" s="9">
        <f t="shared" si="3"/>
        <v>2.815189859091967E-4</v>
      </c>
    </row>
    <row r="97" spans="1:7" x14ac:dyDescent="0.45">
      <c r="A97">
        <v>86</v>
      </c>
      <c r="B97" s="6" t="n">
        <v>2867.0805968983</v>
      </c>
      <c r="C97" s="9">
        <f t="shared" si="2"/>
        <v>5.524901233426449E-4</v>
      </c>
      <c r="E97" s="276">
        <v>86</v>
      </c>
      <c r="F97" s="366" t="n">
        <v>1219.0</v>
      </c>
      <c r="G97" s="9">
        <f t="shared" si="3"/>
        <v>2.4880478214462298E-4</v>
      </c>
    </row>
    <row r="98" spans="1:7" x14ac:dyDescent="0.45">
      <c r="A98">
        <v>87</v>
      </c>
      <c r="B98" s="6" t="n">
        <v>7103.3543771546</v>
      </c>
      <c r="C98" s="9">
        <f t="shared" si="2"/>
        <v>1.3688255364102243E-3</v>
      </c>
      <c r="E98" s="277">
        <v>87</v>
      </c>
      <c r="F98" s="367" t="n">
        <v>1141.0</v>
      </c>
      <c r="G98" s="9">
        <f t="shared" si="3"/>
        <v>2.396094383837698E-4</v>
      </c>
    </row>
    <row r="99" spans="1:7" x14ac:dyDescent="0.45">
      <c r="A99">
        <v>88</v>
      </c>
      <c r="B99" s="6" t="n">
        <v>6611.2846627433</v>
      </c>
      <c r="C99" s="9">
        <f t="shared" si="2"/>
        <v>1.2740030687396642E-3</v>
      </c>
      <c r="E99" s="278">
        <v>88</v>
      </c>
      <c r="F99" s="368" t="n">
        <v>1388.0</v>
      </c>
      <c r="G99" s="9">
        <f t="shared" si="3"/>
        <v>2.3925577131604468E-4</v>
      </c>
    </row>
    <row r="100" spans="1:7" x14ac:dyDescent="0.45">
      <c r="A100">
        <v>89</v>
      </c>
      <c r="B100" s="6" t="n">
        <v>11921.9682978935</v>
      </c>
      <c r="C100" s="9">
        <f t="shared" si="2"/>
        <v>2.2973786445055159E-3</v>
      </c>
      <c r="E100" s="279">
        <v>89</v>
      </c>
      <c r="F100" s="369" t="n">
        <v>1037.0</v>
      </c>
      <c r="G100" s="9">
        <f t="shared" si="3"/>
        <v>1.9345588604564144E-4</v>
      </c>
    </row>
    <row r="101" spans="1:7" ht="14.65" thickBot="1" x14ac:dyDescent="0.5">
      <c r="A101" s="1">
        <v>90</v>
      </c>
      <c r="B101" s="7" t="n">
        <v>254645.6072058209</v>
      </c>
      <c r="C101" s="9">
        <f t="shared" si="2"/>
        <v>4.9070536449518996E-2</v>
      </c>
      <c r="E101" s="372">
        <v>90</v>
      </c>
      <c r="F101" s="372" t="n">
        <v>63947.0</v>
      </c>
      <c r="G101" s="9">
        <f t="shared" si="3"/>
        <v>1.1723532794486189E-2</v>
      </c>
    </row>
    <row r="102" spans="1:7" x14ac:dyDescent="0.45">
      <c r="B102" s="6">
        <f>SUM(B11:B101)</f>
        <v>5189378.9151415937</v>
      </c>
      <c r="C102" s="9">
        <f t="shared" si="2"/>
        <v>1</v>
      </c>
      <c r="F102" s="6">
        <f>SUM(F11:F101)</f>
        <v>5655036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76792.7457522726</v>
      </c>
      <c r="C11" s="9">
        <f>B11/B$102</f>
        <v>3.8226749699430074E-2</v>
      </c>
      <c r="E11" s="371">
        <v>0</v>
      </c>
      <c r="F11" s="371" t="n">
        <v>241991.0</v>
      </c>
      <c r="G11" s="9">
        <f>F11/F$102</f>
        <v>9.7154073015491962E-2</v>
      </c>
      <c r="K11" s="6" t="n">
        <v>10.66532263481937</v>
      </c>
      <c r="L11" s="6" t="n">
        <v>9.85073238228131</v>
      </c>
    </row>
    <row r="12" spans="1:12" x14ac:dyDescent="0.45">
      <c r="A12">
        <v>1</v>
      </c>
      <c r="B12" s="6" t="n">
        <v>67715.8981775075</v>
      </c>
      <c r="C12" s="9">
        <f>B12/B$102</f>
        <v>3.3708375250107087E-2</v>
      </c>
      <c r="E12" s="371">
        <v>1</v>
      </c>
      <c r="F12" s="371" t="n">
        <v>151863.0</v>
      </c>
      <c r="G12" s="9">
        <f>F12/F$102</f>
        <v>6.0911763213203657E-2</v>
      </c>
      <c r="K12" s="6"/>
      <c r="L12" s="371"/>
    </row>
    <row r="13" spans="1:12" x14ac:dyDescent="0.45">
      <c r="A13">
        <v>2</v>
      </c>
      <c r="B13" s="6" t="n">
        <v>57280.185376346504</v>
      </c>
      <c r="C13" s="9">
        <f t="shared" ref="C13:C76" si="0">B13/B$102</f>
        <v>2.8513569708552223E-2</v>
      </c>
      <c r="E13" s="371">
        <v>2</v>
      </c>
      <c r="F13" s="371" t="n">
        <v>105294.0</v>
      </c>
      <c r="G13" s="9">
        <f t="shared" ref="G13:G76" si="1">F13/F$102</f>
        <v>4.1746384791433215E-2</v>
      </c>
    </row>
    <row r="14" spans="1:12" x14ac:dyDescent="0.45">
      <c r="A14">
        <v>3</v>
      </c>
      <c r="B14" s="6" t="n">
        <v>117410.8677028836</v>
      </c>
      <c r="C14" s="9">
        <f t="shared" si="0"/>
        <v>5.8446091589819268E-2</v>
      </c>
      <c r="E14" s="371">
        <v>3</v>
      </c>
      <c r="F14" s="371" t="n">
        <v>66163.0</v>
      </c>
      <c r="G14" s="9">
        <f t="shared" si="1"/>
        <v>2.6131164946634842E-2</v>
      </c>
    </row>
    <row r="15" spans="1:12" x14ac:dyDescent="0.45">
      <c r="A15">
        <v>4</v>
      </c>
      <c r="B15" s="6" t="n">
        <v>240952.496177563</v>
      </c>
      <c r="C15" s="9">
        <f t="shared" si="0"/>
        <v>0.11994402167290648</v>
      </c>
      <c r="E15" s="371">
        <v>4</v>
      </c>
      <c r="F15" s="371" t="n">
        <v>257856.0</v>
      </c>
      <c r="G15" s="9">
        <f t="shared" si="1"/>
        <v>0.10390436886204005</v>
      </c>
    </row>
    <row r="16" spans="1:12" x14ac:dyDescent="0.45">
      <c r="A16">
        <v>5</v>
      </c>
      <c r="B16" s="6" t="n">
        <v>172629.8270721912</v>
      </c>
      <c r="C16" s="9">
        <f t="shared" si="0"/>
        <v>8.5933601221040559E-2</v>
      </c>
      <c r="E16" s="371">
        <v>5</v>
      </c>
      <c r="F16" s="371" t="n">
        <v>210768.0</v>
      </c>
      <c r="G16" s="9">
        <f t="shared" si="1"/>
        <v>8.6110075055201865E-2</v>
      </c>
    </row>
    <row r="17" spans="1:7" x14ac:dyDescent="0.45">
      <c r="A17">
        <v>6</v>
      </c>
      <c r="B17" s="6" t="n">
        <v>156886.3412773717</v>
      </c>
      <c r="C17" s="9">
        <f t="shared" si="0"/>
        <v>7.809663322387414E-2</v>
      </c>
      <c r="E17" s="371">
        <v>6</v>
      </c>
      <c r="F17" s="371" t="n">
        <v>193282.0</v>
      </c>
      <c r="G17" s="9">
        <f t="shared" si="1"/>
        <v>7.6855253904409143E-2</v>
      </c>
    </row>
    <row r="18" spans="1:7" x14ac:dyDescent="0.45">
      <c r="A18">
        <v>7</v>
      </c>
      <c r="B18" s="6" t="n">
        <v>100017.003672556</v>
      </c>
      <c r="C18" s="9">
        <f t="shared" si="0"/>
        <v>4.978757990255387E-2</v>
      </c>
      <c r="E18" s="371">
        <v>7</v>
      </c>
      <c r="F18" s="371" t="n">
        <v>130282.0</v>
      </c>
      <c r="G18" s="9">
        <f t="shared" si="1"/>
        <v>5.4022506088115145E-2</v>
      </c>
    </row>
    <row r="19" spans="1:7" x14ac:dyDescent="0.45">
      <c r="A19">
        <v>8</v>
      </c>
      <c r="B19" s="6" t="n">
        <v>129994.6232868526</v>
      </c>
      <c r="C19" s="9">
        <f t="shared" si="0"/>
        <v>6.4710173831896839E-2</v>
      </c>
      <c r="E19" s="371">
        <v>8</v>
      </c>
      <c r="F19" s="371" t="n">
        <v>141088.0</v>
      </c>
      <c r="G19" s="9">
        <f t="shared" si="1"/>
        <v>5.3842863391799112E-2</v>
      </c>
    </row>
    <row r="20" spans="1:7" x14ac:dyDescent="0.45">
      <c r="A20">
        <v>9</v>
      </c>
      <c r="B20" s="6" t="n">
        <v>81203.6639694165</v>
      </c>
      <c r="C20" s="9">
        <f t="shared" si="0"/>
        <v>4.0422465778854492E-2</v>
      </c>
      <c r="E20" s="371">
        <v>9</v>
      </c>
      <c r="F20" s="371" t="n">
        <v>88978.0</v>
      </c>
      <c r="G20" s="9">
        <f t="shared" si="1"/>
        <v>3.830820080992272E-2</v>
      </c>
    </row>
    <row r="21" spans="1:7" x14ac:dyDescent="0.45">
      <c r="A21">
        <v>10</v>
      </c>
      <c r="B21" s="6" t="n">
        <v>118534.7683018912</v>
      </c>
      <c r="C21" s="9">
        <f t="shared" si="0"/>
        <v>5.9005559368506322E-2</v>
      </c>
      <c r="E21" s="371">
        <v>10</v>
      </c>
      <c r="F21" s="371" t="n">
        <v>88100.0</v>
      </c>
      <c r="G21" s="9">
        <f t="shared" si="1"/>
        <v>3.5258705622010819E-2</v>
      </c>
    </row>
    <row r="22" spans="1:7" x14ac:dyDescent="0.45">
      <c r="A22">
        <v>11</v>
      </c>
      <c r="B22" s="6" t="n">
        <v>56143.2065719041</v>
      </c>
      <c r="C22" s="9">
        <f t="shared" si="0"/>
        <v>2.7947591714860144E-2</v>
      </c>
      <c r="E22" s="371">
        <v>11</v>
      </c>
      <c r="F22" s="371" t="n">
        <v>72850.0</v>
      </c>
      <c r="G22" s="9">
        <f t="shared" si="1"/>
        <v>2.9936690047069607E-2</v>
      </c>
    </row>
    <row r="23" spans="1:7" x14ac:dyDescent="0.45">
      <c r="A23">
        <v>12</v>
      </c>
      <c r="B23" s="6" t="n">
        <v>57264.6722999848</v>
      </c>
      <c r="C23" s="9">
        <f t="shared" si="0"/>
        <v>2.8505847436333175E-2</v>
      </c>
      <c r="E23" s="371">
        <v>12</v>
      </c>
      <c r="F23" s="371" t="n">
        <v>66332.0</v>
      </c>
      <c r="G23" s="9">
        <f t="shared" si="1"/>
        <v>2.5894326593644192E-2</v>
      </c>
    </row>
    <row r="24" spans="1:7" x14ac:dyDescent="0.45">
      <c r="A24">
        <v>13</v>
      </c>
      <c r="B24" s="6" t="n">
        <v>50232.7139092067</v>
      </c>
      <c r="C24" s="9">
        <f t="shared" si="0"/>
        <v>2.500540073830472E-2</v>
      </c>
      <c r="E24" s="371">
        <v>13</v>
      </c>
      <c r="F24" s="371" t="n">
        <v>71422.0</v>
      </c>
      <c r="G24" s="9">
        <f t="shared" si="1"/>
        <v>3.1826966221534081E-2</v>
      </c>
    </row>
    <row r="25" spans="1:7" x14ac:dyDescent="0.45">
      <c r="A25">
        <v>14</v>
      </c>
      <c r="B25" s="6" t="n">
        <v>27392.1556257964</v>
      </c>
      <c r="C25" s="9">
        <f t="shared" si="0"/>
        <v>1.3635572821071657E-2</v>
      </c>
      <c r="E25" s="371">
        <v>14</v>
      </c>
      <c r="F25" s="371" t="n">
        <v>62514.0</v>
      </c>
      <c r="G25" s="9">
        <f t="shared" si="1"/>
        <v>2.2920555232878965E-2</v>
      </c>
    </row>
    <row r="26" spans="1:7" x14ac:dyDescent="0.45">
      <c r="A26">
        <v>15</v>
      </c>
      <c r="B26" s="6" t="n">
        <v>47346.8557498082</v>
      </c>
      <c r="C26" s="9">
        <f t="shared" si="0"/>
        <v>2.3568846068371983E-2</v>
      </c>
      <c r="E26" s="371">
        <v>15</v>
      </c>
      <c r="F26" s="371" t="n">
        <v>53915.0</v>
      </c>
      <c r="G26" s="9">
        <f t="shared" si="1"/>
        <v>2.1858004934937926E-2</v>
      </c>
    </row>
    <row r="27" spans="1:7" x14ac:dyDescent="0.45">
      <c r="A27">
        <v>16</v>
      </c>
      <c r="B27" s="6" t="n">
        <v>52911.9978729206</v>
      </c>
      <c r="C27" s="9">
        <f t="shared" si="0"/>
        <v>2.6339124600516756E-2</v>
      </c>
      <c r="E27" s="371">
        <v>16</v>
      </c>
      <c r="F27" s="371" t="n">
        <v>66373.0</v>
      </c>
      <c r="G27" s="9">
        <f t="shared" si="1"/>
        <v>2.5272424523886436E-2</v>
      </c>
    </row>
    <row r="28" spans="1:7" x14ac:dyDescent="0.45">
      <c r="A28">
        <v>17</v>
      </c>
      <c r="B28" s="6" t="n">
        <v>42762.9778919839</v>
      </c>
      <c r="C28" s="9">
        <f t="shared" si="0"/>
        <v>2.1287032209429149E-2</v>
      </c>
      <c r="E28" s="371">
        <v>17</v>
      </c>
      <c r="F28" s="371" t="n">
        <v>36253.0</v>
      </c>
      <c r="G28" s="9">
        <f t="shared" si="1"/>
        <v>1.3340282739881403E-2</v>
      </c>
    </row>
    <row r="29" spans="1:7" x14ac:dyDescent="0.45">
      <c r="A29">
        <v>18</v>
      </c>
      <c r="B29" s="6" t="n">
        <v>47115.2542207462</v>
      </c>
      <c r="C29" s="9">
        <f t="shared" si="0"/>
        <v>2.3453556875431564E-2</v>
      </c>
      <c r="E29" s="371">
        <v>18</v>
      </c>
      <c r="F29" s="371" t="n">
        <v>39449.0</v>
      </c>
      <c r="G29" s="9">
        <f t="shared" si="1"/>
        <v>1.6599226811390474E-2</v>
      </c>
    </row>
    <row r="30" spans="1:7" x14ac:dyDescent="0.45">
      <c r="A30">
        <v>19</v>
      </c>
      <c r="B30" s="6" t="n">
        <v>29982.5608242369</v>
      </c>
      <c r="C30" s="9">
        <f t="shared" si="0"/>
        <v>1.4925053619952416E-2</v>
      </c>
      <c r="E30" s="371">
        <v>19</v>
      </c>
      <c r="F30" s="371" t="n">
        <v>37942.0</v>
      </c>
      <c r="G30" s="9">
        <f t="shared" si="1"/>
        <v>1.5241031358525737E-2</v>
      </c>
    </row>
    <row r="31" spans="1:7" x14ac:dyDescent="0.45">
      <c r="A31">
        <v>20</v>
      </c>
      <c r="B31" s="6" t="n">
        <v>27119.0510220588</v>
      </c>
      <c r="C31" s="9">
        <f t="shared" si="0"/>
        <v>1.3499623764600652E-2</v>
      </c>
      <c r="E31" s="371">
        <v>20</v>
      </c>
      <c r="F31" s="371" t="n">
        <v>30441.0</v>
      </c>
      <c r="G31" s="9">
        <f t="shared" si="1"/>
        <v>1.3019262047137277E-2</v>
      </c>
    </row>
    <row r="32" spans="1:7" x14ac:dyDescent="0.45">
      <c r="A32">
        <v>21</v>
      </c>
      <c r="B32" s="6" t="n">
        <v>22948.5898977147</v>
      </c>
      <c r="C32" s="9">
        <f t="shared" si="0"/>
        <v>1.1423605099428915E-2</v>
      </c>
      <c r="E32" s="371">
        <v>21</v>
      </c>
      <c r="F32" s="371" t="n">
        <v>25963.0</v>
      </c>
      <c r="G32" s="9">
        <f t="shared" si="1"/>
        <v>1.0724991199119027E-2</v>
      </c>
    </row>
    <row r="33" spans="1:7" x14ac:dyDescent="0.45">
      <c r="A33">
        <v>22</v>
      </c>
      <c r="B33" s="6" t="n">
        <v>21382.4021182265</v>
      </c>
      <c r="C33" s="9">
        <f t="shared" si="0"/>
        <v>1.0643970673777063E-2</v>
      </c>
      <c r="E33" s="371">
        <v>22</v>
      </c>
      <c r="F33" s="371" t="n">
        <v>24895.0</v>
      </c>
      <c r="G33" s="9">
        <f t="shared" si="1"/>
        <v>9.818721991246648E-3</v>
      </c>
    </row>
    <row r="34" spans="1:7" x14ac:dyDescent="0.45">
      <c r="A34">
        <v>23</v>
      </c>
      <c r="B34" s="6" t="n">
        <v>21215.7930824329</v>
      </c>
      <c r="C34" s="9">
        <f t="shared" si="0"/>
        <v>1.0561034169208117E-2</v>
      </c>
      <c r="E34" s="371">
        <v>23</v>
      </c>
      <c r="F34" s="371" t="n">
        <v>23755.0</v>
      </c>
      <c r="G34" s="9">
        <f t="shared" si="1"/>
        <v>9.1206933080276113E-3</v>
      </c>
    </row>
    <row r="35" spans="1:7" x14ac:dyDescent="0.45">
      <c r="A35">
        <v>24</v>
      </c>
      <c r="B35" s="6" t="n">
        <v>18448.5858564891</v>
      </c>
      <c r="C35" s="9">
        <f t="shared" si="0"/>
        <v>9.183542884629619E-3</v>
      </c>
      <c r="E35" s="371">
        <v>24</v>
      </c>
      <c r="F35" s="371" t="n">
        <v>24523.0</v>
      </c>
      <c r="G35" s="9">
        <f t="shared" si="1"/>
        <v>8.5604175444051779E-3</v>
      </c>
    </row>
    <row r="36" spans="1:7" x14ac:dyDescent="0.45">
      <c r="A36">
        <v>25</v>
      </c>
      <c r="B36" s="6" t="n">
        <v>13229.312407704</v>
      </c>
      <c r="C36" s="9">
        <f t="shared" si="0"/>
        <v>6.5854347197879595E-3</v>
      </c>
      <c r="E36" s="371">
        <v>25</v>
      </c>
      <c r="F36" s="371" t="n">
        <v>22184.0</v>
      </c>
      <c r="G36" s="9">
        <f t="shared" si="1"/>
        <v>8.3674828997070128E-3</v>
      </c>
    </row>
    <row r="37" spans="1:7" x14ac:dyDescent="0.45">
      <c r="A37">
        <v>26</v>
      </c>
      <c r="B37" s="6" t="n">
        <v>15417.3811001182</v>
      </c>
      <c r="C37" s="9">
        <f t="shared" si="0"/>
        <v>7.6746359641333807E-3</v>
      </c>
      <c r="E37" s="371">
        <v>26</v>
      </c>
      <c r="F37" s="371" t="n">
        <v>16500.0</v>
      </c>
      <c r="G37" s="9">
        <f t="shared" si="1"/>
        <v>8.114935880446577E-3</v>
      </c>
    </row>
    <row r="38" spans="1:7" x14ac:dyDescent="0.45">
      <c r="A38">
        <v>27</v>
      </c>
      <c r="B38" s="6" t="n">
        <v>12627.2528544304</v>
      </c>
      <c r="C38" s="9">
        <f t="shared" si="0"/>
        <v>6.2857347986341513E-3</v>
      </c>
      <c r="E38" s="371">
        <v>27</v>
      </c>
      <c r="F38" s="371" t="n">
        <v>14774.0</v>
      </c>
      <c r="G38" s="9">
        <f t="shared" si="1"/>
        <v>6.3007863194433815E-3</v>
      </c>
    </row>
    <row r="39" spans="1:7" x14ac:dyDescent="0.45">
      <c r="A39">
        <v>28</v>
      </c>
      <c r="B39" s="6" t="n">
        <v>10562.2143968937</v>
      </c>
      <c r="C39" s="9">
        <f t="shared" si="0"/>
        <v>5.2577769171617793E-3</v>
      </c>
      <c r="E39" s="371">
        <v>28</v>
      </c>
      <c r="F39" s="371" t="n">
        <v>11394.0</v>
      </c>
      <c r="G39" s="9">
        <f t="shared" si="1"/>
        <v>4.224825653943721E-3</v>
      </c>
    </row>
    <row r="40" spans="1:7" x14ac:dyDescent="0.45">
      <c r="A40">
        <v>29</v>
      </c>
      <c r="B40" s="6" t="n">
        <v>6864.4818095773</v>
      </c>
      <c r="C40" s="9">
        <f t="shared" si="0"/>
        <v>3.4170783370281637E-3</v>
      </c>
      <c r="E40" s="371">
        <v>29</v>
      </c>
      <c r="F40" s="371" t="n">
        <v>11687.0</v>
      </c>
      <c r="G40" s="9">
        <f t="shared" si="1"/>
        <v>4.7214611798577846E-3</v>
      </c>
    </row>
    <row r="41" spans="1:7" x14ac:dyDescent="0.45">
      <c r="A41">
        <v>30</v>
      </c>
      <c r="B41" s="6" t="n">
        <v>9343.9627204076</v>
      </c>
      <c r="C41" s="9">
        <f t="shared" si="0"/>
        <v>4.651342006523531E-3</v>
      </c>
      <c r="E41" s="371">
        <v>30</v>
      </c>
      <c r="F41" s="371" t="n">
        <v>10634.0</v>
      </c>
      <c r="G41" s="9">
        <f t="shared" si="1"/>
        <v>3.5143105949717768E-3</v>
      </c>
    </row>
    <row r="42" spans="1:7" x14ac:dyDescent="0.45">
      <c r="A42">
        <v>31</v>
      </c>
      <c r="B42" s="6" t="n">
        <v>8371.5091449033</v>
      </c>
      <c r="C42" s="9">
        <f t="shared" si="0"/>
        <v>4.1672632167764076E-3</v>
      </c>
      <c r="E42" s="371">
        <v>31</v>
      </c>
      <c r="F42" s="371" t="n">
        <v>8595.0</v>
      </c>
      <c r="G42" s="9">
        <f t="shared" si="1"/>
        <v>4.0121544798296695E-3</v>
      </c>
    </row>
    <row r="43" spans="1:7" x14ac:dyDescent="0.45">
      <c r="A43">
        <v>32</v>
      </c>
      <c r="B43" s="6" t="n">
        <v>3211.2918352938</v>
      </c>
      <c r="C43" s="9">
        <f t="shared" si="0"/>
        <v>1.5985526757384715E-3</v>
      </c>
      <c r="E43" s="371">
        <v>32</v>
      </c>
      <c r="F43" s="371" t="n">
        <v>7981.0</v>
      </c>
      <c r="G43" s="9">
        <f t="shared" si="1"/>
        <v>3.4261003920721986E-3</v>
      </c>
    </row>
    <row r="44" spans="1:7" x14ac:dyDescent="0.45">
      <c r="A44">
        <v>33</v>
      </c>
      <c r="B44" s="6" t="n">
        <v>5473.7832709866</v>
      </c>
      <c r="C44" s="9">
        <f t="shared" si="0"/>
        <v>2.7248009035116439E-3</v>
      </c>
      <c r="E44" s="371">
        <v>33</v>
      </c>
      <c r="F44" s="371" t="n">
        <v>6116.0</v>
      </c>
      <c r="G44" s="9">
        <f t="shared" si="1"/>
        <v>2.6728899837516001E-3</v>
      </c>
    </row>
    <row r="45" spans="1:7" x14ac:dyDescent="0.45">
      <c r="A45">
        <v>34</v>
      </c>
      <c r="B45" s="6" t="n">
        <v>13872.398854469</v>
      </c>
      <c r="C45" s="9">
        <f t="shared" si="0"/>
        <v>6.9055574656900886E-3</v>
      </c>
      <c r="E45" s="371">
        <v>34</v>
      </c>
      <c r="F45" s="371" t="n">
        <v>6443.0</v>
      </c>
      <c r="G45" s="9">
        <f t="shared" si="1"/>
        <v>2.8730747821127433E-3</v>
      </c>
    </row>
    <row r="46" spans="1:7" x14ac:dyDescent="0.45">
      <c r="A46">
        <v>35</v>
      </c>
      <c r="B46" s="6" t="n">
        <v>4350.6780808141</v>
      </c>
      <c r="C46" s="9">
        <f t="shared" si="0"/>
        <v>2.165729072308312E-3</v>
      </c>
      <c r="E46" s="371">
        <v>35</v>
      </c>
      <c r="F46" s="371" t="n">
        <v>5847.0</v>
      </c>
      <c r="G46" s="9">
        <f t="shared" si="1"/>
        <v>2.198004918826474E-3</v>
      </c>
    </row>
    <row r="47" spans="1:7" x14ac:dyDescent="0.45">
      <c r="A47">
        <v>36</v>
      </c>
      <c r="B47" s="6" t="n">
        <v>6434.237471720699</v>
      </c>
      <c r="C47" s="9">
        <f t="shared" si="0"/>
        <v>3.2029065106176646E-3</v>
      </c>
      <c r="E47" s="371">
        <v>36</v>
      </c>
      <c r="F47" s="371" t="n">
        <v>6175.0</v>
      </c>
      <c r="G47" s="9">
        <f t="shared" si="1"/>
        <v>2.5149977484245013E-3</v>
      </c>
    </row>
    <row r="48" spans="1:7" x14ac:dyDescent="0.45">
      <c r="A48">
        <v>37</v>
      </c>
      <c r="B48" s="6" t="n">
        <v>5027.2977241032</v>
      </c>
      <c r="C48" s="9">
        <f t="shared" si="0"/>
        <v>2.5025443468808407E-3</v>
      </c>
      <c r="E48" s="371">
        <v>37</v>
      </c>
      <c r="F48" s="371" t="n">
        <v>5393.0</v>
      </c>
      <c r="G48" s="9">
        <f t="shared" si="1"/>
        <v>2.2817844722653425E-3</v>
      </c>
    </row>
    <row r="49" spans="1:7" x14ac:dyDescent="0.45">
      <c r="A49">
        <v>38</v>
      </c>
      <c r="B49" s="6" t="n">
        <v>7397.7355238755</v>
      </c>
      <c r="C49" s="9">
        <f t="shared" si="0"/>
        <v>3.6825273200418412E-3</v>
      </c>
      <c r="E49" s="371">
        <v>38</v>
      </c>
      <c r="F49" s="371" t="n">
        <v>6244.0</v>
      </c>
      <c r="G49" s="9">
        <f t="shared" si="1"/>
        <v>2.3820782646032193E-3</v>
      </c>
    </row>
    <row r="50" spans="1:7" x14ac:dyDescent="0.45">
      <c r="A50">
        <v>39</v>
      </c>
      <c r="B50" s="6" t="n">
        <v>2846.620882315</v>
      </c>
      <c r="C50" s="9">
        <f t="shared" si="0"/>
        <v>1.4170227004053433E-3</v>
      </c>
      <c r="E50" s="371">
        <v>39</v>
      </c>
      <c r="F50" s="371" t="n">
        <v>4337.0</v>
      </c>
      <c r="G50" s="9">
        <f t="shared" si="1"/>
        <v>2.07998852864576E-3</v>
      </c>
    </row>
    <row r="51" spans="1:7" x14ac:dyDescent="0.45">
      <c r="A51">
        <v>40</v>
      </c>
      <c r="B51" s="6" t="n">
        <v>3637.79499726</v>
      </c>
      <c r="C51" s="9">
        <f t="shared" si="0"/>
        <v>1.8108621778767631E-3</v>
      </c>
      <c r="E51" s="371">
        <v>40</v>
      </c>
      <c r="F51" s="371" t="n">
        <v>3640.0</v>
      </c>
      <c r="G51" s="9">
        <f t="shared" si="1"/>
        <v>1.2562905152684208E-3</v>
      </c>
    </row>
    <row r="52" spans="1:7" x14ac:dyDescent="0.45">
      <c r="A52">
        <v>41</v>
      </c>
      <c r="B52" s="6" t="n">
        <v>3842.0829496953</v>
      </c>
      <c r="C52" s="9">
        <f t="shared" si="0"/>
        <v>1.9125549139269282E-3</v>
      </c>
      <c r="E52" s="371">
        <v>41</v>
      </c>
      <c r="F52" s="371" t="n">
        <v>2884.0</v>
      </c>
      <c r="G52" s="9">
        <f t="shared" si="1"/>
        <v>1.225678755358065E-3</v>
      </c>
    </row>
    <row r="53" spans="1:7" x14ac:dyDescent="0.45">
      <c r="A53">
        <v>42</v>
      </c>
      <c r="B53" s="6" t="n">
        <v>603.942380844</v>
      </c>
      <c r="C53" s="9">
        <f t="shared" si="0"/>
        <v>3.0063717606709263E-4</v>
      </c>
      <c r="E53" s="371">
        <v>42</v>
      </c>
      <c r="F53" s="371" t="n">
        <v>2717.0</v>
      </c>
      <c r="G53" s="9">
        <f t="shared" si="1"/>
        <v>1.0706060242332358E-3</v>
      </c>
    </row>
    <row r="54" spans="1:7" x14ac:dyDescent="0.45">
      <c r="A54">
        <v>43</v>
      </c>
      <c r="B54" s="6" t="n">
        <v>1776.9033869573</v>
      </c>
      <c r="C54" s="9">
        <f t="shared" si="0"/>
        <v>8.8452679153324927E-4</v>
      </c>
      <c r="E54" s="371">
        <v>43</v>
      </c>
      <c r="F54" s="371" t="n">
        <v>1622.0</v>
      </c>
      <c r="G54" s="9">
        <f t="shared" si="1"/>
        <v>8.7807416584968171E-4</v>
      </c>
    </row>
    <row r="55" spans="1:7" x14ac:dyDescent="0.45">
      <c r="A55">
        <v>44</v>
      </c>
      <c r="B55" s="6" t="n">
        <v>4726.5863044316</v>
      </c>
      <c r="C55" s="9">
        <f t="shared" si="0"/>
        <v>2.3528528615857423E-3</v>
      </c>
      <c r="E55" s="371">
        <v>44</v>
      </c>
      <c r="F55" s="371" t="n">
        <v>1893.0</v>
      </c>
      <c r="G55" s="9">
        <f t="shared" si="1"/>
        <v>8.6719893535521322E-4</v>
      </c>
    </row>
    <row r="56" spans="1:7" x14ac:dyDescent="0.45">
      <c r="A56">
        <v>45</v>
      </c>
      <c r="B56" s="6" t="n">
        <v>2273.679069858</v>
      </c>
      <c r="C56" s="9">
        <f t="shared" si="0"/>
        <v>1.1318173331199394E-3</v>
      </c>
      <c r="E56" s="371">
        <v>45</v>
      </c>
      <c r="F56" s="371" t="n">
        <v>2199.0</v>
      </c>
      <c r="G56" s="9">
        <f t="shared" si="1"/>
        <v>8.5954599537762426E-4</v>
      </c>
    </row>
    <row r="57" spans="1:7" x14ac:dyDescent="0.45">
      <c r="A57">
        <v>46</v>
      </c>
      <c r="B57" s="6" t="n">
        <v>689.0045439149001</v>
      </c>
      <c r="C57" s="9">
        <f t="shared" si="0"/>
        <v>3.4298036857505383E-4</v>
      </c>
      <c r="E57" s="371">
        <v>46</v>
      </c>
      <c r="F57" s="371" t="n">
        <v>1797.0</v>
      </c>
      <c r="G57" s="9">
        <f t="shared" si="1"/>
        <v>8.9257447317563977E-4</v>
      </c>
    </row>
    <row r="58" spans="1:7" x14ac:dyDescent="0.45">
      <c r="A58">
        <v>47</v>
      </c>
      <c r="B58" s="6" t="n">
        <v>6277.90774694</v>
      </c>
      <c r="C58" s="9">
        <f t="shared" si="0"/>
        <v>3.1250869561632554E-3</v>
      </c>
      <c r="E58" s="371">
        <v>47</v>
      </c>
      <c r="F58" s="371" t="n">
        <v>1497.0</v>
      </c>
      <c r="G58" s="9">
        <f t="shared" si="1"/>
        <v>5.8645687407208106E-4</v>
      </c>
    </row>
    <row r="59" spans="1:7" x14ac:dyDescent="0.45">
      <c r="A59">
        <v>48</v>
      </c>
      <c r="B59" s="6" t="n">
        <v>3520.127117288</v>
      </c>
      <c r="C59" s="9">
        <f t="shared" si="0"/>
        <v>1.7522881478523307E-3</v>
      </c>
      <c r="E59" s="371">
        <v>48</v>
      </c>
      <c r="F59" s="371" t="n">
        <v>1052.0</v>
      </c>
      <c r="G59" s="9">
        <f t="shared" si="1"/>
        <v>4.2050891245278335E-4</v>
      </c>
    </row>
    <row r="60" spans="1:7" x14ac:dyDescent="0.45">
      <c r="A60">
        <v>49</v>
      </c>
      <c r="B60" s="6" t="n">
        <v>492.339784141</v>
      </c>
      <c r="C60" s="9">
        <f t="shared" si="0"/>
        <v>2.4508239041410316E-4</v>
      </c>
      <c r="E60" s="371">
        <v>49</v>
      </c>
      <c r="F60" s="371" t="n">
        <v>935.0</v>
      </c>
      <c r="G60" s="9">
        <f t="shared" si="1"/>
        <v>4.1124482721675463E-4</v>
      </c>
    </row>
    <row r="61" spans="1:7" x14ac:dyDescent="0.45">
      <c r="A61">
        <v>50</v>
      </c>
      <c r="B61" s="6" t="n">
        <v>1172.30496159</v>
      </c>
      <c r="C61" s="9">
        <f t="shared" si="0"/>
        <v>5.8356304230435343E-4</v>
      </c>
      <c r="E61" s="371">
        <v>50</v>
      </c>
      <c r="F61" s="371" t="n">
        <v>789.0</v>
      </c>
      <c r="G61" s="9">
        <f t="shared" si="1"/>
        <v>4.5917639865533817E-4</v>
      </c>
    </row>
    <row r="62" spans="1:7" x14ac:dyDescent="0.45">
      <c r="A62">
        <v>51</v>
      </c>
      <c r="B62" s="6" t="n">
        <v>565.589709185</v>
      </c>
      <c r="C62" s="9">
        <f t="shared" si="0"/>
        <v>2.8154555529678524E-4</v>
      </c>
      <c r="E62" s="371">
        <v>51</v>
      </c>
      <c r="F62" s="371" t="n">
        <v>836.0</v>
      </c>
      <c r="G62" s="9">
        <f t="shared" si="1"/>
        <v>3.9513337463235681E-4</v>
      </c>
    </row>
    <row r="63" spans="1:7" x14ac:dyDescent="0.45">
      <c r="A63">
        <v>52</v>
      </c>
      <c r="B63" s="6" t="n">
        <v>2193.17997283</v>
      </c>
      <c r="C63" s="9">
        <f t="shared" si="0"/>
        <v>1.0917455945335065E-3</v>
      </c>
      <c r="E63" s="371">
        <v>52</v>
      </c>
      <c r="F63" s="371" t="n">
        <v>700.0</v>
      </c>
      <c r="G63" s="9">
        <f t="shared" si="1"/>
        <v>2.3482442141759837E-4</v>
      </c>
    </row>
    <row r="64" spans="1:7" x14ac:dyDescent="0.45">
      <c r="A64">
        <v>53</v>
      </c>
      <c r="B64" s="6" t="n">
        <v>461.67911433899997</v>
      </c>
      <c r="C64" s="9">
        <f t="shared" si="0"/>
        <v>2.2981978014204835E-4</v>
      </c>
      <c r="E64" s="371">
        <v>53</v>
      </c>
      <c r="F64" s="371" t="n">
        <v>624.0</v>
      </c>
      <c r="G64" s="9">
        <f t="shared" si="1"/>
        <v>2.4851915611433652E-4</v>
      </c>
    </row>
    <row r="65" spans="1:7" x14ac:dyDescent="0.45">
      <c r="A65">
        <v>54</v>
      </c>
      <c r="B65" s="6" t="n">
        <v>990.599863037</v>
      </c>
      <c r="C65" s="9">
        <f t="shared" si="0"/>
        <v>4.9311185119962268E-4</v>
      </c>
      <c r="E65" s="371">
        <v>54</v>
      </c>
      <c r="F65" s="371" t="n">
        <v>635.0</v>
      </c>
      <c r="G65" s="9">
        <f t="shared" si="1"/>
        <v>3.161872569688074E-4</v>
      </c>
    </row>
    <row r="66" spans="1:7" x14ac:dyDescent="0.45">
      <c r="A66">
        <v>55</v>
      </c>
      <c r="B66" s="6" t="n">
        <v>1608.764097521</v>
      </c>
      <c r="C66" s="9">
        <f t="shared" si="0"/>
        <v>8.008285402341511E-4</v>
      </c>
      <c r="E66" s="371">
        <v>55</v>
      </c>
      <c r="F66" s="371" t="n">
        <v>471.0</v>
      </c>
      <c r="G66" s="9">
        <f t="shared" si="1"/>
        <v>2.8114484759774215E-4</v>
      </c>
    </row>
    <row r="67" spans="1:7" x14ac:dyDescent="0.45">
      <c r="A67">
        <v>56</v>
      </c>
      <c r="B67" s="6" t="n">
        <v>2956.089894128</v>
      </c>
      <c r="C67" s="9">
        <f t="shared" si="0"/>
        <v>1.471515406368988E-3</v>
      </c>
      <c r="E67" s="371">
        <v>56</v>
      </c>
      <c r="F67" s="371" t="n">
        <v>334.0</v>
      </c>
      <c r="G67" s="9">
        <f t="shared" si="1"/>
        <v>1.9172628575433418E-4</v>
      </c>
    </row>
    <row r="68" spans="1:7" x14ac:dyDescent="0.45">
      <c r="A68">
        <v>57</v>
      </c>
      <c r="B68" s="6" t="n">
        <v>1267.960102457</v>
      </c>
      <c r="C68" s="9">
        <f t="shared" si="0"/>
        <v>6.3117932547753733E-4</v>
      </c>
      <c r="E68" s="371">
        <v>57</v>
      </c>
      <c r="F68" s="371" t="n">
        <v>326.0</v>
      </c>
      <c r="G68" s="9">
        <f t="shared" si="1"/>
        <v>1.0553001442780579E-4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277.0</v>
      </c>
      <c r="G69" s="9">
        <f t="shared" si="1"/>
        <v>1.5507273112482913E-4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335.0</v>
      </c>
      <c r="G70" s="9">
        <f t="shared" si="1"/>
        <v>1.0150215128170634E-4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334.0</v>
      </c>
      <c r="G71" s="9">
        <f t="shared" si="1"/>
        <v>1.2325261227064341E-4</v>
      </c>
    </row>
    <row r="72" spans="1:7" x14ac:dyDescent="0.45">
      <c r="A72">
        <v>61</v>
      </c>
      <c r="B72" s="6" t="n">
        <v>117.951606001</v>
      </c>
      <c r="C72" s="9">
        <f t="shared" si="0"/>
        <v>5.8715266332465843E-5</v>
      </c>
      <c r="E72" s="371">
        <v>61</v>
      </c>
      <c r="F72" s="371" t="n">
        <v>224.0</v>
      </c>
      <c r="G72" s="9">
        <f t="shared" si="1"/>
        <v>1.365445606527716E-4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216.0</v>
      </c>
      <c r="G73" s="9">
        <f t="shared" si="1"/>
        <v>1.0673837337163563E-4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208.0</v>
      </c>
      <c r="G74" s="9">
        <f t="shared" si="1"/>
        <v>5.9612374562271971E-5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138.0</v>
      </c>
      <c r="G75" s="9">
        <f t="shared" si="1"/>
        <v>6.3640237708371427E-5</v>
      </c>
    </row>
    <row r="76" spans="1:7" x14ac:dyDescent="0.45">
      <c r="A76">
        <v>65</v>
      </c>
      <c r="B76" s="6" t="n">
        <v>295.789176212</v>
      </c>
      <c r="C76" s="9">
        <f t="shared" si="0"/>
        <v>1.4724123603201305E-4</v>
      </c>
      <c r="E76" s="371">
        <v>65</v>
      </c>
      <c r="F76" s="371" t="n">
        <v>119.0</v>
      </c>
      <c r="G76" s="9">
        <f t="shared" si="1"/>
        <v>5.4376152472342676E-5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74.0</v>
      </c>
      <c r="G77" s="9">
        <f t="shared" ref="G77:G102" si="3">F77/F$102</f>
        <v>5.5987297730782463E-5</v>
      </c>
    </row>
    <row r="78" spans="1:7" x14ac:dyDescent="0.45">
      <c r="A78">
        <v>67</v>
      </c>
      <c r="B78" s="6" t="n">
        <v>103.594494646</v>
      </c>
      <c r="C78" s="9">
        <f t="shared" si="2"/>
        <v>5.1568423270688896E-5</v>
      </c>
      <c r="E78" s="371">
        <v>67</v>
      </c>
      <c r="F78" s="371" t="n">
        <v>82.0</v>
      </c>
      <c r="G78" s="9">
        <f t="shared" si="3"/>
        <v>3.5042409371065279E-5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89.0</v>
      </c>
      <c r="G79" s="9">
        <f t="shared" si="3"/>
        <v>5.0751075640853169E-5</v>
      </c>
    </row>
    <row r="80" spans="1:7" x14ac:dyDescent="0.45">
      <c r="A80">
        <v>69</v>
      </c>
      <c r="B80" s="6" t="n">
        <v>607.47943235</v>
      </c>
      <c r="C80" s="9">
        <f t="shared" si="2"/>
        <v>3.0239788902597072E-4</v>
      </c>
      <c r="E80" s="371">
        <v>69</v>
      </c>
      <c r="F80" s="371" t="n">
        <v>55.0</v>
      </c>
      <c r="G80" s="9">
        <f t="shared" si="3"/>
        <v>2.3764392561986801E-5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53.0</v>
      </c>
      <c r="G81" s="9">
        <f t="shared" si="3"/>
        <v>3.9473058831774684E-5</v>
      </c>
    </row>
    <row r="82" spans="1:7" x14ac:dyDescent="0.45">
      <c r="A82">
        <v>71</v>
      </c>
      <c r="B82" s="6" t="n">
        <v>213.4047725981</v>
      </c>
      <c r="C82" s="9">
        <f t="shared" si="2"/>
        <v>1.0623100850030409E-4</v>
      </c>
      <c r="E82" s="371">
        <v>71</v>
      </c>
      <c r="F82" s="371" t="n">
        <v>74.0</v>
      </c>
      <c r="G82" s="9">
        <f t="shared" si="3"/>
        <v>4.5514853550923868E-5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60.0</v>
      </c>
      <c r="G83" s="9">
        <f t="shared" si="3"/>
        <v>2.5778324135036529E-5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52.0</v>
      </c>
      <c r="G84" s="9">
        <f t="shared" si="3"/>
        <v>2.175046098893707E-5</v>
      </c>
    </row>
    <row r="85" spans="1:7" x14ac:dyDescent="0.45">
      <c r="A85">
        <v>74</v>
      </c>
      <c r="B85" s="6" t="n">
        <v>474.816708997</v>
      </c>
      <c r="C85" s="9">
        <f t="shared" si="2"/>
        <v>2.3635955857716277E-4</v>
      </c>
      <c r="E85" s="371">
        <v>74</v>
      </c>
      <c r="F85" s="371" t="n">
        <v>41.0</v>
      </c>
      <c r="G85" s="9">
        <f t="shared" si="3"/>
        <v>2.2958819932766908E-5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40.0</v>
      </c>
      <c r="G86" s="9">
        <f t="shared" si="3"/>
        <v>2.4972751505816636E-5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32.0</v>
      </c>
      <c r="G87" s="9">
        <f t="shared" si="3"/>
        <v>2.1347674674327125E-5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22.0</v>
      </c>
      <c r="G88" s="9">
        <f t="shared" si="3"/>
        <v>7.6529399775889688E-6</v>
      </c>
    </row>
    <row r="89" spans="1:7" x14ac:dyDescent="0.45">
      <c r="A89">
        <v>78</v>
      </c>
      <c r="B89" s="6" t="n">
        <v>1289.6121573</v>
      </c>
      <c r="C89" s="9">
        <f t="shared" si="2"/>
        <v>6.4195752689296466E-4</v>
      </c>
      <c r="E89" s="371">
        <v>78</v>
      </c>
      <c r="F89" s="371" t="n">
        <v>14.0</v>
      </c>
      <c r="G89" s="9">
        <f t="shared" si="3"/>
        <v>8.4585126068088603E-6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9.0</v>
      </c>
      <c r="G90" s="9">
        <f t="shared" si="3"/>
        <v>2.0139315730497289E-6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19.0</v>
      </c>
      <c r="G91" s="9">
        <f t="shared" si="3"/>
        <v>2.8195042022696204E-6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8.0</v>
      </c>
      <c r="G92" s="9">
        <f t="shared" si="3"/>
        <v>5.6390084045392408E-6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7.0</v>
      </c>
      <c r="G93" s="9">
        <f t="shared" si="3"/>
        <v>6.8473673483690781E-6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6.0</v>
      </c>
      <c r="G94" s="9">
        <f t="shared" si="3"/>
        <v>7.2501536629790239E-6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12.0</v>
      </c>
      <c r="G95" s="9">
        <f t="shared" si="3"/>
        <v>6.4445810337591323E-6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10.0</v>
      </c>
      <c r="G96" s="9">
        <f t="shared" si="3"/>
        <v>5.236222089929295E-6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7.0</v>
      </c>
      <c r="G97" s="9">
        <f t="shared" si="3"/>
        <v>2.8195042022696204E-6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6.0417947191491866E-6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5.0</v>
      </c>
      <c r="G99" s="9">
        <f t="shared" si="3"/>
        <v>4.0278631460994577E-7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1.0</v>
      </c>
      <c r="G100" s="9">
        <f t="shared" si="3"/>
        <v>4.0278631460994577E-7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24.0</v>
      </c>
      <c r="G101" s="9">
        <f t="shared" si="3"/>
        <v>5.6390084045392408E-6</v>
      </c>
    </row>
    <row r="102" spans="1:7" x14ac:dyDescent="0.45">
      <c r="B102" s="6">
        <f>SUM(B11:B101)</f>
        <v>2008874.5801324961</v>
      </c>
      <c r="C102" s="9">
        <f t="shared" si="2"/>
        <v>1</v>
      </c>
      <c r="F102" s="6">
        <f>SUM(F11:F101)</f>
        <v>2482706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22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1878.0</v>
      </c>
      <c r="G11" s="9">
        <f>F11/F$102</f>
        <v>7.8341938191634451E-4</v>
      </c>
      <c r="K11" s="6" t="n">
        <v>33.78105925129261</v>
      </c>
      <c r="L11" s="6" t="n">
        <v>27.92582465755162</v>
      </c>
    </row>
    <row r="12" spans="1:12" x14ac:dyDescent="0.45">
      <c r="A12">
        <v>1</v>
      </c>
      <c r="B12" s="6" t="n">
        <v>1259.1425662687</v>
      </c>
      <c r="C12" s="9">
        <f>B12/B$102</f>
        <v>6.2679003394311092E-4</v>
      </c>
      <c r="E12" s="371">
        <v>1</v>
      </c>
      <c r="F12" s="371" t="n">
        <v>24689.0</v>
      </c>
      <c r="G12" s="9">
        <f>F12/F$102</f>
        <v>9.7679709156057951E-3</v>
      </c>
      <c r="K12" s="6"/>
      <c r="L12" s="371"/>
    </row>
    <row r="13" spans="1:12" x14ac:dyDescent="0.45">
      <c r="A13">
        <v>2</v>
      </c>
      <c r="B13" s="6" t="n">
        <v>2197.3137057947</v>
      </c>
      <c r="C13" s="9">
        <f t="shared" ref="C13:C76" si="0">B13/B$102</f>
        <v>1.093803330245622E-3</v>
      </c>
      <c r="E13" s="371">
        <v>2</v>
      </c>
      <c r="F13" s="371" t="n">
        <v>31703.0</v>
      </c>
      <c r="G13" s="9">
        <f t="shared" ref="G13:G76" si="1">F13/F$102</f>
        <v>1.2715158379606769E-2</v>
      </c>
    </row>
    <row r="14" spans="1:12" x14ac:dyDescent="0.45">
      <c r="A14">
        <v>3</v>
      </c>
      <c r="B14" s="6" t="n">
        <v>1990.0253369893</v>
      </c>
      <c r="C14" s="9">
        <f t="shared" si="0"/>
        <v>9.9061701346136143E-4</v>
      </c>
      <c r="E14" s="371">
        <v>3</v>
      </c>
      <c r="F14" s="371" t="n">
        <v>37479.0</v>
      </c>
      <c r="G14" s="9">
        <f t="shared" si="1"/>
        <v>1.5013859877085728E-2</v>
      </c>
    </row>
    <row r="15" spans="1:12" x14ac:dyDescent="0.45">
      <c r="A15">
        <v>4</v>
      </c>
      <c r="B15" s="6" t="n">
        <v>6403.2398997394</v>
      </c>
      <c r="C15" s="9">
        <f t="shared" si="0"/>
        <v>3.1874761934202341E-3</v>
      </c>
      <c r="E15" s="371">
        <v>4</v>
      </c>
      <c r="F15" s="371" t="n">
        <v>38636.0</v>
      </c>
      <c r="G15" s="9">
        <f t="shared" si="1"/>
        <v>1.5576955144910433E-2</v>
      </c>
    </row>
    <row r="16" spans="1:12" x14ac:dyDescent="0.45">
      <c r="A16">
        <v>5</v>
      </c>
      <c r="B16" s="6" t="n">
        <v>20321.6378959424</v>
      </c>
      <c r="C16" s="9">
        <f t="shared" si="0"/>
        <v>1.0115931625060474E-2</v>
      </c>
      <c r="E16" s="371">
        <v>5</v>
      </c>
      <c r="F16" s="371" t="n">
        <v>38579.0</v>
      </c>
      <c r="G16" s="9">
        <f t="shared" si="1"/>
        <v>1.5626095075292844E-2</v>
      </c>
    </row>
    <row r="17" spans="1:7" x14ac:dyDescent="0.45">
      <c r="A17">
        <v>6</v>
      </c>
      <c r="B17" s="6" t="n">
        <v>12503.5522597822</v>
      </c>
      <c r="C17" s="9">
        <f t="shared" si="0"/>
        <v>6.224157736595742E-3</v>
      </c>
      <c r="E17" s="371">
        <v>6</v>
      </c>
      <c r="F17" s="371" t="n">
        <v>38233.0</v>
      </c>
      <c r="G17" s="9">
        <f t="shared" si="1"/>
        <v>1.5159265736659919E-2</v>
      </c>
    </row>
    <row r="18" spans="1:7" x14ac:dyDescent="0.45">
      <c r="A18">
        <v>7</v>
      </c>
      <c r="B18" s="6" t="n">
        <v>12901.6341442663</v>
      </c>
      <c r="C18" s="9">
        <f t="shared" si="0"/>
        <v>6.422319378154193E-3</v>
      </c>
      <c r="E18" s="371">
        <v>7</v>
      </c>
      <c r="F18" s="371" t="n">
        <v>37672.0</v>
      </c>
      <c r="G18" s="9">
        <f t="shared" si="1"/>
        <v>1.5129459549378783E-2</v>
      </c>
    </row>
    <row r="19" spans="1:7" x14ac:dyDescent="0.45">
      <c r="A19">
        <v>8</v>
      </c>
      <c r="B19" s="6" t="n">
        <v>8206.3313768856</v>
      </c>
      <c r="C19" s="9">
        <f t="shared" si="0"/>
        <v>4.0850391846485251E-3</v>
      </c>
      <c r="E19" s="371">
        <v>8</v>
      </c>
      <c r="F19" s="371" t="n">
        <v>36481.0</v>
      </c>
      <c r="G19" s="9">
        <f t="shared" si="1"/>
        <v>1.4594156537262164E-2</v>
      </c>
    </row>
    <row r="20" spans="1:7" x14ac:dyDescent="0.45">
      <c r="A20">
        <v>9</v>
      </c>
      <c r="B20" s="6" t="n">
        <v>33576.8505273675</v>
      </c>
      <c r="C20" s="9">
        <f t="shared" si="0"/>
        <v>1.6714259247161623E-2</v>
      </c>
      <c r="E20" s="371">
        <v>9</v>
      </c>
      <c r="F20" s="371" t="n">
        <v>36004.0</v>
      </c>
      <c r="G20" s="9">
        <f t="shared" si="1"/>
        <v>1.4392360593642581E-2</v>
      </c>
    </row>
    <row r="21" spans="1:7" x14ac:dyDescent="0.45">
      <c r="A21">
        <v>10</v>
      </c>
      <c r="B21" s="6" t="n">
        <v>6089.720630818</v>
      </c>
      <c r="C21" s="9">
        <f t="shared" si="0"/>
        <v>3.0314090740380367E-3</v>
      </c>
      <c r="E21" s="371">
        <v>10</v>
      </c>
      <c r="F21" s="371" t="n">
        <v>33328.0</v>
      </c>
      <c r="G21" s="9">
        <f t="shared" si="1"/>
        <v>1.3367672209274879E-2</v>
      </c>
    </row>
    <row r="22" spans="1:7" x14ac:dyDescent="0.45">
      <c r="A22">
        <v>11</v>
      </c>
      <c r="B22" s="6" t="n">
        <v>24998.5293292531</v>
      </c>
      <c r="C22" s="9">
        <f t="shared" si="0"/>
        <v>1.2444046819291382E-2</v>
      </c>
      <c r="E22" s="371">
        <v>11</v>
      </c>
      <c r="F22" s="371" t="n">
        <v>31174.0</v>
      </c>
      <c r="G22" s="9">
        <f t="shared" si="1"/>
        <v>1.2510542931784916E-2</v>
      </c>
    </row>
    <row r="23" spans="1:7" x14ac:dyDescent="0.45">
      <c r="A23">
        <v>12</v>
      </c>
      <c r="B23" s="6" t="n">
        <v>17852.4044474451</v>
      </c>
      <c r="C23" s="9">
        <f t="shared" si="0"/>
        <v>8.8867690516884514E-3</v>
      </c>
      <c r="E23" s="371">
        <v>12</v>
      </c>
      <c r="F23" s="371" t="n">
        <v>30082.0</v>
      </c>
      <c r="G23" s="9">
        <f t="shared" si="1"/>
        <v>1.180284737701524E-2</v>
      </c>
    </row>
    <row r="24" spans="1:7" x14ac:dyDescent="0.45">
      <c r="A24">
        <v>13</v>
      </c>
      <c r="B24" s="6" t="n">
        <v>17043.167731912</v>
      </c>
      <c r="C24" s="9">
        <f t="shared" si="0"/>
        <v>8.4839381713854474E-3</v>
      </c>
      <c r="E24" s="371">
        <v>13</v>
      </c>
      <c r="F24" s="371" t="n">
        <v>28429.0</v>
      </c>
      <c r="G24" s="9">
        <f t="shared" si="1"/>
        <v>1.1187389888291243E-2</v>
      </c>
    </row>
    <row r="25" spans="1:7" x14ac:dyDescent="0.45">
      <c r="A25">
        <v>14</v>
      </c>
      <c r="B25" s="6" t="n">
        <v>21807.9687368719</v>
      </c>
      <c r="C25" s="9">
        <f t="shared" si="0"/>
        <v>1.0855813972932817E-2</v>
      </c>
      <c r="E25" s="371">
        <v>14</v>
      </c>
      <c r="F25" s="371" t="n">
        <v>26904.0</v>
      </c>
      <c r="G25" s="9">
        <f t="shared" si="1"/>
        <v>1.0786214718939738E-2</v>
      </c>
    </row>
    <row r="26" spans="1:7" x14ac:dyDescent="0.45">
      <c r="A26">
        <v>15</v>
      </c>
      <c r="B26" s="6" t="n">
        <v>12808.1049253729</v>
      </c>
      <c r="C26" s="9">
        <f t="shared" si="0"/>
        <v>6.375761360138339E-3</v>
      </c>
      <c r="E26" s="371">
        <v>15</v>
      </c>
      <c r="F26" s="371" t="n">
        <v>24839.0</v>
      </c>
      <c r="G26" s="9">
        <f t="shared" si="1"/>
        <v>9.9484191845510498E-3</v>
      </c>
    </row>
    <row r="27" spans="1:7" x14ac:dyDescent="0.45">
      <c r="A27">
        <v>16</v>
      </c>
      <c r="B27" s="6" t="n">
        <v>33281.1497141247</v>
      </c>
      <c r="C27" s="9">
        <f t="shared" si="0"/>
        <v>1.656706199743422E-2</v>
      </c>
      <c r="E27" s="371">
        <v>16</v>
      </c>
      <c r="F27" s="371" t="n">
        <v>22932.0</v>
      </c>
      <c r="G27" s="9">
        <f t="shared" si="1"/>
        <v>9.0320803188134232E-3</v>
      </c>
    </row>
    <row r="28" spans="1:7" x14ac:dyDescent="0.45">
      <c r="A28">
        <v>17</v>
      </c>
      <c r="B28" s="6" t="n">
        <v>18419.6608843452</v>
      </c>
      <c r="C28" s="9">
        <f t="shared" si="0"/>
        <v>9.1691442893016856E-3</v>
      </c>
      <c r="E28" s="371">
        <v>17</v>
      </c>
      <c r="F28" s="371" t="n">
        <v>22193.0</v>
      </c>
      <c r="G28" s="9">
        <f t="shared" si="1"/>
        <v>8.7928252479351158E-3</v>
      </c>
    </row>
    <row r="29" spans="1:7" x14ac:dyDescent="0.45">
      <c r="A29">
        <v>18</v>
      </c>
      <c r="B29" s="6" t="n">
        <v>98957.63929406789</v>
      </c>
      <c r="C29" s="9">
        <f t="shared" si="0"/>
        <v>4.9260237683699047E-2</v>
      </c>
      <c r="E29" s="371">
        <v>18</v>
      </c>
      <c r="F29" s="371" t="n">
        <v>162201.0</v>
      </c>
      <c r="G29" s="9">
        <f t="shared" si="1"/>
        <v>6.6419866065494659E-2</v>
      </c>
    </row>
    <row r="30" spans="1:7" x14ac:dyDescent="0.45">
      <c r="A30">
        <v>19</v>
      </c>
      <c r="B30" s="6" t="n">
        <v>60372.7358251227</v>
      </c>
      <c r="C30" s="9">
        <f t="shared" si="0"/>
        <v>3.005301397220168E-2</v>
      </c>
      <c r="E30" s="371">
        <v>19</v>
      </c>
      <c r="F30" s="371" t="n">
        <v>81390.0</v>
      </c>
      <c r="G30" s="9">
        <f t="shared" si="1"/>
        <v>3.1674712994611526E-2</v>
      </c>
    </row>
    <row r="31" spans="1:7" x14ac:dyDescent="0.45">
      <c r="A31">
        <v>20</v>
      </c>
      <c r="B31" s="6" t="n">
        <v>71410.1613552988</v>
      </c>
      <c r="C31" s="9">
        <f t="shared" si="0"/>
        <v>3.5547346788861706E-2</v>
      </c>
      <c r="E31" s="371">
        <v>20</v>
      </c>
      <c r="F31" s="371" t="n">
        <v>86990.0</v>
      </c>
      <c r="G31" s="9">
        <f t="shared" si="1"/>
        <v>3.5425861942573952E-2</v>
      </c>
    </row>
    <row r="32" spans="1:7" x14ac:dyDescent="0.45">
      <c r="A32">
        <v>21</v>
      </c>
      <c r="B32" s="6" t="n">
        <v>100676.1655302641</v>
      </c>
      <c r="C32" s="9">
        <f t="shared" si="0"/>
        <v>5.0115704845856507E-2</v>
      </c>
      <c r="E32" s="371">
        <v>21</v>
      </c>
      <c r="F32" s="371" t="n">
        <v>99239.0</v>
      </c>
      <c r="G32" s="9">
        <f t="shared" si="1"/>
        <v>3.9698619167956258E-2</v>
      </c>
    </row>
    <row r="33" spans="1:7" x14ac:dyDescent="0.45">
      <c r="A33">
        <v>22</v>
      </c>
      <c r="B33" s="6" t="n">
        <v>68493.8092580265</v>
      </c>
      <c r="C33" s="9">
        <f t="shared" si="0"/>
        <v>3.4095612506336234E-2</v>
      </c>
      <c r="E33" s="371">
        <v>22</v>
      </c>
      <c r="F33" s="371" t="n">
        <v>106711.0</v>
      </c>
      <c r="G33" s="9">
        <f t="shared" si="1"/>
        <v>4.242064908209027E-2</v>
      </c>
    </row>
    <row r="34" spans="1:7" x14ac:dyDescent="0.45">
      <c r="A34">
        <v>23</v>
      </c>
      <c r="B34" s="6" t="n">
        <v>59416.4901736398</v>
      </c>
      <c r="C34" s="9">
        <f t="shared" si="0"/>
        <v>2.957700334369354E-2</v>
      </c>
      <c r="E34" s="371">
        <v>23</v>
      </c>
      <c r="F34" s="371" t="n">
        <v>96233.0</v>
      </c>
      <c r="G34" s="9">
        <f t="shared" si="1"/>
        <v>3.8991729185815796E-2</v>
      </c>
    </row>
    <row r="35" spans="1:7" x14ac:dyDescent="0.45">
      <c r="A35">
        <v>24</v>
      </c>
      <c r="B35" s="6" t="n">
        <v>79671.64695347579</v>
      </c>
      <c r="C35" s="9">
        <f t="shared" si="0"/>
        <v>3.9659841257098795E-2</v>
      </c>
      <c r="E35" s="371">
        <v>24</v>
      </c>
      <c r="F35" s="371" t="n">
        <v>66259.0</v>
      </c>
      <c r="G35" s="9">
        <f t="shared" si="1"/>
        <v>2.7405178059746099E-2</v>
      </c>
    </row>
    <row r="36" spans="1:7" x14ac:dyDescent="0.45">
      <c r="A36">
        <v>25</v>
      </c>
      <c r="B36" s="6" t="n">
        <v>47546.692514214</v>
      </c>
      <c r="C36" s="9">
        <f t="shared" si="0"/>
        <v>2.366832304238627E-2</v>
      </c>
      <c r="E36" s="371">
        <v>25</v>
      </c>
      <c r="F36" s="371" t="n">
        <v>77149.0</v>
      </c>
      <c r="G36" s="9">
        <f t="shared" si="1"/>
        <v>3.1285621414698317E-2</v>
      </c>
    </row>
    <row r="37" spans="1:7" x14ac:dyDescent="0.45">
      <c r="A37">
        <v>26</v>
      </c>
      <c r="B37" s="6" t="n">
        <v>80046.3644186932</v>
      </c>
      <c r="C37" s="9">
        <f t="shared" si="0"/>
        <v>3.9846372297375435E-2</v>
      </c>
      <c r="E37" s="371">
        <v>26</v>
      </c>
      <c r="F37" s="371" t="n">
        <v>75212.0</v>
      </c>
      <c r="G37" s="9">
        <f t="shared" si="1"/>
        <v>2.7731837760894766E-2</v>
      </c>
    </row>
    <row r="38" spans="1:7" x14ac:dyDescent="0.45">
      <c r="A38">
        <v>27</v>
      </c>
      <c r="B38" s="6" t="n">
        <v>50731.1269962866</v>
      </c>
      <c r="C38" s="9">
        <f t="shared" si="0"/>
        <v>2.5253506365211013E-2</v>
      </c>
      <c r="E38" s="371">
        <v>27</v>
      </c>
      <c r="F38" s="371" t="n">
        <v>59834.0</v>
      </c>
      <c r="G38" s="9">
        <f t="shared" si="1"/>
        <v>2.5008599487816922E-2</v>
      </c>
    </row>
    <row r="39" spans="1:7" x14ac:dyDescent="0.45">
      <c r="A39">
        <v>28</v>
      </c>
      <c r="B39" s="6" t="n">
        <v>59362.2340725563</v>
      </c>
      <c r="C39" s="9">
        <f t="shared" si="0"/>
        <v>2.9549995136401712E-2</v>
      </c>
      <c r="E39" s="371">
        <v>28</v>
      </c>
      <c r="F39" s="371" t="n">
        <v>62731.0</v>
      </c>
      <c r="G39" s="9">
        <f t="shared" si="1"/>
        <v>2.7876035261525125E-2</v>
      </c>
    </row>
    <row r="40" spans="1:7" x14ac:dyDescent="0.45">
      <c r="A40">
        <v>29</v>
      </c>
      <c r="B40" s="6" t="n">
        <v>48043.1952859474</v>
      </c>
      <c r="C40" s="9">
        <f t="shared" si="0"/>
        <v>2.3915477731207432E-2</v>
      </c>
      <c r="E40" s="371">
        <v>29</v>
      </c>
      <c r="F40" s="371" t="n">
        <v>66818.0</v>
      </c>
      <c r="G40" s="9">
        <f t="shared" si="1"/>
        <v>2.3547693524726649E-2</v>
      </c>
    </row>
    <row r="41" spans="1:7" x14ac:dyDescent="0.45">
      <c r="A41">
        <v>30</v>
      </c>
      <c r="B41" s="6" t="n">
        <v>55400.2689984648</v>
      </c>
      <c r="C41" s="9">
        <f t="shared" si="0"/>
        <v>2.7577763961158217E-2</v>
      </c>
      <c r="E41" s="371">
        <v>30</v>
      </c>
      <c r="F41" s="371" t="n">
        <v>52450.0</v>
      </c>
      <c r="G41" s="9">
        <f t="shared" si="1"/>
        <v>2.2766690860697963E-2</v>
      </c>
    </row>
    <row r="42" spans="1:7" x14ac:dyDescent="0.45">
      <c r="A42">
        <v>31</v>
      </c>
      <c r="B42" s="6" t="n">
        <v>37164.6674521253</v>
      </c>
      <c r="C42" s="9">
        <f t="shared" si="0"/>
        <v>1.8500242782540505E-2</v>
      </c>
      <c r="E42" s="371">
        <v>31</v>
      </c>
      <c r="F42" s="371" t="n">
        <v>56073.0</v>
      </c>
      <c r="G42" s="9">
        <f t="shared" si="1"/>
        <v>1.9696250784426349E-2</v>
      </c>
    </row>
    <row r="43" spans="1:7" x14ac:dyDescent="0.45">
      <c r="A43">
        <v>32</v>
      </c>
      <c r="B43" s="6" t="n">
        <v>39202.2343032187</v>
      </c>
      <c r="C43" s="9">
        <f t="shared" si="0"/>
        <v>1.9514525541277493E-2</v>
      </c>
      <c r="E43" s="371">
        <v>32</v>
      </c>
      <c r="F43" s="371" t="n">
        <v>50561.0</v>
      </c>
      <c r="G43" s="9">
        <f t="shared" si="1"/>
        <v>2.041764107389276E-2</v>
      </c>
    </row>
    <row r="44" spans="1:7" x14ac:dyDescent="0.45">
      <c r="A44">
        <v>33</v>
      </c>
      <c r="B44" s="6" t="n">
        <v>43490.1072845904</v>
      </c>
      <c r="C44" s="9">
        <f t="shared" si="0"/>
        <v>2.1648990790516145E-2</v>
      </c>
      <c r="E44" s="371">
        <v>33</v>
      </c>
      <c r="F44" s="371" t="n">
        <v>63658.0</v>
      </c>
      <c r="G44" s="9">
        <f t="shared" si="1"/>
        <v>2.4783844724264571E-2</v>
      </c>
    </row>
    <row r="45" spans="1:7" x14ac:dyDescent="0.45">
      <c r="A45">
        <v>34</v>
      </c>
      <c r="B45" s="6" t="n">
        <v>62344.3597542626</v>
      </c>
      <c r="C45" s="9">
        <f t="shared" si="0"/>
        <v>3.1034470927573114E-2</v>
      </c>
      <c r="E45" s="371">
        <v>34</v>
      </c>
      <c r="F45" s="371" t="n">
        <v>50579.0</v>
      </c>
      <c r="G45" s="9">
        <f t="shared" si="1"/>
        <v>2.0741078484524549E-2</v>
      </c>
    </row>
    <row r="46" spans="1:7" x14ac:dyDescent="0.45">
      <c r="A46">
        <v>35</v>
      </c>
      <c r="B46" s="6" t="n">
        <v>39309.9828601319</v>
      </c>
      <c r="C46" s="9">
        <f t="shared" si="0"/>
        <v>1.9568161820007295E-2</v>
      </c>
      <c r="E46" s="371">
        <v>35</v>
      </c>
      <c r="F46" s="371" t="n">
        <v>39446.0</v>
      </c>
      <c r="G46" s="9">
        <f t="shared" si="1"/>
        <v>1.7141377190855463E-2</v>
      </c>
    </row>
    <row r="47" spans="1:7" x14ac:dyDescent="0.45">
      <c r="A47">
        <v>36</v>
      </c>
      <c r="B47" s="6" t="n">
        <v>23746.4894422146</v>
      </c>
      <c r="C47" s="9">
        <f t="shared" si="0"/>
        <v>1.1820792436254725E-2</v>
      </c>
      <c r="E47" s="371">
        <v>36</v>
      </c>
      <c r="F47" s="371" t="n">
        <v>32454.0</v>
      </c>
      <c r="G47" s="9">
        <f t="shared" si="1"/>
        <v>1.3933184194987245E-2</v>
      </c>
    </row>
    <row r="48" spans="1:7" x14ac:dyDescent="0.45">
      <c r="A48">
        <v>37</v>
      </c>
      <c r="B48" s="6" t="n">
        <v>35755.3682456281</v>
      </c>
      <c r="C48" s="9">
        <f t="shared" si="0"/>
        <v>1.7798706101039837E-2</v>
      </c>
      <c r="E48" s="371">
        <v>37</v>
      </c>
      <c r="F48" s="371" t="n">
        <v>34387.0</v>
      </c>
      <c r="G48" s="9">
        <f t="shared" si="1"/>
        <v>1.5584205298573411E-2</v>
      </c>
    </row>
    <row r="49" spans="1:7" x14ac:dyDescent="0.45">
      <c r="A49">
        <v>38</v>
      </c>
      <c r="B49" s="6" t="n">
        <v>46201.4493239821</v>
      </c>
      <c r="C49" s="9">
        <f t="shared" si="0"/>
        <v>2.2998672879286901E-2</v>
      </c>
      <c r="E49" s="371">
        <v>38</v>
      </c>
      <c r="F49" s="371" t="n">
        <v>38380.0</v>
      </c>
      <c r="G49" s="9">
        <f t="shared" si="1"/>
        <v>1.2804576941450176E-2</v>
      </c>
    </row>
    <row r="50" spans="1:7" x14ac:dyDescent="0.45">
      <c r="A50">
        <v>39</v>
      </c>
      <c r="B50" s="6" t="n">
        <v>25116.2134403586</v>
      </c>
      <c r="C50" s="9">
        <f t="shared" si="0"/>
        <v>1.2502628929030526E-2</v>
      </c>
      <c r="E50" s="371">
        <v>39</v>
      </c>
      <c r="F50" s="371" t="n">
        <v>33196.0</v>
      </c>
      <c r="G50" s="9">
        <f t="shared" si="1"/>
        <v>1.3387811525005377E-2</v>
      </c>
    </row>
    <row r="51" spans="1:7" x14ac:dyDescent="0.45">
      <c r="A51">
        <v>40</v>
      </c>
      <c r="B51" s="6" t="n">
        <v>19370.0220264547</v>
      </c>
      <c r="C51" s="9">
        <f t="shared" si="0"/>
        <v>9.6422256610848942E-3</v>
      </c>
      <c r="E51" s="371">
        <v>40</v>
      </c>
      <c r="F51" s="371" t="n">
        <v>25285.0</v>
      </c>
      <c r="G51" s="9">
        <f t="shared" si="1"/>
        <v>1.017116001653035E-2</v>
      </c>
    </row>
    <row r="52" spans="1:7" x14ac:dyDescent="0.45">
      <c r="A52">
        <v>41</v>
      </c>
      <c r="B52" s="6" t="n">
        <v>25273.8603843778</v>
      </c>
      <c r="C52" s="9">
        <f t="shared" si="0"/>
        <v>1.25811041835727E-2</v>
      </c>
      <c r="E52" s="371">
        <v>41</v>
      </c>
      <c r="F52" s="371" t="n">
        <v>33061.0</v>
      </c>
      <c r="G52" s="9">
        <f t="shared" si="1"/>
        <v>1.2445291548818104E-2</v>
      </c>
    </row>
    <row r="53" spans="1:7" x14ac:dyDescent="0.45">
      <c r="A53">
        <v>42</v>
      </c>
      <c r="B53" s="6" t="n">
        <v>13540.8925070863</v>
      </c>
      <c r="C53" s="9">
        <f t="shared" si="0"/>
        <v>6.7405365377231291E-3</v>
      </c>
      <c r="E53" s="371">
        <v>42</v>
      </c>
      <c r="F53" s="371" t="n">
        <v>26548.0</v>
      </c>
      <c r="G53" s="9">
        <f t="shared" si="1"/>
        <v>9.4280192660749999E-3</v>
      </c>
    </row>
    <row r="54" spans="1:7" x14ac:dyDescent="0.45">
      <c r="A54">
        <v>43</v>
      </c>
      <c r="B54" s="6" t="n">
        <v>21607.3416810607</v>
      </c>
      <c r="C54" s="9">
        <f t="shared" si="0"/>
        <v>1.0755943598846065E-2</v>
      </c>
      <c r="E54" s="371">
        <v>43</v>
      </c>
      <c r="F54" s="371" t="n">
        <v>23784.0</v>
      </c>
      <c r="G54" s="9">
        <f t="shared" si="1"/>
        <v>1.136703258460728E-2</v>
      </c>
    </row>
    <row r="55" spans="1:7" x14ac:dyDescent="0.45">
      <c r="A55">
        <v>44</v>
      </c>
      <c r="B55" s="6" t="n">
        <v>14819.9608565683</v>
      </c>
      <c r="C55" s="9">
        <f t="shared" si="0"/>
        <v>7.3772454503311206E-3</v>
      </c>
      <c r="E55" s="371">
        <v>44</v>
      </c>
      <c r="F55" s="371" t="n">
        <v>24832.0</v>
      </c>
      <c r="G55" s="9">
        <f t="shared" si="1"/>
        <v>1.0226744527946523E-2</v>
      </c>
    </row>
    <row r="56" spans="1:7" x14ac:dyDescent="0.45">
      <c r="A56">
        <v>45</v>
      </c>
      <c r="B56" s="6" t="n">
        <v>77449.1485870475</v>
      </c>
      <c r="C56" s="9">
        <f t="shared" si="0"/>
        <v>3.8553501225516679E-2</v>
      </c>
      <c r="E56" s="371">
        <v>45</v>
      </c>
      <c r="F56" s="371" t="n">
        <v>18399.0</v>
      </c>
      <c r="G56" s="9">
        <f t="shared" si="1"/>
        <v>9.5182434005476289E-3</v>
      </c>
    </row>
    <row r="57" spans="1:7" x14ac:dyDescent="0.45">
      <c r="A57">
        <v>46</v>
      </c>
      <c r="B57" s="6" t="n">
        <v>21808.3366071082</v>
      </c>
      <c r="C57" s="9">
        <f t="shared" si="0"/>
        <v>1.0855997095483093E-2</v>
      </c>
      <c r="E57" s="371">
        <v>46</v>
      </c>
      <c r="F57" s="371" t="n">
        <v>16986.0</v>
      </c>
      <c r="G57" s="9">
        <f t="shared" si="1"/>
        <v>7.5917164577682574E-3</v>
      </c>
    </row>
    <row r="58" spans="1:7" x14ac:dyDescent="0.45">
      <c r="A58">
        <v>47</v>
      </c>
      <c r="B58" s="6" t="n">
        <v>15013.859616665</v>
      </c>
      <c r="C58" s="9">
        <f t="shared" si="0"/>
        <v>7.4737665383145793E-3</v>
      </c>
      <c r="E58" s="371">
        <v>47</v>
      </c>
      <c r="F58" s="371" t="n">
        <v>15941.0</v>
      </c>
      <c r="G58" s="9">
        <f t="shared" si="1"/>
        <v>7.6340090208023023E-3</v>
      </c>
    </row>
    <row r="59" spans="1:7" x14ac:dyDescent="0.45">
      <c r="A59">
        <v>48</v>
      </c>
      <c r="B59" s="6" t="n">
        <v>14345.7220670808</v>
      </c>
      <c r="C59" s="9">
        <f t="shared" si="0"/>
        <v>7.1411735749748106E-3</v>
      </c>
      <c r="E59" s="371">
        <v>48</v>
      </c>
      <c r="F59" s="371" t="n">
        <v>20383.0</v>
      </c>
      <c r="G59" s="9">
        <f t="shared" si="1"/>
        <v>6.4155804191072157E-3</v>
      </c>
    </row>
    <row r="60" spans="1:7" x14ac:dyDescent="0.45">
      <c r="A60">
        <v>49</v>
      </c>
      <c r="B60" s="6" t="n">
        <v>10136.9124172854</v>
      </c>
      <c r="C60" s="9">
        <f t="shared" si="0"/>
        <v>5.0460653529782904E-3</v>
      </c>
      <c r="E60" s="371">
        <v>49</v>
      </c>
      <c r="F60" s="371" t="n">
        <v>18588.0</v>
      </c>
      <c r="G60" s="9">
        <f t="shared" si="1"/>
        <v>6.4256500769724646E-3</v>
      </c>
    </row>
    <row r="61" spans="1:7" x14ac:dyDescent="0.45">
      <c r="A61">
        <v>50</v>
      </c>
      <c r="B61" s="6" t="n">
        <v>12757.1077275297</v>
      </c>
      <c r="C61" s="9">
        <f t="shared" si="0"/>
        <v>6.3503754060585992E-3</v>
      </c>
      <c r="E61" s="371">
        <v>50</v>
      </c>
      <c r="F61" s="371" t="n">
        <v>12395.0</v>
      </c>
      <c r="G61" s="9">
        <f t="shared" si="1"/>
        <v>5.9451260036427998E-3</v>
      </c>
    </row>
    <row r="62" spans="1:7" x14ac:dyDescent="0.45">
      <c r="A62">
        <v>51</v>
      </c>
      <c r="B62" s="6" t="n">
        <v>9346.9839184472</v>
      </c>
      <c r="C62" s="9">
        <f t="shared" si="0"/>
        <v>4.6528459321889155E-3</v>
      </c>
      <c r="E62" s="371">
        <v>51</v>
      </c>
      <c r="F62" s="371" t="n">
        <v>13571.0</v>
      </c>
      <c r="G62" s="9">
        <f t="shared" si="1"/>
        <v>5.0694685556807772E-3</v>
      </c>
    </row>
    <row r="63" spans="1:7" x14ac:dyDescent="0.45">
      <c r="A63">
        <v>52</v>
      </c>
      <c r="B63" s="6" t="n">
        <v>13820.9257186445</v>
      </c>
      <c r="C63" s="9">
        <f t="shared" si="0"/>
        <v>6.8799345938923345E-3</v>
      </c>
      <c r="E63" s="371">
        <v>52</v>
      </c>
      <c r="F63" s="371" t="n">
        <v>15787.0</v>
      </c>
      <c r="G63" s="9">
        <f t="shared" si="1"/>
        <v>5.6156467982918642E-3</v>
      </c>
    </row>
    <row r="64" spans="1:7" x14ac:dyDescent="0.45">
      <c r="A64">
        <v>53</v>
      </c>
      <c r="B64" s="6" t="n">
        <v>9176.1491229479</v>
      </c>
      <c r="C64" s="9">
        <f t="shared" si="0"/>
        <v>4.5678058818100446E-3</v>
      </c>
      <c r="E64" s="371">
        <v>53</v>
      </c>
      <c r="F64" s="371" t="n">
        <v>11204.0</v>
      </c>
      <c r="G64" s="9">
        <f t="shared" si="1"/>
        <v>4.3504949841020246E-3</v>
      </c>
    </row>
    <row r="65" spans="1:7" x14ac:dyDescent="0.45">
      <c r="A65">
        <v>54</v>
      </c>
      <c r="B65" s="6" t="n">
        <v>9068.2321154814</v>
      </c>
      <c r="C65" s="9">
        <f t="shared" si="0"/>
        <v>4.5140857498845452E-3</v>
      </c>
      <c r="E65" s="371">
        <v>54</v>
      </c>
      <c r="F65" s="371" t="n">
        <v>12579.0</v>
      </c>
      <c r="G65" s="9">
        <f t="shared" si="1"/>
        <v>4.5547076456092664E-3</v>
      </c>
    </row>
    <row r="66" spans="1:7" x14ac:dyDescent="0.45">
      <c r="A66">
        <v>55</v>
      </c>
      <c r="B66" s="6" t="n">
        <v>12192.483954716101</v>
      </c>
      <c r="C66" s="9">
        <f t="shared" si="0"/>
        <v>6.0693106853449957E-3</v>
      </c>
      <c r="E66" s="371">
        <v>55</v>
      </c>
      <c r="F66" s="371" t="n">
        <v>8448.0</v>
      </c>
      <c r="G66" s="9">
        <f t="shared" si="1"/>
        <v>7.2908350807546285E-3</v>
      </c>
    </row>
    <row r="67" spans="1:7" x14ac:dyDescent="0.45">
      <c r="A67">
        <v>56</v>
      </c>
      <c r="B67" s="6" t="n">
        <v>7107.8192758416</v>
      </c>
      <c r="C67" s="9">
        <f t="shared" si="0"/>
        <v>3.5382095757181616E-3</v>
      </c>
      <c r="E67" s="371">
        <v>56</v>
      </c>
      <c r="F67" s="371" t="n">
        <v>17320.0</v>
      </c>
      <c r="G67" s="9">
        <f t="shared" si="1"/>
        <v>3.4563093656679446E-3</v>
      </c>
    </row>
    <row r="68" spans="1:7" x14ac:dyDescent="0.45">
      <c r="A68">
        <v>57</v>
      </c>
      <c r="B68" s="6" t="n">
        <v>3587.1655935761</v>
      </c>
      <c r="C68" s="9">
        <f t="shared" si="0"/>
        <v>1.7856593084768421E-3</v>
      </c>
      <c r="E68" s="371">
        <v>57</v>
      </c>
      <c r="F68" s="371" t="n">
        <v>7274.0</v>
      </c>
      <c r="G68" s="9">
        <f t="shared" si="1"/>
        <v>3.4228781015553191E-3</v>
      </c>
    </row>
    <row r="69" spans="1:7" x14ac:dyDescent="0.45">
      <c r="A69">
        <v>58</v>
      </c>
      <c r="B69" s="6" t="n">
        <v>4551.5895220315</v>
      </c>
      <c r="C69" s="9">
        <f t="shared" si="0"/>
        <v>2.2657410109352357E-3</v>
      </c>
      <c r="E69" s="371">
        <v>58</v>
      </c>
      <c r="F69" s="371" t="n">
        <v>7930.0</v>
      </c>
      <c r="G69" s="9">
        <f t="shared" si="1"/>
        <v>3.5106855181402871E-3</v>
      </c>
    </row>
    <row r="70" spans="1:7" x14ac:dyDescent="0.45">
      <c r="A70">
        <v>59</v>
      </c>
      <c r="B70" s="6" t="n">
        <v>6509.3460962969</v>
      </c>
      <c r="C70" s="9">
        <f t="shared" si="0"/>
        <v>3.2402949196895969E-3</v>
      </c>
      <c r="E70" s="371">
        <v>59</v>
      </c>
      <c r="F70" s="371" t="n">
        <v>8300.0</v>
      </c>
      <c r="G70" s="9">
        <f t="shared" si="1"/>
        <v>3.9670424125933558E-3</v>
      </c>
    </row>
    <row r="71" spans="1:7" x14ac:dyDescent="0.45">
      <c r="A71">
        <v>60</v>
      </c>
      <c r="B71" s="6" t="n">
        <v>4990.3743374465</v>
      </c>
      <c r="C71" s="9">
        <f t="shared" si="0"/>
        <v>2.4841642115444348E-3</v>
      </c>
      <c r="E71" s="371">
        <v>60</v>
      </c>
      <c r="F71" s="371" t="n">
        <v>6748.0</v>
      </c>
      <c r="G71" s="9">
        <f t="shared" si="1"/>
        <v>3.2504855589022622E-3</v>
      </c>
    </row>
    <row r="72" spans="1:7" x14ac:dyDescent="0.45">
      <c r="A72">
        <v>61</v>
      </c>
      <c r="B72" s="6" t="n">
        <v>11655.4694613099</v>
      </c>
      <c r="C72" s="9">
        <f t="shared" si="0"/>
        <v>5.8019896197507546E-3</v>
      </c>
      <c r="E72" s="371">
        <v>61</v>
      </c>
      <c r="F72" s="371" t="n">
        <v>7108.0</v>
      </c>
      <c r="G72" s="9">
        <f t="shared" si="1"/>
        <v>2.5778324135036527E-3</v>
      </c>
    </row>
    <row r="73" spans="1:7" x14ac:dyDescent="0.45">
      <c r="A73">
        <v>62</v>
      </c>
      <c r="B73" s="6" t="n">
        <v>4513.4860897260005</v>
      </c>
      <c r="C73" s="9">
        <f t="shared" si="0"/>
        <v>2.2467734593108902E-3</v>
      </c>
      <c r="E73" s="371">
        <v>62</v>
      </c>
      <c r="F73" s="371" t="n">
        <v>6247.0</v>
      </c>
      <c r="G73" s="9">
        <f t="shared" si="1"/>
        <v>2.6237500533691869E-3</v>
      </c>
    </row>
    <row r="74" spans="1:7" x14ac:dyDescent="0.45">
      <c r="A74">
        <v>63</v>
      </c>
      <c r="B74" s="6" t="n">
        <v>3688.8441649693</v>
      </c>
      <c r="C74" s="9">
        <f t="shared" si="0"/>
        <v>1.8362740020962387E-3</v>
      </c>
      <c r="E74" s="371">
        <v>63</v>
      </c>
      <c r="F74" s="371" t="n">
        <v>7268.0</v>
      </c>
      <c r="G74" s="9">
        <f t="shared" si="1"/>
        <v>2.6160971133915977E-3</v>
      </c>
    </row>
    <row r="75" spans="1:7" x14ac:dyDescent="0.45">
      <c r="A75">
        <v>64</v>
      </c>
      <c r="B75" s="6" t="n">
        <v>2942.699904596</v>
      </c>
      <c r="C75" s="9">
        <f t="shared" si="0"/>
        <v>1.4648499879977141E-3</v>
      </c>
      <c r="E75" s="371">
        <v>64</v>
      </c>
      <c r="F75" s="371" t="n">
        <v>6302.0</v>
      </c>
      <c r="G75" s="9">
        <f t="shared" si="1"/>
        <v>2.2995070701081802E-3</v>
      </c>
    </row>
    <row r="76" spans="1:7" x14ac:dyDescent="0.45">
      <c r="A76">
        <v>65</v>
      </c>
      <c r="B76" s="6" t="n">
        <v>5553.9736089357</v>
      </c>
      <c r="C76" s="9">
        <f t="shared" si="0"/>
        <v>2.7647189445591893E-3</v>
      </c>
      <c r="E76" s="371">
        <v>65</v>
      </c>
      <c r="F76" s="371" t="n">
        <v>4032.0</v>
      </c>
      <c r="G76" s="9">
        <f t="shared" si="1"/>
        <v>2.2266027471637803E-3</v>
      </c>
    </row>
    <row r="77" spans="1:7" x14ac:dyDescent="0.45">
      <c r="A77">
        <v>66</v>
      </c>
      <c r="B77" s="6" t="n">
        <v>4155.034293272</v>
      </c>
      <c r="C77" s="9">
        <f t="shared" ref="C77:C102" si="2">B77/B$102</f>
        <v>2.0683393250951246E-3</v>
      </c>
      <c r="E77" s="371">
        <v>66</v>
      </c>
      <c r="F77" s="371" t="n">
        <v>5248.0</v>
      </c>
      <c r="G77" s="9">
        <f t="shared" ref="G77:G102" si="3">F77/F$102</f>
        <v>1.8584560556102897E-3</v>
      </c>
    </row>
    <row r="78" spans="1:7" x14ac:dyDescent="0.45">
      <c r="A78">
        <v>67</v>
      </c>
      <c r="B78" s="6" t="n">
        <v>6053.7855554197</v>
      </c>
      <c r="C78" s="9">
        <f t="shared" si="2"/>
        <v>3.0135209113056824E-3</v>
      </c>
      <c r="E78" s="371">
        <v>67</v>
      </c>
      <c r="F78" s="371" t="n">
        <v>7614.0</v>
      </c>
      <c r="G78" s="9">
        <f t="shared" si="3"/>
        <v>1.9128322080826324E-3</v>
      </c>
    </row>
    <row r="79" spans="1:7" x14ac:dyDescent="0.45">
      <c r="A79">
        <v>68</v>
      </c>
      <c r="B79" s="6" t="n">
        <v>1592.181722849</v>
      </c>
      <c r="C79" s="9">
        <f t="shared" si="2"/>
        <v>7.9257398077284985E-4</v>
      </c>
      <c r="E79" s="371">
        <v>68</v>
      </c>
      <c r="F79" s="371" t="n">
        <v>3715.0</v>
      </c>
      <c r="G79" s="9">
        <f t="shared" si="3"/>
        <v>1.4302942031799175E-3</v>
      </c>
    </row>
    <row r="80" spans="1:7" x14ac:dyDescent="0.45">
      <c r="A80">
        <v>69</v>
      </c>
      <c r="B80" s="6" t="n">
        <v>3923.1228791582</v>
      </c>
      <c r="C80" s="9">
        <f t="shared" si="2"/>
        <v>1.9528958741164659E-3</v>
      </c>
      <c r="E80" s="371">
        <v>69</v>
      </c>
      <c r="F80" s="371" t="n">
        <v>3426.0</v>
      </c>
      <c r="G80" s="9">
        <f t="shared" si="3"/>
        <v>1.3372505645050199E-3</v>
      </c>
    </row>
    <row r="81" spans="1:7" x14ac:dyDescent="0.45">
      <c r="A81">
        <v>70</v>
      </c>
      <c r="B81" s="6" t="n">
        <v>6845.0542671156</v>
      </c>
      <c r="C81" s="9">
        <f t="shared" si="2"/>
        <v>3.4074074782031098E-3</v>
      </c>
      <c r="E81" s="371">
        <v>70</v>
      </c>
      <c r="F81" s="371" t="n">
        <v>3321.0</v>
      </c>
      <c r="G81" s="9">
        <f t="shared" si="3"/>
        <v>1.5567691059674403E-3</v>
      </c>
    </row>
    <row r="82" spans="1:7" x14ac:dyDescent="0.45">
      <c r="A82">
        <v>71</v>
      </c>
      <c r="B82" s="6" t="n">
        <v>1309.3889760426</v>
      </c>
      <c r="C82" s="9">
        <f t="shared" si="2"/>
        <v>6.5180225236173713E-4</v>
      </c>
      <c r="E82" s="371">
        <v>71</v>
      </c>
      <c r="F82" s="371" t="n">
        <v>4447.0</v>
      </c>
      <c r="G82" s="9">
        <f t="shared" si="3"/>
        <v>1.2852911299203369E-3</v>
      </c>
    </row>
    <row r="83" spans="1:7" x14ac:dyDescent="0.45">
      <c r="A83">
        <v>72</v>
      </c>
      <c r="B83" s="6" t="n">
        <v>11656.6625317656</v>
      </c>
      <c r="C83" s="9">
        <f t="shared" si="2"/>
        <v>5.8025835196723824E-3</v>
      </c>
      <c r="E83" s="371">
        <v>72</v>
      </c>
      <c r="F83" s="371" t="n">
        <v>2788.0</v>
      </c>
      <c r="G83" s="9">
        <f t="shared" si="3"/>
        <v>1.6997582476539711E-3</v>
      </c>
    </row>
    <row r="84" spans="1:7" x14ac:dyDescent="0.45">
      <c r="A84">
        <v>73</v>
      </c>
      <c r="B84" s="6" t="n">
        <v>3340.5693407032</v>
      </c>
      <c r="C84" s="9">
        <f t="shared" si="2"/>
        <v>1.6629058746329853E-3</v>
      </c>
      <c r="E84" s="371">
        <v>73</v>
      </c>
      <c r="F84" s="371" t="n">
        <v>2738.0</v>
      </c>
      <c r="G84" s="9">
        <f t="shared" si="3"/>
        <v>1.217623029065866E-3</v>
      </c>
    </row>
    <row r="85" spans="1:7" x14ac:dyDescent="0.45">
      <c r="A85">
        <v>74</v>
      </c>
      <c r="B85" s="6" t="n">
        <v>7720.0441044545</v>
      </c>
      <c r="C85" s="9">
        <f t="shared" si="2"/>
        <v>3.8429696810366927E-3</v>
      </c>
      <c r="E85" s="371">
        <v>74</v>
      </c>
      <c r="F85" s="371" t="n">
        <v>3231.0</v>
      </c>
      <c r="G85" s="9">
        <f t="shared" si="3"/>
        <v>1.1104818693796206E-3</v>
      </c>
    </row>
    <row r="86" spans="1:7" x14ac:dyDescent="0.45">
      <c r="A86">
        <v>75</v>
      </c>
      <c r="B86" s="6" t="n">
        <v>2952.0511458349997</v>
      </c>
      <c r="C86" s="9">
        <f t="shared" si="2"/>
        <v>1.4695049531864232E-3</v>
      </c>
      <c r="E86" s="371">
        <v>75</v>
      </c>
      <c r="F86" s="371" t="n">
        <v>2083.0</v>
      </c>
      <c r="G86" s="9">
        <f t="shared" si="3"/>
        <v>1.1374685524584869E-3</v>
      </c>
    </row>
    <row r="87" spans="1:7" x14ac:dyDescent="0.45">
      <c r="A87">
        <v>76</v>
      </c>
      <c r="B87" s="6" t="n">
        <v>5777.001750038</v>
      </c>
      <c r="C87" s="9">
        <f t="shared" si="2"/>
        <v>2.8757403807941934E-3</v>
      </c>
      <c r="E87" s="371">
        <v>76</v>
      </c>
      <c r="F87" s="371" t="n">
        <v>2632.0</v>
      </c>
      <c r="G87" s="9">
        <f t="shared" si="3"/>
        <v>7.9912804818613235E-4</v>
      </c>
    </row>
    <row r="88" spans="1:7" x14ac:dyDescent="0.45">
      <c r="A88">
        <v>77</v>
      </c>
      <c r="B88" s="6" t="n">
        <v>8134.7387629777</v>
      </c>
      <c r="C88" s="9">
        <f t="shared" si="2"/>
        <v>4.0494010145925435E-3</v>
      </c>
      <c r="E88" s="371">
        <v>77</v>
      </c>
      <c r="F88" s="371" t="n">
        <v>1901.0</v>
      </c>
      <c r="G88" s="9">
        <f t="shared" si="3"/>
        <v>8.0073919344457217E-4</v>
      </c>
    </row>
    <row r="89" spans="1:7" x14ac:dyDescent="0.45">
      <c r="A89">
        <v>78</v>
      </c>
      <c r="B89" s="6" t="n">
        <v>2079.23907002</v>
      </c>
      <c r="C89" s="9">
        <f t="shared" si="2"/>
        <v>1.035026820779853E-3</v>
      </c>
      <c r="E89" s="371">
        <v>78</v>
      </c>
      <c r="F89" s="371" t="n">
        <v>1855.0</v>
      </c>
      <c r="G89" s="9">
        <f t="shared" si="3"/>
        <v>9.7434009504145883E-4</v>
      </c>
    </row>
    <row r="90" spans="1:7" x14ac:dyDescent="0.45">
      <c r="A90">
        <v>79</v>
      </c>
      <c r="B90" s="6" t="n">
        <v>4368.2174773080005</v>
      </c>
      <c r="C90" s="9">
        <f t="shared" si="2"/>
        <v>2.1744600287688905E-3</v>
      </c>
      <c r="E90" s="371">
        <v>79</v>
      </c>
      <c r="F90" s="371" t="n">
        <v>1460.0</v>
      </c>
      <c r="G90" s="9">
        <f t="shared" si="3"/>
        <v>8.2973980809648829E-4</v>
      </c>
    </row>
    <row r="91" spans="1:7" x14ac:dyDescent="0.45">
      <c r="A91">
        <v>80</v>
      </c>
      <c r="B91" s="6" t="n">
        <v>5711.655378544599</v>
      </c>
      <c r="C91" s="9">
        <f t="shared" si="2"/>
        <v>2.8432115349719266E-3</v>
      </c>
      <c r="E91" s="371">
        <v>80</v>
      </c>
      <c r="F91" s="371" t="n">
        <v>1397.0</v>
      </c>
      <c r="G91" s="9">
        <f t="shared" si="3"/>
        <v>8.2611473126499872E-4</v>
      </c>
    </row>
    <row r="92" spans="1:7" x14ac:dyDescent="0.45">
      <c r="A92">
        <v>81</v>
      </c>
      <c r="B92" s="6" t="n">
        <v>2193.4293356089997</v>
      </c>
      <c r="C92" s="9">
        <f t="shared" si="2"/>
        <v>1.0918697251195897E-3</v>
      </c>
      <c r="E92" s="371">
        <v>81</v>
      </c>
      <c r="F92" s="371" t="n">
        <v>1469.0</v>
      </c>
      <c r="G92" s="9">
        <f t="shared" si="3"/>
        <v>6.2713829184768552E-4</v>
      </c>
    </row>
    <row r="93" spans="1:7" x14ac:dyDescent="0.45">
      <c r="A93">
        <v>82</v>
      </c>
      <c r="B93" s="6" t="n">
        <v>8882.5064562201</v>
      </c>
      <c r="C93" s="9">
        <f t="shared" si="2"/>
        <v>4.4216331592160677E-3</v>
      </c>
      <c r="E93" s="371">
        <v>82</v>
      </c>
      <c r="F93" s="371" t="n">
        <v>1523.0</v>
      </c>
      <c r="G93" s="9">
        <f t="shared" si="3"/>
        <v>5.9974882245420922E-4</v>
      </c>
    </row>
    <row r="94" spans="1:7" x14ac:dyDescent="0.45">
      <c r="A94">
        <v>83</v>
      </c>
      <c r="B94" s="6" t="n">
        <v>5403.1790240475</v>
      </c>
      <c r="C94" s="9">
        <f t="shared" si="2"/>
        <v>2.6896547337918581E-3</v>
      </c>
      <c r="E94" s="371">
        <v>83</v>
      </c>
      <c r="F94" s="371" t="n">
        <v>1268.0</v>
      </c>
      <c r="G94" s="9">
        <f t="shared" si="3"/>
        <v>4.8092685964427526E-4</v>
      </c>
    </row>
    <row r="95" spans="1:7" x14ac:dyDescent="0.45">
      <c r="A95">
        <v>84</v>
      </c>
      <c r="B95" s="6" t="n">
        <v>3122.0732105044</v>
      </c>
      <c r="C95" s="9">
        <f t="shared" si="2"/>
        <v>1.5541404333457602E-3</v>
      </c>
      <c r="E95" s="371">
        <v>84</v>
      </c>
      <c r="F95" s="371" t="n">
        <v>1136.0</v>
      </c>
      <c r="G95" s="9">
        <f t="shared" si="3"/>
        <v>4.6360704811604755E-4</v>
      </c>
    </row>
    <row r="96" spans="1:7" x14ac:dyDescent="0.45">
      <c r="A96">
        <v>85</v>
      </c>
      <c r="B96" s="6" t="n">
        <v>3429.6846710103</v>
      </c>
      <c r="C96" s="9">
        <f t="shared" si="2"/>
        <v>1.7072666979459183E-3</v>
      </c>
      <c r="E96" s="371">
        <v>85</v>
      </c>
      <c r="F96" s="371" t="n">
        <v>1089.0</v>
      </c>
      <c r="G96" s="9">
        <f t="shared" si="3"/>
        <v>4.8374636384654487E-4</v>
      </c>
    </row>
    <row r="97" spans="1:7" x14ac:dyDescent="0.45">
      <c r="A97">
        <v>86</v>
      </c>
      <c r="B97" s="6" t="n">
        <v>8154.8321200373</v>
      </c>
      <c r="C97" s="9">
        <f t="shared" si="2"/>
        <v>4.0594033100361318E-3</v>
      </c>
      <c r="E97" s="371">
        <v>86</v>
      </c>
      <c r="F97" s="371" t="n">
        <v>820.0</v>
      </c>
      <c r="G97" s="9">
        <f t="shared" si="3"/>
        <v>4.2493956191349278E-4</v>
      </c>
    </row>
    <row r="98" spans="1:7" x14ac:dyDescent="0.45">
      <c r="A98">
        <v>87</v>
      </c>
      <c r="B98" s="6" t="n">
        <v>1438.7523178411</v>
      </c>
      <c r="C98" s="9">
        <f t="shared" si="2"/>
        <v>7.1619817985162939E-4</v>
      </c>
      <c r="E98" s="371">
        <v>87</v>
      </c>
      <c r="F98" s="371" t="n">
        <v>835.0</v>
      </c>
      <c r="G98" s="9">
        <f t="shared" si="3"/>
        <v>3.5364638422753238E-4</v>
      </c>
    </row>
    <row r="99" spans="1:7" x14ac:dyDescent="0.45">
      <c r="A99">
        <v>88</v>
      </c>
      <c r="B99" s="6" t="n">
        <v>2191.2054852572</v>
      </c>
      <c r="C99" s="9">
        <f t="shared" si="2"/>
        <v>1.0907627120816461E-3</v>
      </c>
      <c r="E99" s="371">
        <v>88</v>
      </c>
      <c r="F99" s="371" t="n">
        <v>982.0</v>
      </c>
      <c r="G99" s="9">
        <f t="shared" si="3"/>
        <v>3.854665030817181E-4</v>
      </c>
    </row>
    <row r="100" spans="1:7" x14ac:dyDescent="0.45">
      <c r="A100">
        <v>89</v>
      </c>
      <c r="B100" s="6" t="n">
        <v>6096.0213704741</v>
      </c>
      <c r="C100" s="9">
        <f t="shared" si="2"/>
        <v>3.0345455265166597E-3</v>
      </c>
      <c r="E100" s="371">
        <v>89</v>
      </c>
      <c r="F100" s="371" t="n">
        <v>962.0</v>
      </c>
      <c r="G100" s="9">
        <f t="shared" si="3"/>
        <v>3.2182626537334666E-4</v>
      </c>
    </row>
    <row r="101" spans="1:7" ht="14.65" thickBot="1" x14ac:dyDescent="0.5">
      <c r="A101" s="1">
        <v>90</v>
      </c>
      <c r="B101" s="7" t="n">
        <v>53395.6046270109</v>
      </c>
      <c r="C101" s="9">
        <f t="shared" si="2"/>
        <v>2.6579859765804376E-2</v>
      </c>
      <c r="E101" s="372">
        <v>90</v>
      </c>
      <c r="F101" s="372" t="n">
        <v>16748.0</v>
      </c>
      <c r="G101" s="9">
        <f t="shared" si="3"/>
        <v>8.1519922213906925E-3</v>
      </c>
    </row>
    <row r="102" spans="1:7" x14ac:dyDescent="0.45">
      <c r="B102" s="6">
        <f>SUM(B11:B101)</f>
        <v>2008874.5801324963</v>
      </c>
      <c r="C102" s="9">
        <f t="shared" si="2"/>
        <v>1</v>
      </c>
      <c r="F102" s="6">
        <f>SUM(F11:F101)</f>
        <v>2482706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37793.8679976851</v>
      </c>
      <c r="C11" s="9">
        <f>B11/B$102</f>
        <v>4.9257376135212576E-2</v>
      </c>
      <c r="E11" s="371">
        <v>0</v>
      </c>
      <c r="F11" s="371" t="n">
        <v>108637.0</v>
      </c>
      <c r="G11" s="9">
        <f>F11/F$102</f>
        <v>0.15737588940370084</v>
      </c>
      <c r="K11" s="6" t="n">
        <v>6.2394996181404805</v>
      </c>
      <c r="L11" s="6" t="n">
        <v>4.850345541554354</v>
      </c>
    </row>
    <row r="12" spans="1:12" x14ac:dyDescent="0.45">
      <c r="A12">
        <v>1</v>
      </c>
      <c r="B12" s="6" t="n">
        <v>21924.8358755722</v>
      </c>
      <c r="C12" s="9">
        <f>B12/B$102</f>
        <v>2.8575002894438085E-2</v>
      </c>
      <c r="E12" s="371">
        <v>1</v>
      </c>
      <c r="F12" s="371" t="n">
        <v>99274.0</v>
      </c>
      <c r="G12" s="9">
        <f>F12/F$102</f>
        <v>0.14445597777867983</v>
      </c>
      <c r="K12" s="6"/>
      <c r="L12" s="371"/>
    </row>
    <row r="13" spans="1:12" x14ac:dyDescent="0.45">
      <c r="A13">
        <v>2</v>
      </c>
      <c r="B13" s="6" t="n">
        <v>47192.140102574</v>
      </c>
      <c r="C13" s="9">
        <f t="shared" ref="C13:C76" si="0">B13/B$102</f>
        <v>6.1506300328945371E-2</v>
      </c>
      <c r="E13" s="371">
        <v>2</v>
      </c>
      <c r="F13" s="371" t="n">
        <v>55218.0</v>
      </c>
      <c r="G13" s="9">
        <f t="shared" ref="G13:G76" si="1">F13/F$102</f>
        <v>7.9824525796331633E-2</v>
      </c>
    </row>
    <row r="14" spans="1:12" x14ac:dyDescent="0.45">
      <c r="A14">
        <v>3</v>
      </c>
      <c r="B14" s="6" t="n">
        <v>73877.1954718179</v>
      </c>
      <c r="C14" s="9">
        <f t="shared" si="0"/>
        <v>9.6285376384149121E-2</v>
      </c>
      <c r="E14" s="371">
        <v>3</v>
      </c>
      <c r="F14" s="371" t="n">
        <v>31320.0</v>
      </c>
      <c r="G14" s="9">
        <f t="shared" si="1"/>
        <v>4.5454545454545456E-2</v>
      </c>
    </row>
    <row r="15" spans="1:12" x14ac:dyDescent="0.45">
      <c r="A15">
        <v>4</v>
      </c>
      <c r="B15" s="6" t="n">
        <v>170380.3391392725</v>
      </c>
      <c r="C15" s="9">
        <f t="shared" si="0"/>
        <v>0.2220595269989902</v>
      </c>
      <c r="E15" s="371">
        <v>4</v>
      </c>
      <c r="F15" s="371" t="n">
        <v>131390.0</v>
      </c>
      <c r="G15" s="9">
        <f t="shared" si="1"/>
        <v>0.18894500919122978</v>
      </c>
    </row>
    <row r="16" spans="1:12" x14ac:dyDescent="0.45">
      <c r="A16">
        <v>5</v>
      </c>
      <c r="B16" s="6" t="n">
        <v>61954.4540512929</v>
      </c>
      <c r="C16" s="9">
        <f t="shared" si="0"/>
        <v>8.0746269385372216E-2</v>
      </c>
      <c r="E16" s="371">
        <v>5</v>
      </c>
      <c r="F16" s="371" t="n">
        <v>58089.0</v>
      </c>
      <c r="G16" s="9">
        <f t="shared" si="1"/>
        <v>8.0252193427545859E-2</v>
      </c>
    </row>
    <row r="17" spans="1:7" x14ac:dyDescent="0.45">
      <c r="A17">
        <v>6</v>
      </c>
      <c r="B17" s="6" t="n">
        <v>122087.925992334</v>
      </c>
      <c r="C17" s="9">
        <f t="shared" si="0"/>
        <v>0.15911922252945207</v>
      </c>
      <c r="E17" s="371">
        <v>6</v>
      </c>
      <c r="F17" s="371" t="n">
        <v>59276.0</v>
      </c>
      <c r="G17" s="9">
        <f t="shared" si="1"/>
        <v>8.3590900392584391E-2</v>
      </c>
    </row>
    <row r="18" spans="1:7" x14ac:dyDescent="0.45">
      <c r="A18">
        <v>7</v>
      </c>
      <c r="B18" s="6" t="n">
        <v>41939.039741742</v>
      </c>
      <c r="C18" s="9">
        <f t="shared" si="0"/>
        <v>5.4659847344419643E-2</v>
      </c>
      <c r="E18" s="371">
        <v>7</v>
      </c>
      <c r="F18" s="371" t="n">
        <v>28517.0</v>
      </c>
      <c r="G18" s="9">
        <f t="shared" si="1"/>
        <v>4.9039704952826085E-2</v>
      </c>
    </row>
    <row r="19" spans="1:7" x14ac:dyDescent="0.45">
      <c r="A19">
        <v>8</v>
      </c>
      <c r="B19" s="6" t="n">
        <v>37515.5939611627</v>
      </c>
      <c r="C19" s="9">
        <f t="shared" si="0"/>
        <v>4.8894696959678415E-2</v>
      </c>
      <c r="E19" s="371">
        <v>8</v>
      </c>
      <c r="F19" s="371" t="n">
        <v>32857.0</v>
      </c>
      <c r="G19" s="9">
        <f t="shared" si="1"/>
        <v>4.0686413796702757E-2</v>
      </c>
    </row>
    <row r="20" spans="1:7" x14ac:dyDescent="0.45">
      <c r="A20">
        <v>9</v>
      </c>
      <c r="B20" s="6" t="n">
        <v>27869.4117215671</v>
      </c>
      <c r="C20" s="9">
        <f t="shared" si="0"/>
        <v>3.6322667368167139E-2</v>
      </c>
      <c r="E20" s="371">
        <v>9</v>
      </c>
      <c r="F20" s="371" t="n">
        <v>19462.0</v>
      </c>
      <c r="G20" s="9">
        <f t="shared" si="1"/>
        <v>2.6906817746901946E-2</v>
      </c>
    </row>
    <row r="21" spans="1:7" x14ac:dyDescent="0.45">
      <c r="A21">
        <v>10</v>
      </c>
      <c r="B21" s="6" t="n">
        <v>52185.2139539628</v>
      </c>
      <c r="C21" s="9">
        <f t="shared" si="0"/>
        <v>6.8013856443175771E-2</v>
      </c>
      <c r="E21" s="371">
        <v>10</v>
      </c>
      <c r="F21" s="371" t="n">
        <v>14388.0</v>
      </c>
      <c r="G21" s="9">
        <f t="shared" si="1"/>
        <v>1.9710403776232698E-2</v>
      </c>
    </row>
    <row r="22" spans="1:7" x14ac:dyDescent="0.45">
      <c r="A22">
        <v>11</v>
      </c>
      <c r="B22" s="6" t="n">
        <v>9632.88173553</v>
      </c>
      <c r="C22" s="9">
        <f t="shared" si="0"/>
        <v>1.255469482356459E-2</v>
      </c>
      <c r="E22" s="371">
        <v>11</v>
      </c>
      <c r="F22" s="371" t="n">
        <v>9195.0</v>
      </c>
      <c r="G22" s="9">
        <f t="shared" si="1"/>
        <v>1.2331324986807541E-2</v>
      </c>
    </row>
    <row r="23" spans="1:7" x14ac:dyDescent="0.45">
      <c r="A23">
        <v>12</v>
      </c>
      <c r="B23" s="6" t="n">
        <v>7144.2605400193</v>
      </c>
      <c r="C23" s="9">
        <f t="shared" si="0"/>
        <v>9.3112334691236726E-3</v>
      </c>
      <c r="E23" s="371">
        <v>12</v>
      </c>
      <c r="F23" s="371" t="n">
        <v>7621.0</v>
      </c>
      <c r="G23" s="9">
        <f t="shared" si="1"/>
        <v>1.2767690942724431E-2</v>
      </c>
    </row>
    <row r="24" spans="1:7" x14ac:dyDescent="0.45">
      <c r="A24">
        <v>13</v>
      </c>
      <c r="B24" s="6" t="n">
        <v>4305.4977936026</v>
      </c>
      <c r="C24" s="9">
        <f t="shared" si="0"/>
        <v>5.6114268135190873E-3</v>
      </c>
      <c r="E24" s="371">
        <v>13</v>
      </c>
      <c r="F24" s="371" t="n">
        <v>5782.0</v>
      </c>
      <c r="G24" s="9">
        <f t="shared" si="1"/>
        <v>8.9694224892285738E-3</v>
      </c>
    </row>
    <row r="25" spans="1:7" x14ac:dyDescent="0.45">
      <c r="A25">
        <v>14</v>
      </c>
      <c r="B25" s="6" t="n">
        <v>5080.8937484731005</v>
      </c>
      <c r="C25" s="9">
        <f t="shared" si="0"/>
        <v>6.622013245294686E-3</v>
      </c>
      <c r="E25" s="371">
        <v>14</v>
      </c>
      <c r="F25" s="371" t="n">
        <v>5539.0</v>
      </c>
      <c r="G25" s="9">
        <f t="shared" si="1"/>
        <v>8.30979953261002E-3</v>
      </c>
    </row>
    <row r="26" spans="1:7" x14ac:dyDescent="0.45">
      <c r="A26">
        <v>15</v>
      </c>
      <c r="B26" s="6" t="n">
        <v>2126.024207094</v>
      </c>
      <c r="C26" s="9">
        <f t="shared" si="0"/>
        <v>2.7708826746129967E-3</v>
      </c>
      <c r="E26" s="371">
        <v>15</v>
      </c>
      <c r="F26" s="371" t="n">
        <v>2966.0</v>
      </c>
      <c r="G26" s="9">
        <f t="shared" si="1"/>
        <v>5.7249473751355487E-3</v>
      </c>
    </row>
    <row r="27" spans="1:7" x14ac:dyDescent="0.45">
      <c r="A27">
        <v>16</v>
      </c>
      <c r="B27" s="6" t="n">
        <v>9287.3935591391</v>
      </c>
      <c r="C27" s="9">
        <f t="shared" si="0"/>
        <v>1.2104414342725805E-2</v>
      </c>
      <c r="E27" s="371">
        <v>16</v>
      </c>
      <c r="F27" s="371" t="n">
        <v>3691.0</v>
      </c>
      <c r="G27" s="9">
        <f t="shared" si="1"/>
        <v>4.646355112005428E-3</v>
      </c>
    </row>
    <row r="28" spans="1:7" x14ac:dyDescent="0.45">
      <c r="A28">
        <v>17</v>
      </c>
      <c r="B28" s="6" t="n">
        <v>3549.3074449084</v>
      </c>
      <c r="C28" s="9">
        <f t="shared" si="0"/>
        <v>4.6258713673887992E-3</v>
      </c>
      <c r="E28" s="371">
        <v>17</v>
      </c>
      <c r="F28" s="371" t="n">
        <v>2241.0</v>
      </c>
      <c r="G28" s="9">
        <f t="shared" si="1"/>
        <v>2.6210951770688964E-3</v>
      </c>
    </row>
    <row r="29" spans="1:7" x14ac:dyDescent="0.45">
      <c r="A29">
        <v>18</v>
      </c>
      <c r="B29" s="6" t="n">
        <v>3970.641735341</v>
      </c>
      <c r="C29" s="9">
        <f t="shared" si="0"/>
        <v>5.1750033488989393E-3</v>
      </c>
      <c r="E29" s="371">
        <v>18</v>
      </c>
      <c r="F29" s="371" t="n">
        <v>1608.0</v>
      </c>
      <c r="G29" s="9">
        <f t="shared" si="1"/>
        <v>2.795061671122142E-3</v>
      </c>
    </row>
    <row r="30" spans="1:7" x14ac:dyDescent="0.45">
      <c r="A30">
        <v>19</v>
      </c>
      <c r="B30" s="6" t="n">
        <v>1806.003604693</v>
      </c>
      <c r="C30" s="9">
        <f t="shared" si="0"/>
        <v>2.3537945061183384E-3</v>
      </c>
      <c r="E30" s="371">
        <v>19</v>
      </c>
      <c r="F30" s="371" t="n">
        <v>1895.0</v>
      </c>
      <c r="G30" s="9">
        <f t="shared" si="1"/>
        <v>3.4358382575515956E-3</v>
      </c>
    </row>
    <row r="31" spans="1:7" x14ac:dyDescent="0.45">
      <c r="A31">
        <v>20</v>
      </c>
      <c r="B31" s="6" t="n">
        <v>1475.908196476</v>
      </c>
      <c r="C31" s="9">
        <f t="shared" si="0"/>
        <v>1.9235756758031342E-3</v>
      </c>
      <c r="E31" s="371">
        <v>20</v>
      </c>
      <c r="F31" s="371" t="n">
        <v>1542.0</v>
      </c>
      <c r="G31" s="9">
        <f t="shared" si="1"/>
        <v>4.0911120518188201E-3</v>
      </c>
    </row>
    <row r="32" spans="1:7" x14ac:dyDescent="0.45">
      <c r="A32">
        <v>21</v>
      </c>
      <c r="B32" s="6" t="n">
        <v>7724.0961219234</v>
      </c>
      <c r="C32" s="9">
        <f t="shared" si="0"/>
        <v>1.0066942817427992E-2</v>
      </c>
      <c r="E32" s="371">
        <v>21</v>
      </c>
      <c r="F32" s="371" t="n">
        <v>1340.0</v>
      </c>
      <c r="G32" s="9">
        <f t="shared" si="1"/>
        <v>2.3601454359890284E-3</v>
      </c>
    </row>
    <row r="33" spans="1:7" x14ac:dyDescent="0.45">
      <c r="A33">
        <v>22</v>
      </c>
      <c r="B33" s="6" t="n">
        <v>2202.724216397</v>
      </c>
      <c r="C33" s="9">
        <f t="shared" si="0"/>
        <v>2.870847071166522E-3</v>
      </c>
      <c r="E33" s="371">
        <v>22</v>
      </c>
      <c r="F33" s="371" t="n">
        <v>1232.0</v>
      </c>
      <c r="G33" s="9">
        <f t="shared" si="1"/>
        <v>1.8237487459915221E-3</v>
      </c>
    </row>
    <row r="34" spans="1:7" x14ac:dyDescent="0.45">
      <c r="A34">
        <v>23</v>
      </c>
      <c r="B34" s="6" t="n">
        <v>9293.648929404</v>
      </c>
      <c r="C34" s="9">
        <f t="shared" si="0"/>
        <v>1.2112567070729779E-2</v>
      </c>
      <c r="E34" s="371">
        <v>23</v>
      </c>
      <c r="F34" s="371" t="n">
        <v>736.0</v>
      </c>
      <c r="G34" s="9">
        <f t="shared" si="1"/>
        <v>1.6193381154789588E-3</v>
      </c>
    </row>
    <row r="35" spans="1:7" x14ac:dyDescent="0.45">
      <c r="A35">
        <v>24</v>
      </c>
      <c r="B35" s="6" t="n">
        <v>174.703833701</v>
      </c>
      <c r="C35" s="9">
        <f t="shared" si="0"/>
        <v>2.2769440929943649E-4</v>
      </c>
      <c r="E35" s="371">
        <v>24</v>
      </c>
      <c r="F35" s="371" t="n">
        <v>702.0</v>
      </c>
      <c r="G35" s="9">
        <f t="shared" si="1"/>
        <v>1.4627682708310379E-3</v>
      </c>
    </row>
    <row r="36" spans="1:7" x14ac:dyDescent="0.45">
      <c r="A36">
        <v>25</v>
      </c>
      <c r="B36" s="6" t="n">
        <v>554.752301199</v>
      </c>
      <c r="C36" s="9">
        <f t="shared" si="0"/>
        <v>7.2301789178359831E-4</v>
      </c>
      <c r="E36" s="371">
        <v>25</v>
      </c>
      <c r="F36" s="371" t="n">
        <v>480.0</v>
      </c>
      <c r="G36" s="9">
        <f t="shared" si="1"/>
        <v>9.5971515886040344E-4</v>
      </c>
    </row>
    <row r="37" spans="1:7" x14ac:dyDescent="0.45">
      <c r="A37">
        <v>26</v>
      </c>
      <c r="B37" s="6" t="n">
        <v>1057.542875</v>
      </c>
      <c r="C37" s="9">
        <f t="shared" si="0"/>
        <v>1.3783132008658061E-3</v>
      </c>
      <c r="E37" s="371">
        <v>26</v>
      </c>
      <c r="F37" s="371" t="n">
        <v>674.0</v>
      </c>
      <c r="G37" s="9">
        <f t="shared" si="1"/>
        <v>8.6548330791489563E-4</v>
      </c>
    </row>
    <row r="38" spans="1:7" x14ac:dyDescent="0.45">
      <c r="A38">
        <v>27</v>
      </c>
      <c r="B38" s="6" t="n">
        <v>18.23</v>
      </c>
      <c r="C38" s="9">
        <f t="shared" si="0"/>
        <v>2.3759461905299719E-5</v>
      </c>
      <c r="E38" s="371">
        <v>27</v>
      </c>
      <c r="F38" s="371" t="n">
        <v>424.0</v>
      </c>
      <c r="G38" s="9">
        <f t="shared" si="1"/>
        <v>1.3090978677506712E-3</v>
      </c>
    </row>
    <row r="39" spans="1:7" x14ac:dyDescent="0.45">
      <c r="A39">
        <v>28</v>
      </c>
      <c r="B39" s="6" t="n">
        <v>0.0</v>
      </c>
      <c r="C39" s="9">
        <f t="shared" si="0"/>
        <v>0</v>
      </c>
      <c r="E39" s="371">
        <v>28</v>
      </c>
      <c r="F39" s="371" t="n">
        <v>222.0</v>
      </c>
      <c r="G39" s="9">
        <f t="shared" si="1"/>
        <v>5.7408943037570964E-4</v>
      </c>
    </row>
    <row r="40" spans="1:7" x14ac:dyDescent="0.45">
      <c r="A40">
        <v>29</v>
      </c>
      <c r="B40" s="6" t="n">
        <v>308.776770034</v>
      </c>
      <c r="C40" s="9">
        <f t="shared" si="0"/>
        <v>4.0243389494593057E-4</v>
      </c>
      <c r="E40" s="371">
        <v>29</v>
      </c>
      <c r="F40" s="371" t="n">
        <v>184.0</v>
      </c>
      <c r="G40" s="9">
        <f t="shared" si="1"/>
        <v>6.7267044367254867E-4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230.0</v>
      </c>
      <c r="G41" s="9">
        <f t="shared" si="1"/>
        <v>7.7850006088827294E-4</v>
      </c>
    </row>
    <row r="42" spans="1:7" x14ac:dyDescent="0.45">
      <c r="A42">
        <v>31</v>
      </c>
      <c r="B42" s="6" t="n">
        <v>0.0</v>
      </c>
      <c r="C42" s="9">
        <f t="shared" si="0"/>
        <v>0</v>
      </c>
      <c r="E42" s="371">
        <v>31</v>
      </c>
      <c r="F42" s="371" t="n">
        <v>186.0</v>
      </c>
      <c r="G42" s="9">
        <f t="shared" si="1"/>
        <v>3.8852517005224792E-4</v>
      </c>
    </row>
    <row r="43" spans="1:7" x14ac:dyDescent="0.45">
      <c r="A43">
        <v>32</v>
      </c>
      <c r="B43" s="6" t="n">
        <v>15.92375</v>
      </c>
      <c r="C43" s="9">
        <f t="shared" si="0"/>
        <v>2.0753687960203863E-5</v>
      </c>
      <c r="E43" s="371">
        <v>32</v>
      </c>
      <c r="F43" s="371" t="n">
        <v>224.0</v>
      </c>
      <c r="G43" s="9">
        <f t="shared" si="1"/>
        <v>4.7405869629509354E-4</v>
      </c>
    </row>
    <row r="44" spans="1:7" x14ac:dyDescent="0.45">
      <c r="A44">
        <v>33</v>
      </c>
      <c r="B44" s="6" t="n">
        <v>0.0</v>
      </c>
      <c r="C44" s="9">
        <f t="shared" si="0"/>
        <v>0</v>
      </c>
      <c r="E44" s="371">
        <v>33</v>
      </c>
      <c r="F44" s="371" t="n">
        <v>79.0</v>
      </c>
      <c r="G44" s="9">
        <f t="shared" si="1"/>
        <v>6.567235150510012E-4</v>
      </c>
    </row>
    <row r="45" spans="1:7" x14ac:dyDescent="0.45">
      <c r="A45">
        <v>34</v>
      </c>
      <c r="B45" s="6" t="n">
        <v>596.97480037</v>
      </c>
      <c r="C45" s="9">
        <f t="shared" si="0"/>
        <v>7.7804717651206367E-4</v>
      </c>
      <c r="E45" s="371">
        <v>34</v>
      </c>
      <c r="F45" s="371" t="n">
        <v>168.0</v>
      </c>
      <c r="G45" s="9">
        <f t="shared" si="1"/>
        <v>1.3757850238044153E-3</v>
      </c>
    </row>
    <row r="46" spans="1:7" x14ac:dyDescent="0.45">
      <c r="A46">
        <v>35</v>
      </c>
      <c r="B46" s="6" t="n">
        <v>10.1925</v>
      </c>
      <c r="C46" s="9">
        <f t="shared" si="0"/>
        <v>1.3284054606130961E-5</v>
      </c>
      <c r="E46" s="371">
        <v>35</v>
      </c>
      <c r="F46" s="371" t="n">
        <v>86.0</v>
      </c>
      <c r="G46" s="9">
        <f t="shared" si="1"/>
        <v>4.2766763121422814E-4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135.0</v>
      </c>
      <c r="G47" s="9">
        <f t="shared" si="1"/>
        <v>1.9571230580990102E-4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59.0</v>
      </c>
      <c r="G48" s="9">
        <f t="shared" si="1"/>
        <v>3.3053633870116616E-4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103.0</v>
      </c>
      <c r="G49" s="9">
        <f t="shared" si="1"/>
        <v>2.60949741079868E-4</v>
      </c>
    </row>
    <row r="50" spans="1:7" x14ac:dyDescent="0.45">
      <c r="A50">
        <v>39</v>
      </c>
      <c r="B50" s="6" t="n">
        <v>5.16</v>
      </c>
      <c r="C50" s="9">
        <f t="shared" si="0"/>
        <v>6.7251137373201619E-6</v>
      </c>
      <c r="E50" s="371">
        <v>39</v>
      </c>
      <c r="F50" s="371" t="n">
        <v>56.0</v>
      </c>
      <c r="G50" s="9">
        <f t="shared" si="1"/>
        <v>2.377542085394353E-4</v>
      </c>
    </row>
    <row r="51" spans="1:7" x14ac:dyDescent="0.45">
      <c r="A51">
        <v>40</v>
      </c>
      <c r="B51" s="6" t="n">
        <v>5.51</v>
      </c>
      <c r="C51" s="9">
        <f t="shared" si="0"/>
        <v>7.1812745528360641E-6</v>
      </c>
      <c r="E51" s="371">
        <v>40</v>
      </c>
      <c r="F51" s="371" t="n">
        <v>48.0</v>
      </c>
      <c r="G51" s="9">
        <f t="shared" si="1"/>
        <v>1.4352235759392741E-4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27.0</v>
      </c>
      <c r="G52" s="9">
        <f t="shared" si="1"/>
        <v>1.7686593562079943E-4</v>
      </c>
    </row>
    <row r="53" spans="1:7" x14ac:dyDescent="0.45">
      <c r="A53">
        <v>42</v>
      </c>
      <c r="B53" s="6" t="n">
        <v>339.706125</v>
      </c>
      <c r="C53" s="9">
        <f t="shared" si="0"/>
        <v>4.4274463718784883E-4</v>
      </c>
      <c r="E53" s="371">
        <v>42</v>
      </c>
      <c r="F53" s="371" t="n">
        <v>18.0</v>
      </c>
      <c r="G53" s="9">
        <f t="shared" si="1"/>
        <v>3.9142461161980204E-5</v>
      </c>
    </row>
    <row r="54" spans="1:7" x14ac:dyDescent="0.45">
      <c r="A54">
        <v>43</v>
      </c>
      <c r="B54" s="6" t="n">
        <v>351.42375</v>
      </c>
      <c r="C54" s="9">
        <f t="shared" si="0"/>
        <v>4.5801641254759033E-4</v>
      </c>
      <c r="E54" s="371">
        <v>43</v>
      </c>
      <c r="F54" s="371" t="n">
        <v>20.0</v>
      </c>
      <c r="G54" s="9">
        <f t="shared" si="1"/>
        <v>1.3337431210748809E-4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19.0</v>
      </c>
      <c r="G55" s="9">
        <f t="shared" si="1"/>
        <v>8.5533526242845628E-5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11.0</v>
      </c>
      <c r="G56" s="9">
        <f t="shared" si="1"/>
        <v>9.4231850945507891E-5</v>
      </c>
    </row>
    <row r="57" spans="1:7" x14ac:dyDescent="0.45">
      <c r="A57">
        <v>46</v>
      </c>
      <c r="B57" s="6" t="n">
        <v>1427.72808527</v>
      </c>
      <c r="C57" s="9">
        <f t="shared" si="0"/>
        <v>1.8607817363192032E-3</v>
      </c>
      <c r="E57" s="371">
        <v>46</v>
      </c>
      <c r="F57" s="371" t="n">
        <v>39.0</v>
      </c>
      <c r="G57" s="9">
        <f t="shared" si="1"/>
        <v>1.30474870539934E-4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17.0</v>
      </c>
      <c r="G58" s="9">
        <f t="shared" si="1"/>
        <v>5.2189948215973606E-5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28.0</v>
      </c>
      <c r="G59" s="9">
        <f t="shared" si="1"/>
        <v>4.494134429708838E-5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3.0</v>
      </c>
      <c r="G60" s="9">
        <f t="shared" si="1"/>
        <v>4.7840785864642468E-5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18.0</v>
      </c>
      <c r="G61" s="9">
        <f t="shared" si="1"/>
        <v>7.8284922323960409E-5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9.0</v>
      </c>
      <c r="G62" s="9">
        <f t="shared" si="1"/>
        <v>7.3935759972629277E-5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3.0</v>
      </c>
      <c r="G63" s="9">
        <f t="shared" si="1"/>
        <v>2.899441567554089E-6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5.0</v>
      </c>
      <c r="G64" s="9">
        <f t="shared" si="1"/>
        <v>3.1893857243094978E-5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1.0</v>
      </c>
      <c r="G65" s="9">
        <f t="shared" si="1"/>
        <v>8.6983247026622665E-6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1.0</v>
      </c>
      <c r="G66" s="9">
        <f t="shared" si="1"/>
        <v>1.884637018910158E-5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2.0</v>
      </c>
      <c r="G67" s="9">
        <f t="shared" si="1"/>
        <v>1.4497207837770445E-5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4.3491623513311333E-6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4.3491623513311333E-6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1.0</v>
      </c>
      <c r="G70" s="9">
        <f t="shared" si="1"/>
        <v>0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1.5946928621547489E-5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1.0</v>
      </c>
      <c r="G72" s="9">
        <f t="shared" si="1"/>
        <v>1.4497207837770445E-6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2.899441567554089E-6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0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2.899441567554089E-6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1.0</v>
      </c>
      <c r="G77" s="9">
        <f t="shared" ref="G77:G102" si="3">F77/F$102</f>
        <v>3.1893857243094978E-5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1.4497207837770445E-6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1.3047487053993401E-5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1.0</v>
      </c>
      <c r="G82" s="9">
        <f t="shared" si="3"/>
        <v>5.798883135108178E-6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1.4497207837770445E-6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1.4497207837770445E-6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1.7396649405324533E-5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8.6983247026622665E-6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1.4497207837770445E-6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87.344125</v>
      </c>
      <c r="C101" s="9">
        <f t="shared" si="2"/>
        <v>1.1383704940149407E-4</v>
      </c>
      <c r="E101" s="372">
        <v>90</v>
      </c>
      <c r="F101" s="372" t="n">
        <v>0.0</v>
      </c>
      <c r="G101" s="9">
        <f t="shared" si="3"/>
        <v>0</v>
      </c>
    </row>
    <row r="102" spans="1:7" x14ac:dyDescent="0.45">
      <c r="B102" s="6">
        <f>SUM(B11:B101)</f>
        <v>767273.26875755831</v>
      </c>
      <c r="C102" s="9">
        <f t="shared" si="2"/>
        <v>1</v>
      </c>
      <c r="F102" s="6">
        <f>SUM(F11:F101)</f>
        <v>689788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549.0</v>
      </c>
      <c r="G11" s="9">
        <f>F11/F$102</f>
        <v>8.2634084675291535E-4</v>
      </c>
      <c r="K11" s="6" t="n">
        <v>29.42379580959759</v>
      </c>
      <c r="L11" s="6" t="n">
        <v>19.199316245216373</v>
      </c>
    </row>
    <row r="12" spans="1:12" x14ac:dyDescent="0.45">
      <c r="A12">
        <v>1</v>
      </c>
      <c r="B12" s="6" t="n">
        <v>361.716684967</v>
      </c>
      <c r="C12" s="9">
        <f>B12/B$102</f>
        <v>4.7143136571501575E-4</v>
      </c>
      <c r="E12" s="371">
        <v>1</v>
      </c>
      <c r="F12" s="371" t="n">
        <v>13669.0</v>
      </c>
      <c r="G12" s="9">
        <f>F12/F$102</f>
        <v>2.0356979245797258E-2</v>
      </c>
      <c r="K12" s="6"/>
      <c r="L12" s="371"/>
    </row>
    <row r="13" spans="1:12" x14ac:dyDescent="0.45">
      <c r="A13">
        <v>2</v>
      </c>
      <c r="B13" s="6" t="n">
        <v>0.0</v>
      </c>
      <c r="C13" s="9">
        <f t="shared" ref="C13:C76" si="0">B13/B$102</f>
        <v>0</v>
      </c>
      <c r="E13" s="371">
        <v>2</v>
      </c>
      <c r="F13" s="371" t="n">
        <v>19501.0</v>
      </c>
      <c r="G13" s="9">
        <f t="shared" ref="G13:G76" si="1">F13/F$102</f>
        <v>2.81666251080042E-2</v>
      </c>
    </row>
    <row r="14" spans="1:12" x14ac:dyDescent="0.45">
      <c r="A14">
        <v>3</v>
      </c>
      <c r="B14" s="6" t="n">
        <v>0.0</v>
      </c>
      <c r="C14" s="9">
        <f t="shared" si="0"/>
        <v>0</v>
      </c>
      <c r="E14" s="371">
        <v>3</v>
      </c>
      <c r="F14" s="371" t="n">
        <v>22864.0</v>
      </c>
      <c r="G14" s="9">
        <f t="shared" si="1"/>
        <v>3.3433460715466198E-2</v>
      </c>
    </row>
    <row r="15" spans="1:12" x14ac:dyDescent="0.45">
      <c r="A15">
        <v>4</v>
      </c>
      <c r="B15" s="6" t="n">
        <v>2399.799394863</v>
      </c>
      <c r="C15" s="9">
        <f t="shared" si="0"/>
        <v>3.1276984258150728E-3</v>
      </c>
      <c r="E15" s="371">
        <v>4</v>
      </c>
      <c r="F15" s="371" t="n">
        <v>23615.0</v>
      </c>
      <c r="G15" s="9">
        <f t="shared" si="1"/>
        <v>3.3849530580410216E-2</v>
      </c>
    </row>
    <row r="16" spans="1:12" x14ac:dyDescent="0.45">
      <c r="A16">
        <v>5</v>
      </c>
      <c r="B16" s="6" t="n">
        <v>3880.0743596495</v>
      </c>
      <c r="C16" s="9">
        <f t="shared" si="0"/>
        <v>5.0569653833144549E-3</v>
      </c>
      <c r="E16" s="371">
        <v>5</v>
      </c>
      <c r="F16" s="371" t="n">
        <v>23166.0</v>
      </c>
      <c r="G16" s="9">
        <f t="shared" si="1"/>
        <v>3.3613226092654554E-2</v>
      </c>
    </row>
    <row r="17" spans="1:7" x14ac:dyDescent="0.45">
      <c r="A17">
        <v>6</v>
      </c>
      <c r="B17" s="6" t="n">
        <v>2536.2488915668</v>
      </c>
      <c r="C17" s="9">
        <f t="shared" si="0"/>
        <v>3.3055353220811864E-3</v>
      </c>
      <c r="E17" s="371">
        <v>6</v>
      </c>
      <c r="F17" s="371" t="n">
        <v>22414.0</v>
      </c>
      <c r="G17" s="9">
        <f t="shared" si="1"/>
        <v>3.2733245576901888E-2</v>
      </c>
    </row>
    <row r="18" spans="1:7" x14ac:dyDescent="0.45">
      <c r="A18">
        <v>7</v>
      </c>
      <c r="B18" s="6" t="n">
        <v>4444.68101222</v>
      </c>
      <c r="C18" s="9">
        <f t="shared" si="0"/>
        <v>5.7928266149780642E-3</v>
      </c>
      <c r="E18" s="371">
        <v>7</v>
      </c>
      <c r="F18" s="371" t="n">
        <v>20619.0</v>
      </c>
      <c r="G18" s="9">
        <f t="shared" si="1"/>
        <v>3.0180287276670513E-2</v>
      </c>
    </row>
    <row r="19" spans="1:7" x14ac:dyDescent="0.45">
      <c r="A19">
        <v>8</v>
      </c>
      <c r="B19" s="6" t="n">
        <v>1640.2520526351</v>
      </c>
      <c r="C19" s="9">
        <f t="shared" si="0"/>
        <v>2.1377677542333152E-3</v>
      </c>
      <c r="E19" s="371">
        <v>8</v>
      </c>
      <c r="F19" s="371" t="n">
        <v>18759.0</v>
      </c>
      <c r="G19" s="9">
        <f t="shared" si="1"/>
        <v>2.6998150156279901E-2</v>
      </c>
    </row>
    <row r="20" spans="1:7" x14ac:dyDescent="0.45">
      <c r="A20">
        <v>9</v>
      </c>
      <c r="B20" s="6" t="n">
        <v>5990.2435049183</v>
      </c>
      <c r="C20" s="9">
        <f t="shared" si="0"/>
        <v>7.8071838924067705E-3</v>
      </c>
      <c r="E20" s="371">
        <v>9</v>
      </c>
      <c r="F20" s="371" t="n">
        <v>17266.0</v>
      </c>
      <c r="G20" s="9">
        <f t="shared" si="1"/>
        <v>2.4607560583831553E-2</v>
      </c>
    </row>
    <row r="21" spans="1:7" x14ac:dyDescent="0.45">
      <c r="A21">
        <v>10</v>
      </c>
      <c r="B21" s="6" t="n">
        <v>2758.2755</v>
      </c>
      <c r="C21" s="9">
        <f t="shared" si="0"/>
        <v>3.5949062899929538E-3</v>
      </c>
      <c r="E21" s="371">
        <v>10</v>
      </c>
      <c r="F21" s="371" t="n">
        <v>15351.0</v>
      </c>
      <c r="G21" s="9">
        <f t="shared" si="1"/>
        <v>2.2106792231816153E-2</v>
      </c>
    </row>
    <row r="22" spans="1:7" x14ac:dyDescent="0.45">
      <c r="A22">
        <v>11</v>
      </c>
      <c r="B22" s="6" t="n">
        <v>8105.91401467</v>
      </c>
      <c r="C22" s="9">
        <f t="shared" si="0"/>
        <v>1.0564572421239002E-2</v>
      </c>
      <c r="E22" s="371">
        <v>11</v>
      </c>
      <c r="F22" s="371" t="n">
        <v>13509.0</v>
      </c>
      <c r="G22" s="9">
        <f t="shared" si="1"/>
        <v>1.9953956867907241E-2</v>
      </c>
    </row>
    <row r="23" spans="1:7" x14ac:dyDescent="0.45">
      <c r="A23">
        <v>12</v>
      </c>
      <c r="B23" s="6" t="n">
        <v>23118.537023921</v>
      </c>
      <c r="C23" s="9">
        <f t="shared" si="0"/>
        <v>3.013077343533254E-2</v>
      </c>
      <c r="E23" s="371">
        <v>12</v>
      </c>
      <c r="F23" s="371" t="n">
        <v>13102.0</v>
      </c>
      <c r="G23" s="9">
        <f t="shared" si="1"/>
        <v>1.8592669051940597E-2</v>
      </c>
    </row>
    <row r="24" spans="1:7" x14ac:dyDescent="0.45">
      <c r="A24">
        <v>13</v>
      </c>
      <c r="B24" s="6" t="n">
        <v>8179.759</v>
      </c>
      <c r="C24" s="9">
        <f t="shared" si="0"/>
        <v>1.0660815817610124E-2</v>
      </c>
      <c r="E24" s="371">
        <v>13</v>
      </c>
      <c r="F24" s="371" t="n">
        <v>11016.0</v>
      </c>
      <c r="G24" s="9">
        <f t="shared" si="1"/>
        <v>1.5851247049818204E-2</v>
      </c>
    </row>
    <row r="25" spans="1:7" x14ac:dyDescent="0.45">
      <c r="A25">
        <v>14</v>
      </c>
      <c r="B25" s="6" t="n">
        <v>11105.194117237</v>
      </c>
      <c r="C25" s="9">
        <f t="shared" si="0"/>
        <v>1.4473584014232096E-2</v>
      </c>
      <c r="E25" s="371">
        <v>14</v>
      </c>
      <c r="F25" s="371" t="n">
        <v>10984.0</v>
      </c>
      <c r="G25" s="9">
        <f t="shared" si="1"/>
        <v>1.6091900699925193E-2</v>
      </c>
    </row>
    <row r="26" spans="1:7" x14ac:dyDescent="0.45">
      <c r="A26">
        <v>15</v>
      </c>
      <c r="B26" s="6" t="n">
        <v>2001.46575</v>
      </c>
      <c r="C26" s="9">
        <f t="shared" si="0"/>
        <v>2.6085435678489927E-3</v>
      </c>
      <c r="E26" s="371">
        <v>15</v>
      </c>
      <c r="F26" s="371" t="n">
        <v>10634.0</v>
      </c>
      <c r="G26" s="9">
        <f t="shared" si="1"/>
        <v>1.5372839191171781E-2</v>
      </c>
    </row>
    <row r="27" spans="1:7" x14ac:dyDescent="0.45">
      <c r="A27">
        <v>16</v>
      </c>
      <c r="B27" s="6" t="n">
        <v>33374.4452374899</v>
      </c>
      <c r="C27" s="9">
        <f t="shared" si="0"/>
        <v>4.3497469019783484E-2</v>
      </c>
      <c r="E27" s="371">
        <v>16</v>
      </c>
      <c r="F27" s="371" t="n">
        <v>9433.0</v>
      </c>
      <c r="G27" s="9">
        <f t="shared" si="1"/>
        <v>1.3754950796476598E-2</v>
      </c>
    </row>
    <row r="28" spans="1:7" x14ac:dyDescent="0.45">
      <c r="A28">
        <v>17</v>
      </c>
      <c r="B28" s="6" t="n">
        <v>13215.1359514498</v>
      </c>
      <c r="C28" s="9">
        <f t="shared" si="0"/>
        <v>1.7223506265048181E-2</v>
      </c>
      <c r="E28" s="371">
        <v>17</v>
      </c>
      <c r="F28" s="371" t="n">
        <v>9163.0</v>
      </c>
      <c r="G28" s="9">
        <f t="shared" si="1"/>
        <v>1.3402668646018776E-2</v>
      </c>
    </row>
    <row r="29" spans="1:7" x14ac:dyDescent="0.45">
      <c r="A29">
        <v>18</v>
      </c>
      <c r="B29" s="6" t="n">
        <v>88359.1015296788</v>
      </c>
      <c r="C29" s="9">
        <f t="shared" si="0"/>
        <v>0.11515988517723059</v>
      </c>
      <c r="E29" s="371">
        <v>18</v>
      </c>
      <c r="F29" s="371" t="n">
        <v>100583.0</v>
      </c>
      <c r="G29" s="9">
        <f t="shared" si="1"/>
        <v>0.14413269004389753</v>
      </c>
    </row>
    <row r="30" spans="1:7" x14ac:dyDescent="0.45">
      <c r="A30">
        <v>19</v>
      </c>
      <c r="B30" s="6" t="n">
        <v>31612.4616449513</v>
      </c>
      <c r="C30" s="9">
        <f t="shared" si="0"/>
        <v>4.1201046526931927E-2</v>
      </c>
      <c r="E30" s="371">
        <v>19</v>
      </c>
      <c r="F30" s="371" t="n">
        <v>25742.0</v>
      </c>
      <c r="G30" s="9">
        <f t="shared" si="1"/>
        <v>3.6734474940126528E-2</v>
      </c>
    </row>
    <row r="31" spans="1:7" x14ac:dyDescent="0.45">
      <c r="A31">
        <v>20</v>
      </c>
      <c r="B31" s="6" t="n">
        <v>54635.1204438281</v>
      </c>
      <c r="C31" s="9">
        <f t="shared" si="0"/>
        <v>7.1206860278474809E-2</v>
      </c>
      <c r="E31" s="371">
        <v>20</v>
      </c>
      <c r="F31" s="371" t="n">
        <v>27335.0</v>
      </c>
      <c r="G31" s="9">
        <f t="shared" si="1"/>
        <v>3.7973986210255904E-2</v>
      </c>
    </row>
    <row r="32" spans="1:7" x14ac:dyDescent="0.45">
      <c r="A32">
        <v>21</v>
      </c>
      <c r="B32" s="6" t="n">
        <v>37458.8693573435</v>
      </c>
      <c r="C32" s="9">
        <f t="shared" si="0"/>
        <v>4.8820766840998467E-2</v>
      </c>
      <c r="E32" s="371">
        <v>21</v>
      </c>
      <c r="F32" s="371" t="n">
        <v>28316.0</v>
      </c>
      <c r="G32" s="9">
        <f t="shared" si="1"/>
        <v>4.054144171832505E-2</v>
      </c>
    </row>
    <row r="33" spans="1:7" x14ac:dyDescent="0.45">
      <c r="A33">
        <v>22</v>
      </c>
      <c r="B33" s="6" t="n">
        <v>31731.407208815</v>
      </c>
      <c r="C33" s="9">
        <f t="shared" si="0"/>
        <v>4.1356070256686396E-2</v>
      </c>
      <c r="E33" s="371">
        <v>22</v>
      </c>
      <c r="F33" s="371" t="n">
        <v>29200.0</v>
      </c>
      <c r="G33" s="9">
        <f t="shared" si="1"/>
        <v>4.1011151252268813E-2</v>
      </c>
    </row>
    <row r="34" spans="1:7" x14ac:dyDescent="0.45">
      <c r="A34">
        <v>23</v>
      </c>
      <c r="B34" s="6" t="n">
        <v>14772.7217995797</v>
      </c>
      <c r="C34" s="9">
        <f t="shared" si="0"/>
        <v>1.9253533781388079E-2</v>
      </c>
      <c r="E34" s="371">
        <v>23</v>
      </c>
      <c r="F34" s="371" t="n">
        <v>27698.0</v>
      </c>
      <c r="G34" s="9">
        <f t="shared" si="1"/>
        <v>4.0251497561569642E-2</v>
      </c>
    </row>
    <row r="35" spans="1:7" x14ac:dyDescent="0.45">
      <c r="A35">
        <v>24</v>
      </c>
      <c r="B35" s="6" t="n">
        <v>31128.0315245751</v>
      </c>
      <c r="C35" s="9">
        <f t="shared" si="0"/>
        <v>4.0569680701871141E-2</v>
      </c>
      <c r="E35" s="371">
        <v>24</v>
      </c>
      <c r="F35" s="371" t="n">
        <v>17768.0</v>
      </c>
      <c r="G35" s="9">
        <f t="shared" si="1"/>
        <v>2.3518820275214992E-2</v>
      </c>
    </row>
    <row r="36" spans="1:7" x14ac:dyDescent="0.45">
      <c r="A36">
        <v>25</v>
      </c>
      <c r="B36" s="6" t="n">
        <v>28371.7806369991</v>
      </c>
      <c r="C36" s="9">
        <f t="shared" si="0"/>
        <v>3.6977413122890865E-2</v>
      </c>
      <c r="E36" s="371">
        <v>25</v>
      </c>
      <c r="F36" s="371" t="n">
        <v>17425.0</v>
      </c>
      <c r="G36" s="9">
        <f t="shared" si="1"/>
        <v>2.791002452927566E-2</v>
      </c>
    </row>
    <row r="37" spans="1:7" x14ac:dyDescent="0.45">
      <c r="A37">
        <v>26</v>
      </c>
      <c r="B37" s="6" t="n">
        <v>64619.7916122738</v>
      </c>
      <c r="C37" s="9">
        <f t="shared" si="0"/>
        <v>8.4220048115207127E-2</v>
      </c>
      <c r="E37" s="371">
        <v>26</v>
      </c>
      <c r="F37" s="371" t="n">
        <v>21784.0</v>
      </c>
      <c r="G37" s="9">
        <f t="shared" si="1"/>
        <v>2.3784119178646194E-2</v>
      </c>
    </row>
    <row r="38" spans="1:7" x14ac:dyDescent="0.45">
      <c r="A38">
        <v>27</v>
      </c>
      <c r="B38" s="6" t="n">
        <v>10167.0182195947</v>
      </c>
      <c r="C38" s="9">
        <f t="shared" si="0"/>
        <v>1.3250843778329593E-2</v>
      </c>
      <c r="E38" s="371">
        <v>27</v>
      </c>
      <c r="F38" s="371" t="n">
        <v>9326.0</v>
      </c>
      <c r="G38" s="9">
        <f t="shared" si="1"/>
        <v>1.7282121463406148E-2</v>
      </c>
    </row>
    <row r="39" spans="1:7" x14ac:dyDescent="0.45">
      <c r="A39">
        <v>28</v>
      </c>
      <c r="B39" s="6" t="n">
        <v>18643.895594828</v>
      </c>
      <c r="C39" s="9">
        <f t="shared" si="0"/>
        <v>2.429889891122881E-2</v>
      </c>
      <c r="E39" s="371">
        <v>28</v>
      </c>
      <c r="F39" s="371" t="n">
        <v>11031.0</v>
      </c>
      <c r="G39" s="9">
        <f t="shared" si="1"/>
        <v>2.0961512812632286E-2</v>
      </c>
    </row>
    <row r="40" spans="1:7" x14ac:dyDescent="0.45">
      <c r="A40">
        <v>29</v>
      </c>
      <c r="B40" s="6" t="n">
        <v>15239.4319399969</v>
      </c>
      <c r="C40" s="9">
        <f t="shared" si="0"/>
        <v>1.9861804862137369E-2</v>
      </c>
      <c r="E40" s="371">
        <v>29</v>
      </c>
      <c r="F40" s="371" t="n">
        <v>10119.0</v>
      </c>
      <c r="G40" s="9">
        <f t="shared" si="1"/>
        <v>1.1965995349295726E-2</v>
      </c>
    </row>
    <row r="41" spans="1:7" x14ac:dyDescent="0.45">
      <c r="A41">
        <v>30</v>
      </c>
      <c r="B41" s="6" t="n">
        <v>15823.4782481826</v>
      </c>
      <c r="C41" s="9">
        <f t="shared" si="0"/>
        <v>2.0623002119968915E-2</v>
      </c>
      <c r="E41" s="371">
        <v>30</v>
      </c>
      <c r="F41" s="371" t="n">
        <v>7693.0</v>
      </c>
      <c r="G41" s="9">
        <f t="shared" si="1"/>
        <v>1.1981942277917273E-2</v>
      </c>
    </row>
    <row r="42" spans="1:7" x14ac:dyDescent="0.45">
      <c r="A42">
        <v>31</v>
      </c>
      <c r="B42" s="6" t="n">
        <v>10396.545010251</v>
      </c>
      <c r="C42" s="9">
        <f t="shared" si="0"/>
        <v>1.3549989858353952E-2</v>
      </c>
      <c r="E42" s="371">
        <v>31</v>
      </c>
      <c r="F42" s="371" t="n">
        <v>7821.0</v>
      </c>
      <c r="G42" s="9">
        <f t="shared" si="1"/>
        <v>8.9607241645259118E-3</v>
      </c>
    </row>
    <row r="43" spans="1:7" x14ac:dyDescent="0.45">
      <c r="A43">
        <v>32</v>
      </c>
      <c r="B43" s="6" t="n">
        <v>5242.583758338999</v>
      </c>
      <c r="C43" s="9">
        <f t="shared" si="0"/>
        <v>6.8327465217552664E-3</v>
      </c>
      <c r="E43" s="371">
        <v>32</v>
      </c>
      <c r="F43" s="371" t="n">
        <v>8357.0</v>
      </c>
      <c r="G43" s="9">
        <f t="shared" si="1"/>
        <v>8.9621738853096888E-3</v>
      </c>
    </row>
    <row r="44" spans="1:7" x14ac:dyDescent="0.45">
      <c r="A44">
        <v>33</v>
      </c>
      <c r="B44" s="6" t="n">
        <v>7706.1249305087</v>
      </c>
      <c r="C44" s="9">
        <f t="shared" si="0"/>
        <v>1.0043520665052218E-2</v>
      </c>
      <c r="E44" s="371">
        <v>33</v>
      </c>
      <c r="F44" s="371" t="n">
        <v>7875.0</v>
      </c>
      <c r="G44" s="9">
        <f t="shared" si="1"/>
        <v>1.3962260868556717E-2</v>
      </c>
    </row>
    <row r="45" spans="1:7" x14ac:dyDescent="0.45">
      <c r="A45">
        <v>34</v>
      </c>
      <c r="B45" s="6" t="n">
        <v>18923.6298575146</v>
      </c>
      <c r="C45" s="9">
        <f t="shared" si="0"/>
        <v>2.4663481223785547E-2</v>
      </c>
      <c r="E45" s="371">
        <v>34</v>
      </c>
      <c r="F45" s="371" t="n">
        <v>7945.0</v>
      </c>
      <c r="G45" s="9">
        <f t="shared" si="1"/>
        <v>1.0133548278601542E-2</v>
      </c>
    </row>
    <row r="46" spans="1:7" x14ac:dyDescent="0.45">
      <c r="A46">
        <v>35</v>
      </c>
      <c r="B46" s="6" t="n">
        <v>4831.111649248101</v>
      </c>
      <c r="C46" s="9">
        <f t="shared" si="0"/>
        <v>6.2964680850554015E-3</v>
      </c>
      <c r="E46" s="371">
        <v>35</v>
      </c>
      <c r="F46" s="371" t="n">
        <v>3537.0</v>
      </c>
      <c r="G46" s="9">
        <f t="shared" si="1"/>
        <v>6.8702267943194142E-3</v>
      </c>
    </row>
    <row r="47" spans="1:7" x14ac:dyDescent="0.45">
      <c r="A47">
        <v>36</v>
      </c>
      <c r="B47" s="6" t="n">
        <v>5120.352550202</v>
      </c>
      <c r="C47" s="9">
        <f t="shared" si="0"/>
        <v>6.6734405572259304E-3</v>
      </c>
      <c r="E47" s="371">
        <v>36</v>
      </c>
      <c r="F47" s="371" t="n">
        <v>2798.0</v>
      </c>
      <c r="G47" s="9">
        <f t="shared" si="1"/>
        <v>5.1885506851380428E-3</v>
      </c>
    </row>
    <row r="48" spans="1:7" x14ac:dyDescent="0.45">
      <c r="A48">
        <v>37</v>
      </c>
      <c r="B48" s="6" t="n">
        <v>10336.354495021</v>
      </c>
      <c r="C48" s="9">
        <f t="shared" si="0"/>
        <v>1.3471542559743555E-2</v>
      </c>
      <c r="E48" s="371">
        <v>37</v>
      </c>
      <c r="F48" s="371" t="n">
        <v>2465.0</v>
      </c>
      <c r="G48" s="9">
        <f t="shared" si="1"/>
        <v>5.0624249769494391E-3</v>
      </c>
    </row>
    <row r="49" spans="1:7" x14ac:dyDescent="0.45">
      <c r="A49">
        <v>38</v>
      </c>
      <c r="B49" s="6" t="n">
        <v>14094.3192729302</v>
      </c>
      <c r="C49" s="9">
        <f t="shared" si="0"/>
        <v>1.8369360496232407E-2</v>
      </c>
      <c r="E49" s="371">
        <v>38</v>
      </c>
      <c r="F49" s="371" t="n">
        <v>2766.0</v>
      </c>
      <c r="G49" s="9">
        <f t="shared" si="1"/>
        <v>3.9258438824682365E-3</v>
      </c>
    </row>
    <row r="50" spans="1:7" x14ac:dyDescent="0.45">
      <c r="A50">
        <v>39</v>
      </c>
      <c r="B50" s="6" t="n">
        <v>2088.6286652534</v>
      </c>
      <c r="C50" s="9">
        <f t="shared" si="0"/>
        <v>2.7221444435768056E-3</v>
      </c>
      <c r="E50" s="371">
        <v>39</v>
      </c>
      <c r="F50" s="371" t="n">
        <v>2772.0</v>
      </c>
      <c r="G50" s="9">
        <f t="shared" si="1"/>
        <v>3.4706315563622445E-3</v>
      </c>
    </row>
    <row r="51" spans="1:7" x14ac:dyDescent="0.45">
      <c r="A51">
        <v>40</v>
      </c>
      <c r="B51" s="6" t="n">
        <v>979.7083708764001</v>
      </c>
      <c r="C51" s="9">
        <f t="shared" si="0"/>
        <v>1.2768701983620998E-3</v>
      </c>
      <c r="E51" s="371">
        <v>40</v>
      </c>
      <c r="F51" s="371" t="n">
        <v>2407.0</v>
      </c>
      <c r="G51" s="9">
        <f t="shared" si="1"/>
        <v>4.8667126711395385E-3</v>
      </c>
    </row>
    <row r="52" spans="1:7" x14ac:dyDescent="0.45">
      <c r="A52">
        <v>41</v>
      </c>
      <c r="B52" s="6" t="n">
        <v>7230.856374999999</v>
      </c>
      <c r="C52" s="9">
        <f t="shared" si="0"/>
        <v>9.4240952597096066E-3</v>
      </c>
      <c r="E52" s="371">
        <v>41</v>
      </c>
      <c r="F52" s="371" t="n">
        <v>2047.0</v>
      </c>
      <c r="G52" s="9">
        <f t="shared" si="1"/>
        <v>3.8287125899551747E-3</v>
      </c>
    </row>
    <row r="53" spans="1:7" x14ac:dyDescent="0.45">
      <c r="A53">
        <v>42</v>
      </c>
      <c r="B53" s="6" t="n">
        <v>1286.714125</v>
      </c>
      <c r="C53" s="9">
        <f t="shared" si="0"/>
        <v>1.6769958988452312E-3</v>
      </c>
      <c r="E53" s="371">
        <v>42</v>
      </c>
      <c r="F53" s="371" t="n">
        <v>2434.0</v>
      </c>
      <c r="G53" s="9">
        <f t="shared" si="1"/>
        <v>2.6761845668524242E-3</v>
      </c>
    </row>
    <row r="54" spans="1:7" x14ac:dyDescent="0.45">
      <c r="A54">
        <v>43</v>
      </c>
      <c r="B54" s="6" t="n">
        <v>1173.021376812</v>
      </c>
      <c r="C54" s="9">
        <f t="shared" si="0"/>
        <v>1.5288182510404249E-3</v>
      </c>
      <c r="E54" s="371">
        <v>43</v>
      </c>
      <c r="F54" s="371" t="n">
        <v>2230.0</v>
      </c>
      <c r="G54" s="9">
        <f t="shared" si="1"/>
        <v>2.9675784443916101E-3</v>
      </c>
    </row>
    <row r="55" spans="1:7" x14ac:dyDescent="0.45">
      <c r="A55">
        <v>44</v>
      </c>
      <c r="B55" s="6" t="n">
        <v>984.4543038420001</v>
      </c>
      <c r="C55" s="9">
        <f t="shared" si="0"/>
        <v>1.2830556516534482E-3</v>
      </c>
      <c r="E55" s="371">
        <v>44</v>
      </c>
      <c r="F55" s="371" t="n">
        <v>1449.0</v>
      </c>
      <c r="G55" s="9">
        <f t="shared" si="1"/>
        <v>2.799410833473473E-3</v>
      </c>
    </row>
    <row r="56" spans="1:7" x14ac:dyDescent="0.45">
      <c r="A56">
        <v>45</v>
      </c>
      <c r="B56" s="6" t="n">
        <v>37424.629805929</v>
      </c>
      <c r="C56" s="9">
        <f t="shared" si="0"/>
        <v>4.8776141864723788E-2</v>
      </c>
      <c r="E56" s="371">
        <v>45</v>
      </c>
      <c r="F56" s="371" t="n">
        <v>1173.0</v>
      </c>
      <c r="G56" s="9">
        <f t="shared" si="1"/>
        <v>2.0180113310176461E-3</v>
      </c>
    </row>
    <row r="57" spans="1:7" x14ac:dyDescent="0.45">
      <c r="A57">
        <v>46</v>
      </c>
      <c r="B57" s="6" t="n">
        <v>3725.981646914</v>
      </c>
      <c r="C57" s="9">
        <f t="shared" si="0"/>
        <v>4.8561337904387885E-3</v>
      </c>
      <c r="E57" s="371">
        <v>46</v>
      </c>
      <c r="F57" s="371" t="n">
        <v>1197.0</v>
      </c>
      <c r="G57" s="9">
        <f t="shared" si="1"/>
        <v>1.8309973499104073E-3</v>
      </c>
    </row>
    <row r="58" spans="1:7" x14ac:dyDescent="0.45">
      <c r="A58">
        <v>47</v>
      </c>
      <c r="B58" s="6" t="n">
        <v>4244.099974671</v>
      </c>
      <c r="C58" s="9">
        <f t="shared" si="0"/>
        <v>5.5314060159341281E-3</v>
      </c>
      <c r="E58" s="371">
        <v>47</v>
      </c>
      <c r="F58" s="371" t="n">
        <v>955.0</v>
      </c>
      <c r="G58" s="9">
        <f t="shared" si="1"/>
        <v>1.6642794597760472E-3</v>
      </c>
    </row>
    <row r="59" spans="1:7" x14ac:dyDescent="0.45">
      <c r="A59">
        <v>48</v>
      </c>
      <c r="B59" s="6" t="n">
        <v>2507.59786587</v>
      </c>
      <c r="C59" s="9">
        <f t="shared" si="0"/>
        <v>3.2681939642319885E-3</v>
      </c>
      <c r="E59" s="371">
        <v>48</v>
      </c>
      <c r="F59" s="371" t="n">
        <v>1232.0</v>
      </c>
      <c r="G59" s="9">
        <f t="shared" si="1"/>
        <v>1.7773576809106567E-3</v>
      </c>
    </row>
    <row r="60" spans="1:7" x14ac:dyDescent="0.45">
      <c r="A60">
        <v>49</v>
      </c>
      <c r="B60" s="6" t="n">
        <v>888.702895034</v>
      </c>
      <c r="C60" s="9">
        <f t="shared" si="0"/>
        <v>1.1582612495715798E-3</v>
      </c>
      <c r="E60" s="371">
        <v>49</v>
      </c>
      <c r="F60" s="371" t="n">
        <v>945.0</v>
      </c>
      <c r="G60" s="9">
        <f t="shared" si="1"/>
        <v>1.6570308558571619E-3</v>
      </c>
    </row>
    <row r="61" spans="1:7" x14ac:dyDescent="0.45">
      <c r="A61">
        <v>50</v>
      </c>
      <c r="B61" s="6" t="n">
        <v>354.408375</v>
      </c>
      <c r="C61" s="9">
        <f t="shared" si="0"/>
        <v>4.6190632390190225E-4</v>
      </c>
      <c r="E61" s="371">
        <v>50</v>
      </c>
      <c r="F61" s="371" t="n">
        <v>881.0</v>
      </c>
      <c r="G61" s="9">
        <f t="shared" si="1"/>
        <v>1.4279749720203889E-3</v>
      </c>
    </row>
    <row r="62" spans="1:7" x14ac:dyDescent="0.45">
      <c r="A62">
        <v>51</v>
      </c>
      <c r="B62" s="6" t="n">
        <v>1425.581625</v>
      </c>
      <c r="C62" s="9">
        <f t="shared" si="0"/>
        <v>1.8579842189842444E-3</v>
      </c>
      <c r="E62" s="371">
        <v>51</v>
      </c>
      <c r="F62" s="371" t="n">
        <v>833.0</v>
      </c>
      <c r="G62" s="9">
        <f t="shared" si="1"/>
        <v>1.4120280433988414E-3</v>
      </c>
    </row>
    <row r="63" spans="1:7" x14ac:dyDescent="0.45">
      <c r="A63">
        <v>52</v>
      </c>
      <c r="B63" s="6" t="n">
        <v>1095.81675</v>
      </c>
      <c r="C63" s="9">
        <f t="shared" si="0"/>
        <v>1.4281961781028166E-3</v>
      </c>
      <c r="E63" s="371">
        <v>52</v>
      </c>
      <c r="F63" s="371" t="n">
        <v>910.0</v>
      </c>
      <c r="G63" s="9">
        <f t="shared" si="1"/>
        <v>1.4555196669121526E-3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718.0</v>
      </c>
      <c r="G64" s="9">
        <f t="shared" si="1"/>
        <v>1.2569079195346976E-3</v>
      </c>
    </row>
    <row r="65" spans="1:7" x14ac:dyDescent="0.45">
      <c r="A65">
        <v>54</v>
      </c>
      <c r="B65" s="6" t="n">
        <v>1571.158116612</v>
      </c>
      <c r="C65" s="9">
        <f t="shared" si="0"/>
        <v>2.0477164793661698E-3</v>
      </c>
      <c r="E65" s="371">
        <v>54</v>
      </c>
      <c r="F65" s="371" t="n">
        <v>681.0</v>
      </c>
      <c r="G65" s="9">
        <f t="shared" si="1"/>
        <v>1.2612570818860288E-3</v>
      </c>
    </row>
    <row r="66" spans="1:7" x14ac:dyDescent="0.45">
      <c r="A66">
        <v>55</v>
      </c>
      <c r="B66" s="6" t="n">
        <v>3268.71792537</v>
      </c>
      <c r="C66" s="9">
        <f t="shared" si="0"/>
        <v>4.2601743843663662E-3</v>
      </c>
      <c r="E66" s="371">
        <v>55</v>
      </c>
      <c r="F66" s="371" t="n">
        <v>564.0</v>
      </c>
      <c r="G66" s="9">
        <f t="shared" si="1"/>
        <v>1.3322934002911039E-3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709.0</v>
      </c>
      <c r="G67" s="9">
        <f t="shared" si="1"/>
        <v>1.4192766473177267E-3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465.0</v>
      </c>
      <c r="G68" s="9">
        <f t="shared" si="1"/>
        <v>8.1909224283403012E-4</v>
      </c>
    </row>
    <row r="69" spans="1:7" x14ac:dyDescent="0.45">
      <c r="A69">
        <v>58</v>
      </c>
      <c r="B69" s="6" t="n">
        <v>15.92375</v>
      </c>
      <c r="C69" s="9">
        <f t="shared" si="0"/>
        <v>2.0753687960203866E-5</v>
      </c>
      <c r="E69" s="371">
        <v>58</v>
      </c>
      <c r="F69" s="371" t="n">
        <v>541.0</v>
      </c>
      <c r="G69" s="9">
        <f t="shared" si="1"/>
        <v>9.3941906788752485E-4</v>
      </c>
    </row>
    <row r="70" spans="1:7" x14ac:dyDescent="0.45">
      <c r="A70">
        <v>59</v>
      </c>
      <c r="B70" s="6" t="n">
        <v>651.2942178769999</v>
      </c>
      <c r="C70" s="9">
        <f t="shared" si="0"/>
        <v>8.4884257590732621E-4</v>
      </c>
      <c r="E70" s="371">
        <v>59</v>
      </c>
      <c r="F70" s="371" t="n">
        <v>374.0</v>
      </c>
      <c r="G70" s="9">
        <f t="shared" si="1"/>
        <v>1.1162850035083243E-3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429.0</v>
      </c>
      <c r="G71" s="9">
        <f t="shared" si="1"/>
        <v>6.6542183975366344E-4</v>
      </c>
    </row>
    <row r="72" spans="1:7" x14ac:dyDescent="0.45">
      <c r="A72">
        <v>61</v>
      </c>
      <c r="B72" s="6" t="n">
        <v>6072.2657120416</v>
      </c>
      <c r="C72" s="9">
        <f t="shared" si="0"/>
        <v>7.9140847978118531E-3</v>
      </c>
      <c r="E72" s="371">
        <v>61</v>
      </c>
      <c r="F72" s="371" t="n">
        <v>366.0</v>
      </c>
      <c r="G72" s="9">
        <f t="shared" si="1"/>
        <v>6.3787714486189962E-4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329.0</v>
      </c>
      <c r="G73" s="9">
        <f t="shared" si="1"/>
        <v>6.103324499701358E-4</v>
      </c>
    </row>
    <row r="74" spans="1:7" x14ac:dyDescent="0.45">
      <c r="A74">
        <v>63</v>
      </c>
      <c r="B74" s="6" t="n">
        <v>5.16</v>
      </c>
      <c r="C74" s="9">
        <f t="shared" si="0"/>
        <v>6.7251137373201627E-6</v>
      </c>
      <c r="E74" s="371">
        <v>63</v>
      </c>
      <c r="F74" s="371" t="n">
        <v>325.0</v>
      </c>
      <c r="G74" s="9">
        <f t="shared" si="1"/>
        <v>7.5820396991539425E-4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270.0</v>
      </c>
      <c r="G75" s="9">
        <f t="shared" si="1"/>
        <v>6.7991904759143391E-4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239.0</v>
      </c>
      <c r="G76" s="9">
        <f t="shared" si="1"/>
        <v>5.2914808607862124E-4</v>
      </c>
    </row>
    <row r="77" spans="1:7" x14ac:dyDescent="0.45">
      <c r="A77">
        <v>66</v>
      </c>
      <c r="B77" s="6" t="n">
        <v>1427.72808527</v>
      </c>
      <c r="C77" s="9">
        <f t="shared" ref="C77:C102" si="2">B77/B$102</f>
        <v>1.8607817363192035E-3</v>
      </c>
      <c r="E77" s="371">
        <v>66</v>
      </c>
      <c r="F77" s="371" t="n">
        <v>295.0</v>
      </c>
      <c r="G77" s="9">
        <f t="shared" ref="G77:G102" si="3">F77/F$102</f>
        <v>4.4651400140332972E-4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251.0</v>
      </c>
      <c r="G78" s="9">
        <f t="shared" si="3"/>
        <v>5.1465087824085077E-4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229.0</v>
      </c>
      <c r="G79" s="9">
        <f t="shared" si="3"/>
        <v>3.8272628691713974E-4</v>
      </c>
    </row>
    <row r="80" spans="1:7" x14ac:dyDescent="0.45">
      <c r="A80">
        <v>69</v>
      </c>
      <c r="B80" s="6" t="n">
        <v>1036.537015762</v>
      </c>
      <c r="C80" s="9">
        <f t="shared" si="2"/>
        <v>1.3509359154926109E-3</v>
      </c>
      <c r="E80" s="371">
        <v>69</v>
      </c>
      <c r="F80" s="371" t="n">
        <v>257.0</v>
      </c>
      <c r="G80" s="9">
        <f t="shared" si="3"/>
        <v>4.3636595591689043E-4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292.0</v>
      </c>
      <c r="G81" s="9">
        <f t="shared" si="3"/>
        <v>5.5669278097038506E-4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229.0</v>
      </c>
      <c r="G82" s="9">
        <f t="shared" si="3"/>
        <v>3.7112852064692339E-4</v>
      </c>
    </row>
    <row r="83" spans="1:7" x14ac:dyDescent="0.45">
      <c r="A83">
        <v>72</v>
      </c>
      <c r="B83" s="6" t="n">
        <v>3300.7833570129</v>
      </c>
      <c r="C83" s="9">
        <f t="shared" si="2"/>
        <v>4.3019657942180659E-3</v>
      </c>
      <c r="E83" s="371">
        <v>72</v>
      </c>
      <c r="F83" s="371" t="n">
        <v>252.0</v>
      </c>
      <c r="G83" s="9">
        <f t="shared" si="3"/>
        <v>4.6825981315998537E-4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192.0</v>
      </c>
      <c r="G84" s="9">
        <f t="shared" si="3"/>
        <v>3.4358382575515957E-4</v>
      </c>
    </row>
    <row r="85" spans="1:7" x14ac:dyDescent="0.45">
      <c r="A85">
        <v>74</v>
      </c>
      <c r="B85" s="6" t="n">
        <v>1126.495875</v>
      </c>
      <c r="C85" s="9">
        <f t="shared" si="2"/>
        <v>1.4681807914722863E-3</v>
      </c>
      <c r="E85" s="371">
        <v>74</v>
      </c>
      <c r="F85" s="371" t="n">
        <v>168.0</v>
      </c>
      <c r="G85" s="9">
        <f t="shared" si="3"/>
        <v>3.1168996851206458E-4</v>
      </c>
    </row>
    <row r="86" spans="1:7" x14ac:dyDescent="0.45">
      <c r="A86">
        <v>75</v>
      </c>
      <c r="B86" s="6" t="n">
        <v>970.9034999999999</v>
      </c>
      <c r="C86" s="9">
        <f t="shared" si="2"/>
        <v>1.2653946638492687E-3</v>
      </c>
      <c r="E86" s="371">
        <v>75</v>
      </c>
      <c r="F86" s="371" t="n">
        <v>176.0</v>
      </c>
      <c r="G86" s="9">
        <f t="shared" si="3"/>
        <v>3.2183801399850387E-4</v>
      </c>
    </row>
    <row r="87" spans="1:7" x14ac:dyDescent="0.45">
      <c r="A87">
        <v>76</v>
      </c>
      <c r="B87" s="6" t="n">
        <v>2275.37175</v>
      </c>
      <c r="C87" s="9">
        <f t="shared" si="2"/>
        <v>2.9655298088052747E-3</v>
      </c>
      <c r="E87" s="371">
        <v>76</v>
      </c>
      <c r="F87" s="371" t="n">
        <v>143.0</v>
      </c>
      <c r="G87" s="9">
        <f t="shared" si="3"/>
        <v>3.0444136459317934E-4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171.0</v>
      </c>
      <c r="G88" s="9">
        <f t="shared" si="3"/>
        <v>2.6964806578253029E-4</v>
      </c>
    </row>
    <row r="89" spans="1:7" x14ac:dyDescent="0.45">
      <c r="A89">
        <v>78</v>
      </c>
      <c r="B89" s="6" t="n">
        <v>265.778875</v>
      </c>
      <c r="C89" s="9">
        <f t="shared" si="2"/>
        <v>3.4639402390542606E-4</v>
      </c>
      <c r="E89" s="371">
        <v>78</v>
      </c>
      <c r="F89" s="371" t="n">
        <v>168.0</v>
      </c>
      <c r="G89" s="9">
        <f t="shared" si="3"/>
        <v>3.5808103359292998E-4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117.0</v>
      </c>
      <c r="G90" s="9">
        <f t="shared" si="3"/>
        <v>2.5225141637720577E-4</v>
      </c>
    </row>
    <row r="91" spans="1:7" x14ac:dyDescent="0.45">
      <c r="A91">
        <v>80</v>
      </c>
      <c r="B91" s="6" t="n">
        <v>8712.436162205</v>
      </c>
      <c r="C91" s="9">
        <f t="shared" si="2"/>
        <v>1.1355062813947638E-2</v>
      </c>
      <c r="E91" s="371">
        <v>80</v>
      </c>
      <c r="F91" s="371" t="n">
        <v>112.0</v>
      </c>
      <c r="G91" s="9">
        <f t="shared" si="3"/>
        <v>2.3920392932321236E-4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110.0</v>
      </c>
      <c r="G92" s="9">
        <f t="shared" si="3"/>
        <v>1.6381844856680602E-4</v>
      </c>
    </row>
    <row r="93" spans="1:7" x14ac:dyDescent="0.45">
      <c r="A93">
        <v>82</v>
      </c>
      <c r="B93" s="6" t="n">
        <v>1587.06225</v>
      </c>
      <c r="C93" s="9">
        <f t="shared" si="2"/>
        <v>2.068444600670009E-3</v>
      </c>
      <c r="E93" s="371">
        <v>82</v>
      </c>
      <c r="F93" s="371" t="n">
        <v>104.0</v>
      </c>
      <c r="G93" s="9">
        <f t="shared" si="3"/>
        <v>1.9571230580990102E-4</v>
      </c>
    </row>
    <row r="94" spans="1:7" x14ac:dyDescent="0.45">
      <c r="A94">
        <v>83</v>
      </c>
      <c r="B94" s="6" t="n">
        <v>21.551250000000003</v>
      </c>
      <c r="C94" s="9">
        <f t="shared" si="2"/>
        <v>2.8088102215391702E-5</v>
      </c>
      <c r="E94" s="371">
        <v>83</v>
      </c>
      <c r="F94" s="371" t="n">
        <v>108.0</v>
      </c>
      <c r="G94" s="9">
        <f t="shared" si="3"/>
        <v>1.9571230580990102E-4</v>
      </c>
    </row>
    <row r="95" spans="1:7" x14ac:dyDescent="0.45">
      <c r="A95">
        <v>84</v>
      </c>
      <c r="B95" s="6" t="n">
        <v>736.1920170764</v>
      </c>
      <c r="C95" s="9">
        <f t="shared" si="2"/>
        <v>9.5949128824533681E-4</v>
      </c>
      <c r="E95" s="371">
        <v>84</v>
      </c>
      <c r="F95" s="371" t="n">
        <v>85.0</v>
      </c>
      <c r="G95" s="9">
        <f t="shared" si="3"/>
        <v>1.7976537718835352E-4</v>
      </c>
    </row>
    <row r="96" spans="1:7" x14ac:dyDescent="0.45">
      <c r="A96">
        <v>85</v>
      </c>
      <c r="B96" s="6" t="n">
        <v>176.449698513</v>
      </c>
      <c r="C96" s="9">
        <f t="shared" si="2"/>
        <v>2.299698239177863E-4</v>
      </c>
      <c r="E96" s="371">
        <v>85</v>
      </c>
      <c r="F96" s="371" t="n">
        <v>86.0</v>
      </c>
      <c r="G96" s="9">
        <f t="shared" si="3"/>
        <v>1.8991342267479284E-4</v>
      </c>
    </row>
    <row r="97" spans="1:7" x14ac:dyDescent="0.45">
      <c r="A97">
        <v>86</v>
      </c>
      <c r="B97" s="6" t="n">
        <v>339.706125</v>
      </c>
      <c r="C97" s="9">
        <f t="shared" si="2"/>
        <v>4.4274463718784889E-4</v>
      </c>
      <c r="E97" s="371">
        <v>86</v>
      </c>
      <c r="F97" s="371" t="n">
        <v>62.0</v>
      </c>
      <c r="G97" s="9">
        <f t="shared" si="3"/>
        <v>1.5801956543169785E-4</v>
      </c>
    </row>
    <row r="98" spans="1:7" x14ac:dyDescent="0.45">
      <c r="A98">
        <v>87</v>
      </c>
      <c r="B98" s="6" t="n">
        <v>143.194</v>
      </c>
      <c r="C98" s="9">
        <f t="shared" si="2"/>
        <v>1.8662711947709754E-4</v>
      </c>
      <c r="E98" s="371">
        <v>87</v>
      </c>
      <c r="F98" s="371" t="n">
        <v>101.0</v>
      </c>
      <c r="G98" s="9">
        <f t="shared" si="3"/>
        <v>1.2467598740482583E-4</v>
      </c>
    </row>
    <row r="99" spans="1:7" x14ac:dyDescent="0.45">
      <c r="A99">
        <v>88</v>
      </c>
      <c r="B99" s="6" t="n">
        <v>195.04500000000002</v>
      </c>
      <c r="C99" s="9">
        <f t="shared" si="2"/>
        <v>2.5420538932085487E-4</v>
      </c>
      <c r="E99" s="371">
        <v>88</v>
      </c>
      <c r="F99" s="371" t="n">
        <v>97.0</v>
      </c>
      <c r="G99" s="9">
        <f t="shared" si="3"/>
        <v>1.6236872778302899E-4</v>
      </c>
    </row>
    <row r="100" spans="1:7" x14ac:dyDescent="0.45">
      <c r="A100">
        <v>89</v>
      </c>
      <c r="B100" s="6" t="n">
        <v>3248.298665265</v>
      </c>
      <c r="C100" s="9">
        <f t="shared" si="2"/>
        <v>4.2335616233900005E-3</v>
      </c>
      <c r="E100" s="371">
        <v>89</v>
      </c>
      <c r="F100" s="371" t="n">
        <v>67.0</v>
      </c>
      <c r="G100" s="9">
        <f t="shared" si="3"/>
        <v>1.072793379995013E-4</v>
      </c>
    </row>
    <row r="101" spans="1:7" ht="14.65" thickBot="1" x14ac:dyDescent="0.5">
      <c r="A101" s="1">
        <v>90</v>
      </c>
      <c r="B101" s="7" t="n">
        <v>22389.1394741028</v>
      </c>
      <c r="C101" s="9">
        <f t="shared" si="2"/>
        <v>2.9180137489160055E-2</v>
      </c>
      <c r="E101" s="372">
        <v>90</v>
      </c>
      <c r="F101" s="372" t="n">
        <v>3557.0</v>
      </c>
      <c r="G101" s="9">
        <f t="shared" si="3"/>
        <v>6.059832876188046E-3</v>
      </c>
    </row>
    <row r="102" spans="1:7" x14ac:dyDescent="0.45">
      <c r="B102" s="6">
        <f>SUM(B11:B101)</f>
        <v>767273.26875755819</v>
      </c>
      <c r="C102" s="9">
        <f t="shared" si="2"/>
        <v>1</v>
      </c>
      <c r="F102" s="6">
        <f>SUM(F11:F101)</f>
        <v>689788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10466.6112333718</v>
      </c>
      <c r="C11" s="9">
        <f>B11/B$102</f>
        <v>9.8939778111072942E-3</v>
      </c>
      <c r="E11" s="371">
        <v>0</v>
      </c>
      <c r="F11" s="371" t="n">
        <v>200774.0</v>
      </c>
      <c r="G11" s="9">
        <f>F11/F$102</f>
        <v>0.1588865389949318</v>
      </c>
      <c r="K11" s="6" t="n">
        <v>7.1809751992848</v>
      </c>
      <c r="L11" s="6" t="n">
        <v>5.761429673928851</v>
      </c>
    </row>
    <row r="12" spans="1:12" x14ac:dyDescent="0.45">
      <c r="A12">
        <v>1</v>
      </c>
      <c r="B12" s="6" t="n">
        <v>39557.1044416261</v>
      </c>
      <c r="C12" s="9">
        <f>B12/B$102</f>
        <v>3.7392915900920587E-2</v>
      </c>
      <c r="E12" s="371">
        <v>1</v>
      </c>
      <c r="F12" s="371" t="n">
        <v>174006.0</v>
      </c>
      <c r="G12" s="9">
        <f>F12/F$102</f>
        <v>0.13693849441488692</v>
      </c>
      <c r="K12" s="6"/>
      <c r="L12" s="371"/>
    </row>
    <row r="13" spans="1:12" x14ac:dyDescent="0.45">
      <c r="A13">
        <v>2</v>
      </c>
      <c r="B13" s="6" t="n">
        <v>54142.4247811564</v>
      </c>
      <c r="C13" s="9">
        <f t="shared" ref="C13:C76" si="0">B13/B$102</f>
        <v>5.1180266227556968E-2</v>
      </c>
      <c r="E13" s="371">
        <v>2</v>
      </c>
      <c r="F13" s="371" t="n">
        <v>102704.0</v>
      </c>
      <c r="G13" s="9">
        <f t="shared" ref="G13:G76" si="1">F13/F$102</f>
        <v>8.0130771073400747E-2</v>
      </c>
    </row>
    <row r="14" spans="1:12" x14ac:dyDescent="0.45">
      <c r="A14">
        <v>3</v>
      </c>
      <c r="B14" s="6" t="n">
        <v>99715.6775846301</v>
      </c>
      <c r="C14" s="9">
        <f t="shared" si="0"/>
        <v>9.4260184069532196E-2</v>
      </c>
      <c r="E14" s="371">
        <v>3</v>
      </c>
      <c r="F14" s="371" t="n">
        <v>57000.0</v>
      </c>
      <c r="G14" s="9">
        <f t="shared" si="1"/>
        <v>4.4863713154643332E-2</v>
      </c>
    </row>
    <row r="15" spans="1:12" x14ac:dyDescent="0.45">
      <c r="A15">
        <v>4</v>
      </c>
      <c r="B15" s="6" t="n">
        <v>217088.3909101514</v>
      </c>
      <c r="C15" s="9">
        <f t="shared" si="0"/>
        <v>0.20521137881435314</v>
      </c>
      <c r="E15" s="371">
        <v>4</v>
      </c>
      <c r="F15" s="371" t="n">
        <v>217940.0</v>
      </c>
      <c r="G15" s="9">
        <f t="shared" si="1"/>
        <v>0.17145067954310497</v>
      </c>
    </row>
    <row r="16" spans="1:12" x14ac:dyDescent="0.45">
      <c r="A16">
        <v>5</v>
      </c>
      <c r="B16" s="6" t="n">
        <v>106468.2696968594</v>
      </c>
      <c r="C16" s="9">
        <f t="shared" si="0"/>
        <v>0.10064333856301691</v>
      </c>
      <c r="E16" s="371">
        <v>5</v>
      </c>
      <c r="F16" s="371" t="n">
        <v>101959.0</v>
      </c>
      <c r="G16" s="9">
        <f t="shared" si="1"/>
        <v>7.9221456668095519E-2</v>
      </c>
    </row>
    <row r="17" spans="1:7" x14ac:dyDescent="0.45">
      <c r="A17">
        <v>6</v>
      </c>
      <c r="B17" s="6" t="n">
        <v>128288.5694955839</v>
      </c>
      <c r="C17" s="9">
        <f t="shared" si="0"/>
        <v>0.1212698390823011</v>
      </c>
      <c r="E17" s="371">
        <v>6</v>
      </c>
      <c r="F17" s="371" t="n">
        <v>94067.0</v>
      </c>
      <c r="G17" s="9">
        <f t="shared" si="1"/>
        <v>7.4164281751935249E-2</v>
      </c>
    </row>
    <row r="18" spans="1:7" x14ac:dyDescent="0.45">
      <c r="A18">
        <v>7</v>
      </c>
      <c r="B18" s="6" t="n">
        <v>98195.6020060104</v>
      </c>
      <c r="C18" s="9">
        <f t="shared" si="0"/>
        <v>9.2823272569646065E-2</v>
      </c>
      <c r="E18" s="371">
        <v>7</v>
      </c>
      <c r="F18" s="371" t="n">
        <v>48980.0</v>
      </c>
      <c r="G18" s="9">
        <f t="shared" si="1"/>
        <v>4.1976600519428121E-2</v>
      </c>
    </row>
    <row r="19" spans="1:7" x14ac:dyDescent="0.45">
      <c r="A19">
        <v>8</v>
      </c>
      <c r="B19" s="6" t="n">
        <v>45314.3683036104</v>
      </c>
      <c r="C19" s="9">
        <f t="shared" si="0"/>
        <v>4.2835197039780872E-2</v>
      </c>
      <c r="E19" s="371">
        <v>8</v>
      </c>
      <c r="F19" s="371" t="n">
        <v>46747.0</v>
      </c>
      <c r="G19" s="9">
        <f t="shared" si="1"/>
        <v>3.6822505610328043E-2</v>
      </c>
    </row>
    <row r="20" spans="1:7" x14ac:dyDescent="0.45">
      <c r="A20">
        <v>9</v>
      </c>
      <c r="B20" s="6" t="n">
        <v>27253.4347309712</v>
      </c>
      <c r="C20" s="9">
        <f t="shared" si="0"/>
        <v>2.5762385980760683E-2</v>
      </c>
      <c r="E20" s="371">
        <v>9</v>
      </c>
      <c r="F20" s="371" t="n">
        <v>26233.0</v>
      </c>
      <c r="G20" s="9">
        <f t="shared" si="1"/>
        <v>2.1468172419879472E-2</v>
      </c>
    </row>
    <row r="21" spans="1:7" x14ac:dyDescent="0.45">
      <c r="A21">
        <v>10</v>
      </c>
      <c r="B21" s="6" t="n">
        <v>81068.7198098024</v>
      </c>
      <c r="C21" s="9">
        <f t="shared" si="0"/>
        <v>7.66334104791878E-2</v>
      </c>
      <c r="E21" s="371">
        <v>10</v>
      </c>
      <c r="F21" s="371" t="n">
        <v>25159.0</v>
      </c>
      <c r="G21" s="9">
        <f t="shared" si="1"/>
        <v>1.8744169041075166E-2</v>
      </c>
    </row>
    <row r="22" spans="1:7" x14ac:dyDescent="0.45">
      <c r="A22">
        <v>11</v>
      </c>
      <c r="B22" s="6" t="n">
        <v>18477.2165717487</v>
      </c>
      <c r="C22" s="9">
        <f t="shared" si="0"/>
        <v>1.7466319011546272E-2</v>
      </c>
      <c r="E22" s="371">
        <v>11</v>
      </c>
      <c r="F22" s="371" t="n">
        <v>26454.0</v>
      </c>
      <c r="G22" s="9">
        <f t="shared" si="1"/>
        <v>1.7514151894904056E-2</v>
      </c>
    </row>
    <row r="23" spans="1:7" x14ac:dyDescent="0.45">
      <c r="A23">
        <v>12</v>
      </c>
      <c r="B23" s="6" t="n">
        <v>14914.571673058</v>
      </c>
      <c r="C23" s="9">
        <f t="shared" si="0"/>
        <v>1.4098588158592343E-2</v>
      </c>
      <c r="E23" s="371">
        <v>12</v>
      </c>
      <c r="F23" s="371" t="n">
        <v>14738.0</v>
      </c>
      <c r="G23" s="9">
        <f t="shared" si="1"/>
        <v>1.3729544365717744E-2</v>
      </c>
    </row>
    <row r="24" spans="1:7" x14ac:dyDescent="0.45">
      <c r="A24">
        <v>13</v>
      </c>
      <c r="B24" s="6" t="n">
        <v>7862.5209421001</v>
      </c>
      <c r="C24" s="9">
        <f t="shared" si="0"/>
        <v>7.432358573945465E-3</v>
      </c>
      <c r="E24" s="371">
        <v>13</v>
      </c>
      <c r="F24" s="371" t="n">
        <v>16035.0</v>
      </c>
      <c r="G24" s="9">
        <f t="shared" si="1"/>
        <v>1.1803751985677903E-2</v>
      </c>
    </row>
    <row r="25" spans="1:7" x14ac:dyDescent="0.45">
      <c r="A25">
        <v>14</v>
      </c>
      <c r="B25" s="6" t="n">
        <v>6573.9158034752</v>
      </c>
      <c r="C25" s="9">
        <f t="shared" si="0"/>
        <v>6.214253653015255E-3</v>
      </c>
      <c r="E25" s="371">
        <v>14</v>
      </c>
      <c r="F25" s="371" t="n">
        <v>12517.0</v>
      </c>
      <c r="G25" s="9">
        <f t="shared" si="1"/>
        <v>1.2065357169873168E-2</v>
      </c>
    </row>
    <row r="26" spans="1:7" x14ac:dyDescent="0.45">
      <c r="A26">
        <v>15</v>
      </c>
      <c r="B26" s="6" t="n">
        <v>8375.370734679</v>
      </c>
      <c r="C26" s="9">
        <f t="shared" si="0"/>
        <v>7.9171501034166515E-3</v>
      </c>
      <c r="E26" s="371">
        <v>15</v>
      </c>
      <c r="F26" s="371" t="n">
        <v>13355.0</v>
      </c>
      <c r="G26" s="9">
        <f t="shared" si="1"/>
        <v>1.1717075569227665E-2</v>
      </c>
    </row>
    <row r="27" spans="1:7" x14ac:dyDescent="0.45">
      <c r="A27">
        <v>16</v>
      </c>
      <c r="B27" s="6" t="n">
        <v>8083.615957657</v>
      </c>
      <c r="C27" s="9">
        <f t="shared" si="0"/>
        <v>7.6413573730115579E-3</v>
      </c>
      <c r="E27" s="371">
        <v>16</v>
      </c>
      <c r="F27" s="371" t="n">
        <v>15008.0</v>
      </c>
      <c r="G27" s="9">
        <f t="shared" si="1"/>
        <v>1.0587130285685468E-2</v>
      </c>
    </row>
    <row r="28" spans="1:7" x14ac:dyDescent="0.45">
      <c r="A28">
        <v>17</v>
      </c>
      <c r="B28" s="6" t="n">
        <v>15335.6177776513</v>
      </c>
      <c r="C28" s="9">
        <f t="shared" si="0"/>
        <v>1.4496598624770445E-2</v>
      </c>
      <c r="E28" s="371">
        <v>17</v>
      </c>
      <c r="F28" s="371" t="n">
        <v>9981.0</v>
      </c>
      <c r="G28" s="9">
        <f t="shared" si="1"/>
        <v>5.653666254822361E-3</v>
      </c>
    </row>
    <row r="29" spans="1:7" x14ac:dyDescent="0.45">
      <c r="A29">
        <v>18</v>
      </c>
      <c r="B29" s="6" t="n">
        <v>14530.707275524499</v>
      </c>
      <c r="C29" s="9">
        <f t="shared" si="0"/>
        <v>1.373572517008646E-2</v>
      </c>
      <c r="E29" s="371">
        <v>18</v>
      </c>
      <c r="F29" s="371" t="n">
        <v>7307.0</v>
      </c>
      <c r="G29" s="9">
        <f t="shared" si="1"/>
        <v>6.1343263824100453E-3</v>
      </c>
    </row>
    <row r="30" spans="1:7" x14ac:dyDescent="0.45">
      <c r="A30">
        <v>19</v>
      </c>
      <c r="B30" s="6" t="n">
        <v>5507.7932496141</v>
      </c>
      <c r="C30" s="9">
        <f t="shared" si="0"/>
        <v>5.2064591857677424E-3</v>
      </c>
      <c r="E30" s="371">
        <v>19</v>
      </c>
      <c r="F30" s="371" t="n">
        <v>6379.0</v>
      </c>
      <c r="G30" s="9">
        <f t="shared" si="1"/>
        <v>6.0909881741849263E-3</v>
      </c>
    </row>
    <row r="31" spans="1:7" x14ac:dyDescent="0.45">
      <c r="A31">
        <v>20</v>
      </c>
      <c r="B31" s="6" t="n">
        <v>7605.5514679267</v>
      </c>
      <c r="C31" s="9">
        <f t="shared" si="0"/>
        <v>7.1894480254484335E-3</v>
      </c>
      <c r="E31" s="371">
        <v>20</v>
      </c>
      <c r="F31" s="371" t="n">
        <v>6239.0</v>
      </c>
      <c r="G31" s="9">
        <f t="shared" si="1"/>
        <v>5.0248682518469956E-3</v>
      </c>
    </row>
    <row r="32" spans="1:7" x14ac:dyDescent="0.45">
      <c r="A32">
        <v>21</v>
      </c>
      <c r="B32" s="6" t="n">
        <v>5584.8051845071</v>
      </c>
      <c r="C32" s="9">
        <f t="shared" si="0"/>
        <v>5.2792577600180562E-3</v>
      </c>
      <c r="E32" s="371">
        <v>21</v>
      </c>
      <c r="F32" s="371" t="n">
        <v>4667.0</v>
      </c>
      <c r="G32" s="9">
        <f t="shared" si="1"/>
        <v>3.8145502912327591E-3</v>
      </c>
    </row>
    <row r="33" spans="1:7" x14ac:dyDescent="0.45">
      <c r="A33">
        <v>22</v>
      </c>
      <c r="B33" s="6" t="n">
        <v>4037.8169359228</v>
      </c>
      <c r="C33" s="9">
        <f t="shared" si="0"/>
        <v>3.8169059955104096E-3</v>
      </c>
      <c r="E33" s="371">
        <v>22</v>
      </c>
      <c r="F33" s="371" t="n">
        <v>4304.0</v>
      </c>
      <c r="G33" s="9">
        <f t="shared" si="1"/>
        <v>2.8650495473915125E-3</v>
      </c>
    </row>
    <row r="34" spans="1:7" x14ac:dyDescent="0.45">
      <c r="A34">
        <v>23</v>
      </c>
      <c r="B34" s="6" t="n">
        <v>7120.012683989</v>
      </c>
      <c r="C34" s="9">
        <f t="shared" si="0"/>
        <v>6.7304733059714355E-3</v>
      </c>
      <c r="E34" s="371">
        <v>23</v>
      </c>
      <c r="F34" s="371" t="n">
        <v>3808.0</v>
      </c>
      <c r="G34" s="9">
        <f t="shared" si="1"/>
        <v>3.1699929398118962E-3</v>
      </c>
    </row>
    <row r="35" spans="1:7" x14ac:dyDescent="0.45">
      <c r="A35">
        <v>24</v>
      </c>
      <c r="B35" s="6" t="n">
        <v>1879.5049007177</v>
      </c>
      <c r="C35" s="9">
        <f t="shared" si="0"/>
        <v>1.7766762678905524E-3</v>
      </c>
      <c r="E35" s="371">
        <v>24</v>
      </c>
      <c r="F35" s="371" t="n">
        <v>3589.0</v>
      </c>
      <c r="G35" s="9">
        <f t="shared" si="1"/>
        <v>3.016339292468292E-3</v>
      </c>
    </row>
    <row r="36" spans="1:7" x14ac:dyDescent="0.45">
      <c r="A36">
        <v>25</v>
      </c>
      <c r="B36" s="6" t="n">
        <v>1572.4291990000002</v>
      </c>
      <c r="C36" s="9">
        <f t="shared" si="0"/>
        <v>1.4864008280769374E-3</v>
      </c>
      <c r="E36" s="371">
        <v>25</v>
      </c>
      <c r="F36" s="371" t="n">
        <v>3971.0</v>
      </c>
      <c r="G36" s="9">
        <f t="shared" si="1"/>
        <v>3.475724299654555E-3</v>
      </c>
    </row>
    <row r="37" spans="1:7" x14ac:dyDescent="0.45">
      <c r="A37">
        <v>26</v>
      </c>
      <c r="B37" s="6" t="n">
        <v>501.90882972869997</v>
      </c>
      <c r="C37" s="9">
        <f t="shared" si="0"/>
        <v>4.7444915205232467E-4</v>
      </c>
      <c r="E37" s="371">
        <v>26</v>
      </c>
      <c r="F37" s="371" t="n">
        <v>2687.0</v>
      </c>
      <c r="G37" s="9">
        <f t="shared" si="1"/>
        <v>2.3048047101540633E-3</v>
      </c>
    </row>
    <row r="38" spans="1:7" x14ac:dyDescent="0.45">
      <c r="A38">
        <v>27</v>
      </c>
      <c r="B38" s="6" t="n">
        <v>3553.514310411</v>
      </c>
      <c r="C38" s="9">
        <f t="shared" si="0"/>
        <v>3.359099803626934E-3</v>
      </c>
      <c r="E38" s="371">
        <v>27</v>
      </c>
      <c r="F38" s="371" t="n">
        <v>2491.0</v>
      </c>
      <c r="G38" s="9">
        <f t="shared" si="1"/>
        <v>2.1346037469426862E-3</v>
      </c>
    </row>
    <row r="39" spans="1:7" x14ac:dyDescent="0.45">
      <c r="A39">
        <v>28</v>
      </c>
      <c r="B39" s="6" t="n">
        <v>1914.148334722</v>
      </c>
      <c r="C39" s="9">
        <f t="shared" si="0"/>
        <v>1.8094243426682076E-3</v>
      </c>
      <c r="E39" s="371">
        <v>28</v>
      </c>
      <c r="F39" s="371" t="n">
        <v>1923.0</v>
      </c>
      <c r="G39" s="9">
        <f t="shared" si="1"/>
        <v>1.7351042638493153E-3</v>
      </c>
    </row>
    <row r="40" spans="1:7" x14ac:dyDescent="0.45">
      <c r="A40">
        <v>29</v>
      </c>
      <c r="B40" s="6" t="n">
        <v>566.9640321649999</v>
      </c>
      <c r="C40" s="9">
        <f t="shared" si="0"/>
        <v>5.3594515252950044E-4</v>
      </c>
      <c r="E40" s="371">
        <v>29</v>
      </c>
      <c r="F40" s="371" t="n">
        <v>2412.0</v>
      </c>
      <c r="G40" s="9">
        <f t="shared" si="1"/>
        <v>1.538112408280592E-3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1613.0</v>
      </c>
      <c r="G41" s="9">
        <f t="shared" si="1"/>
        <v>1.3032981164426737E-3</v>
      </c>
    </row>
    <row r="42" spans="1:7" x14ac:dyDescent="0.45">
      <c r="A42">
        <v>31</v>
      </c>
      <c r="B42" s="6" t="n">
        <v>248.2721366571</v>
      </c>
      <c r="C42" s="9">
        <f t="shared" si="0"/>
        <v>2.3468904657216553E-4</v>
      </c>
      <c r="E42" s="371">
        <v>31</v>
      </c>
      <c r="F42" s="371" t="n">
        <v>1371.0</v>
      </c>
      <c r="G42" s="9">
        <f t="shared" si="1"/>
        <v>1.2922665725308253E-3</v>
      </c>
    </row>
    <row r="43" spans="1:7" x14ac:dyDescent="0.45">
      <c r="A43">
        <v>32</v>
      </c>
      <c r="B43" s="6" t="n">
        <v>159.396922991</v>
      </c>
      <c r="C43" s="9">
        <f t="shared" si="0"/>
        <v>1.5067623933555445E-4</v>
      </c>
      <c r="E43" s="371">
        <v>32</v>
      </c>
      <c r="F43" s="371" t="n">
        <v>1270.0</v>
      </c>
      <c r="G43" s="9">
        <f t="shared" si="1"/>
        <v>1.0015065937113896E-3</v>
      </c>
    </row>
    <row r="44" spans="1:7" x14ac:dyDescent="0.45">
      <c r="A44">
        <v>33</v>
      </c>
      <c r="B44" s="6" t="n">
        <v>995.222815242</v>
      </c>
      <c r="C44" s="9">
        <f t="shared" si="0"/>
        <v>9.4077368802203821E-4</v>
      </c>
      <c r="E44" s="371">
        <v>33</v>
      </c>
      <c r="F44" s="371" t="n">
        <v>891.0</v>
      </c>
      <c r="G44" s="9">
        <f t="shared" si="1"/>
        <v>8.7227993645830706E-4</v>
      </c>
    </row>
    <row r="45" spans="1:7" x14ac:dyDescent="0.45">
      <c r="A45">
        <v>34</v>
      </c>
      <c r="B45" s="6" t="n">
        <v>8406.9105220392</v>
      </c>
      <c r="C45" s="9">
        <f t="shared" si="0"/>
        <v>7.9469643335768284E-3</v>
      </c>
      <c r="E45" s="371">
        <v>34</v>
      </c>
      <c r="F45" s="371" t="n">
        <v>932.0</v>
      </c>
      <c r="G45" s="9">
        <f t="shared" si="1"/>
        <v>9.1010237272750195E-4</v>
      </c>
    </row>
    <row r="46" spans="1:7" x14ac:dyDescent="0.45">
      <c r="A46">
        <v>35</v>
      </c>
      <c r="B46" s="6" t="n">
        <v>596.97480037</v>
      </c>
      <c r="C46" s="9">
        <f t="shared" si="0"/>
        <v>5.6431401692066409E-4</v>
      </c>
      <c r="E46" s="371">
        <v>35</v>
      </c>
      <c r="F46" s="371" t="n">
        <v>785.0</v>
      </c>
      <c r="G46" s="9">
        <f t="shared" si="1"/>
        <v>5.9570337123981943E-4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1024.0</v>
      </c>
      <c r="G47" s="9">
        <f t="shared" si="1"/>
        <v>7.477810837388739E-4</v>
      </c>
    </row>
    <row r="48" spans="1:7" x14ac:dyDescent="0.45">
      <c r="A48">
        <v>37</v>
      </c>
      <c r="B48" s="6" t="n">
        <v>205.011586153</v>
      </c>
      <c r="C48" s="9">
        <f t="shared" si="0"/>
        <v>1.9379530195507745E-4</v>
      </c>
      <c r="E48" s="371">
        <v>37</v>
      </c>
      <c r="F48" s="371" t="n">
        <v>769.0</v>
      </c>
      <c r="G48" s="9">
        <f t="shared" si="1"/>
        <v>6.3904157946493862E-4</v>
      </c>
    </row>
    <row r="49" spans="1:7" x14ac:dyDescent="0.45">
      <c r="A49">
        <v>38</v>
      </c>
      <c r="B49" s="6" t="n">
        <v>1198.864695919</v>
      </c>
      <c r="C49" s="9">
        <f t="shared" si="0"/>
        <v>1.1332742217579535E-3</v>
      </c>
      <c r="E49" s="371">
        <v>38</v>
      </c>
      <c r="F49" s="371" t="n">
        <v>706.0</v>
      </c>
      <c r="G49" s="9">
        <f t="shared" si="1"/>
        <v>5.9097556670617015E-4</v>
      </c>
    </row>
    <row r="50" spans="1:7" x14ac:dyDescent="0.45">
      <c r="A50">
        <v>39</v>
      </c>
      <c r="B50" s="6" t="n">
        <v>1778.0579449699999</v>
      </c>
      <c r="C50" s="9">
        <f t="shared" si="0"/>
        <v>1.680779524733428E-3</v>
      </c>
      <c r="E50" s="371">
        <v>39</v>
      </c>
      <c r="F50" s="371" t="n">
        <v>468.0</v>
      </c>
      <c r="G50" s="9">
        <f t="shared" si="1"/>
        <v>4.4598956100758971E-4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388.0</v>
      </c>
      <c r="G51" s="9">
        <f t="shared" si="1"/>
        <v>3.5773720971280166E-4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387.0</v>
      </c>
      <c r="G52" s="9">
        <f t="shared" si="1"/>
        <v>2.9863965304218463E-4</v>
      </c>
    </row>
    <row r="53" spans="1:7" x14ac:dyDescent="0.45">
      <c r="A53">
        <v>42</v>
      </c>
      <c r="B53" s="6" t="n">
        <v>317.065697077</v>
      </c>
      <c r="C53" s="9">
        <f t="shared" si="0"/>
        <v>2.9971887763834642E-4</v>
      </c>
      <c r="E53" s="371">
        <v>42</v>
      </c>
      <c r="F53" s="371" t="n">
        <v>319.0</v>
      </c>
      <c r="G53" s="9">
        <f t="shared" si="1"/>
        <v>2.3245038957109358E-4</v>
      </c>
    </row>
    <row r="54" spans="1:7" x14ac:dyDescent="0.45">
      <c r="A54">
        <v>43</v>
      </c>
      <c r="B54" s="6" t="n">
        <v>794.0327051950001</v>
      </c>
      <c r="C54" s="9">
        <f t="shared" si="0"/>
        <v>7.5059078734521689E-4</v>
      </c>
      <c r="E54" s="371">
        <v>43</v>
      </c>
      <c r="F54" s="371" t="n">
        <v>202.0</v>
      </c>
      <c r="G54" s="9">
        <f t="shared" si="1"/>
        <v>2.2063087823697016E-4</v>
      </c>
    </row>
    <row r="55" spans="1:7" x14ac:dyDescent="0.45">
      <c r="A55">
        <v>44</v>
      </c>
      <c r="B55" s="6" t="n">
        <v>387.674382174</v>
      </c>
      <c r="C55" s="9">
        <f t="shared" si="0"/>
        <v>3.6646452702233793E-4</v>
      </c>
      <c r="E55" s="371">
        <v>44</v>
      </c>
      <c r="F55" s="371" t="n">
        <v>209.0</v>
      </c>
      <c r="G55" s="9">
        <f t="shared" si="1"/>
        <v>1.6626112610000252E-4</v>
      </c>
    </row>
    <row r="56" spans="1:7" x14ac:dyDescent="0.45">
      <c r="A56">
        <v>45</v>
      </c>
      <c r="B56" s="6" t="n">
        <v>343.963060963</v>
      </c>
      <c r="C56" s="9">
        <f t="shared" si="0"/>
        <v>3.2514467358430246E-4</v>
      </c>
      <c r="E56" s="371">
        <v>45</v>
      </c>
      <c r="F56" s="371" t="n">
        <v>233.0</v>
      </c>
      <c r="G56" s="9">
        <f t="shared" si="1"/>
        <v>1.7098893063365188E-4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179.0</v>
      </c>
      <c r="G57" s="9">
        <f t="shared" si="1"/>
        <v>1.6074535414407827E-4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195.0</v>
      </c>
      <c r="G58" s="9">
        <f t="shared" si="1"/>
        <v>1.5522958218815402E-4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100.0</v>
      </c>
      <c r="G59" s="9">
        <f t="shared" si="1"/>
        <v>8.1160644494314026E-5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112.0</v>
      </c>
      <c r="G60" s="9">
        <f t="shared" si="1"/>
        <v>1.079515368516604E-4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116.0</v>
      </c>
      <c r="G61" s="9">
        <f t="shared" si="1"/>
        <v>7.4856905116114873E-5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91.0</v>
      </c>
      <c r="G62" s="9">
        <f t="shared" si="1"/>
        <v>7.5644872538389776E-5</v>
      </c>
    </row>
    <row r="63" spans="1:7" x14ac:dyDescent="0.45">
      <c r="A63">
        <v>52</v>
      </c>
      <c r="B63" s="6" t="n">
        <v>554.661229397</v>
      </c>
      <c r="C63" s="9">
        <f t="shared" si="0"/>
        <v>5.2431544212113866E-4</v>
      </c>
      <c r="E63" s="371">
        <v>52</v>
      </c>
      <c r="F63" s="371" t="n">
        <v>55.0</v>
      </c>
      <c r="G63" s="9">
        <f t="shared" si="1"/>
        <v>6.0673491515166797E-5</v>
      </c>
    </row>
    <row r="64" spans="1:7" x14ac:dyDescent="0.45">
      <c r="A64">
        <v>53</v>
      </c>
      <c r="B64" s="6" t="n">
        <v>4.59375</v>
      </c>
      <c r="C64" s="9">
        <f t="shared" si="0"/>
        <v>4.3424236896140404E-6</v>
      </c>
      <c r="E64" s="371">
        <v>53</v>
      </c>
      <c r="F64" s="371" t="n">
        <v>69.0</v>
      </c>
      <c r="G64" s="9">
        <f t="shared" si="1"/>
        <v>4.4126175647394034E-5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53.0</v>
      </c>
      <c r="G65" s="9">
        <f t="shared" si="1"/>
        <v>5.6733654403792332E-5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37.0</v>
      </c>
      <c r="G66" s="9">
        <f t="shared" si="1"/>
        <v>2.8366827201896166E-5</v>
      </c>
    </row>
    <row r="67" spans="1:7" x14ac:dyDescent="0.45">
      <c r="A67">
        <v>56</v>
      </c>
      <c r="B67" s="6" t="n">
        <v>248.013120292</v>
      </c>
      <c r="C67" s="9">
        <f t="shared" si="0"/>
        <v>2.3444420111914612E-4</v>
      </c>
      <c r="E67" s="371">
        <v>56</v>
      </c>
      <c r="F67" s="371" t="n">
        <v>38.0</v>
      </c>
      <c r="G67" s="9">
        <f t="shared" si="1"/>
        <v>4.0974305958294457E-5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26.0</v>
      </c>
      <c r="G68" s="9">
        <f t="shared" si="1"/>
        <v>3.1518696890995735E-5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23.0</v>
      </c>
      <c r="G69" s="9">
        <f t="shared" si="1"/>
        <v>3.2306664313270631E-5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29.0</v>
      </c>
      <c r="G70" s="9">
        <f t="shared" si="1"/>
        <v>1.8911218134597444E-5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28.0</v>
      </c>
      <c r="G71" s="9">
        <f t="shared" si="1"/>
        <v>2.0487152979147229E-5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21.0</v>
      </c>
      <c r="G72" s="9">
        <f t="shared" si="1"/>
        <v>7.8796742227489338E-6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21.0</v>
      </c>
      <c r="G73" s="9">
        <f t="shared" si="1"/>
        <v>1.6547315867772763E-5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10.0</v>
      </c>
      <c r="G74" s="9">
        <f t="shared" si="1"/>
        <v>1.2607478756398295E-5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6.0</v>
      </c>
      <c r="G75" s="9">
        <f t="shared" si="1"/>
        <v>3.9398371113744669E-6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4.0</v>
      </c>
      <c r="G76" s="9">
        <f t="shared" si="1"/>
        <v>1.1819511334123402E-5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5.0</v>
      </c>
      <c r="G77" s="9">
        <f t="shared" ref="G77:G102" si="3">F77/F$102</f>
        <v>9.455609067298722E-6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6.0</v>
      </c>
      <c r="G78" s="9">
        <f t="shared" si="3"/>
        <v>6.3037393781991474E-6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8.0</v>
      </c>
      <c r="G79" s="9">
        <f t="shared" si="3"/>
        <v>6.3037393781991474E-6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3.0</v>
      </c>
      <c r="G80" s="9">
        <f t="shared" si="3"/>
        <v>6.3037393781991474E-6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4.727804533649361E-6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7.0</v>
      </c>
      <c r="G82" s="9">
        <f t="shared" si="3"/>
        <v>9.455609067298722E-6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6.0</v>
      </c>
      <c r="G83" s="9">
        <f t="shared" si="3"/>
        <v>6.3037393781991474E-6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2.0</v>
      </c>
      <c r="G84" s="9">
        <f t="shared" si="3"/>
        <v>6.3037393781991474E-6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2.3639022668246805E-6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3.0</v>
      </c>
      <c r="G86" s="9">
        <f t="shared" si="3"/>
        <v>2.3639022668246805E-6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2.3639022668246805E-6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7.8796742227489343E-7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1.5759348445497869E-6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7.8796742227489343E-7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1.0</v>
      </c>
      <c r="G92" s="9">
        <f t="shared" si="3"/>
        <v>7.8796742227489343E-7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7.8796742227489343E-7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7.8796742227489343E-7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7.8796742227489343E-7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81.0922660552</v>
      </c>
      <c r="C101" s="9">
        <f t="shared" si="2"/>
        <v>7.6655668497977681E-5</v>
      </c>
      <c r="E101" s="372">
        <v>90</v>
      </c>
      <c r="F101" s="372" t="n">
        <v>0.0</v>
      </c>
      <c r="G101" s="9">
        <f t="shared" si="3"/>
        <v>7.8796742227489343E-7</v>
      </c>
    </row>
    <row r="102" spans="1:7" x14ac:dyDescent="0.45">
      <c r="B102" s="6">
        <f>SUM(B11:B101)</f>
        <v>1057876.9664938655</v>
      </c>
      <c r="C102" s="9">
        <f t="shared" si="2"/>
        <v>1</v>
      </c>
      <c r="F102" s="6">
        <f>SUM(F11:F101)</f>
        <v>1269088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workbookViewId="0">
      <selection activeCell="D5" sqref="D5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6385.0</v>
      </c>
      <c r="G11" s="9">
        <f>F11/F$102</f>
        <v>5.0477193070929674E-3</v>
      </c>
      <c r="K11" s="6" t="n">
        <v>27.870650947995546</v>
      </c>
      <c r="L11" s="6" t="n">
        <v>19.816983492257037</v>
      </c>
    </row>
    <row r="12" spans="1:12" x14ac:dyDescent="0.4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28875.0</v>
      </c>
      <c r="G12" s="9">
        <f>F12/F$102</f>
        <v>2.2620180791245368E-2</v>
      </c>
      <c r="K12" s="6"/>
      <c r="L12" s="371"/>
    </row>
    <row r="13" spans="1:12" x14ac:dyDescent="0.45">
      <c r="A13">
        <v>2</v>
      </c>
      <c r="B13" s="6" t="n">
        <v>0.0</v>
      </c>
      <c r="C13" s="9">
        <f t="shared" ref="C13:C76" si="0">B13/B$102</f>
        <v>0</v>
      </c>
      <c r="E13" s="371">
        <v>2</v>
      </c>
      <c r="F13" s="371" t="n">
        <v>36485.0</v>
      </c>
      <c r="G13" s="9">
        <f t="shared" ref="G13:G76" si="1">F13/F$102</f>
        <v>2.8912100658110392E-2</v>
      </c>
    </row>
    <row r="14" spans="1:12" x14ac:dyDescent="0.45">
      <c r="A14">
        <v>3</v>
      </c>
      <c r="B14" s="6" t="n">
        <v>0.0</v>
      </c>
      <c r="C14" s="9">
        <f t="shared" si="0"/>
        <v>0</v>
      </c>
      <c r="E14" s="371">
        <v>3</v>
      </c>
      <c r="F14" s="371" t="n">
        <v>40822.0</v>
      </c>
      <c r="G14" s="9">
        <f t="shared" si="1"/>
        <v>3.2400432436521347E-2</v>
      </c>
    </row>
    <row r="15" spans="1:12" x14ac:dyDescent="0.45">
      <c r="A15">
        <v>4</v>
      </c>
      <c r="B15" s="6" t="n">
        <v>3620.656085424</v>
      </c>
      <c r="C15" s="9">
        <f t="shared" si="0"/>
        <v>3.4225682192741019E-3</v>
      </c>
      <c r="E15" s="371">
        <v>4</v>
      </c>
      <c r="F15" s="371" t="n">
        <v>42090.0</v>
      </c>
      <c r="G15" s="9">
        <f t="shared" si="1"/>
        <v>3.2930734511712349E-2</v>
      </c>
    </row>
    <row r="16" spans="1:12" x14ac:dyDescent="0.45">
      <c r="A16">
        <v>5</v>
      </c>
      <c r="B16" s="6" t="n">
        <v>7542.3713051774</v>
      </c>
      <c r="C16" s="9">
        <f t="shared" si="0"/>
        <v>7.129724480319454E-3</v>
      </c>
      <c r="E16" s="371">
        <v>5</v>
      </c>
      <c r="F16" s="371" t="n">
        <v>41849.0</v>
      </c>
      <c r="G16" s="9">
        <f t="shared" si="1"/>
        <v>3.2740834362944102E-2</v>
      </c>
    </row>
    <row r="17" spans="1:7" x14ac:dyDescent="0.45">
      <c r="A17">
        <v>6</v>
      </c>
      <c r="B17" s="6" t="n">
        <v>6222.6398090858</v>
      </c>
      <c r="C17" s="9">
        <f t="shared" si="0"/>
        <v>5.8821961401707866E-3</v>
      </c>
      <c r="E17" s="371">
        <v>6</v>
      </c>
      <c r="F17" s="371" t="n">
        <v>39827.0</v>
      </c>
      <c r="G17" s="9">
        <f t="shared" si="1"/>
        <v>3.1340616253561611E-2</v>
      </c>
    </row>
    <row r="18" spans="1:7" x14ac:dyDescent="0.45">
      <c r="A18">
        <v>7</v>
      </c>
      <c r="B18" s="6" t="n">
        <v>7881.9899745837</v>
      </c>
      <c r="C18" s="9">
        <f t="shared" si="0"/>
        <v>7.4507624461349889E-3</v>
      </c>
      <c r="E18" s="371">
        <v>7</v>
      </c>
      <c r="F18" s="371" t="n">
        <v>37082.0</v>
      </c>
      <c r="G18" s="9">
        <f t="shared" si="1"/>
        <v>2.9428219319700445E-2</v>
      </c>
    </row>
    <row r="19" spans="1:7" x14ac:dyDescent="0.45">
      <c r="A19">
        <v>8</v>
      </c>
      <c r="B19" s="6" t="n">
        <v>2675.7242799043</v>
      </c>
      <c r="C19" s="9">
        <f t="shared" si="0"/>
        <v>2.5293340952232696E-3</v>
      </c>
      <c r="E19" s="371">
        <v>8</v>
      </c>
      <c r="F19" s="371" t="n">
        <v>34336.0</v>
      </c>
      <c r="G19" s="9">
        <f t="shared" si="1"/>
        <v>2.7050921606697094E-2</v>
      </c>
    </row>
    <row r="20" spans="1:7" x14ac:dyDescent="0.45">
      <c r="A20">
        <v>9</v>
      </c>
      <c r="B20" s="6" t="n">
        <v>18229.0749238751</v>
      </c>
      <c r="C20" s="9">
        <f t="shared" si="0"/>
        <v>1.7231753314652397E-2</v>
      </c>
      <c r="E20" s="371">
        <v>9</v>
      </c>
      <c r="F20" s="371" t="n">
        <v>31287.0</v>
      </c>
      <c r="G20" s="9">
        <f t="shared" si="1"/>
        <v>2.463974129453592E-2</v>
      </c>
    </row>
    <row r="21" spans="1:7" x14ac:dyDescent="0.45">
      <c r="A21">
        <v>10</v>
      </c>
      <c r="B21" s="6" t="n">
        <v>4413.4429977131</v>
      </c>
      <c r="C21" s="9">
        <f t="shared" si="0"/>
        <v>4.1719813716529107E-3</v>
      </c>
      <c r="E21" s="371">
        <v>10</v>
      </c>
      <c r="F21" s="371" t="n">
        <v>28057.0</v>
      </c>
      <c r="G21" s="9">
        <f t="shared" si="1"/>
        <v>2.1842456945460047E-2</v>
      </c>
    </row>
    <row r="22" spans="1:7" x14ac:dyDescent="0.45">
      <c r="A22">
        <v>11</v>
      </c>
      <c r="B22" s="6" t="n">
        <v>12626.0867669773</v>
      </c>
      <c r="C22" s="9">
        <f t="shared" si="0"/>
        <v>1.1935307381560716E-2</v>
      </c>
      <c r="E22" s="371">
        <v>11</v>
      </c>
      <c r="F22" s="371" t="n">
        <v>25409.0</v>
      </c>
      <c r="G22" s="9">
        <f t="shared" si="1"/>
        <v>1.9815016767946746E-2</v>
      </c>
    </row>
    <row r="23" spans="1:7" x14ac:dyDescent="0.45">
      <c r="A23">
        <v>12</v>
      </c>
      <c r="B23" s="6" t="n">
        <v>23387.3166716432</v>
      </c>
      <c r="C23" s="9">
        <f t="shared" si="0"/>
        <v>2.2107785132288164E-2</v>
      </c>
      <c r="E23" s="371">
        <v>12</v>
      </c>
      <c r="F23" s="371" t="n">
        <v>23333.0</v>
      </c>
      <c r="G23" s="9">
        <f t="shared" si="1"/>
        <v>1.8349397362515445E-2</v>
      </c>
    </row>
    <row r="24" spans="1:7" x14ac:dyDescent="0.45">
      <c r="A24">
        <v>13</v>
      </c>
      <c r="B24" s="6" t="n">
        <v>12949.9770066397</v>
      </c>
      <c r="C24" s="9">
        <f t="shared" si="0"/>
        <v>1.2241477427720122E-2</v>
      </c>
      <c r="E24" s="371">
        <v>13</v>
      </c>
      <c r="F24" s="371" t="n">
        <v>20997.0</v>
      </c>
      <c r="G24" s="9">
        <f t="shared" si="1"/>
        <v>1.6112357850677023E-2</v>
      </c>
    </row>
    <row r="25" spans="1:7" x14ac:dyDescent="0.45">
      <c r="A25">
        <v>14</v>
      </c>
      <c r="B25" s="6" t="n">
        <v>15178.1371244086</v>
      </c>
      <c r="C25" s="9">
        <f t="shared" si="0"/>
        <v>1.4347733815127552E-2</v>
      </c>
      <c r="E25" s="371">
        <v>14</v>
      </c>
      <c r="F25" s="371" t="n">
        <v>20062.0</v>
      </c>
      <c r="G25" s="9">
        <f t="shared" si="1"/>
        <v>1.586572404750498E-2</v>
      </c>
    </row>
    <row r="26" spans="1:7" x14ac:dyDescent="0.45">
      <c r="A26">
        <v>15</v>
      </c>
      <c r="B26" s="6" t="n">
        <v>9120.4719065157</v>
      </c>
      <c r="C26" s="9">
        <f t="shared" si="0"/>
        <v>8.6214864255375421E-3</v>
      </c>
      <c r="E26" s="371">
        <v>15</v>
      </c>
      <c r="F26" s="371" t="n">
        <v>17662.0</v>
      </c>
      <c r="G26" s="9">
        <f t="shared" si="1"/>
        <v>1.4288213268110644E-2</v>
      </c>
    </row>
    <row r="27" spans="1:7" x14ac:dyDescent="0.45">
      <c r="A27">
        <v>16</v>
      </c>
      <c r="B27" s="6" t="n">
        <v>51255.4482004861</v>
      </c>
      <c r="C27" s="9">
        <f t="shared" si="0"/>
        <v>4.8451237548315873E-2</v>
      </c>
      <c r="E27" s="371">
        <v>16</v>
      </c>
      <c r="F27" s="371" t="n">
        <v>16031.0</v>
      </c>
      <c r="G27" s="9">
        <f t="shared" si="1"/>
        <v>1.2455401043899242E-2</v>
      </c>
    </row>
    <row r="28" spans="1:7" x14ac:dyDescent="0.45">
      <c r="A28">
        <v>17</v>
      </c>
      <c r="B28" s="6" t="n">
        <v>17417.583552539</v>
      </c>
      <c r="C28" s="9">
        <f t="shared" si="0"/>
        <v>1.6464659033333807E-2</v>
      </c>
      <c r="E28" s="371">
        <v>17</v>
      </c>
      <c r="F28" s="371" t="n">
        <v>14572.0</v>
      </c>
      <c r="G28" s="9">
        <f t="shared" si="1"/>
        <v>1.1809267757633829E-2</v>
      </c>
    </row>
    <row r="29" spans="1:7" x14ac:dyDescent="0.45">
      <c r="A29">
        <v>18</v>
      </c>
      <c r="B29" s="6" t="n">
        <v>101429.3662688418</v>
      </c>
      <c r="C29" s="9">
        <f t="shared" si="0"/>
        <v>9.5880116007261526E-2</v>
      </c>
      <c r="E29" s="371">
        <v>18</v>
      </c>
      <c r="F29" s="371" t="n">
        <v>156344.0</v>
      </c>
      <c r="G29" s="9">
        <f t="shared" si="1"/>
        <v>0.12391575682694975</v>
      </c>
    </row>
    <row r="30" spans="1:7" x14ac:dyDescent="0.45">
      <c r="A30">
        <v>19</v>
      </c>
      <c r="B30" s="6" t="n">
        <v>37545.1815227686</v>
      </c>
      <c r="C30" s="9">
        <f t="shared" si="0"/>
        <v>3.5491066269459512E-2</v>
      </c>
      <c r="E30" s="371">
        <v>19</v>
      </c>
      <c r="F30" s="371" t="n">
        <v>50348.0</v>
      </c>
      <c r="G30" s="9">
        <f t="shared" si="1"/>
        <v>3.9091851786479739E-2</v>
      </c>
    </row>
    <row r="31" spans="1:7" x14ac:dyDescent="0.45">
      <c r="A31">
        <v>20</v>
      </c>
      <c r="B31" s="6" t="n">
        <v>67631.6781277034</v>
      </c>
      <c r="C31" s="9">
        <f t="shared" si="0"/>
        <v>6.3931515922740864E-2</v>
      </c>
      <c r="E31" s="371">
        <v>20</v>
      </c>
      <c r="F31" s="371" t="n">
        <v>50409.0</v>
      </c>
      <c r="G31" s="9">
        <f t="shared" si="1"/>
        <v>3.8904315539978314E-2</v>
      </c>
    </row>
    <row r="32" spans="1:7" x14ac:dyDescent="0.45">
      <c r="A32">
        <v>21</v>
      </c>
      <c r="B32" s="6" t="n">
        <v>70153.9611869897</v>
      </c>
      <c r="C32" s="9">
        <f t="shared" si="0"/>
        <v>6.631580364161041E-2</v>
      </c>
      <c r="E32" s="371">
        <v>21</v>
      </c>
      <c r="F32" s="371" t="n">
        <v>55326.0</v>
      </c>
      <c r="G32" s="9">
        <f t="shared" si="1"/>
        <v>4.3419368869613457E-2</v>
      </c>
    </row>
    <row r="33" spans="1:7" x14ac:dyDescent="0.45">
      <c r="A33">
        <v>22</v>
      </c>
      <c r="B33" s="6" t="n">
        <v>46369.8836390479</v>
      </c>
      <c r="C33" s="9">
        <f t="shared" si="0"/>
        <v>4.3832964614715204E-2</v>
      </c>
      <c r="E33" s="371">
        <v>22</v>
      </c>
      <c r="F33" s="371" t="n">
        <v>52199.0</v>
      </c>
      <c r="G33" s="9">
        <f t="shared" si="1"/>
        <v>4.1266641871958443E-2</v>
      </c>
    </row>
    <row r="34" spans="1:7" x14ac:dyDescent="0.45">
      <c r="A34">
        <v>23</v>
      </c>
      <c r="B34" s="6" t="n">
        <v>29488.5335246482</v>
      </c>
      <c r="C34" s="9">
        <f t="shared" si="0"/>
        <v>2.7875201425721922E-2</v>
      </c>
      <c r="E34" s="371">
        <v>23</v>
      </c>
      <c r="F34" s="371" t="n">
        <v>45004.0</v>
      </c>
      <c r="G34" s="9">
        <f t="shared" si="1"/>
        <v>3.5550726190776372E-2</v>
      </c>
    </row>
    <row r="35" spans="1:7" x14ac:dyDescent="0.45">
      <c r="A35">
        <v>24</v>
      </c>
      <c r="B35" s="6" t="n">
        <v>45932.6956219355</v>
      </c>
      <c r="C35" s="9">
        <f t="shared" si="0"/>
        <v>4.3419695367950734E-2</v>
      </c>
      <c r="E35" s="371">
        <v>24</v>
      </c>
      <c r="F35" s="371" t="n">
        <v>28100.0</v>
      </c>
      <c r="G35" s="9">
        <f t="shared" si="1"/>
        <v>2.2674550543382334E-2</v>
      </c>
    </row>
    <row r="36" spans="1:7" x14ac:dyDescent="0.45">
      <c r="A36">
        <v>25</v>
      </c>
      <c r="B36" s="6" t="n">
        <v>48437.8541634628</v>
      </c>
      <c r="C36" s="9">
        <f t="shared" si="0"/>
        <v>4.5787795459807518E-2</v>
      </c>
      <c r="E36" s="371">
        <v>25</v>
      </c>
      <c r="F36" s="371" t="n">
        <v>28730.0</v>
      </c>
      <c r="G36" s="9">
        <f t="shared" si="1"/>
        <v>2.2351483900249627E-2</v>
      </c>
    </row>
    <row r="37" spans="1:7" x14ac:dyDescent="0.45">
      <c r="A37">
        <v>26</v>
      </c>
      <c r="B37" s="6" t="n">
        <v>59061.4590367405</v>
      </c>
      <c r="C37" s="9">
        <f t="shared" si="0"/>
        <v>5.5830177711958869E-2</v>
      </c>
      <c r="E37" s="371">
        <v>26</v>
      </c>
      <c r="F37" s="371" t="n">
        <v>28995.0</v>
      </c>
      <c r="G37" s="9">
        <f t="shared" si="1"/>
        <v>2.1793602965279005E-2</v>
      </c>
    </row>
    <row r="38" spans="1:7" x14ac:dyDescent="0.45">
      <c r="A38">
        <v>27</v>
      </c>
      <c r="B38" s="6" t="n">
        <v>15320.281746426599</v>
      </c>
      <c r="C38" s="9">
        <f t="shared" si="0"/>
        <v>1.4482101635318505E-2</v>
      </c>
      <c r="E38" s="371">
        <v>27</v>
      </c>
      <c r="F38" s="371" t="n">
        <v>21414.0</v>
      </c>
      <c r="G38" s="9">
        <f t="shared" si="1"/>
        <v>1.5869663884616355E-2</v>
      </c>
    </row>
    <row r="39" spans="1:7" x14ac:dyDescent="0.45">
      <c r="A39">
        <v>28</v>
      </c>
      <c r="B39" s="6" t="n">
        <v>36574.7358172345</v>
      </c>
      <c r="C39" s="9">
        <f t="shared" si="0"/>
        <v>3.4573714123348927E-2</v>
      </c>
      <c r="E39" s="371">
        <v>28</v>
      </c>
      <c r="F39" s="371" t="n">
        <v>18322.0</v>
      </c>
      <c r="G39" s="9">
        <f t="shared" si="1"/>
        <v>1.9610145238155272E-2</v>
      </c>
    </row>
    <row r="40" spans="1:7" x14ac:dyDescent="0.45">
      <c r="A40">
        <v>29</v>
      </c>
      <c r="B40" s="6" t="n">
        <v>33985.9146658792</v>
      </c>
      <c r="C40" s="9">
        <f t="shared" si="0"/>
        <v>3.2126528643986935E-2</v>
      </c>
      <c r="E40" s="371">
        <v>29</v>
      </c>
      <c r="F40" s="371" t="n">
        <v>20746.0</v>
      </c>
      <c r="G40" s="9">
        <f t="shared" si="1"/>
        <v>1.2954972389621523E-2</v>
      </c>
    </row>
    <row r="41" spans="1:7" x14ac:dyDescent="0.45">
      <c r="A41">
        <v>30</v>
      </c>
      <c r="B41" s="6" t="n">
        <v>12283.6655400336</v>
      </c>
      <c r="C41" s="9">
        <f t="shared" si="0"/>
        <v>1.1611620187502045E-2</v>
      </c>
      <c r="E41" s="371">
        <v>30</v>
      </c>
      <c r="F41" s="371" t="n">
        <v>17232.0</v>
      </c>
      <c r="G41" s="9">
        <f t="shared" si="1"/>
        <v>1.4427683501853299E-2</v>
      </c>
    </row>
    <row r="42" spans="1:7" x14ac:dyDescent="0.45">
      <c r="A42">
        <v>31</v>
      </c>
      <c r="B42" s="6" t="n">
        <v>13162.7490806478</v>
      </c>
      <c r="C42" s="9">
        <f t="shared" si="0"/>
        <v>1.2442608637442265E-2</v>
      </c>
      <c r="E42" s="371">
        <v>31</v>
      </c>
      <c r="F42" s="371" t="n">
        <v>16490.0</v>
      </c>
      <c r="G42" s="9">
        <f t="shared" si="1"/>
        <v>1.057767467661817E-2</v>
      </c>
    </row>
    <row r="43" spans="1:7" x14ac:dyDescent="0.45">
      <c r="A43">
        <v>32</v>
      </c>
      <c r="B43" s="6" t="n">
        <v>11171.254456136001</v>
      </c>
      <c r="C43" s="9">
        <f t="shared" si="0"/>
        <v>1.056006965834696E-2</v>
      </c>
      <c r="E43" s="371">
        <v>32</v>
      </c>
      <c r="F43" s="371" t="n">
        <v>13426.0</v>
      </c>
      <c r="G43" s="9">
        <f t="shared" si="1"/>
        <v>9.2940757457323688E-3</v>
      </c>
    </row>
    <row r="44" spans="1:7" x14ac:dyDescent="0.45">
      <c r="A44">
        <v>33</v>
      </c>
      <c r="B44" s="6" t="n">
        <v>8758.0753049534</v>
      </c>
      <c r="C44" s="9">
        <f t="shared" si="0"/>
        <v>8.2789167193803165E-3</v>
      </c>
      <c r="E44" s="371">
        <v>33</v>
      </c>
      <c r="F44" s="371" t="n">
        <v>18447.0</v>
      </c>
      <c r="G44" s="9">
        <f t="shared" si="1"/>
        <v>1.5537929599838624E-2</v>
      </c>
    </row>
    <row r="45" spans="1:7" x14ac:dyDescent="0.45">
      <c r="A45">
        <v>34</v>
      </c>
      <c r="B45" s="6" t="n">
        <v>23050.9459723271</v>
      </c>
      <c r="C45" s="9">
        <f t="shared" si="0"/>
        <v>2.1789817438529847E-2</v>
      </c>
      <c r="E45" s="371">
        <v>34</v>
      </c>
      <c r="F45" s="371" t="n">
        <v>15756.0</v>
      </c>
      <c r="G45" s="9">
        <f t="shared" si="1"/>
        <v>1.3760275095186465E-2</v>
      </c>
    </row>
    <row r="46" spans="1:7" x14ac:dyDescent="0.45">
      <c r="A46">
        <v>35</v>
      </c>
      <c r="B46" s="6" t="n">
        <v>5432.8250615608995</v>
      </c>
      <c r="C46" s="9">
        <f t="shared" si="0"/>
        <v>5.1355925439675407E-3</v>
      </c>
      <c r="E46" s="371">
        <v>35</v>
      </c>
      <c r="F46" s="371" t="n">
        <v>10453.0</v>
      </c>
      <c r="G46" s="9">
        <f t="shared" si="1"/>
        <v>9.0624133235835489E-3</v>
      </c>
    </row>
    <row r="47" spans="1:7" x14ac:dyDescent="0.45">
      <c r="A47">
        <v>36</v>
      </c>
      <c r="B47" s="6" t="n">
        <v>5624.4591422459</v>
      </c>
      <c r="C47" s="9">
        <f t="shared" si="0"/>
        <v>5.3167422303248644E-3</v>
      </c>
      <c r="E47" s="371">
        <v>36</v>
      </c>
      <c r="F47" s="371" t="n">
        <v>6541.0</v>
      </c>
      <c r="G47" s="9">
        <f t="shared" si="1"/>
        <v>5.6749413752237828E-3</v>
      </c>
    </row>
    <row r="48" spans="1:7" x14ac:dyDescent="0.45">
      <c r="A48">
        <v>37</v>
      </c>
      <c r="B48" s="6" t="n">
        <v>12997.6701667856</v>
      </c>
      <c r="C48" s="9">
        <f t="shared" si="0"/>
        <v>1.2286561271736473E-2</v>
      </c>
      <c r="E48" s="371">
        <v>37</v>
      </c>
      <c r="F48" s="371" t="n">
        <v>6424.0</v>
      </c>
      <c r="G48" s="9">
        <f t="shared" si="1"/>
        <v>7.2390567084394467E-3</v>
      </c>
    </row>
    <row r="49" spans="1:7" x14ac:dyDescent="0.45">
      <c r="A49">
        <v>38</v>
      </c>
      <c r="B49" s="6" t="n">
        <v>9411.4750738144</v>
      </c>
      <c r="C49" s="9">
        <f t="shared" si="0"/>
        <v>8.8965686671550852E-3</v>
      </c>
      <c r="E49" s="371">
        <v>38</v>
      </c>
      <c r="F49" s="371" t="n">
        <v>8713.0</v>
      </c>
      <c r="G49" s="9">
        <f t="shared" si="1"/>
        <v>5.1083927986081343E-3</v>
      </c>
    </row>
    <row r="50" spans="1:7" x14ac:dyDescent="0.45">
      <c r="A50">
        <v>39</v>
      </c>
      <c r="B50" s="6" t="n">
        <v>7727.5744554382</v>
      </c>
      <c r="C50" s="9">
        <f t="shared" si="0"/>
        <v>7.3047950756029685E-3</v>
      </c>
      <c r="E50" s="371">
        <v>39</v>
      </c>
      <c r="F50" s="371" t="n">
        <v>7543.0</v>
      </c>
      <c r="G50" s="9">
        <f t="shared" si="1"/>
        <v>6.5251582238583924E-3</v>
      </c>
    </row>
    <row r="51" spans="1:7" x14ac:dyDescent="0.45">
      <c r="A51">
        <v>40</v>
      </c>
      <c r="B51" s="6" t="n">
        <v>3135.403119001</v>
      </c>
      <c r="C51" s="9">
        <f t="shared" si="0"/>
        <v>2.9638636800957134E-3</v>
      </c>
      <c r="E51" s="371">
        <v>40</v>
      </c>
      <c r="F51" s="371" t="n">
        <v>5206.0</v>
      </c>
      <c r="G51" s="9">
        <f t="shared" si="1"/>
        <v>4.422073173806702E-3</v>
      </c>
    </row>
    <row r="52" spans="1:7" x14ac:dyDescent="0.45">
      <c r="A52">
        <v>41</v>
      </c>
      <c r="B52" s="6" t="n">
        <v>5144.8998927865</v>
      </c>
      <c r="C52" s="9">
        <f t="shared" si="0"/>
        <v>4.8634199020688587E-3</v>
      </c>
      <c r="E52" s="371">
        <v>41</v>
      </c>
      <c r="F52" s="371" t="n">
        <v>7816.0</v>
      </c>
      <c r="G52" s="9">
        <f t="shared" si="1"/>
        <v>5.4984366726342068E-3</v>
      </c>
    </row>
    <row r="53" spans="1:7" x14ac:dyDescent="0.45">
      <c r="A53">
        <v>42</v>
      </c>
      <c r="B53" s="6" t="n">
        <v>4072.705030728</v>
      </c>
      <c r="C53" s="9">
        <f t="shared" si="0"/>
        <v>3.849885345576824E-3</v>
      </c>
      <c r="E53" s="371">
        <v>42</v>
      </c>
      <c r="F53" s="371" t="n">
        <v>5769.0</v>
      </c>
      <c r="G53" s="9">
        <f t="shared" si="1"/>
        <v>4.2093219697924809E-3</v>
      </c>
    </row>
    <row r="54" spans="1:7" x14ac:dyDescent="0.45">
      <c r="A54">
        <v>43</v>
      </c>
      <c r="B54" s="6" t="n">
        <v>1761.3130128939</v>
      </c>
      <c r="C54" s="9">
        <f t="shared" si="0"/>
        <v>1.6649507160851039E-3</v>
      </c>
      <c r="E54" s="371">
        <v>43</v>
      </c>
      <c r="F54" s="371" t="n">
        <v>4582.0</v>
      </c>
      <c r="G54" s="9">
        <f t="shared" si="1"/>
        <v>3.8531606949242288E-3</v>
      </c>
    </row>
    <row r="55" spans="1:7" x14ac:dyDescent="0.45">
      <c r="A55">
        <v>44</v>
      </c>
      <c r="B55" s="6" t="n">
        <v>4141.045858618</v>
      </c>
      <c r="C55" s="9">
        <f t="shared" si="0"/>
        <v>3.9144872133313538E-3</v>
      </c>
      <c r="E55" s="371">
        <v>44</v>
      </c>
      <c r="F55" s="371" t="n">
        <v>4105.0</v>
      </c>
      <c r="G55" s="9">
        <f t="shared" si="1"/>
        <v>3.8232179328777831E-3</v>
      </c>
    </row>
    <row r="56" spans="1:7" x14ac:dyDescent="0.45">
      <c r="A56">
        <v>45</v>
      </c>
      <c r="B56" s="6" t="n">
        <v>60659.8314405733</v>
      </c>
      <c r="C56" s="9">
        <f t="shared" si="0"/>
        <v>5.7341102379437264E-2</v>
      </c>
      <c r="E56" s="371">
        <v>45</v>
      </c>
      <c r="F56" s="371" t="n">
        <v>4632.0</v>
      </c>
      <c r="G56" s="9">
        <f t="shared" si="1"/>
        <v>3.9390491439521922E-3</v>
      </c>
    </row>
    <row r="57" spans="1:7" x14ac:dyDescent="0.45">
      <c r="A57">
        <v>46</v>
      </c>
      <c r="B57" s="6" t="n">
        <v>4799.9777341679</v>
      </c>
      <c r="C57" s="9">
        <f t="shared" si="0"/>
        <v>4.5373686035310151E-3</v>
      </c>
      <c r="E57" s="371">
        <v>46</v>
      </c>
      <c r="F57" s="371" t="n">
        <v>3385.0</v>
      </c>
      <c r="G57" s="9">
        <f t="shared" si="1"/>
        <v>3.1518696890995737E-3</v>
      </c>
    </row>
    <row r="58" spans="1:7" x14ac:dyDescent="0.45">
      <c r="A58">
        <v>47</v>
      </c>
      <c r="B58" s="6" t="n">
        <v>565.4195504258</v>
      </c>
      <c r="C58" s="9">
        <f t="shared" si="0"/>
        <v>5.3448517014202191E-4</v>
      </c>
      <c r="E58" s="371">
        <v>47</v>
      </c>
      <c r="F58" s="371" t="n">
        <v>2721.0</v>
      </c>
      <c r="G58" s="9">
        <f t="shared" si="1"/>
        <v>2.7106079326256337E-3</v>
      </c>
    </row>
    <row r="59" spans="1:7" x14ac:dyDescent="0.45">
      <c r="A59">
        <v>48</v>
      </c>
      <c r="B59" s="6" t="n">
        <v>7566.1829402107005</v>
      </c>
      <c r="C59" s="9">
        <f t="shared" si="0"/>
        <v>7.152233369148199E-3</v>
      </c>
      <c r="E59" s="371">
        <v>48</v>
      </c>
      <c r="F59" s="371" t="n">
        <v>4465.0</v>
      </c>
      <c r="G59" s="9">
        <f t="shared" si="1"/>
        <v>2.6680576918227893E-3</v>
      </c>
    </row>
    <row r="60" spans="1:7" x14ac:dyDescent="0.45">
      <c r="A60">
        <v>49</v>
      </c>
      <c r="B60" s="6" t="n">
        <v>2735.2235946668</v>
      </c>
      <c r="C60" s="9">
        <f t="shared" si="0"/>
        <v>2.5855781733599733E-3</v>
      </c>
      <c r="E60" s="371">
        <v>49</v>
      </c>
      <c r="F60" s="371" t="n">
        <v>3525.0</v>
      </c>
      <c r="G60" s="9">
        <f t="shared" si="1"/>
        <v>3.5269421821024233E-3</v>
      </c>
    </row>
    <row r="61" spans="1:7" x14ac:dyDescent="0.45">
      <c r="A61">
        <v>50</v>
      </c>
      <c r="B61" s="6" t="n">
        <v>324.775829405</v>
      </c>
      <c r="C61" s="9">
        <f t="shared" si="0"/>
        <v>3.0700718485383827E-4</v>
      </c>
      <c r="E61" s="371">
        <v>50</v>
      </c>
      <c r="F61" s="371" t="n">
        <v>3038.0</v>
      </c>
      <c r="G61" s="9">
        <f t="shared" si="1"/>
        <v>2.4174840515393732E-3</v>
      </c>
    </row>
    <row r="62" spans="1:7" x14ac:dyDescent="0.45">
      <c r="A62">
        <v>51</v>
      </c>
      <c r="B62" s="6" t="n">
        <v>3048.658339682</v>
      </c>
      <c r="C62" s="9">
        <f t="shared" si="0"/>
        <v>2.881864750100575E-3</v>
      </c>
      <c r="E62" s="371">
        <v>51</v>
      </c>
      <c r="F62" s="371" t="n">
        <v>2360.0</v>
      </c>
      <c r="G62" s="9">
        <f t="shared" si="1"/>
        <v>2.0881136690284676E-3</v>
      </c>
    </row>
    <row r="63" spans="1:7" x14ac:dyDescent="0.45">
      <c r="A63">
        <v>52</v>
      </c>
      <c r="B63" s="6" t="n">
        <v>554.764035533</v>
      </c>
      <c r="C63" s="9">
        <f t="shared" si="0"/>
        <v>5.24412623683131E-4</v>
      </c>
      <c r="E63" s="371">
        <v>52</v>
      </c>
      <c r="F63" s="371" t="n">
        <v>2262.0</v>
      </c>
      <c r="G63" s="9">
        <f t="shared" si="1"/>
        <v>1.9541592072417359E-3</v>
      </c>
    </row>
    <row r="64" spans="1:7" x14ac:dyDescent="0.45">
      <c r="A64">
        <v>53</v>
      </c>
      <c r="B64" s="6" t="n">
        <v>1326.9797182303</v>
      </c>
      <c r="C64" s="9">
        <f t="shared" si="0"/>
        <v>1.2543800085073448E-3</v>
      </c>
      <c r="E64" s="371">
        <v>53</v>
      </c>
      <c r="F64" s="371" t="n">
        <v>2294.0</v>
      </c>
      <c r="G64" s="9">
        <f t="shared" si="1"/>
        <v>1.4002181093824857E-3</v>
      </c>
    </row>
    <row r="65" spans="1:7" x14ac:dyDescent="0.45">
      <c r="A65">
        <v>54</v>
      </c>
      <c r="B65" s="6" t="n">
        <v>1072.7020327311</v>
      </c>
      <c r="C65" s="9">
        <f t="shared" si="0"/>
        <v>1.0140139796089602E-3</v>
      </c>
      <c r="E65" s="371">
        <v>54</v>
      </c>
      <c r="F65" s="371" t="n">
        <v>2079.0</v>
      </c>
      <c r="G65" s="9">
        <f t="shared" si="1"/>
        <v>1.6421241080208781E-3</v>
      </c>
    </row>
    <row r="66" spans="1:7" x14ac:dyDescent="0.45">
      <c r="A66">
        <v>55</v>
      </c>
      <c r="B66" s="6" t="n">
        <v>2021.44678769</v>
      </c>
      <c r="C66" s="9">
        <f t="shared" si="0"/>
        <v>1.9108524447693615E-3</v>
      </c>
      <c r="E66" s="371">
        <v>55</v>
      </c>
      <c r="F66" s="371" t="n">
        <v>2072.0</v>
      </c>
      <c r="G66" s="9">
        <f t="shared" si="1"/>
        <v>1.6673390655336745E-3</v>
      </c>
    </row>
    <row r="67" spans="1:7" x14ac:dyDescent="0.45">
      <c r="A67">
        <v>56</v>
      </c>
      <c r="B67" s="6" t="n">
        <v>68.8733229496</v>
      </c>
      <c r="C67" s="9">
        <f t="shared" si="0"/>
        <v>6.5105229748850323E-5</v>
      </c>
      <c r="E67" s="371">
        <v>56</v>
      </c>
      <c r="F67" s="371" t="n">
        <v>2125.0</v>
      </c>
      <c r="G67" s="9">
        <f t="shared" si="1"/>
        <v>1.4679833076981265E-3</v>
      </c>
    </row>
    <row r="68" spans="1:7" x14ac:dyDescent="0.45">
      <c r="A68">
        <v>57</v>
      </c>
      <c r="B68" s="6" t="n">
        <v>5831.556239654</v>
      </c>
      <c r="C68" s="9">
        <f t="shared" si="0"/>
        <v>5.5125089441937598E-3</v>
      </c>
      <c r="E68" s="371">
        <v>57</v>
      </c>
      <c r="F68" s="371" t="n">
        <v>1311.0</v>
      </c>
      <c r="G68" s="9">
        <f t="shared" si="1"/>
        <v>1.065331954915656E-3</v>
      </c>
    </row>
    <row r="69" spans="1:7" x14ac:dyDescent="0.45">
      <c r="A69">
        <v>58</v>
      </c>
      <c r="B69" s="6" t="n">
        <v>1680.9734764976001</v>
      </c>
      <c r="C69" s="9">
        <f t="shared" si="0"/>
        <v>1.5890065950380505E-3</v>
      </c>
      <c r="E69" s="371">
        <v>58</v>
      </c>
      <c r="F69" s="371" t="n">
        <v>1235.0</v>
      </c>
      <c r="G69" s="9">
        <f t="shared" si="1"/>
        <v>1.3056620187094985E-3</v>
      </c>
    </row>
    <row r="70" spans="1:7" x14ac:dyDescent="0.45">
      <c r="A70">
        <v>59</v>
      </c>
      <c r="B70" s="6" t="n">
        <v>1054.82463615</v>
      </c>
      <c r="C70" s="9">
        <f t="shared" si="0"/>
        <v>9.9711466414286105E-4</v>
      </c>
      <c r="E70" s="371">
        <v>59</v>
      </c>
      <c r="F70" s="371" t="n">
        <v>1173.0</v>
      </c>
      <c r="G70" s="9">
        <f t="shared" si="1"/>
        <v>1.1047303260294007E-3</v>
      </c>
    </row>
    <row r="71" spans="1:7" x14ac:dyDescent="0.45">
      <c r="A71">
        <v>60</v>
      </c>
      <c r="B71" s="6" t="n">
        <v>1759.1357199610002</v>
      </c>
      <c r="C71" s="9">
        <f t="shared" si="0"/>
        <v>1.6628925439139903E-3</v>
      </c>
      <c r="E71" s="371">
        <v>60</v>
      </c>
      <c r="F71" s="371" t="n">
        <v>2152.0</v>
      </c>
      <c r="G71" s="9">
        <f t="shared" si="1"/>
        <v>9.5186464610807131E-4</v>
      </c>
    </row>
    <row r="72" spans="1:7" x14ac:dyDescent="0.45">
      <c r="A72">
        <v>61</v>
      </c>
      <c r="B72" s="6" t="n">
        <v>4536.634519651</v>
      </c>
      <c r="C72" s="9">
        <f t="shared" si="0"/>
        <v>4.2884330251435759E-3</v>
      </c>
      <c r="E72" s="371">
        <v>61</v>
      </c>
      <c r="F72" s="371" t="n">
        <v>930.0</v>
      </c>
      <c r="G72" s="9">
        <f t="shared" si="1"/>
        <v>8.250018911218135E-4</v>
      </c>
    </row>
    <row r="73" spans="1:7" x14ac:dyDescent="0.45">
      <c r="A73">
        <v>62</v>
      </c>
      <c r="B73" s="6" t="n">
        <v>1229.465098057</v>
      </c>
      <c r="C73" s="9">
        <f t="shared" si="0"/>
        <v>1.1622004609211129E-3</v>
      </c>
      <c r="E73" s="371">
        <v>62</v>
      </c>
      <c r="F73" s="371" t="n">
        <v>783.0</v>
      </c>
      <c r="G73" s="9">
        <f t="shared" si="1"/>
        <v>7.532968556947982E-4</v>
      </c>
    </row>
    <row r="74" spans="1:7" x14ac:dyDescent="0.45">
      <c r="A74">
        <v>63</v>
      </c>
      <c r="B74" s="6" t="n">
        <v>122.959794439</v>
      </c>
      <c r="C74" s="9">
        <f t="shared" si="0"/>
        <v>1.1623260391662281E-4</v>
      </c>
      <c r="E74" s="371">
        <v>63</v>
      </c>
      <c r="F74" s="371" t="n">
        <v>720.0</v>
      </c>
      <c r="G74" s="9">
        <f t="shared" si="1"/>
        <v>6.2564613328626537E-4</v>
      </c>
    </row>
    <row r="75" spans="1:7" x14ac:dyDescent="0.45">
      <c r="A75">
        <v>64</v>
      </c>
      <c r="B75" s="6" t="n">
        <v>1118.42644497</v>
      </c>
      <c r="C75" s="9">
        <f t="shared" si="0"/>
        <v>1.0572367868796819E-3</v>
      </c>
      <c r="E75" s="371">
        <v>64</v>
      </c>
      <c r="F75" s="371" t="n">
        <v>837.0</v>
      </c>
      <c r="G75" s="9">
        <f t="shared" si="1"/>
        <v>5.775801205274969E-4</v>
      </c>
    </row>
    <row r="76" spans="1:7" x14ac:dyDescent="0.45">
      <c r="A76">
        <v>65</v>
      </c>
      <c r="B76" s="6" t="n">
        <v>400.04927174700003</v>
      </c>
      <c r="C76" s="9">
        <f t="shared" si="0"/>
        <v>3.7816238033132338E-4</v>
      </c>
      <c r="E76" s="371">
        <v>65</v>
      </c>
      <c r="F76" s="371" t="n">
        <v>502.0</v>
      </c>
      <c r="G76" s="9">
        <f t="shared" si="1"/>
        <v>5.3818174941375229E-4</v>
      </c>
    </row>
    <row r="77" spans="1:7" x14ac:dyDescent="0.45">
      <c r="A77">
        <v>66</v>
      </c>
      <c r="B77" s="6" t="n">
        <v>466.560819543</v>
      </c>
      <c r="C77" s="9">
        <f t="shared" ref="C77:C102" si="2">B77/B$102</f>
        <v>4.4103504880092803E-4</v>
      </c>
      <c r="E77" s="371">
        <v>66</v>
      </c>
      <c r="F77" s="371" t="n">
        <v>606.0</v>
      </c>
      <c r="G77" s="9">
        <f t="shared" ref="G77:G102" si="3">F77/F$102</f>
        <v>4.948435411886331E-4</v>
      </c>
    </row>
    <row r="78" spans="1:7" x14ac:dyDescent="0.45">
      <c r="A78">
        <v>67</v>
      </c>
      <c r="B78" s="6" t="n">
        <v>1515.945734731</v>
      </c>
      <c r="C78" s="9">
        <f t="shared" si="2"/>
        <v>1.4330076017774697E-3</v>
      </c>
      <c r="E78" s="371">
        <v>67</v>
      </c>
      <c r="F78" s="371" t="n">
        <v>776.0</v>
      </c>
      <c r="G78" s="9">
        <f t="shared" si="3"/>
        <v>4.617489094530876E-4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590.0</v>
      </c>
      <c r="G79" s="9">
        <f t="shared" si="3"/>
        <v>4.3259411482891652E-4</v>
      </c>
    </row>
    <row r="80" spans="1:7" x14ac:dyDescent="0.45">
      <c r="A80">
        <v>69</v>
      </c>
      <c r="B80" s="6" t="n">
        <v>561.315777145</v>
      </c>
      <c r="C80" s="9">
        <f t="shared" si="2"/>
        <v>5.3060591630553727E-4</v>
      </c>
      <c r="E80" s="371">
        <v>69</v>
      </c>
      <c r="F80" s="371" t="n">
        <v>549.0</v>
      </c>
      <c r="G80" s="9">
        <f t="shared" si="3"/>
        <v>4.1919866865024332E-4</v>
      </c>
    </row>
    <row r="81" spans="1:7" x14ac:dyDescent="0.45">
      <c r="A81">
        <v>70</v>
      </c>
      <c r="B81" s="6" t="n">
        <v>636.3466766844</v>
      </c>
      <c r="C81" s="9">
        <f t="shared" si="2"/>
        <v>6.0153183861583746E-4</v>
      </c>
      <c r="E81" s="371">
        <v>70</v>
      </c>
      <c r="F81" s="371" t="n">
        <v>442.0</v>
      </c>
      <c r="G81" s="9">
        <f t="shared" si="3"/>
        <v>3.7901233011422374E-4</v>
      </c>
    </row>
    <row r="82" spans="1:7" x14ac:dyDescent="0.45">
      <c r="A82">
        <v>71</v>
      </c>
      <c r="B82" s="6" t="n">
        <v>422.35595372</v>
      </c>
      <c r="C82" s="9">
        <f t="shared" si="2"/>
        <v>3.9924865281812421E-4</v>
      </c>
      <c r="E82" s="371">
        <v>71</v>
      </c>
      <c r="F82" s="371" t="n">
        <v>486.0</v>
      </c>
      <c r="G82" s="9">
        <f t="shared" si="3"/>
        <v>4.1289492927204416E-4</v>
      </c>
    </row>
    <row r="83" spans="1:7" x14ac:dyDescent="0.45">
      <c r="A83">
        <v>72</v>
      </c>
      <c r="B83" s="6" t="n">
        <v>5978.151532144</v>
      </c>
      <c r="C83" s="9">
        <f t="shared" si="2"/>
        <v>5.6510839364973193E-3</v>
      </c>
      <c r="E83" s="371">
        <v>72</v>
      </c>
      <c r="F83" s="371" t="n">
        <v>436.0</v>
      </c>
      <c r="G83" s="9">
        <f t="shared" si="3"/>
        <v>3.8452810207014799E-4</v>
      </c>
    </row>
    <row r="84" spans="1:7" x14ac:dyDescent="0.45">
      <c r="A84">
        <v>73</v>
      </c>
      <c r="B84" s="6" t="n">
        <v>65.7862003602</v>
      </c>
      <c r="C84" s="9">
        <f t="shared" si="2"/>
        <v>6.2187005146955757E-5</v>
      </c>
      <c r="E84" s="371">
        <v>73</v>
      </c>
      <c r="F84" s="371" t="n">
        <v>296.0</v>
      </c>
      <c r="G84" s="9">
        <f t="shared" si="3"/>
        <v>2.8682014170806121E-4</v>
      </c>
    </row>
    <row r="85" spans="1:7" x14ac:dyDescent="0.45">
      <c r="A85">
        <v>74</v>
      </c>
      <c r="B85" s="6" t="n">
        <v>411.770390229</v>
      </c>
      <c r="C85" s="9">
        <f t="shared" si="2"/>
        <v>3.8924223068561117E-4</v>
      </c>
      <c r="E85" s="371">
        <v>74</v>
      </c>
      <c r="F85" s="371" t="n">
        <v>305.0</v>
      </c>
      <c r="G85" s="9">
        <f t="shared" si="3"/>
        <v>2.2299478050379485E-4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288.0</v>
      </c>
      <c r="G86" s="9">
        <f t="shared" si="3"/>
        <v>2.4978567286114124E-4</v>
      </c>
    </row>
    <row r="87" spans="1:7" x14ac:dyDescent="0.45">
      <c r="A87">
        <v>76</v>
      </c>
      <c r="B87" s="6" t="n">
        <v>2655.91924548</v>
      </c>
      <c r="C87" s="9">
        <f t="shared" si="2"/>
        <v>2.5106126039236339E-3</v>
      </c>
      <c r="E87" s="371">
        <v>76</v>
      </c>
      <c r="F87" s="371" t="n">
        <v>282.0</v>
      </c>
      <c r="G87" s="9">
        <f t="shared" si="3"/>
        <v>1.9777982299099827E-4</v>
      </c>
    </row>
    <row r="88" spans="1:7" x14ac:dyDescent="0.45">
      <c r="A88">
        <v>77</v>
      </c>
      <c r="B88" s="6" t="n">
        <v>808.1524794</v>
      </c>
      <c r="C88" s="9">
        <f t="shared" si="2"/>
        <v>7.6393806179415077E-4</v>
      </c>
      <c r="E88" s="371">
        <v>77</v>
      </c>
      <c r="F88" s="371" t="n">
        <v>230.0</v>
      </c>
      <c r="G88" s="9">
        <f t="shared" si="3"/>
        <v>1.812325071232255E-4</v>
      </c>
    </row>
    <row r="89" spans="1:7" x14ac:dyDescent="0.45">
      <c r="A89">
        <v>78</v>
      </c>
      <c r="B89" s="6" t="n">
        <v>256.371317496</v>
      </c>
      <c r="C89" s="9">
        <f t="shared" si="2"/>
        <v>2.4234511726415069E-4</v>
      </c>
      <c r="E89" s="371">
        <v>78</v>
      </c>
      <c r="F89" s="371" t="n">
        <v>216.0</v>
      </c>
      <c r="G89" s="9">
        <f t="shared" si="3"/>
        <v>2.3875412894929272E-4</v>
      </c>
    </row>
    <row r="90" spans="1:7" x14ac:dyDescent="0.45">
      <c r="A90">
        <v>79</v>
      </c>
      <c r="B90" s="6" t="n">
        <v>256.371317496</v>
      </c>
      <c r="C90" s="9">
        <f t="shared" si="2"/>
        <v>2.4234511726415069E-4</v>
      </c>
      <c r="E90" s="371">
        <v>79</v>
      </c>
      <c r="F90" s="371" t="n">
        <v>176.0</v>
      </c>
      <c r="G90" s="9">
        <f t="shared" si="3"/>
        <v>1.6232128898862805E-4</v>
      </c>
    </row>
    <row r="91" spans="1:7" x14ac:dyDescent="0.45">
      <c r="A91">
        <v>80</v>
      </c>
      <c r="B91" s="6" t="n">
        <v>1593.262710215</v>
      </c>
      <c r="C91" s="9">
        <f t="shared" si="2"/>
        <v>1.5060945276987824E-3</v>
      </c>
      <c r="E91" s="371">
        <v>80</v>
      </c>
      <c r="F91" s="371" t="n">
        <v>170.0</v>
      </c>
      <c r="G91" s="9">
        <f t="shared" si="3"/>
        <v>1.441980382763055E-4</v>
      </c>
    </row>
    <row r="92" spans="1:7" x14ac:dyDescent="0.45">
      <c r="A92">
        <v>81</v>
      </c>
      <c r="B92" s="6" t="n">
        <v>554.661229397</v>
      </c>
      <c r="C92" s="9">
        <f t="shared" si="2"/>
        <v>5.2431544212113834E-4</v>
      </c>
      <c r="E92" s="371">
        <v>81</v>
      </c>
      <c r="F92" s="371" t="n">
        <v>138.0</v>
      </c>
      <c r="G92" s="9">
        <f t="shared" si="3"/>
        <v>1.2371088529715827E-4</v>
      </c>
    </row>
    <row r="93" spans="1:7" x14ac:dyDescent="0.45">
      <c r="A93">
        <v>82</v>
      </c>
      <c r="B93" s="6" t="n">
        <v>739.676000992</v>
      </c>
      <c r="C93" s="9">
        <f t="shared" si="2"/>
        <v>6.9920796502783941E-4</v>
      </c>
      <c r="E93" s="371">
        <v>82</v>
      </c>
      <c r="F93" s="371" t="n">
        <v>308.0</v>
      </c>
      <c r="G93" s="9">
        <f t="shared" si="3"/>
        <v>1.6941299578910211E-4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178.0</v>
      </c>
      <c r="G94" s="9">
        <f t="shared" si="3"/>
        <v>1.2922665725308252E-4</v>
      </c>
    </row>
    <row r="95" spans="1:7" x14ac:dyDescent="0.45">
      <c r="A95">
        <v>84</v>
      </c>
      <c r="B95" s="6" t="n">
        <v>2404.586148969</v>
      </c>
      <c r="C95" s="9">
        <f t="shared" si="2"/>
        <v>2.2730300641090125E-3</v>
      </c>
      <c r="E95" s="371">
        <v>84</v>
      </c>
      <c r="F95" s="371" t="n">
        <v>132.0</v>
      </c>
      <c r="G95" s="9">
        <f t="shared" si="3"/>
        <v>1.1189137396303487E-4</v>
      </c>
    </row>
    <row r="96" spans="1:7" x14ac:dyDescent="0.45">
      <c r="A96">
        <v>85</v>
      </c>
      <c r="B96" s="6" t="n">
        <v>76.8761145204</v>
      </c>
      <c r="C96" s="9">
        <f t="shared" si="2"/>
        <v>7.2670184676760084E-5</v>
      </c>
      <c r="E96" s="371">
        <v>85</v>
      </c>
      <c r="F96" s="371" t="n">
        <v>109.0</v>
      </c>
      <c r="G96" s="9">
        <f t="shared" si="3"/>
        <v>1.1504324365213444E-4</v>
      </c>
    </row>
    <row r="97" spans="1:7" x14ac:dyDescent="0.45">
      <c r="A97">
        <v>86</v>
      </c>
      <c r="B97" s="6" t="n">
        <v>880.136943483</v>
      </c>
      <c r="C97" s="9">
        <f t="shared" si="2"/>
        <v>8.319842206226004E-4</v>
      </c>
      <c r="E97" s="371">
        <v>86</v>
      </c>
      <c r="F97" s="371" t="n">
        <v>100.0</v>
      </c>
      <c r="G97" s="9">
        <f t="shared" si="3"/>
        <v>7.5644872538389776E-5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103.0</v>
      </c>
      <c r="G98" s="9">
        <f t="shared" si="3"/>
        <v>1.0164779747346126E-4</v>
      </c>
    </row>
    <row r="99" spans="1:7" x14ac:dyDescent="0.45">
      <c r="A99">
        <v>88</v>
      </c>
      <c r="B99" s="6" t="n">
        <v>300.952409273</v>
      </c>
      <c r="C99" s="9">
        <f t="shared" si="2"/>
        <v>2.844871556949104E-4</v>
      </c>
      <c r="E99" s="371">
        <v>88</v>
      </c>
      <c r="F99" s="371" t="n">
        <v>140.0</v>
      </c>
      <c r="G99" s="9">
        <f t="shared" si="3"/>
        <v>1.0401169974028594E-4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96.0</v>
      </c>
      <c r="G100" s="9">
        <f t="shared" si="3"/>
        <v>7.0917068004740415E-5</v>
      </c>
    </row>
    <row r="101" spans="1:7" ht="14.65" thickBot="1" x14ac:dyDescent="0.5">
      <c r="A101" s="1">
        <v>90</v>
      </c>
      <c r="B101" s="7" t="n">
        <v>22484.3798705738</v>
      </c>
      <c r="C101" s="9">
        <f t="shared" si="2"/>
        <v>2.1254248445444501E-2</v>
      </c>
      <c r="E101" s="372">
        <v>90</v>
      </c>
      <c r="F101" s="372" t="n">
        <v>4906.0</v>
      </c>
      <c r="G101" s="9">
        <f t="shared" si="3"/>
        <v>3.8823154895484E-3</v>
      </c>
    </row>
    <row r="102" spans="1:7" x14ac:dyDescent="0.45">
      <c r="B102" s="6">
        <f>SUM(B11:B101)</f>
        <v>1057876.9664938662</v>
      </c>
      <c r="C102" s="9">
        <f t="shared" si="2"/>
        <v>1</v>
      </c>
      <c r="F102" s="6">
        <f>SUM(F11:F101)</f>
        <v>1269088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02"/>
  <sheetViews>
    <sheetView workbookViewId="0">
      <selection activeCell="U14" sqref="U14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50180.834468342</v>
      </c>
      <c r="C11" s="9">
        <f>B11/B$102</f>
        <v>3.0170621149902752E-2</v>
      </c>
      <c r="E11" s="371">
        <v>0</v>
      </c>
      <c r="F11" s="371" t="n">
        <v>331155.0</v>
      </c>
      <c r="G11" s="9">
        <f>F11/F$102</f>
        <v>0.18928428765450417</v>
      </c>
      <c r="K11" s="6" t="n">
        <v>7.404996681502515</v>
      </c>
      <c r="L11" s="6" t="n">
        <v>5.4607011623028106</v>
      </c>
    </row>
    <row r="12" spans="1:12" x14ac:dyDescent="0.45">
      <c r="A12">
        <v>1</v>
      </c>
      <c r="B12" s="6" t="n">
        <v>70632.0204554812</v>
      </c>
      <c r="C12" s="9">
        <f>B12/B$102</f>
        <v>4.2466649923068013E-2</v>
      </c>
      <c r="E12" s="371">
        <v>1</v>
      </c>
      <c r="F12" s="371" t="n">
        <v>231903.0</v>
      </c>
      <c r="G12" s="9">
        <f>F12/F$102</f>
        <v>0.1317699357445303</v>
      </c>
      <c r="K12" s="6"/>
      <c r="L12" s="371"/>
    </row>
    <row r="13" spans="1:12" x14ac:dyDescent="0.45">
      <c r="A13">
        <v>2</v>
      </c>
      <c r="B13" s="6" t="n">
        <v>85552.8148735243</v>
      </c>
      <c r="C13" s="9">
        <f t="shared" ref="C13:C76" si="0">B13/B$102</f>
        <v>5.1437597505184542E-2</v>
      </c>
      <c r="E13" s="371">
        <v>2</v>
      </c>
      <c r="F13" s="371" t="n">
        <v>135465.0</v>
      </c>
      <c r="G13" s="9">
        <f t="shared" ref="G13:G76" si="1">F13/F$102</f>
        <v>7.7511156256063182E-2</v>
      </c>
    </row>
    <row r="14" spans="1:12" x14ac:dyDescent="0.45">
      <c r="A14">
        <v>3</v>
      </c>
      <c r="B14" s="6" t="n">
        <v>175633.5984623037</v>
      </c>
      <c r="C14" s="9">
        <f t="shared" si="0"/>
        <v>0.10559758155762267</v>
      </c>
      <c r="E14" s="371">
        <v>3</v>
      </c>
      <c r="F14" s="371" t="n">
        <v>74347.0</v>
      </c>
      <c r="G14" s="9">
        <f t="shared" si="1"/>
        <v>4.2085620698706902E-2</v>
      </c>
    </row>
    <row r="15" spans="1:12" x14ac:dyDescent="0.45">
      <c r="A15">
        <v>4</v>
      </c>
      <c r="B15" s="6" t="n">
        <v>287199.0886568072</v>
      </c>
      <c r="C15" s="9">
        <f t="shared" si="0"/>
        <v>0.1726749861827907</v>
      </c>
      <c r="E15" s="371">
        <v>4</v>
      </c>
      <c r="F15" s="371" t="n">
        <v>277555.0</v>
      </c>
      <c r="G15" s="9">
        <f t="shared" si="1"/>
        <v>0.15819970554331822</v>
      </c>
    </row>
    <row r="16" spans="1:12" x14ac:dyDescent="0.45">
      <c r="A16">
        <v>5</v>
      </c>
      <c r="B16" s="6" t="n">
        <v>197097.5709611608</v>
      </c>
      <c r="C16" s="9">
        <f t="shared" si="0"/>
        <v>0.11850253599881463</v>
      </c>
      <c r="E16" s="371">
        <v>5</v>
      </c>
      <c r="F16" s="371" t="n">
        <v>140029.0</v>
      </c>
      <c r="G16" s="9">
        <f t="shared" si="1"/>
        <v>7.9265341992033694E-2</v>
      </c>
    </row>
    <row r="17" spans="1:7" x14ac:dyDescent="0.45">
      <c r="A17">
        <v>6</v>
      </c>
      <c r="B17" s="6" t="n">
        <v>188101.4929562</v>
      </c>
      <c r="C17" s="9">
        <f t="shared" si="0"/>
        <v>0.11309375266154519</v>
      </c>
      <c r="E17" s="371">
        <v>6</v>
      </c>
      <c r="F17" s="371" t="n">
        <v>126371.0</v>
      </c>
      <c r="G17" s="9">
        <f t="shared" si="1"/>
        <v>7.2045446763829762E-2</v>
      </c>
    </row>
    <row r="18" spans="1:7" x14ac:dyDescent="0.45">
      <c r="A18">
        <v>7</v>
      </c>
      <c r="B18" s="6" t="n">
        <v>92133.4033728243</v>
      </c>
      <c r="C18" s="9">
        <f t="shared" si="0"/>
        <v>5.5394096926911815E-2</v>
      </c>
      <c r="E18" s="371">
        <v>7</v>
      </c>
      <c r="F18" s="371" t="n">
        <v>72641.0</v>
      </c>
      <c r="G18" s="9">
        <f t="shared" si="1"/>
        <v>4.4482931784202054E-2</v>
      </c>
    </row>
    <row r="19" spans="1:7" x14ac:dyDescent="0.45">
      <c r="A19">
        <v>8</v>
      </c>
      <c r="B19" s="6" t="n">
        <v>77854.102494625</v>
      </c>
      <c r="C19" s="9">
        <f t="shared" si="0"/>
        <v>4.6808839594186177E-2</v>
      </c>
      <c r="E19" s="371">
        <v>8</v>
      </c>
      <c r="F19" s="371" t="n">
        <v>69286.0</v>
      </c>
      <c r="G19" s="9">
        <f t="shared" si="1"/>
        <v>3.9141624533491591E-2</v>
      </c>
    </row>
    <row r="20" spans="1:7" x14ac:dyDescent="0.45">
      <c r="A20">
        <v>9</v>
      </c>
      <c r="B20" s="6" t="n">
        <v>58967.5993490832</v>
      </c>
      <c r="C20" s="9">
        <f t="shared" si="0"/>
        <v>3.5453557497192076E-2</v>
      </c>
      <c r="E20" s="371">
        <v>9</v>
      </c>
      <c r="F20" s="371" t="n">
        <v>39953.0</v>
      </c>
      <c r="G20" s="9">
        <f t="shared" si="1"/>
        <v>2.3633572626941646E-2</v>
      </c>
    </row>
    <row r="21" spans="1:7" x14ac:dyDescent="0.45">
      <c r="A21">
        <v>10</v>
      </c>
      <c r="B21" s="6" t="n">
        <v>117134.3049040278</v>
      </c>
      <c r="C21" s="9">
        <f t="shared" si="0"/>
        <v>7.0425587265715003E-2</v>
      </c>
      <c r="E21" s="371">
        <v>10</v>
      </c>
      <c r="F21" s="371" t="n">
        <v>35615.0</v>
      </c>
      <c r="G21" s="9">
        <f t="shared" si="1"/>
        <v>1.91961789109668E-2</v>
      </c>
    </row>
    <row r="22" spans="1:7" x14ac:dyDescent="0.45">
      <c r="A22">
        <v>11</v>
      </c>
      <c r="B22" s="6" t="n">
        <v>33435.7997595751</v>
      </c>
      <c r="C22" s="9">
        <f t="shared" si="0"/>
        <v>2.0102871107625094E-2</v>
      </c>
      <c r="E22" s="371">
        <v>11</v>
      </c>
      <c r="F22" s="371" t="n">
        <v>33602.0</v>
      </c>
      <c r="G22" s="9">
        <f t="shared" si="1"/>
        <v>1.7753569431287735E-2</v>
      </c>
    </row>
    <row r="23" spans="1:7" x14ac:dyDescent="0.45">
      <c r="A23">
        <v>12</v>
      </c>
      <c r="B23" s="6" t="n">
        <v>31358.8853776862</v>
      </c>
      <c r="C23" s="9">
        <f t="shared" si="0"/>
        <v>1.8854151399380976E-2</v>
      </c>
      <c r="E23" s="371">
        <v>12</v>
      </c>
      <c r="F23" s="371" t="n">
        <v>21502.0</v>
      </c>
      <c r="G23" s="9">
        <f t="shared" si="1"/>
        <v>1.3451420354032802E-2</v>
      </c>
    </row>
    <row r="24" spans="1:7" x14ac:dyDescent="0.45">
      <c r="A24">
        <v>13</v>
      </c>
      <c r="B24" s="6" t="n">
        <v>14197.607967112699</v>
      </c>
      <c r="C24" s="9">
        <f t="shared" si="0"/>
        <v>8.5361404557916503E-3</v>
      </c>
      <c r="E24" s="371">
        <v>13</v>
      </c>
      <c r="F24" s="371" t="n">
        <v>22286.0</v>
      </c>
      <c r="G24" s="9">
        <f t="shared" si="1"/>
        <v>1.2258186009883701E-2</v>
      </c>
    </row>
    <row r="25" spans="1:7" x14ac:dyDescent="0.45">
      <c r="A25">
        <v>14</v>
      </c>
      <c r="B25" s="6" t="n">
        <v>16666.3603833316</v>
      </c>
      <c r="C25" s="9">
        <f t="shared" si="0"/>
        <v>1.0020448053538708E-2</v>
      </c>
      <c r="E25" s="371">
        <v>14</v>
      </c>
      <c r="F25" s="371" t="n">
        <v>18045.0</v>
      </c>
      <c r="G25" s="9">
        <f t="shared" si="1"/>
        <v>1.1401636631324256E-2</v>
      </c>
    </row>
    <row r="26" spans="1:7" x14ac:dyDescent="0.45">
      <c r="A26">
        <v>15</v>
      </c>
      <c r="B26" s="6" t="n">
        <v>16265.0019796371</v>
      </c>
      <c r="C26" s="9">
        <f t="shared" si="0"/>
        <v>9.7791361568456397E-3</v>
      </c>
      <c r="E26" s="371">
        <v>15</v>
      </c>
      <c r="F26" s="371" t="n">
        <v>16932.0</v>
      </c>
      <c r="G26" s="9">
        <f t="shared" si="1"/>
        <v>1.0664353621931317E-2</v>
      </c>
    </row>
    <row r="27" spans="1:7" x14ac:dyDescent="0.45">
      <c r="A27">
        <v>16</v>
      </c>
      <c r="B27" s="6" t="n">
        <v>26783.9296050034</v>
      </c>
      <c r="C27" s="9">
        <f t="shared" si="0"/>
        <v>1.6103514450881182E-2</v>
      </c>
      <c r="E27" s="371">
        <v>16</v>
      </c>
      <c r="F27" s="371" t="n">
        <v>18477.0</v>
      </c>
      <c r="G27" s="9">
        <f t="shared" si="1"/>
        <v>9.5224780013467396E-3</v>
      </c>
    </row>
    <row r="28" spans="1:7" x14ac:dyDescent="0.45">
      <c r="A28">
        <v>17</v>
      </c>
      <c r="B28" s="6" t="n">
        <v>13662.424499716199</v>
      </c>
      <c r="C28" s="9">
        <f t="shared" si="0"/>
        <v>8.2143678545269615E-3</v>
      </c>
      <c r="E28" s="371">
        <v>17</v>
      </c>
      <c r="F28" s="371" t="n">
        <v>12046.0</v>
      </c>
      <c r="G28" s="9">
        <f t="shared" si="1"/>
        <v>5.3316061584816081E-3</v>
      </c>
    </row>
    <row r="29" spans="1:7" x14ac:dyDescent="0.45">
      <c r="A29">
        <v>18</v>
      </c>
      <c r="B29" s="6" t="n">
        <v>11705.378170186299</v>
      </c>
      <c r="C29" s="9">
        <f t="shared" si="0"/>
        <v>7.0377173662154379E-3</v>
      </c>
      <c r="E29" s="371">
        <v>18</v>
      </c>
      <c r="F29" s="371" t="n">
        <v>9652.0</v>
      </c>
      <c r="G29" s="9">
        <f t="shared" si="1"/>
        <v>5.7938346705623213E-3</v>
      </c>
    </row>
    <row r="30" spans="1:7" x14ac:dyDescent="0.45">
      <c r="A30">
        <v>19</v>
      </c>
      <c r="B30" s="6" t="n">
        <v>12334.7252425946</v>
      </c>
      <c r="C30" s="9">
        <f t="shared" si="0"/>
        <v>7.4161046986423278E-3</v>
      </c>
      <c r="E30" s="371">
        <v>19</v>
      </c>
      <c r="F30" s="371" t="n">
        <v>8487.0</v>
      </c>
      <c r="G30" s="9">
        <f t="shared" si="1"/>
        <v>5.6460356771933029E-3</v>
      </c>
    </row>
    <row r="31" spans="1:7" x14ac:dyDescent="0.45">
      <c r="A31">
        <v>20</v>
      </c>
      <c r="B31" s="6" t="n">
        <v>8832.9782351174</v>
      </c>
      <c r="C31" s="9">
        <f t="shared" si="0"/>
        <v>5.310721568912739E-3</v>
      </c>
      <c r="E31" s="371">
        <v>20</v>
      </c>
      <c r="F31" s="371" t="n">
        <v>7994.0</v>
      </c>
      <c r="G31" s="9">
        <f t="shared" si="1"/>
        <v>4.060192424017622E-3</v>
      </c>
    </row>
    <row r="32" spans="1:7" x14ac:dyDescent="0.45">
      <c r="A32">
        <v>21</v>
      </c>
      <c r="B32" s="6" t="n">
        <v>8724.8735636307</v>
      </c>
      <c r="C32" s="9">
        <f t="shared" si="0"/>
        <v>5.2457249397710381E-3</v>
      </c>
      <c r="E32" s="371">
        <v>21</v>
      </c>
      <c r="F32" s="371" t="n">
        <v>5835.0</v>
      </c>
      <c r="G32" s="9">
        <f t="shared" si="1"/>
        <v>3.4028007623917189E-3</v>
      </c>
    </row>
    <row r="33" spans="1:7" x14ac:dyDescent="0.45">
      <c r="A33">
        <v>22</v>
      </c>
      <c r="B33" s="6" t="n">
        <v>11519.1489736528</v>
      </c>
      <c r="C33" s="9">
        <f t="shared" si="0"/>
        <v>6.9257493091834715E-3</v>
      </c>
      <c r="E33" s="371">
        <v>22</v>
      </c>
      <c r="F33" s="371" t="n">
        <v>5117.0</v>
      </c>
      <c r="G33" s="9">
        <f t="shared" si="1"/>
        <v>2.7345667035688606E-3</v>
      </c>
    </row>
    <row r="34" spans="1:7" x14ac:dyDescent="0.45">
      <c r="A34">
        <v>23</v>
      </c>
      <c r="B34" s="6" t="n">
        <v>14398.7517202314</v>
      </c>
      <c r="C34" s="9">
        <f t="shared" si="0"/>
        <v>8.6570757099840127E-3</v>
      </c>
      <c r="E34" s="371">
        <v>23</v>
      </c>
      <c r="F34" s="371" t="n">
        <v>4537.0</v>
      </c>
      <c r="G34" s="9">
        <f t="shared" si="1"/>
        <v>2.7003275545258447E-3</v>
      </c>
    </row>
    <row r="35" spans="1:7" x14ac:dyDescent="0.45">
      <c r="A35">
        <v>24</v>
      </c>
      <c r="B35" s="6" t="n">
        <v>1073.090578754</v>
      </c>
      <c r="C35" s="9">
        <f t="shared" si="0"/>
        <v>6.4518276059243322E-4</v>
      </c>
      <c r="E35" s="371">
        <v>24</v>
      </c>
      <c r="F35" s="371" t="n">
        <v>4582.0</v>
      </c>
      <c r="G35" s="9">
        <f t="shared" si="1"/>
        <v>2.438398064346774E-3</v>
      </c>
    </row>
    <row r="36" spans="1:7" x14ac:dyDescent="0.45">
      <c r="A36">
        <v>25</v>
      </c>
      <c r="B36" s="6" t="n">
        <v>1734.2051272889998</v>
      </c>
      <c r="C36" s="9">
        <f t="shared" si="0"/>
        <v>1.042669904675741E-3</v>
      </c>
      <c r="E36" s="371">
        <v>25</v>
      </c>
      <c r="F36" s="371" t="n">
        <v>4259.0</v>
      </c>
      <c r="G36" s="9">
        <f t="shared" si="1"/>
        <v>2.6586699231901756E-3</v>
      </c>
    </row>
    <row r="37" spans="1:7" x14ac:dyDescent="0.45">
      <c r="A37">
        <v>26</v>
      </c>
      <c r="B37" s="6" t="n">
        <v>1382.3037132361</v>
      </c>
      <c r="C37" s="9">
        <f t="shared" si="0"/>
        <v>8.310934261657395E-4</v>
      </c>
      <c r="E37" s="371">
        <v>26</v>
      </c>
      <c r="F37" s="371" t="n">
        <v>3195.0</v>
      </c>
      <c r="G37" s="9">
        <f t="shared" si="1"/>
        <v>2.1456533400289893E-3</v>
      </c>
    </row>
    <row r="38" spans="1:7" x14ac:dyDescent="0.45">
      <c r="A38">
        <v>27</v>
      </c>
      <c r="B38" s="6" t="n">
        <v>2051.440473142</v>
      </c>
      <c r="C38" s="9">
        <f t="shared" si="0"/>
        <v>1.2334038280250527E-3</v>
      </c>
      <c r="E38" s="371">
        <v>27</v>
      </c>
      <c r="F38" s="371" t="n">
        <v>2640.0</v>
      </c>
      <c r="G38" s="9">
        <f t="shared" si="1"/>
        <v>1.6155171823462947E-3</v>
      </c>
    </row>
    <row r="39" spans="1:7" x14ac:dyDescent="0.45">
      <c r="A39">
        <v>28</v>
      </c>
      <c r="B39" s="6" t="n">
        <v>3355.6392179848</v>
      </c>
      <c r="C39" s="9">
        <f t="shared" si="0"/>
        <v>2.0175375845024367E-3</v>
      </c>
      <c r="E39" s="371">
        <v>28</v>
      </c>
      <c r="F39" s="371" t="n">
        <v>2326.0</v>
      </c>
      <c r="G39" s="9">
        <f t="shared" si="1"/>
        <v>1.2668485145915841E-3</v>
      </c>
    </row>
    <row r="40" spans="1:7" x14ac:dyDescent="0.45">
      <c r="A40">
        <v>29</v>
      </c>
      <c r="B40" s="6" t="n">
        <v>939.8949517482</v>
      </c>
      <c r="C40" s="9">
        <f t="shared" si="0"/>
        <v>5.6510049723846299E-4</v>
      </c>
      <c r="E40" s="371">
        <v>29</v>
      </c>
      <c r="F40" s="371" t="n">
        <v>2575.0</v>
      </c>
      <c r="G40" s="9">
        <f t="shared" si="1"/>
        <v>1.1310332233876214E-3</v>
      </c>
    </row>
    <row r="41" spans="1:7" x14ac:dyDescent="0.45">
      <c r="A41">
        <v>30</v>
      </c>
      <c r="B41" s="6" t="n">
        <v>1586.4049019792</v>
      </c>
      <c r="C41" s="9">
        <f t="shared" si="0"/>
        <v>9.5380680283741934E-4</v>
      </c>
      <c r="E41" s="371">
        <v>30</v>
      </c>
      <c r="F41" s="371" t="n">
        <v>1687.0</v>
      </c>
      <c r="G41" s="9">
        <f t="shared" si="1"/>
        <v>1.0111962017370661E-3</v>
      </c>
    </row>
    <row r="42" spans="1:7" x14ac:dyDescent="0.45">
      <c r="A42">
        <v>31</v>
      </c>
      <c r="B42" s="6" t="n">
        <v>2692.10237777</v>
      </c>
      <c r="C42" s="9">
        <f t="shared" si="0"/>
        <v>1.6185940667784731E-3</v>
      </c>
      <c r="E42" s="371">
        <v>31</v>
      </c>
      <c r="F42" s="371" t="n">
        <v>1495.0</v>
      </c>
      <c r="G42" s="9">
        <f t="shared" si="1"/>
        <v>9.016309247994157E-4</v>
      </c>
    </row>
    <row r="43" spans="1:7" x14ac:dyDescent="0.45">
      <c r="A43">
        <v>32</v>
      </c>
      <c r="B43" s="6" t="n">
        <v>1018.187280604</v>
      </c>
      <c r="C43" s="9">
        <f t="shared" si="0"/>
        <v>6.1217281514386085E-4</v>
      </c>
      <c r="E43" s="371">
        <v>32</v>
      </c>
      <c r="F43" s="371" t="n">
        <v>1312.0</v>
      </c>
      <c r="G43" s="9">
        <f t="shared" si="1"/>
        <v>7.4070692429724144E-4</v>
      </c>
    </row>
    <row r="44" spans="1:7" x14ac:dyDescent="0.45">
      <c r="A44">
        <v>33</v>
      </c>
      <c r="B44" s="6" t="n">
        <v>1526.509057235</v>
      </c>
      <c r="C44" s="9">
        <f t="shared" si="0"/>
        <v>9.1779514899832844E-4</v>
      </c>
      <c r="E44" s="371">
        <v>33</v>
      </c>
      <c r="F44" s="371" t="n">
        <v>975.0</v>
      </c>
      <c r="G44" s="9">
        <f t="shared" si="1"/>
        <v>5.7692966137481592E-4</v>
      </c>
    </row>
    <row r="45" spans="1:7" x14ac:dyDescent="0.45">
      <c r="A45">
        <v>34</v>
      </c>
      <c r="B45" s="6" t="n">
        <v>1449.092665293</v>
      </c>
      <c r="C45" s="9">
        <f t="shared" si="0"/>
        <v>8.7124947759168792E-4</v>
      </c>
      <c r="E45" s="371">
        <v>34</v>
      </c>
      <c r="F45" s="371" t="n">
        <v>829.0</v>
      </c>
      <c r="G45" s="9">
        <f t="shared" si="1"/>
        <v>5.6836987411406205E-4</v>
      </c>
    </row>
    <row r="46" spans="1:7" x14ac:dyDescent="0.45">
      <c r="A46">
        <v>35</v>
      </c>
      <c r="B46" s="6" t="n">
        <v>879.0616143070001</v>
      </c>
      <c r="C46" s="9">
        <f t="shared" si="0"/>
        <v>5.2852518722881108E-4</v>
      </c>
      <c r="E46" s="371">
        <v>35</v>
      </c>
      <c r="F46" s="371" t="n">
        <v>800.0</v>
      </c>
      <c r="G46" s="9">
        <f t="shared" si="1"/>
        <v>4.2627740558554651E-4</v>
      </c>
    </row>
    <row r="47" spans="1:7" x14ac:dyDescent="0.45">
      <c r="A47">
        <v>36</v>
      </c>
      <c r="B47" s="6" t="n">
        <v>1085.2722949449999</v>
      </c>
      <c r="C47" s="9">
        <f t="shared" si="0"/>
        <v>6.5250687044529263E-4</v>
      </c>
      <c r="E47" s="371">
        <v>36</v>
      </c>
      <c r="F47" s="371" t="n">
        <v>1021.0</v>
      </c>
      <c r="G47" s="9">
        <f t="shared" si="1"/>
        <v>5.5296225704470491E-4</v>
      </c>
    </row>
    <row r="48" spans="1:7" x14ac:dyDescent="0.45">
      <c r="A48">
        <v>37</v>
      </c>
      <c r="B48" s="6" t="n">
        <v>570.856988644</v>
      </c>
      <c r="C48" s="9">
        <f t="shared" si="0"/>
        <v>3.4322087541246743E-4</v>
      </c>
      <c r="E48" s="371">
        <v>37</v>
      </c>
      <c r="F48" s="371" t="n">
        <v>630.0</v>
      </c>
      <c r="G48" s="9">
        <f t="shared" si="1"/>
        <v>4.4796219997945649E-4</v>
      </c>
    </row>
    <row r="49" spans="1:7" x14ac:dyDescent="0.45">
      <c r="A49">
        <v>38</v>
      </c>
      <c r="B49" s="6" t="n">
        <v>4.59375</v>
      </c>
      <c r="C49" s="9">
        <f t="shared" si="0"/>
        <v>2.7619367508685644E-6</v>
      </c>
      <c r="E49" s="371">
        <v>38</v>
      </c>
      <c r="F49" s="371" t="n">
        <v>597.0</v>
      </c>
      <c r="G49" s="9">
        <f t="shared" si="1"/>
        <v>3.8690238418607835E-4</v>
      </c>
    </row>
    <row r="50" spans="1:7" x14ac:dyDescent="0.45">
      <c r="A50">
        <v>39</v>
      </c>
      <c r="B50" s="6" t="n">
        <v>396.0371562029</v>
      </c>
      <c r="C50" s="9">
        <f t="shared" si="0"/>
        <v>2.3811256085469687E-4</v>
      </c>
      <c r="E50" s="371">
        <v>39</v>
      </c>
      <c r="F50" s="371" t="n">
        <v>476.0</v>
      </c>
      <c r="G50" s="9">
        <f t="shared" si="1"/>
        <v>3.0815234138714204E-4</v>
      </c>
    </row>
    <row r="51" spans="1:7" x14ac:dyDescent="0.45">
      <c r="A51">
        <v>40</v>
      </c>
      <c r="B51" s="6" t="n">
        <v>2029.291388077</v>
      </c>
      <c r="C51" s="9">
        <f t="shared" si="0"/>
        <v>1.2200869579212948E-3</v>
      </c>
      <c r="E51" s="371">
        <v>40</v>
      </c>
      <c r="F51" s="371" t="n">
        <v>432.0</v>
      </c>
      <c r="G51" s="9">
        <f t="shared" si="1"/>
        <v>2.2940229858820575E-4</v>
      </c>
    </row>
    <row r="52" spans="1:7" x14ac:dyDescent="0.45">
      <c r="A52">
        <v>41</v>
      </c>
      <c r="B52" s="6" t="n">
        <v>2470.933528429</v>
      </c>
      <c r="C52" s="9">
        <f t="shared" si="0"/>
        <v>1.4856189651420713E-3</v>
      </c>
      <c r="E52" s="371">
        <v>41</v>
      </c>
      <c r="F52" s="371" t="n">
        <v>359.0</v>
      </c>
      <c r="G52" s="9">
        <f t="shared" si="1"/>
        <v>1.8432075234823498E-4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297.0</v>
      </c>
      <c r="G53" s="9">
        <f t="shared" si="1"/>
        <v>1.6548922037457628E-4</v>
      </c>
    </row>
    <row r="54" spans="1:7" x14ac:dyDescent="0.45">
      <c r="A54">
        <v>43</v>
      </c>
      <c r="B54" s="6" t="n">
        <v>143.589273955</v>
      </c>
      <c r="C54" s="9">
        <f t="shared" si="0"/>
        <v>8.6331318153327655E-5</v>
      </c>
      <c r="E54" s="371">
        <v>43</v>
      </c>
      <c r="F54" s="371" t="n">
        <v>180.0</v>
      </c>
      <c r="G54" s="9">
        <f t="shared" si="1"/>
        <v>1.2326093655485682E-4</v>
      </c>
    </row>
    <row r="55" spans="1:7" x14ac:dyDescent="0.45">
      <c r="A55">
        <v>44</v>
      </c>
      <c r="B55" s="6" t="n">
        <v>1125.3988481578</v>
      </c>
      <c r="C55" s="9">
        <f t="shared" si="0"/>
        <v>6.7663247632373971E-4</v>
      </c>
      <c r="E55" s="371">
        <v>44</v>
      </c>
      <c r="F55" s="371" t="n">
        <v>184.0</v>
      </c>
      <c r="G55" s="9">
        <f t="shared" si="1"/>
        <v>1.1641310674625367E-4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192.0</v>
      </c>
      <c r="G56" s="9">
        <f t="shared" si="1"/>
        <v>1.1070658190575104E-4</v>
      </c>
    </row>
    <row r="57" spans="1:7" x14ac:dyDescent="0.45">
      <c r="A57">
        <v>46</v>
      </c>
      <c r="B57" s="6" t="n">
        <v>1531.936598843</v>
      </c>
      <c r="C57" s="9">
        <f t="shared" si="0"/>
        <v>9.2105839289144474E-4</v>
      </c>
      <c r="E57" s="371">
        <v>46</v>
      </c>
      <c r="F57" s="371" t="n">
        <v>145.0</v>
      </c>
      <c r="G57" s="9">
        <f t="shared" si="1"/>
        <v>9.5298964836393934E-5</v>
      </c>
    </row>
    <row r="58" spans="1:7" x14ac:dyDescent="0.45">
      <c r="A58">
        <v>47</v>
      </c>
      <c r="B58" s="6" t="n">
        <v>5149.1823438</v>
      </c>
      <c r="C58" s="9">
        <f t="shared" si="0"/>
        <v>3.0958837447106939E-3</v>
      </c>
      <c r="E58" s="371">
        <v>47</v>
      </c>
      <c r="F58" s="371" t="n">
        <v>143.0</v>
      </c>
      <c r="G58" s="9">
        <f t="shared" si="1"/>
        <v>8.5027220123489204E-5</v>
      </c>
    </row>
    <row r="59" spans="1:7" x14ac:dyDescent="0.45">
      <c r="A59">
        <v>48</v>
      </c>
      <c r="B59" s="6" t="n">
        <v>213.886510635</v>
      </c>
      <c r="C59" s="9">
        <f t="shared" si="0"/>
        <v>1.28596683371504E-4</v>
      </c>
      <c r="E59" s="371">
        <v>48</v>
      </c>
      <c r="F59" s="371" t="n">
        <v>112.0</v>
      </c>
      <c r="G59" s="9">
        <f t="shared" si="1"/>
        <v>5.5353290952875518E-5</v>
      </c>
    </row>
    <row r="60" spans="1:7" x14ac:dyDescent="0.45">
      <c r="A60">
        <v>49</v>
      </c>
      <c r="B60" s="6" t="n">
        <v>406.812011884</v>
      </c>
      <c r="C60" s="9">
        <f t="shared" si="0"/>
        <v>2.4459081280374395E-4</v>
      </c>
      <c r="E60" s="371">
        <v>49</v>
      </c>
      <c r="F60" s="371" t="n">
        <v>88.0</v>
      </c>
      <c r="G60" s="9">
        <f t="shared" si="1"/>
        <v>4.2798936303769731E-5</v>
      </c>
    </row>
    <row r="61" spans="1:7" x14ac:dyDescent="0.45">
      <c r="A61">
        <v>50</v>
      </c>
      <c r="B61" s="6" t="n">
        <v>454.367233631</v>
      </c>
      <c r="C61" s="9">
        <f t="shared" si="0"/>
        <v>2.731828159904091E-4</v>
      </c>
      <c r="E61" s="371">
        <v>50</v>
      </c>
      <c r="F61" s="371" t="n">
        <v>69.0</v>
      </c>
      <c r="G61" s="9">
        <f t="shared" si="1"/>
        <v>3.7092411463267101E-5</v>
      </c>
    </row>
    <row r="62" spans="1:7" x14ac:dyDescent="0.45">
      <c r="A62">
        <v>51</v>
      </c>
      <c r="B62" s="6" t="n">
        <v>94.7244864348</v>
      </c>
      <c r="C62" s="9">
        <f t="shared" si="0"/>
        <v>5.6951954349153717E-5</v>
      </c>
      <c r="E62" s="371">
        <v>51</v>
      </c>
      <c r="F62" s="371" t="n">
        <v>64.0</v>
      </c>
      <c r="G62" s="9">
        <f t="shared" si="1"/>
        <v>4.0516326367568675E-5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49.0</v>
      </c>
      <c r="G63" s="9">
        <f t="shared" si="1"/>
        <v>3.309784407491526E-5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45.0</v>
      </c>
      <c r="G64" s="9">
        <f t="shared" si="1"/>
        <v>1.9972836941759208E-5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37.0</v>
      </c>
      <c r="G65" s="9">
        <f t="shared" si="1"/>
        <v>2.8532624202513154E-5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28.0</v>
      </c>
      <c r="G66" s="9">
        <f t="shared" si="1"/>
        <v>2.2255446877960261E-5</v>
      </c>
    </row>
    <row r="67" spans="1:7" x14ac:dyDescent="0.45">
      <c r="A67">
        <v>56</v>
      </c>
      <c r="B67" s="6" t="n">
        <v>767.701778901</v>
      </c>
      <c r="C67" s="9">
        <f t="shared" si="0"/>
        <v>4.6157143006342202E-4</v>
      </c>
      <c r="E67" s="371">
        <v>56</v>
      </c>
      <c r="F67" s="371" t="n">
        <v>24.0</v>
      </c>
      <c r="G67" s="9">
        <f t="shared" si="1"/>
        <v>1.5978269553407364E-5</v>
      </c>
    </row>
    <row r="68" spans="1:7" x14ac:dyDescent="0.45">
      <c r="A68">
        <v>57</v>
      </c>
      <c r="B68" s="6" t="n">
        <v>654.907218069</v>
      </c>
      <c r="C68" s="9">
        <f t="shared" si="0"/>
        <v>3.937550615496847E-4</v>
      </c>
      <c r="E68" s="371">
        <v>57</v>
      </c>
      <c r="F68" s="371" t="n">
        <v>13.0</v>
      </c>
      <c r="G68" s="9">
        <f t="shared" si="1"/>
        <v>1.1413049681005262E-5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24.0</v>
      </c>
      <c r="G69" s="9">
        <f t="shared" si="1"/>
        <v>8.5597872607539463E-6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20.0</v>
      </c>
      <c r="G70" s="9">
        <f t="shared" si="1"/>
        <v>1.0842397196954998E-5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13.0</v>
      </c>
      <c r="G71" s="9">
        <f t="shared" si="1"/>
        <v>7.9891347767036822E-6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6.0</v>
      </c>
      <c r="G72" s="9">
        <f t="shared" si="1"/>
        <v>7.4184822926534198E-6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8.0</v>
      </c>
      <c r="G73" s="9">
        <f t="shared" si="1"/>
        <v>1.7119574521507891E-6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5.0</v>
      </c>
      <c r="G74" s="9">
        <f t="shared" si="1"/>
        <v>3.9945673883518411E-6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4.0</v>
      </c>
      <c r="G75" s="9">
        <f t="shared" si="1"/>
        <v>1.1413049681005261E-6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7.0</v>
      </c>
      <c r="G76" s="9">
        <f t="shared" si="1"/>
        <v>2.8532624202513154E-6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5.1358723564523676E-6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5.0</v>
      </c>
      <c r="G78" s="9">
        <f t="shared" si="3"/>
        <v>3.4239149043015783E-6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5.0</v>
      </c>
      <c r="G79" s="9">
        <f t="shared" si="3"/>
        <v>1.7119574521507891E-6</v>
      </c>
    </row>
    <row r="80" spans="1:7" x14ac:dyDescent="0.45">
      <c r="A80">
        <v>69</v>
      </c>
      <c r="B80" s="6" t="n">
        <v>376.597523036</v>
      </c>
      <c r="C80" s="9">
        <f t="shared" si="2"/>
        <v>2.2642471600744469E-4</v>
      </c>
      <c r="E80" s="371">
        <v>69</v>
      </c>
      <c r="F80" s="371" t="n">
        <v>6.0</v>
      </c>
      <c r="G80" s="9">
        <f t="shared" si="3"/>
        <v>3.4239149043015783E-6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2.8532624202513154E-6</v>
      </c>
    </row>
    <row r="82" spans="1:7" x14ac:dyDescent="0.45">
      <c r="A82">
        <v>71</v>
      </c>
      <c r="B82" s="6" t="n">
        <v>5138.639889169</v>
      </c>
      <c r="C82" s="9">
        <f t="shared" si="2"/>
        <v>3.0895452210884409E-3</v>
      </c>
      <c r="E82" s="371">
        <v>71</v>
      </c>
      <c r="F82" s="371" t="n">
        <v>4.0</v>
      </c>
      <c r="G82" s="9">
        <f t="shared" si="3"/>
        <v>2.2826099362010522E-6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2.2826099362010522E-6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1.1413049681005261E-6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2.0</v>
      </c>
      <c r="G86" s="9">
        <f t="shared" si="3"/>
        <v>1.1413049681005261E-6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3.0</v>
      </c>
      <c r="G87" s="9">
        <f t="shared" si="3"/>
        <v>5.7065248405026304E-7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85.7260115733</v>
      </c>
      <c r="C93" s="9">
        <f t="shared" si="2"/>
        <v>5.1541729930814942E-5</v>
      </c>
      <c r="E93" s="371">
        <v>82</v>
      </c>
      <c r="F93" s="371" t="n">
        <v>1.0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297.868494818</v>
      </c>
      <c r="C95" s="9">
        <f t="shared" si="2"/>
        <v>1.7908983788054132E-4</v>
      </c>
      <c r="E95" s="371">
        <v>84</v>
      </c>
      <c r="F95" s="371" t="n">
        <v>1.0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1.0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176.0946851223</v>
      </c>
      <c r="C101" s="9">
        <f t="shared" si="2"/>
        <v>1.0587480434762627E-4</v>
      </c>
      <c r="E101" s="372">
        <v>90</v>
      </c>
      <c r="F101" s="372" t="n">
        <v>0.0</v>
      </c>
      <c r="G101" s="9">
        <f t="shared" si="3"/>
        <v>5.7065248405026304E-7</v>
      </c>
    </row>
    <row r="102" spans="1:7" x14ac:dyDescent="0.45">
      <c r="B102" s="6">
        <f>SUM(B11:B101)</f>
        <v>1663235.0464055245</v>
      </c>
      <c r="C102" s="9">
        <f t="shared" si="2"/>
        <v>1</v>
      </c>
      <c r="F102" s="6">
        <f>SUM(F11:F101)</f>
        <v>1752380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12398.0</v>
      </c>
      <c r="G11" s="9">
        <f>F11/F$102</f>
        <v>6.9825037948390185E-3</v>
      </c>
      <c r="K11" s="6" t="n">
        <v>30.414956236283892</v>
      </c>
      <c r="L11" s="6" t="n">
        <v>19.615412581629492</v>
      </c>
    </row>
    <row r="12" spans="1:12" x14ac:dyDescent="0.45">
      <c r="A12">
        <v>1</v>
      </c>
      <c r="B12" s="6" t="n">
        <v>333.825096643</v>
      </c>
      <c r="C12" s="9">
        <f>B12/B$102</f>
        <v>2.0070831080937175E-4</v>
      </c>
      <c r="E12" s="371">
        <v>1</v>
      </c>
      <c r="F12" s="371" t="n">
        <v>48746.0</v>
      </c>
      <c r="G12" s="9">
        <f>F12/F$102</f>
        <v>2.8073819605336742E-2</v>
      </c>
      <c r="K12" s="6"/>
      <c r="L12" s="371"/>
    </row>
    <row r="13" spans="1:12" x14ac:dyDescent="0.45">
      <c r="A13">
        <v>2</v>
      </c>
      <c r="B13" s="6" t="n">
        <v>148.534598525</v>
      </c>
      <c r="C13" s="9">
        <f t="shared" ref="C13:C76" si="0">B13/B$102</f>
        <v>8.9304634871663674E-5</v>
      </c>
      <c r="E13" s="371">
        <v>2</v>
      </c>
      <c r="F13" s="371" t="n">
        <v>57699.0</v>
      </c>
      <c r="G13" s="9">
        <f t="shared" ref="G13:G76" si="1">F13/F$102</f>
        <v>3.3014528812243919E-2</v>
      </c>
    </row>
    <row r="14" spans="1:12" x14ac:dyDescent="0.45">
      <c r="A14">
        <v>3</v>
      </c>
      <c r="B14" s="6" t="n">
        <v>771.321815833</v>
      </c>
      <c r="C14" s="9">
        <f t="shared" si="0"/>
        <v>4.6374793358276706E-4</v>
      </c>
      <c r="E14" s="371">
        <v>3</v>
      </c>
      <c r="F14" s="371" t="n">
        <v>62937.0</v>
      </c>
      <c r="G14" s="9">
        <f t="shared" si="1"/>
        <v>3.5959666282427326E-2</v>
      </c>
    </row>
    <row r="15" spans="1:12" x14ac:dyDescent="0.45">
      <c r="A15">
        <v>4</v>
      </c>
      <c r="B15" s="6" t="n">
        <v>1346.2126218382</v>
      </c>
      <c r="C15" s="9">
        <f t="shared" si="0"/>
        <v>8.0939409300420087E-4</v>
      </c>
      <c r="E15" s="371">
        <v>4</v>
      </c>
      <c r="F15" s="371" t="n">
        <v>62116.0</v>
      </c>
      <c r="G15" s="9">
        <f t="shared" si="1"/>
        <v>3.5334801812392291E-2</v>
      </c>
    </row>
    <row r="16" spans="1:12" x14ac:dyDescent="0.45">
      <c r="A16">
        <v>5</v>
      </c>
      <c r="B16" s="6" t="n">
        <v>19556.0610301978</v>
      </c>
      <c r="C16" s="9">
        <f t="shared" si="0"/>
        <v>1.1757845695027339E-2</v>
      </c>
      <c r="E16" s="371">
        <v>5</v>
      </c>
      <c r="F16" s="371" t="n">
        <v>60592.0</v>
      </c>
      <c r="G16" s="9">
        <f t="shared" si="1"/>
        <v>3.4497654618290553E-2</v>
      </c>
    </row>
    <row r="17" spans="1:7" x14ac:dyDescent="0.45">
      <c r="A17">
        <v>6</v>
      </c>
      <c r="B17" s="6" t="n">
        <v>18700.8686173377</v>
      </c>
      <c r="C17" s="9">
        <f t="shared" si="0"/>
        <v>1.1243671577118816E-2</v>
      </c>
      <c r="E17" s="371">
        <v>6</v>
      </c>
      <c r="F17" s="371" t="n">
        <v>56383.0</v>
      </c>
      <c r="G17" s="9">
        <f t="shared" si="1"/>
        <v>3.2093495702986793E-2</v>
      </c>
    </row>
    <row r="18" spans="1:7" x14ac:dyDescent="0.45">
      <c r="A18">
        <v>7</v>
      </c>
      <c r="B18" s="6" t="n">
        <v>16422.8129101743</v>
      </c>
      <c r="C18" s="9">
        <f t="shared" si="0"/>
        <v>9.8740180743943605E-3</v>
      </c>
      <c r="E18" s="371">
        <v>7</v>
      </c>
      <c r="F18" s="371" t="n">
        <v>52933.0</v>
      </c>
      <c r="G18" s="9">
        <f t="shared" si="1"/>
        <v>2.9966103242447414E-2</v>
      </c>
    </row>
    <row r="19" spans="1:7" x14ac:dyDescent="0.45">
      <c r="A19">
        <v>8</v>
      </c>
      <c r="B19" s="6" t="n">
        <v>5578.9880150008</v>
      </c>
      <c r="C19" s="9">
        <f t="shared" si="0"/>
        <v>3.354299217694904E-3</v>
      </c>
      <c r="E19" s="371">
        <v>8</v>
      </c>
      <c r="F19" s="371" t="n">
        <v>47700.0</v>
      </c>
      <c r="G19" s="9">
        <f t="shared" si="1"/>
        <v>2.7228683276458301E-2</v>
      </c>
    </row>
    <row r="20" spans="1:7" x14ac:dyDescent="0.45">
      <c r="A20">
        <v>9</v>
      </c>
      <c r="B20" s="6" t="n">
        <v>20340.1799372623</v>
      </c>
      <c r="C20" s="9">
        <f t="shared" si="0"/>
        <v>1.2229287725279819E-2</v>
      </c>
      <c r="E20" s="371">
        <v>9</v>
      </c>
      <c r="F20" s="371" t="n">
        <v>43271.0</v>
      </c>
      <c r="G20" s="9">
        <f t="shared" si="1"/>
        <v>2.4694415594791085E-2</v>
      </c>
    </row>
    <row r="21" spans="1:7" x14ac:dyDescent="0.45">
      <c r="A21">
        <v>10</v>
      </c>
      <c r="B21" s="6" t="n">
        <v>4120.5243318856</v>
      </c>
      <c r="C21" s="9">
        <f t="shared" si="0"/>
        <v>2.4774155287255449E-3</v>
      </c>
      <c r="E21" s="371">
        <v>10</v>
      </c>
      <c r="F21" s="371" t="n">
        <v>39310.0</v>
      </c>
      <c r="G21" s="9">
        <f t="shared" si="1"/>
        <v>2.251395245323503E-2</v>
      </c>
    </row>
    <row r="22" spans="1:7" x14ac:dyDescent="0.45">
      <c r="A22">
        <v>11</v>
      </c>
      <c r="B22" s="6" t="n">
        <v>21768.6711674384</v>
      </c>
      <c r="C22" s="9">
        <f t="shared" si="0"/>
        <v>1.3088150838622255E-2</v>
      </c>
      <c r="E22" s="371">
        <v>11</v>
      </c>
      <c r="F22" s="371" t="n">
        <v>35279.0</v>
      </c>
      <c r="G22" s="9">
        <f t="shared" si="1"/>
        <v>2.0000228260993621E-2</v>
      </c>
    </row>
    <row r="23" spans="1:7" x14ac:dyDescent="0.45">
      <c r="A23">
        <v>12</v>
      </c>
      <c r="B23" s="6" t="n">
        <v>16928.0021256995</v>
      </c>
      <c r="C23" s="9">
        <f t="shared" si="0"/>
        <v>1.0177756993687207E-2</v>
      </c>
      <c r="E23" s="371">
        <v>12</v>
      </c>
      <c r="F23" s="371" t="n">
        <v>32032.0</v>
      </c>
      <c r="G23" s="9">
        <f t="shared" si="1"/>
        <v>1.8440635022084251E-2</v>
      </c>
    </row>
    <row r="24" spans="1:7" x14ac:dyDescent="0.45">
      <c r="A24">
        <v>13</v>
      </c>
      <c r="B24" s="6" t="n">
        <v>36054.3135194263</v>
      </c>
      <c r="C24" s="9">
        <f t="shared" si="0"/>
        <v>2.1677220905935411E-2</v>
      </c>
      <c r="E24" s="371">
        <v>13</v>
      </c>
      <c r="F24" s="371" t="n">
        <v>28293.0</v>
      </c>
      <c r="G24" s="9">
        <f t="shared" si="1"/>
        <v>1.6093541355185519E-2</v>
      </c>
    </row>
    <row r="25" spans="1:7" x14ac:dyDescent="0.45">
      <c r="A25">
        <v>14</v>
      </c>
      <c r="B25" s="6" t="n">
        <v>27730.1843674921</v>
      </c>
      <c r="C25" s="9">
        <f t="shared" si="0"/>
        <v>1.6672438707578199E-2</v>
      </c>
      <c r="E25" s="371">
        <v>14</v>
      </c>
      <c r="F25" s="371" t="n">
        <v>26937.0</v>
      </c>
      <c r="G25" s="9">
        <f t="shared" si="1"/>
        <v>1.5466964927698331E-2</v>
      </c>
    </row>
    <row r="26" spans="1:7" x14ac:dyDescent="0.45">
      <c r="A26">
        <v>15</v>
      </c>
      <c r="B26" s="6" t="n">
        <v>13600.2345992095</v>
      </c>
      <c r="C26" s="9">
        <f t="shared" si="0"/>
        <v>8.1769769273449585E-3</v>
      </c>
      <c r="E26" s="371">
        <v>15</v>
      </c>
      <c r="F26" s="371" t="n">
        <v>23504.0</v>
      </c>
      <c r="G26" s="9">
        <f t="shared" si="1"/>
        <v>1.3259681119391912E-2</v>
      </c>
    </row>
    <row r="27" spans="1:7" x14ac:dyDescent="0.45">
      <c r="A27">
        <v>16</v>
      </c>
      <c r="B27" s="6" t="n">
        <v>70085.149131614</v>
      </c>
      <c r="C27" s="9">
        <f t="shared" si="0"/>
        <v>4.2137850139147469E-2</v>
      </c>
      <c r="E27" s="371">
        <v>16</v>
      </c>
      <c r="F27" s="371" t="n">
        <v>22167.0</v>
      </c>
      <c r="G27" s="9">
        <f t="shared" si="1"/>
        <v>1.2504137230509364E-2</v>
      </c>
    </row>
    <row r="28" spans="1:7" x14ac:dyDescent="0.45">
      <c r="A28">
        <v>17</v>
      </c>
      <c r="B28" s="6" t="n">
        <v>43723.6880209839</v>
      </c>
      <c r="C28" s="9">
        <f t="shared" si="0"/>
        <v>2.6288339772226828E-2</v>
      </c>
      <c r="E28" s="371">
        <v>17</v>
      </c>
      <c r="F28" s="371" t="n">
        <v>19507.0</v>
      </c>
      <c r="G28" s="9">
        <f t="shared" si="1"/>
        <v>1.1296065921774958E-2</v>
      </c>
    </row>
    <row r="29" spans="1:7" x14ac:dyDescent="0.45">
      <c r="A29">
        <v>18</v>
      </c>
      <c r="B29" s="6" t="n">
        <v>107948.1036721795</v>
      </c>
      <c r="C29" s="9">
        <f t="shared" si="0"/>
        <v>6.4902494632655724E-2</v>
      </c>
      <c r="E29" s="371">
        <v>18</v>
      </c>
      <c r="F29" s="371" t="n">
        <v>195013.0</v>
      </c>
      <c r="G29" s="9">
        <f t="shared" si="1"/>
        <v>0.11194147388123581</v>
      </c>
    </row>
    <row r="30" spans="1:7" x14ac:dyDescent="0.45">
      <c r="A30">
        <v>19</v>
      </c>
      <c r="B30" s="6" t="n">
        <v>80228.0808054346</v>
      </c>
      <c r="C30" s="9">
        <f t="shared" si="0"/>
        <v>4.8236165404774434E-2</v>
      </c>
      <c r="E30" s="371">
        <v>19</v>
      </c>
      <c r="F30" s="371" t="n">
        <v>67996.0</v>
      </c>
      <c r="G30" s="9">
        <f t="shared" si="1"/>
        <v>3.8314749084102762E-2</v>
      </c>
    </row>
    <row r="31" spans="1:7" x14ac:dyDescent="0.45">
      <c r="A31">
        <v>20</v>
      </c>
      <c r="B31" s="6" t="n">
        <v>111888.5991619713</v>
      </c>
      <c r="C31" s="9">
        <f t="shared" si="0"/>
        <v>6.7271669992631303E-2</v>
      </c>
      <c r="E31" s="371">
        <v>20</v>
      </c>
      <c r="F31" s="371" t="n">
        <v>66597.0</v>
      </c>
      <c r="G31" s="9">
        <f t="shared" si="1"/>
        <v>3.7681895479291024E-2</v>
      </c>
    </row>
    <row r="32" spans="1:7" x14ac:dyDescent="0.45">
      <c r="A32">
        <v>21</v>
      </c>
      <c r="B32" s="6" t="n">
        <v>114083.8321876549</v>
      </c>
      <c r="C32" s="9">
        <f t="shared" si="0"/>
        <v>6.8591527357606749E-2</v>
      </c>
      <c r="E32" s="371">
        <v>21</v>
      </c>
      <c r="F32" s="371" t="n">
        <v>73989.0</v>
      </c>
      <c r="G32" s="9">
        <f t="shared" si="1"/>
        <v>4.136602791631952E-2</v>
      </c>
    </row>
    <row r="33" spans="1:7" x14ac:dyDescent="0.45">
      <c r="A33">
        <v>22</v>
      </c>
      <c r="B33" s="6" t="n">
        <v>67093.4735659995</v>
      </c>
      <c r="C33" s="9">
        <f t="shared" si="0"/>
        <v>4.0339141308378235E-2</v>
      </c>
      <c r="E33" s="371">
        <v>22</v>
      </c>
      <c r="F33" s="371" t="n">
        <v>71675.0</v>
      </c>
      <c r="G33" s="9">
        <f t="shared" si="1"/>
        <v>4.15360823565665E-2</v>
      </c>
    </row>
    <row r="34" spans="1:7" x14ac:dyDescent="0.45">
      <c r="A34">
        <v>23</v>
      </c>
      <c r="B34" s="6" t="n">
        <v>46182.4078861356</v>
      </c>
      <c r="C34" s="9">
        <f t="shared" si="0"/>
        <v>2.7766615419715934E-2</v>
      </c>
      <c r="E34" s="371">
        <v>23</v>
      </c>
      <c r="F34" s="371" t="n">
        <v>62185.0</v>
      </c>
      <c r="G34" s="9">
        <f t="shared" si="1"/>
        <v>3.5482030153277257E-2</v>
      </c>
    </row>
    <row r="35" spans="1:7" x14ac:dyDescent="0.45">
      <c r="A35">
        <v>24</v>
      </c>
      <c r="B35" s="6" t="n">
        <v>79614.9074744078</v>
      </c>
      <c r="C35" s="9">
        <f t="shared" si="0"/>
        <v>4.7867502339171079E-2</v>
      </c>
      <c r="E35" s="371">
        <v>24</v>
      </c>
      <c r="F35" s="371" t="n">
        <v>39643.0</v>
      </c>
      <c r="G35" s="9">
        <f t="shared" si="1"/>
        <v>2.2996724454741553E-2</v>
      </c>
    </row>
    <row r="36" spans="1:7" x14ac:dyDescent="0.45">
      <c r="A36">
        <v>25</v>
      </c>
      <c r="B36" s="6" t="n">
        <v>35005.618641640904</v>
      </c>
      <c r="C36" s="9">
        <f t="shared" si="0"/>
        <v>2.1046705766146978E-2</v>
      </c>
      <c r="E36" s="371">
        <v>25</v>
      </c>
      <c r="F36" s="371" t="n">
        <v>41064.0</v>
      </c>
      <c r="G36" s="9">
        <f t="shared" si="1"/>
        <v>2.3158789760211827E-2</v>
      </c>
    </row>
    <row r="37" spans="1:7" x14ac:dyDescent="0.45">
      <c r="A37">
        <v>26</v>
      </c>
      <c r="B37" s="6" t="n">
        <v>110171.453819876</v>
      </c>
      <c r="C37" s="9">
        <f t="shared" si="0"/>
        <v>6.6239257077928548E-2</v>
      </c>
      <c r="E37" s="371">
        <v>26</v>
      </c>
      <c r="F37" s="371" t="n">
        <v>38993.0</v>
      </c>
      <c r="G37" s="9">
        <f t="shared" si="1"/>
        <v>2.1634576975313572E-2</v>
      </c>
    </row>
    <row r="38" spans="1:7" x14ac:dyDescent="0.45">
      <c r="A38">
        <v>27</v>
      </c>
      <c r="B38" s="6" t="n">
        <v>21890.0940225592</v>
      </c>
      <c r="C38" s="9">
        <f t="shared" si="0"/>
        <v>1.3161154864952274E-2</v>
      </c>
      <c r="E38" s="371">
        <v>27</v>
      </c>
      <c r="F38" s="371" t="n">
        <v>32017.0</v>
      </c>
      <c r="G38" s="9">
        <f t="shared" si="1"/>
        <v>1.6179139227793057E-2</v>
      </c>
    </row>
    <row r="39" spans="1:7" x14ac:dyDescent="0.45">
      <c r="A39">
        <v>28</v>
      </c>
      <c r="B39" s="6" t="n">
        <v>33013.00494433</v>
      </c>
      <c r="C39" s="9">
        <f t="shared" si="0"/>
        <v>1.9848670827178366E-2</v>
      </c>
      <c r="E39" s="371">
        <v>28</v>
      </c>
      <c r="F39" s="371" t="n">
        <v>28212.0</v>
      </c>
      <c r="G39" s="9">
        <f t="shared" si="1"/>
        <v>2.088816352617583E-2</v>
      </c>
    </row>
    <row r="40" spans="1:7" x14ac:dyDescent="0.45">
      <c r="A40">
        <v>29</v>
      </c>
      <c r="B40" s="6" t="n">
        <v>32294.1378415938</v>
      </c>
      <c r="C40" s="9">
        <f t="shared" si="0"/>
        <v>1.9416460656830063E-2</v>
      </c>
      <c r="E40" s="371">
        <v>29</v>
      </c>
      <c r="F40" s="371" t="n">
        <v>29050.0</v>
      </c>
      <c r="G40" s="9">
        <f t="shared" si="1"/>
        <v>1.375500747554754E-2</v>
      </c>
    </row>
    <row r="41" spans="1:7" x14ac:dyDescent="0.45">
      <c r="A41">
        <v>30</v>
      </c>
      <c r="B41" s="6" t="n">
        <v>9876.4197473297</v>
      </c>
      <c r="C41" s="9">
        <f t="shared" si="0"/>
        <v>5.9380781860471094E-3</v>
      </c>
      <c r="E41" s="371">
        <v>30</v>
      </c>
      <c r="F41" s="371" t="n">
        <v>22908.0</v>
      </c>
      <c r="G41" s="9">
        <f t="shared" si="1"/>
        <v>1.3454273616453053E-2</v>
      </c>
    </row>
    <row r="42" spans="1:7" x14ac:dyDescent="0.45">
      <c r="A42">
        <v>31</v>
      </c>
      <c r="B42" s="6" t="n">
        <v>24224.3808159442</v>
      </c>
      <c r="C42" s="9">
        <f t="shared" si="0"/>
        <v>1.4564616629679821E-2</v>
      </c>
      <c r="E42" s="371">
        <v>31</v>
      </c>
      <c r="F42" s="371" t="n">
        <v>23815.0</v>
      </c>
      <c r="G42" s="9">
        <f t="shared" si="1"/>
        <v>1.099590271516452E-2</v>
      </c>
    </row>
    <row r="43" spans="1:7" x14ac:dyDescent="0.45">
      <c r="A43">
        <v>32</v>
      </c>
      <c r="B43" s="6" t="n">
        <v>12103.7005547363</v>
      </c>
      <c r="C43" s="9">
        <f t="shared" si="0"/>
        <v>7.2772038930360603E-3</v>
      </c>
      <c r="E43" s="371">
        <v>32</v>
      </c>
      <c r="F43" s="371" t="n">
        <v>17549.0</v>
      </c>
      <c r="G43" s="9">
        <f t="shared" si="1"/>
        <v>9.4317442563827472E-3</v>
      </c>
    </row>
    <row r="44" spans="1:7" x14ac:dyDescent="0.45">
      <c r="A44">
        <v>33</v>
      </c>
      <c r="B44" s="6" t="n">
        <v>26940.1192445561</v>
      </c>
      <c r="C44" s="9">
        <f t="shared" si="0"/>
        <v>1.6197421586790949E-2</v>
      </c>
      <c r="E44" s="371">
        <v>33</v>
      </c>
      <c r="F44" s="371" t="n">
        <v>24397.0</v>
      </c>
      <c r="G44" s="9">
        <f t="shared" si="1"/>
        <v>1.6065579383467057E-2</v>
      </c>
    </row>
    <row r="45" spans="1:7" x14ac:dyDescent="0.45">
      <c r="A45">
        <v>34</v>
      </c>
      <c r="B45" s="6" t="n">
        <v>34088.1811608328</v>
      </c>
      <c r="C45" s="9">
        <f t="shared" si="0"/>
        <v>2.0495107552298122E-2</v>
      </c>
      <c r="E45" s="371">
        <v>34</v>
      </c>
      <c r="F45" s="371" t="n">
        <v>20793.0</v>
      </c>
      <c r="G45" s="9">
        <f t="shared" si="1"/>
        <v>1.3103892991246192E-2</v>
      </c>
    </row>
    <row r="46" spans="1:7" x14ac:dyDescent="0.45">
      <c r="A46">
        <v>35</v>
      </c>
      <c r="B46" s="6" t="n">
        <v>23687.3206641769</v>
      </c>
      <c r="C46" s="9">
        <f t="shared" si="0"/>
        <v>1.4241715694584711E-2</v>
      </c>
      <c r="E46" s="371">
        <v>35</v>
      </c>
      <c r="F46" s="371" t="n">
        <v>14865.0</v>
      </c>
      <c r="G46" s="9">
        <f t="shared" si="1"/>
        <v>8.9187276732215614E-3</v>
      </c>
    </row>
    <row r="47" spans="1:7" x14ac:dyDescent="0.45">
      <c r="A47">
        <v>36</v>
      </c>
      <c r="B47" s="6" t="n">
        <v>11180.3634742526</v>
      </c>
      <c r="C47" s="9">
        <f t="shared" si="0"/>
        <v>6.7220586160776676E-3</v>
      </c>
      <c r="E47" s="371">
        <v>36</v>
      </c>
      <c r="F47" s="371" t="n">
        <v>9187.0</v>
      </c>
      <c r="G47" s="9">
        <f t="shared" si="1"/>
        <v>5.7076661454707311E-3</v>
      </c>
    </row>
    <row r="48" spans="1:7" x14ac:dyDescent="0.45">
      <c r="A48">
        <v>37</v>
      </c>
      <c r="B48" s="6" t="n">
        <v>24737.8694603382</v>
      </c>
      <c r="C48" s="9">
        <f t="shared" si="0"/>
        <v>1.4873345480423867E-2</v>
      </c>
      <c r="E48" s="371">
        <v>37</v>
      </c>
      <c r="F48" s="371" t="n">
        <v>8888.0</v>
      </c>
      <c r="G48" s="9">
        <f t="shared" si="1"/>
        <v>6.8153026170122916E-3</v>
      </c>
    </row>
    <row r="49" spans="1:7" x14ac:dyDescent="0.45">
      <c r="A49">
        <v>38</v>
      </c>
      <c r="B49" s="6" t="n">
        <v>22185.304254814</v>
      </c>
      <c r="C49" s="9">
        <f t="shared" si="0"/>
        <v>1.3338646454546174E-2</v>
      </c>
      <c r="E49" s="371">
        <v>38</v>
      </c>
      <c r="F49" s="371" t="n">
        <v>12025.0</v>
      </c>
      <c r="G49" s="9">
        <f t="shared" si="1"/>
        <v>5.1683995480432329E-3</v>
      </c>
    </row>
    <row r="50" spans="1:7" x14ac:dyDescent="0.45">
      <c r="A50">
        <v>39</v>
      </c>
      <c r="B50" s="6" t="n">
        <v>9696.9774611904</v>
      </c>
      <c r="C50" s="9">
        <f t="shared" si="0"/>
        <v>5.8301906769863184E-3</v>
      </c>
      <c r="E50" s="371">
        <v>39</v>
      </c>
      <c r="F50" s="371" t="n">
        <v>9123.0</v>
      </c>
      <c r="G50" s="9">
        <f t="shared" si="1"/>
        <v>6.0905739622684578E-3</v>
      </c>
    </row>
    <row r="51" spans="1:7" x14ac:dyDescent="0.45">
      <c r="A51">
        <v>40</v>
      </c>
      <c r="B51" s="6" t="n">
        <v>17700.9045033165</v>
      </c>
      <c r="C51" s="9">
        <f t="shared" si="0"/>
        <v>1.064245522096864E-2</v>
      </c>
      <c r="E51" s="371">
        <v>40</v>
      </c>
      <c r="F51" s="371" t="n">
        <v>7183.0</v>
      </c>
      <c r="G51" s="9">
        <f t="shared" si="1"/>
        <v>4.1047033177735422E-3</v>
      </c>
    </row>
    <row r="52" spans="1:7" x14ac:dyDescent="0.45">
      <c r="A52">
        <v>41</v>
      </c>
      <c r="B52" s="6" t="n">
        <v>17609.5071232353</v>
      </c>
      <c r="C52" s="9">
        <f t="shared" si="0"/>
        <v>1.0587503649163608E-2</v>
      </c>
      <c r="E52" s="371">
        <v>41</v>
      </c>
      <c r="F52" s="371" t="n">
        <v>10256.0</v>
      </c>
      <c r="G52" s="9">
        <f t="shared" si="1"/>
        <v>5.069676668302537E-3</v>
      </c>
    </row>
    <row r="53" spans="1:7" x14ac:dyDescent="0.45">
      <c r="A53">
        <v>42</v>
      </c>
      <c r="B53" s="6" t="n">
        <v>4971.9996765032</v>
      </c>
      <c r="C53" s="9">
        <f t="shared" si="0"/>
        <v>2.989354804210241E-3</v>
      </c>
      <c r="E53" s="371">
        <v>42</v>
      </c>
      <c r="F53" s="371" t="n">
        <v>6918.0</v>
      </c>
      <c r="G53" s="9">
        <f t="shared" si="1"/>
        <v>3.5397573585637817E-3</v>
      </c>
    </row>
    <row r="54" spans="1:7" x14ac:dyDescent="0.45">
      <c r="A54">
        <v>43</v>
      </c>
      <c r="B54" s="6" t="n">
        <v>4521.353864761</v>
      </c>
      <c r="C54" s="9">
        <f t="shared" si="0"/>
        <v>2.7184094482209562E-3</v>
      </c>
      <c r="E54" s="371">
        <v>43</v>
      </c>
      <c r="F54" s="371" t="n">
        <v>5691.0</v>
      </c>
      <c r="G54" s="9">
        <f t="shared" si="1"/>
        <v>3.4353279539825836E-3</v>
      </c>
    </row>
    <row r="55" spans="1:7" x14ac:dyDescent="0.45">
      <c r="A55">
        <v>44</v>
      </c>
      <c r="B55" s="6" t="n">
        <v>3684.0662781272</v>
      </c>
      <c r="C55" s="9">
        <f t="shared" si="0"/>
        <v>2.2150003910084526E-3</v>
      </c>
      <c r="E55" s="371">
        <v>44</v>
      </c>
      <c r="F55" s="371" t="n">
        <v>5347.0</v>
      </c>
      <c r="G55" s="9">
        <f t="shared" si="1"/>
        <v>3.3736974857051551E-3</v>
      </c>
    </row>
    <row r="56" spans="1:7" x14ac:dyDescent="0.45">
      <c r="A56">
        <v>45</v>
      </c>
      <c r="B56" s="6" t="n">
        <v>97503.2723621017</v>
      </c>
      <c r="C56" s="9">
        <f t="shared" si="0"/>
        <v>5.8622665854005065E-2</v>
      </c>
      <c r="E56" s="371">
        <v>45</v>
      </c>
      <c r="F56" s="371" t="n">
        <v>5467.0</v>
      </c>
      <c r="G56" s="9">
        <f t="shared" si="1"/>
        <v>3.4752736278661021E-3</v>
      </c>
    </row>
    <row r="57" spans="1:7" x14ac:dyDescent="0.45">
      <c r="A57">
        <v>46</v>
      </c>
      <c r="B57" s="6" t="n">
        <v>5493.9215501004</v>
      </c>
      <c r="C57" s="9">
        <f t="shared" si="0"/>
        <v>3.3031540322418676E-3</v>
      </c>
      <c r="E57" s="371">
        <v>46</v>
      </c>
      <c r="F57" s="371" t="n">
        <v>4157.0</v>
      </c>
      <c r="G57" s="9">
        <f t="shared" si="1"/>
        <v>2.8190232712082997E-3</v>
      </c>
    </row>
    <row r="58" spans="1:7" x14ac:dyDescent="0.45">
      <c r="A58">
        <v>47</v>
      </c>
      <c r="B58" s="6" t="n">
        <v>2993.9634491883</v>
      </c>
      <c r="C58" s="9">
        <f t="shared" si="0"/>
        <v>1.8000843931581757E-3</v>
      </c>
      <c r="E58" s="371">
        <v>47</v>
      </c>
      <c r="F58" s="371" t="n">
        <v>3709.0</v>
      </c>
      <c r="G58" s="9">
        <f t="shared" si="1"/>
        <v>2.4395393693148748E-3</v>
      </c>
    </row>
    <row r="59" spans="1:7" x14ac:dyDescent="0.45">
      <c r="A59">
        <v>48</v>
      </c>
      <c r="B59" s="6" t="n">
        <v>573.9446308477001</v>
      </c>
      <c r="C59" s="9">
        <f t="shared" si="0"/>
        <v>3.450772830262756E-4</v>
      </c>
      <c r="E59" s="371">
        <v>48</v>
      </c>
      <c r="F59" s="371" t="n">
        <v>5360.0</v>
      </c>
      <c r="G59" s="9">
        <f t="shared" si="1"/>
        <v>2.3944578230749038E-3</v>
      </c>
    </row>
    <row r="60" spans="1:7" x14ac:dyDescent="0.45">
      <c r="A60">
        <v>49</v>
      </c>
      <c r="B60" s="6" t="n">
        <v>3178.6539217439</v>
      </c>
      <c r="C60" s="9">
        <f t="shared" si="0"/>
        <v>1.9111273109675021E-3</v>
      </c>
      <c r="E60" s="371">
        <v>49</v>
      </c>
      <c r="F60" s="371" t="n">
        <v>3992.0</v>
      </c>
      <c r="G60" s="9">
        <f t="shared" si="1"/>
        <v>2.8098928314634953E-3</v>
      </c>
    </row>
    <row r="61" spans="1:7" x14ac:dyDescent="0.45">
      <c r="A61">
        <v>50</v>
      </c>
      <c r="B61" s="6" t="n">
        <v>2798.5643410527</v>
      </c>
      <c r="C61" s="9">
        <f t="shared" si="0"/>
        <v>1.6826030374364552E-3</v>
      </c>
      <c r="E61" s="371">
        <v>50</v>
      </c>
      <c r="F61" s="371" t="n">
        <v>3851.0</v>
      </c>
      <c r="G61" s="9">
        <f t="shared" si="1"/>
        <v>2.0554902475490478E-3</v>
      </c>
    </row>
    <row r="62" spans="1:7" x14ac:dyDescent="0.45">
      <c r="A62">
        <v>51</v>
      </c>
      <c r="B62" s="6" t="n">
        <v>1316.9566898570001</v>
      </c>
      <c r="C62" s="9">
        <f t="shared" si="0"/>
        <v>7.9180431695635614E-4</v>
      </c>
      <c r="E62" s="371">
        <v>51</v>
      </c>
      <c r="F62" s="371" t="n">
        <v>2712.0</v>
      </c>
      <c r="G62" s="9">
        <f t="shared" si="1"/>
        <v>1.7770118353325193E-3</v>
      </c>
    </row>
    <row r="63" spans="1:7" x14ac:dyDescent="0.45">
      <c r="A63">
        <v>52</v>
      </c>
      <c r="B63" s="6" t="n">
        <v>1700.5931489561</v>
      </c>
      <c r="C63" s="9">
        <f t="shared" si="0"/>
        <v>1.0224611083269985E-3</v>
      </c>
      <c r="E63" s="371">
        <v>52</v>
      </c>
      <c r="F63" s="371" t="n">
        <v>2683.0</v>
      </c>
      <c r="G63" s="9">
        <f t="shared" si="1"/>
        <v>1.5019573380202925E-3</v>
      </c>
    </row>
    <row r="64" spans="1:7" x14ac:dyDescent="0.45">
      <c r="A64">
        <v>53</v>
      </c>
      <c r="B64" s="6" t="n">
        <v>3572.4721361389998</v>
      </c>
      <c r="C64" s="9">
        <f t="shared" si="0"/>
        <v>2.1479057598380894E-3</v>
      </c>
      <c r="E64" s="371">
        <v>53</v>
      </c>
      <c r="F64" s="371" t="n">
        <v>2699.0</v>
      </c>
      <c r="G64" s="9">
        <f t="shared" si="1"/>
        <v>1.2440224152295734E-3</v>
      </c>
    </row>
    <row r="65" spans="1:7" x14ac:dyDescent="0.45">
      <c r="A65">
        <v>54</v>
      </c>
      <c r="B65" s="6" t="n">
        <v>5850.475147112</v>
      </c>
      <c r="C65" s="9">
        <f t="shared" si="0"/>
        <v>3.5175275796139964E-3</v>
      </c>
      <c r="E65" s="371">
        <v>54</v>
      </c>
      <c r="F65" s="371" t="n">
        <v>2377.0</v>
      </c>
      <c r="G65" s="9">
        <f t="shared" si="1"/>
        <v>1.4089409831200995E-3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2566.0</v>
      </c>
      <c r="G66" s="9">
        <f t="shared" si="1"/>
        <v>1.3570116070715256E-3</v>
      </c>
    </row>
    <row r="67" spans="1:7" x14ac:dyDescent="0.45">
      <c r="A67">
        <v>56</v>
      </c>
      <c r="B67" s="6" t="n">
        <v>1908.1655340476</v>
      </c>
      <c r="C67" s="9">
        <f t="shared" si="0"/>
        <v>1.1472614999133181E-3</v>
      </c>
      <c r="E67" s="371">
        <v>56</v>
      </c>
      <c r="F67" s="371" t="n">
        <v>2382.0</v>
      </c>
      <c r="G67" s="9">
        <f t="shared" si="1"/>
        <v>1.1852452093723963E-3</v>
      </c>
    </row>
    <row r="68" spans="1:7" x14ac:dyDescent="0.45">
      <c r="A68">
        <v>57</v>
      </c>
      <c r="B68" s="6" t="n">
        <v>1557.3016408869998</v>
      </c>
      <c r="C68" s="9">
        <f t="shared" si="0"/>
        <v>9.3630881831917767E-4</v>
      </c>
      <c r="E68" s="371">
        <v>57</v>
      </c>
      <c r="F68" s="371" t="n">
        <v>1499.0</v>
      </c>
      <c r="G68" s="9">
        <f t="shared" si="1"/>
        <v>8.753809105331036E-4</v>
      </c>
    </row>
    <row r="69" spans="1:7" x14ac:dyDescent="0.45">
      <c r="A69">
        <v>58</v>
      </c>
      <c r="B69" s="6" t="n">
        <v>5955.264272062</v>
      </c>
      <c r="C69" s="9">
        <f t="shared" si="0"/>
        <v>3.5805307764119852E-3</v>
      </c>
      <c r="E69" s="371">
        <v>58</v>
      </c>
      <c r="F69" s="371" t="n">
        <v>1615.0</v>
      </c>
      <c r="G69" s="9">
        <f t="shared" si="1"/>
        <v>1.0106255492530159E-3</v>
      </c>
    </row>
    <row r="70" spans="1:7" x14ac:dyDescent="0.45">
      <c r="A70">
        <v>59</v>
      </c>
      <c r="B70" s="6" t="n">
        <v>4619.0558469383</v>
      </c>
      <c r="C70" s="9">
        <f t="shared" si="0"/>
        <v>2.7771515859533517E-3</v>
      </c>
      <c r="E70" s="371">
        <v>59</v>
      </c>
      <c r="F70" s="371" t="n">
        <v>1383.0</v>
      </c>
      <c r="G70" s="9">
        <f t="shared" si="1"/>
        <v>8.4513632887843959E-4</v>
      </c>
    </row>
    <row r="71" spans="1:7" x14ac:dyDescent="0.45">
      <c r="A71">
        <v>60</v>
      </c>
      <c r="B71" s="6" t="n">
        <v>4981.3137635427</v>
      </c>
      <c r="C71" s="9">
        <f t="shared" si="0"/>
        <v>2.9949547866418456E-3</v>
      </c>
      <c r="E71" s="371">
        <v>60</v>
      </c>
      <c r="F71" s="371" t="n">
        <v>2335.0</v>
      </c>
      <c r="G71" s="9">
        <f t="shared" si="1"/>
        <v>7.2986452710028648E-4</v>
      </c>
    </row>
    <row r="72" spans="1:7" x14ac:dyDescent="0.45">
      <c r="A72">
        <v>61</v>
      </c>
      <c r="B72" s="6" t="n">
        <v>6042.9795145231</v>
      </c>
      <c r="C72" s="9">
        <f t="shared" si="0"/>
        <v>3.6332685074083738E-3</v>
      </c>
      <c r="E72" s="371">
        <v>61</v>
      </c>
      <c r="F72" s="371" t="n">
        <v>1077.0</v>
      </c>
      <c r="G72" s="9">
        <f t="shared" si="1"/>
        <v>6.7622319359956172E-4</v>
      </c>
    </row>
    <row r="73" spans="1:7" x14ac:dyDescent="0.45">
      <c r="A73">
        <v>62</v>
      </c>
      <c r="B73" s="6" t="n">
        <v>249.386870068</v>
      </c>
      <c r="C73" s="9">
        <f t="shared" si="0"/>
        <v>1.4994084606800379E-4</v>
      </c>
      <c r="E73" s="371">
        <v>62</v>
      </c>
      <c r="F73" s="371" t="n">
        <v>900.0</v>
      </c>
      <c r="G73" s="9">
        <f t="shared" si="1"/>
        <v>6.4997317933324962E-4</v>
      </c>
    </row>
    <row r="74" spans="1:7" x14ac:dyDescent="0.45">
      <c r="A74">
        <v>63</v>
      </c>
      <c r="B74" s="6" t="n">
        <v>803.2207739549999</v>
      </c>
      <c r="C74" s="9">
        <f t="shared" si="0"/>
        <v>4.8292679720215618E-4</v>
      </c>
      <c r="E74" s="371">
        <v>63</v>
      </c>
      <c r="F74" s="371" t="n">
        <v>962.0</v>
      </c>
      <c r="G74" s="9">
        <f t="shared" si="1"/>
        <v>5.3983724991154885E-4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938.0</v>
      </c>
      <c r="G75" s="9">
        <f t="shared" si="1"/>
        <v>5.3241876761889542E-4</v>
      </c>
    </row>
    <row r="76" spans="1:7" x14ac:dyDescent="0.45">
      <c r="A76">
        <v>65</v>
      </c>
      <c r="B76" s="6" t="n">
        <v>2021.7684500008</v>
      </c>
      <c r="C76" s="9">
        <f t="shared" si="0"/>
        <v>1.2155638821885781E-3</v>
      </c>
      <c r="E76" s="371">
        <v>65</v>
      </c>
      <c r="F76" s="371" t="n">
        <v>749.0</v>
      </c>
      <c r="G76" s="9">
        <f t="shared" si="1"/>
        <v>4.4111437017085338E-4</v>
      </c>
    </row>
    <row r="77" spans="1:7" x14ac:dyDescent="0.45">
      <c r="A77">
        <v>66</v>
      </c>
      <c r="B77" s="6" t="n">
        <v>915.373954487</v>
      </c>
      <c r="C77" s="9">
        <f t="shared" ref="C77:C102" si="2">B77/B$102</f>
        <v>5.5035754355059214E-4</v>
      </c>
      <c r="E77" s="371">
        <v>66</v>
      </c>
      <c r="F77" s="371" t="n">
        <v>742.0</v>
      </c>
      <c r="G77" s="9">
        <f t="shared" ref="G77:G102" si="3">F77/F$102</f>
        <v>4.6964699437336652E-4</v>
      </c>
    </row>
    <row r="78" spans="1:7" x14ac:dyDescent="0.45">
      <c r="A78">
        <v>67</v>
      </c>
      <c r="B78" s="6" t="n">
        <v>5823.250306153</v>
      </c>
      <c r="C78" s="9">
        <f t="shared" si="2"/>
        <v>3.5011589725323713E-3</v>
      </c>
      <c r="E78" s="371">
        <v>67</v>
      </c>
      <c r="F78" s="371" t="n">
        <v>971.0</v>
      </c>
      <c r="G78" s="9">
        <f t="shared" si="3"/>
        <v>4.3369588787819995E-4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712.0</v>
      </c>
      <c r="G79" s="9">
        <f t="shared" si="3"/>
        <v>3.3097844074915256E-4</v>
      </c>
    </row>
    <row r="80" spans="1:7" x14ac:dyDescent="0.45">
      <c r="A80">
        <v>69</v>
      </c>
      <c r="B80" s="6" t="n">
        <v>2099.717678017</v>
      </c>
      <c r="C80" s="9">
        <f t="shared" si="2"/>
        <v>1.2624299148546517E-3</v>
      </c>
      <c r="E80" s="371">
        <v>69</v>
      </c>
      <c r="F80" s="371" t="n">
        <v>644.0</v>
      </c>
      <c r="G80" s="9">
        <f t="shared" si="3"/>
        <v>3.3896757552585627E-4</v>
      </c>
    </row>
    <row r="81" spans="1:7" x14ac:dyDescent="0.45">
      <c r="A81">
        <v>70</v>
      </c>
      <c r="B81" s="6" t="n">
        <v>4.59375</v>
      </c>
      <c r="C81" s="9">
        <f t="shared" si="2"/>
        <v>2.7619367508685631E-6</v>
      </c>
      <c r="E81" s="371">
        <v>70</v>
      </c>
      <c r="F81" s="371" t="n">
        <v>581.0</v>
      </c>
      <c r="G81" s="9">
        <f t="shared" si="3"/>
        <v>3.6407628482406783E-4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594.0</v>
      </c>
      <c r="G82" s="9">
        <f t="shared" si="3"/>
        <v>3.9603282393088255E-4</v>
      </c>
    </row>
    <row r="83" spans="1:7" x14ac:dyDescent="0.45">
      <c r="A83">
        <v>72</v>
      </c>
      <c r="B83" s="6" t="n">
        <v>16235.1886455532</v>
      </c>
      <c r="C83" s="9">
        <f t="shared" si="2"/>
        <v>9.7612112495101804E-3</v>
      </c>
      <c r="E83" s="371">
        <v>72</v>
      </c>
      <c r="F83" s="371" t="n">
        <v>523.0</v>
      </c>
      <c r="G83" s="9">
        <f t="shared" si="3"/>
        <v>3.38396923041806E-4</v>
      </c>
    </row>
    <row r="84" spans="1:7" x14ac:dyDescent="0.45">
      <c r="A84">
        <v>73</v>
      </c>
      <c r="B84" s="6" t="n">
        <v>1610.438278859</v>
      </c>
      <c r="C84" s="9">
        <f t="shared" si="2"/>
        <v>9.6825658065549669E-4</v>
      </c>
      <c r="E84" s="371">
        <v>73</v>
      </c>
      <c r="F84" s="371" t="n">
        <v>429.0</v>
      </c>
      <c r="G84" s="9">
        <f t="shared" si="3"/>
        <v>2.7105992992387497E-4</v>
      </c>
    </row>
    <row r="85" spans="1:7" x14ac:dyDescent="0.45">
      <c r="A85">
        <v>74</v>
      </c>
      <c r="B85" s="6" t="n">
        <v>3050.173453257</v>
      </c>
      <c r="C85" s="9">
        <f t="shared" si="2"/>
        <v>1.8338799797712507E-3</v>
      </c>
      <c r="E85" s="371">
        <v>74</v>
      </c>
      <c r="F85" s="371" t="n">
        <v>400.0</v>
      </c>
      <c r="G85" s="9">
        <f t="shared" si="3"/>
        <v>2.162772914550497E-4</v>
      </c>
    </row>
    <row r="86" spans="1:7" x14ac:dyDescent="0.45">
      <c r="A86">
        <v>75</v>
      </c>
      <c r="B86" s="6" t="n">
        <v>876.744893286</v>
      </c>
      <c r="C86" s="9">
        <f t="shared" si="2"/>
        <v>5.2713228667274883E-4</v>
      </c>
      <c r="E86" s="371">
        <v>75</v>
      </c>
      <c r="F86" s="371" t="n">
        <v>347.0</v>
      </c>
      <c r="G86" s="9">
        <f t="shared" si="3"/>
        <v>2.3567947591275864E-4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315.0</v>
      </c>
      <c r="G87" s="9">
        <f t="shared" si="3"/>
        <v>1.8888597222063708E-4</v>
      </c>
    </row>
    <row r="88" spans="1:7" x14ac:dyDescent="0.45">
      <c r="A88">
        <v>77</v>
      </c>
      <c r="B88" s="6" t="n">
        <v>103.884081167</v>
      </c>
      <c r="C88" s="9">
        <f t="shared" si="2"/>
        <v>6.2459050145382332E-5</v>
      </c>
      <c r="E88" s="371">
        <v>77</v>
      </c>
      <c r="F88" s="371" t="n">
        <v>305.0</v>
      </c>
      <c r="G88" s="9">
        <f t="shared" si="3"/>
        <v>1.6377726292242549E-4</v>
      </c>
    </row>
    <row r="89" spans="1:7" x14ac:dyDescent="0.45">
      <c r="A89">
        <v>78</v>
      </c>
      <c r="B89" s="6" t="n">
        <v>552.1879851022</v>
      </c>
      <c r="C89" s="9">
        <f t="shared" si="2"/>
        <v>3.3199636232747291E-4</v>
      </c>
      <c r="E89" s="371">
        <v>78</v>
      </c>
      <c r="F89" s="371" t="n">
        <v>349.0</v>
      </c>
      <c r="G89" s="9">
        <f t="shared" si="3"/>
        <v>2.3282621349250733E-4</v>
      </c>
    </row>
    <row r="90" spans="1:7" x14ac:dyDescent="0.45">
      <c r="A90">
        <v>79</v>
      </c>
      <c r="B90" s="6" t="n">
        <v>3617.977487135</v>
      </c>
      <c r="C90" s="9">
        <f t="shared" si="2"/>
        <v>2.1752653029732246E-3</v>
      </c>
      <c r="E90" s="371">
        <v>79</v>
      </c>
      <c r="F90" s="371" t="n">
        <v>251.0</v>
      </c>
      <c r="G90" s="9">
        <f t="shared" si="3"/>
        <v>1.4894029833711867E-4</v>
      </c>
    </row>
    <row r="91" spans="1:7" x14ac:dyDescent="0.45">
      <c r="A91">
        <v>80</v>
      </c>
      <c r="B91" s="6" t="n">
        <v>2416.7367966575</v>
      </c>
      <c r="C91" s="9">
        <f t="shared" si="2"/>
        <v>1.4530338342018426E-3</v>
      </c>
      <c r="E91" s="371">
        <v>80</v>
      </c>
      <c r="F91" s="371" t="n">
        <v>243.0</v>
      </c>
      <c r="G91" s="9">
        <f t="shared" si="3"/>
        <v>1.5978269553407366E-4</v>
      </c>
    </row>
    <row r="92" spans="1:7" x14ac:dyDescent="0.45">
      <c r="A92">
        <v>81</v>
      </c>
      <c r="B92" s="6" t="n">
        <v>761.4660318990001</v>
      </c>
      <c r="C92" s="9">
        <f t="shared" si="2"/>
        <v>4.5782226243045484E-4</v>
      </c>
      <c r="E92" s="371">
        <v>81</v>
      </c>
      <c r="F92" s="371" t="n">
        <v>247.0</v>
      </c>
      <c r="G92" s="9">
        <f t="shared" si="3"/>
        <v>1.5350551820952077E-4</v>
      </c>
    </row>
    <row r="93" spans="1:7" x14ac:dyDescent="0.45">
      <c r="A93">
        <v>82</v>
      </c>
      <c r="B93" s="6" t="n">
        <v>3526.6496723439</v>
      </c>
      <c r="C93" s="9">
        <f t="shared" si="2"/>
        <v>2.1203555564593621E-3</v>
      </c>
      <c r="E93" s="371">
        <v>82</v>
      </c>
      <c r="F93" s="371" t="n">
        <v>359.0</v>
      </c>
      <c r="G93" s="9">
        <f t="shared" si="3"/>
        <v>1.529348657254705E-4</v>
      </c>
    </row>
    <row r="94" spans="1:7" x14ac:dyDescent="0.45">
      <c r="A94">
        <v>83</v>
      </c>
      <c r="B94" s="6" t="n">
        <v>820.3342852221</v>
      </c>
      <c r="C94" s="9">
        <f t="shared" si="2"/>
        <v>4.9321608932841618E-4</v>
      </c>
      <c r="E94" s="371">
        <v>83</v>
      </c>
      <c r="F94" s="371" t="n">
        <v>274.0</v>
      </c>
      <c r="G94" s="9">
        <f t="shared" si="3"/>
        <v>1.4095116356041497E-4</v>
      </c>
    </row>
    <row r="95" spans="1:7" x14ac:dyDescent="0.45">
      <c r="A95">
        <v>84</v>
      </c>
      <c r="B95" s="6" t="n">
        <v>2873.8604379418</v>
      </c>
      <c r="C95" s="9">
        <f t="shared" si="2"/>
        <v>1.7278739070299169E-3</v>
      </c>
      <c r="E95" s="371">
        <v>84</v>
      </c>
      <c r="F95" s="371" t="n">
        <v>205.0</v>
      </c>
      <c r="G95" s="9">
        <f t="shared" si="3"/>
        <v>1.0785331948549971E-4</v>
      </c>
    </row>
    <row r="96" spans="1:7" x14ac:dyDescent="0.45">
      <c r="A96">
        <v>85</v>
      </c>
      <c r="B96" s="6" t="n">
        <v>1261.1307661893</v>
      </c>
      <c r="C96" s="9">
        <f t="shared" si="2"/>
        <v>7.5823965404936194E-4</v>
      </c>
      <c r="E96" s="371">
        <v>85</v>
      </c>
      <c r="F96" s="371" t="n">
        <v>196.0</v>
      </c>
      <c r="G96" s="9">
        <f t="shared" si="3"/>
        <v>1.2383158903890709E-4</v>
      </c>
    </row>
    <row r="97" spans="1:7" x14ac:dyDescent="0.45">
      <c r="A97">
        <v>86</v>
      </c>
      <c r="B97" s="6" t="n">
        <v>2109.970783763</v>
      </c>
      <c r="C97" s="9">
        <f t="shared" si="2"/>
        <v>1.2685944709516137E-3</v>
      </c>
      <c r="E97" s="371">
        <v>86</v>
      </c>
      <c r="F97" s="371" t="n">
        <v>166.0</v>
      </c>
      <c r="G97" s="9">
        <f t="shared" si="3"/>
        <v>1.067120145173992E-4</v>
      </c>
    </row>
    <row r="98" spans="1:7" x14ac:dyDescent="0.45">
      <c r="A98">
        <v>87</v>
      </c>
      <c r="B98" s="6" t="n">
        <v>388.0936255263</v>
      </c>
      <c r="C98" s="9">
        <f t="shared" si="2"/>
        <v>2.3333660889663345E-4</v>
      </c>
      <c r="E98" s="371">
        <v>87</v>
      </c>
      <c r="F98" s="371" t="n">
        <v>174.0</v>
      </c>
      <c r="G98" s="9">
        <f t="shared" si="3"/>
        <v>9.4728312352343675E-5</v>
      </c>
    </row>
    <row r="99" spans="1:7" x14ac:dyDescent="0.45">
      <c r="A99">
        <v>88</v>
      </c>
      <c r="B99" s="6" t="n">
        <v>1669.1180393491</v>
      </c>
      <c r="C99" s="9">
        <f t="shared" si="2"/>
        <v>1.0035370785123178E-3</v>
      </c>
      <c r="E99" s="371">
        <v>88</v>
      </c>
      <c r="F99" s="371" t="n">
        <v>198.0</v>
      </c>
      <c r="G99" s="9">
        <f t="shared" si="3"/>
        <v>1.1812506419840446E-4</v>
      </c>
    </row>
    <row r="100" spans="1:7" x14ac:dyDescent="0.45">
      <c r="A100">
        <v>89</v>
      </c>
      <c r="B100" s="6" t="n">
        <v>2315.2432777259</v>
      </c>
      <c r="C100" s="9">
        <f t="shared" si="2"/>
        <v>1.3920120807515766E-3</v>
      </c>
      <c r="E100" s="371">
        <v>89</v>
      </c>
      <c r="F100" s="371" t="n">
        <v>184.0</v>
      </c>
      <c r="G100" s="9">
        <f t="shared" si="3"/>
        <v>8.8451135027790771E-5</v>
      </c>
    </row>
    <row r="101" spans="1:7" ht="14.65" thickBot="1" x14ac:dyDescent="0.5">
      <c r="A101" s="1">
        <v>90</v>
      </c>
      <c r="B101" s="7" t="n">
        <v>53249.8839183079</v>
      </c>
      <c r="C101" s="9">
        <f t="shared" si="2"/>
        <v>3.2015850094902744E-2</v>
      </c>
      <c r="E101" s="372">
        <v>90</v>
      </c>
      <c r="F101" s="372" t="n">
        <v>10807.0</v>
      </c>
      <c r="G101" s="9">
        <f t="shared" si="3"/>
        <v>6.2246772960202696E-3</v>
      </c>
    </row>
    <row r="102" spans="1:7" x14ac:dyDescent="0.45">
      <c r="B102" s="6">
        <f>SUM(B11:B101)</f>
        <v>1663235.0464055252</v>
      </c>
      <c r="C102" s="9">
        <f t="shared" si="2"/>
        <v>1</v>
      </c>
      <c r="F102" s="6">
        <f>SUM(F11:F101)</f>
        <v>1752380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77816.6026220892</v>
      </c>
      <c r="C11" s="9">
        <f>B11/B$102</f>
        <v>4.2391882785050308E-2</v>
      </c>
      <c r="E11" s="371">
        <v>0</v>
      </c>
      <c r="F11" s="371" t="n">
        <v>413059.0</v>
      </c>
      <c r="G11" s="9">
        <f>F11/F$102</f>
        <v>0.2114068234946361</v>
      </c>
      <c r="K11" s="6" t="n">
        <v>6.0915413687935915</v>
      </c>
      <c r="L11" s="6" t="n">
        <v>5.084599371185684</v>
      </c>
    </row>
    <row r="12" spans="1:12" x14ac:dyDescent="0.45">
      <c r="A12">
        <v>1</v>
      </c>
      <c r="B12" s="6" t="n">
        <v>84179.6592181546</v>
      </c>
      <c r="C12" s="9">
        <f>B12/B$102</f>
        <v>4.5858263226831203E-2</v>
      </c>
      <c r="E12" s="371">
        <v>1</v>
      </c>
      <c r="F12" s="371" t="n">
        <v>253711.0</v>
      </c>
      <c r="G12" s="9">
        <f>F12/F$102</f>
        <v>0.12954288937608899</v>
      </c>
      <c r="K12" s="6"/>
      <c r="L12" s="371"/>
    </row>
    <row r="13" spans="1:12" x14ac:dyDescent="0.45">
      <c r="A13">
        <v>2</v>
      </c>
      <c r="B13" s="6" t="n">
        <v>121726.9688221265</v>
      </c>
      <c r="C13" s="9">
        <f t="shared" ref="C13:C76" si="0">B13/B$102</f>
        <v>6.6312781851289193E-2</v>
      </c>
      <c r="E13" s="371">
        <v>2</v>
      </c>
      <c r="F13" s="371" t="n">
        <v>153878.0</v>
      </c>
      <c r="G13" s="9">
        <f t="shared" ref="G13:G76" si="1">F13/F$102</f>
        <v>7.8591954243422413E-2</v>
      </c>
    </row>
    <row r="14" spans="1:12" x14ac:dyDescent="0.45">
      <c r="A14">
        <v>3</v>
      </c>
      <c r="B14" s="6" t="n">
        <v>205609.7022715389</v>
      </c>
      <c r="C14" s="9">
        <f t="shared" si="0"/>
        <v>0.11200928984902733</v>
      </c>
      <c r="E14" s="371">
        <v>3</v>
      </c>
      <c r="F14" s="371" t="n">
        <v>85945.0</v>
      </c>
      <c r="G14" s="9">
        <f t="shared" si="1"/>
        <v>4.4184513480935529E-2</v>
      </c>
    </row>
    <row r="15" spans="1:12" x14ac:dyDescent="0.45">
      <c r="A15">
        <v>4</v>
      </c>
      <c r="B15" s="6" t="n">
        <v>399159.6091916243</v>
      </c>
      <c r="C15" s="9">
        <f t="shared" si="0"/>
        <v>0.21744880649125842</v>
      </c>
      <c r="E15" s="371">
        <v>4</v>
      </c>
      <c r="F15" s="371" t="n">
        <v>285176.0</v>
      </c>
      <c r="G15" s="9">
        <f t="shared" si="1"/>
        <v>0.14517863690688973</v>
      </c>
    </row>
    <row r="16" spans="1:12" x14ac:dyDescent="0.45">
      <c r="A16">
        <v>5</v>
      </c>
      <c r="B16" s="6" t="n">
        <v>218294.5842975033</v>
      </c>
      <c r="C16" s="9">
        <f t="shared" si="0"/>
        <v>0.11891958937210406</v>
      </c>
      <c r="E16" s="371">
        <v>5</v>
      </c>
      <c r="F16" s="371" t="n">
        <v>149699.0</v>
      </c>
      <c r="G16" s="9">
        <f t="shared" si="1"/>
        <v>7.7080236126687712E-2</v>
      </c>
    </row>
    <row r="17" spans="1:7" x14ac:dyDescent="0.45">
      <c r="A17">
        <v>6</v>
      </c>
      <c r="B17" s="6" t="n">
        <v>226546.5691582647</v>
      </c>
      <c r="C17" s="9">
        <f t="shared" si="0"/>
        <v>0.12341499476342228</v>
      </c>
      <c r="E17" s="371">
        <v>6</v>
      </c>
      <c r="F17" s="371" t="n">
        <v>137198.0</v>
      </c>
      <c r="G17" s="9">
        <f t="shared" si="1"/>
        <v>6.9432660782421524E-2</v>
      </c>
    </row>
    <row r="18" spans="1:7" x14ac:dyDescent="0.45">
      <c r="A18">
        <v>7</v>
      </c>
      <c r="B18" s="6" t="n">
        <v>101441.6347401657</v>
      </c>
      <c r="C18" s="9">
        <f t="shared" si="0"/>
        <v>5.5262010220532273E-2</v>
      </c>
      <c r="E18" s="371">
        <v>7</v>
      </c>
      <c r="F18" s="371" t="n">
        <v>78481.0</v>
      </c>
      <c r="G18" s="9">
        <f t="shared" si="1"/>
        <v>4.2767405598164256E-2</v>
      </c>
    </row>
    <row r="19" spans="1:7" x14ac:dyDescent="0.45">
      <c r="A19">
        <v>8</v>
      </c>
      <c r="B19" s="6" t="n">
        <v>76310.0954978592</v>
      </c>
      <c r="C19" s="9">
        <f t="shared" si="0"/>
        <v>4.1571188084006234E-2</v>
      </c>
      <c r="E19" s="371">
        <v>8</v>
      </c>
      <c r="F19" s="371" t="n">
        <v>85942.0</v>
      </c>
      <c r="G19" s="9">
        <f t="shared" si="1"/>
        <v>4.4374756762202545E-2</v>
      </c>
    </row>
    <row r="20" spans="1:7" x14ac:dyDescent="0.45">
      <c r="A20">
        <v>9</v>
      </c>
      <c r="B20" s="6" t="n">
        <v>42704.4975593217</v>
      </c>
      <c r="C20" s="9">
        <f t="shared" si="0"/>
        <v>2.3263982157136091E-2</v>
      </c>
      <c r="E20" s="371">
        <v>9</v>
      </c>
      <c r="F20" s="371" t="n">
        <v>45110.0</v>
      </c>
      <c r="G20" s="9">
        <f t="shared" si="1"/>
        <v>2.6940391972756345E-2</v>
      </c>
    </row>
    <row r="21" spans="1:7" x14ac:dyDescent="0.45">
      <c r="A21">
        <v>10</v>
      </c>
      <c r="B21" s="6" t="n">
        <v>114245.6150923392</v>
      </c>
      <c r="C21" s="9">
        <f t="shared" si="0"/>
        <v>6.2237190528871125E-2</v>
      </c>
      <c r="E21" s="371">
        <v>10</v>
      </c>
      <c r="F21" s="371" t="n">
        <v>45135.0</v>
      </c>
      <c r="G21" s="9">
        <f t="shared" si="1"/>
        <v>2.1169167700986657E-2</v>
      </c>
    </row>
    <row r="22" spans="1:7" x14ac:dyDescent="0.45">
      <c r="A22">
        <v>11</v>
      </c>
      <c r="B22" s="6" t="n">
        <v>13040.2701374623</v>
      </c>
      <c r="C22" s="9">
        <f t="shared" si="0"/>
        <v>7.1039030814199818E-3</v>
      </c>
      <c r="E22" s="371">
        <v>11</v>
      </c>
      <c r="F22" s="371" t="n">
        <v>40382.0</v>
      </c>
      <c r="G22" s="9">
        <f t="shared" si="1"/>
        <v>1.9274405988367545E-2</v>
      </c>
    </row>
    <row r="23" spans="1:7" x14ac:dyDescent="0.45">
      <c r="A23">
        <v>12</v>
      </c>
      <c r="B23" s="6" t="n">
        <v>18087.2205911413</v>
      </c>
      <c r="C23" s="9">
        <f t="shared" si="0"/>
        <v>9.853312909722925E-3</v>
      </c>
      <c r="E23" s="371">
        <v>12</v>
      </c>
      <c r="F23" s="371" t="n">
        <v>22362.0</v>
      </c>
      <c r="G23" s="9">
        <f t="shared" si="1"/>
        <v>1.4913129905988112E-2</v>
      </c>
    </row>
    <row r="24" spans="1:7" x14ac:dyDescent="0.45">
      <c r="A24">
        <v>13</v>
      </c>
      <c r="B24" s="6" t="n">
        <v>11702.4907110323</v>
      </c>
      <c r="C24" s="9">
        <f t="shared" si="0"/>
        <v>6.3751255875876536E-3</v>
      </c>
      <c r="E24" s="371">
        <v>13</v>
      </c>
      <c r="F24" s="371" t="n">
        <v>25117.0</v>
      </c>
      <c r="G24" s="9">
        <f t="shared" si="1"/>
        <v>1.2313649802008908E-2</v>
      </c>
    </row>
    <row r="25" spans="1:7" x14ac:dyDescent="0.45">
      <c r="A25">
        <v>14</v>
      </c>
      <c r="B25" s="6" t="n">
        <v>15899.3954006011</v>
      </c>
      <c r="C25" s="9">
        <f t="shared" si="0"/>
        <v>8.6614589106223105E-3</v>
      </c>
      <c r="E25" s="371">
        <v>14</v>
      </c>
      <c r="F25" s="371" t="n">
        <v>17915.0</v>
      </c>
      <c r="G25" s="9">
        <f t="shared" si="1"/>
        <v>1.0727266311443594E-2</v>
      </c>
    </row>
    <row r="26" spans="1:7" x14ac:dyDescent="0.45">
      <c r="A26">
        <v>15</v>
      </c>
      <c r="B26" s="6" t="n">
        <v>15855.1163331224</v>
      </c>
      <c r="C26" s="9">
        <f t="shared" si="0"/>
        <v>8.6373371554294715E-3</v>
      </c>
      <c r="E26" s="371">
        <v>15</v>
      </c>
      <c r="F26" s="371" t="n">
        <v>19191.0</v>
      </c>
      <c r="G26" s="9">
        <f t="shared" si="1"/>
        <v>1.0557479296979479E-2</v>
      </c>
    </row>
    <row r="27" spans="1:7" x14ac:dyDescent="0.45">
      <c r="A27">
        <v>16</v>
      </c>
      <c r="B27" s="6" t="n">
        <v>23525.9528877637</v>
      </c>
      <c r="C27" s="9">
        <f t="shared" si="0"/>
        <v>1.2816152384190517E-2</v>
      </c>
      <c r="E27" s="371">
        <v>16</v>
      </c>
      <c r="F27" s="371" t="n">
        <v>19915.0</v>
      </c>
      <c r="G27" s="9">
        <f t="shared" si="1"/>
        <v>8.5691301637370737E-3</v>
      </c>
    </row>
    <row r="28" spans="1:7" x14ac:dyDescent="0.45">
      <c r="A28">
        <v>17</v>
      </c>
      <c r="B28" s="6" t="n">
        <v>8823.2339609629</v>
      </c>
      <c r="C28" s="9">
        <f t="shared" si="0"/>
        <v>4.8066027975377122E-3</v>
      </c>
      <c r="E28" s="371">
        <v>17</v>
      </c>
      <c r="F28" s="371" t="n">
        <v>11857.0</v>
      </c>
      <c r="G28" s="9">
        <f t="shared" si="1"/>
        <v>4.387869229223209E-3</v>
      </c>
    </row>
    <row r="29" spans="1:7" x14ac:dyDescent="0.45">
      <c r="A29">
        <v>18</v>
      </c>
      <c r="B29" s="6" t="n">
        <v>9008.1933964878</v>
      </c>
      <c r="C29" s="9">
        <f t="shared" si="0"/>
        <v>4.9073625126442536E-3</v>
      </c>
      <c r="E29" s="371">
        <v>18</v>
      </c>
      <c r="F29" s="371" t="n">
        <v>7643.0</v>
      </c>
      <c r="G29" s="9">
        <f t="shared" si="1"/>
        <v>4.0503408269752699E-3</v>
      </c>
    </row>
    <row r="30" spans="1:7" x14ac:dyDescent="0.45">
      <c r="A30">
        <v>19</v>
      </c>
      <c r="B30" s="6" t="n">
        <v>3325.4448189754</v>
      </c>
      <c r="C30" s="9">
        <f t="shared" si="0"/>
        <v>1.8115911286795423E-3</v>
      </c>
      <c r="E30" s="371">
        <v>19</v>
      </c>
      <c r="F30" s="371" t="n">
        <v>6573.0</v>
      </c>
      <c r="G30" s="9">
        <f t="shared" si="1"/>
        <v>4.0564777070161411E-3</v>
      </c>
    </row>
    <row r="31" spans="1:7" x14ac:dyDescent="0.45">
      <c r="A31">
        <v>20</v>
      </c>
      <c r="B31" s="6" t="n">
        <v>7380.5592068576</v>
      </c>
      <c r="C31" s="9">
        <f t="shared" si="0"/>
        <v>4.0206818370713297E-3</v>
      </c>
      <c r="E31" s="371">
        <v>20</v>
      </c>
      <c r="F31" s="371" t="n">
        <v>7271.0</v>
      </c>
      <c r="G31" s="9">
        <f t="shared" si="1"/>
        <v>3.1640730677393934E-3</v>
      </c>
    </row>
    <row r="32" spans="1:7" x14ac:dyDescent="0.45">
      <c r="A32">
        <v>21</v>
      </c>
      <c r="B32" s="6" t="n">
        <v>2384.4408083728</v>
      </c>
      <c r="C32" s="9">
        <f t="shared" si="0"/>
        <v>1.2989636125252438E-3</v>
      </c>
      <c r="E32" s="371">
        <v>21</v>
      </c>
      <c r="F32" s="371" t="n">
        <v>4593.0</v>
      </c>
      <c r="G32" s="9">
        <f t="shared" si="1"/>
        <v>2.3918489959297144E-3</v>
      </c>
    </row>
    <row r="33" spans="1:7" x14ac:dyDescent="0.45">
      <c r="A33">
        <v>22</v>
      </c>
      <c r="B33" s="6" t="n">
        <v>4702.9472138625</v>
      </c>
      <c r="C33" s="9">
        <f t="shared" si="0"/>
        <v>2.5620083673216711E-3</v>
      </c>
      <c r="E33" s="371">
        <v>22</v>
      </c>
      <c r="F33" s="371" t="n">
        <v>4022.0</v>
      </c>
      <c r="G33" s="9">
        <f t="shared" si="1"/>
        <v>1.8400411989213411E-3</v>
      </c>
    </row>
    <row r="34" spans="1:7" x14ac:dyDescent="0.45">
      <c r="A34">
        <v>23</v>
      </c>
      <c r="B34" s="6" t="n">
        <v>2761.1998975502</v>
      </c>
      <c r="C34" s="9">
        <f t="shared" si="0"/>
        <v>1.5042093648253698E-3</v>
      </c>
      <c r="E34" s="371">
        <v>23</v>
      </c>
      <c r="F34" s="371" t="n">
        <v>3273.0</v>
      </c>
      <c r="G34" s="9">
        <f t="shared" si="1"/>
        <v>1.7367370515666688E-3</v>
      </c>
    </row>
    <row r="35" spans="1:7" x14ac:dyDescent="0.45">
      <c r="A35">
        <v>24</v>
      </c>
      <c r="B35" s="6" t="n">
        <v>1791.8097649375</v>
      </c>
      <c r="C35" s="9">
        <f t="shared" si="0"/>
        <v>9.761180386815985E-4</v>
      </c>
      <c r="E35" s="371">
        <v>24</v>
      </c>
      <c r="F35" s="371" t="n">
        <v>3511.0</v>
      </c>
      <c r="G35" s="9">
        <f t="shared" si="1"/>
        <v>1.8108910187272008E-3</v>
      </c>
    </row>
    <row r="36" spans="1:7" x14ac:dyDescent="0.45">
      <c r="A36">
        <v>25</v>
      </c>
      <c r="B36" s="6" t="n">
        <v>4345.189184787</v>
      </c>
      <c r="C36" s="9">
        <f t="shared" si="0"/>
        <v>2.3671137571363359E-3</v>
      </c>
      <c r="E36" s="371">
        <v>25</v>
      </c>
      <c r="F36" s="371" t="n">
        <v>3026.0</v>
      </c>
      <c r="G36" s="9">
        <f t="shared" si="1"/>
        <v>1.5449595502894306E-3</v>
      </c>
    </row>
    <row r="37" spans="1:7" x14ac:dyDescent="0.45">
      <c r="A37">
        <v>26</v>
      </c>
      <c r="B37" s="6" t="n">
        <v>2761.0880822100003</v>
      </c>
      <c r="C37" s="9">
        <f t="shared" si="0"/>
        <v>1.5041484515673298E-3</v>
      </c>
      <c r="E37" s="371">
        <v>26</v>
      </c>
      <c r="F37" s="371" t="n">
        <v>1896.0</v>
      </c>
      <c r="G37" s="9">
        <f t="shared" si="1"/>
        <v>1.2110109947319999E-3</v>
      </c>
    </row>
    <row r="38" spans="1:7" x14ac:dyDescent="0.45">
      <c r="A38">
        <v>27</v>
      </c>
      <c r="B38" s="6" t="n">
        <v>1627.630489631</v>
      </c>
      <c r="C38" s="9">
        <f t="shared" si="0"/>
        <v>8.8667865993709391E-4</v>
      </c>
      <c r="E38" s="371">
        <v>27</v>
      </c>
      <c r="F38" s="371" t="n">
        <v>1722.0</v>
      </c>
      <c r="G38" s="9">
        <f t="shared" si="1"/>
        <v>8.7859665918478709E-4</v>
      </c>
    </row>
    <row r="39" spans="1:7" x14ac:dyDescent="0.45">
      <c r="A39">
        <v>28</v>
      </c>
      <c r="B39" s="6" t="n">
        <v>719.280889893</v>
      </c>
      <c r="C39" s="9">
        <f t="shared" si="0"/>
        <v>3.9184017480114585E-4</v>
      </c>
      <c r="E39" s="371">
        <v>28</v>
      </c>
      <c r="F39" s="371" t="n">
        <v>1253.0</v>
      </c>
      <c r="G39" s="9">
        <f t="shared" si="1"/>
        <v>7.4511951829582936E-4</v>
      </c>
    </row>
    <row r="40" spans="1:7" x14ac:dyDescent="0.45">
      <c r="A40">
        <v>29</v>
      </c>
      <c r="B40" s="6" t="n">
        <v>433.333643768</v>
      </c>
      <c r="C40" s="9">
        <f t="shared" si="0"/>
        <v>2.3606567768890622E-4</v>
      </c>
      <c r="E40" s="371">
        <v>29</v>
      </c>
      <c r="F40" s="371" t="n">
        <v>1562.0</v>
      </c>
      <c r="G40" s="9">
        <f t="shared" si="1"/>
        <v>6.9295603794842055E-4</v>
      </c>
    </row>
    <row r="41" spans="1:7" x14ac:dyDescent="0.45">
      <c r="A41">
        <v>30</v>
      </c>
      <c r="B41" s="6" t="n">
        <v>532.239404069</v>
      </c>
      <c r="C41" s="9">
        <f t="shared" si="0"/>
        <v>2.8994622831906306E-4</v>
      </c>
      <c r="E41" s="371">
        <v>30</v>
      </c>
      <c r="F41" s="371" t="n">
        <v>1094.0</v>
      </c>
      <c r="G41" s="9">
        <f t="shared" si="1"/>
        <v>5.5436483035873642E-4</v>
      </c>
    </row>
    <row r="42" spans="1:7" x14ac:dyDescent="0.45">
      <c r="A42">
        <v>31</v>
      </c>
      <c r="B42" s="6" t="n">
        <v>2253.359654918</v>
      </c>
      <c r="C42" s="9">
        <f t="shared" si="0"/>
        <v>1.2275549837063894E-3</v>
      </c>
      <c r="E42" s="371">
        <v>31</v>
      </c>
      <c r="F42" s="371" t="n">
        <v>1014.0</v>
      </c>
      <c r="G42" s="9">
        <f t="shared" si="1"/>
        <v>5.2981731019524994E-4</v>
      </c>
    </row>
    <row r="43" spans="1:7" x14ac:dyDescent="0.45">
      <c r="A43">
        <v>32</v>
      </c>
      <c r="B43" s="6" t="n">
        <v>2133.829687176</v>
      </c>
      <c r="C43" s="9">
        <f t="shared" si="0"/>
        <v>1.1624390545719894E-3</v>
      </c>
      <c r="E43" s="371">
        <v>32</v>
      </c>
      <c r="F43" s="371" t="n">
        <v>871.0</v>
      </c>
      <c r="G43" s="9">
        <f t="shared" si="1"/>
        <v>4.4696942964348309E-4</v>
      </c>
    </row>
    <row r="44" spans="1:7" x14ac:dyDescent="0.45">
      <c r="A44">
        <v>33</v>
      </c>
      <c r="B44" s="6" t="n">
        <v>282.2315825548</v>
      </c>
      <c r="C44" s="9">
        <f t="shared" si="0"/>
        <v>1.5375032785749132E-4</v>
      </c>
      <c r="E44" s="371">
        <v>33</v>
      </c>
      <c r="F44" s="371" t="n">
        <v>693.0</v>
      </c>
      <c r="G44" s="9">
        <f t="shared" si="1"/>
        <v>3.8304359588440368E-4</v>
      </c>
    </row>
    <row r="45" spans="1:7" x14ac:dyDescent="0.45">
      <c r="A45">
        <v>34</v>
      </c>
      <c r="B45" s="6" t="n">
        <v>251.017759731</v>
      </c>
      <c r="C45" s="9">
        <f t="shared" si="0"/>
        <v>1.3674608102798186E-4</v>
      </c>
      <c r="E45" s="371">
        <v>34</v>
      </c>
      <c r="F45" s="371" t="n">
        <v>669.0</v>
      </c>
      <c r="G45" s="9">
        <f t="shared" si="1"/>
        <v>3.4315387561873812E-4</v>
      </c>
    </row>
    <row r="46" spans="1:7" x14ac:dyDescent="0.45">
      <c r="A46">
        <v>35</v>
      </c>
      <c r="B46" s="6" t="n">
        <v>829.2477599819999</v>
      </c>
      <c r="C46" s="9">
        <f t="shared" si="0"/>
        <v>4.5174644814092356E-4</v>
      </c>
      <c r="E46" s="371">
        <v>35</v>
      </c>
      <c r="F46" s="371" t="n">
        <v>495.0</v>
      </c>
      <c r="G46" s="9">
        <f t="shared" si="1"/>
        <v>2.2655315484217735E-4</v>
      </c>
    </row>
    <row r="47" spans="1:7" x14ac:dyDescent="0.45">
      <c r="A47">
        <v>36</v>
      </c>
      <c r="B47" s="6" t="n">
        <v>636.756808327</v>
      </c>
      <c r="C47" s="9">
        <f t="shared" si="0"/>
        <v>3.4688381491379257E-4</v>
      </c>
      <c r="E47" s="371">
        <v>36</v>
      </c>
      <c r="F47" s="371" t="n">
        <v>600.0</v>
      </c>
      <c r="G47" s="9">
        <f t="shared" si="1"/>
        <v>3.3906262225815706E-4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421.0</v>
      </c>
      <c r="G48" s="9">
        <f t="shared" si="1"/>
        <v>2.3831550825384796E-4</v>
      </c>
    </row>
    <row r="49" spans="1:7" x14ac:dyDescent="0.45">
      <c r="A49">
        <v>38</v>
      </c>
      <c r="B49" s="6" t="n">
        <v>650.237482382</v>
      </c>
      <c r="C49" s="9">
        <f t="shared" si="0"/>
        <v>3.5422763532160883E-4</v>
      </c>
      <c r="E49" s="371">
        <v>38</v>
      </c>
      <c r="F49" s="371" t="n">
        <v>442.0</v>
      </c>
      <c r="G49" s="9">
        <f t="shared" si="1"/>
        <v>2.4240676161442904E-4</v>
      </c>
    </row>
    <row r="50" spans="1:7" x14ac:dyDescent="0.45">
      <c r="A50">
        <v>39</v>
      </c>
      <c r="B50" s="6" t="n">
        <v>664.0014366752</v>
      </c>
      <c r="C50" s="9">
        <f t="shared" si="0"/>
        <v>3.6172577732980921E-4</v>
      </c>
      <c r="E50" s="371">
        <v>39</v>
      </c>
      <c r="F50" s="371" t="n">
        <v>314.0</v>
      </c>
      <c r="G50" s="9">
        <f t="shared" si="1"/>
        <v>2.15813614770652E-4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301.0</v>
      </c>
      <c r="G51" s="9">
        <f t="shared" si="1"/>
        <v>1.4779652765099154E-4</v>
      </c>
    </row>
    <row r="52" spans="1:7" x14ac:dyDescent="0.45">
      <c r="A52">
        <v>41</v>
      </c>
      <c r="B52" s="6" t="n">
        <v>0.0</v>
      </c>
      <c r="C52" s="9">
        <f t="shared" si="0"/>
        <v>0</v>
      </c>
      <c r="E52" s="371">
        <v>41</v>
      </c>
      <c r="F52" s="371" t="n">
        <v>196.0</v>
      </c>
      <c r="G52" s="9">
        <f t="shared" si="1"/>
        <v>1.2222619414735977E-4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170.0</v>
      </c>
      <c r="G53" s="9">
        <f t="shared" si="1"/>
        <v>9.7678673983873305E-5</v>
      </c>
    </row>
    <row r="54" spans="1:7" x14ac:dyDescent="0.45">
      <c r="A54">
        <v>43</v>
      </c>
      <c r="B54" s="6" t="n">
        <v>4.59375</v>
      </c>
      <c r="C54" s="9">
        <f t="shared" si="0"/>
        <v>2.5025213769554386E-6</v>
      </c>
      <c r="E54" s="371">
        <v>43</v>
      </c>
      <c r="F54" s="371" t="n">
        <v>146.0</v>
      </c>
      <c r="G54" s="9">
        <f t="shared" si="1"/>
        <v>7.0574120470023638E-5</v>
      </c>
    </row>
    <row r="55" spans="1:7" x14ac:dyDescent="0.45">
      <c r="A55">
        <v>44</v>
      </c>
      <c r="B55" s="6" t="n">
        <v>5084.525540346</v>
      </c>
      <c r="C55" s="9">
        <f t="shared" si="0"/>
        <v>2.7698794789424255E-3</v>
      </c>
      <c r="E55" s="371">
        <v>44</v>
      </c>
      <c r="F55" s="371" t="n">
        <v>122.0</v>
      </c>
      <c r="G55" s="9">
        <f t="shared" si="1"/>
        <v>6.0857393738643574E-5</v>
      </c>
    </row>
    <row r="56" spans="1:7" x14ac:dyDescent="0.45">
      <c r="A56">
        <v>45</v>
      </c>
      <c r="B56" s="6" t="n">
        <v>250.40304101</v>
      </c>
      <c r="C56" s="9">
        <f t="shared" si="0"/>
        <v>1.3641120282605157E-4</v>
      </c>
      <c r="E56" s="371">
        <v>45</v>
      </c>
      <c r="F56" s="371" t="n">
        <v>116.0</v>
      </c>
      <c r="G56" s="9">
        <f t="shared" si="1"/>
        <v>6.0857393738643574E-5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83.0</v>
      </c>
      <c r="G57" s="9">
        <f t="shared" si="1"/>
        <v>6.1880207078788847E-5</v>
      </c>
    </row>
    <row r="58" spans="1:7" x14ac:dyDescent="0.45">
      <c r="A58">
        <v>47</v>
      </c>
      <c r="B58" s="6" t="n">
        <v>0.0</v>
      </c>
      <c r="C58" s="9">
        <f t="shared" si="0"/>
        <v>0</v>
      </c>
      <c r="E58" s="371">
        <v>47</v>
      </c>
      <c r="F58" s="371" t="n">
        <v>82.0</v>
      </c>
      <c r="G58" s="9">
        <f t="shared" si="1"/>
        <v>5.4209107027699321E-5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78.0</v>
      </c>
      <c r="G59" s="9">
        <f t="shared" si="1"/>
        <v>2.710455351384966E-5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61.0</v>
      </c>
      <c r="G60" s="9">
        <f t="shared" si="1"/>
        <v>3.2218620214576009E-5</v>
      </c>
    </row>
    <row r="61" spans="1:7" x14ac:dyDescent="0.45">
      <c r="A61">
        <v>50</v>
      </c>
      <c r="B61" s="6" t="n">
        <v>1172.30496159</v>
      </c>
      <c r="C61" s="9">
        <f t="shared" si="0"/>
        <v>6.3863253914337944E-4</v>
      </c>
      <c r="E61" s="371">
        <v>50</v>
      </c>
      <c r="F61" s="371" t="n">
        <v>42.0</v>
      </c>
      <c r="G61" s="9">
        <f t="shared" si="1"/>
        <v>2.9661586864212834E-5</v>
      </c>
    </row>
    <row r="62" spans="1:7" x14ac:dyDescent="0.45">
      <c r="A62">
        <v>51</v>
      </c>
      <c r="B62" s="6" t="n">
        <v>0.0</v>
      </c>
      <c r="C62" s="9">
        <f t="shared" si="0"/>
        <v>0</v>
      </c>
      <c r="E62" s="371">
        <v>51</v>
      </c>
      <c r="F62" s="371" t="n">
        <v>54.0</v>
      </c>
      <c r="G62" s="9">
        <f t="shared" si="1"/>
        <v>2.5058926833559119E-5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34.0</v>
      </c>
      <c r="G63" s="9">
        <f t="shared" si="1"/>
        <v>1.7899233452542229E-5</v>
      </c>
    </row>
    <row r="64" spans="1:7" x14ac:dyDescent="0.45">
      <c r="A64">
        <v>53</v>
      </c>
      <c r="B64" s="6" t="n">
        <v>523.299985488</v>
      </c>
      <c r="C64" s="9">
        <f t="shared" si="0"/>
        <v>2.8507633202594628E-4</v>
      </c>
      <c r="E64" s="371">
        <v>53</v>
      </c>
      <c r="F64" s="371" t="n">
        <v>23.0</v>
      </c>
      <c r="G64" s="9">
        <f t="shared" si="1"/>
        <v>1.2785166751815878E-5</v>
      </c>
    </row>
    <row r="65" spans="1:7" x14ac:dyDescent="0.45">
      <c r="A65">
        <v>54</v>
      </c>
      <c r="B65" s="6" t="n">
        <v>1866.478794016</v>
      </c>
      <c r="C65" s="9">
        <f t="shared" si="0"/>
        <v>1.0167952286604727E-3</v>
      </c>
      <c r="E65" s="371">
        <v>54</v>
      </c>
      <c r="F65" s="371" t="n">
        <v>26.0</v>
      </c>
      <c r="G65" s="9">
        <f t="shared" si="1"/>
        <v>1.8922046792687498E-5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17.0</v>
      </c>
      <c r="G66" s="9">
        <f t="shared" si="1"/>
        <v>1.2273760081743241E-5</v>
      </c>
    </row>
    <row r="67" spans="1:7" x14ac:dyDescent="0.45">
      <c r="A67">
        <v>56</v>
      </c>
      <c r="B67" s="6" t="n">
        <v>668.711535771</v>
      </c>
      <c r="C67" s="9">
        <f t="shared" si="0"/>
        <v>3.6429168180323896E-4</v>
      </c>
      <c r="E67" s="371">
        <v>56</v>
      </c>
      <c r="F67" s="371" t="n">
        <v>21.0</v>
      </c>
      <c r="G67" s="9">
        <f t="shared" si="1"/>
        <v>8.6939133912347966E-6</v>
      </c>
    </row>
    <row r="68" spans="1:7" x14ac:dyDescent="0.45">
      <c r="A68">
        <v>57</v>
      </c>
      <c r="B68" s="6" t="n">
        <v>569.501209051</v>
      </c>
      <c r="C68" s="9">
        <f t="shared" si="0"/>
        <v>3.1024521357324536E-4</v>
      </c>
      <c r="E68" s="371">
        <v>57</v>
      </c>
      <c r="F68" s="371" t="n">
        <v>16.0</v>
      </c>
      <c r="G68" s="9">
        <f t="shared" si="1"/>
        <v>7.6711000510895259E-6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13.0</v>
      </c>
      <c r="G69" s="9">
        <f t="shared" si="1"/>
        <v>1.2273760081743241E-5</v>
      </c>
    </row>
    <row r="70" spans="1:7" x14ac:dyDescent="0.45">
      <c r="A70">
        <v>59</v>
      </c>
      <c r="B70" s="6" t="n">
        <v>224.682816265</v>
      </c>
      <c r="C70" s="9">
        <f t="shared" si="0"/>
        <v>1.2239968451433224E-4</v>
      </c>
      <c r="E70" s="371">
        <v>59</v>
      </c>
      <c r="F70" s="371" t="n">
        <v>13.0</v>
      </c>
      <c r="G70" s="9">
        <f t="shared" si="1"/>
        <v>5.6254733707989862E-6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13.0</v>
      </c>
      <c r="G71" s="9">
        <f t="shared" si="1"/>
        <v>6.1368800408716207E-6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5.6254733707989862E-6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14.0</v>
      </c>
      <c r="G73" s="9">
        <f t="shared" si="1"/>
        <v>4.091253360581081E-6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12.0</v>
      </c>
      <c r="G74" s="9">
        <f t="shared" si="1"/>
        <v>5.1140667007263509E-6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9.0</v>
      </c>
      <c r="G75" s="9">
        <f t="shared" si="1"/>
        <v>1.0228133401452703E-6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3.0</v>
      </c>
      <c r="G76" s="9">
        <f t="shared" si="1"/>
        <v>5.6254733707989862E-6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5.1140667007263513E-7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1.0</v>
      </c>
      <c r="G78" s="9">
        <f t="shared" si="3"/>
        <v>2.5570333503631754E-6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4.0</v>
      </c>
      <c r="G79" s="9">
        <f t="shared" si="3"/>
        <v>5.6254733707989862E-6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2.0456266802905405E-6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5.6254733707989862E-6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1.0</v>
      </c>
      <c r="G82" s="9">
        <f t="shared" si="3"/>
        <v>3.0684400204358103E-6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2.0456266802905405E-6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1.0</v>
      </c>
      <c r="G84" s="9">
        <f t="shared" si="3"/>
        <v>0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1.0</v>
      </c>
      <c r="G85" s="9">
        <f t="shared" si="3"/>
        <v>2.0456266802905405E-6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1.5342200102179052E-6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5.1140667007263513E-7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3.0</v>
      </c>
      <c r="G88" s="9">
        <f t="shared" si="3"/>
        <v>1.0228133401452703E-6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1.0228133401452703E-6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1.0</v>
      </c>
      <c r="G90" s="9">
        <f t="shared" si="3"/>
        <v>5.1140667007263513E-7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2.0</v>
      </c>
      <c r="G92" s="9">
        <f t="shared" si="3"/>
        <v>5.1140667007263513E-7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5.1140667007263513E-7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5.1140667007263513E-7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5.1140667007263513E-7</v>
      </c>
    </row>
    <row r="100" spans="1:7" x14ac:dyDescent="0.45">
      <c r="A100">
        <v>89</v>
      </c>
      <c r="B100" s="6" t="n">
        <v>598.2158718779999</v>
      </c>
      <c r="C100" s="9">
        <f t="shared" si="2"/>
        <v>3.2588800161278492E-4</v>
      </c>
      <c r="E100" s="371">
        <v>89</v>
      </c>
      <c r="F100" s="371" t="n">
        <v>0.0</v>
      </c>
      <c r="G100" s="9">
        <f t="shared" si="3"/>
        <v>5.1140667007263513E-7</v>
      </c>
    </row>
    <row r="101" spans="1:7" ht="14.65" thickBot="1" x14ac:dyDescent="0.5">
      <c r="A101" s="1">
        <v>90</v>
      </c>
      <c r="B101" s="7" t="n">
        <v>242.68014145</v>
      </c>
      <c r="C101" s="9">
        <f t="shared" si="2"/>
        <v>1.3220402541304918E-4</v>
      </c>
      <c r="E101" s="372">
        <v>90</v>
      </c>
      <c r="F101" s="372" t="n">
        <v>0.0</v>
      </c>
      <c r="G101" s="9">
        <f t="shared" si="3"/>
        <v>5.1140667007263513E-7</v>
      </c>
    </row>
    <row r="102" spans="1:7" x14ac:dyDescent="0.45">
      <c r="B102" s="6">
        <f>SUM(B11:B101)</f>
        <v>1835648.6551130863</v>
      </c>
      <c r="C102" s="9">
        <f t="shared" si="2"/>
        <v>1</v>
      </c>
      <c r="F102" s="6">
        <f>SUM(F11:F101)</f>
        <v>1955391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20170.0</v>
      </c>
      <c r="G11" s="9">
        <f>F11/F$102</f>
        <v>1.033450598882781E-2</v>
      </c>
      <c r="K11" s="6" t="n">
        <v>27.860610808522924</v>
      </c>
      <c r="L11" s="6" t="n">
        <v>19.30960449310726</v>
      </c>
    </row>
    <row r="12" spans="1:12" x14ac:dyDescent="0.4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64310.0</v>
      </c>
      <c r="G12" s="9">
        <f>F12/F$102</f>
        <v>3.3034313853341865E-2</v>
      </c>
      <c r="K12" s="6"/>
      <c r="L12" s="371"/>
    </row>
    <row r="13" spans="1:12" x14ac:dyDescent="0.45">
      <c r="A13">
        <v>2</v>
      </c>
      <c r="B13" s="6" t="n">
        <v>521.3545139930001</v>
      </c>
      <c r="C13" s="9">
        <f t="shared" ref="C13:C76" si="0">B13/B$102</f>
        <v>2.8401650421544403E-4</v>
      </c>
      <c r="E13" s="371">
        <v>2</v>
      </c>
      <c r="F13" s="371" t="n">
        <v>71256.0</v>
      </c>
      <c r="G13" s="9">
        <f t="shared" ref="G13:G76" si="1">F13/F$102</f>
        <v>3.6247481961408229E-2</v>
      </c>
    </row>
    <row r="14" spans="1:12" x14ac:dyDescent="0.45">
      <c r="A14">
        <v>3</v>
      </c>
      <c r="B14" s="6" t="n">
        <v>4692.25824687</v>
      </c>
      <c r="C14" s="9">
        <f t="shared" si="0"/>
        <v>2.5561853755619317E-3</v>
      </c>
      <c r="E14" s="371">
        <v>3</v>
      </c>
      <c r="F14" s="371" t="n">
        <v>73651.0</v>
      </c>
      <c r="G14" s="9">
        <f t="shared" si="1"/>
        <v>3.7761245704823226E-2</v>
      </c>
    </row>
    <row r="15" spans="1:12" x14ac:dyDescent="0.45">
      <c r="A15">
        <v>4</v>
      </c>
      <c r="B15" s="6" t="n">
        <v>12402.1085132717</v>
      </c>
      <c r="C15" s="9">
        <f t="shared" si="0"/>
        <v>6.7562539698032015E-3</v>
      </c>
      <c r="E15" s="371">
        <v>4</v>
      </c>
      <c r="F15" s="371" t="n">
        <v>71695.0</v>
      </c>
      <c r="G15" s="9">
        <f t="shared" si="1"/>
        <v>3.6724112977915925E-2</v>
      </c>
    </row>
    <row r="16" spans="1:12" x14ac:dyDescent="0.45">
      <c r="A16">
        <v>5</v>
      </c>
      <c r="B16" s="6" t="n">
        <v>31124.7128487015</v>
      </c>
      <c r="C16" s="9">
        <f t="shared" si="0"/>
        <v>1.6955702695069411E-2</v>
      </c>
      <c r="E16" s="371">
        <v>5</v>
      </c>
      <c r="F16" s="371" t="n">
        <v>68867.0</v>
      </c>
      <c r="G16" s="9">
        <f t="shared" si="1"/>
        <v>3.4744457758064756E-2</v>
      </c>
    </row>
    <row r="17" spans="1:7" x14ac:dyDescent="0.45">
      <c r="A17">
        <v>6</v>
      </c>
      <c r="B17" s="6" t="n">
        <v>12131.2965943158</v>
      </c>
      <c r="C17" s="9">
        <f t="shared" si="0"/>
        <v>6.6087246927808421E-3</v>
      </c>
      <c r="E17" s="371">
        <v>6</v>
      </c>
      <c r="F17" s="371" t="n">
        <v>63863.0</v>
      </c>
      <c r="G17" s="9">
        <f t="shared" si="1"/>
        <v>3.2573025036936348E-2</v>
      </c>
    </row>
    <row r="18" spans="1:7" x14ac:dyDescent="0.45">
      <c r="A18">
        <v>7</v>
      </c>
      <c r="B18" s="6" t="n">
        <v>23935.1593683842</v>
      </c>
      <c r="C18" s="9">
        <f t="shared" si="0"/>
        <v>1.3039074390251253E-2</v>
      </c>
      <c r="E18" s="371">
        <v>7</v>
      </c>
      <c r="F18" s="371" t="n">
        <v>59103.0</v>
      </c>
      <c r="G18" s="9">
        <f t="shared" si="1"/>
        <v>3.0266580954908761E-2</v>
      </c>
    </row>
    <row r="19" spans="1:7" x14ac:dyDescent="0.45">
      <c r="A19">
        <v>8</v>
      </c>
      <c r="B19" s="6" t="n">
        <v>5778.2018064402</v>
      </c>
      <c r="C19" s="9">
        <f t="shared" si="0"/>
        <v>3.1477711109614433E-3</v>
      </c>
      <c r="E19" s="371">
        <v>8</v>
      </c>
      <c r="F19" s="371" t="n">
        <v>53997.0</v>
      </c>
      <c r="G19" s="9">
        <f t="shared" si="1"/>
        <v>2.7613403150571932E-2</v>
      </c>
    </row>
    <row r="20" spans="1:7" x14ac:dyDescent="0.45">
      <c r="A20">
        <v>9</v>
      </c>
      <c r="B20" s="6" t="n">
        <v>32664.7501232737</v>
      </c>
      <c r="C20" s="9">
        <f t="shared" si="0"/>
        <v>1.7794663500712973E-2</v>
      </c>
      <c r="E20" s="371">
        <v>9</v>
      </c>
      <c r="F20" s="371" t="n">
        <v>48972.0</v>
      </c>
      <c r="G20" s="9">
        <f t="shared" si="1"/>
        <v>2.4908573272557764E-2</v>
      </c>
    </row>
    <row r="21" spans="1:7" x14ac:dyDescent="0.45">
      <c r="A21">
        <v>10</v>
      </c>
      <c r="B21" s="6" t="n">
        <v>5148.5195209079</v>
      </c>
      <c r="C21" s="9">
        <f t="shared" si="0"/>
        <v>2.8047412594817724E-3</v>
      </c>
      <c r="E21" s="371">
        <v>10</v>
      </c>
      <c r="F21" s="371" t="n">
        <v>45101.0</v>
      </c>
      <c r="G21" s="9">
        <f t="shared" si="1"/>
        <v>2.3181552947722475E-2</v>
      </c>
    </row>
    <row r="22" spans="1:7" x14ac:dyDescent="0.45">
      <c r="A22">
        <v>11</v>
      </c>
      <c r="B22" s="6" t="n">
        <v>14103.1495755041</v>
      </c>
      <c r="C22" s="9">
        <f t="shared" si="0"/>
        <v>7.6829242547154343E-3</v>
      </c>
      <c r="E22" s="371">
        <v>11</v>
      </c>
      <c r="F22" s="371" t="n">
        <v>40047.0</v>
      </c>
      <c r="G22" s="9">
        <f t="shared" si="1"/>
        <v>2.0486951203109761E-2</v>
      </c>
    </row>
    <row r="23" spans="1:7" x14ac:dyDescent="0.45">
      <c r="A23">
        <v>12</v>
      </c>
      <c r="B23" s="6" t="n">
        <v>36876.4862909369</v>
      </c>
      <c r="C23" s="9">
        <f t="shared" si="0"/>
        <v>2.0089076517022856E-2</v>
      </c>
      <c r="E23" s="371">
        <v>12</v>
      </c>
      <c r="F23" s="371" t="n">
        <v>37342.0</v>
      </c>
      <c r="G23" s="9">
        <f t="shared" si="1"/>
        <v>1.9195649361176358E-2</v>
      </c>
    </row>
    <row r="24" spans="1:7" x14ac:dyDescent="0.45">
      <c r="A24">
        <v>13</v>
      </c>
      <c r="B24" s="6" t="n">
        <v>47653.113174282</v>
      </c>
      <c r="C24" s="9">
        <f t="shared" si="0"/>
        <v>2.5959822453794291E-2</v>
      </c>
      <c r="E24" s="371">
        <v>13</v>
      </c>
      <c r="F24" s="371" t="n">
        <v>33395.0</v>
      </c>
      <c r="G24" s="9">
        <f t="shared" si="1"/>
        <v>1.7284522635114919E-2</v>
      </c>
    </row>
    <row r="25" spans="1:7" x14ac:dyDescent="0.45">
      <c r="A25">
        <v>14</v>
      </c>
      <c r="B25" s="6" t="n">
        <v>25794.7898650044</v>
      </c>
      <c r="C25" s="9">
        <f t="shared" si="0"/>
        <v>1.4052138895509551E-2</v>
      </c>
      <c r="E25" s="371">
        <v>14</v>
      </c>
      <c r="F25" s="371" t="n">
        <v>31759.0</v>
      </c>
      <c r="G25" s="9">
        <f t="shared" si="1"/>
        <v>1.6299553388555026E-2</v>
      </c>
    </row>
    <row r="26" spans="1:7" x14ac:dyDescent="0.45">
      <c r="A26">
        <v>15</v>
      </c>
      <c r="B26" s="6" t="n">
        <v>20840.4027557693</v>
      </c>
      <c r="C26" s="9">
        <f t="shared" si="0"/>
        <v>1.135315448177931E-2</v>
      </c>
      <c r="E26" s="371">
        <v>15</v>
      </c>
      <c r="F26" s="371" t="n">
        <v>27056.0</v>
      </c>
      <c r="G26" s="9">
        <f t="shared" si="1"/>
        <v>1.3951685366251559E-2</v>
      </c>
    </row>
    <row r="27" spans="1:7" x14ac:dyDescent="0.45">
      <c r="A27">
        <v>16</v>
      </c>
      <c r="B27" s="6" t="n">
        <v>78558.4887362757</v>
      </c>
      <c r="C27" s="9">
        <f t="shared" si="0"/>
        <v>4.279603753008826E-2</v>
      </c>
      <c r="E27" s="371">
        <v>16</v>
      </c>
      <c r="F27" s="371" t="n">
        <v>26287.0</v>
      </c>
      <c r="G27" s="9">
        <f t="shared" si="1"/>
        <v>1.3171790194390789E-2</v>
      </c>
    </row>
    <row r="28" spans="1:7" x14ac:dyDescent="0.45">
      <c r="A28">
        <v>17</v>
      </c>
      <c r="B28" s="6" t="n">
        <v>57355.5173716377</v>
      </c>
      <c r="C28" s="9">
        <f t="shared" si="0"/>
        <v>3.1245367795126499E-2</v>
      </c>
      <c r="E28" s="371">
        <v>17</v>
      </c>
      <c r="F28" s="371" t="n">
        <v>22289.0</v>
      </c>
      <c r="G28" s="9">
        <f t="shared" si="1"/>
        <v>1.1697404764571382E-2</v>
      </c>
    </row>
    <row r="29" spans="1:7" x14ac:dyDescent="0.45">
      <c r="A29">
        <v>18</v>
      </c>
      <c r="B29" s="6" t="n">
        <v>179533.5512517576</v>
      </c>
      <c r="C29" s="9">
        <f t="shared" si="0"/>
        <v>9.7803874805605054E-2</v>
      </c>
      <c r="E29" s="371">
        <v>18</v>
      </c>
      <c r="F29" s="371" t="n">
        <v>194062.0</v>
      </c>
      <c r="G29" s="9">
        <f t="shared" si="1"/>
        <v>9.9934488805563701E-2</v>
      </c>
    </row>
    <row r="30" spans="1:7" x14ac:dyDescent="0.45">
      <c r="A30">
        <v>19</v>
      </c>
      <c r="B30" s="6" t="n">
        <v>87110.4998358384</v>
      </c>
      <c r="C30" s="9">
        <f t="shared" si="0"/>
        <v>4.7454887182902597E-2</v>
      </c>
      <c r="E30" s="371">
        <v>19</v>
      </c>
      <c r="F30" s="371" t="n">
        <v>74847.0</v>
      </c>
      <c r="G30" s="9">
        <f t="shared" si="1"/>
        <v>3.7536738176661345E-2</v>
      </c>
    </row>
    <row r="31" spans="1:7" x14ac:dyDescent="0.45">
      <c r="A31">
        <v>20</v>
      </c>
      <c r="B31" s="6" t="n">
        <v>140314.34164732049</v>
      </c>
      <c r="C31" s="9">
        <f t="shared" si="0"/>
        <v>7.643856097215744E-2</v>
      </c>
      <c r="E31" s="371">
        <v>20</v>
      </c>
      <c r="F31" s="371" t="n">
        <v>70817.0</v>
      </c>
      <c r="G31" s="9">
        <f t="shared" si="1"/>
        <v>3.6331864061970212E-2</v>
      </c>
    </row>
    <row r="32" spans="1:7" x14ac:dyDescent="0.45">
      <c r="A32">
        <v>21</v>
      </c>
      <c r="B32" s="6" t="n">
        <v>130182.9658284732</v>
      </c>
      <c r="C32" s="9">
        <f t="shared" si="0"/>
        <v>7.091932623699887E-2</v>
      </c>
      <c r="E32" s="371">
        <v>21</v>
      </c>
      <c r="F32" s="371" t="n">
        <v>77713.0</v>
      </c>
      <c r="G32" s="9">
        <f t="shared" si="1"/>
        <v>3.9852387578750231E-2</v>
      </c>
    </row>
    <row r="33" spans="1:7" x14ac:dyDescent="0.45">
      <c r="A33">
        <v>22</v>
      </c>
      <c r="B33" s="6" t="n">
        <v>80885.3478916583</v>
      </c>
      <c r="C33" s="9">
        <f t="shared" si="0"/>
        <v>4.4063632583695757E-2</v>
      </c>
      <c r="E33" s="371">
        <v>22</v>
      </c>
      <c r="F33" s="371" t="n">
        <v>76423.0</v>
      </c>
      <c r="G33" s="9">
        <f t="shared" si="1"/>
        <v>3.8600975457082499E-2</v>
      </c>
    </row>
    <row r="34" spans="1:7" x14ac:dyDescent="0.45">
      <c r="A34">
        <v>23</v>
      </c>
      <c r="B34" s="6" t="n">
        <v>63546.2231063582</v>
      </c>
      <c r="C34" s="9">
        <f t="shared" si="0"/>
        <v>3.4617857251361309E-2</v>
      </c>
      <c r="E34" s="371">
        <v>23</v>
      </c>
      <c r="F34" s="371" t="n">
        <v>64649.0</v>
      </c>
      <c r="G34" s="9">
        <f t="shared" si="1"/>
        <v>3.4425851402609502E-2</v>
      </c>
    </row>
    <row r="35" spans="1:7" x14ac:dyDescent="0.45">
      <c r="A35">
        <v>24</v>
      </c>
      <c r="B35" s="6" t="n">
        <v>77347.3049036517</v>
      </c>
      <c r="C35" s="9">
        <f t="shared" si="0"/>
        <v>4.2136225082183093E-2</v>
      </c>
      <c r="E35" s="371">
        <v>24</v>
      </c>
      <c r="F35" s="371" t="n">
        <v>41623.0</v>
      </c>
      <c r="G35" s="9">
        <f t="shared" si="1"/>
        <v>2.2051855613532026E-2</v>
      </c>
    </row>
    <row r="36" spans="1:7" x14ac:dyDescent="0.45">
      <c r="A36">
        <v>25</v>
      </c>
      <c r="B36" s="6" t="n">
        <v>30035.813920643</v>
      </c>
      <c r="C36" s="9">
        <f t="shared" si="0"/>
        <v>1.636250697375017E-2</v>
      </c>
      <c r="E36" s="371">
        <v>25</v>
      </c>
      <c r="F36" s="371" t="n">
        <v>42200.0</v>
      </c>
      <c r="G36" s="9">
        <f t="shared" si="1"/>
        <v>2.1141551740802733E-2</v>
      </c>
    </row>
    <row r="37" spans="1:7" x14ac:dyDescent="0.45">
      <c r="A37">
        <v>26</v>
      </c>
      <c r="B37" s="6" t="n">
        <v>119308.5640478543</v>
      </c>
      <c r="C37" s="9">
        <f t="shared" si="0"/>
        <v>6.4995315805956452E-2</v>
      </c>
      <c r="E37" s="371">
        <v>26</v>
      </c>
      <c r="F37" s="371" t="n">
        <v>47673.0</v>
      </c>
      <c r="G37" s="9">
        <f t="shared" si="1"/>
        <v>2.5476746083008463E-2</v>
      </c>
    </row>
    <row r="38" spans="1:7" x14ac:dyDescent="0.45">
      <c r="A38">
        <v>27</v>
      </c>
      <c r="B38" s="6" t="n">
        <v>16099.6008915761</v>
      </c>
      <c r="C38" s="9">
        <f t="shared" si="0"/>
        <v>8.7705241668832711E-3</v>
      </c>
      <c r="E38" s="371">
        <v>27</v>
      </c>
      <c r="F38" s="371" t="n">
        <v>35084.0</v>
      </c>
      <c r="G38" s="9">
        <f t="shared" si="1"/>
        <v>1.5916509792670622E-2</v>
      </c>
    </row>
    <row r="39" spans="1:7" x14ac:dyDescent="0.45">
      <c r="A39">
        <v>28</v>
      </c>
      <c r="B39" s="6" t="n">
        <v>34253.6456184396</v>
      </c>
      <c r="C39" s="9">
        <f t="shared" si="0"/>
        <v>1.8660240631031531E-2</v>
      </c>
      <c r="E39" s="371">
        <v>28</v>
      </c>
      <c r="F39" s="371" t="n">
        <v>29383.0</v>
      </c>
      <c r="G39" s="9">
        <f t="shared" si="1"/>
        <v>2.0593323790484869E-2</v>
      </c>
    </row>
    <row r="40" spans="1:7" x14ac:dyDescent="0.45">
      <c r="A40">
        <v>29</v>
      </c>
      <c r="B40" s="6" t="n">
        <v>17769.7167671782</v>
      </c>
      <c r="C40" s="9">
        <f t="shared" si="0"/>
        <v>9.680347444311713E-3</v>
      </c>
      <c r="E40" s="371">
        <v>29</v>
      </c>
      <c r="F40" s="371" t="n">
        <v>30599.0</v>
      </c>
      <c r="G40" s="9">
        <f t="shared" si="1"/>
        <v>1.3340042988844687E-2</v>
      </c>
    </row>
    <row r="41" spans="1:7" x14ac:dyDescent="0.45">
      <c r="A41">
        <v>30</v>
      </c>
      <c r="B41" s="6" t="n">
        <v>19163.0072603273</v>
      </c>
      <c r="C41" s="9">
        <f t="shared" si="0"/>
        <v>1.0439365510905326E-2</v>
      </c>
      <c r="E41" s="371">
        <v>30</v>
      </c>
      <c r="F41" s="371" t="n">
        <v>28276.0</v>
      </c>
      <c r="G41" s="9">
        <f t="shared" si="1"/>
        <v>1.4988306686488789E-2</v>
      </c>
    </row>
    <row r="42" spans="1:7" x14ac:dyDescent="0.45">
      <c r="A42">
        <v>31</v>
      </c>
      <c r="B42" s="6" t="n">
        <v>9252.7818016435</v>
      </c>
      <c r="C42" s="9">
        <f t="shared" si="0"/>
        <v>5.0406060963084868E-3</v>
      </c>
      <c r="E42" s="371">
        <v>31</v>
      </c>
      <c r="F42" s="371" t="n">
        <v>27982.0</v>
      </c>
      <c r="G42" s="9">
        <f t="shared" si="1"/>
        <v>1.0133011760819191E-2</v>
      </c>
    </row>
    <row r="43" spans="1:7" x14ac:dyDescent="0.45">
      <c r="A43">
        <v>32</v>
      </c>
      <c r="B43" s="6" t="n">
        <v>24686.3349233849</v>
      </c>
      <c r="C43" s="9">
        <f t="shared" si="0"/>
        <v>1.3448289711989617E-2</v>
      </c>
      <c r="E43" s="371">
        <v>32</v>
      </c>
      <c r="F43" s="371" t="n">
        <v>21761.0</v>
      </c>
      <c r="G43" s="9">
        <f t="shared" si="1"/>
        <v>9.8394643321974996E-3</v>
      </c>
    </row>
    <row r="44" spans="1:7" x14ac:dyDescent="0.45">
      <c r="A44">
        <v>33</v>
      </c>
      <c r="B44" s="6" t="n">
        <v>11225.6123266658</v>
      </c>
      <c r="C44" s="9">
        <f t="shared" si="0"/>
        <v>6.1153381914330644E-3</v>
      </c>
      <c r="E44" s="371">
        <v>33</v>
      </c>
      <c r="F44" s="371" t="n">
        <v>29286.0</v>
      </c>
      <c r="G44" s="9">
        <f t="shared" si="1"/>
        <v>2.0187266894447199E-2</v>
      </c>
    </row>
    <row r="45" spans="1:7" x14ac:dyDescent="0.45">
      <c r="A45">
        <v>34</v>
      </c>
      <c r="B45" s="6" t="n">
        <v>20668.866646101502</v>
      </c>
      <c r="C45" s="9">
        <f t="shared" si="0"/>
        <v>1.1259707345700193E-2</v>
      </c>
      <c r="E45" s="371">
        <v>34</v>
      </c>
      <c r="F45" s="371" t="n">
        <v>25435.0</v>
      </c>
      <c r="G45" s="9">
        <f t="shared" si="1"/>
        <v>1.5439878776162926E-2</v>
      </c>
    </row>
    <row r="46" spans="1:7" x14ac:dyDescent="0.45">
      <c r="A46">
        <v>35</v>
      </c>
      <c r="B46" s="6" t="n">
        <v>16875.7807256587</v>
      </c>
      <c r="C46" s="9">
        <f t="shared" si="0"/>
        <v>9.1933609836785755E-3</v>
      </c>
      <c r="E46" s="371">
        <v>35</v>
      </c>
      <c r="F46" s="371" t="n">
        <v>15732.0</v>
      </c>
      <c r="G46" s="9">
        <f t="shared" si="1"/>
        <v>7.591832017228268E-3</v>
      </c>
    </row>
    <row r="47" spans="1:7" x14ac:dyDescent="0.45">
      <c r="A47">
        <v>36</v>
      </c>
      <c r="B47" s="6" t="n">
        <v>5805.9543383719</v>
      </c>
      <c r="C47" s="9">
        <f t="shared" si="0"/>
        <v>3.1628897622645656E-3</v>
      </c>
      <c r="E47" s="371">
        <v>36</v>
      </c>
      <c r="F47" s="371" t="n">
        <v>8846.0</v>
      </c>
      <c r="G47" s="9">
        <f t="shared" si="1"/>
        <v>4.8118253587134232E-3</v>
      </c>
    </row>
    <row r="48" spans="1:7" x14ac:dyDescent="0.45">
      <c r="A48">
        <v>37</v>
      </c>
      <c r="B48" s="6" t="n">
        <v>23940.1408449238</v>
      </c>
      <c r="C48" s="9">
        <f t="shared" si="0"/>
        <v>1.3041788132080727E-2</v>
      </c>
      <c r="E48" s="371">
        <v>37</v>
      </c>
      <c r="F48" s="371" t="n">
        <v>8020.0</v>
      </c>
      <c r="G48" s="9">
        <f t="shared" si="1"/>
        <v>5.6960474912690099E-3</v>
      </c>
    </row>
    <row r="49" spans="1:7" x14ac:dyDescent="0.45">
      <c r="A49">
        <v>38</v>
      </c>
      <c r="B49" s="6" t="n">
        <v>17597.9342190206</v>
      </c>
      <c r="C49" s="9">
        <f t="shared" si="0"/>
        <v>9.5867660567846881E-3</v>
      </c>
      <c r="E49" s="371">
        <v>38</v>
      </c>
      <c r="F49" s="371" t="n">
        <v>11530.0</v>
      </c>
      <c r="G49" s="9">
        <f t="shared" si="1"/>
        <v>3.9669815397534308E-3</v>
      </c>
    </row>
    <row r="50" spans="1:7" x14ac:dyDescent="0.45">
      <c r="A50">
        <v>39</v>
      </c>
      <c r="B50" s="6" t="n">
        <v>3861.4107941869</v>
      </c>
      <c r="C50" s="9">
        <f t="shared" si="0"/>
        <v>2.1035674683339742E-3</v>
      </c>
      <c r="E50" s="371">
        <v>39</v>
      </c>
      <c r="F50" s="371" t="n">
        <v>8118.0</v>
      </c>
      <c r="G50" s="9">
        <f t="shared" si="1"/>
        <v>4.9708728331060133E-3</v>
      </c>
    </row>
    <row r="51" spans="1:7" x14ac:dyDescent="0.45">
      <c r="A51">
        <v>40</v>
      </c>
      <c r="B51" s="6" t="n">
        <v>6000.2936671088</v>
      </c>
      <c r="C51" s="9">
        <f t="shared" si="0"/>
        <v>3.2687593295129495E-3</v>
      </c>
      <c r="E51" s="371">
        <v>40</v>
      </c>
      <c r="F51" s="371" t="n">
        <v>7124.0</v>
      </c>
      <c r="G51" s="9">
        <f t="shared" si="1"/>
        <v>3.4381870428983256E-3</v>
      </c>
    </row>
    <row r="52" spans="1:7" x14ac:dyDescent="0.45">
      <c r="A52">
        <v>41</v>
      </c>
      <c r="B52" s="6" t="n">
        <v>6949.9674741894005</v>
      </c>
      <c r="C52" s="9">
        <f t="shared" si="0"/>
        <v>3.7861098608552857E-3</v>
      </c>
      <c r="E52" s="371">
        <v>41</v>
      </c>
      <c r="F52" s="371" t="n">
        <v>11054.0</v>
      </c>
      <c r="G52" s="9">
        <f t="shared" si="1"/>
        <v>4.5965231506128442E-3</v>
      </c>
    </row>
    <row r="53" spans="1:7" x14ac:dyDescent="0.45">
      <c r="A53">
        <v>42</v>
      </c>
      <c r="B53" s="6" t="n">
        <v>2179.1782629</v>
      </c>
      <c r="C53" s="9">
        <f t="shared" si="0"/>
        <v>1.1871434420906381E-3</v>
      </c>
      <c r="E53" s="371">
        <v>42</v>
      </c>
      <c r="F53" s="371" t="n">
        <v>6881.0</v>
      </c>
      <c r="G53" s="9">
        <f t="shared" si="1"/>
        <v>2.8899590925804608E-3</v>
      </c>
    </row>
    <row r="54" spans="1:7" x14ac:dyDescent="0.45">
      <c r="A54">
        <v>43</v>
      </c>
      <c r="B54" s="6" t="n">
        <v>2329.9440227539</v>
      </c>
      <c r="C54" s="9">
        <f t="shared" si="0"/>
        <v>1.2692755861880125E-3</v>
      </c>
      <c r="E54" s="371">
        <v>43</v>
      </c>
      <c r="F54" s="371" t="n">
        <v>5180.0</v>
      </c>
      <c r="G54" s="9">
        <f t="shared" si="1"/>
        <v>3.0142309134081114E-3</v>
      </c>
    </row>
    <row r="55" spans="1:7" x14ac:dyDescent="0.45">
      <c r="A55">
        <v>44</v>
      </c>
      <c r="B55" s="6" t="n">
        <v>3135.3672199654998</v>
      </c>
      <c r="C55" s="9">
        <f t="shared" si="0"/>
        <v>1.7080432092667227E-3</v>
      </c>
      <c r="E55" s="371">
        <v>44</v>
      </c>
      <c r="F55" s="371" t="n">
        <v>4713.0</v>
      </c>
      <c r="G55" s="9">
        <f t="shared" si="1"/>
        <v>2.7943260452768779E-3</v>
      </c>
    </row>
    <row r="56" spans="1:7" x14ac:dyDescent="0.45">
      <c r="A56">
        <v>45</v>
      </c>
      <c r="B56" s="6" t="n">
        <v>100623.4744096711</v>
      </c>
      <c r="C56" s="9">
        <f t="shared" si="0"/>
        <v>5.4816303833193018E-2</v>
      </c>
      <c r="E56" s="371">
        <v>45</v>
      </c>
      <c r="F56" s="371" t="n">
        <v>5649.0</v>
      </c>
      <c r="G56" s="9">
        <f t="shared" si="1"/>
        <v>3.3399969622443797E-3</v>
      </c>
    </row>
    <row r="57" spans="1:7" x14ac:dyDescent="0.45">
      <c r="A57">
        <v>46</v>
      </c>
      <c r="B57" s="6" t="n">
        <v>6520.0436392565</v>
      </c>
      <c r="C57" s="9">
        <f t="shared" si="0"/>
        <v>3.5519017329897627E-3</v>
      </c>
      <c r="E57" s="371">
        <v>46</v>
      </c>
      <c r="F57" s="371" t="n">
        <v>3608.0</v>
      </c>
      <c r="G57" s="9">
        <f t="shared" si="1"/>
        <v>2.6930675246024964E-3</v>
      </c>
    </row>
    <row r="58" spans="1:7" x14ac:dyDescent="0.45">
      <c r="A58">
        <v>47</v>
      </c>
      <c r="B58" s="6" t="n">
        <v>2313.652261393</v>
      </c>
      <c r="C58" s="9">
        <f t="shared" si="0"/>
        <v>1.2604003794236243E-3</v>
      </c>
      <c r="E58" s="371">
        <v>47</v>
      </c>
      <c r="F58" s="371" t="n">
        <v>3194.0</v>
      </c>
      <c r="G58" s="9">
        <f t="shared" si="1"/>
        <v>1.91163813273151E-3</v>
      </c>
    </row>
    <row r="59" spans="1:7" x14ac:dyDescent="0.45">
      <c r="A59">
        <v>48</v>
      </c>
      <c r="B59" s="6" t="n">
        <v>1683.9558748667</v>
      </c>
      <c r="C59" s="9">
        <f t="shared" si="0"/>
        <v>9.1736284619398404E-4</v>
      </c>
      <c r="E59" s="371">
        <v>48</v>
      </c>
      <c r="F59" s="371" t="n">
        <v>8783.0</v>
      </c>
      <c r="G59" s="9">
        <f t="shared" si="1"/>
        <v>1.8497579256527212E-3</v>
      </c>
    </row>
    <row r="60" spans="1:7" x14ac:dyDescent="0.45">
      <c r="A60">
        <v>49</v>
      </c>
      <c r="B60" s="6" t="n">
        <v>3974.9595683289</v>
      </c>
      <c r="C60" s="9">
        <f t="shared" si="0"/>
        <v>2.1654250432166823E-3</v>
      </c>
      <c r="E60" s="371">
        <v>49</v>
      </c>
      <c r="F60" s="371" t="n">
        <v>3317.0</v>
      </c>
      <c r="G60" s="9">
        <f t="shared" si="1"/>
        <v>4.3490023222976888E-3</v>
      </c>
    </row>
    <row r="61" spans="1:7" x14ac:dyDescent="0.45">
      <c r="A61">
        <v>50</v>
      </c>
      <c r="B61" s="6" t="n">
        <v>1058.475504325</v>
      </c>
      <c r="C61" s="9">
        <f t="shared" si="0"/>
        <v>5.7662205748179617E-4</v>
      </c>
      <c r="E61" s="371">
        <v>50</v>
      </c>
      <c r="F61" s="371" t="n">
        <v>4080.0</v>
      </c>
      <c r="G61" s="9">
        <f t="shared" si="1"/>
        <v>1.97760959317088E-3</v>
      </c>
    </row>
    <row r="62" spans="1:7" x14ac:dyDescent="0.45">
      <c r="A62">
        <v>51</v>
      </c>
      <c r="B62" s="6" t="n">
        <v>814.0671532819</v>
      </c>
      <c r="C62" s="9">
        <f t="shared" si="0"/>
        <v>4.4347656127678134E-4</v>
      </c>
      <c r="E62" s="371">
        <v>51</v>
      </c>
      <c r="F62" s="371" t="n">
        <v>2400.0</v>
      </c>
      <c r="G62" s="9">
        <f t="shared" si="1"/>
        <v>1.5245032834865252E-3</v>
      </c>
    </row>
    <row r="63" spans="1:7" x14ac:dyDescent="0.45">
      <c r="A63">
        <v>52</v>
      </c>
      <c r="B63" s="6" t="n">
        <v>12823.199834345</v>
      </c>
      <c r="C63" s="9">
        <f t="shared" si="0"/>
        <v>6.9856504394927446E-3</v>
      </c>
      <c r="E63" s="371">
        <v>52</v>
      </c>
      <c r="F63" s="371" t="n">
        <v>2279.0</v>
      </c>
      <c r="G63" s="9">
        <f t="shared" si="1"/>
        <v>1.2012942680006198E-3</v>
      </c>
    </row>
    <row r="64" spans="1:7" x14ac:dyDescent="0.45">
      <c r="A64">
        <v>53</v>
      </c>
      <c r="B64" s="6" t="n">
        <v>875.69254586</v>
      </c>
      <c r="C64" s="9">
        <f t="shared" si="0"/>
        <v>4.770480142922842E-4</v>
      </c>
      <c r="E64" s="371">
        <v>53</v>
      </c>
      <c r="F64" s="371" t="n">
        <v>3214.0</v>
      </c>
      <c r="G64" s="9">
        <f t="shared" si="1"/>
        <v>9.7627533316866038E-4</v>
      </c>
    </row>
    <row r="65" spans="1:7" x14ac:dyDescent="0.45">
      <c r="A65">
        <v>54</v>
      </c>
      <c r="B65" s="6" t="n">
        <v>5670.4812632143</v>
      </c>
      <c r="C65" s="9">
        <f t="shared" si="0"/>
        <v>3.0890885613755787E-3</v>
      </c>
      <c r="E65" s="371">
        <v>54</v>
      </c>
      <c r="F65" s="371" t="n">
        <v>2534.0</v>
      </c>
      <c r="G65" s="9">
        <f t="shared" si="1"/>
        <v>1.0570775870401368E-3</v>
      </c>
    </row>
    <row r="66" spans="1:7" x14ac:dyDescent="0.45">
      <c r="A66">
        <v>55</v>
      </c>
      <c r="B66" s="6" t="n">
        <v>662.957073809</v>
      </c>
      <c r="C66" s="9">
        <f t="shared" si="0"/>
        <v>3.6115684336562653E-4</v>
      </c>
      <c r="E66" s="371">
        <v>55</v>
      </c>
      <c r="F66" s="371" t="n">
        <v>3467.0</v>
      </c>
      <c r="G66" s="9">
        <f t="shared" si="1"/>
        <v>1.3040870086852194E-3</v>
      </c>
    </row>
    <row r="67" spans="1:7" x14ac:dyDescent="0.45">
      <c r="A67">
        <v>56</v>
      </c>
      <c r="B67" s="6" t="n">
        <v>106.37362877</v>
      </c>
      <c r="C67" s="9">
        <f t="shared" si="0"/>
        <v>5.7948795633468737E-5</v>
      </c>
      <c r="E67" s="371">
        <v>56</v>
      </c>
      <c r="F67" s="371" t="n">
        <v>2259.0</v>
      </c>
      <c r="G67" s="9">
        <f t="shared" si="1"/>
        <v>1.1036155940167464E-3</v>
      </c>
    </row>
    <row r="68" spans="1:7" x14ac:dyDescent="0.45">
      <c r="A68">
        <v>57</v>
      </c>
      <c r="B68" s="6" t="n">
        <v>1385.36015331</v>
      </c>
      <c r="C68" s="9">
        <f t="shared" si="0"/>
        <v>7.546978826537226E-4</v>
      </c>
      <c r="E68" s="371">
        <v>57</v>
      </c>
      <c r="F68" s="371" t="n">
        <v>1445.0</v>
      </c>
      <c r="G68" s="9">
        <f t="shared" si="1"/>
        <v>7.0778683138052699E-4</v>
      </c>
    </row>
    <row r="69" spans="1:7" x14ac:dyDescent="0.45">
      <c r="A69">
        <v>58</v>
      </c>
      <c r="B69" s="6" t="n">
        <v>4885.84852718</v>
      </c>
      <c r="C69" s="9">
        <f t="shared" si="0"/>
        <v>2.6616468862768316E-3</v>
      </c>
      <c r="E69" s="371">
        <v>58</v>
      </c>
      <c r="F69" s="371" t="n">
        <v>1553.0</v>
      </c>
      <c r="G69" s="9">
        <f t="shared" si="1"/>
        <v>8.5302632568115533E-4</v>
      </c>
    </row>
    <row r="70" spans="1:7" x14ac:dyDescent="0.45">
      <c r="A70">
        <v>59</v>
      </c>
      <c r="B70" s="6" t="n">
        <v>1504.4063101476</v>
      </c>
      <c r="C70" s="9">
        <f t="shared" si="0"/>
        <v>8.1955024778688915E-4</v>
      </c>
      <c r="E70" s="371">
        <v>59</v>
      </c>
      <c r="F70" s="371" t="n">
        <v>1122.0</v>
      </c>
      <c r="G70" s="9">
        <f t="shared" si="1"/>
        <v>7.28754504853505E-4</v>
      </c>
    </row>
    <row r="71" spans="1:7" x14ac:dyDescent="0.45">
      <c r="A71">
        <v>60</v>
      </c>
      <c r="B71" s="6" t="n">
        <v>6053.1094642147</v>
      </c>
      <c r="C71" s="9">
        <f t="shared" si="0"/>
        <v>3.2975316095234975E-3</v>
      </c>
      <c r="E71" s="371">
        <v>60</v>
      </c>
      <c r="F71" s="371" t="n">
        <v>3017.0</v>
      </c>
      <c r="G71" s="9">
        <f t="shared" si="1"/>
        <v>6.3056442419955907E-4</v>
      </c>
    </row>
    <row r="72" spans="1:7" x14ac:dyDescent="0.45">
      <c r="A72">
        <v>61</v>
      </c>
      <c r="B72" s="6" t="n">
        <v>6516.230696508</v>
      </c>
      <c r="C72" s="9">
        <f t="shared" si="0"/>
        <v>3.5498245692918628E-3</v>
      </c>
      <c r="E72" s="371">
        <v>61</v>
      </c>
      <c r="F72" s="371" t="n">
        <v>1054.0</v>
      </c>
      <c r="G72" s="9">
        <f t="shared" si="1"/>
        <v>5.1958917679379726E-4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937.0</v>
      </c>
      <c r="G73" s="9">
        <f t="shared" si="1"/>
        <v>5.8198079054265874E-4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879.0</v>
      </c>
      <c r="G74" s="9">
        <f t="shared" si="1"/>
        <v>4.4799224298362837E-4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815.0</v>
      </c>
      <c r="G75" s="9">
        <f t="shared" si="1"/>
        <v>4.3316144955152193E-4</v>
      </c>
    </row>
    <row r="76" spans="1:7" x14ac:dyDescent="0.45">
      <c r="A76">
        <v>65</v>
      </c>
      <c r="B76" s="6" t="n">
        <v>6039.223909766</v>
      </c>
      <c r="C76" s="9">
        <f t="shared" si="0"/>
        <v>3.2899672238171033E-3</v>
      </c>
      <c r="E76" s="371">
        <v>65</v>
      </c>
      <c r="F76" s="371" t="n">
        <v>696.0</v>
      </c>
      <c r="G76" s="9">
        <f t="shared" si="1"/>
        <v>3.9276032261578372E-4</v>
      </c>
    </row>
    <row r="77" spans="1:7" x14ac:dyDescent="0.45">
      <c r="A77">
        <v>66</v>
      </c>
      <c r="B77" s="6" t="n">
        <v>1262.824399592</v>
      </c>
      <c r="C77" s="9">
        <f t="shared" ref="C77:C102" si="2">B77/B$102</f>
        <v>6.8794450183834476E-4</v>
      </c>
      <c r="E77" s="371">
        <v>66</v>
      </c>
      <c r="F77" s="371" t="n">
        <v>781.0</v>
      </c>
      <c r="G77" s="9">
        <f t="shared" ref="G77:G102" si="3">F77/F$102</f>
        <v>4.2600175617050503E-4</v>
      </c>
    </row>
    <row r="78" spans="1:7" x14ac:dyDescent="0.45">
      <c r="A78">
        <v>67</v>
      </c>
      <c r="B78" s="6" t="n">
        <v>2121.603734355</v>
      </c>
      <c r="C78" s="9">
        <f t="shared" si="2"/>
        <v>1.1557787643323809E-3</v>
      </c>
      <c r="E78" s="371">
        <v>67</v>
      </c>
      <c r="F78" s="371" t="n">
        <v>857.0</v>
      </c>
      <c r="G78" s="9">
        <f t="shared" si="3"/>
        <v>3.7588390250338678E-4</v>
      </c>
    </row>
    <row r="79" spans="1:7" x14ac:dyDescent="0.45">
      <c r="A79">
        <v>68</v>
      </c>
      <c r="B79" s="6" t="n">
        <v>385.51800510500004</v>
      </c>
      <c r="C79" s="9">
        <f t="shared" si="2"/>
        <v>2.1001731678399531E-4</v>
      </c>
      <c r="E79" s="371">
        <v>68</v>
      </c>
      <c r="F79" s="371" t="n">
        <v>700.0</v>
      </c>
      <c r="G79" s="9">
        <f t="shared" si="3"/>
        <v>3.370169955778665E-4</v>
      </c>
    </row>
    <row r="80" spans="1:7" x14ac:dyDescent="0.45">
      <c r="A80">
        <v>69</v>
      </c>
      <c r="B80" s="6" t="n">
        <v>2700.8750317959</v>
      </c>
      <c r="C80" s="9">
        <f t="shared" si="2"/>
        <v>1.4713463953315788E-3</v>
      </c>
      <c r="E80" s="371">
        <v>69</v>
      </c>
      <c r="F80" s="371" t="n">
        <v>706.0</v>
      </c>
      <c r="G80" s="9">
        <f t="shared" si="3"/>
        <v>3.1707213544503377E-4</v>
      </c>
    </row>
    <row r="81" spans="1:7" x14ac:dyDescent="0.45">
      <c r="A81">
        <v>70</v>
      </c>
      <c r="B81" s="6" t="n">
        <v>3317.574433313</v>
      </c>
      <c r="C81" s="9">
        <f t="shared" si="2"/>
        <v>1.8073036057701458E-3</v>
      </c>
      <c r="E81" s="371">
        <v>70</v>
      </c>
      <c r="F81" s="371" t="n">
        <v>545.0</v>
      </c>
      <c r="G81" s="9">
        <f t="shared" si="3"/>
        <v>3.0991244206401687E-4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575.0</v>
      </c>
      <c r="G82" s="9">
        <f t="shared" si="3"/>
        <v>3.4264246894866553E-4</v>
      </c>
    </row>
    <row r="83" spans="1:7" x14ac:dyDescent="0.45">
      <c r="A83">
        <v>72</v>
      </c>
      <c r="B83" s="6" t="n">
        <v>10258.7789274218</v>
      </c>
      <c r="C83" s="9">
        <f t="shared" si="2"/>
        <v>5.5886396881269194E-3</v>
      </c>
      <c r="E83" s="371">
        <v>72</v>
      </c>
      <c r="F83" s="371" t="n">
        <v>536.0</v>
      </c>
      <c r="G83" s="9">
        <f t="shared" si="3"/>
        <v>2.8229648188009455E-4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503.0</v>
      </c>
      <c r="G84" s="9">
        <f t="shared" si="3"/>
        <v>2.3371284822319423E-4</v>
      </c>
    </row>
    <row r="85" spans="1:7" x14ac:dyDescent="0.45">
      <c r="A85">
        <v>74</v>
      </c>
      <c r="B85" s="6" t="n">
        <v>3967.364534988</v>
      </c>
      <c r="C85" s="9">
        <f t="shared" si="2"/>
        <v>2.161287523043775E-3</v>
      </c>
      <c r="E85" s="371">
        <v>74</v>
      </c>
      <c r="F85" s="371" t="n">
        <v>437.0</v>
      </c>
      <c r="G85" s="9">
        <f t="shared" si="3"/>
        <v>2.229733081516689E-4</v>
      </c>
    </row>
    <row r="86" spans="1:7" x14ac:dyDescent="0.45">
      <c r="A86">
        <v>75</v>
      </c>
      <c r="B86" s="6" t="n">
        <v>5478.951314952</v>
      </c>
      <c r="C86" s="9">
        <f t="shared" si="2"/>
        <v>2.9847494506591537E-3</v>
      </c>
      <c r="E86" s="371">
        <v>75</v>
      </c>
      <c r="F86" s="371" t="n">
        <v>471.0</v>
      </c>
      <c r="G86" s="9">
        <f t="shared" si="3"/>
        <v>2.245075281618868E-4</v>
      </c>
    </row>
    <row r="87" spans="1:7" x14ac:dyDescent="0.45">
      <c r="A87">
        <v>76</v>
      </c>
      <c r="B87" s="6" t="n">
        <v>3993.8384281549997</v>
      </c>
      <c r="C87" s="9">
        <f t="shared" si="2"/>
        <v>2.1757096147078082E-3</v>
      </c>
      <c r="E87" s="371">
        <v>76</v>
      </c>
      <c r="F87" s="371" t="n">
        <v>384.0</v>
      </c>
      <c r="G87" s="9">
        <f t="shared" si="3"/>
        <v>1.7285545448455066E-4</v>
      </c>
    </row>
    <row r="88" spans="1:7" x14ac:dyDescent="0.45">
      <c r="A88">
        <v>77</v>
      </c>
      <c r="B88" s="6" t="n">
        <v>959.412335394</v>
      </c>
      <c r="C88" s="9">
        <f t="shared" si="2"/>
        <v>5.2265575589403553E-4</v>
      </c>
      <c r="E88" s="371">
        <v>77</v>
      </c>
      <c r="F88" s="371" t="n">
        <v>318.0</v>
      </c>
      <c r="G88" s="9">
        <f t="shared" si="3"/>
        <v>1.6876420112396957E-4</v>
      </c>
    </row>
    <row r="89" spans="1:7" x14ac:dyDescent="0.45">
      <c r="A89">
        <v>78</v>
      </c>
      <c r="B89" s="6" t="n">
        <v>523.299985488</v>
      </c>
      <c r="C89" s="9">
        <f t="shared" si="2"/>
        <v>2.8507633202594623E-4</v>
      </c>
      <c r="E89" s="371">
        <v>78</v>
      </c>
      <c r="F89" s="371" t="n">
        <v>336.0</v>
      </c>
      <c r="G89" s="9">
        <f t="shared" si="3"/>
        <v>2.0200563467869087E-4</v>
      </c>
    </row>
    <row r="90" spans="1:7" x14ac:dyDescent="0.45">
      <c r="A90">
        <v>79</v>
      </c>
      <c r="B90" s="6" t="n">
        <v>649.4609449740001</v>
      </c>
      <c r="C90" s="9">
        <f t="shared" si="2"/>
        <v>3.5380460371050118E-4</v>
      </c>
      <c r="E90" s="371">
        <v>79</v>
      </c>
      <c r="F90" s="371" t="n">
        <v>308.0</v>
      </c>
      <c r="G90" s="9">
        <f t="shared" si="3"/>
        <v>1.472851209809189E-4</v>
      </c>
    </row>
    <row r="91" spans="1:7" x14ac:dyDescent="0.45">
      <c r="A91">
        <v>80</v>
      </c>
      <c r="B91" s="6" t="n">
        <v>5404.0538728265</v>
      </c>
      <c r="C91" s="9">
        <f t="shared" si="2"/>
        <v>2.9439478288908064E-3</v>
      </c>
      <c r="E91" s="371">
        <v>80</v>
      </c>
      <c r="F91" s="371" t="n">
        <v>259.0</v>
      </c>
      <c r="G91" s="9">
        <f t="shared" si="3"/>
        <v>1.4421668096048309E-4</v>
      </c>
    </row>
    <row r="92" spans="1:7" x14ac:dyDescent="0.45">
      <c r="A92">
        <v>81</v>
      </c>
      <c r="B92" s="6" t="n">
        <v>668.711535771</v>
      </c>
      <c r="C92" s="9">
        <f t="shared" si="2"/>
        <v>3.6429168180323891E-4</v>
      </c>
      <c r="E92" s="371">
        <v>81</v>
      </c>
      <c r="F92" s="371" t="n">
        <v>277.0</v>
      </c>
      <c r="G92" s="9">
        <f t="shared" si="3"/>
        <v>1.2785166751815878E-4</v>
      </c>
    </row>
    <row r="93" spans="1:7" x14ac:dyDescent="0.45">
      <c r="A93">
        <v>82</v>
      </c>
      <c r="B93" s="6" t="n">
        <v>3436.0861575477</v>
      </c>
      <c r="C93" s="9">
        <f t="shared" si="2"/>
        <v>1.8718648298936145E-3</v>
      </c>
      <c r="E93" s="371">
        <v>82</v>
      </c>
      <c r="F93" s="371" t="n">
        <v>364.0</v>
      </c>
      <c r="G93" s="9">
        <f t="shared" si="3"/>
        <v>1.6365013442324323E-4</v>
      </c>
    </row>
    <row r="94" spans="1:7" x14ac:dyDescent="0.45">
      <c r="A94">
        <v>83</v>
      </c>
      <c r="B94" s="6" t="n">
        <v>4707.4822341093995</v>
      </c>
      <c r="C94" s="9">
        <f t="shared" si="2"/>
        <v>2.5644788946931631E-3</v>
      </c>
      <c r="E94" s="371">
        <v>83</v>
      </c>
      <c r="F94" s="371" t="n">
        <v>239.0</v>
      </c>
      <c r="G94" s="9">
        <f t="shared" si="3"/>
        <v>1.4933074766120946E-4</v>
      </c>
    </row>
    <row r="95" spans="1:7" x14ac:dyDescent="0.45">
      <c r="A95">
        <v>84</v>
      </c>
      <c r="B95" s="6" t="n">
        <v>4050.4151157999</v>
      </c>
      <c r="C95" s="9">
        <f t="shared" si="2"/>
        <v>2.2065307021132382E-3</v>
      </c>
      <c r="E95" s="371">
        <v>84</v>
      </c>
      <c r="F95" s="371" t="n">
        <v>276.0</v>
      </c>
      <c r="G95" s="9">
        <f t="shared" si="3"/>
        <v>1.3910261425975674E-4</v>
      </c>
    </row>
    <row r="96" spans="1:7" x14ac:dyDescent="0.45">
      <c r="A96">
        <v>85</v>
      </c>
      <c r="B96" s="6" t="n">
        <v>745.6925231339001</v>
      </c>
      <c r="C96" s="9">
        <f t="shared" si="2"/>
        <v>4.062283493395206E-4</v>
      </c>
      <c r="E96" s="371">
        <v>85</v>
      </c>
      <c r="F96" s="371" t="n">
        <v>234.0</v>
      </c>
      <c r="G96" s="9">
        <f t="shared" si="3"/>
        <v>1.3961402092982938E-4</v>
      </c>
    </row>
    <row r="97" spans="1:7" x14ac:dyDescent="0.45">
      <c r="A97">
        <v>86</v>
      </c>
      <c r="B97" s="6" t="n">
        <v>2097.1040707583998</v>
      </c>
      <c r="C97" s="9">
        <f t="shared" si="2"/>
        <v>1.1424321669166076E-3</v>
      </c>
      <c r="E97" s="371">
        <v>86</v>
      </c>
      <c r="F97" s="371" t="n">
        <v>199.0</v>
      </c>
      <c r="G97" s="9">
        <f t="shared" si="3"/>
        <v>9.9724300664163836E-5</v>
      </c>
    </row>
    <row r="98" spans="1:7" x14ac:dyDescent="0.45">
      <c r="A98">
        <v>87</v>
      </c>
      <c r="B98" s="6" t="n">
        <v>2490.6570966944</v>
      </c>
      <c r="C98" s="9">
        <f t="shared" si="2"/>
        <v>1.3568266943441642E-3</v>
      </c>
      <c r="E98" s="371">
        <v>87</v>
      </c>
      <c r="F98" s="371" t="n">
        <v>184.0</v>
      </c>
      <c r="G98" s="9">
        <f t="shared" si="3"/>
        <v>1.0892962072547127E-4</v>
      </c>
    </row>
    <row r="99" spans="1:7" x14ac:dyDescent="0.45">
      <c r="A99">
        <v>88</v>
      </c>
      <c r="B99" s="6" t="n">
        <v>289.143108231</v>
      </c>
      <c r="C99" s="9">
        <f t="shared" si="2"/>
        <v>1.5751549591236299E-4</v>
      </c>
      <c r="E99" s="371">
        <v>88</v>
      </c>
      <c r="F99" s="371" t="n">
        <v>249.0</v>
      </c>
      <c r="G99" s="9">
        <f t="shared" si="3"/>
        <v>1.2324900748750505E-4</v>
      </c>
    </row>
    <row r="100" spans="1:7" x14ac:dyDescent="0.45">
      <c r="A100">
        <v>89</v>
      </c>
      <c r="B100" s="6" t="n">
        <v>2614.6389136738</v>
      </c>
      <c r="C100" s="9">
        <f t="shared" si="2"/>
        <v>1.4243678420654648E-3</v>
      </c>
      <c r="E100" s="371">
        <v>89</v>
      </c>
      <c r="F100" s="371" t="n">
        <v>172.0</v>
      </c>
      <c r="G100" s="9">
        <f t="shared" si="3"/>
        <v>1.0739540071525336E-4</v>
      </c>
    </row>
    <row r="101" spans="1:7" ht="14.65" thickBot="1" x14ac:dyDescent="0.5">
      <c r="A101" s="1">
        <v>90</v>
      </c>
      <c r="B101" s="7" t="n">
        <v>50373.197047239</v>
      </c>
      <c r="C101" s="9">
        <f t="shared" si="2"/>
        <v>2.7441633183413153E-2</v>
      </c>
      <c r="E101" s="372">
        <v>90</v>
      </c>
      <c r="F101" s="372" t="n">
        <v>14334.0</v>
      </c>
      <c r="G101" s="9">
        <f t="shared" si="3"/>
        <v>7.3126039753686088E-3</v>
      </c>
    </row>
    <row r="102" spans="1:7" x14ac:dyDescent="0.45">
      <c r="B102" s="6">
        <f>SUM(B11:B101)</f>
        <v>1835648.6551130866</v>
      </c>
      <c r="C102" s="9">
        <f t="shared" si="2"/>
        <v>1</v>
      </c>
      <c r="F102" s="6">
        <f>SUM(F11:F101)</f>
        <v>1955391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02"/>
  <sheetViews>
    <sheetView workbookViewId="0">
      <selection activeCell="A6" sqref="A6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63879.8537430891</v>
      </c>
      <c r="C11" s="9">
        <f>B11/B$102</f>
        <v>8.6998452461036699E-2</v>
      </c>
      <c r="E11" s="371">
        <v>0</v>
      </c>
      <c r="F11" s="371" t="n">
        <v>205058.0</v>
      </c>
      <c r="G11" s="9">
        <f>F11/F$102</f>
        <v>0.25846144886288103</v>
      </c>
      <c r="K11" s="6" t="n">
        <v>5.366322071591459</v>
      </c>
      <c r="L11" s="6" t="n">
        <v>4.928568134282898</v>
      </c>
    </row>
    <row r="12" spans="1:12" x14ac:dyDescent="0.45">
      <c r="A12">
        <v>1</v>
      </c>
      <c r="B12" s="6" t="n">
        <v>53393.708936194</v>
      </c>
      <c r="C12" s="9">
        <f>B12/B$102</f>
        <v>7.2717293112250531E-2</v>
      </c>
      <c r="E12" s="371">
        <v>1</v>
      </c>
      <c r="F12" s="371" t="n">
        <v>102934.0</v>
      </c>
      <c r="G12" s="9">
        <f>F12/F$102</f>
        <v>0.12971372936783959</v>
      </c>
      <c r="K12" s="6"/>
      <c r="L12" s="371"/>
    </row>
    <row r="13" spans="1:12" x14ac:dyDescent="0.45">
      <c r="A13">
        <v>2</v>
      </c>
      <c r="B13" s="6" t="n">
        <v>47302.9741506206</v>
      </c>
      <c r="C13" s="9">
        <f t="shared" ref="C13:C76" si="0">B13/B$102</f>
        <v>6.4422275674881763E-2</v>
      </c>
      <c r="E13" s="371">
        <v>2</v>
      </c>
      <c r="F13" s="371" t="n">
        <v>56868.0</v>
      </c>
      <c r="G13" s="9">
        <f t="shared" ref="G13:G76" si="1">F13/F$102</f>
        <v>7.2257032058107462E-2</v>
      </c>
    </row>
    <row r="14" spans="1:12" x14ac:dyDescent="0.45">
      <c r="A14">
        <v>3</v>
      </c>
      <c r="B14" s="6" t="n">
        <v>101951.7108591875</v>
      </c>
      <c r="C14" s="9">
        <f t="shared" si="0"/>
        <v>0.13884880053382953</v>
      </c>
      <c r="E14" s="371">
        <v>3</v>
      </c>
      <c r="F14" s="371" t="n">
        <v>29184.0</v>
      </c>
      <c r="G14" s="9">
        <f t="shared" si="1"/>
        <v>3.6765348225669021E-2</v>
      </c>
    </row>
    <row r="15" spans="1:12" x14ac:dyDescent="0.45">
      <c r="A15">
        <v>4</v>
      </c>
      <c r="B15" s="6" t="n">
        <v>152506.7290747909</v>
      </c>
      <c r="C15" s="9">
        <f t="shared" si="0"/>
        <v>0.20770005943911218</v>
      </c>
      <c r="E15" s="371">
        <v>4</v>
      </c>
      <c r="F15" s="371" t="n">
        <v>110925.0</v>
      </c>
      <c r="G15" s="9">
        <f t="shared" si="1"/>
        <v>0.14104503783644173</v>
      </c>
    </row>
    <row r="16" spans="1:12" x14ac:dyDescent="0.45">
      <c r="A16">
        <v>5</v>
      </c>
      <c r="B16" s="6" t="n">
        <v>92123.4612140107</v>
      </c>
      <c r="C16" s="9">
        <f t="shared" si="0"/>
        <v>0.1254636335456597</v>
      </c>
      <c r="E16" s="371">
        <v>5</v>
      </c>
      <c r="F16" s="371" t="n">
        <v>59233.0</v>
      </c>
      <c r="G16" s="9">
        <f t="shared" si="1"/>
        <v>7.4603056034902956E-2</v>
      </c>
    </row>
    <row r="17" spans="1:7" x14ac:dyDescent="0.45">
      <c r="A17">
        <v>6</v>
      </c>
      <c r="B17" s="6" t="n">
        <v>60644.1826504278</v>
      </c>
      <c r="C17" s="9">
        <f t="shared" si="0"/>
        <v>8.2591767704578586E-2</v>
      </c>
      <c r="E17" s="371">
        <v>6</v>
      </c>
      <c r="F17" s="371" t="n">
        <v>52033.0</v>
      </c>
      <c r="G17" s="9">
        <f t="shared" si="1"/>
        <v>6.5144262116587137E-2</v>
      </c>
    </row>
    <row r="18" spans="1:7" x14ac:dyDescent="0.45">
      <c r="A18">
        <v>7</v>
      </c>
      <c r="B18" s="6" t="n">
        <v>19992.7863701492</v>
      </c>
      <c r="C18" s="9">
        <f t="shared" si="0"/>
        <v>2.7228325875358783E-2</v>
      </c>
      <c r="E18" s="371">
        <v>7</v>
      </c>
      <c r="F18" s="371" t="n">
        <v>29529.0</v>
      </c>
      <c r="G18" s="9">
        <f t="shared" si="1"/>
        <v>3.9941912800833576E-2</v>
      </c>
    </row>
    <row r="19" spans="1:7" x14ac:dyDescent="0.45">
      <c r="A19">
        <v>8</v>
      </c>
      <c r="B19" s="6" t="n">
        <v>28178.0706553287</v>
      </c>
      <c r="C19" s="9">
        <f t="shared" si="0"/>
        <v>3.8375926003377227E-2</v>
      </c>
      <c r="E19" s="371">
        <v>8</v>
      </c>
      <c r="F19" s="371" t="n">
        <v>27666.0</v>
      </c>
      <c r="G19" s="9">
        <f t="shared" si="1"/>
        <v>3.3863520403318616E-2</v>
      </c>
    </row>
    <row r="20" spans="1:7" x14ac:dyDescent="0.45">
      <c r="A20">
        <v>9</v>
      </c>
      <c r="B20" s="6" t="n">
        <v>10875.9976589943</v>
      </c>
      <c r="C20" s="9">
        <f t="shared" si="0"/>
        <v>1.4812102875309527E-2</v>
      </c>
      <c r="E20" s="371">
        <v>9</v>
      </c>
      <c r="F20" s="371" t="n">
        <v>17230.0</v>
      </c>
      <c r="G20" s="9">
        <f t="shared" si="1"/>
        <v>2.2787957667750842E-2</v>
      </c>
    </row>
    <row r="21" spans="1:7" x14ac:dyDescent="0.45">
      <c r="A21">
        <v>10</v>
      </c>
      <c r="B21" s="6" t="n">
        <v>37220.6805516127</v>
      </c>
      <c r="C21" s="9">
        <f t="shared" si="0"/>
        <v>5.0691124318474695E-2</v>
      </c>
      <c r="E21" s="371">
        <v>10</v>
      </c>
      <c r="F21" s="371" t="n">
        <v>15239.0</v>
      </c>
      <c r="G21" s="9">
        <f t="shared" si="1"/>
        <v>1.8306076999722733E-2</v>
      </c>
    </row>
    <row r="22" spans="1:7" x14ac:dyDescent="0.45">
      <c r="A22">
        <v>11</v>
      </c>
      <c r="B22" s="6" t="n">
        <v>7474.0110824636995</v>
      </c>
      <c r="C22" s="9">
        <f t="shared" si="0"/>
        <v>1.0178911812573226E-2</v>
      </c>
      <c r="E22" s="371">
        <v>11</v>
      </c>
      <c r="F22" s="371" t="n">
        <v>11816.0</v>
      </c>
      <c r="G22" s="9">
        <f t="shared" si="1"/>
        <v>1.475982057284512E-2</v>
      </c>
    </row>
    <row r="23" spans="1:7" x14ac:dyDescent="0.45">
      <c r="A23">
        <v>12</v>
      </c>
      <c r="B23" s="6" t="n">
        <v>5972.9948961495</v>
      </c>
      <c r="C23" s="9">
        <f t="shared" si="0"/>
        <v>8.134666597900516E-3</v>
      </c>
      <c r="E23" s="371">
        <v>12</v>
      </c>
      <c r="F23" s="371" t="n">
        <v>8974.0</v>
      </c>
      <c r="G23" s="9">
        <f t="shared" si="1"/>
        <v>1.1465511675045927E-2</v>
      </c>
    </row>
    <row r="24" spans="1:7" x14ac:dyDescent="0.45">
      <c r="A24">
        <v>13</v>
      </c>
      <c r="B24" s="6" t="n">
        <v>12266.9415306754</v>
      </c>
      <c r="C24" s="9">
        <f t="shared" si="0"/>
        <v>1.6706439778194342E-2</v>
      </c>
      <c r="E24" s="371">
        <v>13</v>
      </c>
      <c r="F24" s="371" t="n">
        <v>8489.0</v>
      </c>
      <c r="G24" s="9">
        <f t="shared" si="1"/>
        <v>1.0524823161954151E-2</v>
      </c>
    </row>
    <row r="25" spans="1:7" x14ac:dyDescent="0.45">
      <c r="A25">
        <v>14</v>
      </c>
      <c r="B25" s="6" t="n">
        <v>2503.518648746</v>
      </c>
      <c r="C25" s="9">
        <f t="shared" si="0"/>
        <v>3.4095608456494136E-3</v>
      </c>
      <c r="E25" s="371">
        <v>14</v>
      </c>
      <c r="F25" s="371" t="n">
        <v>7298.0</v>
      </c>
      <c r="G25" s="9">
        <f t="shared" si="1"/>
        <v>9.7398610110565713E-3</v>
      </c>
    </row>
    <row r="26" spans="1:7" x14ac:dyDescent="0.45">
      <c r="A26">
        <v>15</v>
      </c>
      <c r="B26" s="6" t="n">
        <v>9673.9368189834</v>
      </c>
      <c r="C26" s="9">
        <f t="shared" si="0"/>
        <v>1.3175007191503645E-2</v>
      </c>
      <c r="E26" s="371">
        <v>15</v>
      </c>
      <c r="F26" s="371" t="n">
        <v>6395.0</v>
      </c>
      <c r="G26" s="9">
        <f t="shared" si="1"/>
        <v>8.3687093829564463E-3</v>
      </c>
    </row>
    <row r="27" spans="1:7" x14ac:dyDescent="0.45">
      <c r="A27">
        <v>16</v>
      </c>
      <c r="B27" s="6" t="n">
        <v>5641.7536766451</v>
      </c>
      <c r="C27" s="9">
        <f t="shared" si="0"/>
        <v>7.683546693899374E-3</v>
      </c>
      <c r="E27" s="371">
        <v>16</v>
      </c>
      <c r="F27" s="371" t="n">
        <v>6849.0</v>
      </c>
      <c r="G27" s="9">
        <f t="shared" si="1"/>
        <v>8.4535359379727965E-3</v>
      </c>
    </row>
    <row r="28" spans="1:7" x14ac:dyDescent="0.45">
      <c r="A28">
        <v>17</v>
      </c>
      <c r="B28" s="6" t="n">
        <v>2591.5978135515998</v>
      </c>
      <c r="C28" s="9">
        <f t="shared" si="0"/>
        <v>3.5295165215494507E-3</v>
      </c>
      <c r="E28" s="371">
        <v>17</v>
      </c>
      <c r="F28" s="371" t="n">
        <v>4431.0</v>
      </c>
      <c r="G28" s="9">
        <f t="shared" si="1"/>
        <v>4.4869449399693867E-3</v>
      </c>
    </row>
    <row r="29" spans="1:7" x14ac:dyDescent="0.45">
      <c r="A29">
        <v>18</v>
      </c>
      <c r="B29" s="6" t="n">
        <v>4297.5356612173</v>
      </c>
      <c r="C29" s="9">
        <f t="shared" si="0"/>
        <v>5.8528460854917292E-3</v>
      </c>
      <c r="E29" s="371">
        <v>18</v>
      </c>
      <c r="F29" s="371" t="n">
        <v>4102.0</v>
      </c>
      <c r="G29" s="9">
        <f t="shared" si="1"/>
        <v>5.6023508350351399E-3</v>
      </c>
    </row>
    <row r="30" spans="1:7" x14ac:dyDescent="0.45">
      <c r="A30">
        <v>19</v>
      </c>
      <c r="B30" s="6" t="n">
        <v>402.0374973392</v>
      </c>
      <c r="C30" s="9">
        <f t="shared" si="0"/>
        <v>5.4753788636534783E-4</v>
      </c>
      <c r="E30" s="371">
        <v>19</v>
      </c>
      <c r="F30" s="371" t="n">
        <v>3820.0</v>
      </c>
      <c r="G30" s="9">
        <f t="shared" si="1"/>
        <v>5.3212837422943939E-3</v>
      </c>
    </row>
    <row r="31" spans="1:7" x14ac:dyDescent="0.45">
      <c r="A31">
        <v>20</v>
      </c>
      <c r="B31" s="6" t="n">
        <v>634.570420072</v>
      </c>
      <c r="C31" s="9">
        <f t="shared" si="0"/>
        <v>8.6422621983204791E-4</v>
      </c>
      <c r="E31" s="371">
        <v>20</v>
      </c>
      <c r="F31" s="371" t="n">
        <v>2978.0</v>
      </c>
      <c r="G31" s="9">
        <f t="shared" si="1"/>
        <v>3.7007167210864889E-3</v>
      </c>
    </row>
    <row r="32" spans="1:7" x14ac:dyDescent="0.45">
      <c r="A32">
        <v>21</v>
      </c>
      <c r="B32" s="6" t="n">
        <v>2507.3412075616</v>
      </c>
      <c r="C32" s="9">
        <f t="shared" si="0"/>
        <v>3.4147668172024477E-3</v>
      </c>
      <c r="E32" s="371">
        <v>21</v>
      </c>
      <c r="F32" s="371" t="n">
        <v>2216.0</v>
      </c>
      <c r="G32" s="9">
        <f t="shared" si="1"/>
        <v>3.0334988928235468E-3</v>
      </c>
    </row>
    <row r="33" spans="1:7" x14ac:dyDescent="0.45">
      <c r="A33">
        <v>22</v>
      </c>
      <c r="B33" s="6" t="n">
        <v>2371.829540066</v>
      </c>
      <c r="C33" s="9">
        <f t="shared" si="0"/>
        <v>3.230212459737169E-3</v>
      </c>
      <c r="E33" s="371">
        <v>22</v>
      </c>
      <c r="F33" s="371" t="n">
        <v>2274.0</v>
      </c>
      <c r="G33" s="9">
        <f t="shared" si="1"/>
        <v>2.7283765083617462E-3</v>
      </c>
    </row>
    <row r="34" spans="1:7" x14ac:dyDescent="0.45">
      <c r="A34">
        <v>23</v>
      </c>
      <c r="B34" s="6" t="n">
        <v>1770.2506230066</v>
      </c>
      <c r="C34" s="9">
        <f t="shared" si="0"/>
        <v>2.4109176155780085E-3</v>
      </c>
      <c r="E34" s="371">
        <v>23</v>
      </c>
      <c r="F34" s="371" t="n">
        <v>2064.0</v>
      </c>
      <c r="G34" s="9">
        <f t="shared" si="1"/>
        <v>2.5840447580354172E-3</v>
      </c>
    </row>
    <row r="35" spans="1:7" x14ac:dyDescent="0.45">
      <c r="A35">
        <v>24</v>
      </c>
      <c r="B35" s="6" t="n">
        <v>0.0</v>
      </c>
      <c r="C35" s="9">
        <f t="shared" si="0"/>
        <v>0</v>
      </c>
      <c r="E35" s="371">
        <v>24</v>
      </c>
      <c r="F35" s="371" t="n">
        <v>1861.0</v>
      </c>
      <c r="G35" s="9">
        <f t="shared" si="1"/>
        <v>2.3017115973093523E-3</v>
      </c>
    </row>
    <row r="36" spans="1:7" x14ac:dyDescent="0.45">
      <c r="A36">
        <v>25</v>
      </c>
      <c r="B36" s="6" t="n">
        <v>1160.436957656</v>
      </c>
      <c r="C36" s="9">
        <f t="shared" si="0"/>
        <v>1.5804078058896248E-3</v>
      </c>
      <c r="E36" s="371">
        <v>25</v>
      </c>
      <c r="F36" s="371" t="n">
        <v>1933.0</v>
      </c>
      <c r="G36" s="9">
        <f t="shared" si="1"/>
        <v>2.4371808717384507E-3</v>
      </c>
    </row>
    <row r="37" spans="1:7" x14ac:dyDescent="0.45">
      <c r="A37">
        <v>26</v>
      </c>
      <c r="B37" s="6" t="n">
        <v>1124.4476883681</v>
      </c>
      <c r="C37" s="9">
        <f t="shared" si="0"/>
        <v>1.531393749817376E-3</v>
      </c>
      <c r="E37" s="371">
        <v>26</v>
      </c>
      <c r="F37" s="371" t="n">
        <v>1318.0</v>
      </c>
      <c r="G37" s="9">
        <f t="shared" si="1"/>
        <v>1.8535235305065412E-3</v>
      </c>
    </row>
    <row r="38" spans="1:7" x14ac:dyDescent="0.45">
      <c r="A38">
        <v>27</v>
      </c>
      <c r="B38" s="6" t="n">
        <v>306.240016457</v>
      </c>
      <c r="C38" s="9">
        <f t="shared" si="0"/>
        <v>4.1707057784683404E-4</v>
      </c>
      <c r="E38" s="371">
        <v>27</v>
      </c>
      <c r="F38" s="371" t="n">
        <v>956.0</v>
      </c>
      <c r="G38" s="9">
        <f t="shared" si="1"/>
        <v>1.3407659964524774E-3</v>
      </c>
    </row>
    <row r="39" spans="1:7" x14ac:dyDescent="0.45">
      <c r="A39">
        <v>28</v>
      </c>
      <c r="B39" s="6" t="n">
        <v>606.0495967530001</v>
      </c>
      <c r="C39" s="9">
        <f t="shared" si="0"/>
        <v>8.2538349640242379E-4</v>
      </c>
      <c r="E39" s="371">
        <v>28</v>
      </c>
      <c r="F39" s="371" t="n">
        <v>722.0</v>
      </c>
      <c r="G39" s="9">
        <f t="shared" si="1"/>
        <v>9.48284921003688E-4</v>
      </c>
    </row>
    <row r="40" spans="1:7" x14ac:dyDescent="0.45">
      <c r="A40">
        <v>29</v>
      </c>
      <c r="B40" s="6" t="n">
        <v>0.0</v>
      </c>
      <c r="C40" s="9">
        <f t="shared" si="0"/>
        <v>0</v>
      </c>
      <c r="E40" s="371">
        <v>29</v>
      </c>
      <c r="F40" s="371" t="n">
        <v>842.0</v>
      </c>
      <c r="G40" s="9">
        <f t="shared" si="1"/>
        <v>9.0397254151753444E-4</v>
      </c>
    </row>
    <row r="41" spans="1:7" x14ac:dyDescent="0.45">
      <c r="A41">
        <v>30</v>
      </c>
      <c r="B41" s="6" t="n">
        <v>0.0</v>
      </c>
      <c r="C41" s="9">
        <f t="shared" si="0"/>
        <v>0</v>
      </c>
      <c r="E41" s="371">
        <v>30</v>
      </c>
      <c r="F41" s="371" t="n">
        <v>602.0</v>
      </c>
      <c r="G41" s="9">
        <f t="shared" si="1"/>
        <v>7.8243001492694149E-4</v>
      </c>
    </row>
    <row r="42" spans="1:7" x14ac:dyDescent="0.45">
      <c r="A42">
        <v>31</v>
      </c>
      <c r="B42" s="6" t="n">
        <v>61.6654467019</v>
      </c>
      <c r="C42" s="9">
        <f t="shared" si="0"/>
        <v>8.3982634884542694E-5</v>
      </c>
      <c r="E42" s="371">
        <v>31</v>
      </c>
      <c r="F42" s="371" t="n">
        <v>583.0</v>
      </c>
      <c r="G42" s="9">
        <f t="shared" si="1"/>
        <v>8.1028351060395242E-4</v>
      </c>
    </row>
    <row r="43" spans="1:7" x14ac:dyDescent="0.45">
      <c r="A43">
        <v>32</v>
      </c>
      <c r="B43" s="6" t="n">
        <v>290.873582631</v>
      </c>
      <c r="C43" s="9">
        <f t="shared" si="0"/>
        <v>3.961429162387866E-4</v>
      </c>
      <c r="E43" s="371">
        <v>32</v>
      </c>
      <c r="F43" s="371" t="n">
        <v>545.0</v>
      </c>
      <c r="G43" s="9">
        <f t="shared" si="1"/>
        <v>6.5582321639507399E-4</v>
      </c>
    </row>
    <row r="44" spans="1:7" x14ac:dyDescent="0.45">
      <c r="A44">
        <v>33</v>
      </c>
      <c r="B44" s="6" t="n">
        <v>139.99557747</v>
      </c>
      <c r="C44" s="9">
        <f t="shared" si="0"/>
        <v>1.9066102812730399E-4</v>
      </c>
      <c r="E44" s="371">
        <v>33</v>
      </c>
      <c r="F44" s="371" t="n">
        <v>487.0</v>
      </c>
      <c r="G44" s="9">
        <f t="shared" si="1"/>
        <v>4.8617010636237145E-4</v>
      </c>
    </row>
    <row r="45" spans="1:7" x14ac:dyDescent="0.45">
      <c r="A45">
        <v>34</v>
      </c>
      <c r="B45" s="6" t="n">
        <v>1343.61970522</v>
      </c>
      <c r="C45" s="9">
        <f t="shared" si="0"/>
        <v>1.829885765243169E-3</v>
      </c>
      <c r="E45" s="371">
        <v>34</v>
      </c>
      <c r="F45" s="371" t="n">
        <v>357.0</v>
      </c>
      <c r="G45" s="9">
        <f t="shared" si="1"/>
        <v>5.3301462181916241E-4</v>
      </c>
    </row>
    <row r="46" spans="1:7" x14ac:dyDescent="0.45">
      <c r="A46">
        <v>35</v>
      </c>
      <c r="B46" s="6" t="n">
        <v>342.481278879</v>
      </c>
      <c r="C46" s="9">
        <f t="shared" si="0"/>
        <v>4.6642782526052935E-4</v>
      </c>
      <c r="E46" s="371">
        <v>35</v>
      </c>
      <c r="F46" s="371" t="n">
        <v>336.0</v>
      </c>
      <c r="G46" s="9">
        <f t="shared" si="1"/>
        <v>4.0514175530197621E-4</v>
      </c>
    </row>
    <row r="47" spans="1:7" x14ac:dyDescent="0.45">
      <c r="A47">
        <v>36</v>
      </c>
      <c r="B47" s="6" t="n">
        <v>0.0</v>
      </c>
      <c r="C47" s="9">
        <f t="shared" si="0"/>
        <v>0</v>
      </c>
      <c r="E47" s="371">
        <v>36</v>
      </c>
      <c r="F47" s="371" t="n">
        <v>411.0</v>
      </c>
      <c r="G47" s="9">
        <f t="shared" si="1"/>
        <v>4.8363797039173412E-4</v>
      </c>
    </row>
    <row r="48" spans="1:7" x14ac:dyDescent="0.45">
      <c r="A48">
        <v>37</v>
      </c>
      <c r="B48" s="6" t="n">
        <v>0.0</v>
      </c>
      <c r="C48" s="9">
        <f t="shared" si="0"/>
        <v>0</v>
      </c>
      <c r="E48" s="371">
        <v>37</v>
      </c>
      <c r="F48" s="371" t="n">
        <v>247.0</v>
      </c>
      <c r="G48" s="9">
        <f t="shared" si="1"/>
        <v>3.8741680350751472E-4</v>
      </c>
    </row>
    <row r="49" spans="1:7" x14ac:dyDescent="0.45">
      <c r="A49">
        <v>38</v>
      </c>
      <c r="B49" s="6" t="n">
        <v>0.0</v>
      </c>
      <c r="C49" s="9">
        <f t="shared" si="0"/>
        <v>0</v>
      </c>
      <c r="E49" s="371">
        <v>38</v>
      </c>
      <c r="F49" s="371" t="n">
        <v>238.0</v>
      </c>
      <c r="G49" s="9">
        <f t="shared" si="1"/>
        <v>3.5576510387454787E-4</v>
      </c>
    </row>
    <row r="50" spans="1:7" x14ac:dyDescent="0.45">
      <c r="A50">
        <v>39</v>
      </c>
      <c r="B50" s="6" t="n">
        <v>357.9078832048</v>
      </c>
      <c r="C50" s="9">
        <f t="shared" si="0"/>
        <v>4.874374335240506E-4</v>
      </c>
      <c r="E50" s="371">
        <v>39</v>
      </c>
      <c r="F50" s="371" t="n">
        <v>222.0</v>
      </c>
      <c r="G50" s="9">
        <f t="shared" si="1"/>
        <v>3.3170981215349302E-4</v>
      </c>
    </row>
    <row r="51" spans="1:7" x14ac:dyDescent="0.45">
      <c r="A51">
        <v>40</v>
      </c>
      <c r="B51" s="6" t="n">
        <v>417.967608267</v>
      </c>
      <c r="C51" s="9">
        <f t="shared" si="0"/>
        <v>5.6923322405076301E-4</v>
      </c>
      <c r="E51" s="371">
        <v>40</v>
      </c>
      <c r="F51" s="371" t="n">
        <v>192.0</v>
      </c>
      <c r="G51" s="9">
        <f t="shared" si="1"/>
        <v>2.1523155750417485E-4</v>
      </c>
    </row>
    <row r="52" spans="1:7" x14ac:dyDescent="0.45">
      <c r="A52">
        <v>41</v>
      </c>
      <c r="B52" s="6" t="n">
        <v>1433.5707232769998</v>
      </c>
      <c r="C52" s="9">
        <f t="shared" si="0"/>
        <v>1.9523907321412871E-3</v>
      </c>
      <c r="E52" s="371">
        <v>41</v>
      </c>
      <c r="F52" s="371" t="n">
        <v>173.0</v>
      </c>
      <c r="G52" s="9">
        <f t="shared" si="1"/>
        <v>2.0003874168035075E-4</v>
      </c>
    </row>
    <row r="53" spans="1:7" x14ac:dyDescent="0.45">
      <c r="A53">
        <v>42</v>
      </c>
      <c r="B53" s="6" t="n">
        <v>0.0</v>
      </c>
      <c r="C53" s="9">
        <f t="shared" si="0"/>
        <v>0</v>
      </c>
      <c r="E53" s="371">
        <v>42</v>
      </c>
      <c r="F53" s="371" t="n">
        <v>111.0</v>
      </c>
      <c r="G53" s="9">
        <f t="shared" si="1"/>
        <v>1.1774432263463684E-4</v>
      </c>
    </row>
    <row r="54" spans="1:7" x14ac:dyDescent="0.45">
      <c r="A54">
        <v>43</v>
      </c>
      <c r="B54" s="6" t="n">
        <v>0.0</v>
      </c>
      <c r="C54" s="9">
        <f t="shared" si="0"/>
        <v>0</v>
      </c>
      <c r="E54" s="371">
        <v>43</v>
      </c>
      <c r="F54" s="371" t="n">
        <v>83.0</v>
      </c>
      <c r="G54" s="9">
        <f t="shared" si="1"/>
        <v>1.3420320644377961E-4</v>
      </c>
    </row>
    <row r="55" spans="1:7" x14ac:dyDescent="0.45">
      <c r="A55">
        <v>44</v>
      </c>
      <c r="B55" s="6" t="n">
        <v>0.0</v>
      </c>
      <c r="C55" s="9">
        <f t="shared" si="0"/>
        <v>0</v>
      </c>
      <c r="E55" s="371">
        <v>44</v>
      </c>
      <c r="F55" s="371" t="n">
        <v>63.0</v>
      </c>
      <c r="G55" s="9">
        <f t="shared" si="1"/>
        <v>8.6092623001669948E-5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47.0</v>
      </c>
      <c r="G56" s="9">
        <f t="shared" si="1"/>
        <v>9.8753302854856707E-5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53.0</v>
      </c>
      <c r="G57" s="9">
        <f t="shared" si="1"/>
        <v>7.7230147104439216E-5</v>
      </c>
    </row>
    <row r="58" spans="1:7" x14ac:dyDescent="0.45">
      <c r="A58">
        <v>47</v>
      </c>
      <c r="B58" s="6" t="n">
        <v>381.900134436</v>
      </c>
      <c r="C58" s="9">
        <f t="shared" si="0"/>
        <v>5.2011266062405967E-4</v>
      </c>
      <c r="E58" s="371">
        <v>47</v>
      </c>
      <c r="F58" s="371" t="n">
        <v>54.0</v>
      </c>
      <c r="G58" s="9">
        <f t="shared" si="1"/>
        <v>7.343194314848319E-5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36.0</v>
      </c>
      <c r="G59" s="9">
        <f t="shared" si="1"/>
        <v>4.0514175530197621E-5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37.0</v>
      </c>
      <c r="G60" s="9">
        <f t="shared" si="1"/>
        <v>5.9505195309977752E-5</v>
      </c>
    </row>
    <row r="61" spans="1:7" x14ac:dyDescent="0.45">
      <c r="A61">
        <v>50</v>
      </c>
      <c r="B61" s="6" t="n">
        <v>14.08625</v>
      </c>
      <c r="C61" s="9">
        <f t="shared" si="0"/>
        <v>1.9184169643028623E-5</v>
      </c>
      <c r="E61" s="371">
        <v>50</v>
      </c>
      <c r="F61" s="371" t="n">
        <v>33.0</v>
      </c>
      <c r="G61" s="9">
        <f t="shared" si="1"/>
        <v>3.5449903588922915E-5</v>
      </c>
    </row>
    <row r="62" spans="1:7" x14ac:dyDescent="0.45">
      <c r="A62">
        <v>51</v>
      </c>
      <c r="B62" s="6" t="n">
        <v>41.7609222283</v>
      </c>
      <c r="C62" s="9">
        <f t="shared" si="0"/>
        <v>5.6874513548817605E-5</v>
      </c>
      <c r="E62" s="371">
        <v>51</v>
      </c>
      <c r="F62" s="371" t="n">
        <v>24.0</v>
      </c>
      <c r="G62" s="9">
        <f t="shared" si="1"/>
        <v>3.5449903588922915E-5</v>
      </c>
    </row>
    <row r="63" spans="1:7" x14ac:dyDescent="0.45">
      <c r="A63">
        <v>52</v>
      </c>
      <c r="B63" s="6" t="n">
        <v>0.0</v>
      </c>
      <c r="C63" s="9">
        <f t="shared" si="0"/>
        <v>0</v>
      </c>
      <c r="E63" s="371">
        <v>52</v>
      </c>
      <c r="F63" s="371" t="n">
        <v>18.0</v>
      </c>
      <c r="G63" s="9">
        <f t="shared" si="1"/>
        <v>1.3926747838505431E-5</v>
      </c>
    </row>
    <row r="64" spans="1:7" x14ac:dyDescent="0.4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22.0</v>
      </c>
      <c r="G64" s="9">
        <f t="shared" si="1"/>
        <v>1.139461186786808E-5</v>
      </c>
    </row>
    <row r="65" spans="1:7" x14ac:dyDescent="0.4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19.0</v>
      </c>
      <c r="G65" s="9">
        <f t="shared" si="1"/>
        <v>2.7853495677010863E-5</v>
      </c>
    </row>
    <row r="66" spans="1:7" x14ac:dyDescent="0.45">
      <c r="A66">
        <v>55</v>
      </c>
      <c r="B66" s="6" t="n">
        <v>4.59375</v>
      </c>
      <c r="C66" s="9">
        <f t="shared" si="0"/>
        <v>6.2562626176351222E-6</v>
      </c>
      <c r="E66" s="371">
        <v>55</v>
      </c>
      <c r="F66" s="371" t="n">
        <v>9.0</v>
      </c>
      <c r="G66" s="9">
        <f t="shared" si="1"/>
        <v>1.5192815823824108E-5</v>
      </c>
    </row>
    <row r="67" spans="1:7" x14ac:dyDescent="0.4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6.0</v>
      </c>
      <c r="G67" s="9">
        <f t="shared" si="1"/>
        <v>1.3926747838505431E-5</v>
      </c>
    </row>
    <row r="68" spans="1:7" x14ac:dyDescent="0.4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13.0</v>
      </c>
      <c r="G68" s="9">
        <f t="shared" si="1"/>
        <v>8.8624758972307288E-6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5.0</v>
      </c>
      <c r="G69" s="9">
        <f t="shared" si="1"/>
        <v>3.798203955956027E-6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8.0</v>
      </c>
      <c r="G70" s="9">
        <f t="shared" si="1"/>
        <v>7.596407911912054E-6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3.0</v>
      </c>
      <c r="G71" s="9">
        <f t="shared" si="1"/>
        <v>8.8624758972307288E-6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4.0</v>
      </c>
      <c r="G72" s="9">
        <f t="shared" si="1"/>
        <v>3.798203955956027E-6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1.0</v>
      </c>
      <c r="G73" s="9">
        <f t="shared" si="1"/>
        <v>2.5321359706373513E-6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2.0</v>
      </c>
      <c r="G74" s="9">
        <f t="shared" si="1"/>
        <v>1.2660679853186757E-6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4.0</v>
      </c>
      <c r="G75" s="9">
        <f t="shared" si="1"/>
        <v>2.5321359706373513E-6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1.0</v>
      </c>
      <c r="G76" s="9">
        <f t="shared" si="1"/>
        <v>3.798203955956027E-6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2.5321359706373513E-6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1.0</v>
      </c>
      <c r="G78" s="9">
        <f t="shared" si="3"/>
        <v>2.5321359706373513E-6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0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1.2660679853186757E-6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1.0</v>
      </c>
      <c r="G81" s="9">
        <f t="shared" si="3"/>
        <v>6.3303399265933783E-6</v>
      </c>
    </row>
    <row r="82" spans="1:7" x14ac:dyDescent="0.45">
      <c r="A82">
        <v>71</v>
      </c>
      <c r="B82" s="6" t="n">
        <v>58.1809956208</v>
      </c>
      <c r="C82" s="9">
        <f t="shared" si="2"/>
        <v>7.9237134793840275E-5</v>
      </c>
      <c r="E82" s="371">
        <v>71</v>
      </c>
      <c r="F82" s="371" t="n">
        <v>0.0</v>
      </c>
      <c r="G82" s="9">
        <f t="shared" si="3"/>
        <v>2.5321359706373513E-6</v>
      </c>
    </row>
    <row r="83" spans="1:7" x14ac:dyDescent="0.4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1.0</v>
      </c>
      <c r="G83" s="9">
        <f t="shared" si="3"/>
        <v>1.2660679853186757E-6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2.0</v>
      </c>
      <c r="G84" s="9">
        <f t="shared" si="3"/>
        <v>2.5321359706373513E-6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1.2660679853186757E-6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2.0</v>
      </c>
      <c r="G86" s="9">
        <f t="shared" si="3"/>
        <v>0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1.2660679853186757E-6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1.0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1.2660679853186757E-6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2.5321359706373513E-6</v>
      </c>
    </row>
    <row r="102" spans="1:7" x14ac:dyDescent="0.45">
      <c r="B102" s="6">
        <f>SUM(B11:B101)</f>
        <v>734264.25339805277</v>
      </c>
      <c r="C102" s="9">
        <f t="shared" si="2"/>
        <v>1</v>
      </c>
      <c r="F102" s="6">
        <f>SUM(F11:F101)</f>
        <v>789847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02"/>
  <sheetViews>
    <sheetView workbookViewId="0">
      <selection activeCell="A4" sqref="A4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6627.0</v>
      </c>
      <c r="G11" s="9">
        <f>F11/F$102</f>
        <v>8.5320321530625558E-3</v>
      </c>
      <c r="K11" s="6" t="n">
        <v>29.23674915490346</v>
      </c>
      <c r="L11" s="6" t="n">
        <v>18.712436132421097</v>
      </c>
    </row>
    <row r="12" spans="1:12" x14ac:dyDescent="0.4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27717.0</v>
      </c>
      <c r="G12" s="9">
        <f>F12/F$102</f>
        <v>3.4749767993041691E-2</v>
      </c>
      <c r="K12" s="6"/>
      <c r="L12" s="371"/>
    </row>
    <row r="13" spans="1:12" x14ac:dyDescent="0.45">
      <c r="A13">
        <v>2</v>
      </c>
      <c r="B13" s="6" t="n">
        <v>1044.3960615591</v>
      </c>
      <c r="C13" s="9">
        <f t="shared" ref="C13:C76" si="0">B13/B$102</f>
        <v>1.4223708381904867E-3</v>
      </c>
      <c r="E13" s="371">
        <v>2</v>
      </c>
      <c r="F13" s="371" t="n">
        <v>31062.0</v>
      </c>
      <c r="G13" s="9">
        <f t="shared" ref="G13:G76" si="1">F13/F$102</f>
        <v>3.9001224287741804E-2</v>
      </c>
    </row>
    <row r="14" spans="1:12" x14ac:dyDescent="0.45">
      <c r="A14">
        <v>3</v>
      </c>
      <c r="B14" s="6" t="n">
        <v>4150.436375078</v>
      </c>
      <c r="C14" s="9">
        <f t="shared" si="0"/>
        <v>5.6525104631887941E-3</v>
      </c>
      <c r="E14" s="371">
        <v>3</v>
      </c>
      <c r="F14" s="371" t="n">
        <v>32810.0</v>
      </c>
      <c r="G14" s="9">
        <f t="shared" si="1"/>
        <v>4.1029465200222319E-2</v>
      </c>
    </row>
    <row r="15" spans="1:12" x14ac:dyDescent="0.45">
      <c r="A15">
        <v>4</v>
      </c>
      <c r="B15" s="6" t="n">
        <v>2903.6099800053003</v>
      </c>
      <c r="C15" s="9">
        <f t="shared" si="0"/>
        <v>3.9544482338175627E-3</v>
      </c>
      <c r="E15" s="371">
        <v>4</v>
      </c>
      <c r="F15" s="371" t="n">
        <v>31366.0</v>
      </c>
      <c r="G15" s="9">
        <f t="shared" si="1"/>
        <v>3.9429155266779516E-2</v>
      </c>
    </row>
    <row r="16" spans="1:12" x14ac:dyDescent="0.45">
      <c r="A16">
        <v>5</v>
      </c>
      <c r="B16" s="6" t="n">
        <v>9135.8767418378</v>
      </c>
      <c r="C16" s="9">
        <f t="shared" si="0"/>
        <v>1.2442219132360707E-2</v>
      </c>
      <c r="E16" s="371">
        <v>5</v>
      </c>
      <c r="F16" s="371" t="n">
        <v>29998.0</v>
      </c>
      <c r="G16" s="9">
        <f t="shared" si="1"/>
        <v>3.7811120381542246E-2</v>
      </c>
    </row>
    <row r="17" spans="1:7" x14ac:dyDescent="0.45">
      <c r="A17">
        <v>6</v>
      </c>
      <c r="B17" s="6" t="n">
        <v>9452.165796167</v>
      </c>
      <c r="C17" s="9">
        <f t="shared" si="0"/>
        <v>1.2872975570339906E-2</v>
      </c>
      <c r="E17" s="371">
        <v>6</v>
      </c>
      <c r="F17" s="371" t="n">
        <v>27693.0</v>
      </c>
      <c r="G17" s="9">
        <f t="shared" si="1"/>
        <v>3.4886503335456107E-2</v>
      </c>
    </row>
    <row r="18" spans="1:7" x14ac:dyDescent="0.45">
      <c r="A18">
        <v>7</v>
      </c>
      <c r="B18" s="6" t="n">
        <v>10700.8550858778</v>
      </c>
      <c r="C18" s="9">
        <f t="shared" si="0"/>
        <v>1.4573574889906498E-2</v>
      </c>
      <c r="E18" s="371">
        <v>7</v>
      </c>
      <c r="F18" s="371" t="n">
        <v>25689.0</v>
      </c>
      <c r="G18" s="9">
        <f t="shared" si="1"/>
        <v>3.248097416335062E-2</v>
      </c>
    </row>
    <row r="19" spans="1:7" x14ac:dyDescent="0.45">
      <c r="A19">
        <v>8</v>
      </c>
      <c r="B19" s="6" t="n">
        <v>6692.2538592712</v>
      </c>
      <c r="C19" s="9">
        <f t="shared" si="0"/>
        <v>9.1142307804044191E-3</v>
      </c>
      <c r="E19" s="371">
        <v>8</v>
      </c>
      <c r="F19" s="371" t="n">
        <v>23559.0</v>
      </c>
      <c r="G19" s="9">
        <f t="shared" si="1"/>
        <v>2.9073985214858069E-2</v>
      </c>
    </row>
    <row r="20" spans="1:7" x14ac:dyDescent="0.45">
      <c r="A20">
        <v>9</v>
      </c>
      <c r="B20" s="6" t="n">
        <v>14984.1949877068</v>
      </c>
      <c r="C20" s="9">
        <f t="shared" si="0"/>
        <v>2.0407087664097011E-2</v>
      </c>
      <c r="E20" s="371">
        <v>9</v>
      </c>
      <c r="F20" s="371" t="n">
        <v>20453.0</v>
      </c>
      <c r="G20" s="9">
        <f t="shared" si="1"/>
        <v>2.6178487732434256E-2</v>
      </c>
    </row>
    <row r="21" spans="1:7" x14ac:dyDescent="0.45">
      <c r="A21">
        <v>10</v>
      </c>
      <c r="B21" s="6" t="n">
        <v>4648.0863389627</v>
      </c>
      <c r="C21" s="9">
        <f t="shared" si="0"/>
        <v>6.3302636856583062E-3</v>
      </c>
      <c r="E21" s="371">
        <v>10</v>
      </c>
      <c r="F21" s="371" t="n">
        <v>18678.0</v>
      </c>
      <c r="G21" s="9">
        <f t="shared" si="1"/>
        <v>2.3629892877987762E-2</v>
      </c>
    </row>
    <row r="22" spans="1:7" x14ac:dyDescent="0.45">
      <c r="A22">
        <v>11</v>
      </c>
      <c r="B22" s="6" t="n">
        <v>10179.3547796302</v>
      </c>
      <c r="C22" s="9">
        <f t="shared" si="0"/>
        <v>1.386333970709025E-2</v>
      </c>
      <c r="E22" s="371">
        <v>11</v>
      </c>
      <c r="F22" s="371" t="n">
        <v>16416.0</v>
      </c>
      <c r="G22" s="9">
        <f t="shared" si="1"/>
        <v>2.0977480448745138E-2</v>
      </c>
    </row>
    <row r="23" spans="1:7" x14ac:dyDescent="0.45">
      <c r="A23">
        <v>12</v>
      </c>
      <c r="B23" s="6" t="n">
        <v>9736.667518973</v>
      </c>
      <c r="C23" s="9">
        <f t="shared" si="0"/>
        <v>1.3260440602839272E-2</v>
      </c>
      <c r="E23" s="371">
        <v>12</v>
      </c>
      <c r="F23" s="371" t="n">
        <v>15259.0</v>
      </c>
      <c r="G23" s="9">
        <f t="shared" si="1"/>
        <v>1.899481798373609E-2</v>
      </c>
    </row>
    <row r="24" spans="1:7" x14ac:dyDescent="0.45">
      <c r="A24">
        <v>13</v>
      </c>
      <c r="B24" s="6" t="n">
        <v>22238.9738842491</v>
      </c>
      <c r="C24" s="9">
        <f t="shared" si="0"/>
        <v>3.028742551653691E-2</v>
      </c>
      <c r="E24" s="371">
        <v>13</v>
      </c>
      <c r="F24" s="371" t="n">
        <v>13260.0</v>
      </c>
      <c r="G24" s="9">
        <f t="shared" si="1"/>
        <v>1.668171177455887E-2</v>
      </c>
    </row>
    <row r="25" spans="1:7" x14ac:dyDescent="0.45">
      <c r="A25">
        <v>14</v>
      </c>
      <c r="B25" s="6" t="n">
        <v>22549.5723670886</v>
      </c>
      <c r="C25" s="9">
        <f t="shared" si="0"/>
        <v>3.0710431922476057E-2</v>
      </c>
      <c r="E25" s="371">
        <v>14</v>
      </c>
      <c r="F25" s="371" t="n">
        <v>12535.0</v>
      </c>
      <c r="G25" s="9">
        <f t="shared" si="1"/>
        <v>1.5722032241687313E-2</v>
      </c>
    </row>
    <row r="26" spans="1:7" x14ac:dyDescent="0.45">
      <c r="A26">
        <v>15</v>
      </c>
      <c r="B26" s="6" t="n">
        <v>17706.5566950453</v>
      </c>
      <c r="C26" s="9">
        <f t="shared" si="0"/>
        <v>2.4114692514448727E-2</v>
      </c>
      <c r="E26" s="371">
        <v>15</v>
      </c>
      <c r="F26" s="371" t="n">
        <v>10672.0</v>
      </c>
      <c r="G26" s="9">
        <f t="shared" si="1"/>
        <v>1.3746966184590179E-2</v>
      </c>
    </row>
    <row r="27" spans="1:7" x14ac:dyDescent="0.45">
      <c r="A27">
        <v>16</v>
      </c>
      <c r="B27" s="6" t="n">
        <v>29276.3600642935</v>
      </c>
      <c r="C27" s="9">
        <f t="shared" si="0"/>
        <v>3.9871694596063184E-2</v>
      </c>
      <c r="E27" s="371">
        <v>16</v>
      </c>
      <c r="F27" s="371" t="n">
        <v>10119.0</v>
      </c>
      <c r="G27" s="9">
        <f t="shared" si="1"/>
        <v>1.2665744125128031E-2</v>
      </c>
    </row>
    <row r="28" spans="1:7" x14ac:dyDescent="0.45">
      <c r="A28">
        <v>17</v>
      </c>
      <c r="B28" s="6" t="n">
        <v>18146.6777209571</v>
      </c>
      <c r="C28" s="9">
        <f t="shared" si="0"/>
        <v>2.4714096644331114E-2</v>
      </c>
      <c r="E28" s="371">
        <v>17</v>
      </c>
      <c r="F28" s="371" t="n">
        <v>8776.0</v>
      </c>
      <c r="G28" s="9">
        <f t="shared" si="1"/>
        <v>1.1487034830796343E-2</v>
      </c>
    </row>
    <row r="29" spans="1:7" x14ac:dyDescent="0.45">
      <c r="A29">
        <v>18</v>
      </c>
      <c r="B29" s="6" t="n">
        <v>61322.6590463677</v>
      </c>
      <c r="C29" s="9">
        <f t="shared" si="0"/>
        <v>8.351578980261759E-2</v>
      </c>
      <c r="E29" s="371">
        <v>18</v>
      </c>
      <c r="F29" s="371" t="n">
        <v>78358.0</v>
      </c>
      <c r="G29" s="9">
        <f t="shared" si="1"/>
        <v>0.10068405653246768</v>
      </c>
    </row>
    <row r="30" spans="1:7" x14ac:dyDescent="0.45">
      <c r="A30">
        <v>19</v>
      </c>
      <c r="B30" s="6" t="n">
        <v>33890.2280057417</v>
      </c>
      <c r="C30" s="9">
        <f t="shared" si="0"/>
        <v>4.6155355989214206E-2</v>
      </c>
      <c r="E30" s="371">
        <v>19</v>
      </c>
      <c r="F30" s="371" t="n">
        <v>29940.0</v>
      </c>
      <c r="G30" s="9">
        <f t="shared" si="1"/>
        <v>3.7389519742431127E-2</v>
      </c>
    </row>
    <row r="31" spans="1:7" x14ac:dyDescent="0.45">
      <c r="A31">
        <v>20</v>
      </c>
      <c r="B31" s="6" t="n">
        <v>65801.6290295224</v>
      </c>
      <c r="C31" s="9">
        <f t="shared" si="0"/>
        <v>8.9615732653473779E-2</v>
      </c>
      <c r="E31" s="371">
        <v>20</v>
      </c>
      <c r="F31" s="371" t="n">
        <v>29704.0</v>
      </c>
      <c r="G31" s="9">
        <f t="shared" si="1"/>
        <v>3.7595888824038075E-2</v>
      </c>
    </row>
    <row r="32" spans="1:7" x14ac:dyDescent="0.45">
      <c r="A32">
        <v>21</v>
      </c>
      <c r="B32" s="6" t="n">
        <v>38010.5936053178</v>
      </c>
      <c r="C32" s="9">
        <f t="shared" si="0"/>
        <v>5.1766912837457511E-2</v>
      </c>
      <c r="E32" s="371">
        <v>21</v>
      </c>
      <c r="F32" s="371" t="n">
        <v>33250.0</v>
      </c>
      <c r="G32" s="9">
        <f t="shared" si="1"/>
        <v>4.1497910354790231E-2</v>
      </c>
    </row>
    <row r="33" spans="1:7" x14ac:dyDescent="0.45">
      <c r="A33">
        <v>22</v>
      </c>
      <c r="B33" s="6" t="n">
        <v>31167.1752303599</v>
      </c>
      <c r="C33" s="9">
        <f t="shared" si="0"/>
        <v>4.2446809968105362E-2</v>
      </c>
      <c r="E33" s="371">
        <v>22</v>
      </c>
      <c r="F33" s="371" t="n">
        <v>30394.0</v>
      </c>
      <c r="G33" s="9">
        <f t="shared" si="1"/>
        <v>3.9096179386640707E-2</v>
      </c>
    </row>
    <row r="34" spans="1:7" x14ac:dyDescent="0.45">
      <c r="A34">
        <v>23</v>
      </c>
      <c r="B34" s="6" t="n">
        <v>14346.8714492277</v>
      </c>
      <c r="C34" s="9">
        <f t="shared" si="0"/>
        <v>1.9539111951634266E-2</v>
      </c>
      <c r="E34" s="371">
        <v>23</v>
      </c>
      <c r="F34" s="371" t="n">
        <v>26866.0</v>
      </c>
      <c r="G34" s="9">
        <f t="shared" si="1"/>
        <v>3.3583719378563193E-2</v>
      </c>
    </row>
    <row r="35" spans="1:7" x14ac:dyDescent="0.45">
      <c r="A35">
        <v>24</v>
      </c>
      <c r="B35" s="6" t="n">
        <v>20705.3065983122</v>
      </c>
      <c r="C35" s="9">
        <f t="shared" si="0"/>
        <v>2.8198712524123971E-2</v>
      </c>
      <c r="E35" s="371">
        <v>24</v>
      </c>
      <c r="F35" s="371" t="n">
        <v>17702.0</v>
      </c>
      <c r="G35" s="9">
        <f t="shared" si="1"/>
        <v>2.3189301219096865E-2</v>
      </c>
    </row>
    <row r="36" spans="1:7" x14ac:dyDescent="0.45">
      <c r="A36">
        <v>25</v>
      </c>
      <c r="B36" s="6" t="n">
        <v>17557.4414165711</v>
      </c>
      <c r="C36" s="9">
        <f t="shared" si="0"/>
        <v>2.3911611297047605E-2</v>
      </c>
      <c r="E36" s="371">
        <v>25</v>
      </c>
      <c r="F36" s="371" t="n">
        <v>18453.0</v>
      </c>
      <c r="G36" s="9">
        <f t="shared" si="1"/>
        <v>2.2738581016323416E-2</v>
      </c>
    </row>
    <row r="37" spans="1:7" x14ac:dyDescent="0.45">
      <c r="A37">
        <v>26</v>
      </c>
      <c r="B37" s="6" t="n">
        <v>26585.7360832257</v>
      </c>
      <c r="C37" s="9">
        <f t="shared" si="0"/>
        <v>3.6207313593425453E-2</v>
      </c>
      <c r="E37" s="371">
        <v>26</v>
      </c>
      <c r="F37" s="371" t="n">
        <v>16584.0</v>
      </c>
      <c r="G37" s="9">
        <f t="shared" si="1"/>
        <v>2.0244427085245622E-2</v>
      </c>
    </row>
    <row r="38" spans="1:7" x14ac:dyDescent="0.45">
      <c r="A38">
        <v>27</v>
      </c>
      <c r="B38" s="6" t="n">
        <v>13933.790947589</v>
      </c>
      <c r="C38" s="9">
        <f t="shared" si="0"/>
        <v>1.8976534514795917E-2</v>
      </c>
      <c r="E38" s="371">
        <v>27</v>
      </c>
      <c r="F38" s="371" t="n">
        <v>12932.0</v>
      </c>
      <c r="G38" s="9">
        <f t="shared" si="1"/>
        <v>1.5956254818971269E-2</v>
      </c>
    </row>
    <row r="39" spans="1:7" x14ac:dyDescent="0.45">
      <c r="A39">
        <v>28</v>
      </c>
      <c r="B39" s="6" t="n">
        <v>12749.6958947154</v>
      </c>
      <c r="C39" s="9">
        <f t="shared" si="0"/>
        <v>1.7363906571390249E-2</v>
      </c>
      <c r="E39" s="371">
        <v>28</v>
      </c>
      <c r="F39" s="371" t="n">
        <v>11984.0</v>
      </c>
      <c r="G39" s="9">
        <f t="shared" si="1"/>
        <v>1.6341139486508147E-2</v>
      </c>
    </row>
    <row r="40" spans="1:7" x14ac:dyDescent="0.45">
      <c r="A40">
        <v>29</v>
      </c>
      <c r="B40" s="6" t="n">
        <v>9826.4347314971</v>
      </c>
      <c r="C40" s="9">
        <f t="shared" si="0"/>
        <v>1.3382695243602012E-2</v>
      </c>
      <c r="E40" s="371">
        <v>29</v>
      </c>
      <c r="F40" s="371" t="n">
        <v>11883.0</v>
      </c>
      <c r="G40" s="9">
        <f t="shared" si="1"/>
        <v>1.3078482288341919E-2</v>
      </c>
    </row>
    <row r="41" spans="1:7" x14ac:dyDescent="0.45">
      <c r="A41">
        <v>30</v>
      </c>
      <c r="B41" s="6" t="n">
        <v>9033.3912870826</v>
      </c>
      <c r="C41" s="9">
        <f t="shared" si="0"/>
        <v>1.230264342200723E-2</v>
      </c>
      <c r="E41" s="371">
        <v>30</v>
      </c>
      <c r="F41" s="371" t="n">
        <v>9321.0</v>
      </c>
      <c r="G41" s="9">
        <f t="shared" si="1"/>
        <v>1.2108674211587813E-2</v>
      </c>
    </row>
    <row r="42" spans="1:7" x14ac:dyDescent="0.45">
      <c r="A42">
        <v>31</v>
      </c>
      <c r="B42" s="6" t="n">
        <v>4067.1342307101</v>
      </c>
      <c r="C42" s="9">
        <f t="shared" si="0"/>
        <v>5.5390606472915998E-3</v>
      </c>
      <c r="E42" s="371">
        <v>31</v>
      </c>
      <c r="F42" s="371" t="n">
        <v>8958.0</v>
      </c>
      <c r="G42" s="9">
        <f t="shared" si="1"/>
        <v>1.0426069859099293E-2</v>
      </c>
    </row>
    <row r="43" spans="1:7" x14ac:dyDescent="0.45">
      <c r="A43">
        <v>32</v>
      </c>
      <c r="B43" s="6" t="n">
        <v>2913.8867434077</v>
      </c>
      <c r="C43" s="9">
        <f t="shared" si="0"/>
        <v>3.9684442350594058E-3</v>
      </c>
      <c r="E43" s="371">
        <v>32</v>
      </c>
      <c r="F43" s="371" t="n">
        <v>7014.0</v>
      </c>
      <c r="G43" s="9">
        <f t="shared" si="1"/>
        <v>8.6649692915210155E-3</v>
      </c>
    </row>
    <row r="44" spans="1:7" x14ac:dyDescent="0.45">
      <c r="A44">
        <v>33</v>
      </c>
      <c r="B44" s="6" t="n">
        <v>7497.7975060959</v>
      </c>
      <c r="C44" s="9">
        <f t="shared" si="0"/>
        <v>1.0211306721520683E-2</v>
      </c>
      <c r="E44" s="371">
        <v>33</v>
      </c>
      <c r="F44" s="371" t="n">
        <v>9042.0</v>
      </c>
      <c r="G44" s="9">
        <f t="shared" si="1"/>
        <v>1.2522678442787021E-2</v>
      </c>
    </row>
    <row r="45" spans="1:7" x14ac:dyDescent="0.45">
      <c r="A45">
        <v>34</v>
      </c>
      <c r="B45" s="6" t="n">
        <v>11042.4657995426</v>
      </c>
      <c r="C45" s="9">
        <f t="shared" si="0"/>
        <v>1.5038817085865082E-2</v>
      </c>
      <c r="E45" s="371">
        <v>34</v>
      </c>
      <c r="F45" s="371" t="n">
        <v>7803.0</v>
      </c>
      <c r="G45" s="9">
        <f t="shared" si="1"/>
        <v>9.9171105290011864E-3</v>
      </c>
    </row>
    <row r="46" spans="1:7" x14ac:dyDescent="0.45">
      <c r="A46">
        <v>35</v>
      </c>
      <c r="B46" s="6" t="n">
        <v>2875.3258853281</v>
      </c>
      <c r="C46" s="9">
        <f t="shared" si="0"/>
        <v>3.915927912902707E-3</v>
      </c>
      <c r="E46" s="371">
        <v>35</v>
      </c>
      <c r="F46" s="371" t="n">
        <v>6016.0</v>
      </c>
      <c r="G46" s="9">
        <f t="shared" si="1"/>
        <v>8.0205406869938104E-3</v>
      </c>
    </row>
    <row r="47" spans="1:7" x14ac:dyDescent="0.45">
      <c r="A47">
        <v>36</v>
      </c>
      <c r="B47" s="6" t="n">
        <v>3103.3283609385003</v>
      </c>
      <c r="C47" s="9">
        <f t="shared" si="0"/>
        <v>4.2264461964160917E-3</v>
      </c>
      <c r="E47" s="371">
        <v>36</v>
      </c>
      <c r="F47" s="371" t="n">
        <v>4123.0</v>
      </c>
      <c r="G47" s="9">
        <f t="shared" si="1"/>
        <v>5.5175242800187888E-3</v>
      </c>
    </row>
    <row r="48" spans="1:7" x14ac:dyDescent="0.45">
      <c r="A48">
        <v>37</v>
      </c>
      <c r="B48" s="6" t="n">
        <v>4397.7934521712</v>
      </c>
      <c r="C48" s="9">
        <f t="shared" si="0"/>
        <v>5.9893879237875817E-3</v>
      </c>
      <c r="E48" s="371">
        <v>37</v>
      </c>
      <c r="F48" s="371" t="n">
        <v>4041.0</v>
      </c>
      <c r="G48" s="9">
        <f t="shared" si="1"/>
        <v>5.8365734123190949E-3</v>
      </c>
    </row>
    <row r="49" spans="1:7" x14ac:dyDescent="0.45">
      <c r="A49">
        <v>38</v>
      </c>
      <c r="B49" s="6" t="n">
        <v>7401.8104657561</v>
      </c>
      <c r="C49" s="9">
        <f t="shared" si="0"/>
        <v>1.0080581250553538E-2</v>
      </c>
      <c r="E49" s="371">
        <v>38</v>
      </c>
      <c r="F49" s="371" t="n">
        <v>4214.0</v>
      </c>
      <c r="G49" s="9">
        <f t="shared" si="1"/>
        <v>4.8768938794475384E-3</v>
      </c>
    </row>
    <row r="50" spans="1:7" x14ac:dyDescent="0.45">
      <c r="A50">
        <v>39</v>
      </c>
      <c r="B50" s="6" t="n">
        <v>6520.7858791255</v>
      </c>
      <c r="C50" s="9">
        <f t="shared" si="0"/>
        <v>8.8807072507593697E-3</v>
      </c>
      <c r="E50" s="371">
        <v>39</v>
      </c>
      <c r="F50" s="371" t="n">
        <v>3617.0</v>
      </c>
      <c r="G50" s="9">
        <f t="shared" si="1"/>
        <v>5.0718683491866147E-3</v>
      </c>
    </row>
    <row r="51" spans="1:7" x14ac:dyDescent="0.45">
      <c r="A51">
        <v>40</v>
      </c>
      <c r="B51" s="6" t="n">
        <v>1497.7996341572</v>
      </c>
      <c r="C51" s="9">
        <f t="shared" si="0"/>
        <v>2.0398645681382866E-3</v>
      </c>
      <c r="E51" s="371">
        <v>40</v>
      </c>
      <c r="F51" s="371" t="n">
        <v>3016.0</v>
      </c>
      <c r="G51" s="9">
        <f t="shared" si="1"/>
        <v>4.0184997854014765E-3</v>
      </c>
    </row>
    <row r="52" spans="1:7" x14ac:dyDescent="0.45">
      <c r="A52">
        <v>41</v>
      </c>
      <c r="B52" s="6" t="n">
        <v>1361.2943780764</v>
      </c>
      <c r="C52" s="9">
        <f t="shared" si="0"/>
        <v>1.8539570349183645E-3</v>
      </c>
      <c r="E52" s="371">
        <v>41</v>
      </c>
      <c r="F52" s="371" t="n">
        <v>3752.0</v>
      </c>
      <c r="G52" s="9">
        <f t="shared" si="1"/>
        <v>4.3717327533053874E-3</v>
      </c>
    </row>
    <row r="53" spans="1:7" x14ac:dyDescent="0.45">
      <c r="A53">
        <v>42</v>
      </c>
      <c r="B53" s="6" t="n">
        <v>1373.519396406</v>
      </c>
      <c r="C53" s="9">
        <f t="shared" si="0"/>
        <v>1.8706063791742295E-3</v>
      </c>
      <c r="E53" s="371">
        <v>42</v>
      </c>
      <c r="F53" s="371" t="n">
        <v>2779.0</v>
      </c>
      <c r="G53" s="9">
        <f t="shared" si="1"/>
        <v>3.5070083193327315E-3</v>
      </c>
    </row>
    <row r="54" spans="1:7" x14ac:dyDescent="0.45">
      <c r="A54">
        <v>43</v>
      </c>
      <c r="B54" s="6" t="n">
        <v>166.816897117</v>
      </c>
      <c r="C54" s="9">
        <f t="shared" si="0"/>
        <v>2.2718918474513665E-4</v>
      </c>
      <c r="E54" s="371">
        <v>43</v>
      </c>
      <c r="F54" s="371" t="n">
        <v>2449.0</v>
      </c>
      <c r="G54" s="9">
        <f t="shared" si="1"/>
        <v>3.21201447875348E-3</v>
      </c>
    </row>
    <row r="55" spans="1:7" x14ac:dyDescent="0.45">
      <c r="A55">
        <v>44</v>
      </c>
      <c r="B55" s="6" t="n">
        <v>1677.879461423</v>
      </c>
      <c r="C55" s="9">
        <f t="shared" si="0"/>
        <v>2.2851166370391226E-3</v>
      </c>
      <c r="E55" s="371">
        <v>44</v>
      </c>
      <c r="F55" s="371" t="n">
        <v>2179.0</v>
      </c>
      <c r="G55" s="9">
        <f t="shared" si="1"/>
        <v>3.1195915158252169E-3</v>
      </c>
    </row>
    <row r="56" spans="1:7" x14ac:dyDescent="0.45">
      <c r="A56">
        <v>45</v>
      </c>
      <c r="B56" s="6" t="n">
        <v>34981.9315860991</v>
      </c>
      <c r="C56" s="9">
        <f t="shared" si="0"/>
        <v>4.7642155292469367E-2</v>
      </c>
      <c r="E56" s="371">
        <v>45</v>
      </c>
      <c r="F56" s="371" t="n">
        <v>2286.0</v>
      </c>
      <c r="G56" s="9">
        <f t="shared" si="1"/>
        <v>2.9322134539980526E-3</v>
      </c>
    </row>
    <row r="57" spans="1:7" x14ac:dyDescent="0.45">
      <c r="A57">
        <v>46</v>
      </c>
      <c r="B57" s="6" t="n">
        <v>2459.5135138596</v>
      </c>
      <c r="C57" s="9">
        <f t="shared" si="0"/>
        <v>3.3496299220306335E-3</v>
      </c>
      <c r="E57" s="371">
        <v>46</v>
      </c>
      <c r="F57" s="371" t="n">
        <v>1817.0</v>
      </c>
      <c r="G57" s="9">
        <f t="shared" si="1"/>
        <v>2.7587621400093944E-3</v>
      </c>
    </row>
    <row r="58" spans="1:7" x14ac:dyDescent="0.45">
      <c r="A58">
        <v>47</v>
      </c>
      <c r="B58" s="6" t="n">
        <v>576.080338283</v>
      </c>
      <c r="C58" s="9">
        <f t="shared" si="0"/>
        <v>7.8456813826493143E-4</v>
      </c>
      <c r="E58" s="371">
        <v>47</v>
      </c>
      <c r="F58" s="371" t="n">
        <v>1615.0</v>
      </c>
      <c r="G58" s="9">
        <f t="shared" si="1"/>
        <v>2.2687938296910666E-3</v>
      </c>
    </row>
    <row r="59" spans="1:7" x14ac:dyDescent="0.45">
      <c r="A59">
        <v>48</v>
      </c>
      <c r="B59" s="6" t="n">
        <v>1523.3438377319999</v>
      </c>
      <c r="C59" s="9">
        <f t="shared" si="0"/>
        <v>2.0746534107880352E-3</v>
      </c>
      <c r="E59" s="371">
        <v>48</v>
      </c>
      <c r="F59" s="371" t="n">
        <v>2105.0</v>
      </c>
      <c r="G59" s="9">
        <f t="shared" si="1"/>
        <v>1.9383500855228925E-3</v>
      </c>
    </row>
    <row r="60" spans="1:7" x14ac:dyDescent="0.45">
      <c r="A60">
        <v>49</v>
      </c>
      <c r="B60" s="6" t="n">
        <v>1317.0669416869</v>
      </c>
      <c r="C60" s="9">
        <f t="shared" si="0"/>
        <v>1.7937233572133382E-3</v>
      </c>
      <c r="E60" s="371">
        <v>49</v>
      </c>
      <c r="F60" s="371" t="n">
        <v>1490.0</v>
      </c>
      <c r="G60" s="9">
        <f t="shared" si="1"/>
        <v>2.5979715058739223E-3</v>
      </c>
    </row>
    <row r="61" spans="1:7" x14ac:dyDescent="0.45">
      <c r="A61">
        <v>50</v>
      </c>
      <c r="B61" s="6" t="n">
        <v>450.495335368</v>
      </c>
      <c r="C61" s="9">
        <f t="shared" si="0"/>
        <v>6.1353297982733425E-4</v>
      </c>
      <c r="E61" s="371">
        <v>50</v>
      </c>
      <c r="F61" s="371" t="n">
        <v>1534.0</v>
      </c>
      <c r="G61" s="9">
        <f t="shared" si="1"/>
        <v>1.7927522672112448E-3</v>
      </c>
    </row>
    <row r="62" spans="1:7" x14ac:dyDescent="0.45">
      <c r="A62">
        <v>51</v>
      </c>
      <c r="B62" s="6" t="n">
        <v>1820.3334592241001</v>
      </c>
      <c r="C62" s="9">
        <f t="shared" si="0"/>
        <v>2.479125806274649E-3</v>
      </c>
      <c r="E62" s="371">
        <v>51</v>
      </c>
      <c r="F62" s="371" t="n">
        <v>1168.0</v>
      </c>
      <c r="G62" s="9">
        <f t="shared" si="1"/>
        <v>1.675007944576608E-3</v>
      </c>
    </row>
    <row r="63" spans="1:7" x14ac:dyDescent="0.45">
      <c r="A63">
        <v>52</v>
      </c>
      <c r="B63" s="6" t="n">
        <v>940.600064166</v>
      </c>
      <c r="C63" s="9">
        <f t="shared" si="0"/>
        <v>1.2810102899781105E-3</v>
      </c>
      <c r="E63" s="371">
        <v>52</v>
      </c>
      <c r="F63" s="371" t="n">
        <v>1104.0</v>
      </c>
      <c r="G63" s="9">
        <f t="shared" si="1"/>
        <v>1.4293907554247848E-3</v>
      </c>
    </row>
    <row r="64" spans="1:7" x14ac:dyDescent="0.45">
      <c r="A64">
        <v>53</v>
      </c>
      <c r="B64" s="6" t="n">
        <v>1634.4932878509999</v>
      </c>
      <c r="C64" s="9">
        <f t="shared" si="0"/>
        <v>2.2260286814819561E-3</v>
      </c>
      <c r="E64" s="371">
        <v>53</v>
      </c>
      <c r="F64" s="371" t="n">
        <v>1037.0</v>
      </c>
      <c r="G64" s="9">
        <f t="shared" si="1"/>
        <v>1.1597182745519069E-3</v>
      </c>
    </row>
    <row r="65" spans="1:7" x14ac:dyDescent="0.45">
      <c r="A65">
        <v>54</v>
      </c>
      <c r="B65" s="6" t="n">
        <v>497.294945861</v>
      </c>
      <c r="C65" s="9">
        <f t="shared" si="0"/>
        <v>6.7726972075734572E-4</v>
      </c>
      <c r="E65" s="371">
        <v>54</v>
      </c>
      <c r="F65" s="371" t="n">
        <v>1023.0</v>
      </c>
      <c r="G65" s="9">
        <f t="shared" si="1"/>
        <v>1.2217556058325221E-3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972.0</v>
      </c>
      <c r="G66" s="9">
        <f t="shared" si="1"/>
        <v>1.1445254587280828E-3</v>
      </c>
    </row>
    <row r="67" spans="1:7" x14ac:dyDescent="0.45">
      <c r="A67">
        <v>56</v>
      </c>
      <c r="B67" s="6" t="n">
        <v>1219.07842926</v>
      </c>
      <c r="C67" s="9">
        <f t="shared" si="0"/>
        <v>1.6602720663825158E-3</v>
      </c>
      <c r="E67" s="371">
        <v>56</v>
      </c>
      <c r="F67" s="371" t="n">
        <v>870.0</v>
      </c>
      <c r="G67" s="9">
        <f t="shared" si="1"/>
        <v>1.1584522065665882E-3</v>
      </c>
    </row>
    <row r="68" spans="1:7" x14ac:dyDescent="0.45">
      <c r="A68">
        <v>57</v>
      </c>
      <c r="B68" s="6" t="n">
        <v>407.7075447018</v>
      </c>
      <c r="C68" s="9">
        <f t="shared" si="0"/>
        <v>5.5525996644259534E-4</v>
      </c>
      <c r="E68" s="371">
        <v>57</v>
      </c>
      <c r="F68" s="371" t="n">
        <v>681.0</v>
      </c>
      <c r="G68" s="9">
        <f t="shared" si="1"/>
        <v>8.457334141928753E-4</v>
      </c>
    </row>
    <row r="69" spans="1:7" x14ac:dyDescent="0.45">
      <c r="A69">
        <v>58</v>
      </c>
      <c r="B69" s="6" t="n">
        <v>401.236422482</v>
      </c>
      <c r="C69" s="9">
        <f t="shared" si="0"/>
        <v>5.4644689650237604E-4</v>
      </c>
      <c r="E69" s="371">
        <v>58</v>
      </c>
      <c r="F69" s="371" t="n">
        <v>719.0</v>
      </c>
      <c r="G69" s="9">
        <f t="shared" si="1"/>
        <v>9.4068851309177595E-4</v>
      </c>
    </row>
    <row r="70" spans="1:7" x14ac:dyDescent="0.45">
      <c r="A70">
        <v>59</v>
      </c>
      <c r="B70" s="6" t="n">
        <v>5013.6074087342995</v>
      </c>
      <c r="C70" s="9">
        <f t="shared" si="0"/>
        <v>6.82806957513206E-3</v>
      </c>
      <c r="E70" s="371">
        <v>59</v>
      </c>
      <c r="F70" s="371" t="n">
        <v>588.0</v>
      </c>
      <c r="G70" s="9">
        <f t="shared" si="1"/>
        <v>9.2043142532667718E-4</v>
      </c>
    </row>
    <row r="71" spans="1:7" x14ac:dyDescent="0.45">
      <c r="A71">
        <v>60</v>
      </c>
      <c r="B71" s="6" t="n">
        <v>4757.6773804485</v>
      </c>
      <c r="C71" s="9">
        <f t="shared" si="0"/>
        <v>6.4795165479332034E-3</v>
      </c>
      <c r="E71" s="371">
        <v>60</v>
      </c>
      <c r="F71" s="371" t="n">
        <v>810.0</v>
      </c>
      <c r="G71" s="9">
        <f t="shared" si="1"/>
        <v>6.8241064408676617E-4</v>
      </c>
    </row>
    <row r="72" spans="1:7" x14ac:dyDescent="0.45">
      <c r="A72">
        <v>61</v>
      </c>
      <c r="B72" s="6" t="n">
        <v>4548.43140596</v>
      </c>
      <c r="C72" s="9">
        <f t="shared" si="0"/>
        <v>6.1945428841328146E-3</v>
      </c>
      <c r="E72" s="371">
        <v>61</v>
      </c>
      <c r="F72" s="371" t="n">
        <v>489.0</v>
      </c>
      <c r="G72" s="9">
        <f t="shared" si="1"/>
        <v>6.2163938079146976E-4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412.0</v>
      </c>
      <c r="G73" s="9">
        <f t="shared" si="1"/>
        <v>5.988501570557336E-4</v>
      </c>
    </row>
    <row r="74" spans="1:7" x14ac:dyDescent="0.45">
      <c r="A74">
        <v>63</v>
      </c>
      <c r="B74" s="6" t="n">
        <v>292.681617382</v>
      </c>
      <c r="C74" s="9">
        <f t="shared" si="0"/>
        <v>3.9860529234198489E-4</v>
      </c>
      <c r="E74" s="371">
        <v>63</v>
      </c>
      <c r="F74" s="371" t="n">
        <v>381.0</v>
      </c>
      <c r="G74" s="9">
        <f t="shared" si="1"/>
        <v>5.1275753405406364E-4</v>
      </c>
    </row>
    <row r="75" spans="1:7" x14ac:dyDescent="0.45">
      <c r="A75">
        <v>64</v>
      </c>
      <c r="B75" s="6" t="n">
        <v>139.99557747</v>
      </c>
      <c r="C75" s="9">
        <f t="shared" si="0"/>
        <v>1.9066102812730404E-4</v>
      </c>
      <c r="E75" s="371">
        <v>64</v>
      </c>
      <c r="F75" s="371" t="n">
        <v>384.0</v>
      </c>
      <c r="G75" s="9">
        <f t="shared" si="1"/>
        <v>4.7224335852386599E-4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327.0</v>
      </c>
      <c r="G76" s="9">
        <f t="shared" si="1"/>
        <v>4.304631150083497E-4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346.0</v>
      </c>
      <c r="G77" s="9">
        <f t="shared" ref="G77:G102" si="3">F77/F$102</f>
        <v>4.6717908658259132E-4</v>
      </c>
    </row>
    <row r="78" spans="1:7" x14ac:dyDescent="0.45">
      <c r="A78">
        <v>67</v>
      </c>
      <c r="B78" s="6" t="n">
        <v>572.780526274</v>
      </c>
      <c r="C78" s="9">
        <f t="shared" si="2"/>
        <v>7.8007409951290308E-4</v>
      </c>
      <c r="E78" s="371">
        <v>67</v>
      </c>
      <c r="F78" s="371" t="n">
        <v>360.0</v>
      </c>
      <c r="G78" s="9">
        <f t="shared" si="3"/>
        <v>3.8615073552219608E-4</v>
      </c>
    </row>
    <row r="79" spans="1:7" x14ac:dyDescent="0.45">
      <c r="A79">
        <v>68</v>
      </c>
      <c r="B79" s="6" t="n">
        <v>417.967608267</v>
      </c>
      <c r="C79" s="9">
        <f t="shared" si="2"/>
        <v>5.6923322405076323E-4</v>
      </c>
      <c r="E79" s="371">
        <v>68</v>
      </c>
      <c r="F79" s="371" t="n">
        <v>303.0</v>
      </c>
      <c r="G79" s="9">
        <f t="shared" si="3"/>
        <v>3.4690262797731713E-4</v>
      </c>
    </row>
    <row r="80" spans="1:7" x14ac:dyDescent="0.45">
      <c r="A80">
        <v>69</v>
      </c>
      <c r="B80" s="6" t="n">
        <v>1694.7711779184</v>
      </c>
      <c r="C80" s="9">
        <f t="shared" si="2"/>
        <v>2.3081215925673648E-3</v>
      </c>
      <c r="E80" s="371">
        <v>69</v>
      </c>
      <c r="F80" s="371" t="n">
        <v>266.0</v>
      </c>
      <c r="G80" s="9">
        <f t="shared" si="3"/>
        <v>3.2031520028562494E-4</v>
      </c>
    </row>
    <row r="81" spans="1:7" x14ac:dyDescent="0.45">
      <c r="A81">
        <v>70</v>
      </c>
      <c r="B81" s="6" t="n">
        <v>447.66186162099996</v>
      </c>
      <c r="C81" s="9">
        <f t="shared" si="2"/>
        <v>6.0967405065587147E-4</v>
      </c>
      <c r="E81" s="371">
        <v>70</v>
      </c>
      <c r="F81" s="371" t="n">
        <v>265.0</v>
      </c>
      <c r="G81" s="9">
        <f t="shared" si="3"/>
        <v>3.5070083193327315E-4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234.0</v>
      </c>
      <c r="G82" s="9">
        <f t="shared" si="3"/>
        <v>3.3044374416817433E-4</v>
      </c>
    </row>
    <row r="83" spans="1:7" x14ac:dyDescent="0.45">
      <c r="A83">
        <v>72</v>
      </c>
      <c r="B83" s="6" t="n">
        <v>5043.1483091938</v>
      </c>
      <c r="C83" s="9">
        <f t="shared" si="2"/>
        <v>6.8683015492786836E-3</v>
      </c>
      <c r="E83" s="371">
        <v>72</v>
      </c>
      <c r="F83" s="371" t="n">
        <v>216.0</v>
      </c>
      <c r="G83" s="9">
        <f t="shared" si="3"/>
        <v>3.0765452043243817E-4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192.0</v>
      </c>
      <c r="G84" s="9">
        <f t="shared" si="3"/>
        <v>2.3675471325459234E-4</v>
      </c>
    </row>
    <row r="85" spans="1:7" x14ac:dyDescent="0.45">
      <c r="A85">
        <v>74</v>
      </c>
      <c r="B85" s="6" t="n">
        <v>1148.663232487</v>
      </c>
      <c r="C85" s="9">
        <f t="shared" si="2"/>
        <v>1.5643730811777613E-3</v>
      </c>
      <c r="E85" s="371">
        <v>74</v>
      </c>
      <c r="F85" s="371" t="n">
        <v>175.0</v>
      </c>
      <c r="G85" s="9">
        <f t="shared" si="3"/>
        <v>2.2029582944544957E-4</v>
      </c>
    </row>
    <row r="86" spans="1:7" x14ac:dyDescent="0.45">
      <c r="A86">
        <v>75</v>
      </c>
      <c r="B86" s="6" t="n">
        <v>163.60110245</v>
      </c>
      <c r="C86" s="9">
        <f t="shared" si="2"/>
        <v>2.2280956984203085E-4</v>
      </c>
      <c r="E86" s="371">
        <v>75</v>
      </c>
      <c r="F86" s="371" t="n">
        <v>195.0</v>
      </c>
      <c r="G86" s="9">
        <f t="shared" si="3"/>
        <v>2.4308505318118573E-4</v>
      </c>
    </row>
    <row r="87" spans="1:7" x14ac:dyDescent="0.45">
      <c r="A87">
        <v>76</v>
      </c>
      <c r="B87" s="6" t="n">
        <v>389.7060896903</v>
      </c>
      <c r="C87" s="9">
        <f t="shared" si="2"/>
        <v>5.3074364969669322E-4</v>
      </c>
      <c r="E87" s="371">
        <v>76</v>
      </c>
      <c r="F87" s="371" t="n">
        <v>144.0</v>
      </c>
      <c r="G87" s="9">
        <f t="shared" si="3"/>
        <v>2.1143335354821882E-4</v>
      </c>
    </row>
    <row r="88" spans="1:7" x14ac:dyDescent="0.45">
      <c r="A88">
        <v>77</v>
      </c>
      <c r="B88" s="6" t="n">
        <v>675.1977254860001</v>
      </c>
      <c r="C88" s="9">
        <f t="shared" si="2"/>
        <v>9.1955685212959451E-4</v>
      </c>
      <c r="E88" s="371">
        <v>77</v>
      </c>
      <c r="F88" s="371" t="n">
        <v>144.0</v>
      </c>
      <c r="G88" s="9">
        <f t="shared" si="3"/>
        <v>1.9750660570971341E-4</v>
      </c>
    </row>
    <row r="89" spans="1:7" x14ac:dyDescent="0.45">
      <c r="A89">
        <v>78</v>
      </c>
      <c r="B89" s="6" t="n">
        <v>396.701349191</v>
      </c>
      <c r="C89" s="9">
        <f t="shared" si="2"/>
        <v>5.4027054613530801E-4</v>
      </c>
      <c r="E89" s="371">
        <v>78</v>
      </c>
      <c r="F89" s="371" t="n">
        <v>140.0</v>
      </c>
      <c r="G89" s="9">
        <f t="shared" si="3"/>
        <v>2.2156189743076824E-4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134.0</v>
      </c>
      <c r="G90" s="9">
        <f t="shared" si="3"/>
        <v>1.6838704204738387E-4</v>
      </c>
    </row>
    <row r="91" spans="1:7" x14ac:dyDescent="0.45">
      <c r="A91">
        <v>80</v>
      </c>
      <c r="B91" s="6" t="n">
        <v>5233.4319689765</v>
      </c>
      <c r="C91" s="9">
        <f t="shared" si="2"/>
        <v>7.1274502943007908E-3</v>
      </c>
      <c r="E91" s="371">
        <v>80</v>
      </c>
      <c r="F91" s="371" t="n">
        <v>111.0</v>
      </c>
      <c r="G91" s="9">
        <f t="shared" si="3"/>
        <v>1.4812995428228505E-4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116.0</v>
      </c>
      <c r="G92" s="9">
        <f t="shared" si="3"/>
        <v>1.5825849816483446E-4</v>
      </c>
    </row>
    <row r="93" spans="1:7" x14ac:dyDescent="0.45">
      <c r="A93">
        <v>82</v>
      </c>
      <c r="B93" s="6" t="n">
        <v>5248.9723716958</v>
      </c>
      <c r="C93" s="9">
        <f t="shared" si="2"/>
        <v>7.1486148854508864E-3</v>
      </c>
      <c r="E93" s="371">
        <v>82</v>
      </c>
      <c r="F93" s="371" t="n">
        <v>166.0</v>
      </c>
      <c r="G93" s="9">
        <f t="shared" si="3"/>
        <v>1.6585490607674651E-4</v>
      </c>
    </row>
    <row r="94" spans="1:7" x14ac:dyDescent="0.45">
      <c r="A94">
        <v>83</v>
      </c>
      <c r="B94" s="6" t="n">
        <v>4737.5454665157</v>
      </c>
      <c r="C94" s="9">
        <f t="shared" si="2"/>
        <v>6.4520987431856171E-3</v>
      </c>
      <c r="E94" s="371">
        <v>83</v>
      </c>
      <c r="F94" s="371" t="n">
        <v>113.0</v>
      </c>
      <c r="G94" s="9">
        <f t="shared" si="3"/>
        <v>1.5825849816483446E-4</v>
      </c>
    </row>
    <row r="95" spans="1:7" x14ac:dyDescent="0.45">
      <c r="A95">
        <v>84</v>
      </c>
      <c r="B95" s="6" t="n">
        <v>1122.5382264593</v>
      </c>
      <c r="C95" s="9">
        <f t="shared" si="2"/>
        <v>1.5287932393063944E-3</v>
      </c>
      <c r="E95" s="371">
        <v>84</v>
      </c>
      <c r="F95" s="371" t="n">
        <v>96.0</v>
      </c>
      <c r="G95" s="9">
        <f t="shared" si="3"/>
        <v>1.3420320644377961E-4</v>
      </c>
    </row>
    <row r="96" spans="1:7" x14ac:dyDescent="0.45">
      <c r="A96">
        <v>85</v>
      </c>
      <c r="B96" s="6" t="n">
        <v>1900.1738153909</v>
      </c>
      <c r="C96" s="9">
        <f t="shared" si="2"/>
        <v>2.5878609868275793E-3</v>
      </c>
      <c r="E96" s="371">
        <v>85</v>
      </c>
      <c r="F96" s="371" t="n">
        <v>97.0</v>
      </c>
      <c r="G96" s="9">
        <f t="shared" si="3"/>
        <v>1.2280859457591153E-4</v>
      </c>
    </row>
    <row r="97" spans="1:7" x14ac:dyDescent="0.45">
      <c r="A97">
        <v>86</v>
      </c>
      <c r="B97" s="6" t="n">
        <v>4191.5226006486</v>
      </c>
      <c r="C97" s="9">
        <f t="shared" si="2"/>
        <v>5.7084661022934625E-3</v>
      </c>
      <c r="E97" s="371">
        <v>86</v>
      </c>
      <c r="F97" s="371" t="n">
        <v>90.0</v>
      </c>
      <c r="G97" s="9">
        <f t="shared" si="3"/>
        <v>9.6221166884219347E-5</v>
      </c>
    </row>
    <row r="98" spans="1:7" x14ac:dyDescent="0.45">
      <c r="A98">
        <v>87</v>
      </c>
      <c r="B98" s="6" t="n">
        <v>180.749366264</v>
      </c>
      <c r="C98" s="9">
        <f t="shared" si="2"/>
        <v>2.4616391908978554E-4</v>
      </c>
      <c r="E98" s="371">
        <v>87</v>
      </c>
      <c r="F98" s="371" t="n">
        <v>89.0</v>
      </c>
      <c r="G98" s="9">
        <f t="shared" si="3"/>
        <v>1.0255150681081273E-4</v>
      </c>
    </row>
    <row r="99" spans="1:7" x14ac:dyDescent="0.45">
      <c r="A99">
        <v>88</v>
      </c>
      <c r="B99" s="6" t="n">
        <v>418.0378414412</v>
      </c>
      <c r="C99" s="9">
        <f t="shared" si="2"/>
        <v>5.6932887513805905E-4</v>
      </c>
      <c r="E99" s="371">
        <v>88</v>
      </c>
      <c r="F99" s="371" t="n">
        <v>110.0</v>
      </c>
      <c r="G99" s="9">
        <f t="shared" si="3"/>
        <v>1.4179961435569166E-4</v>
      </c>
    </row>
    <row r="100" spans="1:7" x14ac:dyDescent="0.45">
      <c r="A100">
        <v>89</v>
      </c>
      <c r="B100" s="6" t="n">
        <v>3949.6120293596</v>
      </c>
      <c r="C100" s="9">
        <f t="shared" si="2"/>
        <v>5.3790062788450534E-3</v>
      </c>
      <c r="E100" s="371">
        <v>89</v>
      </c>
      <c r="F100" s="371" t="n">
        <v>72.0</v>
      </c>
      <c r="G100" s="9">
        <f t="shared" si="3"/>
        <v>1.1014791472272479E-4</v>
      </c>
    </row>
    <row r="101" spans="1:7" ht="14.65" thickBot="1" x14ac:dyDescent="0.5">
      <c r="A101" s="1">
        <v>90</v>
      </c>
      <c r="B101" s="7" t="n">
        <v>28975.2719596653</v>
      </c>
      <c r="C101" s="9">
        <f t="shared" si="2"/>
        <v>3.9461640445619645E-2</v>
      </c>
      <c r="E101" s="372">
        <v>90</v>
      </c>
      <c r="F101" s="372" t="n">
        <v>5246.0</v>
      </c>
      <c r="G101" s="9">
        <f t="shared" si="3"/>
        <v>6.8848777041629582E-3</v>
      </c>
    </row>
    <row r="102" spans="1:7" x14ac:dyDescent="0.45">
      <c r="B102" s="6">
        <f>SUM(B11:B101)</f>
        <v>734264.25339805253</v>
      </c>
      <c r="C102" s="9">
        <f t="shared" si="2"/>
        <v>1</v>
      </c>
      <c r="F102" s="6">
        <f>SUM(F11:F101)</f>
        <v>789847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102"/>
  <sheetViews>
    <sheetView workbookViewId="0">
      <selection activeCell="H11" sqref="H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12.0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46892.4357219191</v>
      </c>
      <c r="C11" s="9">
        <f>B11/B$102</f>
        <v>3.1099722656476838E-2</v>
      </c>
      <c r="E11" s="371">
        <v>0</v>
      </c>
      <c r="F11" s="371" t="n">
        <v>189523.0</v>
      </c>
      <c r="G11" s="9">
        <f>F11/F$102</f>
        <v>0.11711799330722465</v>
      </c>
      <c r="K11" s="6" t="n">
        <v>7.033754560866467</v>
      </c>
      <c r="L11" s="6" t="n">
        <v>5.753865982032955</v>
      </c>
    </row>
    <row r="12" spans="1:12" x14ac:dyDescent="0.45">
      <c r="A12">
        <v>1</v>
      </c>
      <c r="B12" s="6" t="n">
        <v>109079.8315300552</v>
      </c>
      <c r="C12" s="9">
        <f>B12/B$102</f>
        <v>7.2343277882113408E-2</v>
      </c>
      <c r="E12" s="371">
        <v>1</v>
      </c>
      <c r="F12" s="371" t="n">
        <v>185267.0</v>
      </c>
      <c r="G12" s="9">
        <f>F12/F$102</f>
        <v>0.11514745291703164</v>
      </c>
      <c r="K12" s="6"/>
      <c r="L12" s="371"/>
    </row>
    <row r="13" spans="1:12" x14ac:dyDescent="0.45">
      <c r="A13">
        <v>2</v>
      </c>
      <c r="B13" s="6" t="n">
        <v>133096.2669498989</v>
      </c>
      <c r="C13" s="9">
        <f t="shared" ref="C13:C76" si="0">B13/B$102</f>
        <v>8.8271315512395809E-2</v>
      </c>
      <c r="E13" s="371">
        <v>2</v>
      </c>
      <c r="F13" s="371" t="n">
        <v>113876.0</v>
      </c>
      <c r="G13" s="9">
        <f t="shared" ref="G13:G76" si="1">F13/F$102</f>
        <v>7.0261132221339825E-2</v>
      </c>
    </row>
    <row r="14" spans="1:12" x14ac:dyDescent="0.45">
      <c r="A14">
        <v>3</v>
      </c>
      <c r="B14" s="6" t="n">
        <v>154626.071349364</v>
      </c>
      <c r="C14" s="9">
        <f t="shared" si="0"/>
        <v>0.10255018448909474</v>
      </c>
      <c r="E14" s="371">
        <v>3</v>
      </c>
      <c r="F14" s="371" t="n">
        <v>65803.0</v>
      </c>
      <c r="G14" s="9">
        <f t="shared" si="1"/>
        <v>4.0698690064536594E-2</v>
      </c>
    </row>
    <row r="15" spans="1:12" x14ac:dyDescent="0.45">
      <c r="A15">
        <v>4</v>
      </c>
      <c r="B15" s="6" t="n">
        <v>256586.7896236965</v>
      </c>
      <c r="C15" s="9">
        <f t="shared" si="0"/>
        <v>0.17017196636861229</v>
      </c>
      <c r="E15" s="371">
        <v>4</v>
      </c>
      <c r="F15" s="371" t="n">
        <v>281336.0</v>
      </c>
      <c r="G15" s="9">
        <f t="shared" si="1"/>
        <v>0.17383313159195629</v>
      </c>
    </row>
    <row r="16" spans="1:12" x14ac:dyDescent="0.45">
      <c r="A16">
        <v>5</v>
      </c>
      <c r="B16" s="6" t="n">
        <v>172612.6605739254</v>
      </c>
      <c r="C16" s="9">
        <f t="shared" si="0"/>
        <v>0.11447914334585042</v>
      </c>
      <c r="E16" s="371">
        <v>5</v>
      </c>
      <c r="F16" s="371" t="n">
        <v>159245.0</v>
      </c>
      <c r="G16" s="9">
        <f t="shared" si="1"/>
        <v>9.7988698353071779E-2</v>
      </c>
    </row>
    <row r="17" spans="1:7" x14ac:dyDescent="0.45">
      <c r="A17">
        <v>6</v>
      </c>
      <c r="B17" s="6" t="n">
        <v>164130.9573584652</v>
      </c>
      <c r="C17" s="9">
        <f t="shared" si="0"/>
        <v>0.10885395852457955</v>
      </c>
      <c r="E17" s="371">
        <v>6</v>
      </c>
      <c r="F17" s="371" t="n">
        <v>146724.0</v>
      </c>
      <c r="G17" s="9">
        <f t="shared" si="1"/>
        <v>9.1573446457177757E-2</v>
      </c>
    </row>
    <row r="18" spans="1:7" x14ac:dyDescent="0.45">
      <c r="A18">
        <v>7</v>
      </c>
      <c r="B18" s="6" t="n">
        <v>68863.8214740073</v>
      </c>
      <c r="C18" s="9">
        <f t="shared" si="0"/>
        <v>4.5671454594662562E-2</v>
      </c>
      <c r="E18" s="371">
        <v>7</v>
      </c>
      <c r="F18" s="371" t="n">
        <v>82558.0</v>
      </c>
      <c r="G18" s="9">
        <f t="shared" si="1"/>
        <v>5.6778324427391072E-2</v>
      </c>
    </row>
    <row r="19" spans="1:7" x14ac:dyDescent="0.45">
      <c r="A19">
        <v>8</v>
      </c>
      <c r="B19" s="6" t="n">
        <v>61903.3181778475</v>
      </c>
      <c r="C19" s="9">
        <f t="shared" si="0"/>
        <v>4.1055150947230626E-2</v>
      </c>
      <c r="E19" s="371">
        <v>8</v>
      </c>
      <c r="F19" s="371" t="n">
        <v>127159.0</v>
      </c>
      <c r="G19" s="9">
        <f t="shared" si="1"/>
        <v>7.4594338769406507E-2</v>
      </c>
    </row>
    <row r="20" spans="1:7" x14ac:dyDescent="0.45">
      <c r="A20">
        <v>9</v>
      </c>
      <c r="B20" s="6" t="n">
        <v>49275.3056779097</v>
      </c>
      <c r="C20" s="9">
        <f t="shared" si="0"/>
        <v>3.2680075513326176E-2</v>
      </c>
      <c r="E20" s="371">
        <v>9</v>
      </c>
      <c r="F20" s="371" t="n">
        <v>47182.0</v>
      </c>
      <c r="G20" s="9">
        <f t="shared" si="1"/>
        <v>3.0102621729342777E-2</v>
      </c>
    </row>
    <row r="21" spans="1:7" x14ac:dyDescent="0.45">
      <c r="A21">
        <v>10</v>
      </c>
      <c r="B21" s="6" t="n">
        <v>66157.7538626476</v>
      </c>
      <c r="C21" s="9">
        <f t="shared" si="0"/>
        <v>4.3876752508764667E-2</v>
      </c>
      <c r="E21" s="371">
        <v>10</v>
      </c>
      <c r="F21" s="371" t="n">
        <v>35501.0</v>
      </c>
      <c r="G21" s="9">
        <f t="shared" si="1"/>
        <v>2.0236291394666841E-2</v>
      </c>
    </row>
    <row r="22" spans="1:7" x14ac:dyDescent="0.45">
      <c r="A22">
        <v>11</v>
      </c>
      <c r="B22" s="6" t="n">
        <v>16483.2266288365</v>
      </c>
      <c r="C22" s="9">
        <f t="shared" si="0"/>
        <v>1.0931907646696442E-2</v>
      </c>
      <c r="E22" s="371">
        <v>11</v>
      </c>
      <c r="F22" s="371" t="n">
        <v>42128.0</v>
      </c>
      <c r="G22" s="9">
        <f t="shared" si="1"/>
        <v>2.277364865283427E-2</v>
      </c>
    </row>
    <row r="23" spans="1:7" x14ac:dyDescent="0.45">
      <c r="A23">
        <v>12</v>
      </c>
      <c r="B23" s="6" t="n">
        <v>40286.6637936804</v>
      </c>
      <c r="C23" s="9">
        <f t="shared" si="0"/>
        <v>2.6718681839607194E-2</v>
      </c>
      <c r="E23" s="371">
        <v>12</v>
      </c>
      <c r="F23" s="371" t="n">
        <v>22272.0</v>
      </c>
      <c r="G23" s="9">
        <f t="shared" si="1"/>
        <v>1.5419896696851471E-2</v>
      </c>
    </row>
    <row r="24" spans="1:7" x14ac:dyDescent="0.45">
      <c r="A24">
        <v>13</v>
      </c>
      <c r="B24" s="6" t="n">
        <v>14585.6770835197</v>
      </c>
      <c r="C24" s="9">
        <f t="shared" si="0"/>
        <v>9.6734261095838079E-3</v>
      </c>
      <c r="E24" s="371">
        <v>13</v>
      </c>
      <c r="F24" s="371" t="n">
        <v>21085.0</v>
      </c>
      <c r="G24" s="9">
        <f t="shared" si="1"/>
        <v>1.2772273425023448E-2</v>
      </c>
    </row>
    <row r="25" spans="1:7" x14ac:dyDescent="0.45">
      <c r="A25">
        <v>14</v>
      </c>
      <c r="B25" s="6" t="n">
        <v>14593.1892177672</v>
      </c>
      <c r="C25" s="9">
        <f t="shared" si="0"/>
        <v>9.6784082626338412E-3</v>
      </c>
      <c r="E25" s="371">
        <v>14</v>
      </c>
      <c r="F25" s="371" t="n">
        <v>15159.0</v>
      </c>
      <c r="G25" s="9">
        <f t="shared" si="1"/>
        <v>1.0817219834501865E-2</v>
      </c>
    </row>
    <row r="26" spans="1:7" x14ac:dyDescent="0.45">
      <c r="A26">
        <v>15</v>
      </c>
      <c r="B26" s="6" t="n">
        <v>19685.263857825</v>
      </c>
      <c r="C26" s="9">
        <f t="shared" si="0"/>
        <v>1.3055543756106468E-2</v>
      </c>
      <c r="E26" s="371">
        <v>15</v>
      </c>
      <c r="F26" s="371" t="n">
        <v>16905.0</v>
      </c>
      <c r="G26" s="9">
        <f t="shared" si="1"/>
        <v>1.0231818806921733E-2</v>
      </c>
    </row>
    <row r="27" spans="1:7" x14ac:dyDescent="0.45">
      <c r="A27">
        <v>16</v>
      </c>
      <c r="B27" s="6" t="n">
        <v>20332.6391129126</v>
      </c>
      <c r="C27" s="9">
        <f t="shared" si="0"/>
        <v>1.3484892127073671E-2</v>
      </c>
      <c r="E27" s="371">
        <v>16</v>
      </c>
      <c r="F27" s="371" t="n">
        <v>15694.0</v>
      </c>
      <c r="G27" s="9">
        <f t="shared" si="1"/>
        <v>9.5311959897861464E-3</v>
      </c>
    </row>
    <row r="28" spans="1:7" x14ac:dyDescent="0.45">
      <c r="A28">
        <v>17</v>
      </c>
      <c r="B28" s="6" t="n">
        <v>11172.1478921238</v>
      </c>
      <c r="C28" s="9">
        <f t="shared" si="0"/>
        <v>7.4095255572271829E-3</v>
      </c>
      <c r="E28" s="371">
        <v>17</v>
      </c>
      <c r="F28" s="371" t="n">
        <v>11910.0</v>
      </c>
      <c r="G28" s="9">
        <f t="shared" si="1"/>
        <v>6.1711799330722468E-3</v>
      </c>
    </row>
    <row r="29" spans="1:7" x14ac:dyDescent="0.45">
      <c r="A29">
        <v>18</v>
      </c>
      <c r="B29" s="6" t="n">
        <v>9152.3354712999</v>
      </c>
      <c r="C29" s="9">
        <f t="shared" si="0"/>
        <v>6.06995756211943E-3</v>
      </c>
      <c r="E29" s="371">
        <v>18</v>
      </c>
      <c r="F29" s="371" t="n">
        <v>7392.0</v>
      </c>
      <c r="G29" s="9">
        <f t="shared" si="1"/>
        <v>4.7990494821833658E-3</v>
      </c>
    </row>
    <row r="30" spans="1:7" x14ac:dyDescent="0.45">
      <c r="A30">
        <v>19</v>
      </c>
      <c r="B30" s="6" t="n">
        <v>5583.9625618093005</v>
      </c>
      <c r="C30" s="9">
        <f t="shared" si="0"/>
        <v>3.7033624788921932E-3</v>
      </c>
      <c r="E30" s="371">
        <v>19</v>
      </c>
      <c r="F30" s="371" t="n">
        <v>5094.0</v>
      </c>
      <c r="G30" s="9">
        <f t="shared" si="1"/>
        <v>3.3166530176338897E-3</v>
      </c>
    </row>
    <row r="31" spans="1:7" x14ac:dyDescent="0.45">
      <c r="A31">
        <v>20</v>
      </c>
      <c r="B31" s="6" t="n">
        <v>5997.6909733095</v>
      </c>
      <c r="C31" s="9">
        <f t="shared" si="0"/>
        <v>3.9777529782269614E-3</v>
      </c>
      <c r="E31" s="371">
        <v>20</v>
      </c>
      <c r="F31" s="371" t="n">
        <v>4258.0</v>
      </c>
      <c r="G31" s="9">
        <f t="shared" si="1"/>
        <v>2.4667374516656984E-3</v>
      </c>
    </row>
    <row r="32" spans="1:7" x14ac:dyDescent="0.45">
      <c r="A32">
        <v>21</v>
      </c>
      <c r="B32" s="6" t="n">
        <v>3107.1403064461</v>
      </c>
      <c r="C32" s="9">
        <f t="shared" si="0"/>
        <v>2.0606991361735876E-3</v>
      </c>
      <c r="E32" s="371">
        <v>21</v>
      </c>
      <c r="F32" s="371" t="n">
        <v>3278.0</v>
      </c>
      <c r="G32" s="9">
        <f t="shared" si="1"/>
        <v>2.1359394106839095E-3</v>
      </c>
    </row>
    <row r="33" spans="1:7" x14ac:dyDescent="0.45">
      <c r="A33">
        <v>22</v>
      </c>
      <c r="B33" s="6" t="n">
        <v>4275.4246781911</v>
      </c>
      <c r="C33" s="9">
        <f t="shared" si="0"/>
        <v>2.8355217570463684E-3</v>
      </c>
      <c r="E33" s="371">
        <v>22</v>
      </c>
      <c r="F33" s="371" t="n">
        <v>2801.0</v>
      </c>
      <c r="G33" s="9">
        <f t="shared" si="1"/>
        <v>1.4811575205757621E-3</v>
      </c>
    </row>
    <row r="34" spans="1:7" x14ac:dyDescent="0.45">
      <c r="A34">
        <v>23</v>
      </c>
      <c r="B34" s="6" t="n">
        <v>3513.8519921847</v>
      </c>
      <c r="C34" s="9">
        <f t="shared" si="0"/>
        <v>2.3304360443313831E-3</v>
      </c>
      <c r="E34" s="371">
        <v>23</v>
      </c>
      <c r="F34" s="371" t="n">
        <v>2404.0</v>
      </c>
      <c r="G34" s="9">
        <f t="shared" si="1"/>
        <v>1.6508928449746575E-3</v>
      </c>
    </row>
    <row r="35" spans="1:7" x14ac:dyDescent="0.45">
      <c r="A35">
        <v>24</v>
      </c>
      <c r="B35" s="6" t="n">
        <v>9946.7736566009</v>
      </c>
      <c r="C35" s="9">
        <f t="shared" si="0"/>
        <v>6.5968401360401337E-3</v>
      </c>
      <c r="E35" s="371">
        <v>24</v>
      </c>
      <c r="F35" s="371" t="n">
        <v>1926.0</v>
      </c>
      <c r="G35" s="9">
        <f t="shared" si="1"/>
        <v>1.266200741136285E-3</v>
      </c>
    </row>
    <row r="36" spans="1:7" x14ac:dyDescent="0.45">
      <c r="A36">
        <v>25</v>
      </c>
      <c r="B36" s="6" t="n">
        <v>2540.727809961</v>
      </c>
      <c r="C36" s="9">
        <f t="shared" si="0"/>
        <v>1.6850464050100554E-3</v>
      </c>
      <c r="E36" s="371">
        <v>25</v>
      </c>
      <c r="F36" s="371" t="n">
        <v>2658.0</v>
      </c>
      <c r="G36" s="9">
        <f t="shared" si="1"/>
        <v>1.6261139655003661E-3</v>
      </c>
    </row>
    <row r="37" spans="1:7" x14ac:dyDescent="0.45">
      <c r="A37">
        <v>26</v>
      </c>
      <c r="B37" s="6" t="n">
        <v>9469.253023868</v>
      </c>
      <c r="C37" s="9">
        <f t="shared" si="0"/>
        <v>6.2801417386950612E-3</v>
      </c>
      <c r="E37" s="371">
        <v>26</v>
      </c>
      <c r="F37" s="371" t="n">
        <v>1286.0</v>
      </c>
      <c r="G37" s="9">
        <f t="shared" si="1"/>
        <v>7.8115417542703298E-4</v>
      </c>
    </row>
    <row r="38" spans="1:7" x14ac:dyDescent="0.45">
      <c r="A38">
        <v>27</v>
      </c>
      <c r="B38" s="6" t="n">
        <v>1765.643180772</v>
      </c>
      <c r="C38" s="9">
        <f t="shared" si="0"/>
        <v>1.1709993816047723E-3</v>
      </c>
      <c r="E38" s="371">
        <v>27</v>
      </c>
      <c r="F38" s="371" t="n">
        <v>1043.0</v>
      </c>
      <c r="G38" s="9">
        <f t="shared" si="1"/>
        <v>6.1513568294928138E-4</v>
      </c>
    </row>
    <row r="39" spans="1:7" x14ac:dyDescent="0.45">
      <c r="A39">
        <v>28</v>
      </c>
      <c r="B39" s="6" t="n">
        <v>638.5252072000001</v>
      </c>
      <c r="C39" s="9">
        <f t="shared" si="0"/>
        <v>4.2347889478061671E-4</v>
      </c>
      <c r="E39" s="371">
        <v>28</v>
      </c>
      <c r="F39" s="371" t="n">
        <v>792.0</v>
      </c>
      <c r="G39" s="9">
        <f t="shared" si="1"/>
        <v>5.1973699697325983E-4</v>
      </c>
    </row>
    <row r="40" spans="1:7" x14ac:dyDescent="0.45">
      <c r="A40">
        <v>29</v>
      </c>
      <c r="B40" s="6" t="n">
        <v>550.7575783498</v>
      </c>
      <c r="C40" s="9">
        <f t="shared" si="0"/>
        <v>3.6527016935537858E-4</v>
      </c>
      <c r="E40" s="371">
        <v>29</v>
      </c>
      <c r="F40" s="371" t="n">
        <v>707.0</v>
      </c>
      <c r="G40" s="9">
        <f t="shared" si="1"/>
        <v>4.2743567093152479E-4</v>
      </c>
    </row>
    <row r="41" spans="1:7" x14ac:dyDescent="0.45">
      <c r="A41">
        <v>30</v>
      </c>
      <c r="B41" s="6" t="n">
        <v>361.506881163</v>
      </c>
      <c r="C41" s="9">
        <f t="shared" si="0"/>
        <v>2.3975644620486167E-4</v>
      </c>
      <c r="E41" s="371">
        <v>30</v>
      </c>
      <c r="F41" s="371" t="n">
        <v>629.0</v>
      </c>
      <c r="G41" s="9">
        <f t="shared" si="1"/>
        <v>3.7292213608808398E-4</v>
      </c>
    </row>
    <row r="42" spans="1:7" x14ac:dyDescent="0.45">
      <c r="A42">
        <v>31</v>
      </c>
      <c r="B42" s="6" t="n">
        <v>1676.031328635</v>
      </c>
      <c r="C42" s="9">
        <f t="shared" si="0"/>
        <v>1.111567541366812E-3</v>
      </c>
      <c r="E42" s="371">
        <v>31</v>
      </c>
      <c r="F42" s="371" t="n">
        <v>635.0</v>
      </c>
      <c r="G42" s="9">
        <f t="shared" si="1"/>
        <v>3.7354160807494122E-4</v>
      </c>
    </row>
    <row r="43" spans="1:7" x14ac:dyDescent="0.45">
      <c r="A43">
        <v>32</v>
      </c>
      <c r="B43" s="6" t="n">
        <v>1387.7529686497</v>
      </c>
      <c r="C43" s="9">
        <f t="shared" si="0"/>
        <v>9.2037727996573712E-4</v>
      </c>
      <c r="E43" s="371">
        <v>32</v>
      </c>
      <c r="F43" s="371" t="n">
        <v>429.0</v>
      </c>
      <c r="G43" s="9">
        <f t="shared" si="1"/>
        <v>2.6079770646691584E-4</v>
      </c>
    </row>
    <row r="44" spans="1:7" x14ac:dyDescent="0.45">
      <c r="A44">
        <v>33</v>
      </c>
      <c r="B44" s="6" t="n">
        <v>1376.858994262</v>
      </c>
      <c r="C44" s="9">
        <f t="shared" si="0"/>
        <v>9.1315224298763303E-4</v>
      </c>
      <c r="E44" s="371">
        <v>33</v>
      </c>
      <c r="F44" s="371" t="n">
        <v>347.0</v>
      </c>
      <c r="G44" s="9">
        <f t="shared" si="1"/>
        <v>2.5336404262462845E-4</v>
      </c>
    </row>
    <row r="45" spans="1:7" x14ac:dyDescent="0.45">
      <c r="A45">
        <v>34</v>
      </c>
      <c r="B45" s="6" t="n">
        <v>2187.712304919</v>
      </c>
      <c r="C45" s="9">
        <f t="shared" si="0"/>
        <v>1.4509215588334153E-3</v>
      </c>
      <c r="E45" s="371">
        <v>34</v>
      </c>
      <c r="F45" s="371" t="n">
        <v>312.0</v>
      </c>
      <c r="G45" s="9">
        <f t="shared" si="1"/>
        <v>2.2796569116347989E-4</v>
      </c>
    </row>
    <row r="46" spans="1:7" x14ac:dyDescent="0.45">
      <c r="A46">
        <v>35</v>
      </c>
      <c r="B46" s="6" t="n">
        <v>1254.4259388314</v>
      </c>
      <c r="C46" s="9">
        <f t="shared" si="0"/>
        <v>8.3195291927459965E-4</v>
      </c>
      <c r="E46" s="371">
        <v>35</v>
      </c>
      <c r="F46" s="371" t="n">
        <v>256.0</v>
      </c>
      <c r="G46" s="9">
        <f t="shared" si="1"/>
        <v>1.8088582016232644E-4</v>
      </c>
    </row>
    <row r="47" spans="1:7" x14ac:dyDescent="0.45">
      <c r="A47">
        <v>36</v>
      </c>
      <c r="B47" s="6" t="n">
        <v>1401.576476306</v>
      </c>
      <c r="C47" s="9">
        <f t="shared" si="0"/>
        <v>9.2954522459544331E-4</v>
      </c>
      <c r="E47" s="371">
        <v>36</v>
      </c>
      <c r="F47" s="371" t="n">
        <v>320.0</v>
      </c>
      <c r="G47" s="9">
        <f t="shared" si="1"/>
        <v>1.8336370810975556E-4</v>
      </c>
    </row>
    <row r="48" spans="1:7" x14ac:dyDescent="0.45">
      <c r="A48">
        <v>37</v>
      </c>
      <c r="B48" s="6" t="n">
        <v>435.6266693499</v>
      </c>
      <c r="C48" s="9">
        <f t="shared" si="0"/>
        <v>2.8891373181994684E-4</v>
      </c>
      <c r="E48" s="371">
        <v>37</v>
      </c>
      <c r="F48" s="371" t="n">
        <v>219.0</v>
      </c>
      <c r="G48" s="9">
        <f t="shared" si="1"/>
        <v>1.4185908499031767E-4</v>
      </c>
    </row>
    <row r="49" spans="1:7" x14ac:dyDescent="0.45">
      <c r="A49">
        <v>38</v>
      </c>
      <c r="B49" s="6" t="n">
        <v>627.269960355</v>
      </c>
      <c r="C49" s="9">
        <f t="shared" si="0"/>
        <v>4.1601425682950957E-4</v>
      </c>
      <c r="E49" s="371">
        <v>38</v>
      </c>
      <c r="F49" s="371" t="n">
        <v>233.0</v>
      </c>
      <c r="G49" s="9">
        <f t="shared" si="1"/>
        <v>1.3194753320060115E-4</v>
      </c>
    </row>
    <row r="50" spans="1:7" x14ac:dyDescent="0.45">
      <c r="A50">
        <v>39</v>
      </c>
      <c r="B50" s="6" t="n">
        <v>1276.819868687</v>
      </c>
      <c r="C50" s="9">
        <f t="shared" si="0"/>
        <v>8.4680488840300691E-4</v>
      </c>
      <c r="E50" s="371">
        <v>39</v>
      </c>
      <c r="F50" s="371" t="n">
        <v>199.0</v>
      </c>
      <c r="G50" s="9">
        <f t="shared" si="1"/>
        <v>1.6416007651717983E-4</v>
      </c>
    </row>
    <row r="51" spans="1:7" x14ac:dyDescent="0.45">
      <c r="A51">
        <v>40</v>
      </c>
      <c r="B51" s="6" t="n">
        <v>0.0</v>
      </c>
      <c r="C51" s="9">
        <f t="shared" si="0"/>
        <v>0</v>
      </c>
      <c r="E51" s="371">
        <v>40</v>
      </c>
      <c r="F51" s="371" t="n">
        <v>147.0</v>
      </c>
      <c r="G51" s="9">
        <f t="shared" si="1"/>
        <v>7.9911886304589414E-5</v>
      </c>
    </row>
    <row r="52" spans="1:7" x14ac:dyDescent="0.45">
      <c r="A52">
        <v>41</v>
      </c>
      <c r="B52" s="6" t="n">
        <v>1460.3671165790001</v>
      </c>
      <c r="C52" s="9">
        <f t="shared" si="0"/>
        <v>9.6853600379338464E-4</v>
      </c>
      <c r="E52" s="371">
        <v>41</v>
      </c>
      <c r="F52" s="371" t="n">
        <v>113.0</v>
      </c>
      <c r="G52" s="9">
        <f t="shared" si="1"/>
        <v>6.1327726698870951E-5</v>
      </c>
    </row>
    <row r="53" spans="1:7" x14ac:dyDescent="0.45">
      <c r="A53">
        <v>42</v>
      </c>
      <c r="B53" s="6" t="n">
        <v>435.7994321551</v>
      </c>
      <c r="C53" s="9">
        <f t="shared" si="0"/>
        <v>2.8902831054131964E-4</v>
      </c>
      <c r="E53" s="371">
        <v>42</v>
      </c>
      <c r="F53" s="371" t="n">
        <v>82.0</v>
      </c>
      <c r="G53" s="9">
        <f t="shared" si="1"/>
        <v>4.5840927027438891E-5</v>
      </c>
    </row>
    <row r="54" spans="1:7" x14ac:dyDescent="0.45">
      <c r="A54">
        <v>43</v>
      </c>
      <c r="B54" s="6" t="n">
        <v>1712.091986692</v>
      </c>
      <c r="C54" s="9">
        <f t="shared" si="0"/>
        <v>1.13548347678619E-3</v>
      </c>
      <c r="E54" s="371">
        <v>43</v>
      </c>
      <c r="F54" s="371" t="n">
        <v>77.0</v>
      </c>
      <c r="G54" s="9">
        <f t="shared" si="1"/>
        <v>5.1416174909154431E-5</v>
      </c>
    </row>
    <row r="55" spans="1:7" x14ac:dyDescent="0.45">
      <c r="A55">
        <v>44</v>
      </c>
      <c r="B55" s="6" t="n">
        <v>4102.962444131</v>
      </c>
      <c r="C55" s="9">
        <f t="shared" si="0"/>
        <v>2.7211423786794135E-3</v>
      </c>
      <c r="E55" s="371">
        <v>44</v>
      </c>
      <c r="F55" s="371" t="n">
        <v>60.0</v>
      </c>
      <c r="G55" s="9">
        <f t="shared" si="1"/>
        <v>4.274356709315248E-5</v>
      </c>
    </row>
    <row r="56" spans="1:7" x14ac:dyDescent="0.45">
      <c r="A56">
        <v>45</v>
      </c>
      <c r="B56" s="6" t="n">
        <v>0.0</v>
      </c>
      <c r="C56" s="9">
        <f t="shared" si="0"/>
        <v>0</v>
      </c>
      <c r="E56" s="371">
        <v>45</v>
      </c>
      <c r="F56" s="371" t="n">
        <v>70.0</v>
      </c>
      <c r="G56" s="9">
        <f t="shared" si="1"/>
        <v>4.7079871001153459E-5</v>
      </c>
    </row>
    <row r="57" spans="1:7" x14ac:dyDescent="0.45">
      <c r="A57">
        <v>46</v>
      </c>
      <c r="B57" s="6" t="n">
        <v>0.0</v>
      </c>
      <c r="C57" s="9">
        <f t="shared" si="0"/>
        <v>0</v>
      </c>
      <c r="E57" s="371">
        <v>46</v>
      </c>
      <c r="F57" s="371" t="n">
        <v>53.0</v>
      </c>
      <c r="G57" s="9">
        <f t="shared" si="1"/>
        <v>3.964620715886607E-5</v>
      </c>
    </row>
    <row r="58" spans="1:7" x14ac:dyDescent="0.45">
      <c r="A58">
        <v>47</v>
      </c>
      <c r="B58" s="6" t="n">
        <v>803.505355967</v>
      </c>
      <c r="C58" s="9">
        <f t="shared" si="0"/>
        <v>5.3289604898657027E-4</v>
      </c>
      <c r="E58" s="371">
        <v>47</v>
      </c>
      <c r="F58" s="371" t="n">
        <v>49.0</v>
      </c>
      <c r="G58" s="9">
        <f t="shared" si="1"/>
        <v>3.407095927715053E-5</v>
      </c>
    </row>
    <row r="59" spans="1:7" x14ac:dyDescent="0.45">
      <c r="A59">
        <v>48</v>
      </c>
      <c r="B59" s="6" t="n">
        <v>0.0</v>
      </c>
      <c r="C59" s="9">
        <f t="shared" si="0"/>
        <v>0</v>
      </c>
      <c r="E59" s="371">
        <v>48</v>
      </c>
      <c r="F59" s="371" t="n">
        <v>32.0</v>
      </c>
      <c r="G59" s="9">
        <f t="shared" si="1"/>
        <v>1.4247855697717493E-5</v>
      </c>
    </row>
    <row r="60" spans="1:7" x14ac:dyDescent="0.45">
      <c r="A60">
        <v>49</v>
      </c>
      <c r="B60" s="6" t="n">
        <v>0.0</v>
      </c>
      <c r="C60" s="9">
        <f t="shared" si="0"/>
        <v>0</v>
      </c>
      <c r="E60" s="371">
        <v>49</v>
      </c>
      <c r="F60" s="371" t="n">
        <v>31.0</v>
      </c>
      <c r="G60" s="9">
        <f t="shared" si="1"/>
        <v>1.548679967143206E-5</v>
      </c>
    </row>
    <row r="61" spans="1:7" x14ac:dyDescent="0.45">
      <c r="A61">
        <v>50</v>
      </c>
      <c r="B61" s="6" t="n">
        <v>0.0</v>
      </c>
      <c r="C61" s="9">
        <f t="shared" si="0"/>
        <v>0</v>
      </c>
      <c r="E61" s="371">
        <v>50</v>
      </c>
      <c r="F61" s="371" t="n">
        <v>23.0</v>
      </c>
      <c r="G61" s="9">
        <f t="shared" si="1"/>
        <v>2.1681519540004881E-5</v>
      </c>
    </row>
    <row r="62" spans="1:7" x14ac:dyDescent="0.45">
      <c r="A62">
        <v>51</v>
      </c>
      <c r="B62" s="6" t="n">
        <v>387.674382174</v>
      </c>
      <c r="C62" s="9">
        <f t="shared" si="0"/>
        <v>2.5711110077817446E-4</v>
      </c>
      <c r="E62" s="371">
        <v>51</v>
      </c>
      <c r="F62" s="371" t="n">
        <v>31.0</v>
      </c>
      <c r="G62" s="9">
        <f t="shared" si="1"/>
        <v>2.2300991526862165E-5</v>
      </c>
    </row>
    <row r="63" spans="1:7" x14ac:dyDescent="0.45">
      <c r="A63">
        <v>52</v>
      </c>
      <c r="B63" s="6" t="n">
        <v>181.031838601</v>
      </c>
      <c r="C63" s="9">
        <f t="shared" si="0"/>
        <v>1.200628605831091E-4</v>
      </c>
      <c r="E63" s="371">
        <v>52</v>
      </c>
      <c r="F63" s="371" t="n">
        <v>26.0</v>
      </c>
      <c r="G63" s="9">
        <f t="shared" si="1"/>
        <v>1.7345215632003905E-5</v>
      </c>
    </row>
    <row r="64" spans="1:7" x14ac:dyDescent="0.45">
      <c r="A64">
        <v>53</v>
      </c>
      <c r="B64" s="6" t="n">
        <v>706.8156593735</v>
      </c>
      <c r="C64" s="9">
        <f t="shared" si="0"/>
        <v>4.6877008279387877E-4</v>
      </c>
      <c r="E64" s="371">
        <v>53</v>
      </c>
      <c r="F64" s="371" t="n">
        <v>16.0</v>
      </c>
      <c r="G64" s="9">
        <f t="shared" si="1"/>
        <v>8.6726078160019526E-6</v>
      </c>
    </row>
    <row r="65" spans="1:7" x14ac:dyDescent="0.45">
      <c r="A65">
        <v>54</v>
      </c>
      <c r="B65" s="6" t="n">
        <v>1175.904314993</v>
      </c>
      <c r="C65" s="9">
        <f t="shared" si="0"/>
        <v>7.7987627436769077E-4</v>
      </c>
      <c r="E65" s="371">
        <v>54</v>
      </c>
      <c r="F65" s="371" t="n">
        <v>16.0</v>
      </c>
      <c r="G65" s="9">
        <f t="shared" si="1"/>
        <v>1.05310237765738E-5</v>
      </c>
    </row>
    <row r="66" spans="1:7" x14ac:dyDescent="0.4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11.0</v>
      </c>
      <c r="G66" s="9">
        <f t="shared" si="1"/>
        <v>8.6726078160019526E-6</v>
      </c>
    </row>
    <row r="67" spans="1:7" x14ac:dyDescent="0.45">
      <c r="A67">
        <v>56</v>
      </c>
      <c r="B67" s="6" t="n">
        <v>1829.478686078</v>
      </c>
      <c r="C67" s="9">
        <f t="shared" si="0"/>
        <v>1.2133359862210404E-3</v>
      </c>
      <c r="E67" s="371">
        <v>56</v>
      </c>
      <c r="F67" s="371" t="n">
        <v>6.0</v>
      </c>
      <c r="G67" s="9">
        <f t="shared" si="1"/>
        <v>7.4336638422873877E-6</v>
      </c>
    </row>
    <row r="68" spans="1:7" x14ac:dyDescent="0.45">
      <c r="A68">
        <v>57</v>
      </c>
      <c r="B68" s="6" t="n">
        <v>542.140045727</v>
      </c>
      <c r="C68" s="9">
        <f t="shared" si="0"/>
        <v>3.5955490056146204E-4</v>
      </c>
      <c r="E68" s="371">
        <v>57</v>
      </c>
      <c r="F68" s="371" t="n">
        <v>10.0</v>
      </c>
      <c r="G68" s="9">
        <f t="shared" si="1"/>
        <v>4.3363039080009763E-6</v>
      </c>
    </row>
    <row r="69" spans="1:7" x14ac:dyDescent="0.4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6.0</v>
      </c>
      <c r="G69" s="9">
        <f t="shared" si="1"/>
        <v>8.0531358291446701E-6</v>
      </c>
    </row>
    <row r="70" spans="1:7" x14ac:dyDescent="0.4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6.0</v>
      </c>
      <c r="G70" s="9">
        <f t="shared" si="1"/>
        <v>7.4336638422873877E-6</v>
      </c>
    </row>
    <row r="71" spans="1:7" x14ac:dyDescent="0.4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5.0</v>
      </c>
      <c r="G71" s="9">
        <f t="shared" si="1"/>
        <v>1.8584159605718469E-6</v>
      </c>
    </row>
    <row r="72" spans="1:7" x14ac:dyDescent="0.4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2.0</v>
      </c>
      <c r="G72" s="9">
        <f t="shared" si="1"/>
        <v>6.1947198685728234E-7</v>
      </c>
    </row>
    <row r="73" spans="1:7" x14ac:dyDescent="0.4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6.0</v>
      </c>
      <c r="G73" s="9">
        <f t="shared" si="1"/>
        <v>3.0973599342864118E-6</v>
      </c>
    </row>
    <row r="74" spans="1:7" x14ac:dyDescent="0.4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6.1947198685728234E-7</v>
      </c>
    </row>
    <row r="75" spans="1:7" x14ac:dyDescent="0.4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3.0</v>
      </c>
      <c r="G75" s="9">
        <f t="shared" si="1"/>
        <v>6.1947198685728234E-7</v>
      </c>
    </row>
    <row r="76" spans="1:7" x14ac:dyDescent="0.4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3.0</v>
      </c>
      <c r="G76" s="9">
        <f t="shared" si="1"/>
        <v>1.2389439737145647E-6</v>
      </c>
    </row>
    <row r="77" spans="1:7" x14ac:dyDescent="0.4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2.0</v>
      </c>
      <c r="G77" s="9">
        <f t="shared" ref="G77:G102" si="3">F77/F$102</f>
        <v>1.8584159605718469E-6</v>
      </c>
    </row>
    <row r="78" spans="1:7" x14ac:dyDescent="0.4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2.0</v>
      </c>
      <c r="G78" s="9">
        <f t="shared" si="3"/>
        <v>1.2389439737145647E-6</v>
      </c>
    </row>
    <row r="79" spans="1:7" x14ac:dyDescent="0.4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5.0</v>
      </c>
      <c r="G79" s="9">
        <f t="shared" si="3"/>
        <v>1.2389439737145647E-6</v>
      </c>
    </row>
    <row r="80" spans="1:7" x14ac:dyDescent="0.4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1.8584159605718469E-6</v>
      </c>
    </row>
    <row r="81" spans="1:7" x14ac:dyDescent="0.4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1.8584159605718469E-6</v>
      </c>
    </row>
    <row r="82" spans="1:7" x14ac:dyDescent="0.45">
      <c r="A82">
        <v>71</v>
      </c>
      <c r="B82" s="6" t="n">
        <v>215.6958943</v>
      </c>
      <c r="C82" s="9">
        <f t="shared" si="2"/>
        <v>1.4305254968308587E-4</v>
      </c>
      <c r="E82" s="371">
        <v>71</v>
      </c>
      <c r="F82" s="371" t="n">
        <v>0.0</v>
      </c>
      <c r="G82" s="9">
        <f t="shared" si="3"/>
        <v>1.2389439737145647E-6</v>
      </c>
    </row>
    <row r="83" spans="1:7" x14ac:dyDescent="0.45">
      <c r="A83">
        <v>72</v>
      </c>
      <c r="B83" s="6" t="n">
        <v>4605.9932193</v>
      </c>
      <c r="C83" s="9">
        <f t="shared" si="2"/>
        <v>3.05475946114877E-3</v>
      </c>
      <c r="E83" s="371">
        <v>72</v>
      </c>
      <c r="F83" s="371" t="n">
        <v>0.0</v>
      </c>
      <c r="G83" s="9">
        <f t="shared" si="3"/>
        <v>1.8584159605718469E-6</v>
      </c>
    </row>
    <row r="84" spans="1:7" x14ac:dyDescent="0.4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6.1947198685728234E-7</v>
      </c>
    </row>
    <row r="85" spans="1:7" x14ac:dyDescent="0.4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1.2389439737145647E-6</v>
      </c>
    </row>
    <row r="86" spans="1:7" x14ac:dyDescent="0.4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6.1947198685728234E-7</v>
      </c>
    </row>
    <row r="87" spans="1:7" x14ac:dyDescent="0.4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6.1947198685728234E-7</v>
      </c>
    </row>
    <row r="88" spans="1:7" x14ac:dyDescent="0.4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4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1.0</v>
      </c>
      <c r="G89" s="9">
        <f t="shared" si="3"/>
        <v>0</v>
      </c>
    </row>
    <row r="90" spans="1:7" x14ac:dyDescent="0.4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4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4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4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4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6.1947198685728234E-7</v>
      </c>
    </row>
    <row r="95" spans="1:7" x14ac:dyDescent="0.4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4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4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45">
      <c r="A98">
        <v>87</v>
      </c>
      <c r="B98" s="6" t="n">
        <v>757.659074414</v>
      </c>
      <c r="C98" s="9">
        <f t="shared" si="2"/>
        <v>5.0249015048335849E-4</v>
      </c>
      <c r="E98" s="371">
        <v>87</v>
      </c>
      <c r="F98" s="371" t="n">
        <v>0.0</v>
      </c>
      <c r="G98" s="9">
        <f t="shared" si="3"/>
        <v>0</v>
      </c>
    </row>
    <row r="99" spans="1:7" x14ac:dyDescent="0.4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4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4.65" thickBot="1" x14ac:dyDescent="0.5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1.0</v>
      </c>
      <c r="G101" s="9">
        <f t="shared" si="3"/>
        <v>2.4778879474291294E-6</v>
      </c>
    </row>
    <row r="102" spans="1:7" x14ac:dyDescent="0.45">
      <c r="B102" s="6">
        <f>SUM(B11:B101)</f>
        <v>1507808.8071680365</v>
      </c>
      <c r="C102" s="9">
        <f t="shared" si="2"/>
        <v>1</v>
      </c>
      <c r="F102" s="6">
        <f>SUM(F11:F101)</f>
        <v>1614278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102"/>
  <sheetViews>
    <sheetView workbookViewId="0">
      <selection activeCell="H24" sqref="H24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3948.0</v>
      </c>
      <c r="G11" s="9">
        <f>F11/F$102</f>
        <v>2.541074090088572E-3</v>
      </c>
      <c r="K11" s="6" t="n">
        <v>40.889498506544584</v>
      </c>
      <c r="L11" s="6" t="n">
        <v>26.968262389083474</v>
      </c>
    </row>
    <row r="12" spans="1:12" x14ac:dyDescent="0.4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15933.0</v>
      </c>
      <c r="G12" s="9">
        <f>F12/F$102</f>
        <v>9.8743834705050798E-3</v>
      </c>
      <c r="K12" s="6"/>
      <c r="L12" s="371"/>
    </row>
    <row r="13" spans="1:12" x14ac:dyDescent="0.45">
      <c r="A13">
        <v>2</v>
      </c>
      <c r="B13" s="6" t="n">
        <v>473.487054336</v>
      </c>
      <c r="C13" s="9">
        <f t="shared" ref="C13:C76" si="0">B13/B$102</f>
        <v>3.1402327144202215E-4</v>
      </c>
      <c r="E13" s="371">
        <v>2</v>
      </c>
      <c r="F13" s="371" t="n">
        <v>17118.0</v>
      </c>
      <c r="G13" s="9">
        <f t="shared" ref="G13:G76" si="1">F13/F$102</f>
        <v>1.0801113562843575E-2</v>
      </c>
    </row>
    <row r="14" spans="1:12" x14ac:dyDescent="0.45">
      <c r="A14">
        <v>3</v>
      </c>
      <c r="B14" s="6" t="n">
        <v>46.542476944</v>
      </c>
      <c r="C14" s="9">
        <f t="shared" si="0"/>
        <v>3.0867625074704251E-5</v>
      </c>
      <c r="E14" s="371">
        <v>3</v>
      </c>
      <c r="F14" s="371" t="n">
        <v>19359.0</v>
      </c>
      <c r="G14" s="9">
        <f t="shared" si="1"/>
        <v>1.185731330043524E-2</v>
      </c>
    </row>
    <row r="15" spans="1:12" x14ac:dyDescent="0.45">
      <c r="A15">
        <v>4</v>
      </c>
      <c r="B15" s="6" t="n">
        <v>3463.3741416534003</v>
      </c>
      <c r="C15" s="9">
        <f t="shared" si="0"/>
        <v>2.2969584241640706E-3</v>
      </c>
      <c r="E15" s="371">
        <v>4</v>
      </c>
      <c r="F15" s="371" t="n">
        <v>20791.0</v>
      </c>
      <c r="G15" s="9">
        <f t="shared" si="1"/>
        <v>1.2942628221409199E-2</v>
      </c>
    </row>
    <row r="16" spans="1:12" x14ac:dyDescent="0.45">
      <c r="A16">
        <v>5</v>
      </c>
      <c r="B16" s="6" t="n">
        <v>9026.3815429011</v>
      </c>
      <c r="C16" s="9">
        <f t="shared" si="0"/>
        <v>5.9864231459520589E-3</v>
      </c>
      <c r="E16" s="371">
        <v>5</v>
      </c>
      <c r="F16" s="371" t="n">
        <v>22618.0</v>
      </c>
      <c r="G16" s="9">
        <f t="shared" si="1"/>
        <v>1.3855729930036835E-2</v>
      </c>
    </row>
    <row r="17" spans="1:7" x14ac:dyDescent="0.45">
      <c r="A17">
        <v>6</v>
      </c>
      <c r="B17" s="6" t="n">
        <v>5794.6154313998</v>
      </c>
      <c r="C17" s="9">
        <f t="shared" si="0"/>
        <v>3.8430704236853707E-3</v>
      </c>
      <c r="E17" s="371">
        <v>6</v>
      </c>
      <c r="F17" s="371" t="n">
        <v>23609.0</v>
      </c>
      <c r="G17" s="9">
        <f t="shared" si="1"/>
        <v>1.477069005462504E-2</v>
      </c>
    </row>
    <row r="18" spans="1:7" x14ac:dyDescent="0.45">
      <c r="A18">
        <v>7</v>
      </c>
      <c r="B18" s="6" t="n">
        <v>8133.3446262938</v>
      </c>
      <c r="C18" s="9">
        <f t="shared" si="0"/>
        <v>5.3941485071770006E-3</v>
      </c>
      <c r="E18" s="371">
        <v>7</v>
      </c>
      <c r="F18" s="371" t="n">
        <v>24489.0</v>
      </c>
      <c r="G18" s="9">
        <f t="shared" si="1"/>
        <v>1.5185736285819419E-2</v>
      </c>
    </row>
    <row r="19" spans="1:7" x14ac:dyDescent="0.45">
      <c r="A19">
        <v>8</v>
      </c>
      <c r="B19" s="6" t="n">
        <v>4051.6267664772</v>
      </c>
      <c r="C19" s="9">
        <f t="shared" si="0"/>
        <v>2.6870958355038107E-3</v>
      </c>
      <c r="E19" s="371">
        <v>8</v>
      </c>
      <c r="F19" s="371" t="n">
        <v>24342.0</v>
      </c>
      <c r="G19" s="9">
        <f t="shared" si="1"/>
        <v>1.5333170618691452E-2</v>
      </c>
    </row>
    <row r="20" spans="1:7" x14ac:dyDescent="0.45">
      <c r="A20">
        <v>9</v>
      </c>
      <c r="B20" s="6" t="n">
        <v>22959.0916317204</v>
      </c>
      <c r="C20" s="9">
        <f t="shared" si="0"/>
        <v>1.5226792364240209E-2</v>
      </c>
      <c r="E20" s="371">
        <v>9</v>
      </c>
      <c r="F20" s="371" t="n">
        <v>24389.0</v>
      </c>
      <c r="G20" s="9">
        <f t="shared" si="1"/>
        <v>1.4976974226248515E-2</v>
      </c>
    </row>
    <row r="21" spans="1:7" x14ac:dyDescent="0.45">
      <c r="A21">
        <v>10</v>
      </c>
      <c r="B21" s="6" t="n">
        <v>9444.8519503869</v>
      </c>
      <c r="C21" s="9">
        <f t="shared" si="0"/>
        <v>6.2639586036947218E-3</v>
      </c>
      <c r="E21" s="371">
        <v>10</v>
      </c>
      <c r="F21" s="371" t="n">
        <v>24267.0</v>
      </c>
      <c r="G21" s="9">
        <f t="shared" si="1"/>
        <v>1.5009806241551951E-2</v>
      </c>
    </row>
    <row r="22" spans="1:7" x14ac:dyDescent="0.45">
      <c r="A22">
        <v>11</v>
      </c>
      <c r="B22" s="6" t="n">
        <v>11911.3351952793</v>
      </c>
      <c r="C22" s="9">
        <f t="shared" si="0"/>
        <v>7.8997649693074452E-3</v>
      </c>
      <c r="E22" s="371">
        <v>11</v>
      </c>
      <c r="F22" s="371" t="n">
        <v>23621.0</v>
      </c>
      <c r="G22" s="9">
        <f t="shared" si="1"/>
        <v>1.4587945818502141E-2</v>
      </c>
    </row>
    <row r="23" spans="1:7" x14ac:dyDescent="0.45">
      <c r="A23">
        <v>12</v>
      </c>
      <c r="B23" s="6" t="n">
        <v>31315.3583841227</v>
      </c>
      <c r="C23" s="9">
        <f t="shared" si="0"/>
        <v>2.0768785959633131E-2</v>
      </c>
      <c r="E23" s="371">
        <v>12</v>
      </c>
      <c r="F23" s="371" t="n">
        <v>23126.0</v>
      </c>
      <c r="G23" s="9">
        <f t="shared" si="1"/>
        <v>1.4275731937126071E-2</v>
      </c>
    </row>
    <row r="24" spans="1:7" x14ac:dyDescent="0.45">
      <c r="A24">
        <v>13</v>
      </c>
      <c r="B24" s="6" t="n">
        <v>28693.7914331462</v>
      </c>
      <c r="C24" s="9">
        <f t="shared" si="0"/>
        <v>1.903012589974111E-2</v>
      </c>
      <c r="E24" s="371">
        <v>13</v>
      </c>
      <c r="F24" s="371" t="n">
        <v>20867.0</v>
      </c>
      <c r="G24" s="9">
        <f t="shared" si="1"/>
        <v>1.2845371119472607E-2</v>
      </c>
    </row>
    <row r="25" spans="1:7" x14ac:dyDescent="0.45">
      <c r="A25">
        <v>14</v>
      </c>
      <c r="B25" s="6" t="n">
        <v>15630.1700016308</v>
      </c>
      <c r="C25" s="9">
        <f t="shared" si="0"/>
        <v>1.0366148497956681E-2</v>
      </c>
      <c r="E25" s="371">
        <v>14</v>
      </c>
      <c r="F25" s="371" t="n">
        <v>21282.0</v>
      </c>
      <c r="G25" s="9">
        <f t="shared" si="1"/>
        <v>1.3052274763082938E-2</v>
      </c>
    </row>
    <row r="26" spans="1:7" x14ac:dyDescent="0.45">
      <c r="A26">
        <v>15</v>
      </c>
      <c r="B26" s="6" t="n">
        <v>7332.6052579494</v>
      </c>
      <c r="C26" s="9">
        <f t="shared" si="0"/>
        <v>4.863086900070231E-3</v>
      </c>
      <c r="E26" s="371">
        <v>15</v>
      </c>
      <c r="F26" s="371" t="n">
        <v>21018.0</v>
      </c>
      <c r="G26" s="9">
        <f t="shared" si="1"/>
        <v>1.3119177737663525E-2</v>
      </c>
    </row>
    <row r="27" spans="1:7" x14ac:dyDescent="0.45">
      <c r="A27">
        <v>16</v>
      </c>
      <c r="B27" s="6" t="n">
        <v>41840.4439951979</v>
      </c>
      <c r="C27" s="9">
        <f t="shared" si="0"/>
        <v>2.7749170714676044E-2</v>
      </c>
      <c r="E27" s="371">
        <v>16</v>
      </c>
      <c r="F27" s="371" t="n">
        <v>21070.0</v>
      </c>
      <c r="G27" s="9">
        <f t="shared" si="1"/>
        <v>1.303616849142465E-2</v>
      </c>
    </row>
    <row r="28" spans="1:7" x14ac:dyDescent="0.45">
      <c r="A28">
        <v>17</v>
      </c>
      <c r="B28" s="6" t="n">
        <v>23176.6259974718</v>
      </c>
      <c r="C28" s="9">
        <f t="shared" si="0"/>
        <v>1.5371064214037913E-2</v>
      </c>
      <c r="E28" s="371">
        <v>17</v>
      </c>
      <c r="F28" s="371" t="n">
        <v>19450.0</v>
      </c>
      <c r="G28" s="9">
        <f t="shared" si="1"/>
        <v>1.1878994819975246E-2</v>
      </c>
    </row>
    <row r="29" spans="1:7" x14ac:dyDescent="0.45">
      <c r="A29">
        <v>18</v>
      </c>
      <c r="B29" s="6" t="n">
        <v>77109.666512633</v>
      </c>
      <c r="C29" s="9">
        <f t="shared" si="0"/>
        <v>5.1140214957001225E-2</v>
      </c>
      <c r="E29" s="371">
        <v>18</v>
      </c>
      <c r="F29" s="371" t="n">
        <v>193212.0</v>
      </c>
      <c r="G29" s="9">
        <f t="shared" si="1"/>
        <v>0.11978543968263211</v>
      </c>
    </row>
    <row r="30" spans="1:7" x14ac:dyDescent="0.45">
      <c r="A30">
        <v>19</v>
      </c>
      <c r="B30" s="6" t="n">
        <v>74044.0329434949</v>
      </c>
      <c r="C30" s="9">
        <f t="shared" si="0"/>
        <v>4.9107043672575595E-2</v>
      </c>
      <c r="E30" s="371">
        <v>19</v>
      </c>
      <c r="F30" s="371" t="n">
        <v>81499.0</v>
      </c>
      <c r="G30" s="9">
        <f t="shared" si="1"/>
        <v>4.990032695731466E-2</v>
      </c>
    </row>
    <row r="31" spans="1:7" x14ac:dyDescent="0.45">
      <c r="A31">
        <v>20</v>
      </c>
      <c r="B31" s="6" t="n">
        <v>78826.3133139011</v>
      </c>
      <c r="C31" s="9">
        <f t="shared" si="0"/>
        <v>5.2278719250852847E-2</v>
      </c>
      <c r="E31" s="371">
        <v>20</v>
      </c>
      <c r="F31" s="371" t="n">
        <v>80801.0</v>
      </c>
      <c r="G31" s="9">
        <f t="shared" si="1"/>
        <v>4.9446253990948277E-2</v>
      </c>
    </row>
    <row r="32" spans="1:7" x14ac:dyDescent="0.45">
      <c r="A32">
        <v>21</v>
      </c>
      <c r="B32" s="6" t="n">
        <v>64860.9177118606</v>
      </c>
      <c r="C32" s="9">
        <f t="shared" si="0"/>
        <v>4.3016672540653375E-2</v>
      </c>
      <c r="E32" s="371">
        <v>21</v>
      </c>
      <c r="F32" s="371" t="n">
        <v>85930.0</v>
      </c>
      <c r="G32" s="9">
        <f t="shared" si="1"/>
        <v>5.3991319958520155E-2</v>
      </c>
    </row>
    <row r="33" spans="1:7" x14ac:dyDescent="0.45">
      <c r="A33">
        <v>22</v>
      </c>
      <c r="B33" s="6" t="n">
        <v>67768.0244831405</v>
      </c>
      <c r="C33" s="9">
        <f t="shared" si="0"/>
        <v>4.4944706623926849E-2</v>
      </c>
      <c r="E33" s="371">
        <v>22</v>
      </c>
      <c r="F33" s="371" t="n">
        <v>83742.0</v>
      </c>
      <c r="G33" s="9">
        <f t="shared" si="1"/>
        <v>5.0501834256553087E-2</v>
      </c>
    </row>
    <row r="34" spans="1:7" x14ac:dyDescent="0.45">
      <c r="A34">
        <v>23</v>
      </c>
      <c r="B34" s="6" t="n">
        <v>49470.1657101288</v>
      </c>
      <c r="C34" s="9">
        <f t="shared" si="0"/>
        <v>3.2809309426334733E-2</v>
      </c>
      <c r="E34" s="371">
        <v>23</v>
      </c>
      <c r="F34" s="371" t="n">
        <v>72404.0</v>
      </c>
      <c r="G34" s="9">
        <f t="shared" si="1"/>
        <v>4.4241450357373389E-2</v>
      </c>
    </row>
    <row r="35" spans="1:7" x14ac:dyDescent="0.45">
      <c r="A35">
        <v>24</v>
      </c>
      <c r="B35" s="6" t="n">
        <v>40879.5803881553</v>
      </c>
      <c r="C35" s="9">
        <f t="shared" si="0"/>
        <v>2.711191246119277E-2</v>
      </c>
      <c r="E35" s="371">
        <v>24</v>
      </c>
      <c r="F35" s="371" t="n">
        <v>56096.0</v>
      </c>
      <c r="G35" s="9">
        <f t="shared" si="1"/>
        <v>3.41917563145877E-2</v>
      </c>
    </row>
    <row r="36" spans="1:7" x14ac:dyDescent="0.45">
      <c r="A36">
        <v>25</v>
      </c>
      <c r="B36" s="6" t="n">
        <v>29315.3011728499</v>
      </c>
      <c r="C36" s="9">
        <f t="shared" si="0"/>
        <v>1.9442319897248667E-2</v>
      </c>
      <c r="E36" s="371">
        <v>25</v>
      </c>
      <c r="F36" s="371" t="n">
        <v>60768.0</v>
      </c>
      <c r="G36" s="9">
        <f t="shared" si="1"/>
        <v>3.3323256589013792E-2</v>
      </c>
    </row>
    <row r="37" spans="1:7" x14ac:dyDescent="0.45">
      <c r="A37">
        <v>26</v>
      </c>
      <c r="B37" s="6" t="n">
        <v>81142.0085875493</v>
      </c>
      <c r="C37" s="9">
        <f t="shared" si="0"/>
        <v>5.3814520913928104E-2</v>
      </c>
      <c r="E37" s="371">
        <v>26</v>
      </c>
      <c r="F37" s="371" t="n">
        <v>48584.0</v>
      </c>
      <c r="G37" s="9">
        <f t="shared" si="1"/>
        <v>3.5665480171321172E-2</v>
      </c>
    </row>
    <row r="38" spans="1:7" x14ac:dyDescent="0.45">
      <c r="A38">
        <v>27</v>
      </c>
      <c r="B38" s="6" t="n">
        <v>27760.1048696995</v>
      </c>
      <c r="C38" s="9">
        <f t="shared" si="0"/>
        <v>1.8410891843667149E-2</v>
      </c>
      <c r="E38" s="371">
        <v>27</v>
      </c>
      <c r="F38" s="371" t="n">
        <v>42331.0</v>
      </c>
      <c r="G38" s="9">
        <f t="shared" si="1"/>
        <v>2.2564886593263365E-2</v>
      </c>
    </row>
    <row r="39" spans="1:7" x14ac:dyDescent="0.45">
      <c r="A39">
        <v>28</v>
      </c>
      <c r="B39" s="6" t="n">
        <v>20966.234812207902</v>
      </c>
      <c r="C39" s="9">
        <f t="shared" si="0"/>
        <v>1.3905101702905317E-2</v>
      </c>
      <c r="E39" s="371">
        <v>28</v>
      </c>
      <c r="F39" s="371" t="n">
        <v>34689.0</v>
      </c>
      <c r="G39" s="9">
        <f t="shared" si="1"/>
        <v>2.5766937293328657E-2</v>
      </c>
    </row>
    <row r="40" spans="1:7" x14ac:dyDescent="0.45">
      <c r="A40">
        <v>29</v>
      </c>
      <c r="B40" s="6" t="n">
        <v>38896.636304045</v>
      </c>
      <c r="C40" s="9">
        <f t="shared" si="0"/>
        <v>2.5796796065345035E-2</v>
      </c>
      <c r="E40" s="371">
        <v>29</v>
      </c>
      <c r="F40" s="371" t="n">
        <v>35006.0</v>
      </c>
      <c r="G40" s="9">
        <f t="shared" si="1"/>
        <v>1.7584331818930817E-2</v>
      </c>
    </row>
    <row r="41" spans="1:7" x14ac:dyDescent="0.45">
      <c r="A41">
        <v>30</v>
      </c>
      <c r="B41" s="6" t="n">
        <v>23526.7204330235</v>
      </c>
      <c r="C41" s="9">
        <f t="shared" si="0"/>
        <v>1.5603251765859716E-2</v>
      </c>
      <c r="E41" s="371">
        <v>30</v>
      </c>
      <c r="F41" s="371" t="n">
        <v>27592.0</v>
      </c>
      <c r="G41" s="9">
        <f t="shared" si="1"/>
        <v>1.7070170069839272E-2</v>
      </c>
    </row>
    <row r="42" spans="1:7" x14ac:dyDescent="0.45">
      <c r="A42">
        <v>31</v>
      </c>
      <c r="B42" s="6" t="n">
        <v>22037.3006118144</v>
      </c>
      <c r="C42" s="9">
        <f t="shared" si="0"/>
        <v>1.4615447599888219E-2</v>
      </c>
      <c r="E42" s="371">
        <v>31</v>
      </c>
      <c r="F42" s="371" t="n">
        <v>30991.0</v>
      </c>
      <c r="G42" s="9">
        <f t="shared" si="1"/>
        <v>1.799813910615148E-2</v>
      </c>
    </row>
    <row r="43" spans="1:7" x14ac:dyDescent="0.45">
      <c r="A43">
        <v>32</v>
      </c>
      <c r="B43" s="6" t="n">
        <v>13151.2512598721</v>
      </c>
      <c r="C43" s="9">
        <f t="shared" si="0"/>
        <v>8.7220947359849636E-3</v>
      </c>
      <c r="E43" s="371">
        <v>32</v>
      </c>
      <c r="F43" s="371" t="n">
        <v>20414.0</v>
      </c>
      <c r="G43" s="9">
        <f t="shared" si="1"/>
        <v>1.2202978669101604E-2</v>
      </c>
    </row>
    <row r="44" spans="1:7" x14ac:dyDescent="0.45">
      <c r="A44">
        <v>33</v>
      </c>
      <c r="B44" s="6" t="n">
        <v>12991.9168243224</v>
      </c>
      <c r="C44" s="9">
        <f t="shared" si="0"/>
        <v>8.6164218981608087E-3</v>
      </c>
      <c r="E44" s="371">
        <v>33</v>
      </c>
      <c r="F44" s="371" t="n">
        <v>27534.0</v>
      </c>
      <c r="G44" s="9">
        <f t="shared" si="1"/>
        <v>1.9512128642030679E-2</v>
      </c>
    </row>
    <row r="45" spans="1:7" x14ac:dyDescent="0.45">
      <c r="A45">
        <v>34</v>
      </c>
      <c r="B45" s="6" t="n">
        <v>22472.5947109247</v>
      </c>
      <c r="C45" s="9">
        <f t="shared" si="0"/>
        <v>1.490414076644948E-2</v>
      </c>
      <c r="E45" s="371">
        <v>34</v>
      </c>
      <c r="F45" s="371" t="n">
        <v>23306.0</v>
      </c>
      <c r="G45" s="9">
        <f t="shared" si="1"/>
        <v>1.6017687164168751E-2</v>
      </c>
    </row>
    <row r="46" spans="1:7" x14ac:dyDescent="0.45">
      <c r="A46">
        <v>35</v>
      </c>
      <c r="B46" s="6" t="n">
        <v>18985.763842466502</v>
      </c>
      <c r="C46" s="9">
        <f t="shared" si="0"/>
        <v>1.2591625511277868E-2</v>
      </c>
      <c r="E46" s="371">
        <v>35</v>
      </c>
      <c r="F46" s="371" t="n">
        <v>19652.0</v>
      </c>
      <c r="G46" s="9">
        <f t="shared" si="1"/>
        <v>1.2471210039410808E-2</v>
      </c>
    </row>
    <row r="47" spans="1:7" x14ac:dyDescent="0.45">
      <c r="A47">
        <v>36</v>
      </c>
      <c r="B47" s="6" t="n">
        <v>17617.0479011283</v>
      </c>
      <c r="C47" s="9">
        <f t="shared" si="0"/>
        <v>1.168387385547681E-2</v>
      </c>
      <c r="E47" s="371">
        <v>36</v>
      </c>
      <c r="F47" s="371" t="n">
        <v>11393.0</v>
      </c>
      <c r="G47" s="9">
        <f t="shared" si="1"/>
        <v>8.2241100975172805E-3</v>
      </c>
    </row>
    <row r="48" spans="1:7" x14ac:dyDescent="0.45">
      <c r="A48">
        <v>37</v>
      </c>
      <c r="B48" s="6" t="n">
        <v>14804.7219764652</v>
      </c>
      <c r="C48" s="9">
        <f t="shared" si="0"/>
        <v>9.8186997622539407E-3</v>
      </c>
      <c r="E48" s="371">
        <v>37</v>
      </c>
      <c r="F48" s="371" t="n">
        <v>10001.0</v>
      </c>
      <c r="G48" s="9">
        <f t="shared" si="1"/>
        <v>6.663040690636929E-3</v>
      </c>
    </row>
    <row r="49" spans="1:7" x14ac:dyDescent="0.45">
      <c r="A49">
        <v>38</v>
      </c>
      <c r="B49" s="6" t="n">
        <v>17793.4470507888</v>
      </c>
      <c r="C49" s="9">
        <f t="shared" si="0"/>
        <v>1.1800864251621142E-2</v>
      </c>
      <c r="E49" s="371">
        <v>38</v>
      </c>
      <c r="F49" s="371" t="n">
        <v>13436.0</v>
      </c>
      <c r="G49" s="9">
        <f t="shared" si="1"/>
        <v>6.5732172525426224E-3</v>
      </c>
    </row>
    <row r="50" spans="1:7" x14ac:dyDescent="0.45">
      <c r="A50">
        <v>39</v>
      </c>
      <c r="B50" s="6" t="n">
        <v>2901.6732048005</v>
      </c>
      <c r="C50" s="9">
        <f t="shared" si="0"/>
        <v>1.9244304655909369E-3</v>
      </c>
      <c r="E50" s="371">
        <v>39</v>
      </c>
      <c r="F50" s="371" t="n">
        <v>10049.0</v>
      </c>
      <c r="G50" s="9">
        <f t="shared" si="1"/>
        <v>6.7863156160215283E-3</v>
      </c>
    </row>
    <row r="51" spans="1:7" x14ac:dyDescent="0.45">
      <c r="A51">
        <v>40</v>
      </c>
      <c r="B51" s="6" t="n">
        <v>7156.9060818151</v>
      </c>
      <c r="C51" s="9">
        <f t="shared" si="0"/>
        <v>4.7465607362097758E-3</v>
      </c>
      <c r="E51" s="371">
        <v>40</v>
      </c>
      <c r="F51" s="371" t="n">
        <v>8104.0</v>
      </c>
      <c r="G51" s="9">
        <f t="shared" si="1"/>
        <v>6.7051647857432235E-3</v>
      </c>
    </row>
    <row r="52" spans="1:7" x14ac:dyDescent="0.45">
      <c r="A52">
        <v>41</v>
      </c>
      <c r="B52" s="6" t="n">
        <v>5068.742351748</v>
      </c>
      <c r="C52" s="9">
        <f t="shared" si="0"/>
        <v>3.3616611918245135E-3</v>
      </c>
      <c r="E52" s="371">
        <v>41</v>
      </c>
      <c r="F52" s="371" t="n">
        <v>10783.0</v>
      </c>
      <c r="G52" s="9">
        <f t="shared" si="1"/>
        <v>5.8930370109733267E-3</v>
      </c>
    </row>
    <row r="53" spans="1:7" x14ac:dyDescent="0.45">
      <c r="A53">
        <v>42</v>
      </c>
      <c r="B53" s="6" t="n">
        <v>7715.7446743122</v>
      </c>
      <c r="C53" s="9">
        <f t="shared" si="0"/>
        <v>5.1171903477629207E-3</v>
      </c>
      <c r="E53" s="371">
        <v>42</v>
      </c>
      <c r="F53" s="371" t="n">
        <v>7733.0</v>
      </c>
      <c r="G53" s="9">
        <f t="shared" si="1"/>
        <v>4.4391362578192848E-3</v>
      </c>
    </row>
    <row r="54" spans="1:7" x14ac:dyDescent="0.45">
      <c r="A54">
        <v>43</v>
      </c>
      <c r="B54" s="6" t="n">
        <v>3070.8367582152</v>
      </c>
      <c r="C54" s="9">
        <f t="shared" si="0"/>
        <v>2.0366221125759565E-3</v>
      </c>
      <c r="E54" s="371">
        <v>43</v>
      </c>
      <c r="F54" s="371" t="n">
        <v>7047.0</v>
      </c>
      <c r="G54" s="9">
        <f t="shared" si="1"/>
        <v>4.3982511066867043E-3</v>
      </c>
    </row>
    <row r="55" spans="1:7" x14ac:dyDescent="0.45">
      <c r="A55">
        <v>44</v>
      </c>
      <c r="B55" s="6" t="n">
        <v>1925.8070210993</v>
      </c>
      <c r="C55" s="9">
        <f t="shared" si="0"/>
        <v>1.2772222923384741E-3</v>
      </c>
      <c r="E55" s="371">
        <v>44</v>
      </c>
      <c r="F55" s="371" t="n">
        <v>6016.0</v>
      </c>
      <c r="G55" s="9">
        <f t="shared" si="1"/>
        <v>3.9317887005831708E-3</v>
      </c>
    </row>
    <row r="56" spans="1:7" x14ac:dyDescent="0.45">
      <c r="A56">
        <v>45</v>
      </c>
      <c r="B56" s="6" t="n">
        <v>53360.2548723671</v>
      </c>
      <c r="C56" s="9">
        <f t="shared" si="0"/>
        <v>3.5389271251564193E-2</v>
      </c>
      <c r="E56" s="371">
        <v>45</v>
      </c>
      <c r="F56" s="371" t="n">
        <v>6985.0</v>
      </c>
      <c r="G56" s="9">
        <f t="shared" si="1"/>
        <v>4.0532052100071981E-3</v>
      </c>
    </row>
    <row r="57" spans="1:7" x14ac:dyDescent="0.45">
      <c r="A57">
        <v>46</v>
      </c>
      <c r="B57" s="6" t="n">
        <v>5449.3846316335</v>
      </c>
      <c r="C57" s="9">
        <f t="shared" si="0"/>
        <v>3.6141085034968874E-3</v>
      </c>
      <c r="E57" s="371">
        <v>46</v>
      </c>
      <c r="F57" s="371" t="n">
        <v>5242.0</v>
      </c>
      <c r="G57" s="9">
        <f t="shared" si="1"/>
        <v>4.1083382168374963E-3</v>
      </c>
    </row>
    <row r="58" spans="1:7" x14ac:dyDescent="0.45">
      <c r="A58">
        <v>47</v>
      </c>
      <c r="B58" s="6" t="n">
        <v>3566.1439618548998</v>
      </c>
      <c r="C58" s="9">
        <f t="shared" si="0"/>
        <v>2.3651168138172796E-3</v>
      </c>
      <c r="E58" s="371">
        <v>47</v>
      </c>
      <c r="F58" s="371" t="n">
        <v>4401.0</v>
      </c>
      <c r="G58" s="9">
        <f t="shared" si="1"/>
        <v>2.9703681769806685E-3</v>
      </c>
    </row>
    <row r="59" spans="1:7" x14ac:dyDescent="0.45">
      <c r="A59">
        <v>48</v>
      </c>
      <c r="B59" s="6" t="n">
        <v>11063.2307212976</v>
      </c>
      <c r="C59" s="9">
        <f t="shared" si="0"/>
        <v>7.3372901582107984E-3</v>
      </c>
      <c r="E59" s="371">
        <v>48</v>
      </c>
      <c r="F59" s="371" t="n">
        <v>5543.0</v>
      </c>
      <c r="G59" s="9">
        <f t="shared" si="1"/>
        <v>2.791340772778914E-3</v>
      </c>
    </row>
    <row r="60" spans="1:7" x14ac:dyDescent="0.45">
      <c r="A60">
        <v>49</v>
      </c>
      <c r="B60" s="6" t="n">
        <v>5976.4873887575</v>
      </c>
      <c r="C60" s="9">
        <f t="shared" si="0"/>
        <v>3.9636904628395997E-3</v>
      </c>
      <c r="E60" s="371">
        <v>49</v>
      </c>
      <c r="F60" s="371" t="n">
        <v>4833.0</v>
      </c>
      <c r="G60" s="9">
        <f t="shared" si="1"/>
        <v>3.4009012078464801E-3</v>
      </c>
    </row>
    <row r="61" spans="1:7" x14ac:dyDescent="0.45">
      <c r="A61">
        <v>50</v>
      </c>
      <c r="B61" s="6" t="n">
        <v>745.499793006</v>
      </c>
      <c r="C61" s="9">
        <f t="shared" si="0"/>
        <v>4.9442594409976695E-4</v>
      </c>
      <c r="E61" s="371">
        <v>50</v>
      </c>
      <c r="F61" s="371" t="n">
        <v>4638.0</v>
      </c>
      <c r="G61" s="9">
        <f t="shared" si="1"/>
        <v>2.9040846743869394E-3</v>
      </c>
    </row>
    <row r="62" spans="1:7" x14ac:dyDescent="0.45">
      <c r="A62">
        <v>51</v>
      </c>
      <c r="B62" s="6" t="n">
        <v>10025.3434292949</v>
      </c>
      <c r="C62" s="9">
        <f t="shared" si="0"/>
        <v>6.6489487139450255E-3</v>
      </c>
      <c r="E62" s="371">
        <v>51</v>
      </c>
      <c r="F62" s="371" t="n">
        <v>3518.0</v>
      </c>
      <c r="G62" s="9">
        <f t="shared" si="1"/>
        <v>2.1793024497639194E-3</v>
      </c>
    </row>
    <row r="63" spans="1:7" x14ac:dyDescent="0.45">
      <c r="A63">
        <v>52</v>
      </c>
      <c r="B63" s="6" t="n">
        <v>4764.1211031618</v>
      </c>
      <c r="C63" s="9">
        <f t="shared" si="0"/>
        <v>3.1596320969299566E-3</v>
      </c>
      <c r="E63" s="371">
        <v>52</v>
      </c>
      <c r="F63" s="371" t="n">
        <v>3298.0</v>
      </c>
      <c r="G63" s="9">
        <f t="shared" si="1"/>
        <v>2.2561169761342223E-3</v>
      </c>
    </row>
    <row r="64" spans="1:7" x14ac:dyDescent="0.45">
      <c r="A64">
        <v>53</v>
      </c>
      <c r="B64" s="6" t="n">
        <v>914.0365333039</v>
      </c>
      <c r="C64" s="9">
        <f t="shared" si="0"/>
        <v>6.0620187981302582E-4</v>
      </c>
      <c r="E64" s="371">
        <v>53</v>
      </c>
      <c r="F64" s="371" t="n">
        <v>3538.0</v>
      </c>
      <c r="G64" s="9">
        <f t="shared" si="1"/>
        <v>1.8701859283221354E-3</v>
      </c>
    </row>
    <row r="65" spans="1:7" x14ac:dyDescent="0.45">
      <c r="A65">
        <v>54</v>
      </c>
      <c r="B65" s="6" t="n">
        <v>22273.999713394798</v>
      </c>
      <c r="C65" s="9">
        <f t="shared" si="0"/>
        <v>1.4772429771934929E-2</v>
      </c>
      <c r="E65" s="371">
        <v>54</v>
      </c>
      <c r="F65" s="371" t="n">
        <v>3198.0</v>
      </c>
      <c r="G65" s="9">
        <f t="shared" si="1"/>
        <v>1.7791235462541149E-3</v>
      </c>
    </row>
    <row r="66" spans="1:7" x14ac:dyDescent="0.45">
      <c r="A66">
        <v>55</v>
      </c>
      <c r="B66" s="6" t="n">
        <v>334.505088392</v>
      </c>
      <c r="C66" s="9">
        <f t="shared" si="0"/>
        <v>2.2184847760656521E-4</v>
      </c>
      <c r="E66" s="371">
        <v>55</v>
      </c>
      <c r="F66" s="371" t="n">
        <v>3826.0</v>
      </c>
      <c r="G66" s="9">
        <f t="shared" si="1"/>
        <v>1.8900090319015684E-3</v>
      </c>
    </row>
    <row r="67" spans="1:7" x14ac:dyDescent="0.45">
      <c r="A67">
        <v>56</v>
      </c>
      <c r="B67" s="6" t="n">
        <v>7948.3993700613</v>
      </c>
      <c r="C67" s="9">
        <f t="shared" si="0"/>
        <v>5.271490212999861E-3</v>
      </c>
      <c r="E67" s="371">
        <v>56</v>
      </c>
      <c r="F67" s="371" t="n">
        <v>2896.0</v>
      </c>
      <c r="G67" s="9">
        <f t="shared" si="1"/>
        <v>1.8516017687164169E-3</v>
      </c>
    </row>
    <row r="68" spans="1:7" x14ac:dyDescent="0.45">
      <c r="A68">
        <v>57</v>
      </c>
      <c r="B68" s="6" t="n">
        <v>2037.2240373599998</v>
      </c>
      <c r="C68" s="9">
        <f t="shared" si="0"/>
        <v>1.3511156239936744E-3</v>
      </c>
      <c r="E68" s="371">
        <v>57</v>
      </c>
      <c r="F68" s="371" t="n">
        <v>2613.0</v>
      </c>
      <c r="G68" s="9">
        <f t="shared" si="1"/>
        <v>1.3993872183106007E-3</v>
      </c>
    </row>
    <row r="69" spans="1:7" x14ac:dyDescent="0.45">
      <c r="A69">
        <v>58</v>
      </c>
      <c r="B69" s="6" t="n">
        <v>2697.693861572</v>
      </c>
      <c r="C69" s="9">
        <f t="shared" si="0"/>
        <v>1.7891484973076943E-3</v>
      </c>
      <c r="E69" s="371">
        <v>58</v>
      </c>
      <c r="F69" s="371" t="n">
        <v>2324.0</v>
      </c>
      <c r="G69" s="9">
        <f t="shared" si="1"/>
        <v>1.6087687498683623E-3</v>
      </c>
    </row>
    <row r="70" spans="1:7" x14ac:dyDescent="0.45">
      <c r="A70">
        <v>59</v>
      </c>
      <c r="B70" s="6" t="n">
        <v>19937.5237891116</v>
      </c>
      <c r="C70" s="9">
        <f t="shared" si="0"/>
        <v>1.3222846089192313E-2</v>
      </c>
      <c r="E70" s="371">
        <v>59</v>
      </c>
      <c r="F70" s="371" t="n">
        <v>2349.0</v>
      </c>
      <c r="G70" s="9">
        <f t="shared" si="1"/>
        <v>1.7122205716735284E-3</v>
      </c>
    </row>
    <row r="71" spans="1:7" x14ac:dyDescent="0.45">
      <c r="A71">
        <v>60</v>
      </c>
      <c r="B71" s="6" t="n">
        <v>15085.353204798701</v>
      </c>
      <c r="C71" s="9">
        <f t="shared" si="0"/>
        <v>1.0004818338428451E-2</v>
      </c>
      <c r="E71" s="371">
        <v>60</v>
      </c>
      <c r="F71" s="371" t="n">
        <v>3333.0</v>
      </c>
      <c r="G71" s="9">
        <f t="shared" si="1"/>
        <v>1.3089443082294375E-3</v>
      </c>
    </row>
    <row r="72" spans="1:7" x14ac:dyDescent="0.45">
      <c r="A72">
        <v>61</v>
      </c>
      <c r="B72" s="6" t="n">
        <v>10052.4940107454</v>
      </c>
      <c r="C72" s="9">
        <f t="shared" si="0"/>
        <v>6.6669553612874657E-3</v>
      </c>
      <c r="E72" s="371">
        <v>61</v>
      </c>
      <c r="F72" s="371" t="n">
        <v>1979.0</v>
      </c>
      <c r="G72" s="9">
        <f t="shared" si="1"/>
        <v>1.2612449652414268E-3</v>
      </c>
    </row>
    <row r="73" spans="1:7" x14ac:dyDescent="0.45">
      <c r="A73">
        <v>62</v>
      </c>
      <c r="B73" s="6" t="n">
        <v>2169.815863151</v>
      </c>
      <c r="C73" s="9">
        <f t="shared" si="0"/>
        <v>1.4390523870372819E-3</v>
      </c>
      <c r="E73" s="371">
        <v>62</v>
      </c>
      <c r="F73" s="371" t="n">
        <v>1729.0</v>
      </c>
      <c r="G73" s="9">
        <f t="shared" si="1"/>
        <v>1.1962004066214122E-3</v>
      </c>
    </row>
    <row r="74" spans="1:7" x14ac:dyDescent="0.45">
      <c r="A74">
        <v>63</v>
      </c>
      <c r="B74" s="6" t="n">
        <v>210.149659191</v>
      </c>
      <c r="C74" s="9">
        <f t="shared" si="0"/>
        <v>1.3937420858132715E-4</v>
      </c>
      <c r="E74" s="371">
        <v>63</v>
      </c>
      <c r="F74" s="371" t="n">
        <v>1766.0</v>
      </c>
      <c r="G74" s="9">
        <f t="shared" si="1"/>
        <v>1.0754033691842422E-3</v>
      </c>
    </row>
    <row r="75" spans="1:7" x14ac:dyDescent="0.45">
      <c r="A75">
        <v>64</v>
      </c>
      <c r="B75" s="6" t="n">
        <v>617.666578062</v>
      </c>
      <c r="C75" s="9">
        <f t="shared" si="0"/>
        <v>4.0964515867373137E-4</v>
      </c>
      <c r="E75" s="371">
        <v>64</v>
      </c>
      <c r="F75" s="371" t="n">
        <v>1600.0</v>
      </c>
      <c r="G75" s="9">
        <f t="shared" si="1"/>
        <v>1.0153145864590857E-3</v>
      </c>
    </row>
    <row r="76" spans="1:7" x14ac:dyDescent="0.45">
      <c r="A76">
        <v>65</v>
      </c>
      <c r="B76" s="6" t="n">
        <v>927.898341994</v>
      </c>
      <c r="C76" s="9">
        <f t="shared" si="0"/>
        <v>6.1539522622684284E-4</v>
      </c>
      <c r="E76" s="371">
        <v>65</v>
      </c>
      <c r="F76" s="371" t="n">
        <v>1460.0</v>
      </c>
      <c r="G76" s="9">
        <f t="shared" si="1"/>
        <v>9.025706848510603E-4</v>
      </c>
    </row>
    <row r="77" spans="1:7" x14ac:dyDescent="0.45">
      <c r="A77">
        <v>66</v>
      </c>
      <c r="B77" s="6" t="n">
        <v>444.626399536</v>
      </c>
      <c r="C77" s="9">
        <f t="shared" ref="C77:C102" si="2">B77/B$102</f>
        <v>2.9488247941136277E-4</v>
      </c>
      <c r="E77" s="371">
        <v>66</v>
      </c>
      <c r="F77" s="371" t="n">
        <v>1647.0</v>
      </c>
      <c r="G77" s="9">
        <f t="shared" ref="G77:G102" si="3">F77/F$102</f>
        <v>1.0208898343408012E-3</v>
      </c>
    </row>
    <row r="78" spans="1:7" x14ac:dyDescent="0.45">
      <c r="A78">
        <v>67</v>
      </c>
      <c r="B78" s="6" t="n">
        <v>367.4228846463</v>
      </c>
      <c r="C78" s="9">
        <f t="shared" si="2"/>
        <v>2.4368002289122646E-4</v>
      </c>
      <c r="E78" s="371">
        <v>67</v>
      </c>
      <c r="F78" s="371" t="n">
        <v>1489.0</v>
      </c>
      <c r="G78" s="9">
        <f t="shared" si="3"/>
        <v>9.5212844379964298E-4</v>
      </c>
    </row>
    <row r="79" spans="1:7" x14ac:dyDescent="0.45">
      <c r="A79">
        <v>68</v>
      </c>
      <c r="B79" s="6" t="n">
        <v>216.451709176</v>
      </c>
      <c r="C79" s="9">
        <f t="shared" si="2"/>
        <v>1.4355381673525249E-4</v>
      </c>
      <c r="E79" s="371">
        <v>68</v>
      </c>
      <c r="F79" s="371" t="n">
        <v>1446.0</v>
      </c>
      <c r="G79" s="9">
        <f t="shared" si="3"/>
        <v>8.4495979007333309E-4</v>
      </c>
    </row>
    <row r="80" spans="1:7" x14ac:dyDescent="0.45">
      <c r="A80">
        <v>69</v>
      </c>
      <c r="B80" s="6" t="n">
        <v>6926.1072900615</v>
      </c>
      <c r="C80" s="9">
        <f t="shared" si="2"/>
        <v>4.5934917325957921E-3</v>
      </c>
      <c r="E80" s="371">
        <v>69</v>
      </c>
      <c r="F80" s="371" t="n">
        <v>1436.0</v>
      </c>
      <c r="G80" s="9">
        <f t="shared" si="3"/>
        <v>7.6752579171617279E-4</v>
      </c>
    </row>
    <row r="81" spans="1:7" x14ac:dyDescent="0.45">
      <c r="A81">
        <v>70</v>
      </c>
      <c r="B81" s="6" t="n">
        <v>4848.627983235</v>
      </c>
      <c r="C81" s="9">
        <f t="shared" si="2"/>
        <v>3.2156782479216862E-3</v>
      </c>
      <c r="E81" s="371">
        <v>70</v>
      </c>
      <c r="F81" s="371" t="n">
        <v>1268.0</v>
      </c>
      <c r="G81" s="9">
        <f t="shared" si="3"/>
        <v>7.8425153536131943E-4</v>
      </c>
    </row>
    <row r="82" spans="1:7" x14ac:dyDescent="0.4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1112.0</v>
      </c>
      <c r="G82" s="9">
        <f t="shared" si="3"/>
        <v>7.5327793601845535E-4</v>
      </c>
    </row>
    <row r="83" spans="1:7" x14ac:dyDescent="0.45">
      <c r="A83">
        <v>72</v>
      </c>
      <c r="B83" s="6" t="n">
        <v>22270.6571615892</v>
      </c>
      <c r="C83" s="9">
        <f t="shared" si="2"/>
        <v>1.4770212944582741E-2</v>
      </c>
      <c r="E83" s="371">
        <v>72</v>
      </c>
      <c r="F83" s="371" t="n">
        <v>1076.0</v>
      </c>
      <c r="G83" s="9">
        <f t="shared" si="3"/>
        <v>7.6876473568988739E-4</v>
      </c>
    </row>
    <row r="84" spans="1:7" x14ac:dyDescent="0.45">
      <c r="A84">
        <v>73</v>
      </c>
      <c r="B84" s="6" t="n">
        <v>670.276657256</v>
      </c>
      <c r="C84" s="9">
        <f t="shared" si="2"/>
        <v>4.4453690286828354E-4</v>
      </c>
      <c r="E84" s="371">
        <v>73</v>
      </c>
      <c r="F84" s="371" t="n">
        <v>1048.0</v>
      </c>
      <c r="G84" s="9">
        <f t="shared" si="3"/>
        <v>6.2380829076528327E-4</v>
      </c>
    </row>
    <row r="85" spans="1:7" x14ac:dyDescent="0.45">
      <c r="A85">
        <v>74</v>
      </c>
      <c r="B85" s="6" t="n">
        <v>6789.006051028</v>
      </c>
      <c r="C85" s="9">
        <f t="shared" si="2"/>
        <v>4.5025642632895192E-3</v>
      </c>
      <c r="E85" s="371">
        <v>74</v>
      </c>
      <c r="F85" s="371" t="n">
        <v>981.0</v>
      </c>
      <c r="G85" s="9">
        <f t="shared" si="3"/>
        <v>5.6929475592184251E-4</v>
      </c>
    </row>
    <row r="86" spans="1:7" x14ac:dyDescent="0.45">
      <c r="A86">
        <v>75</v>
      </c>
      <c r="B86" s="6" t="n">
        <v>7010.7300745953</v>
      </c>
      <c r="C86" s="9">
        <f t="shared" si="2"/>
        <v>4.6496147530553549E-3</v>
      </c>
      <c r="E86" s="371">
        <v>75</v>
      </c>
      <c r="F86" s="371" t="n">
        <v>951.0</v>
      </c>
      <c r="G86" s="9">
        <f t="shared" si="3"/>
        <v>6.1017990705442308E-4</v>
      </c>
    </row>
    <row r="87" spans="1:7" x14ac:dyDescent="0.45">
      <c r="A87">
        <v>76</v>
      </c>
      <c r="B87" s="6" t="n">
        <v>9914.513539693</v>
      </c>
      <c r="C87" s="9">
        <f t="shared" si="2"/>
        <v>6.5754447729446672E-3</v>
      </c>
      <c r="E87" s="371">
        <v>76</v>
      </c>
      <c r="F87" s="371" t="n">
        <v>935.0</v>
      </c>
      <c r="G87" s="9">
        <f t="shared" si="3"/>
        <v>5.8725944354070365E-4</v>
      </c>
    </row>
    <row r="88" spans="1:7" x14ac:dyDescent="0.45">
      <c r="A88">
        <v>77</v>
      </c>
      <c r="B88" s="6" t="n">
        <v>1693.494666494</v>
      </c>
      <c r="C88" s="9">
        <f t="shared" si="2"/>
        <v>1.1231494725612581E-3</v>
      </c>
      <c r="E88" s="371">
        <v>77</v>
      </c>
      <c r="F88" s="371" t="n">
        <v>817.0</v>
      </c>
      <c r="G88" s="9">
        <f t="shared" si="3"/>
        <v>4.9248022955153945E-4</v>
      </c>
    </row>
    <row r="89" spans="1:7" x14ac:dyDescent="0.45">
      <c r="A89">
        <v>78</v>
      </c>
      <c r="B89" s="6" t="n">
        <v>3658.336044595</v>
      </c>
      <c r="C89" s="9">
        <f t="shared" si="2"/>
        <v>2.4262598992680507E-3</v>
      </c>
      <c r="E89" s="371">
        <v>78</v>
      </c>
      <c r="F89" s="371" t="n">
        <v>780.0</v>
      </c>
      <c r="G89" s="9">
        <f t="shared" si="3"/>
        <v>5.2779013280240458E-4</v>
      </c>
    </row>
    <row r="90" spans="1:7" x14ac:dyDescent="0.45">
      <c r="A90">
        <v>79</v>
      </c>
      <c r="B90" s="6" t="n">
        <v>815.65893134</v>
      </c>
      <c r="C90" s="9">
        <f t="shared" si="2"/>
        <v>5.4095647104752552E-4</v>
      </c>
      <c r="E90" s="371">
        <v>79</v>
      </c>
      <c r="F90" s="371" t="n">
        <v>780.0</v>
      </c>
      <c r="G90" s="9">
        <f t="shared" si="3"/>
        <v>4.7513501391953557E-4</v>
      </c>
    </row>
    <row r="91" spans="1:7" x14ac:dyDescent="0.45">
      <c r="A91">
        <v>80</v>
      </c>
      <c r="B91" s="6" t="n">
        <v>17566.8535541287</v>
      </c>
      <c r="C91" s="9">
        <f t="shared" si="2"/>
        <v>1.1650584258837648E-2</v>
      </c>
      <c r="E91" s="371">
        <v>80</v>
      </c>
      <c r="F91" s="371" t="n">
        <v>679.0</v>
      </c>
      <c r="G91" s="9">
        <f t="shared" si="3"/>
        <v>4.4540035855038598E-4</v>
      </c>
    </row>
    <row r="92" spans="1:7" x14ac:dyDescent="0.45">
      <c r="A92">
        <v>81</v>
      </c>
      <c r="B92" s="6" t="n">
        <v>1969.6146971590001</v>
      </c>
      <c r="C92" s="9">
        <f t="shared" si="2"/>
        <v>1.3062761590166901E-3</v>
      </c>
      <c r="E92" s="371">
        <v>81</v>
      </c>
      <c r="F92" s="371" t="n">
        <v>693.0</v>
      </c>
      <c r="G92" s="9">
        <f t="shared" si="3"/>
        <v>3.9584259960180341E-4</v>
      </c>
    </row>
    <row r="93" spans="1:7" x14ac:dyDescent="0.45">
      <c r="A93">
        <v>82</v>
      </c>
      <c r="B93" s="6" t="n">
        <v>12908.5163988375</v>
      </c>
      <c r="C93" s="9">
        <f t="shared" si="2"/>
        <v>8.5611095634082739E-3</v>
      </c>
      <c r="E93" s="371">
        <v>82</v>
      </c>
      <c r="F93" s="371" t="n">
        <v>803.0</v>
      </c>
      <c r="G93" s="9">
        <f t="shared" si="3"/>
        <v>4.4973666245838698E-4</v>
      </c>
    </row>
    <row r="94" spans="1:7" x14ac:dyDescent="0.45">
      <c r="A94">
        <v>83</v>
      </c>
      <c r="B94" s="6" t="n">
        <v>1983.3277993009</v>
      </c>
      <c r="C94" s="9">
        <f t="shared" si="2"/>
        <v>1.3153708811569965E-3</v>
      </c>
      <c r="E94" s="371">
        <v>83</v>
      </c>
      <c r="F94" s="371" t="n">
        <v>632.0</v>
      </c>
      <c r="G94" s="9">
        <f t="shared" si="3"/>
        <v>4.0079837549666166E-4</v>
      </c>
    </row>
    <row r="95" spans="1:7" x14ac:dyDescent="0.45">
      <c r="A95">
        <v>84</v>
      </c>
      <c r="B95" s="6" t="n">
        <v>5913.244308391099</v>
      </c>
      <c r="C95" s="9">
        <f t="shared" si="2"/>
        <v>3.9217467627724913E-3</v>
      </c>
      <c r="E95" s="371">
        <v>84</v>
      </c>
      <c r="F95" s="371" t="n">
        <v>609.0</v>
      </c>
      <c r="G95" s="9">
        <f t="shared" si="3"/>
        <v>3.7601949602237037E-4</v>
      </c>
    </row>
    <row r="96" spans="1:7" x14ac:dyDescent="0.45">
      <c r="A96">
        <v>85</v>
      </c>
      <c r="B96" s="6" t="n">
        <v>1408.8821269998</v>
      </c>
      <c r="C96" s="9">
        <f t="shared" si="2"/>
        <v>9.3439043484960099E-4</v>
      </c>
      <c r="E96" s="371">
        <v>85</v>
      </c>
      <c r="F96" s="371" t="n">
        <v>565.0</v>
      </c>
      <c r="G96" s="9">
        <f t="shared" si="3"/>
        <v>3.8097527191722862E-4</v>
      </c>
    </row>
    <row r="97" spans="1:7" x14ac:dyDescent="0.45">
      <c r="A97">
        <v>86</v>
      </c>
      <c r="B97" s="6" t="n">
        <v>1571.3901850464</v>
      </c>
      <c r="C97" s="9">
        <f t="shared" si="2"/>
        <v>1.0421680637333467E-3</v>
      </c>
      <c r="E97" s="371">
        <v>86</v>
      </c>
      <c r="F97" s="371" t="n">
        <v>550.0</v>
      </c>
      <c r="G97" s="9">
        <f t="shared" si="3"/>
        <v>3.0849704945492662E-4</v>
      </c>
    </row>
    <row r="98" spans="1:7" x14ac:dyDescent="0.45">
      <c r="A98">
        <v>87</v>
      </c>
      <c r="B98" s="6" t="n">
        <v>4902.178756339</v>
      </c>
      <c r="C98" s="9">
        <f t="shared" si="2"/>
        <v>3.2511938735430663E-3</v>
      </c>
      <c r="E98" s="371">
        <v>87</v>
      </c>
      <c r="F98" s="371" t="n">
        <v>495.0</v>
      </c>
      <c r="G98" s="9">
        <f t="shared" si="3"/>
        <v>3.35753816876647E-4</v>
      </c>
    </row>
    <row r="99" spans="1:7" x14ac:dyDescent="0.45">
      <c r="A99">
        <v>88</v>
      </c>
      <c r="B99" s="6" t="n">
        <v>5592.4941541029</v>
      </c>
      <c r="C99" s="9">
        <f t="shared" si="2"/>
        <v>3.7090207508515029E-3</v>
      </c>
      <c r="E99" s="371">
        <v>88</v>
      </c>
      <c r="F99" s="371" t="n">
        <v>522.0</v>
      </c>
      <c r="G99" s="9">
        <f t="shared" si="3"/>
        <v>3.1964754521835766E-4</v>
      </c>
    </row>
    <row r="100" spans="1:7" x14ac:dyDescent="0.45">
      <c r="A100">
        <v>89</v>
      </c>
      <c r="B100" s="6" t="n">
        <v>5038.3174449458</v>
      </c>
      <c r="C100" s="9">
        <f t="shared" si="2"/>
        <v>3.3414829658733438E-3</v>
      </c>
      <c r="E100" s="371">
        <v>89</v>
      </c>
      <c r="F100" s="371" t="n">
        <v>469.0</v>
      </c>
      <c r="G100" s="9">
        <f t="shared" si="3"/>
        <v>2.8247922600692073E-4</v>
      </c>
    </row>
    <row r="101" spans="1:7" ht="14.65" thickBot="1" x14ac:dyDescent="0.5">
      <c r="A101" s="1">
        <v>90</v>
      </c>
      <c r="B101" s="7" t="n">
        <v>137617.7449976564</v>
      </c>
      <c r="C101" s="9">
        <f t="shared" si="2"/>
        <v>9.1270023323533817E-2</v>
      </c>
      <c r="E101" s="372">
        <v>90</v>
      </c>
      <c r="F101" s="372" t="n">
        <v>44180.0</v>
      </c>
      <c r="G101" s="9">
        <f t="shared" si="3"/>
        <v>2.7198537054955837E-2</v>
      </c>
    </row>
    <row r="102" spans="1:7" x14ac:dyDescent="0.45">
      <c r="B102" s="6">
        <f>SUM(B11:B101)</f>
        <v>1507808.8071680367</v>
      </c>
      <c r="C102" s="9">
        <f t="shared" si="2"/>
        <v>1</v>
      </c>
      <c r="F102" s="6">
        <f>SUM(F11:F101)</f>
        <v>1614278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2022-01-21T23:38:31Z</dcterms:modified>
</cp:coreProperties>
</file>