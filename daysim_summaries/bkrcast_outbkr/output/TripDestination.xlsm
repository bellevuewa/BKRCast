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40172053-DAD9-49C7-8B6A-107FF8484632}" revIDLastSave="0" xr10:uidLastSave="{00000000-0000-0000-0000-000000000000}" xr6:coauthVersionLast="41" xr6:coauthVersionMax="41"/>
  <bookViews>
    <workbookView windowHeight="11265" windowWidth="21600" xWindow="12405" xr2:uid="{00000000-000D-0000-FFFF-FFFF00000000}" yWindow="264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U18"/>
  <c i="3" r="U19" s="1"/>
  <c i="3" r="W18"/>
  <c i="3" r="AA18"/>
  <c i="3" r="AA19" s="1"/>
  <c i="3" r="Y18"/>
  <c i="3" r="Y19" s="1"/>
  <c i="3" l="1" r="V18"/>
  <c i="3" r="W19"/>
  <c i="3" r="V19" s="1"/>
  <c i="3" r="Z19"/>
  <c i="3" r="Z18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<sst xmlns="http://schemas.openxmlformats.org/spreadsheetml/2006/main" count="303" uniqueCount="49">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</sst>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8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43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theme/theme1.xml" Type="http://schemas.openxmlformats.org/officeDocument/2006/relationships/theme"/><Relationship Id="rId18" Target="styles.xml" Type="http://schemas.openxmlformats.org/officeDocument/2006/relationships/styles"/><Relationship Id="rId19" Target="sharedStrings.xml" Type="http://schemas.openxmlformats.org/officeDocument/2006/relationships/sharedStrings"/><Relationship Id="rId2" Target="worksheets/sheet2.xml" Type="http://schemas.openxmlformats.org/officeDocument/2006/relationships/worksheet"/><Relationship Id="rId20" Target="calcChain.xml" Type="http://schemas.openxmlformats.org/officeDocument/2006/relationships/calcChain"/><Relationship Id="rId21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1.9654695131084528E-2</c:v>
                </c:pt>
                <c:pt idx="1">
                  <c:v>4.3094932385830342E-2</c:v>
                </c:pt>
                <c:pt idx="2">
                  <c:v>6.3523209455472268E-2</c:v>
                </c:pt>
                <c:pt idx="3">
                  <c:v>9.5508444616339547E-2</c:v>
                </c:pt>
                <c:pt idx="4">
                  <c:v>0.18063910553625942</c:v>
                </c:pt>
                <c:pt idx="5">
                  <c:v>0.10653865164001304</c:v>
                </c:pt>
                <c:pt idx="6">
                  <c:v>0.12467505256260905</c:v>
                </c:pt>
                <c:pt idx="7">
                  <c:v>5.1163885295601355E-2</c:v>
                </c:pt>
                <c:pt idx="8">
                  <c:v>5.6637484510600647E-2</c:v>
                </c:pt>
                <c:pt idx="9">
                  <c:v>2.7607250389832846E-2</c:v>
                </c:pt>
                <c:pt idx="10">
                  <c:v>5.6486728778218254E-2</c:v>
                </c:pt>
                <c:pt idx="11">
                  <c:v>1.8112932728412648E-2</c:v>
                </c:pt>
                <c:pt idx="12">
                  <c:v>1.2120252199617253E-2</c:v>
                </c:pt>
                <c:pt idx="13">
                  <c:v>1.2314521200957869E-2</c:v>
                </c:pt>
                <c:pt idx="14">
                  <c:v>1.3841423972113654E-2</c:v>
                </c:pt>
                <c:pt idx="15">
                  <c:v>1.0682442766992884E-2</c:v>
                </c:pt>
                <c:pt idx="16">
                  <c:v>1.8538918345545542E-2</c:v>
                </c:pt>
                <c:pt idx="17">
                  <c:v>1.2165727119357579E-2</c:v>
                </c:pt>
                <c:pt idx="18">
                  <c:v>9.6730107842342566E-3</c:v>
                </c:pt>
                <c:pt idx="19">
                  <c:v>4.9706494329707059E-3</c:v>
                </c:pt>
                <c:pt idx="20">
                  <c:v>4.9846720097499186E-3</c:v>
                </c:pt>
                <c:pt idx="21">
                  <c:v>5.463088008970619E-3</c:v>
                </c:pt>
                <c:pt idx="22">
                  <c:v>4.2087075147463912E-3</c:v>
                </c:pt>
                <c:pt idx="23">
                  <c:v>7.486028816954547E-3</c:v>
                </c:pt>
                <c:pt idx="24">
                  <c:v>6.8343387558487236E-3</c:v>
                </c:pt>
                <c:pt idx="25">
                  <c:v>2.7319774842133816E-3</c:v>
                </c:pt>
                <c:pt idx="26">
                  <c:v>4.5222558355524087E-3</c:v>
                </c:pt>
                <c:pt idx="27">
                  <c:v>1.8042295512228426E-3</c:v>
                </c:pt>
                <c:pt idx="28">
                  <c:v>2.454940762292513E-3</c:v>
                </c:pt>
                <c:pt idx="29">
                  <c:v>6.8370701205980279E-4</c:v>
                </c:pt>
                <c:pt idx="30">
                  <c:v>1.7013198546204258E-3</c:v>
                </c:pt>
                <c:pt idx="31">
                  <c:v>6.2601660064565926E-4</c:v>
                </c:pt>
                <c:pt idx="32">
                  <c:v>8.7521481339580983E-4</c:v>
                </c:pt>
                <c:pt idx="33">
                  <c:v>1.2863830820143639E-3</c:v>
                </c:pt>
                <c:pt idx="34">
                  <c:v>1.4750034048731145E-3</c:v>
                </c:pt>
                <c:pt idx="35">
                  <c:v>4.3198113526378223E-4</c:v>
                </c:pt>
                <c:pt idx="36">
                  <c:v>8.9419360775469363E-4</c:v>
                </c:pt>
                <c:pt idx="37">
                  <c:v>7.8282285770788764E-4</c:v>
                </c:pt>
                <c:pt idx="38">
                  <c:v>1.1253572781404337E-3</c:v>
                </c:pt>
                <c:pt idx="39">
                  <c:v>7.6703834183540097E-4</c:v>
                </c:pt>
                <c:pt idx="40">
                  <c:v>4.2041819097666941E-4</c:v>
                </c:pt>
                <c:pt idx="41">
                  <c:v>7.6892172224518032E-4</c:v>
                </c:pt>
                <c:pt idx="42">
                  <c:v>3.1908089196015479E-4</c:v>
                </c:pt>
                <c:pt idx="43">
                  <c:v>7.6577395816616173E-4</c:v>
                </c:pt>
                <c:pt idx="44">
                  <c:v>4.9751084857879485E-4</c:v>
                </c:pt>
                <c:pt idx="45">
                  <c:v>8.5792513422148581E-5</c:v>
                </c:pt>
                <c:pt idx="46">
                  <c:v>1.1711243555436492E-3</c:v>
                </c:pt>
                <c:pt idx="47">
                  <c:v>9.8317556296422188E-4</c:v>
                </c:pt>
                <c:pt idx="48">
                  <c:v>1.2074598933712726E-4</c:v>
                </c:pt>
                <c:pt idx="49">
                  <c:v>1.0376531622879335E-3</c:v>
                </c:pt>
                <c:pt idx="50">
                  <c:v>1.2230759503474841E-4</c:v>
                </c:pt>
                <c:pt idx="51">
                  <c:v>1.8720130421146815E-4</c:v>
                </c:pt>
                <c:pt idx="52">
                  <c:v>2.0811190648978322E-4</c:v>
                </c:pt>
                <c:pt idx="53">
                  <c:v>9.9412222817299098E-4</c:v>
                </c:pt>
                <c:pt idx="54">
                  <c:v>2.6028178220208951E-4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1.371508200359619E-4</c:v>
                </c:pt>
                <c:pt idx="59">
                  <c:v>9.7842864422850902E-5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0.12757969412647813</c:v>
                </c:pt>
                <c:pt idx="1">
                  <c:v>0.11103241242863202</c:v>
                </c:pt>
                <c:pt idx="2">
                  <c:v>6.4535218354363058E-2</c:v>
                </c:pt>
                <c:pt idx="3">
                  <c:v>3.7453004427923139E-2</c:v>
                </c:pt>
                <c:pt idx="4">
                  <c:v>0.15718239112533888</c:v>
                </c:pt>
                <c:pt idx="5">
                  <c:v>8.4411200594267224E-2</c:v>
                </c:pt>
                <c:pt idx="6">
                  <c:v>8.6943784483668879E-2</c:v>
                </c:pt>
                <c:pt idx="7">
                  <c:v>5.0037268564556196E-2</c:v>
                </c:pt>
                <c:pt idx="8">
                  <c:v>5.1594955989133467E-2</c:v>
                </c:pt>
                <c:pt idx="9">
                  <c:v>2.5133201694660864E-2</c:v>
                </c:pt>
                <c:pt idx="10">
                  <c:v>2.4579101381620536E-2</c:v>
                </c:pt>
                <c:pt idx="11">
                  <c:v>2.3612011895493442E-2</c:v>
                </c:pt>
                <c:pt idx="12">
                  <c:v>1.8371187096001051E-2</c:v>
                </c:pt>
                <c:pt idx="13">
                  <c:v>1.948212016462576E-2</c:v>
                </c:pt>
                <c:pt idx="14">
                  <c:v>1.3560526822729471E-2</c:v>
                </c:pt>
                <c:pt idx="15">
                  <c:v>1.4353911032841813E-2</c:v>
                </c:pt>
                <c:pt idx="16">
                  <c:v>1.7252056699744184E-2</c:v>
                </c:pt>
                <c:pt idx="17">
                  <c:v>8.5839682521404292E-3</c:v>
                </c:pt>
                <c:pt idx="18">
                  <c:v>7.716027395468947E-3</c:v>
                </c:pt>
                <c:pt idx="19">
                  <c:v>6.6560348628440704E-3</c:v>
                </c:pt>
                <c:pt idx="20">
                  <c:v>5.4123831563653909E-3</c:v>
                </c:pt>
                <c:pt idx="21">
                  <c:v>5.2656119568562938E-3</c:v>
                </c:pt>
                <c:pt idx="22">
                  <c:v>4.4207016873418232E-3</c:v>
                </c:pt>
                <c:pt idx="23">
                  <c:v>4.1486284797411831E-3</c:v>
                </c:pt>
                <c:pt idx="24">
                  <c:v>3.9407676719257732E-3</c:v>
                </c:pt>
                <c:pt idx="25">
                  <c:v>3.9233971443242968E-3</c:v>
                </c:pt>
                <c:pt idx="26">
                  <c:v>2.7484468503817905E-3</c:v>
                </c:pt>
                <c:pt idx="27">
                  <c:v>2.4476829960686005E-3</c:v>
                </c:pt>
                <c:pt idx="28">
                  <c:v>2.4180164770188895E-3</c:v>
                </c:pt>
                <c:pt idx="29">
                  <c:v>1.8022410322699513E-3</c:v>
                </c:pt>
                <c:pt idx="30">
                  <c:v>1.5459769565313282E-3</c:v>
                </c:pt>
                <c:pt idx="31">
                  <c:v>1.4349226845623436E-3</c:v>
                </c:pt>
                <c:pt idx="32">
                  <c:v>1.3295284721488963E-3</c:v>
                </c:pt>
                <c:pt idx="33">
                  <c:v>8.7086847368296754E-4</c:v>
                </c:pt>
                <c:pt idx="34">
                  <c:v>9.210283118130713E-4</c:v>
                </c:pt>
                <c:pt idx="35">
                  <c:v>7.6957292508559867E-4</c:v>
                </c:pt>
                <c:pt idx="36">
                  <c:v>9.3098220965211903E-4</c:v>
                </c:pt>
                <c:pt idx="37">
                  <c:v>7.0477500189807169E-4</c:v>
                </c:pt>
                <c:pt idx="38">
                  <c:v>7.4283402304737211E-4</c:v>
                </c:pt>
                <c:pt idx="39">
                  <c:v>6.1050573412826589E-4</c:v>
                </c:pt>
                <c:pt idx="40">
                  <c:v>4.0850016033582498E-4</c:v>
                </c:pt>
                <c:pt idx="41">
                  <c:v>4.0342562418258491E-4</c:v>
                </c:pt>
                <c:pt idx="42">
                  <c:v>3.4858159883410583E-4</c:v>
                </c:pt>
                <c:pt idx="43">
                  <c:v>2.8573542032090196E-4</c:v>
                </c:pt>
                <c:pt idx="44">
                  <c:v>2.8671129265806351E-4</c:v>
                </c:pt>
                <c:pt idx="45">
                  <c:v>2.65632450175374E-4</c:v>
                </c:pt>
                <c:pt idx="46">
                  <c:v>1.992731312483886E-4</c:v>
                </c:pt>
                <c:pt idx="47">
                  <c:v>2.0259109719473787E-4</c:v>
                </c:pt>
                <c:pt idx="48">
                  <c:v>1.4364840803018022E-4</c:v>
                </c:pt>
                <c:pt idx="49">
                  <c:v>1.3662212720261705E-4</c:v>
                </c:pt>
                <c:pt idx="50">
                  <c:v>1.2100816980803225E-4</c:v>
                </c:pt>
                <c:pt idx="51">
                  <c:v>1.00710025195072E-4</c:v>
                </c:pt>
                <c:pt idx="52">
                  <c:v>8.2753974191299474E-5</c:v>
                </c:pt>
                <c:pt idx="53">
                  <c:v>7.0457982743063935E-5</c:v>
                </c:pt>
                <c:pt idx="54">
                  <c:v>8.1778101854137919E-5</c:v>
                </c:pt>
                <c:pt idx="55">
                  <c:v>5.289228067415603E-5</c:v>
                </c:pt>
                <c:pt idx="56">
                  <c:v>4.8403267923212903E-5</c:v>
                </c:pt>
                <c:pt idx="57">
                  <c:v>5.3868153011317585E-5</c:v>
                </c:pt>
                <c:pt idx="58">
                  <c:v>3.3179659463492713E-5</c:v>
                </c:pt>
                <c:pt idx="59">
                  <c:v>3.2984484996060404E-5</c:v>
                </c:pt>
                <c:pt idx="60">
                  <c:v>2.1274016950121797E-5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2728"/>
        <c:axId val="174260376"/>
      </c:lineChart>
      <c:catAx>
        <c:axId val="1742627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0376"/>
        <c:crosses val="autoZero"/>
        <c:auto val="1"/>
        <c:lblAlgn val="ctr"/>
        <c:lblOffset val="100"/>
        <c:tickLblSkip val="10"/>
        <c:noMultiLvlLbl val="0"/>
      </c:catAx>
      <c:valAx>
        <c:axId val="1742603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27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7.4203775286718133E-5</c:v>
                </c:pt>
                <c:pt idx="4">
                  <c:v>5.2208549653190558E-4</c:v>
                </c:pt>
                <c:pt idx="5">
                  <c:v>6.5973905370380441E-3</c:v>
                </c:pt>
                <c:pt idx="6">
                  <c:v>4.3078596719253893E-3</c:v>
                </c:pt>
                <c:pt idx="7">
                  <c:v>5.8084489049752813E-3</c:v>
                </c:pt>
                <c:pt idx="8">
                  <c:v>2.8926703379366578E-3</c:v>
                </c:pt>
                <c:pt idx="9">
                  <c:v>1.2791731820066385E-2</c:v>
                </c:pt>
                <c:pt idx="10">
                  <c:v>2.861726209111654E-3</c:v>
                </c:pt>
                <c:pt idx="11">
                  <c:v>9.9544363367105974E-3</c:v>
                </c:pt>
                <c:pt idx="12">
                  <c:v>1.9265936521830448E-2</c:v>
                </c:pt>
                <c:pt idx="13">
                  <c:v>1.8373098129720211E-2</c:v>
                </c:pt>
                <c:pt idx="14">
                  <c:v>1.1707524897949717E-2</c:v>
                </c:pt>
                <c:pt idx="15">
                  <c:v>6.873023612670481E-3</c:v>
                </c:pt>
                <c:pt idx="16">
                  <c:v>3.6614208775304656E-2</c:v>
                </c:pt>
                <c:pt idx="17">
                  <c:v>2.0835781079689569E-2</c:v>
                </c:pt>
                <c:pt idx="18">
                  <c:v>7.1191645005765761E-2</c:v>
                </c:pt>
                <c:pt idx="19">
                  <c:v>4.306581801238589E-2</c:v>
                </c:pt>
                <c:pt idx="20">
                  <c:v>6.2928612302342854E-2</c:v>
                </c:pt>
                <c:pt idx="21">
                  <c:v>5.5410409713109052E-2</c:v>
                </c:pt>
                <c:pt idx="22">
                  <c:v>4.655548748118056E-2</c:v>
                </c:pt>
                <c:pt idx="23">
                  <c:v>2.8736656940011245E-2</c:v>
                </c:pt>
                <c:pt idx="24">
                  <c:v>3.5794010734332971E-2</c:v>
                </c:pt>
                <c:pt idx="25">
                  <c:v>2.3997194096515177E-2</c:v>
                </c:pt>
                <c:pt idx="26">
                  <c:v>6.2947645999627461E-2</c:v>
                </c:pt>
                <c:pt idx="27">
                  <c:v>1.5608177715254056E-2</c:v>
                </c:pt>
                <c:pt idx="28">
                  <c:v>2.4379877242610249E-2</c:v>
                </c:pt>
                <c:pt idx="29">
                  <c:v>2.2065117972397595E-2</c:v>
                </c:pt>
                <c:pt idx="30">
                  <c:v>1.5991415654101455E-2</c:v>
                </c:pt>
                <c:pt idx="31">
                  <c:v>1.1751910600069528E-2</c:v>
                </c:pt>
                <c:pt idx="32">
                  <c:v>1.2097041310541385E-2</c:v>
                </c:pt>
                <c:pt idx="33">
                  <c:v>1.1041047370719615E-2</c:v>
                </c:pt>
                <c:pt idx="34">
                  <c:v>2.005263292041097E-2</c:v>
                </c:pt>
                <c:pt idx="35">
                  <c:v>7.6901714657753445E-3</c:v>
                </c:pt>
                <c:pt idx="36">
                  <c:v>1.1786500256360738E-2</c:v>
                </c:pt>
                <c:pt idx="37">
                  <c:v>1.4929655279196829E-2</c:v>
                </c:pt>
                <c:pt idx="38">
                  <c:v>1.6959319495023783E-2</c:v>
                </c:pt>
                <c:pt idx="39">
                  <c:v>5.3423193712815939E-3</c:v>
                </c:pt>
                <c:pt idx="40">
                  <c:v>8.8964388084156916E-3</c:v>
                </c:pt>
                <c:pt idx="41">
                  <c:v>5.6921117532731623E-3</c:v>
                </c:pt>
                <c:pt idx="42">
                  <c:v>4.3910433170598522E-3</c:v>
                </c:pt>
                <c:pt idx="43">
                  <c:v>3.6598654910824885E-3</c:v>
                </c:pt>
                <c:pt idx="44">
                  <c:v>2.6294966207784385E-3</c:v>
                </c:pt>
                <c:pt idx="45">
                  <c:v>4.4196908578454097E-2</c:v>
                </c:pt>
                <c:pt idx="46">
                  <c:v>3.8782810268260322E-3</c:v>
                </c:pt>
                <c:pt idx="47">
                  <c:v>4.0707945186093438E-3</c:v>
                </c:pt>
                <c:pt idx="48">
                  <c:v>5.3328691310379865E-3</c:v>
                </c:pt>
                <c:pt idx="49">
                  <c:v>3.3056761132209665E-3</c:v>
                </c:pt>
                <c:pt idx="50">
                  <c:v>1.7406312241280298E-3</c:v>
                </c:pt>
                <c:pt idx="51">
                  <c:v>3.9623571340801685E-3</c:v>
                </c:pt>
                <c:pt idx="52">
                  <c:v>3.6189677044026333E-3</c:v>
                </c:pt>
                <c:pt idx="53">
                  <c:v>1.8744671760870225E-4</c:v>
                </c:pt>
                <c:pt idx="54">
                  <c:v>7.2014226403772303E-3</c:v>
                </c:pt>
                <c:pt idx="55">
                  <c:v>6.3527604950712078E-4</c:v>
                </c:pt>
                <c:pt idx="56">
                  <c:v>1.5386102756207662E-3</c:v>
                </c:pt>
                <c:pt idx="57">
                  <c:v>6.9056284140891664E-4</c:v>
                </c:pt>
                <c:pt idx="58">
                  <c:v>2.7608714261091066E-3</c:v>
                </c:pt>
                <c:pt idx="59">
                  <c:v>3.6006273301416596E-3</c:v>
                </c:pt>
                <c:pt idx="60">
                  <c:v>4.8236892895235804E-3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3.6274451478939054E-3</c:v>
                </c:pt>
                <c:pt idx="1">
                  <c:v>1.5314450864833433E-2</c:v>
                </c:pt>
                <c:pt idx="2">
                  <c:v>1.9825440476853015E-2</c:v>
                </c:pt>
                <c:pt idx="3">
                  <c:v>2.2628065010756444E-2</c:v>
                </c:pt>
                <c:pt idx="4">
                  <c:v>2.3287269014725102E-2</c:v>
                </c:pt>
                <c:pt idx="5">
                  <c:v>2.3531951723621766E-2</c:v>
                </c:pt>
                <c:pt idx="6">
                  <c:v>2.2853173102941375E-2</c:v>
                </c:pt>
                <c:pt idx="7">
                  <c:v>2.1750853510861035E-2</c:v>
                </c:pt>
                <c:pt idx="8">
                  <c:v>2.0279111005348478E-2</c:v>
                </c:pt>
                <c:pt idx="9">
                  <c:v>1.8995054530660183E-2</c:v>
                </c:pt>
                <c:pt idx="10">
                  <c:v>1.7619649844650469E-2</c:v>
                </c:pt>
                <c:pt idx="11">
                  <c:v>1.6297787492587552E-2</c:v>
                </c:pt>
                <c:pt idx="12">
                  <c:v>1.5001640813459659E-2</c:v>
                </c:pt>
                <c:pt idx="13">
                  <c:v>1.3848657507537186E-2</c:v>
                </c:pt>
                <c:pt idx="14">
                  <c:v>1.2843059550973646E-2</c:v>
                </c:pt>
                <c:pt idx="15">
                  <c:v>1.2215328460149343E-2</c:v>
                </c:pt>
                <c:pt idx="16">
                  <c:v>1.0841459038195451E-2</c:v>
                </c:pt>
                <c:pt idx="17">
                  <c:v>1.0075170366333194E-2</c:v>
                </c:pt>
                <c:pt idx="18">
                  <c:v>0.11552746875257876</c:v>
                </c:pt>
                <c:pt idx="19">
                  <c:v>3.9707301907757495E-2</c:v>
                </c:pt>
                <c:pt idx="20">
                  <c:v>4.2211125674796526E-2</c:v>
                </c:pt>
                <c:pt idx="21">
                  <c:v>5.003080123511993E-2</c:v>
                </c:pt>
                <c:pt idx="22">
                  <c:v>4.3423216646868157E-2</c:v>
                </c:pt>
                <c:pt idx="23">
                  <c:v>4.1999451143100046E-2</c:v>
                </c:pt>
                <c:pt idx="24">
                  <c:v>2.8178620296574634E-2</c:v>
                </c:pt>
                <c:pt idx="25">
                  <c:v>2.6843132476016298E-2</c:v>
                </c:pt>
                <c:pt idx="26">
                  <c:v>2.6871151045035051E-2</c:v>
                </c:pt>
                <c:pt idx="27">
                  <c:v>2.3795249509195274E-2</c:v>
                </c:pt>
                <c:pt idx="28">
                  <c:v>2.2023170972762497E-2</c:v>
                </c:pt>
                <c:pt idx="29">
                  <c:v>1.918600299760307E-2</c:v>
                </c:pt>
                <c:pt idx="30">
                  <c:v>1.9727183577280396E-2</c:v>
                </c:pt>
                <c:pt idx="31">
                  <c:v>1.2557692344597693E-2</c:v>
                </c:pt>
                <c:pt idx="32">
                  <c:v>1.5784817389935962E-2</c:v>
                </c:pt>
                <c:pt idx="33">
                  <c:v>1.6750306573041145E-2</c:v>
                </c:pt>
                <c:pt idx="34">
                  <c:v>1.5977301120934668E-2</c:v>
                </c:pt>
                <c:pt idx="35">
                  <c:v>1.1661098135997527E-2</c:v>
                </c:pt>
                <c:pt idx="36">
                  <c:v>7.1620068204105679E-3</c:v>
                </c:pt>
                <c:pt idx="37">
                  <c:v>7.6932081837250499E-3</c:v>
                </c:pt>
                <c:pt idx="38">
                  <c:v>6.2414241109381803E-3</c:v>
                </c:pt>
                <c:pt idx="39">
                  <c:v>9.1160141474582752E-3</c:v>
                </c:pt>
                <c:pt idx="40">
                  <c:v>7.4324052022422529E-3</c:v>
                </c:pt>
                <c:pt idx="41">
                  <c:v>5.7994599708683647E-3</c:v>
                </c:pt>
                <c:pt idx="42">
                  <c:v>4.8119013669607339E-3</c:v>
                </c:pt>
                <c:pt idx="43">
                  <c:v>5.1592548595905067E-3</c:v>
                </c:pt>
                <c:pt idx="44">
                  <c:v>3.9059036660186574E-3</c:v>
                </c:pt>
                <c:pt idx="45">
                  <c:v>3.7533368004713259E-3</c:v>
                </c:pt>
                <c:pt idx="46">
                  <c:v>3.3058073281991545E-3</c:v>
                </c:pt>
                <c:pt idx="47">
                  <c:v>4.4716484705891388E-3</c:v>
                </c:pt>
                <c:pt idx="48">
                  <c:v>3.6520093727870607E-3</c:v>
                </c:pt>
                <c:pt idx="49">
                  <c:v>2.844460479424583E-3</c:v>
                </c:pt>
                <c:pt idx="50">
                  <c:v>3.1369282820587125E-3</c:v>
                </c:pt>
                <c:pt idx="51">
                  <c:v>4.116234841666299E-3</c:v>
                </c:pt>
                <c:pt idx="52">
                  <c:v>2.3600846698126786E-3</c:v>
                </c:pt>
                <c:pt idx="53">
                  <c:v>2.286200087126235E-3</c:v>
                </c:pt>
                <c:pt idx="54">
                  <c:v>1.8839609045008185E-3</c:v>
                </c:pt>
                <c:pt idx="55">
                  <c:v>1.685528025285799E-3</c:v>
                </c:pt>
                <c:pt idx="56">
                  <c:v>1.717192846437132E-3</c:v>
                </c:pt>
                <c:pt idx="57">
                  <c:v>1.8022080935282863E-3</c:v>
                </c:pt>
                <c:pt idx="58">
                  <c:v>1.5613635447711785E-3</c:v>
                </c:pt>
                <c:pt idx="59">
                  <c:v>1.3395178887048705E-3</c:v>
                </c:pt>
                <c:pt idx="60">
                  <c:v>1.6603880763717104E-3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3120"/>
        <c:axId val="174267432"/>
      </c:lineChart>
      <c:catAx>
        <c:axId val="174263120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7432"/>
        <c:crosses val="autoZero"/>
        <c:auto val="1"/>
        <c:lblAlgn val="ctr"/>
        <c:lblOffset val="100"/>
        <c:tickLblSkip val="10"/>
        <c:noMultiLvlLbl val="0"/>
      </c:catAx>
      <c:valAx>
        <c:axId val="17426743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31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3.8226749699430074E-2</c:v>
                </c:pt>
                <c:pt idx="1">
                  <c:v>3.3708375250107087E-2</c:v>
                </c:pt>
                <c:pt idx="2">
                  <c:v>2.8513569708552223E-2</c:v>
                </c:pt>
                <c:pt idx="3">
                  <c:v>5.8446091589819268E-2</c:v>
                </c:pt>
                <c:pt idx="4">
                  <c:v>0.11994402167290648</c:v>
                </c:pt>
                <c:pt idx="5">
                  <c:v>8.5933601221040559E-2</c:v>
                </c:pt>
                <c:pt idx="6">
                  <c:v>7.809663322387414E-2</c:v>
                </c:pt>
                <c:pt idx="7">
                  <c:v>4.978757990255387E-2</c:v>
                </c:pt>
                <c:pt idx="8">
                  <c:v>6.4710173831896839E-2</c:v>
                </c:pt>
                <c:pt idx="9">
                  <c:v>4.0422465778854492E-2</c:v>
                </c:pt>
                <c:pt idx="10">
                  <c:v>5.9005559368506322E-2</c:v>
                </c:pt>
                <c:pt idx="11">
                  <c:v>2.7947591714860144E-2</c:v>
                </c:pt>
                <c:pt idx="12">
                  <c:v>2.8505847436333175E-2</c:v>
                </c:pt>
                <c:pt idx="13">
                  <c:v>2.500540073830472E-2</c:v>
                </c:pt>
                <c:pt idx="14">
                  <c:v>1.3635572821071657E-2</c:v>
                </c:pt>
                <c:pt idx="15">
                  <c:v>2.3568846068371983E-2</c:v>
                </c:pt>
                <c:pt idx="16">
                  <c:v>2.6339124600516756E-2</c:v>
                </c:pt>
                <c:pt idx="17">
                  <c:v>2.1287032209429149E-2</c:v>
                </c:pt>
                <c:pt idx="18">
                  <c:v>2.3453556875431564E-2</c:v>
                </c:pt>
                <c:pt idx="19">
                  <c:v>1.4925053619952416E-2</c:v>
                </c:pt>
                <c:pt idx="20">
                  <c:v>1.3499623764600652E-2</c:v>
                </c:pt>
                <c:pt idx="21">
                  <c:v>1.1423605099428915E-2</c:v>
                </c:pt>
                <c:pt idx="22">
                  <c:v>1.0643970673777063E-2</c:v>
                </c:pt>
                <c:pt idx="23">
                  <c:v>1.0561034169208117E-2</c:v>
                </c:pt>
                <c:pt idx="24">
                  <c:v>9.183542884629619E-3</c:v>
                </c:pt>
                <c:pt idx="25">
                  <c:v>6.5854347197879595E-3</c:v>
                </c:pt>
                <c:pt idx="26">
                  <c:v>7.6746359641333807E-3</c:v>
                </c:pt>
                <c:pt idx="27">
                  <c:v>6.2857347986341513E-3</c:v>
                </c:pt>
                <c:pt idx="28">
                  <c:v>5.2577769171617793E-3</c:v>
                </c:pt>
                <c:pt idx="29">
                  <c:v>3.4170783370281637E-3</c:v>
                </c:pt>
                <c:pt idx="30">
                  <c:v>4.651342006523531E-3</c:v>
                </c:pt>
                <c:pt idx="31">
                  <c:v>4.1672632167764076E-3</c:v>
                </c:pt>
                <c:pt idx="32">
                  <c:v>1.5985526757384715E-3</c:v>
                </c:pt>
                <c:pt idx="33">
                  <c:v>2.7248009035116439E-3</c:v>
                </c:pt>
                <c:pt idx="34">
                  <c:v>6.9055574656900886E-3</c:v>
                </c:pt>
                <c:pt idx="35">
                  <c:v>2.165729072308312E-3</c:v>
                </c:pt>
                <c:pt idx="36">
                  <c:v>3.2029065106176646E-3</c:v>
                </c:pt>
                <c:pt idx="37">
                  <c:v>2.5025443468808407E-3</c:v>
                </c:pt>
                <c:pt idx="38">
                  <c:v>3.6825273200418412E-3</c:v>
                </c:pt>
                <c:pt idx="39">
                  <c:v>1.4170227004053433E-3</c:v>
                </c:pt>
                <c:pt idx="40">
                  <c:v>1.8108621778767631E-3</c:v>
                </c:pt>
                <c:pt idx="41">
                  <c:v>1.9125549139269282E-3</c:v>
                </c:pt>
                <c:pt idx="42">
                  <c:v>3.0063717606709263E-4</c:v>
                </c:pt>
                <c:pt idx="43">
                  <c:v>8.8452679153324927E-4</c:v>
                </c:pt>
                <c:pt idx="44">
                  <c:v>2.3528528615857423E-3</c:v>
                </c:pt>
                <c:pt idx="45">
                  <c:v>1.1318173331199394E-3</c:v>
                </c:pt>
                <c:pt idx="46">
                  <c:v>3.4298036857505383E-4</c:v>
                </c:pt>
                <c:pt idx="47">
                  <c:v>3.1250869561632554E-3</c:v>
                </c:pt>
                <c:pt idx="48">
                  <c:v>1.7522881478523307E-3</c:v>
                </c:pt>
                <c:pt idx="49">
                  <c:v>2.4508239041410316E-4</c:v>
                </c:pt>
                <c:pt idx="50">
                  <c:v>5.8356304230435343E-4</c:v>
                </c:pt>
                <c:pt idx="51">
                  <c:v>2.8154555529678524E-4</c:v>
                </c:pt>
                <c:pt idx="52">
                  <c:v>1.0917455945335065E-3</c:v>
                </c:pt>
                <c:pt idx="53">
                  <c:v>2.2981978014204835E-4</c:v>
                </c:pt>
                <c:pt idx="54">
                  <c:v>4.9311185119962268E-4</c:v>
                </c:pt>
                <c:pt idx="55">
                  <c:v>8.008285402341511E-4</c:v>
                </c:pt>
                <c:pt idx="56">
                  <c:v>1.471515406368988E-3</c:v>
                </c:pt>
                <c:pt idx="57">
                  <c:v>6.3117932547753733E-4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0.10248499034028367</c:v>
                </c:pt>
                <c:pt idx="1">
                  <c:v>6.3770308172457491E-2</c:v>
                </c:pt>
                <c:pt idx="2">
                  <c:v>4.2762563294372398E-2</c:v>
                </c:pt>
                <c:pt idx="3">
                  <c:v>2.5858175300620821E-2</c:v>
                </c:pt>
                <c:pt idx="4">
                  <c:v>0.11225889426644174</c:v>
                </c:pt>
                <c:pt idx="5">
                  <c:v>8.9034892864754259E-2</c:v>
                </c:pt>
                <c:pt idx="6">
                  <c:v>8.6391473006189712E-2</c:v>
                </c:pt>
                <c:pt idx="7">
                  <c:v>5.634256650272039E-2</c:v>
                </c:pt>
                <c:pt idx="8">
                  <c:v>5.7791408376931884E-2</c:v>
                </c:pt>
                <c:pt idx="9">
                  <c:v>3.5330660942801261E-2</c:v>
                </c:pt>
                <c:pt idx="10">
                  <c:v>2.9830239558191064E-2</c:v>
                </c:pt>
                <c:pt idx="11">
                  <c:v>3.20719224707793E-2</c:v>
                </c:pt>
                <c:pt idx="12">
                  <c:v>2.3532816453370083E-2</c:v>
                </c:pt>
                <c:pt idx="13">
                  <c:v>2.7929732555994687E-2</c:v>
                </c:pt>
                <c:pt idx="14">
                  <c:v>2.0947183842500626E-2</c:v>
                </c:pt>
                <c:pt idx="15">
                  <c:v>2.1664208011901401E-2</c:v>
                </c:pt>
                <c:pt idx="16">
                  <c:v>2.1116847201733433E-2</c:v>
                </c:pt>
                <c:pt idx="17">
                  <c:v>1.2213912672835879E-2</c:v>
                </c:pt>
                <c:pt idx="18">
                  <c:v>1.5428732836609562E-2</c:v>
                </c:pt>
                <c:pt idx="19">
                  <c:v>1.1604141635157206E-2</c:v>
                </c:pt>
                <c:pt idx="20">
                  <c:v>1.1826506964287943E-2</c:v>
                </c:pt>
                <c:pt idx="21">
                  <c:v>8.7619336445215138E-3</c:v>
                </c:pt>
                <c:pt idx="22">
                  <c:v>8.5760898559340808E-3</c:v>
                </c:pt>
                <c:pt idx="23">
                  <c:v>8.5649947043766207E-3</c:v>
                </c:pt>
                <c:pt idx="24">
                  <c:v>8.2709731881039639E-3</c:v>
                </c:pt>
                <c:pt idx="25">
                  <c:v>7.2918260631582256E-3</c:v>
                </c:pt>
                <c:pt idx="26">
                  <c:v>7.8234687419531258E-3</c:v>
                </c:pt>
                <c:pt idx="27">
                  <c:v>6.8433970210442664E-3</c:v>
                </c:pt>
                <c:pt idx="28">
                  <c:v>4.0511172124171385E-3</c:v>
                </c:pt>
                <c:pt idx="29">
                  <c:v>4.8476566346463672E-3</c:v>
                </c:pt>
                <c:pt idx="30">
                  <c:v>3.8093353680608497E-3</c:v>
                </c:pt>
                <c:pt idx="31">
                  <c:v>3.5416648367371565E-3</c:v>
                </c:pt>
                <c:pt idx="32">
                  <c:v>2.8288013491704293E-3</c:v>
                </c:pt>
                <c:pt idx="33">
                  <c:v>2.4441694285118583E-3</c:v>
                </c:pt>
                <c:pt idx="34">
                  <c:v>2.295771776430847E-3</c:v>
                </c:pt>
                <c:pt idx="35">
                  <c:v>1.833936092851625E-3</c:v>
                </c:pt>
                <c:pt idx="36">
                  <c:v>2.3882313727430033E-3</c:v>
                </c:pt>
                <c:pt idx="37">
                  <c:v>1.6675088194897433E-3</c:v>
                </c:pt>
                <c:pt idx="38">
                  <c:v>2.0965213463781497E-3</c:v>
                </c:pt>
                <c:pt idx="39">
                  <c:v>1.5718131373066613E-3</c:v>
                </c:pt>
                <c:pt idx="40">
                  <c:v>1.308303287817015E-3</c:v>
                </c:pt>
                <c:pt idx="41">
                  <c:v>1.2616111916793761E-3</c:v>
                </c:pt>
                <c:pt idx="42">
                  <c:v>8.5802505377681275E-4</c:v>
                </c:pt>
                <c:pt idx="43">
                  <c:v>7.8220818480084439E-4</c:v>
                </c:pt>
                <c:pt idx="44">
                  <c:v>7.0592901784331515E-4</c:v>
                </c:pt>
                <c:pt idx="45">
                  <c:v>6.8651250261776231E-4</c:v>
                </c:pt>
                <c:pt idx="46">
                  <c:v>5.9127911841624112E-4</c:v>
                </c:pt>
                <c:pt idx="47">
                  <c:v>4.5258972394800629E-4</c:v>
                </c:pt>
                <c:pt idx="48">
                  <c:v>4.1190750157065739E-4</c:v>
                </c:pt>
                <c:pt idx="49">
                  <c:v>3.1991020324006163E-4</c:v>
                </c:pt>
                <c:pt idx="50">
                  <c:v>2.9818219810670484E-4</c:v>
                </c:pt>
                <c:pt idx="51">
                  <c:v>3.3239224874220276E-4</c:v>
                </c:pt>
                <c:pt idx="52">
                  <c:v>2.4779171811657952E-4</c:v>
                </c:pt>
                <c:pt idx="53">
                  <c:v>2.40394950411607E-4</c:v>
                </c:pt>
                <c:pt idx="54">
                  <c:v>2.408572483931678E-4</c:v>
                </c:pt>
                <c:pt idx="55">
                  <c:v>1.6411578345407787E-4</c:v>
                </c:pt>
                <c:pt idx="56">
                  <c:v>1.9185366234772481E-4</c:v>
                </c:pt>
                <c:pt idx="57">
                  <c:v>1.1511219740863489E-4</c:v>
                </c:pt>
                <c:pt idx="58">
                  <c:v>1.3175492474482307E-4</c:v>
                </c:pt>
                <c:pt idx="59">
                  <c:v>1.3499101061574854E-4</c:v>
                </c:pt>
                <c:pt idx="60">
                  <c:v>1.2759424291077602E-4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1160"/>
        <c:axId val="174263512"/>
      </c:lineChart>
      <c:catAx>
        <c:axId val="1742611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3512"/>
        <c:crosses val="autoZero"/>
        <c:auto val="1"/>
        <c:lblAlgn val="ctr"/>
        <c:lblOffset val="100"/>
        <c:tickLblSkip val="10"/>
        <c:noMultiLvlLbl val="0"/>
      </c:catAx>
      <c:valAx>
        <c:axId val="17426351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11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6.2679003394311092E-4</c:v>
                </c:pt>
                <c:pt idx="2">
                  <c:v>1.093803330245622E-3</c:v>
                </c:pt>
                <c:pt idx="3">
                  <c:v>9.9061701346136143E-4</c:v>
                </c:pt>
                <c:pt idx="4">
                  <c:v>3.1874761934202341E-3</c:v>
                </c:pt>
                <c:pt idx="5">
                  <c:v>1.0115931625060474E-2</c:v>
                </c:pt>
                <c:pt idx="6">
                  <c:v>6.224157736595742E-3</c:v>
                </c:pt>
                <c:pt idx="7">
                  <c:v>6.422319378154193E-3</c:v>
                </c:pt>
                <c:pt idx="8">
                  <c:v>4.0850391846485251E-3</c:v>
                </c:pt>
                <c:pt idx="9">
                  <c:v>1.6714259247161623E-2</c:v>
                </c:pt>
                <c:pt idx="10">
                  <c:v>3.0314090740380367E-3</c:v>
                </c:pt>
                <c:pt idx="11">
                  <c:v>1.2444046819291382E-2</c:v>
                </c:pt>
                <c:pt idx="12">
                  <c:v>8.8867690516884514E-3</c:v>
                </c:pt>
                <c:pt idx="13">
                  <c:v>8.4839381713854474E-3</c:v>
                </c:pt>
                <c:pt idx="14">
                  <c:v>1.0855813972932817E-2</c:v>
                </c:pt>
                <c:pt idx="15">
                  <c:v>6.375761360138339E-3</c:v>
                </c:pt>
                <c:pt idx="16">
                  <c:v>1.656706199743422E-2</c:v>
                </c:pt>
                <c:pt idx="17">
                  <c:v>9.1691442893016856E-3</c:v>
                </c:pt>
                <c:pt idx="18">
                  <c:v>4.9260237683699047E-2</c:v>
                </c:pt>
                <c:pt idx="19">
                  <c:v>3.005301397220168E-2</c:v>
                </c:pt>
                <c:pt idx="20">
                  <c:v>3.5547346788861706E-2</c:v>
                </c:pt>
                <c:pt idx="21">
                  <c:v>5.0115704845856507E-2</c:v>
                </c:pt>
                <c:pt idx="22">
                  <c:v>3.4095612506336234E-2</c:v>
                </c:pt>
                <c:pt idx="23">
                  <c:v>2.957700334369354E-2</c:v>
                </c:pt>
                <c:pt idx="24">
                  <c:v>3.9659841257098795E-2</c:v>
                </c:pt>
                <c:pt idx="25">
                  <c:v>2.366832304238627E-2</c:v>
                </c:pt>
                <c:pt idx="26">
                  <c:v>3.9846372297375435E-2</c:v>
                </c:pt>
                <c:pt idx="27">
                  <c:v>2.5253506365211013E-2</c:v>
                </c:pt>
                <c:pt idx="28">
                  <c:v>2.9549995136401712E-2</c:v>
                </c:pt>
                <c:pt idx="29">
                  <c:v>2.3915477731207432E-2</c:v>
                </c:pt>
                <c:pt idx="30">
                  <c:v>2.7577763961158217E-2</c:v>
                </c:pt>
                <c:pt idx="31">
                  <c:v>1.8500242782540505E-2</c:v>
                </c:pt>
                <c:pt idx="32">
                  <c:v>1.9514525541277493E-2</c:v>
                </c:pt>
                <c:pt idx="33">
                  <c:v>2.1648990790516145E-2</c:v>
                </c:pt>
                <c:pt idx="34">
                  <c:v>3.1034470927573114E-2</c:v>
                </c:pt>
                <c:pt idx="35">
                  <c:v>1.9568161820007295E-2</c:v>
                </c:pt>
                <c:pt idx="36">
                  <c:v>1.1820792436254725E-2</c:v>
                </c:pt>
                <c:pt idx="37">
                  <c:v>1.7798706101039837E-2</c:v>
                </c:pt>
                <c:pt idx="38">
                  <c:v>2.2998672879286901E-2</c:v>
                </c:pt>
                <c:pt idx="39">
                  <c:v>1.2502628929030526E-2</c:v>
                </c:pt>
                <c:pt idx="40">
                  <c:v>9.6422256610848942E-3</c:v>
                </c:pt>
                <c:pt idx="41">
                  <c:v>1.25811041835727E-2</c:v>
                </c:pt>
                <c:pt idx="42">
                  <c:v>6.7405365377231291E-3</c:v>
                </c:pt>
                <c:pt idx="43">
                  <c:v>1.0755943598846065E-2</c:v>
                </c:pt>
                <c:pt idx="44">
                  <c:v>7.3772454503311206E-3</c:v>
                </c:pt>
                <c:pt idx="45">
                  <c:v>3.8553501225516679E-2</c:v>
                </c:pt>
                <c:pt idx="46">
                  <c:v>1.0855997095483093E-2</c:v>
                </c:pt>
                <c:pt idx="47">
                  <c:v>7.4737665383145793E-3</c:v>
                </c:pt>
                <c:pt idx="48">
                  <c:v>7.1411735749748106E-3</c:v>
                </c:pt>
                <c:pt idx="49">
                  <c:v>5.0460653529782904E-3</c:v>
                </c:pt>
                <c:pt idx="50">
                  <c:v>6.3503754060585992E-3</c:v>
                </c:pt>
                <c:pt idx="51">
                  <c:v>4.6528459321889155E-3</c:v>
                </c:pt>
                <c:pt idx="52">
                  <c:v>6.8799345938923345E-3</c:v>
                </c:pt>
                <c:pt idx="53">
                  <c:v>4.5678058818100446E-3</c:v>
                </c:pt>
                <c:pt idx="54">
                  <c:v>4.5140857498845452E-3</c:v>
                </c:pt>
                <c:pt idx="55">
                  <c:v>6.0693106853449957E-3</c:v>
                </c:pt>
                <c:pt idx="56">
                  <c:v>3.5382095757181616E-3</c:v>
                </c:pt>
                <c:pt idx="57">
                  <c:v>1.7856593084768421E-3</c:v>
                </c:pt>
                <c:pt idx="58">
                  <c:v>2.2657410109352357E-3</c:v>
                </c:pt>
                <c:pt idx="59">
                  <c:v>3.2402949196895969E-3</c:v>
                </c:pt>
                <c:pt idx="60">
                  <c:v>2.4841642115444348E-3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8.034738919526403E-4</c:v>
                </c:pt>
                <c:pt idx="1">
                  <c:v>1.0431753953919062E-2</c:v>
                </c:pt>
                <c:pt idx="2">
                  <c:v>1.2673436866507298E-2</c:v>
                </c:pt>
                <c:pt idx="3">
                  <c:v>1.4739446546102436E-2</c:v>
                </c:pt>
                <c:pt idx="4">
                  <c:v>1.5364935715154173E-2</c:v>
                </c:pt>
                <c:pt idx="5">
                  <c:v>1.5422722962849272E-2</c:v>
                </c:pt>
                <c:pt idx="6">
                  <c:v>1.5343670008002378E-2</c:v>
                </c:pt>
                <c:pt idx="7">
                  <c:v>1.4910034501298363E-2</c:v>
                </c:pt>
                <c:pt idx="8">
                  <c:v>1.4191623437952907E-2</c:v>
                </c:pt>
                <c:pt idx="9">
                  <c:v>1.3861080381136948E-2</c:v>
                </c:pt>
                <c:pt idx="10">
                  <c:v>1.3169020302740456E-2</c:v>
                </c:pt>
                <c:pt idx="11">
                  <c:v>1.2176004238347894E-2</c:v>
                </c:pt>
                <c:pt idx="12">
                  <c:v>1.1684119185967222E-2</c:v>
                </c:pt>
                <c:pt idx="13">
                  <c:v>1.0977727870142347E-2</c:v>
                </c:pt>
                <c:pt idx="14">
                  <c:v>1.0579689308018511E-2</c:v>
                </c:pt>
                <c:pt idx="15">
                  <c:v>9.6342899357267121E-3</c:v>
                </c:pt>
                <c:pt idx="16">
                  <c:v>8.5340207396120485E-3</c:v>
                </c:pt>
                <c:pt idx="17">
                  <c:v>8.2326024556344177E-3</c:v>
                </c:pt>
                <c:pt idx="18">
                  <c:v>7.2522071261384671E-2</c:v>
                </c:pt>
                <c:pt idx="19">
                  <c:v>3.3544803840031952E-2</c:v>
                </c:pt>
                <c:pt idx="20">
                  <c:v>3.8601419162343796E-2</c:v>
                </c:pt>
                <c:pt idx="21">
                  <c:v>4.4244228325274707E-2</c:v>
                </c:pt>
                <c:pt idx="22">
                  <c:v>4.7046678689496177E-2</c:v>
                </c:pt>
                <c:pt idx="23">
                  <c:v>3.9903250278418963E-2</c:v>
                </c:pt>
                <c:pt idx="24">
                  <c:v>2.784929270720311E-2</c:v>
                </c:pt>
                <c:pt idx="25">
                  <c:v>3.2513417043169845E-2</c:v>
                </c:pt>
                <c:pt idx="26">
                  <c:v>2.8916276448645396E-2</c:v>
                </c:pt>
                <c:pt idx="27">
                  <c:v>2.4403323552649035E-2</c:v>
                </c:pt>
                <c:pt idx="28">
                  <c:v>3.006832301869487E-2</c:v>
                </c:pt>
                <c:pt idx="29">
                  <c:v>2.2310962888104933E-2</c:v>
                </c:pt>
                <c:pt idx="30">
                  <c:v>2.1349383086458507E-2</c:v>
                </c:pt>
                <c:pt idx="31">
                  <c:v>1.849330615637599E-2</c:v>
                </c:pt>
                <c:pt idx="32">
                  <c:v>2.3106577714371041E-2</c:v>
                </c:pt>
                <c:pt idx="33">
                  <c:v>2.0626349043297441E-2</c:v>
                </c:pt>
                <c:pt idx="34">
                  <c:v>2.0792314018677763E-2</c:v>
                </c:pt>
                <c:pt idx="35">
                  <c:v>1.5578055084653694E-2</c:v>
                </c:pt>
                <c:pt idx="36">
                  <c:v>1.1069725168472941E-2</c:v>
                </c:pt>
                <c:pt idx="37">
                  <c:v>1.4766722127014522E-2</c:v>
                </c:pt>
                <c:pt idx="38">
                  <c:v>1.3541170177896886E-2</c:v>
                </c:pt>
                <c:pt idx="39">
                  <c:v>1.3358100177198816E-2</c:v>
                </c:pt>
                <c:pt idx="40">
                  <c:v>1.035455019099841E-2</c:v>
                </c:pt>
                <c:pt idx="41">
                  <c:v>1.0796044763388959E-2</c:v>
                </c:pt>
                <c:pt idx="42">
                  <c:v>1.1219972012480196E-2</c:v>
                </c:pt>
                <c:pt idx="43">
                  <c:v>7.583073791541519E-3</c:v>
                </c:pt>
                <c:pt idx="44">
                  <c:v>1.0399855393191368E-2</c:v>
                </c:pt>
                <c:pt idx="45">
                  <c:v>7.5779885137443499E-3</c:v>
                </c:pt>
                <c:pt idx="46">
                  <c:v>6.2840164633557192E-3</c:v>
                </c:pt>
                <c:pt idx="47">
                  <c:v>8.5645324063950597E-3</c:v>
                </c:pt>
                <c:pt idx="48">
                  <c:v>6.4448961609388719E-3</c:v>
                </c:pt>
                <c:pt idx="49">
                  <c:v>6.3607579282948089E-3</c:v>
                </c:pt>
                <c:pt idx="50">
                  <c:v>5.9192633559042619E-3</c:v>
                </c:pt>
                <c:pt idx="51">
                  <c:v>5.9701161338759478E-3</c:v>
                </c:pt>
                <c:pt idx="52">
                  <c:v>4.6077239822163215E-3</c:v>
                </c:pt>
                <c:pt idx="53">
                  <c:v>4.1038191823150683E-3</c:v>
                </c:pt>
                <c:pt idx="54">
                  <c:v>6.4296403275473663E-3</c:v>
                </c:pt>
                <c:pt idx="55">
                  <c:v>3.1625804918573143E-3</c:v>
                </c:pt>
                <c:pt idx="56">
                  <c:v>4.0238416315050525E-3</c:v>
                </c:pt>
                <c:pt idx="57">
                  <c:v>3.7589448880707243E-3</c:v>
                </c:pt>
                <c:pt idx="58">
                  <c:v>5.9502373206688341E-3</c:v>
                </c:pt>
                <c:pt idx="59">
                  <c:v>2.753446778176022E-3</c:v>
                </c:pt>
                <c:pt idx="60">
                  <c:v>2.6193803635233947E-3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3904"/>
        <c:axId val="174264688"/>
      </c:lineChart>
      <c:catAx>
        <c:axId val="1742639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4688"/>
        <c:crosses val="autoZero"/>
        <c:auto val="1"/>
        <c:lblAlgn val="ctr"/>
        <c:lblOffset val="100"/>
        <c:tickLblSkip val="10"/>
        <c:noMultiLvlLbl val="0"/>
      </c:catAx>
      <c:valAx>
        <c:axId val="17426468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39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4.9257376135212576E-2</c:v>
                </c:pt>
                <c:pt idx="1">
                  <c:v>2.8575002894438085E-2</c:v>
                </c:pt>
                <c:pt idx="2">
                  <c:v>6.1506300328945371E-2</c:v>
                </c:pt>
                <c:pt idx="3">
                  <c:v>9.6285376384149121E-2</c:v>
                </c:pt>
                <c:pt idx="4">
                  <c:v>0.2220595269989902</c:v>
                </c:pt>
                <c:pt idx="5">
                  <c:v>8.0746269385372216E-2</c:v>
                </c:pt>
                <c:pt idx="6">
                  <c:v>0.15911922252945207</c:v>
                </c:pt>
                <c:pt idx="7">
                  <c:v>5.4659847344419643E-2</c:v>
                </c:pt>
                <c:pt idx="8">
                  <c:v>4.8894696959678415E-2</c:v>
                </c:pt>
                <c:pt idx="9">
                  <c:v>3.6322667368167139E-2</c:v>
                </c:pt>
                <c:pt idx="10">
                  <c:v>6.8013856443175771E-2</c:v>
                </c:pt>
                <c:pt idx="11">
                  <c:v>1.255469482356459E-2</c:v>
                </c:pt>
                <c:pt idx="12">
                  <c:v>9.3112334691236726E-3</c:v>
                </c:pt>
                <c:pt idx="13">
                  <c:v>5.6114268135190873E-3</c:v>
                </c:pt>
                <c:pt idx="14">
                  <c:v>6.622013245294686E-3</c:v>
                </c:pt>
                <c:pt idx="15">
                  <c:v>2.7708826746129967E-3</c:v>
                </c:pt>
                <c:pt idx="16">
                  <c:v>1.2104414342725805E-2</c:v>
                </c:pt>
                <c:pt idx="17">
                  <c:v>4.6258713673887992E-3</c:v>
                </c:pt>
                <c:pt idx="18">
                  <c:v>5.1750033488989393E-3</c:v>
                </c:pt>
                <c:pt idx="19">
                  <c:v>2.3537945061183384E-3</c:v>
                </c:pt>
                <c:pt idx="20">
                  <c:v>1.9235756758031342E-3</c:v>
                </c:pt>
                <c:pt idx="21">
                  <c:v>1.0066942817427992E-2</c:v>
                </c:pt>
                <c:pt idx="22">
                  <c:v>2.870847071166522E-3</c:v>
                </c:pt>
                <c:pt idx="23">
                  <c:v>1.2112567070729779E-2</c:v>
                </c:pt>
                <c:pt idx="24">
                  <c:v>2.2769440929943649E-4</c:v>
                </c:pt>
                <c:pt idx="25">
                  <c:v>7.2301789178359831E-4</c:v>
                </c:pt>
                <c:pt idx="26">
                  <c:v>1.3783132008658061E-3</c:v>
                </c:pt>
                <c:pt idx="27">
                  <c:v>2.3759461905299719E-5</c:v>
                </c:pt>
                <c:pt idx="28">
                  <c:v>0</c:v>
                </c:pt>
                <c:pt idx="29">
                  <c:v>4.0243389494593057E-4</c:v>
                </c:pt>
                <c:pt idx="30">
                  <c:v>0</c:v>
                </c:pt>
                <c:pt idx="31">
                  <c:v>0</c:v>
                </c:pt>
                <c:pt idx="32">
                  <c:v>2.0753687960203863E-5</c:v>
                </c:pt>
                <c:pt idx="33">
                  <c:v>0</c:v>
                </c:pt>
                <c:pt idx="34">
                  <c:v>7.7804717651206367E-4</c:v>
                </c:pt>
                <c:pt idx="35">
                  <c:v>1.3284054606130961E-5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6.7251137373201619E-6</c:v>
                </c:pt>
                <c:pt idx="40">
                  <c:v>7.1812745528360641E-6</c:v>
                </c:pt>
                <c:pt idx="41">
                  <c:v>0</c:v>
                </c:pt>
                <c:pt idx="42">
                  <c:v>4.4274463718784883E-4</c:v>
                </c:pt>
                <c:pt idx="43">
                  <c:v>4.5801641254759033E-4</c:v>
                </c:pt>
                <c:pt idx="44">
                  <c:v>0</c:v>
                </c:pt>
                <c:pt idx="45">
                  <c:v>0</c:v>
                </c:pt>
                <c:pt idx="46">
                  <c:v>1.8607817363192032E-3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0.16319951834128782</c:v>
                </c:pt>
                <c:pt idx="1">
                  <c:v>0.14941925004233328</c:v>
                </c:pt>
                <c:pt idx="2">
                  <c:v>8.2019956224247251E-2</c:v>
                </c:pt>
                <c:pt idx="3">
                  <c:v>4.5908096005619355E-2</c:v>
                </c:pt>
                <c:pt idx="4">
                  <c:v>0.19616774015515934</c:v>
                </c:pt>
                <c:pt idx="5">
                  <c:v>8.186316627887287E-2</c:v>
                </c:pt>
                <c:pt idx="6">
                  <c:v>8.9501972417512815E-2</c:v>
                </c:pt>
                <c:pt idx="7">
                  <c:v>4.5094356189126307E-2</c:v>
                </c:pt>
                <c:pt idx="8">
                  <c:v>4.0174287703278161E-2</c:v>
                </c:pt>
                <c:pt idx="9">
                  <c:v>2.2629492815884705E-2</c:v>
                </c:pt>
                <c:pt idx="10">
                  <c:v>1.2309578611342811E-2</c:v>
                </c:pt>
                <c:pt idx="11">
                  <c:v>1.2863047118514383E-2</c:v>
                </c:pt>
                <c:pt idx="12">
                  <c:v>1.0619383000206963E-2</c:v>
                </c:pt>
                <c:pt idx="13">
                  <c:v>6.8109552270631986E-3</c:v>
                </c:pt>
                <c:pt idx="14">
                  <c:v>8.4070768709744188E-3</c:v>
                </c:pt>
                <c:pt idx="15">
                  <c:v>3.3270826408444078E-3</c:v>
                </c:pt>
                <c:pt idx="16">
                  <c:v>4.9937597601740994E-3</c:v>
                </c:pt>
                <c:pt idx="17">
                  <c:v>2.3346022866245634E-3</c:v>
                </c:pt>
                <c:pt idx="18">
                  <c:v>2.3565528789769772E-3</c:v>
                </c:pt>
                <c:pt idx="19">
                  <c:v>2.5948735959460392E-3</c:v>
                </c:pt>
                <c:pt idx="20">
                  <c:v>2.348713381708258E-3</c:v>
                </c:pt>
                <c:pt idx="21">
                  <c:v>1.1539739979554591E-3</c:v>
                </c:pt>
                <c:pt idx="22">
                  <c:v>2.2107382297788009E-3</c:v>
                </c:pt>
                <c:pt idx="23">
                  <c:v>1.3687762231183638E-3</c:v>
                </c:pt>
                <c:pt idx="24">
                  <c:v>1.2323689706426506E-3</c:v>
                </c:pt>
                <c:pt idx="25">
                  <c:v>1.1461345006867399E-3</c:v>
                </c:pt>
                <c:pt idx="26">
                  <c:v>1.0818506230832429E-3</c:v>
                </c:pt>
                <c:pt idx="27">
                  <c:v>1.0316778405634404E-3</c:v>
                </c:pt>
                <c:pt idx="28">
                  <c:v>3.9197486343595756E-4</c:v>
                </c:pt>
                <c:pt idx="29">
                  <c:v>8.6077680010536288E-4</c:v>
                </c:pt>
                <c:pt idx="30">
                  <c:v>6.5851777057240868E-4</c:v>
                </c:pt>
                <c:pt idx="31">
                  <c:v>3.4650577927738648E-4</c:v>
                </c:pt>
                <c:pt idx="32">
                  <c:v>4.6723403721566145E-4</c:v>
                </c:pt>
                <c:pt idx="33">
                  <c:v>4.2019705360334651E-4</c:v>
                </c:pt>
                <c:pt idx="34">
                  <c:v>2.3518491806157456E-4</c:v>
                </c:pt>
                <c:pt idx="35">
                  <c:v>2.6183920877521964E-4</c:v>
                </c:pt>
                <c:pt idx="36">
                  <c:v>3.8727116507472609E-4</c:v>
                </c:pt>
                <c:pt idx="37">
                  <c:v>4.4214764595576017E-4</c:v>
                </c:pt>
                <c:pt idx="38">
                  <c:v>1.66197342096846E-4</c:v>
                </c:pt>
                <c:pt idx="39">
                  <c:v>1.5365414646689536E-4</c:v>
                </c:pt>
                <c:pt idx="40">
                  <c:v>1.0034556503960514E-4</c:v>
                </c:pt>
                <c:pt idx="41">
                  <c:v>1.5835784482812686E-4</c:v>
                </c:pt>
                <c:pt idx="42">
                  <c:v>2.6654290713645115E-5</c:v>
                </c:pt>
                <c:pt idx="43">
                  <c:v>7.3691274325960029E-5</c:v>
                </c:pt>
                <c:pt idx="44">
                  <c:v>1.2229615739201875E-4</c:v>
                </c:pt>
                <c:pt idx="45">
                  <c:v>8.3098671048423002E-5</c:v>
                </c:pt>
                <c:pt idx="46">
                  <c:v>7.8394972687191515E-5</c:v>
                </c:pt>
                <c:pt idx="47">
                  <c:v>3.9197486343595758E-5</c:v>
                </c:pt>
                <c:pt idx="48">
                  <c:v>6.271597814975321E-5</c:v>
                </c:pt>
                <c:pt idx="49">
                  <c:v>4.0765385797339591E-5</c:v>
                </c:pt>
                <c:pt idx="50">
                  <c:v>3.2925888528620438E-5</c:v>
                </c:pt>
                <c:pt idx="51">
                  <c:v>3.7629586889851924E-5</c:v>
                </c:pt>
                <c:pt idx="52">
                  <c:v>4.7036983612314906E-6</c:v>
                </c:pt>
                <c:pt idx="53">
                  <c:v>4.3901184704827251E-5</c:v>
                </c:pt>
                <c:pt idx="54">
                  <c:v>1.5678994537438303E-6</c:v>
                </c:pt>
                <c:pt idx="55">
                  <c:v>1.5678994537438303E-6</c:v>
                </c:pt>
                <c:pt idx="56">
                  <c:v>2.9790089621132775E-5</c:v>
                </c:pt>
                <c:pt idx="57">
                  <c:v>1.7246893991182132E-5</c:v>
                </c:pt>
                <c:pt idx="58">
                  <c:v>0</c:v>
                </c:pt>
                <c:pt idx="59">
                  <c:v>1.5678994537438303E-6</c:v>
                </c:pt>
                <c:pt idx="60">
                  <c:v>2.8222190167388945E-5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0208"/>
        <c:axId val="135601384"/>
      </c:lineChart>
      <c:catAx>
        <c:axId val="135600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601384"/>
        <c:crosses val="autoZero"/>
        <c:auto val="1"/>
        <c:lblAlgn val="ctr"/>
        <c:lblOffset val="100"/>
        <c:tickLblSkip val="10"/>
        <c:noMultiLvlLbl val="0"/>
      </c:catAx>
      <c:valAx>
        <c:axId val="1356013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600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4.7143136571501575E-4</c:v>
                </c:pt>
                <c:pt idx="2">
                  <c:v>0</c:v>
                </c:pt>
                <c:pt idx="3">
                  <c:v>0</c:v>
                </c:pt>
                <c:pt idx="4">
                  <c:v>3.1276984258150728E-3</c:v>
                </c:pt>
                <c:pt idx="5">
                  <c:v>5.0569653833144549E-3</c:v>
                </c:pt>
                <c:pt idx="6">
                  <c:v>3.3055353220811864E-3</c:v>
                </c:pt>
                <c:pt idx="7">
                  <c:v>5.7928266149780642E-3</c:v>
                </c:pt>
                <c:pt idx="8">
                  <c:v>2.1377677542333152E-3</c:v>
                </c:pt>
                <c:pt idx="9">
                  <c:v>7.8071838924067705E-3</c:v>
                </c:pt>
                <c:pt idx="10">
                  <c:v>3.5949062899929538E-3</c:v>
                </c:pt>
                <c:pt idx="11">
                  <c:v>1.0564572421239002E-2</c:v>
                </c:pt>
                <c:pt idx="12">
                  <c:v>3.013077343533254E-2</c:v>
                </c:pt>
                <c:pt idx="13">
                  <c:v>1.0660815817610124E-2</c:v>
                </c:pt>
                <c:pt idx="14">
                  <c:v>1.4473584014232096E-2</c:v>
                </c:pt>
                <c:pt idx="15">
                  <c:v>2.6085435678489927E-3</c:v>
                </c:pt>
                <c:pt idx="16">
                  <c:v>4.3497469019783484E-2</c:v>
                </c:pt>
                <c:pt idx="17">
                  <c:v>1.7223506265048181E-2</c:v>
                </c:pt>
                <c:pt idx="18">
                  <c:v>0.11515988517723059</c:v>
                </c:pt>
                <c:pt idx="19">
                  <c:v>4.1201046526931927E-2</c:v>
                </c:pt>
                <c:pt idx="20">
                  <c:v>7.1206860278474809E-2</c:v>
                </c:pt>
                <c:pt idx="21">
                  <c:v>4.8820766840998467E-2</c:v>
                </c:pt>
                <c:pt idx="22">
                  <c:v>4.1356070256686396E-2</c:v>
                </c:pt>
                <c:pt idx="23">
                  <c:v>1.9253533781388079E-2</c:v>
                </c:pt>
                <c:pt idx="24">
                  <c:v>4.0569680701871141E-2</c:v>
                </c:pt>
                <c:pt idx="25">
                  <c:v>3.6977413122890865E-2</c:v>
                </c:pt>
                <c:pt idx="26">
                  <c:v>8.4220048115207127E-2</c:v>
                </c:pt>
                <c:pt idx="27">
                  <c:v>1.3250843778329593E-2</c:v>
                </c:pt>
                <c:pt idx="28">
                  <c:v>2.429889891122881E-2</c:v>
                </c:pt>
                <c:pt idx="29">
                  <c:v>1.9861804862137369E-2</c:v>
                </c:pt>
                <c:pt idx="30">
                  <c:v>2.0623002119968915E-2</c:v>
                </c:pt>
                <c:pt idx="31">
                  <c:v>1.3549989858353952E-2</c:v>
                </c:pt>
                <c:pt idx="32">
                  <c:v>6.8327465217552664E-3</c:v>
                </c:pt>
                <c:pt idx="33">
                  <c:v>1.0043520665052218E-2</c:v>
                </c:pt>
                <c:pt idx="34">
                  <c:v>2.4663481223785547E-2</c:v>
                </c:pt>
                <c:pt idx="35">
                  <c:v>6.2964680850554015E-3</c:v>
                </c:pt>
                <c:pt idx="36">
                  <c:v>6.6734405572259304E-3</c:v>
                </c:pt>
                <c:pt idx="37">
                  <c:v>1.3471542559743555E-2</c:v>
                </c:pt>
                <c:pt idx="38">
                  <c:v>1.8369360496232407E-2</c:v>
                </c:pt>
                <c:pt idx="39">
                  <c:v>2.7221444435768056E-3</c:v>
                </c:pt>
                <c:pt idx="40">
                  <c:v>1.2768701983620998E-3</c:v>
                </c:pt>
                <c:pt idx="41">
                  <c:v>9.4240952597096066E-3</c:v>
                </c:pt>
                <c:pt idx="42">
                  <c:v>1.6769958988452312E-3</c:v>
                </c:pt>
                <c:pt idx="43">
                  <c:v>1.5288182510404249E-3</c:v>
                </c:pt>
                <c:pt idx="44">
                  <c:v>1.2830556516534482E-3</c:v>
                </c:pt>
                <c:pt idx="45">
                  <c:v>4.8776141864723788E-2</c:v>
                </c:pt>
                <c:pt idx="46">
                  <c:v>4.8561337904387885E-3</c:v>
                </c:pt>
                <c:pt idx="47">
                  <c:v>5.5314060159341281E-3</c:v>
                </c:pt>
                <c:pt idx="48">
                  <c:v>3.2681939642319885E-3</c:v>
                </c:pt>
                <c:pt idx="49">
                  <c:v>1.1582612495715798E-3</c:v>
                </c:pt>
                <c:pt idx="50">
                  <c:v>4.6190632390190225E-4</c:v>
                </c:pt>
                <c:pt idx="51">
                  <c:v>1.8579842189842444E-3</c:v>
                </c:pt>
                <c:pt idx="52">
                  <c:v>1.4281961781028166E-3</c:v>
                </c:pt>
                <c:pt idx="53">
                  <c:v>0</c:v>
                </c:pt>
                <c:pt idx="54">
                  <c:v>2.0477164793661698E-3</c:v>
                </c:pt>
                <c:pt idx="55">
                  <c:v>4.2601743843663662E-3</c:v>
                </c:pt>
                <c:pt idx="56">
                  <c:v>0</c:v>
                </c:pt>
                <c:pt idx="57">
                  <c:v>0</c:v>
                </c:pt>
                <c:pt idx="58">
                  <c:v>2.0753687960203866E-5</c:v>
                </c:pt>
                <c:pt idx="59">
                  <c:v>8.4884257590732621E-4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7.6513493342698924E-4</c:v>
                </c:pt>
                <c:pt idx="1">
                  <c:v>2.0766828264837032E-2</c:v>
                </c:pt>
                <c:pt idx="2">
                  <c:v>2.9495324523828935E-2</c:v>
                </c:pt>
                <c:pt idx="3">
                  <c:v>3.3877603497042941E-2</c:v>
                </c:pt>
                <c:pt idx="4">
                  <c:v>3.4903009739791407E-2</c:v>
                </c:pt>
                <c:pt idx="5">
                  <c:v>3.47274050009721E-2</c:v>
                </c:pt>
                <c:pt idx="6">
                  <c:v>3.3195567234664373E-2</c:v>
                </c:pt>
                <c:pt idx="7">
                  <c:v>3.1301544694541827E-2</c:v>
                </c:pt>
                <c:pt idx="8">
                  <c:v>2.7820807907230526E-2</c:v>
                </c:pt>
                <c:pt idx="9">
                  <c:v>2.5597526481821772E-2</c:v>
                </c:pt>
                <c:pt idx="10">
                  <c:v>2.2859974035585047E-2</c:v>
                </c:pt>
                <c:pt idx="11">
                  <c:v>2.0798186253911909E-2</c:v>
                </c:pt>
                <c:pt idx="12">
                  <c:v>1.8444769173842419E-2</c:v>
                </c:pt>
                <c:pt idx="13">
                  <c:v>1.6508413348468788E-2</c:v>
                </c:pt>
                <c:pt idx="14">
                  <c:v>1.5097303840099342E-2</c:v>
                </c:pt>
                <c:pt idx="15">
                  <c:v>1.513336552753545E-2</c:v>
                </c:pt>
                <c:pt idx="16">
                  <c:v>1.3055898751324875E-2</c:v>
                </c:pt>
                <c:pt idx="17">
                  <c:v>1.2133973872523502E-2</c:v>
                </c:pt>
                <c:pt idx="18">
                  <c:v>0.15033647122277344</c:v>
                </c:pt>
                <c:pt idx="19">
                  <c:v>3.7243883624230943E-2</c:v>
                </c:pt>
                <c:pt idx="20">
                  <c:v>3.9733707956776144E-2</c:v>
                </c:pt>
                <c:pt idx="21">
                  <c:v>4.0752842601709638E-2</c:v>
                </c:pt>
                <c:pt idx="22">
                  <c:v>4.435901134532045E-2</c:v>
                </c:pt>
                <c:pt idx="23">
                  <c:v>3.8548375969745814E-2</c:v>
                </c:pt>
                <c:pt idx="24">
                  <c:v>2.7066648269979742E-2</c:v>
                </c:pt>
                <c:pt idx="25">
                  <c:v>2.6006748239248912E-2</c:v>
                </c:pt>
                <c:pt idx="26">
                  <c:v>2.0934593506387621E-2</c:v>
                </c:pt>
                <c:pt idx="27">
                  <c:v>1.4087576591888315E-2</c:v>
                </c:pt>
                <c:pt idx="28">
                  <c:v>1.9418434734617337E-2</c:v>
                </c:pt>
                <c:pt idx="29">
                  <c:v>1.232525760588025E-2</c:v>
                </c:pt>
                <c:pt idx="30">
                  <c:v>9.7476309039253931E-3</c:v>
                </c:pt>
                <c:pt idx="31">
                  <c:v>9.4810879967889422E-3</c:v>
                </c:pt>
                <c:pt idx="32">
                  <c:v>1.18298013784972E-2</c:v>
                </c:pt>
                <c:pt idx="33">
                  <c:v>8.1076080753093461E-3</c:v>
                </c:pt>
                <c:pt idx="34">
                  <c:v>1.1804714987237298E-2</c:v>
                </c:pt>
                <c:pt idx="35">
                  <c:v>4.854216708790899E-3</c:v>
                </c:pt>
                <c:pt idx="36">
                  <c:v>3.6187119392407604E-3</c:v>
                </c:pt>
                <c:pt idx="37">
                  <c:v>3.6312551348707109E-3</c:v>
                </c:pt>
                <c:pt idx="38">
                  <c:v>5.2665742651255261E-3</c:v>
                </c:pt>
                <c:pt idx="39">
                  <c:v>3.521502173108643E-3</c:v>
                </c:pt>
                <c:pt idx="40">
                  <c:v>2.7720462342190918E-3</c:v>
                </c:pt>
                <c:pt idx="41">
                  <c:v>3.6218477381482479E-3</c:v>
                </c:pt>
                <c:pt idx="42">
                  <c:v>2.6340710822896347E-3</c:v>
                </c:pt>
                <c:pt idx="43">
                  <c:v>2.0241581947832848E-3</c:v>
                </c:pt>
                <c:pt idx="44">
                  <c:v>2.3001084986421991E-3</c:v>
                </c:pt>
                <c:pt idx="45">
                  <c:v>2.1448864527215598E-3</c:v>
                </c:pt>
                <c:pt idx="46">
                  <c:v>1.959874317179788E-3</c:v>
                </c:pt>
                <c:pt idx="47">
                  <c:v>1.8344423608802815E-3</c:v>
                </c:pt>
                <c:pt idx="48">
                  <c:v>1.75604738819309E-3</c:v>
                </c:pt>
                <c:pt idx="49">
                  <c:v>1.599257442818707E-3</c:v>
                </c:pt>
                <c:pt idx="50">
                  <c:v>1.6525660242459972E-3</c:v>
                </c:pt>
                <c:pt idx="51">
                  <c:v>1.8030843718054048E-3</c:v>
                </c:pt>
                <c:pt idx="52">
                  <c:v>1.2135541771977247E-3</c:v>
                </c:pt>
                <c:pt idx="53">
                  <c:v>1.2166899761052122E-3</c:v>
                </c:pt>
                <c:pt idx="54">
                  <c:v>1.1790603892153605E-3</c:v>
                </c:pt>
                <c:pt idx="55">
                  <c:v>8.6861629737408196E-4</c:v>
                </c:pt>
                <c:pt idx="56">
                  <c:v>8.6234469955910663E-4</c:v>
                </c:pt>
                <c:pt idx="57">
                  <c:v>8.6548049846659435E-4</c:v>
                </c:pt>
                <c:pt idx="58">
                  <c:v>8.372583082992054E-4</c:v>
                </c:pt>
                <c:pt idx="59">
                  <c:v>7.7767812905693979E-4</c:v>
                </c:pt>
                <c:pt idx="60">
                  <c:v>7.2750534653713724E-4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9816"/>
        <c:axId val="135601776"/>
      </c:lineChart>
      <c:catAx>
        <c:axId val="1355998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601776"/>
        <c:crosses val="autoZero"/>
        <c:auto val="1"/>
        <c:lblAlgn val="ctr"/>
        <c:lblOffset val="100"/>
        <c:tickLblSkip val="10"/>
        <c:noMultiLvlLbl val="0"/>
      </c:catAx>
      <c:valAx>
        <c:axId val="1356017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98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9.8939778111072942E-3</c:v>
                </c:pt>
                <c:pt idx="1">
                  <c:v>3.7392915900920587E-2</c:v>
                </c:pt>
                <c:pt idx="2">
                  <c:v>5.1180266227556968E-2</c:v>
                </c:pt>
                <c:pt idx="3">
                  <c:v>9.4260184069532196E-2</c:v>
                </c:pt>
                <c:pt idx="4">
                  <c:v>0.20521137881435314</c:v>
                </c:pt>
                <c:pt idx="5">
                  <c:v>0.10064333856301691</c:v>
                </c:pt>
                <c:pt idx="6">
                  <c:v>0.1212698390823011</c:v>
                </c:pt>
                <c:pt idx="7">
                  <c:v>9.2823272569646065E-2</c:v>
                </c:pt>
                <c:pt idx="8">
                  <c:v>4.2835197039780872E-2</c:v>
                </c:pt>
                <c:pt idx="9">
                  <c:v>2.5762385980760683E-2</c:v>
                </c:pt>
                <c:pt idx="10">
                  <c:v>7.66334104791878E-2</c:v>
                </c:pt>
                <c:pt idx="11">
                  <c:v>1.7466319011546272E-2</c:v>
                </c:pt>
                <c:pt idx="12">
                  <c:v>1.4098588158592343E-2</c:v>
                </c:pt>
                <c:pt idx="13">
                  <c:v>7.432358573945465E-3</c:v>
                </c:pt>
                <c:pt idx="14">
                  <c:v>6.214253653015255E-3</c:v>
                </c:pt>
                <c:pt idx="15">
                  <c:v>7.9171501034166515E-3</c:v>
                </c:pt>
                <c:pt idx="16">
                  <c:v>7.6413573730115579E-3</c:v>
                </c:pt>
                <c:pt idx="17">
                  <c:v>1.4496598624770445E-2</c:v>
                </c:pt>
                <c:pt idx="18">
                  <c:v>1.373572517008646E-2</c:v>
                </c:pt>
                <c:pt idx="19">
                  <c:v>5.2064591857677424E-3</c:v>
                </c:pt>
                <c:pt idx="20">
                  <c:v>7.1894480254484335E-3</c:v>
                </c:pt>
                <c:pt idx="21">
                  <c:v>5.2792577600180562E-3</c:v>
                </c:pt>
                <c:pt idx="22">
                  <c:v>3.8169059955104096E-3</c:v>
                </c:pt>
                <c:pt idx="23">
                  <c:v>6.7304733059714355E-3</c:v>
                </c:pt>
                <c:pt idx="24">
                  <c:v>1.7766762678905524E-3</c:v>
                </c:pt>
                <c:pt idx="25">
                  <c:v>1.4864008280769374E-3</c:v>
                </c:pt>
                <c:pt idx="26">
                  <c:v>4.7444915205232467E-4</c:v>
                </c:pt>
                <c:pt idx="27">
                  <c:v>3.359099803626934E-3</c:v>
                </c:pt>
                <c:pt idx="28">
                  <c:v>1.8094243426682076E-3</c:v>
                </c:pt>
                <c:pt idx="29">
                  <c:v>5.3594515252950044E-4</c:v>
                </c:pt>
                <c:pt idx="30">
                  <c:v>0</c:v>
                </c:pt>
                <c:pt idx="31">
                  <c:v>2.3468904657216553E-4</c:v>
                </c:pt>
                <c:pt idx="32">
                  <c:v>1.5067623933555445E-4</c:v>
                </c:pt>
                <c:pt idx="33">
                  <c:v>9.4077368802203821E-4</c:v>
                </c:pt>
                <c:pt idx="34">
                  <c:v>7.9469643335768284E-3</c:v>
                </c:pt>
                <c:pt idx="35">
                  <c:v>5.6431401692066409E-4</c:v>
                </c:pt>
                <c:pt idx="36">
                  <c:v>0</c:v>
                </c:pt>
                <c:pt idx="37">
                  <c:v>1.9379530195507745E-4</c:v>
                </c:pt>
                <c:pt idx="38">
                  <c:v>1.1332742217579535E-3</c:v>
                </c:pt>
                <c:pt idx="39">
                  <c:v>1.680779524733428E-3</c:v>
                </c:pt>
                <c:pt idx="40">
                  <c:v>0</c:v>
                </c:pt>
                <c:pt idx="41">
                  <c:v>0</c:v>
                </c:pt>
                <c:pt idx="42">
                  <c:v>2.9971887763834642E-4</c:v>
                </c:pt>
                <c:pt idx="43">
                  <c:v>7.5059078734521689E-4</c:v>
                </c:pt>
                <c:pt idx="44">
                  <c:v>3.6646452702233793E-4</c:v>
                </c:pt>
                <c:pt idx="45">
                  <c:v>3.2514467358430246E-4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5.2431544212113866E-4</c:v>
                </c:pt>
                <c:pt idx="53">
                  <c:v>4.3424236896140404E-6</c:v>
                </c:pt>
                <c:pt idx="54">
                  <c:v>0</c:v>
                </c:pt>
                <c:pt idx="55">
                  <c:v>0</c:v>
                </c:pt>
                <c:pt idx="56">
                  <c:v>2.3444420111914612E-4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0.16412220242374273</c:v>
                </c:pt>
                <c:pt idx="1">
                  <c:v>0.14220579667680819</c:v>
                </c:pt>
                <c:pt idx="2">
                  <c:v>8.23932841134805E-2</c:v>
                </c:pt>
                <c:pt idx="3">
                  <c:v>4.5555052076057957E-2</c:v>
                </c:pt>
                <c:pt idx="4">
                  <c:v>0.17844950649545335</c:v>
                </c:pt>
                <c:pt idx="5">
                  <c:v>7.7691618429166678E-2</c:v>
                </c:pt>
                <c:pt idx="6">
                  <c:v>8.041211121824246E-2</c:v>
                </c:pt>
                <c:pt idx="7">
                  <c:v>4.017539257204962E-2</c:v>
                </c:pt>
                <c:pt idx="8">
                  <c:v>3.8003427446143781E-2</c:v>
                </c:pt>
                <c:pt idx="9">
                  <c:v>1.6571668035146654E-2</c:v>
                </c:pt>
                <c:pt idx="10">
                  <c:v>1.6087021699209236E-2</c:v>
                </c:pt>
                <c:pt idx="11">
                  <c:v>1.760995254043262E-2</c:v>
                </c:pt>
                <c:pt idx="12">
                  <c:v>1.1789937754034745E-2</c:v>
                </c:pt>
                <c:pt idx="13">
                  <c:v>1.1639177821765986E-2</c:v>
                </c:pt>
                <c:pt idx="14">
                  <c:v>8.7278928020223974E-3</c:v>
                </c:pt>
                <c:pt idx="15">
                  <c:v>9.0643344587803612E-3</c:v>
                </c:pt>
                <c:pt idx="16">
                  <c:v>1.0942445479416585E-2</c:v>
                </c:pt>
                <c:pt idx="17">
                  <c:v>6.0321007928098589E-3</c:v>
                </c:pt>
                <c:pt idx="18">
                  <c:v>4.7732127708142403E-3</c:v>
                </c:pt>
                <c:pt idx="19">
                  <c:v>3.8226586215942735E-3</c:v>
                </c:pt>
                <c:pt idx="20">
                  <c:v>4.2630139039838101E-3</c:v>
                </c:pt>
                <c:pt idx="21">
                  <c:v>3.20854612913227E-3</c:v>
                </c:pt>
                <c:pt idx="22">
                  <c:v>2.5101102847233342E-3</c:v>
                </c:pt>
                <c:pt idx="23">
                  <c:v>2.6668324742004615E-3</c:v>
                </c:pt>
                <c:pt idx="24">
                  <c:v>2.3210215561150615E-3</c:v>
                </c:pt>
                <c:pt idx="25">
                  <c:v>2.9274682893091616E-3</c:v>
                </c:pt>
                <c:pt idx="26">
                  <c:v>2.3627573565736439E-3</c:v>
                </c:pt>
                <c:pt idx="27">
                  <c:v>1.8670382572492531E-3</c:v>
                </c:pt>
                <c:pt idx="28">
                  <c:v>1.4581977629610954E-3</c:v>
                </c:pt>
                <c:pt idx="29">
                  <c:v>1.8908872860827289E-3</c:v>
                </c:pt>
                <c:pt idx="30">
                  <c:v>1.1609366535724141E-3</c:v>
                </c:pt>
                <c:pt idx="31">
                  <c:v>1.1055728366375596E-3</c:v>
                </c:pt>
                <c:pt idx="32">
                  <c:v>6.9332533823033388E-4</c:v>
                </c:pt>
                <c:pt idx="33">
                  <c:v>6.5584829292058612E-4</c:v>
                </c:pt>
                <c:pt idx="34">
                  <c:v>6.1155723937270242E-4</c:v>
                </c:pt>
                <c:pt idx="35">
                  <c:v>4.914603441755561E-4</c:v>
                </c:pt>
                <c:pt idx="36">
                  <c:v>6.7458681557546005E-4</c:v>
                </c:pt>
                <c:pt idx="37">
                  <c:v>4.3950353135976944E-4</c:v>
                </c:pt>
                <c:pt idx="38">
                  <c:v>3.8413971442491477E-4</c:v>
                </c:pt>
                <c:pt idx="39">
                  <c:v>3.1174087689472016E-4</c:v>
                </c:pt>
                <c:pt idx="40">
                  <c:v>2.6744982334683641E-4</c:v>
                </c:pt>
                <c:pt idx="41">
                  <c:v>2.3337978215615663E-4</c:v>
                </c:pt>
                <c:pt idx="42">
                  <c:v>1.5587043844736008E-4</c:v>
                </c:pt>
                <c:pt idx="43">
                  <c:v>1.7375721007246699E-4</c:v>
                </c:pt>
                <c:pt idx="44">
                  <c:v>1.2861440549481623E-4</c:v>
                </c:pt>
                <c:pt idx="45">
                  <c:v>1.2946615652458324E-4</c:v>
                </c:pt>
                <c:pt idx="46">
                  <c:v>1.1157938489947634E-4</c:v>
                </c:pt>
                <c:pt idx="47">
                  <c:v>1.0732062975064137E-4</c:v>
                </c:pt>
                <c:pt idx="48">
                  <c:v>1.0135837254227241E-4</c:v>
                </c:pt>
                <c:pt idx="49">
                  <c:v>6.7288331351592604E-5</c:v>
                </c:pt>
                <c:pt idx="50">
                  <c:v>7.5805841649262556E-5</c:v>
                </c:pt>
                <c:pt idx="51">
                  <c:v>4.2587551488349749E-5</c:v>
                </c:pt>
                <c:pt idx="52">
                  <c:v>4.5142804577650736E-5</c:v>
                </c:pt>
                <c:pt idx="53">
                  <c:v>3.2366539131145809E-5</c:v>
                </c:pt>
                <c:pt idx="54">
                  <c:v>4.4291053547883738E-5</c:v>
                </c:pt>
                <c:pt idx="55">
                  <c:v>3.2366539131145809E-5</c:v>
                </c:pt>
                <c:pt idx="56">
                  <c:v>2.2997277803708863E-5</c:v>
                </c:pt>
                <c:pt idx="57">
                  <c:v>2.1293775744174874E-5</c:v>
                </c:pt>
                <c:pt idx="58">
                  <c:v>1.8738522654873891E-5</c:v>
                </c:pt>
                <c:pt idx="59">
                  <c:v>2.044202471440788E-5</c:v>
                </c:pt>
                <c:pt idx="60">
                  <c:v>1.4479767506038916E-5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0992"/>
        <c:axId val="135602168"/>
      </c:lineChart>
      <c:catAx>
        <c:axId val="135600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602168"/>
        <c:crosses val="autoZero"/>
        <c:auto val="1"/>
        <c:lblAlgn val="ctr"/>
        <c:lblOffset val="100"/>
        <c:tickLblSkip val="10"/>
        <c:noMultiLvlLbl val="0"/>
      </c:catAx>
      <c:valAx>
        <c:axId val="13560216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6009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3.4225682192741019E-3</c:v>
                </c:pt>
                <c:pt idx="5">
                  <c:v>7.129724480319454E-3</c:v>
                </c:pt>
                <c:pt idx="6">
                  <c:v>5.8821961401707866E-3</c:v>
                </c:pt>
                <c:pt idx="7">
                  <c:v>7.4507624461349889E-3</c:v>
                </c:pt>
                <c:pt idx="8">
                  <c:v>2.5293340952232696E-3</c:v>
                </c:pt>
                <c:pt idx="9">
                  <c:v>1.7231753314652397E-2</c:v>
                </c:pt>
                <c:pt idx="10">
                  <c:v>4.1719813716529107E-3</c:v>
                </c:pt>
                <c:pt idx="11">
                  <c:v>1.1935307381560716E-2</c:v>
                </c:pt>
                <c:pt idx="12">
                  <c:v>2.2107785132288164E-2</c:v>
                </c:pt>
                <c:pt idx="13">
                  <c:v>1.2241477427720122E-2</c:v>
                </c:pt>
                <c:pt idx="14">
                  <c:v>1.4347733815127552E-2</c:v>
                </c:pt>
                <c:pt idx="15">
                  <c:v>8.6214864255375421E-3</c:v>
                </c:pt>
                <c:pt idx="16">
                  <c:v>4.8451237548315873E-2</c:v>
                </c:pt>
                <c:pt idx="17">
                  <c:v>1.6464659033333807E-2</c:v>
                </c:pt>
                <c:pt idx="18">
                  <c:v>9.5880116007261526E-2</c:v>
                </c:pt>
                <c:pt idx="19">
                  <c:v>3.5491066269459512E-2</c:v>
                </c:pt>
                <c:pt idx="20">
                  <c:v>6.3931515922740864E-2</c:v>
                </c:pt>
                <c:pt idx="21">
                  <c:v>6.631580364161041E-2</c:v>
                </c:pt>
                <c:pt idx="22">
                  <c:v>4.3832964614715204E-2</c:v>
                </c:pt>
                <c:pt idx="23">
                  <c:v>2.7875201425721922E-2</c:v>
                </c:pt>
                <c:pt idx="24">
                  <c:v>4.3419695367950734E-2</c:v>
                </c:pt>
                <c:pt idx="25">
                  <c:v>4.5787795459807518E-2</c:v>
                </c:pt>
                <c:pt idx="26">
                  <c:v>5.5830177711958869E-2</c:v>
                </c:pt>
                <c:pt idx="27">
                  <c:v>1.4482101635318505E-2</c:v>
                </c:pt>
                <c:pt idx="28">
                  <c:v>3.4573714123348927E-2</c:v>
                </c:pt>
                <c:pt idx="29">
                  <c:v>3.2126528643986935E-2</c:v>
                </c:pt>
                <c:pt idx="30">
                  <c:v>1.1611620187502045E-2</c:v>
                </c:pt>
                <c:pt idx="31">
                  <c:v>1.2442608637442265E-2</c:v>
                </c:pt>
                <c:pt idx="32">
                  <c:v>1.056006965834696E-2</c:v>
                </c:pt>
                <c:pt idx="33">
                  <c:v>8.2789167193803165E-3</c:v>
                </c:pt>
                <c:pt idx="34">
                  <c:v>2.1789817438529847E-2</c:v>
                </c:pt>
                <c:pt idx="35">
                  <c:v>5.1355925439675407E-3</c:v>
                </c:pt>
                <c:pt idx="36">
                  <c:v>5.3167422303248644E-3</c:v>
                </c:pt>
                <c:pt idx="37">
                  <c:v>1.2286561271736473E-2</c:v>
                </c:pt>
                <c:pt idx="38">
                  <c:v>8.8965686671550852E-3</c:v>
                </c:pt>
                <c:pt idx="39">
                  <c:v>7.3047950756029685E-3</c:v>
                </c:pt>
                <c:pt idx="40">
                  <c:v>2.9638636800957134E-3</c:v>
                </c:pt>
                <c:pt idx="41">
                  <c:v>4.8634199020688587E-3</c:v>
                </c:pt>
                <c:pt idx="42">
                  <c:v>3.849885345576824E-3</c:v>
                </c:pt>
                <c:pt idx="43">
                  <c:v>1.6649507160851039E-3</c:v>
                </c:pt>
                <c:pt idx="44">
                  <c:v>3.9144872133313538E-3</c:v>
                </c:pt>
                <c:pt idx="45">
                  <c:v>5.7341102379437264E-2</c:v>
                </c:pt>
                <c:pt idx="46">
                  <c:v>4.5373686035310151E-3</c:v>
                </c:pt>
                <c:pt idx="47">
                  <c:v>5.3448517014202191E-4</c:v>
                </c:pt>
                <c:pt idx="48">
                  <c:v>7.152233369148199E-3</c:v>
                </c:pt>
                <c:pt idx="49">
                  <c:v>2.5855781733599733E-3</c:v>
                </c:pt>
                <c:pt idx="50">
                  <c:v>3.0700718485383827E-4</c:v>
                </c:pt>
                <c:pt idx="51">
                  <c:v>2.881864750100575E-3</c:v>
                </c:pt>
                <c:pt idx="52">
                  <c:v>5.24412623683131E-4</c:v>
                </c:pt>
                <c:pt idx="53">
                  <c:v>1.2543800085073448E-3</c:v>
                </c:pt>
                <c:pt idx="54">
                  <c:v>1.0140139796089602E-3</c:v>
                </c:pt>
                <c:pt idx="55">
                  <c:v>1.9108524447693615E-3</c:v>
                </c:pt>
                <c:pt idx="56">
                  <c:v>6.5105229748850323E-5</c:v>
                </c:pt>
                <c:pt idx="57">
                  <c:v>5.5125089441937598E-3</c:v>
                </c:pt>
                <c:pt idx="58">
                  <c:v>1.5890065950380505E-3</c:v>
                </c:pt>
                <c:pt idx="59">
                  <c:v>9.9711466414286105E-4</c:v>
                </c:pt>
                <c:pt idx="60">
                  <c:v>1.6628925439139903E-3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5.1377622115545141E-3</c:v>
                </c:pt>
                <c:pt idx="1">
                  <c:v>2.3390786779461218E-2</c:v>
                </c:pt>
                <c:pt idx="2">
                  <c:v>2.9560019488063562E-2</c:v>
                </c:pt>
                <c:pt idx="3">
                  <c:v>3.3202106891347234E-2</c:v>
                </c:pt>
                <c:pt idx="4">
                  <c:v>3.3473815469842905E-2</c:v>
                </c:pt>
                <c:pt idx="5">
                  <c:v>3.3357977329794591E-2</c:v>
                </c:pt>
                <c:pt idx="6">
                  <c:v>3.1737946871177765E-2</c:v>
                </c:pt>
                <c:pt idx="7">
                  <c:v>2.9918606671595467E-2</c:v>
                </c:pt>
                <c:pt idx="8">
                  <c:v>2.7210890147966189E-2</c:v>
                </c:pt>
                <c:pt idx="9">
                  <c:v>2.5113879112679847E-2</c:v>
                </c:pt>
                <c:pt idx="10">
                  <c:v>2.2295434955180861E-2</c:v>
                </c:pt>
                <c:pt idx="11">
                  <c:v>2.0217162442549393E-2</c:v>
                </c:pt>
                <c:pt idx="12">
                  <c:v>1.8088636619161672E-2</c:v>
                </c:pt>
                <c:pt idx="13">
                  <c:v>1.630677346488912E-2</c:v>
                </c:pt>
                <c:pt idx="14">
                  <c:v>1.484687219986849E-2</c:v>
                </c:pt>
                <c:pt idx="15">
                  <c:v>1.393720210007734E-2</c:v>
                </c:pt>
                <c:pt idx="16">
                  <c:v>1.1787382500945444E-2</c:v>
                </c:pt>
                <c:pt idx="17">
                  <c:v>1.1019103072095615E-2</c:v>
                </c:pt>
                <c:pt idx="18">
                  <c:v>0.12893977438818724</c:v>
                </c:pt>
                <c:pt idx="19">
                  <c:v>3.9868762201333501E-2</c:v>
                </c:pt>
                <c:pt idx="20">
                  <c:v>3.9907090997673013E-2</c:v>
                </c:pt>
                <c:pt idx="21">
                  <c:v>4.533104155522924E-2</c:v>
                </c:pt>
                <c:pt idx="22">
                  <c:v>4.2664209081028776E-2</c:v>
                </c:pt>
                <c:pt idx="23">
                  <c:v>3.6308442896907461E-2</c:v>
                </c:pt>
                <c:pt idx="24">
                  <c:v>2.2176189811013481E-2</c:v>
                </c:pt>
                <c:pt idx="25">
                  <c:v>2.2538183998664453E-2</c:v>
                </c:pt>
                <c:pt idx="26">
                  <c:v>1.8762371683707365E-2</c:v>
                </c:pt>
                <c:pt idx="27">
                  <c:v>1.5719917005379658E-2</c:v>
                </c:pt>
                <c:pt idx="28">
                  <c:v>1.984665074460075E-2</c:v>
                </c:pt>
                <c:pt idx="29">
                  <c:v>1.6346805763288168E-2</c:v>
                </c:pt>
                <c:pt idx="30">
                  <c:v>1.1811231529778919E-2</c:v>
                </c:pt>
                <c:pt idx="31">
                  <c:v>8.9254990409283405E-3</c:v>
                </c:pt>
                <c:pt idx="32">
                  <c:v>1.1232040829537363E-2</c:v>
                </c:pt>
                <c:pt idx="33">
                  <c:v>1.2644244036891041E-2</c:v>
                </c:pt>
                <c:pt idx="34">
                  <c:v>1.369871181174258E-2</c:v>
                </c:pt>
                <c:pt idx="35">
                  <c:v>7.513295833574663E-3</c:v>
                </c:pt>
                <c:pt idx="36">
                  <c:v>4.6820754106291712E-3</c:v>
                </c:pt>
                <c:pt idx="37">
                  <c:v>6.1334591653521313E-3</c:v>
                </c:pt>
                <c:pt idx="38">
                  <c:v>5.5678964815868461E-3</c:v>
                </c:pt>
                <c:pt idx="39">
                  <c:v>6.4060194948775693E-3</c:v>
                </c:pt>
                <c:pt idx="40">
                  <c:v>5.0823983946196591E-3</c:v>
                </c:pt>
                <c:pt idx="41">
                  <c:v>4.1071434655364503E-3</c:v>
                </c:pt>
                <c:pt idx="42">
                  <c:v>3.7553702902426811E-3</c:v>
                </c:pt>
                <c:pt idx="43">
                  <c:v>3.1540340632271826E-3</c:v>
                </c:pt>
                <c:pt idx="44">
                  <c:v>3.3192737630019795E-3</c:v>
                </c:pt>
                <c:pt idx="45">
                  <c:v>3.5356185245627963E-3</c:v>
                </c:pt>
                <c:pt idx="46">
                  <c:v>2.376385373049916E-3</c:v>
                </c:pt>
                <c:pt idx="47">
                  <c:v>3.8482111524872835E-3</c:v>
                </c:pt>
                <c:pt idx="48">
                  <c:v>3.3567508083117274E-3</c:v>
                </c:pt>
                <c:pt idx="49">
                  <c:v>2.0586822389468268E-3</c:v>
                </c:pt>
                <c:pt idx="50">
                  <c:v>2.1472643460425942E-3</c:v>
                </c:pt>
                <c:pt idx="51">
                  <c:v>3.4981414792530485E-3</c:v>
                </c:pt>
                <c:pt idx="52">
                  <c:v>1.542521114908028E-3</c:v>
                </c:pt>
                <c:pt idx="53">
                  <c:v>1.5629631396224359E-3</c:v>
                </c:pt>
                <c:pt idx="54">
                  <c:v>1.1260148613519675E-3</c:v>
                </c:pt>
                <c:pt idx="55">
                  <c:v>1.0502090197027048E-3</c:v>
                </c:pt>
                <c:pt idx="56">
                  <c:v>9.8803119452971428E-4</c:v>
                </c:pt>
                <c:pt idx="57">
                  <c:v>1.0553195258813067E-3</c:v>
                </c:pt>
                <c:pt idx="58">
                  <c:v>1.2171522215370359E-3</c:v>
                </c:pt>
                <c:pt idx="59">
                  <c:v>8.0831172724887823E-4</c:v>
                </c:pt>
                <c:pt idx="60">
                  <c:v>9.3777788377346152E-4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2560"/>
        <c:axId val="135595504"/>
      </c:lineChart>
      <c:catAx>
        <c:axId val="1356025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5504"/>
        <c:crosses val="autoZero"/>
        <c:auto val="1"/>
        <c:lblAlgn val="ctr"/>
        <c:lblOffset val="100"/>
        <c:tickLblSkip val="10"/>
        <c:noMultiLvlLbl val="0"/>
      </c:catAx>
      <c:valAx>
        <c:axId val="1355955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6025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3.0170621149902752E-2</c:v>
                </c:pt>
                <c:pt idx="1">
                  <c:v>4.2466649923068013E-2</c:v>
                </c:pt>
                <c:pt idx="2">
                  <c:v>5.1437597505184542E-2</c:v>
                </c:pt>
                <c:pt idx="3">
                  <c:v>0.10559758155762267</c:v>
                </c:pt>
                <c:pt idx="4">
                  <c:v>0.1726749861827907</c:v>
                </c:pt>
                <c:pt idx="5">
                  <c:v>0.11850253599881463</c:v>
                </c:pt>
                <c:pt idx="6">
                  <c:v>0.11309375266154519</c:v>
                </c:pt>
                <c:pt idx="7">
                  <c:v>5.5394096926911815E-2</c:v>
                </c:pt>
                <c:pt idx="8">
                  <c:v>4.6808839594186177E-2</c:v>
                </c:pt>
                <c:pt idx="9">
                  <c:v>3.5453557497192076E-2</c:v>
                </c:pt>
                <c:pt idx="10">
                  <c:v>7.0425587265715003E-2</c:v>
                </c:pt>
                <c:pt idx="11">
                  <c:v>2.0102871107625094E-2</c:v>
                </c:pt>
                <c:pt idx="12">
                  <c:v>1.8854151399380976E-2</c:v>
                </c:pt>
                <c:pt idx="13">
                  <c:v>8.5361404557916503E-3</c:v>
                </c:pt>
                <c:pt idx="14">
                  <c:v>1.0020448053538708E-2</c:v>
                </c:pt>
                <c:pt idx="15">
                  <c:v>9.7791361568456397E-3</c:v>
                </c:pt>
                <c:pt idx="16">
                  <c:v>1.6103514450881182E-2</c:v>
                </c:pt>
                <c:pt idx="17">
                  <c:v>8.2143678545269615E-3</c:v>
                </c:pt>
                <c:pt idx="18">
                  <c:v>7.0377173662154379E-3</c:v>
                </c:pt>
                <c:pt idx="19">
                  <c:v>7.4161046986423278E-3</c:v>
                </c:pt>
                <c:pt idx="20">
                  <c:v>5.310721568912739E-3</c:v>
                </c:pt>
                <c:pt idx="21">
                  <c:v>5.2457249397710381E-3</c:v>
                </c:pt>
                <c:pt idx="22">
                  <c:v>6.9257493091834715E-3</c:v>
                </c:pt>
                <c:pt idx="23">
                  <c:v>8.6570757099840127E-3</c:v>
                </c:pt>
                <c:pt idx="24">
                  <c:v>6.4518276059243322E-4</c:v>
                </c:pt>
                <c:pt idx="25">
                  <c:v>1.042669904675741E-3</c:v>
                </c:pt>
                <c:pt idx="26">
                  <c:v>8.310934261657395E-4</c:v>
                </c:pt>
                <c:pt idx="27">
                  <c:v>1.2334038280250527E-3</c:v>
                </c:pt>
                <c:pt idx="28">
                  <c:v>2.0175375845024367E-3</c:v>
                </c:pt>
                <c:pt idx="29">
                  <c:v>5.6510049723846299E-4</c:v>
                </c:pt>
                <c:pt idx="30">
                  <c:v>9.5380680283741934E-4</c:v>
                </c:pt>
                <c:pt idx="31">
                  <c:v>1.6185940667784731E-3</c:v>
                </c:pt>
                <c:pt idx="32">
                  <c:v>6.1217281514386085E-4</c:v>
                </c:pt>
                <c:pt idx="33">
                  <c:v>9.1779514899832844E-4</c:v>
                </c:pt>
                <c:pt idx="34">
                  <c:v>8.7124947759168792E-4</c:v>
                </c:pt>
                <c:pt idx="35">
                  <c:v>5.2852518722881108E-4</c:v>
                </c:pt>
                <c:pt idx="36">
                  <c:v>6.5250687044529263E-4</c:v>
                </c:pt>
                <c:pt idx="37">
                  <c:v>3.4322087541246743E-4</c:v>
                </c:pt>
                <c:pt idx="38">
                  <c:v>2.7619367508685644E-6</c:v>
                </c:pt>
                <c:pt idx="39">
                  <c:v>2.3811256085469687E-4</c:v>
                </c:pt>
                <c:pt idx="40">
                  <c:v>1.2200869579212948E-3</c:v>
                </c:pt>
                <c:pt idx="41">
                  <c:v>1.4856189651420713E-3</c:v>
                </c:pt>
                <c:pt idx="42">
                  <c:v>0</c:v>
                </c:pt>
                <c:pt idx="43">
                  <c:v>8.6331318153327655E-5</c:v>
                </c:pt>
                <c:pt idx="44">
                  <c:v>6.7663247632373971E-4</c:v>
                </c:pt>
                <c:pt idx="45">
                  <c:v>0</c:v>
                </c:pt>
                <c:pt idx="46">
                  <c:v>9.2105839289144474E-4</c:v>
                </c:pt>
                <c:pt idx="47">
                  <c:v>3.0958837447106939E-3</c:v>
                </c:pt>
                <c:pt idx="48">
                  <c:v>1.28596683371504E-4</c:v>
                </c:pt>
                <c:pt idx="49">
                  <c:v>2.4459081280374395E-4</c:v>
                </c:pt>
                <c:pt idx="50">
                  <c:v>2.731828159904091E-4</c:v>
                </c:pt>
                <c:pt idx="51">
                  <c:v>5.6951954349153717E-5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4.6157143006342202E-4</c:v>
                </c:pt>
                <c:pt idx="57">
                  <c:v>3.937550615496847E-4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0.19221232071104843</c:v>
                </c:pt>
                <c:pt idx="1">
                  <c:v>0.1368403531253404</c:v>
                </c:pt>
                <c:pt idx="2">
                  <c:v>7.9022993781263498E-2</c:v>
                </c:pt>
                <c:pt idx="3">
                  <c:v>4.2699501987033796E-2</c:v>
                </c:pt>
                <c:pt idx="4">
                  <c:v>0.16264609012700615</c:v>
                </c:pt>
                <c:pt idx="5">
                  <c:v>7.852241058347928E-2</c:v>
                </c:pt>
                <c:pt idx="6">
                  <c:v>7.7889032087505375E-2</c:v>
                </c:pt>
                <c:pt idx="7">
                  <c:v>4.2596692723919187E-2</c:v>
                </c:pt>
                <c:pt idx="8">
                  <c:v>4.1162870679410123E-2</c:v>
                </c:pt>
                <c:pt idx="9">
                  <c:v>1.8706390207662474E-2</c:v>
                </c:pt>
                <c:pt idx="10">
                  <c:v>1.6593292674717611E-2</c:v>
                </c:pt>
                <c:pt idx="11">
                  <c:v>1.7720522809581335E-2</c:v>
                </c:pt>
                <c:pt idx="12">
                  <c:v>1.1799810781999077E-2</c:v>
                </c:pt>
                <c:pt idx="13">
                  <c:v>1.2282035182798542E-2</c:v>
                </c:pt>
                <c:pt idx="14">
                  <c:v>9.0337520362965655E-3</c:v>
                </c:pt>
                <c:pt idx="15">
                  <c:v>9.0172291190102893E-3</c:v>
                </c:pt>
                <c:pt idx="16">
                  <c:v>9.7381178806115187E-3</c:v>
                </c:pt>
                <c:pt idx="17">
                  <c:v>5.3632165591453122E-3</c:v>
                </c:pt>
                <c:pt idx="18">
                  <c:v>4.7420772611612306E-3</c:v>
                </c:pt>
                <c:pt idx="19">
                  <c:v>3.7201042290100814E-3</c:v>
                </c:pt>
                <c:pt idx="20">
                  <c:v>3.7005215122263469E-3</c:v>
                </c:pt>
                <c:pt idx="21">
                  <c:v>2.8376580539430413E-3</c:v>
                </c:pt>
                <c:pt idx="22">
                  <c:v>2.3309552571639087E-3</c:v>
                </c:pt>
                <c:pt idx="23">
                  <c:v>2.2954615829933896E-3</c:v>
                </c:pt>
                <c:pt idx="24">
                  <c:v>2.0708722998799335E-3</c:v>
                </c:pt>
                <c:pt idx="25">
                  <c:v>2.3229997784705164E-3</c:v>
                </c:pt>
                <c:pt idx="26">
                  <c:v>1.8444471370680023E-3</c:v>
                </c:pt>
                <c:pt idx="27">
                  <c:v>1.5403030670206243E-3</c:v>
                </c:pt>
                <c:pt idx="28">
                  <c:v>1.0843929418993031E-3</c:v>
                </c:pt>
                <c:pt idx="29">
                  <c:v>1.3714021347609134E-3</c:v>
                </c:pt>
                <c:pt idx="30">
                  <c:v>8.7571461617263146E-4</c:v>
                </c:pt>
                <c:pt idx="31">
                  <c:v>8.2430998461532814E-4</c:v>
                </c:pt>
                <c:pt idx="32">
                  <c:v>6.4867749346120848E-4</c:v>
                </c:pt>
                <c:pt idx="33">
                  <c:v>4.693732429101386E-4</c:v>
                </c:pt>
                <c:pt idx="34">
                  <c:v>4.5529816522182936E-4</c:v>
                </c:pt>
                <c:pt idx="35">
                  <c:v>3.7329553868994074E-4</c:v>
                </c:pt>
                <c:pt idx="36">
                  <c:v>5.0670279677913262E-4</c:v>
                </c:pt>
                <c:pt idx="37">
                  <c:v>2.9618859135398576E-4</c:v>
                </c:pt>
                <c:pt idx="38">
                  <c:v>3.4330950361484712E-4</c:v>
                </c:pt>
                <c:pt idx="39">
                  <c:v>2.2642516281193127E-4</c:v>
                </c:pt>
                <c:pt idx="40">
                  <c:v>1.9276736833988742E-4</c:v>
                </c:pt>
                <c:pt idx="41">
                  <c:v>1.7991621045056159E-4</c:v>
                </c:pt>
                <c:pt idx="42">
                  <c:v>1.2728765909427486E-4</c:v>
                </c:pt>
                <c:pt idx="43">
                  <c:v>1.1260062150647393E-4</c:v>
                </c:pt>
                <c:pt idx="44">
                  <c:v>8.812222552680568E-5</c:v>
                </c:pt>
                <c:pt idx="45">
                  <c:v>7.2823228039513031E-5</c:v>
                </c:pt>
                <c:pt idx="46">
                  <c:v>9.1793984923755909E-5</c:v>
                </c:pt>
                <c:pt idx="47">
                  <c:v>7.771890723544667E-5</c:v>
                </c:pt>
                <c:pt idx="48">
                  <c:v>5.0792671657811607E-5</c:v>
                </c:pt>
                <c:pt idx="49">
                  <c:v>5.2628551356286722E-5</c:v>
                </c:pt>
                <c:pt idx="50">
                  <c:v>3.4881714271027246E-5</c:v>
                </c:pt>
                <c:pt idx="51">
                  <c:v>3.0597994974585305E-5</c:v>
                </c:pt>
                <c:pt idx="52">
                  <c:v>1.9582716783734597E-5</c:v>
                </c:pt>
                <c:pt idx="53">
                  <c:v>1.6522917286276066E-5</c:v>
                </c:pt>
                <c:pt idx="54">
                  <c:v>1.8970756884242889E-5</c:v>
                </c:pt>
                <c:pt idx="55">
                  <c:v>2.0194676683226302E-5</c:v>
                </c:pt>
                <c:pt idx="56">
                  <c:v>1.2851157889325828E-5</c:v>
                </c:pt>
                <c:pt idx="57">
                  <c:v>7.9554786933921788E-6</c:v>
                </c:pt>
                <c:pt idx="58">
                  <c:v>1.2239197989834121E-5</c:v>
                </c:pt>
                <c:pt idx="59">
                  <c:v>9.7913583918672985E-6</c:v>
                </c:pt>
                <c:pt idx="60">
                  <c:v>1.1627238090342417E-5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8248"/>
        <c:axId val="135595896"/>
      </c:lineChart>
      <c:catAx>
        <c:axId val="135598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5896"/>
        <c:crosses val="autoZero"/>
        <c:auto val="1"/>
        <c:lblAlgn val="ctr"/>
        <c:lblOffset val="100"/>
        <c:tickLblSkip val="10"/>
        <c:noMultiLvlLbl val="0"/>
      </c:catAx>
      <c:valAx>
        <c:axId val="13559589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82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2.0070831080937175E-4</c:v>
                </c:pt>
                <c:pt idx="2">
                  <c:v>8.9304634871663674E-5</c:v>
                </c:pt>
                <c:pt idx="3">
                  <c:v>4.6374793358276706E-4</c:v>
                </c:pt>
                <c:pt idx="4">
                  <c:v>8.0939409300420087E-4</c:v>
                </c:pt>
                <c:pt idx="5">
                  <c:v>1.1757845695027339E-2</c:v>
                </c:pt>
                <c:pt idx="6">
                  <c:v>1.1243671577118816E-2</c:v>
                </c:pt>
                <c:pt idx="7">
                  <c:v>9.8740180743943605E-3</c:v>
                </c:pt>
                <c:pt idx="8">
                  <c:v>3.354299217694904E-3</c:v>
                </c:pt>
                <c:pt idx="9">
                  <c:v>1.2229287725279819E-2</c:v>
                </c:pt>
                <c:pt idx="10">
                  <c:v>2.4774155287255449E-3</c:v>
                </c:pt>
                <c:pt idx="11">
                  <c:v>1.3088150838622255E-2</c:v>
                </c:pt>
                <c:pt idx="12">
                  <c:v>1.0177756993687207E-2</c:v>
                </c:pt>
                <c:pt idx="13">
                  <c:v>2.1677220905935411E-2</c:v>
                </c:pt>
                <c:pt idx="14">
                  <c:v>1.6672438707578199E-2</c:v>
                </c:pt>
                <c:pt idx="15">
                  <c:v>8.1769769273449585E-3</c:v>
                </c:pt>
                <c:pt idx="16">
                  <c:v>4.2137850139147469E-2</c:v>
                </c:pt>
                <c:pt idx="17">
                  <c:v>2.6288339772226828E-2</c:v>
                </c:pt>
                <c:pt idx="18">
                  <c:v>6.4902494632655724E-2</c:v>
                </c:pt>
                <c:pt idx="19">
                  <c:v>4.8236165404774434E-2</c:v>
                </c:pt>
                <c:pt idx="20">
                  <c:v>6.7271669992631303E-2</c:v>
                </c:pt>
                <c:pt idx="21">
                  <c:v>6.8591527357606749E-2</c:v>
                </c:pt>
                <c:pt idx="22">
                  <c:v>4.0339141308378235E-2</c:v>
                </c:pt>
                <c:pt idx="23">
                  <c:v>2.7766615419715934E-2</c:v>
                </c:pt>
                <c:pt idx="24">
                  <c:v>4.7867502339171079E-2</c:v>
                </c:pt>
                <c:pt idx="25">
                  <c:v>2.1046705766146978E-2</c:v>
                </c:pt>
                <c:pt idx="26">
                  <c:v>6.6239257077928548E-2</c:v>
                </c:pt>
                <c:pt idx="27">
                  <c:v>1.3161154864952274E-2</c:v>
                </c:pt>
                <c:pt idx="28">
                  <c:v>1.9848670827178366E-2</c:v>
                </c:pt>
                <c:pt idx="29">
                  <c:v>1.9416460656830063E-2</c:v>
                </c:pt>
                <c:pt idx="30">
                  <c:v>5.9380781860471094E-3</c:v>
                </c:pt>
                <c:pt idx="31">
                  <c:v>1.4564616629679821E-2</c:v>
                </c:pt>
                <c:pt idx="32">
                  <c:v>7.2772038930360603E-3</c:v>
                </c:pt>
                <c:pt idx="33">
                  <c:v>1.6197421586790949E-2</c:v>
                </c:pt>
                <c:pt idx="34">
                  <c:v>2.0495107552298122E-2</c:v>
                </c:pt>
                <c:pt idx="35">
                  <c:v>1.4241715694584711E-2</c:v>
                </c:pt>
                <c:pt idx="36">
                  <c:v>6.7220586160776676E-3</c:v>
                </c:pt>
                <c:pt idx="37">
                  <c:v>1.4873345480423867E-2</c:v>
                </c:pt>
                <c:pt idx="38">
                  <c:v>1.3338646454546174E-2</c:v>
                </c:pt>
                <c:pt idx="39">
                  <c:v>5.8301906769863184E-3</c:v>
                </c:pt>
                <c:pt idx="40">
                  <c:v>1.064245522096864E-2</c:v>
                </c:pt>
                <c:pt idx="41">
                  <c:v>1.0587503649163608E-2</c:v>
                </c:pt>
                <c:pt idx="42">
                  <c:v>2.989354804210241E-3</c:v>
                </c:pt>
                <c:pt idx="43">
                  <c:v>2.7184094482209562E-3</c:v>
                </c:pt>
                <c:pt idx="44">
                  <c:v>2.2150003910084526E-3</c:v>
                </c:pt>
                <c:pt idx="45">
                  <c:v>5.8622665854005065E-2</c:v>
                </c:pt>
                <c:pt idx="46">
                  <c:v>3.3031540322418676E-3</c:v>
                </c:pt>
                <c:pt idx="47">
                  <c:v>1.8000843931581757E-3</c:v>
                </c:pt>
                <c:pt idx="48">
                  <c:v>3.450772830262756E-4</c:v>
                </c:pt>
                <c:pt idx="49">
                  <c:v>1.9111273109675021E-3</c:v>
                </c:pt>
                <c:pt idx="50">
                  <c:v>1.6826030374364552E-3</c:v>
                </c:pt>
                <c:pt idx="51">
                  <c:v>7.9180431695635614E-4</c:v>
                </c:pt>
                <c:pt idx="52">
                  <c:v>1.0224611083269985E-3</c:v>
                </c:pt>
                <c:pt idx="53">
                  <c:v>2.1479057598380894E-3</c:v>
                </c:pt>
                <c:pt idx="54">
                  <c:v>3.5175275796139964E-3</c:v>
                </c:pt>
                <c:pt idx="55">
                  <c:v>0</c:v>
                </c:pt>
                <c:pt idx="56">
                  <c:v>1.1472614999133181E-3</c:v>
                </c:pt>
                <c:pt idx="57">
                  <c:v>9.3630881831917767E-4</c:v>
                </c:pt>
                <c:pt idx="58">
                  <c:v>3.5805307764119852E-3</c:v>
                </c:pt>
                <c:pt idx="59">
                  <c:v>2.7771515859533517E-3</c:v>
                </c:pt>
                <c:pt idx="60">
                  <c:v>2.9949547866418456E-3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7.1391241874702435E-3</c:v>
                </c:pt>
                <c:pt idx="1">
                  <c:v>2.8146483617221531E-2</c:v>
                </c:pt>
                <c:pt idx="2">
                  <c:v>3.3152927554963178E-2</c:v>
                </c:pt>
                <c:pt idx="3">
                  <c:v>3.5916538461067724E-2</c:v>
                </c:pt>
                <c:pt idx="4">
                  <c:v>3.577639964408412E-2</c:v>
                </c:pt>
                <c:pt idx="5">
                  <c:v>3.4766665809922805E-2</c:v>
                </c:pt>
                <c:pt idx="6">
                  <c:v>3.2761273219288484E-2</c:v>
                </c:pt>
                <c:pt idx="7">
                  <c:v>3.0388092729059651E-2</c:v>
                </c:pt>
                <c:pt idx="8">
                  <c:v>2.7738918324160054E-2</c:v>
                </c:pt>
                <c:pt idx="9">
                  <c:v>2.5153999708707089E-2</c:v>
                </c:pt>
                <c:pt idx="10">
                  <c:v>2.2744101624508749E-2</c:v>
                </c:pt>
                <c:pt idx="11">
                  <c:v>2.0132868733377638E-2</c:v>
                </c:pt>
                <c:pt idx="12">
                  <c:v>1.827924219781726E-2</c:v>
                </c:pt>
                <c:pt idx="13">
                  <c:v>1.6153293506983073E-2</c:v>
                </c:pt>
                <c:pt idx="14">
                  <c:v>1.4518748615440728E-2</c:v>
                </c:pt>
                <c:pt idx="15">
                  <c:v>1.34435350720338E-2</c:v>
                </c:pt>
                <c:pt idx="16">
                  <c:v>1.1617446731950549E-2</c:v>
                </c:pt>
                <c:pt idx="17">
                  <c:v>1.0452275083318341E-2</c:v>
                </c:pt>
                <c:pt idx="18">
                  <c:v>0.11578587278332825</c:v>
                </c:pt>
                <c:pt idx="19">
                  <c:v>3.8080428665670393E-2</c:v>
                </c:pt>
                <c:pt idx="20">
                  <c:v>3.8055950269690726E-2</c:v>
                </c:pt>
                <c:pt idx="21">
                  <c:v>4.3915466307323812E-2</c:v>
                </c:pt>
                <c:pt idx="22">
                  <c:v>4.2080810528647677E-2</c:v>
                </c:pt>
                <c:pt idx="23">
                  <c:v>3.6164994180261353E-2</c:v>
                </c:pt>
                <c:pt idx="24">
                  <c:v>2.2577648531847006E-2</c:v>
                </c:pt>
                <c:pt idx="25">
                  <c:v>2.3096590526615973E-2</c:v>
                </c:pt>
                <c:pt idx="26">
                  <c:v>1.8585834107462607E-2</c:v>
                </c:pt>
                <c:pt idx="27">
                  <c:v>1.6771984965369188E-2</c:v>
                </c:pt>
                <c:pt idx="28">
                  <c:v>2.0757679790758671E-2</c:v>
                </c:pt>
                <c:pt idx="29">
                  <c:v>1.6636741827581521E-2</c:v>
                </c:pt>
                <c:pt idx="30">
                  <c:v>1.1790019423607211E-2</c:v>
                </c:pt>
                <c:pt idx="31">
                  <c:v>9.3880768181022634E-3</c:v>
                </c:pt>
                <c:pt idx="32">
                  <c:v>1.1061175183312589E-2</c:v>
                </c:pt>
                <c:pt idx="33">
                  <c:v>1.3358472646004453E-2</c:v>
                </c:pt>
                <c:pt idx="34">
                  <c:v>1.3459446029420584E-2</c:v>
                </c:pt>
                <c:pt idx="35">
                  <c:v>7.9371198964074286E-3</c:v>
                </c:pt>
                <c:pt idx="36">
                  <c:v>4.8087808902058269E-3</c:v>
                </c:pt>
                <c:pt idx="37">
                  <c:v>6.1734514660723308E-3</c:v>
                </c:pt>
                <c:pt idx="38">
                  <c:v>5.3675002784417539E-3</c:v>
                </c:pt>
                <c:pt idx="39">
                  <c:v>6.041880087681614E-3</c:v>
                </c:pt>
                <c:pt idx="40">
                  <c:v>4.8681410004565223E-3</c:v>
                </c:pt>
                <c:pt idx="41">
                  <c:v>3.8620789256921572E-3</c:v>
                </c:pt>
                <c:pt idx="42">
                  <c:v>3.2023861540400982E-3</c:v>
                </c:pt>
                <c:pt idx="43">
                  <c:v>2.9588261140423991E-3</c:v>
                </c:pt>
                <c:pt idx="44">
                  <c:v>3.0292015024839451E-3</c:v>
                </c:pt>
                <c:pt idx="45">
                  <c:v>3.1883110763517887E-3</c:v>
                </c:pt>
                <c:pt idx="46">
                  <c:v>2.3028051017872902E-3</c:v>
                </c:pt>
                <c:pt idx="47">
                  <c:v>3.184027357055347E-3</c:v>
                </c:pt>
                <c:pt idx="48">
                  <c:v>3.1369064447944856E-3</c:v>
                </c:pt>
                <c:pt idx="49">
                  <c:v>1.8548504553593612E-3</c:v>
                </c:pt>
                <c:pt idx="50">
                  <c:v>1.778355467922898E-3</c:v>
                </c:pt>
                <c:pt idx="51">
                  <c:v>2.8009404599735389E-3</c:v>
                </c:pt>
                <c:pt idx="52">
                  <c:v>1.3573270570726042E-3</c:v>
                </c:pt>
                <c:pt idx="53">
                  <c:v>1.2435025157671467E-3</c:v>
                </c:pt>
                <c:pt idx="54">
                  <c:v>1.0403318291359004E-3</c:v>
                </c:pt>
                <c:pt idx="55">
                  <c:v>9.0692457104670843E-4</c:v>
                </c:pt>
                <c:pt idx="56">
                  <c:v>8.9468537305687434E-4</c:v>
                </c:pt>
                <c:pt idx="57">
                  <c:v>9.4180628531773569E-4</c:v>
                </c:pt>
                <c:pt idx="58">
                  <c:v>1.0342122301409834E-3</c:v>
                </c:pt>
                <c:pt idx="59">
                  <c:v>7.5760635557073212E-4</c:v>
                </c:pt>
                <c:pt idx="60">
                  <c:v>7.5699439567124044E-4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7072"/>
        <c:axId val="135597464"/>
      </c:lineChart>
      <c:catAx>
        <c:axId val="13559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7464"/>
        <c:crosses val="autoZero"/>
        <c:auto val="1"/>
        <c:lblAlgn val="ctr"/>
        <c:lblOffset val="100"/>
        <c:tickLblSkip val="10"/>
        <c:noMultiLvlLbl val="0"/>
      </c:catAx>
      <c:valAx>
        <c:axId val="13559746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4.2391882785050308E-2</c:v>
                </c:pt>
                <c:pt idx="1">
                  <c:v>4.5858263226831203E-2</c:v>
                </c:pt>
                <c:pt idx="2">
                  <c:v>6.6312781851289193E-2</c:v>
                </c:pt>
                <c:pt idx="3">
                  <c:v>0.11200928984902733</c:v>
                </c:pt>
                <c:pt idx="4">
                  <c:v>0.21744880649125842</c:v>
                </c:pt>
                <c:pt idx="5">
                  <c:v>0.11891958937210406</c:v>
                </c:pt>
                <c:pt idx="6">
                  <c:v>0.12341499476342228</c:v>
                </c:pt>
                <c:pt idx="7">
                  <c:v>5.5262010220532273E-2</c:v>
                </c:pt>
                <c:pt idx="8">
                  <c:v>4.1571188084006234E-2</c:v>
                </c:pt>
                <c:pt idx="9">
                  <c:v>2.3263982157136091E-2</c:v>
                </c:pt>
                <c:pt idx="10">
                  <c:v>6.2237190528871125E-2</c:v>
                </c:pt>
                <c:pt idx="11">
                  <c:v>7.1039030814199818E-3</c:v>
                </c:pt>
                <c:pt idx="12">
                  <c:v>9.853312909722925E-3</c:v>
                </c:pt>
                <c:pt idx="13">
                  <c:v>6.3751255875876536E-3</c:v>
                </c:pt>
                <c:pt idx="14">
                  <c:v>8.6614589106223105E-3</c:v>
                </c:pt>
                <c:pt idx="15">
                  <c:v>8.6373371554294715E-3</c:v>
                </c:pt>
                <c:pt idx="16">
                  <c:v>1.2816152384190517E-2</c:v>
                </c:pt>
                <c:pt idx="17">
                  <c:v>4.8066027975377122E-3</c:v>
                </c:pt>
                <c:pt idx="18">
                  <c:v>4.9073625126442536E-3</c:v>
                </c:pt>
                <c:pt idx="19">
                  <c:v>1.8115911286795423E-3</c:v>
                </c:pt>
                <c:pt idx="20">
                  <c:v>4.0206818370713297E-3</c:v>
                </c:pt>
                <c:pt idx="21">
                  <c:v>1.2989636125252438E-3</c:v>
                </c:pt>
                <c:pt idx="22">
                  <c:v>2.5620083673216711E-3</c:v>
                </c:pt>
                <c:pt idx="23">
                  <c:v>1.5042093648253698E-3</c:v>
                </c:pt>
                <c:pt idx="24">
                  <c:v>9.761180386815985E-4</c:v>
                </c:pt>
                <c:pt idx="25">
                  <c:v>2.3671137571363359E-3</c:v>
                </c:pt>
                <c:pt idx="26">
                  <c:v>1.5041484515673298E-3</c:v>
                </c:pt>
                <c:pt idx="27">
                  <c:v>8.8667865993709391E-4</c:v>
                </c:pt>
                <c:pt idx="28">
                  <c:v>3.9184017480114585E-4</c:v>
                </c:pt>
                <c:pt idx="29">
                  <c:v>2.3606567768890622E-4</c:v>
                </c:pt>
                <c:pt idx="30">
                  <c:v>2.8994622831906306E-4</c:v>
                </c:pt>
                <c:pt idx="31">
                  <c:v>1.2275549837063894E-3</c:v>
                </c:pt>
                <c:pt idx="32">
                  <c:v>1.1624390545719894E-3</c:v>
                </c:pt>
                <c:pt idx="33">
                  <c:v>1.5375032785749132E-4</c:v>
                </c:pt>
                <c:pt idx="34">
                  <c:v>1.3674608102798186E-4</c:v>
                </c:pt>
                <c:pt idx="35">
                  <c:v>4.5174644814092356E-4</c:v>
                </c:pt>
                <c:pt idx="36">
                  <c:v>3.4688381491379257E-4</c:v>
                </c:pt>
                <c:pt idx="37">
                  <c:v>0</c:v>
                </c:pt>
                <c:pt idx="38">
                  <c:v>3.5422763532160883E-4</c:v>
                </c:pt>
                <c:pt idx="39">
                  <c:v>3.6172577732980921E-4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2.5025213769554386E-6</c:v>
                </c:pt>
                <c:pt idx="44">
                  <c:v>2.7698794789424255E-3</c:v>
                </c:pt>
                <c:pt idx="45">
                  <c:v>1.3641120282605157E-4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6.3863253914337944E-4</c:v>
                </c:pt>
                <c:pt idx="51">
                  <c:v>0</c:v>
                </c:pt>
                <c:pt idx="52">
                  <c:v>0</c:v>
                </c:pt>
                <c:pt idx="53">
                  <c:v>2.8507633202594628E-4</c:v>
                </c:pt>
                <c:pt idx="54">
                  <c:v>1.0167952286604727E-3</c:v>
                </c:pt>
                <c:pt idx="55">
                  <c:v>0</c:v>
                </c:pt>
                <c:pt idx="56">
                  <c:v>3.6429168180323896E-4</c:v>
                </c:pt>
                <c:pt idx="57">
                  <c:v>3.1024521357324536E-4</c:v>
                </c:pt>
                <c:pt idx="58">
                  <c:v>0</c:v>
                </c:pt>
                <c:pt idx="59">
                  <c:v>1.2239968451433224E-4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0.21284960564362415</c:v>
                </c:pt>
                <c:pt idx="1">
                  <c:v>0.13374955867941482</c:v>
                </c:pt>
                <c:pt idx="2">
                  <c:v>8.0021733320281604E-2</c:v>
                </c:pt>
                <c:pt idx="3">
                  <c:v>4.4756781488842427E-2</c:v>
                </c:pt>
                <c:pt idx="4">
                  <c:v>0.14904317297677197</c:v>
                </c:pt>
                <c:pt idx="5">
                  <c:v>7.499370327638602E-2</c:v>
                </c:pt>
                <c:pt idx="6">
                  <c:v>7.6381732132428076E-2</c:v>
                </c:pt>
                <c:pt idx="7">
                  <c:v>4.1526479785042501E-2</c:v>
                </c:pt>
                <c:pt idx="8">
                  <c:v>4.9184285577588284E-2</c:v>
                </c:pt>
                <c:pt idx="9">
                  <c:v>1.7999830620884446E-2</c:v>
                </c:pt>
                <c:pt idx="10">
                  <c:v>1.8540963899151233E-2</c:v>
                </c:pt>
                <c:pt idx="11">
                  <c:v>2.0326043798799608E-2</c:v>
                </c:pt>
                <c:pt idx="12">
                  <c:v>1.2126554795793679E-2</c:v>
                </c:pt>
                <c:pt idx="13">
                  <c:v>1.3914934288602215E-2</c:v>
                </c:pt>
                <c:pt idx="14">
                  <c:v>8.1994890030059296E-3</c:v>
                </c:pt>
                <c:pt idx="15">
                  <c:v>8.6652815707823228E-3</c:v>
                </c:pt>
                <c:pt idx="16">
                  <c:v>1.0084656561845925E-2</c:v>
                </c:pt>
                <c:pt idx="17">
                  <c:v>4.6683743894377827E-3</c:v>
                </c:pt>
                <c:pt idx="18">
                  <c:v>3.1830075351709135E-3</c:v>
                </c:pt>
                <c:pt idx="19">
                  <c:v>2.4543473789681732E-3</c:v>
                </c:pt>
                <c:pt idx="20">
                  <c:v>2.8585475410881837E-3</c:v>
                </c:pt>
                <c:pt idx="21">
                  <c:v>1.9412606425627721E-3</c:v>
                </c:pt>
                <c:pt idx="22">
                  <c:v>1.5772055305580822E-3</c:v>
                </c:pt>
                <c:pt idx="23">
                  <c:v>1.4804174645266239E-3</c:v>
                </c:pt>
                <c:pt idx="24">
                  <c:v>1.3385349586395997E-3</c:v>
                </c:pt>
                <c:pt idx="25">
                  <c:v>1.3808797375283628E-3</c:v>
                </c:pt>
                <c:pt idx="26">
                  <c:v>1.0201242186838363E-3</c:v>
                </c:pt>
                <c:pt idx="27">
                  <c:v>8.7109259428312484E-4</c:v>
                </c:pt>
                <c:pt idx="28">
                  <c:v>6.3352188675136359E-4</c:v>
                </c:pt>
                <c:pt idx="29">
                  <c:v>7.6825527412470039E-4</c:v>
                </c:pt>
                <c:pt idx="30">
                  <c:v>4.6689243216311427E-4</c:v>
                </c:pt>
                <c:pt idx="31">
                  <c:v>4.6414277119631147E-4</c:v>
                </c:pt>
                <c:pt idx="32">
                  <c:v>3.2116040092256627E-4</c:v>
                </c:pt>
                <c:pt idx="33">
                  <c:v>2.887144015142933E-4</c:v>
                </c:pt>
                <c:pt idx="34">
                  <c:v>2.6066785965290481E-4</c:v>
                </c:pt>
                <c:pt idx="35">
                  <c:v>2.0897423347701228E-4</c:v>
                </c:pt>
                <c:pt idx="36">
                  <c:v>2.6396745281306817E-4</c:v>
                </c:pt>
                <c:pt idx="37">
                  <c:v>1.688291833616915E-4</c:v>
                </c:pt>
                <c:pt idx="38">
                  <c:v>1.7377857310193654E-4</c:v>
                </c:pt>
                <c:pt idx="39">
                  <c:v>1.5893040388120146E-4</c:v>
                </c:pt>
                <c:pt idx="40">
                  <c:v>1.0668684551194838E-4</c:v>
                </c:pt>
                <c:pt idx="41">
                  <c:v>8.4139625584165473E-5</c:v>
                </c:pt>
                <c:pt idx="42">
                  <c:v>6.9291456363430388E-5</c:v>
                </c:pt>
                <c:pt idx="43">
                  <c:v>6.0492541269661453E-5</c:v>
                </c:pt>
                <c:pt idx="44">
                  <c:v>4.6194304242286927E-5</c:v>
                </c:pt>
                <c:pt idx="45">
                  <c:v>4.5094439855565808E-5</c:v>
                </c:pt>
                <c:pt idx="46">
                  <c:v>3.9595117921960224E-5</c:v>
                </c:pt>
                <c:pt idx="47">
                  <c:v>3.0246270634830726E-5</c:v>
                </c:pt>
                <c:pt idx="48">
                  <c:v>2.5296880894585699E-5</c:v>
                </c:pt>
                <c:pt idx="49">
                  <c:v>2.419701650786458E-5</c:v>
                </c:pt>
                <c:pt idx="50">
                  <c:v>1.4298237027374525E-5</c:v>
                </c:pt>
                <c:pt idx="51">
                  <c:v>1.5398101414095641E-5</c:v>
                </c:pt>
                <c:pt idx="52">
                  <c:v>1.5398101414095641E-5</c:v>
                </c:pt>
                <c:pt idx="53">
                  <c:v>1.4848169220735083E-5</c:v>
                </c:pt>
                <c:pt idx="54">
                  <c:v>1.1548576060571732E-5</c:v>
                </c:pt>
                <c:pt idx="55">
                  <c:v>1.1548576060571732E-5</c:v>
                </c:pt>
                <c:pt idx="56">
                  <c:v>8.7989150937689384E-6</c:v>
                </c:pt>
                <c:pt idx="57">
                  <c:v>1.0448711673850614E-5</c:v>
                </c:pt>
                <c:pt idx="58">
                  <c:v>7.1491185136872626E-6</c:v>
                </c:pt>
                <c:pt idx="59">
                  <c:v>7.6990507070478206E-6</c:v>
                </c:pt>
                <c:pt idx="60">
                  <c:v>4.949389740245028E-6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8640"/>
        <c:axId val="135599032"/>
      </c:lineChart>
      <c:catAx>
        <c:axId val="1355986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9032"/>
        <c:crosses val="autoZero"/>
        <c:auto val="1"/>
        <c:lblAlgn val="ctr"/>
        <c:lblOffset val="100"/>
        <c:tickLblSkip val="10"/>
        <c:noMultiLvlLbl val="0"/>
      </c:catAx>
      <c:valAx>
        <c:axId val="13559903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86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2.8401650421544403E-4</c:v>
                </c:pt>
                <c:pt idx="3">
                  <c:v>2.5561853755619317E-3</c:v>
                </c:pt>
                <c:pt idx="4">
                  <c:v>6.7562539698032015E-3</c:v>
                </c:pt>
                <c:pt idx="5">
                  <c:v>1.6955702695069411E-2</c:v>
                </c:pt>
                <c:pt idx="6">
                  <c:v>6.6087246927808421E-3</c:v>
                </c:pt>
                <c:pt idx="7">
                  <c:v>1.3039074390251253E-2</c:v>
                </c:pt>
                <c:pt idx="8">
                  <c:v>3.1477711109614433E-3</c:v>
                </c:pt>
                <c:pt idx="9">
                  <c:v>1.7794663500712973E-2</c:v>
                </c:pt>
                <c:pt idx="10">
                  <c:v>2.8047412594817724E-3</c:v>
                </c:pt>
                <c:pt idx="11">
                  <c:v>7.6829242547154343E-3</c:v>
                </c:pt>
                <c:pt idx="12">
                  <c:v>2.0089076517022856E-2</c:v>
                </c:pt>
                <c:pt idx="13">
                  <c:v>2.5959822453794291E-2</c:v>
                </c:pt>
                <c:pt idx="14">
                  <c:v>1.4052138895509551E-2</c:v>
                </c:pt>
                <c:pt idx="15">
                  <c:v>1.135315448177931E-2</c:v>
                </c:pt>
                <c:pt idx="16">
                  <c:v>4.279603753008826E-2</c:v>
                </c:pt>
                <c:pt idx="17">
                  <c:v>3.1245367795126499E-2</c:v>
                </c:pt>
                <c:pt idx="18">
                  <c:v>9.7803874805605054E-2</c:v>
                </c:pt>
                <c:pt idx="19">
                  <c:v>4.7454887182902597E-2</c:v>
                </c:pt>
                <c:pt idx="20">
                  <c:v>7.643856097215744E-2</c:v>
                </c:pt>
                <c:pt idx="21">
                  <c:v>7.091932623699887E-2</c:v>
                </c:pt>
                <c:pt idx="22">
                  <c:v>4.4063632583695757E-2</c:v>
                </c:pt>
                <c:pt idx="23">
                  <c:v>3.4617857251361309E-2</c:v>
                </c:pt>
                <c:pt idx="24">
                  <c:v>4.2136225082183093E-2</c:v>
                </c:pt>
                <c:pt idx="25">
                  <c:v>1.636250697375017E-2</c:v>
                </c:pt>
                <c:pt idx="26">
                  <c:v>6.4995315805956452E-2</c:v>
                </c:pt>
                <c:pt idx="27">
                  <c:v>8.7705241668832711E-3</c:v>
                </c:pt>
                <c:pt idx="28">
                  <c:v>1.8660240631031531E-2</c:v>
                </c:pt>
                <c:pt idx="29">
                  <c:v>9.680347444311713E-3</c:v>
                </c:pt>
                <c:pt idx="30">
                  <c:v>1.0439365510905326E-2</c:v>
                </c:pt>
                <c:pt idx="31">
                  <c:v>5.0406060963084868E-3</c:v>
                </c:pt>
                <c:pt idx="32">
                  <c:v>1.3448289711989617E-2</c:v>
                </c:pt>
                <c:pt idx="33">
                  <c:v>6.1153381914330644E-3</c:v>
                </c:pt>
                <c:pt idx="34">
                  <c:v>1.1259707345700193E-2</c:v>
                </c:pt>
                <c:pt idx="35">
                  <c:v>9.1933609836785755E-3</c:v>
                </c:pt>
                <c:pt idx="36">
                  <c:v>3.1628897622645656E-3</c:v>
                </c:pt>
                <c:pt idx="37">
                  <c:v>1.3041788132080727E-2</c:v>
                </c:pt>
                <c:pt idx="38">
                  <c:v>9.5867660567846881E-3</c:v>
                </c:pt>
                <c:pt idx="39">
                  <c:v>2.1035674683339742E-3</c:v>
                </c:pt>
                <c:pt idx="40">
                  <c:v>3.2687593295129495E-3</c:v>
                </c:pt>
                <c:pt idx="41">
                  <c:v>3.7861098608552857E-3</c:v>
                </c:pt>
                <c:pt idx="42">
                  <c:v>1.1871434420906381E-3</c:v>
                </c:pt>
                <c:pt idx="43">
                  <c:v>1.2692755861880125E-3</c:v>
                </c:pt>
                <c:pt idx="44">
                  <c:v>1.7080432092667227E-3</c:v>
                </c:pt>
                <c:pt idx="45">
                  <c:v>5.4816303833193018E-2</c:v>
                </c:pt>
                <c:pt idx="46">
                  <c:v>3.5519017329897627E-3</c:v>
                </c:pt>
                <c:pt idx="47">
                  <c:v>1.2604003794236243E-3</c:v>
                </c:pt>
                <c:pt idx="48">
                  <c:v>9.1736284619398404E-4</c:v>
                </c:pt>
                <c:pt idx="49">
                  <c:v>2.1654250432166823E-3</c:v>
                </c:pt>
                <c:pt idx="50">
                  <c:v>5.7662205748179617E-4</c:v>
                </c:pt>
                <c:pt idx="51">
                  <c:v>4.4347656127678134E-4</c:v>
                </c:pt>
                <c:pt idx="52">
                  <c:v>6.9856504394927446E-3</c:v>
                </c:pt>
                <c:pt idx="53">
                  <c:v>4.770480142922842E-4</c:v>
                </c:pt>
                <c:pt idx="54">
                  <c:v>3.0890885613755787E-3</c:v>
                </c:pt>
                <c:pt idx="55">
                  <c:v>3.6115684336562653E-4</c:v>
                </c:pt>
                <c:pt idx="56">
                  <c:v>5.7948795633468737E-5</c:v>
                </c:pt>
                <c:pt idx="57">
                  <c:v>7.546978826537226E-4</c:v>
                </c:pt>
                <c:pt idx="58">
                  <c:v>2.6616468862768316E-3</c:v>
                </c:pt>
                <c:pt idx="59">
                  <c:v>8.1955024778688915E-4</c:v>
                </c:pt>
                <c:pt idx="60">
                  <c:v>3.2975316095234975E-3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1.0489406656159295E-2</c:v>
                </c:pt>
                <c:pt idx="1">
                  <c:v>3.2968434991965494E-2</c:v>
                </c:pt>
                <c:pt idx="2">
                  <c:v>3.5586112232361751E-2</c:v>
                </c:pt>
                <c:pt idx="3">
                  <c:v>3.7211711795935562E-2</c:v>
                </c:pt>
                <c:pt idx="4">
                  <c:v>3.6470403199285531E-2</c:v>
                </c:pt>
                <c:pt idx="5">
                  <c:v>3.5067526174022742E-2</c:v>
                </c:pt>
                <c:pt idx="6">
                  <c:v>3.3099868786178661E-2</c:v>
                </c:pt>
                <c:pt idx="7">
                  <c:v>3.0470642969721833E-2</c:v>
                </c:pt>
                <c:pt idx="8">
                  <c:v>2.7752878070133952E-2</c:v>
                </c:pt>
                <c:pt idx="9">
                  <c:v>2.5296880894585698E-2</c:v>
                </c:pt>
                <c:pt idx="10">
                  <c:v>2.3109250629397397E-2</c:v>
                </c:pt>
                <c:pt idx="11">
                  <c:v>2.0714845859505521E-2</c:v>
                </c:pt>
                <c:pt idx="12">
                  <c:v>1.8786783589583404E-2</c:v>
                </c:pt>
                <c:pt idx="13">
                  <c:v>1.6935161894538402E-2</c:v>
                </c:pt>
                <c:pt idx="14">
                  <c:v>1.5437146599824241E-2</c:v>
                </c:pt>
                <c:pt idx="15">
                  <c:v>1.4123908522079228E-2</c:v>
                </c:pt>
                <c:pt idx="16">
                  <c:v>1.1942877443211252E-2</c:v>
                </c:pt>
                <c:pt idx="17">
                  <c:v>1.0812766785855304E-2</c:v>
                </c:pt>
                <c:pt idx="18">
                  <c:v>0.10380795047970585</c:v>
                </c:pt>
                <c:pt idx="19">
                  <c:v>3.768355361783892E-2</c:v>
                </c:pt>
                <c:pt idx="20">
                  <c:v>3.6383513912734561E-2</c:v>
                </c:pt>
                <c:pt idx="21">
                  <c:v>4.1363149923614416E-2</c:v>
                </c:pt>
                <c:pt idx="22">
                  <c:v>3.9905829611208941E-2</c:v>
                </c:pt>
                <c:pt idx="23">
                  <c:v>3.5815983889186463E-2</c:v>
                </c:pt>
                <c:pt idx="24">
                  <c:v>2.0795135959736165E-2</c:v>
                </c:pt>
                <c:pt idx="25">
                  <c:v>2.1504548489171285E-2</c:v>
                </c:pt>
                <c:pt idx="26">
                  <c:v>2.1309872492721649E-2</c:v>
                </c:pt>
                <c:pt idx="27">
                  <c:v>1.6687142475332793E-2</c:v>
                </c:pt>
                <c:pt idx="28">
                  <c:v>2.1270827306993048E-2</c:v>
                </c:pt>
                <c:pt idx="29">
                  <c:v>1.8502468645615996E-2</c:v>
                </c:pt>
                <c:pt idx="30">
                  <c:v>1.3525582295702939E-2</c:v>
                </c:pt>
                <c:pt idx="31">
                  <c:v>8.1730922577246228E-3</c:v>
                </c:pt>
                <c:pt idx="32">
                  <c:v>1.4867416847502703E-2</c:v>
                </c:pt>
                <c:pt idx="33">
                  <c:v>1.4615547902943567E-2</c:v>
                </c:pt>
                <c:pt idx="34">
                  <c:v>1.3893486933061154E-2</c:v>
                </c:pt>
                <c:pt idx="35">
                  <c:v>7.8508319924153348E-3</c:v>
                </c:pt>
                <c:pt idx="36">
                  <c:v>4.230628363522778E-3</c:v>
                </c:pt>
                <c:pt idx="37">
                  <c:v>4.9917345191337909E-3</c:v>
                </c:pt>
                <c:pt idx="38">
                  <c:v>4.4555506306072461E-3</c:v>
                </c:pt>
                <c:pt idx="39">
                  <c:v>5.170462481975972E-3</c:v>
                </c:pt>
                <c:pt idx="40">
                  <c:v>4.3241168363940723E-3</c:v>
                </c:pt>
                <c:pt idx="41">
                  <c:v>3.2935439060363856E-3</c:v>
                </c:pt>
                <c:pt idx="42">
                  <c:v>2.8013545929786859E-3</c:v>
                </c:pt>
                <c:pt idx="43">
                  <c:v>2.3663582280304836E-3</c:v>
                </c:pt>
                <c:pt idx="44">
                  <c:v>2.4669958194154661E-3</c:v>
                </c:pt>
                <c:pt idx="45">
                  <c:v>4.7107191683265449E-3</c:v>
                </c:pt>
                <c:pt idx="46">
                  <c:v>1.8169759668632858E-3</c:v>
                </c:pt>
                <c:pt idx="47">
                  <c:v>3.4442253270171789E-3</c:v>
                </c:pt>
                <c:pt idx="48">
                  <c:v>3.0163780805826644E-3</c:v>
                </c:pt>
                <c:pt idx="49">
                  <c:v>1.4364228890577791E-3</c:v>
                </c:pt>
                <c:pt idx="50">
                  <c:v>1.5717062086244766E-3</c:v>
                </c:pt>
                <c:pt idx="51">
                  <c:v>3.0972181130066662E-3</c:v>
                </c:pt>
                <c:pt idx="52">
                  <c:v>1.1097631662016073E-3</c:v>
                </c:pt>
                <c:pt idx="53">
                  <c:v>1.1130627593617707E-3</c:v>
                </c:pt>
                <c:pt idx="54">
                  <c:v>7.9245229063256502E-4</c:v>
                </c:pt>
                <c:pt idx="55">
                  <c:v>7.5945635903093144E-4</c:v>
                </c:pt>
                <c:pt idx="56">
                  <c:v>7.627559521910948E-4</c:v>
                </c:pt>
                <c:pt idx="57">
                  <c:v>7.1876137672225013E-4</c:v>
                </c:pt>
                <c:pt idx="58">
                  <c:v>8.2984767978108297E-4</c:v>
                </c:pt>
                <c:pt idx="59">
                  <c:v>6.2472297165759463E-4</c:v>
                </c:pt>
                <c:pt idx="60">
                  <c:v>6.5496924229242531E-4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5864"/>
        <c:axId val="174267824"/>
      </c:lineChart>
      <c:catAx>
        <c:axId val="174265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7824"/>
        <c:crosses val="autoZero"/>
        <c:auto val="1"/>
        <c:lblAlgn val="ctr"/>
        <c:lblOffset val="100"/>
        <c:tickLblSkip val="10"/>
        <c:noMultiLvlLbl val="0"/>
      </c:catAx>
      <c:valAx>
        <c:axId val="17426782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58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8.6998452461036699E-2</c:v>
                </c:pt>
                <c:pt idx="1">
                  <c:v>7.2717293112250531E-2</c:v>
                </c:pt>
                <c:pt idx="2">
                  <c:v>6.4422275674881763E-2</c:v>
                </c:pt>
                <c:pt idx="3">
                  <c:v>0.13884880053382953</c:v>
                </c:pt>
                <c:pt idx="4">
                  <c:v>0.20770005943911218</c:v>
                </c:pt>
                <c:pt idx="5">
                  <c:v>0.1254636335456597</c:v>
                </c:pt>
                <c:pt idx="6">
                  <c:v>8.2591767704578586E-2</c:v>
                </c:pt>
                <c:pt idx="7">
                  <c:v>2.7228325875358783E-2</c:v>
                </c:pt>
                <c:pt idx="8">
                  <c:v>3.8375926003377227E-2</c:v>
                </c:pt>
                <c:pt idx="9">
                  <c:v>1.4812102875309527E-2</c:v>
                </c:pt>
                <c:pt idx="10">
                  <c:v>5.0691124318474695E-2</c:v>
                </c:pt>
                <c:pt idx="11">
                  <c:v>1.0178911812573226E-2</c:v>
                </c:pt>
                <c:pt idx="12">
                  <c:v>8.134666597900516E-3</c:v>
                </c:pt>
                <c:pt idx="13">
                  <c:v>1.6706439778194342E-2</c:v>
                </c:pt>
                <c:pt idx="14">
                  <c:v>3.4095608456494136E-3</c:v>
                </c:pt>
                <c:pt idx="15">
                  <c:v>1.3175007191503645E-2</c:v>
                </c:pt>
                <c:pt idx="16">
                  <c:v>7.683546693899374E-3</c:v>
                </c:pt>
                <c:pt idx="17">
                  <c:v>3.5295165215494507E-3</c:v>
                </c:pt>
                <c:pt idx="18">
                  <c:v>5.8528460854917292E-3</c:v>
                </c:pt>
                <c:pt idx="19">
                  <c:v>5.4753788636534783E-4</c:v>
                </c:pt>
                <c:pt idx="20">
                  <c:v>8.6422621983204791E-4</c:v>
                </c:pt>
                <c:pt idx="21">
                  <c:v>3.4147668172024477E-3</c:v>
                </c:pt>
                <c:pt idx="22">
                  <c:v>3.230212459737169E-3</c:v>
                </c:pt>
                <c:pt idx="23">
                  <c:v>2.4109176155780085E-3</c:v>
                </c:pt>
                <c:pt idx="24">
                  <c:v>0</c:v>
                </c:pt>
                <c:pt idx="25">
                  <c:v>1.5804078058896248E-3</c:v>
                </c:pt>
                <c:pt idx="26">
                  <c:v>1.531393749817376E-3</c:v>
                </c:pt>
                <c:pt idx="27">
                  <c:v>4.1707057784683404E-4</c:v>
                </c:pt>
                <c:pt idx="28">
                  <c:v>8.2538349640242379E-4</c:v>
                </c:pt>
                <c:pt idx="29">
                  <c:v>0</c:v>
                </c:pt>
                <c:pt idx="30">
                  <c:v>0</c:v>
                </c:pt>
                <c:pt idx="31">
                  <c:v>8.3982634884542694E-5</c:v>
                </c:pt>
                <c:pt idx="32">
                  <c:v>3.961429162387866E-4</c:v>
                </c:pt>
                <c:pt idx="33">
                  <c:v>1.9066102812730399E-4</c:v>
                </c:pt>
                <c:pt idx="34">
                  <c:v>1.829885765243169E-3</c:v>
                </c:pt>
                <c:pt idx="35">
                  <c:v>4.6642782526052935E-4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4.874374335240506E-4</c:v>
                </c:pt>
                <c:pt idx="40">
                  <c:v>5.6923322405076301E-4</c:v>
                </c:pt>
                <c:pt idx="41">
                  <c:v>1.9523907321412871E-3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5.2011266062405967E-4</c:v>
                </c:pt>
                <c:pt idx="48">
                  <c:v>0</c:v>
                </c:pt>
                <c:pt idx="49">
                  <c:v>0</c:v>
                </c:pt>
                <c:pt idx="50">
                  <c:v>1.9184169643028623E-5</c:v>
                </c:pt>
                <c:pt idx="51">
                  <c:v>5.6874513548817605E-5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6.2562626176351222E-6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0.26414194092452453</c:v>
                </c:pt>
                <c:pt idx="1">
                  <c:v>0.13291149774749783</c:v>
                </c:pt>
                <c:pt idx="2">
                  <c:v>7.2480914759992007E-2</c:v>
                </c:pt>
                <c:pt idx="3">
                  <c:v>3.5737666718448323E-2</c:v>
                </c:pt>
                <c:pt idx="4">
                  <c:v>0.14653331040145581</c:v>
                </c:pt>
                <c:pt idx="5">
                  <c:v>7.5232740063469514E-2</c:v>
                </c:pt>
                <c:pt idx="6">
                  <c:v>7.2006557777235303E-2</c:v>
                </c:pt>
                <c:pt idx="7">
                  <c:v>3.8363274228268344E-2</c:v>
                </c:pt>
                <c:pt idx="8">
                  <c:v>3.6296631233217191E-2</c:v>
                </c:pt>
                <c:pt idx="9">
                  <c:v>1.8297419054171014E-2</c:v>
                </c:pt>
                <c:pt idx="10">
                  <c:v>1.5931182175273517E-2</c:v>
                </c:pt>
                <c:pt idx="11">
                  <c:v>1.4598266793901599E-2</c:v>
                </c:pt>
                <c:pt idx="12">
                  <c:v>9.6327755708927893E-3</c:v>
                </c:pt>
                <c:pt idx="13">
                  <c:v>9.5911653092474649E-3</c:v>
                </c:pt>
                <c:pt idx="14">
                  <c:v>7.7214775526508513E-3</c:v>
                </c:pt>
                <c:pt idx="15">
                  <c:v>6.552229200417212E-3</c:v>
                </c:pt>
                <c:pt idx="16">
                  <c:v>7.0737444797052884E-3</c:v>
                </c:pt>
                <c:pt idx="17">
                  <c:v>4.4079137169614523E-3</c:v>
                </c:pt>
                <c:pt idx="18">
                  <c:v>4.4439759437207337E-3</c:v>
                </c:pt>
                <c:pt idx="19">
                  <c:v>3.8114999667117908E-3</c:v>
                </c:pt>
                <c:pt idx="20">
                  <c:v>3.278888617651628E-3</c:v>
                </c:pt>
                <c:pt idx="21">
                  <c:v>2.3565278178469184E-3</c:v>
                </c:pt>
                <c:pt idx="22">
                  <c:v>2.2899513992143982E-3</c:v>
                </c:pt>
                <c:pt idx="23">
                  <c:v>2.17760369277202E-3</c:v>
                </c:pt>
                <c:pt idx="24">
                  <c:v>1.9459732362797097E-3</c:v>
                </c:pt>
                <c:pt idx="25">
                  <c:v>2.134606422405184E-3</c:v>
                </c:pt>
                <c:pt idx="26">
                  <c:v>1.6200261867246621E-3</c:v>
                </c:pt>
                <c:pt idx="27">
                  <c:v>1.141508177803422E-3</c:v>
                </c:pt>
                <c:pt idx="28">
                  <c:v>8.8075053815938394E-4</c:v>
                </c:pt>
                <c:pt idx="29">
                  <c:v>8.6826745966578638E-4</c:v>
                </c:pt>
                <c:pt idx="30">
                  <c:v>6.2415392467987836E-4</c:v>
                </c:pt>
                <c:pt idx="31">
                  <c:v>7.4621069217283237E-4</c:v>
                </c:pt>
                <c:pt idx="32">
                  <c:v>5.3261134906016294E-4</c:v>
                </c:pt>
                <c:pt idx="33">
                  <c:v>5.0209715718692435E-4</c:v>
                </c:pt>
                <c:pt idx="34">
                  <c:v>4.244246687823173E-4</c:v>
                </c:pt>
                <c:pt idx="35">
                  <c:v>3.2456004083353674E-4</c:v>
                </c:pt>
                <c:pt idx="36">
                  <c:v>4.4939082576951243E-4</c:v>
                </c:pt>
                <c:pt idx="37">
                  <c:v>3.1485097978296086E-4</c:v>
                </c:pt>
                <c:pt idx="38">
                  <c:v>2.9959388384634162E-4</c:v>
                </c:pt>
                <c:pt idx="39">
                  <c:v>2.4411353498590799E-4</c:v>
                </c:pt>
                <c:pt idx="40">
                  <c:v>2.0250327334058276E-4</c:v>
                </c:pt>
                <c:pt idx="41">
                  <c:v>1.9418122101151771E-4</c:v>
                </c:pt>
                <c:pt idx="42">
                  <c:v>1.0263864539180222E-4</c:v>
                </c:pt>
                <c:pt idx="43">
                  <c:v>9.8477619227269706E-5</c:v>
                </c:pt>
                <c:pt idx="44">
                  <c:v>7.0737444797052879E-5</c:v>
                </c:pt>
                <c:pt idx="45">
                  <c:v>5.6867357581944472E-5</c:v>
                </c:pt>
                <c:pt idx="46">
                  <c:v>4.5771287809857746E-5</c:v>
                </c:pt>
                <c:pt idx="47">
                  <c:v>4.4384279088346909E-5</c:v>
                </c:pt>
                <c:pt idx="48">
                  <c:v>3.4675218037771021E-5</c:v>
                </c:pt>
                <c:pt idx="49">
                  <c:v>4.0223252923814384E-5</c:v>
                </c:pt>
                <c:pt idx="50">
                  <c:v>2.7740174430216817E-5</c:v>
                </c:pt>
                <c:pt idx="51">
                  <c:v>3.1901200594749339E-5</c:v>
                </c:pt>
                <c:pt idx="52">
                  <c:v>2.6353165708705977E-5</c:v>
                </c:pt>
                <c:pt idx="53">
                  <c:v>6.9350436075542043E-6</c:v>
                </c:pt>
                <c:pt idx="54">
                  <c:v>8.3220523290650459E-6</c:v>
                </c:pt>
                <c:pt idx="55">
                  <c:v>1.2483078493597568E-5</c:v>
                </c:pt>
                <c:pt idx="56">
                  <c:v>1.5257095936619249E-5</c:v>
                </c:pt>
                <c:pt idx="57">
                  <c:v>9.7090610505758866E-6</c:v>
                </c:pt>
                <c:pt idx="58">
                  <c:v>4.1610261645325229E-6</c:v>
                </c:pt>
                <c:pt idx="59">
                  <c:v>8.3220523290650459E-6</c:v>
                </c:pt>
                <c:pt idx="60">
                  <c:v>6.9350436075542043E-6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7208"/>
        <c:axId val="136705640"/>
      </c:lineChart>
      <c:catAx>
        <c:axId val="136707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5640"/>
        <c:crosses val="autoZero"/>
        <c:auto val="1"/>
        <c:lblAlgn val="ctr"/>
        <c:lblOffset val="100"/>
        <c:tickLblSkip val="10"/>
        <c:noMultiLvlLbl val="0"/>
      </c:catAx>
      <c:valAx>
        <c:axId val="136705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7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1.4223708381904867E-3</c:v>
                </c:pt>
                <c:pt idx="3">
                  <c:v>5.6525104631887941E-3</c:v>
                </c:pt>
                <c:pt idx="4">
                  <c:v>3.9544482338175627E-3</c:v>
                </c:pt>
                <c:pt idx="5">
                  <c:v>1.2442219132360707E-2</c:v>
                </c:pt>
                <c:pt idx="6">
                  <c:v>1.2872975570339906E-2</c:v>
                </c:pt>
                <c:pt idx="7">
                  <c:v>1.4573574889906498E-2</c:v>
                </c:pt>
                <c:pt idx="8">
                  <c:v>9.1142307804044191E-3</c:v>
                </c:pt>
                <c:pt idx="9">
                  <c:v>2.0407087664097011E-2</c:v>
                </c:pt>
                <c:pt idx="10">
                  <c:v>6.3302636856583062E-3</c:v>
                </c:pt>
                <c:pt idx="11">
                  <c:v>1.386333970709025E-2</c:v>
                </c:pt>
                <c:pt idx="12">
                  <c:v>1.3260440602839272E-2</c:v>
                </c:pt>
                <c:pt idx="13">
                  <c:v>3.028742551653691E-2</c:v>
                </c:pt>
                <c:pt idx="14">
                  <c:v>3.0710431922476057E-2</c:v>
                </c:pt>
                <c:pt idx="15">
                  <c:v>2.4114692514448727E-2</c:v>
                </c:pt>
                <c:pt idx="16">
                  <c:v>3.9871694596063184E-2</c:v>
                </c:pt>
                <c:pt idx="17">
                  <c:v>2.4714096644331114E-2</c:v>
                </c:pt>
                <c:pt idx="18">
                  <c:v>8.351578980261759E-2</c:v>
                </c:pt>
                <c:pt idx="19">
                  <c:v>4.6155355989214206E-2</c:v>
                </c:pt>
                <c:pt idx="20">
                  <c:v>8.9615732653473779E-2</c:v>
                </c:pt>
                <c:pt idx="21">
                  <c:v>5.1766912837457511E-2</c:v>
                </c:pt>
                <c:pt idx="22">
                  <c:v>4.2446809968105362E-2</c:v>
                </c:pt>
                <c:pt idx="23">
                  <c:v>1.9539111951634266E-2</c:v>
                </c:pt>
                <c:pt idx="24">
                  <c:v>2.8198712524123971E-2</c:v>
                </c:pt>
                <c:pt idx="25">
                  <c:v>2.3911611297047605E-2</c:v>
                </c:pt>
                <c:pt idx="26">
                  <c:v>3.6207313593425453E-2</c:v>
                </c:pt>
                <c:pt idx="27">
                  <c:v>1.8976534514795917E-2</c:v>
                </c:pt>
                <c:pt idx="28">
                  <c:v>1.7363906571390249E-2</c:v>
                </c:pt>
                <c:pt idx="29">
                  <c:v>1.3382695243602012E-2</c:v>
                </c:pt>
                <c:pt idx="30">
                  <c:v>1.230264342200723E-2</c:v>
                </c:pt>
                <c:pt idx="31">
                  <c:v>5.5390606472915998E-3</c:v>
                </c:pt>
                <c:pt idx="32">
                  <c:v>3.9684442350594058E-3</c:v>
                </c:pt>
                <c:pt idx="33">
                  <c:v>1.0211306721520683E-2</c:v>
                </c:pt>
                <c:pt idx="34">
                  <c:v>1.5038817085865082E-2</c:v>
                </c:pt>
                <c:pt idx="35">
                  <c:v>3.915927912902707E-3</c:v>
                </c:pt>
                <c:pt idx="36">
                  <c:v>4.2264461964160917E-3</c:v>
                </c:pt>
                <c:pt idx="37">
                  <c:v>5.9893879237875817E-3</c:v>
                </c:pt>
                <c:pt idx="38">
                  <c:v>1.0080581250553538E-2</c:v>
                </c:pt>
                <c:pt idx="39">
                  <c:v>8.8807072507593697E-3</c:v>
                </c:pt>
                <c:pt idx="40">
                  <c:v>2.0398645681382866E-3</c:v>
                </c:pt>
                <c:pt idx="41">
                  <c:v>1.8539570349183645E-3</c:v>
                </c:pt>
                <c:pt idx="42">
                  <c:v>1.8706063791742295E-3</c:v>
                </c:pt>
                <c:pt idx="43">
                  <c:v>2.2718918474513665E-4</c:v>
                </c:pt>
                <c:pt idx="44">
                  <c:v>2.2851166370391226E-3</c:v>
                </c:pt>
                <c:pt idx="45">
                  <c:v>4.7642155292469367E-2</c:v>
                </c:pt>
                <c:pt idx="46">
                  <c:v>3.3496299220306335E-3</c:v>
                </c:pt>
                <c:pt idx="47">
                  <c:v>7.8456813826493143E-4</c:v>
                </c:pt>
                <c:pt idx="48">
                  <c:v>2.0746534107880352E-3</c:v>
                </c:pt>
                <c:pt idx="49">
                  <c:v>1.7937233572133382E-3</c:v>
                </c:pt>
                <c:pt idx="50">
                  <c:v>6.1353297982733425E-4</c:v>
                </c:pt>
                <c:pt idx="51">
                  <c:v>2.479125806274649E-3</c:v>
                </c:pt>
                <c:pt idx="52">
                  <c:v>1.2810102899781105E-3</c:v>
                </c:pt>
                <c:pt idx="53">
                  <c:v>2.2260286814819561E-3</c:v>
                </c:pt>
                <c:pt idx="54">
                  <c:v>6.7726972075734572E-4</c:v>
                </c:pt>
                <c:pt idx="55">
                  <c:v>0</c:v>
                </c:pt>
                <c:pt idx="56">
                  <c:v>1.6602720663825158E-3</c:v>
                </c:pt>
                <c:pt idx="57">
                  <c:v>5.5525996644259534E-4</c:v>
                </c:pt>
                <c:pt idx="58">
                  <c:v>5.4644689650237604E-4</c:v>
                </c:pt>
                <c:pt idx="59">
                  <c:v>6.82806957513206E-3</c:v>
                </c:pt>
                <c:pt idx="60">
                  <c:v>6.4795165479332034E-3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8.7547990501764279E-3</c:v>
                </c:pt>
                <c:pt idx="1">
                  <c:v>3.5492166174740908E-2</c:v>
                </c:pt>
                <c:pt idx="2">
                  <c:v>3.8653159051064111E-2</c:v>
                </c:pt>
                <c:pt idx="3">
                  <c:v>4.0956980537493623E-2</c:v>
                </c:pt>
                <c:pt idx="4">
                  <c:v>3.8952752934910455E-2</c:v>
                </c:pt>
                <c:pt idx="5">
                  <c:v>3.7974911786245312E-2</c:v>
                </c:pt>
                <c:pt idx="6">
                  <c:v>3.547690907880429E-2</c:v>
                </c:pt>
                <c:pt idx="7">
                  <c:v>3.2192472426266619E-2</c:v>
                </c:pt>
                <c:pt idx="8">
                  <c:v>2.9403197887308316E-2</c:v>
                </c:pt>
                <c:pt idx="9">
                  <c:v>2.6351778699984466E-2</c:v>
                </c:pt>
                <c:pt idx="10">
                  <c:v>2.358608330929185E-2</c:v>
                </c:pt>
                <c:pt idx="11">
                  <c:v>2.1018730165775282E-2</c:v>
                </c:pt>
                <c:pt idx="12">
                  <c:v>1.8509631388562171E-2</c:v>
                </c:pt>
                <c:pt idx="13">
                  <c:v>1.6719003129091674E-2</c:v>
                </c:pt>
                <c:pt idx="14">
                  <c:v>1.5133652160404784E-2</c:v>
                </c:pt>
                <c:pt idx="15">
                  <c:v>1.3469241694591776E-2</c:v>
                </c:pt>
                <c:pt idx="16">
                  <c:v>1.1535751536805663E-2</c:v>
                </c:pt>
                <c:pt idx="17">
                  <c:v>1.0631421850380594E-2</c:v>
                </c:pt>
                <c:pt idx="18">
                  <c:v>0.10632947559974257</c:v>
                </c:pt>
                <c:pt idx="19">
                  <c:v>3.7334113756907303E-2</c:v>
                </c:pt>
                <c:pt idx="20">
                  <c:v>3.8805730010430306E-2</c:v>
                </c:pt>
                <c:pt idx="21">
                  <c:v>4.5011207030469805E-2</c:v>
                </c:pt>
                <c:pt idx="22">
                  <c:v>4.0317569516877122E-2</c:v>
                </c:pt>
                <c:pt idx="23">
                  <c:v>3.4511551008632742E-2</c:v>
                </c:pt>
                <c:pt idx="24">
                  <c:v>2.2036794567364241E-2</c:v>
                </c:pt>
                <c:pt idx="25">
                  <c:v>2.3436286367368678E-2</c:v>
                </c:pt>
                <c:pt idx="26">
                  <c:v>1.8542919597878432E-2</c:v>
                </c:pt>
                <c:pt idx="27">
                  <c:v>1.620164887596813E-2</c:v>
                </c:pt>
                <c:pt idx="28">
                  <c:v>1.5927021149108985E-2</c:v>
                </c:pt>
                <c:pt idx="29">
                  <c:v>1.4478984043851667E-2</c:v>
                </c:pt>
                <c:pt idx="30">
                  <c:v>1.0681354164354985E-2</c:v>
                </c:pt>
                <c:pt idx="31">
                  <c:v>8.8019573467077953E-3</c:v>
                </c:pt>
                <c:pt idx="32">
                  <c:v>1.0206997181598279E-2</c:v>
                </c:pt>
                <c:pt idx="33">
                  <c:v>9.639710614500344E-3</c:v>
                </c:pt>
                <c:pt idx="34">
                  <c:v>1.065500099864628E-2</c:v>
                </c:pt>
                <c:pt idx="35">
                  <c:v>6.9170124941745634E-3</c:v>
                </c:pt>
                <c:pt idx="36">
                  <c:v>4.7962761589844874E-3</c:v>
                </c:pt>
                <c:pt idx="37">
                  <c:v>5.2983733161714123E-3</c:v>
                </c:pt>
                <c:pt idx="38">
                  <c:v>4.8115332549211066E-3</c:v>
                </c:pt>
                <c:pt idx="39">
                  <c:v>4.9668782317303208E-3</c:v>
                </c:pt>
                <c:pt idx="40">
                  <c:v>3.9321697254832335E-3</c:v>
                </c:pt>
                <c:pt idx="41">
                  <c:v>3.6686380683961742E-3</c:v>
                </c:pt>
                <c:pt idx="42">
                  <c:v>3.0153569605645678E-3</c:v>
                </c:pt>
                <c:pt idx="43">
                  <c:v>2.9584896029826234E-3</c:v>
                </c:pt>
                <c:pt idx="44">
                  <c:v>2.7601473558065731E-3</c:v>
                </c:pt>
                <c:pt idx="45">
                  <c:v>3.4175894898027118E-3</c:v>
                </c:pt>
                <c:pt idx="46">
                  <c:v>2.274694303277779E-3</c:v>
                </c:pt>
                <c:pt idx="47">
                  <c:v>2.6048023789973593E-3</c:v>
                </c:pt>
                <c:pt idx="48">
                  <c:v>2.4092341492643306E-3</c:v>
                </c:pt>
                <c:pt idx="49">
                  <c:v>1.6061560995095537E-3</c:v>
                </c:pt>
                <c:pt idx="50">
                  <c:v>1.586737977408402E-3</c:v>
                </c:pt>
                <c:pt idx="51">
                  <c:v>2.3038214864295067E-3</c:v>
                </c:pt>
                <c:pt idx="52">
                  <c:v>1.3134972592707664E-3</c:v>
                </c:pt>
                <c:pt idx="53">
                  <c:v>1.2510818668027785E-3</c:v>
                </c:pt>
                <c:pt idx="54">
                  <c:v>1.0139033754244246E-3</c:v>
                </c:pt>
                <c:pt idx="55">
                  <c:v>9.5010097423492597E-4</c:v>
                </c:pt>
                <c:pt idx="56">
                  <c:v>8.6410643350125389E-4</c:v>
                </c:pt>
                <c:pt idx="57">
                  <c:v>9.3068285213377419E-4</c:v>
                </c:pt>
                <c:pt idx="58">
                  <c:v>8.8491156432391643E-4</c:v>
                </c:pt>
                <c:pt idx="59">
                  <c:v>7.5314573578038658E-4</c:v>
                </c:pt>
                <c:pt idx="60">
                  <c:v>6.7686025609729034E-4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2896"/>
        <c:axId val="136706816"/>
      </c:lineChart>
      <c:catAx>
        <c:axId val="136702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6816"/>
        <c:crosses val="autoZero"/>
        <c:auto val="1"/>
        <c:lblAlgn val="ctr"/>
        <c:lblOffset val="100"/>
        <c:tickLblSkip val="10"/>
        <c:noMultiLvlLbl val="0"/>
      </c:catAx>
      <c:valAx>
        <c:axId val="1367068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2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3.1099722656476838E-2</c:v>
                </c:pt>
                <c:pt idx="1">
                  <c:v>7.2343277882113408E-2</c:v>
                </c:pt>
                <c:pt idx="2">
                  <c:v>8.8271315512395809E-2</c:v>
                </c:pt>
                <c:pt idx="3">
                  <c:v>0.10255018448909474</c:v>
                </c:pt>
                <c:pt idx="4">
                  <c:v>0.17017196636861229</c:v>
                </c:pt>
                <c:pt idx="5">
                  <c:v>0.11447914334585042</c:v>
                </c:pt>
                <c:pt idx="6">
                  <c:v>0.10885395852457955</c:v>
                </c:pt>
                <c:pt idx="7">
                  <c:v>4.5671454594662562E-2</c:v>
                </c:pt>
                <c:pt idx="8">
                  <c:v>4.1055150947230626E-2</c:v>
                </c:pt>
                <c:pt idx="9">
                  <c:v>3.2680075513326176E-2</c:v>
                </c:pt>
                <c:pt idx="10">
                  <c:v>4.3876752508764667E-2</c:v>
                </c:pt>
                <c:pt idx="11">
                  <c:v>1.0931907646696442E-2</c:v>
                </c:pt>
                <c:pt idx="12">
                  <c:v>2.6718681839607194E-2</c:v>
                </c:pt>
                <c:pt idx="13">
                  <c:v>9.6734261095838079E-3</c:v>
                </c:pt>
                <c:pt idx="14">
                  <c:v>9.6784082626338412E-3</c:v>
                </c:pt>
                <c:pt idx="15">
                  <c:v>1.3055543756106468E-2</c:v>
                </c:pt>
                <c:pt idx="16">
                  <c:v>1.3484892127073671E-2</c:v>
                </c:pt>
                <c:pt idx="17">
                  <c:v>7.4095255572271829E-3</c:v>
                </c:pt>
                <c:pt idx="18">
                  <c:v>6.06995756211943E-3</c:v>
                </c:pt>
                <c:pt idx="19">
                  <c:v>3.7033624788921932E-3</c:v>
                </c:pt>
                <c:pt idx="20">
                  <c:v>3.9777529782269614E-3</c:v>
                </c:pt>
                <c:pt idx="21">
                  <c:v>2.0606991361735876E-3</c:v>
                </c:pt>
                <c:pt idx="22">
                  <c:v>2.8355217570463684E-3</c:v>
                </c:pt>
                <c:pt idx="23">
                  <c:v>2.3304360443313831E-3</c:v>
                </c:pt>
                <c:pt idx="24">
                  <c:v>6.5968401360401337E-3</c:v>
                </c:pt>
                <c:pt idx="25">
                  <c:v>1.6850464050100554E-3</c:v>
                </c:pt>
                <c:pt idx="26">
                  <c:v>6.2801417386950612E-3</c:v>
                </c:pt>
                <c:pt idx="27">
                  <c:v>1.1709993816047723E-3</c:v>
                </c:pt>
                <c:pt idx="28">
                  <c:v>4.2347889478061671E-4</c:v>
                </c:pt>
                <c:pt idx="29">
                  <c:v>3.6527016935537858E-4</c:v>
                </c:pt>
                <c:pt idx="30">
                  <c:v>2.3975644620486167E-4</c:v>
                </c:pt>
                <c:pt idx="31">
                  <c:v>1.111567541366812E-3</c:v>
                </c:pt>
                <c:pt idx="32">
                  <c:v>9.2037727996573712E-4</c:v>
                </c:pt>
                <c:pt idx="33">
                  <c:v>9.1315224298763303E-4</c:v>
                </c:pt>
                <c:pt idx="34">
                  <c:v>1.4509215588334153E-3</c:v>
                </c:pt>
                <c:pt idx="35">
                  <c:v>8.3195291927459965E-4</c:v>
                </c:pt>
                <c:pt idx="36">
                  <c:v>9.2954522459544331E-4</c:v>
                </c:pt>
                <c:pt idx="37">
                  <c:v>2.8891373181994684E-4</c:v>
                </c:pt>
                <c:pt idx="38">
                  <c:v>4.1601425682950957E-4</c:v>
                </c:pt>
                <c:pt idx="39">
                  <c:v>8.4680488840300691E-4</c:v>
                </c:pt>
                <c:pt idx="40">
                  <c:v>0</c:v>
                </c:pt>
                <c:pt idx="41">
                  <c:v>9.6853600379338464E-4</c:v>
                </c:pt>
                <c:pt idx="42">
                  <c:v>2.8902831054131964E-4</c:v>
                </c:pt>
                <c:pt idx="43">
                  <c:v>1.13548347678619E-3</c:v>
                </c:pt>
                <c:pt idx="44">
                  <c:v>2.7211423786794135E-3</c:v>
                </c:pt>
                <c:pt idx="45">
                  <c:v>0</c:v>
                </c:pt>
                <c:pt idx="46">
                  <c:v>0</c:v>
                </c:pt>
                <c:pt idx="47">
                  <c:v>5.3289604898657027E-4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2.5711110077817446E-4</c:v>
                </c:pt>
                <c:pt idx="52">
                  <c:v>1.200628605831091E-4</c:v>
                </c:pt>
                <c:pt idx="53">
                  <c:v>4.6877008279387877E-4</c:v>
                </c:pt>
                <c:pt idx="54">
                  <c:v>7.7987627436769077E-4</c:v>
                </c:pt>
                <c:pt idx="55">
                  <c:v>0</c:v>
                </c:pt>
                <c:pt idx="56">
                  <c:v>1.2133359862210404E-3</c:v>
                </c:pt>
                <c:pt idx="57">
                  <c:v>3.5955490056146204E-4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0.12117028018104251</c:v>
                </c:pt>
                <c:pt idx="1">
                  <c:v>0.11840280631792739</c:v>
                </c:pt>
                <c:pt idx="2">
                  <c:v>7.0810873156232676E-2</c:v>
                </c:pt>
                <c:pt idx="3">
                  <c:v>4.07027461295138E-2</c:v>
                </c:pt>
                <c:pt idx="4">
                  <c:v>0.17870854755017249</c:v>
                </c:pt>
                <c:pt idx="5">
                  <c:v>9.6218603257598456E-2</c:v>
                </c:pt>
                <c:pt idx="6">
                  <c:v>0.10040859182975428</c:v>
                </c:pt>
                <c:pt idx="7">
                  <c:v>5.5570875171351376E-2</c:v>
                </c:pt>
                <c:pt idx="8">
                  <c:v>7.1721653776093797E-2</c:v>
                </c:pt>
                <c:pt idx="9">
                  <c:v>2.5713312245292975E-2</c:v>
                </c:pt>
                <c:pt idx="10">
                  <c:v>1.8598087228124692E-2</c:v>
                </c:pt>
                <c:pt idx="11">
                  <c:v>2.3043279976879164E-2</c:v>
                </c:pt>
                <c:pt idx="12">
                  <c:v>1.2029728303667782E-2</c:v>
                </c:pt>
                <c:pt idx="13">
                  <c:v>1.3542393059506986E-2</c:v>
                </c:pt>
                <c:pt idx="14">
                  <c:v>8.8850825535796204E-3</c:v>
                </c:pt>
                <c:pt idx="15">
                  <c:v>8.3733484644000124E-3</c:v>
                </c:pt>
                <c:pt idx="16">
                  <c:v>9.3338441835985244E-3</c:v>
                </c:pt>
                <c:pt idx="17">
                  <c:v>6.0221556997367091E-3</c:v>
                </c:pt>
                <c:pt idx="18">
                  <c:v>4.0991756573661867E-3</c:v>
                </c:pt>
                <c:pt idx="19">
                  <c:v>2.5825336935799909E-3</c:v>
                </c:pt>
                <c:pt idx="20">
                  <c:v>2.2636941898294839E-3</c:v>
                </c:pt>
                <c:pt idx="21">
                  <c:v>1.7314111929237516E-3</c:v>
                </c:pt>
                <c:pt idx="22">
                  <c:v>1.5159790957950305E-3</c:v>
                </c:pt>
                <c:pt idx="23">
                  <c:v>1.4781956202986088E-3</c:v>
                </c:pt>
                <c:pt idx="24">
                  <c:v>1.012199422509406E-3</c:v>
                </c:pt>
                <c:pt idx="25">
                  <c:v>1.2316087275851188E-3</c:v>
                </c:pt>
                <c:pt idx="26">
                  <c:v>7.9146438145136276E-4</c:v>
                </c:pt>
                <c:pt idx="27">
                  <c:v>8.3123646092128048E-4</c:v>
                </c:pt>
                <c:pt idx="28">
                  <c:v>4.3749287416909496E-4</c:v>
                </c:pt>
                <c:pt idx="29">
                  <c:v>4.229097783634585E-4</c:v>
                </c:pt>
                <c:pt idx="30">
                  <c:v>3.2878252361798655E-4</c:v>
                </c:pt>
                <c:pt idx="31">
                  <c:v>3.1950237174167238E-4</c:v>
                </c:pt>
                <c:pt idx="32">
                  <c:v>2.2802658896086162E-4</c:v>
                </c:pt>
                <c:pt idx="33">
                  <c:v>1.9024311346443979E-4</c:v>
                </c:pt>
                <c:pt idx="34">
                  <c:v>1.716828097118115E-4</c:v>
                </c:pt>
                <c:pt idx="35">
                  <c:v>1.1732763443625728E-4</c:v>
                </c:pt>
                <c:pt idx="36">
                  <c:v>1.6240265783549739E-4</c:v>
                </c:pt>
                <c:pt idx="37">
                  <c:v>1.1268755849810023E-4</c:v>
                </c:pt>
                <c:pt idx="38">
                  <c:v>1.2329344635674495E-4</c:v>
                </c:pt>
                <c:pt idx="39">
                  <c:v>1.027445386306208E-4</c:v>
                </c:pt>
                <c:pt idx="40">
                  <c:v>7.8218422957504865E-5</c:v>
                </c:pt>
                <c:pt idx="41">
                  <c:v>6.8275403090025421E-5</c:v>
                </c:pt>
                <c:pt idx="42">
                  <c:v>3.7120607505256546E-5</c:v>
                </c:pt>
                <c:pt idx="43">
                  <c:v>3.3806267549430068E-5</c:v>
                </c:pt>
                <c:pt idx="44">
                  <c:v>3.3143399558264768E-5</c:v>
                </c:pt>
                <c:pt idx="45">
                  <c:v>4.441215540807479E-5</c:v>
                </c:pt>
                <c:pt idx="46">
                  <c:v>2.9166191611272999E-5</c:v>
                </c:pt>
                <c:pt idx="47">
                  <c:v>2.1211775717289452E-5</c:v>
                </c:pt>
                <c:pt idx="48">
                  <c:v>1.1931623840975317E-5</c:v>
                </c:pt>
                <c:pt idx="49">
                  <c:v>1.5245963796801794E-5</c:v>
                </c:pt>
                <c:pt idx="50">
                  <c:v>1.45830958056365E-5</c:v>
                </c:pt>
                <c:pt idx="51">
                  <c:v>1.6571699779132384E-5</c:v>
                </c:pt>
                <c:pt idx="52">
                  <c:v>1.3257359823305908E-5</c:v>
                </c:pt>
                <c:pt idx="53">
                  <c:v>8.6172838851488402E-6</c:v>
                </c:pt>
                <c:pt idx="54">
                  <c:v>9.2801518763141366E-6</c:v>
                </c:pt>
                <c:pt idx="55">
                  <c:v>6.6286799116529542E-6</c:v>
                </c:pt>
                <c:pt idx="56">
                  <c:v>1.0605887858644726E-5</c:v>
                </c:pt>
                <c:pt idx="57">
                  <c:v>5.9658119204876586E-6</c:v>
                </c:pt>
                <c:pt idx="58">
                  <c:v>5.9658119204876586E-6</c:v>
                </c:pt>
                <c:pt idx="59">
                  <c:v>1.9886039734958864E-6</c:v>
                </c:pt>
                <c:pt idx="60">
                  <c:v>6.6286799116529538E-7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4856"/>
        <c:axId val="136703680"/>
      </c:lineChart>
      <c:catAx>
        <c:axId val="1367048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3680"/>
        <c:crosses val="autoZero"/>
        <c:auto val="1"/>
        <c:lblAlgn val="ctr"/>
        <c:lblOffset val="100"/>
        <c:tickLblSkip val="10"/>
        <c:noMultiLvlLbl val="0"/>
      </c:catAx>
      <c:valAx>
        <c:axId val="13670368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48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3.1402327144202215E-4</c:v>
                </c:pt>
                <c:pt idx="3">
                  <c:v>3.0867625074704251E-5</c:v>
                </c:pt>
                <c:pt idx="4">
                  <c:v>2.2969584241640706E-3</c:v>
                </c:pt>
                <c:pt idx="5">
                  <c:v>5.9864231459520589E-3</c:v>
                </c:pt>
                <c:pt idx="6">
                  <c:v>3.8430704236853707E-3</c:v>
                </c:pt>
                <c:pt idx="7">
                  <c:v>5.3941485071770006E-3</c:v>
                </c:pt>
                <c:pt idx="8">
                  <c:v>2.6870958355038107E-3</c:v>
                </c:pt>
                <c:pt idx="9">
                  <c:v>1.5226792364240209E-2</c:v>
                </c:pt>
                <c:pt idx="10">
                  <c:v>6.2639586036947218E-3</c:v>
                </c:pt>
                <c:pt idx="11">
                  <c:v>7.8997649693074452E-3</c:v>
                </c:pt>
                <c:pt idx="12">
                  <c:v>2.0768785959633131E-2</c:v>
                </c:pt>
                <c:pt idx="13">
                  <c:v>1.903012589974111E-2</c:v>
                </c:pt>
                <c:pt idx="14">
                  <c:v>1.0366148497956681E-2</c:v>
                </c:pt>
                <c:pt idx="15">
                  <c:v>4.863086900070231E-3</c:v>
                </c:pt>
                <c:pt idx="16">
                  <c:v>2.7749170714676044E-2</c:v>
                </c:pt>
                <c:pt idx="17">
                  <c:v>1.5371064214037913E-2</c:v>
                </c:pt>
                <c:pt idx="18">
                  <c:v>5.1140214957001225E-2</c:v>
                </c:pt>
                <c:pt idx="19">
                  <c:v>4.9107043672575595E-2</c:v>
                </c:pt>
                <c:pt idx="20">
                  <c:v>5.2278719250852847E-2</c:v>
                </c:pt>
                <c:pt idx="21">
                  <c:v>4.3016672540653375E-2</c:v>
                </c:pt>
                <c:pt idx="22">
                  <c:v>4.4944706623926849E-2</c:v>
                </c:pt>
                <c:pt idx="23">
                  <c:v>3.2809309426334733E-2</c:v>
                </c:pt>
                <c:pt idx="24">
                  <c:v>2.711191246119277E-2</c:v>
                </c:pt>
                <c:pt idx="25">
                  <c:v>1.9442319897248667E-2</c:v>
                </c:pt>
                <c:pt idx="26">
                  <c:v>5.3814520913928104E-2</c:v>
                </c:pt>
                <c:pt idx="27">
                  <c:v>1.8410891843667149E-2</c:v>
                </c:pt>
                <c:pt idx="28">
                  <c:v>1.3905101702905317E-2</c:v>
                </c:pt>
                <c:pt idx="29">
                  <c:v>2.5796796065345035E-2</c:v>
                </c:pt>
                <c:pt idx="30">
                  <c:v>1.5603251765859716E-2</c:v>
                </c:pt>
                <c:pt idx="31">
                  <c:v>1.4615447599888219E-2</c:v>
                </c:pt>
                <c:pt idx="32">
                  <c:v>8.7220947359849636E-3</c:v>
                </c:pt>
                <c:pt idx="33">
                  <c:v>8.6164218981608087E-3</c:v>
                </c:pt>
                <c:pt idx="34">
                  <c:v>1.490414076644948E-2</c:v>
                </c:pt>
                <c:pt idx="35">
                  <c:v>1.2591625511277868E-2</c:v>
                </c:pt>
                <c:pt idx="36">
                  <c:v>1.168387385547681E-2</c:v>
                </c:pt>
                <c:pt idx="37">
                  <c:v>9.8186997622539407E-3</c:v>
                </c:pt>
                <c:pt idx="38">
                  <c:v>1.1800864251621142E-2</c:v>
                </c:pt>
                <c:pt idx="39">
                  <c:v>1.9244304655909369E-3</c:v>
                </c:pt>
                <c:pt idx="40">
                  <c:v>4.7465607362097758E-3</c:v>
                </c:pt>
                <c:pt idx="41">
                  <c:v>3.3616611918245135E-3</c:v>
                </c:pt>
                <c:pt idx="42">
                  <c:v>5.1171903477629207E-3</c:v>
                </c:pt>
                <c:pt idx="43">
                  <c:v>2.0366221125759565E-3</c:v>
                </c:pt>
                <c:pt idx="44">
                  <c:v>1.2772222923384741E-3</c:v>
                </c:pt>
                <c:pt idx="45">
                  <c:v>3.5389271251564193E-2</c:v>
                </c:pt>
                <c:pt idx="46">
                  <c:v>3.6141085034968874E-3</c:v>
                </c:pt>
                <c:pt idx="47">
                  <c:v>2.3651168138172796E-3</c:v>
                </c:pt>
                <c:pt idx="48">
                  <c:v>7.3372901582107984E-3</c:v>
                </c:pt>
                <c:pt idx="49">
                  <c:v>3.9636904628395997E-3</c:v>
                </c:pt>
                <c:pt idx="50">
                  <c:v>4.9442594409976695E-4</c:v>
                </c:pt>
                <c:pt idx="51">
                  <c:v>6.6489487139450255E-3</c:v>
                </c:pt>
                <c:pt idx="52">
                  <c:v>3.1596320969299566E-3</c:v>
                </c:pt>
                <c:pt idx="53">
                  <c:v>6.0620187981302582E-4</c:v>
                </c:pt>
                <c:pt idx="54">
                  <c:v>1.4772429771934929E-2</c:v>
                </c:pt>
                <c:pt idx="55">
                  <c:v>2.2184847760656521E-4</c:v>
                </c:pt>
                <c:pt idx="56">
                  <c:v>5.271490212999861E-3</c:v>
                </c:pt>
                <c:pt idx="57">
                  <c:v>1.3511156239936744E-3</c:v>
                </c:pt>
                <c:pt idx="58">
                  <c:v>1.7891484973076943E-3</c:v>
                </c:pt>
                <c:pt idx="59">
                  <c:v>1.3222846089192313E-2</c:v>
                </c:pt>
                <c:pt idx="60">
                  <c:v>1.0004818338428451E-2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2.5633105218361972E-3</c:v>
                </c:pt>
                <c:pt idx="1">
                  <c:v>1.018695528822826E-2</c:v>
                </c:pt>
                <c:pt idx="2">
                  <c:v>1.0662894505884942E-2</c:v>
                </c:pt>
                <c:pt idx="3">
                  <c:v>1.1988630488215532E-2</c:v>
                </c:pt>
                <c:pt idx="4">
                  <c:v>1.3207644723968511E-2</c:v>
                </c:pt>
                <c:pt idx="5">
                  <c:v>1.3926856494382857E-2</c:v>
                </c:pt>
                <c:pt idx="6">
                  <c:v>1.4617564941177094E-2</c:v>
                </c:pt>
                <c:pt idx="7">
                  <c:v>1.5044451927487545E-2</c:v>
                </c:pt>
                <c:pt idx="8">
                  <c:v>1.509018981887795E-2</c:v>
                </c:pt>
                <c:pt idx="9">
                  <c:v>1.4887352213581369E-2</c:v>
                </c:pt>
                <c:pt idx="10">
                  <c:v>1.4766710239189285E-2</c:v>
                </c:pt>
                <c:pt idx="11">
                  <c:v>1.4335183176940679E-2</c:v>
                </c:pt>
                <c:pt idx="12">
                  <c:v>1.3783677008291154E-2</c:v>
                </c:pt>
                <c:pt idx="13">
                  <c:v>1.322753076370347E-2</c:v>
                </c:pt>
                <c:pt idx="14">
                  <c:v>1.2910679863926459E-2</c:v>
                </c:pt>
                <c:pt idx="15">
                  <c:v>1.2086734950907996E-2</c:v>
                </c:pt>
                <c:pt idx="16">
                  <c:v>1.1749335143404861E-2</c:v>
                </c:pt>
                <c:pt idx="17">
                  <c:v>1.0894898302792796E-2</c:v>
                </c:pt>
                <c:pt idx="18">
                  <c:v>0.12338160779956993</c:v>
                </c:pt>
                <c:pt idx="19">
                  <c:v>4.9729019565211627E-2</c:v>
                </c:pt>
                <c:pt idx="20">
                  <c:v>5.0324275021278064E-2</c:v>
                </c:pt>
                <c:pt idx="21">
                  <c:v>5.6488284471124146E-2</c:v>
                </c:pt>
                <c:pt idx="22">
                  <c:v>5.0741881855712198E-2</c:v>
                </c:pt>
                <c:pt idx="23">
                  <c:v>4.6941659662361558E-2</c:v>
                </c:pt>
                <c:pt idx="24">
                  <c:v>3.3466879137953431E-2</c:v>
                </c:pt>
                <c:pt idx="25">
                  <c:v>3.7911409018716744E-2</c:v>
                </c:pt>
                <c:pt idx="26">
                  <c:v>2.8686275185669324E-2</c:v>
                </c:pt>
                <c:pt idx="27">
                  <c:v>2.4062770947291388E-2</c:v>
                </c:pt>
                <c:pt idx="28">
                  <c:v>2.2801996028094997E-2</c:v>
                </c:pt>
                <c:pt idx="29">
                  <c:v>2.4178109977754152E-2</c:v>
                </c:pt>
                <c:pt idx="30">
                  <c:v>1.6048696934102966E-2</c:v>
                </c:pt>
                <c:pt idx="31">
                  <c:v>1.4761407295259963E-2</c:v>
                </c:pt>
                <c:pt idx="32">
                  <c:v>1.265414995134549E-2</c:v>
                </c:pt>
                <c:pt idx="33">
                  <c:v>1.7702552572060378E-2</c:v>
                </c:pt>
                <c:pt idx="34">
                  <c:v>1.369816703743083E-2</c:v>
                </c:pt>
                <c:pt idx="35">
                  <c:v>1.2078117667022848E-2</c:v>
                </c:pt>
                <c:pt idx="36">
                  <c:v>6.6545317633084008E-3</c:v>
                </c:pt>
                <c:pt idx="37">
                  <c:v>7.8423912034766095E-3</c:v>
                </c:pt>
                <c:pt idx="38">
                  <c:v>7.0966647134156529E-3</c:v>
                </c:pt>
                <c:pt idx="39">
                  <c:v>6.9627653792002633E-3</c:v>
                </c:pt>
                <c:pt idx="40">
                  <c:v>5.4010483920148272E-3</c:v>
                </c:pt>
                <c:pt idx="41">
                  <c:v>5.1478328193896843E-3</c:v>
                </c:pt>
                <c:pt idx="42">
                  <c:v>4.081278221604724E-3</c:v>
                </c:pt>
                <c:pt idx="43">
                  <c:v>4.0441576140994671E-3</c:v>
                </c:pt>
                <c:pt idx="44">
                  <c:v>3.6046761359568766E-3</c:v>
                </c:pt>
                <c:pt idx="45">
                  <c:v>3.9752193430182764E-3</c:v>
                </c:pt>
                <c:pt idx="46">
                  <c:v>2.9225849730477875E-3</c:v>
                </c:pt>
                <c:pt idx="47">
                  <c:v>3.8863950322021272E-3</c:v>
                </c:pt>
                <c:pt idx="48">
                  <c:v>3.6013617960010498E-3</c:v>
                </c:pt>
                <c:pt idx="49">
                  <c:v>2.6024197333149499E-3</c:v>
                </c:pt>
                <c:pt idx="50">
                  <c:v>2.6706951364049753E-3</c:v>
                </c:pt>
                <c:pt idx="51">
                  <c:v>3.4495650260241975E-3</c:v>
                </c:pt>
                <c:pt idx="52">
                  <c:v>2.0615194525240689E-3</c:v>
                </c:pt>
                <c:pt idx="53">
                  <c:v>2.2583912459001616E-3</c:v>
                </c:pt>
                <c:pt idx="54">
                  <c:v>1.8454244874041824E-3</c:v>
                </c:pt>
                <c:pt idx="55">
                  <c:v>1.7115251531887928E-3</c:v>
                </c:pt>
                <c:pt idx="56">
                  <c:v>1.5763000829910724E-3</c:v>
                </c:pt>
                <c:pt idx="57">
                  <c:v>1.7287597209590905E-3</c:v>
                </c:pt>
                <c:pt idx="58">
                  <c:v>1.5338765315564937E-3</c:v>
                </c:pt>
                <c:pt idx="59">
                  <c:v>1.5226077757066836E-3</c:v>
                </c:pt>
                <c:pt idx="60">
                  <c:v>1.5245963796801795E-3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1328"/>
        <c:axId val="136707600"/>
      </c:lineChart>
      <c:catAx>
        <c:axId val="136701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7600"/>
        <c:crosses val="autoZero"/>
        <c:auto val="1"/>
        <c:lblAlgn val="ctr"/>
        <c:lblOffset val="100"/>
        <c:tickLblSkip val="10"/>
        <c:noMultiLvlLbl val="0"/>
      </c:catAx>
      <c:valAx>
        <c:axId val="1367076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13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0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11.xml" Type="http://schemas.openxmlformats.org/officeDocument/2006/relationships/chart"/></Relationships>
</file>

<file path=xl/drawings/_rels/drawing12.xml.rels><?xml version="1.0" encoding="UTF-8" standalone="no"?><Relationships xmlns="http://schemas.openxmlformats.org/package/2006/relationships"><Relationship Id="rId1" Target="../charts/chart12.xml" Type="http://schemas.openxmlformats.org/officeDocument/2006/relationships/chart"/></Relationships>
</file>

<file path=xl/drawings/_rels/drawing13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14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15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16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11.xml" Type="http://schemas.openxmlformats.org/officeDocument/2006/relationships/drawing"/></Relationships>
</file>

<file path=xl/worksheets/_rels/sheet12.xml.rels><?xml version="1.0" encoding="UTF-8" standalone="no"?><Relationships xmlns="http://schemas.openxmlformats.org/package/2006/relationships"><Relationship Id="rId1" Target="../drawings/drawing12.xml" Type="http://schemas.openxmlformats.org/officeDocument/2006/relationships/drawing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13.xml" Type="http://schemas.openxmlformats.org/officeDocument/2006/relationships/drawing"/></Relationships>
</file>

<file path=xl/worksheets/_rels/sheet14.xml.rels><?xml version="1.0" encoding="UTF-8" standalone="no"?><Relationships xmlns="http://schemas.openxmlformats.org/package/2006/relationships"><Relationship Id="rId1" Target="../drawings/drawing14.xml" Type="http://schemas.openxmlformats.org/officeDocument/2006/relationships/drawing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15.xml" Type="http://schemas.openxmlformats.org/officeDocument/2006/relationships/drawing"/></Relationships>
</file>

<file path=xl/worksheets/_rels/sheet16.xml.rels><?xml version="1.0" encoding="UTF-8" standalone="no"?><Relationships xmlns="http://schemas.openxmlformats.org/package/2006/relationships"><Relationship Id="rId1" Target="../drawings/drawing16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2"/>
  <sheetViews>
    <sheetView tabSelected="1" topLeftCell="O1" workbookViewId="0">
      <selection activeCell="T21" sqref="T2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27" x14ac:dyDescent="0.25">
      <c r="A1" t="s">
        <v>1</v>
      </c>
    </row>
    <row r="2" spans="1:27" x14ac:dyDescent="0.25">
      <c r="A2" t="s">
        <v>19</v>
      </c>
    </row>
    <row r="3" spans="1:27" x14ac:dyDescent="0.25">
      <c r="A3" t="s">
        <v>20</v>
      </c>
    </row>
    <row r="4" spans="1:27" x14ac:dyDescent="0.25">
      <c r="A4" t="s">
        <v>4</v>
      </c>
    </row>
    <row r="5" spans="1:27" x14ac:dyDescent="0.25">
      <c r="A5" t="s">
        <v>6</v>
      </c>
    </row>
    <row r="7" spans="1:27" x14ac:dyDescent="0.25">
      <c r="A7" t="s">
        <v>9</v>
      </c>
      <c r="T7" t="s">
        <v>23</v>
      </c>
    </row>
    <row r="8" spans="1:27" x14ac:dyDescent="0.25">
      <c r="U8" t="s">
        <v>17</v>
      </c>
      <c r="Y8" t="s">
        <v>13</v>
      </c>
    </row>
    <row ht="15.75" r="9" spans="1:27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5189378.9151415937</v>
      </c>
      <c r="V10" s="6">
        <f>K11</f>
        <v>7.6881207237445928</v>
      </c>
      <c r="W10" s="373">
        <f>U10*V10</f>
        <v>39896571.580863319</v>
      </c>
      <c r="Y10" s="373">
        <f>F102</f>
        <v>5210830</v>
      </c>
      <c r="Z10" s="6">
        <f>L11</f>
        <v>6.5518537276164492</v>
      </c>
      <c r="AA10" s="373">
        <f>Y10*Z10</f>
        <v>34140595.959475622</v>
      </c>
    </row>
    <row r="11" spans="1:27" x14ac:dyDescent="0.25">
      <c r="A11">
        <v>0</v>
      </c>
      <c r="B11" s="6" t="n">
        <v>101995.6604967862</v>
      </c>
      <c r="C11" s="9">
        <f>B11/B$102</f>
        <v>1.9654695131084528E-2</v>
      </c>
      <c r="E11" s="10">
        <v>0</v>
      </c>
      <c r="F11" s="100" t="n">
        <v>692149.0</v>
      </c>
      <c r="G11" s="9">
        <f>F11/F$102</f>
        <v>0.13249463137350478</v>
      </c>
      <c r="K11" s="6" t="n">
        <v>7.688120723744593</v>
      </c>
      <c r="L11" s="6" t="n">
        <v>6.539914471251383</v>
      </c>
      <c r="S11" t="s">
        <v>42</v>
      </c>
      <c r="T11" t="s">
        <v>27</v>
      </c>
      <c r="U11" s="373">
        <f>TLFD_Work!B102</f>
        <v>2008874.5801324961</v>
      </c>
      <c r="V11" s="6">
        <f>TLFD_Work!K11</f>
        <v>10.66532263481937</v>
      </c>
      <c r="W11" s="373">
        <f ref="W11:W16" si="0" t="shared">U11*V11</f>
        <v>21425295.53000037</v>
      </c>
      <c r="Y11" s="373">
        <f>TLFD_Work!F102</f>
        <v>2163107</v>
      </c>
      <c r="Z11" s="6">
        <f>TLFD_Work!L11</f>
        <v>9.3787055103334716</v>
      </c>
      <c r="AA11" s="373">
        <f ref="AA11:AA16" si="1" t="shared">Y11*Z11</f>
        <v>20287143.540340904</v>
      </c>
    </row>
    <row r="12" spans="1:27" x14ac:dyDescent="0.25">
      <c r="A12">
        <v>1</v>
      </c>
      <c r="B12" s="6" t="n">
        <v>223635.9334724806</v>
      </c>
      <c r="C12" s="9">
        <f>B12/B$102</f>
        <v>4.3094932385830342E-2</v>
      </c>
      <c r="E12" s="11">
        <v>1</v>
      </c>
      <c r="F12" s="101" t="n">
        <v>585250.0</v>
      </c>
      <c r="G12" s="9">
        <f>F12/F$102</f>
        <v>0.11199079609198534</v>
      </c>
      <c r="K12" s="6"/>
      <c r="L12" s="370"/>
      <c r="S12" t="s">
        <v>43</v>
      </c>
      <c r="T12" t="s">
        <v>28</v>
      </c>
      <c r="U12" s="373">
        <f>TLFD_School!B102</f>
        <v>767273.26875755831</v>
      </c>
      <c r="V12" s="6">
        <f>TLFD_School!K11</f>
        <v>6.2394996181404805</v>
      </c>
      <c r="W12" s="373">
        <f si="0" t="shared"/>
        <v>4787401.2674221834</v>
      </c>
      <c r="Y12" s="373">
        <f>TLFD_School!F102</f>
        <v>637796</v>
      </c>
      <c r="Z12" s="6">
        <f>TLFD_School!L11</f>
        <v>4.783680200584703</v>
      </c>
      <c r="AA12" s="373">
        <f si="1" t="shared"/>
        <v>3051012.0972121214</v>
      </c>
    </row>
    <row r="13" spans="1:27" x14ac:dyDescent="0.25">
      <c r="A13">
        <v>2</v>
      </c>
      <c r="B13" s="6" t="n">
        <v>329646.0037703509</v>
      </c>
      <c r="C13" s="9">
        <f ref="C13:C76" si="2" t="shared">B13/B$102</f>
        <v>6.3523209455472268E-2</v>
      </c>
      <c r="E13" s="12">
        <v>2</v>
      </c>
      <c r="F13" s="102" t="n">
        <v>347308.0</v>
      </c>
      <c r="G13" s="9">
        <f ref="G13:G76" si="3" t="shared">F13/F$102</f>
        <v>6.655619162398313E-2</v>
      </c>
      <c r="S13" t="s">
        <v>44</v>
      </c>
      <c r="T13" t="s">
        <v>29</v>
      </c>
      <c r="U13" s="373">
        <f>TLFD_Escort!B102</f>
        <v>1057876.9664938655</v>
      </c>
      <c r="V13" s="6">
        <f>TLFD_Escort!K11</f>
        <v>7.1809751992848003</v>
      </c>
      <c r="W13" s="373">
        <f si="0" t="shared"/>
        <v>7596588.2602870855</v>
      </c>
      <c r="Y13" s="373">
        <f>TLFD_Escort!F102</f>
        <v>1174052</v>
      </c>
      <c r="Z13" s="6">
        <f>TLFD_Escort!L11</f>
        <v>5.4594470441025855</v>
      </c>
      <c r="AA13" s="373">
        <f si="1" t="shared"/>
        <v>6409674.7210227288</v>
      </c>
    </row>
    <row r="14" spans="1:27" x14ac:dyDescent="0.25">
      <c r="A14">
        <v>3</v>
      </c>
      <c r="B14" s="6" t="n">
        <v>495629.50871000113</v>
      </c>
      <c r="C14" s="9">
        <f si="2" t="shared"/>
        <v>9.5508444616339547E-2</v>
      </c>
      <c r="E14" s="13">
        <v>3</v>
      </c>
      <c r="F14" s="103" t="n">
        <v>199984.0</v>
      </c>
      <c r="G14" s="9">
        <f si="3" t="shared"/>
        <v>3.8389661531848092E-2</v>
      </c>
      <c r="S14" t="s">
        <v>45</v>
      </c>
      <c r="T14" t="s">
        <v>30</v>
      </c>
      <c r="U14" s="373">
        <f>TLFD_PerBus!B102</f>
        <v>1663235.0464055245</v>
      </c>
      <c r="V14" s="6">
        <f>TLFD_PerBus!K11</f>
        <v>7.4049966815025154</v>
      </c>
      <c r="W14" s="373">
        <f si="0" t="shared"/>
        <v>12316249.999191592</v>
      </c>
      <c r="Y14" s="373">
        <f>TLFD_PerBus!F102</f>
        <v>1634094</v>
      </c>
      <c r="Z14" s="6">
        <f>TLFD_PerBus!L11</f>
        <v>5.2287005608631016</v>
      </c>
      <c r="AA14" s="373">
        <f si="1" t="shared"/>
        <v>8544188.2143030297</v>
      </c>
    </row>
    <row r="15" spans="1:27" x14ac:dyDescent="0.25">
      <c r="A15">
        <v>4</v>
      </c>
      <c r="B15" s="6" t="n">
        <v>937404.7655199018</v>
      </c>
      <c r="C15" s="9">
        <f si="2" t="shared"/>
        <v>0.18063910553625942</v>
      </c>
      <c r="E15" s="14">
        <v>4</v>
      </c>
      <c r="F15" s="104" t="n">
        <v>845334.0</v>
      </c>
      <c r="G15" s="9">
        <f si="3" t="shared"/>
        <v>0.16150421334029319</v>
      </c>
      <c r="S15" t="s">
        <v>46</v>
      </c>
      <c r="T15" t="s">
        <v>31</v>
      </c>
      <c r="U15" s="373">
        <f>TLFD_Shop!B102</f>
        <v>1835648.6551130863</v>
      </c>
      <c r="V15" s="6">
        <f>TLFD_Shop!K11</f>
        <v>6.0915413687935915</v>
      </c>
      <c r="W15" s="373">
        <f si="0" t="shared"/>
        <v>11181929.721191686</v>
      </c>
      <c r="Y15" s="373">
        <f>TLFD_Shop!F102</f>
        <v>1818406</v>
      </c>
      <c r="Z15" s="6">
        <f>TLFD_Shop!L11</f>
        <v>4.9203029790170518</v>
      </c>
      <c r="AA15" s="373">
        <f si="1" t="shared"/>
        <v>8947108.4588624816</v>
      </c>
    </row>
    <row r="16" spans="1:27" x14ac:dyDescent="0.25">
      <c r="A16">
        <v>5</v>
      </c>
      <c r="B16" s="6" t="n">
        <v>552869.432468299</v>
      </c>
      <c r="C16" s="9">
        <f si="2" t="shared"/>
        <v>0.10653865164001304</v>
      </c>
      <c r="E16" s="15">
        <v>5</v>
      </c>
      <c r="F16" s="105" t="n">
        <v>457153.0</v>
      </c>
      <c r="G16" s="9">
        <f si="3" t="shared"/>
        <v>8.6077074093762418E-2</v>
      </c>
      <c r="S16" t="s">
        <v>34</v>
      </c>
      <c r="T16" t="s">
        <v>48</v>
      </c>
      <c r="U16" s="6">
        <f>TLFD_Meal!B102</f>
        <v>734264.25339805277</v>
      </c>
      <c r="V16" s="6">
        <f>TLFD_Meal!K11</f>
        <v>5.3663220715914592</v>
      </c>
      <c r="W16" s="373">
        <f si="0" t="shared"/>
        <v>3940298.4693905949</v>
      </c>
      <c r="Y16" s="6">
        <f>TLFD_Meal!F102</f>
        <v>720976</v>
      </c>
      <c r="Z16" s="6">
        <f>TLFD_Meal!L11</f>
        <v>4.678157214328321</v>
      </c>
      <c r="AA16" s="373">
        <f si="1" t="shared"/>
        <v>3372839.0757575757</v>
      </c>
    </row>
    <row r="17" spans="1:28" x14ac:dyDescent="0.25">
      <c r="A17">
        <v>6</v>
      </c>
      <c r="B17" s="6" t="n">
        <v>646986.0890125734</v>
      </c>
      <c r="C17" s="9">
        <f si="2" t="shared"/>
        <v>0.12467505256260905</v>
      </c>
      <c r="E17" s="16">
        <v>6</v>
      </c>
      <c r="F17" s="106" t="n">
        <v>449925.0</v>
      </c>
      <c r="G17" s="9">
        <f si="3" t="shared"/>
        <v>8.8702951353239315E-2</v>
      </c>
      <c r="S17" t="s">
        <v>47</v>
      </c>
      <c r="T17" t="s">
        <v>32</v>
      </c>
      <c r="U17" s="373">
        <f>TLFD_SocRec!B102</f>
        <v>1507808.8071680365</v>
      </c>
      <c r="V17" s="6">
        <f>TLFD_SocRec!K11</f>
        <v>7.0337545608664671</v>
      </c>
      <c r="W17" s="373">
        <f>U17*V17</f>
        <v>10605557.074332803</v>
      </c>
      <c r="Y17" s="373">
        <f>TLFD_SocRec!F102</f>
        <v>1508596</v>
      </c>
      <c r="Z17" s="6">
        <f>TLFD_SocRec!L11</f>
        <v>5.5591780951234844</v>
      </c>
      <c r="AA17" s="373">
        <f>Y17*Z17</f>
        <v>8386553.8375909077</v>
      </c>
    </row>
    <row r="18" spans="1:28" x14ac:dyDescent="0.25">
      <c r="A18">
        <v>7</v>
      </c>
      <c r="B18" s="6" t="n">
        <v>265508.7875697167</v>
      </c>
      <c r="C18" s="9">
        <f si="2" t="shared"/>
        <v>5.1163885295601355E-2</v>
      </c>
      <c r="E18" s="17">
        <v>7</v>
      </c>
      <c r="F18" s="107" t="n">
        <v>262603.0</v>
      </c>
      <c r="G18" s="9">
        <f si="3" t="shared"/>
        <v>4.964314706102483E-2</v>
      </c>
      <c r="T18" s="375" t="s">
        <v>35</v>
      </c>
      <c r="U18" s="376">
        <f>SUM(U10:U15)+U17</f>
        <v>14030096.239212159</v>
      </c>
      <c r="V18" s="377">
        <f>W18/U18</f>
        <v>7.6841663517586074</v>
      </c>
      <c r="W18" s="376">
        <f>SUM(W10:W15)+W17</f>
        <v>107809593.43328905</v>
      </c>
      <c r="X18" s="375"/>
      <c r="Y18" s="376">
        <f>SUM(Y10:Y15)+Y17</f>
        <v>14146881</v>
      </c>
      <c r="Z18" s="377">
        <f>AA18/Y18</f>
        <v>6.3453051473895759</v>
      </c>
      <c r="AA18" s="376">
        <f>SUM(AA10:AA15)+AA17</f>
        <v>89766276.828807786</v>
      </c>
      <c r="AB18" t="s">
        <v>38</v>
      </c>
    </row>
    <row r="19" spans="1:28" x14ac:dyDescent="0.25">
      <c r="A19">
        <v>8</v>
      </c>
      <c r="B19" s="6" t="n">
        <v>293913.3679259696</v>
      </c>
      <c r="C19" s="9">
        <f si="2" t="shared"/>
        <v>5.6637484510600647E-2</v>
      </c>
      <c r="E19" s="18">
        <v>8</v>
      </c>
      <c r="F19" s="108" t="n">
        <v>262736.0</v>
      </c>
      <c r="G19" s="9">
        <f si="3" t="shared"/>
        <v>5.1997474490628172E-2</v>
      </c>
      <c r="S19" s="375" t="s">
        <v>36</v>
      </c>
      <c r="U19" s="378">
        <f>U18+U16</f>
        <v>14764360.492610212</v>
      </c>
      <c r="V19" s="377">
        <f>W19/U19</f>
        <v>7.5688948369021585</v>
      </c>
      <c r="W19" s="379">
        <f>W18+W16</f>
        <v>111749891.90267965</v>
      </c>
      <c r="X19" s="375"/>
      <c r="Y19" s="378">
        <f>Y18+Y16</f>
        <v>14867857</v>
      </c>
      <c r="Z19" s="377">
        <f>AA19/Y19</f>
        <v>6.2644613749355651</v>
      </c>
      <c r="AA19" s="379">
        <f>AA18+AA16</f>
        <v>93139115.904565364</v>
      </c>
      <c r="AB19" t="s">
        <v>37</v>
      </c>
    </row>
    <row r="20" spans="1:28" x14ac:dyDescent="0.25">
      <c r="A20">
        <v>9</v>
      </c>
      <c r="B20" s="6" t="n">
        <v>143264.4830780331</v>
      </c>
      <c r="C20" s="9">
        <f si="2" t="shared"/>
        <v>2.7607250389832846E-2</v>
      </c>
      <c r="E20" s="19">
        <v>9</v>
      </c>
      <c r="F20" s="109" t="n">
        <v>124183.0</v>
      </c>
      <c r="G20" s="9">
        <f si="3" t="shared"/>
        <v>2.3433886732056122E-2</v>
      </c>
    </row>
    <row r="21" spans="1:28" x14ac:dyDescent="0.25">
      <c r="A21">
        <v>10</v>
      </c>
      <c r="B21" s="6" t="n">
        <v>293131.0393070077</v>
      </c>
      <c r="C21" s="9">
        <f si="2" t="shared"/>
        <v>5.6486728778218254E-2</v>
      </c>
      <c r="E21" s="20">
        <v>10</v>
      </c>
      <c r="F21" s="110" t="n">
        <v>123833.0</v>
      </c>
      <c r="G21" s="9">
        <f si="3" t="shared"/>
        <v>2.0829503169360736E-2</v>
      </c>
    </row>
    <row r="22" spans="1:28" x14ac:dyDescent="0.25">
      <c r="A22">
        <v>11</v>
      </c>
      <c r="B22" s="6" t="n">
        <v>93994.8711922027</v>
      </c>
      <c r="C22" s="9">
        <f si="2" t="shared"/>
        <v>1.8112932728412648E-2</v>
      </c>
      <c r="E22" s="21">
        <v>11</v>
      </c>
      <c r="F22" s="111" t="n">
        <v>126676.0</v>
      </c>
      <c r="G22" s="9">
        <f si="3" t="shared"/>
        <v>2.4128785625322644E-2</v>
      </c>
    </row>
    <row r="23" spans="1:28" x14ac:dyDescent="0.25">
      <c r="A23">
        <v>12</v>
      </c>
      <c r="B23" s="6" t="n">
        <v>62896.5812108923</v>
      </c>
      <c r="C23" s="9">
        <f si="2" t="shared"/>
        <v>1.2120252199617253E-2</v>
      </c>
      <c r="E23" s="22">
        <v>12</v>
      </c>
      <c r="F23" s="112" t="n">
        <v>112775.0</v>
      </c>
      <c r="G23" s="9">
        <f si="3" t="shared"/>
        <v>2.2029887753006717E-2</v>
      </c>
    </row>
    <row r="24" spans="1:28" x14ac:dyDescent="0.25">
      <c r="A24">
        <v>13</v>
      </c>
      <c r="B24" s="6" t="n">
        <v>63904.7166703149</v>
      </c>
      <c r="C24" s="9">
        <f si="2" t="shared"/>
        <v>1.2314521200957869E-2</v>
      </c>
      <c r="E24" s="23">
        <v>13</v>
      </c>
      <c r="F24" s="113" t="n">
        <v>84181.0</v>
      </c>
      <c r="G24" s="9">
        <f si="3" t="shared"/>
        <v>1.6206439281266131E-2</v>
      </c>
    </row>
    <row r="25" spans="1:28" x14ac:dyDescent="0.25">
      <c r="A25">
        <v>14</v>
      </c>
      <c r="B25" s="6" t="n">
        <v>71828.393716422</v>
      </c>
      <c r="C25" s="9">
        <f si="2" t="shared"/>
        <v>1.3841423972113654E-2</v>
      </c>
      <c r="E25" s="24">
        <v>14</v>
      </c>
      <c r="F25" s="114" t="n">
        <v>68398.0</v>
      </c>
      <c r="G25" s="9">
        <f si="3" t="shared"/>
        <v>1.2415296603420185E-2</v>
      </c>
    </row>
    <row r="26" spans="1:28" x14ac:dyDescent="0.25">
      <c r="A26">
        <v>15</v>
      </c>
      <c r="B26" s="6" t="n">
        <v>55435.2432572397</v>
      </c>
      <c r="C26" s="9">
        <f si="2" t="shared"/>
        <v>1.0682442766992884E-2</v>
      </c>
      <c r="E26" s="25">
        <v>15</v>
      </c>
      <c r="F26" s="115" t="n">
        <v>70136.0</v>
      </c>
      <c r="G26" s="9">
        <f si="3" t="shared"/>
        <v>1.2860906995622578E-2</v>
      </c>
    </row>
    <row r="27" spans="1:28" x14ac:dyDescent="0.25">
      <c r="A27">
        <v>16</v>
      </c>
      <c r="B27" s="6" t="n">
        <v>96205.4719719057</v>
      </c>
      <c r="C27" s="9">
        <f si="2" t="shared"/>
        <v>1.8538918345545542E-2</v>
      </c>
      <c r="E27" s="26">
        <v>16</v>
      </c>
      <c r="F27" s="116" t="n">
        <v>72880.0</v>
      </c>
      <c r="G27" s="9">
        <f si="3" t="shared"/>
        <v>1.4211747456739138E-2</v>
      </c>
    </row>
    <row r="28" spans="1:28" x14ac:dyDescent="0.25">
      <c r="A28">
        <v>17</v>
      </c>
      <c r="B28" s="6" t="n">
        <v>63132.5678005605</v>
      </c>
      <c r="C28" s="9">
        <f si="2" t="shared"/>
        <v>1.2165727119357579E-2</v>
      </c>
      <c r="E28" s="27">
        <v>17</v>
      </c>
      <c r="F28" s="117" t="n">
        <v>36318.0</v>
      </c>
      <c r="G28" s="9">
        <f si="3" t="shared"/>
        <v>8.4548910634198397E-3</v>
      </c>
    </row>
    <row r="29" spans="1:28" x14ac:dyDescent="0.25">
      <c r="A29">
        <v>18</v>
      </c>
      <c r="B29" s="6" t="n">
        <v>50196.9182096425</v>
      </c>
      <c r="C29" s="9">
        <f si="2" t="shared"/>
        <v>9.6730107842342566E-3</v>
      </c>
      <c r="E29" s="28">
        <v>18</v>
      </c>
      <c r="F29" s="118" t="n">
        <v>39149.0</v>
      </c>
      <c r="G29" s="9">
        <f si="3" t="shared"/>
        <v>7.0293983875889254E-3</v>
      </c>
    </row>
    <row r="30" spans="1:28" x14ac:dyDescent="0.25">
      <c r="A30">
        <v>19</v>
      </c>
      <c r="B30" s="6" t="n">
        <v>25794.5833620187</v>
      </c>
      <c r="C30" s="9">
        <f si="2" t="shared"/>
        <v>4.9706494329707059E-3</v>
      </c>
      <c r="E30" s="29">
        <v>19</v>
      </c>
      <c r="F30" s="119" t="n">
        <v>26842.0</v>
      </c>
      <c r="G30" s="9">
        <f si="3" t="shared"/>
        <v>5.4757111630968575E-3</v>
      </c>
    </row>
    <row r="31" spans="1:28" x14ac:dyDescent="0.25">
      <c r="A31">
        <v>20</v>
      </c>
      <c r="B31" s="6" t="n">
        <v>25867.3518262927</v>
      </c>
      <c r="C31" s="9">
        <f si="2" t="shared"/>
        <v>4.9846720097499186E-3</v>
      </c>
      <c r="E31" s="30">
        <v>20</v>
      </c>
      <c r="F31" s="120" t="n">
        <v>27427.0</v>
      </c>
      <c r="G31" s="9">
        <f si="3" t="shared"/>
        <v>5.4356023896385032E-3</v>
      </c>
    </row>
    <row r="32" spans="1:28" x14ac:dyDescent="0.25">
      <c r="A32">
        <v>21</v>
      </c>
      <c r="B32" s="6" t="n">
        <v>28350.033725315</v>
      </c>
      <c r="C32" s="9">
        <f si="2" t="shared"/>
        <v>5.463088008970619E-3</v>
      </c>
      <c r="E32" s="31">
        <v>21</v>
      </c>
      <c r="F32" s="121" t="n">
        <v>22040.0</v>
      </c>
      <c r="G32" s="9">
        <f si="3" t="shared"/>
        <v>4.4789409748542935E-3</v>
      </c>
    </row>
    <row r="33" spans="1:7" x14ac:dyDescent="0.25">
      <c r="A33">
        <v>22</v>
      </c>
      <c r="B33" s="6" t="n">
        <v>21840.5780370229</v>
      </c>
      <c r="C33" s="9">
        <f si="2" t="shared"/>
        <v>4.2087075147463912E-3</v>
      </c>
      <c r="E33" s="32">
        <v>22</v>
      </c>
      <c r="F33" s="122" t="n">
        <v>20162.0</v>
      </c>
      <c r="G33" s="9">
        <f si="3" t="shared"/>
        <v>3.6510498327521719E-3</v>
      </c>
    </row>
    <row r="34" spans="1:7" x14ac:dyDescent="0.25">
      <c r="A34">
        <v>23</v>
      </c>
      <c r="B34" s="6" t="n">
        <v>38847.8401008463</v>
      </c>
      <c r="C34" s="9">
        <f si="2" t="shared"/>
        <v>7.486028816954547E-3</v>
      </c>
      <c r="E34" s="33">
        <v>23</v>
      </c>
      <c r="F34" s="123" t="n">
        <v>19579.0</v>
      </c>
      <c r="G34" s="9">
        <f si="3" t="shared"/>
        <v>3.6804117578197715E-3</v>
      </c>
    </row>
    <row r="35" spans="1:7" x14ac:dyDescent="0.25">
      <c r="A35">
        <v>24</v>
      </c>
      <c r="B35" s="6" t="n">
        <v>35465.9734385364</v>
      </c>
      <c r="C35" s="9">
        <f si="2" t="shared"/>
        <v>6.8343387558487236E-3</v>
      </c>
      <c r="E35" s="34">
        <v>24</v>
      </c>
      <c r="F35" s="124" t="n">
        <v>15638.0</v>
      </c>
      <c r="G35" s="9">
        <f si="3" t="shared"/>
        <v>3.3555115020063981E-3</v>
      </c>
    </row>
    <row r="36" spans="1:7" x14ac:dyDescent="0.25">
      <c r="A36">
        <v>25</v>
      </c>
      <c r="B36" s="6" t="n">
        <v>14177.2663532185</v>
      </c>
      <c r="C36" s="9">
        <f si="2" t="shared"/>
        <v>2.7319774842133816E-3</v>
      </c>
      <c r="E36" s="35">
        <v>25</v>
      </c>
      <c r="F36" s="125" t="n">
        <v>17540.0</v>
      </c>
      <c r="G36" s="9">
        <f si="3" t="shared"/>
        <v>3.2290441254080446E-3</v>
      </c>
    </row>
    <row r="37" spans="1:7" x14ac:dyDescent="0.25">
      <c r="A37">
        <v>26</v>
      </c>
      <c r="B37" s="6" t="n">
        <v>23467.6990818917</v>
      </c>
      <c r="C37" s="9">
        <f si="2" t="shared"/>
        <v>4.5222558355524087E-3</v>
      </c>
      <c r="E37" s="36">
        <v>26</v>
      </c>
      <c r="F37" s="126" t="n">
        <v>15069.0</v>
      </c>
      <c r="G37" s="9">
        <f si="3" t="shared"/>
        <v>3.0605488952815578E-3</v>
      </c>
    </row>
    <row r="38" spans="1:7" x14ac:dyDescent="0.25">
      <c r="A38">
        <v>27</v>
      </c>
      <c r="B38" s="6" t="n">
        <v>9362.8307911912</v>
      </c>
      <c r="C38" s="9">
        <f si="2" t="shared"/>
        <v>1.8042295512228426E-3</v>
      </c>
      <c r="E38" s="37">
        <v>27</v>
      </c>
      <c r="F38" s="127" t="n">
        <v>17240.0</v>
      </c>
      <c r="G38" s="9">
        <f si="3" t="shared"/>
        <v>3.0814668680421353E-3</v>
      </c>
    </row>
    <row r="39" spans="1:7" x14ac:dyDescent="0.25">
      <c r="A39">
        <v>28</v>
      </c>
      <c r="B39" s="6" t="n">
        <v>12739.6178297624</v>
      </c>
      <c r="C39" s="9">
        <f si="2" t="shared"/>
        <v>2.454940762292513E-3</v>
      </c>
      <c r="E39" s="38">
        <v>28</v>
      </c>
      <c r="F39" s="128" t="n">
        <v>10471.0</v>
      </c>
      <c r="G39" s="9">
        <f si="3" t="shared"/>
        <v>1.9138985535893515E-3</v>
      </c>
    </row>
    <row r="40" spans="1:7" x14ac:dyDescent="0.25">
      <c r="A40">
        <v>29</v>
      </c>
      <c r="B40" s="6" t="n">
        <v>3548.0147525176</v>
      </c>
      <c r="C40" s="9">
        <f si="2" t="shared"/>
        <v>6.8370701205980279E-4</v>
      </c>
      <c r="E40" s="39">
        <v>29</v>
      </c>
      <c r="F40" s="129" t="n">
        <v>6786.0</v>
      </c>
      <c r="G40" s="9">
        <f si="3" t="shared"/>
        <v>1.6005127781946447E-3</v>
      </c>
    </row>
    <row r="41" spans="1:7" x14ac:dyDescent="0.25">
      <c r="A41">
        <v>30</v>
      </c>
      <c r="B41" s="6" t="n">
        <v>8828.793381479</v>
      </c>
      <c r="C41" s="9">
        <f si="2" t="shared"/>
        <v>1.7013198546204258E-3</v>
      </c>
      <c r="E41" s="40">
        <v>30</v>
      </c>
      <c r="F41" s="130" t="n">
        <v>6779.0</v>
      </c>
      <c r="G41" s="9">
        <f si="3" t="shared"/>
        <v>1.3218623520629151E-3</v>
      </c>
    </row>
    <row r="42" spans="1:7" x14ac:dyDescent="0.25">
      <c r="A42">
        <v>31</v>
      </c>
      <c r="B42" s="6" t="n">
        <v>3248.6373479192</v>
      </c>
      <c r="C42" s="9">
        <f si="2" t="shared"/>
        <v>6.2601660064565926E-4</v>
      </c>
      <c r="E42" s="41">
        <v>31</v>
      </c>
      <c r="F42" s="131" t="n">
        <v>6903.0</v>
      </c>
      <c r="G42" s="9">
        <f si="3" t="shared"/>
        <v>1.3629306655561591E-3</v>
      </c>
    </row>
    <row r="43" spans="1:7" x14ac:dyDescent="0.25">
      <c r="A43">
        <v>32</v>
      </c>
      <c r="B43" s="6" t="n">
        <v>4541.8212988558</v>
      </c>
      <c r="C43" s="9">
        <f si="2" t="shared"/>
        <v>8.7521481339580983E-4</v>
      </c>
      <c r="E43" s="42">
        <v>32</v>
      </c>
      <c r="F43" s="132" t="n">
        <v>6721.0</v>
      </c>
      <c r="G43" s="9">
        <f si="3" t="shared"/>
        <v>1.1712145665853616E-3</v>
      </c>
    </row>
    <row r="44" spans="1:7" x14ac:dyDescent="0.25">
      <c r="A44">
        <v>33</v>
      </c>
      <c r="B44" s="6" t="n">
        <v>6675.5292426002</v>
      </c>
      <c r="C44" s="9">
        <f si="2" t="shared"/>
        <v>1.2863830820143639E-3</v>
      </c>
      <c r="E44" s="43">
        <v>33</v>
      </c>
      <c r="F44" s="133" t="n">
        <v>4097.0</v>
      </c>
      <c r="G44" s="9">
        <f si="3" t="shared"/>
        <v>7.9277197682518904E-4</v>
      </c>
    </row>
    <row r="45" spans="1:7" x14ac:dyDescent="0.25">
      <c r="A45">
        <v>34</v>
      </c>
      <c r="B45" s="6" t="n">
        <v>7654.3515690106</v>
      </c>
      <c r="C45" s="9">
        <f si="2" t="shared"/>
        <v>1.4750034048731145E-3</v>
      </c>
      <c r="E45" s="44">
        <v>34</v>
      </c>
      <c r="F45" s="134" t="n">
        <v>4507.0</v>
      </c>
      <c r="G45" s="9">
        <f si="3" t="shared"/>
        <v>9.6299437901447562E-4</v>
      </c>
    </row>
    <row r="46" spans="1:7" x14ac:dyDescent="0.25">
      <c r="A46">
        <v>35</v>
      </c>
      <c r="B46" s="6" t="n">
        <v>2241.7137950768</v>
      </c>
      <c r="C46" s="9">
        <f si="2" t="shared"/>
        <v>4.3198113526378223E-4</v>
      </c>
      <c r="E46" s="45">
        <v>35</v>
      </c>
      <c r="F46" s="135" t="n">
        <v>3630.0</v>
      </c>
      <c r="G46" s="9">
        <f si="3" t="shared"/>
        <v>6.6975894435243523E-4</v>
      </c>
    </row>
    <row r="47" spans="1:7" x14ac:dyDescent="0.25">
      <c r="A47">
        <v>36</v>
      </c>
      <c r="B47" s="6" t="n">
        <v>4640.3094541366</v>
      </c>
      <c r="C47" s="9">
        <f si="2" t="shared"/>
        <v>8.9419360775469363E-4</v>
      </c>
      <c r="E47" s="46">
        <v>36</v>
      </c>
      <c r="F47" s="136" t="n">
        <v>3895.0</v>
      </c>
      <c r="G47" s="9">
        <f si="3" t="shared"/>
        <v>7.6379386777154507E-4</v>
      </c>
    </row>
    <row r="48" spans="1:7" x14ac:dyDescent="0.25">
      <c r="A48">
        <v>37</v>
      </c>
      <c r="B48" s="6" t="n">
        <v>4062.3644320802</v>
      </c>
      <c r="C48" s="9">
        <f si="2" t="shared"/>
        <v>7.8282285770788764E-4</v>
      </c>
      <c r="E48" s="47">
        <v>37</v>
      </c>
      <c r="F48" s="137" t="n">
        <v>2918.0</v>
      </c>
      <c r="G48" s="9">
        <f si="3" t="shared"/>
        <v>5.5902802432625893E-4</v>
      </c>
    </row>
    <row r="49" spans="1:7" x14ac:dyDescent="0.25">
      <c r="A49">
        <v>38</v>
      </c>
      <c r="B49" s="6" t="n">
        <v>5839.9053311831</v>
      </c>
      <c r="C49" s="9">
        <f si="2" t="shared"/>
        <v>1.1253572781404337E-3</v>
      </c>
      <c r="E49" s="48">
        <v>38</v>
      </c>
      <c r="F49" s="138" t="n">
        <v>3766.0</v>
      </c>
      <c r="G49" s="9">
        <f si="3" t="shared"/>
        <v>7.0507001763634586E-4</v>
      </c>
    </row>
    <row r="50" spans="1:7" x14ac:dyDescent="0.25">
      <c r="A50">
        <v>39</v>
      </c>
      <c r="B50" s="6" t="n">
        <v>3980.4525982258</v>
      </c>
      <c r="C50" s="9">
        <f si="2" t="shared"/>
        <v>7.6703834183540097E-4</v>
      </c>
      <c r="E50" s="49">
        <v>39</v>
      </c>
      <c r="F50" s="139" t="n">
        <v>2447.0</v>
      </c>
      <c r="G50" s="9">
        <f si="3" t="shared"/>
        <v>4.8475962562586001E-4</v>
      </c>
    </row>
    <row r="51" spans="1:7" x14ac:dyDescent="0.25">
      <c r="A51">
        <v>40</v>
      </c>
      <c r="B51" s="6" t="n">
        <v>2181.7092957963</v>
      </c>
      <c r="C51" s="9">
        <f si="2" t="shared"/>
        <v>4.2041819097666941E-4</v>
      </c>
      <c r="E51" s="50">
        <v>40</v>
      </c>
      <c r="F51" s="140" t="n">
        <v>1976.0</v>
      </c>
      <c r="G51" s="9">
        <f si="3" t="shared"/>
        <v>3.6616047731359493E-4</v>
      </c>
    </row>
    <row r="52" spans="1:7" x14ac:dyDescent="0.25">
      <c r="A52">
        <v>41</v>
      </c>
      <c r="B52" s="6" t="n">
        <v>3990.2261728135</v>
      </c>
      <c r="C52" s="9">
        <f si="2" t="shared"/>
        <v>7.6892172224518032E-4</v>
      </c>
      <c r="E52" s="51">
        <v>41</v>
      </c>
      <c r="F52" s="141" t="n">
        <v>1769.0</v>
      </c>
      <c r="G52" s="9">
        <f si="3" t="shared"/>
        <v>3.7690732570435037E-4</v>
      </c>
    </row>
    <row r="53" spans="1:7" x14ac:dyDescent="0.25">
      <c r="A53">
        <v>42</v>
      </c>
      <c r="B53" s="6" t="n">
        <v>1655.8316529626002</v>
      </c>
      <c r="C53" s="9">
        <f si="2" t="shared"/>
        <v>3.1908089196015479E-4</v>
      </c>
      <c r="E53" s="52">
        <v>42</v>
      </c>
      <c r="F53" s="142" t="n">
        <v>1594.0</v>
      </c>
      <c r="G53" s="9">
        <f si="3" t="shared"/>
        <v>2.8268049427826279E-4</v>
      </c>
    </row>
    <row r="54" spans="1:7" x14ac:dyDescent="0.25">
      <c r="A54">
        <v>43</v>
      </c>
      <c r="B54" s="6" t="n">
        <v>3973.8912322720003</v>
      </c>
      <c r="C54" s="9">
        <f si="2" t="shared"/>
        <v>7.6577395816616173E-4</v>
      </c>
      <c r="E54" s="53">
        <v>43</v>
      </c>
      <c r="F54" s="143" t="n">
        <v>1245.0</v>
      </c>
      <c r="G54" s="9">
        <f si="3" t="shared"/>
        <v>2.7289318592239626E-4</v>
      </c>
    </row>
    <row r="55" spans="1:7" x14ac:dyDescent="0.25">
      <c r="A55">
        <v>44</v>
      </c>
      <c r="B55" s="6" t="n">
        <v>2581.772307669</v>
      </c>
      <c r="C55" s="9">
        <f si="2" t="shared"/>
        <v>4.9751084857879485E-4</v>
      </c>
      <c r="E55" s="54">
        <v>44</v>
      </c>
      <c r="F55" s="144" t="n">
        <v>1098.0</v>
      </c>
      <c r="G55" s="9">
        <f si="3" t="shared"/>
        <v>2.3259250445706347E-4</v>
      </c>
    </row>
    <row r="56" spans="1:7" x14ac:dyDescent="0.25">
      <c r="A56">
        <v>45</v>
      </c>
      <c r="B56" s="6" t="n">
        <v>445.2098602299</v>
      </c>
      <c r="C56" s="9">
        <f si="2" t="shared"/>
        <v>8.5792513422148581E-5</v>
      </c>
      <c r="E56" s="55">
        <v>45</v>
      </c>
      <c r="F56" s="145" t="n">
        <v>1457.0</v>
      </c>
      <c r="G56" s="9">
        <f si="3" t="shared"/>
        <v>2.3950119270826336E-4</v>
      </c>
    </row>
    <row r="57" spans="1:7" x14ac:dyDescent="0.25">
      <c r="A57">
        <v>46</v>
      </c>
      <c r="B57" s="6" t="n">
        <v>6077.408037667</v>
      </c>
      <c r="C57" s="9">
        <f si="2" t="shared"/>
        <v>1.1711243555436492E-3</v>
      </c>
      <c r="E57" s="56">
        <v>46</v>
      </c>
      <c r="F57" s="146" t="n">
        <v>1098.0</v>
      </c>
      <c r="G57" s="9">
        <f si="3" t="shared"/>
        <v>1.913322829568418E-4</v>
      </c>
    </row>
    <row r="58" spans="1:7" x14ac:dyDescent="0.25">
      <c r="A58">
        <v>47</v>
      </c>
      <c r="B58" s="6" t="n">
        <v>5102.070536329</v>
      </c>
      <c r="C58" s="9">
        <f si="2" t="shared"/>
        <v>9.8317556296422188E-4</v>
      </c>
      <c r="E58" s="57">
        <v>47</v>
      </c>
      <c r="F58" s="147" t="n">
        <v>794.0</v>
      </c>
      <c r="G58" s="9">
        <f si="3" t="shared"/>
        <v>1.8365596267773081E-4</v>
      </c>
    </row>
    <row r="59" spans="1:7" x14ac:dyDescent="0.25">
      <c r="A59">
        <v>48</v>
      </c>
      <c r="B59" s="6" t="n">
        <v>626.5966911539999</v>
      </c>
      <c r="C59" s="9">
        <f si="2" t="shared"/>
        <v>1.2074598933712726E-4</v>
      </c>
      <c r="E59" s="58">
        <v>48</v>
      </c>
      <c r="F59" s="148" t="n">
        <v>754.0</v>
      </c>
      <c r="G59" s="9">
        <f si="3" t="shared"/>
        <v>1.4354718921937579E-4</v>
      </c>
    </row>
    <row r="60" spans="1:7" x14ac:dyDescent="0.25">
      <c r="A60">
        <v>49</v>
      </c>
      <c r="B60" s="6" t="n">
        <v>5384.775441607</v>
      </c>
      <c r="C60" s="9">
        <f si="2" t="shared"/>
        <v>1.0376531622879335E-3</v>
      </c>
      <c r="E60" s="59">
        <v>49</v>
      </c>
      <c r="F60" s="149" t="n">
        <v>689.0</v>
      </c>
      <c r="G60" s="9">
        <f si="3" t="shared"/>
        <v>1.1572052820759841E-4</v>
      </c>
    </row>
    <row r="61" spans="1:7" x14ac:dyDescent="0.25">
      <c r="A61">
        <v>50</v>
      </c>
      <c r="B61" s="6" t="n">
        <v>634.7004548350001</v>
      </c>
      <c r="C61" s="9">
        <f si="2" t="shared"/>
        <v>1.2230759503474841E-4</v>
      </c>
      <c r="E61" s="60">
        <v>50</v>
      </c>
      <c r="F61" s="150" t="n">
        <v>610.0</v>
      </c>
      <c r="G61" s="9">
        <f si="3" t="shared"/>
        <v>1.0363032376799857E-4</v>
      </c>
    </row>
    <row r="62" spans="1:7" x14ac:dyDescent="0.25">
      <c r="A62">
        <v>51</v>
      </c>
      <c r="B62" s="6" t="n">
        <v>971.458500962</v>
      </c>
      <c r="C62" s="9">
        <f si="2" t="shared"/>
        <v>1.8720130421146815E-4</v>
      </c>
      <c r="E62" s="61">
        <v>51</v>
      </c>
      <c r="F62" s="151" t="n">
        <v>564.0</v>
      </c>
      <c r="G62" s="9">
        <f si="3" t="shared"/>
        <v>9.3459199398176492E-5</v>
      </c>
    </row>
    <row r="63" spans="1:7" x14ac:dyDescent="0.25">
      <c r="A63">
        <v>52</v>
      </c>
      <c r="B63" s="6" t="n">
        <v>1079.971539528</v>
      </c>
      <c r="C63" s="9">
        <f si="2" t="shared"/>
        <v>2.0811190648978322E-4</v>
      </c>
      <c r="E63" s="62">
        <v>52</v>
      </c>
      <c r="F63" s="152" t="n">
        <v>454.0</v>
      </c>
      <c r="G63" s="9">
        <f si="3" t="shared"/>
        <v>8.3096167021376634E-5</v>
      </c>
    </row>
    <row r="64" spans="1:7" x14ac:dyDescent="0.25">
      <c r="A64">
        <v>53</v>
      </c>
      <c r="B64" s="6" t="n">
        <v>5158.8769299545</v>
      </c>
      <c r="C64" s="9">
        <f si="2" t="shared"/>
        <v>9.9412222817299098E-4</v>
      </c>
      <c r="E64" s="63">
        <v>53</v>
      </c>
      <c r="F64" s="153" t="n">
        <v>309.0</v>
      </c>
      <c r="G64" s="9">
        <f si="3" t="shared"/>
        <v>6.3137734295688018E-5</v>
      </c>
    </row>
    <row r="65" spans="1:7" x14ac:dyDescent="0.25">
      <c r="A65">
        <v>54</v>
      </c>
      <c r="B65" s="6" t="n">
        <v>1350.700792555</v>
      </c>
      <c r="C65" s="9">
        <f si="2" t="shared"/>
        <v>2.6028178220208951E-4</v>
      </c>
      <c r="E65" s="64">
        <v>54</v>
      </c>
      <c r="F65" s="154" t="n">
        <v>396.0</v>
      </c>
      <c r="G65" s="9">
        <f si="3" t="shared"/>
        <v>7.062214656782125E-5</v>
      </c>
    </row>
    <row r="66" spans="1:7" x14ac:dyDescent="0.25">
      <c r="A66">
        <v>55</v>
      </c>
      <c r="B66" s="6" t="n">
        <v>0.0</v>
      </c>
      <c r="C66" s="9">
        <f si="2" t="shared"/>
        <v>0</v>
      </c>
      <c r="E66" s="65">
        <v>55</v>
      </c>
      <c r="F66" s="155" t="n">
        <v>306.0</v>
      </c>
      <c r="G66" s="9">
        <f si="3" t="shared"/>
        <v>6.4097274330576897E-5</v>
      </c>
    </row>
    <row r="67" spans="1:7" x14ac:dyDescent="0.25">
      <c r="A67">
        <v>56</v>
      </c>
      <c r="B67" s="6" t="n">
        <v>0.0</v>
      </c>
      <c r="C67" s="9">
        <f si="2" t="shared"/>
        <v>0</v>
      </c>
      <c r="E67" s="66">
        <v>56</v>
      </c>
      <c r="F67" s="156" t="n">
        <v>195.0</v>
      </c>
      <c r="G67" s="9">
        <f si="3" t="shared"/>
        <v>5.354233394679926E-5</v>
      </c>
    </row>
    <row r="68" spans="1:7" x14ac:dyDescent="0.25">
      <c r="A68">
        <v>57</v>
      </c>
      <c r="B68" s="6" t="n">
        <v>0.0</v>
      </c>
      <c r="C68" s="9">
        <f si="2" t="shared"/>
        <v>0</v>
      </c>
      <c r="E68" s="67">
        <v>57</v>
      </c>
      <c r="F68" s="157" t="n">
        <v>250.0</v>
      </c>
      <c r="G68" s="9">
        <f si="3" t="shared"/>
        <v>4.7785093737466008E-5</v>
      </c>
    </row>
    <row r="69" spans="1:7" x14ac:dyDescent="0.25">
      <c r="A69">
        <v>58</v>
      </c>
      <c r="B69" s="6" t="n">
        <v>711.727573689</v>
      </c>
      <c r="C69" s="9">
        <f si="2" t="shared"/>
        <v>1.371508200359619E-4</v>
      </c>
      <c r="E69" s="68">
        <v>58</v>
      </c>
      <c r="F69" s="158" t="n">
        <v>203.0</v>
      </c>
      <c r="G69" s="9">
        <f si="3" t="shared"/>
        <v>4.4138841604888281E-5</v>
      </c>
    </row>
    <row r="70" spans="1:7" x14ac:dyDescent="0.25">
      <c r="A70">
        <v>59</v>
      </c>
      <c r="B70" s="6" t="n">
        <v>507.743697633</v>
      </c>
      <c r="C70" s="9">
        <f si="2" t="shared"/>
        <v>9.7842864422850902E-5</v>
      </c>
      <c r="E70" s="69">
        <v>59</v>
      </c>
      <c r="F70" s="159" t="n">
        <v>362.0</v>
      </c>
      <c r="G70" s="9">
        <f si="3" t="shared"/>
        <v>3.5694889297866176E-5</v>
      </c>
    </row>
    <row r="71" spans="1:7" x14ac:dyDescent="0.25">
      <c r="A71">
        <v>60</v>
      </c>
      <c r="B71" s="6" t="n">
        <v>0.0</v>
      </c>
      <c r="C71" s="9">
        <f si="2" t="shared"/>
        <v>0</v>
      </c>
      <c r="E71" s="70">
        <v>60</v>
      </c>
      <c r="F71" s="160" t="n">
        <v>167.0</v>
      </c>
      <c r="G71" s="9">
        <f si="3" t="shared"/>
        <v>2.4756132900132991E-5</v>
      </c>
    </row>
    <row r="72" spans="1:7" x14ac:dyDescent="0.25">
      <c r="A72">
        <v>61</v>
      </c>
      <c r="B72" s="6" t="n">
        <v>1707.027510072</v>
      </c>
      <c r="C72" s="9">
        <f si="2" t="shared"/>
        <v>3.2894639955683856E-4</v>
      </c>
      <c r="E72" s="71">
        <v>61</v>
      </c>
      <c r="F72" s="161" t="n">
        <v>102.0</v>
      </c>
      <c r="G72" s="9">
        <f si="3" t="shared"/>
        <v>1.458500853031091E-5</v>
      </c>
    </row>
    <row r="73" spans="1:7" x14ac:dyDescent="0.25">
      <c r="A73">
        <v>62</v>
      </c>
      <c r="B73" s="6" t="n">
        <v>413.740782213</v>
      </c>
      <c r="C73" s="9">
        <f si="2" t="shared"/>
        <v>7.9728381561382079E-5</v>
      </c>
      <c r="E73" s="72">
        <v>62</v>
      </c>
      <c r="F73" s="162" t="n">
        <v>157.0</v>
      </c>
      <c r="G73" s="9">
        <f si="3" t="shared"/>
        <v>1.8039352655910863E-5</v>
      </c>
    </row>
    <row r="74" spans="1:7" x14ac:dyDescent="0.25">
      <c r="A74">
        <v>63</v>
      </c>
      <c r="B74" s="6" t="n">
        <v>0.0</v>
      </c>
      <c r="C74" s="9">
        <f si="2" t="shared"/>
        <v>0</v>
      </c>
      <c r="E74" s="73">
        <v>63</v>
      </c>
      <c r="F74" s="163" t="n">
        <v>104.0</v>
      </c>
      <c r="G74" s="9">
        <f si="3" t="shared"/>
        <v>1.9766524718710837E-5</v>
      </c>
    </row>
    <row r="75" spans="1:7" x14ac:dyDescent="0.25">
      <c r="A75">
        <v>64</v>
      </c>
      <c r="B75" s="6" t="n">
        <v>0.0</v>
      </c>
      <c r="C75" s="9">
        <f si="2" t="shared"/>
        <v>0</v>
      </c>
      <c r="E75" s="74">
        <v>64</v>
      </c>
      <c r="F75" s="164" t="n">
        <v>82.0</v>
      </c>
      <c r="G75" s="9">
        <f si="3" t="shared"/>
        <v>9.9792163628443063E-6</v>
      </c>
    </row>
    <row r="76" spans="1:7" x14ac:dyDescent="0.25">
      <c r="A76">
        <v>65</v>
      </c>
      <c r="B76" s="6" t="n">
        <v>0.0</v>
      </c>
      <c r="C76" s="9">
        <f si="2" t="shared"/>
        <v>0</v>
      </c>
      <c r="E76" s="75">
        <v>65</v>
      </c>
      <c r="F76" s="165" t="n">
        <v>37.0</v>
      </c>
      <c r="G76" s="9">
        <f si="3" t="shared"/>
        <v>1.5928364579155335E-5</v>
      </c>
    </row>
    <row r="77" spans="1:7" x14ac:dyDescent="0.25">
      <c r="A77">
        <v>66</v>
      </c>
      <c r="B77" s="6" t="n">
        <v>0.0</v>
      </c>
      <c r="C77" s="9">
        <f ref="C77:C102" si="4" t="shared">B77/B$102</f>
        <v>0</v>
      </c>
      <c r="E77" s="76">
        <v>66</v>
      </c>
      <c r="F77" s="166" t="n">
        <v>48.0</v>
      </c>
      <c r="G77" s="9">
        <f ref="G77:G102" si="5" t="shared">F77/F$102</f>
        <v>1.2090204439599833E-5</v>
      </c>
    </row>
    <row r="78" spans="1:7" x14ac:dyDescent="0.25">
      <c r="A78">
        <v>67</v>
      </c>
      <c r="B78" s="6" t="n">
        <v>0.0</v>
      </c>
      <c r="C78" s="9">
        <f si="4" t="shared"/>
        <v>0</v>
      </c>
      <c r="E78" s="77">
        <v>67</v>
      </c>
      <c r="F78" s="167" t="n">
        <v>44.0</v>
      </c>
      <c r="G78" s="9">
        <f si="5" t="shared"/>
        <v>1.1514480418666509E-5</v>
      </c>
    </row>
    <row r="79" spans="1:7" x14ac:dyDescent="0.25">
      <c r="A79">
        <v>68</v>
      </c>
      <c r="B79" s="6" t="n">
        <v>629.76290591</v>
      </c>
      <c r="C79" s="9">
        <f si="4" t="shared"/>
        <v>1.2135612299816358E-4</v>
      </c>
      <c r="E79" s="78">
        <v>68</v>
      </c>
      <c r="F79" s="168" t="n">
        <v>50.0</v>
      </c>
      <c r="G79" s="9">
        <f si="5" t="shared"/>
        <v>5.7572402093332543E-6</v>
      </c>
    </row>
    <row r="80" spans="1:7" x14ac:dyDescent="0.25">
      <c r="A80">
        <v>69</v>
      </c>
      <c r="B80" s="6" t="n">
        <v>1092.741662888</v>
      </c>
      <c r="C80" s="9">
        <f si="4" t="shared"/>
        <v>2.1057272570703856E-4</v>
      </c>
      <c r="E80" s="79">
        <v>69</v>
      </c>
      <c r="F80" s="169" t="n">
        <v>71.0</v>
      </c>
      <c r="G80" s="9">
        <f si="5" t="shared"/>
        <v>1.2282112446577608E-5</v>
      </c>
    </row>
    <row r="81" spans="1:7" x14ac:dyDescent="0.25">
      <c r="A81">
        <v>70</v>
      </c>
      <c r="B81" s="6" t="n">
        <v>0.0</v>
      </c>
      <c r="C81" s="9">
        <f si="4" t="shared"/>
        <v>0</v>
      </c>
      <c r="E81" s="80">
        <v>70</v>
      </c>
      <c r="F81" s="170" t="n">
        <v>100.0</v>
      </c>
      <c r="G81" s="9">
        <f si="5" t="shared"/>
        <v>1.573645657217756E-5</v>
      </c>
    </row>
    <row r="82" spans="1:7" x14ac:dyDescent="0.25">
      <c r="A82">
        <v>71</v>
      </c>
      <c r="B82" s="6" t="n">
        <v>2000.113239284</v>
      </c>
      <c r="C82" s="9">
        <f si="4" t="shared"/>
        <v>3.8542439702139697E-4</v>
      </c>
      <c r="E82" s="81">
        <v>71</v>
      </c>
      <c r="F82" s="171" t="n">
        <v>51.0</v>
      </c>
      <c r="G82" s="9">
        <f si="5" t="shared"/>
        <v>1.5544548565199784E-5</v>
      </c>
    </row>
    <row r="83" spans="1:7" x14ac:dyDescent="0.25">
      <c r="A83">
        <v>72</v>
      </c>
      <c r="B83" s="6" t="n">
        <v>432.731781518</v>
      </c>
      <c r="C83" s="9">
        <f si="4" t="shared"/>
        <v>8.3387971584686788E-5</v>
      </c>
      <c r="E83" s="82">
        <v>72</v>
      </c>
      <c r="F83" s="172" t="n">
        <v>37.0</v>
      </c>
      <c r="G83" s="9">
        <f si="5" t="shared"/>
        <v>4.2219761535110529E-6</v>
      </c>
    </row>
    <row r="84" spans="1:7" x14ac:dyDescent="0.25">
      <c r="A84">
        <v>73</v>
      </c>
      <c r="B84" s="6" t="n">
        <v>0.0</v>
      </c>
      <c r="C84" s="9">
        <f si="4" t="shared"/>
        <v>0</v>
      </c>
      <c r="E84" s="83">
        <v>73</v>
      </c>
      <c r="F84" s="173" t="n">
        <v>41.0</v>
      </c>
      <c r="G84" s="9">
        <f si="5" t="shared"/>
        <v>5.9491482163110287E-6</v>
      </c>
    </row>
    <row r="85" spans="1:7" x14ac:dyDescent="0.25">
      <c r="A85">
        <v>74</v>
      </c>
      <c r="B85" s="6" t="n">
        <v>0.0</v>
      </c>
      <c r="C85" s="9">
        <f si="4" t="shared"/>
        <v>0</v>
      </c>
      <c r="E85" s="84">
        <v>74</v>
      </c>
      <c r="F85" s="174" t="n">
        <v>29.0</v>
      </c>
      <c r="G85" s="9">
        <f si="5" t="shared"/>
        <v>4.2219761535110529E-6</v>
      </c>
    </row>
    <row r="86" spans="1:7" x14ac:dyDescent="0.25">
      <c r="A86">
        <v>75</v>
      </c>
      <c r="B86" s="6" t="n">
        <v>531.697250215</v>
      </c>
      <c r="C86" s="9">
        <f si="4" t="shared"/>
        <v>1.0245874485357224E-4</v>
      </c>
      <c r="E86" s="85">
        <v>75</v>
      </c>
      <c r="F86" s="175" t="n">
        <v>19.0</v>
      </c>
      <c r="G86" s="9">
        <f si="5" t="shared"/>
        <v>1.0554940383777632E-5</v>
      </c>
    </row>
    <row r="87" spans="1:7" x14ac:dyDescent="0.25">
      <c r="A87">
        <v>76</v>
      </c>
      <c r="B87" s="6" t="n">
        <v>0.0</v>
      </c>
      <c r="C87" s="9">
        <f si="4" t="shared"/>
        <v>0</v>
      </c>
      <c r="E87" s="86">
        <v>76</v>
      </c>
      <c r="F87" s="176" t="n">
        <v>17.0</v>
      </c>
      <c r="G87" s="9">
        <f si="5" t="shared"/>
        <v>4.7977001744443787E-6</v>
      </c>
    </row>
    <row r="88" spans="1:7" x14ac:dyDescent="0.25">
      <c r="A88">
        <v>77</v>
      </c>
      <c r="B88" s="6" t="n">
        <v>0.0</v>
      </c>
      <c r="C88" s="9">
        <f si="4" t="shared"/>
        <v>0</v>
      </c>
      <c r="E88" s="87">
        <v>77</v>
      </c>
      <c r="F88" s="177" t="n">
        <v>13.0</v>
      </c>
      <c r="G88" s="9">
        <f si="5" t="shared"/>
        <v>3.8381601395555023E-6</v>
      </c>
    </row>
    <row r="89" spans="1:7" x14ac:dyDescent="0.25">
      <c r="A89">
        <v>78</v>
      </c>
      <c r="B89" s="6" t="n">
        <v>1107.419474436</v>
      </c>
      <c r="C89" s="9">
        <f si="4" t="shared"/>
        <v>2.134011588949048E-4</v>
      </c>
      <c r="E89" s="88">
        <v>78</v>
      </c>
      <c r="F89" s="178" t="n">
        <v>6.0</v>
      </c>
      <c r="G89" s="9">
        <f si="5" t="shared"/>
        <v>7.676320279111005E-7</v>
      </c>
    </row>
    <row r="90" spans="1:7" x14ac:dyDescent="0.25">
      <c r="A90">
        <v>79</v>
      </c>
      <c r="B90" s="6" t="n">
        <v>0.0</v>
      </c>
      <c r="C90" s="9">
        <f si="4" t="shared"/>
        <v>0</v>
      </c>
      <c r="E90" s="89">
        <v>79</v>
      </c>
      <c r="F90" s="179" t="n">
        <v>3.0</v>
      </c>
      <c r="G90" s="9">
        <f si="5" t="shared"/>
        <v>7.676320279111005E-7</v>
      </c>
    </row>
    <row r="91" spans="1:7" x14ac:dyDescent="0.25">
      <c r="A91">
        <v>80</v>
      </c>
      <c r="B91" s="6" t="n">
        <v>0.0</v>
      </c>
      <c r="C91" s="9">
        <f si="4" t="shared"/>
        <v>0</v>
      </c>
      <c r="E91" s="90">
        <v>80</v>
      </c>
      <c r="F91" s="180" t="n">
        <v>8.0</v>
      </c>
      <c r="G91" s="9">
        <f si="5" t="shared"/>
        <v>1.3433560488444259E-6</v>
      </c>
    </row>
    <row r="92" spans="1:7" x14ac:dyDescent="0.25">
      <c r="A92">
        <v>81</v>
      </c>
      <c r="B92" s="6" t="n">
        <v>779.472231969</v>
      </c>
      <c r="C92" s="9">
        <f si="4" t="shared"/>
        <v>1.5020530293030873E-4</v>
      </c>
      <c r="E92" s="91">
        <v>81</v>
      </c>
      <c r="F92" s="181" t="n">
        <v>7.0</v>
      </c>
      <c r="G92" s="9">
        <f si="5" t="shared"/>
        <v>3.8381601395555025E-7</v>
      </c>
    </row>
    <row r="93" spans="1:7" x14ac:dyDescent="0.25">
      <c r="A93">
        <v>82</v>
      </c>
      <c r="B93" s="6" t="n">
        <v>0.0</v>
      </c>
      <c r="C93" s="9">
        <f si="4" t="shared"/>
        <v>0</v>
      </c>
      <c r="E93" s="92">
        <v>82</v>
      </c>
      <c r="F93" s="182" t="n">
        <v>7.0</v>
      </c>
      <c r="G93" s="9">
        <f si="5" t="shared"/>
        <v>0</v>
      </c>
    </row>
    <row r="94" spans="1:7" x14ac:dyDescent="0.25">
      <c r="A94">
        <v>83</v>
      </c>
      <c r="B94" s="6" t="n">
        <v>351.630709955</v>
      </c>
      <c r="C94" s="9">
        <f si="4" t="shared"/>
        <v>6.7759690649879178E-5</v>
      </c>
      <c r="E94" s="93">
        <v>83</v>
      </c>
      <c r="F94" s="183" t="n">
        <v>5.0</v>
      </c>
      <c r="G94" s="9">
        <f si="5" t="shared"/>
        <v>2.3028960837333017E-6</v>
      </c>
    </row>
    <row r="95" spans="1:7" x14ac:dyDescent="0.25">
      <c r="A95">
        <v>84</v>
      </c>
      <c r="B95" s="6" t="n">
        <v>667.452792716</v>
      </c>
      <c r="C95" s="9">
        <f si="4" t="shared"/>
        <v>1.2861901272395105E-4</v>
      </c>
      <c r="E95" s="94">
        <v>84</v>
      </c>
      <c r="F95" s="184" t="n">
        <v>6.0</v>
      </c>
      <c r="G95" s="9">
        <f si="5" t="shared"/>
        <v>1.7271720627999763E-6</v>
      </c>
    </row>
    <row r="96" spans="1:7" x14ac:dyDescent="0.25">
      <c r="A96">
        <v>85</v>
      </c>
      <c r="B96" s="6" t="n">
        <v>0.0</v>
      </c>
      <c r="C96" s="9">
        <f si="4" t="shared"/>
        <v>0</v>
      </c>
      <c r="E96" s="95">
        <v>85</v>
      </c>
      <c r="F96" s="185" t="n">
        <v>11.0</v>
      </c>
      <c r="G96" s="9">
        <f si="5" t="shared"/>
        <v>1.3433560488444259E-6</v>
      </c>
    </row>
    <row r="97" spans="1:7" x14ac:dyDescent="0.25">
      <c r="A97">
        <v>86</v>
      </c>
      <c r="B97" s="6" t="n">
        <v>143.175005361</v>
      </c>
      <c r="C97" s="9">
        <f si="4" t="shared"/>
        <v>2.7590007918528228E-5</v>
      </c>
      <c r="E97" s="96">
        <v>86</v>
      </c>
      <c r="F97" s="186" t="n">
        <v>8.0</v>
      </c>
      <c r="G97" s="9">
        <f si="5" t="shared"/>
        <v>5.7572402093332543E-7</v>
      </c>
    </row>
    <row r="98" spans="1:7" x14ac:dyDescent="0.25">
      <c r="A98">
        <v>87</v>
      </c>
      <c r="B98" s="6" t="n">
        <v>82.8897619551</v>
      </c>
      <c r="C98" s="9">
        <f si="4" t="shared"/>
        <v>1.5972963876899386E-5</v>
      </c>
      <c r="E98" s="97">
        <v>87</v>
      </c>
      <c r="F98" s="187" t="n">
        <v>0.0</v>
      </c>
      <c r="G98" s="9">
        <f si="5" t="shared"/>
        <v>3.8381601395555025E-7</v>
      </c>
    </row>
    <row r="99" spans="1:7" x14ac:dyDescent="0.25">
      <c r="A99">
        <v>88</v>
      </c>
      <c r="B99" s="6" t="n">
        <v>0.0</v>
      </c>
      <c r="C99" s="9">
        <f si="4" t="shared"/>
        <v>0</v>
      </c>
      <c r="E99" s="98">
        <v>88</v>
      </c>
      <c r="F99" s="188" t="n">
        <v>0.0</v>
      </c>
      <c r="G99" s="9">
        <f si="5" t="shared"/>
        <v>1.9190800697777513E-7</v>
      </c>
    </row>
    <row r="100" spans="1:7" x14ac:dyDescent="0.25">
      <c r="A100">
        <v>89</v>
      </c>
      <c r="B100" s="6" t="n">
        <v>292.16039971099997</v>
      </c>
      <c r="C100" s="9">
        <f si="4" t="shared"/>
        <v>5.6299685278046091E-5</v>
      </c>
      <c r="E100" s="99">
        <v>89</v>
      </c>
      <c r="F100" s="189" t="n">
        <v>0.0</v>
      </c>
      <c r="G100" s="9">
        <f si="5" t="shared"/>
        <v>3.8381601395555025E-7</v>
      </c>
    </row>
    <row ht="15.75" r="101" spans="1:7" thickBot="1" x14ac:dyDescent="0.3">
      <c r="A101" s="1">
        <v>90</v>
      </c>
      <c r="B101" s="7" t="n">
        <v>3956.7258062524</v>
      </c>
      <c r="C101" s="9">
        <f si="4" t="shared"/>
        <v>7.6246615846598659E-4</v>
      </c>
      <c r="E101" s="372">
        <v>90</v>
      </c>
      <c r="F101" s="372" t="n">
        <v>10.0</v>
      </c>
      <c r="G101" s="9">
        <f si="5" t="shared"/>
        <v>2.3028960837333017E-6</v>
      </c>
    </row>
    <row r="102" spans="1:7" x14ac:dyDescent="0.25">
      <c r="B102" s="6">
        <f>SUM(B11:B101)</f>
        <v>5189378.9151415937</v>
      </c>
      <c r="C102" s="9">
        <f si="4" t="shared"/>
        <v>1</v>
      </c>
      <c r="F102" s="6">
        <f>SUM(F11:F101)</f>
        <v>5210830</v>
      </c>
      <c r="G102" s="9">
        <f si="5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A3" sqref="A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18817.0</v>
      </c>
      <c r="G11" s="9">
        <f>F11/F$102</f>
        <v>3.6274451478939054E-3</v>
      </c>
      <c r="K11" s="6" t="n">
        <v>33.15637566194111</v>
      </c>
      <c r="L11" s="6" t="n">
        <v>23.60041630928396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191">
        <v>1</v>
      </c>
      <c r="F12" s="281" t="n">
        <v>79954.0</v>
      </c>
      <c r="G12" s="9">
        <f>F12/F$102</f>
        <v>1.5314450864833433E-2</v>
      </c>
      <c r="K12" s="6"/>
      <c r="L12" s="371"/>
    </row>
    <row r="13" spans="1:12" x14ac:dyDescent="0.25">
      <c r="A13">
        <v>2</v>
      </c>
      <c r="B13" s="6" t="n">
        <v>0.0</v>
      </c>
      <c r="C13" s="9">
        <f ref="C13:C76" si="0" t="shared">B13/B$102</f>
        <v>0</v>
      </c>
      <c r="E13" s="192">
        <v>2</v>
      </c>
      <c r="F13" s="282" t="n">
        <v>103774.0</v>
      </c>
      <c r="G13" s="9">
        <f ref="G13:G76" si="1" t="shared">F13/F$102</f>
        <v>1.9825440476853015E-2</v>
      </c>
    </row>
    <row r="14" spans="1:12" x14ac:dyDescent="0.25">
      <c r="A14">
        <v>3</v>
      </c>
      <c r="B14" s="6" t="n">
        <v>385.0715068968</v>
      </c>
      <c r="C14" s="9">
        <f si="0" t="shared"/>
        <v>7.4203775286718133E-5</v>
      </c>
      <c r="E14" s="193">
        <v>3</v>
      </c>
      <c r="F14" s="283" t="n">
        <v>118170.0</v>
      </c>
      <c r="G14" s="9">
        <f si="1" t="shared"/>
        <v>2.2628065010756444E-2</v>
      </c>
    </row>
    <row r="15" spans="1:12" x14ac:dyDescent="0.25">
      <c r="A15">
        <v>4</v>
      </c>
      <c r="B15" s="6" t="n">
        <v>2709.2994676039</v>
      </c>
      <c r="C15" s="9">
        <f si="0" t="shared"/>
        <v>5.2208549653190558E-4</v>
      </c>
      <c r="E15" s="194">
        <v>4</v>
      </c>
      <c r="F15" s="284" t="n">
        <v>122672.0</v>
      </c>
      <c r="G15" s="9">
        <f si="1" t="shared"/>
        <v>2.3287269014725102E-2</v>
      </c>
    </row>
    <row r="16" spans="1:12" x14ac:dyDescent="0.25">
      <c r="A16">
        <v>5</v>
      </c>
      <c r="B16" s="6" t="n">
        <v>34236.3593478599</v>
      </c>
      <c r="C16" s="9">
        <f si="0" t="shared"/>
        <v>6.5973905370380441E-3</v>
      </c>
      <c r="E16" s="195">
        <v>5</v>
      </c>
      <c r="F16" s="285" t="n">
        <v>123390.0</v>
      </c>
      <c r="G16" s="9">
        <f si="1" t="shared"/>
        <v>2.3531951723621766E-2</v>
      </c>
    </row>
    <row r="17" spans="1:7" x14ac:dyDescent="0.25">
      <c r="A17">
        <v>6</v>
      </c>
      <c r="B17" s="6" t="n">
        <v>22355.1161508784</v>
      </c>
      <c r="C17" s="9">
        <f si="0" t="shared"/>
        <v>4.3078596719253893E-3</v>
      </c>
      <c r="E17" s="196">
        <v>6</v>
      </c>
      <c r="F17" s="286" t="n">
        <v>119583.0</v>
      </c>
      <c r="G17" s="9">
        <f si="1" t="shared"/>
        <v>2.2853173102941375E-2</v>
      </c>
    </row>
    <row r="18" spans="1:7" x14ac:dyDescent="0.25">
      <c r="A18">
        <v>7</v>
      </c>
      <c r="B18" s="6" t="n">
        <v>30142.242277156</v>
      </c>
      <c r="C18" s="9">
        <f si="0" t="shared"/>
        <v>5.8084489049752813E-3</v>
      </c>
      <c r="E18" s="197">
        <v>7</v>
      </c>
      <c r="F18" s="287" t="n">
        <v>115048.0</v>
      </c>
      <c r="G18" s="9">
        <f si="1" t="shared"/>
        <v>2.1750853510861035E-2</v>
      </c>
    </row>
    <row r="19" spans="1:7" x14ac:dyDescent="0.25">
      <c r="A19">
        <v>8</v>
      </c>
      <c r="B19" s="6" t="n">
        <v>15011.162460144</v>
      </c>
      <c r="C19" s="9">
        <f si="0" t="shared"/>
        <v>2.8926703379366578E-3</v>
      </c>
      <c r="E19" s="198">
        <v>8</v>
      </c>
      <c r="F19" s="288" t="n">
        <v>106634.0</v>
      </c>
      <c r="G19" s="9">
        <f si="1" t="shared"/>
        <v>2.0279111005348478E-2</v>
      </c>
    </row>
    <row r="20" spans="1:7" x14ac:dyDescent="0.25">
      <c r="A20">
        <v>9</v>
      </c>
      <c r="B20" s="6" t="n">
        <v>66381.1433951983</v>
      </c>
      <c r="C20" s="9">
        <f si="0" t="shared"/>
        <v>1.2791731820066385E-2</v>
      </c>
      <c r="E20" s="199">
        <v>9</v>
      </c>
      <c r="F20" s="289" t="n">
        <v>99757.0</v>
      </c>
      <c r="G20" s="9">
        <f si="1" t="shared"/>
        <v>1.8995054530660183E-2</v>
      </c>
    </row>
    <row r="21" spans="1:7" x14ac:dyDescent="0.25">
      <c r="A21">
        <v>10</v>
      </c>
      <c r="B21" s="6" t="n">
        <v>14850.5816504721</v>
      </c>
      <c r="C21" s="9">
        <f si="0" t="shared"/>
        <v>2.861726209111654E-3</v>
      </c>
      <c r="E21" s="200">
        <v>10</v>
      </c>
      <c r="F21" s="290" t="n">
        <v>92262.0</v>
      </c>
      <c r="G21" s="9">
        <f si="1" t="shared"/>
        <v>1.7619649844650469E-2</v>
      </c>
    </row>
    <row r="22" spans="1:7" x14ac:dyDescent="0.25">
      <c r="A22">
        <v>11</v>
      </c>
      <c r="B22" s="6" t="n">
        <v>51657.3420378453</v>
      </c>
      <c r="C22" s="9">
        <f si="0" t="shared"/>
        <v>9.9544363367105974E-3</v>
      </c>
      <c r="E22" s="201">
        <v>11</v>
      </c>
      <c r="F22" s="291" t="n">
        <v>85252.0</v>
      </c>
      <c r="G22" s="9">
        <f si="1" t="shared"/>
        <v>1.6297787492587552E-2</v>
      </c>
    </row>
    <row r="23" spans="1:7" x14ac:dyDescent="0.25">
      <c r="A23">
        <v>12</v>
      </c>
      <c r="B23" s="6" t="n">
        <v>99978.2447668433</v>
      </c>
      <c r="C23" s="9">
        <f si="0" t="shared"/>
        <v>1.9265936521830448E-2</v>
      </c>
      <c r="E23" s="202">
        <v>12</v>
      </c>
      <c r="F23" s="292" t="n">
        <v>78263.0</v>
      </c>
      <c r="G23" s="9">
        <f si="1" t="shared"/>
        <v>1.5001640813459659E-2</v>
      </c>
    </row>
    <row r="24" spans="1:7" x14ac:dyDescent="0.25">
      <c r="A24">
        <v>13</v>
      </c>
      <c r="B24" s="6" t="n">
        <v>95344.9680401975</v>
      </c>
      <c r="C24" s="9">
        <f si="0" t="shared"/>
        <v>1.8373098129720211E-2</v>
      </c>
      <c r="E24" s="203">
        <v>13</v>
      </c>
      <c r="F24" s="293" t="n">
        <v>72357.0</v>
      </c>
      <c r="G24" s="9">
        <f si="1" t="shared"/>
        <v>1.3848657507537186E-2</v>
      </c>
    </row>
    <row r="25" spans="1:7" x14ac:dyDescent="0.25">
      <c r="A25">
        <v>14</v>
      </c>
      <c r="B25" s="6" t="n">
        <v>60754.7828539155</v>
      </c>
      <c r="C25" s="9">
        <f si="0" t="shared"/>
        <v>1.1707524897949717E-2</v>
      </c>
      <c r="E25" s="204">
        <v>14</v>
      </c>
      <c r="F25" s="294" t="n">
        <v>66295.0</v>
      </c>
      <c r="G25" s="9">
        <f si="1" t="shared"/>
        <v>1.2843059550973646E-2</v>
      </c>
    </row>
    <row r="26" spans="1:7" x14ac:dyDescent="0.25">
      <c r="A26">
        <v>15</v>
      </c>
      <c r="B26" s="6" t="n">
        <v>35666.7238188625</v>
      </c>
      <c r="C26" s="9">
        <f si="0" t="shared"/>
        <v>6.873023612670481E-3</v>
      </c>
      <c r="E26" s="205">
        <v>15</v>
      </c>
      <c r="F26" s="295" t="n">
        <v>63251.0</v>
      </c>
      <c r="G26" s="9">
        <f si="1" t="shared"/>
        <v>1.2215328460149343E-2</v>
      </c>
    </row>
    <row r="27" spans="1:7" x14ac:dyDescent="0.25">
      <c r="A27">
        <v>16</v>
      </c>
      <c r="B27" s="6" t="n">
        <v>190005.0030131583</v>
      </c>
      <c r="C27" s="9">
        <f si="0" t="shared"/>
        <v>3.6614208775304656E-2</v>
      </c>
      <c r="E27" s="206">
        <v>16</v>
      </c>
      <c r="F27" s="296" t="n">
        <v>56232.0</v>
      </c>
      <c r="G27" s="9">
        <f si="1" t="shared"/>
        <v>1.0841459038195451E-2</v>
      </c>
    </row>
    <row r="28" spans="1:7" x14ac:dyDescent="0.25">
      <c r="A28">
        <v>17</v>
      </c>
      <c r="B28" s="6" t="n">
        <v>108124.7630154472</v>
      </c>
      <c r="C28" s="9">
        <f si="0" t="shared"/>
        <v>2.0835781079689569E-2</v>
      </c>
      <c r="E28" s="207">
        <v>17</v>
      </c>
      <c r="F28" s="297" t="n">
        <v>51700.0</v>
      </c>
      <c r="G28" s="9">
        <f si="1" t="shared"/>
        <v>1.0075170366333194E-2</v>
      </c>
    </row>
    <row r="29" spans="1:7" x14ac:dyDescent="0.25">
      <c r="A29">
        <v>18</v>
      </c>
      <c r="B29" s="6" t="n">
        <v>369440.4215271662</v>
      </c>
      <c r="C29" s="9">
        <f si="0" t="shared"/>
        <v>7.1191645005765761E-2</v>
      </c>
      <c r="E29" s="208">
        <v>18</v>
      </c>
      <c r="F29" s="298" t="n">
        <v>600801.0</v>
      </c>
      <c r="G29" s="9">
        <f si="1" t="shared"/>
        <v>0.11552746875257876</v>
      </c>
    </row>
    <row r="30" spans="1:7" x14ac:dyDescent="0.25">
      <c r="A30">
        <v>19</v>
      </c>
      <c r="B30" s="6" t="n">
        <v>223484.8479568004</v>
      </c>
      <c r="C30" s="9">
        <f si="0" t="shared"/>
        <v>4.306581801238589E-2</v>
      </c>
      <c r="E30" s="209">
        <v>19</v>
      </c>
      <c r="F30" s="299" t="n">
        <v>210408.0</v>
      </c>
      <c r="G30" s="9">
        <f si="1" t="shared"/>
        <v>3.9707301907757495E-2</v>
      </c>
    </row>
    <row r="31" spans="1:7" x14ac:dyDescent="0.25">
      <c r="A31">
        <v>20</v>
      </c>
      <c r="B31" s="6" t="n">
        <v>326560.4138408979</v>
      </c>
      <c r="C31" s="9">
        <f si="0" t="shared"/>
        <v>6.2928612302342854E-2</v>
      </c>
      <c r="E31" s="210">
        <v>20</v>
      </c>
      <c r="F31" s="300" t="n">
        <v>223002.0</v>
      </c>
      <c r="G31" s="9">
        <f si="1" t="shared"/>
        <v>4.2211125674796526E-2</v>
      </c>
    </row>
    <row r="32" spans="1:7" x14ac:dyDescent="0.25">
      <c r="A32">
        <v>21</v>
      </c>
      <c r="B32" s="6" t="n">
        <v>287545.6118445651</v>
      </c>
      <c r="C32" s="9">
        <f si="0" t="shared"/>
        <v>5.5410409713109052E-2</v>
      </c>
      <c r="E32" s="211">
        <v>21</v>
      </c>
      <c r="F32" s="301" t="n">
        <v>254934.0</v>
      </c>
      <c r="G32" s="9">
        <f si="1" t="shared"/>
        <v>5.003080123511993E-2</v>
      </c>
    </row>
    <row r="33" spans="1:7" x14ac:dyDescent="0.25">
      <c r="A33">
        <v>22</v>
      </c>
      <c r="B33" s="6" t="n">
        <v>241594.0651189768</v>
      </c>
      <c r="C33" s="9">
        <f si="0" t="shared"/>
        <v>4.655548748118056E-2</v>
      </c>
      <c r="E33" s="212">
        <v>22</v>
      </c>
      <c r="F33" s="302" t="n">
        <v>228051.0</v>
      </c>
      <c r="G33" s="9">
        <f si="1" t="shared"/>
        <v>4.3423216646868157E-2</v>
      </c>
    </row>
    <row r="34" spans="1:7" x14ac:dyDescent="0.25">
      <c r="A34">
        <v>23</v>
      </c>
      <c r="B34" s="6" t="n">
        <v>149125.4016161517</v>
      </c>
      <c r="C34" s="9">
        <f si="0" t="shared"/>
        <v>2.8736656940011245E-2</v>
      </c>
      <c r="E34" s="213">
        <v>23</v>
      </c>
      <c r="F34" s="303" t="n">
        <v>216925.0</v>
      </c>
      <c r="G34" s="9">
        <f si="1" t="shared"/>
        <v>4.1999451143100046E-2</v>
      </c>
    </row>
    <row r="35" spans="1:7" x14ac:dyDescent="0.25">
      <c r="A35">
        <v>24</v>
      </c>
      <c r="B35" s="6" t="n">
        <v>185748.6845930994</v>
      </c>
      <c r="C35" s="9">
        <f si="0" t="shared"/>
        <v>3.5794010734332971E-2</v>
      </c>
      <c r="E35" s="214">
        <v>24</v>
      </c>
      <c r="F35" s="304" t="n">
        <v>147847.0</v>
      </c>
      <c r="G35" s="9">
        <f si="1" t="shared"/>
        <v>2.8178620296574634E-2</v>
      </c>
    </row>
    <row r="36" spans="1:7" x14ac:dyDescent="0.25">
      <c r="A36">
        <v>25</v>
      </c>
      <c r="B36" s="6" t="n">
        <v>124530.5330670162</v>
      </c>
      <c r="C36" s="9">
        <f si="0" t="shared"/>
        <v>2.3997194096515177E-2</v>
      </c>
      <c r="E36" s="215">
        <v>25</v>
      </c>
      <c r="F36" s="305" t="n">
        <v>140661.0</v>
      </c>
      <c r="G36" s="9">
        <f si="1" t="shared"/>
        <v>2.6843132476016298E-2</v>
      </c>
    </row>
    <row r="37" spans="1:7" x14ac:dyDescent="0.25">
      <c r="A37">
        <v>26</v>
      </c>
      <c r="B37" s="6" t="n">
        <v>326659.18690826383</v>
      </c>
      <c r="C37" s="9">
        <f si="0" t="shared"/>
        <v>6.2947645999627461E-2</v>
      </c>
      <c r="E37" s="216">
        <v>26</v>
      </c>
      <c r="F37" s="306" t="n">
        <v>147304.0</v>
      </c>
      <c r="G37" s="9">
        <f si="1" t="shared"/>
        <v>2.6871151045035051E-2</v>
      </c>
    </row>
    <row r="38" spans="1:7" x14ac:dyDescent="0.25">
      <c r="A38">
        <v>27</v>
      </c>
      <c r="B38" s="6" t="n">
        <v>80996.7483393223</v>
      </c>
      <c r="C38" s="9">
        <f si="0" t="shared"/>
        <v>1.5608177715254056E-2</v>
      </c>
      <c r="E38" s="217">
        <v>27</v>
      </c>
      <c r="F38" s="307" t="n">
        <v>117489.0</v>
      </c>
      <c r="G38" s="9">
        <f si="1" t="shared"/>
        <v>2.3795249509195274E-2</v>
      </c>
    </row>
    <row r="39" spans="1:7" x14ac:dyDescent="0.25">
      <c r="A39">
        <v>28</v>
      </c>
      <c r="B39" s="6" t="n">
        <v>126516.420916542</v>
      </c>
      <c r="C39" s="9">
        <f si="0" t="shared"/>
        <v>2.4379877242610249E-2</v>
      </c>
      <c r="E39" s="218">
        <v>28</v>
      </c>
      <c r="F39" s="308" t="n">
        <v>115321.0</v>
      </c>
      <c r="G39" s="9">
        <f si="1" t="shared"/>
        <v>2.2023170972762497E-2</v>
      </c>
    </row>
    <row r="40" spans="1:7" x14ac:dyDescent="0.25">
      <c r="A40">
        <v>29</v>
      </c>
      <c r="B40" s="6" t="n">
        <v>114504.2579660719</v>
      </c>
      <c r="C40" s="9">
        <f si="0" t="shared"/>
        <v>2.2065117972397595E-2</v>
      </c>
      <c r="E40" s="219">
        <v>29</v>
      </c>
      <c r="F40" s="309" t="n">
        <v>75742.0</v>
      </c>
      <c r="G40" s="9">
        <f si="1" t="shared"/>
        <v>1.918600299760307E-2</v>
      </c>
    </row>
    <row r="41" spans="1:7" x14ac:dyDescent="0.25">
      <c r="A41">
        <v>30</v>
      </c>
      <c r="B41" s="6" t="n">
        <v>82985.5152186593</v>
      </c>
      <c r="C41" s="9">
        <f si="0" t="shared"/>
        <v>1.5991415654101455E-2</v>
      </c>
      <c r="E41" s="220">
        <v>30</v>
      </c>
      <c r="F41" s="310" t="n">
        <v>129258.0</v>
      </c>
      <c r="G41" s="9">
        <f si="1" t="shared"/>
        <v>1.9727183577280396E-2</v>
      </c>
    </row>
    <row r="42" spans="1:7" x14ac:dyDescent="0.25">
      <c r="A42">
        <v>31</v>
      </c>
      <c r="B42" s="6" t="n">
        <v>60985.1170806298</v>
      </c>
      <c r="C42" s="9">
        <f si="0" t="shared"/>
        <v>1.1751910600069528E-2</v>
      </c>
      <c r="E42" s="221">
        <v>31</v>
      </c>
      <c r="F42" s="311" t="n">
        <v>62716.0</v>
      </c>
      <c r="G42" s="9">
        <f si="1" t="shared"/>
        <v>1.2557692344597693E-2</v>
      </c>
    </row>
    <row r="43" spans="1:7" x14ac:dyDescent="0.25">
      <c r="A43">
        <v>32</v>
      </c>
      <c r="B43" s="6" t="n">
        <v>62776.1311125203</v>
      </c>
      <c r="C43" s="9">
        <f si="0" t="shared"/>
        <v>1.2097041310541385E-2</v>
      </c>
      <c r="E43" s="222">
        <v>32</v>
      </c>
      <c r="F43" s="312" t="n">
        <v>83991.0</v>
      </c>
      <c r="G43" s="9">
        <f si="1" t="shared"/>
        <v>1.5784817389935962E-2</v>
      </c>
    </row>
    <row r="44" spans="1:7" x14ac:dyDescent="0.25">
      <c r="A44">
        <v>33</v>
      </c>
      <c r="B44" s="6" t="n">
        <v>57296.1784266919</v>
      </c>
      <c r="C44" s="9">
        <f si="0" t="shared"/>
        <v>1.1041047370719615E-2</v>
      </c>
      <c r="E44" s="223">
        <v>33</v>
      </c>
      <c r="F44" s="313" t="n">
        <v>88744.0</v>
      </c>
      <c r="G44" s="9">
        <f si="1" t="shared"/>
        <v>1.6750306573041145E-2</v>
      </c>
    </row>
    <row r="45" spans="1:7" x14ac:dyDescent="0.25">
      <c r="A45">
        <v>34</v>
      </c>
      <c r="B45" s="6" t="n">
        <v>104060.7104702549</v>
      </c>
      <c r="C45" s="9">
        <f si="0" t="shared"/>
        <v>2.005263292041097E-2</v>
      </c>
      <c r="E45" s="224">
        <v>34</v>
      </c>
      <c r="F45" s="314" t="n">
        <v>76322.0</v>
      </c>
      <c r="G45" s="9">
        <f si="1" t="shared"/>
        <v>1.5977301120934668E-2</v>
      </c>
    </row>
    <row r="46" spans="1:7" x14ac:dyDescent="0.25">
      <c r="A46">
        <v>35</v>
      </c>
      <c r="B46" s="6" t="n">
        <v>39907.2136583181</v>
      </c>
      <c r="C46" s="9">
        <f si="0" t="shared"/>
        <v>7.6901714657753445E-3</v>
      </c>
      <c r="E46" s="225">
        <v>35</v>
      </c>
      <c r="F46" s="315" t="n">
        <v>61676.0</v>
      </c>
      <c r="G46" s="9">
        <f si="1" t="shared"/>
        <v>1.1661098135997527E-2</v>
      </c>
    </row>
    <row r="47" spans="1:7" x14ac:dyDescent="0.25">
      <c r="A47">
        <v>36</v>
      </c>
      <c r="B47" s="6" t="n">
        <v>61164.615913669404</v>
      </c>
      <c r="C47" s="9">
        <f si="0" t="shared"/>
        <v>1.1786500256360738E-2</v>
      </c>
      <c r="E47" s="226">
        <v>36</v>
      </c>
      <c r="F47" s="316" t="n">
        <v>42130.0</v>
      </c>
      <c r="G47" s="9">
        <f si="1" t="shared"/>
        <v>7.1620068204105679E-3</v>
      </c>
    </row>
    <row r="48" spans="1:7" x14ac:dyDescent="0.25">
      <c r="A48">
        <v>37</v>
      </c>
      <c r="B48" s="6" t="n">
        <v>77475.6383161964</v>
      </c>
      <c r="C48" s="9">
        <f si="0" t="shared"/>
        <v>1.4929655279196829E-2</v>
      </c>
      <c r="E48" s="227">
        <v>37</v>
      </c>
      <c r="F48" s="317" t="n">
        <v>41014.0</v>
      </c>
      <c r="G48" s="9">
        <f si="1" t="shared"/>
        <v>7.6932081837250499E-3</v>
      </c>
    </row>
    <row r="49" spans="1:7" x14ac:dyDescent="0.25">
      <c r="A49">
        <v>38</v>
      </c>
      <c r="B49" s="6" t="n">
        <v>88008.3350026262</v>
      </c>
      <c r="C49" s="9">
        <f si="0" t="shared"/>
        <v>1.6959319495023783E-2</v>
      </c>
      <c r="E49" s="228">
        <v>38</v>
      </c>
      <c r="F49" s="318" t="n">
        <v>29037.0</v>
      </c>
      <c r="G49" s="9">
        <f si="1" t="shared"/>
        <v>6.2414241109381803E-3</v>
      </c>
    </row>
    <row r="50" spans="1:7" x14ac:dyDescent="0.25">
      <c r="A50">
        <v>39</v>
      </c>
      <c r="B50" s="6" t="n">
        <v>27723.3195032812</v>
      </c>
      <c r="C50" s="9">
        <f si="0" t="shared"/>
        <v>5.3423193712815939E-3</v>
      </c>
      <c r="E50" s="229">
        <v>39</v>
      </c>
      <c r="F50" s="319" t="n">
        <v>47504.0</v>
      </c>
      <c r="G50" s="9">
        <f si="1" t="shared"/>
        <v>9.1160141474582752E-3</v>
      </c>
    </row>
    <row r="51" spans="1:7" x14ac:dyDescent="0.25">
      <c r="A51">
        <v>40</v>
      </c>
      <c r="B51" s="6" t="n">
        <v>46166.9919722398</v>
      </c>
      <c r="C51" s="9">
        <f si="0" t="shared"/>
        <v>8.8964388084156916E-3</v>
      </c>
      <c r="E51" s="230">
        <v>40</v>
      </c>
      <c r="F51" s="320" t="n">
        <v>32133.0</v>
      </c>
      <c r="G51" s="9">
        <f si="1" t="shared"/>
        <v>7.4324052022422529E-3</v>
      </c>
    </row>
    <row r="52" spans="1:7" x14ac:dyDescent="0.25">
      <c r="A52">
        <v>41</v>
      </c>
      <c r="B52" s="6" t="n">
        <v>29538.5247150654</v>
      </c>
      <c r="C52" s="9">
        <f si="0" t="shared"/>
        <v>5.6921117532731623E-3</v>
      </c>
      <c r="E52" s="231">
        <v>41</v>
      </c>
      <c r="F52" s="321" t="n">
        <v>36427.0</v>
      </c>
      <c r="G52" s="9">
        <f si="1" t="shared"/>
        <v>5.7994599708683647E-3</v>
      </c>
    </row>
    <row r="53" spans="1:7" x14ac:dyDescent="0.25">
      <c r="A53">
        <v>42</v>
      </c>
      <c r="B53" s="6" t="n">
        <v>22786.7876050238</v>
      </c>
      <c r="C53" s="9">
        <f si="0" t="shared"/>
        <v>4.3910433170598522E-3</v>
      </c>
      <c r="E53" s="232">
        <v>42</v>
      </c>
      <c r="F53" s="322" t="n">
        <v>29491.0</v>
      </c>
      <c r="G53" s="9">
        <f si="1" t="shared"/>
        <v>4.8119013669607339E-3</v>
      </c>
    </row>
    <row r="54" spans="1:7" x14ac:dyDescent="0.25">
      <c r="A54">
        <v>43</v>
      </c>
      <c r="B54" s="6" t="n">
        <v>18992.4288116778</v>
      </c>
      <c r="C54" s="9">
        <f si="0" t="shared"/>
        <v>3.6598654910824885E-3</v>
      </c>
      <c r="E54" s="233">
        <v>43</v>
      </c>
      <c r="F54" s="323" t="n">
        <v>22145.0</v>
      </c>
      <c r="G54" s="9">
        <f si="1" t="shared"/>
        <v>5.1592548595905067E-3</v>
      </c>
    </row>
    <row r="55" spans="1:7" x14ac:dyDescent="0.25">
      <c r="A55">
        <v>44</v>
      </c>
      <c r="B55" s="6" t="n">
        <v>13645.4543213037</v>
      </c>
      <c r="C55" s="9">
        <f si="0" t="shared"/>
        <v>2.6294966207784385E-3</v>
      </c>
      <c r="E55" s="234">
        <v>44</v>
      </c>
      <c r="F55" s="324" t="n">
        <v>22669.0</v>
      </c>
      <c r="G55" s="9">
        <f si="1" t="shared"/>
        <v>3.9059036660186574E-3</v>
      </c>
    </row>
    <row r="56" spans="1:7" x14ac:dyDescent="0.25">
      <c r="A56">
        <v>45</v>
      </c>
      <c r="B56" s="6" t="n">
        <v>229354.5054914703</v>
      </c>
      <c r="C56" s="9">
        <f si="0" t="shared"/>
        <v>4.4196908578454097E-2</v>
      </c>
      <c r="E56" s="235">
        <v>45</v>
      </c>
      <c r="F56" s="325" t="n">
        <v>22241.0</v>
      </c>
      <c r="G56" s="9">
        <f si="1" t="shared"/>
        <v>3.7533368004713259E-3</v>
      </c>
    </row>
    <row r="57" spans="1:7" x14ac:dyDescent="0.25">
      <c r="A57">
        <v>46</v>
      </c>
      <c r="B57" s="6" t="n">
        <v>20125.8697876047</v>
      </c>
      <c r="C57" s="9">
        <f si="0" t="shared"/>
        <v>3.8782810268260322E-3</v>
      </c>
      <c r="E57" s="236">
        <v>46</v>
      </c>
      <c r="F57" s="326" t="n">
        <v>17844.0</v>
      </c>
      <c r="G57" s="9">
        <f si="1" t="shared"/>
        <v>3.3058073281991545E-3</v>
      </c>
    </row>
    <row r="58" spans="1:7" x14ac:dyDescent="0.25">
      <c r="A58">
        <v>47</v>
      </c>
      <c r="B58" s="6" t="n">
        <v>21124.8952427453</v>
      </c>
      <c r="C58" s="9">
        <f si="0" t="shared"/>
        <v>4.0707945186093438E-3</v>
      </c>
      <c r="E58" s="237">
        <v>47</v>
      </c>
      <c r="F58" s="327" t="n">
        <v>18689.0</v>
      </c>
      <c r="G58" s="9">
        <f si="1" t="shared"/>
        <v>4.4716484705891388E-3</v>
      </c>
    </row>
    <row r="59" spans="1:7" x14ac:dyDescent="0.25">
      <c r="A59">
        <v>48</v>
      </c>
      <c r="B59" s="6" t="n">
        <v>27674.278625818</v>
      </c>
      <c r="C59" s="9">
        <f si="0" t="shared"/>
        <v>5.3328691310379865E-3</v>
      </c>
      <c r="E59" s="238">
        <v>48</v>
      </c>
      <c r="F59" s="328" t="n">
        <v>22030.0</v>
      </c>
      <c r="G59" s="9">
        <f si="1" t="shared"/>
        <v>3.6520093727870607E-3</v>
      </c>
    </row>
    <row r="60" spans="1:7" x14ac:dyDescent="0.25">
      <c r="A60">
        <v>49</v>
      </c>
      <c r="B60" s="6" t="n">
        <v>17154.4059222361</v>
      </c>
      <c r="C60" s="9">
        <f si="0" t="shared"/>
        <v>3.3056761132209665E-3</v>
      </c>
      <c r="E60" s="239">
        <v>49</v>
      </c>
      <c r="F60" s="329" t="n">
        <v>17449.0</v>
      </c>
      <c r="G60" s="9">
        <f si="1" t="shared"/>
        <v>2.844460479424583E-3</v>
      </c>
    </row>
    <row r="61" spans="1:7" x14ac:dyDescent="0.25">
      <c r="A61">
        <v>50</v>
      </c>
      <c r="B61" s="6" t="n">
        <v>9032.7949735271</v>
      </c>
      <c r="C61" s="9">
        <f si="0" t="shared"/>
        <v>1.7406312241280298E-3</v>
      </c>
      <c r="E61" s="240">
        <v>50</v>
      </c>
      <c r="F61" s="330" t="n">
        <v>17409.0</v>
      </c>
      <c r="G61" s="9">
        <f si="1" t="shared"/>
        <v>3.1369282820587125E-3</v>
      </c>
    </row>
    <row r="62" spans="1:7" x14ac:dyDescent="0.25">
      <c r="A62">
        <v>51</v>
      </c>
      <c r="B62" s="6" t="n">
        <v>20562.1725658565</v>
      </c>
      <c r="C62" s="9">
        <f si="0" t="shared"/>
        <v>3.9623571340801685E-3</v>
      </c>
      <c r="E62" s="241">
        <v>51</v>
      </c>
      <c r="F62" s="331" t="n">
        <v>19434.0</v>
      </c>
      <c r="G62" s="9">
        <f si="1" t="shared"/>
        <v>4.116234841666299E-3</v>
      </c>
    </row>
    <row r="63" spans="1:7" x14ac:dyDescent="0.25">
      <c r="A63">
        <v>52</v>
      </c>
      <c r="B63" s="6" t="n">
        <v>18780.1946998054</v>
      </c>
      <c r="C63" s="9">
        <f si="0" t="shared"/>
        <v>3.6189677044026333E-3</v>
      </c>
      <c r="E63" s="242">
        <v>52</v>
      </c>
      <c r="F63" s="332" t="n">
        <v>11458.0</v>
      </c>
      <c r="G63" s="9">
        <f si="1" t="shared"/>
        <v>2.3600846698126786E-3</v>
      </c>
    </row>
    <row r="64" spans="1:7" x14ac:dyDescent="0.25">
      <c r="A64">
        <v>53</v>
      </c>
      <c r="B64" s="6" t="n">
        <v>972.7320440711</v>
      </c>
      <c r="C64" s="9">
        <f si="0" t="shared"/>
        <v>1.8744671760870225E-4</v>
      </c>
      <c r="E64" s="243">
        <v>53</v>
      </c>
      <c r="F64" s="333" t="n">
        <v>12528.0</v>
      </c>
      <c r="G64" s="9">
        <f si="1" t="shared"/>
        <v>2.286200087126235E-3</v>
      </c>
    </row>
    <row r="65" spans="1:7" x14ac:dyDescent="0.25">
      <c r="A65">
        <v>54</v>
      </c>
      <c r="B65" s="6" t="n">
        <v>37370.9108089969</v>
      </c>
      <c r="C65" s="9">
        <f si="0" t="shared"/>
        <v>7.2014226403772303E-3</v>
      </c>
      <c r="E65" s="244">
        <v>54</v>
      </c>
      <c r="F65" s="334" t="n">
        <v>9287.0</v>
      </c>
      <c r="G65" s="9">
        <f si="1" t="shared"/>
        <v>1.8839609045008185E-3</v>
      </c>
    </row>
    <row r="66" spans="1:7" x14ac:dyDescent="0.25">
      <c r="A66">
        <v>55</v>
      </c>
      <c r="B66" s="6" t="n">
        <v>3296.6881366067</v>
      </c>
      <c r="C66" s="9">
        <f si="0" t="shared"/>
        <v>6.3527604950712078E-4</v>
      </c>
      <c r="E66" s="245">
        <v>55</v>
      </c>
      <c r="F66" s="335" t="n">
        <v>9323.0</v>
      </c>
      <c r="G66" s="9">
        <f si="1" t="shared"/>
        <v>1.685528025285799E-3</v>
      </c>
    </row>
    <row r="67" spans="1:7" x14ac:dyDescent="0.25">
      <c r="A67">
        <v>56</v>
      </c>
      <c r="B67" s="6" t="n">
        <v>7984.4317229266</v>
      </c>
      <c r="C67" s="9">
        <f si="0" t="shared"/>
        <v>1.5386102756207662E-3</v>
      </c>
      <c r="E67" s="246">
        <v>56</v>
      </c>
      <c r="F67" s="336" t="n">
        <v>8582.0</v>
      </c>
      <c r="G67" s="9">
        <f si="1" t="shared"/>
        <v>1.717192846437132E-3</v>
      </c>
    </row>
    <row r="68" spans="1:7" x14ac:dyDescent="0.25">
      <c r="A68">
        <v>57</v>
      </c>
      <c r="B68" s="6" t="n">
        <v>3583.5922487877</v>
      </c>
      <c r="C68" s="9">
        <f si="0" t="shared"/>
        <v>6.9056284140891664E-4</v>
      </c>
      <c r="E68" s="247">
        <v>57</v>
      </c>
      <c r="F68" s="337" t="n">
        <v>9604.0</v>
      </c>
      <c r="G68" s="9">
        <f si="1" t="shared"/>
        <v>1.8022080935282863E-3</v>
      </c>
    </row>
    <row r="69" spans="1:7" x14ac:dyDescent="0.25">
      <c r="A69">
        <v>58</v>
      </c>
      <c r="B69" s="6" t="n">
        <v>14327.207966067499</v>
      </c>
      <c r="C69" s="9">
        <f si="0" t="shared"/>
        <v>2.7608714261091066E-3</v>
      </c>
      <c r="E69" s="248">
        <v>58</v>
      </c>
      <c r="F69" s="338" t="n">
        <v>7202.0</v>
      </c>
      <c r="G69" s="9">
        <f si="1" t="shared"/>
        <v>1.5613635447711785E-3</v>
      </c>
    </row>
    <row r="70" spans="1:7" x14ac:dyDescent="0.25">
      <c r="A70">
        <v>59</v>
      </c>
      <c r="B70" s="6" t="n">
        <v>18685.0195483197</v>
      </c>
      <c r="C70" s="9">
        <f si="0" t="shared"/>
        <v>3.6006273301416596E-3</v>
      </c>
      <c r="E70" s="249">
        <v>59</v>
      </c>
      <c r="F70" s="339" t="n">
        <v>7222.0</v>
      </c>
      <c r="G70" s="9">
        <f si="1" t="shared"/>
        <v>1.3395178887048705E-3</v>
      </c>
    </row>
    <row r="71" spans="1:7" x14ac:dyDescent="0.25">
      <c r="A71">
        <v>60</v>
      </c>
      <c r="B71" s="6" t="n">
        <v>25031.951492248</v>
      </c>
      <c r="C71" s="9">
        <f si="0" t="shared"/>
        <v>4.8236892895235804E-3</v>
      </c>
      <c r="E71" s="250">
        <v>60</v>
      </c>
      <c r="F71" s="340" t="n">
        <v>8658.0</v>
      </c>
      <c r="G71" s="9">
        <f si="1" t="shared"/>
        <v>1.6603880763717104E-3</v>
      </c>
    </row>
    <row r="72" spans="1:7" x14ac:dyDescent="0.25">
      <c r="A72">
        <v>61</v>
      </c>
      <c r="B72" s="6" t="n">
        <v>27069.790527837</v>
      </c>
      <c r="C72" s="9">
        <f si="0" t="shared"/>
        <v>5.2163834960774671E-3</v>
      </c>
      <c r="E72" s="251">
        <v>61</v>
      </c>
      <c r="F72" s="341" t="n">
        <v>5231.0</v>
      </c>
      <c r="G72" s="9">
        <f si="1" t="shared"/>
        <v>1.0683518748452741E-3</v>
      </c>
    </row>
    <row r="73" spans="1:7" x14ac:dyDescent="0.25">
      <c r="A73">
        <v>62</v>
      </c>
      <c r="B73" s="6" t="n">
        <v>5113.9781545569995</v>
      </c>
      <c r="C73" s="9">
        <f si="0" t="shared"/>
        <v>9.854701763317784E-4</v>
      </c>
      <c r="E73" s="252">
        <v>62</v>
      </c>
      <c r="F73" s="342" t="n">
        <v>4896.0</v>
      </c>
      <c r="G73" s="9">
        <f si="1" t="shared"/>
        <v>9.9216439607509744E-4</v>
      </c>
    </row>
    <row r="74" spans="1:7" x14ac:dyDescent="0.25">
      <c r="A74">
        <v>63</v>
      </c>
      <c r="B74" s="6" t="n">
        <v>2698.5191981036</v>
      </c>
      <c r="C74" s="9">
        <f si="0" t="shared"/>
        <v>5.2000812471601342E-4</v>
      </c>
      <c r="E74" s="253">
        <v>63</v>
      </c>
      <c r="F74" s="343" t="n">
        <v>5696.0</v>
      </c>
      <c r="G74" s="9">
        <f si="1" t="shared"/>
        <v>9.3344054593989822E-4</v>
      </c>
    </row>
    <row r="75" spans="1:7" x14ac:dyDescent="0.25">
      <c r="A75">
        <v>64</v>
      </c>
      <c r="B75" s="6" t="n">
        <v>5281.13223875</v>
      </c>
      <c r="C75" s="9">
        <f si="0" t="shared"/>
        <v>1.0176809836222767E-3</v>
      </c>
      <c r="E75" s="254">
        <v>64</v>
      </c>
      <c r="F75" s="344" t="n">
        <v>5193.0</v>
      </c>
      <c r="G75" s="9">
        <f si="1" t="shared"/>
        <v>1.1879105631924282E-3</v>
      </c>
    </row>
    <row r="76" spans="1:7" x14ac:dyDescent="0.25">
      <c r="A76">
        <v>65</v>
      </c>
      <c r="B76" s="6" t="n">
        <v>6358.2571598738</v>
      </c>
      <c r="C76" s="9">
        <f si="0" t="shared"/>
        <v>1.2252443430796022E-3</v>
      </c>
      <c r="E76" s="255">
        <v>65</v>
      </c>
      <c r="F76" s="345" t="n">
        <v>3989.0</v>
      </c>
      <c r="G76" s="9">
        <f si="1" t="shared"/>
        <v>8.2175008587883312E-4</v>
      </c>
    </row>
    <row r="77" spans="1:7" x14ac:dyDescent="0.25">
      <c r="A77">
        <v>66</v>
      </c>
      <c r="B77" s="6" t="n">
        <v>7041.898167223</v>
      </c>
      <c r="C77" s="9">
        <f ref="C77:C102" si="2" t="shared">B77/B$102</f>
        <v>1.356982845611084E-3</v>
      </c>
      <c r="E77" s="256">
        <v>66</v>
      </c>
      <c r="F77" s="346" t="n">
        <v>4624.0</v>
      </c>
      <c r="G77" s="9">
        <f ref="G77:G102" si="3" t="shared">F77/F$102</f>
        <v>8.328807502835441E-4</v>
      </c>
    </row>
    <row r="78" spans="1:7" x14ac:dyDescent="0.25">
      <c r="A78">
        <v>67</v>
      </c>
      <c r="B78" s="6" t="n">
        <v>13229.806233146</v>
      </c>
      <c r="C78" s="9">
        <f si="2" t="shared"/>
        <v>2.5494006989052217E-3</v>
      </c>
      <c r="E78" s="257">
        <v>67</v>
      </c>
      <c r="F78" s="347" t="n">
        <v>4048.0</v>
      </c>
      <c r="G78" s="9">
        <f si="3" t="shared"/>
        <v>7.5477419144358965E-4</v>
      </c>
    </row>
    <row r="79" spans="1:7" x14ac:dyDescent="0.25">
      <c r="A79">
        <v>68</v>
      </c>
      <c r="B79" s="6" t="n">
        <v>1444.023518146</v>
      </c>
      <c r="C79" s="9">
        <f si="2" t="shared"/>
        <v>2.7826519160753933E-4</v>
      </c>
      <c r="E79" s="258">
        <v>68</v>
      </c>
      <c r="F79" s="348" t="n">
        <v>3973.0</v>
      </c>
      <c r="G79" s="9">
        <f si="3" t="shared"/>
        <v>7.9545868892287792E-4</v>
      </c>
    </row>
    <row r="80" spans="1:7" x14ac:dyDescent="0.25">
      <c r="A80">
        <v>69</v>
      </c>
      <c r="B80" s="6" t="n">
        <v>9242.7549155323</v>
      </c>
      <c r="C80" s="9">
        <f si="2" t="shared"/>
        <v>1.7810907753457253E-3</v>
      </c>
      <c r="E80" s="259">
        <v>69</v>
      </c>
      <c r="F80" s="349" t="n">
        <v>3786.0</v>
      </c>
      <c r="G80" s="9">
        <f si="3" t="shared"/>
        <v>6.6841558830359074E-4</v>
      </c>
    </row>
    <row r="81" spans="1:7" x14ac:dyDescent="0.25">
      <c r="A81">
        <v>70</v>
      </c>
      <c r="B81" s="6" t="n">
        <v>7767.2073140823995</v>
      </c>
      <c r="C81" s="9">
        <f si="2" t="shared"/>
        <v>1.4967508522877768E-3</v>
      </c>
      <c r="E81" s="260">
        <v>70</v>
      </c>
      <c r="F81" s="350" t="n">
        <v>3058.0</v>
      </c>
      <c r="G81" s="9">
        <f si="3" t="shared"/>
        <v>6.8453586088972388E-4</v>
      </c>
    </row>
    <row r="82" spans="1:7" x14ac:dyDescent="0.25">
      <c r="A82">
        <v>71</v>
      </c>
      <c r="B82" s="6" t="n">
        <v>6545.5658596602</v>
      </c>
      <c r="C82" s="9">
        <f si="2" t="shared"/>
        <v>1.2613389707507227E-3</v>
      </c>
      <c r="E82" s="261">
        <v>71</v>
      </c>
      <c r="F82" s="351" t="n">
        <v>4388.0</v>
      </c>
      <c r="G82" s="9">
        <f si="3" t="shared"/>
        <v>6.2619582676848025E-4</v>
      </c>
    </row>
    <row r="83" spans="1:7" x14ac:dyDescent="0.25">
      <c r="A83">
        <v>72</v>
      </c>
      <c r="B83" s="6" t="n">
        <v>44741.4452130761</v>
      </c>
      <c r="C83" s="9">
        <f si="2" t="shared"/>
        <v>8.6217341120590173E-3</v>
      </c>
      <c r="E83" s="262">
        <v>72</v>
      </c>
      <c r="F83" s="352" t="n">
        <v>3999.0</v>
      </c>
      <c r="G83" s="9">
        <f si="3" t="shared"/>
        <v>5.6881533268212552E-4</v>
      </c>
    </row>
    <row r="84" spans="1:7" x14ac:dyDescent="0.25">
      <c r="A84">
        <v>73</v>
      </c>
      <c r="B84" s="6" t="n">
        <v>3851.127302794</v>
      </c>
      <c r="C84" s="9">
        <f si="2" t="shared"/>
        <v>7.4211719085633988E-4</v>
      </c>
      <c r="E84" s="263">
        <v>73</v>
      </c>
      <c r="F84" s="353" t="n">
        <v>2528.0</v>
      </c>
      <c r="G84" s="9">
        <f si="3" t="shared"/>
        <v>4.9473884198870434E-4</v>
      </c>
    </row>
    <row r="85" spans="1:7" x14ac:dyDescent="0.25">
      <c r="A85">
        <v>74</v>
      </c>
      <c r="B85" s="6" t="n">
        <v>11507.2270041624</v>
      </c>
      <c r="C85" s="9">
        <f si="2" t="shared"/>
        <v>2.2174574630861046E-3</v>
      </c>
      <c r="E85" s="264">
        <v>74</v>
      </c>
      <c r="F85" s="354" t="n">
        <v>2885.0</v>
      </c>
      <c r="G85" s="9">
        <f si="3" t="shared"/>
        <v>6.0067206184043621E-4</v>
      </c>
    </row>
    <row r="86" spans="1:7" x14ac:dyDescent="0.25">
      <c r="A86">
        <v>75</v>
      </c>
      <c r="B86" s="6" t="n">
        <v>9615.6426573921</v>
      </c>
      <c r="C86" s="9">
        <f si="2" t="shared"/>
        <v>1.8529467234191617E-3</v>
      </c>
      <c r="E86" s="265">
        <v>75</v>
      </c>
      <c r="F86" s="355" t="n">
        <v>2282.0</v>
      </c>
      <c r="G86" s="9">
        <f si="3" t="shared"/>
        <v>6.1333799030096931E-4</v>
      </c>
    </row>
    <row r="87" spans="1:7" x14ac:dyDescent="0.25">
      <c r="A87">
        <v>76</v>
      </c>
      <c r="B87" s="6" t="n">
        <v>17131.290225189</v>
      </c>
      <c r="C87" s="9">
        <f si="2" t="shared"/>
        <v>3.3012216886308386E-3</v>
      </c>
      <c r="E87" s="266">
        <v>76</v>
      </c>
      <c r="F87" s="356" t="n">
        <v>2190.0</v>
      </c>
      <c r="G87" s="9">
        <f si="3" t="shared"/>
        <v>4.1720800716968316E-4</v>
      </c>
    </row>
    <row r="88" spans="1:7" x14ac:dyDescent="0.25">
      <c r="A88">
        <v>77</v>
      </c>
      <c r="B88" s="6" t="n">
        <v>3761.1715561875</v>
      </c>
      <c r="C88" s="9">
        <f si="2" t="shared"/>
        <v>7.2478260263730907E-4</v>
      </c>
      <c r="E88" s="267">
        <v>77</v>
      </c>
      <c r="F88" s="357" t="n">
        <v>2070.0</v>
      </c>
      <c r="G88" s="9">
        <f si="3" t="shared"/>
        <v>3.9667385042306118E-4</v>
      </c>
    </row>
    <row r="89" spans="1:7" x14ac:dyDescent="0.25">
      <c r="A89">
        <v>78</v>
      </c>
      <c r="B89" s="6" t="n">
        <v>1208.3615056104</v>
      </c>
      <c r="C89" s="9">
        <f si="2" t="shared"/>
        <v>2.3285281829866713E-4</v>
      </c>
      <c r="E89" s="268">
        <v>78</v>
      </c>
      <c r="F89" s="358" t="n">
        <v>1922.0</v>
      </c>
      <c r="G89" s="9">
        <f si="3" t="shared"/>
        <v>3.7690732570435037E-4</v>
      </c>
    </row>
    <row r="90" spans="1:7" x14ac:dyDescent="0.25">
      <c r="A90">
        <v>79</v>
      </c>
      <c r="B90" s="6" t="n">
        <v>2981.6171355287</v>
      </c>
      <c r="C90" s="9">
        <f si="2" t="shared"/>
        <v>5.7456146184063064E-4</v>
      </c>
      <c r="E90" s="269">
        <v>79</v>
      </c>
      <c r="F90" s="359" t="n">
        <v>1772.0</v>
      </c>
      <c r="G90" s="9">
        <f si="3" t="shared"/>
        <v>3.2912223196688434E-4</v>
      </c>
    </row>
    <row r="91" spans="1:7" x14ac:dyDescent="0.25">
      <c r="A91">
        <v>80</v>
      </c>
      <c r="B91" s="6" t="n">
        <v>35198.386924146704</v>
      </c>
      <c r="C91" s="9">
        <f si="2" t="shared"/>
        <v>6.7827744899191479E-3</v>
      </c>
      <c r="E91" s="270">
        <v>80</v>
      </c>
      <c r="F91" s="360" t="n">
        <v>1818.0</v>
      </c>
      <c r="G91" s="9">
        <f si="3" t="shared"/>
        <v>3.7901831378110587E-4</v>
      </c>
    </row>
    <row r="92" spans="1:7" x14ac:dyDescent="0.25">
      <c r="A92">
        <v>81</v>
      </c>
      <c r="B92" s="6" t="n">
        <v>2632.678679736</v>
      </c>
      <c r="C92" s="9">
        <f si="2" t="shared"/>
        <v>5.0732057203499979E-4</v>
      </c>
      <c r="E92" s="271">
        <v>81</v>
      </c>
      <c r="F92" s="361" t="n">
        <v>1603.0</v>
      </c>
      <c r="G92" s="9">
        <f si="3" t="shared"/>
        <v>3.1012333927608464E-4</v>
      </c>
    </row>
    <row r="93" spans="1:7" x14ac:dyDescent="0.25">
      <c r="A93">
        <v>82</v>
      </c>
      <c r="B93" s="6" t="n">
        <v>9855.246057459</v>
      </c>
      <c r="C93" s="9">
        <f si="2" t="shared"/>
        <v>1.8991186071811634E-3</v>
      </c>
      <c r="E93" s="272">
        <v>82</v>
      </c>
      <c r="F93" s="362" t="n">
        <v>1515.0</v>
      </c>
      <c r="G93" s="9">
        <f si="3" t="shared"/>
        <v>2.6483304962932969E-4</v>
      </c>
    </row>
    <row r="94" spans="1:7" x14ac:dyDescent="0.25">
      <c r="A94">
        <v>83</v>
      </c>
      <c r="B94" s="6" t="n">
        <v>5837.9404788961</v>
      </c>
      <c r="C94" s="9">
        <f si="2" t="shared"/>
        <v>1.1249786485743275E-3</v>
      </c>
      <c r="E94" s="273">
        <v>83</v>
      </c>
      <c r="F94" s="363" t="n">
        <v>1474.0</v>
      </c>
      <c r="G94" s="9">
        <f si="3" t="shared"/>
        <v>2.8843773448759602E-4</v>
      </c>
    </row>
    <row r="95" spans="1:7" x14ac:dyDescent="0.25">
      <c r="A95">
        <v>84</v>
      </c>
      <c r="B95" s="6" t="n">
        <v>8223.5712677336</v>
      </c>
      <c r="C95" s="9">
        <f si="2" t="shared"/>
        <v>1.584692773876817E-3</v>
      </c>
      <c r="E95" s="274">
        <v>84</v>
      </c>
      <c r="F95" s="364" t="n">
        <v>1385.0</v>
      </c>
      <c r="G95" s="9">
        <f si="3" t="shared"/>
        <v>2.6118679749675196E-4</v>
      </c>
    </row>
    <row r="96" spans="1:7" x14ac:dyDescent="0.25">
      <c r="A96">
        <v>85</v>
      </c>
      <c r="B96" s="6" t="n">
        <v>5006.9698036617</v>
      </c>
      <c r="C96" s="9">
        <f si="2" t="shared"/>
        <v>9.6484952930539351E-4</v>
      </c>
      <c r="E96" s="275">
        <v>85</v>
      </c>
      <c r="F96" s="365" t="n">
        <v>1383.0</v>
      </c>
      <c r="G96" s="9">
        <f si="3" t="shared"/>
        <v>2.4794514501528549E-4</v>
      </c>
    </row>
    <row r="97" spans="1:7" x14ac:dyDescent="0.25">
      <c r="A97">
        <v>86</v>
      </c>
      <c r="B97" s="6" t="n">
        <v>2867.0805968983</v>
      </c>
      <c r="C97" s="9">
        <f si="2" t="shared"/>
        <v>5.524901233426449E-4</v>
      </c>
      <c r="E97" s="276">
        <v>86</v>
      </c>
      <c r="F97" s="366" t="n">
        <v>1313.0</v>
      </c>
      <c r="G97" s="9">
        <f si="3" t="shared"/>
        <v>2.4756132900132991E-4</v>
      </c>
    </row>
    <row r="98" spans="1:7" x14ac:dyDescent="0.25">
      <c r="A98">
        <v>87</v>
      </c>
      <c r="B98" s="6" t="n">
        <v>7103.3543771546</v>
      </c>
      <c r="C98" s="9">
        <f si="2" t="shared"/>
        <v>1.3688255364102243E-3</v>
      </c>
      <c r="E98" s="277">
        <v>87</v>
      </c>
      <c r="F98" s="367" t="n">
        <v>1139.0</v>
      </c>
      <c r="G98" s="9">
        <f si="3" t="shared"/>
        <v>2.3105724040124127E-4</v>
      </c>
    </row>
    <row r="99" spans="1:7" x14ac:dyDescent="0.25">
      <c r="A99">
        <v>88</v>
      </c>
      <c r="B99" s="6" t="n">
        <v>6611.2846627433</v>
      </c>
      <c r="C99" s="9">
        <f si="2" t="shared"/>
        <v>1.2740030687396642E-3</v>
      </c>
      <c r="E99" s="278">
        <v>88</v>
      </c>
      <c r="F99" s="368" t="n">
        <v>1189.0</v>
      </c>
      <c r="G99" s="9">
        <f si="3" t="shared"/>
        <v>2.4698560498039658E-4</v>
      </c>
    </row>
    <row r="100" spans="1:7" x14ac:dyDescent="0.25">
      <c r="A100">
        <v>89</v>
      </c>
      <c r="B100" s="6" t="n">
        <v>11921.9682978935</v>
      </c>
      <c r="C100" s="9">
        <f si="2" t="shared"/>
        <v>2.2973786445055159E-3</v>
      </c>
      <c r="E100" s="279">
        <v>89</v>
      </c>
      <c r="F100" s="369" t="n">
        <v>1188.0</v>
      </c>
      <c r="G100" s="9">
        <f si="3" t="shared"/>
        <v>1.9977623526386392E-4</v>
      </c>
    </row>
    <row ht="15.75" r="101" spans="1:7" thickBot="1" x14ac:dyDescent="0.3">
      <c r="A101" s="1">
        <v>90</v>
      </c>
      <c r="B101" s="7" t="n">
        <v>254645.6072058209</v>
      </c>
      <c r="C101" s="9">
        <f si="2" t="shared"/>
        <v>4.9070536449518996E-2</v>
      </c>
      <c r="E101" s="372">
        <v>90</v>
      </c>
      <c r="F101" s="372" t="n">
        <v>64141.0</v>
      </c>
      <c r="G101" s="9">
        <f si="3" t="shared"/>
        <v>1.2170613894523521E-2</v>
      </c>
    </row>
    <row r="102" spans="1:7" x14ac:dyDescent="0.25">
      <c r="B102" s="6">
        <f>SUM(B11:B101)</f>
        <v>5189378.9151415937</v>
      </c>
      <c r="C102" s="9">
        <f si="2" t="shared"/>
        <v>1</v>
      </c>
      <c r="F102" s="6">
        <f>SUM(F11:F101)</f>
        <v>5210830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76792.7457522726</v>
      </c>
      <c r="C11" s="9">
        <f>B11/B$102</f>
        <v>3.8226749699430074E-2</v>
      </c>
      <c r="E11" s="371">
        <v>0</v>
      </c>
      <c r="F11" s="371" t="n">
        <v>226290.0</v>
      </c>
      <c r="G11" s="9">
        <f>F11/F$102</f>
        <v>0.10248499034028367</v>
      </c>
      <c r="K11" s="6" t="n">
        <v>10.66532263481937</v>
      </c>
      <c r="L11" s="6" t="n">
        <v>9.354749062692786</v>
      </c>
    </row>
    <row r="12" spans="1:12" x14ac:dyDescent="0.25">
      <c r="A12">
        <v>1</v>
      </c>
      <c r="B12" s="6" t="n">
        <v>67715.8981775075</v>
      </c>
      <c r="C12" s="9">
        <f>B12/B$102</f>
        <v>3.3708375250107087E-2</v>
      </c>
      <c r="E12" s="371">
        <v>1</v>
      </c>
      <c r="F12" s="371" t="n">
        <v>138200.0</v>
      </c>
      <c r="G12" s="9">
        <f>F12/F$102</f>
        <v>6.3770308172457491E-2</v>
      </c>
      <c r="K12" s="6"/>
      <c r="L12" s="371"/>
    </row>
    <row r="13" spans="1:12" x14ac:dyDescent="0.25">
      <c r="A13">
        <v>2</v>
      </c>
      <c r="B13" s="6" t="n">
        <v>57280.185376346504</v>
      </c>
      <c r="C13" s="9">
        <f ref="C13:C76" si="0" t="shared">B13/B$102</f>
        <v>2.8513569708552223E-2</v>
      </c>
      <c r="E13" s="371">
        <v>2</v>
      </c>
      <c r="F13" s="371" t="n">
        <v>93095.0</v>
      </c>
      <c r="G13" s="9">
        <f ref="G13:G76" si="1" t="shared">F13/F$102</f>
        <v>4.2762563294372398E-2</v>
      </c>
    </row>
    <row r="14" spans="1:12" x14ac:dyDescent="0.25">
      <c r="A14">
        <v>3</v>
      </c>
      <c r="B14" s="6" t="n">
        <v>117410.8677028836</v>
      </c>
      <c r="C14" s="9">
        <f si="0" t="shared"/>
        <v>5.8446091589819268E-2</v>
      </c>
      <c r="E14" s="371">
        <v>3</v>
      </c>
      <c r="F14" s="371" t="n">
        <v>55994.0</v>
      </c>
      <c r="G14" s="9">
        <f si="1" t="shared"/>
        <v>2.5858175300620821E-2</v>
      </c>
    </row>
    <row r="15" spans="1:12" x14ac:dyDescent="0.25">
      <c r="A15">
        <v>4</v>
      </c>
      <c r="B15" s="6" t="n">
        <v>240952.496177563</v>
      </c>
      <c r="C15" s="9">
        <f si="0" t="shared"/>
        <v>0.11994402167290648</v>
      </c>
      <c r="E15" s="371">
        <v>4</v>
      </c>
      <c r="F15" s="371" t="n">
        <v>242991.0</v>
      </c>
      <c r="G15" s="9">
        <f si="1" t="shared"/>
        <v>0.11225889426644174</v>
      </c>
    </row>
    <row r="16" spans="1:12" x14ac:dyDescent="0.25">
      <c r="A16">
        <v>5</v>
      </c>
      <c r="B16" s="6" t="n">
        <v>172629.8270721912</v>
      </c>
      <c r="C16" s="9">
        <f si="0" t="shared"/>
        <v>8.5933601221040559E-2</v>
      </c>
      <c r="E16" s="371">
        <v>5</v>
      </c>
      <c r="F16" s="371" t="n">
        <v>196021.0</v>
      </c>
      <c r="G16" s="9">
        <f si="1" t="shared"/>
        <v>8.9034892864754259E-2</v>
      </c>
    </row>
    <row r="17" spans="1:7" x14ac:dyDescent="0.25">
      <c r="A17">
        <v>6</v>
      </c>
      <c r="B17" s="6" t="n">
        <v>156886.3412773717</v>
      </c>
      <c r="C17" s="9">
        <f si="0" t="shared"/>
        <v>7.809663322387414E-2</v>
      </c>
      <c r="E17" s="371">
        <v>6</v>
      </c>
      <c r="F17" s="371" t="n">
        <v>185043.0</v>
      </c>
      <c r="G17" s="9">
        <f si="1" t="shared"/>
        <v>8.6391473006189712E-2</v>
      </c>
    </row>
    <row r="18" spans="1:7" x14ac:dyDescent="0.25">
      <c r="A18">
        <v>7</v>
      </c>
      <c r="B18" s="6" t="n">
        <v>100017.003672556</v>
      </c>
      <c r="C18" s="9">
        <f si="0" t="shared"/>
        <v>4.978757990255387E-2</v>
      </c>
      <c r="E18" s="371">
        <v>7</v>
      </c>
      <c r="F18" s="371" t="n">
        <v>119702.0</v>
      </c>
      <c r="G18" s="9">
        <f si="1" t="shared"/>
        <v>5.634256650272039E-2</v>
      </c>
    </row>
    <row r="19" spans="1:7" x14ac:dyDescent="0.25">
      <c r="A19">
        <v>8</v>
      </c>
      <c r="B19" s="6" t="n">
        <v>129994.6232868526</v>
      </c>
      <c r="C19" s="9">
        <f si="0" t="shared"/>
        <v>6.4710173831896839E-2</v>
      </c>
      <c r="E19" s="371">
        <v>8</v>
      </c>
      <c r="F19" s="371" t="n">
        <v>124406.0</v>
      </c>
      <c r="G19" s="9">
        <f si="1" t="shared"/>
        <v>5.7791408376931884E-2</v>
      </c>
    </row>
    <row r="20" spans="1:7" x14ac:dyDescent="0.25">
      <c r="A20">
        <v>9</v>
      </c>
      <c r="B20" s="6" t="n">
        <v>81203.6639694165</v>
      </c>
      <c r="C20" s="9">
        <f si="0" t="shared"/>
        <v>4.0422465778854492E-2</v>
      </c>
      <c r="E20" s="371">
        <v>9</v>
      </c>
      <c r="F20" s="371" t="n">
        <v>76712.0</v>
      </c>
      <c r="G20" s="9">
        <f si="1" t="shared"/>
        <v>3.5330660942801261E-2</v>
      </c>
    </row>
    <row r="21" spans="1:7" x14ac:dyDescent="0.25">
      <c r="A21">
        <v>10</v>
      </c>
      <c r="B21" s="6" t="n">
        <v>118534.7683018912</v>
      </c>
      <c r="C21" s="9">
        <f si="0" t="shared"/>
        <v>5.9005559368506322E-2</v>
      </c>
      <c r="E21" s="371">
        <v>10</v>
      </c>
      <c r="F21" s="371" t="n">
        <v>67957.0</v>
      </c>
      <c r="G21" s="9">
        <f si="1" t="shared"/>
        <v>2.9830239558191064E-2</v>
      </c>
    </row>
    <row r="22" spans="1:7" x14ac:dyDescent="0.25">
      <c r="A22">
        <v>11</v>
      </c>
      <c r="B22" s="6" t="n">
        <v>56143.2065719041</v>
      </c>
      <c r="C22" s="9">
        <f si="0" t="shared"/>
        <v>2.7947591714860144E-2</v>
      </c>
      <c r="E22" s="371">
        <v>11</v>
      </c>
      <c r="F22" s="371" t="n">
        <v>69225.0</v>
      </c>
      <c r="G22" s="9">
        <f si="1" t="shared"/>
        <v>3.20719224707793E-2</v>
      </c>
    </row>
    <row r="23" spans="1:7" x14ac:dyDescent="0.25">
      <c r="A23">
        <v>12</v>
      </c>
      <c r="B23" s="6" t="n">
        <v>57264.6722999848</v>
      </c>
      <c r="C23" s="9">
        <f si="0" t="shared"/>
        <v>2.8505847436333175E-2</v>
      </c>
      <c r="E23" s="371">
        <v>12</v>
      </c>
      <c r="F23" s="371" t="n">
        <v>50061.0</v>
      </c>
      <c r="G23" s="9">
        <f si="1" t="shared"/>
        <v>2.3532816453370083E-2</v>
      </c>
    </row>
    <row r="24" spans="1:7" x14ac:dyDescent="0.25">
      <c r="A24">
        <v>13</v>
      </c>
      <c r="B24" s="6" t="n">
        <v>50232.7139092067</v>
      </c>
      <c r="C24" s="9">
        <f si="0" t="shared"/>
        <v>2.500540073830472E-2</v>
      </c>
      <c r="E24" s="371">
        <v>13</v>
      </c>
      <c r="F24" s="371" t="n">
        <v>59345.0</v>
      </c>
      <c r="G24" s="9">
        <f si="1" t="shared"/>
        <v>2.7929732555994687E-2</v>
      </c>
    </row>
    <row r="25" spans="1:7" x14ac:dyDescent="0.25">
      <c r="A25">
        <v>14</v>
      </c>
      <c r="B25" s="6" t="n">
        <v>27392.1556257964</v>
      </c>
      <c r="C25" s="9">
        <f si="0" t="shared"/>
        <v>1.3635572821071657E-2</v>
      </c>
      <c r="E25" s="371">
        <v>14</v>
      </c>
      <c r="F25" s="371" t="n">
        <v>47389.0</v>
      </c>
      <c r="G25" s="9">
        <f si="1" t="shared"/>
        <v>2.0947183842500626E-2</v>
      </c>
    </row>
    <row r="26" spans="1:7" x14ac:dyDescent="0.25">
      <c r="A26">
        <v>15</v>
      </c>
      <c r="B26" s="6" t="n">
        <v>47346.8557498082</v>
      </c>
      <c r="C26" s="9">
        <f si="0" t="shared"/>
        <v>2.3568846068371983E-2</v>
      </c>
      <c r="E26" s="371">
        <v>15</v>
      </c>
      <c r="F26" s="371" t="n">
        <v>46433.0</v>
      </c>
      <c r="G26" s="9">
        <f si="1" t="shared"/>
        <v>2.1664208011901401E-2</v>
      </c>
    </row>
    <row r="27" spans="1:7" x14ac:dyDescent="0.25">
      <c r="A27">
        <v>16</v>
      </c>
      <c r="B27" s="6" t="n">
        <v>52911.9978729206</v>
      </c>
      <c r="C27" s="9">
        <f si="0" t="shared"/>
        <v>2.6339124600516756E-2</v>
      </c>
      <c r="E27" s="371">
        <v>16</v>
      </c>
      <c r="F27" s="371" t="n">
        <v>46467.0</v>
      </c>
      <c r="G27" s="9">
        <f si="1" t="shared"/>
        <v>2.1116847201733433E-2</v>
      </c>
    </row>
    <row r="28" spans="1:7" x14ac:dyDescent="0.25">
      <c r="A28">
        <v>17</v>
      </c>
      <c r="B28" s="6" t="n">
        <v>42762.9778919839</v>
      </c>
      <c r="C28" s="9">
        <f si="0" t="shared"/>
        <v>2.1287032209429149E-2</v>
      </c>
      <c r="E28" s="371">
        <v>17</v>
      </c>
      <c r="F28" s="371" t="n">
        <v>26169.0</v>
      </c>
      <c r="G28" s="9">
        <f si="1" t="shared"/>
        <v>1.2213912672835879E-2</v>
      </c>
    </row>
    <row r="29" spans="1:7" x14ac:dyDescent="0.25">
      <c r="A29">
        <v>18</v>
      </c>
      <c r="B29" s="6" t="n">
        <v>47115.2542207462</v>
      </c>
      <c r="C29" s="9">
        <f si="0" t="shared"/>
        <v>2.3453556875431564E-2</v>
      </c>
      <c r="E29" s="371">
        <v>18</v>
      </c>
      <c r="F29" s="371" t="n">
        <v>31657.0</v>
      </c>
      <c r="G29" s="9">
        <f si="1" t="shared"/>
        <v>1.5428732836609562E-2</v>
      </c>
    </row>
    <row r="30" spans="1:7" x14ac:dyDescent="0.25">
      <c r="A30">
        <v>19</v>
      </c>
      <c r="B30" s="6" t="n">
        <v>29982.5608242369</v>
      </c>
      <c r="C30" s="9">
        <f si="0" t="shared"/>
        <v>1.4925053619952416E-2</v>
      </c>
      <c r="E30" s="371">
        <v>19</v>
      </c>
      <c r="F30" s="371" t="n">
        <v>27483.0</v>
      </c>
      <c r="G30" s="9">
        <f si="1" t="shared"/>
        <v>1.1604141635157206E-2</v>
      </c>
    </row>
    <row r="31" spans="1:7" x14ac:dyDescent="0.25">
      <c r="A31">
        <v>20</v>
      </c>
      <c r="B31" s="6" t="n">
        <v>27119.0510220588</v>
      </c>
      <c r="C31" s="9">
        <f si="0" t="shared"/>
        <v>1.3499623764600652E-2</v>
      </c>
      <c r="E31" s="371">
        <v>20</v>
      </c>
      <c r="F31" s="371" t="n">
        <v>21959.0</v>
      </c>
      <c r="G31" s="9">
        <f si="1" t="shared"/>
        <v>1.1826506964287943E-2</v>
      </c>
    </row>
    <row r="32" spans="1:7" x14ac:dyDescent="0.25">
      <c r="A32">
        <v>21</v>
      </c>
      <c r="B32" s="6" t="n">
        <v>22948.5898977147</v>
      </c>
      <c r="C32" s="9">
        <f si="0" t="shared"/>
        <v>1.1423605099428915E-2</v>
      </c>
      <c r="E32" s="371">
        <v>21</v>
      </c>
      <c r="F32" s="371" t="n">
        <v>20558.0</v>
      </c>
      <c r="G32" s="9">
        <f si="1" t="shared"/>
        <v>8.7619336445215138E-3</v>
      </c>
    </row>
    <row r="33" spans="1:7" x14ac:dyDescent="0.25">
      <c r="A33">
        <v>22</v>
      </c>
      <c r="B33" s="6" t="n">
        <v>21382.4021182265</v>
      </c>
      <c r="C33" s="9">
        <f si="0" t="shared"/>
        <v>1.0643970673777063E-2</v>
      </c>
      <c r="E33" s="371">
        <v>22</v>
      </c>
      <c r="F33" s="371" t="n">
        <v>18409.0</v>
      </c>
      <c r="G33" s="9">
        <f si="1" t="shared"/>
        <v>8.5760898559340808E-3</v>
      </c>
    </row>
    <row r="34" spans="1:7" x14ac:dyDescent="0.25">
      <c r="A34">
        <v>23</v>
      </c>
      <c r="B34" s="6" t="n">
        <v>21215.7930824329</v>
      </c>
      <c r="C34" s="9">
        <f si="0" t="shared"/>
        <v>1.0561034169208117E-2</v>
      </c>
      <c r="E34" s="371">
        <v>23</v>
      </c>
      <c r="F34" s="371" t="n">
        <v>18440.0</v>
      </c>
      <c r="G34" s="9">
        <f si="1" t="shared"/>
        <v>8.5649947043766207E-3</v>
      </c>
    </row>
    <row r="35" spans="1:7" x14ac:dyDescent="0.25">
      <c r="A35">
        <v>24</v>
      </c>
      <c r="B35" s="6" t="n">
        <v>18448.5858564891</v>
      </c>
      <c r="C35" s="9">
        <f si="0" t="shared"/>
        <v>9.183542884629619E-3</v>
      </c>
      <c r="E35" s="371">
        <v>24</v>
      </c>
      <c r="F35" s="371" t="n">
        <v>16114.0</v>
      </c>
      <c r="G35" s="9">
        <f si="1" t="shared"/>
        <v>8.2709731881039639E-3</v>
      </c>
    </row>
    <row r="36" spans="1:7" x14ac:dyDescent="0.25">
      <c r="A36">
        <v>25</v>
      </c>
      <c r="B36" s="6" t="n">
        <v>13229.312407704</v>
      </c>
      <c r="C36" s="9">
        <f si="0" t="shared"/>
        <v>6.5854347197879595E-3</v>
      </c>
      <c r="E36" s="371">
        <v>25</v>
      </c>
      <c r="F36" s="371" t="n">
        <v>16451.0</v>
      </c>
      <c r="G36" s="9">
        <f si="1" t="shared"/>
        <v>7.2918260631582256E-3</v>
      </c>
    </row>
    <row r="37" spans="1:7" x14ac:dyDescent="0.25">
      <c r="A37">
        <v>26</v>
      </c>
      <c r="B37" s="6" t="n">
        <v>15417.3811001182</v>
      </c>
      <c r="C37" s="9">
        <f si="0" t="shared"/>
        <v>7.6746359641333807E-3</v>
      </c>
      <c r="E37" s="371">
        <v>26</v>
      </c>
      <c r="F37" s="371" t="n">
        <v>17939.0</v>
      </c>
      <c r="G37" s="9">
        <f si="1" t="shared"/>
        <v>7.8234687419531258E-3</v>
      </c>
    </row>
    <row r="38" spans="1:7" x14ac:dyDescent="0.25">
      <c r="A38">
        <v>27</v>
      </c>
      <c r="B38" s="6" t="n">
        <v>12627.2528544304</v>
      </c>
      <c r="C38" s="9">
        <f si="0" t="shared"/>
        <v>6.2857347986341513E-3</v>
      </c>
      <c r="E38" s="371">
        <v>27</v>
      </c>
      <c r="F38" s="371" t="n">
        <v>14590.0</v>
      </c>
      <c r="G38" s="9">
        <f si="1" t="shared"/>
        <v>6.8433970210442664E-3</v>
      </c>
    </row>
    <row r="39" spans="1:7" x14ac:dyDescent="0.25">
      <c r="A39">
        <v>28</v>
      </c>
      <c r="B39" s="6" t="n">
        <v>10562.2143968937</v>
      </c>
      <c r="C39" s="9">
        <f si="0" t="shared"/>
        <v>5.2577769171617793E-3</v>
      </c>
      <c r="E39" s="371">
        <v>28</v>
      </c>
      <c r="F39" s="371" t="n">
        <v>9457.0</v>
      </c>
      <c r="G39" s="9">
        <f si="1" t="shared"/>
        <v>4.0511172124171385E-3</v>
      </c>
    </row>
    <row r="40" spans="1:7" x14ac:dyDescent="0.25">
      <c r="A40">
        <v>29</v>
      </c>
      <c r="B40" s="6" t="n">
        <v>6864.4818095773</v>
      </c>
      <c r="C40" s="9">
        <f si="0" t="shared"/>
        <v>3.4170783370281637E-3</v>
      </c>
      <c r="E40" s="371">
        <v>29</v>
      </c>
      <c r="F40" s="371" t="n">
        <v>9639.0</v>
      </c>
      <c r="G40" s="9">
        <f si="1" t="shared"/>
        <v>4.8476566346463672E-3</v>
      </c>
    </row>
    <row r="41" spans="1:7" x14ac:dyDescent="0.25">
      <c r="A41">
        <v>30</v>
      </c>
      <c r="B41" s="6" t="n">
        <v>9343.9627204076</v>
      </c>
      <c r="C41" s="9">
        <f si="0" t="shared"/>
        <v>4.651342006523531E-3</v>
      </c>
      <c r="E41" s="371">
        <v>30</v>
      </c>
      <c r="F41" s="371" t="n">
        <v>8585.0</v>
      </c>
      <c r="G41" s="9">
        <f si="1" t="shared"/>
        <v>3.8093353680608497E-3</v>
      </c>
    </row>
    <row r="42" spans="1:7" x14ac:dyDescent="0.25">
      <c r="A42">
        <v>31</v>
      </c>
      <c r="B42" s="6" t="n">
        <v>8371.5091449033</v>
      </c>
      <c r="C42" s="9">
        <f si="0" t="shared"/>
        <v>4.1672632167764076E-3</v>
      </c>
      <c r="E42" s="371">
        <v>31</v>
      </c>
      <c r="F42" s="371" t="n">
        <v>6936.0</v>
      </c>
      <c r="G42" s="9">
        <f si="1" t="shared"/>
        <v>3.5416648367371565E-3</v>
      </c>
    </row>
    <row r="43" spans="1:7" x14ac:dyDescent="0.25">
      <c r="A43">
        <v>32</v>
      </c>
      <c r="B43" s="6" t="n">
        <v>3211.2918352938</v>
      </c>
      <c r="C43" s="9">
        <f si="0" t="shared"/>
        <v>1.5985526757384715E-3</v>
      </c>
      <c r="E43" s="371">
        <v>32</v>
      </c>
      <c r="F43" s="371" t="n">
        <v>6509.0</v>
      </c>
      <c r="G43" s="9">
        <f si="1" t="shared"/>
        <v>2.8288013491704293E-3</v>
      </c>
    </row>
    <row r="44" spans="1:7" x14ac:dyDescent="0.25">
      <c r="A44">
        <v>33</v>
      </c>
      <c r="B44" s="6" t="n">
        <v>5473.7832709866</v>
      </c>
      <c r="C44" s="9">
        <f si="0" t="shared"/>
        <v>2.7248009035116439E-3</v>
      </c>
      <c r="E44" s="371">
        <v>33</v>
      </c>
      <c r="F44" s="371" t="n">
        <v>5480.0</v>
      </c>
      <c r="G44" s="9">
        <f si="1" t="shared"/>
        <v>2.4441694285118583E-3</v>
      </c>
    </row>
    <row r="45" spans="1:7" x14ac:dyDescent="0.25">
      <c r="A45">
        <v>34</v>
      </c>
      <c r="B45" s="6" t="n">
        <v>13872.398854469</v>
      </c>
      <c r="C45" s="9">
        <f si="0" t="shared"/>
        <v>6.9055574656900886E-3</v>
      </c>
      <c r="E45" s="371">
        <v>34</v>
      </c>
      <c r="F45" s="371" t="n">
        <v>4900.0</v>
      </c>
      <c r="G45" s="9">
        <f si="1" t="shared"/>
        <v>2.295771776430847E-3</v>
      </c>
    </row>
    <row r="46" spans="1:7" x14ac:dyDescent="0.25">
      <c r="A46">
        <v>35</v>
      </c>
      <c r="B46" s="6" t="n">
        <v>4350.6780808141</v>
      </c>
      <c r="C46" s="9">
        <f si="0" t="shared"/>
        <v>2.165729072308312E-3</v>
      </c>
      <c r="E46" s="371">
        <v>35</v>
      </c>
      <c r="F46" s="371" t="n">
        <v>4152.0</v>
      </c>
      <c r="G46" s="9">
        <f si="1" t="shared"/>
        <v>1.833936092851625E-3</v>
      </c>
    </row>
    <row r="47" spans="1:7" x14ac:dyDescent="0.25">
      <c r="A47">
        <v>36</v>
      </c>
      <c r="B47" s="6" t="n">
        <v>6434.237471720699</v>
      </c>
      <c r="C47" s="9">
        <f si="0" t="shared"/>
        <v>3.2029065106176646E-3</v>
      </c>
      <c r="E47" s="371">
        <v>36</v>
      </c>
      <c r="F47" s="371" t="n">
        <v>5208.0</v>
      </c>
      <c r="G47" s="9">
        <f si="1" t="shared"/>
        <v>2.3882313727430033E-3</v>
      </c>
    </row>
    <row r="48" spans="1:7" x14ac:dyDescent="0.25">
      <c r="A48">
        <v>37</v>
      </c>
      <c r="B48" s="6" t="n">
        <v>5027.2977241032</v>
      </c>
      <c r="C48" s="9">
        <f si="0" t="shared"/>
        <v>2.5025443468808407E-3</v>
      </c>
      <c r="E48" s="371">
        <v>37</v>
      </c>
      <c r="F48" s="371" t="n">
        <v>3818.0</v>
      </c>
      <c r="G48" s="9">
        <f si="1" t="shared"/>
        <v>1.6675088194897433E-3</v>
      </c>
    </row>
    <row r="49" spans="1:7" x14ac:dyDescent="0.25">
      <c r="A49">
        <v>38</v>
      </c>
      <c r="B49" s="6" t="n">
        <v>7397.7355238755</v>
      </c>
      <c r="C49" s="9">
        <f si="0" t="shared"/>
        <v>3.6825273200418412E-3</v>
      </c>
      <c r="E49" s="371">
        <v>38</v>
      </c>
      <c r="F49" s="371" t="n">
        <v>4887.0</v>
      </c>
      <c r="G49" s="9">
        <f si="1" t="shared"/>
        <v>2.0965213463781497E-3</v>
      </c>
    </row>
    <row r="50" spans="1:7" x14ac:dyDescent="0.25">
      <c r="A50">
        <v>39</v>
      </c>
      <c r="B50" s="6" t="n">
        <v>2846.620882315</v>
      </c>
      <c r="C50" s="9">
        <f si="0" t="shared"/>
        <v>1.4170227004053433E-3</v>
      </c>
      <c r="E50" s="371">
        <v>39</v>
      </c>
      <c r="F50" s="371" t="n">
        <v>3208.0</v>
      </c>
      <c r="G50" s="9">
        <f si="1" t="shared"/>
        <v>1.5718131373066613E-3</v>
      </c>
    </row>
    <row r="51" spans="1:7" x14ac:dyDescent="0.25">
      <c r="A51">
        <v>40</v>
      </c>
      <c r="B51" s="6" t="n">
        <v>3637.79499726</v>
      </c>
      <c r="C51" s="9">
        <f si="0" t="shared"/>
        <v>1.8108621778767631E-3</v>
      </c>
      <c r="E51" s="371">
        <v>40</v>
      </c>
      <c r="F51" s="371" t="n">
        <v>2801.0</v>
      </c>
      <c r="G51" s="9">
        <f si="1" t="shared"/>
        <v>1.308303287817015E-3</v>
      </c>
    </row>
    <row r="52" spans="1:7" x14ac:dyDescent="0.25">
      <c r="A52">
        <v>41</v>
      </c>
      <c r="B52" s="6" t="n">
        <v>3842.0829496953</v>
      </c>
      <c r="C52" s="9">
        <f si="0" t="shared"/>
        <v>1.9125549139269282E-3</v>
      </c>
      <c r="E52" s="371">
        <v>41</v>
      </c>
      <c r="F52" s="371" t="n">
        <v>2274.0</v>
      </c>
      <c r="G52" s="9">
        <f si="1" t="shared"/>
        <v>1.2616111916793761E-3</v>
      </c>
    </row>
    <row r="53" spans="1:7" x14ac:dyDescent="0.25">
      <c r="A53">
        <v>42</v>
      </c>
      <c r="B53" s="6" t="n">
        <v>603.942380844</v>
      </c>
      <c r="C53" s="9">
        <f si="0" t="shared"/>
        <v>3.0063717606709263E-4</v>
      </c>
      <c r="E53" s="371">
        <v>42</v>
      </c>
      <c r="F53" s="371" t="n">
        <v>2008.0</v>
      </c>
      <c r="G53" s="9">
        <f si="1" t="shared"/>
        <v>8.5802505377681275E-4</v>
      </c>
    </row>
    <row r="54" spans="1:7" x14ac:dyDescent="0.25">
      <c r="A54">
        <v>43</v>
      </c>
      <c r="B54" s="6" t="n">
        <v>1776.9033869573</v>
      </c>
      <c r="C54" s="9">
        <f si="0" t="shared"/>
        <v>8.8452679153324927E-4</v>
      </c>
      <c r="E54" s="371">
        <v>43</v>
      </c>
      <c r="F54" s="371" t="n">
        <v>1597.0</v>
      </c>
      <c r="G54" s="9">
        <f si="1" t="shared"/>
        <v>7.8220818480084439E-4</v>
      </c>
    </row>
    <row r="55" spans="1:7" x14ac:dyDescent="0.25">
      <c r="A55">
        <v>44</v>
      </c>
      <c r="B55" s="6" t="n">
        <v>4726.5863044316</v>
      </c>
      <c r="C55" s="9">
        <f si="0" t="shared"/>
        <v>2.3528528615857423E-3</v>
      </c>
      <c r="E55" s="371">
        <v>44</v>
      </c>
      <c r="F55" s="371" t="n">
        <v>1543.0</v>
      </c>
      <c r="G55" s="9">
        <f si="1" t="shared"/>
        <v>7.0592901784331515E-4</v>
      </c>
    </row>
    <row r="56" spans="1:7" x14ac:dyDescent="0.25">
      <c r="A56">
        <v>45</v>
      </c>
      <c r="B56" s="6" t="n">
        <v>2273.679069858</v>
      </c>
      <c r="C56" s="9">
        <f si="0" t="shared"/>
        <v>1.1318173331199394E-3</v>
      </c>
      <c r="E56" s="371">
        <v>45</v>
      </c>
      <c r="F56" s="371" t="n">
        <v>1356.0</v>
      </c>
      <c r="G56" s="9">
        <f si="1" t="shared"/>
        <v>6.8651250261776231E-4</v>
      </c>
    </row>
    <row r="57" spans="1:7" x14ac:dyDescent="0.25">
      <c r="A57">
        <v>46</v>
      </c>
      <c r="B57" s="6" t="n">
        <v>689.0045439149001</v>
      </c>
      <c r="C57" s="9">
        <f si="0" t="shared"/>
        <v>3.4298036857505383E-4</v>
      </c>
      <c r="E57" s="371">
        <v>46</v>
      </c>
      <c r="F57" s="371" t="n">
        <v>1429.0</v>
      </c>
      <c r="G57" s="9">
        <f si="1" t="shared"/>
        <v>5.9127911841624112E-4</v>
      </c>
    </row>
    <row r="58" spans="1:7" x14ac:dyDescent="0.25">
      <c r="A58">
        <v>47</v>
      </c>
      <c r="B58" s="6" t="n">
        <v>6277.90774694</v>
      </c>
      <c r="C58" s="9">
        <f si="0" t="shared"/>
        <v>3.1250869561632554E-3</v>
      </c>
      <c r="E58" s="371">
        <v>47</v>
      </c>
      <c r="F58" s="371" t="n">
        <v>818.0</v>
      </c>
      <c r="G58" s="9">
        <f si="1" t="shared"/>
        <v>4.5258972394800629E-4</v>
      </c>
    </row>
    <row r="59" spans="1:7" x14ac:dyDescent="0.25">
      <c r="A59">
        <v>48</v>
      </c>
      <c r="B59" s="6" t="n">
        <v>3520.127117288</v>
      </c>
      <c r="C59" s="9">
        <f si="0" t="shared"/>
        <v>1.7522881478523307E-3</v>
      </c>
      <c r="E59" s="371">
        <v>48</v>
      </c>
      <c r="F59" s="371" t="n">
        <v>903.0</v>
      </c>
      <c r="G59" s="9">
        <f si="1" t="shared"/>
        <v>4.1190750157065739E-4</v>
      </c>
    </row>
    <row r="60" spans="1:7" x14ac:dyDescent="0.25">
      <c r="A60">
        <v>49</v>
      </c>
      <c r="B60" s="6" t="n">
        <v>492.339784141</v>
      </c>
      <c r="C60" s="9">
        <f si="0" t="shared"/>
        <v>2.4508239041410316E-4</v>
      </c>
      <c r="E60" s="371">
        <v>49</v>
      </c>
      <c r="F60" s="371" t="n">
        <v>747.0</v>
      </c>
      <c r="G60" s="9">
        <f si="1" t="shared"/>
        <v>3.1991020324006163E-4</v>
      </c>
    </row>
    <row r="61" spans="1:7" x14ac:dyDescent="0.25">
      <c r="A61">
        <v>50</v>
      </c>
      <c r="B61" s="6" t="n">
        <v>1172.30496159</v>
      </c>
      <c r="C61" s="9">
        <f si="0" t="shared"/>
        <v>5.8356304230435343E-4</v>
      </c>
      <c r="E61" s="371">
        <v>50</v>
      </c>
      <c r="F61" s="371" t="n">
        <v>679.0</v>
      </c>
      <c r="G61" s="9">
        <f si="1" t="shared"/>
        <v>2.9818219810670484E-4</v>
      </c>
    </row>
    <row r="62" spans="1:7" x14ac:dyDescent="0.25">
      <c r="A62">
        <v>51</v>
      </c>
      <c r="B62" s="6" t="n">
        <v>565.589709185</v>
      </c>
      <c r="C62" s="9">
        <f si="0" t="shared"/>
        <v>2.8154555529678524E-4</v>
      </c>
      <c r="E62" s="371">
        <v>51</v>
      </c>
      <c r="F62" s="371" t="n">
        <v>803.0</v>
      </c>
      <c r="G62" s="9">
        <f si="1" t="shared"/>
        <v>3.3239224874220276E-4</v>
      </c>
    </row>
    <row r="63" spans="1:7" x14ac:dyDescent="0.25">
      <c r="A63">
        <v>52</v>
      </c>
      <c r="B63" s="6" t="n">
        <v>2193.17997283</v>
      </c>
      <c r="C63" s="9">
        <f si="0" t="shared"/>
        <v>1.0917455945335065E-3</v>
      </c>
      <c r="E63" s="371">
        <v>52</v>
      </c>
      <c r="F63" s="371" t="n">
        <v>523.0</v>
      </c>
      <c r="G63" s="9">
        <f si="1" t="shared"/>
        <v>2.4779171811657952E-4</v>
      </c>
    </row>
    <row r="64" spans="1:7" x14ac:dyDescent="0.25">
      <c r="A64">
        <v>53</v>
      </c>
      <c r="B64" s="6" t="n">
        <v>461.67911433899997</v>
      </c>
      <c r="C64" s="9">
        <f si="0" t="shared"/>
        <v>2.2981978014204835E-4</v>
      </c>
      <c r="E64" s="371">
        <v>53</v>
      </c>
      <c r="F64" s="371" t="n">
        <v>422.0</v>
      </c>
      <c r="G64" s="9">
        <f si="1" t="shared"/>
        <v>2.40394950411607E-4</v>
      </c>
    </row>
    <row r="65" spans="1:7" x14ac:dyDescent="0.25">
      <c r="A65">
        <v>54</v>
      </c>
      <c r="B65" s="6" t="n">
        <v>990.599863037</v>
      </c>
      <c r="C65" s="9">
        <f si="0" t="shared"/>
        <v>4.9311185119962268E-4</v>
      </c>
      <c r="E65" s="371">
        <v>54</v>
      </c>
      <c r="F65" s="371" t="n">
        <v>459.0</v>
      </c>
      <c r="G65" s="9">
        <f si="1" t="shared"/>
        <v>2.408572483931678E-4</v>
      </c>
    </row>
    <row r="66" spans="1:7" x14ac:dyDescent="0.25">
      <c r="A66">
        <v>55</v>
      </c>
      <c r="B66" s="6" t="n">
        <v>1608.764097521</v>
      </c>
      <c r="C66" s="9">
        <f si="0" t="shared"/>
        <v>8.008285402341511E-4</v>
      </c>
      <c r="E66" s="371">
        <v>55</v>
      </c>
      <c r="F66" s="371" t="n">
        <v>448.0</v>
      </c>
      <c r="G66" s="9">
        <f si="1" t="shared"/>
        <v>1.6411578345407787E-4</v>
      </c>
    </row>
    <row r="67" spans="1:7" x14ac:dyDescent="0.25">
      <c r="A67">
        <v>56</v>
      </c>
      <c r="B67" s="6" t="n">
        <v>2956.089894128</v>
      </c>
      <c r="C67" s="9">
        <f si="0" t="shared"/>
        <v>1.471515406368988E-3</v>
      </c>
      <c r="E67" s="371">
        <v>56</v>
      </c>
      <c r="F67" s="371" t="n">
        <v>354.0</v>
      </c>
      <c r="G67" s="9">
        <f si="1" t="shared"/>
        <v>1.9185366234772481E-4</v>
      </c>
    </row>
    <row r="68" spans="1:7" x14ac:dyDescent="0.25">
      <c r="A68">
        <v>57</v>
      </c>
      <c r="B68" s="6" t="n">
        <v>1267.960102457</v>
      </c>
      <c r="C68" s="9">
        <f si="0" t="shared"/>
        <v>6.3117932547753733E-4</v>
      </c>
      <c r="E68" s="371">
        <v>57</v>
      </c>
      <c r="F68" s="371" t="n">
        <v>252.0</v>
      </c>
      <c r="G68" s="9">
        <f si="1" t="shared"/>
        <v>1.1511219740863489E-4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380.0</v>
      </c>
      <c r="G69" s="9">
        <f si="1" t="shared"/>
        <v>1.3175492474482307E-4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374.0</v>
      </c>
      <c r="G70" s="9">
        <f si="1" t="shared"/>
        <v>1.3499101061574854E-4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320.0</v>
      </c>
      <c r="G71" s="9">
        <f si="1" t="shared"/>
        <v>1.2759424291077602E-4</v>
      </c>
    </row>
    <row r="72" spans="1:7" x14ac:dyDescent="0.25">
      <c r="A72">
        <v>61</v>
      </c>
      <c r="B72" s="6" t="n">
        <v>117.951606001</v>
      </c>
      <c r="C72" s="9">
        <f si="0" t="shared"/>
        <v>5.8715266332465843E-5</v>
      </c>
      <c r="E72" s="371">
        <v>61</v>
      </c>
      <c r="F72" s="371" t="n">
        <v>150.0</v>
      </c>
      <c r="G72" s="9">
        <f si="1" t="shared"/>
        <v>5.2239671916368443E-5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293.0</v>
      </c>
      <c r="G73" s="9">
        <f si="1" t="shared"/>
        <v>8.9223510441231068E-5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186.0</v>
      </c>
      <c r="G74" s="9">
        <f si="1" t="shared"/>
        <v>5.4551161824172362E-5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145.0</v>
      </c>
      <c r="G75" s="9">
        <f si="1" t="shared"/>
        <v>4.9003586045442967E-5</v>
      </c>
    </row>
    <row r="76" spans="1:7" x14ac:dyDescent="0.25">
      <c r="A76">
        <v>65</v>
      </c>
      <c r="B76" s="6" t="n">
        <v>295.789176212</v>
      </c>
      <c r="C76" s="9">
        <f si="0" t="shared"/>
        <v>1.4724123603201305E-4</v>
      </c>
      <c r="E76" s="371">
        <v>65</v>
      </c>
      <c r="F76" s="371" t="n">
        <v>101.0</v>
      </c>
      <c r="G76" s="9">
        <f si="1" t="shared"/>
        <v>4.4842904211395925E-5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68.0</v>
      </c>
      <c r="G77" s="9">
        <f ref="G77:G102" si="3" t="shared">F77/F$102</f>
        <v>3.8833030451105747E-5</v>
      </c>
    </row>
    <row r="78" spans="1:7" x14ac:dyDescent="0.25">
      <c r="A78">
        <v>67</v>
      </c>
      <c r="B78" s="6" t="n">
        <v>103.594494646</v>
      </c>
      <c r="C78" s="9">
        <f si="2" t="shared"/>
        <v>5.1568423270688896E-5</v>
      </c>
      <c r="E78" s="371">
        <v>67</v>
      </c>
      <c r="F78" s="371" t="n">
        <v>81.0</v>
      </c>
      <c r="G78" s="9">
        <f si="3" t="shared"/>
        <v>3.4210050635497923E-5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74.0</v>
      </c>
      <c r="G79" s="9">
        <f si="3" t="shared"/>
        <v>3.0049368801450875E-5</v>
      </c>
    </row>
    <row r="80" spans="1:7" x14ac:dyDescent="0.25">
      <c r="A80">
        <v>69</v>
      </c>
      <c r="B80" s="6" t="n">
        <v>607.47943235</v>
      </c>
      <c r="C80" s="9">
        <f si="2" t="shared"/>
        <v>3.0239788902597072E-4</v>
      </c>
      <c r="E80" s="371">
        <v>69</v>
      </c>
      <c r="F80" s="371" t="n">
        <v>50.0</v>
      </c>
      <c r="G80" s="9">
        <f si="3" t="shared"/>
        <v>2.4039495041160701E-5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95.0</v>
      </c>
      <c r="G81" s="9">
        <f si="3" t="shared"/>
        <v>5.1315075953246878E-5</v>
      </c>
    </row>
    <row r="82" spans="1:7" x14ac:dyDescent="0.25">
      <c r="A82">
        <v>71</v>
      </c>
      <c r="B82" s="6" t="n">
        <v>213.4047725981</v>
      </c>
      <c r="C82" s="9">
        <f si="2" t="shared"/>
        <v>1.0623100850030409E-4</v>
      </c>
      <c r="E82" s="371">
        <v>71</v>
      </c>
      <c r="F82" s="371" t="n">
        <v>66.0</v>
      </c>
      <c r="G82" s="9">
        <f si="3" t="shared"/>
        <v>4.3456010266713571E-5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65.0</v>
      </c>
      <c r="G83" s="9">
        <f si="3" t="shared"/>
        <v>2.7275580912086181E-5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36.0</v>
      </c>
      <c r="G84" s="9">
        <f si="3" t="shared"/>
        <v>1.201974752058035E-5</v>
      </c>
    </row>
    <row r="85" spans="1:7" x14ac:dyDescent="0.25">
      <c r="A85">
        <v>74</v>
      </c>
      <c r="B85" s="6" t="n">
        <v>474.816708997</v>
      </c>
      <c r="C85" s="9">
        <f si="2" t="shared"/>
        <v>2.3635955857716277E-4</v>
      </c>
      <c r="E85" s="371">
        <v>74</v>
      </c>
      <c r="F85" s="371" t="n">
        <v>58.0</v>
      </c>
      <c r="G85" s="9">
        <f si="3" t="shared"/>
        <v>2.3577197059599918E-5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32.0</v>
      </c>
      <c r="G86" s="9">
        <f si="3" t="shared"/>
        <v>1.3868939446823482E-5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39.0</v>
      </c>
      <c r="G87" s="9">
        <f si="3" t="shared"/>
        <v>3.097396476457244E-5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11.0</v>
      </c>
      <c r="G88" s="9">
        <f si="3" t="shared"/>
        <v>6.9344697234117408E-6</v>
      </c>
    </row>
    <row r="89" spans="1:7" x14ac:dyDescent="0.25">
      <c r="A89">
        <v>78</v>
      </c>
      <c r="B89" s="6" t="n">
        <v>1289.6121573</v>
      </c>
      <c r="C89" s="9">
        <f si="2" t="shared"/>
        <v>6.4195752689296466E-4</v>
      </c>
      <c r="E89" s="371">
        <v>78</v>
      </c>
      <c r="F89" s="371" t="n">
        <v>14.0</v>
      </c>
      <c r="G89" s="9">
        <f si="3" t="shared"/>
        <v>1.4793535409945046E-5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3.2360858709254788E-6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2.0</v>
      </c>
      <c r="G91" s="9">
        <f si="3" t="shared"/>
        <v>6.4721717418509576E-6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13.0</v>
      </c>
      <c r="G92" s="9">
        <f si="3" t="shared"/>
        <v>1.3868939446823482E-6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6.0</v>
      </c>
      <c r="G93" s="9">
        <f si="3" t="shared"/>
        <v>6.0098737602901752E-6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16.0</v>
      </c>
      <c r="G94" s="9">
        <f si="3" t="shared"/>
        <v>8.7836616496548721E-6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14.0</v>
      </c>
      <c r="G95" s="9">
        <f si="3" t="shared"/>
        <v>7.8590656865333056E-6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8.0</v>
      </c>
      <c r="G96" s="9">
        <f si="3" t="shared"/>
        <v>4.160681834047044E-6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8.0</v>
      </c>
      <c r="G97" s="9">
        <f si="3" t="shared"/>
        <v>1.3868939446823482E-6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2.0</v>
      </c>
      <c r="G98" s="9">
        <f si="3" t="shared"/>
        <v>4.160681834047044E-6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2.0</v>
      </c>
      <c r="G99" s="9">
        <f si="3" t="shared"/>
        <v>4.622979815607827E-7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1.0</v>
      </c>
      <c r="G100" s="9">
        <f si="3" t="shared"/>
        <v>4.622979815607827E-7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16.0</v>
      </c>
      <c r="G101" s="9">
        <f si="3" t="shared"/>
        <v>9.7082576127764368E-6</v>
      </c>
    </row>
    <row r="102" spans="1:7" x14ac:dyDescent="0.25">
      <c r="B102" s="6">
        <f>SUM(B11:B101)</f>
        <v>2008874.5801324961</v>
      </c>
      <c r="C102" s="9">
        <f si="2" t="shared"/>
        <v>1</v>
      </c>
      <c r="F102" s="6">
        <f>SUM(F11:F101)</f>
        <v>2163107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1897.0</v>
      </c>
      <c r="G11" s="9">
        <f>F11/F$102</f>
        <v>8.034738919526403E-4</v>
      </c>
      <c r="K11" s="6" t="n">
        <v>33.78105925129261</v>
      </c>
      <c r="L11" s="6" t="n">
        <v>27.530899047994158</v>
      </c>
    </row>
    <row r="12" spans="1:12" x14ac:dyDescent="0.25">
      <c r="A12">
        <v>1</v>
      </c>
      <c r="B12" s="6" t="n">
        <v>1259.1425662687</v>
      </c>
      <c r="C12" s="9">
        <f>B12/B$102</f>
        <v>6.2679003394311092E-4</v>
      </c>
      <c r="E12" s="371">
        <v>1</v>
      </c>
      <c r="F12" s="371" t="n">
        <v>23102.0</v>
      </c>
      <c r="G12" s="9">
        <f>F12/F$102</f>
        <v>1.0431753953919062E-2</v>
      </c>
      <c r="K12" s="6"/>
      <c r="L12" s="371"/>
    </row>
    <row r="13" spans="1:12" x14ac:dyDescent="0.25">
      <c r="A13">
        <v>2</v>
      </c>
      <c r="B13" s="6" t="n">
        <v>2197.3137057947</v>
      </c>
      <c r="C13" s="9">
        <f ref="C13:C76" si="0" t="shared">B13/B$102</f>
        <v>1.093803330245622E-3</v>
      </c>
      <c r="E13" s="371">
        <v>2</v>
      </c>
      <c r="F13" s="371" t="n">
        <v>28637.0</v>
      </c>
      <c r="G13" s="9">
        <f ref="G13:G76" si="1" t="shared">F13/F$102</f>
        <v>1.2673436866507298E-2</v>
      </c>
    </row>
    <row r="14" spans="1:12" x14ac:dyDescent="0.25">
      <c r="A14">
        <v>3</v>
      </c>
      <c r="B14" s="6" t="n">
        <v>1990.0253369893</v>
      </c>
      <c r="C14" s="9">
        <f si="0" t="shared"/>
        <v>9.9061701346136143E-4</v>
      </c>
      <c r="E14" s="371">
        <v>3</v>
      </c>
      <c r="F14" s="371" t="n">
        <v>32548.0</v>
      </c>
      <c r="G14" s="9">
        <f si="1" t="shared"/>
        <v>1.4739446546102436E-2</v>
      </c>
    </row>
    <row r="15" spans="1:12" x14ac:dyDescent="0.25">
      <c r="A15">
        <v>4</v>
      </c>
      <c r="B15" s="6" t="n">
        <v>6403.2398997394</v>
      </c>
      <c r="C15" s="9">
        <f si="0" t="shared"/>
        <v>3.1874761934202341E-3</v>
      </c>
      <c r="E15" s="371">
        <v>4</v>
      </c>
      <c r="F15" s="371" t="n">
        <v>33764.0</v>
      </c>
      <c r="G15" s="9">
        <f si="1" t="shared"/>
        <v>1.5364935715154173E-2</v>
      </c>
    </row>
    <row r="16" spans="1:12" x14ac:dyDescent="0.25">
      <c r="A16">
        <v>5</v>
      </c>
      <c r="B16" s="6" t="n">
        <v>20321.6378959424</v>
      </c>
      <c r="C16" s="9">
        <f si="0" t="shared"/>
        <v>1.0115931625060474E-2</v>
      </c>
      <c r="E16" s="371">
        <v>5</v>
      </c>
      <c r="F16" s="371" t="n">
        <v>34578.0</v>
      </c>
      <c r="G16" s="9">
        <f si="1" t="shared"/>
        <v>1.5422722962849272E-2</v>
      </c>
    </row>
    <row r="17" spans="1:7" x14ac:dyDescent="0.25">
      <c r="A17">
        <v>6</v>
      </c>
      <c r="B17" s="6" t="n">
        <v>12503.5522597822</v>
      </c>
      <c r="C17" s="9">
        <f si="0" t="shared"/>
        <v>6.224157736595742E-3</v>
      </c>
      <c r="E17" s="371">
        <v>6</v>
      </c>
      <c r="F17" s="371" t="n">
        <v>33369.0</v>
      </c>
      <c r="G17" s="9">
        <f si="1" t="shared"/>
        <v>1.5343670008002378E-2</v>
      </c>
    </row>
    <row r="18" spans="1:7" x14ac:dyDescent="0.25">
      <c r="A18">
        <v>7</v>
      </c>
      <c r="B18" s="6" t="n">
        <v>12901.6341442663</v>
      </c>
      <c r="C18" s="9">
        <f si="0" t="shared"/>
        <v>6.422319378154193E-3</v>
      </c>
      <c r="E18" s="371">
        <v>7</v>
      </c>
      <c r="F18" s="371" t="n">
        <v>32150.0</v>
      </c>
      <c r="G18" s="9">
        <f si="1" t="shared"/>
        <v>1.4910034501298363E-2</v>
      </c>
    </row>
    <row r="19" spans="1:7" x14ac:dyDescent="0.25">
      <c r="A19">
        <v>8</v>
      </c>
      <c r="B19" s="6" t="n">
        <v>8206.3313768856</v>
      </c>
      <c r="C19" s="9">
        <f si="0" t="shared"/>
        <v>4.0850391846485251E-3</v>
      </c>
      <c r="E19" s="371">
        <v>8</v>
      </c>
      <c r="F19" s="371" t="n">
        <v>31242.0</v>
      </c>
      <c r="G19" s="9">
        <f si="1" t="shared"/>
        <v>1.4191623437952907E-2</v>
      </c>
    </row>
    <row r="20" spans="1:7" x14ac:dyDescent="0.25">
      <c r="A20">
        <v>9</v>
      </c>
      <c r="B20" s="6" t="n">
        <v>33576.8505273675</v>
      </c>
      <c r="C20" s="9">
        <f si="0" t="shared"/>
        <v>1.6714259247161623E-2</v>
      </c>
      <c r="E20" s="371">
        <v>9</v>
      </c>
      <c r="F20" s="371" t="n">
        <v>30100.0</v>
      </c>
      <c r="G20" s="9">
        <f si="1" t="shared"/>
        <v>1.3861080381136948E-2</v>
      </c>
    </row>
    <row r="21" spans="1:7" x14ac:dyDescent="0.25">
      <c r="A21">
        <v>10</v>
      </c>
      <c r="B21" s="6" t="n">
        <v>6089.720630818</v>
      </c>
      <c r="C21" s="9">
        <f si="0" t="shared"/>
        <v>3.0314090740380367E-3</v>
      </c>
      <c r="E21" s="371">
        <v>10</v>
      </c>
      <c r="F21" s="371" t="n">
        <v>28879.0</v>
      </c>
      <c r="G21" s="9">
        <f si="1" t="shared"/>
        <v>1.3169020302740456E-2</v>
      </c>
    </row>
    <row r="22" spans="1:7" x14ac:dyDescent="0.25">
      <c r="A22">
        <v>11</v>
      </c>
      <c r="B22" s="6" t="n">
        <v>24998.5293292531</v>
      </c>
      <c r="C22" s="9">
        <f si="0" t="shared"/>
        <v>1.2444046819291382E-2</v>
      </c>
      <c r="E22" s="371">
        <v>11</v>
      </c>
      <c r="F22" s="371" t="n">
        <v>26728.0</v>
      </c>
      <c r="G22" s="9">
        <f si="1" t="shared"/>
        <v>1.2176004238347894E-2</v>
      </c>
    </row>
    <row r="23" spans="1:7" x14ac:dyDescent="0.25">
      <c r="A23">
        <v>12</v>
      </c>
      <c r="B23" s="6" t="n">
        <v>17852.4044474451</v>
      </c>
      <c r="C23" s="9">
        <f si="0" t="shared"/>
        <v>8.8867690516884514E-3</v>
      </c>
      <c r="E23" s="371">
        <v>12</v>
      </c>
      <c r="F23" s="371" t="n">
        <v>25539.0</v>
      </c>
      <c r="G23" s="9">
        <f si="1" t="shared"/>
        <v>1.1684119185967222E-2</v>
      </c>
    </row>
    <row r="24" spans="1:7" x14ac:dyDescent="0.25">
      <c r="A24">
        <v>13</v>
      </c>
      <c r="B24" s="6" t="n">
        <v>17043.167731912</v>
      </c>
      <c r="C24" s="9">
        <f si="0" t="shared"/>
        <v>8.4839381713854474E-3</v>
      </c>
      <c r="E24" s="371">
        <v>13</v>
      </c>
      <c r="F24" s="371" t="n">
        <v>23540.0</v>
      </c>
      <c r="G24" s="9">
        <f si="1" t="shared"/>
        <v>1.0977727870142347E-2</v>
      </c>
    </row>
    <row r="25" spans="1:7" x14ac:dyDescent="0.25">
      <c r="A25">
        <v>14</v>
      </c>
      <c r="B25" s="6" t="n">
        <v>21807.9687368719</v>
      </c>
      <c r="C25" s="9">
        <f si="0" t="shared"/>
        <v>1.0855813972932817E-2</v>
      </c>
      <c r="E25" s="371">
        <v>14</v>
      </c>
      <c r="F25" s="371" t="n">
        <v>22826.0</v>
      </c>
      <c r="G25" s="9">
        <f si="1" t="shared"/>
        <v>1.0579689308018511E-2</v>
      </c>
    </row>
    <row r="26" spans="1:7" x14ac:dyDescent="0.25">
      <c r="A26">
        <v>15</v>
      </c>
      <c r="B26" s="6" t="n">
        <v>12808.1049253729</v>
      </c>
      <c r="C26" s="9">
        <f si="0" t="shared"/>
        <v>6.375761360138339E-3</v>
      </c>
      <c r="E26" s="371">
        <v>15</v>
      </c>
      <c r="F26" s="371" t="n">
        <v>21302.0</v>
      </c>
      <c r="G26" s="9">
        <f si="1" t="shared"/>
        <v>9.6342899357267121E-3</v>
      </c>
    </row>
    <row r="27" spans="1:7" x14ac:dyDescent="0.25">
      <c r="A27">
        <v>16</v>
      </c>
      <c r="B27" s="6" t="n">
        <v>33281.1497141247</v>
      </c>
      <c r="C27" s="9">
        <f si="0" t="shared"/>
        <v>1.656706199743422E-2</v>
      </c>
      <c r="E27" s="371">
        <v>16</v>
      </c>
      <c r="F27" s="371" t="n">
        <v>18523.0</v>
      </c>
      <c r="G27" s="9">
        <f si="1" t="shared"/>
        <v>8.5340207396120485E-3</v>
      </c>
    </row>
    <row r="28" spans="1:7" x14ac:dyDescent="0.25">
      <c r="A28">
        <v>17</v>
      </c>
      <c r="B28" s="6" t="n">
        <v>18419.6608843452</v>
      </c>
      <c r="C28" s="9">
        <f si="0" t="shared"/>
        <v>9.1691442893016856E-3</v>
      </c>
      <c r="E28" s="371">
        <v>17</v>
      </c>
      <c r="F28" s="371" t="n">
        <v>17927.0</v>
      </c>
      <c r="G28" s="9">
        <f si="1" t="shared"/>
        <v>8.2326024556344177E-3</v>
      </c>
    </row>
    <row r="29" spans="1:7" x14ac:dyDescent="0.25">
      <c r="A29">
        <v>18</v>
      </c>
      <c r="B29" s="6" t="n">
        <v>98957.63929406789</v>
      </c>
      <c r="C29" s="9">
        <f si="0" t="shared"/>
        <v>4.9260237683699047E-2</v>
      </c>
      <c r="E29" s="371">
        <v>18</v>
      </c>
      <c r="F29" s="371" t="n">
        <v>156306.0</v>
      </c>
      <c r="G29" s="9">
        <f si="1" t="shared"/>
        <v>7.2522071261384671E-2</v>
      </c>
    </row>
    <row r="30" spans="1:7" x14ac:dyDescent="0.25">
      <c r="A30">
        <v>19</v>
      </c>
      <c r="B30" s="6" t="n">
        <v>60372.7358251227</v>
      </c>
      <c r="C30" s="9">
        <f si="0" t="shared"/>
        <v>3.005301397220168E-2</v>
      </c>
      <c r="E30" s="371">
        <v>19</v>
      </c>
      <c r="F30" s="371" t="n">
        <v>74434.0</v>
      </c>
      <c r="G30" s="9">
        <f si="1" t="shared"/>
        <v>3.3544803840031952E-2</v>
      </c>
    </row>
    <row r="31" spans="1:7" x14ac:dyDescent="0.25">
      <c r="A31">
        <v>20</v>
      </c>
      <c r="B31" s="6" t="n">
        <v>71410.1613552988</v>
      </c>
      <c r="C31" s="9">
        <f si="0" t="shared"/>
        <v>3.5547346788861706E-2</v>
      </c>
      <c r="E31" s="371">
        <v>20</v>
      </c>
      <c r="F31" s="371" t="n">
        <v>81940.0</v>
      </c>
      <c r="G31" s="9">
        <f si="1" t="shared"/>
        <v>3.8601419162343796E-2</v>
      </c>
    </row>
    <row r="32" spans="1:7" x14ac:dyDescent="0.25">
      <c r="A32">
        <v>21</v>
      </c>
      <c r="B32" s="6" t="n">
        <v>100676.1655302641</v>
      </c>
      <c r="C32" s="9">
        <f si="0" t="shared"/>
        <v>5.0115704845856507E-2</v>
      </c>
      <c r="E32" s="371">
        <v>21</v>
      </c>
      <c r="F32" s="371" t="n">
        <v>96796.0</v>
      </c>
      <c r="G32" s="9">
        <f si="1" t="shared"/>
        <v>4.4244228325274707E-2</v>
      </c>
    </row>
    <row r="33" spans="1:7" x14ac:dyDescent="0.25">
      <c r="A33">
        <v>22</v>
      </c>
      <c r="B33" s="6" t="n">
        <v>68493.8092580265</v>
      </c>
      <c r="C33" s="9">
        <f si="0" t="shared"/>
        <v>3.4095612506336234E-2</v>
      </c>
      <c r="E33" s="371">
        <v>22</v>
      </c>
      <c r="F33" s="371" t="n">
        <v>100677.0</v>
      </c>
      <c r="G33" s="9">
        <f si="1" t="shared"/>
        <v>4.7046678689496177E-2</v>
      </c>
    </row>
    <row r="34" spans="1:7" x14ac:dyDescent="0.25">
      <c r="A34">
        <v>23</v>
      </c>
      <c r="B34" s="6" t="n">
        <v>59416.4901736398</v>
      </c>
      <c r="C34" s="9">
        <f si="0" t="shared"/>
        <v>2.957700334369354E-2</v>
      </c>
      <c r="E34" s="371">
        <v>23</v>
      </c>
      <c r="F34" s="371" t="n">
        <v>84016.0</v>
      </c>
      <c r="G34" s="9">
        <f si="1" t="shared"/>
        <v>3.9903250278418963E-2</v>
      </c>
    </row>
    <row r="35" spans="1:7" x14ac:dyDescent="0.25">
      <c r="A35">
        <v>24</v>
      </c>
      <c r="B35" s="6" t="n">
        <v>79671.64695347579</v>
      </c>
      <c r="C35" s="9">
        <f si="0" t="shared"/>
        <v>3.9659841257098795E-2</v>
      </c>
      <c r="E35" s="371">
        <v>24</v>
      </c>
      <c r="F35" s="371" t="n">
        <v>61521.0</v>
      </c>
      <c r="G35" s="9">
        <f si="1" t="shared"/>
        <v>2.784929270720311E-2</v>
      </c>
    </row>
    <row r="36" spans="1:7" x14ac:dyDescent="0.25">
      <c r="A36">
        <v>25</v>
      </c>
      <c r="B36" s="6" t="n">
        <v>47546.692514214</v>
      </c>
      <c r="C36" s="9">
        <f si="0" t="shared"/>
        <v>2.366832304238627E-2</v>
      </c>
      <c r="E36" s="371">
        <v>25</v>
      </c>
      <c r="F36" s="371" t="n">
        <v>71339.0</v>
      </c>
      <c r="G36" s="9">
        <f si="1" t="shared"/>
        <v>3.2513417043169845E-2</v>
      </c>
    </row>
    <row r="37" spans="1:7" x14ac:dyDescent="0.25">
      <c r="A37">
        <v>26</v>
      </c>
      <c r="B37" s="6" t="n">
        <v>80046.3644186932</v>
      </c>
      <c r="C37" s="9">
        <f si="0" t="shared"/>
        <v>3.9846372297375435E-2</v>
      </c>
      <c r="E37" s="371">
        <v>26</v>
      </c>
      <c r="F37" s="371" t="n">
        <v>64484.0</v>
      </c>
      <c r="G37" s="9">
        <f si="1" t="shared"/>
        <v>2.8916276448645396E-2</v>
      </c>
    </row>
    <row r="38" spans="1:7" x14ac:dyDescent="0.25">
      <c r="A38">
        <v>27</v>
      </c>
      <c r="B38" s="6" t="n">
        <v>50731.1269962866</v>
      </c>
      <c r="C38" s="9">
        <f si="0" t="shared"/>
        <v>2.5253506365211013E-2</v>
      </c>
      <c r="E38" s="371">
        <v>27</v>
      </c>
      <c r="F38" s="371" t="n">
        <v>46796.0</v>
      </c>
      <c r="G38" s="9">
        <f si="1" t="shared"/>
        <v>2.4403323552649035E-2</v>
      </c>
    </row>
    <row r="39" spans="1:7" x14ac:dyDescent="0.25">
      <c r="A39">
        <v>28</v>
      </c>
      <c r="B39" s="6" t="n">
        <v>59362.2340725563</v>
      </c>
      <c r="C39" s="9">
        <f si="0" t="shared"/>
        <v>2.9549995136401712E-2</v>
      </c>
      <c r="E39" s="371">
        <v>28</v>
      </c>
      <c r="F39" s="371" t="n">
        <v>61427.0</v>
      </c>
      <c r="G39" s="9">
        <f si="1" t="shared"/>
        <v>3.006832301869487E-2</v>
      </c>
    </row>
    <row r="40" spans="1:7" x14ac:dyDescent="0.25">
      <c r="A40">
        <v>29</v>
      </c>
      <c r="B40" s="6" t="n">
        <v>48043.1952859474</v>
      </c>
      <c r="C40" s="9">
        <f si="0" t="shared"/>
        <v>2.3915477731207432E-2</v>
      </c>
      <c r="E40" s="371">
        <v>29</v>
      </c>
      <c r="F40" s="371" t="n">
        <v>49756.0</v>
      </c>
      <c r="G40" s="9">
        <f si="1" t="shared"/>
        <v>2.2310962888104933E-2</v>
      </c>
    </row>
    <row r="41" spans="1:7" x14ac:dyDescent="0.25">
      <c r="A41">
        <v>30</v>
      </c>
      <c r="B41" s="6" t="n">
        <v>55400.2689984648</v>
      </c>
      <c r="C41" s="9">
        <f si="0" t="shared"/>
        <v>2.7577763961158217E-2</v>
      </c>
      <c r="E41" s="371">
        <v>30</v>
      </c>
      <c r="F41" s="371" t="n">
        <v>50540.0</v>
      </c>
      <c r="G41" s="9">
        <f si="1" t="shared"/>
        <v>2.1349383086458507E-2</v>
      </c>
    </row>
    <row r="42" spans="1:7" x14ac:dyDescent="0.25">
      <c r="A42">
        <v>31</v>
      </c>
      <c r="B42" s="6" t="n">
        <v>37164.6674521253</v>
      </c>
      <c r="C42" s="9">
        <f si="0" t="shared"/>
        <v>1.8500242782540505E-2</v>
      </c>
      <c r="E42" s="371">
        <v>31</v>
      </c>
      <c r="F42" s="371" t="n">
        <v>40821.0</v>
      </c>
      <c r="G42" s="9">
        <f si="1" t="shared"/>
        <v>1.849330615637599E-2</v>
      </c>
    </row>
    <row r="43" spans="1:7" x14ac:dyDescent="0.25">
      <c r="A43">
        <v>32</v>
      </c>
      <c r="B43" s="6" t="n">
        <v>39202.2343032187</v>
      </c>
      <c r="C43" s="9">
        <f si="0" t="shared"/>
        <v>1.9514525541277493E-2</v>
      </c>
      <c r="E43" s="371">
        <v>32</v>
      </c>
      <c r="F43" s="371" t="n">
        <v>49695.0</v>
      </c>
      <c r="G43" s="9">
        <f si="1" t="shared"/>
        <v>2.3106577714371041E-2</v>
      </c>
    </row>
    <row r="44" spans="1:7" x14ac:dyDescent="0.25">
      <c r="A44">
        <v>33</v>
      </c>
      <c r="B44" s="6" t="n">
        <v>43490.1072845904</v>
      </c>
      <c r="C44" s="9">
        <f si="0" t="shared"/>
        <v>2.1648990790516145E-2</v>
      </c>
      <c r="E44" s="371">
        <v>33</v>
      </c>
      <c r="F44" s="371" t="n">
        <v>42660.0</v>
      </c>
      <c r="G44" s="9">
        <f si="1" t="shared"/>
        <v>2.0626349043297441E-2</v>
      </c>
    </row>
    <row r="45" spans="1:7" x14ac:dyDescent="0.25">
      <c r="A45">
        <v>34</v>
      </c>
      <c r="B45" s="6" t="n">
        <v>62344.3597542626</v>
      </c>
      <c r="C45" s="9">
        <f si="0" t="shared"/>
        <v>3.1034470927573114E-2</v>
      </c>
      <c r="E45" s="371">
        <v>34</v>
      </c>
      <c r="F45" s="371" t="n">
        <v>47586.0</v>
      </c>
      <c r="G45" s="9">
        <f si="1" t="shared"/>
        <v>2.0792314018677763E-2</v>
      </c>
    </row>
    <row r="46" spans="1:7" x14ac:dyDescent="0.25">
      <c r="A46">
        <v>35</v>
      </c>
      <c r="B46" s="6" t="n">
        <v>39309.9828601319</v>
      </c>
      <c r="C46" s="9">
        <f si="0" t="shared"/>
        <v>1.9568161820007295E-2</v>
      </c>
      <c r="E46" s="371">
        <v>35</v>
      </c>
      <c r="F46" s="371" t="n">
        <v>33795.0</v>
      </c>
      <c r="G46" s="9">
        <f si="1" t="shared"/>
        <v>1.5578055084653694E-2</v>
      </c>
    </row>
    <row r="47" spans="1:7" x14ac:dyDescent="0.25">
      <c r="A47">
        <v>36</v>
      </c>
      <c r="B47" s="6" t="n">
        <v>23746.4894422146</v>
      </c>
      <c r="C47" s="9">
        <f si="0" t="shared"/>
        <v>1.1820792436254725E-2</v>
      </c>
      <c r="E47" s="371">
        <v>36</v>
      </c>
      <c r="F47" s="371" t="n">
        <v>24975.0</v>
      </c>
      <c r="G47" s="9">
        <f si="1" t="shared"/>
        <v>1.1069725168472941E-2</v>
      </c>
    </row>
    <row r="48" spans="1:7" x14ac:dyDescent="0.25">
      <c r="A48">
        <v>37</v>
      </c>
      <c r="B48" s="6" t="n">
        <v>35755.3682456281</v>
      </c>
      <c r="C48" s="9">
        <f si="0" t="shared"/>
        <v>1.7798706101039837E-2</v>
      </c>
      <c r="E48" s="371">
        <v>37</v>
      </c>
      <c r="F48" s="371" t="n">
        <v>31763.0</v>
      </c>
      <c r="G48" s="9">
        <f si="1" t="shared"/>
        <v>1.4766722127014522E-2</v>
      </c>
    </row>
    <row r="49" spans="1:7" x14ac:dyDescent="0.25">
      <c r="A49">
        <v>38</v>
      </c>
      <c r="B49" s="6" t="n">
        <v>46201.4493239821</v>
      </c>
      <c r="C49" s="9">
        <f si="0" t="shared"/>
        <v>2.2998672879286901E-2</v>
      </c>
      <c r="E49" s="371">
        <v>38</v>
      </c>
      <c r="F49" s="371" t="n">
        <v>24968.0</v>
      </c>
      <c r="G49" s="9">
        <f si="1" t="shared"/>
        <v>1.3541170177896886E-2</v>
      </c>
    </row>
    <row r="50" spans="1:7" x14ac:dyDescent="0.25">
      <c r="A50">
        <v>39</v>
      </c>
      <c r="B50" s="6" t="n">
        <v>25116.2134403586</v>
      </c>
      <c r="C50" s="9">
        <f si="0" t="shared"/>
        <v>1.2502628929030526E-2</v>
      </c>
      <c r="E50" s="371">
        <v>39</v>
      </c>
      <c r="F50" s="371" t="n">
        <v>32062.0</v>
      </c>
      <c r="G50" s="9">
        <f si="1" t="shared"/>
        <v>1.3358100177198816E-2</v>
      </c>
    </row>
    <row r="51" spans="1:7" x14ac:dyDescent="0.25">
      <c r="A51">
        <v>40</v>
      </c>
      <c r="B51" s="6" t="n">
        <v>19370.0220264547</v>
      </c>
      <c r="C51" s="9">
        <f si="0" t="shared"/>
        <v>9.6422256610848942E-3</v>
      </c>
      <c r="E51" s="371">
        <v>40</v>
      </c>
      <c r="F51" s="371" t="n">
        <v>23770.0</v>
      </c>
      <c r="G51" s="9">
        <f si="1" t="shared"/>
        <v>1.035455019099841E-2</v>
      </c>
    </row>
    <row r="52" spans="1:7" x14ac:dyDescent="0.25">
      <c r="A52">
        <v>41</v>
      </c>
      <c r="B52" s="6" t="n">
        <v>25273.8603843778</v>
      </c>
      <c r="C52" s="9">
        <f si="0" t="shared"/>
        <v>1.25811041835727E-2</v>
      </c>
      <c r="E52" s="371">
        <v>41</v>
      </c>
      <c r="F52" s="371" t="n">
        <v>27565.0</v>
      </c>
      <c r="G52" s="9">
        <f si="1" t="shared"/>
        <v>1.0796044763388959E-2</v>
      </c>
    </row>
    <row r="53" spans="1:7" x14ac:dyDescent="0.25">
      <c r="A53">
        <v>42</v>
      </c>
      <c r="B53" s="6" t="n">
        <v>13540.8925070863</v>
      </c>
      <c r="C53" s="9">
        <f si="0" t="shared"/>
        <v>6.7405365377231291E-3</v>
      </c>
      <c r="E53" s="371">
        <v>42</v>
      </c>
      <c r="F53" s="371" t="n">
        <v>24030.0</v>
      </c>
      <c r="G53" s="9">
        <f si="1" t="shared"/>
        <v>1.1219972012480196E-2</v>
      </c>
    </row>
    <row r="54" spans="1:7" x14ac:dyDescent="0.25">
      <c r="A54">
        <v>43</v>
      </c>
      <c r="B54" s="6" t="n">
        <v>21607.3416810607</v>
      </c>
      <c r="C54" s="9">
        <f si="0" t="shared"/>
        <v>1.0755943598846065E-2</v>
      </c>
      <c r="E54" s="371">
        <v>43</v>
      </c>
      <c r="F54" s="371" t="n">
        <v>19436.0</v>
      </c>
      <c r="G54" s="9">
        <f si="1" t="shared"/>
        <v>7.583073791541519E-3</v>
      </c>
    </row>
    <row r="55" spans="1:7" x14ac:dyDescent="0.25">
      <c r="A55">
        <v>44</v>
      </c>
      <c r="B55" s="6" t="n">
        <v>14819.9608565683</v>
      </c>
      <c r="C55" s="9">
        <f si="0" t="shared"/>
        <v>7.3772454503311206E-3</v>
      </c>
      <c r="E55" s="371">
        <v>44</v>
      </c>
      <c r="F55" s="371" t="n">
        <v>17501.0</v>
      </c>
      <c r="G55" s="9">
        <f si="1" t="shared"/>
        <v>1.0399855393191368E-2</v>
      </c>
    </row>
    <row r="56" spans="1:7" x14ac:dyDescent="0.25">
      <c r="A56">
        <v>45</v>
      </c>
      <c r="B56" s="6" t="n">
        <v>77449.1485870475</v>
      </c>
      <c r="C56" s="9">
        <f si="0" t="shared"/>
        <v>3.8553501225516679E-2</v>
      </c>
      <c r="E56" s="371">
        <v>45</v>
      </c>
      <c r="F56" s="371" t="n">
        <v>14340.0</v>
      </c>
      <c r="G56" s="9">
        <f si="1" t="shared"/>
        <v>7.5779885137443499E-3</v>
      </c>
    </row>
    <row r="57" spans="1:7" x14ac:dyDescent="0.25">
      <c r="A57">
        <v>46</v>
      </c>
      <c r="B57" s="6" t="n">
        <v>21808.3366071082</v>
      </c>
      <c r="C57" s="9">
        <f si="0" t="shared"/>
        <v>1.0855997095483093E-2</v>
      </c>
      <c r="E57" s="371">
        <v>46</v>
      </c>
      <c r="F57" s="371" t="n">
        <v>13537.0</v>
      </c>
      <c r="G57" s="9">
        <f si="1" t="shared"/>
        <v>6.2840164633557192E-3</v>
      </c>
    </row>
    <row r="58" spans="1:7" x14ac:dyDescent="0.25">
      <c r="A58">
        <v>47</v>
      </c>
      <c r="B58" s="6" t="n">
        <v>15013.859616665</v>
      </c>
      <c r="C58" s="9">
        <f si="0" t="shared"/>
        <v>7.4737665383145793E-3</v>
      </c>
      <c r="E58" s="371">
        <v>47</v>
      </c>
      <c r="F58" s="371" t="n">
        <v>19802.0</v>
      </c>
      <c r="G58" s="9">
        <f si="1" t="shared"/>
        <v>8.5645324063950597E-3</v>
      </c>
    </row>
    <row r="59" spans="1:7" x14ac:dyDescent="0.25">
      <c r="A59">
        <v>48</v>
      </c>
      <c r="B59" s="6" t="n">
        <v>14345.7220670808</v>
      </c>
      <c r="C59" s="9">
        <f si="0" t="shared"/>
        <v>7.1411735749748106E-3</v>
      </c>
      <c r="E59" s="371">
        <v>48</v>
      </c>
      <c r="F59" s="371" t="n">
        <v>14454.0</v>
      </c>
      <c r="G59" s="9">
        <f si="1" t="shared"/>
        <v>6.4448961609388719E-3</v>
      </c>
    </row>
    <row r="60" spans="1:7" x14ac:dyDescent="0.25">
      <c r="A60">
        <v>49</v>
      </c>
      <c r="B60" s="6" t="n">
        <v>10136.9124172854</v>
      </c>
      <c r="C60" s="9">
        <f si="0" t="shared"/>
        <v>5.0460653529782904E-3</v>
      </c>
      <c r="E60" s="371">
        <v>49</v>
      </c>
      <c r="F60" s="371" t="n">
        <v>11801.0</v>
      </c>
      <c r="G60" s="9">
        <f si="1" t="shared"/>
        <v>6.3607579282948089E-3</v>
      </c>
    </row>
    <row r="61" spans="1:7" x14ac:dyDescent="0.25">
      <c r="A61">
        <v>50</v>
      </c>
      <c r="B61" s="6" t="n">
        <v>12757.1077275297</v>
      </c>
      <c r="C61" s="9">
        <f si="0" t="shared"/>
        <v>6.3503754060585992E-3</v>
      </c>
      <c r="E61" s="371">
        <v>50</v>
      </c>
      <c r="F61" s="371" t="n">
        <v>14051.0</v>
      </c>
      <c r="G61" s="9">
        <f si="1" t="shared"/>
        <v>5.9192633559042619E-3</v>
      </c>
    </row>
    <row r="62" spans="1:7" x14ac:dyDescent="0.25">
      <c r="A62">
        <v>51</v>
      </c>
      <c r="B62" s="6" t="n">
        <v>9346.9839184472</v>
      </c>
      <c r="C62" s="9">
        <f si="0" t="shared"/>
        <v>4.6528459321889155E-3</v>
      </c>
      <c r="E62" s="371">
        <v>51</v>
      </c>
      <c r="F62" s="371" t="n">
        <v>15376.0</v>
      </c>
      <c r="G62" s="9">
        <f si="1" t="shared"/>
        <v>5.9701161338759478E-3</v>
      </c>
    </row>
    <row r="63" spans="1:7" x14ac:dyDescent="0.25">
      <c r="A63">
        <v>52</v>
      </c>
      <c r="B63" s="6" t="n">
        <v>13820.9257186445</v>
      </c>
      <c r="C63" s="9">
        <f si="0" t="shared"/>
        <v>6.8799345938923345E-3</v>
      </c>
      <c r="E63" s="371">
        <v>52</v>
      </c>
      <c r="F63" s="371" t="n">
        <v>10880.0</v>
      </c>
      <c r="G63" s="9">
        <f si="1" t="shared"/>
        <v>4.6077239822163215E-3</v>
      </c>
    </row>
    <row r="64" spans="1:7" x14ac:dyDescent="0.25">
      <c r="A64">
        <v>53</v>
      </c>
      <c r="B64" s="6" t="n">
        <v>9176.1491229479</v>
      </c>
      <c r="C64" s="9">
        <f si="0" t="shared"/>
        <v>4.5678058818100446E-3</v>
      </c>
      <c r="E64" s="371">
        <v>53</v>
      </c>
      <c r="F64" s="371" t="n">
        <v>10516.0</v>
      </c>
      <c r="G64" s="9">
        <f si="1" t="shared"/>
        <v>4.1038191823150683E-3</v>
      </c>
    </row>
    <row r="65" spans="1:7" x14ac:dyDescent="0.25">
      <c r="A65">
        <v>54</v>
      </c>
      <c r="B65" s="6" t="n">
        <v>9068.2321154814</v>
      </c>
      <c r="C65" s="9">
        <f si="0" t="shared"/>
        <v>4.5140857498845452E-3</v>
      </c>
      <c r="E65" s="371">
        <v>54</v>
      </c>
      <c r="F65" s="371" t="n">
        <v>8553.0</v>
      </c>
      <c r="G65" s="9">
        <f si="1" t="shared"/>
        <v>6.4296403275473663E-3</v>
      </c>
    </row>
    <row r="66" spans="1:7" x14ac:dyDescent="0.25">
      <c r="A66">
        <v>55</v>
      </c>
      <c r="B66" s="6" t="n">
        <v>12192.483954716101</v>
      </c>
      <c r="C66" s="9">
        <f si="0" t="shared"/>
        <v>6.0693106853449957E-3</v>
      </c>
      <c r="E66" s="371">
        <v>55</v>
      </c>
      <c r="F66" s="371" t="n">
        <v>8854.0</v>
      </c>
      <c r="G66" s="9">
        <f si="1" t="shared"/>
        <v>3.1625804918573143E-3</v>
      </c>
    </row>
    <row r="67" spans="1:7" x14ac:dyDescent="0.25">
      <c r="A67">
        <v>56</v>
      </c>
      <c r="B67" s="6" t="n">
        <v>7107.8192758416</v>
      </c>
      <c r="C67" s="9">
        <f si="0" t="shared"/>
        <v>3.5382095757181616E-3</v>
      </c>
      <c r="E67" s="371">
        <v>56</v>
      </c>
      <c r="F67" s="371" t="n">
        <v>7637.0</v>
      </c>
      <c r="G67" s="9">
        <f si="1" t="shared"/>
        <v>4.0238416315050525E-3</v>
      </c>
    </row>
    <row r="68" spans="1:7" x14ac:dyDescent="0.25">
      <c r="A68">
        <v>57</v>
      </c>
      <c r="B68" s="6" t="n">
        <v>3587.1655935761</v>
      </c>
      <c r="C68" s="9">
        <f si="0" t="shared"/>
        <v>1.7856593084768421E-3</v>
      </c>
      <c r="E68" s="371">
        <v>57</v>
      </c>
      <c r="F68" s="371" t="n">
        <v>6768.0</v>
      </c>
      <c r="G68" s="9">
        <f si="1" t="shared"/>
        <v>3.7589448880707243E-3</v>
      </c>
    </row>
    <row r="69" spans="1:7" x14ac:dyDescent="0.25">
      <c r="A69">
        <v>58</v>
      </c>
      <c r="B69" s="6" t="n">
        <v>4551.5895220315</v>
      </c>
      <c r="C69" s="9">
        <f si="0" t="shared"/>
        <v>2.2657410109352357E-3</v>
      </c>
      <c r="E69" s="371">
        <v>58</v>
      </c>
      <c r="F69" s="371" t="n">
        <v>11382.0</v>
      </c>
      <c r="G69" s="9">
        <f si="1" t="shared"/>
        <v>5.9502373206688341E-3</v>
      </c>
    </row>
    <row r="70" spans="1:7" x14ac:dyDescent="0.25">
      <c r="A70">
        <v>59</v>
      </c>
      <c r="B70" s="6" t="n">
        <v>6509.3460962969</v>
      </c>
      <c r="C70" s="9">
        <f si="0" t="shared"/>
        <v>3.2402949196895969E-3</v>
      </c>
      <c r="E70" s="371">
        <v>59</v>
      </c>
      <c r="F70" s="371" t="n">
        <v>6269.0</v>
      </c>
      <c r="G70" s="9">
        <f si="1" t="shared"/>
        <v>2.753446778176022E-3</v>
      </c>
    </row>
    <row r="71" spans="1:7" x14ac:dyDescent="0.25">
      <c r="A71">
        <v>60</v>
      </c>
      <c r="B71" s="6" t="n">
        <v>4990.3743374465</v>
      </c>
      <c r="C71" s="9">
        <f si="0" t="shared"/>
        <v>2.4841642115444348E-3</v>
      </c>
      <c r="E71" s="371">
        <v>60</v>
      </c>
      <c r="F71" s="371" t="n">
        <v>6205.0</v>
      </c>
      <c r="G71" s="9">
        <f si="1" t="shared"/>
        <v>2.6193803635233947E-3</v>
      </c>
    </row>
    <row r="72" spans="1:7" x14ac:dyDescent="0.25">
      <c r="A72">
        <v>61</v>
      </c>
      <c r="B72" s="6" t="n">
        <v>11655.4694613099</v>
      </c>
      <c r="C72" s="9">
        <f si="0" t="shared"/>
        <v>5.8019896197507546E-3</v>
      </c>
      <c r="E72" s="371">
        <v>61</v>
      </c>
      <c r="F72" s="371" t="n">
        <v>5807.0</v>
      </c>
      <c r="G72" s="9">
        <f si="1" t="shared"/>
        <v>2.8616245058612449E-3</v>
      </c>
    </row>
    <row r="73" spans="1:7" x14ac:dyDescent="0.25">
      <c r="A73">
        <v>62</v>
      </c>
      <c r="B73" s="6" t="n">
        <v>4513.4860897260005</v>
      </c>
      <c r="C73" s="9">
        <f si="0" t="shared"/>
        <v>2.2467734593108902E-3</v>
      </c>
      <c r="E73" s="371">
        <v>62</v>
      </c>
      <c r="F73" s="371" t="n">
        <v>5166.0</v>
      </c>
      <c r="G73" s="9">
        <f si="1" t="shared"/>
        <v>2.1728005133356786E-3</v>
      </c>
    </row>
    <row r="74" spans="1:7" x14ac:dyDescent="0.25">
      <c r="A74">
        <v>63</v>
      </c>
      <c r="B74" s="6" t="n">
        <v>3688.8441649693</v>
      </c>
      <c r="C74" s="9">
        <f si="0" t="shared"/>
        <v>1.8362740020962387E-3</v>
      </c>
      <c r="E74" s="371">
        <v>63</v>
      </c>
      <c r="F74" s="371" t="n">
        <v>4285.0</v>
      </c>
      <c r="G74" s="9">
        <f si="1" t="shared"/>
        <v>2.0456685684064634E-3</v>
      </c>
    </row>
    <row r="75" spans="1:7" x14ac:dyDescent="0.25">
      <c r="A75">
        <v>64</v>
      </c>
      <c r="B75" s="6" t="n">
        <v>2942.699904596</v>
      </c>
      <c r="C75" s="9">
        <f si="0" t="shared"/>
        <v>1.4648499879977141E-3</v>
      </c>
      <c r="E75" s="371">
        <v>64</v>
      </c>
      <c r="F75" s="371" t="n">
        <v>3890.0</v>
      </c>
      <c r="G75" s="9">
        <f si="1" t="shared"/>
        <v>2.4141200597104073E-3</v>
      </c>
    </row>
    <row r="76" spans="1:7" x14ac:dyDescent="0.25">
      <c r="A76">
        <v>65</v>
      </c>
      <c r="B76" s="6" t="n">
        <v>5553.9736089357</v>
      </c>
      <c r="C76" s="9">
        <f si="0" t="shared"/>
        <v>2.7647189445591893E-3</v>
      </c>
      <c r="E76" s="371">
        <v>65</v>
      </c>
      <c r="F76" s="371" t="n">
        <v>3825.0</v>
      </c>
      <c r="G76" s="9">
        <f si="1" t="shared"/>
        <v>1.5329801068555554E-3</v>
      </c>
    </row>
    <row r="77" spans="1:7" x14ac:dyDescent="0.25">
      <c r="A77">
        <v>66</v>
      </c>
      <c r="B77" s="6" t="n">
        <v>4155.034293272</v>
      </c>
      <c r="C77" s="9">
        <f ref="C77:C102" si="2" t="shared">B77/B$102</f>
        <v>2.0683393250951246E-3</v>
      </c>
      <c r="E77" s="371">
        <v>66</v>
      </c>
      <c r="F77" s="371" t="n">
        <v>3960.0</v>
      </c>
      <c r="G77" s="9">
        <f ref="G77:G102" si="3" t="shared">F77/F$102</f>
        <v>1.4779666470498224E-3</v>
      </c>
    </row>
    <row r="78" spans="1:7" x14ac:dyDescent="0.25">
      <c r="A78">
        <v>67</v>
      </c>
      <c r="B78" s="6" t="n">
        <v>6053.7855554197</v>
      </c>
      <c r="C78" s="9">
        <f si="2" t="shared"/>
        <v>3.0135209113056824E-3</v>
      </c>
      <c r="E78" s="371">
        <v>67</v>
      </c>
      <c r="F78" s="371" t="n">
        <v>3067.0</v>
      </c>
      <c r="G78" s="9">
        <f si="3" t="shared"/>
        <v>1.604173996015916E-3</v>
      </c>
    </row>
    <row r="79" spans="1:7" x14ac:dyDescent="0.25">
      <c r="A79">
        <v>68</v>
      </c>
      <c r="B79" s="6" t="n">
        <v>1592.181722849</v>
      </c>
      <c r="C79" s="9">
        <f si="2" t="shared"/>
        <v>7.9257398077284985E-4</v>
      </c>
      <c r="E79" s="371">
        <v>68</v>
      </c>
      <c r="F79" s="371" t="n">
        <v>3594.0</v>
      </c>
      <c r="G79" s="9">
        <f si="3" t="shared"/>
        <v>1.58290828886412E-3</v>
      </c>
    </row>
    <row r="80" spans="1:7" x14ac:dyDescent="0.25">
      <c r="A80">
        <v>69</v>
      </c>
      <c r="B80" s="6" t="n">
        <v>3923.1228791582</v>
      </c>
      <c r="C80" s="9">
        <f si="2" t="shared"/>
        <v>1.9528958741164659E-3</v>
      </c>
      <c r="E80" s="371">
        <v>69</v>
      </c>
      <c r="F80" s="371" t="n">
        <v>3046.0</v>
      </c>
      <c r="G80" s="9">
        <f si="3" t="shared"/>
        <v>1.2750178331446386E-3</v>
      </c>
    </row>
    <row r="81" spans="1:7" x14ac:dyDescent="0.25">
      <c r="A81">
        <v>70</v>
      </c>
      <c r="B81" s="6" t="n">
        <v>6845.0542671156</v>
      </c>
      <c r="C81" s="9">
        <f si="2" t="shared"/>
        <v>3.4074074782031098E-3</v>
      </c>
      <c r="E81" s="371">
        <v>70</v>
      </c>
      <c r="F81" s="371" t="n">
        <v>2573.0</v>
      </c>
      <c r="G81" s="9">
        <f si="3" t="shared"/>
        <v>1.2911982624992662E-3</v>
      </c>
    </row>
    <row r="82" spans="1:7" x14ac:dyDescent="0.25">
      <c r="A82">
        <v>71</v>
      </c>
      <c r="B82" s="6" t="n">
        <v>1309.3889760426</v>
      </c>
      <c r="C82" s="9">
        <f si="2" t="shared"/>
        <v>6.5180225236173713E-4</v>
      </c>
      <c r="E82" s="371">
        <v>71</v>
      </c>
      <c r="F82" s="371" t="n">
        <v>2976.0</v>
      </c>
      <c r="G82" s="9">
        <f si="3" t="shared"/>
        <v>1.2468176562694311E-3</v>
      </c>
    </row>
    <row r="83" spans="1:7" x14ac:dyDescent="0.25">
      <c r="A83">
        <v>72</v>
      </c>
      <c r="B83" s="6" t="n">
        <v>11656.6625317656</v>
      </c>
      <c r="C83" s="9">
        <f si="2" t="shared"/>
        <v>5.8025835196723824E-3</v>
      </c>
      <c r="E83" s="371">
        <v>72</v>
      </c>
      <c r="F83" s="371" t="n">
        <v>2579.0</v>
      </c>
      <c r="G83" s="9">
        <f si="3" t="shared"/>
        <v>1.0313867968621063E-3</v>
      </c>
    </row>
    <row r="84" spans="1:7" x14ac:dyDescent="0.25">
      <c r="A84">
        <v>73</v>
      </c>
      <c r="B84" s="6" t="n">
        <v>3340.5693407032</v>
      </c>
      <c r="C84" s="9">
        <f si="2" t="shared"/>
        <v>1.6629058746329853E-3</v>
      </c>
      <c r="E84" s="371">
        <v>73</v>
      </c>
      <c r="F84" s="371" t="n">
        <v>1896.0</v>
      </c>
      <c r="G84" s="9">
        <f si="3" t="shared"/>
        <v>8.9223510441231062E-4</v>
      </c>
    </row>
    <row r="85" spans="1:7" x14ac:dyDescent="0.25">
      <c r="A85">
        <v>74</v>
      </c>
      <c r="B85" s="6" t="n">
        <v>7720.0441044545</v>
      </c>
      <c r="C85" s="9">
        <f si="2" t="shared"/>
        <v>3.8429696810366927E-3</v>
      </c>
      <c r="E85" s="371">
        <v>74</v>
      </c>
      <c r="F85" s="371" t="n">
        <v>2495.0</v>
      </c>
      <c r="G85" s="9">
        <f si="3" t="shared"/>
        <v>9.5048465008896923E-4</v>
      </c>
    </row>
    <row r="86" spans="1:7" x14ac:dyDescent="0.25">
      <c r="A86">
        <v>75</v>
      </c>
      <c r="B86" s="6" t="n">
        <v>2952.0511458349997</v>
      </c>
      <c r="C86" s="9">
        <f si="2" t="shared"/>
        <v>1.4695049531864232E-3</v>
      </c>
      <c r="E86" s="371">
        <v>75</v>
      </c>
      <c r="F86" s="371" t="n">
        <v>1543.0</v>
      </c>
      <c r="G86" s="9">
        <f si="3" t="shared"/>
        <v>7.6926384131714243E-4</v>
      </c>
    </row>
    <row r="87" spans="1:7" x14ac:dyDescent="0.25">
      <c r="A87">
        <v>76</v>
      </c>
      <c r="B87" s="6" t="n">
        <v>5777.001750038</v>
      </c>
      <c r="C87" s="9">
        <f si="2" t="shared"/>
        <v>2.8757403807941934E-3</v>
      </c>
      <c r="E87" s="371">
        <v>76</v>
      </c>
      <c r="F87" s="371" t="n">
        <v>2057.0</v>
      </c>
      <c r="G87" s="9">
        <f si="3" t="shared"/>
        <v>8.5155288203496177E-4</v>
      </c>
    </row>
    <row r="88" spans="1:7" x14ac:dyDescent="0.25">
      <c r="A88">
        <v>77</v>
      </c>
      <c r="B88" s="6" t="n">
        <v>8134.7387629777</v>
      </c>
      <c r="C88" s="9">
        <f si="2" t="shared"/>
        <v>4.0494010145925435E-3</v>
      </c>
      <c r="E88" s="371">
        <v>77</v>
      </c>
      <c r="F88" s="371" t="n">
        <v>1522.0</v>
      </c>
      <c r="G88" s="9">
        <f si="3" t="shared"/>
        <v>1.0110456856734318E-3</v>
      </c>
    </row>
    <row r="89" spans="1:7" x14ac:dyDescent="0.25">
      <c r="A89">
        <v>78</v>
      </c>
      <c r="B89" s="6" t="n">
        <v>2079.23907002</v>
      </c>
      <c r="C89" s="9">
        <f si="2" t="shared"/>
        <v>1.035026820779853E-3</v>
      </c>
      <c r="E89" s="371">
        <v>78</v>
      </c>
      <c r="F89" s="371" t="n">
        <v>1501.0</v>
      </c>
      <c r="G89" s="9">
        <f si="3" t="shared"/>
        <v>8.3907083653282058E-4</v>
      </c>
    </row>
    <row r="90" spans="1:7" x14ac:dyDescent="0.25">
      <c r="A90">
        <v>79</v>
      </c>
      <c r="B90" s="6" t="n">
        <v>4368.2174773080005</v>
      </c>
      <c r="C90" s="9">
        <f si="2" t="shared"/>
        <v>2.1744600287688905E-3</v>
      </c>
      <c r="E90" s="371">
        <v>79</v>
      </c>
      <c r="F90" s="371" t="n">
        <v>1173.0</v>
      </c>
      <c r="G90" s="9">
        <f si="3" t="shared"/>
        <v>5.6816421933820192E-4</v>
      </c>
    </row>
    <row r="91" spans="1:7" x14ac:dyDescent="0.25">
      <c r="A91">
        <v>80</v>
      </c>
      <c r="B91" s="6" t="n">
        <v>5711.655378544599</v>
      </c>
      <c r="C91" s="9">
        <f si="2" t="shared"/>
        <v>2.8432115349719266E-3</v>
      </c>
      <c r="E91" s="371">
        <v>80</v>
      </c>
      <c r="F91" s="371" t="n">
        <v>1062.0</v>
      </c>
      <c r="G91" s="9">
        <f si="3" t="shared"/>
        <v>4.6276027954234348E-4</v>
      </c>
    </row>
    <row r="92" spans="1:7" x14ac:dyDescent="0.25">
      <c r="A92">
        <v>81</v>
      </c>
      <c r="B92" s="6" t="n">
        <v>2193.4293356089997</v>
      </c>
      <c r="C92" s="9">
        <f si="2" t="shared"/>
        <v>1.0918697251195897E-3</v>
      </c>
      <c r="E92" s="371">
        <v>81</v>
      </c>
      <c r="F92" s="371" t="n">
        <v>1160.0</v>
      </c>
      <c r="G92" s="9">
        <f si="3" t="shared"/>
        <v>5.9081682043468035E-4</v>
      </c>
    </row>
    <row r="93" spans="1:7" x14ac:dyDescent="0.25">
      <c r="A93">
        <v>82</v>
      </c>
      <c r="B93" s="6" t="n">
        <v>8882.5064562201</v>
      </c>
      <c r="C93" s="9">
        <f si="2" t="shared"/>
        <v>4.4216331592160677E-3</v>
      </c>
      <c r="E93" s="371">
        <v>82</v>
      </c>
      <c r="F93" s="371" t="n">
        <v>943.0</v>
      </c>
      <c r="G93" s="9">
        <f si="3" t="shared"/>
        <v>4.4056997642742592E-4</v>
      </c>
    </row>
    <row r="94" spans="1:7" x14ac:dyDescent="0.25">
      <c r="A94">
        <v>83</v>
      </c>
      <c r="B94" s="6" t="n">
        <v>5403.1790240475</v>
      </c>
      <c r="C94" s="9">
        <f si="2" t="shared"/>
        <v>2.6896547337918581E-3</v>
      </c>
      <c r="E94" s="371">
        <v>83</v>
      </c>
      <c r="F94" s="371" t="n">
        <v>960.0</v>
      </c>
      <c r="G94" s="9">
        <f si="3" t="shared"/>
        <v>4.1699277936782601E-4</v>
      </c>
    </row>
    <row r="95" spans="1:7" x14ac:dyDescent="0.25">
      <c r="A95">
        <v>84</v>
      </c>
      <c r="B95" s="6" t="n">
        <v>3122.0732105044</v>
      </c>
      <c r="C95" s="9">
        <f si="2" t="shared"/>
        <v>1.5541404333457602E-3</v>
      </c>
      <c r="E95" s="371">
        <v>84</v>
      </c>
      <c r="F95" s="371" t="n">
        <v>1106.0</v>
      </c>
      <c r="G95" s="9">
        <f si="3" t="shared"/>
        <v>4.1653048138626524E-4</v>
      </c>
    </row>
    <row r="96" spans="1:7" x14ac:dyDescent="0.25">
      <c r="A96">
        <v>85</v>
      </c>
      <c r="B96" s="6" t="n">
        <v>3429.6846710103</v>
      </c>
      <c r="C96" s="9">
        <f si="2" t="shared"/>
        <v>1.7072666979459183E-3</v>
      </c>
      <c r="E96" s="371">
        <v>85</v>
      </c>
      <c r="F96" s="371" t="n">
        <v>989.0</v>
      </c>
      <c r="G96" s="9">
        <f si="3" t="shared"/>
        <v>3.0557896581167736E-4</v>
      </c>
    </row>
    <row r="97" spans="1:7" x14ac:dyDescent="0.25">
      <c r="A97">
        <v>86</v>
      </c>
      <c r="B97" s="6" t="n">
        <v>8154.8321200373</v>
      </c>
      <c r="C97" s="9">
        <f si="2" t="shared"/>
        <v>4.0594033100361318E-3</v>
      </c>
      <c r="E97" s="371">
        <v>86</v>
      </c>
      <c r="F97" s="371" t="n">
        <v>737.0</v>
      </c>
      <c r="G97" s="9">
        <f si="3" t="shared"/>
        <v>2.8662474856768529E-4</v>
      </c>
    </row>
    <row r="98" spans="1:7" x14ac:dyDescent="0.25">
      <c r="A98">
        <v>87</v>
      </c>
      <c r="B98" s="6" t="n">
        <v>1438.7523178411</v>
      </c>
      <c r="C98" s="9">
        <f si="2" t="shared"/>
        <v>7.1619817985162939E-4</v>
      </c>
      <c r="E98" s="371">
        <v>87</v>
      </c>
      <c r="F98" s="371" t="n">
        <v>652.0</v>
      </c>
      <c r="G98" s="9">
        <f si="3" t="shared"/>
        <v>3.6614000139613992E-4</v>
      </c>
    </row>
    <row r="99" spans="1:7" x14ac:dyDescent="0.25">
      <c r="A99">
        <v>88</v>
      </c>
      <c r="B99" s="6" t="n">
        <v>2191.2054852572</v>
      </c>
      <c r="C99" s="9">
        <f si="2" t="shared"/>
        <v>1.0907627120816461E-3</v>
      </c>
      <c r="E99" s="371">
        <v>88</v>
      </c>
      <c r="F99" s="371" t="n">
        <v>813.0</v>
      </c>
      <c r="G99" s="9">
        <f si="3" t="shared"/>
        <v>3.8324502671388885E-4</v>
      </c>
    </row>
    <row r="100" spans="1:7" x14ac:dyDescent="0.25">
      <c r="A100">
        <v>89</v>
      </c>
      <c r="B100" s="6" t="n">
        <v>6096.0213704741</v>
      </c>
      <c r="C100" s="9">
        <f si="2" t="shared"/>
        <v>3.0345455265166597E-3</v>
      </c>
      <c r="E100" s="371">
        <v>89</v>
      </c>
      <c r="F100" s="371" t="n">
        <v>617.0</v>
      </c>
      <c r="G100" s="9">
        <f si="3" t="shared"/>
        <v>2.4594252619033639E-4</v>
      </c>
    </row>
    <row ht="15.75" r="101" spans="1:7" thickBot="1" x14ac:dyDescent="0.3">
      <c r="A101" s="1">
        <v>90</v>
      </c>
      <c r="B101" s="7" t="n">
        <v>53395.6046270109</v>
      </c>
      <c r="C101" s="9">
        <f si="2" t="shared"/>
        <v>2.6579859765804376E-2</v>
      </c>
      <c r="E101" s="372">
        <v>90</v>
      </c>
      <c r="F101" s="372" t="n">
        <v>16293.0</v>
      </c>
      <c r="G101" s="9">
        <f si="3" t="shared"/>
        <v>7.4462335889995271E-3</v>
      </c>
    </row>
    <row r="102" spans="1:7" x14ac:dyDescent="0.25">
      <c r="B102" s="6">
        <f>SUM(B11:B101)</f>
        <v>2008874.5801324963</v>
      </c>
      <c r="C102" s="9">
        <f si="2" t="shared"/>
        <v>1</v>
      </c>
      <c r="F102" s="6">
        <f>SUM(F11:F101)</f>
        <v>2163107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37793.8679976851</v>
      </c>
      <c r="C11" s="9">
        <f>B11/B$102</f>
        <v>4.9257376135212576E-2</v>
      </c>
      <c r="E11" s="371">
        <v>0</v>
      </c>
      <c r="F11" s="371" t="n">
        <v>105583.0</v>
      </c>
      <c r="G11" s="9">
        <f>F11/F$102</f>
        <v>0.16319951834128782</v>
      </c>
      <c r="K11" s="6" t="n">
        <v>6.2394996181404805</v>
      </c>
      <c r="L11" s="6" t="n">
        <v>4.741123678780591</v>
      </c>
    </row>
    <row r="12" spans="1:12" x14ac:dyDescent="0.25">
      <c r="A12">
        <v>1</v>
      </c>
      <c r="B12" s="6" t="n">
        <v>21924.8358755722</v>
      </c>
      <c r="C12" s="9">
        <f>B12/B$102</f>
        <v>2.8575002894438085E-2</v>
      </c>
      <c r="E12" s="371">
        <v>1</v>
      </c>
      <c r="F12" s="371" t="n">
        <v>95968.0</v>
      </c>
      <c r="G12" s="9">
        <f>F12/F$102</f>
        <v>0.14941925004233328</v>
      </c>
      <c r="K12" s="6"/>
      <c r="L12" s="371"/>
    </row>
    <row r="13" spans="1:12" x14ac:dyDescent="0.25">
      <c r="A13">
        <v>2</v>
      </c>
      <c r="B13" s="6" t="n">
        <v>47192.140102574</v>
      </c>
      <c r="C13" s="9">
        <f ref="C13:C76" si="0" t="shared">B13/B$102</f>
        <v>6.1506300328945371E-2</v>
      </c>
      <c r="E13" s="371">
        <v>2</v>
      </c>
      <c r="F13" s="371" t="n">
        <v>52884.0</v>
      </c>
      <c r="G13" s="9">
        <f ref="G13:G76" si="1" t="shared">F13/F$102</f>
        <v>8.2019956224247251E-2</v>
      </c>
    </row>
    <row r="14" spans="1:12" x14ac:dyDescent="0.25">
      <c r="A14">
        <v>3</v>
      </c>
      <c r="B14" s="6" t="n">
        <v>73877.1954718179</v>
      </c>
      <c r="C14" s="9">
        <f si="0" t="shared"/>
        <v>9.6285376384149121E-2</v>
      </c>
      <c r="E14" s="371">
        <v>3</v>
      </c>
      <c r="F14" s="371" t="n">
        <v>29787.0</v>
      </c>
      <c r="G14" s="9">
        <f si="1" t="shared"/>
        <v>4.5908096005619355E-2</v>
      </c>
    </row>
    <row r="15" spans="1:12" x14ac:dyDescent="0.25">
      <c r="A15">
        <v>4</v>
      </c>
      <c r="B15" s="6" t="n">
        <v>170380.3391392725</v>
      </c>
      <c r="C15" s="9">
        <f si="0" t="shared"/>
        <v>0.2220595269989902</v>
      </c>
      <c r="E15" s="371">
        <v>4</v>
      </c>
      <c r="F15" s="371" t="n">
        <v>125735.0</v>
      </c>
      <c r="G15" s="9">
        <f si="1" t="shared"/>
        <v>0.19616774015515934</v>
      </c>
    </row>
    <row r="16" spans="1:12" x14ac:dyDescent="0.25">
      <c r="A16">
        <v>5</v>
      </c>
      <c r="B16" s="6" t="n">
        <v>61954.4540512929</v>
      </c>
      <c r="C16" s="9">
        <f si="0" t="shared"/>
        <v>8.0746269385372216E-2</v>
      </c>
      <c r="E16" s="371">
        <v>5</v>
      </c>
      <c r="F16" s="371" t="n">
        <v>51933.0</v>
      </c>
      <c r="G16" s="9">
        <f si="1" t="shared"/>
        <v>8.186316627887287E-2</v>
      </c>
    </row>
    <row r="17" spans="1:7" x14ac:dyDescent="0.25">
      <c r="A17">
        <v>6</v>
      </c>
      <c r="B17" s="6" t="n">
        <v>122087.925992334</v>
      </c>
      <c r="C17" s="9">
        <f si="0" t="shared"/>
        <v>0.15911922252945207</v>
      </c>
      <c r="E17" s="371">
        <v>6</v>
      </c>
      <c r="F17" s="371" t="n">
        <v>55553.0</v>
      </c>
      <c r="G17" s="9">
        <f si="1" t="shared"/>
        <v>8.9501972417512815E-2</v>
      </c>
    </row>
    <row r="18" spans="1:7" x14ac:dyDescent="0.25">
      <c r="A18">
        <v>7</v>
      </c>
      <c r="B18" s="6" t="n">
        <v>41939.039741742</v>
      </c>
      <c r="C18" s="9">
        <f si="0" t="shared"/>
        <v>5.4659847344419643E-2</v>
      </c>
      <c r="E18" s="371">
        <v>7</v>
      </c>
      <c r="F18" s="371" t="n">
        <v>30029.0</v>
      </c>
      <c r="G18" s="9">
        <f si="1" t="shared"/>
        <v>4.5094356189126307E-2</v>
      </c>
    </row>
    <row r="19" spans="1:7" x14ac:dyDescent="0.25">
      <c r="A19">
        <v>8</v>
      </c>
      <c r="B19" s="6" t="n">
        <v>37515.5939611627</v>
      </c>
      <c r="C19" s="9">
        <f si="0" t="shared"/>
        <v>4.8894696959678415E-2</v>
      </c>
      <c r="E19" s="371">
        <v>8</v>
      </c>
      <c r="F19" s="371" t="n">
        <v>25010.0</v>
      </c>
      <c r="G19" s="9">
        <f si="1" t="shared"/>
        <v>4.0174287703278161E-2</v>
      </c>
    </row>
    <row r="20" spans="1:7" x14ac:dyDescent="0.25">
      <c r="A20">
        <v>9</v>
      </c>
      <c r="B20" s="6" t="n">
        <v>27869.4117215671</v>
      </c>
      <c r="C20" s="9">
        <f si="0" t="shared"/>
        <v>3.6322667368167139E-2</v>
      </c>
      <c r="E20" s="371">
        <v>9</v>
      </c>
      <c r="F20" s="371" t="n">
        <v>15568.0</v>
      </c>
      <c r="G20" s="9">
        <f si="1" t="shared"/>
        <v>2.2629492815884705E-2</v>
      </c>
    </row>
    <row r="21" spans="1:7" x14ac:dyDescent="0.25">
      <c r="A21">
        <v>10</v>
      </c>
      <c r="B21" s="6" t="n">
        <v>52185.2139539628</v>
      </c>
      <c r="C21" s="9">
        <f si="0" t="shared"/>
        <v>6.8013856443175771E-2</v>
      </c>
      <c r="E21" s="371">
        <v>10</v>
      </c>
      <c r="F21" s="371" t="n">
        <v>10006.0</v>
      </c>
      <c r="G21" s="9">
        <f si="1" t="shared"/>
        <v>1.2309578611342811E-2</v>
      </c>
    </row>
    <row r="22" spans="1:7" x14ac:dyDescent="0.25">
      <c r="A22">
        <v>11</v>
      </c>
      <c r="B22" s="6" t="n">
        <v>9632.88173553</v>
      </c>
      <c r="C22" s="9">
        <f si="0" t="shared"/>
        <v>1.255469482356459E-2</v>
      </c>
      <c r="E22" s="371">
        <v>11</v>
      </c>
      <c r="F22" s="371" t="n">
        <v>7991.0</v>
      </c>
      <c r="G22" s="9">
        <f si="1" t="shared"/>
        <v>1.2863047118514383E-2</v>
      </c>
    </row>
    <row r="23" spans="1:7" x14ac:dyDescent="0.25">
      <c r="A23">
        <v>12</v>
      </c>
      <c r="B23" s="6" t="n">
        <v>7144.2605400193</v>
      </c>
      <c r="C23" s="9">
        <f si="0" t="shared"/>
        <v>9.3112334691236726E-3</v>
      </c>
      <c r="E23" s="371">
        <v>12</v>
      </c>
      <c r="F23" s="371" t="n">
        <v>6650.0</v>
      </c>
      <c r="G23" s="9">
        <f si="1" t="shared"/>
        <v>1.0619383000206963E-2</v>
      </c>
    </row>
    <row r="24" spans="1:7" x14ac:dyDescent="0.25">
      <c r="A24">
        <v>13</v>
      </c>
      <c r="B24" s="6" t="n">
        <v>4305.4977936026</v>
      </c>
      <c r="C24" s="9">
        <f si="0" t="shared"/>
        <v>5.6114268135190873E-3</v>
      </c>
      <c r="E24" s="371">
        <v>13</v>
      </c>
      <c r="F24" s="371" t="n">
        <v>4122.0</v>
      </c>
      <c r="G24" s="9">
        <f si="1" t="shared"/>
        <v>6.8109552270631986E-3</v>
      </c>
    </row>
    <row r="25" spans="1:7" x14ac:dyDescent="0.25">
      <c r="A25">
        <v>14</v>
      </c>
      <c r="B25" s="6" t="n">
        <v>5080.8937484731005</v>
      </c>
      <c r="C25" s="9">
        <f si="0" t="shared"/>
        <v>6.622013245294686E-3</v>
      </c>
      <c r="E25" s="371">
        <v>14</v>
      </c>
      <c r="F25" s="371" t="n">
        <v>5128.0</v>
      </c>
      <c r="G25" s="9">
        <f si="1" t="shared"/>
        <v>8.4070768709744188E-3</v>
      </c>
    </row>
    <row r="26" spans="1:7" x14ac:dyDescent="0.25">
      <c r="A26">
        <v>15</v>
      </c>
      <c r="B26" s="6" t="n">
        <v>2126.024207094</v>
      </c>
      <c r="C26" s="9">
        <f si="0" t="shared"/>
        <v>2.7708826746129967E-3</v>
      </c>
      <c r="E26" s="371">
        <v>15</v>
      </c>
      <c r="F26" s="371" t="n">
        <v>2183.0</v>
      </c>
      <c r="G26" s="9">
        <f si="1" t="shared"/>
        <v>3.3270826408444078E-3</v>
      </c>
    </row>
    <row r="27" spans="1:7" x14ac:dyDescent="0.25">
      <c r="A27">
        <v>16</v>
      </c>
      <c r="B27" s="6" t="n">
        <v>9287.3935591391</v>
      </c>
      <c r="C27" s="9">
        <f si="0" t="shared"/>
        <v>1.2104414342725805E-2</v>
      </c>
      <c r="E27" s="371">
        <v>16</v>
      </c>
      <c r="F27" s="371" t="n">
        <v>2979.0</v>
      </c>
      <c r="G27" s="9">
        <f si="1" t="shared"/>
        <v>4.9937597601740994E-3</v>
      </c>
    </row>
    <row r="28" spans="1:7" x14ac:dyDescent="0.25">
      <c r="A28">
        <v>17</v>
      </c>
      <c r="B28" s="6" t="n">
        <v>3549.3074449084</v>
      </c>
      <c r="C28" s="9">
        <f si="0" t="shared"/>
        <v>4.6258713673887992E-3</v>
      </c>
      <c r="E28" s="371">
        <v>17</v>
      </c>
      <c r="F28" s="371" t="n">
        <v>1457.0</v>
      </c>
      <c r="G28" s="9">
        <f si="1" t="shared"/>
        <v>2.3346022866245634E-3</v>
      </c>
    </row>
    <row r="29" spans="1:7" x14ac:dyDescent="0.25">
      <c r="A29">
        <v>18</v>
      </c>
      <c r="B29" s="6" t="n">
        <v>3970.641735341</v>
      </c>
      <c r="C29" s="9">
        <f si="0" t="shared"/>
        <v>5.1750033488989393E-3</v>
      </c>
      <c r="E29" s="371">
        <v>18</v>
      </c>
      <c r="F29" s="371" t="n">
        <v>1570.0</v>
      </c>
      <c r="G29" s="9">
        <f si="1" t="shared"/>
        <v>2.3565528789769772E-3</v>
      </c>
    </row>
    <row r="30" spans="1:7" x14ac:dyDescent="0.25">
      <c r="A30">
        <v>19</v>
      </c>
      <c r="B30" s="6" t="n">
        <v>1806.003604693</v>
      </c>
      <c r="C30" s="9">
        <f si="0" t="shared"/>
        <v>2.3537945061183384E-3</v>
      </c>
      <c r="E30" s="371">
        <v>19</v>
      </c>
      <c r="F30" s="371" t="n">
        <v>1650.0</v>
      </c>
      <c r="G30" s="9">
        <f si="1" t="shared"/>
        <v>2.5948735959460392E-3</v>
      </c>
    </row>
    <row r="31" spans="1:7" x14ac:dyDescent="0.25">
      <c r="A31">
        <v>20</v>
      </c>
      <c r="B31" s="6" t="n">
        <v>1475.908196476</v>
      </c>
      <c r="C31" s="9">
        <f si="0" t="shared"/>
        <v>1.9235756758031342E-3</v>
      </c>
      <c r="E31" s="371">
        <v>20</v>
      </c>
      <c r="F31" s="371" t="n">
        <v>1465.0</v>
      </c>
      <c r="G31" s="9">
        <f si="1" t="shared"/>
        <v>2.348713381708258E-3</v>
      </c>
    </row>
    <row r="32" spans="1:7" x14ac:dyDescent="0.25">
      <c r="A32">
        <v>21</v>
      </c>
      <c r="B32" s="6" t="n">
        <v>7724.0961219234</v>
      </c>
      <c r="C32" s="9">
        <f si="0" t="shared"/>
        <v>1.0066942817427992E-2</v>
      </c>
      <c r="E32" s="371">
        <v>21</v>
      </c>
      <c r="F32" s="371" t="n">
        <v>1049.0</v>
      </c>
      <c r="G32" s="9">
        <f si="1" t="shared"/>
        <v>1.1539739979554591E-3</v>
      </c>
    </row>
    <row r="33" spans="1:7" x14ac:dyDescent="0.25">
      <c r="A33">
        <v>22</v>
      </c>
      <c r="B33" s="6" t="n">
        <v>2202.724216397</v>
      </c>
      <c r="C33" s="9">
        <f si="0" t="shared"/>
        <v>2.870847071166522E-3</v>
      </c>
      <c r="E33" s="371">
        <v>22</v>
      </c>
      <c r="F33" s="371" t="n">
        <v>1037.0</v>
      </c>
      <c r="G33" s="9">
        <f si="1" t="shared"/>
        <v>2.2107382297788009E-3</v>
      </c>
    </row>
    <row r="34" spans="1:7" x14ac:dyDescent="0.25">
      <c r="A34">
        <v>23</v>
      </c>
      <c r="B34" s="6" t="n">
        <v>9293.648929404</v>
      </c>
      <c r="C34" s="9">
        <f si="0" t="shared"/>
        <v>1.2112567070729779E-2</v>
      </c>
      <c r="E34" s="371">
        <v>23</v>
      </c>
      <c r="F34" s="371" t="n">
        <v>879.0</v>
      </c>
      <c r="G34" s="9">
        <f si="1" t="shared"/>
        <v>1.3687762231183638E-3</v>
      </c>
    </row>
    <row r="35" spans="1:7" x14ac:dyDescent="0.25">
      <c r="A35">
        <v>24</v>
      </c>
      <c r="B35" s="6" t="n">
        <v>174.703833701</v>
      </c>
      <c r="C35" s="9">
        <f si="0" t="shared"/>
        <v>2.2769440929943649E-4</v>
      </c>
      <c r="E35" s="371">
        <v>24</v>
      </c>
      <c r="F35" s="371" t="n">
        <v>644.0</v>
      </c>
      <c r="G35" s="9">
        <f si="1" t="shared"/>
        <v>1.2323689706426506E-3</v>
      </c>
    </row>
    <row r="36" spans="1:7" x14ac:dyDescent="0.25">
      <c r="A36">
        <v>25</v>
      </c>
      <c r="B36" s="6" t="n">
        <v>554.752301199</v>
      </c>
      <c r="C36" s="9">
        <f si="0" t="shared"/>
        <v>7.2301789178359831E-4</v>
      </c>
      <c r="E36" s="371">
        <v>25</v>
      </c>
      <c r="F36" s="371" t="n">
        <v>633.0</v>
      </c>
      <c r="G36" s="9">
        <f si="1" t="shared"/>
        <v>1.1461345006867399E-3</v>
      </c>
    </row>
    <row r="37" spans="1:7" x14ac:dyDescent="0.25">
      <c r="A37">
        <v>26</v>
      </c>
      <c r="B37" s="6" t="n">
        <v>1057.542875</v>
      </c>
      <c r="C37" s="9">
        <f si="0" t="shared"/>
        <v>1.3783132008658061E-3</v>
      </c>
      <c r="E37" s="371">
        <v>26</v>
      </c>
      <c r="F37" s="371" t="n">
        <v>571.0</v>
      </c>
      <c r="G37" s="9">
        <f si="1" t="shared"/>
        <v>1.0818506230832429E-3</v>
      </c>
    </row>
    <row r="38" spans="1:7" x14ac:dyDescent="0.25">
      <c r="A38">
        <v>27</v>
      </c>
      <c r="B38" s="6" t="n">
        <v>18.23</v>
      </c>
      <c r="C38" s="9">
        <f si="0" t="shared"/>
        <v>2.3759461905299719E-5</v>
      </c>
      <c r="E38" s="371">
        <v>27</v>
      </c>
      <c r="F38" s="371" t="n">
        <v>607.0</v>
      </c>
      <c r="G38" s="9">
        <f si="1" t="shared"/>
        <v>1.0316778405634404E-3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225.0</v>
      </c>
      <c r="G39" s="9">
        <f si="1" t="shared"/>
        <v>3.9197486343595756E-4</v>
      </c>
    </row>
    <row r="40" spans="1:7" x14ac:dyDescent="0.25">
      <c r="A40">
        <v>29</v>
      </c>
      <c r="B40" s="6" t="n">
        <v>308.776770034</v>
      </c>
      <c r="C40" s="9">
        <f si="0" t="shared"/>
        <v>4.0243389494593057E-4</v>
      </c>
      <c r="E40" s="371">
        <v>29</v>
      </c>
      <c r="F40" s="371" t="n">
        <v>471.0</v>
      </c>
      <c r="G40" s="9">
        <f si="1" t="shared"/>
        <v>8.6077680010536288E-4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406.0</v>
      </c>
      <c r="G41" s="9">
        <f si="1" t="shared"/>
        <v>6.5851777057240868E-4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213.0</v>
      </c>
      <c r="G42" s="9">
        <f si="1" t="shared"/>
        <v>3.4650577927738648E-4</v>
      </c>
    </row>
    <row r="43" spans="1:7" x14ac:dyDescent="0.25">
      <c r="A43">
        <v>32</v>
      </c>
      <c r="B43" s="6" t="n">
        <v>15.92375</v>
      </c>
      <c r="C43" s="9">
        <f si="0" t="shared"/>
        <v>2.0753687960203863E-5</v>
      </c>
      <c r="E43" s="371">
        <v>32</v>
      </c>
      <c r="F43" s="371" t="n">
        <v>227.0</v>
      </c>
      <c r="G43" s="9">
        <f si="1" t="shared"/>
        <v>4.6723403721566145E-4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290.0</v>
      </c>
      <c r="G44" s="9">
        <f si="1" t="shared"/>
        <v>4.2019705360334651E-4</v>
      </c>
    </row>
    <row r="45" spans="1:7" x14ac:dyDescent="0.25">
      <c r="A45">
        <v>34</v>
      </c>
      <c r="B45" s="6" t="n">
        <v>596.97480037</v>
      </c>
      <c r="C45" s="9">
        <f si="0" t="shared"/>
        <v>7.7804717651206367E-4</v>
      </c>
      <c r="E45" s="371">
        <v>34</v>
      </c>
      <c r="F45" s="371" t="n">
        <v>151.0</v>
      </c>
      <c r="G45" s="9">
        <f si="1" t="shared"/>
        <v>2.3518491806157456E-4</v>
      </c>
    </row>
    <row r="46" spans="1:7" x14ac:dyDescent="0.25">
      <c r="A46">
        <v>35</v>
      </c>
      <c r="B46" s="6" t="n">
        <v>10.1925</v>
      </c>
      <c r="C46" s="9">
        <f si="0" t="shared"/>
        <v>1.3284054606130961E-5</v>
      </c>
      <c r="E46" s="371">
        <v>35</v>
      </c>
      <c r="F46" s="371" t="n">
        <v>145.0</v>
      </c>
      <c r="G46" s="9">
        <f si="1" t="shared"/>
        <v>2.6183920877521964E-4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155.0</v>
      </c>
      <c r="G47" s="9">
        <f si="1" t="shared"/>
        <v>3.8727116507472609E-4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220.0</v>
      </c>
      <c r="G48" s="9">
        <f si="1" t="shared"/>
        <v>4.4214764595576017E-4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113.0</v>
      </c>
      <c r="G49" s="9">
        <f si="1" t="shared"/>
        <v>1.66197342096846E-4</v>
      </c>
    </row>
    <row r="50" spans="1:7" x14ac:dyDescent="0.25">
      <c r="A50">
        <v>39</v>
      </c>
      <c r="B50" s="6" t="n">
        <v>5.16</v>
      </c>
      <c r="C50" s="9">
        <f si="0" t="shared"/>
        <v>6.7251137373201619E-6</v>
      </c>
      <c r="E50" s="371">
        <v>39</v>
      </c>
      <c r="F50" s="371" t="n">
        <v>111.0</v>
      </c>
      <c r="G50" s="9">
        <f si="1" t="shared"/>
        <v>1.5365414646689536E-4</v>
      </c>
    </row>
    <row r="51" spans="1:7" x14ac:dyDescent="0.25">
      <c r="A51">
        <v>40</v>
      </c>
      <c r="B51" s="6" t="n">
        <v>5.51</v>
      </c>
      <c r="C51" s="9">
        <f si="0" t="shared"/>
        <v>7.1812745528360641E-6</v>
      </c>
      <c r="E51" s="371">
        <v>40</v>
      </c>
      <c r="F51" s="371" t="n">
        <v>87.0</v>
      </c>
      <c r="G51" s="9">
        <f si="1" t="shared"/>
        <v>1.0034556503960514E-4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54.0</v>
      </c>
      <c r="G52" s="9">
        <f si="1" t="shared"/>
        <v>1.5835784482812686E-4</v>
      </c>
    </row>
    <row r="53" spans="1:7" x14ac:dyDescent="0.25">
      <c r="A53">
        <v>42</v>
      </c>
      <c r="B53" s="6" t="n">
        <v>339.706125</v>
      </c>
      <c r="C53" s="9">
        <f si="0" t="shared"/>
        <v>4.4274463718784883E-4</v>
      </c>
      <c r="E53" s="371">
        <v>42</v>
      </c>
      <c r="F53" s="371" t="n">
        <v>24.0</v>
      </c>
      <c r="G53" s="9">
        <f si="1" t="shared"/>
        <v>2.6654290713645115E-5</v>
      </c>
    </row>
    <row r="54" spans="1:7" x14ac:dyDescent="0.25">
      <c r="A54">
        <v>43</v>
      </c>
      <c r="B54" s="6" t="n">
        <v>351.42375</v>
      </c>
      <c r="C54" s="9">
        <f si="0" t="shared"/>
        <v>4.5801641254759033E-4</v>
      </c>
      <c r="E54" s="371">
        <v>43</v>
      </c>
      <c r="F54" s="371" t="n">
        <v>32.0</v>
      </c>
      <c r="G54" s="9">
        <f si="1" t="shared"/>
        <v>7.3691274325960029E-5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60.0</v>
      </c>
      <c r="G55" s="9">
        <f si="1" t="shared"/>
        <v>1.2229615739201875E-4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56.0</v>
      </c>
      <c r="G56" s="9">
        <f si="1" t="shared"/>
        <v>8.3098671048423002E-5</v>
      </c>
    </row>
    <row r="57" spans="1:7" x14ac:dyDescent="0.25">
      <c r="A57">
        <v>46</v>
      </c>
      <c r="B57" s="6" t="n">
        <v>1427.72808527</v>
      </c>
      <c r="C57" s="9">
        <f si="0" t="shared"/>
        <v>1.8607817363192032E-3</v>
      </c>
      <c r="E57" s="371">
        <v>46</v>
      </c>
      <c r="F57" s="371" t="n">
        <v>52.0</v>
      </c>
      <c r="G57" s="9">
        <f si="1" t="shared"/>
        <v>7.8394972687191515E-5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18.0</v>
      </c>
      <c r="G58" s="9">
        <f si="1" t="shared"/>
        <v>3.9197486343595758E-5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23.0</v>
      </c>
      <c r="G59" s="9">
        <f si="1" t="shared"/>
        <v>6.271597814975321E-5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10.0</v>
      </c>
      <c r="G60" s="9">
        <f si="1" t="shared"/>
        <v>4.0765385797339591E-5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6.0</v>
      </c>
      <c r="G61" s="9">
        <f si="1" t="shared"/>
        <v>3.2925888528620438E-5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41.0</v>
      </c>
      <c r="G62" s="9">
        <f si="1" t="shared"/>
        <v>3.7629586889851924E-5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5.0</v>
      </c>
      <c r="G63" s="9">
        <f si="1" t="shared"/>
        <v>4.7036983612314906E-6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8.0</v>
      </c>
      <c r="G64" s="9">
        <f si="1" t="shared"/>
        <v>4.3901184704827251E-5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2.0</v>
      </c>
      <c r="G65" s="9">
        <f si="1" t="shared"/>
        <v>1.5678994537438303E-6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5.0</v>
      </c>
      <c r="G66" s="9">
        <f si="1" t="shared"/>
        <v>1.5678994537438303E-6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13.0</v>
      </c>
      <c r="G67" s="9">
        <f si="1" t="shared"/>
        <v>2.9790089621132775E-5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5.0</v>
      </c>
      <c r="G68" s="9">
        <f si="1" t="shared"/>
        <v>1.7246893991182132E-5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1.5678994537438303E-6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21.0</v>
      </c>
      <c r="G71" s="9">
        <f si="1" t="shared"/>
        <v>2.8222190167388945E-5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3.0</v>
      </c>
      <c r="G73" s="9">
        <f si="1" t="shared"/>
        <v>3.1357989074876607E-6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1.5678994537438303E-6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6.0</v>
      </c>
      <c r="G77" s="9">
        <f ref="G77:G102" si="3" t="shared">F77/F$102</f>
        <v>1.8814793444925962E-5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1.5678994537438303E-6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1.5678994537438303E-6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4.7036983612314906E-6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10.0</v>
      </c>
      <c r="G85" s="9">
        <f si="3" t="shared"/>
        <v>1.8814793444925962E-5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4.7036983612314906E-6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87.344125</v>
      </c>
      <c r="C101" s="9">
        <f si="2" t="shared"/>
        <v>1.1383704940149407E-4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767273.26875755831</v>
      </c>
      <c r="C102" s="9">
        <f si="2" t="shared"/>
        <v>1</v>
      </c>
      <c r="F102" s="6">
        <f>SUM(F11:F101)</f>
        <v>637796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555.0</v>
      </c>
      <c r="G11" s="9">
        <f>F11/F$102</f>
        <v>7.6513493342698924E-4</v>
      </c>
      <c r="K11" s="6" t="n">
        <v>29.42379580959759</v>
      </c>
      <c r="L11" s="6" t="n">
        <v>19.201169006646758</v>
      </c>
    </row>
    <row r="12" spans="1:12" x14ac:dyDescent="0.25">
      <c r="A12">
        <v>1</v>
      </c>
      <c r="B12" s="6" t="n">
        <v>361.716684967</v>
      </c>
      <c r="C12" s="9">
        <f>B12/B$102</f>
        <v>4.7143136571501575E-4</v>
      </c>
      <c r="E12" s="371">
        <v>1</v>
      </c>
      <c r="F12" s="371" t="n">
        <v>13420.0</v>
      </c>
      <c r="G12" s="9">
        <f>F12/F$102</f>
        <v>2.0766828264837032E-2</v>
      </c>
      <c r="K12" s="6"/>
      <c r="L12" s="371"/>
    </row>
    <row r="13" spans="1:12" x14ac:dyDescent="0.25">
      <c r="A13">
        <v>2</v>
      </c>
      <c r="B13" s="6" t="n">
        <v>0.0</v>
      </c>
      <c r="C13" s="9">
        <f ref="C13:C76" si="0" t="shared">B13/B$102</f>
        <v>0</v>
      </c>
      <c r="E13" s="371">
        <v>2</v>
      </c>
      <c r="F13" s="371" t="n">
        <v>18942.0</v>
      </c>
      <c r="G13" s="9">
        <f ref="G13:G76" si="1" t="shared">F13/F$102</f>
        <v>2.9495324523828935E-2</v>
      </c>
    </row>
    <row r="14" spans="1:12" x14ac:dyDescent="0.25">
      <c r="A14">
        <v>3</v>
      </c>
      <c r="B14" s="6" t="n">
        <v>0.0</v>
      </c>
      <c r="C14" s="9">
        <f si="0" t="shared"/>
        <v>0</v>
      </c>
      <c r="E14" s="371">
        <v>3</v>
      </c>
      <c r="F14" s="371" t="n">
        <v>21839.0</v>
      </c>
      <c r="G14" s="9">
        <f si="1" t="shared"/>
        <v>3.3877603497042941E-2</v>
      </c>
    </row>
    <row r="15" spans="1:12" x14ac:dyDescent="0.25">
      <c r="A15">
        <v>4</v>
      </c>
      <c r="B15" s="6" t="n">
        <v>2399.799394863</v>
      </c>
      <c r="C15" s="9">
        <f si="0" t="shared"/>
        <v>3.1276984258150728E-3</v>
      </c>
      <c r="E15" s="371">
        <v>4</v>
      </c>
      <c r="F15" s="371" t="n">
        <v>22608.0</v>
      </c>
      <c r="G15" s="9">
        <f si="1" t="shared"/>
        <v>3.4903009739791407E-2</v>
      </c>
    </row>
    <row r="16" spans="1:12" x14ac:dyDescent="0.25">
      <c r="A16">
        <v>5</v>
      </c>
      <c r="B16" s="6" t="n">
        <v>3880.0743596495</v>
      </c>
      <c r="C16" s="9">
        <f si="0" t="shared"/>
        <v>5.0569653833144549E-3</v>
      </c>
      <c r="E16" s="371">
        <v>5</v>
      </c>
      <c r="F16" s="371" t="n">
        <v>22502.0</v>
      </c>
      <c r="G16" s="9">
        <f si="1" t="shared"/>
        <v>3.47274050009721E-2</v>
      </c>
    </row>
    <row r="17" spans="1:7" x14ac:dyDescent="0.25">
      <c r="A17">
        <v>6</v>
      </c>
      <c r="B17" s="6" t="n">
        <v>2536.2488915668</v>
      </c>
      <c r="C17" s="9">
        <f si="0" t="shared"/>
        <v>3.3055353220811864E-3</v>
      </c>
      <c r="E17" s="371">
        <v>6</v>
      </c>
      <c r="F17" s="371" t="n">
        <v>21449.0</v>
      </c>
      <c r="G17" s="9">
        <f si="1" t="shared"/>
        <v>3.3195567234664373E-2</v>
      </c>
    </row>
    <row r="18" spans="1:7" x14ac:dyDescent="0.25">
      <c r="A18">
        <v>7</v>
      </c>
      <c r="B18" s="6" t="n">
        <v>4444.68101222</v>
      </c>
      <c r="C18" s="9">
        <f si="0" t="shared"/>
        <v>5.7928266149780642E-3</v>
      </c>
      <c r="E18" s="371">
        <v>7</v>
      </c>
      <c r="F18" s="371" t="n">
        <v>19909.0</v>
      </c>
      <c r="G18" s="9">
        <f si="1" t="shared"/>
        <v>3.1301544694541827E-2</v>
      </c>
    </row>
    <row r="19" spans="1:7" x14ac:dyDescent="0.25">
      <c r="A19">
        <v>8</v>
      </c>
      <c r="B19" s="6" t="n">
        <v>1640.2520526351</v>
      </c>
      <c r="C19" s="9">
        <f si="0" t="shared"/>
        <v>2.1377677542333152E-3</v>
      </c>
      <c r="E19" s="371">
        <v>8</v>
      </c>
      <c r="F19" s="371" t="n">
        <v>18063.0</v>
      </c>
      <c r="G19" s="9">
        <f si="1" t="shared"/>
        <v>2.7820807907230526E-2</v>
      </c>
    </row>
    <row r="20" spans="1:7" x14ac:dyDescent="0.25">
      <c r="A20">
        <v>9</v>
      </c>
      <c r="B20" s="6" t="n">
        <v>5990.2435049183</v>
      </c>
      <c r="C20" s="9">
        <f si="0" t="shared"/>
        <v>7.8071838924067705E-3</v>
      </c>
      <c r="E20" s="371">
        <v>9</v>
      </c>
      <c r="F20" s="371" t="n">
        <v>16579.0</v>
      </c>
      <c r="G20" s="9">
        <f si="1" t="shared"/>
        <v>2.5597526481821772E-2</v>
      </c>
    </row>
    <row r="21" spans="1:7" x14ac:dyDescent="0.25">
      <c r="A21">
        <v>10</v>
      </c>
      <c r="B21" s="6" t="n">
        <v>2758.2755</v>
      </c>
      <c r="C21" s="9">
        <f si="0" t="shared"/>
        <v>3.5949062899929538E-3</v>
      </c>
      <c r="E21" s="371">
        <v>10</v>
      </c>
      <c r="F21" s="371" t="n">
        <v>14959.0</v>
      </c>
      <c r="G21" s="9">
        <f si="1" t="shared"/>
        <v>2.2859974035585047E-2</v>
      </c>
    </row>
    <row r="22" spans="1:7" x14ac:dyDescent="0.25">
      <c r="A22">
        <v>11</v>
      </c>
      <c r="B22" s="6" t="n">
        <v>8105.91401467</v>
      </c>
      <c r="C22" s="9">
        <f si="0" t="shared"/>
        <v>1.0564572421239002E-2</v>
      </c>
      <c r="E22" s="371">
        <v>11</v>
      </c>
      <c r="F22" s="371" t="n">
        <v>13200.0</v>
      </c>
      <c r="G22" s="9">
        <f si="1" t="shared"/>
        <v>2.0798186253911909E-2</v>
      </c>
    </row>
    <row r="23" spans="1:7" x14ac:dyDescent="0.25">
      <c r="A23">
        <v>12</v>
      </c>
      <c r="B23" s="6" t="n">
        <v>23118.537023921</v>
      </c>
      <c r="C23" s="9">
        <f si="0" t="shared"/>
        <v>3.013077343533254E-2</v>
      </c>
      <c r="E23" s="371">
        <v>12</v>
      </c>
      <c r="F23" s="371" t="n">
        <v>11808.0</v>
      </c>
      <c r="G23" s="9">
        <f si="1" t="shared"/>
        <v>1.8444769173842419E-2</v>
      </c>
    </row>
    <row r="24" spans="1:7" x14ac:dyDescent="0.25">
      <c r="A24">
        <v>13</v>
      </c>
      <c r="B24" s="6" t="n">
        <v>8179.759</v>
      </c>
      <c r="C24" s="9">
        <f si="0" t="shared"/>
        <v>1.0660815817610124E-2</v>
      </c>
      <c r="E24" s="371">
        <v>13</v>
      </c>
      <c r="F24" s="371" t="n">
        <v>10764.0</v>
      </c>
      <c r="G24" s="9">
        <f si="1" t="shared"/>
        <v>1.6508413348468788E-2</v>
      </c>
    </row>
    <row r="25" spans="1:7" x14ac:dyDescent="0.25">
      <c r="A25">
        <v>14</v>
      </c>
      <c r="B25" s="6" t="n">
        <v>11105.194117237</v>
      </c>
      <c r="C25" s="9">
        <f si="0" t="shared"/>
        <v>1.4473584014232096E-2</v>
      </c>
      <c r="E25" s="371">
        <v>14</v>
      </c>
      <c r="F25" s="371" t="n">
        <v>9910.0</v>
      </c>
      <c r="G25" s="9">
        <f si="1" t="shared"/>
        <v>1.5097303840099342E-2</v>
      </c>
    </row>
    <row r="26" spans="1:7" x14ac:dyDescent="0.25">
      <c r="A26">
        <v>15</v>
      </c>
      <c r="B26" s="6" t="n">
        <v>2001.46575</v>
      </c>
      <c r="C26" s="9">
        <f si="0" t="shared"/>
        <v>2.6085435678489927E-3</v>
      </c>
      <c r="E26" s="371">
        <v>15</v>
      </c>
      <c r="F26" s="371" t="n">
        <v>9776.0</v>
      </c>
      <c r="G26" s="9">
        <f si="1" t="shared"/>
        <v>1.513336552753545E-2</v>
      </c>
    </row>
    <row r="27" spans="1:7" x14ac:dyDescent="0.25">
      <c r="A27">
        <v>16</v>
      </c>
      <c r="B27" s="6" t="n">
        <v>33374.4452374899</v>
      </c>
      <c r="C27" s="9">
        <f si="0" t="shared"/>
        <v>4.3497469019783484E-2</v>
      </c>
      <c r="E27" s="371">
        <v>16</v>
      </c>
      <c r="F27" s="371" t="n">
        <v>8395.0</v>
      </c>
      <c r="G27" s="9">
        <f si="1" t="shared"/>
        <v>1.3055898751324875E-2</v>
      </c>
    </row>
    <row r="28" spans="1:7" x14ac:dyDescent="0.25">
      <c r="A28">
        <v>17</v>
      </c>
      <c r="B28" s="6" t="n">
        <v>13215.1359514498</v>
      </c>
      <c r="C28" s="9">
        <f si="0" t="shared"/>
        <v>1.7223506265048181E-2</v>
      </c>
      <c r="E28" s="371">
        <v>17</v>
      </c>
      <c r="F28" s="371" t="n">
        <v>7961.0</v>
      </c>
      <c r="G28" s="9">
        <f si="1" t="shared"/>
        <v>1.2133973872523502E-2</v>
      </c>
    </row>
    <row r="29" spans="1:7" x14ac:dyDescent="0.25">
      <c r="A29">
        <v>18</v>
      </c>
      <c r="B29" s="6" t="n">
        <v>88359.1015296788</v>
      </c>
      <c r="C29" s="9">
        <f si="0" t="shared"/>
        <v>0.11515988517723059</v>
      </c>
      <c r="E29" s="371">
        <v>18</v>
      </c>
      <c r="F29" s="371" t="n">
        <v>95546.0</v>
      </c>
      <c r="G29" s="9">
        <f si="1" t="shared"/>
        <v>0.15033647122277344</v>
      </c>
    </row>
    <row r="30" spans="1:7" x14ac:dyDescent="0.25">
      <c r="A30">
        <v>19</v>
      </c>
      <c r="B30" s="6" t="n">
        <v>31612.4616449513</v>
      </c>
      <c r="C30" s="9">
        <f si="0" t="shared"/>
        <v>4.1201046526931927E-2</v>
      </c>
      <c r="E30" s="371">
        <v>19</v>
      </c>
      <c r="F30" s="371" t="n">
        <v>23996.0</v>
      </c>
      <c r="G30" s="9">
        <f si="1" t="shared"/>
        <v>3.7243883624230943E-2</v>
      </c>
    </row>
    <row r="31" spans="1:7" x14ac:dyDescent="0.25">
      <c r="A31">
        <v>20</v>
      </c>
      <c r="B31" s="6" t="n">
        <v>54635.1204438281</v>
      </c>
      <c r="C31" s="9">
        <f si="0" t="shared"/>
        <v>7.1206860278474809E-2</v>
      </c>
      <c r="E31" s="371">
        <v>20</v>
      </c>
      <c r="F31" s="371" t="n">
        <v>24946.0</v>
      </c>
      <c r="G31" s="9">
        <f si="1" t="shared"/>
        <v>3.9733707956776144E-2</v>
      </c>
    </row>
    <row r="32" spans="1:7" x14ac:dyDescent="0.25">
      <c r="A32">
        <v>21</v>
      </c>
      <c r="B32" s="6" t="n">
        <v>37458.8693573435</v>
      </c>
      <c r="C32" s="9">
        <f si="0" t="shared"/>
        <v>4.8820766840998467E-2</v>
      </c>
      <c r="E32" s="371">
        <v>21</v>
      </c>
      <c r="F32" s="371" t="n">
        <v>26794.0</v>
      </c>
      <c r="G32" s="9">
        <f si="1" t="shared"/>
        <v>4.0752842601709638E-2</v>
      </c>
    </row>
    <row r="33" spans="1:7" x14ac:dyDescent="0.25">
      <c r="A33">
        <v>22</v>
      </c>
      <c r="B33" s="6" t="n">
        <v>31731.407208815</v>
      </c>
      <c r="C33" s="9">
        <f si="0" t="shared"/>
        <v>4.1356070256686396E-2</v>
      </c>
      <c r="E33" s="371">
        <v>22</v>
      </c>
      <c r="F33" s="371" t="n">
        <v>28281.0</v>
      </c>
      <c r="G33" s="9">
        <f si="1" t="shared"/>
        <v>4.435901134532045E-2</v>
      </c>
    </row>
    <row r="34" spans="1:7" x14ac:dyDescent="0.25">
      <c r="A34">
        <v>23</v>
      </c>
      <c r="B34" s="6" t="n">
        <v>14772.7217995797</v>
      </c>
      <c r="C34" s="9">
        <f si="0" t="shared"/>
        <v>1.9253533781388079E-2</v>
      </c>
      <c r="E34" s="371">
        <v>23</v>
      </c>
      <c r="F34" s="371" t="n">
        <v>24136.0</v>
      </c>
      <c r="G34" s="9">
        <f si="1" t="shared"/>
        <v>3.8548375969745814E-2</v>
      </c>
    </row>
    <row r="35" spans="1:7" x14ac:dyDescent="0.25">
      <c r="A35">
        <v>24</v>
      </c>
      <c r="B35" s="6" t="n">
        <v>31128.0315245751</v>
      </c>
      <c r="C35" s="9">
        <f si="0" t="shared"/>
        <v>4.0569680701871141E-2</v>
      </c>
      <c r="E35" s="371">
        <v>24</v>
      </c>
      <c r="F35" s="371" t="n">
        <v>18882.0</v>
      </c>
      <c r="G35" s="9">
        <f si="1" t="shared"/>
        <v>2.7066648269979742E-2</v>
      </c>
    </row>
    <row r="36" spans="1:7" x14ac:dyDescent="0.25">
      <c r="A36">
        <v>25</v>
      </c>
      <c r="B36" s="6" t="n">
        <v>28371.7806369991</v>
      </c>
      <c r="C36" s="9">
        <f si="0" t="shared"/>
        <v>3.6977413122890865E-2</v>
      </c>
      <c r="E36" s="371">
        <v>25</v>
      </c>
      <c r="F36" s="371" t="n">
        <v>15744.0</v>
      </c>
      <c r="G36" s="9">
        <f si="1" t="shared"/>
        <v>2.6006748239248912E-2</v>
      </c>
    </row>
    <row r="37" spans="1:7" x14ac:dyDescent="0.25">
      <c r="A37">
        <v>26</v>
      </c>
      <c r="B37" s="6" t="n">
        <v>64619.7916122738</v>
      </c>
      <c r="C37" s="9">
        <f si="0" t="shared"/>
        <v>8.4220048115207127E-2</v>
      </c>
      <c r="E37" s="371">
        <v>26</v>
      </c>
      <c r="F37" s="371" t="n">
        <v>13769.0</v>
      </c>
      <c r="G37" s="9">
        <f si="1" t="shared"/>
        <v>2.0934593506387621E-2</v>
      </c>
    </row>
    <row r="38" spans="1:7" x14ac:dyDescent="0.25">
      <c r="A38">
        <v>27</v>
      </c>
      <c r="B38" s="6" t="n">
        <v>10167.0182195947</v>
      </c>
      <c r="C38" s="9">
        <f si="0" t="shared"/>
        <v>1.3250843778329593E-2</v>
      </c>
      <c r="E38" s="371">
        <v>27</v>
      </c>
      <c r="F38" s="371" t="n">
        <v>7011.0</v>
      </c>
      <c r="G38" s="9">
        <f si="1" t="shared"/>
        <v>1.4087576591888315E-2</v>
      </c>
    </row>
    <row r="39" spans="1:7" x14ac:dyDescent="0.25">
      <c r="A39">
        <v>28</v>
      </c>
      <c r="B39" s="6" t="n">
        <v>18643.895594828</v>
      </c>
      <c r="C39" s="9">
        <f si="0" t="shared"/>
        <v>2.429889891122881E-2</v>
      </c>
      <c r="E39" s="371">
        <v>28</v>
      </c>
      <c r="F39" s="371" t="n">
        <v>10967.0</v>
      </c>
      <c r="G39" s="9">
        <f si="1" t="shared"/>
        <v>1.9418434734617337E-2</v>
      </c>
    </row>
    <row r="40" spans="1:7" x14ac:dyDescent="0.25">
      <c r="A40">
        <v>29</v>
      </c>
      <c r="B40" s="6" t="n">
        <v>15239.4319399969</v>
      </c>
      <c r="C40" s="9">
        <f si="0" t="shared"/>
        <v>1.9861804862137369E-2</v>
      </c>
      <c r="E40" s="371">
        <v>29</v>
      </c>
      <c r="F40" s="371" t="n">
        <v>8933.0</v>
      </c>
      <c r="G40" s="9">
        <f si="1" t="shared"/>
        <v>1.232525760588025E-2</v>
      </c>
    </row>
    <row r="41" spans="1:7" x14ac:dyDescent="0.25">
      <c r="A41">
        <v>30</v>
      </c>
      <c r="B41" s="6" t="n">
        <v>15823.4782481826</v>
      </c>
      <c r="C41" s="9">
        <f si="0" t="shared"/>
        <v>2.0623002119968915E-2</v>
      </c>
      <c r="E41" s="371">
        <v>30</v>
      </c>
      <c r="F41" s="371" t="n">
        <v>7327.0</v>
      </c>
      <c r="G41" s="9">
        <f si="1" t="shared"/>
        <v>9.7476309039253931E-3</v>
      </c>
    </row>
    <row r="42" spans="1:7" x14ac:dyDescent="0.25">
      <c r="A42">
        <v>31</v>
      </c>
      <c r="B42" s="6" t="n">
        <v>10396.545010251</v>
      </c>
      <c r="C42" s="9">
        <f si="0" t="shared"/>
        <v>1.3549989858353952E-2</v>
      </c>
      <c r="E42" s="371">
        <v>31</v>
      </c>
      <c r="F42" s="371" t="n">
        <v>5344.0</v>
      </c>
      <c r="G42" s="9">
        <f si="1" t="shared"/>
        <v>9.4810879967889422E-3</v>
      </c>
    </row>
    <row r="43" spans="1:7" x14ac:dyDescent="0.25">
      <c r="A43">
        <v>32</v>
      </c>
      <c r="B43" s="6" t="n">
        <v>5242.583758338999</v>
      </c>
      <c r="C43" s="9">
        <f si="0" t="shared"/>
        <v>6.8327465217552664E-3</v>
      </c>
      <c r="E43" s="371">
        <v>32</v>
      </c>
      <c r="F43" s="371" t="n">
        <v>8727.0</v>
      </c>
      <c r="G43" s="9">
        <f si="1" t="shared"/>
        <v>1.18298013784972E-2</v>
      </c>
    </row>
    <row r="44" spans="1:7" x14ac:dyDescent="0.25">
      <c r="A44">
        <v>33</v>
      </c>
      <c r="B44" s="6" t="n">
        <v>7706.1249305087</v>
      </c>
      <c r="C44" s="9">
        <f si="0" t="shared"/>
        <v>1.0043520665052218E-2</v>
      </c>
      <c r="E44" s="371">
        <v>33</v>
      </c>
      <c r="F44" s="371" t="n">
        <v>4952.0</v>
      </c>
      <c r="G44" s="9">
        <f si="1" t="shared"/>
        <v>8.1076080753093461E-3</v>
      </c>
    </row>
    <row r="45" spans="1:7" x14ac:dyDescent="0.25">
      <c r="A45">
        <v>34</v>
      </c>
      <c r="B45" s="6" t="n">
        <v>18923.6298575146</v>
      </c>
      <c r="C45" s="9">
        <f si="0" t="shared"/>
        <v>2.4663481223785547E-2</v>
      </c>
      <c r="E45" s="371">
        <v>34</v>
      </c>
      <c r="F45" s="371" t="n">
        <v>7862.0</v>
      </c>
      <c r="G45" s="9">
        <f si="1" t="shared"/>
        <v>1.1804714987237298E-2</v>
      </c>
    </row>
    <row r="46" spans="1:7" x14ac:dyDescent="0.25">
      <c r="A46">
        <v>35</v>
      </c>
      <c r="B46" s="6" t="n">
        <v>4831.111649248101</v>
      </c>
      <c r="C46" s="9">
        <f si="0" t="shared"/>
        <v>6.2964680850554015E-3</v>
      </c>
      <c r="E46" s="371">
        <v>35</v>
      </c>
      <c r="F46" s="371" t="n">
        <v>3014.0</v>
      </c>
      <c r="G46" s="9">
        <f si="1" t="shared"/>
        <v>4.854216708790899E-3</v>
      </c>
    </row>
    <row r="47" spans="1:7" x14ac:dyDescent="0.25">
      <c r="A47">
        <v>36</v>
      </c>
      <c r="B47" s="6" t="n">
        <v>5120.352550202</v>
      </c>
      <c r="C47" s="9">
        <f si="0" t="shared"/>
        <v>6.6734405572259304E-3</v>
      </c>
      <c r="E47" s="371">
        <v>36</v>
      </c>
      <c r="F47" s="371" t="n">
        <v>2578.0</v>
      </c>
      <c r="G47" s="9">
        <f si="1" t="shared"/>
        <v>3.6187119392407604E-3</v>
      </c>
    </row>
    <row r="48" spans="1:7" x14ac:dyDescent="0.25">
      <c r="A48">
        <v>37</v>
      </c>
      <c r="B48" s="6" t="n">
        <v>10336.354495021</v>
      </c>
      <c r="C48" s="9">
        <f si="0" t="shared"/>
        <v>1.3471542559743555E-2</v>
      </c>
      <c r="E48" s="371">
        <v>37</v>
      </c>
      <c r="F48" s="371" t="n">
        <v>2432.0</v>
      </c>
      <c r="G48" s="9">
        <f si="1" t="shared"/>
        <v>3.6312551348707109E-3</v>
      </c>
    </row>
    <row r="49" spans="1:7" x14ac:dyDescent="0.25">
      <c r="A49">
        <v>38</v>
      </c>
      <c r="B49" s="6" t="n">
        <v>14094.3192729302</v>
      </c>
      <c r="C49" s="9">
        <f si="0" t="shared"/>
        <v>1.8369360496232407E-2</v>
      </c>
      <c r="E49" s="371">
        <v>38</v>
      </c>
      <c r="F49" s="371" t="n">
        <v>2124.0</v>
      </c>
      <c r="G49" s="9">
        <f si="1" t="shared"/>
        <v>5.2665742651255261E-3</v>
      </c>
    </row>
    <row r="50" spans="1:7" x14ac:dyDescent="0.25">
      <c r="A50">
        <v>39</v>
      </c>
      <c r="B50" s="6" t="n">
        <v>2088.6286652534</v>
      </c>
      <c r="C50" s="9">
        <f si="0" t="shared"/>
        <v>2.7221444435768056E-3</v>
      </c>
      <c r="E50" s="371">
        <v>39</v>
      </c>
      <c r="F50" s="371" t="n">
        <v>2494.0</v>
      </c>
      <c r="G50" s="9">
        <f si="1" t="shared"/>
        <v>3.521502173108643E-3</v>
      </c>
    </row>
    <row r="51" spans="1:7" x14ac:dyDescent="0.25">
      <c r="A51">
        <v>40</v>
      </c>
      <c r="B51" s="6" t="n">
        <v>979.7083708764001</v>
      </c>
      <c r="C51" s="9">
        <f si="0" t="shared"/>
        <v>1.2768701983620998E-3</v>
      </c>
      <c r="E51" s="371">
        <v>40</v>
      </c>
      <c r="F51" s="371" t="n">
        <v>1747.0</v>
      </c>
      <c r="G51" s="9">
        <f si="1" t="shared"/>
        <v>2.7720462342190918E-3</v>
      </c>
    </row>
    <row r="52" spans="1:7" x14ac:dyDescent="0.25">
      <c r="A52">
        <v>41</v>
      </c>
      <c r="B52" s="6" t="n">
        <v>7230.856374999999</v>
      </c>
      <c r="C52" s="9">
        <f si="0" t="shared"/>
        <v>9.4240952597096066E-3</v>
      </c>
      <c r="E52" s="371">
        <v>41</v>
      </c>
      <c r="F52" s="371" t="n">
        <v>2454.0</v>
      </c>
      <c r="G52" s="9">
        <f si="1" t="shared"/>
        <v>3.6218477381482479E-3</v>
      </c>
    </row>
    <row r="53" spans="1:7" x14ac:dyDescent="0.25">
      <c r="A53">
        <v>42</v>
      </c>
      <c r="B53" s="6" t="n">
        <v>1286.714125</v>
      </c>
      <c r="C53" s="9">
        <f si="0" t="shared"/>
        <v>1.6769958988452312E-3</v>
      </c>
      <c r="E53" s="371">
        <v>42</v>
      </c>
      <c r="F53" s="371" t="n">
        <v>1861.0</v>
      </c>
      <c r="G53" s="9">
        <f si="1" t="shared"/>
        <v>2.6340710822896347E-3</v>
      </c>
    </row>
    <row r="54" spans="1:7" x14ac:dyDescent="0.25">
      <c r="A54">
        <v>43</v>
      </c>
      <c r="B54" s="6" t="n">
        <v>1173.021376812</v>
      </c>
      <c r="C54" s="9">
        <f si="0" t="shared"/>
        <v>1.5288182510404249E-3</v>
      </c>
      <c r="E54" s="371">
        <v>43</v>
      </c>
      <c r="F54" s="371" t="n">
        <v>1361.0</v>
      </c>
      <c r="G54" s="9">
        <f si="1" t="shared"/>
        <v>2.0241581947832848E-3</v>
      </c>
    </row>
    <row r="55" spans="1:7" x14ac:dyDescent="0.25">
      <c r="A55">
        <v>44</v>
      </c>
      <c r="B55" s="6" t="n">
        <v>984.4543038420001</v>
      </c>
      <c r="C55" s="9">
        <f si="0" t="shared"/>
        <v>1.2830556516534482E-3</v>
      </c>
      <c r="E55" s="371">
        <v>44</v>
      </c>
      <c r="F55" s="371" t="n">
        <v>2586.0</v>
      </c>
      <c r="G55" s="9">
        <f si="1" t="shared"/>
        <v>2.3001084986421991E-3</v>
      </c>
    </row>
    <row r="56" spans="1:7" x14ac:dyDescent="0.25">
      <c r="A56">
        <v>45</v>
      </c>
      <c r="B56" s="6" t="n">
        <v>37424.629805929</v>
      </c>
      <c r="C56" s="9">
        <f si="0" t="shared"/>
        <v>4.8776141864723788E-2</v>
      </c>
      <c r="E56" s="371">
        <v>45</v>
      </c>
      <c r="F56" s="371" t="n">
        <v>1421.0</v>
      </c>
      <c r="G56" s="9">
        <f si="1" t="shared"/>
        <v>2.1448864527215598E-3</v>
      </c>
    </row>
    <row r="57" spans="1:7" x14ac:dyDescent="0.25">
      <c r="A57">
        <v>46</v>
      </c>
      <c r="B57" s="6" t="n">
        <v>3725.981646914</v>
      </c>
      <c r="C57" s="9">
        <f si="0" t="shared"/>
        <v>4.8561337904387885E-3</v>
      </c>
      <c r="E57" s="371">
        <v>46</v>
      </c>
      <c r="F57" s="371" t="n">
        <v>1151.0</v>
      </c>
      <c r="G57" s="9">
        <f si="1" t="shared"/>
        <v>1.959874317179788E-3</v>
      </c>
    </row>
    <row r="58" spans="1:7" x14ac:dyDescent="0.25">
      <c r="A58">
        <v>47</v>
      </c>
      <c r="B58" s="6" t="n">
        <v>4244.099974671</v>
      </c>
      <c r="C58" s="9">
        <f si="0" t="shared"/>
        <v>5.5314060159341281E-3</v>
      </c>
      <c r="E58" s="371">
        <v>47</v>
      </c>
      <c r="F58" s="371" t="n">
        <v>1197.0</v>
      </c>
      <c r="G58" s="9">
        <f si="1" t="shared"/>
        <v>1.8344423608802815E-3</v>
      </c>
    </row>
    <row r="59" spans="1:7" x14ac:dyDescent="0.25">
      <c r="A59">
        <v>48</v>
      </c>
      <c r="B59" s="6" t="n">
        <v>2507.59786587</v>
      </c>
      <c r="C59" s="9">
        <f si="0" t="shared"/>
        <v>3.2681939642319885E-3</v>
      </c>
      <c r="E59" s="371">
        <v>48</v>
      </c>
      <c r="F59" s="371" t="n">
        <v>1107.0</v>
      </c>
      <c r="G59" s="9">
        <f si="1" t="shared"/>
        <v>1.75604738819309E-3</v>
      </c>
    </row>
    <row r="60" spans="1:7" x14ac:dyDescent="0.25">
      <c r="A60">
        <v>49</v>
      </c>
      <c r="B60" s="6" t="n">
        <v>888.702895034</v>
      </c>
      <c r="C60" s="9">
        <f si="0" t="shared"/>
        <v>1.1582612495715798E-3</v>
      </c>
      <c r="E60" s="371">
        <v>49</v>
      </c>
      <c r="F60" s="371" t="n">
        <v>1076.0</v>
      </c>
      <c r="G60" s="9">
        <f si="1" t="shared"/>
        <v>1.599257442818707E-3</v>
      </c>
    </row>
    <row r="61" spans="1:7" x14ac:dyDescent="0.25">
      <c r="A61">
        <v>50</v>
      </c>
      <c r="B61" s="6" t="n">
        <v>354.408375</v>
      </c>
      <c r="C61" s="9">
        <f si="0" t="shared"/>
        <v>4.6190632390190225E-4</v>
      </c>
      <c r="E61" s="371">
        <v>50</v>
      </c>
      <c r="F61" s="371" t="n">
        <v>1152.0</v>
      </c>
      <c r="G61" s="9">
        <f si="1" t="shared"/>
        <v>1.6525660242459972E-3</v>
      </c>
    </row>
    <row r="62" spans="1:7" x14ac:dyDescent="0.25">
      <c r="A62">
        <v>51</v>
      </c>
      <c r="B62" s="6" t="n">
        <v>1425.581625</v>
      </c>
      <c r="C62" s="9">
        <f si="0" t="shared"/>
        <v>1.8579842189842444E-3</v>
      </c>
      <c r="E62" s="371">
        <v>51</v>
      </c>
      <c r="F62" s="371" t="n">
        <v>968.0</v>
      </c>
      <c r="G62" s="9">
        <f si="1" t="shared"/>
        <v>1.8030843718054048E-3</v>
      </c>
    </row>
    <row r="63" spans="1:7" x14ac:dyDescent="0.25">
      <c r="A63">
        <v>52</v>
      </c>
      <c r="B63" s="6" t="n">
        <v>1095.81675</v>
      </c>
      <c r="C63" s="9">
        <f si="0" t="shared"/>
        <v>1.4281961781028166E-3</v>
      </c>
      <c r="E63" s="371">
        <v>52</v>
      </c>
      <c r="F63" s="371" t="n">
        <v>754.0</v>
      </c>
      <c r="G63" s="9">
        <f si="1" t="shared"/>
        <v>1.2135541771977247E-3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753.0</v>
      </c>
      <c r="G64" s="9">
        <f si="1" t="shared"/>
        <v>1.2166899761052122E-3</v>
      </c>
    </row>
    <row r="65" spans="1:7" x14ac:dyDescent="0.25">
      <c r="A65">
        <v>54</v>
      </c>
      <c r="B65" s="6" t="n">
        <v>1571.158116612</v>
      </c>
      <c r="C65" s="9">
        <f si="0" t="shared"/>
        <v>2.0477164793661698E-3</v>
      </c>
      <c r="E65" s="371">
        <v>54</v>
      </c>
      <c r="F65" s="371" t="n">
        <v>608.0</v>
      </c>
      <c r="G65" s="9">
        <f si="1" t="shared"/>
        <v>1.1790603892153605E-3</v>
      </c>
    </row>
    <row r="66" spans="1:7" x14ac:dyDescent="0.25">
      <c r="A66">
        <v>55</v>
      </c>
      <c r="B66" s="6" t="n">
        <v>3268.71792537</v>
      </c>
      <c r="C66" s="9">
        <f si="0" t="shared"/>
        <v>4.2601743843663662E-3</v>
      </c>
      <c r="E66" s="371">
        <v>55</v>
      </c>
      <c r="F66" s="371" t="n">
        <v>569.0</v>
      </c>
      <c r="G66" s="9">
        <f si="1" t="shared"/>
        <v>8.6861629737408196E-4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492.0</v>
      </c>
      <c r="G67" s="9">
        <f si="1" t="shared"/>
        <v>8.6234469955910663E-4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500.0</v>
      </c>
      <c r="G68" s="9">
        <f si="1" t="shared"/>
        <v>8.6548049846659435E-4</v>
      </c>
    </row>
    <row r="69" spans="1:7" x14ac:dyDescent="0.25">
      <c r="A69">
        <v>58</v>
      </c>
      <c r="B69" s="6" t="n">
        <v>15.92375</v>
      </c>
      <c r="C69" s="9">
        <f si="0" t="shared"/>
        <v>2.0753687960203866E-5</v>
      </c>
      <c r="E69" s="371">
        <v>58</v>
      </c>
      <c r="F69" s="371" t="n">
        <v>518.0</v>
      </c>
      <c r="G69" s="9">
        <f si="1" t="shared"/>
        <v>8.372583082992054E-4</v>
      </c>
    </row>
    <row r="70" spans="1:7" x14ac:dyDescent="0.25">
      <c r="A70">
        <v>59</v>
      </c>
      <c r="B70" s="6" t="n">
        <v>651.2942178769999</v>
      </c>
      <c r="C70" s="9">
        <f si="0" t="shared"/>
        <v>8.4884257590732621E-4</v>
      </c>
      <c r="E70" s="371">
        <v>59</v>
      </c>
      <c r="F70" s="371" t="n">
        <v>497.0</v>
      </c>
      <c r="G70" s="9">
        <f si="1" t="shared"/>
        <v>7.7767812905693979E-4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430.0</v>
      </c>
      <c r="G71" s="9">
        <f si="1" t="shared"/>
        <v>7.2750534653713724E-4</v>
      </c>
    </row>
    <row r="72" spans="1:7" x14ac:dyDescent="0.25">
      <c r="A72">
        <v>61</v>
      </c>
      <c r="B72" s="6" t="n">
        <v>6072.2657120416</v>
      </c>
      <c r="C72" s="9">
        <f si="0" t="shared"/>
        <v>7.9140847978118531E-3</v>
      </c>
      <c r="E72" s="371">
        <v>61</v>
      </c>
      <c r="F72" s="371" t="n">
        <v>347.0</v>
      </c>
      <c r="G72" s="9">
        <f si="1" t="shared"/>
        <v>5.2681421645792701E-4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411.0</v>
      </c>
      <c r="G73" s="9">
        <f si="1" t="shared"/>
        <v>6.9614735746226068E-4</v>
      </c>
    </row>
    <row r="74" spans="1:7" x14ac:dyDescent="0.25">
      <c r="A74">
        <v>63</v>
      </c>
      <c r="B74" s="6" t="n">
        <v>5.16</v>
      </c>
      <c r="C74" s="9">
        <f si="0" t="shared"/>
        <v>6.7251137373201627E-6</v>
      </c>
      <c r="E74" s="371">
        <v>63</v>
      </c>
      <c r="F74" s="371" t="n">
        <v>398.0</v>
      </c>
      <c r="G74" s="9">
        <f si="1" t="shared"/>
        <v>4.970241268367942E-4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336.0</v>
      </c>
      <c r="G75" s="9">
        <f si="1" t="shared"/>
        <v>5.1113522192048873E-4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269.0</v>
      </c>
      <c r="G76" s="9">
        <f si="1" t="shared"/>
        <v>4.8134513229935593E-4</v>
      </c>
    </row>
    <row r="77" spans="1:7" x14ac:dyDescent="0.25">
      <c r="A77">
        <v>66</v>
      </c>
      <c r="B77" s="6" t="n">
        <v>1427.72808527</v>
      </c>
      <c r="C77" s="9">
        <f ref="C77:C102" si="2" t="shared">B77/B$102</f>
        <v>1.8607817363192035E-3</v>
      </c>
      <c r="E77" s="371">
        <v>66</v>
      </c>
      <c r="F77" s="371" t="n">
        <v>329.0</v>
      </c>
      <c r="G77" s="9">
        <f ref="G77:G102" si="3" t="shared">F77/F$102</f>
        <v>5.0329572465176954E-4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278.0</v>
      </c>
      <c r="G78" s="9">
        <f si="3" t="shared"/>
        <v>4.5312294213196698E-4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292.0</v>
      </c>
      <c r="G79" s="9">
        <f si="3" t="shared"/>
        <v>4.0138226015842056E-4</v>
      </c>
    </row>
    <row r="80" spans="1:7" x14ac:dyDescent="0.25">
      <c r="A80">
        <v>69</v>
      </c>
      <c r="B80" s="6" t="n">
        <v>1036.537015762</v>
      </c>
      <c r="C80" s="9">
        <f si="2" t="shared"/>
        <v>1.3509359154926109E-3</v>
      </c>
      <c r="E80" s="371">
        <v>69</v>
      </c>
      <c r="F80" s="371" t="n">
        <v>259.0</v>
      </c>
      <c r="G80" s="9">
        <f si="3" t="shared"/>
        <v>4.0138226015842056E-4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257.0</v>
      </c>
      <c r="G81" s="9">
        <f si="3" t="shared"/>
        <v>3.9667856179718909E-4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259.0</v>
      </c>
      <c r="G82" s="9">
        <f si="3" t="shared"/>
        <v>4.6409823830817379E-4</v>
      </c>
    </row>
    <row r="83" spans="1:7" x14ac:dyDescent="0.25">
      <c r="A83">
        <v>72</v>
      </c>
      <c r="B83" s="6" t="n">
        <v>3300.7833570129</v>
      </c>
      <c r="C83" s="9">
        <f si="2" t="shared"/>
        <v>4.3019657942180659E-3</v>
      </c>
      <c r="E83" s="371">
        <v>72</v>
      </c>
      <c r="F83" s="371" t="n">
        <v>326.0</v>
      </c>
      <c r="G83" s="9">
        <f si="3" t="shared"/>
        <v>4.7507353448438059E-4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188.0</v>
      </c>
      <c r="G84" s="9">
        <f si="3" t="shared"/>
        <v>3.0887619238753459E-4</v>
      </c>
    </row>
    <row r="85" spans="1:7" x14ac:dyDescent="0.25">
      <c r="A85">
        <v>74</v>
      </c>
      <c r="B85" s="6" t="n">
        <v>1126.495875</v>
      </c>
      <c r="C85" s="9">
        <f si="2" t="shared"/>
        <v>1.4681807914722863E-3</v>
      </c>
      <c r="E85" s="371">
        <v>74</v>
      </c>
      <c r="F85" s="371" t="n">
        <v>175.0</v>
      </c>
      <c r="G85" s="9">
        <f si="3" t="shared"/>
        <v>3.010366951188154E-4</v>
      </c>
    </row>
    <row r="86" spans="1:7" x14ac:dyDescent="0.25">
      <c r="A86">
        <v>75</v>
      </c>
      <c r="B86" s="6" t="n">
        <v>970.9034999999999</v>
      </c>
      <c r="C86" s="9">
        <f si="2" t="shared"/>
        <v>1.2653946638492687E-3</v>
      </c>
      <c r="E86" s="371">
        <v>75</v>
      </c>
      <c r="F86" s="371" t="n">
        <v>197.0</v>
      </c>
      <c r="G86" s="9">
        <f si="3" t="shared"/>
        <v>2.8535770058137712E-4</v>
      </c>
    </row>
    <row r="87" spans="1:7" x14ac:dyDescent="0.25">
      <c r="A87">
        <v>76</v>
      </c>
      <c r="B87" s="6" t="n">
        <v>2275.37175</v>
      </c>
      <c r="C87" s="9">
        <f si="2" t="shared"/>
        <v>2.9655298088052747E-3</v>
      </c>
      <c r="E87" s="371">
        <v>76</v>
      </c>
      <c r="F87" s="371" t="n">
        <v>175.0</v>
      </c>
      <c r="G87" s="9">
        <f si="3" t="shared"/>
        <v>3.0887619238753459E-4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174.0</v>
      </c>
      <c r="G88" s="9">
        <f si="3" t="shared"/>
        <v>2.7281450495142645E-4</v>
      </c>
    </row>
    <row r="89" spans="1:7" x14ac:dyDescent="0.25">
      <c r="A89">
        <v>78</v>
      </c>
      <c r="B89" s="6" t="n">
        <v>265.778875</v>
      </c>
      <c r="C89" s="9">
        <f si="2" t="shared"/>
        <v>3.4639402390542606E-4</v>
      </c>
      <c r="E89" s="371">
        <v>78</v>
      </c>
      <c r="F89" s="371" t="n">
        <v>170.0</v>
      </c>
      <c r="G89" s="9">
        <f si="3" t="shared"/>
        <v>2.7908610276640178E-4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205.0</v>
      </c>
      <c r="G90" s="9">
        <f si="3" t="shared"/>
        <v>3.0887619238753459E-4</v>
      </c>
    </row>
    <row r="91" spans="1:7" x14ac:dyDescent="0.25">
      <c r="A91">
        <v>80</v>
      </c>
      <c r="B91" s="6" t="n">
        <v>8712.436162205</v>
      </c>
      <c r="C91" s="9">
        <f si="2" t="shared"/>
        <v>1.1355062813947638E-2</v>
      </c>
      <c r="E91" s="371">
        <v>80</v>
      </c>
      <c r="F91" s="371" t="n">
        <v>131.0</v>
      </c>
      <c r="G91" s="9">
        <f si="3" t="shared"/>
        <v>2.3361701860783073E-4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131.0</v>
      </c>
      <c r="G92" s="9">
        <f si="3" t="shared"/>
        <v>1.9598743171797878E-4</v>
      </c>
    </row>
    <row r="93" spans="1:7" x14ac:dyDescent="0.25">
      <c r="A93">
        <v>82</v>
      </c>
      <c r="B93" s="6" t="n">
        <v>1587.06225</v>
      </c>
      <c r="C93" s="9">
        <f si="2" t="shared"/>
        <v>2.068444600670009E-3</v>
      </c>
      <c r="E93" s="371">
        <v>82</v>
      </c>
      <c r="F93" s="371" t="n">
        <v>138.0</v>
      </c>
      <c r="G93" s="9">
        <f si="3" t="shared"/>
        <v>1.66197342096846E-4</v>
      </c>
    </row>
    <row r="94" spans="1:7" x14ac:dyDescent="0.25">
      <c r="A94">
        <v>83</v>
      </c>
      <c r="B94" s="6" t="n">
        <v>21.551250000000003</v>
      </c>
      <c r="C94" s="9">
        <f si="2" t="shared"/>
        <v>2.8088102215391702E-5</v>
      </c>
      <c r="E94" s="371">
        <v>83</v>
      </c>
      <c r="F94" s="371" t="n">
        <v>114.0</v>
      </c>
      <c r="G94" s="9">
        <f si="3" t="shared"/>
        <v>1.8030843718054048E-4</v>
      </c>
    </row>
    <row r="95" spans="1:7" x14ac:dyDescent="0.25">
      <c r="A95">
        <v>84</v>
      </c>
      <c r="B95" s="6" t="n">
        <v>736.1920170764</v>
      </c>
      <c r="C95" s="9">
        <f si="2" t="shared"/>
        <v>9.5949128824533681E-4</v>
      </c>
      <c r="E95" s="371">
        <v>84</v>
      </c>
      <c r="F95" s="371" t="n">
        <v>107.0</v>
      </c>
      <c r="G95" s="9">
        <f si="3" t="shared"/>
        <v>1.7246893991182134E-4</v>
      </c>
    </row>
    <row r="96" spans="1:7" x14ac:dyDescent="0.25">
      <c r="A96">
        <v>85</v>
      </c>
      <c r="B96" s="6" t="n">
        <v>176.449698513</v>
      </c>
      <c r="C96" s="9">
        <f si="2" t="shared"/>
        <v>2.299698239177863E-4</v>
      </c>
      <c r="E96" s="371">
        <v>85</v>
      </c>
      <c r="F96" s="371" t="n">
        <v>106.0</v>
      </c>
      <c r="G96" s="9">
        <f si="3" t="shared"/>
        <v>1.4895044810566389E-4</v>
      </c>
    </row>
    <row r="97" spans="1:7" x14ac:dyDescent="0.25">
      <c r="A97">
        <v>86</v>
      </c>
      <c r="B97" s="6" t="n">
        <v>339.706125</v>
      </c>
      <c r="C97" s="9">
        <f si="2" t="shared"/>
        <v>4.4274463718784889E-4</v>
      </c>
      <c r="E97" s="371">
        <v>86</v>
      </c>
      <c r="F97" s="371" t="n">
        <v>103.0</v>
      </c>
      <c r="G97" s="9">
        <f si="3" t="shared"/>
        <v>1.3170355411448175E-4</v>
      </c>
    </row>
    <row r="98" spans="1:7" x14ac:dyDescent="0.25">
      <c r="A98">
        <v>87</v>
      </c>
      <c r="B98" s="6" t="n">
        <v>143.194</v>
      </c>
      <c r="C98" s="9">
        <f si="2" t="shared"/>
        <v>1.8662711947709754E-4</v>
      </c>
      <c r="E98" s="371">
        <v>87</v>
      </c>
      <c r="F98" s="371" t="n">
        <v>73.0</v>
      </c>
      <c r="G98" s="9">
        <f si="3" t="shared"/>
        <v>1.505183475594077E-4</v>
      </c>
    </row>
    <row r="99" spans="1:7" x14ac:dyDescent="0.25">
      <c r="A99">
        <v>88</v>
      </c>
      <c r="B99" s="6" t="n">
        <v>195.04500000000002</v>
      </c>
      <c r="C99" s="9">
        <f si="2" t="shared"/>
        <v>2.5420538932085487E-4</v>
      </c>
      <c r="E99" s="371">
        <v>88</v>
      </c>
      <c r="F99" s="371" t="n">
        <v>106.0</v>
      </c>
      <c r="G99" s="9">
        <f si="3" t="shared"/>
        <v>1.7874053772679664E-4</v>
      </c>
    </row>
    <row r="100" spans="1:7" x14ac:dyDescent="0.25">
      <c r="A100">
        <v>89</v>
      </c>
      <c r="B100" s="6" t="n">
        <v>3248.298665265</v>
      </c>
      <c r="C100" s="9">
        <f si="2" t="shared"/>
        <v>4.2335616233900005E-3</v>
      </c>
      <c r="E100" s="371">
        <v>89</v>
      </c>
      <c r="F100" s="371" t="n">
        <v>77.0</v>
      </c>
      <c r="G100" s="9">
        <f si="3" t="shared"/>
        <v>1.1288876066955578E-4</v>
      </c>
    </row>
    <row ht="15.75" r="101" spans="1:7" thickBot="1" x14ac:dyDescent="0.3">
      <c r="A101" s="1">
        <v>90</v>
      </c>
      <c r="B101" s="7" t="n">
        <v>22389.1394741028</v>
      </c>
      <c r="C101" s="9">
        <f si="2" t="shared"/>
        <v>2.9180137489160055E-2</v>
      </c>
      <c r="E101" s="372">
        <v>90</v>
      </c>
      <c r="F101" s="372" t="n">
        <v>4115.0</v>
      </c>
      <c r="G101" s="9">
        <f si="3" t="shared"/>
        <v>6.6463257844200964E-3</v>
      </c>
    </row>
    <row r="102" spans="1:7" x14ac:dyDescent="0.25">
      <c r="B102" s="6">
        <f>SUM(B11:B101)</f>
        <v>767273.26875755819</v>
      </c>
      <c r="C102" s="9">
        <f si="2" t="shared"/>
        <v>1</v>
      </c>
      <c r="F102" s="6">
        <f>SUM(F11:F101)</f>
        <v>637796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10466.6112333718</v>
      </c>
      <c r="C11" s="9">
        <f>B11/B$102</f>
        <v>9.8939778111072942E-3</v>
      </c>
      <c r="E11" s="371">
        <v>0</v>
      </c>
      <c r="F11" s="371" t="n">
        <v>194149.0</v>
      </c>
      <c r="G11" s="9">
        <f>F11/F$102</f>
        <v>0.16412220242374273</v>
      </c>
      <c r="K11" s="6" t="n">
        <v>7.1809751992848</v>
      </c>
      <c r="L11" s="6" t="n">
        <v>5.457451132579853</v>
      </c>
    </row>
    <row r="12" spans="1:12" x14ac:dyDescent="0.25">
      <c r="A12">
        <v>1</v>
      </c>
      <c r="B12" s="6" t="n">
        <v>39557.1044416261</v>
      </c>
      <c r="C12" s="9">
        <f>B12/B$102</f>
        <v>3.7392915900920587E-2</v>
      </c>
      <c r="E12" s="371">
        <v>1</v>
      </c>
      <c r="F12" s="371" t="n">
        <v>167618.0</v>
      </c>
      <c r="G12" s="9">
        <f>F12/F$102</f>
        <v>0.14220579667680819</v>
      </c>
      <c r="K12" s="6"/>
      <c r="L12" s="371"/>
    </row>
    <row r="13" spans="1:12" x14ac:dyDescent="0.25">
      <c r="A13">
        <v>2</v>
      </c>
      <c r="B13" s="6" t="n">
        <v>54142.4247811564</v>
      </c>
      <c r="C13" s="9">
        <f ref="C13:C76" si="0" t="shared">B13/B$102</f>
        <v>5.1180266227556968E-2</v>
      </c>
      <c r="E13" s="371">
        <v>2</v>
      </c>
      <c r="F13" s="371" t="n">
        <v>97624.0</v>
      </c>
      <c r="G13" s="9">
        <f ref="G13:G76" si="1" t="shared">F13/F$102</f>
        <v>8.23932841134805E-2</v>
      </c>
    </row>
    <row r="14" spans="1:12" x14ac:dyDescent="0.25">
      <c r="A14">
        <v>3</v>
      </c>
      <c r="B14" s="6" t="n">
        <v>99715.6775846301</v>
      </c>
      <c r="C14" s="9">
        <f si="0" t="shared"/>
        <v>9.4260184069532196E-2</v>
      </c>
      <c r="E14" s="371">
        <v>3</v>
      </c>
      <c r="F14" s="371" t="n">
        <v>53171.0</v>
      </c>
      <c r="G14" s="9">
        <f si="1" t="shared"/>
        <v>4.5555052076057957E-2</v>
      </c>
    </row>
    <row r="15" spans="1:12" x14ac:dyDescent="0.25">
      <c r="A15">
        <v>4</v>
      </c>
      <c r="B15" s="6" t="n">
        <v>217088.3909101514</v>
      </c>
      <c r="C15" s="9">
        <f si="0" t="shared"/>
        <v>0.20521137881435314</v>
      </c>
      <c r="E15" s="371">
        <v>4</v>
      </c>
      <c r="F15" s="371" t="n">
        <v>211368.0</v>
      </c>
      <c r="G15" s="9">
        <f si="1" t="shared"/>
        <v>0.17844950649545335</v>
      </c>
    </row>
    <row r="16" spans="1:12" x14ac:dyDescent="0.25">
      <c r="A16">
        <v>5</v>
      </c>
      <c r="B16" s="6" t="n">
        <v>106468.2696968594</v>
      </c>
      <c r="C16" s="9">
        <f si="0" t="shared"/>
        <v>0.10064333856301691</v>
      </c>
      <c r="E16" s="371">
        <v>5</v>
      </c>
      <c r="F16" s="371" t="n">
        <v>91543.0</v>
      </c>
      <c r="G16" s="9">
        <f si="1" t="shared"/>
        <v>7.7691618429166678E-2</v>
      </c>
    </row>
    <row r="17" spans="1:7" x14ac:dyDescent="0.25">
      <c r="A17">
        <v>6</v>
      </c>
      <c r="B17" s="6" t="n">
        <v>128288.5694955839</v>
      </c>
      <c r="C17" s="9">
        <f si="0" t="shared"/>
        <v>0.1212698390823011</v>
      </c>
      <c r="E17" s="371">
        <v>6</v>
      </c>
      <c r="F17" s="371" t="n">
        <v>92276.0</v>
      </c>
      <c r="G17" s="9">
        <f si="1" t="shared"/>
        <v>8.041211121824246E-2</v>
      </c>
    </row>
    <row r="18" spans="1:7" x14ac:dyDescent="0.25">
      <c r="A18">
        <v>7</v>
      </c>
      <c r="B18" s="6" t="n">
        <v>98195.6020060104</v>
      </c>
      <c r="C18" s="9">
        <f si="0" t="shared"/>
        <v>9.2823272569646065E-2</v>
      </c>
      <c r="E18" s="371">
        <v>7</v>
      </c>
      <c r="F18" s="371" t="n">
        <v>48080.0</v>
      </c>
      <c r="G18" s="9">
        <f si="1" t="shared"/>
        <v>4.017539257204962E-2</v>
      </c>
    </row>
    <row r="19" spans="1:7" x14ac:dyDescent="0.25">
      <c r="A19">
        <v>8</v>
      </c>
      <c r="B19" s="6" t="n">
        <v>45314.3683036104</v>
      </c>
      <c r="C19" s="9">
        <f si="0" t="shared"/>
        <v>4.2835197039780872E-2</v>
      </c>
      <c r="E19" s="371">
        <v>8</v>
      </c>
      <c r="F19" s="371" t="n">
        <v>39991.0</v>
      </c>
      <c r="G19" s="9">
        <f si="1" t="shared"/>
        <v>3.8003427446143781E-2</v>
      </c>
    </row>
    <row r="20" spans="1:7" x14ac:dyDescent="0.25">
      <c r="A20">
        <v>9</v>
      </c>
      <c r="B20" s="6" t="n">
        <v>27253.4347309712</v>
      </c>
      <c r="C20" s="9">
        <f si="0" t="shared"/>
        <v>2.5762385980760683E-2</v>
      </c>
      <c r="E20" s="371">
        <v>9</v>
      </c>
      <c r="F20" s="371" t="n">
        <v>20357.0</v>
      </c>
      <c r="G20" s="9">
        <f si="1" t="shared"/>
        <v>1.6571668035146654E-2</v>
      </c>
    </row>
    <row r="21" spans="1:7" x14ac:dyDescent="0.25">
      <c r="A21">
        <v>10</v>
      </c>
      <c r="B21" s="6" t="n">
        <v>81068.7198098024</v>
      </c>
      <c r="C21" s="9">
        <f si="0" t="shared"/>
        <v>7.66334104791878E-2</v>
      </c>
      <c r="E21" s="371">
        <v>10</v>
      </c>
      <c r="F21" s="371" t="n">
        <v>23821.0</v>
      </c>
      <c r="G21" s="9">
        <f si="1" t="shared"/>
        <v>1.6087021699209236E-2</v>
      </c>
    </row>
    <row r="22" spans="1:7" x14ac:dyDescent="0.25">
      <c r="A22">
        <v>11</v>
      </c>
      <c r="B22" s="6" t="n">
        <v>18477.2165717487</v>
      </c>
      <c r="C22" s="9">
        <f si="0" t="shared"/>
        <v>1.7466319011546272E-2</v>
      </c>
      <c r="E22" s="371">
        <v>11</v>
      </c>
      <c r="F22" s="371" t="n">
        <v>20319.0</v>
      </c>
      <c r="G22" s="9">
        <f si="1" t="shared"/>
        <v>1.760995254043262E-2</v>
      </c>
    </row>
    <row r="23" spans="1:7" x14ac:dyDescent="0.25">
      <c r="A23">
        <v>12</v>
      </c>
      <c r="B23" s="6" t="n">
        <v>14914.571673058</v>
      </c>
      <c r="C23" s="9">
        <f si="0" t="shared"/>
        <v>1.4098588158592343E-2</v>
      </c>
      <c r="E23" s="371">
        <v>12</v>
      </c>
      <c r="F23" s="371" t="n">
        <v>13227.0</v>
      </c>
      <c r="G23" s="9">
        <f si="1" t="shared"/>
        <v>1.1789937754034745E-2</v>
      </c>
    </row>
    <row r="24" spans="1:7" x14ac:dyDescent="0.25">
      <c r="A24">
        <v>13</v>
      </c>
      <c r="B24" s="6" t="n">
        <v>7862.5209421001</v>
      </c>
      <c r="C24" s="9">
        <f si="0" t="shared"/>
        <v>7.432358573945465E-3</v>
      </c>
      <c r="E24" s="371">
        <v>13</v>
      </c>
      <c r="F24" s="371" t="n">
        <v>12789.0</v>
      </c>
      <c r="G24" s="9">
        <f si="1" t="shared"/>
        <v>1.1639177821765986E-2</v>
      </c>
    </row>
    <row r="25" spans="1:7" x14ac:dyDescent="0.25">
      <c r="A25">
        <v>14</v>
      </c>
      <c r="B25" s="6" t="n">
        <v>6573.9158034752</v>
      </c>
      <c r="C25" s="9">
        <f si="0" t="shared"/>
        <v>6.214253653015255E-3</v>
      </c>
      <c r="E25" s="371">
        <v>14</v>
      </c>
      <c r="F25" s="371" t="n">
        <v>10393.0</v>
      </c>
      <c r="G25" s="9">
        <f si="1" t="shared"/>
        <v>8.7278928020223974E-3</v>
      </c>
    </row>
    <row r="26" spans="1:7" x14ac:dyDescent="0.25">
      <c r="A26">
        <v>15</v>
      </c>
      <c r="B26" s="6" t="n">
        <v>8375.370734679</v>
      </c>
      <c r="C26" s="9">
        <f si="0" t="shared"/>
        <v>7.9171501034166515E-3</v>
      </c>
      <c r="E26" s="371">
        <v>15</v>
      </c>
      <c r="F26" s="371" t="n">
        <v>9974.0</v>
      </c>
      <c r="G26" s="9">
        <f si="1" t="shared"/>
        <v>9.0643344587803612E-3</v>
      </c>
    </row>
    <row r="27" spans="1:7" x14ac:dyDescent="0.25">
      <c r="A27">
        <v>16</v>
      </c>
      <c r="B27" s="6" t="n">
        <v>8083.615957657</v>
      </c>
      <c r="C27" s="9">
        <f si="0" t="shared"/>
        <v>7.6413573730115579E-3</v>
      </c>
      <c r="E27" s="371">
        <v>16</v>
      </c>
      <c r="F27" s="371" t="n">
        <v>13403.0</v>
      </c>
      <c r="G27" s="9">
        <f si="1" t="shared"/>
        <v>1.0942445479416585E-2</v>
      </c>
    </row>
    <row r="28" spans="1:7" x14ac:dyDescent="0.25">
      <c r="A28">
        <v>17</v>
      </c>
      <c r="B28" s="6" t="n">
        <v>15335.6177776513</v>
      </c>
      <c r="C28" s="9">
        <f si="0" t="shared"/>
        <v>1.4496598624770445E-2</v>
      </c>
      <c r="E28" s="371">
        <v>17</v>
      </c>
      <c r="F28" s="371" t="n">
        <v>5616.0</v>
      </c>
      <c r="G28" s="9">
        <f si="1" t="shared"/>
        <v>6.0321007928098589E-3</v>
      </c>
    </row>
    <row r="29" spans="1:7" x14ac:dyDescent="0.25">
      <c r="A29">
        <v>18</v>
      </c>
      <c r="B29" s="6" t="n">
        <v>14530.707275524499</v>
      </c>
      <c r="C29" s="9">
        <f si="0" t="shared"/>
        <v>1.373572517008646E-2</v>
      </c>
      <c r="E29" s="371">
        <v>18</v>
      </c>
      <c r="F29" s="371" t="n">
        <v>6964.0</v>
      </c>
      <c r="G29" s="9">
        <f si="1" t="shared"/>
        <v>4.7732127708142403E-3</v>
      </c>
    </row>
    <row r="30" spans="1:7" x14ac:dyDescent="0.25">
      <c r="A30">
        <v>19</v>
      </c>
      <c r="B30" s="6" t="n">
        <v>5507.7932496141</v>
      </c>
      <c r="C30" s="9">
        <f si="0" t="shared"/>
        <v>5.2064591857677424E-3</v>
      </c>
      <c r="E30" s="371">
        <v>19</v>
      </c>
      <c r="F30" s="371" t="n">
        <v>4441.0</v>
      </c>
      <c r="G30" s="9">
        <f si="1" t="shared"/>
        <v>3.8226586215942735E-3</v>
      </c>
    </row>
    <row r="31" spans="1:7" x14ac:dyDescent="0.25">
      <c r="A31">
        <v>20</v>
      </c>
      <c r="B31" s="6" t="n">
        <v>7605.5514679267</v>
      </c>
      <c r="C31" s="9">
        <f si="0" t="shared"/>
        <v>7.1894480254484335E-3</v>
      </c>
      <c r="E31" s="371">
        <v>20</v>
      </c>
      <c r="F31" s="371" t="n">
        <v>5063.0</v>
      </c>
      <c r="G31" s="9">
        <f si="1" t="shared"/>
        <v>4.2630139039838101E-3</v>
      </c>
    </row>
    <row r="32" spans="1:7" x14ac:dyDescent="0.25">
      <c r="A32">
        <v>21</v>
      </c>
      <c r="B32" s="6" t="n">
        <v>5584.8051845071</v>
      </c>
      <c r="C32" s="9">
        <f si="0" t="shared"/>
        <v>5.2792577600180562E-3</v>
      </c>
      <c r="E32" s="371">
        <v>21</v>
      </c>
      <c r="F32" s="371" t="n">
        <v>3993.0</v>
      </c>
      <c r="G32" s="9">
        <f si="1" t="shared"/>
        <v>3.20854612913227E-3</v>
      </c>
    </row>
    <row r="33" spans="1:7" x14ac:dyDescent="0.25">
      <c r="A33">
        <v>22</v>
      </c>
      <c r="B33" s="6" t="n">
        <v>4037.8169359228</v>
      </c>
      <c r="C33" s="9">
        <f si="0" t="shared"/>
        <v>3.8169059955104096E-3</v>
      </c>
      <c r="E33" s="371">
        <v>22</v>
      </c>
      <c r="F33" s="371" t="n">
        <v>2945.0</v>
      </c>
      <c r="G33" s="9">
        <f si="1" t="shared"/>
        <v>2.5101102847233342E-3</v>
      </c>
    </row>
    <row r="34" spans="1:7" x14ac:dyDescent="0.25">
      <c r="A34">
        <v>23</v>
      </c>
      <c r="B34" s="6" t="n">
        <v>7120.012683989</v>
      </c>
      <c r="C34" s="9">
        <f si="0" t="shared"/>
        <v>6.7304733059714355E-3</v>
      </c>
      <c r="E34" s="371">
        <v>23</v>
      </c>
      <c r="F34" s="371" t="n">
        <v>3122.0</v>
      </c>
      <c r="G34" s="9">
        <f si="1" t="shared"/>
        <v>2.6668324742004615E-3</v>
      </c>
    </row>
    <row r="35" spans="1:7" x14ac:dyDescent="0.25">
      <c r="A35">
        <v>24</v>
      </c>
      <c r="B35" s="6" t="n">
        <v>1879.5049007177</v>
      </c>
      <c r="C35" s="9">
        <f si="0" t="shared"/>
        <v>1.7766762678905524E-3</v>
      </c>
      <c r="E35" s="371">
        <v>24</v>
      </c>
      <c r="F35" s="371" t="n">
        <v>2769.0</v>
      </c>
      <c r="G35" s="9">
        <f si="1" t="shared"/>
        <v>2.3210215561150615E-3</v>
      </c>
    </row>
    <row r="36" spans="1:7" x14ac:dyDescent="0.25">
      <c r="A36">
        <v>25</v>
      </c>
      <c r="B36" s="6" t="n">
        <v>1572.4291990000002</v>
      </c>
      <c r="C36" s="9">
        <f si="0" t="shared"/>
        <v>1.4864008280769374E-3</v>
      </c>
      <c r="E36" s="371">
        <v>25</v>
      </c>
      <c r="F36" s="371" t="n">
        <v>3206.0</v>
      </c>
      <c r="G36" s="9">
        <f si="1" t="shared"/>
        <v>2.9274682893091616E-3</v>
      </c>
    </row>
    <row r="37" spans="1:7" x14ac:dyDescent="0.25">
      <c r="A37">
        <v>26</v>
      </c>
      <c r="B37" s="6" t="n">
        <v>501.90882972869997</v>
      </c>
      <c r="C37" s="9">
        <f si="0" t="shared"/>
        <v>4.7444915205232467E-4</v>
      </c>
      <c r="E37" s="371">
        <v>26</v>
      </c>
      <c r="F37" s="371" t="n">
        <v>2604.0</v>
      </c>
      <c r="G37" s="9">
        <f si="1" t="shared"/>
        <v>2.3627573565736439E-3</v>
      </c>
    </row>
    <row r="38" spans="1:7" x14ac:dyDescent="0.25">
      <c r="A38">
        <v>27</v>
      </c>
      <c r="B38" s="6" t="n">
        <v>3553.514310411</v>
      </c>
      <c r="C38" s="9">
        <f si="0" t="shared"/>
        <v>3.359099803626934E-3</v>
      </c>
      <c r="E38" s="371">
        <v>27</v>
      </c>
      <c r="F38" s="371" t="n">
        <v>3131.0</v>
      </c>
      <c r="G38" s="9">
        <f si="1" t="shared"/>
        <v>1.8670382572492531E-3</v>
      </c>
    </row>
    <row r="39" spans="1:7" x14ac:dyDescent="0.25">
      <c r="A39">
        <v>28</v>
      </c>
      <c r="B39" s="6" t="n">
        <v>1914.148334722</v>
      </c>
      <c r="C39" s="9">
        <f si="0" t="shared"/>
        <v>1.8094243426682076E-3</v>
      </c>
      <c r="E39" s="371">
        <v>28</v>
      </c>
      <c r="F39" s="371" t="n">
        <v>1787.0</v>
      </c>
      <c r="G39" s="9">
        <f si="1" t="shared"/>
        <v>1.4581977629610954E-3</v>
      </c>
    </row>
    <row r="40" spans="1:7" x14ac:dyDescent="0.25">
      <c r="A40">
        <v>29</v>
      </c>
      <c r="B40" s="6" t="n">
        <v>566.9640321649999</v>
      </c>
      <c r="C40" s="9">
        <f si="0" t="shared"/>
        <v>5.3594515252950044E-4</v>
      </c>
      <c r="E40" s="371">
        <v>29</v>
      </c>
      <c r="F40" s="371" t="n">
        <v>1538.0</v>
      </c>
      <c r="G40" s="9">
        <f si="1" t="shared"/>
        <v>1.8908872860827289E-3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1525.0</v>
      </c>
      <c r="G41" s="9">
        <f si="1" t="shared"/>
        <v>1.1609366535724141E-3</v>
      </c>
    </row>
    <row r="42" spans="1:7" x14ac:dyDescent="0.25">
      <c r="A42">
        <v>31</v>
      </c>
      <c r="B42" s="6" t="n">
        <v>248.2721366571</v>
      </c>
      <c r="C42" s="9">
        <f si="0" t="shared"/>
        <v>2.3468904657216553E-4</v>
      </c>
      <c r="E42" s="371">
        <v>31</v>
      </c>
      <c r="F42" s="371" t="n">
        <v>1111.0</v>
      </c>
      <c r="G42" s="9">
        <f si="1" t="shared"/>
        <v>1.1055728366375596E-3</v>
      </c>
    </row>
    <row r="43" spans="1:7" x14ac:dyDescent="0.25">
      <c r="A43">
        <v>32</v>
      </c>
      <c r="B43" s="6" t="n">
        <v>159.396922991</v>
      </c>
      <c r="C43" s="9">
        <f si="0" t="shared"/>
        <v>1.5067623933555445E-4</v>
      </c>
      <c r="E43" s="371">
        <v>32</v>
      </c>
      <c r="F43" s="371" t="n">
        <v>1116.0</v>
      </c>
      <c r="G43" s="9">
        <f si="1" t="shared"/>
        <v>6.9332533823033388E-4</v>
      </c>
    </row>
    <row r="44" spans="1:7" x14ac:dyDescent="0.25">
      <c r="A44">
        <v>33</v>
      </c>
      <c r="B44" s="6" t="n">
        <v>995.222815242</v>
      </c>
      <c r="C44" s="9">
        <f si="0" t="shared"/>
        <v>9.4077368802203821E-4</v>
      </c>
      <c r="E44" s="371">
        <v>33</v>
      </c>
      <c r="F44" s="371" t="n">
        <v>809.0</v>
      </c>
      <c r="G44" s="9">
        <f si="1" t="shared"/>
        <v>6.5584829292058612E-4</v>
      </c>
    </row>
    <row r="45" spans="1:7" x14ac:dyDescent="0.25">
      <c r="A45">
        <v>34</v>
      </c>
      <c r="B45" s="6" t="n">
        <v>8406.9105220392</v>
      </c>
      <c r="C45" s="9">
        <f si="0" t="shared"/>
        <v>7.9469643335768284E-3</v>
      </c>
      <c r="E45" s="371">
        <v>34</v>
      </c>
      <c r="F45" s="371" t="n">
        <v>678.0</v>
      </c>
      <c r="G45" s="9">
        <f si="1" t="shared"/>
        <v>6.1155723937270242E-4</v>
      </c>
    </row>
    <row r="46" spans="1:7" x14ac:dyDescent="0.25">
      <c r="A46">
        <v>35</v>
      </c>
      <c r="B46" s="6" t="n">
        <v>596.97480037</v>
      </c>
      <c r="C46" s="9">
        <f si="0" t="shared"/>
        <v>5.6431401692066409E-4</v>
      </c>
      <c r="E46" s="371">
        <v>35</v>
      </c>
      <c r="F46" s="371" t="n">
        <v>591.0</v>
      </c>
      <c r="G46" s="9">
        <f si="1" t="shared"/>
        <v>4.914603441755561E-4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816.0</v>
      </c>
      <c r="G47" s="9">
        <f si="1" t="shared"/>
        <v>6.7458681557546005E-4</v>
      </c>
    </row>
    <row r="48" spans="1:7" x14ac:dyDescent="0.25">
      <c r="A48">
        <v>37</v>
      </c>
      <c r="B48" s="6" t="n">
        <v>205.011586153</v>
      </c>
      <c r="C48" s="9">
        <f si="0" t="shared"/>
        <v>1.9379530195507745E-4</v>
      </c>
      <c r="E48" s="371">
        <v>37</v>
      </c>
      <c r="F48" s="371" t="n">
        <v>444.0</v>
      </c>
      <c r="G48" s="9">
        <f si="1" t="shared"/>
        <v>4.3950353135976944E-4</v>
      </c>
    </row>
    <row r="49" spans="1:7" x14ac:dyDescent="0.25">
      <c r="A49">
        <v>38</v>
      </c>
      <c r="B49" s="6" t="n">
        <v>1198.864695919</v>
      </c>
      <c r="C49" s="9">
        <f si="0" t="shared"/>
        <v>1.1332742217579535E-3</v>
      </c>
      <c r="E49" s="371">
        <v>38</v>
      </c>
      <c r="F49" s="371" t="n">
        <v>505.0</v>
      </c>
      <c r="G49" s="9">
        <f si="1" t="shared"/>
        <v>3.8413971442491477E-4</v>
      </c>
    </row>
    <row r="50" spans="1:7" x14ac:dyDescent="0.25">
      <c r="A50">
        <v>39</v>
      </c>
      <c r="B50" s="6" t="n">
        <v>1778.0579449699999</v>
      </c>
      <c r="C50" s="9">
        <f si="0" t="shared"/>
        <v>1.680779524733428E-3</v>
      </c>
      <c r="E50" s="371">
        <v>39</v>
      </c>
      <c r="F50" s="371" t="n">
        <v>420.0</v>
      </c>
      <c r="G50" s="9">
        <f si="1" t="shared"/>
        <v>3.1174087689472016E-4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374.0</v>
      </c>
      <c r="G51" s="9">
        <f si="1" t="shared"/>
        <v>2.6744982334683641E-4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203.0</v>
      </c>
      <c r="G52" s="9">
        <f si="1" t="shared"/>
        <v>2.3337978215615663E-4</v>
      </c>
    </row>
    <row r="53" spans="1:7" x14ac:dyDescent="0.25">
      <c r="A53">
        <v>42</v>
      </c>
      <c r="B53" s="6" t="n">
        <v>317.065697077</v>
      </c>
      <c r="C53" s="9">
        <f si="0" t="shared"/>
        <v>2.9971887763834642E-4</v>
      </c>
      <c r="E53" s="371">
        <v>42</v>
      </c>
      <c r="F53" s="371" t="n">
        <v>206.0</v>
      </c>
      <c r="G53" s="9">
        <f si="1" t="shared"/>
        <v>1.5587043844736008E-4</v>
      </c>
    </row>
    <row r="54" spans="1:7" x14ac:dyDescent="0.25">
      <c r="A54">
        <v>43</v>
      </c>
      <c r="B54" s="6" t="n">
        <v>794.0327051950001</v>
      </c>
      <c r="C54" s="9">
        <f si="0" t="shared"/>
        <v>7.5059078734521689E-4</v>
      </c>
      <c r="E54" s="371">
        <v>43</v>
      </c>
      <c r="F54" s="371" t="n">
        <v>168.0</v>
      </c>
      <c r="G54" s="9">
        <f si="1" t="shared"/>
        <v>1.7375721007246699E-4</v>
      </c>
    </row>
    <row r="55" spans="1:7" x14ac:dyDescent="0.25">
      <c r="A55">
        <v>44</v>
      </c>
      <c r="B55" s="6" t="n">
        <v>387.674382174</v>
      </c>
      <c r="C55" s="9">
        <f si="0" t="shared"/>
        <v>3.6646452702233793E-4</v>
      </c>
      <c r="E55" s="371">
        <v>44</v>
      </c>
      <c r="F55" s="371" t="n">
        <v>163.0</v>
      </c>
      <c r="G55" s="9">
        <f si="1" t="shared"/>
        <v>1.2861440549481623E-4</v>
      </c>
    </row>
    <row r="56" spans="1:7" x14ac:dyDescent="0.25">
      <c r="A56">
        <v>45</v>
      </c>
      <c r="B56" s="6" t="n">
        <v>343.963060963</v>
      </c>
      <c r="C56" s="9">
        <f si="0" t="shared"/>
        <v>3.2514467358430246E-4</v>
      </c>
      <c r="E56" s="371">
        <v>45</v>
      </c>
      <c r="F56" s="371" t="n">
        <v>175.0</v>
      </c>
      <c r="G56" s="9">
        <f si="1" t="shared"/>
        <v>1.2946615652458324E-4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160.0</v>
      </c>
      <c r="G57" s="9">
        <f si="1" t="shared"/>
        <v>1.1157938489947634E-4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113.0</v>
      </c>
      <c r="G58" s="9">
        <f si="1" t="shared"/>
        <v>1.0732062975064137E-4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88.0</v>
      </c>
      <c r="G59" s="9">
        <f si="1" t="shared"/>
        <v>1.0135837254227241E-4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86.0</v>
      </c>
      <c r="G60" s="9">
        <f si="1" t="shared"/>
        <v>6.7288331351592604E-5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62.0</v>
      </c>
      <c r="G61" s="9">
        <f si="1" t="shared"/>
        <v>7.5805841649262556E-5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61.0</v>
      </c>
      <c r="G62" s="9">
        <f si="1" t="shared"/>
        <v>4.2587551488349749E-5</v>
      </c>
    </row>
    <row r="63" spans="1:7" x14ac:dyDescent="0.25">
      <c r="A63">
        <v>52</v>
      </c>
      <c r="B63" s="6" t="n">
        <v>554.661229397</v>
      </c>
      <c r="C63" s="9">
        <f si="0" t="shared"/>
        <v>5.2431544212113866E-4</v>
      </c>
      <c r="E63" s="371">
        <v>52</v>
      </c>
      <c r="F63" s="371" t="n">
        <v>63.0</v>
      </c>
      <c r="G63" s="9">
        <f si="1" t="shared"/>
        <v>4.5142804577650736E-5</v>
      </c>
    </row>
    <row r="64" spans="1:7" x14ac:dyDescent="0.25">
      <c r="A64">
        <v>53</v>
      </c>
      <c r="B64" s="6" t="n">
        <v>4.59375</v>
      </c>
      <c r="C64" s="9">
        <f si="0" t="shared"/>
        <v>4.3424236896140404E-6</v>
      </c>
      <c r="E64" s="371">
        <v>53</v>
      </c>
      <c r="F64" s="371" t="n">
        <v>61.0</v>
      </c>
      <c r="G64" s="9">
        <f si="1" t="shared"/>
        <v>3.2366539131145809E-5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38.0</v>
      </c>
      <c r="G65" s="9">
        <f si="1" t="shared"/>
        <v>4.4291053547883738E-5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37.0</v>
      </c>
      <c r="G66" s="9">
        <f si="1" t="shared"/>
        <v>3.2366539131145809E-5</v>
      </c>
    </row>
    <row r="67" spans="1:7" x14ac:dyDescent="0.25">
      <c r="A67">
        <v>56</v>
      </c>
      <c r="B67" s="6" t="n">
        <v>248.013120292</v>
      </c>
      <c r="C67" s="9">
        <f si="0" t="shared"/>
        <v>2.3444420111914612E-4</v>
      </c>
      <c r="E67" s="371">
        <v>56</v>
      </c>
      <c r="F67" s="371" t="n">
        <v>32.0</v>
      </c>
      <c r="G67" s="9">
        <f si="1" t="shared"/>
        <v>2.2997277803708863E-5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43.0</v>
      </c>
      <c r="G68" s="9">
        <f si="1" t="shared"/>
        <v>2.1293775744174874E-5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16.0</v>
      </c>
      <c r="G69" s="9">
        <f si="1" t="shared"/>
        <v>1.8738522654873891E-5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18.0</v>
      </c>
      <c r="G70" s="9">
        <f si="1" t="shared"/>
        <v>2.044202471440788E-5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16.0</v>
      </c>
      <c r="G71" s="9">
        <f si="1" t="shared"/>
        <v>1.4479767506038916E-5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15.0</v>
      </c>
      <c r="G72" s="9">
        <f si="1" t="shared"/>
        <v>1.7035020595339899E-5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16.0</v>
      </c>
      <c r="G73" s="9">
        <f si="1" t="shared"/>
        <v>6.8140082381359597E-6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8.0</v>
      </c>
      <c r="G74" s="9">
        <f si="1" t="shared"/>
        <v>1.2776265446504925E-5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5.0</v>
      </c>
      <c r="G75" s="9">
        <f si="1" t="shared"/>
        <v>5.9622572083689653E-6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10.0</v>
      </c>
      <c r="G76" s="9">
        <f si="1" t="shared"/>
        <v>9.3692613274369456E-6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6.0</v>
      </c>
      <c r="G77" s="9">
        <f ref="G77:G102" si="3" t="shared">F77/F$102</f>
        <v>5.9622572083689653E-6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4.0</v>
      </c>
      <c r="G78" s="9">
        <f si="3" t="shared"/>
        <v>2.555253089300985E-6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4.0</v>
      </c>
      <c r="G79" s="9">
        <f si="3" t="shared"/>
        <v>2.555253089300985E-6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1.7035020595339899E-6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4.0</v>
      </c>
      <c r="G81" s="9">
        <f si="3" t="shared"/>
        <v>1.7035020595339899E-6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1.7035020595339899E-6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2.0</v>
      </c>
      <c r="G83" s="9">
        <f si="3" t="shared"/>
        <v>4.2587551488349747E-6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7.0</v>
      </c>
      <c r="G84" s="9">
        <f si="3" t="shared"/>
        <v>2.555253089300985E-6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2.0</v>
      </c>
      <c r="G85" s="9">
        <f si="3" t="shared"/>
        <v>8.5175102976699497E-7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2.0</v>
      </c>
      <c r="G86" s="9">
        <f si="3" t="shared"/>
        <v>1.7035020595339899E-6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3.0</v>
      </c>
      <c r="G87" s="9">
        <f si="3" t="shared"/>
        <v>8.5175102976699497E-7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8.5175102976699497E-7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8.5175102976699497E-7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81.0922660552</v>
      </c>
      <c r="C101" s="9">
        <f si="2" t="shared"/>
        <v>7.6655668497977681E-5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1057876.9664938655</v>
      </c>
      <c r="C102" s="9">
        <f si="2" t="shared"/>
        <v>1</v>
      </c>
      <c r="F102" s="6">
        <f>SUM(F11:F101)</f>
        <v>1174052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02"/>
  <sheetViews>
    <sheetView workbookViewId="0">
      <selection activeCell="D5" sqref="D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6138.0</v>
      </c>
      <c r="G11" s="9">
        <f>F11/F$102</f>
        <v>5.1377622115545141E-3</v>
      </c>
      <c r="K11" s="6" t="n">
        <v>27.870650947995546</v>
      </c>
      <c r="L11" s="6" t="n">
        <v>19.52600098986122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27299.0</v>
      </c>
      <c r="G12" s="9">
        <f>F12/F$102</f>
        <v>2.3390786779461218E-2</v>
      </c>
      <c r="K12" s="6"/>
      <c r="L12" s="371"/>
    </row>
    <row r="13" spans="1:12" x14ac:dyDescent="0.25">
      <c r="A13">
        <v>2</v>
      </c>
      <c r="B13" s="6" t="n">
        <v>0.0</v>
      </c>
      <c r="C13" s="9">
        <f ref="C13:C76" si="0" t="shared">B13/B$102</f>
        <v>0</v>
      </c>
      <c r="E13" s="371">
        <v>2</v>
      </c>
      <c r="F13" s="371" t="n">
        <v>35131.0</v>
      </c>
      <c r="G13" s="9">
        <f ref="G13:G76" si="1" t="shared">F13/F$102</f>
        <v>2.9560019488063562E-2</v>
      </c>
    </row>
    <row r="14" spans="1:12" x14ac:dyDescent="0.25">
      <c r="A14">
        <v>3</v>
      </c>
      <c r="B14" s="6" t="n">
        <v>0.0</v>
      </c>
      <c r="C14" s="9">
        <f si="0" t="shared"/>
        <v>0</v>
      </c>
      <c r="E14" s="371">
        <v>3</v>
      </c>
      <c r="F14" s="371" t="n">
        <v>39121.0</v>
      </c>
      <c r="G14" s="9">
        <f si="1" t="shared"/>
        <v>3.3202106891347234E-2</v>
      </c>
    </row>
    <row r="15" spans="1:12" x14ac:dyDescent="0.25">
      <c r="A15">
        <v>4</v>
      </c>
      <c r="B15" s="6" t="n">
        <v>3620.656085424</v>
      </c>
      <c r="C15" s="9">
        <f si="0" t="shared"/>
        <v>3.4225682192741019E-3</v>
      </c>
      <c r="E15" s="371">
        <v>4</v>
      </c>
      <c r="F15" s="371" t="n">
        <v>39945.0</v>
      </c>
      <c r="G15" s="9">
        <f si="1" t="shared"/>
        <v>3.3473815469842905E-2</v>
      </c>
    </row>
    <row r="16" spans="1:12" x14ac:dyDescent="0.25">
      <c r="A16">
        <v>5</v>
      </c>
      <c r="B16" s="6" t="n">
        <v>7542.3713051774</v>
      </c>
      <c r="C16" s="9">
        <f si="0" t="shared"/>
        <v>7.129724480319454E-3</v>
      </c>
      <c r="E16" s="371">
        <v>5</v>
      </c>
      <c r="F16" s="371" t="n">
        <v>39745.0</v>
      </c>
      <c r="G16" s="9">
        <f si="1" t="shared"/>
        <v>3.3357977329794591E-2</v>
      </c>
    </row>
    <row r="17" spans="1:7" x14ac:dyDescent="0.25">
      <c r="A17">
        <v>6</v>
      </c>
      <c r="B17" s="6" t="n">
        <v>6222.6398090858</v>
      </c>
      <c r="C17" s="9">
        <f si="0" t="shared"/>
        <v>5.8821961401707866E-3</v>
      </c>
      <c r="E17" s="371">
        <v>6</v>
      </c>
      <c r="F17" s="371" t="n">
        <v>37559.0</v>
      </c>
      <c r="G17" s="9">
        <f si="1" t="shared"/>
        <v>3.1737946871177765E-2</v>
      </c>
    </row>
    <row r="18" spans="1:7" x14ac:dyDescent="0.25">
      <c r="A18">
        <v>7</v>
      </c>
      <c r="B18" s="6" t="n">
        <v>7881.9899745837</v>
      </c>
      <c r="C18" s="9">
        <f si="0" t="shared"/>
        <v>7.4507624461349889E-3</v>
      </c>
      <c r="E18" s="371">
        <v>7</v>
      </c>
      <c r="F18" s="371" t="n">
        <v>35122.0</v>
      </c>
      <c r="G18" s="9">
        <f si="1" t="shared"/>
        <v>2.9918606671595467E-2</v>
      </c>
    </row>
    <row r="19" spans="1:7" x14ac:dyDescent="0.25">
      <c r="A19">
        <v>8</v>
      </c>
      <c r="B19" s="6" t="n">
        <v>2675.7242799043</v>
      </c>
      <c r="C19" s="9">
        <f si="0" t="shared"/>
        <v>2.5293340952232696E-3</v>
      </c>
      <c r="E19" s="371">
        <v>8</v>
      </c>
      <c r="F19" s="371" t="n">
        <v>32279.0</v>
      </c>
      <c r="G19" s="9">
        <f si="1" t="shared"/>
        <v>2.7210890147966189E-2</v>
      </c>
    </row>
    <row r="20" spans="1:7" x14ac:dyDescent="0.25">
      <c r="A20">
        <v>9</v>
      </c>
      <c r="B20" s="6" t="n">
        <v>18229.0749238751</v>
      </c>
      <c r="C20" s="9">
        <f si="0" t="shared"/>
        <v>1.7231753314652397E-2</v>
      </c>
      <c r="E20" s="371">
        <v>9</v>
      </c>
      <c r="F20" s="371" t="n">
        <v>29329.0</v>
      </c>
      <c r="G20" s="9">
        <f si="1" t="shared"/>
        <v>2.5113879112679847E-2</v>
      </c>
    </row>
    <row r="21" spans="1:7" x14ac:dyDescent="0.25">
      <c r="A21">
        <v>10</v>
      </c>
      <c r="B21" s="6" t="n">
        <v>4413.4429977131</v>
      </c>
      <c r="C21" s="9">
        <f si="0" t="shared"/>
        <v>4.1719813716529107E-3</v>
      </c>
      <c r="E21" s="371">
        <v>10</v>
      </c>
      <c r="F21" s="371" t="n">
        <v>26816.0</v>
      </c>
      <c r="G21" s="9">
        <f si="1" t="shared"/>
        <v>2.2295434955180861E-2</v>
      </c>
    </row>
    <row r="22" spans="1:7" x14ac:dyDescent="0.25">
      <c r="A22">
        <v>11</v>
      </c>
      <c r="B22" s="6" t="n">
        <v>12626.0867669773</v>
      </c>
      <c r="C22" s="9">
        <f si="0" t="shared"/>
        <v>1.1935307381560716E-2</v>
      </c>
      <c r="E22" s="371">
        <v>11</v>
      </c>
      <c r="F22" s="371" t="n">
        <v>23986.0</v>
      </c>
      <c r="G22" s="9">
        <f si="1" t="shared"/>
        <v>2.0217162442549393E-2</v>
      </c>
    </row>
    <row r="23" spans="1:7" x14ac:dyDescent="0.25">
      <c r="A23">
        <v>12</v>
      </c>
      <c r="B23" s="6" t="n">
        <v>23387.3166716432</v>
      </c>
      <c r="C23" s="9">
        <f si="0" t="shared"/>
        <v>2.2107785132288164E-2</v>
      </c>
      <c r="E23" s="371">
        <v>12</v>
      </c>
      <c r="F23" s="371" t="n">
        <v>21427.0</v>
      </c>
      <c r="G23" s="9">
        <f si="1" t="shared"/>
        <v>1.8088636619161672E-2</v>
      </c>
    </row>
    <row r="24" spans="1:7" x14ac:dyDescent="0.25">
      <c r="A24">
        <v>13</v>
      </c>
      <c r="B24" s="6" t="n">
        <v>12949.9770066397</v>
      </c>
      <c r="C24" s="9">
        <f si="0" t="shared"/>
        <v>1.2241477427720122E-2</v>
      </c>
      <c r="E24" s="371">
        <v>13</v>
      </c>
      <c r="F24" s="371" t="n">
        <v>18817.0</v>
      </c>
      <c r="G24" s="9">
        <f si="1" t="shared"/>
        <v>1.630677346488912E-2</v>
      </c>
    </row>
    <row r="25" spans="1:7" x14ac:dyDescent="0.25">
      <c r="A25">
        <v>14</v>
      </c>
      <c r="B25" s="6" t="n">
        <v>15178.1371244086</v>
      </c>
      <c r="C25" s="9">
        <f si="0" t="shared"/>
        <v>1.4347733815127552E-2</v>
      </c>
      <c r="E25" s="371">
        <v>14</v>
      </c>
      <c r="F25" s="371" t="n">
        <v>17098.0</v>
      </c>
      <c r="G25" s="9">
        <f si="1" t="shared"/>
        <v>1.484687219986849E-2</v>
      </c>
    </row>
    <row r="26" spans="1:7" x14ac:dyDescent="0.25">
      <c r="A26">
        <v>15</v>
      </c>
      <c r="B26" s="6" t="n">
        <v>9120.4719065157</v>
      </c>
      <c r="C26" s="9">
        <f si="0" t="shared"/>
        <v>8.6214864255375421E-3</v>
      </c>
      <c r="E26" s="371">
        <v>15</v>
      </c>
      <c r="F26" s="371" t="n">
        <v>16591.0</v>
      </c>
      <c r="G26" s="9">
        <f si="1" t="shared"/>
        <v>1.393720210007734E-2</v>
      </c>
    </row>
    <row r="27" spans="1:7" x14ac:dyDescent="0.25">
      <c r="A27">
        <v>16</v>
      </c>
      <c r="B27" s="6" t="n">
        <v>51255.4482004861</v>
      </c>
      <c r="C27" s="9">
        <f si="0" t="shared"/>
        <v>4.8451237548315873E-2</v>
      </c>
      <c r="E27" s="371">
        <v>16</v>
      </c>
      <c r="F27" s="371" t="n">
        <v>13928.0</v>
      </c>
      <c r="G27" s="9">
        <f si="1" t="shared"/>
        <v>1.1787382500945444E-2</v>
      </c>
    </row>
    <row r="28" spans="1:7" x14ac:dyDescent="0.25">
      <c r="A28">
        <v>17</v>
      </c>
      <c r="B28" s="6" t="n">
        <v>17417.583552539</v>
      </c>
      <c r="C28" s="9">
        <f si="0" t="shared"/>
        <v>1.6464659033333807E-2</v>
      </c>
      <c r="E28" s="371">
        <v>17</v>
      </c>
      <c r="F28" s="371" t="n">
        <v>12634.0</v>
      </c>
      <c r="G28" s="9">
        <f si="1" t="shared"/>
        <v>1.1019103072095615E-2</v>
      </c>
    </row>
    <row r="29" spans="1:7" x14ac:dyDescent="0.25">
      <c r="A29">
        <v>18</v>
      </c>
      <c r="B29" s="6" t="n">
        <v>101429.3662688418</v>
      </c>
      <c r="C29" s="9">
        <f si="0" t="shared"/>
        <v>9.5880116007261526E-2</v>
      </c>
      <c r="E29" s="371">
        <v>18</v>
      </c>
      <c r="F29" s="371" t="n">
        <v>152217.0</v>
      </c>
      <c r="G29" s="9">
        <f si="1" t="shared"/>
        <v>0.12893977438818724</v>
      </c>
    </row>
    <row r="30" spans="1:7" x14ac:dyDescent="0.25">
      <c r="A30">
        <v>19</v>
      </c>
      <c r="B30" s="6" t="n">
        <v>37545.1815227686</v>
      </c>
      <c r="C30" s="9">
        <f si="0" t="shared"/>
        <v>3.5491066269459512E-2</v>
      </c>
      <c r="E30" s="371">
        <v>19</v>
      </c>
      <c r="F30" s="371" t="n">
        <v>47692.0</v>
      </c>
      <c r="G30" s="9">
        <f si="1" t="shared"/>
        <v>3.9868762201333501E-2</v>
      </c>
    </row>
    <row r="31" spans="1:7" x14ac:dyDescent="0.25">
      <c r="A31">
        <v>20</v>
      </c>
      <c r="B31" s="6" t="n">
        <v>67631.6781277034</v>
      </c>
      <c r="C31" s="9">
        <f si="0" t="shared"/>
        <v>6.3931515922740864E-2</v>
      </c>
      <c r="E31" s="371">
        <v>20</v>
      </c>
      <c r="F31" s="371" t="n">
        <v>47285.0</v>
      </c>
      <c r="G31" s="9">
        <f si="1" t="shared"/>
        <v>3.9907090997673013E-2</v>
      </c>
    </row>
    <row r="32" spans="1:7" x14ac:dyDescent="0.25">
      <c r="A32">
        <v>21</v>
      </c>
      <c r="B32" s="6" t="n">
        <v>70153.9611869897</v>
      </c>
      <c r="C32" s="9">
        <f si="0" t="shared"/>
        <v>6.631580364161041E-2</v>
      </c>
      <c r="E32" s="371">
        <v>21</v>
      </c>
      <c r="F32" s="371" t="n">
        <v>53183.0</v>
      </c>
      <c r="G32" s="9">
        <f si="1" t="shared"/>
        <v>4.533104155522924E-2</v>
      </c>
    </row>
    <row r="33" spans="1:7" x14ac:dyDescent="0.25">
      <c r="A33">
        <v>22</v>
      </c>
      <c r="B33" s="6" t="n">
        <v>46369.8836390479</v>
      </c>
      <c r="C33" s="9">
        <f si="0" t="shared"/>
        <v>4.3832964614715204E-2</v>
      </c>
      <c r="E33" s="371">
        <v>22</v>
      </c>
      <c r="F33" s="371" t="n">
        <v>50114.0</v>
      </c>
      <c r="G33" s="9">
        <f si="1" t="shared"/>
        <v>4.2664209081028776E-2</v>
      </c>
    </row>
    <row r="34" spans="1:7" x14ac:dyDescent="0.25">
      <c r="A34">
        <v>23</v>
      </c>
      <c r="B34" s="6" t="n">
        <v>29488.5335246482</v>
      </c>
      <c r="C34" s="9">
        <f si="0" t="shared"/>
        <v>2.7875201425721922E-2</v>
      </c>
      <c r="E34" s="371">
        <v>23</v>
      </c>
      <c r="F34" s="371" t="n">
        <v>42431.0</v>
      </c>
      <c r="G34" s="9">
        <f si="1" t="shared"/>
        <v>3.6308442896907461E-2</v>
      </c>
    </row>
    <row r="35" spans="1:7" x14ac:dyDescent="0.25">
      <c r="A35">
        <v>24</v>
      </c>
      <c r="B35" s="6" t="n">
        <v>45932.6956219355</v>
      </c>
      <c r="C35" s="9">
        <f si="0" t="shared"/>
        <v>4.3419695367950734E-2</v>
      </c>
      <c r="E35" s="371">
        <v>24</v>
      </c>
      <c r="F35" s="371" t="n">
        <v>27016.0</v>
      </c>
      <c r="G35" s="9">
        <f si="1" t="shared"/>
        <v>2.2176189811013481E-2</v>
      </c>
    </row>
    <row r="36" spans="1:7" x14ac:dyDescent="0.25">
      <c r="A36">
        <v>25</v>
      </c>
      <c r="B36" s="6" t="n">
        <v>48437.8541634628</v>
      </c>
      <c r="C36" s="9">
        <f si="0" t="shared"/>
        <v>4.5787795459807518E-2</v>
      </c>
      <c r="E36" s="371">
        <v>25</v>
      </c>
      <c r="F36" s="371" t="n">
        <v>25562.0</v>
      </c>
      <c r="G36" s="9">
        <f si="1" t="shared"/>
        <v>2.2538183998664453E-2</v>
      </c>
    </row>
    <row r="37" spans="1:7" x14ac:dyDescent="0.25">
      <c r="A37">
        <v>26</v>
      </c>
      <c r="B37" s="6" t="n">
        <v>59061.4590367405</v>
      </c>
      <c r="C37" s="9">
        <f si="0" t="shared"/>
        <v>5.5830177711958869E-2</v>
      </c>
      <c r="E37" s="371">
        <v>26</v>
      </c>
      <c r="F37" s="371" t="n">
        <v>22868.0</v>
      </c>
      <c r="G37" s="9">
        <f si="1" t="shared"/>
        <v>1.8762371683707365E-2</v>
      </c>
    </row>
    <row r="38" spans="1:7" x14ac:dyDescent="0.25">
      <c r="A38">
        <v>27</v>
      </c>
      <c r="B38" s="6" t="n">
        <v>15320.281746426599</v>
      </c>
      <c r="C38" s="9">
        <f si="0" t="shared"/>
        <v>1.4482101635318505E-2</v>
      </c>
      <c r="E38" s="371">
        <v>27</v>
      </c>
      <c r="F38" s="371" t="n">
        <v>15650.0</v>
      </c>
      <c r="G38" s="9">
        <f si="1" t="shared"/>
        <v>1.5719917005379658E-2</v>
      </c>
    </row>
    <row r="39" spans="1:7" x14ac:dyDescent="0.25">
      <c r="A39">
        <v>28</v>
      </c>
      <c r="B39" s="6" t="n">
        <v>36574.7358172345</v>
      </c>
      <c r="C39" s="9">
        <f si="0" t="shared"/>
        <v>3.4573714123348927E-2</v>
      </c>
      <c r="E39" s="371">
        <v>28</v>
      </c>
      <c r="F39" s="371" t="n">
        <v>21944.0</v>
      </c>
      <c r="G39" s="9">
        <f si="1" t="shared"/>
        <v>1.984665074460075E-2</v>
      </c>
    </row>
    <row r="40" spans="1:7" x14ac:dyDescent="0.25">
      <c r="A40">
        <v>29</v>
      </c>
      <c r="B40" s="6" t="n">
        <v>33985.9146658792</v>
      </c>
      <c r="C40" s="9">
        <f si="0" t="shared"/>
        <v>3.2126528643986935E-2</v>
      </c>
      <c r="E40" s="371">
        <v>29</v>
      </c>
      <c r="F40" s="371" t="n">
        <v>15277.0</v>
      </c>
      <c r="G40" s="9">
        <f si="1" t="shared"/>
        <v>1.6346805763288168E-2</v>
      </c>
    </row>
    <row r="41" spans="1:7" x14ac:dyDescent="0.25">
      <c r="A41">
        <v>30</v>
      </c>
      <c r="B41" s="6" t="n">
        <v>12283.6655400336</v>
      </c>
      <c r="C41" s="9">
        <f si="0" t="shared"/>
        <v>1.1611620187502045E-2</v>
      </c>
      <c r="E41" s="371">
        <v>30</v>
      </c>
      <c r="F41" s="371" t="n">
        <v>18070.0</v>
      </c>
      <c r="G41" s="9">
        <f si="1" t="shared"/>
        <v>1.1811231529778919E-2</v>
      </c>
    </row>
    <row r="42" spans="1:7" x14ac:dyDescent="0.25">
      <c r="A42">
        <v>31</v>
      </c>
      <c r="B42" s="6" t="n">
        <v>13162.7490806478</v>
      </c>
      <c r="C42" s="9">
        <f si="0" t="shared"/>
        <v>1.2442608637442265E-2</v>
      </c>
      <c r="E42" s="371">
        <v>31</v>
      </c>
      <c r="F42" s="371" t="n">
        <v>12025.0</v>
      </c>
      <c r="G42" s="9">
        <f si="1" t="shared"/>
        <v>8.9254990409283405E-3</v>
      </c>
    </row>
    <row r="43" spans="1:7" x14ac:dyDescent="0.25">
      <c r="A43">
        <v>32</v>
      </c>
      <c r="B43" s="6" t="n">
        <v>11171.254456136001</v>
      </c>
      <c r="C43" s="9">
        <f si="0" t="shared"/>
        <v>1.056006965834696E-2</v>
      </c>
      <c r="E43" s="371">
        <v>32</v>
      </c>
      <c r="F43" s="371" t="n">
        <v>13435.0</v>
      </c>
      <c r="G43" s="9">
        <f si="1" t="shared"/>
        <v>1.1232040829537363E-2</v>
      </c>
    </row>
    <row r="44" spans="1:7" x14ac:dyDescent="0.25">
      <c r="A44">
        <v>33</v>
      </c>
      <c r="B44" s="6" t="n">
        <v>8758.0753049534</v>
      </c>
      <c r="C44" s="9">
        <f si="0" t="shared"/>
        <v>8.2789167193803165E-3</v>
      </c>
      <c r="E44" s="371">
        <v>33</v>
      </c>
      <c r="F44" s="371" t="n">
        <v>13564.0</v>
      </c>
      <c r="G44" s="9">
        <f si="1" t="shared"/>
        <v>1.2644244036891041E-2</v>
      </c>
    </row>
    <row r="45" spans="1:7" x14ac:dyDescent="0.25">
      <c r="A45">
        <v>34</v>
      </c>
      <c r="B45" s="6" t="n">
        <v>23050.9459723271</v>
      </c>
      <c r="C45" s="9">
        <f si="0" t="shared"/>
        <v>2.1789817438529847E-2</v>
      </c>
      <c r="E45" s="371">
        <v>34</v>
      </c>
      <c r="F45" s="371" t="n">
        <v>16370.0</v>
      </c>
      <c r="G45" s="9">
        <f si="1" t="shared"/>
        <v>1.369871181174258E-2</v>
      </c>
    </row>
    <row r="46" spans="1:7" x14ac:dyDescent="0.25">
      <c r="A46">
        <v>35</v>
      </c>
      <c r="B46" s="6" t="n">
        <v>5432.8250615608995</v>
      </c>
      <c r="C46" s="9">
        <f si="0" t="shared"/>
        <v>5.1355925439675407E-3</v>
      </c>
      <c r="E46" s="371">
        <v>35</v>
      </c>
      <c r="F46" s="371" t="n">
        <v>8995.0</v>
      </c>
      <c r="G46" s="9">
        <f si="1" t="shared"/>
        <v>7.513295833574663E-3</v>
      </c>
    </row>
    <row r="47" spans="1:7" x14ac:dyDescent="0.25">
      <c r="A47">
        <v>36</v>
      </c>
      <c r="B47" s="6" t="n">
        <v>5624.4591422459</v>
      </c>
      <c r="C47" s="9">
        <f si="0" t="shared"/>
        <v>5.3167422303248644E-3</v>
      </c>
      <c r="E47" s="371">
        <v>36</v>
      </c>
      <c r="F47" s="371" t="n">
        <v>5833.0</v>
      </c>
      <c r="G47" s="9">
        <f si="1" t="shared"/>
        <v>4.6820754106291712E-3</v>
      </c>
    </row>
    <row r="48" spans="1:7" x14ac:dyDescent="0.25">
      <c r="A48">
        <v>37</v>
      </c>
      <c r="B48" s="6" t="n">
        <v>12997.6701667856</v>
      </c>
      <c r="C48" s="9">
        <f si="0" t="shared"/>
        <v>1.2286561271736473E-2</v>
      </c>
      <c r="E48" s="371">
        <v>37</v>
      </c>
      <c r="F48" s="371" t="n">
        <v>7385.0</v>
      </c>
      <c r="G48" s="9">
        <f si="1" t="shared"/>
        <v>6.1334591653521313E-3</v>
      </c>
    </row>
    <row r="49" spans="1:7" x14ac:dyDescent="0.25">
      <c r="A49">
        <v>38</v>
      </c>
      <c r="B49" s="6" t="n">
        <v>9411.4750738144</v>
      </c>
      <c r="C49" s="9">
        <f si="0" t="shared"/>
        <v>8.8965686671550852E-3</v>
      </c>
      <c r="E49" s="371">
        <v>38</v>
      </c>
      <c r="F49" s="371" t="n">
        <v>5093.0</v>
      </c>
      <c r="G49" s="9">
        <f si="1" t="shared"/>
        <v>5.5678964815868461E-3</v>
      </c>
    </row>
    <row r="50" spans="1:7" x14ac:dyDescent="0.25">
      <c r="A50">
        <v>39</v>
      </c>
      <c r="B50" s="6" t="n">
        <v>7727.5744554382</v>
      </c>
      <c r="C50" s="9">
        <f si="0" t="shared"/>
        <v>7.3047950756029685E-3</v>
      </c>
      <c r="E50" s="371">
        <v>39</v>
      </c>
      <c r="F50" s="371" t="n">
        <v>8312.0</v>
      </c>
      <c r="G50" s="9">
        <f si="1" t="shared"/>
        <v>6.4060194948775693E-3</v>
      </c>
    </row>
    <row r="51" spans="1:7" x14ac:dyDescent="0.25">
      <c r="A51">
        <v>40</v>
      </c>
      <c r="B51" s="6" t="n">
        <v>3135.403119001</v>
      </c>
      <c r="C51" s="9">
        <f si="0" t="shared"/>
        <v>2.9638636800957134E-3</v>
      </c>
      <c r="E51" s="371">
        <v>40</v>
      </c>
      <c r="F51" s="371" t="n">
        <v>3987.0</v>
      </c>
      <c r="G51" s="9">
        <f si="1" t="shared"/>
        <v>5.0823983946196591E-3</v>
      </c>
    </row>
    <row r="52" spans="1:7" x14ac:dyDescent="0.25">
      <c r="A52">
        <v>41</v>
      </c>
      <c r="B52" s="6" t="n">
        <v>5144.8998927865</v>
      </c>
      <c r="C52" s="9">
        <f si="0" t="shared"/>
        <v>4.8634199020688587E-3</v>
      </c>
      <c r="E52" s="371">
        <v>41</v>
      </c>
      <c r="F52" s="371" t="n">
        <v>6864.0</v>
      </c>
      <c r="G52" s="9">
        <f si="1" t="shared"/>
        <v>4.1071434655364503E-3</v>
      </c>
    </row>
    <row r="53" spans="1:7" x14ac:dyDescent="0.25">
      <c r="A53">
        <v>42</v>
      </c>
      <c r="B53" s="6" t="n">
        <v>4072.705030728</v>
      </c>
      <c r="C53" s="9">
        <f si="0" t="shared"/>
        <v>3.849885345576824E-3</v>
      </c>
      <c r="E53" s="371">
        <v>42</v>
      </c>
      <c r="F53" s="371" t="n">
        <v>4945.0</v>
      </c>
      <c r="G53" s="9">
        <f si="1" t="shared"/>
        <v>3.7553702902426811E-3</v>
      </c>
    </row>
    <row r="54" spans="1:7" x14ac:dyDescent="0.25">
      <c r="A54">
        <v>43</v>
      </c>
      <c r="B54" s="6" t="n">
        <v>1761.3130128939</v>
      </c>
      <c r="C54" s="9">
        <f si="0" t="shared"/>
        <v>1.6649507160851039E-3</v>
      </c>
      <c r="E54" s="371">
        <v>43</v>
      </c>
      <c r="F54" s="371" t="n">
        <v>4036.0</v>
      </c>
      <c r="G54" s="9">
        <f si="1" t="shared"/>
        <v>3.1540340632271826E-3</v>
      </c>
    </row>
    <row r="55" spans="1:7" x14ac:dyDescent="0.25">
      <c r="A55">
        <v>44</v>
      </c>
      <c r="B55" s="6" t="n">
        <v>4141.045858618</v>
      </c>
      <c r="C55" s="9">
        <f si="0" t="shared"/>
        <v>3.9144872133313538E-3</v>
      </c>
      <c r="E55" s="371">
        <v>44</v>
      </c>
      <c r="F55" s="371" t="n">
        <v>4510.0</v>
      </c>
      <c r="G55" s="9">
        <f si="1" t="shared"/>
        <v>3.3192737630019795E-3</v>
      </c>
    </row>
    <row r="56" spans="1:7" x14ac:dyDescent="0.25">
      <c r="A56">
        <v>45</v>
      </c>
      <c r="B56" s="6" t="n">
        <v>60659.8314405733</v>
      </c>
      <c r="C56" s="9">
        <f si="0" t="shared"/>
        <v>5.7341102379437264E-2</v>
      </c>
      <c r="E56" s="371">
        <v>45</v>
      </c>
      <c r="F56" s="371" t="n">
        <v>4028.0</v>
      </c>
      <c r="G56" s="9">
        <f si="1" t="shared"/>
        <v>3.5356185245627963E-3</v>
      </c>
    </row>
    <row r="57" spans="1:7" x14ac:dyDescent="0.25">
      <c r="A57">
        <v>46</v>
      </c>
      <c r="B57" s="6" t="n">
        <v>4799.9777341679</v>
      </c>
      <c r="C57" s="9">
        <f si="0" t="shared"/>
        <v>4.5373686035310151E-3</v>
      </c>
      <c r="E57" s="371">
        <v>46</v>
      </c>
      <c r="F57" s="371" t="n">
        <v>3319.0</v>
      </c>
      <c r="G57" s="9">
        <f si="1" t="shared"/>
        <v>2.376385373049916E-3</v>
      </c>
    </row>
    <row r="58" spans="1:7" x14ac:dyDescent="0.25">
      <c r="A58">
        <v>47</v>
      </c>
      <c r="B58" s="6" t="n">
        <v>565.4195504258</v>
      </c>
      <c r="C58" s="9">
        <f si="0" t="shared"/>
        <v>5.3448517014202191E-4</v>
      </c>
      <c r="E58" s="371">
        <v>47</v>
      </c>
      <c r="F58" s="371" t="n">
        <v>4185.0</v>
      </c>
      <c r="G58" s="9">
        <f si="1" t="shared"/>
        <v>3.8482111524872835E-3</v>
      </c>
    </row>
    <row r="59" spans="1:7" x14ac:dyDescent="0.25">
      <c r="A59">
        <v>48</v>
      </c>
      <c r="B59" s="6" t="n">
        <v>7566.1829402107005</v>
      </c>
      <c r="C59" s="9">
        <f si="0" t="shared"/>
        <v>7.152233369148199E-3</v>
      </c>
      <c r="E59" s="371">
        <v>48</v>
      </c>
      <c r="F59" s="371" t="n">
        <v>3487.0</v>
      </c>
      <c r="G59" s="9">
        <f si="1" t="shared"/>
        <v>3.3567508083117274E-3</v>
      </c>
    </row>
    <row r="60" spans="1:7" x14ac:dyDescent="0.25">
      <c r="A60">
        <v>49</v>
      </c>
      <c r="B60" s="6" t="n">
        <v>2735.2235946668</v>
      </c>
      <c r="C60" s="9">
        <f si="0" t="shared"/>
        <v>2.5855781733599733E-3</v>
      </c>
      <c r="E60" s="371">
        <v>49</v>
      </c>
      <c r="F60" s="371" t="n">
        <v>3013.0</v>
      </c>
      <c r="G60" s="9">
        <f si="1" t="shared"/>
        <v>2.0586822389468268E-3</v>
      </c>
    </row>
    <row r="61" spans="1:7" x14ac:dyDescent="0.25">
      <c r="A61">
        <v>50</v>
      </c>
      <c r="B61" s="6" t="n">
        <v>324.775829405</v>
      </c>
      <c r="C61" s="9">
        <f si="0" t="shared"/>
        <v>3.0700718485383827E-4</v>
      </c>
      <c r="E61" s="371">
        <v>50</v>
      </c>
      <c r="F61" s="371" t="n">
        <v>2905.0</v>
      </c>
      <c r="G61" s="9">
        <f si="1" t="shared"/>
        <v>2.1472643460425942E-3</v>
      </c>
    </row>
    <row r="62" spans="1:7" x14ac:dyDescent="0.25">
      <c r="A62">
        <v>51</v>
      </c>
      <c r="B62" s="6" t="n">
        <v>3048.658339682</v>
      </c>
      <c r="C62" s="9">
        <f si="0" t="shared"/>
        <v>2.881864750100575E-3</v>
      </c>
      <c r="E62" s="371">
        <v>51</v>
      </c>
      <c r="F62" s="371" t="n">
        <v>3185.0</v>
      </c>
      <c r="G62" s="9">
        <f si="1" t="shared"/>
        <v>3.4981414792530485E-3</v>
      </c>
    </row>
    <row r="63" spans="1:7" x14ac:dyDescent="0.25">
      <c r="A63">
        <v>52</v>
      </c>
      <c r="B63" s="6" t="n">
        <v>554.764035533</v>
      </c>
      <c r="C63" s="9">
        <f si="0" t="shared"/>
        <v>5.24412623683131E-4</v>
      </c>
      <c r="E63" s="371">
        <v>52</v>
      </c>
      <c r="F63" s="371" t="n">
        <v>1793.0</v>
      </c>
      <c r="G63" s="9">
        <f si="1" t="shared"/>
        <v>1.542521114908028E-3</v>
      </c>
    </row>
    <row r="64" spans="1:7" x14ac:dyDescent="0.25">
      <c r="A64">
        <v>53</v>
      </c>
      <c r="B64" s="6" t="n">
        <v>1326.9797182303</v>
      </c>
      <c r="C64" s="9">
        <f si="0" t="shared"/>
        <v>1.2543800085073448E-3</v>
      </c>
      <c r="E64" s="371">
        <v>53</v>
      </c>
      <c r="F64" s="371" t="n">
        <v>1842.0</v>
      </c>
      <c r="G64" s="9">
        <f si="1" t="shared"/>
        <v>1.5629631396224359E-3</v>
      </c>
    </row>
    <row r="65" spans="1:7" x14ac:dyDescent="0.25">
      <c r="A65">
        <v>54</v>
      </c>
      <c r="B65" s="6" t="n">
        <v>1072.7020327311</v>
      </c>
      <c r="C65" s="9">
        <f si="0" t="shared"/>
        <v>1.0140139796089602E-3</v>
      </c>
      <c r="E65" s="371">
        <v>54</v>
      </c>
      <c r="F65" s="371" t="n">
        <v>1339.0</v>
      </c>
      <c r="G65" s="9">
        <f si="1" t="shared"/>
        <v>1.1260148613519675E-3</v>
      </c>
    </row>
    <row r="66" spans="1:7" x14ac:dyDescent="0.25">
      <c r="A66">
        <v>55</v>
      </c>
      <c r="B66" s="6" t="n">
        <v>2021.44678769</v>
      </c>
      <c r="C66" s="9">
        <f si="0" t="shared"/>
        <v>1.9108524447693615E-3</v>
      </c>
      <c r="E66" s="371">
        <v>55</v>
      </c>
      <c r="F66" s="371" t="n">
        <v>1279.0</v>
      </c>
      <c r="G66" s="9">
        <f si="1" t="shared"/>
        <v>1.0502090197027048E-3</v>
      </c>
    </row>
    <row r="67" spans="1:7" x14ac:dyDescent="0.25">
      <c r="A67">
        <v>56</v>
      </c>
      <c r="B67" s="6" t="n">
        <v>68.8733229496</v>
      </c>
      <c r="C67" s="9">
        <f si="0" t="shared"/>
        <v>6.5105229748850323E-5</v>
      </c>
      <c r="E67" s="371">
        <v>56</v>
      </c>
      <c r="F67" s="371" t="n">
        <v>1248.0</v>
      </c>
      <c r="G67" s="9">
        <f si="1" t="shared"/>
        <v>9.8803119452971428E-4</v>
      </c>
    </row>
    <row r="68" spans="1:7" x14ac:dyDescent="0.25">
      <c r="A68">
        <v>57</v>
      </c>
      <c r="B68" s="6" t="n">
        <v>5831.556239654</v>
      </c>
      <c r="C68" s="9">
        <f si="0" t="shared"/>
        <v>5.5125089441937598E-3</v>
      </c>
      <c r="E68" s="371">
        <v>57</v>
      </c>
      <c r="F68" s="371" t="n">
        <v>1269.0</v>
      </c>
      <c r="G68" s="9">
        <f si="1" t="shared"/>
        <v>1.0553195258813067E-3</v>
      </c>
    </row>
    <row r="69" spans="1:7" x14ac:dyDescent="0.25">
      <c r="A69">
        <v>58</v>
      </c>
      <c r="B69" s="6" t="n">
        <v>1680.9734764976001</v>
      </c>
      <c r="C69" s="9">
        <f si="0" t="shared"/>
        <v>1.5890065950380505E-3</v>
      </c>
      <c r="E69" s="371">
        <v>58</v>
      </c>
      <c r="F69" s="371" t="n">
        <v>1316.0</v>
      </c>
      <c r="G69" s="9">
        <f si="1" t="shared"/>
        <v>1.2171522215370359E-3</v>
      </c>
    </row>
    <row r="70" spans="1:7" x14ac:dyDescent="0.25">
      <c r="A70">
        <v>59</v>
      </c>
      <c r="B70" s="6" t="n">
        <v>1054.82463615</v>
      </c>
      <c r="C70" s="9">
        <f si="0" t="shared"/>
        <v>9.9711466414286105E-4</v>
      </c>
      <c r="E70" s="371">
        <v>59</v>
      </c>
      <c r="F70" s="371" t="n">
        <v>1004.0</v>
      </c>
      <c r="G70" s="9">
        <f si="1" t="shared"/>
        <v>8.0831172724887823E-4</v>
      </c>
    </row>
    <row r="71" spans="1:7" x14ac:dyDescent="0.25">
      <c r="A71">
        <v>60</v>
      </c>
      <c r="B71" s="6" t="n">
        <v>1759.1357199610002</v>
      </c>
      <c r="C71" s="9">
        <f si="0" t="shared"/>
        <v>1.6628925439139903E-3</v>
      </c>
      <c r="E71" s="371">
        <v>60</v>
      </c>
      <c r="F71" s="371" t="n">
        <v>1051.0</v>
      </c>
      <c r="G71" s="9">
        <f si="1" t="shared"/>
        <v>9.3777788377346152E-4</v>
      </c>
    </row>
    <row r="72" spans="1:7" x14ac:dyDescent="0.25">
      <c r="A72">
        <v>61</v>
      </c>
      <c r="B72" s="6" t="n">
        <v>4536.634519651</v>
      </c>
      <c r="C72" s="9">
        <f si="0" t="shared"/>
        <v>4.2884330251435759E-3</v>
      </c>
      <c r="E72" s="371">
        <v>61</v>
      </c>
      <c r="F72" s="371" t="n">
        <v>691.0</v>
      </c>
      <c r="G72" s="9">
        <f si="1" t="shared"/>
        <v>6.5925529703965413E-4</v>
      </c>
    </row>
    <row r="73" spans="1:7" x14ac:dyDescent="0.25">
      <c r="A73">
        <v>62</v>
      </c>
      <c r="B73" s="6" t="n">
        <v>1229.465098057</v>
      </c>
      <c r="C73" s="9">
        <f si="0" t="shared"/>
        <v>1.1622004609211129E-3</v>
      </c>
      <c r="E73" s="371">
        <v>62</v>
      </c>
      <c r="F73" s="371" t="n">
        <v>637.0</v>
      </c>
      <c r="G73" s="9">
        <f si="1" t="shared"/>
        <v>5.7237669200342059E-4</v>
      </c>
    </row>
    <row r="74" spans="1:7" x14ac:dyDescent="0.25">
      <c r="A74">
        <v>63</v>
      </c>
      <c r="B74" s="6" t="n">
        <v>122.959794439</v>
      </c>
      <c r="C74" s="9">
        <f si="0" t="shared"/>
        <v>1.1623260391662281E-4</v>
      </c>
      <c r="E74" s="371">
        <v>63</v>
      </c>
      <c r="F74" s="371" t="n">
        <v>667.0</v>
      </c>
      <c r="G74" s="9">
        <f si="1" t="shared"/>
        <v>5.0934711580066295E-4</v>
      </c>
    </row>
    <row r="75" spans="1:7" x14ac:dyDescent="0.25">
      <c r="A75">
        <v>64</v>
      </c>
      <c r="B75" s="6" t="n">
        <v>1118.42644497</v>
      </c>
      <c r="C75" s="9">
        <f si="0" t="shared"/>
        <v>1.0572367868796819E-3</v>
      </c>
      <c r="E75" s="371">
        <v>64</v>
      </c>
      <c r="F75" s="371" t="n">
        <v>632.0</v>
      </c>
      <c r="G75" s="9">
        <f si="1" t="shared"/>
        <v>5.6896968788435268E-4</v>
      </c>
    </row>
    <row r="76" spans="1:7" x14ac:dyDescent="0.25">
      <c r="A76">
        <v>65</v>
      </c>
      <c r="B76" s="6" t="n">
        <v>400.04927174700003</v>
      </c>
      <c r="C76" s="9">
        <f si="0" t="shared"/>
        <v>3.7816238033132338E-4</v>
      </c>
      <c r="E76" s="371">
        <v>65</v>
      </c>
      <c r="F76" s="371" t="n">
        <v>498.0</v>
      </c>
      <c r="G76" s="9">
        <f si="1" t="shared"/>
        <v>4.633525601932453E-4</v>
      </c>
    </row>
    <row r="77" spans="1:7" x14ac:dyDescent="0.25">
      <c r="A77">
        <v>66</v>
      </c>
      <c r="B77" s="6" t="n">
        <v>466.560819543</v>
      </c>
      <c r="C77" s="9">
        <f ref="C77:C102" si="2" t="shared">B77/B$102</f>
        <v>4.4103504880092803E-4</v>
      </c>
      <c r="E77" s="371">
        <v>66</v>
      </c>
      <c r="F77" s="371" t="n">
        <v>563.0</v>
      </c>
      <c r="G77" s="9">
        <f ref="G77:G102" si="3" t="shared">F77/F$102</f>
        <v>3.8073271030584675E-4</v>
      </c>
    </row>
    <row r="78" spans="1:7" x14ac:dyDescent="0.25">
      <c r="A78">
        <v>67</v>
      </c>
      <c r="B78" s="6" t="n">
        <v>1515.945734731</v>
      </c>
      <c r="C78" s="9">
        <f si="2" t="shared"/>
        <v>1.4330076017774697E-3</v>
      </c>
      <c r="E78" s="371">
        <v>67</v>
      </c>
      <c r="F78" s="371" t="n">
        <v>452.0</v>
      </c>
      <c r="G78" s="9">
        <f si="3" t="shared"/>
        <v>4.3268952312163346E-4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418.0</v>
      </c>
      <c r="G79" s="9">
        <f si="3" t="shared"/>
        <v>3.7221520000817681E-4</v>
      </c>
    </row>
    <row r="80" spans="1:7" x14ac:dyDescent="0.25">
      <c r="A80">
        <v>69</v>
      </c>
      <c r="B80" s="6" t="n">
        <v>561.315777145</v>
      </c>
      <c r="C80" s="9">
        <f si="2" t="shared"/>
        <v>5.3060591630553727E-4</v>
      </c>
      <c r="E80" s="371">
        <v>69</v>
      </c>
      <c r="F80" s="371" t="n">
        <v>459.0</v>
      </c>
      <c r="G80" s="9">
        <f si="3" t="shared"/>
        <v>3.2281364028169108E-4</v>
      </c>
    </row>
    <row r="81" spans="1:7" x14ac:dyDescent="0.25">
      <c r="A81">
        <v>70</v>
      </c>
      <c r="B81" s="6" t="n">
        <v>636.3466766844</v>
      </c>
      <c r="C81" s="9">
        <f si="2" t="shared"/>
        <v>6.0153183861583746E-4</v>
      </c>
      <c r="E81" s="371">
        <v>70</v>
      </c>
      <c r="F81" s="371" t="n">
        <v>301.0</v>
      </c>
      <c r="G81" s="9">
        <f si="3" t="shared"/>
        <v>3.0066811350774924E-4</v>
      </c>
    </row>
    <row r="82" spans="1:7" x14ac:dyDescent="0.25">
      <c r="A82">
        <v>71</v>
      </c>
      <c r="B82" s="6" t="n">
        <v>422.35595372</v>
      </c>
      <c r="C82" s="9">
        <f si="2" t="shared"/>
        <v>3.9924865281812421E-4</v>
      </c>
      <c r="E82" s="371">
        <v>71</v>
      </c>
      <c r="F82" s="371" t="n">
        <v>493.0</v>
      </c>
      <c r="G82" s="9">
        <f si="3" t="shared"/>
        <v>3.1599963204355516E-4</v>
      </c>
    </row>
    <row r="83" spans="1:7" x14ac:dyDescent="0.25">
      <c r="A83">
        <v>72</v>
      </c>
      <c r="B83" s="6" t="n">
        <v>5978.151532144</v>
      </c>
      <c r="C83" s="9">
        <f si="2" t="shared"/>
        <v>5.6510839364973193E-3</v>
      </c>
      <c r="E83" s="371">
        <v>72</v>
      </c>
      <c r="F83" s="371" t="n">
        <v>416.0</v>
      </c>
      <c r="G83" s="9">
        <f si="3" t="shared"/>
        <v>2.9726110938868127E-4</v>
      </c>
    </row>
    <row r="84" spans="1:7" x14ac:dyDescent="0.25">
      <c r="A84">
        <v>73</v>
      </c>
      <c r="B84" s="6" t="n">
        <v>65.7862003602</v>
      </c>
      <c r="C84" s="9">
        <f si="2" t="shared"/>
        <v>6.2187005146955757E-5</v>
      </c>
      <c r="E84" s="371">
        <v>73</v>
      </c>
      <c r="F84" s="371" t="n">
        <v>243.0</v>
      </c>
      <c r="G84" s="9">
        <f si="3" t="shared"/>
        <v>2.0186499405477781E-4</v>
      </c>
    </row>
    <row r="85" spans="1:7" x14ac:dyDescent="0.25">
      <c r="A85">
        <v>74</v>
      </c>
      <c r="B85" s="6" t="n">
        <v>411.770390229</v>
      </c>
      <c r="C85" s="9">
        <f si="2" t="shared"/>
        <v>3.8924223068561117E-4</v>
      </c>
      <c r="E85" s="371">
        <v>74</v>
      </c>
      <c r="F85" s="371" t="n">
        <v>281.0</v>
      </c>
      <c r="G85" s="9">
        <f si="3" t="shared"/>
        <v>2.4615604760266154E-4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218.0</v>
      </c>
      <c r="G86" s="9">
        <f si="3" t="shared"/>
        <v>2.759673336445064E-4</v>
      </c>
    </row>
    <row r="87" spans="1:7" x14ac:dyDescent="0.25">
      <c r="A87">
        <v>76</v>
      </c>
      <c r="B87" s="6" t="n">
        <v>2655.91924548</v>
      </c>
      <c r="C87" s="9">
        <f si="2" t="shared"/>
        <v>2.5106126039236339E-3</v>
      </c>
      <c r="E87" s="371">
        <v>76</v>
      </c>
      <c r="F87" s="371" t="n">
        <v>234.0</v>
      </c>
      <c r="G87" s="9">
        <f si="3" t="shared"/>
        <v>1.8142296934036992E-4</v>
      </c>
    </row>
    <row r="88" spans="1:7" x14ac:dyDescent="0.25">
      <c r="A88">
        <v>77</v>
      </c>
      <c r="B88" s="6" t="n">
        <v>808.1524794</v>
      </c>
      <c r="C88" s="9">
        <f si="2" t="shared"/>
        <v>7.6393806179415077E-4</v>
      </c>
      <c r="E88" s="371">
        <v>77</v>
      </c>
      <c r="F88" s="371" t="n">
        <v>154.0</v>
      </c>
      <c r="G88" s="9">
        <f si="3" t="shared"/>
        <v>1.7460896110223396E-4</v>
      </c>
    </row>
    <row r="89" spans="1:7" x14ac:dyDescent="0.25">
      <c r="A89">
        <v>78</v>
      </c>
      <c r="B89" s="6" t="n">
        <v>256.371317496</v>
      </c>
      <c r="C89" s="9">
        <f si="2" t="shared"/>
        <v>2.4234511726415069E-4</v>
      </c>
      <c r="E89" s="371">
        <v>78</v>
      </c>
      <c r="F89" s="371" t="n">
        <v>225.0</v>
      </c>
      <c r="G89" s="9">
        <f si="3" t="shared"/>
        <v>1.7716421419153495E-4</v>
      </c>
    </row>
    <row r="90" spans="1:7" x14ac:dyDescent="0.25">
      <c r="A90">
        <v>79</v>
      </c>
      <c r="B90" s="6" t="n">
        <v>256.371317496</v>
      </c>
      <c r="C90" s="9">
        <f si="2" t="shared"/>
        <v>2.4234511726415069E-4</v>
      </c>
      <c r="E90" s="371">
        <v>79</v>
      </c>
      <c r="F90" s="371" t="n">
        <v>243.0</v>
      </c>
      <c r="G90" s="9">
        <f si="3" t="shared"/>
        <v>2.0953075332268077E-4</v>
      </c>
    </row>
    <row r="91" spans="1:7" x14ac:dyDescent="0.25">
      <c r="A91">
        <v>80</v>
      </c>
      <c r="B91" s="6" t="n">
        <v>1593.262710215</v>
      </c>
      <c r="C91" s="9">
        <f si="2" t="shared"/>
        <v>1.5060945276987824E-3</v>
      </c>
      <c r="E91" s="371">
        <v>80</v>
      </c>
      <c r="F91" s="371" t="n">
        <v>159.0</v>
      </c>
      <c r="G91" s="9">
        <f si="3" t="shared"/>
        <v>1.5501868741759308E-4</v>
      </c>
    </row>
    <row r="92" spans="1:7" x14ac:dyDescent="0.25">
      <c r="A92">
        <v>81</v>
      </c>
      <c r="B92" s="6" t="n">
        <v>554.661229397</v>
      </c>
      <c r="C92" s="9">
        <f si="2" t="shared"/>
        <v>5.2431544212113834E-4</v>
      </c>
      <c r="E92" s="371">
        <v>81</v>
      </c>
      <c r="F92" s="371" t="n">
        <v>152.0</v>
      </c>
      <c r="G92" s="9">
        <f si="3" t="shared"/>
        <v>1.005066215125054E-4</v>
      </c>
    </row>
    <row r="93" spans="1:7" x14ac:dyDescent="0.25">
      <c r="A93">
        <v>82</v>
      </c>
      <c r="B93" s="6" t="n">
        <v>739.676000992</v>
      </c>
      <c r="C93" s="9">
        <f si="2" t="shared"/>
        <v>6.9920796502783941E-4</v>
      </c>
      <c r="E93" s="371">
        <v>82</v>
      </c>
      <c r="F93" s="371" t="n">
        <v>118.0</v>
      </c>
      <c r="G93" s="9">
        <f si="3" t="shared"/>
        <v>1.0561712769110738E-4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122.0</v>
      </c>
      <c r="G94" s="9">
        <f si="3" t="shared"/>
        <v>1.0817238078040836E-4</v>
      </c>
    </row>
    <row r="95" spans="1:7" x14ac:dyDescent="0.25">
      <c r="A95">
        <v>84</v>
      </c>
      <c r="B95" s="6" t="n">
        <v>2404.586148969</v>
      </c>
      <c r="C95" s="9">
        <f si="2" t="shared"/>
        <v>2.2730300641090125E-3</v>
      </c>
      <c r="E95" s="371">
        <v>84</v>
      </c>
      <c r="F95" s="371" t="n">
        <v>153.0</v>
      </c>
      <c r="G95" s="9">
        <f si="3" t="shared"/>
        <v>8.6026854006466489E-5</v>
      </c>
    </row>
    <row r="96" spans="1:7" x14ac:dyDescent="0.25">
      <c r="A96">
        <v>85</v>
      </c>
      <c r="B96" s="6" t="n">
        <v>76.8761145204</v>
      </c>
      <c r="C96" s="9">
        <f si="2" t="shared"/>
        <v>7.2670184676760084E-5</v>
      </c>
      <c r="E96" s="371">
        <v>85</v>
      </c>
      <c r="F96" s="371" t="n">
        <v>103.0</v>
      </c>
      <c r="G96" s="9">
        <f si="3" t="shared"/>
        <v>7.3250588559961569E-5</v>
      </c>
    </row>
    <row r="97" spans="1:7" x14ac:dyDescent="0.25">
      <c r="A97">
        <v>86</v>
      </c>
      <c r="B97" s="6" t="n">
        <v>880.136943483</v>
      </c>
      <c r="C97" s="9">
        <f si="2" t="shared"/>
        <v>8.319842206226004E-4</v>
      </c>
      <c r="E97" s="371">
        <v>86</v>
      </c>
      <c r="F97" s="371" t="n">
        <v>108.0</v>
      </c>
      <c r="G97" s="9">
        <f si="3" t="shared"/>
        <v>7.7509343708796538E-5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102.0</v>
      </c>
      <c r="G98" s="9">
        <f si="3" t="shared"/>
        <v>1.192451441673793E-4</v>
      </c>
    </row>
    <row r="99" spans="1:7" x14ac:dyDescent="0.25">
      <c r="A99">
        <v>88</v>
      </c>
      <c r="B99" s="6" t="n">
        <v>300.952409273</v>
      </c>
      <c r="C99" s="9">
        <f si="2" t="shared"/>
        <v>2.844871556949104E-4</v>
      </c>
      <c r="E99" s="371">
        <v>88</v>
      </c>
      <c r="F99" s="371" t="n">
        <v>140.0</v>
      </c>
      <c r="G99" s="9">
        <f si="3" t="shared"/>
        <v>1.0646887872087437E-4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96.0</v>
      </c>
      <c r="G100" s="9">
        <f si="3" t="shared"/>
        <v>6.4733078262291618E-5</v>
      </c>
    </row>
    <row ht="15.75" r="101" spans="1:7" thickBot="1" x14ac:dyDescent="0.3">
      <c r="A101" s="1">
        <v>90</v>
      </c>
      <c r="B101" s="7" t="n">
        <v>22484.3798705738</v>
      </c>
      <c r="C101" s="9">
        <f si="2" t="shared"/>
        <v>2.1254248445444501E-2</v>
      </c>
      <c r="E101" s="372">
        <v>90</v>
      </c>
      <c r="F101" s="372" t="n">
        <v>4604.0</v>
      </c>
      <c r="G101" s="9">
        <f si="3" t="shared"/>
        <v>4.1872080623345477E-3</v>
      </c>
    </row>
    <row r="102" spans="1:7" x14ac:dyDescent="0.25">
      <c r="B102" s="6">
        <f>SUM(B11:B101)</f>
        <v>1057876.9664938662</v>
      </c>
      <c r="C102" s="9">
        <f si="2" t="shared"/>
        <v>1</v>
      </c>
      <c r="F102" s="6">
        <f>SUM(F11:F101)</f>
        <v>1174052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50180.834468342</v>
      </c>
      <c r="C11" s="9">
        <f>B11/B$102</f>
        <v>3.0170621149902752E-2</v>
      </c>
      <c r="E11" s="371">
        <v>0</v>
      </c>
      <c r="F11" s="371" t="n">
        <v>316407.0</v>
      </c>
      <c r="G11" s="9">
        <f>F11/F$102</f>
        <v>0.19221232071104843</v>
      </c>
      <c r="K11" s="6" t="n">
        <v>7.404996681502515</v>
      </c>
      <c r="L11" s="6" t="n">
        <v>5.215018947682636</v>
      </c>
    </row>
    <row r="12" spans="1:12" x14ac:dyDescent="0.25">
      <c r="A12">
        <v>1</v>
      </c>
      <c r="B12" s="6" t="n">
        <v>70632.0204554812</v>
      </c>
      <c r="C12" s="9">
        <f>B12/B$102</f>
        <v>4.2466649923068013E-2</v>
      </c>
      <c r="E12" s="371">
        <v>1</v>
      </c>
      <c r="F12" s="371" t="n">
        <v>222083.0</v>
      </c>
      <c r="G12" s="9">
        <f>F12/F$102</f>
        <v>0.1368403531253404</v>
      </c>
      <c r="K12" s="6"/>
      <c r="L12" s="371"/>
    </row>
    <row r="13" spans="1:12" x14ac:dyDescent="0.25">
      <c r="A13">
        <v>2</v>
      </c>
      <c r="B13" s="6" t="n">
        <v>85552.8148735243</v>
      </c>
      <c r="C13" s="9">
        <f ref="C13:C76" si="0" t="shared">B13/B$102</f>
        <v>5.1437597505184542E-2</v>
      </c>
      <c r="E13" s="371">
        <v>2</v>
      </c>
      <c r="F13" s="371" t="n">
        <v>129131.0</v>
      </c>
      <c r="G13" s="9">
        <f ref="G13:G76" si="1" t="shared">F13/F$102</f>
        <v>7.9022993781263498E-2</v>
      </c>
    </row>
    <row r="14" spans="1:12" x14ac:dyDescent="0.25">
      <c r="A14">
        <v>3</v>
      </c>
      <c r="B14" s="6" t="n">
        <v>175633.5984623037</v>
      </c>
      <c r="C14" s="9">
        <f si="0" t="shared"/>
        <v>0.10559758155762267</v>
      </c>
      <c r="E14" s="371">
        <v>3</v>
      </c>
      <c r="F14" s="371" t="n">
        <v>69726.0</v>
      </c>
      <c r="G14" s="9">
        <f si="1" t="shared"/>
        <v>4.2699501987033796E-2</v>
      </c>
    </row>
    <row r="15" spans="1:12" x14ac:dyDescent="0.25">
      <c r="A15">
        <v>4</v>
      </c>
      <c r="B15" s="6" t="n">
        <v>287199.0886568072</v>
      </c>
      <c r="C15" s="9">
        <f si="0" t="shared"/>
        <v>0.1726749861827907</v>
      </c>
      <c r="E15" s="371">
        <v>4</v>
      </c>
      <c r="F15" s="371" t="n">
        <v>267577.0</v>
      </c>
      <c r="G15" s="9">
        <f si="1" t="shared"/>
        <v>0.16264609012700615</v>
      </c>
    </row>
    <row r="16" spans="1:12" x14ac:dyDescent="0.25">
      <c r="A16">
        <v>5</v>
      </c>
      <c r="B16" s="6" t="n">
        <v>197097.5709611608</v>
      </c>
      <c r="C16" s="9">
        <f si="0" t="shared"/>
        <v>0.11850253599881463</v>
      </c>
      <c r="E16" s="371">
        <v>5</v>
      </c>
      <c r="F16" s="371" t="n">
        <v>130211.0</v>
      </c>
      <c r="G16" s="9">
        <f si="1" t="shared"/>
        <v>7.852241058347928E-2</v>
      </c>
    </row>
    <row r="17" spans="1:7" x14ac:dyDescent="0.25">
      <c r="A17">
        <v>6</v>
      </c>
      <c r="B17" s="6" t="n">
        <v>188101.4929562</v>
      </c>
      <c r="C17" s="9">
        <f si="0" t="shared"/>
        <v>0.11309375266154519</v>
      </c>
      <c r="E17" s="371">
        <v>6</v>
      </c>
      <c r="F17" s="371" t="n">
        <v>124277.0</v>
      </c>
      <c r="G17" s="9">
        <f si="1" t="shared"/>
        <v>7.7889032087505375E-2</v>
      </c>
    </row>
    <row r="18" spans="1:7" x14ac:dyDescent="0.25">
      <c r="A18">
        <v>7</v>
      </c>
      <c r="B18" s="6" t="n">
        <v>92133.4033728243</v>
      </c>
      <c r="C18" s="9">
        <f si="0" t="shared"/>
        <v>5.5394096926911815E-2</v>
      </c>
      <c r="E18" s="371">
        <v>7</v>
      </c>
      <c r="F18" s="371" t="n">
        <v>72320.0</v>
      </c>
      <c r="G18" s="9">
        <f si="1" t="shared"/>
        <v>4.2596692723919187E-2</v>
      </c>
    </row>
    <row r="19" spans="1:7" x14ac:dyDescent="0.25">
      <c r="A19">
        <v>8</v>
      </c>
      <c r="B19" s="6" t="n">
        <v>77854.102494625</v>
      </c>
      <c r="C19" s="9">
        <f si="0" t="shared"/>
        <v>4.6808839594186177E-2</v>
      </c>
      <c r="E19" s="371">
        <v>8</v>
      </c>
      <c r="F19" s="371" t="n">
        <v>61925.0</v>
      </c>
      <c r="G19" s="9">
        <f si="1" t="shared"/>
        <v>4.1162870679410123E-2</v>
      </c>
    </row>
    <row r="20" spans="1:7" x14ac:dyDescent="0.25">
      <c r="A20">
        <v>9</v>
      </c>
      <c r="B20" s="6" t="n">
        <v>58967.5993490832</v>
      </c>
      <c r="C20" s="9">
        <f si="0" t="shared"/>
        <v>3.5453557497192076E-2</v>
      </c>
      <c r="E20" s="371">
        <v>9</v>
      </c>
      <c r="F20" s="371" t="n">
        <v>33005.0</v>
      </c>
      <c r="G20" s="9">
        <f si="1" t="shared"/>
        <v>1.8706390207662474E-2</v>
      </c>
    </row>
    <row r="21" spans="1:7" x14ac:dyDescent="0.25">
      <c r="A21">
        <v>10</v>
      </c>
      <c r="B21" s="6" t="n">
        <v>117134.3049040278</v>
      </c>
      <c r="C21" s="9">
        <f si="0" t="shared"/>
        <v>7.0425587265715003E-2</v>
      </c>
      <c r="E21" s="371">
        <v>10</v>
      </c>
      <c r="F21" s="371" t="n">
        <v>33339.0</v>
      </c>
      <c r="G21" s="9">
        <f si="1" t="shared"/>
        <v>1.6593292674717611E-2</v>
      </c>
    </row>
    <row r="22" spans="1:7" x14ac:dyDescent="0.25">
      <c r="A22">
        <v>11</v>
      </c>
      <c r="B22" s="6" t="n">
        <v>33435.7997595751</v>
      </c>
      <c r="C22" s="9">
        <f si="0" t="shared"/>
        <v>2.0102871107625094E-2</v>
      </c>
      <c r="E22" s="371">
        <v>11</v>
      </c>
      <c r="F22" s="371" t="n">
        <v>28668.0</v>
      </c>
      <c r="G22" s="9">
        <f si="1" t="shared"/>
        <v>1.7720522809581335E-2</v>
      </c>
    </row>
    <row r="23" spans="1:7" x14ac:dyDescent="0.25">
      <c r="A23">
        <v>12</v>
      </c>
      <c r="B23" s="6" t="n">
        <v>31358.8853776862</v>
      </c>
      <c r="C23" s="9">
        <f si="0" t="shared"/>
        <v>1.8854151399380976E-2</v>
      </c>
      <c r="E23" s="371">
        <v>12</v>
      </c>
      <c r="F23" s="371" t="n">
        <v>18340.0</v>
      </c>
      <c r="G23" s="9">
        <f si="1" t="shared"/>
        <v>1.1799810781999077E-2</v>
      </c>
    </row>
    <row r="24" spans="1:7" x14ac:dyDescent="0.25">
      <c r="A24">
        <v>13</v>
      </c>
      <c r="B24" s="6" t="n">
        <v>14197.607967112699</v>
      </c>
      <c r="C24" s="9">
        <f si="0" t="shared"/>
        <v>8.5361404557916503E-3</v>
      </c>
      <c r="E24" s="371">
        <v>13</v>
      </c>
      <c r="F24" s="371" t="n">
        <v>19327.0</v>
      </c>
      <c r="G24" s="9">
        <f si="1" t="shared"/>
        <v>1.2282035182798542E-2</v>
      </c>
    </row>
    <row r="25" spans="1:7" x14ac:dyDescent="0.25">
      <c r="A25">
        <v>14</v>
      </c>
      <c r="B25" s="6" t="n">
        <v>16666.3603833316</v>
      </c>
      <c r="C25" s="9">
        <f si="0" t="shared"/>
        <v>1.0020448053538708E-2</v>
      </c>
      <c r="E25" s="371">
        <v>14</v>
      </c>
      <c r="F25" s="371" t="n">
        <v>15175.0</v>
      </c>
      <c r="G25" s="9">
        <f si="1" t="shared"/>
        <v>9.0337520362965655E-3</v>
      </c>
    </row>
    <row r="26" spans="1:7" x14ac:dyDescent="0.25">
      <c r="A26">
        <v>15</v>
      </c>
      <c r="B26" s="6" t="n">
        <v>16265.0019796371</v>
      </c>
      <c r="C26" s="9">
        <f si="0" t="shared"/>
        <v>9.7791361568456397E-3</v>
      </c>
      <c r="E26" s="371">
        <v>15</v>
      </c>
      <c r="F26" s="371" t="n">
        <v>13017.0</v>
      </c>
      <c r="G26" s="9">
        <f si="1" t="shared"/>
        <v>9.0172291190102893E-3</v>
      </c>
    </row>
    <row r="27" spans="1:7" x14ac:dyDescent="0.25">
      <c r="A27">
        <v>16</v>
      </c>
      <c r="B27" s="6" t="n">
        <v>26783.9296050034</v>
      </c>
      <c r="C27" s="9">
        <f si="0" t="shared"/>
        <v>1.6103514450881182E-2</v>
      </c>
      <c r="E27" s="371">
        <v>16</v>
      </c>
      <c r="F27" s="371" t="n">
        <v>16264.0</v>
      </c>
      <c r="G27" s="9">
        <f si="1" t="shared"/>
        <v>9.7381178806115187E-3</v>
      </c>
    </row>
    <row r="28" spans="1:7" x14ac:dyDescent="0.25">
      <c r="A28">
        <v>17</v>
      </c>
      <c r="B28" s="6" t="n">
        <v>13662.424499716199</v>
      </c>
      <c r="C28" s="9">
        <f si="0" t="shared"/>
        <v>8.2143678545269615E-3</v>
      </c>
      <c r="E28" s="371">
        <v>17</v>
      </c>
      <c r="F28" s="371" t="n">
        <v>7193.0</v>
      </c>
      <c r="G28" s="9">
        <f si="1" t="shared"/>
        <v>5.3632165591453122E-3</v>
      </c>
    </row>
    <row r="29" spans="1:7" x14ac:dyDescent="0.25">
      <c r="A29">
        <v>18</v>
      </c>
      <c r="B29" s="6" t="n">
        <v>11705.378170186299</v>
      </c>
      <c r="C29" s="9">
        <f si="0" t="shared"/>
        <v>7.0377173662154379E-3</v>
      </c>
      <c r="E29" s="371">
        <v>18</v>
      </c>
      <c r="F29" s="371" t="n">
        <v>9165.0</v>
      </c>
      <c r="G29" s="9">
        <f si="1" t="shared"/>
        <v>4.7420772611612306E-3</v>
      </c>
    </row>
    <row r="30" spans="1:7" x14ac:dyDescent="0.25">
      <c r="A30">
        <v>19</v>
      </c>
      <c r="B30" s="6" t="n">
        <v>12334.7252425946</v>
      </c>
      <c r="C30" s="9">
        <f si="0" t="shared"/>
        <v>7.4161046986423278E-3</v>
      </c>
      <c r="E30" s="371">
        <v>19</v>
      </c>
      <c r="F30" s="371" t="n">
        <v>6156.0</v>
      </c>
      <c r="G30" s="9">
        <f si="1" t="shared"/>
        <v>3.7201042290100814E-3</v>
      </c>
    </row>
    <row r="31" spans="1:7" x14ac:dyDescent="0.25">
      <c r="A31">
        <v>20</v>
      </c>
      <c r="B31" s="6" t="n">
        <v>8832.9782351174</v>
      </c>
      <c r="C31" s="9">
        <f si="0" t="shared"/>
        <v>5.310721568912739E-3</v>
      </c>
      <c r="E31" s="371">
        <v>20</v>
      </c>
      <c r="F31" s="371" t="n">
        <v>5887.0</v>
      </c>
      <c r="G31" s="9">
        <f si="1" t="shared"/>
        <v>3.7005215122263469E-3</v>
      </c>
    </row>
    <row r="32" spans="1:7" x14ac:dyDescent="0.25">
      <c r="A32">
        <v>21</v>
      </c>
      <c r="B32" s="6" t="n">
        <v>8724.8735636307</v>
      </c>
      <c r="C32" s="9">
        <f si="0" t="shared"/>
        <v>5.2457249397710381E-3</v>
      </c>
      <c r="E32" s="371">
        <v>21</v>
      </c>
      <c r="F32" s="371" t="n">
        <v>4457.0</v>
      </c>
      <c r="G32" s="9">
        <f si="1" t="shared"/>
        <v>2.8376580539430413E-3</v>
      </c>
    </row>
    <row r="33" spans="1:7" x14ac:dyDescent="0.25">
      <c r="A33">
        <v>22</v>
      </c>
      <c r="B33" s="6" t="n">
        <v>11519.1489736528</v>
      </c>
      <c r="C33" s="9">
        <f si="0" t="shared"/>
        <v>6.9257493091834715E-3</v>
      </c>
      <c r="E33" s="371">
        <v>22</v>
      </c>
      <c r="F33" s="371" t="n">
        <v>3738.0</v>
      </c>
      <c r="G33" s="9">
        <f si="1" t="shared"/>
        <v>2.3309552571639087E-3</v>
      </c>
    </row>
    <row r="34" spans="1:7" x14ac:dyDescent="0.25">
      <c r="A34">
        <v>23</v>
      </c>
      <c r="B34" s="6" t="n">
        <v>14398.7517202314</v>
      </c>
      <c r="C34" s="9">
        <f si="0" t="shared"/>
        <v>8.6570757099840127E-3</v>
      </c>
      <c r="E34" s="371">
        <v>23</v>
      </c>
      <c r="F34" s="371" t="n">
        <v>3950.0</v>
      </c>
      <c r="G34" s="9">
        <f si="1" t="shared"/>
        <v>2.2954615829933896E-3</v>
      </c>
    </row>
    <row r="35" spans="1:7" x14ac:dyDescent="0.25">
      <c r="A35">
        <v>24</v>
      </c>
      <c r="B35" s="6" t="n">
        <v>1073.090578754</v>
      </c>
      <c r="C35" s="9">
        <f si="0" t="shared"/>
        <v>6.4518276059243322E-4</v>
      </c>
      <c r="E35" s="371">
        <v>24</v>
      </c>
      <c r="F35" s="371" t="n">
        <v>3282.0</v>
      </c>
      <c r="G35" s="9">
        <f si="1" t="shared"/>
        <v>2.0708722998799335E-3</v>
      </c>
    </row>
    <row r="36" spans="1:7" x14ac:dyDescent="0.25">
      <c r="A36">
        <v>25</v>
      </c>
      <c r="B36" s="6" t="n">
        <v>1734.2051272889998</v>
      </c>
      <c r="C36" s="9">
        <f si="0" t="shared"/>
        <v>1.042669904675741E-3</v>
      </c>
      <c r="E36" s="371">
        <v>25</v>
      </c>
      <c r="F36" s="371" t="n">
        <v>3447.0</v>
      </c>
      <c r="G36" s="9">
        <f si="1" t="shared"/>
        <v>2.3229997784705164E-3</v>
      </c>
    </row>
    <row r="37" spans="1:7" x14ac:dyDescent="0.25">
      <c r="A37">
        <v>26</v>
      </c>
      <c r="B37" s="6" t="n">
        <v>1382.3037132361</v>
      </c>
      <c r="C37" s="9">
        <f si="0" t="shared"/>
        <v>8.310934261657395E-4</v>
      </c>
      <c r="E37" s="371">
        <v>26</v>
      </c>
      <c r="F37" s="371" t="n">
        <v>2953.0</v>
      </c>
      <c r="G37" s="9">
        <f si="1" t="shared"/>
        <v>1.8444471370680023E-3</v>
      </c>
    </row>
    <row r="38" spans="1:7" x14ac:dyDescent="0.25">
      <c r="A38">
        <v>27</v>
      </c>
      <c r="B38" s="6" t="n">
        <v>2051.440473142</v>
      </c>
      <c r="C38" s="9">
        <f si="0" t="shared"/>
        <v>1.2334038280250527E-3</v>
      </c>
      <c r="E38" s="371">
        <v>27</v>
      </c>
      <c r="F38" s="371" t="n">
        <v>3263.0</v>
      </c>
      <c r="G38" s="9">
        <f si="1" t="shared"/>
        <v>1.5403030670206243E-3</v>
      </c>
    </row>
    <row r="39" spans="1:7" x14ac:dyDescent="0.25">
      <c r="A39">
        <v>28</v>
      </c>
      <c r="B39" s="6" t="n">
        <v>3355.6392179848</v>
      </c>
      <c r="C39" s="9">
        <f si="0" t="shared"/>
        <v>2.0175375845024367E-3</v>
      </c>
      <c r="E39" s="371">
        <v>28</v>
      </c>
      <c r="F39" s="371" t="n">
        <v>1910.0</v>
      </c>
      <c r="G39" s="9">
        <f si="1" t="shared"/>
        <v>1.0843929418993031E-3</v>
      </c>
    </row>
    <row r="40" spans="1:7" x14ac:dyDescent="0.25">
      <c r="A40">
        <v>29</v>
      </c>
      <c r="B40" s="6" t="n">
        <v>939.8949517482</v>
      </c>
      <c r="C40" s="9">
        <f si="0" t="shared"/>
        <v>5.6510049723846299E-4</v>
      </c>
      <c r="E40" s="371">
        <v>29</v>
      </c>
      <c r="F40" s="371" t="n">
        <v>1568.0</v>
      </c>
      <c r="G40" s="9">
        <f si="1" t="shared"/>
        <v>1.3714021347609134E-3</v>
      </c>
    </row>
    <row r="41" spans="1:7" x14ac:dyDescent="0.25">
      <c r="A41">
        <v>30</v>
      </c>
      <c r="B41" s="6" t="n">
        <v>1586.4049019792</v>
      </c>
      <c r="C41" s="9">
        <f si="0" t="shared"/>
        <v>9.5380680283741934E-4</v>
      </c>
      <c r="E41" s="371">
        <v>30</v>
      </c>
      <c r="F41" s="371" t="n">
        <v>1450.0</v>
      </c>
      <c r="G41" s="9">
        <f si="1" t="shared"/>
        <v>8.7571461617263146E-4</v>
      </c>
    </row>
    <row r="42" spans="1:7" x14ac:dyDescent="0.25">
      <c r="A42">
        <v>31</v>
      </c>
      <c r="B42" s="6" t="n">
        <v>2692.10237777</v>
      </c>
      <c r="C42" s="9">
        <f si="0" t="shared"/>
        <v>1.6185940667784731E-3</v>
      </c>
      <c r="E42" s="371">
        <v>31</v>
      </c>
      <c r="F42" s="371" t="n">
        <v>1222.0</v>
      </c>
      <c r="G42" s="9">
        <f si="1" t="shared"/>
        <v>8.2430998461532814E-4</v>
      </c>
    </row>
    <row r="43" spans="1:7" x14ac:dyDescent="0.25">
      <c r="A43">
        <v>32</v>
      </c>
      <c r="B43" s="6" t="n">
        <v>1018.187280604</v>
      </c>
      <c r="C43" s="9">
        <f si="0" t="shared"/>
        <v>6.1217281514386085E-4</v>
      </c>
      <c r="E43" s="371">
        <v>32</v>
      </c>
      <c r="F43" s="371" t="n">
        <v>1104.0</v>
      </c>
      <c r="G43" s="9">
        <f si="1" t="shared"/>
        <v>6.4867749346120848E-4</v>
      </c>
    </row>
    <row r="44" spans="1:7" x14ac:dyDescent="0.25">
      <c r="A44">
        <v>33</v>
      </c>
      <c r="B44" s="6" t="n">
        <v>1526.509057235</v>
      </c>
      <c r="C44" s="9">
        <f si="0" t="shared"/>
        <v>9.1779514899832844E-4</v>
      </c>
      <c r="E44" s="371">
        <v>33</v>
      </c>
      <c r="F44" s="371" t="n">
        <v>769.0</v>
      </c>
      <c r="G44" s="9">
        <f si="1" t="shared"/>
        <v>4.693732429101386E-4</v>
      </c>
    </row>
    <row r="45" spans="1:7" x14ac:dyDescent="0.25">
      <c r="A45">
        <v>34</v>
      </c>
      <c r="B45" s="6" t="n">
        <v>1449.092665293</v>
      </c>
      <c r="C45" s="9">
        <f si="0" t="shared"/>
        <v>8.7124947759168792E-4</v>
      </c>
      <c r="E45" s="371">
        <v>34</v>
      </c>
      <c r="F45" s="371" t="n">
        <v>744.0</v>
      </c>
      <c r="G45" s="9">
        <f si="1" t="shared"/>
        <v>4.5529816522182936E-4</v>
      </c>
    </row>
    <row r="46" spans="1:7" x14ac:dyDescent="0.25">
      <c r="A46">
        <v>35</v>
      </c>
      <c r="B46" s="6" t="n">
        <v>879.0616143070001</v>
      </c>
      <c r="C46" s="9">
        <f si="0" t="shared"/>
        <v>5.2852518722881108E-4</v>
      </c>
      <c r="E46" s="371">
        <v>35</v>
      </c>
      <c r="F46" s="371" t="n">
        <v>557.0</v>
      </c>
      <c r="G46" s="9">
        <f si="1" t="shared"/>
        <v>3.7329553868994074E-4</v>
      </c>
    </row>
    <row r="47" spans="1:7" x14ac:dyDescent="0.25">
      <c r="A47">
        <v>36</v>
      </c>
      <c r="B47" s="6" t="n">
        <v>1085.2722949449999</v>
      </c>
      <c r="C47" s="9">
        <f si="0" t="shared"/>
        <v>6.5250687044529263E-4</v>
      </c>
      <c r="E47" s="371">
        <v>36</v>
      </c>
      <c r="F47" s="371" t="n">
        <v>812.0</v>
      </c>
      <c r="G47" s="9">
        <f si="1" t="shared"/>
        <v>5.0670279677913262E-4</v>
      </c>
    </row>
    <row r="48" spans="1:7" x14ac:dyDescent="0.25">
      <c r="A48">
        <v>37</v>
      </c>
      <c r="B48" s="6" t="n">
        <v>570.856988644</v>
      </c>
      <c r="C48" s="9">
        <f si="0" t="shared"/>
        <v>3.4322087541246743E-4</v>
      </c>
      <c r="E48" s="371">
        <v>37</v>
      </c>
      <c r="F48" s="371" t="n">
        <v>510.0</v>
      </c>
      <c r="G48" s="9">
        <f si="1" t="shared"/>
        <v>2.9618859135398576E-4</v>
      </c>
    </row>
    <row r="49" spans="1:7" x14ac:dyDescent="0.25">
      <c r="A49">
        <v>38</v>
      </c>
      <c r="B49" s="6" t="n">
        <v>4.59375</v>
      </c>
      <c r="C49" s="9">
        <f si="0" t="shared"/>
        <v>2.7619367508685644E-6</v>
      </c>
      <c r="E49" s="371">
        <v>38</v>
      </c>
      <c r="F49" s="371" t="n">
        <v>518.0</v>
      </c>
      <c r="G49" s="9">
        <f si="1" t="shared"/>
        <v>3.4330950361484712E-4</v>
      </c>
    </row>
    <row r="50" spans="1:7" x14ac:dyDescent="0.25">
      <c r="A50">
        <v>39</v>
      </c>
      <c r="B50" s="6" t="n">
        <v>396.0371562029</v>
      </c>
      <c r="C50" s="9">
        <f si="0" t="shared"/>
        <v>2.3811256085469687E-4</v>
      </c>
      <c r="E50" s="371">
        <v>39</v>
      </c>
      <c r="F50" s="371" t="n">
        <v>407.0</v>
      </c>
      <c r="G50" s="9">
        <f si="1" t="shared"/>
        <v>2.2642516281193127E-4</v>
      </c>
    </row>
    <row r="51" spans="1:7" x14ac:dyDescent="0.25">
      <c r="A51">
        <v>40</v>
      </c>
      <c r="B51" s="6" t="n">
        <v>2029.291388077</v>
      </c>
      <c r="C51" s="9">
        <f si="0" t="shared"/>
        <v>1.2200869579212948E-3</v>
      </c>
      <c r="E51" s="371">
        <v>40</v>
      </c>
      <c r="F51" s="371" t="n">
        <v>316.0</v>
      </c>
      <c r="G51" s="9">
        <f si="1" t="shared"/>
        <v>1.9276736833988742E-4</v>
      </c>
    </row>
    <row r="52" spans="1:7" x14ac:dyDescent="0.25">
      <c r="A52">
        <v>41</v>
      </c>
      <c r="B52" s="6" t="n">
        <v>2470.933528429</v>
      </c>
      <c r="C52" s="9">
        <f si="0" t="shared"/>
        <v>1.4856189651420713E-3</v>
      </c>
      <c r="E52" s="371">
        <v>41</v>
      </c>
      <c r="F52" s="371" t="n">
        <v>264.0</v>
      </c>
      <c r="G52" s="9">
        <f si="1" t="shared"/>
        <v>1.7991621045056159E-4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214.0</v>
      </c>
      <c r="G53" s="9">
        <f si="1" t="shared"/>
        <v>1.2728765909427486E-4</v>
      </c>
    </row>
    <row r="54" spans="1:7" x14ac:dyDescent="0.25">
      <c r="A54">
        <v>43</v>
      </c>
      <c r="B54" s="6" t="n">
        <v>143.589273955</v>
      </c>
      <c r="C54" s="9">
        <f si="0" t="shared"/>
        <v>8.6331318153327655E-5</v>
      </c>
      <c r="E54" s="371">
        <v>43</v>
      </c>
      <c r="F54" s="371" t="n">
        <v>168.0</v>
      </c>
      <c r="G54" s="9">
        <f si="1" t="shared"/>
        <v>1.1260062150647393E-4</v>
      </c>
    </row>
    <row r="55" spans="1:7" x14ac:dyDescent="0.25">
      <c r="A55">
        <v>44</v>
      </c>
      <c r="B55" s="6" t="n">
        <v>1125.3988481578</v>
      </c>
      <c r="C55" s="9">
        <f si="0" t="shared"/>
        <v>6.7663247632373971E-4</v>
      </c>
      <c r="E55" s="371">
        <v>44</v>
      </c>
      <c r="F55" s="371" t="n">
        <v>165.0</v>
      </c>
      <c r="G55" s="9">
        <f si="1" t="shared"/>
        <v>8.812222552680568E-5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138.0</v>
      </c>
      <c r="G56" s="9">
        <f si="1" t="shared"/>
        <v>7.2823228039513031E-5</v>
      </c>
    </row>
    <row r="57" spans="1:7" x14ac:dyDescent="0.25">
      <c r="A57">
        <v>46</v>
      </c>
      <c r="B57" s="6" t="n">
        <v>1531.936598843</v>
      </c>
      <c r="C57" s="9">
        <f si="0" t="shared"/>
        <v>9.2105839289144474E-4</v>
      </c>
      <c r="E57" s="371">
        <v>46</v>
      </c>
      <c r="F57" s="371" t="n">
        <v>124.0</v>
      </c>
      <c r="G57" s="9">
        <f si="1" t="shared"/>
        <v>9.1793984923755909E-5</v>
      </c>
    </row>
    <row r="58" spans="1:7" x14ac:dyDescent="0.25">
      <c r="A58">
        <v>47</v>
      </c>
      <c r="B58" s="6" t="n">
        <v>5149.1823438</v>
      </c>
      <c r="C58" s="9">
        <f si="0" t="shared"/>
        <v>3.0958837447106939E-3</v>
      </c>
      <c r="E58" s="371">
        <v>47</v>
      </c>
      <c r="F58" s="371" t="n">
        <v>93.0</v>
      </c>
      <c r="G58" s="9">
        <f si="1" t="shared"/>
        <v>7.771890723544667E-5</v>
      </c>
    </row>
    <row r="59" spans="1:7" x14ac:dyDescent="0.25">
      <c r="A59">
        <v>48</v>
      </c>
      <c r="B59" s="6" t="n">
        <v>213.886510635</v>
      </c>
      <c r="C59" s="9">
        <f si="0" t="shared"/>
        <v>1.28596683371504E-4</v>
      </c>
      <c r="E59" s="371">
        <v>48</v>
      </c>
      <c r="F59" s="371" t="n">
        <v>84.0</v>
      </c>
      <c r="G59" s="9">
        <f si="1" t="shared"/>
        <v>5.0792671657811607E-5</v>
      </c>
    </row>
    <row r="60" spans="1:7" x14ac:dyDescent="0.25">
      <c r="A60">
        <v>49</v>
      </c>
      <c r="B60" s="6" t="n">
        <v>406.812011884</v>
      </c>
      <c r="C60" s="9">
        <f si="0" t="shared"/>
        <v>2.4459081280374395E-4</v>
      </c>
      <c r="E60" s="371">
        <v>49</v>
      </c>
      <c r="F60" s="371" t="n">
        <v>79.0</v>
      </c>
      <c r="G60" s="9">
        <f si="1" t="shared"/>
        <v>5.2628551356286722E-5</v>
      </c>
    </row>
    <row r="61" spans="1:7" x14ac:dyDescent="0.25">
      <c r="A61">
        <v>50</v>
      </c>
      <c r="B61" s="6" t="n">
        <v>454.367233631</v>
      </c>
      <c r="C61" s="9">
        <f si="0" t="shared"/>
        <v>2.731828159904091E-4</v>
      </c>
      <c r="E61" s="371">
        <v>50</v>
      </c>
      <c r="F61" s="371" t="n">
        <v>38.0</v>
      </c>
      <c r="G61" s="9">
        <f si="1" t="shared"/>
        <v>3.4881714271027246E-5</v>
      </c>
    </row>
    <row r="62" spans="1:7" x14ac:dyDescent="0.25">
      <c r="A62">
        <v>51</v>
      </c>
      <c r="B62" s="6" t="n">
        <v>94.7244864348</v>
      </c>
      <c r="C62" s="9">
        <f si="0" t="shared"/>
        <v>5.6951954349153717E-5</v>
      </c>
      <c r="E62" s="371">
        <v>51</v>
      </c>
      <c r="F62" s="371" t="n">
        <v>47.0</v>
      </c>
      <c r="G62" s="9">
        <f si="1" t="shared"/>
        <v>3.0597994974585305E-5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49.0</v>
      </c>
      <c r="G63" s="9">
        <f si="1" t="shared"/>
        <v>1.9582716783734597E-5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31.0</v>
      </c>
      <c r="G64" s="9">
        <f si="1" t="shared"/>
        <v>1.6522917286276066E-5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31.0</v>
      </c>
      <c r="G65" s="9">
        <f si="1" t="shared"/>
        <v>1.8970756884242889E-5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25.0</v>
      </c>
      <c r="G66" s="9">
        <f si="1" t="shared"/>
        <v>2.0194676683226302E-5</v>
      </c>
    </row>
    <row r="67" spans="1:7" x14ac:dyDescent="0.25">
      <c r="A67">
        <v>56</v>
      </c>
      <c r="B67" s="6" t="n">
        <v>767.701778901</v>
      </c>
      <c r="C67" s="9">
        <f si="0" t="shared"/>
        <v>4.6157143006342202E-4</v>
      </c>
      <c r="E67" s="371">
        <v>56</v>
      </c>
      <c r="F67" s="371" t="n">
        <v>32.0</v>
      </c>
      <c r="G67" s="9">
        <f si="1" t="shared"/>
        <v>1.2851157889325828E-5</v>
      </c>
    </row>
    <row r="68" spans="1:7" x14ac:dyDescent="0.25">
      <c r="A68">
        <v>57</v>
      </c>
      <c r="B68" s="6" t="n">
        <v>654.907218069</v>
      </c>
      <c r="C68" s="9">
        <f si="0" t="shared"/>
        <v>3.937550615496847E-4</v>
      </c>
      <c r="E68" s="371">
        <v>57</v>
      </c>
      <c r="F68" s="371" t="n">
        <v>23.0</v>
      </c>
      <c r="G68" s="9">
        <f si="1" t="shared"/>
        <v>7.9554786933921788E-6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11.0</v>
      </c>
      <c r="G69" s="9">
        <f si="1" t="shared"/>
        <v>1.2239197989834121E-5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18.0</v>
      </c>
      <c r="G70" s="9">
        <f si="1" t="shared"/>
        <v>9.7913583918672985E-6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9.0</v>
      </c>
      <c r="G71" s="9">
        <f si="1" t="shared"/>
        <v>1.1627238090342417E-5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5.0</v>
      </c>
      <c r="G72" s="9">
        <f si="1" t="shared"/>
        <v>7.9554786933921788E-6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10.0</v>
      </c>
      <c r="G73" s="9">
        <f si="1" t="shared"/>
        <v>3.0597994974585304E-6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4.0</v>
      </c>
      <c r="G74" s="9">
        <f si="1" t="shared"/>
        <v>3.0597994974585304E-6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6.0</v>
      </c>
      <c r="G75" s="9">
        <f si="1" t="shared"/>
        <v>1.2239197989834123E-6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2.0</v>
      </c>
      <c r="G76" s="9">
        <f si="1" t="shared"/>
        <v>4.2837192964419427E-6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4.0</v>
      </c>
      <c r="G77" s="9">
        <f ref="G77:G102" si="3" t="shared">F77/F$102</f>
        <v>1.8358796984751183E-6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2.0</v>
      </c>
      <c r="G78" s="9">
        <f si="3" t="shared"/>
        <v>1.8358796984751183E-6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1.8358796984751183E-6</v>
      </c>
    </row>
    <row r="80" spans="1:7" x14ac:dyDescent="0.25">
      <c r="A80">
        <v>69</v>
      </c>
      <c r="B80" s="6" t="n">
        <v>376.597523036</v>
      </c>
      <c r="C80" s="9">
        <f si="2" t="shared"/>
        <v>2.2642471600744469E-4</v>
      </c>
      <c r="E80" s="371">
        <v>69</v>
      </c>
      <c r="F80" s="371" t="n">
        <v>1.0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4.0</v>
      </c>
      <c r="G81" s="9">
        <f si="3" t="shared"/>
        <v>1.8358796984751183E-6</v>
      </c>
    </row>
    <row r="82" spans="1:7" x14ac:dyDescent="0.25">
      <c r="A82">
        <v>71</v>
      </c>
      <c r="B82" s="6" t="n">
        <v>5138.639889169</v>
      </c>
      <c r="C82" s="9">
        <f si="2" t="shared"/>
        <v>3.0895452210884409E-3</v>
      </c>
      <c r="E82" s="371">
        <v>71</v>
      </c>
      <c r="F82" s="371" t="n">
        <v>2.0</v>
      </c>
      <c r="G82" s="9">
        <f si="3" t="shared"/>
        <v>6.1195989949170616E-7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4.0</v>
      </c>
      <c r="G83" s="9">
        <f si="3" t="shared"/>
        <v>1.2239197989834123E-6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6.1195989949170616E-7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6.1195989949170616E-7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85.7260115733</v>
      </c>
      <c r="C93" s="9">
        <f si="2" t="shared"/>
        <v>5.1541729930814942E-5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297.868494818</v>
      </c>
      <c r="C95" s="9">
        <f si="2" t="shared"/>
        <v>1.7908983788054132E-4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176.0946851223</v>
      </c>
      <c r="C101" s="9">
        <f si="2" t="shared"/>
        <v>1.0587480434762627E-4</v>
      </c>
      <c r="E101" s="372">
        <v>90</v>
      </c>
      <c r="F101" s="372" t="n">
        <v>0.0</v>
      </c>
      <c r="G101" s="9">
        <f si="3" t="shared"/>
        <v>1.2239197989834123E-6</v>
      </c>
    </row>
    <row r="102" spans="1:7" x14ac:dyDescent="0.25">
      <c r="B102" s="6">
        <f>SUM(B11:B101)</f>
        <v>1663235.0464055245</v>
      </c>
      <c r="C102" s="9">
        <f si="2" t="shared"/>
        <v>1</v>
      </c>
      <c r="F102" s="6">
        <f>SUM(F11:F101)</f>
        <v>1634094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11987.0</v>
      </c>
      <c r="G11" s="9">
        <f>F11/F$102</f>
        <v>7.1391241874702435E-3</v>
      </c>
      <c r="K11" s="6" t="n">
        <v>30.414956236283892</v>
      </c>
      <c r="L11" s="6" t="n">
        <v>19.4876064171679</v>
      </c>
    </row>
    <row r="12" spans="1:12" x14ac:dyDescent="0.25">
      <c r="A12">
        <v>1</v>
      </c>
      <c r="B12" s="6" t="n">
        <v>333.825096643</v>
      </c>
      <c r="C12" s="9">
        <f>B12/B$102</f>
        <v>2.0070831080937175E-4</v>
      </c>
      <c r="E12" s="371">
        <v>1</v>
      </c>
      <c r="F12" s="371" t="n">
        <v>46629.0</v>
      </c>
      <c r="G12" s="9">
        <f>F12/F$102</f>
        <v>2.8146483617221531E-2</v>
      </c>
      <c r="K12" s="6"/>
      <c r="L12" s="371"/>
    </row>
    <row r="13" spans="1:12" x14ac:dyDescent="0.25">
      <c r="A13">
        <v>2</v>
      </c>
      <c r="B13" s="6" t="n">
        <v>148.534598525</v>
      </c>
      <c r="C13" s="9">
        <f ref="C13:C76" si="0" t="shared">B13/B$102</f>
        <v>8.9304634871663674E-5</v>
      </c>
      <c r="E13" s="371">
        <v>2</v>
      </c>
      <c r="F13" s="371" t="n">
        <v>54815.0</v>
      </c>
      <c r="G13" s="9">
        <f ref="G13:G76" si="1" t="shared">F13/F$102</f>
        <v>3.3152927554963178E-2</v>
      </c>
    </row>
    <row r="14" spans="1:12" x14ac:dyDescent="0.25">
      <c r="A14">
        <v>3</v>
      </c>
      <c r="B14" s="6" t="n">
        <v>771.321815833</v>
      </c>
      <c r="C14" s="9">
        <f si="0" t="shared"/>
        <v>4.6374793358276706E-4</v>
      </c>
      <c r="E14" s="371">
        <v>3</v>
      </c>
      <c r="F14" s="371" t="n">
        <v>58174.0</v>
      </c>
      <c r="G14" s="9">
        <f si="1" t="shared"/>
        <v>3.5916538461067724E-2</v>
      </c>
    </row>
    <row r="15" spans="1:12" x14ac:dyDescent="0.25">
      <c r="A15">
        <v>4</v>
      </c>
      <c r="B15" s="6" t="n">
        <v>1346.2126218382</v>
      </c>
      <c r="C15" s="9">
        <f si="0" t="shared"/>
        <v>8.0939409300420087E-4</v>
      </c>
      <c r="E15" s="371">
        <v>4</v>
      </c>
      <c r="F15" s="371" t="n">
        <v>59007.0</v>
      </c>
      <c r="G15" s="9">
        <f si="1" t="shared"/>
        <v>3.577639964408412E-2</v>
      </c>
    </row>
    <row r="16" spans="1:12" x14ac:dyDescent="0.25">
      <c r="A16">
        <v>5</v>
      </c>
      <c r="B16" s="6" t="n">
        <v>19556.0610301978</v>
      </c>
      <c r="C16" s="9">
        <f si="0" t="shared"/>
        <v>1.1757845695027339E-2</v>
      </c>
      <c r="E16" s="371">
        <v>5</v>
      </c>
      <c r="F16" s="371" t="n">
        <v>57362.0</v>
      </c>
      <c r="G16" s="9">
        <f si="1" t="shared"/>
        <v>3.4766665809922805E-2</v>
      </c>
    </row>
    <row r="17" spans="1:7" x14ac:dyDescent="0.25">
      <c r="A17">
        <v>6</v>
      </c>
      <c r="B17" s="6" t="n">
        <v>18700.8686173377</v>
      </c>
      <c r="C17" s="9">
        <f si="0" t="shared"/>
        <v>1.1243671577118816E-2</v>
      </c>
      <c r="E17" s="371">
        <v>6</v>
      </c>
      <c r="F17" s="371" t="n">
        <v>53497.0</v>
      </c>
      <c r="G17" s="9">
        <f si="1" t="shared"/>
        <v>3.2761273219288484E-2</v>
      </c>
    </row>
    <row r="18" spans="1:7" x14ac:dyDescent="0.25">
      <c r="A18">
        <v>7</v>
      </c>
      <c r="B18" s="6" t="n">
        <v>16422.8129101743</v>
      </c>
      <c r="C18" s="9">
        <f si="0" t="shared"/>
        <v>9.8740180743943605E-3</v>
      </c>
      <c r="E18" s="371">
        <v>7</v>
      </c>
      <c r="F18" s="371" t="n">
        <v>49589.0</v>
      </c>
      <c r="G18" s="9">
        <f si="1" t="shared"/>
        <v>3.0388092729059651E-2</v>
      </c>
    </row>
    <row r="19" spans="1:7" x14ac:dyDescent="0.25">
      <c r="A19">
        <v>8</v>
      </c>
      <c r="B19" s="6" t="n">
        <v>5578.9880150008</v>
      </c>
      <c r="C19" s="9">
        <f si="0" t="shared"/>
        <v>3.354299217694904E-3</v>
      </c>
      <c r="E19" s="371">
        <v>8</v>
      </c>
      <c r="F19" s="371" t="n">
        <v>45453.0</v>
      </c>
      <c r="G19" s="9">
        <f si="1" t="shared"/>
        <v>2.7738918324160054E-2</v>
      </c>
    </row>
    <row r="20" spans="1:7" x14ac:dyDescent="0.25">
      <c r="A20">
        <v>9</v>
      </c>
      <c r="B20" s="6" t="n">
        <v>20340.1799372623</v>
      </c>
      <c r="C20" s="9">
        <f si="0" t="shared"/>
        <v>1.2229287725279819E-2</v>
      </c>
      <c r="E20" s="371">
        <v>9</v>
      </c>
      <c r="F20" s="371" t="n">
        <v>40897.0</v>
      </c>
      <c r="G20" s="9">
        <f si="1" t="shared"/>
        <v>2.5153999708707089E-2</v>
      </c>
    </row>
    <row r="21" spans="1:7" x14ac:dyDescent="0.25">
      <c r="A21">
        <v>10</v>
      </c>
      <c r="B21" s="6" t="n">
        <v>4120.5243318856</v>
      </c>
      <c r="C21" s="9">
        <f si="0" t="shared"/>
        <v>2.4774155287255449E-3</v>
      </c>
      <c r="E21" s="371">
        <v>10</v>
      </c>
      <c r="F21" s="371" t="n">
        <v>37225.0</v>
      </c>
      <c r="G21" s="9">
        <f si="1" t="shared"/>
        <v>2.2744101624508749E-2</v>
      </c>
    </row>
    <row r="22" spans="1:7" x14ac:dyDescent="0.25">
      <c r="A22">
        <v>11</v>
      </c>
      <c r="B22" s="6" t="n">
        <v>21768.6711674384</v>
      </c>
      <c r="C22" s="9">
        <f si="0" t="shared"/>
        <v>1.3088150838622255E-2</v>
      </c>
      <c r="E22" s="371">
        <v>11</v>
      </c>
      <c r="F22" s="371" t="n">
        <v>33393.0</v>
      </c>
      <c r="G22" s="9">
        <f si="1" t="shared"/>
        <v>2.0132868733377638E-2</v>
      </c>
    </row>
    <row r="23" spans="1:7" x14ac:dyDescent="0.25">
      <c r="A23">
        <v>12</v>
      </c>
      <c r="B23" s="6" t="n">
        <v>16928.0021256995</v>
      </c>
      <c r="C23" s="9">
        <f si="0" t="shared"/>
        <v>1.0177756993687207E-2</v>
      </c>
      <c r="E23" s="371">
        <v>12</v>
      </c>
      <c r="F23" s="371" t="n">
        <v>29556.0</v>
      </c>
      <c r="G23" s="9">
        <f si="1" t="shared"/>
        <v>1.827924219781726E-2</v>
      </c>
    </row>
    <row r="24" spans="1:7" x14ac:dyDescent="0.25">
      <c r="A24">
        <v>13</v>
      </c>
      <c r="B24" s="6" t="n">
        <v>36054.3135194263</v>
      </c>
      <c r="C24" s="9">
        <f si="0" t="shared"/>
        <v>2.1677220905935411E-2</v>
      </c>
      <c r="E24" s="371">
        <v>13</v>
      </c>
      <c r="F24" s="371" t="n">
        <v>26410.0</v>
      </c>
      <c r="G24" s="9">
        <f si="1" t="shared"/>
        <v>1.6153293506983073E-2</v>
      </c>
    </row>
    <row r="25" spans="1:7" x14ac:dyDescent="0.25">
      <c r="A25">
        <v>14</v>
      </c>
      <c r="B25" s="6" t="n">
        <v>27730.1843674921</v>
      </c>
      <c r="C25" s="9">
        <f si="0" t="shared"/>
        <v>1.6672438707578199E-2</v>
      </c>
      <c r="E25" s="371">
        <v>14</v>
      </c>
      <c r="F25" s="371" t="n">
        <v>23603.0</v>
      </c>
      <c r="G25" s="9">
        <f si="1" t="shared"/>
        <v>1.4518748615440728E-2</v>
      </c>
    </row>
    <row r="26" spans="1:7" x14ac:dyDescent="0.25">
      <c r="A26">
        <v>15</v>
      </c>
      <c r="B26" s="6" t="n">
        <v>13600.2345992095</v>
      </c>
      <c r="C26" s="9">
        <f si="0" t="shared"/>
        <v>8.1769769273449585E-3</v>
      </c>
      <c r="E26" s="371">
        <v>15</v>
      </c>
      <c r="F26" s="371" t="n">
        <v>22201.0</v>
      </c>
      <c r="G26" s="9">
        <f si="1" t="shared"/>
        <v>1.34435350720338E-2</v>
      </c>
    </row>
    <row r="27" spans="1:7" x14ac:dyDescent="0.25">
      <c r="A27">
        <v>16</v>
      </c>
      <c r="B27" s="6" t="n">
        <v>70085.149131614</v>
      </c>
      <c r="C27" s="9">
        <f si="0" t="shared"/>
        <v>4.2137850139147469E-2</v>
      </c>
      <c r="E27" s="371">
        <v>16</v>
      </c>
      <c r="F27" s="371" t="n">
        <v>18564.0</v>
      </c>
      <c r="G27" s="9">
        <f si="1" t="shared"/>
        <v>1.1617446731950549E-2</v>
      </c>
    </row>
    <row r="28" spans="1:7" x14ac:dyDescent="0.25">
      <c r="A28">
        <v>17</v>
      </c>
      <c r="B28" s="6" t="n">
        <v>43723.6880209839</v>
      </c>
      <c r="C28" s="9">
        <f si="0" t="shared"/>
        <v>2.6288339772226828E-2</v>
      </c>
      <c r="E28" s="371">
        <v>17</v>
      </c>
      <c r="F28" s="371" t="n">
        <v>17138.0</v>
      </c>
      <c r="G28" s="9">
        <f si="1" t="shared"/>
        <v>1.0452275083318341E-2</v>
      </c>
    </row>
    <row r="29" spans="1:7" x14ac:dyDescent="0.25">
      <c r="A29">
        <v>18</v>
      </c>
      <c r="B29" s="6" t="n">
        <v>107948.1036721795</v>
      </c>
      <c r="C29" s="9">
        <f si="0" t="shared"/>
        <v>6.4902494632655724E-2</v>
      </c>
      <c r="E29" s="371">
        <v>18</v>
      </c>
      <c r="F29" s="371" t="n">
        <v>189474.0</v>
      </c>
      <c r="G29" s="9">
        <f si="1" t="shared"/>
        <v>0.11578587278332825</v>
      </c>
    </row>
    <row r="30" spans="1:7" x14ac:dyDescent="0.25">
      <c r="A30">
        <v>19</v>
      </c>
      <c r="B30" s="6" t="n">
        <v>80228.0808054346</v>
      </c>
      <c r="C30" s="9">
        <f si="0" t="shared"/>
        <v>4.8236165404774434E-2</v>
      </c>
      <c r="E30" s="371">
        <v>19</v>
      </c>
      <c r="F30" s="371" t="n">
        <v>63451.0</v>
      </c>
      <c r="G30" s="9">
        <f si="1" t="shared"/>
        <v>3.8080428665670393E-2</v>
      </c>
    </row>
    <row r="31" spans="1:7" x14ac:dyDescent="0.25">
      <c r="A31">
        <v>20</v>
      </c>
      <c r="B31" s="6" t="n">
        <v>111888.5991619713</v>
      </c>
      <c r="C31" s="9">
        <f si="0" t="shared"/>
        <v>6.7271669992631303E-2</v>
      </c>
      <c r="E31" s="371">
        <v>20</v>
      </c>
      <c r="F31" s="371" t="n">
        <v>62397.0</v>
      </c>
      <c r="G31" s="9">
        <f si="1" t="shared"/>
        <v>3.8055950269690726E-2</v>
      </c>
    </row>
    <row r="32" spans="1:7" x14ac:dyDescent="0.25">
      <c r="A32">
        <v>21</v>
      </c>
      <c r="B32" s="6" t="n">
        <v>114083.8321876549</v>
      </c>
      <c r="C32" s="9">
        <f si="0" t="shared"/>
        <v>6.8591527357606749E-2</v>
      </c>
      <c r="E32" s="371">
        <v>21</v>
      </c>
      <c r="F32" s="371" t="n">
        <v>71651.0</v>
      </c>
      <c r="G32" s="9">
        <f si="1" t="shared"/>
        <v>4.3915466307323812E-2</v>
      </c>
    </row>
    <row r="33" spans="1:7" x14ac:dyDescent="0.25">
      <c r="A33">
        <v>22</v>
      </c>
      <c r="B33" s="6" t="n">
        <v>67093.4735659995</v>
      </c>
      <c r="C33" s="9">
        <f si="0" t="shared"/>
        <v>4.0339141308378235E-2</v>
      </c>
      <c r="E33" s="371">
        <v>22</v>
      </c>
      <c r="F33" s="371" t="n">
        <v>69260.0</v>
      </c>
      <c r="G33" s="9">
        <f si="1" t="shared"/>
        <v>4.2080810528647677E-2</v>
      </c>
    </row>
    <row r="34" spans="1:7" x14ac:dyDescent="0.25">
      <c r="A34">
        <v>23</v>
      </c>
      <c r="B34" s="6" t="n">
        <v>46182.4078861356</v>
      </c>
      <c r="C34" s="9">
        <f si="0" t="shared"/>
        <v>2.7766615419715934E-2</v>
      </c>
      <c r="E34" s="371">
        <v>23</v>
      </c>
      <c r="F34" s="371" t="n">
        <v>58156.0</v>
      </c>
      <c r="G34" s="9">
        <f si="1" t="shared"/>
        <v>3.6164994180261353E-2</v>
      </c>
    </row>
    <row r="35" spans="1:7" x14ac:dyDescent="0.25">
      <c r="A35">
        <v>24</v>
      </c>
      <c r="B35" s="6" t="n">
        <v>79614.9074744078</v>
      </c>
      <c r="C35" s="9">
        <f si="0" t="shared"/>
        <v>4.7867502339171079E-2</v>
      </c>
      <c r="E35" s="371">
        <v>24</v>
      </c>
      <c r="F35" s="371" t="n">
        <v>39072.0</v>
      </c>
      <c r="G35" s="9">
        <f si="1" t="shared"/>
        <v>2.2577648531847006E-2</v>
      </c>
    </row>
    <row r="36" spans="1:7" x14ac:dyDescent="0.25">
      <c r="A36">
        <v>25</v>
      </c>
      <c r="B36" s="6" t="n">
        <v>35005.618641640904</v>
      </c>
      <c r="C36" s="9">
        <f si="0" t="shared"/>
        <v>2.1046705766146978E-2</v>
      </c>
      <c r="E36" s="371">
        <v>25</v>
      </c>
      <c r="F36" s="371" t="n">
        <v>37566.0</v>
      </c>
      <c r="G36" s="9">
        <f si="1" t="shared"/>
        <v>2.3096590526615973E-2</v>
      </c>
    </row>
    <row r="37" spans="1:7" x14ac:dyDescent="0.25">
      <c r="A37">
        <v>26</v>
      </c>
      <c r="B37" s="6" t="n">
        <v>110171.453819876</v>
      </c>
      <c r="C37" s="9">
        <f si="0" t="shared"/>
        <v>6.6239257077928548E-2</v>
      </c>
      <c r="E37" s="371">
        <v>26</v>
      </c>
      <c r="F37" s="371" t="n">
        <v>32115.0</v>
      </c>
      <c r="G37" s="9">
        <f si="1" t="shared"/>
        <v>1.8585834107462607E-2</v>
      </c>
    </row>
    <row r="38" spans="1:7" x14ac:dyDescent="0.25">
      <c r="A38">
        <v>27</v>
      </c>
      <c r="B38" s="6" t="n">
        <v>21890.0940225592</v>
      </c>
      <c r="C38" s="9">
        <f si="0" t="shared"/>
        <v>1.3161154864952274E-2</v>
      </c>
      <c r="E38" s="371">
        <v>27</v>
      </c>
      <c r="F38" s="371" t="n">
        <v>23405.0</v>
      </c>
      <c r="G38" s="9">
        <f si="1" t="shared"/>
        <v>1.6771984965369188E-2</v>
      </c>
    </row>
    <row r="39" spans="1:7" x14ac:dyDescent="0.25">
      <c r="A39">
        <v>28</v>
      </c>
      <c r="B39" s="6" t="n">
        <v>33013.00494433</v>
      </c>
      <c r="C39" s="9">
        <f si="0" t="shared"/>
        <v>1.9848670827178366E-2</v>
      </c>
      <c r="E39" s="371">
        <v>28</v>
      </c>
      <c r="F39" s="371" t="n">
        <v>34232.0</v>
      </c>
      <c r="G39" s="9">
        <f si="1" t="shared"/>
        <v>2.0757679790758671E-2</v>
      </c>
    </row>
    <row r="40" spans="1:7" x14ac:dyDescent="0.25">
      <c r="A40">
        <v>29</v>
      </c>
      <c r="B40" s="6" t="n">
        <v>32294.1378415938</v>
      </c>
      <c r="C40" s="9">
        <f si="0" t="shared"/>
        <v>1.9416460656830063E-2</v>
      </c>
      <c r="E40" s="371">
        <v>29</v>
      </c>
      <c r="F40" s="371" t="n">
        <v>21144.0</v>
      </c>
      <c r="G40" s="9">
        <f si="1" t="shared"/>
        <v>1.6636741827581521E-2</v>
      </c>
    </row>
    <row r="41" spans="1:7" x14ac:dyDescent="0.25">
      <c r="A41">
        <v>30</v>
      </c>
      <c r="B41" s="6" t="n">
        <v>9876.4197473297</v>
      </c>
      <c r="C41" s="9">
        <f si="0" t="shared"/>
        <v>5.9380781860471094E-3</v>
      </c>
      <c r="E41" s="371">
        <v>30</v>
      </c>
      <c r="F41" s="371" t="n">
        <v>25492.0</v>
      </c>
      <c r="G41" s="9">
        <f si="1" t="shared"/>
        <v>1.1790019423607211E-2</v>
      </c>
    </row>
    <row r="42" spans="1:7" x14ac:dyDescent="0.25">
      <c r="A42">
        <v>31</v>
      </c>
      <c r="B42" s="6" t="n">
        <v>24224.3808159442</v>
      </c>
      <c r="C42" s="9">
        <f si="0" t="shared"/>
        <v>1.4564616629679821E-2</v>
      </c>
      <c r="E42" s="371">
        <v>31</v>
      </c>
      <c r="F42" s="371" t="n">
        <v>17288.0</v>
      </c>
      <c r="G42" s="9">
        <f si="1" t="shared"/>
        <v>9.3880768181022634E-3</v>
      </c>
    </row>
    <row r="43" spans="1:7" x14ac:dyDescent="0.25">
      <c r="A43">
        <v>32</v>
      </c>
      <c r="B43" s="6" t="n">
        <v>12103.7005547363</v>
      </c>
      <c r="C43" s="9">
        <f si="0" t="shared"/>
        <v>7.2772038930360603E-3</v>
      </c>
      <c r="E43" s="371">
        <v>32</v>
      </c>
      <c r="F43" s="371" t="n">
        <v>18211.0</v>
      </c>
      <c r="G43" s="9">
        <f si="1" t="shared"/>
        <v>1.1061175183312589E-2</v>
      </c>
    </row>
    <row r="44" spans="1:7" x14ac:dyDescent="0.25">
      <c r="A44">
        <v>33</v>
      </c>
      <c r="B44" s="6" t="n">
        <v>26940.1192445561</v>
      </c>
      <c r="C44" s="9">
        <f si="0" t="shared"/>
        <v>1.6197421586790949E-2</v>
      </c>
      <c r="E44" s="371">
        <v>33</v>
      </c>
      <c r="F44" s="371" t="n">
        <v>19836.0</v>
      </c>
      <c r="G44" s="9">
        <f si="1" t="shared"/>
        <v>1.3358472646004453E-2</v>
      </c>
    </row>
    <row r="45" spans="1:7" x14ac:dyDescent="0.25">
      <c r="A45">
        <v>34</v>
      </c>
      <c r="B45" s="6" t="n">
        <v>34088.1811608328</v>
      </c>
      <c r="C45" s="9">
        <f si="0" t="shared"/>
        <v>2.0495107552298122E-2</v>
      </c>
      <c r="E45" s="371">
        <v>34</v>
      </c>
      <c r="F45" s="371" t="n">
        <v>22501.0</v>
      </c>
      <c r="G45" s="9">
        <f si="1" t="shared"/>
        <v>1.3459446029420584E-2</v>
      </c>
    </row>
    <row r="46" spans="1:7" x14ac:dyDescent="0.25">
      <c r="A46">
        <v>35</v>
      </c>
      <c r="B46" s="6" t="n">
        <v>23687.3206641769</v>
      </c>
      <c r="C46" s="9">
        <f si="0" t="shared"/>
        <v>1.4241715694584711E-2</v>
      </c>
      <c r="E46" s="371">
        <v>35</v>
      </c>
      <c r="F46" s="371" t="n">
        <v>12841.0</v>
      </c>
      <c r="G46" s="9">
        <f si="1" t="shared"/>
        <v>7.9371198964074286E-3</v>
      </c>
    </row>
    <row r="47" spans="1:7" x14ac:dyDescent="0.25">
      <c r="A47">
        <v>36</v>
      </c>
      <c r="B47" s="6" t="n">
        <v>11180.3634742526</v>
      </c>
      <c r="C47" s="9">
        <f si="0" t="shared"/>
        <v>6.7220586160776676E-3</v>
      </c>
      <c r="E47" s="371">
        <v>36</v>
      </c>
      <c r="F47" s="371" t="n">
        <v>8043.0</v>
      </c>
      <c r="G47" s="9">
        <f si="1" t="shared"/>
        <v>4.8087808902058269E-3</v>
      </c>
    </row>
    <row r="48" spans="1:7" x14ac:dyDescent="0.25">
      <c r="A48">
        <v>37</v>
      </c>
      <c r="B48" s="6" t="n">
        <v>24737.8694603382</v>
      </c>
      <c r="C48" s="9">
        <f si="0" t="shared"/>
        <v>1.4873345480423867E-2</v>
      </c>
      <c r="E48" s="371">
        <v>37</v>
      </c>
      <c r="F48" s="371" t="n">
        <v>10313.0</v>
      </c>
      <c r="G48" s="9">
        <f si="1" t="shared"/>
        <v>6.1734514660723308E-3</v>
      </c>
    </row>
    <row r="49" spans="1:7" x14ac:dyDescent="0.25">
      <c r="A49">
        <v>38</v>
      </c>
      <c r="B49" s="6" t="n">
        <v>22185.304254814</v>
      </c>
      <c r="C49" s="9">
        <f si="0" t="shared"/>
        <v>1.3338646454546174E-2</v>
      </c>
      <c r="E49" s="371">
        <v>38</v>
      </c>
      <c r="F49" s="371" t="n">
        <v>7108.0</v>
      </c>
      <c r="G49" s="9">
        <f si="1" t="shared"/>
        <v>5.3675002784417539E-3</v>
      </c>
    </row>
    <row r="50" spans="1:7" x14ac:dyDescent="0.25">
      <c r="A50">
        <v>39</v>
      </c>
      <c r="B50" s="6" t="n">
        <v>9696.9774611904</v>
      </c>
      <c r="C50" s="9">
        <f si="0" t="shared"/>
        <v>5.8301906769863184E-3</v>
      </c>
      <c r="E50" s="371">
        <v>39</v>
      </c>
      <c r="F50" s="371" t="n">
        <v>10533.0</v>
      </c>
      <c r="G50" s="9">
        <f si="1" t="shared"/>
        <v>6.041880087681614E-3</v>
      </c>
    </row>
    <row r="51" spans="1:7" x14ac:dyDescent="0.25">
      <c r="A51">
        <v>40</v>
      </c>
      <c r="B51" s="6" t="n">
        <v>17700.9045033165</v>
      </c>
      <c r="C51" s="9">
        <f si="0" t="shared"/>
        <v>1.064245522096864E-2</v>
      </c>
      <c r="E51" s="371">
        <v>40</v>
      </c>
      <c r="F51" s="371" t="n">
        <v>5468.0</v>
      </c>
      <c r="G51" s="9">
        <f si="1" t="shared"/>
        <v>4.8681410004565223E-3</v>
      </c>
    </row>
    <row r="52" spans="1:7" x14ac:dyDescent="0.25">
      <c r="A52">
        <v>41</v>
      </c>
      <c r="B52" s="6" t="n">
        <v>17609.5071232353</v>
      </c>
      <c r="C52" s="9">
        <f si="0" t="shared"/>
        <v>1.0587503649163608E-2</v>
      </c>
      <c r="E52" s="371">
        <v>41</v>
      </c>
      <c r="F52" s="371" t="n">
        <v>8967.0</v>
      </c>
      <c r="G52" s="9">
        <f si="1" t="shared"/>
        <v>3.8620789256921572E-3</v>
      </c>
    </row>
    <row r="53" spans="1:7" x14ac:dyDescent="0.25">
      <c r="A53">
        <v>42</v>
      </c>
      <c r="B53" s="6" t="n">
        <v>4971.9996765032</v>
      </c>
      <c r="C53" s="9">
        <f si="0" t="shared"/>
        <v>2.989354804210241E-3</v>
      </c>
      <c r="E53" s="371">
        <v>42</v>
      </c>
      <c r="F53" s="371" t="n">
        <v>6213.0</v>
      </c>
      <c r="G53" s="9">
        <f si="1" t="shared"/>
        <v>3.2023861540400982E-3</v>
      </c>
    </row>
    <row r="54" spans="1:7" x14ac:dyDescent="0.25">
      <c r="A54">
        <v>43</v>
      </c>
      <c r="B54" s="6" t="n">
        <v>4521.353864761</v>
      </c>
      <c r="C54" s="9">
        <f si="0" t="shared"/>
        <v>2.7184094482209562E-3</v>
      </c>
      <c r="E54" s="371">
        <v>43</v>
      </c>
      <c r="F54" s="371" t="n">
        <v>5220.0</v>
      </c>
      <c r="G54" s="9">
        <f si="1" t="shared"/>
        <v>2.9588261140423991E-3</v>
      </c>
    </row>
    <row r="55" spans="1:7" x14ac:dyDescent="0.25">
      <c r="A55">
        <v>44</v>
      </c>
      <c r="B55" s="6" t="n">
        <v>3684.0662781272</v>
      </c>
      <c r="C55" s="9">
        <f si="0" t="shared"/>
        <v>2.2150003910084526E-3</v>
      </c>
      <c r="E55" s="371">
        <v>44</v>
      </c>
      <c r="F55" s="371" t="n">
        <v>5413.0</v>
      </c>
      <c r="G55" s="9">
        <f si="1" t="shared"/>
        <v>3.0292015024839451E-3</v>
      </c>
    </row>
    <row r="56" spans="1:7" x14ac:dyDescent="0.25">
      <c r="A56">
        <v>45</v>
      </c>
      <c r="B56" s="6" t="n">
        <v>97503.2723621017</v>
      </c>
      <c r="C56" s="9">
        <f si="0" t="shared"/>
        <v>5.8622665854005065E-2</v>
      </c>
      <c r="E56" s="371">
        <v>45</v>
      </c>
      <c r="F56" s="371" t="n">
        <v>4963.0</v>
      </c>
      <c r="G56" s="9">
        <f si="1" t="shared"/>
        <v>3.1883110763517887E-3</v>
      </c>
    </row>
    <row r="57" spans="1:7" x14ac:dyDescent="0.25">
      <c r="A57">
        <v>46</v>
      </c>
      <c r="B57" s="6" t="n">
        <v>5493.9215501004</v>
      </c>
      <c r="C57" s="9">
        <f si="0" t="shared"/>
        <v>3.3031540322418676E-3</v>
      </c>
      <c r="E57" s="371">
        <v>46</v>
      </c>
      <c r="F57" s="371" t="n">
        <v>4099.0</v>
      </c>
      <c r="G57" s="9">
        <f si="1" t="shared"/>
        <v>2.3028051017872902E-3</v>
      </c>
    </row>
    <row r="58" spans="1:7" x14ac:dyDescent="0.25">
      <c r="A58">
        <v>47</v>
      </c>
      <c r="B58" s="6" t="n">
        <v>2993.9634491883</v>
      </c>
      <c r="C58" s="9">
        <f si="0" t="shared"/>
        <v>1.8000843931581757E-3</v>
      </c>
      <c r="E58" s="371">
        <v>47</v>
      </c>
      <c r="F58" s="371" t="n">
        <v>4995.0</v>
      </c>
      <c r="G58" s="9">
        <f si="1" t="shared"/>
        <v>3.184027357055347E-3</v>
      </c>
    </row>
    <row r="59" spans="1:7" x14ac:dyDescent="0.25">
      <c r="A59">
        <v>48</v>
      </c>
      <c r="B59" s="6" t="n">
        <v>573.9446308477001</v>
      </c>
      <c r="C59" s="9">
        <f si="0" t="shared"/>
        <v>3.450772830262756E-4</v>
      </c>
      <c r="E59" s="371">
        <v>48</v>
      </c>
      <c r="F59" s="371" t="n">
        <v>4012.0</v>
      </c>
      <c r="G59" s="9">
        <f si="1" t="shared"/>
        <v>3.1369064447944856E-3</v>
      </c>
    </row>
    <row r="60" spans="1:7" x14ac:dyDescent="0.25">
      <c r="A60">
        <v>49</v>
      </c>
      <c r="B60" s="6" t="n">
        <v>3178.6539217439</v>
      </c>
      <c r="C60" s="9">
        <f si="0" t="shared"/>
        <v>1.9111273109675021E-3</v>
      </c>
      <c r="E60" s="371">
        <v>49</v>
      </c>
      <c r="F60" s="371" t="n">
        <v>3610.0</v>
      </c>
      <c r="G60" s="9">
        <f si="1" t="shared"/>
        <v>1.8548504553593612E-3</v>
      </c>
    </row>
    <row r="61" spans="1:7" x14ac:dyDescent="0.25">
      <c r="A61">
        <v>50</v>
      </c>
      <c r="B61" s="6" t="n">
        <v>2798.5643410527</v>
      </c>
      <c r="C61" s="9">
        <f si="0" t="shared"/>
        <v>1.6826030374364552E-3</v>
      </c>
      <c r="E61" s="371">
        <v>50</v>
      </c>
      <c r="F61" s="371" t="n">
        <v>3313.0</v>
      </c>
      <c r="G61" s="9">
        <f si="1" t="shared"/>
        <v>1.778355467922898E-3</v>
      </c>
    </row>
    <row r="62" spans="1:7" x14ac:dyDescent="0.25">
      <c r="A62">
        <v>51</v>
      </c>
      <c r="B62" s="6" t="n">
        <v>1316.9566898570001</v>
      </c>
      <c r="C62" s="9">
        <f si="0" t="shared"/>
        <v>7.9180431695635614E-4</v>
      </c>
      <c r="E62" s="371">
        <v>51</v>
      </c>
      <c r="F62" s="371" t="n">
        <v>3622.0</v>
      </c>
      <c r="G62" s="9">
        <f si="1" t="shared"/>
        <v>2.8009404599735389E-3</v>
      </c>
    </row>
    <row r="63" spans="1:7" x14ac:dyDescent="0.25">
      <c r="A63">
        <v>52</v>
      </c>
      <c r="B63" s="6" t="n">
        <v>1700.5931489561</v>
      </c>
      <c r="C63" s="9">
        <f si="0" t="shared"/>
        <v>1.0224611083269985E-3</v>
      </c>
      <c r="E63" s="371">
        <v>52</v>
      </c>
      <c r="F63" s="371" t="n">
        <v>2111.0</v>
      </c>
      <c r="G63" s="9">
        <f si="1" t="shared"/>
        <v>1.3573270570726042E-3</v>
      </c>
    </row>
    <row r="64" spans="1:7" x14ac:dyDescent="0.25">
      <c r="A64">
        <v>53</v>
      </c>
      <c r="B64" s="6" t="n">
        <v>3572.4721361389998</v>
      </c>
      <c r="C64" s="9">
        <f si="0" t="shared"/>
        <v>2.1479057598380894E-3</v>
      </c>
      <c r="E64" s="371">
        <v>53</v>
      </c>
      <c r="F64" s="371" t="n">
        <v>2200.0</v>
      </c>
      <c r="G64" s="9">
        <f si="1" t="shared"/>
        <v>1.2435025157671467E-3</v>
      </c>
    </row>
    <row r="65" spans="1:7" x14ac:dyDescent="0.25">
      <c r="A65">
        <v>54</v>
      </c>
      <c r="B65" s="6" t="n">
        <v>5850.475147112</v>
      </c>
      <c r="C65" s="9">
        <f si="0" t="shared"/>
        <v>3.5175275796139964E-3</v>
      </c>
      <c r="E65" s="371">
        <v>54</v>
      </c>
      <c r="F65" s="371" t="n">
        <v>1708.0</v>
      </c>
      <c r="G65" s="9">
        <f si="1" t="shared"/>
        <v>1.0403318291359004E-3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1542.0</v>
      </c>
      <c r="G66" s="9">
        <f si="1" t="shared"/>
        <v>9.0692457104670843E-4</v>
      </c>
    </row>
    <row r="67" spans="1:7" x14ac:dyDescent="0.25">
      <c r="A67">
        <v>56</v>
      </c>
      <c r="B67" s="6" t="n">
        <v>1908.1655340476</v>
      </c>
      <c r="C67" s="9">
        <f si="0" t="shared"/>
        <v>1.1472614999133181E-3</v>
      </c>
      <c r="E67" s="371">
        <v>56</v>
      </c>
      <c r="F67" s="371" t="n">
        <v>1537.0</v>
      </c>
      <c r="G67" s="9">
        <f si="1" t="shared"/>
        <v>8.9468537305687434E-4</v>
      </c>
    </row>
    <row r="68" spans="1:7" x14ac:dyDescent="0.25">
      <c r="A68">
        <v>57</v>
      </c>
      <c r="B68" s="6" t="n">
        <v>1557.3016408869998</v>
      </c>
      <c r="C68" s="9">
        <f si="0" t="shared"/>
        <v>9.3630881831917767E-4</v>
      </c>
      <c r="E68" s="371">
        <v>57</v>
      </c>
      <c r="F68" s="371" t="n">
        <v>1489.0</v>
      </c>
      <c r="G68" s="9">
        <f si="1" t="shared"/>
        <v>9.4180628531773569E-4</v>
      </c>
    </row>
    <row r="69" spans="1:7" x14ac:dyDescent="0.25">
      <c r="A69">
        <v>58</v>
      </c>
      <c r="B69" s="6" t="n">
        <v>5955.264272062</v>
      </c>
      <c r="C69" s="9">
        <f si="0" t="shared"/>
        <v>3.5805307764119852E-3</v>
      </c>
      <c r="E69" s="371">
        <v>58</v>
      </c>
      <c r="F69" s="371" t="n">
        <v>1567.0</v>
      </c>
      <c r="G69" s="9">
        <f si="1" t="shared"/>
        <v>1.0342122301409834E-3</v>
      </c>
    </row>
    <row r="70" spans="1:7" x14ac:dyDescent="0.25">
      <c r="A70">
        <v>59</v>
      </c>
      <c r="B70" s="6" t="n">
        <v>4619.0558469383</v>
      </c>
      <c r="C70" s="9">
        <f si="0" t="shared"/>
        <v>2.7771515859533517E-3</v>
      </c>
      <c r="E70" s="371">
        <v>59</v>
      </c>
      <c r="F70" s="371" t="n">
        <v>1297.0</v>
      </c>
      <c r="G70" s="9">
        <f si="1" t="shared"/>
        <v>7.5760635557073212E-4</v>
      </c>
    </row>
    <row r="71" spans="1:7" x14ac:dyDescent="0.25">
      <c r="A71">
        <v>60</v>
      </c>
      <c r="B71" s="6" t="n">
        <v>4981.3137635427</v>
      </c>
      <c r="C71" s="9">
        <f si="0" t="shared"/>
        <v>2.9949547866418456E-3</v>
      </c>
      <c r="E71" s="371">
        <v>60</v>
      </c>
      <c r="F71" s="371" t="n">
        <v>1250.0</v>
      </c>
      <c r="G71" s="9">
        <f si="1" t="shared"/>
        <v>7.5699439567124044E-4</v>
      </c>
    </row>
    <row r="72" spans="1:7" x14ac:dyDescent="0.25">
      <c r="A72">
        <v>61</v>
      </c>
      <c r="B72" s="6" t="n">
        <v>6042.9795145231</v>
      </c>
      <c r="C72" s="9">
        <f si="0" t="shared"/>
        <v>3.6332685074083738E-3</v>
      </c>
      <c r="E72" s="371">
        <v>61</v>
      </c>
      <c r="F72" s="371" t="n">
        <v>887.0</v>
      </c>
      <c r="G72" s="9">
        <f si="1" t="shared"/>
        <v>5.9115326290898806E-4</v>
      </c>
    </row>
    <row r="73" spans="1:7" x14ac:dyDescent="0.25">
      <c r="A73">
        <v>62</v>
      </c>
      <c r="B73" s="6" t="n">
        <v>249.386870068</v>
      </c>
      <c r="C73" s="9">
        <f si="0" t="shared"/>
        <v>1.4994084606800379E-4</v>
      </c>
      <c r="E73" s="371">
        <v>62</v>
      </c>
      <c r="F73" s="371" t="n">
        <v>790.0</v>
      </c>
      <c r="G73" s="9">
        <f si="1" t="shared"/>
        <v>5.4342039074863503E-4</v>
      </c>
    </row>
    <row r="74" spans="1:7" x14ac:dyDescent="0.25">
      <c r="A74">
        <v>63</v>
      </c>
      <c r="B74" s="6" t="n">
        <v>803.2207739549999</v>
      </c>
      <c r="C74" s="9">
        <f si="0" t="shared"/>
        <v>4.8292679720215618E-4</v>
      </c>
      <c r="E74" s="371">
        <v>63</v>
      </c>
      <c r="F74" s="371" t="n">
        <v>861.0</v>
      </c>
      <c r="G74" s="9">
        <f si="1" t="shared"/>
        <v>4.7304500230708883E-4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761.0</v>
      </c>
      <c r="G75" s="9">
        <f si="1" t="shared"/>
        <v>5.1833003486947504E-4</v>
      </c>
    </row>
    <row r="76" spans="1:7" x14ac:dyDescent="0.25">
      <c r="A76">
        <v>65</v>
      </c>
      <c r="B76" s="6" t="n">
        <v>2021.7684500008</v>
      </c>
      <c r="C76" s="9">
        <f si="0" t="shared"/>
        <v>1.2155638821885781E-3</v>
      </c>
      <c r="E76" s="371">
        <v>65</v>
      </c>
      <c r="F76" s="371" t="n">
        <v>686.0</v>
      </c>
      <c r="G76" s="9">
        <f si="1" t="shared"/>
        <v>4.3204368904114452E-4</v>
      </c>
    </row>
    <row r="77" spans="1:7" x14ac:dyDescent="0.25">
      <c r="A77">
        <v>66</v>
      </c>
      <c r="B77" s="6" t="n">
        <v>915.373954487</v>
      </c>
      <c r="C77" s="9">
        <f ref="C77:C102" si="2" t="shared">B77/B$102</f>
        <v>5.5035754355059214E-4</v>
      </c>
      <c r="E77" s="371">
        <v>66</v>
      </c>
      <c r="F77" s="371" t="n">
        <v>732.0</v>
      </c>
      <c r="G77" s="9">
        <f ref="G77:G102" si="3" t="shared">F77/F$102</f>
        <v>4.1062509255893482E-4</v>
      </c>
    </row>
    <row r="78" spans="1:7" x14ac:dyDescent="0.25">
      <c r="A78">
        <v>67</v>
      </c>
      <c r="B78" s="6" t="n">
        <v>5823.250306153</v>
      </c>
      <c r="C78" s="9">
        <f si="2" t="shared"/>
        <v>3.5011589725323713E-3</v>
      </c>
      <c r="E78" s="371">
        <v>67</v>
      </c>
      <c r="F78" s="371" t="n">
        <v>610.0</v>
      </c>
      <c r="G78" s="9">
        <f si="3" t="shared"/>
        <v>3.6228026049909E-4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580.0</v>
      </c>
      <c r="G79" s="9">
        <f si="3" t="shared"/>
        <v>3.8737061637824998E-4</v>
      </c>
    </row>
    <row r="80" spans="1:7" x14ac:dyDescent="0.25">
      <c r="A80">
        <v>69</v>
      </c>
      <c r="B80" s="6" t="n">
        <v>2099.717678017</v>
      </c>
      <c r="C80" s="9">
        <f si="2" t="shared"/>
        <v>1.2624299148546517E-3</v>
      </c>
      <c r="E80" s="371">
        <v>69</v>
      </c>
      <c r="F80" s="371" t="n">
        <v>615.0</v>
      </c>
      <c r="G80" s="9">
        <f si="3" t="shared"/>
        <v>3.500410625092559E-4</v>
      </c>
    </row>
    <row r="81" spans="1:7" x14ac:dyDescent="0.25">
      <c r="A81">
        <v>70</v>
      </c>
      <c r="B81" s="6" t="n">
        <v>4.59375</v>
      </c>
      <c r="C81" s="9">
        <f si="2" t="shared"/>
        <v>2.7619367508685631E-6</v>
      </c>
      <c r="E81" s="371">
        <v>70</v>
      </c>
      <c r="F81" s="371" t="n">
        <v>500.0</v>
      </c>
      <c r="G81" s="9">
        <f si="3" t="shared"/>
        <v>3.1699522793670378E-4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620.0</v>
      </c>
      <c r="G82" s="9">
        <f si="3" t="shared"/>
        <v>3.1821914773568719E-4</v>
      </c>
    </row>
    <row r="83" spans="1:7" x14ac:dyDescent="0.25">
      <c r="A83">
        <v>72</v>
      </c>
      <c r="B83" s="6" t="n">
        <v>16235.1886455532</v>
      </c>
      <c r="C83" s="9">
        <f si="2" t="shared"/>
        <v>9.7612112495101804E-3</v>
      </c>
      <c r="E83" s="371">
        <v>72</v>
      </c>
      <c r="F83" s="371" t="n">
        <v>639.0</v>
      </c>
      <c r="G83" s="9">
        <f si="3" t="shared"/>
        <v>3.408616640168803E-4</v>
      </c>
    </row>
    <row r="84" spans="1:7" x14ac:dyDescent="0.25">
      <c r="A84">
        <v>73</v>
      </c>
      <c r="B84" s="6" t="n">
        <v>1610.438278859</v>
      </c>
      <c r="C84" s="9">
        <f si="2" t="shared"/>
        <v>9.6825658065549669E-4</v>
      </c>
      <c r="E84" s="371">
        <v>73</v>
      </c>
      <c r="F84" s="371" t="n">
        <v>411.0</v>
      </c>
      <c r="G84" s="9">
        <f si="3" t="shared"/>
        <v>2.5824707758549995E-4</v>
      </c>
    </row>
    <row r="85" spans="1:7" x14ac:dyDescent="0.25">
      <c r="A85">
        <v>74</v>
      </c>
      <c r="B85" s="6" t="n">
        <v>3050.173453257</v>
      </c>
      <c r="C85" s="9">
        <f si="2" t="shared"/>
        <v>1.8338799797712507E-3</v>
      </c>
      <c r="E85" s="371">
        <v>74</v>
      </c>
      <c r="F85" s="371" t="n">
        <v>377.0</v>
      </c>
      <c r="G85" s="9">
        <f si="3" t="shared"/>
        <v>2.3193280190735661E-4</v>
      </c>
    </row>
    <row r="86" spans="1:7" x14ac:dyDescent="0.25">
      <c r="A86">
        <v>75</v>
      </c>
      <c r="B86" s="6" t="n">
        <v>876.744893286</v>
      </c>
      <c r="C86" s="9">
        <f si="2" t="shared"/>
        <v>5.2713228667274883E-4</v>
      </c>
      <c r="E86" s="371">
        <v>75</v>
      </c>
      <c r="F86" s="371" t="n">
        <v>353.0</v>
      </c>
      <c r="G86" s="9">
        <f si="3" t="shared"/>
        <v>2.8150155376618479E-4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326.0</v>
      </c>
      <c r="G87" s="9">
        <f si="3" t="shared"/>
        <v>1.9215540844039571E-4</v>
      </c>
    </row>
    <row r="88" spans="1:7" x14ac:dyDescent="0.25">
      <c r="A88">
        <v>77</v>
      </c>
      <c r="B88" s="6" t="n">
        <v>103.884081167</v>
      </c>
      <c r="C88" s="9">
        <f si="2" t="shared"/>
        <v>6.2459050145382332E-5</v>
      </c>
      <c r="E88" s="371">
        <v>77</v>
      </c>
      <c r="F88" s="371" t="n">
        <v>298.0</v>
      </c>
      <c r="G88" s="9">
        <f si="3" t="shared"/>
        <v>2.0133480693277131E-4</v>
      </c>
    </row>
    <row r="89" spans="1:7" x14ac:dyDescent="0.25">
      <c r="A89">
        <v>78</v>
      </c>
      <c r="B89" s="6" t="n">
        <v>552.1879851022</v>
      </c>
      <c r="C89" s="9">
        <f si="2" t="shared"/>
        <v>3.3199636232747291E-4</v>
      </c>
      <c r="E89" s="371">
        <v>78</v>
      </c>
      <c r="F89" s="371" t="n">
        <v>347.0</v>
      </c>
      <c r="G89" s="9">
        <f si="3" t="shared"/>
        <v>2.307088821083732E-4</v>
      </c>
    </row>
    <row r="90" spans="1:7" x14ac:dyDescent="0.25">
      <c r="A90">
        <v>79</v>
      </c>
      <c r="B90" s="6" t="n">
        <v>3617.977487135</v>
      </c>
      <c r="C90" s="9">
        <f si="2" t="shared"/>
        <v>2.1752653029732246E-3</v>
      </c>
      <c r="E90" s="371">
        <v>79</v>
      </c>
      <c r="F90" s="371" t="n">
        <v>333.0</v>
      </c>
      <c r="G90" s="9">
        <f si="3" t="shared"/>
        <v>1.9643912773683765E-4</v>
      </c>
    </row>
    <row r="91" spans="1:7" x14ac:dyDescent="0.25">
      <c r="A91">
        <v>80</v>
      </c>
      <c r="B91" s="6" t="n">
        <v>2416.7367966575</v>
      </c>
      <c r="C91" s="9">
        <f si="2" t="shared"/>
        <v>1.4530338342018426E-3</v>
      </c>
      <c r="E91" s="371">
        <v>80</v>
      </c>
      <c r="F91" s="371" t="n">
        <v>240.0</v>
      </c>
      <c r="G91" s="9">
        <f si="3" t="shared"/>
        <v>1.7685641095310307E-4</v>
      </c>
    </row>
    <row r="92" spans="1:7" x14ac:dyDescent="0.25">
      <c r="A92">
        <v>81</v>
      </c>
      <c r="B92" s="6" t="n">
        <v>761.4660318990001</v>
      </c>
      <c r="C92" s="9">
        <f si="2" t="shared"/>
        <v>4.5782226243045484E-4</v>
      </c>
      <c r="E92" s="371">
        <v>81</v>
      </c>
      <c r="F92" s="371" t="n">
        <v>238.0</v>
      </c>
      <c r="G92" s="9">
        <f si="3" t="shared"/>
        <v>1.5543781447089334E-4</v>
      </c>
    </row>
    <row r="93" spans="1:7" x14ac:dyDescent="0.25">
      <c r="A93">
        <v>82</v>
      </c>
      <c r="B93" s="6" t="n">
        <v>3526.6496723439</v>
      </c>
      <c r="C93" s="9">
        <f si="2" t="shared"/>
        <v>2.1203555564593621E-3</v>
      </c>
      <c r="E93" s="371">
        <v>82</v>
      </c>
      <c r="F93" s="371" t="n">
        <v>218.0</v>
      </c>
      <c r="G93" s="9">
        <f si="3" t="shared"/>
        <v>1.3279529818970023E-4</v>
      </c>
    </row>
    <row r="94" spans="1:7" x14ac:dyDescent="0.25">
      <c r="A94">
        <v>83</v>
      </c>
      <c r="B94" s="6" t="n">
        <v>820.3342852221</v>
      </c>
      <c r="C94" s="9">
        <f si="2" t="shared"/>
        <v>4.9321608932841618E-4</v>
      </c>
      <c r="E94" s="371">
        <v>83</v>
      </c>
      <c r="F94" s="371" t="n">
        <v>196.0</v>
      </c>
      <c r="G94" s="9">
        <f si="3" t="shared"/>
        <v>1.2851157889325827E-4</v>
      </c>
    </row>
    <row r="95" spans="1:7" x14ac:dyDescent="0.25">
      <c r="A95">
        <v>84</v>
      </c>
      <c r="B95" s="6" t="n">
        <v>2873.8604379418</v>
      </c>
      <c r="C95" s="9">
        <f si="2" t="shared"/>
        <v>1.7278739070299169E-3</v>
      </c>
      <c r="E95" s="371">
        <v>84</v>
      </c>
      <c r="F95" s="371" t="n">
        <v>209.0</v>
      </c>
      <c r="G95" s="9">
        <f si="3" t="shared"/>
        <v>1.407507768830924E-4</v>
      </c>
    </row>
    <row r="96" spans="1:7" x14ac:dyDescent="0.25">
      <c r="A96">
        <v>85</v>
      </c>
      <c r="B96" s="6" t="n">
        <v>1261.1307661893</v>
      </c>
      <c r="C96" s="9">
        <f si="2" t="shared"/>
        <v>7.5823965404936194E-4</v>
      </c>
      <c r="E96" s="371">
        <v>85</v>
      </c>
      <c r="F96" s="371" t="n">
        <v>209.0</v>
      </c>
      <c r="G96" s="9">
        <f si="3" t="shared"/>
        <v>1.2361589969732463E-4</v>
      </c>
    </row>
    <row r="97" spans="1:7" x14ac:dyDescent="0.25">
      <c r="A97">
        <v>86</v>
      </c>
      <c r="B97" s="6" t="n">
        <v>2109.970783763</v>
      </c>
      <c r="C97" s="9">
        <f si="2" t="shared"/>
        <v>1.2685944709516137E-3</v>
      </c>
      <c r="E97" s="371">
        <v>86</v>
      </c>
      <c r="F97" s="371" t="n">
        <v>186.0</v>
      </c>
      <c r="G97" s="9">
        <f si="3" t="shared"/>
        <v>1.2361589969732463E-4</v>
      </c>
    </row>
    <row r="98" spans="1:7" x14ac:dyDescent="0.25">
      <c r="A98">
        <v>87</v>
      </c>
      <c r="B98" s="6" t="n">
        <v>388.0936255263</v>
      </c>
      <c r="C98" s="9">
        <f si="2" t="shared"/>
        <v>2.3333660889663345E-4</v>
      </c>
      <c r="E98" s="371">
        <v>87</v>
      </c>
      <c r="F98" s="371" t="n">
        <v>180.0</v>
      </c>
      <c r="G98" s="9">
        <f si="3" t="shared"/>
        <v>1.1872022050139098E-4</v>
      </c>
    </row>
    <row r="99" spans="1:7" x14ac:dyDescent="0.25">
      <c r="A99">
        <v>88</v>
      </c>
      <c r="B99" s="6" t="n">
        <v>1669.1180393491</v>
      </c>
      <c r="C99" s="9">
        <f si="2" t="shared"/>
        <v>1.0035370785123178E-3</v>
      </c>
      <c r="E99" s="371">
        <v>88</v>
      </c>
      <c r="F99" s="371" t="n">
        <v>196.0</v>
      </c>
      <c r="G99" s="9">
        <f si="3" t="shared"/>
        <v>1.3279529818970023E-4</v>
      </c>
    </row>
    <row r="100" spans="1:7" x14ac:dyDescent="0.25">
      <c r="A100">
        <v>89</v>
      </c>
      <c r="B100" s="6" t="n">
        <v>2315.2432777259</v>
      </c>
      <c r="C100" s="9">
        <f si="2" t="shared"/>
        <v>1.3920120807515766E-3</v>
      </c>
      <c r="E100" s="371">
        <v>89</v>
      </c>
      <c r="F100" s="371" t="n">
        <v>161.0</v>
      </c>
      <c r="G100" s="9">
        <f si="3" t="shared"/>
        <v>9.9137503717656395E-5</v>
      </c>
    </row>
    <row ht="15.75" r="101" spans="1:7" thickBot="1" x14ac:dyDescent="0.3">
      <c r="A101" s="1">
        <v>90</v>
      </c>
      <c r="B101" s="7" t="n">
        <v>53249.8839183079</v>
      </c>
      <c r="C101" s="9">
        <f si="2" t="shared"/>
        <v>3.2015850094902744E-2</v>
      </c>
      <c r="E101" s="372">
        <v>90</v>
      </c>
      <c r="F101" s="372" t="n">
        <v>10920.0</v>
      </c>
      <c r="G101" s="9">
        <f si="3" t="shared"/>
        <v>6.7529774908909766E-3</v>
      </c>
    </row>
    <row r="102" spans="1:7" x14ac:dyDescent="0.25">
      <c r="B102" s="6">
        <f>SUM(B11:B101)</f>
        <v>1663235.0464055252</v>
      </c>
      <c r="C102" s="9">
        <f si="2" t="shared"/>
        <v>1</v>
      </c>
      <c r="F102" s="6">
        <f>SUM(F11:F101)</f>
        <v>1634094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77816.6026220892</v>
      </c>
      <c r="C11" s="9">
        <f>B11/B$102</f>
        <v>4.2391882785050308E-2</v>
      </c>
      <c r="E11" s="371">
        <v>0</v>
      </c>
      <c r="F11" s="371" t="n">
        <v>391224.0</v>
      </c>
      <c r="G11" s="9">
        <f>F11/F$102</f>
        <v>0.21284960564362415</v>
      </c>
      <c r="K11" s="6" t="n">
        <v>6.0915413687935915</v>
      </c>
      <c r="L11" s="6" t="n">
        <v>4.900242159468725</v>
      </c>
    </row>
    <row r="12" spans="1:12" x14ac:dyDescent="0.25">
      <c r="A12">
        <v>1</v>
      </c>
      <c r="B12" s="6" t="n">
        <v>84179.6592181546</v>
      </c>
      <c r="C12" s="9">
        <f>B12/B$102</f>
        <v>4.5858263226831203E-2</v>
      </c>
      <c r="E12" s="371">
        <v>1</v>
      </c>
      <c r="F12" s="371" t="n">
        <v>244529.0</v>
      </c>
      <c r="G12" s="9">
        <f>F12/F$102</f>
        <v>0.13374955867941482</v>
      </c>
      <c r="K12" s="6"/>
      <c r="L12" s="371"/>
    </row>
    <row r="13" spans="1:12" x14ac:dyDescent="0.25">
      <c r="A13">
        <v>2</v>
      </c>
      <c r="B13" s="6" t="n">
        <v>121726.9688221265</v>
      </c>
      <c r="C13" s="9">
        <f ref="C13:C76" si="0" t="shared">B13/B$102</f>
        <v>6.6312781851289193E-2</v>
      </c>
      <c r="E13" s="371">
        <v>2</v>
      </c>
      <c r="F13" s="371" t="n">
        <v>145672.0</v>
      </c>
      <c r="G13" s="9">
        <f ref="G13:G76" si="1" t="shared">F13/F$102</f>
        <v>8.0021733320281604E-2</v>
      </c>
    </row>
    <row r="14" spans="1:12" x14ac:dyDescent="0.25">
      <c r="A14">
        <v>3</v>
      </c>
      <c r="B14" s="6" t="n">
        <v>205609.7022715389</v>
      </c>
      <c r="C14" s="9">
        <f si="0" t="shared"/>
        <v>0.11200928984902733</v>
      </c>
      <c r="E14" s="371">
        <v>3</v>
      </c>
      <c r="F14" s="371" t="n">
        <v>80876.0</v>
      </c>
      <c r="G14" s="9">
        <f si="1" t="shared"/>
        <v>4.4756781488842427E-2</v>
      </c>
    </row>
    <row r="15" spans="1:12" x14ac:dyDescent="0.25">
      <c r="A15">
        <v>4</v>
      </c>
      <c r="B15" s="6" t="n">
        <v>399159.6091916243</v>
      </c>
      <c r="C15" s="9">
        <f si="0" t="shared"/>
        <v>0.21744880649125842</v>
      </c>
      <c r="E15" s="371">
        <v>4</v>
      </c>
      <c r="F15" s="371" t="n">
        <v>273189.0</v>
      </c>
      <c r="G15" s="9">
        <f si="1" t="shared"/>
        <v>0.14904317297677197</v>
      </c>
    </row>
    <row r="16" spans="1:12" x14ac:dyDescent="0.25">
      <c r="A16">
        <v>5</v>
      </c>
      <c r="B16" s="6" t="n">
        <v>218294.5842975033</v>
      </c>
      <c r="C16" s="9">
        <f si="0" t="shared"/>
        <v>0.11891958937210406</v>
      </c>
      <c r="E16" s="371">
        <v>5</v>
      </c>
      <c r="F16" s="371" t="n">
        <v>138335.0</v>
      </c>
      <c r="G16" s="9">
        <f si="1" t="shared"/>
        <v>7.499370327638602E-2</v>
      </c>
    </row>
    <row r="17" spans="1:7" x14ac:dyDescent="0.25">
      <c r="A17">
        <v>6</v>
      </c>
      <c r="B17" s="6" t="n">
        <v>226546.5691582647</v>
      </c>
      <c r="C17" s="9">
        <f si="0" t="shared"/>
        <v>0.12341499476342228</v>
      </c>
      <c r="E17" s="371">
        <v>6</v>
      </c>
      <c r="F17" s="371" t="n">
        <v>134119.0</v>
      </c>
      <c r="G17" s="9">
        <f si="1" t="shared"/>
        <v>7.6381732132428076E-2</v>
      </c>
    </row>
    <row r="18" spans="1:7" x14ac:dyDescent="0.25">
      <c r="A18">
        <v>7</v>
      </c>
      <c r="B18" s="6" t="n">
        <v>101441.6347401657</v>
      </c>
      <c r="C18" s="9">
        <f si="0" t="shared"/>
        <v>5.5262010220532273E-2</v>
      </c>
      <c r="E18" s="371">
        <v>7</v>
      </c>
      <c r="F18" s="371" t="n">
        <v>76347.0</v>
      </c>
      <c r="G18" s="9">
        <f si="1" t="shared"/>
        <v>4.1526479785042501E-2</v>
      </c>
    </row>
    <row r="19" spans="1:7" x14ac:dyDescent="0.25">
      <c r="A19">
        <v>8</v>
      </c>
      <c r="B19" s="6" t="n">
        <v>76310.0954978592</v>
      </c>
      <c r="C19" s="9">
        <f si="0" t="shared"/>
        <v>4.1571188084006234E-2</v>
      </c>
      <c r="E19" s="371">
        <v>8</v>
      </c>
      <c r="F19" s="371" t="n">
        <v>77505.0</v>
      </c>
      <c r="G19" s="9">
        <f si="1" t="shared"/>
        <v>4.9184285577588284E-2</v>
      </c>
    </row>
    <row r="20" spans="1:7" x14ac:dyDescent="0.25">
      <c r="A20">
        <v>9</v>
      </c>
      <c r="B20" s="6" t="n">
        <v>42704.4975593217</v>
      </c>
      <c r="C20" s="9">
        <f si="0" t="shared"/>
        <v>2.3263982157136091E-2</v>
      </c>
      <c r="E20" s="371">
        <v>9</v>
      </c>
      <c r="F20" s="371" t="n">
        <v>38430.0</v>
      </c>
      <c r="G20" s="9">
        <f si="1" t="shared"/>
        <v>1.7999830620884446E-2</v>
      </c>
    </row>
    <row r="21" spans="1:7" x14ac:dyDescent="0.25">
      <c r="A21">
        <v>10</v>
      </c>
      <c r="B21" s="6" t="n">
        <v>114245.6150923392</v>
      </c>
      <c r="C21" s="9">
        <f si="0" t="shared"/>
        <v>6.2237190528871125E-2</v>
      </c>
      <c r="E21" s="371">
        <v>10</v>
      </c>
      <c r="F21" s="371" t="n">
        <v>45430.0</v>
      </c>
      <c r="G21" s="9">
        <f si="1" t="shared"/>
        <v>1.8540963899151233E-2</v>
      </c>
    </row>
    <row r="22" spans="1:7" x14ac:dyDescent="0.25">
      <c r="A22">
        <v>11</v>
      </c>
      <c r="B22" s="6" t="n">
        <v>13040.2701374623</v>
      </c>
      <c r="C22" s="9">
        <f si="0" t="shared"/>
        <v>7.1039030814199818E-3</v>
      </c>
      <c r="E22" s="371">
        <v>11</v>
      </c>
      <c r="F22" s="371" t="n">
        <v>35695.0</v>
      </c>
      <c r="G22" s="9">
        <f si="1" t="shared"/>
        <v>2.0326043798799608E-2</v>
      </c>
    </row>
    <row r="23" spans="1:7" x14ac:dyDescent="0.25">
      <c r="A23">
        <v>12</v>
      </c>
      <c r="B23" s="6" t="n">
        <v>18087.2205911413</v>
      </c>
      <c r="C23" s="9">
        <f si="0" t="shared"/>
        <v>9.853312909722925E-3</v>
      </c>
      <c r="E23" s="371">
        <v>12</v>
      </c>
      <c r="F23" s="371" t="n">
        <v>20394.0</v>
      </c>
      <c r="G23" s="9">
        <f si="1" t="shared"/>
        <v>1.2126554795793679E-2</v>
      </c>
    </row>
    <row r="24" spans="1:7" x14ac:dyDescent="0.25">
      <c r="A24">
        <v>13</v>
      </c>
      <c r="B24" s="6" t="n">
        <v>11702.4907110323</v>
      </c>
      <c r="C24" s="9">
        <f si="0" t="shared"/>
        <v>6.3751255875876536E-3</v>
      </c>
      <c r="E24" s="371">
        <v>13</v>
      </c>
      <c r="F24" s="371" t="n">
        <v>24120.0</v>
      </c>
      <c r="G24" s="9">
        <f si="1" t="shared"/>
        <v>1.3914934288602215E-2</v>
      </c>
    </row>
    <row r="25" spans="1:7" x14ac:dyDescent="0.25">
      <c r="A25">
        <v>14</v>
      </c>
      <c r="B25" s="6" t="n">
        <v>15899.3954006011</v>
      </c>
      <c r="C25" s="9">
        <f si="0" t="shared"/>
        <v>8.6614589106223105E-3</v>
      </c>
      <c r="E25" s="371">
        <v>14</v>
      </c>
      <c r="F25" s="371" t="n">
        <v>15187.0</v>
      </c>
      <c r="G25" s="9">
        <f si="1" t="shared"/>
        <v>8.1994890030059296E-3</v>
      </c>
    </row>
    <row r="26" spans="1:7" x14ac:dyDescent="0.25">
      <c r="A26">
        <v>15</v>
      </c>
      <c r="B26" s="6" t="n">
        <v>15855.1163331224</v>
      </c>
      <c r="C26" s="9">
        <f si="0" t="shared"/>
        <v>8.6373371554294715E-3</v>
      </c>
      <c r="E26" s="371">
        <v>15</v>
      </c>
      <c r="F26" s="371" t="n">
        <v>15209.0</v>
      </c>
      <c r="G26" s="9">
        <f si="1" t="shared"/>
        <v>8.6652815707823228E-3</v>
      </c>
    </row>
    <row r="27" spans="1:7" x14ac:dyDescent="0.25">
      <c r="A27">
        <v>16</v>
      </c>
      <c r="B27" s="6" t="n">
        <v>23525.9528877637</v>
      </c>
      <c r="C27" s="9">
        <f si="0" t="shared"/>
        <v>1.2816152384190517E-2</v>
      </c>
      <c r="E27" s="371">
        <v>16</v>
      </c>
      <c r="F27" s="371" t="n">
        <v>16717.0</v>
      </c>
      <c r="G27" s="9">
        <f si="1" t="shared"/>
        <v>1.0084656561845925E-2</v>
      </c>
    </row>
    <row r="28" spans="1:7" x14ac:dyDescent="0.25">
      <c r="A28">
        <v>17</v>
      </c>
      <c r="B28" s="6" t="n">
        <v>8823.2339609629</v>
      </c>
      <c r="C28" s="9">
        <f si="0" t="shared"/>
        <v>4.8066027975377122E-3</v>
      </c>
      <c r="E28" s="371">
        <v>17</v>
      </c>
      <c r="F28" s="371" t="n">
        <v>6681.0</v>
      </c>
      <c r="G28" s="9">
        <f si="1" t="shared"/>
        <v>4.6683743894377827E-3</v>
      </c>
    </row>
    <row r="29" spans="1:7" x14ac:dyDescent="0.25">
      <c r="A29">
        <v>18</v>
      </c>
      <c r="B29" s="6" t="n">
        <v>9008.1933964878</v>
      </c>
      <c r="C29" s="9">
        <f si="0" t="shared"/>
        <v>4.9073625126442536E-3</v>
      </c>
      <c r="E29" s="371">
        <v>18</v>
      </c>
      <c r="F29" s="371" t="n">
        <v>7570.0</v>
      </c>
      <c r="G29" s="9">
        <f si="1" t="shared"/>
        <v>3.1830075351709135E-3</v>
      </c>
    </row>
    <row r="30" spans="1:7" x14ac:dyDescent="0.25">
      <c r="A30">
        <v>19</v>
      </c>
      <c r="B30" s="6" t="n">
        <v>3325.4448189754</v>
      </c>
      <c r="C30" s="9">
        <f si="0" t="shared"/>
        <v>1.8115911286795423E-3</v>
      </c>
      <c r="E30" s="371">
        <v>19</v>
      </c>
      <c r="F30" s="371" t="n">
        <v>4298.0</v>
      </c>
      <c r="G30" s="9">
        <f si="1" t="shared"/>
        <v>2.4543473789681732E-3</v>
      </c>
    </row>
    <row r="31" spans="1:7" x14ac:dyDescent="0.25">
      <c r="A31">
        <v>20</v>
      </c>
      <c r="B31" s="6" t="n">
        <v>7380.5592068576</v>
      </c>
      <c r="C31" s="9">
        <f si="0" t="shared"/>
        <v>4.0206818370713297E-3</v>
      </c>
      <c r="E31" s="371">
        <v>20</v>
      </c>
      <c r="F31" s="371" t="n">
        <v>5327.0</v>
      </c>
      <c r="G31" s="9">
        <f si="1" t="shared"/>
        <v>2.8585475410881837E-3</v>
      </c>
    </row>
    <row r="32" spans="1:7" x14ac:dyDescent="0.25">
      <c r="A32">
        <v>21</v>
      </c>
      <c r="B32" s="6" t="n">
        <v>2384.4408083728</v>
      </c>
      <c r="C32" s="9">
        <f si="0" t="shared"/>
        <v>1.2989636125252438E-3</v>
      </c>
      <c r="E32" s="371">
        <v>21</v>
      </c>
      <c r="F32" s="371" t="n">
        <v>3608.0</v>
      </c>
      <c r="G32" s="9">
        <f si="1" t="shared"/>
        <v>1.9412606425627721E-3</v>
      </c>
    </row>
    <row r="33" spans="1:7" x14ac:dyDescent="0.25">
      <c r="A33">
        <v>22</v>
      </c>
      <c r="B33" s="6" t="n">
        <v>4702.9472138625</v>
      </c>
      <c r="C33" s="9">
        <f si="0" t="shared"/>
        <v>2.5620083673216711E-3</v>
      </c>
      <c r="E33" s="371">
        <v>22</v>
      </c>
      <c r="F33" s="371" t="n">
        <v>2798.0</v>
      </c>
      <c r="G33" s="9">
        <f si="1" t="shared"/>
        <v>1.5772055305580822E-3</v>
      </c>
    </row>
    <row r="34" spans="1:7" x14ac:dyDescent="0.25">
      <c r="A34">
        <v>23</v>
      </c>
      <c r="B34" s="6" t="n">
        <v>2761.1998975502</v>
      </c>
      <c r="C34" s="9">
        <f si="0" t="shared"/>
        <v>1.5042093648253698E-3</v>
      </c>
      <c r="E34" s="371">
        <v>23</v>
      </c>
      <c r="F34" s="371" t="n">
        <v>2592.0</v>
      </c>
      <c r="G34" s="9">
        <f si="1" t="shared"/>
        <v>1.4804174645266239E-3</v>
      </c>
    </row>
    <row r="35" spans="1:7" x14ac:dyDescent="0.25">
      <c r="A35">
        <v>24</v>
      </c>
      <c r="B35" s="6" t="n">
        <v>1791.8097649375</v>
      </c>
      <c r="C35" s="9">
        <f si="0" t="shared"/>
        <v>9.761180386815985E-4</v>
      </c>
      <c r="E35" s="371">
        <v>24</v>
      </c>
      <c r="F35" s="371" t="n">
        <v>2255.0</v>
      </c>
      <c r="G35" s="9">
        <f si="1" t="shared"/>
        <v>1.3385349586395997E-3</v>
      </c>
    </row>
    <row r="36" spans="1:7" x14ac:dyDescent="0.25">
      <c r="A36">
        <v>25</v>
      </c>
      <c r="B36" s="6" t="n">
        <v>4345.189184787</v>
      </c>
      <c r="C36" s="9">
        <f si="0" t="shared"/>
        <v>2.3671137571363359E-3</v>
      </c>
      <c r="E36" s="371">
        <v>25</v>
      </c>
      <c r="F36" s="371" t="n">
        <v>2268.0</v>
      </c>
      <c r="G36" s="9">
        <f si="1" t="shared"/>
        <v>1.3808797375283628E-3</v>
      </c>
    </row>
    <row r="37" spans="1:7" x14ac:dyDescent="0.25">
      <c r="A37">
        <v>26</v>
      </c>
      <c r="B37" s="6" t="n">
        <v>2761.0880822100003</v>
      </c>
      <c r="C37" s="9">
        <f si="0" t="shared"/>
        <v>1.5041484515673298E-3</v>
      </c>
      <c r="E37" s="371">
        <v>26</v>
      </c>
      <c r="F37" s="371" t="n">
        <v>1870.0</v>
      </c>
      <c r="G37" s="9">
        <f si="1" t="shared"/>
        <v>1.0201242186838363E-3</v>
      </c>
    </row>
    <row r="38" spans="1:7" x14ac:dyDescent="0.25">
      <c r="A38">
        <v>27</v>
      </c>
      <c r="B38" s="6" t="n">
        <v>1627.630489631</v>
      </c>
      <c r="C38" s="9">
        <f si="0" t="shared"/>
        <v>8.8667865993709391E-4</v>
      </c>
      <c r="E38" s="371">
        <v>27</v>
      </c>
      <c r="F38" s="371" t="n">
        <v>2046.0</v>
      </c>
      <c r="G38" s="9">
        <f si="1" t="shared"/>
        <v>8.7109259428312484E-4</v>
      </c>
    </row>
    <row r="39" spans="1:7" x14ac:dyDescent="0.25">
      <c r="A39">
        <v>28</v>
      </c>
      <c r="B39" s="6" t="n">
        <v>719.280889893</v>
      </c>
      <c r="C39" s="9">
        <f si="0" t="shared"/>
        <v>3.9184017480114585E-4</v>
      </c>
      <c r="E39" s="371">
        <v>28</v>
      </c>
      <c r="F39" s="371" t="n">
        <v>1240.0</v>
      </c>
      <c r="G39" s="9">
        <f si="1" t="shared"/>
        <v>6.3352188675136359E-4</v>
      </c>
    </row>
    <row r="40" spans="1:7" x14ac:dyDescent="0.25">
      <c r="A40">
        <v>29</v>
      </c>
      <c r="B40" s="6" t="n">
        <v>433.333643768</v>
      </c>
      <c r="C40" s="9">
        <f si="0" t="shared"/>
        <v>2.3606567768890622E-4</v>
      </c>
      <c r="E40" s="371">
        <v>29</v>
      </c>
      <c r="F40" s="371" t="n">
        <v>945.0</v>
      </c>
      <c r="G40" s="9">
        <f si="1" t="shared"/>
        <v>7.6825527412470039E-4</v>
      </c>
    </row>
    <row r="41" spans="1:7" x14ac:dyDescent="0.25">
      <c r="A41">
        <v>30</v>
      </c>
      <c r="B41" s="6" t="n">
        <v>532.239404069</v>
      </c>
      <c r="C41" s="9">
        <f si="0" t="shared"/>
        <v>2.8994622831906306E-4</v>
      </c>
      <c r="E41" s="371">
        <v>30</v>
      </c>
      <c r="F41" s="371" t="n">
        <v>985.0</v>
      </c>
      <c r="G41" s="9">
        <f si="1" t="shared"/>
        <v>4.6689243216311427E-4</v>
      </c>
    </row>
    <row r="42" spans="1:7" x14ac:dyDescent="0.25">
      <c r="A42">
        <v>31</v>
      </c>
      <c r="B42" s="6" t="n">
        <v>2253.359654918</v>
      </c>
      <c r="C42" s="9">
        <f si="0" t="shared"/>
        <v>1.2275549837063894E-3</v>
      </c>
      <c r="E42" s="371">
        <v>31</v>
      </c>
      <c r="F42" s="371" t="n">
        <v>715.0</v>
      </c>
      <c r="G42" s="9">
        <f si="1" t="shared"/>
        <v>4.6414277119631147E-4</v>
      </c>
    </row>
    <row r="43" spans="1:7" x14ac:dyDescent="0.25">
      <c r="A43">
        <v>32</v>
      </c>
      <c r="B43" s="6" t="n">
        <v>2133.829687176</v>
      </c>
      <c r="C43" s="9">
        <f si="0" t="shared"/>
        <v>1.1624390545719894E-3</v>
      </c>
      <c r="E43" s="371">
        <v>32</v>
      </c>
      <c r="F43" s="371" t="n">
        <v>679.0</v>
      </c>
      <c r="G43" s="9">
        <f si="1" t="shared"/>
        <v>3.2116040092256627E-4</v>
      </c>
    </row>
    <row r="44" spans="1:7" x14ac:dyDescent="0.25">
      <c r="A44">
        <v>33</v>
      </c>
      <c r="B44" s="6" t="n">
        <v>282.2315825548</v>
      </c>
      <c r="C44" s="9">
        <f si="0" t="shared"/>
        <v>1.5375032785749132E-4</v>
      </c>
      <c r="E44" s="371">
        <v>33</v>
      </c>
      <c r="F44" s="371" t="n">
        <v>553.0</v>
      </c>
      <c r="G44" s="9">
        <f si="1" t="shared"/>
        <v>2.887144015142933E-4</v>
      </c>
    </row>
    <row r="45" spans="1:7" x14ac:dyDescent="0.25">
      <c r="A45">
        <v>34</v>
      </c>
      <c r="B45" s="6" t="n">
        <v>251.017759731</v>
      </c>
      <c r="C45" s="9">
        <f si="0" t="shared"/>
        <v>1.3674608102798186E-4</v>
      </c>
      <c r="E45" s="371">
        <v>34</v>
      </c>
      <c r="F45" s="371" t="n">
        <v>497.0</v>
      </c>
      <c r="G45" s="9">
        <f si="1" t="shared"/>
        <v>2.6066785965290481E-4</v>
      </c>
    </row>
    <row r="46" spans="1:7" x14ac:dyDescent="0.25">
      <c r="A46">
        <v>35</v>
      </c>
      <c r="B46" s="6" t="n">
        <v>829.2477599819999</v>
      </c>
      <c r="C46" s="9">
        <f si="0" t="shared"/>
        <v>4.5174644814092356E-4</v>
      </c>
      <c r="E46" s="371">
        <v>35</v>
      </c>
      <c r="F46" s="371" t="n">
        <v>365.0</v>
      </c>
      <c r="G46" s="9">
        <f si="1" t="shared"/>
        <v>2.0897423347701228E-4</v>
      </c>
    </row>
    <row r="47" spans="1:7" x14ac:dyDescent="0.25">
      <c r="A47">
        <v>36</v>
      </c>
      <c r="B47" s="6" t="n">
        <v>636.756808327</v>
      </c>
      <c r="C47" s="9">
        <f si="0" t="shared"/>
        <v>3.4688381491379257E-4</v>
      </c>
      <c r="E47" s="371">
        <v>36</v>
      </c>
      <c r="F47" s="371" t="n">
        <v>421.0</v>
      </c>
      <c r="G47" s="9">
        <f si="1" t="shared"/>
        <v>2.6396745281306817E-4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292.0</v>
      </c>
      <c r="G48" s="9">
        <f si="1" t="shared"/>
        <v>1.688291833616915E-4</v>
      </c>
    </row>
    <row r="49" spans="1:7" x14ac:dyDescent="0.25">
      <c r="A49">
        <v>38</v>
      </c>
      <c r="B49" s="6" t="n">
        <v>650.237482382</v>
      </c>
      <c r="C49" s="9">
        <f si="0" t="shared"/>
        <v>3.5422763532160883E-4</v>
      </c>
      <c r="E49" s="371">
        <v>38</v>
      </c>
      <c r="F49" s="371" t="n">
        <v>351.0</v>
      </c>
      <c r="G49" s="9">
        <f si="1" t="shared"/>
        <v>1.7377857310193654E-4</v>
      </c>
    </row>
    <row r="50" spans="1:7" x14ac:dyDescent="0.25">
      <c r="A50">
        <v>39</v>
      </c>
      <c r="B50" s="6" t="n">
        <v>664.0014366752</v>
      </c>
      <c r="C50" s="9">
        <f si="0" t="shared"/>
        <v>3.6172577732980921E-4</v>
      </c>
      <c r="E50" s="371">
        <v>39</v>
      </c>
      <c r="F50" s="371" t="n">
        <v>261.0</v>
      </c>
      <c r="G50" s="9">
        <f si="1" t="shared"/>
        <v>1.5893040388120146E-4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194.0</v>
      </c>
      <c r="G51" s="9">
        <f si="1" t="shared"/>
        <v>1.0668684551194838E-4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133.0</v>
      </c>
      <c r="G52" s="9">
        <f si="1" t="shared"/>
        <v>8.4139625584165473E-5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140.0</v>
      </c>
      <c r="G53" s="9">
        <f si="1" t="shared"/>
        <v>6.9291456363430388E-5</v>
      </c>
    </row>
    <row r="54" spans="1:7" x14ac:dyDescent="0.25">
      <c r="A54">
        <v>43</v>
      </c>
      <c r="B54" s="6" t="n">
        <v>4.59375</v>
      </c>
      <c r="C54" s="9">
        <f si="0" t="shared"/>
        <v>2.5025213769554386E-6</v>
      </c>
      <c r="E54" s="371">
        <v>43</v>
      </c>
      <c r="F54" s="371" t="n">
        <v>118.0</v>
      </c>
      <c r="G54" s="9">
        <f si="1" t="shared"/>
        <v>6.0492541269661453E-5</v>
      </c>
    </row>
    <row r="55" spans="1:7" x14ac:dyDescent="0.25">
      <c r="A55">
        <v>44</v>
      </c>
      <c r="B55" s="6" t="n">
        <v>5084.525540346</v>
      </c>
      <c r="C55" s="9">
        <f si="0" t="shared"/>
        <v>2.7698794789424255E-3</v>
      </c>
      <c r="E55" s="371">
        <v>44</v>
      </c>
      <c r="F55" s="371" t="n">
        <v>90.0</v>
      </c>
      <c r="G55" s="9">
        <f si="1" t="shared"/>
        <v>4.6194304242286927E-5</v>
      </c>
    </row>
    <row r="56" spans="1:7" x14ac:dyDescent="0.25">
      <c r="A56">
        <v>45</v>
      </c>
      <c r="B56" s="6" t="n">
        <v>250.40304101</v>
      </c>
      <c r="C56" s="9">
        <f si="0" t="shared"/>
        <v>1.3641120282605157E-4</v>
      </c>
      <c r="E56" s="371">
        <v>45</v>
      </c>
      <c r="F56" s="371" t="n">
        <v>100.0</v>
      </c>
      <c r="G56" s="9">
        <f si="1" t="shared"/>
        <v>4.5094439855565808E-5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81.0</v>
      </c>
      <c r="G57" s="9">
        <f si="1" t="shared"/>
        <v>3.9595117921960224E-5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45.0</v>
      </c>
      <c r="G58" s="9">
        <f si="1" t="shared"/>
        <v>3.0246270634830726E-5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56.0</v>
      </c>
      <c r="G59" s="9">
        <f si="1" t="shared"/>
        <v>2.5296880894585699E-5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57.0</v>
      </c>
      <c r="G60" s="9">
        <f si="1" t="shared"/>
        <v>2.419701650786458E-5</v>
      </c>
    </row>
    <row r="61" spans="1:7" x14ac:dyDescent="0.25">
      <c r="A61">
        <v>50</v>
      </c>
      <c r="B61" s="6" t="n">
        <v>1172.30496159</v>
      </c>
      <c r="C61" s="9">
        <f si="0" t="shared"/>
        <v>6.3863253914337944E-4</v>
      </c>
      <c r="E61" s="371">
        <v>50</v>
      </c>
      <c r="F61" s="371" t="n">
        <v>38.0</v>
      </c>
      <c r="G61" s="9">
        <f si="1" t="shared"/>
        <v>1.4298237027374525E-5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33.0</v>
      </c>
      <c r="G62" s="9">
        <f si="1" t="shared"/>
        <v>1.5398101414095641E-5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49.0</v>
      </c>
      <c r="G63" s="9">
        <f si="1" t="shared"/>
        <v>1.5398101414095641E-5</v>
      </c>
    </row>
    <row r="64" spans="1:7" x14ac:dyDescent="0.25">
      <c r="A64">
        <v>53</v>
      </c>
      <c r="B64" s="6" t="n">
        <v>523.299985488</v>
      </c>
      <c r="C64" s="9">
        <f si="0" t="shared"/>
        <v>2.8507633202594628E-4</v>
      </c>
      <c r="E64" s="371">
        <v>53</v>
      </c>
      <c r="F64" s="371" t="n">
        <v>23.0</v>
      </c>
      <c r="G64" s="9">
        <f si="1" t="shared"/>
        <v>1.4848169220735083E-5</v>
      </c>
    </row>
    <row r="65" spans="1:7" x14ac:dyDescent="0.25">
      <c r="A65">
        <v>54</v>
      </c>
      <c r="B65" s="6" t="n">
        <v>1866.478794016</v>
      </c>
      <c r="C65" s="9">
        <f si="0" t="shared"/>
        <v>1.0167952286604727E-3</v>
      </c>
      <c r="E65" s="371">
        <v>54</v>
      </c>
      <c r="F65" s="371" t="n">
        <v>36.0</v>
      </c>
      <c r="G65" s="9">
        <f si="1" t="shared"/>
        <v>1.1548576060571732E-5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23.0</v>
      </c>
      <c r="G66" s="9">
        <f si="1" t="shared"/>
        <v>1.1548576060571732E-5</v>
      </c>
    </row>
    <row r="67" spans="1:7" x14ac:dyDescent="0.25">
      <c r="A67">
        <v>56</v>
      </c>
      <c r="B67" s="6" t="n">
        <v>668.711535771</v>
      </c>
      <c r="C67" s="9">
        <f si="0" t="shared"/>
        <v>3.6429168180323896E-4</v>
      </c>
      <c r="E67" s="371">
        <v>56</v>
      </c>
      <c r="F67" s="371" t="n">
        <v>25.0</v>
      </c>
      <c r="G67" s="9">
        <f si="1" t="shared"/>
        <v>8.7989150937689384E-6</v>
      </c>
    </row>
    <row r="68" spans="1:7" x14ac:dyDescent="0.25">
      <c r="A68">
        <v>57</v>
      </c>
      <c r="B68" s="6" t="n">
        <v>569.501209051</v>
      </c>
      <c r="C68" s="9">
        <f si="0" t="shared"/>
        <v>3.1024521357324536E-4</v>
      </c>
      <c r="E68" s="371">
        <v>57</v>
      </c>
      <c r="F68" s="371" t="n">
        <v>9.0</v>
      </c>
      <c r="G68" s="9">
        <f si="1" t="shared"/>
        <v>1.0448711673850614E-5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17.0</v>
      </c>
      <c r="G69" s="9">
        <f si="1" t="shared"/>
        <v>7.1491185136872626E-6</v>
      </c>
    </row>
    <row r="70" spans="1:7" x14ac:dyDescent="0.25">
      <c r="A70">
        <v>59</v>
      </c>
      <c r="B70" s="6" t="n">
        <v>224.682816265</v>
      </c>
      <c r="C70" s="9">
        <f si="0" t="shared"/>
        <v>1.2239968451433224E-4</v>
      </c>
      <c r="E70" s="371">
        <v>59</v>
      </c>
      <c r="F70" s="371" t="n">
        <v>19.0</v>
      </c>
      <c r="G70" s="9">
        <f si="1" t="shared"/>
        <v>7.6990507070478206E-6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17.0</v>
      </c>
      <c r="G71" s="9">
        <f si="1" t="shared"/>
        <v>4.949389740245028E-6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4.949389740245028E-6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6.0</v>
      </c>
      <c r="G73" s="9">
        <f si="1" t="shared"/>
        <v>2.1997287734422346E-6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5.0</v>
      </c>
      <c r="G74" s="9">
        <f si="1" t="shared"/>
        <v>4.949389740245028E-6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6.0</v>
      </c>
      <c r="G75" s="9">
        <f si="1" t="shared"/>
        <v>1.6497965800816759E-6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2.0</v>
      </c>
      <c r="G76" s="9">
        <f si="1" t="shared"/>
        <v>3.8495253535239103E-6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2.1997287734422346E-6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3.0</v>
      </c>
      <c r="G78" s="9">
        <f si="3" t="shared"/>
        <v>2.749660966802793E-6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1.6497965800816759E-6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1.0998643867211173E-6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2.0</v>
      </c>
      <c r="G82" s="9">
        <f si="3" t="shared"/>
        <v>1.0998643867211173E-6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2.0</v>
      </c>
      <c r="G83" s="9">
        <f si="3" t="shared"/>
        <v>5.4993219336055865E-7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5.4993219336055865E-7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5.4993219336055865E-7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5.4993219336055865E-7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5.4993219336055865E-7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5.4993219336055865E-7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5.4993219336055865E-7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598.2158718779999</v>
      </c>
      <c r="C100" s="9">
        <f si="2" t="shared"/>
        <v>3.2588800161278492E-4</v>
      </c>
      <c r="E100" s="371">
        <v>89</v>
      </c>
      <c r="F100" s="371" t="n">
        <v>1.0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242.68014145</v>
      </c>
      <c r="C101" s="9">
        <f si="2" t="shared"/>
        <v>1.3220402541304918E-4</v>
      </c>
      <c r="E101" s="372">
        <v>90</v>
      </c>
      <c r="F101" s="372" t="n">
        <v>2.0</v>
      </c>
      <c r="G101" s="9">
        <f si="3" t="shared"/>
        <v>0</v>
      </c>
    </row>
    <row r="102" spans="1:7" x14ac:dyDescent="0.25">
      <c r="B102" s="6">
        <f>SUM(B11:B101)</f>
        <v>1835648.6551130863</v>
      </c>
      <c r="C102" s="9">
        <f si="2" t="shared"/>
        <v>1</v>
      </c>
      <c r="F102" s="6">
        <f>SUM(F11:F101)</f>
        <v>1818406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19515.0</v>
      </c>
      <c r="G11" s="9">
        <f>F11/F$102</f>
        <v>1.0489406656159295E-2</v>
      </c>
      <c r="K11" s="6" t="n">
        <v>27.860610808522924</v>
      </c>
      <c r="L11" s="6" t="n">
        <v>19.273612387529397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61058.0</v>
      </c>
      <c r="G12" s="9">
        <f>F12/F$102</f>
        <v>3.2968434991965494E-2</v>
      </c>
      <c r="K12" s="6"/>
      <c r="L12" s="371"/>
    </row>
    <row r="13" spans="1:12" x14ac:dyDescent="0.25">
      <c r="A13">
        <v>2</v>
      </c>
      <c r="B13" s="6" t="n">
        <v>521.3545139930001</v>
      </c>
      <c r="C13" s="9">
        <f ref="C13:C76" si="0" t="shared">B13/B$102</f>
        <v>2.8401650421544403E-4</v>
      </c>
      <c r="E13" s="371">
        <v>2</v>
      </c>
      <c r="F13" s="371" t="n">
        <v>65761.0</v>
      </c>
      <c r="G13" s="9">
        <f ref="G13:G76" si="1" t="shared">F13/F$102</f>
        <v>3.5586112232361751E-2</v>
      </c>
    </row>
    <row r="14" spans="1:12" x14ac:dyDescent="0.25">
      <c r="A14">
        <v>3</v>
      </c>
      <c r="B14" s="6" t="n">
        <v>4692.25824687</v>
      </c>
      <c r="C14" s="9">
        <f si="0" t="shared"/>
        <v>2.5561853755619317E-3</v>
      </c>
      <c r="E14" s="371">
        <v>3</v>
      </c>
      <c r="F14" s="371" t="n">
        <v>67996.0</v>
      </c>
      <c r="G14" s="9">
        <f si="1" t="shared"/>
        <v>3.7211711795935562E-2</v>
      </c>
    </row>
    <row r="15" spans="1:12" x14ac:dyDescent="0.25">
      <c r="A15">
        <v>4</v>
      </c>
      <c r="B15" s="6" t="n">
        <v>12402.1085132717</v>
      </c>
      <c r="C15" s="9">
        <f si="0" t="shared"/>
        <v>6.7562539698032015E-3</v>
      </c>
      <c r="E15" s="371">
        <v>4</v>
      </c>
      <c r="F15" s="371" t="n">
        <v>67003.0</v>
      </c>
      <c r="G15" s="9">
        <f si="1" t="shared"/>
        <v>3.6470403199285531E-2</v>
      </c>
    </row>
    <row r="16" spans="1:12" x14ac:dyDescent="0.25">
      <c r="A16">
        <v>5</v>
      </c>
      <c r="B16" s="6" t="n">
        <v>31124.7128487015</v>
      </c>
      <c r="C16" s="9">
        <f si="0" t="shared"/>
        <v>1.6955702695069411E-2</v>
      </c>
      <c r="E16" s="371">
        <v>5</v>
      </c>
      <c r="F16" s="371" t="n">
        <v>64577.0</v>
      </c>
      <c r="G16" s="9">
        <f si="1" t="shared"/>
        <v>3.5067526174022742E-2</v>
      </c>
    </row>
    <row r="17" spans="1:7" x14ac:dyDescent="0.25">
      <c r="A17">
        <v>6</v>
      </c>
      <c r="B17" s="6" t="n">
        <v>12131.2965943158</v>
      </c>
      <c r="C17" s="9">
        <f si="0" t="shared"/>
        <v>6.6087246927808421E-3</v>
      </c>
      <c r="E17" s="371">
        <v>6</v>
      </c>
      <c r="F17" s="371" t="n">
        <v>60085.0</v>
      </c>
      <c r="G17" s="9">
        <f si="1" t="shared"/>
        <v>3.3099868786178661E-2</v>
      </c>
    </row>
    <row r="18" spans="1:7" x14ac:dyDescent="0.25">
      <c r="A18">
        <v>7</v>
      </c>
      <c r="B18" s="6" t="n">
        <v>23935.1593683842</v>
      </c>
      <c r="C18" s="9">
        <f si="0" t="shared"/>
        <v>1.3039074390251253E-2</v>
      </c>
      <c r="E18" s="371">
        <v>7</v>
      </c>
      <c r="F18" s="371" t="n">
        <v>55800.0</v>
      </c>
      <c r="G18" s="9">
        <f si="1" t="shared"/>
        <v>3.0470642969721833E-2</v>
      </c>
    </row>
    <row r="19" spans="1:7" x14ac:dyDescent="0.25">
      <c r="A19">
        <v>8</v>
      </c>
      <c r="B19" s="6" t="n">
        <v>5778.2018064402</v>
      </c>
      <c r="C19" s="9">
        <f si="0" t="shared"/>
        <v>3.1477711109614433E-3</v>
      </c>
      <c r="E19" s="371">
        <v>8</v>
      </c>
      <c r="F19" s="371" t="n">
        <v>51308.0</v>
      </c>
      <c r="G19" s="9">
        <f si="1" t="shared"/>
        <v>2.7752878070133952E-2</v>
      </c>
    </row>
    <row r="20" spans="1:7" x14ac:dyDescent="0.25">
      <c r="A20">
        <v>9</v>
      </c>
      <c r="B20" s="6" t="n">
        <v>32664.7501232737</v>
      </c>
      <c r="C20" s="9">
        <f si="0" t="shared"/>
        <v>1.7794663500712973E-2</v>
      </c>
      <c r="E20" s="371">
        <v>9</v>
      </c>
      <c r="F20" s="371" t="n">
        <v>46059.0</v>
      </c>
      <c r="G20" s="9">
        <f si="1" t="shared"/>
        <v>2.5296880894585698E-2</v>
      </c>
    </row>
    <row r="21" spans="1:7" x14ac:dyDescent="0.25">
      <c r="A21">
        <v>10</v>
      </c>
      <c r="B21" s="6" t="n">
        <v>5148.5195209079</v>
      </c>
      <c r="C21" s="9">
        <f si="0" t="shared"/>
        <v>2.8047412594817724E-3</v>
      </c>
      <c r="E21" s="371">
        <v>10</v>
      </c>
      <c r="F21" s="371" t="n">
        <v>42205.0</v>
      </c>
      <c r="G21" s="9">
        <f si="1" t="shared"/>
        <v>2.3109250629397397E-2</v>
      </c>
    </row>
    <row r="22" spans="1:7" x14ac:dyDescent="0.25">
      <c r="A22">
        <v>11</v>
      </c>
      <c r="B22" s="6" t="n">
        <v>14103.1495755041</v>
      </c>
      <c r="C22" s="9">
        <f si="0" t="shared"/>
        <v>7.6829242547154343E-3</v>
      </c>
      <c r="E22" s="371">
        <v>11</v>
      </c>
      <c r="F22" s="371" t="n">
        <v>37751.0</v>
      </c>
      <c r="G22" s="9">
        <f si="1" t="shared"/>
        <v>2.0714845859505521E-2</v>
      </c>
    </row>
    <row r="23" spans="1:7" x14ac:dyDescent="0.25">
      <c r="A23">
        <v>12</v>
      </c>
      <c r="B23" s="6" t="n">
        <v>36876.4862909369</v>
      </c>
      <c r="C23" s="9">
        <f si="0" t="shared"/>
        <v>2.0089076517022856E-2</v>
      </c>
      <c r="E23" s="371">
        <v>12</v>
      </c>
      <c r="F23" s="371" t="n">
        <v>34145.0</v>
      </c>
      <c r="G23" s="9">
        <f si="1" t="shared"/>
        <v>1.8786783589583404E-2</v>
      </c>
    </row>
    <row r="24" spans="1:7" x14ac:dyDescent="0.25">
      <c r="A24">
        <v>13</v>
      </c>
      <c r="B24" s="6" t="n">
        <v>47653.113174282</v>
      </c>
      <c r="C24" s="9">
        <f si="0" t="shared"/>
        <v>2.5959822453794291E-2</v>
      </c>
      <c r="E24" s="371">
        <v>13</v>
      </c>
      <c r="F24" s="371" t="n">
        <v>30707.0</v>
      </c>
      <c r="G24" s="9">
        <f si="1" t="shared"/>
        <v>1.6935161894538402E-2</v>
      </c>
    </row>
    <row r="25" spans="1:7" x14ac:dyDescent="0.25">
      <c r="A25">
        <v>14</v>
      </c>
      <c r="B25" s="6" t="n">
        <v>25794.7898650044</v>
      </c>
      <c r="C25" s="9">
        <f si="0" t="shared"/>
        <v>1.4052138895509551E-2</v>
      </c>
      <c r="E25" s="371">
        <v>14</v>
      </c>
      <c r="F25" s="371" t="n">
        <v>28090.0</v>
      </c>
      <c r="G25" s="9">
        <f si="1" t="shared"/>
        <v>1.5437146599824241E-2</v>
      </c>
    </row>
    <row r="26" spans="1:7" x14ac:dyDescent="0.25">
      <c r="A26">
        <v>15</v>
      </c>
      <c r="B26" s="6" t="n">
        <v>20840.4027557693</v>
      </c>
      <c r="C26" s="9">
        <f si="0" t="shared"/>
        <v>1.135315448177931E-2</v>
      </c>
      <c r="E26" s="371">
        <v>15</v>
      </c>
      <c r="F26" s="371" t="n">
        <v>25689.0</v>
      </c>
      <c r="G26" s="9">
        <f si="1" t="shared"/>
        <v>1.4123908522079228E-2</v>
      </c>
    </row>
    <row r="27" spans="1:7" x14ac:dyDescent="0.25">
      <c r="A27">
        <v>16</v>
      </c>
      <c r="B27" s="6" t="n">
        <v>78558.4887362757</v>
      </c>
      <c r="C27" s="9">
        <f si="0" t="shared"/>
        <v>4.279603753008826E-2</v>
      </c>
      <c r="E27" s="371">
        <v>16</v>
      </c>
      <c r="F27" s="371" t="n">
        <v>21593.0</v>
      </c>
      <c r="G27" s="9">
        <f si="1" t="shared"/>
        <v>1.1942877443211252E-2</v>
      </c>
    </row>
    <row r="28" spans="1:7" x14ac:dyDescent="0.25">
      <c r="A28">
        <v>17</v>
      </c>
      <c r="B28" s="6" t="n">
        <v>57355.5173716377</v>
      </c>
      <c r="C28" s="9">
        <f si="0" t="shared"/>
        <v>3.1245367795126499E-2</v>
      </c>
      <c r="E28" s="371">
        <v>17</v>
      </c>
      <c r="F28" s="371" t="n">
        <v>19435.0</v>
      </c>
      <c r="G28" s="9">
        <f si="1" t="shared"/>
        <v>1.0812766785855304E-2</v>
      </c>
    </row>
    <row r="29" spans="1:7" x14ac:dyDescent="0.25">
      <c r="A29">
        <v>18</v>
      </c>
      <c r="B29" s="6" t="n">
        <v>179533.5512517576</v>
      </c>
      <c r="C29" s="9">
        <f si="0" t="shared"/>
        <v>9.7803874805605054E-2</v>
      </c>
      <c r="E29" s="371">
        <v>18</v>
      </c>
      <c r="F29" s="371" t="n">
        <v>187889.0</v>
      </c>
      <c r="G29" s="9">
        <f si="1" t="shared"/>
        <v>0.10380795047970585</v>
      </c>
    </row>
    <row r="30" spans="1:7" x14ac:dyDescent="0.25">
      <c r="A30">
        <v>19</v>
      </c>
      <c r="B30" s="6" t="n">
        <v>87110.4998358384</v>
      </c>
      <c r="C30" s="9">
        <f si="0" t="shared"/>
        <v>4.7454887182902597E-2</v>
      </c>
      <c r="E30" s="371">
        <v>19</v>
      </c>
      <c r="F30" s="371" t="n">
        <v>70933.0</v>
      </c>
      <c r="G30" s="9">
        <f si="1" t="shared"/>
        <v>3.768355361783892E-2</v>
      </c>
    </row>
    <row r="31" spans="1:7" x14ac:dyDescent="0.25">
      <c r="A31">
        <v>20</v>
      </c>
      <c r="B31" s="6" t="n">
        <v>140314.34164732049</v>
      </c>
      <c r="C31" s="9">
        <f si="0" t="shared"/>
        <v>7.643856097215744E-2</v>
      </c>
      <c r="E31" s="371">
        <v>20</v>
      </c>
      <c r="F31" s="371" t="n">
        <v>67601.0</v>
      </c>
      <c r="G31" s="9">
        <f si="1" t="shared"/>
        <v>3.6383513912734561E-2</v>
      </c>
    </row>
    <row r="32" spans="1:7" x14ac:dyDescent="0.25">
      <c r="A32">
        <v>21</v>
      </c>
      <c r="B32" s="6" t="n">
        <v>130182.9658284732</v>
      </c>
      <c r="C32" s="9">
        <f si="0" t="shared"/>
        <v>7.091932623699887E-2</v>
      </c>
      <c r="E32" s="371">
        <v>21</v>
      </c>
      <c r="F32" s="371" t="n">
        <v>73862.0</v>
      </c>
      <c r="G32" s="9">
        <f si="1" t="shared"/>
        <v>4.1363149923614416E-2</v>
      </c>
    </row>
    <row r="33" spans="1:7" x14ac:dyDescent="0.25">
      <c r="A33">
        <v>22</v>
      </c>
      <c r="B33" s="6" t="n">
        <v>80885.3478916583</v>
      </c>
      <c r="C33" s="9">
        <f si="0" t="shared"/>
        <v>4.4063632583695757E-2</v>
      </c>
      <c r="E33" s="371">
        <v>22</v>
      </c>
      <c r="F33" s="371" t="n">
        <v>72703.0</v>
      </c>
      <c r="G33" s="9">
        <f si="1" t="shared"/>
        <v>3.9905829611208941E-2</v>
      </c>
    </row>
    <row r="34" spans="1:7" x14ac:dyDescent="0.25">
      <c r="A34">
        <v>23</v>
      </c>
      <c r="B34" s="6" t="n">
        <v>63546.2231063582</v>
      </c>
      <c r="C34" s="9">
        <f si="0" t="shared"/>
        <v>3.4617857251361309E-2</v>
      </c>
      <c r="E34" s="371">
        <v>23</v>
      </c>
      <c r="F34" s="371" t="n">
        <v>64068.0</v>
      </c>
      <c r="G34" s="9">
        <f si="1" t="shared"/>
        <v>3.5815983889186463E-2</v>
      </c>
    </row>
    <row r="35" spans="1:7" x14ac:dyDescent="0.25">
      <c r="A35">
        <v>24</v>
      </c>
      <c r="B35" s="6" t="n">
        <v>77347.3049036517</v>
      </c>
      <c r="C35" s="9">
        <f si="0" t="shared"/>
        <v>4.2136225082183093E-2</v>
      </c>
      <c r="E35" s="371">
        <v>24</v>
      </c>
      <c r="F35" s="371" t="n">
        <v>39579.0</v>
      </c>
      <c r="G35" s="9">
        <f si="1" t="shared"/>
        <v>2.0795135959736165E-2</v>
      </c>
    </row>
    <row r="36" spans="1:7" x14ac:dyDescent="0.25">
      <c r="A36">
        <v>25</v>
      </c>
      <c r="B36" s="6" t="n">
        <v>30035.813920643</v>
      </c>
      <c r="C36" s="9">
        <f si="0" t="shared"/>
        <v>1.636250697375017E-2</v>
      </c>
      <c r="E36" s="371">
        <v>25</v>
      </c>
      <c r="F36" s="371" t="n">
        <v>38709.0</v>
      </c>
      <c r="G36" s="9">
        <f si="1" t="shared"/>
        <v>2.1504548489171285E-2</v>
      </c>
    </row>
    <row r="37" spans="1:7" x14ac:dyDescent="0.25">
      <c r="A37">
        <v>26</v>
      </c>
      <c r="B37" s="6" t="n">
        <v>119308.5640478543</v>
      </c>
      <c r="C37" s="9">
        <f si="0" t="shared"/>
        <v>6.4995315805956452E-2</v>
      </c>
      <c r="E37" s="371">
        <v>26</v>
      </c>
      <c r="F37" s="371" t="n">
        <v>40001.0</v>
      </c>
      <c r="G37" s="9">
        <f si="1" t="shared"/>
        <v>2.1309872492721649E-2</v>
      </c>
    </row>
    <row r="38" spans="1:7" x14ac:dyDescent="0.25">
      <c r="A38">
        <v>27</v>
      </c>
      <c r="B38" s="6" t="n">
        <v>16099.6008915761</v>
      </c>
      <c r="C38" s="9">
        <f si="0" t="shared"/>
        <v>8.7705241668832711E-3</v>
      </c>
      <c r="E38" s="371">
        <v>27</v>
      </c>
      <c r="F38" s="371" t="n">
        <v>26062.0</v>
      </c>
      <c r="G38" s="9">
        <f si="1" t="shared"/>
        <v>1.6687142475332793E-2</v>
      </c>
    </row>
    <row r="39" spans="1:7" x14ac:dyDescent="0.25">
      <c r="A39">
        <v>28</v>
      </c>
      <c r="B39" s="6" t="n">
        <v>34253.6456184396</v>
      </c>
      <c r="C39" s="9">
        <f si="0" t="shared"/>
        <v>1.8660240631031531E-2</v>
      </c>
      <c r="E39" s="371">
        <v>28</v>
      </c>
      <c r="F39" s="371" t="n">
        <v>39110.0</v>
      </c>
      <c r="G39" s="9">
        <f si="1" t="shared"/>
        <v>2.1270827306993048E-2</v>
      </c>
    </row>
    <row r="40" spans="1:7" x14ac:dyDescent="0.25">
      <c r="A40">
        <v>29</v>
      </c>
      <c r="B40" s="6" t="n">
        <v>17769.7167671782</v>
      </c>
      <c r="C40" s="9">
        <f si="0" t="shared"/>
        <v>9.680347444311713E-3</v>
      </c>
      <c r="E40" s="371">
        <v>29</v>
      </c>
      <c r="F40" s="371" t="n">
        <v>22443.0</v>
      </c>
      <c r="G40" s="9">
        <f si="1" t="shared"/>
        <v>1.8502468645615996E-2</v>
      </c>
    </row>
    <row r="41" spans="1:7" x14ac:dyDescent="0.25">
      <c r="A41">
        <v>30</v>
      </c>
      <c r="B41" s="6" t="n">
        <v>19163.0072603273</v>
      </c>
      <c r="C41" s="9">
        <f si="0" t="shared"/>
        <v>1.0439365510905326E-2</v>
      </c>
      <c r="E41" s="371">
        <v>30</v>
      </c>
      <c r="F41" s="371" t="n">
        <v>32866.0</v>
      </c>
      <c r="G41" s="9">
        <f si="1" t="shared"/>
        <v>1.3525582295702939E-2</v>
      </c>
    </row>
    <row r="42" spans="1:7" x14ac:dyDescent="0.25">
      <c r="A42">
        <v>31</v>
      </c>
      <c r="B42" s="6" t="n">
        <v>9252.7818016435</v>
      </c>
      <c r="C42" s="9">
        <f si="0" t="shared"/>
        <v>5.0406060963084868E-3</v>
      </c>
      <c r="E42" s="371">
        <v>31</v>
      </c>
      <c r="F42" s="371" t="n">
        <v>18986.0</v>
      </c>
      <c r="G42" s="9">
        <f si="1" t="shared"/>
        <v>8.1730922577246228E-3</v>
      </c>
    </row>
    <row r="43" spans="1:7" x14ac:dyDescent="0.25">
      <c r="A43">
        <v>32</v>
      </c>
      <c r="B43" s="6" t="n">
        <v>24686.3349233849</v>
      </c>
      <c r="C43" s="9">
        <f si="0" t="shared"/>
        <v>1.3448289711989617E-2</v>
      </c>
      <c r="E43" s="371">
        <v>32</v>
      </c>
      <c r="F43" s="371" t="n">
        <v>26018.0</v>
      </c>
      <c r="G43" s="9">
        <f si="1" t="shared"/>
        <v>1.4867416847502703E-2</v>
      </c>
    </row>
    <row r="44" spans="1:7" x14ac:dyDescent="0.25">
      <c r="A44">
        <v>33</v>
      </c>
      <c r="B44" s="6" t="n">
        <v>11225.6123266658</v>
      </c>
      <c r="C44" s="9">
        <f si="0" t="shared"/>
        <v>6.1153381914330644E-3</v>
      </c>
      <c r="E44" s="371">
        <v>33</v>
      </c>
      <c r="F44" s="371" t="n">
        <v>25017.0</v>
      </c>
      <c r="G44" s="9">
        <f si="1" t="shared"/>
        <v>1.4615547902943567E-2</v>
      </c>
    </row>
    <row r="45" spans="1:7" x14ac:dyDescent="0.25">
      <c r="A45">
        <v>34</v>
      </c>
      <c r="B45" s="6" t="n">
        <v>20668.866646101502</v>
      </c>
      <c r="C45" s="9">
        <f si="0" t="shared"/>
        <v>1.1259707345700193E-2</v>
      </c>
      <c r="E45" s="371">
        <v>34</v>
      </c>
      <c r="F45" s="371" t="n">
        <v>26319.0</v>
      </c>
      <c r="G45" s="9">
        <f si="1" t="shared"/>
        <v>1.3893486933061154E-2</v>
      </c>
    </row>
    <row r="46" spans="1:7" x14ac:dyDescent="0.25">
      <c r="A46">
        <v>35</v>
      </c>
      <c r="B46" s="6" t="n">
        <v>16875.7807256587</v>
      </c>
      <c r="C46" s="9">
        <f si="0" t="shared"/>
        <v>9.1933609836785755E-3</v>
      </c>
      <c r="E46" s="371">
        <v>35</v>
      </c>
      <c r="F46" s="371" t="n">
        <v>13679.0</v>
      </c>
      <c r="G46" s="9">
        <f si="1" t="shared"/>
        <v>7.8508319924153348E-3</v>
      </c>
    </row>
    <row r="47" spans="1:7" x14ac:dyDescent="0.25">
      <c r="A47">
        <v>36</v>
      </c>
      <c r="B47" s="6" t="n">
        <v>5805.9543383719</v>
      </c>
      <c r="C47" s="9">
        <f si="0" t="shared"/>
        <v>3.1628897622645656E-3</v>
      </c>
      <c r="E47" s="371">
        <v>36</v>
      </c>
      <c r="F47" s="371" t="n">
        <v>8157.0</v>
      </c>
      <c r="G47" s="9">
        <f si="1" t="shared"/>
        <v>4.230628363522778E-3</v>
      </c>
    </row>
    <row r="48" spans="1:7" x14ac:dyDescent="0.25">
      <c r="A48">
        <v>37</v>
      </c>
      <c r="B48" s="6" t="n">
        <v>23940.1408449238</v>
      </c>
      <c r="C48" s="9">
        <f si="0" t="shared"/>
        <v>1.3041788132080727E-2</v>
      </c>
      <c r="E48" s="371">
        <v>37</v>
      </c>
      <c r="F48" s="371" t="n">
        <v>9523.0</v>
      </c>
      <c r="G48" s="9">
        <f si="1" t="shared"/>
        <v>4.9917345191337909E-3</v>
      </c>
    </row>
    <row r="49" spans="1:7" x14ac:dyDescent="0.25">
      <c r="A49">
        <v>38</v>
      </c>
      <c r="B49" s="6" t="n">
        <v>17597.9342190206</v>
      </c>
      <c r="C49" s="9">
        <f si="0" t="shared"/>
        <v>9.5867660567846881E-3</v>
      </c>
      <c r="E49" s="371">
        <v>38</v>
      </c>
      <c r="F49" s="371" t="n">
        <v>6011.0</v>
      </c>
      <c r="G49" s="9">
        <f si="1" t="shared"/>
        <v>4.4555506306072461E-3</v>
      </c>
    </row>
    <row r="50" spans="1:7" x14ac:dyDescent="0.25">
      <c r="A50">
        <v>39</v>
      </c>
      <c r="B50" s="6" t="n">
        <v>3861.4107941869</v>
      </c>
      <c r="C50" s="9">
        <f si="0" t="shared"/>
        <v>2.1035674683339742E-3</v>
      </c>
      <c r="E50" s="371">
        <v>39</v>
      </c>
      <c r="F50" s="371" t="n">
        <v>10075.0</v>
      </c>
      <c r="G50" s="9">
        <f si="1" t="shared"/>
        <v>5.170462481975972E-3</v>
      </c>
    </row>
    <row r="51" spans="1:7" x14ac:dyDescent="0.25">
      <c r="A51">
        <v>40</v>
      </c>
      <c r="B51" s="6" t="n">
        <v>6000.2936671088</v>
      </c>
      <c r="C51" s="9">
        <f si="0" t="shared"/>
        <v>3.2687593295129495E-3</v>
      </c>
      <c r="E51" s="371">
        <v>40</v>
      </c>
      <c r="F51" s="371" t="n">
        <v>4548.0</v>
      </c>
      <c r="G51" s="9">
        <f si="1" t="shared"/>
        <v>4.3241168363940723E-3</v>
      </c>
    </row>
    <row r="52" spans="1:7" x14ac:dyDescent="0.25">
      <c r="A52">
        <v>41</v>
      </c>
      <c r="B52" s="6" t="n">
        <v>6949.9674741894005</v>
      </c>
      <c r="C52" s="9">
        <f si="0" t="shared"/>
        <v>3.7861098608552857E-3</v>
      </c>
      <c r="E52" s="371">
        <v>41</v>
      </c>
      <c r="F52" s="371" t="n">
        <v>9137.0</v>
      </c>
      <c r="G52" s="9">
        <f si="1" t="shared"/>
        <v>3.2935439060363856E-3</v>
      </c>
    </row>
    <row r="53" spans="1:7" x14ac:dyDescent="0.25">
      <c r="A53">
        <v>42</v>
      </c>
      <c r="B53" s="6" t="n">
        <v>2179.1782629</v>
      </c>
      <c r="C53" s="9">
        <f si="0" t="shared"/>
        <v>1.1871434420906381E-3</v>
      </c>
      <c r="E53" s="371">
        <v>42</v>
      </c>
      <c r="F53" s="371" t="n">
        <v>5892.0</v>
      </c>
      <c r="G53" s="9">
        <f si="1" t="shared"/>
        <v>2.8013545929786859E-3</v>
      </c>
    </row>
    <row r="54" spans="1:7" x14ac:dyDescent="0.25">
      <c r="A54">
        <v>43</v>
      </c>
      <c r="B54" s="6" t="n">
        <v>2329.9440227539</v>
      </c>
      <c r="C54" s="9">
        <f si="0" t="shared"/>
        <v>1.2692755861880125E-3</v>
      </c>
      <c r="E54" s="371">
        <v>43</v>
      </c>
      <c r="F54" s="371" t="n">
        <v>7262.0</v>
      </c>
      <c r="G54" s="9">
        <f si="1" t="shared"/>
        <v>2.3663582280304836E-3</v>
      </c>
    </row>
    <row r="55" spans="1:7" x14ac:dyDescent="0.25">
      <c r="A55">
        <v>44</v>
      </c>
      <c r="B55" s="6" t="n">
        <v>3135.3672199654998</v>
      </c>
      <c r="C55" s="9">
        <f si="0" t="shared"/>
        <v>1.7080432092667227E-3</v>
      </c>
      <c r="E55" s="371">
        <v>44</v>
      </c>
      <c r="F55" s="371" t="n">
        <v>6619.0</v>
      </c>
      <c r="G55" s="9">
        <f si="1" t="shared"/>
        <v>2.4669958194154661E-3</v>
      </c>
    </row>
    <row r="56" spans="1:7" x14ac:dyDescent="0.25">
      <c r="A56">
        <v>45</v>
      </c>
      <c r="B56" s="6" t="n">
        <v>100623.4744096711</v>
      </c>
      <c r="C56" s="9">
        <f si="0" t="shared"/>
        <v>5.4816303833193018E-2</v>
      </c>
      <c r="E56" s="371">
        <v>45</v>
      </c>
      <c r="F56" s="371" t="n">
        <v>5403.0</v>
      </c>
      <c r="G56" s="9">
        <f si="1" t="shared"/>
        <v>4.7107191683265449E-3</v>
      </c>
    </row>
    <row r="57" spans="1:7" x14ac:dyDescent="0.25">
      <c r="A57">
        <v>46</v>
      </c>
      <c r="B57" s="6" t="n">
        <v>6520.0436392565</v>
      </c>
      <c r="C57" s="9">
        <f si="0" t="shared"/>
        <v>3.5519017329897627E-3</v>
      </c>
      <c r="E57" s="371">
        <v>46</v>
      </c>
      <c r="F57" s="371" t="n">
        <v>4137.0</v>
      </c>
      <c r="G57" s="9">
        <f si="1" t="shared"/>
        <v>1.8169759668632858E-3</v>
      </c>
    </row>
    <row r="58" spans="1:7" x14ac:dyDescent="0.25">
      <c r="A58">
        <v>47</v>
      </c>
      <c r="B58" s="6" t="n">
        <v>2313.652261393</v>
      </c>
      <c r="C58" s="9">
        <f si="0" t="shared"/>
        <v>1.2604003794236243E-3</v>
      </c>
      <c r="E58" s="371">
        <v>47</v>
      </c>
      <c r="F58" s="371" t="n">
        <v>5886.0</v>
      </c>
      <c r="G58" s="9">
        <f si="1" t="shared"/>
        <v>3.4442253270171789E-3</v>
      </c>
    </row>
    <row r="59" spans="1:7" x14ac:dyDescent="0.25">
      <c r="A59">
        <v>48</v>
      </c>
      <c r="B59" s="6" t="n">
        <v>1683.9558748667</v>
      </c>
      <c r="C59" s="9">
        <f si="0" t="shared"/>
        <v>9.1736284619398404E-4</v>
      </c>
      <c r="E59" s="371">
        <v>48</v>
      </c>
      <c r="F59" s="371" t="n">
        <v>3621.0</v>
      </c>
      <c r="G59" s="9">
        <f si="1" t="shared"/>
        <v>3.0163780805826644E-3</v>
      </c>
    </row>
    <row r="60" spans="1:7" x14ac:dyDescent="0.25">
      <c r="A60">
        <v>49</v>
      </c>
      <c r="B60" s="6" t="n">
        <v>3974.9595683289</v>
      </c>
      <c r="C60" s="9">
        <f si="0" t="shared"/>
        <v>2.1654250432166823E-3</v>
      </c>
      <c r="E60" s="371">
        <v>49</v>
      </c>
      <c r="F60" s="371" t="n">
        <v>4468.0</v>
      </c>
      <c r="G60" s="9">
        <f si="1" t="shared"/>
        <v>1.4364228890577791E-3</v>
      </c>
    </row>
    <row r="61" spans="1:7" x14ac:dyDescent="0.25">
      <c r="A61">
        <v>50</v>
      </c>
      <c r="B61" s="6" t="n">
        <v>1058.475504325</v>
      </c>
      <c r="C61" s="9">
        <f si="0" t="shared"/>
        <v>5.7662205748179617E-4</v>
      </c>
      <c r="E61" s="371">
        <v>50</v>
      </c>
      <c r="F61" s="371" t="n">
        <v>2818.0</v>
      </c>
      <c r="G61" s="9">
        <f si="1" t="shared"/>
        <v>1.5717062086244766E-3</v>
      </c>
    </row>
    <row r="62" spans="1:7" x14ac:dyDescent="0.25">
      <c r="A62">
        <v>51</v>
      </c>
      <c r="B62" s="6" t="n">
        <v>814.0671532819</v>
      </c>
      <c r="C62" s="9">
        <f si="0" t="shared"/>
        <v>4.4347656127678134E-4</v>
      </c>
      <c r="E62" s="371">
        <v>51</v>
      </c>
      <c r="F62" s="371" t="n">
        <v>3978.0</v>
      </c>
      <c r="G62" s="9">
        <f si="1" t="shared"/>
        <v>3.0972181130066662E-3</v>
      </c>
    </row>
    <row r="63" spans="1:7" x14ac:dyDescent="0.25">
      <c r="A63">
        <v>52</v>
      </c>
      <c r="B63" s="6" t="n">
        <v>12823.199834345</v>
      </c>
      <c r="C63" s="9">
        <f si="0" t="shared"/>
        <v>6.9856504394927446E-3</v>
      </c>
      <c r="E63" s="371">
        <v>52</v>
      </c>
      <c r="F63" s="371" t="n">
        <v>1857.0</v>
      </c>
      <c r="G63" s="9">
        <f si="1" t="shared"/>
        <v>1.1097631662016073E-3</v>
      </c>
    </row>
    <row r="64" spans="1:7" x14ac:dyDescent="0.25">
      <c r="A64">
        <v>53</v>
      </c>
      <c r="B64" s="6" t="n">
        <v>875.69254586</v>
      </c>
      <c r="C64" s="9">
        <f si="0" t="shared"/>
        <v>4.770480142922842E-4</v>
      </c>
      <c r="E64" s="371">
        <v>53</v>
      </c>
      <c r="F64" s="371" t="n">
        <v>2108.0</v>
      </c>
      <c r="G64" s="9">
        <f si="1" t="shared"/>
        <v>1.1130627593617707E-3</v>
      </c>
    </row>
    <row r="65" spans="1:7" x14ac:dyDescent="0.25">
      <c r="A65">
        <v>54</v>
      </c>
      <c r="B65" s="6" t="n">
        <v>5670.4812632143</v>
      </c>
      <c r="C65" s="9">
        <f si="0" t="shared"/>
        <v>3.0890885613755787E-3</v>
      </c>
      <c r="E65" s="371">
        <v>54</v>
      </c>
      <c r="F65" s="371" t="n">
        <v>1414.0</v>
      </c>
      <c r="G65" s="9">
        <f si="1" t="shared"/>
        <v>7.9245229063256502E-4</v>
      </c>
    </row>
    <row r="66" spans="1:7" x14ac:dyDescent="0.25">
      <c r="A66">
        <v>55</v>
      </c>
      <c r="B66" s="6" t="n">
        <v>662.957073809</v>
      </c>
      <c r="C66" s="9">
        <f si="0" t="shared"/>
        <v>3.6115684336562653E-4</v>
      </c>
      <c r="E66" s="371">
        <v>55</v>
      </c>
      <c r="F66" s="371" t="n">
        <v>1368.0</v>
      </c>
      <c r="G66" s="9">
        <f si="1" t="shared"/>
        <v>7.5945635903093144E-4</v>
      </c>
    </row>
    <row r="67" spans="1:7" x14ac:dyDescent="0.25">
      <c r="A67">
        <v>56</v>
      </c>
      <c r="B67" s="6" t="n">
        <v>106.37362877</v>
      </c>
      <c r="C67" s="9">
        <f si="0" t="shared"/>
        <v>5.7948795633468737E-5</v>
      </c>
      <c r="E67" s="371">
        <v>56</v>
      </c>
      <c r="F67" s="371" t="n">
        <v>1377.0</v>
      </c>
      <c r="G67" s="9">
        <f si="1" t="shared"/>
        <v>7.627559521910948E-4</v>
      </c>
    </row>
    <row r="68" spans="1:7" x14ac:dyDescent="0.25">
      <c r="A68">
        <v>57</v>
      </c>
      <c r="B68" s="6" t="n">
        <v>1385.36015331</v>
      </c>
      <c r="C68" s="9">
        <f si="0" t="shared"/>
        <v>7.546978826537226E-4</v>
      </c>
      <c r="E68" s="371">
        <v>57</v>
      </c>
      <c r="F68" s="371" t="n">
        <v>1412.0</v>
      </c>
      <c r="G68" s="9">
        <f si="1" t="shared"/>
        <v>7.1876137672225013E-4</v>
      </c>
    </row>
    <row r="69" spans="1:7" x14ac:dyDescent="0.25">
      <c r="A69">
        <v>58</v>
      </c>
      <c r="B69" s="6" t="n">
        <v>4885.84852718</v>
      </c>
      <c r="C69" s="9">
        <f si="0" t="shared"/>
        <v>2.6616468862768316E-3</v>
      </c>
      <c r="E69" s="371">
        <v>58</v>
      </c>
      <c r="F69" s="371" t="n">
        <v>1256.0</v>
      </c>
      <c r="G69" s="9">
        <f si="1" t="shared"/>
        <v>8.2984767978108297E-4</v>
      </c>
    </row>
    <row r="70" spans="1:7" x14ac:dyDescent="0.25">
      <c r="A70">
        <v>59</v>
      </c>
      <c r="B70" s="6" t="n">
        <v>1504.4063101476</v>
      </c>
      <c r="C70" s="9">
        <f si="0" t="shared"/>
        <v>8.1955024778688915E-4</v>
      </c>
      <c r="E70" s="371">
        <v>59</v>
      </c>
      <c r="F70" s="371" t="n">
        <v>1201.0</v>
      </c>
      <c r="G70" s="9">
        <f si="1" t="shared"/>
        <v>6.2472297165759463E-4</v>
      </c>
    </row>
    <row r="71" spans="1:7" x14ac:dyDescent="0.25">
      <c r="A71">
        <v>60</v>
      </c>
      <c r="B71" s="6" t="n">
        <v>6053.1094642147</v>
      </c>
      <c r="C71" s="9">
        <f si="0" t="shared"/>
        <v>3.2975316095234975E-3</v>
      </c>
      <c r="E71" s="371">
        <v>60</v>
      </c>
      <c r="F71" s="371" t="n">
        <v>1104.0</v>
      </c>
      <c r="G71" s="9">
        <f si="1" t="shared"/>
        <v>6.5496924229242531E-4</v>
      </c>
    </row>
    <row r="72" spans="1:7" x14ac:dyDescent="0.25">
      <c r="A72">
        <v>61</v>
      </c>
      <c r="B72" s="6" t="n">
        <v>6516.230696508</v>
      </c>
      <c r="C72" s="9">
        <f si="0" t="shared"/>
        <v>3.5498245692918628E-3</v>
      </c>
      <c r="E72" s="371">
        <v>61</v>
      </c>
      <c r="F72" s="371" t="n">
        <v>839.0</v>
      </c>
      <c r="G72" s="9">
        <f si="1" t="shared"/>
        <v>5.1418660079212235E-4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793.0</v>
      </c>
      <c r="G73" s="9">
        <f si="1" t="shared"/>
        <v>4.2454765327435128E-4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814.0</v>
      </c>
      <c r="G74" s="9">
        <f si="1" t="shared"/>
        <v>4.1189921282705841E-4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775.0</v>
      </c>
      <c r="G75" s="9">
        <f si="1" t="shared"/>
        <v>4.2399772108099072E-4</v>
      </c>
    </row>
    <row r="76" spans="1:7" x14ac:dyDescent="0.25">
      <c r="A76">
        <v>65</v>
      </c>
      <c r="B76" s="6" t="n">
        <v>6039.223909766</v>
      </c>
      <c r="C76" s="9">
        <f si="0" t="shared"/>
        <v>3.2899672238171033E-3</v>
      </c>
      <c r="E76" s="371">
        <v>65</v>
      </c>
      <c r="F76" s="371" t="n">
        <v>689.0</v>
      </c>
      <c r="G76" s="9">
        <f si="1" t="shared"/>
        <v>4.0365022992665007E-4</v>
      </c>
    </row>
    <row r="77" spans="1:7" x14ac:dyDescent="0.25">
      <c r="A77">
        <v>66</v>
      </c>
      <c r="B77" s="6" t="n">
        <v>1262.824399592</v>
      </c>
      <c r="C77" s="9">
        <f ref="C77:C102" si="2" t="shared">B77/B$102</f>
        <v>6.8794450183834476E-4</v>
      </c>
      <c r="E77" s="371">
        <v>66</v>
      </c>
      <c r="F77" s="371" t="n">
        <v>725.0</v>
      </c>
      <c r="G77" s="9">
        <f ref="G77:G102" si="3" t="shared">F77/F$102</f>
        <v>3.6680477297149262E-4</v>
      </c>
    </row>
    <row r="78" spans="1:7" x14ac:dyDescent="0.25">
      <c r="A78">
        <v>67</v>
      </c>
      <c r="B78" s="6" t="n">
        <v>2121.603734355</v>
      </c>
      <c r="C78" s="9">
        <f si="2" t="shared"/>
        <v>1.1557787643323809E-3</v>
      </c>
      <c r="E78" s="371">
        <v>67</v>
      </c>
      <c r="F78" s="371" t="n">
        <v>581.0</v>
      </c>
      <c r="G78" s="9">
        <f si="3" t="shared"/>
        <v>3.4975687497731532E-4</v>
      </c>
    </row>
    <row r="79" spans="1:7" x14ac:dyDescent="0.25">
      <c r="A79">
        <v>68</v>
      </c>
      <c r="B79" s="6" t="n">
        <v>385.51800510500004</v>
      </c>
      <c r="C79" s="9">
        <f si="2" t="shared"/>
        <v>2.1001731678399531E-4</v>
      </c>
      <c r="E79" s="371">
        <v>68</v>
      </c>
      <c r="F79" s="371" t="n">
        <v>604.0</v>
      </c>
      <c r="G79" s="9">
        <f si="3" t="shared"/>
        <v>3.14011282408879E-4</v>
      </c>
    </row>
    <row r="80" spans="1:7" x14ac:dyDescent="0.25">
      <c r="A80">
        <v>69</v>
      </c>
      <c r="B80" s="6" t="n">
        <v>2700.8750317959</v>
      </c>
      <c r="C80" s="9">
        <f si="2" t="shared"/>
        <v>1.4713463953315788E-3</v>
      </c>
      <c r="E80" s="371">
        <v>69</v>
      </c>
      <c r="F80" s="371" t="n">
        <v>604.0</v>
      </c>
      <c r="G80" s="9">
        <f si="3" t="shared"/>
        <v>3.1016175705535508E-4</v>
      </c>
    </row>
    <row r="81" spans="1:7" x14ac:dyDescent="0.25">
      <c r="A81">
        <v>70</v>
      </c>
      <c r="B81" s="6" t="n">
        <v>3317.574433313</v>
      </c>
      <c r="C81" s="9">
        <f si="2" t="shared"/>
        <v>1.8073036057701458E-3</v>
      </c>
      <c r="E81" s="371">
        <v>70</v>
      </c>
      <c r="F81" s="371" t="n">
        <v>469.0</v>
      </c>
      <c r="G81" s="9">
        <f si="3" t="shared"/>
        <v>3.1071168924871564E-4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584.0</v>
      </c>
      <c r="G82" s="9">
        <f si="3" t="shared"/>
        <v>2.9311385906117778E-4</v>
      </c>
    </row>
    <row r="83" spans="1:7" x14ac:dyDescent="0.25">
      <c r="A83">
        <v>72</v>
      </c>
      <c r="B83" s="6" t="n">
        <v>10258.7789274218</v>
      </c>
      <c r="C83" s="9">
        <f si="2" t="shared"/>
        <v>5.5886396881269194E-3</v>
      </c>
      <c r="E83" s="371">
        <v>72</v>
      </c>
      <c r="F83" s="371" t="n">
        <v>651.0</v>
      </c>
      <c r="G83" s="9">
        <f si="3" t="shared"/>
        <v>2.8486487616076939E-4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388.0</v>
      </c>
      <c r="G84" s="9">
        <f si="3" t="shared"/>
        <v>2.2767192805127128E-4</v>
      </c>
    </row>
    <row r="85" spans="1:7" x14ac:dyDescent="0.25">
      <c r="A85">
        <v>74</v>
      </c>
      <c r="B85" s="6" t="n">
        <v>3967.364534988</v>
      </c>
      <c r="C85" s="9">
        <f si="2" t="shared"/>
        <v>2.161287523043775E-3</v>
      </c>
      <c r="E85" s="371">
        <v>74</v>
      </c>
      <c r="F85" s="371" t="n">
        <v>441.0</v>
      </c>
      <c r="G85" s="9">
        <f si="3" t="shared"/>
        <v>2.0237504715668559E-4</v>
      </c>
    </row>
    <row r="86" spans="1:7" x14ac:dyDescent="0.25">
      <c r="A86">
        <v>75</v>
      </c>
      <c r="B86" s="6" t="n">
        <v>5478.951314952</v>
      </c>
      <c r="C86" s="9">
        <f si="2" t="shared"/>
        <v>2.9847494506591537E-3</v>
      </c>
      <c r="E86" s="371">
        <v>75</v>
      </c>
      <c r="F86" s="371" t="n">
        <v>411.0</v>
      </c>
      <c r="G86" s="9">
        <f si="3" t="shared"/>
        <v>2.7881562203380323E-4</v>
      </c>
    </row>
    <row r="87" spans="1:7" x14ac:dyDescent="0.25">
      <c r="A87">
        <v>76</v>
      </c>
      <c r="B87" s="6" t="n">
        <v>3993.8384281549997</v>
      </c>
      <c r="C87" s="9">
        <f si="2" t="shared"/>
        <v>2.1757096147078082E-3</v>
      </c>
      <c r="E87" s="371">
        <v>76</v>
      </c>
      <c r="F87" s="371" t="n">
        <v>332.0</v>
      </c>
      <c r="G87" s="9">
        <f si="3" t="shared"/>
        <v>1.9192633548283496E-4</v>
      </c>
    </row>
    <row r="88" spans="1:7" x14ac:dyDescent="0.25">
      <c r="A88">
        <v>77</v>
      </c>
      <c r="B88" s="6" t="n">
        <v>959.412335394</v>
      </c>
      <c r="C88" s="9">
        <f si="2" t="shared"/>
        <v>5.2265575589403553E-4</v>
      </c>
      <c r="E88" s="371">
        <v>77</v>
      </c>
      <c r="F88" s="371" t="n">
        <v>319.0</v>
      </c>
      <c r="G88" s="9">
        <f si="3" t="shared"/>
        <v>1.7377857310193654E-4</v>
      </c>
    </row>
    <row r="89" spans="1:7" x14ac:dyDescent="0.25">
      <c r="A89">
        <v>78</v>
      </c>
      <c r="B89" s="6" t="n">
        <v>523.299985488</v>
      </c>
      <c r="C89" s="9">
        <f si="2" t="shared"/>
        <v>2.8507633202594623E-4</v>
      </c>
      <c r="E89" s="371">
        <v>78</v>
      </c>
      <c r="F89" s="371" t="n">
        <v>408.0</v>
      </c>
      <c r="G89" s="9">
        <f si="3" t="shared"/>
        <v>2.3152145340479518E-4</v>
      </c>
    </row>
    <row r="90" spans="1:7" x14ac:dyDescent="0.25">
      <c r="A90">
        <v>79</v>
      </c>
      <c r="B90" s="6" t="n">
        <v>649.4609449740001</v>
      </c>
      <c r="C90" s="9">
        <f si="2" t="shared"/>
        <v>3.5380460371050118E-4</v>
      </c>
      <c r="E90" s="371">
        <v>79</v>
      </c>
      <c r="F90" s="371" t="n">
        <v>455.0</v>
      </c>
      <c r="G90" s="9">
        <f si="3" t="shared"/>
        <v>2.4801941920561194E-4</v>
      </c>
    </row>
    <row r="91" spans="1:7" x14ac:dyDescent="0.25">
      <c r="A91">
        <v>80</v>
      </c>
      <c r="B91" s="6" t="n">
        <v>5404.0538728265</v>
      </c>
      <c r="C91" s="9">
        <f si="2" t="shared"/>
        <v>2.9439478288908064E-3</v>
      </c>
      <c r="E91" s="371">
        <v>80</v>
      </c>
      <c r="F91" s="371" t="n">
        <v>336.0</v>
      </c>
      <c r="G91" s="9">
        <f si="3" t="shared"/>
        <v>1.611301326546437E-4</v>
      </c>
    </row>
    <row r="92" spans="1:7" x14ac:dyDescent="0.25">
      <c r="A92">
        <v>81</v>
      </c>
      <c r="B92" s="6" t="n">
        <v>668.711535771</v>
      </c>
      <c r="C92" s="9">
        <f si="2" t="shared"/>
        <v>3.6429168180323891E-4</v>
      </c>
      <c r="E92" s="371">
        <v>81</v>
      </c>
      <c r="F92" s="371" t="n">
        <v>287.0</v>
      </c>
      <c r="G92" s="9">
        <f si="3" t="shared"/>
        <v>1.5178128536751418E-4</v>
      </c>
    </row>
    <row r="93" spans="1:7" x14ac:dyDescent="0.25">
      <c r="A93">
        <v>82</v>
      </c>
      <c r="B93" s="6" t="n">
        <v>3436.0861575477</v>
      </c>
      <c r="C93" s="9">
        <f si="2" t="shared"/>
        <v>1.8718648298936145E-3</v>
      </c>
      <c r="E93" s="371">
        <v>82</v>
      </c>
      <c r="F93" s="371" t="n">
        <v>264.0</v>
      </c>
      <c r="G93" s="9">
        <f si="3" t="shared"/>
        <v>1.3308359079325521E-4</v>
      </c>
    </row>
    <row r="94" spans="1:7" x14ac:dyDescent="0.25">
      <c r="A94">
        <v>83</v>
      </c>
      <c r="B94" s="6" t="n">
        <v>4707.4822341093995</v>
      </c>
      <c r="C94" s="9">
        <f si="2" t="shared"/>
        <v>2.5644788946931631E-3</v>
      </c>
      <c r="E94" s="371">
        <v>83</v>
      </c>
      <c r="F94" s="371" t="n">
        <v>215.0</v>
      </c>
      <c r="G94" s="9">
        <f si="3" t="shared"/>
        <v>1.3363352298661574E-4</v>
      </c>
    </row>
    <row r="95" spans="1:7" x14ac:dyDescent="0.25">
      <c r="A95">
        <v>84</v>
      </c>
      <c r="B95" s="6" t="n">
        <v>4050.4151157999</v>
      </c>
      <c r="C95" s="9">
        <f si="2" t="shared"/>
        <v>2.2065307021132382E-3</v>
      </c>
      <c r="E95" s="371">
        <v>84</v>
      </c>
      <c r="F95" s="371" t="n">
        <v>234.0</v>
      </c>
      <c r="G95" s="9">
        <f si="3" t="shared"/>
        <v>1.2758426885964961E-4</v>
      </c>
    </row>
    <row r="96" spans="1:7" x14ac:dyDescent="0.25">
      <c r="A96">
        <v>85</v>
      </c>
      <c r="B96" s="6" t="n">
        <v>745.6925231339001</v>
      </c>
      <c r="C96" s="9">
        <f si="2" t="shared"/>
        <v>4.062283493395206E-4</v>
      </c>
      <c r="E96" s="371">
        <v>85</v>
      </c>
      <c r="F96" s="371" t="n">
        <v>226.0</v>
      </c>
      <c r="G96" s="9">
        <f si="3" t="shared"/>
        <v>1.1713555718579899E-4</v>
      </c>
    </row>
    <row r="97" spans="1:7" x14ac:dyDescent="0.25">
      <c r="A97">
        <v>86</v>
      </c>
      <c r="B97" s="6" t="n">
        <v>2097.1040707583998</v>
      </c>
      <c r="C97" s="9">
        <f si="2" t="shared"/>
        <v>1.1424321669166076E-3</v>
      </c>
      <c r="E97" s="371">
        <v>86</v>
      </c>
      <c r="F97" s="371" t="n">
        <v>207.0</v>
      </c>
      <c r="G97" s="9">
        <f si="3" t="shared"/>
        <v>1.2538454008620737E-4</v>
      </c>
    </row>
    <row r="98" spans="1:7" x14ac:dyDescent="0.25">
      <c r="A98">
        <v>87</v>
      </c>
      <c r="B98" s="6" t="n">
        <v>2490.6570966944</v>
      </c>
      <c r="C98" s="9">
        <f si="2" t="shared"/>
        <v>1.3568266943441642E-3</v>
      </c>
      <c r="E98" s="371">
        <v>87</v>
      </c>
      <c r="F98" s="371" t="n">
        <v>202.0</v>
      </c>
      <c r="G98" s="9">
        <f si="3" t="shared"/>
        <v>1.4463216685382693E-4</v>
      </c>
    </row>
    <row r="99" spans="1:7" x14ac:dyDescent="0.25">
      <c r="A99">
        <v>88</v>
      </c>
      <c r="B99" s="6" t="n">
        <v>289.143108231</v>
      </c>
      <c r="C99" s="9">
        <f si="2" t="shared"/>
        <v>1.5751549591236299E-4</v>
      </c>
      <c r="E99" s="371">
        <v>88</v>
      </c>
      <c r="F99" s="371" t="n">
        <v>281.0</v>
      </c>
      <c r="G99" s="9">
        <f si="3" t="shared"/>
        <v>1.3473338737333686E-4</v>
      </c>
    </row>
    <row r="100" spans="1:7" x14ac:dyDescent="0.25">
      <c r="A100">
        <v>89</v>
      </c>
      <c r="B100" s="6" t="n">
        <v>2614.6389136738</v>
      </c>
      <c r="C100" s="9">
        <f si="2" t="shared"/>
        <v>1.4243678420654648E-3</v>
      </c>
      <c r="E100" s="371">
        <v>89</v>
      </c>
      <c r="F100" s="371" t="n">
        <v>207.0</v>
      </c>
      <c r="G100" s="9">
        <f si="3" t="shared"/>
        <v>1.0393718454514558E-4</v>
      </c>
    </row>
    <row ht="15.75" r="101" spans="1:7" thickBot="1" x14ac:dyDescent="0.3">
      <c r="A101" s="1">
        <v>90</v>
      </c>
      <c r="B101" s="7" t="n">
        <v>50373.197047239</v>
      </c>
      <c r="C101" s="9">
        <f si="2" t="shared"/>
        <v>2.7441633183413153E-2</v>
      </c>
      <c r="E101" s="372">
        <v>90</v>
      </c>
      <c r="F101" s="372" t="n">
        <v>14342.0</v>
      </c>
      <c r="G101" s="9">
        <f si="3" t="shared"/>
        <v>7.9124243980717174E-3</v>
      </c>
    </row>
    <row r="102" spans="1:7" x14ac:dyDescent="0.25">
      <c r="B102" s="6">
        <f>SUM(B11:B101)</f>
        <v>1835648.6551130866</v>
      </c>
      <c r="C102" s="9">
        <f si="2" t="shared"/>
        <v>1</v>
      </c>
      <c r="F102" s="6">
        <f>SUM(F11:F101)</f>
        <v>1818406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M102"/>
  <sheetViews>
    <sheetView workbookViewId="0">
      <selection activeCell="A6" sqref="A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63879.8537430891</v>
      </c>
      <c r="C11" s="9">
        <f>B11/B$102</f>
        <v>8.6998452461036699E-2</v>
      </c>
      <c r="E11" s="371">
        <v>0</v>
      </c>
      <c r="F11" s="371" t="n">
        <v>192737.0</v>
      </c>
      <c r="G11" s="9">
        <f>F11/F$102</f>
        <v>0.26414194092452453</v>
      </c>
      <c r="K11" s="6" t="n">
        <v>5.366322071591459</v>
      </c>
      <c r="L11" s="6" t="n">
        <v>4.655987917185314</v>
      </c>
    </row>
    <row r="12" spans="1:12" x14ac:dyDescent="0.25">
      <c r="A12">
        <v>1</v>
      </c>
      <c r="B12" s="6" t="n">
        <v>53393.708936194</v>
      </c>
      <c r="C12" s="9">
        <f>B12/B$102</f>
        <v>7.2717293112250531E-2</v>
      </c>
      <c r="E12" s="371">
        <v>1</v>
      </c>
      <c r="F12" s="371" t="n">
        <v>96673.0</v>
      </c>
      <c r="G12" s="9">
        <f>F12/F$102</f>
        <v>0.13291149774749783</v>
      </c>
      <c r="K12" s="6"/>
      <c r="L12" s="371"/>
    </row>
    <row r="13" spans="1:12" x14ac:dyDescent="0.25">
      <c r="A13">
        <v>2</v>
      </c>
      <c r="B13" s="6" t="n">
        <v>47302.9741506206</v>
      </c>
      <c r="C13" s="9">
        <f ref="C13:C76" si="0" t="shared">B13/B$102</f>
        <v>6.4422275674881763E-2</v>
      </c>
      <c r="E13" s="371">
        <v>2</v>
      </c>
      <c r="F13" s="371" t="n">
        <v>52799.0</v>
      </c>
      <c r="G13" s="9">
        <f ref="G13:G76" si="1" t="shared">F13/F$102</f>
        <v>7.2480914759992007E-2</v>
      </c>
    </row>
    <row r="14" spans="1:12" x14ac:dyDescent="0.25">
      <c r="A14">
        <v>3</v>
      </c>
      <c r="B14" s="6" t="n">
        <v>101951.7108591875</v>
      </c>
      <c r="C14" s="9">
        <f si="0" t="shared"/>
        <v>0.13884880053382953</v>
      </c>
      <c r="E14" s="371">
        <v>3</v>
      </c>
      <c r="F14" s="371" t="n">
        <v>25808.0</v>
      </c>
      <c r="G14" s="9">
        <f si="1" t="shared"/>
        <v>3.5737666718448323E-2</v>
      </c>
    </row>
    <row r="15" spans="1:12" x14ac:dyDescent="0.25">
      <c r="A15">
        <v>4</v>
      </c>
      <c r="B15" s="6" t="n">
        <v>152506.7290747909</v>
      </c>
      <c r="C15" s="9">
        <f si="0" t="shared"/>
        <v>0.20770005943911218</v>
      </c>
      <c r="E15" s="371">
        <v>4</v>
      </c>
      <c r="F15" s="371" t="n">
        <v>107053.0</v>
      </c>
      <c r="G15" s="9">
        <f si="1" t="shared"/>
        <v>0.14653331040145581</v>
      </c>
    </row>
    <row r="16" spans="1:12" x14ac:dyDescent="0.25">
      <c r="A16">
        <v>5</v>
      </c>
      <c r="B16" s="6" t="n">
        <v>92123.4612140107</v>
      </c>
      <c r="C16" s="9">
        <f si="0" t="shared"/>
        <v>0.1254636335456597</v>
      </c>
      <c r="E16" s="371">
        <v>5</v>
      </c>
      <c r="F16" s="371" t="n">
        <v>54869.0</v>
      </c>
      <c r="G16" s="9">
        <f si="1" t="shared"/>
        <v>7.5232740063469514E-2</v>
      </c>
    </row>
    <row r="17" spans="1:7" x14ac:dyDescent="0.25">
      <c r="A17">
        <v>6</v>
      </c>
      <c r="B17" s="6" t="n">
        <v>60644.1826504278</v>
      </c>
      <c r="C17" s="9">
        <f si="0" t="shared"/>
        <v>8.2591767704578586E-2</v>
      </c>
      <c r="E17" s="371">
        <v>6</v>
      </c>
      <c r="F17" s="371" t="n">
        <v>50034.0</v>
      </c>
      <c r="G17" s="9">
        <f si="1" t="shared"/>
        <v>7.2006557777235303E-2</v>
      </c>
    </row>
    <row r="18" spans="1:7" x14ac:dyDescent="0.25">
      <c r="A18">
        <v>7</v>
      </c>
      <c r="B18" s="6" t="n">
        <v>19992.7863701492</v>
      </c>
      <c r="C18" s="9">
        <f si="0" t="shared"/>
        <v>2.7228325875358783E-2</v>
      </c>
      <c r="E18" s="371">
        <v>7</v>
      </c>
      <c r="F18" s="371" t="n">
        <v>28663.0</v>
      </c>
      <c r="G18" s="9">
        <f si="1" t="shared"/>
        <v>3.8363274228268344E-2</v>
      </c>
    </row>
    <row r="19" spans="1:7" x14ac:dyDescent="0.25">
      <c r="A19">
        <v>8</v>
      </c>
      <c r="B19" s="6" t="n">
        <v>28178.0706553287</v>
      </c>
      <c r="C19" s="9">
        <f si="0" t="shared"/>
        <v>3.8375926003377227E-2</v>
      </c>
      <c r="E19" s="371">
        <v>8</v>
      </c>
      <c r="F19" s="371" t="n">
        <v>25431.0</v>
      </c>
      <c r="G19" s="9">
        <f si="1" t="shared"/>
        <v>3.6296631233217191E-2</v>
      </c>
    </row>
    <row r="20" spans="1:7" x14ac:dyDescent="0.25">
      <c r="A20">
        <v>9</v>
      </c>
      <c r="B20" s="6" t="n">
        <v>10875.9976589943</v>
      </c>
      <c r="C20" s="9">
        <f si="0" t="shared"/>
        <v>1.4812102875309527E-2</v>
      </c>
      <c r="E20" s="371">
        <v>9</v>
      </c>
      <c r="F20" s="371" t="n">
        <v>14443.0</v>
      </c>
      <c r="G20" s="9">
        <f si="1" t="shared"/>
        <v>1.8297419054171014E-2</v>
      </c>
    </row>
    <row r="21" spans="1:7" x14ac:dyDescent="0.25">
      <c r="A21">
        <v>10</v>
      </c>
      <c r="B21" s="6" t="n">
        <v>37220.6805516127</v>
      </c>
      <c r="C21" s="9">
        <f si="0" t="shared"/>
        <v>5.0691124318474695E-2</v>
      </c>
      <c r="E21" s="371">
        <v>10</v>
      </c>
      <c r="F21" s="371" t="n">
        <v>13082.0</v>
      </c>
      <c r="G21" s="9">
        <f si="1" t="shared"/>
        <v>1.5931182175273517E-2</v>
      </c>
    </row>
    <row r="22" spans="1:7" x14ac:dyDescent="0.25">
      <c r="A22">
        <v>11</v>
      </c>
      <c r="B22" s="6" t="n">
        <v>7474.0110824636995</v>
      </c>
      <c r="C22" s="9">
        <f si="0" t="shared"/>
        <v>1.0178911812573226E-2</v>
      </c>
      <c r="E22" s="371">
        <v>11</v>
      </c>
      <c r="F22" s="371" t="n">
        <v>10608.0</v>
      </c>
      <c r="G22" s="9">
        <f si="1" t="shared"/>
        <v>1.4598266793901599E-2</v>
      </c>
    </row>
    <row r="23" spans="1:7" x14ac:dyDescent="0.25">
      <c r="A23">
        <v>12</v>
      </c>
      <c r="B23" s="6" t="n">
        <v>5972.9948961495</v>
      </c>
      <c r="C23" s="9">
        <f si="0" t="shared"/>
        <v>8.134666597900516E-3</v>
      </c>
      <c r="E23" s="371">
        <v>12</v>
      </c>
      <c r="F23" s="371" t="n">
        <v>7086.0</v>
      </c>
      <c r="G23" s="9">
        <f si="1" t="shared"/>
        <v>9.6327755708927893E-3</v>
      </c>
    </row>
    <row r="24" spans="1:7" x14ac:dyDescent="0.25">
      <c r="A24">
        <v>13</v>
      </c>
      <c r="B24" s="6" t="n">
        <v>12266.9415306754</v>
      </c>
      <c r="C24" s="9">
        <f si="0" t="shared"/>
        <v>1.6706439778194342E-2</v>
      </c>
      <c r="E24" s="371">
        <v>13</v>
      </c>
      <c r="F24" s="371" t="n">
        <v>6481.0</v>
      </c>
      <c r="G24" s="9">
        <f si="1" t="shared"/>
        <v>9.5911653092474649E-3</v>
      </c>
    </row>
    <row r="25" spans="1:7" x14ac:dyDescent="0.25">
      <c r="A25">
        <v>14</v>
      </c>
      <c r="B25" s="6" t="n">
        <v>2503.518648746</v>
      </c>
      <c r="C25" s="9">
        <f si="0" t="shared"/>
        <v>3.4095608456494136E-3</v>
      </c>
      <c r="E25" s="371">
        <v>14</v>
      </c>
      <c r="F25" s="371" t="n">
        <v>5618.0</v>
      </c>
      <c r="G25" s="9">
        <f si="1" t="shared"/>
        <v>7.7214775526508513E-3</v>
      </c>
    </row>
    <row r="26" spans="1:7" x14ac:dyDescent="0.25">
      <c r="A26">
        <v>15</v>
      </c>
      <c r="B26" s="6" t="n">
        <v>9673.9368189834</v>
      </c>
      <c r="C26" s="9">
        <f si="0" t="shared"/>
        <v>1.3175007191503645E-2</v>
      </c>
      <c r="E26" s="371">
        <v>15</v>
      </c>
      <c r="F26" s="371" t="n">
        <v>4165.0</v>
      </c>
      <c r="G26" s="9">
        <f si="1" t="shared"/>
        <v>6.552229200417212E-3</v>
      </c>
    </row>
    <row r="27" spans="1:7" x14ac:dyDescent="0.25">
      <c r="A27">
        <v>16</v>
      </c>
      <c r="B27" s="6" t="n">
        <v>5641.7536766451</v>
      </c>
      <c r="C27" s="9">
        <f si="0" t="shared"/>
        <v>7.683546693899374E-3</v>
      </c>
      <c r="E27" s="371">
        <v>16</v>
      </c>
      <c r="F27" s="371" t="n">
        <v>5564.0</v>
      </c>
      <c r="G27" s="9">
        <f si="1" t="shared"/>
        <v>7.0737444797052884E-3</v>
      </c>
    </row>
    <row r="28" spans="1:7" x14ac:dyDescent="0.25">
      <c r="A28">
        <v>17</v>
      </c>
      <c r="B28" s="6" t="n">
        <v>2591.5978135515998</v>
      </c>
      <c r="C28" s="9">
        <f si="0" t="shared"/>
        <v>3.5295165215494507E-3</v>
      </c>
      <c r="E28" s="371">
        <v>17</v>
      </c>
      <c r="F28" s="371" t="n">
        <v>2591.0</v>
      </c>
      <c r="G28" s="9">
        <f si="1" t="shared"/>
        <v>4.4079137169614523E-3</v>
      </c>
    </row>
    <row r="29" spans="1:7" x14ac:dyDescent="0.25">
      <c r="A29">
        <v>18</v>
      </c>
      <c r="B29" s="6" t="n">
        <v>4297.5356612173</v>
      </c>
      <c r="C29" s="9">
        <f si="0" t="shared"/>
        <v>5.8528460854917292E-3</v>
      </c>
      <c r="E29" s="371">
        <v>18</v>
      </c>
      <c r="F29" s="371" t="n">
        <v>3612.0</v>
      </c>
      <c r="G29" s="9">
        <f si="1" t="shared"/>
        <v>4.4439759437207337E-3</v>
      </c>
    </row>
    <row r="30" spans="1:7" x14ac:dyDescent="0.25">
      <c r="A30">
        <v>19</v>
      </c>
      <c r="B30" s="6" t="n">
        <v>402.0374973392</v>
      </c>
      <c r="C30" s="9">
        <f si="0" t="shared"/>
        <v>5.4753788636534783E-4</v>
      </c>
      <c r="E30" s="371">
        <v>19</v>
      </c>
      <c r="F30" s="371" t="n">
        <v>2763.0</v>
      </c>
      <c r="G30" s="9">
        <f si="1" t="shared"/>
        <v>3.8114999667117908E-3</v>
      </c>
    </row>
    <row r="31" spans="1:7" x14ac:dyDescent="0.25">
      <c r="A31">
        <v>20</v>
      </c>
      <c r="B31" s="6" t="n">
        <v>634.570420072</v>
      </c>
      <c r="C31" s="9">
        <f si="0" t="shared"/>
        <v>8.6422621983204791E-4</v>
      </c>
      <c r="E31" s="371">
        <v>20</v>
      </c>
      <c r="F31" s="371" t="n">
        <v>2376.0</v>
      </c>
      <c r="G31" s="9">
        <f si="1" t="shared"/>
        <v>3.278888617651628E-3</v>
      </c>
    </row>
    <row r="32" spans="1:7" x14ac:dyDescent="0.25">
      <c r="A32">
        <v>21</v>
      </c>
      <c r="B32" s="6" t="n">
        <v>2507.3412075616</v>
      </c>
      <c r="C32" s="9">
        <f si="0" t="shared"/>
        <v>3.4147668172024477E-3</v>
      </c>
      <c r="E32" s="371">
        <v>21</v>
      </c>
      <c r="F32" s="371" t="n">
        <v>1695.0</v>
      </c>
      <c r="G32" s="9">
        <f si="1" t="shared"/>
        <v>2.3565278178469184E-3</v>
      </c>
    </row>
    <row r="33" spans="1:7" x14ac:dyDescent="0.25">
      <c r="A33">
        <v>22</v>
      </c>
      <c r="B33" s="6" t="n">
        <v>2371.829540066</v>
      </c>
      <c r="C33" s="9">
        <f si="0" t="shared"/>
        <v>3.230212459737169E-3</v>
      </c>
      <c r="E33" s="371">
        <v>22</v>
      </c>
      <c r="F33" s="371" t="n">
        <v>1648.0</v>
      </c>
      <c r="G33" s="9">
        <f si="1" t="shared"/>
        <v>2.2899513992143982E-3</v>
      </c>
    </row>
    <row r="34" spans="1:7" x14ac:dyDescent="0.25">
      <c r="A34">
        <v>23</v>
      </c>
      <c r="B34" s="6" t="n">
        <v>1770.2506230066</v>
      </c>
      <c r="C34" s="9">
        <f si="0" t="shared"/>
        <v>2.4109176155780085E-3</v>
      </c>
      <c r="E34" s="371">
        <v>23</v>
      </c>
      <c r="F34" s="371" t="n">
        <v>1544.0</v>
      </c>
      <c r="G34" s="9">
        <f si="1" t="shared"/>
        <v>2.17760369277202E-3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1429.0</v>
      </c>
      <c r="G35" s="9">
        <f si="1" t="shared"/>
        <v>1.9459732362797097E-3</v>
      </c>
    </row>
    <row r="36" spans="1:7" x14ac:dyDescent="0.25">
      <c r="A36">
        <v>25</v>
      </c>
      <c r="B36" s="6" t="n">
        <v>1160.436957656</v>
      </c>
      <c r="C36" s="9">
        <f si="0" t="shared"/>
        <v>1.5804078058896248E-3</v>
      </c>
      <c r="E36" s="371">
        <v>25</v>
      </c>
      <c r="F36" s="371" t="n">
        <v>1302.0</v>
      </c>
      <c r="G36" s="9">
        <f si="1" t="shared"/>
        <v>2.134606422405184E-3</v>
      </c>
    </row>
    <row r="37" spans="1:7" x14ac:dyDescent="0.25">
      <c r="A37">
        <v>26</v>
      </c>
      <c r="B37" s="6" t="n">
        <v>1124.4476883681</v>
      </c>
      <c r="C37" s="9">
        <f si="0" t="shared"/>
        <v>1.531393749817376E-3</v>
      </c>
      <c r="E37" s="371">
        <v>26</v>
      </c>
      <c r="F37" s="371" t="n">
        <v>1009.0</v>
      </c>
      <c r="G37" s="9">
        <f si="1" t="shared"/>
        <v>1.6200261867246621E-3</v>
      </c>
    </row>
    <row r="38" spans="1:7" x14ac:dyDescent="0.25">
      <c r="A38">
        <v>27</v>
      </c>
      <c r="B38" s="6" t="n">
        <v>306.240016457</v>
      </c>
      <c r="C38" s="9">
        <f si="0" t="shared"/>
        <v>4.1707057784683404E-4</v>
      </c>
      <c r="E38" s="371">
        <v>27</v>
      </c>
      <c r="F38" s="371" t="n">
        <v>977.0</v>
      </c>
      <c r="G38" s="9">
        <f si="1" t="shared"/>
        <v>1.141508177803422E-3</v>
      </c>
    </row>
    <row r="39" spans="1:7" x14ac:dyDescent="0.25">
      <c r="A39">
        <v>28</v>
      </c>
      <c r="B39" s="6" t="n">
        <v>606.0495967530001</v>
      </c>
      <c r="C39" s="9">
        <f si="0" t="shared"/>
        <v>8.2538349640242379E-4</v>
      </c>
      <c r="E39" s="371">
        <v>28</v>
      </c>
      <c r="F39" s="371" t="n">
        <v>654.0</v>
      </c>
      <c r="G39" s="9">
        <f si="1" t="shared"/>
        <v>8.8075053815938394E-4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504.0</v>
      </c>
      <c r="G40" s="9">
        <f si="1" t="shared"/>
        <v>8.6826745966578638E-4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460.0</v>
      </c>
      <c r="G41" s="9">
        <f si="1" t="shared"/>
        <v>6.2415392467987836E-4</v>
      </c>
    </row>
    <row r="42" spans="1:7" x14ac:dyDescent="0.25">
      <c r="A42">
        <v>31</v>
      </c>
      <c r="B42" s="6" t="n">
        <v>61.6654467019</v>
      </c>
      <c r="C42" s="9">
        <f si="0" t="shared"/>
        <v>8.3982634884542694E-5</v>
      </c>
      <c r="E42" s="371">
        <v>31</v>
      </c>
      <c r="F42" s="371" t="n">
        <v>461.0</v>
      </c>
      <c r="G42" s="9">
        <f si="1" t="shared"/>
        <v>7.4621069217283237E-4</v>
      </c>
    </row>
    <row r="43" spans="1:7" x14ac:dyDescent="0.25">
      <c r="A43">
        <v>32</v>
      </c>
      <c r="B43" s="6" t="n">
        <v>290.873582631</v>
      </c>
      <c r="C43" s="9">
        <f si="0" t="shared"/>
        <v>3.961429162387866E-4</v>
      </c>
      <c r="E43" s="371">
        <v>32</v>
      </c>
      <c r="F43" s="371" t="n">
        <v>365.0</v>
      </c>
      <c r="G43" s="9">
        <f si="1" t="shared"/>
        <v>5.3261134906016294E-4</v>
      </c>
    </row>
    <row r="44" spans="1:7" x14ac:dyDescent="0.25">
      <c r="A44">
        <v>33</v>
      </c>
      <c r="B44" s="6" t="n">
        <v>139.99557747</v>
      </c>
      <c r="C44" s="9">
        <f si="0" t="shared"/>
        <v>1.9066102812730399E-4</v>
      </c>
      <c r="E44" s="371">
        <v>33</v>
      </c>
      <c r="F44" s="371" t="n">
        <v>372.0</v>
      </c>
      <c r="G44" s="9">
        <f si="1" t="shared"/>
        <v>5.0209715718692435E-4</v>
      </c>
    </row>
    <row r="45" spans="1:7" x14ac:dyDescent="0.25">
      <c r="A45">
        <v>34</v>
      </c>
      <c r="B45" s="6" t="n">
        <v>1343.61970522</v>
      </c>
      <c r="C45" s="9">
        <f si="0" t="shared"/>
        <v>1.829885765243169E-3</v>
      </c>
      <c r="E45" s="371">
        <v>34</v>
      </c>
      <c r="F45" s="371" t="n">
        <v>303.0</v>
      </c>
      <c r="G45" s="9">
        <f si="1" t="shared"/>
        <v>4.244246687823173E-4</v>
      </c>
    </row>
    <row r="46" spans="1:7" x14ac:dyDescent="0.25">
      <c r="A46">
        <v>35</v>
      </c>
      <c r="B46" s="6" t="n">
        <v>342.481278879</v>
      </c>
      <c r="C46" s="9">
        <f si="0" t="shared"/>
        <v>4.6642782526052935E-4</v>
      </c>
      <c r="E46" s="371">
        <v>35</v>
      </c>
      <c r="F46" s="371" t="n">
        <v>243.0</v>
      </c>
      <c r="G46" s="9">
        <f si="1" t="shared"/>
        <v>3.2456004083353674E-4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301.0</v>
      </c>
      <c r="G47" s="9">
        <f si="1" t="shared"/>
        <v>4.4939082576951243E-4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197.0</v>
      </c>
      <c r="G48" s="9">
        <f si="1" t="shared"/>
        <v>3.1485097978296086E-4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207.0</v>
      </c>
      <c r="G49" s="9">
        <f si="1" t="shared"/>
        <v>2.9959388384634162E-4</v>
      </c>
    </row>
    <row r="50" spans="1:7" x14ac:dyDescent="0.25">
      <c r="A50">
        <v>39</v>
      </c>
      <c r="B50" s="6" t="n">
        <v>357.9078832048</v>
      </c>
      <c r="C50" s="9">
        <f si="0" t="shared"/>
        <v>4.874374335240506E-4</v>
      </c>
      <c r="E50" s="371">
        <v>39</v>
      </c>
      <c r="F50" s="371" t="n">
        <v>168.0</v>
      </c>
      <c r="G50" s="9">
        <f si="1" t="shared"/>
        <v>2.4411353498590799E-4</v>
      </c>
    </row>
    <row r="51" spans="1:7" x14ac:dyDescent="0.25">
      <c r="A51">
        <v>40</v>
      </c>
      <c r="B51" s="6" t="n">
        <v>417.967608267</v>
      </c>
      <c r="C51" s="9">
        <f si="0" t="shared"/>
        <v>5.6923322405076301E-4</v>
      </c>
      <c r="E51" s="371">
        <v>40</v>
      </c>
      <c r="F51" s="371" t="n">
        <v>170.0</v>
      </c>
      <c r="G51" s="9">
        <f si="1" t="shared"/>
        <v>2.0250327334058276E-4</v>
      </c>
    </row>
    <row r="52" spans="1:7" x14ac:dyDescent="0.25">
      <c r="A52">
        <v>41</v>
      </c>
      <c r="B52" s="6" t="n">
        <v>1433.5707232769998</v>
      </c>
      <c r="C52" s="9">
        <f si="0" t="shared"/>
        <v>1.9523907321412871E-3</v>
      </c>
      <c r="E52" s="371">
        <v>41</v>
      </c>
      <c r="F52" s="371" t="n">
        <v>133.0</v>
      </c>
      <c r="G52" s="9">
        <f si="1" t="shared"/>
        <v>1.9418122101151771E-4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81.0</v>
      </c>
      <c r="G53" s="9">
        <f si="1" t="shared"/>
        <v>1.0263864539180222E-4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77.0</v>
      </c>
      <c r="G54" s="9">
        <f si="1" t="shared"/>
        <v>9.8477619227269706E-5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47.0</v>
      </c>
      <c r="G55" s="9">
        <f si="1" t="shared"/>
        <v>7.0737444797052879E-5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55.0</v>
      </c>
      <c r="G56" s="9">
        <f si="1" t="shared"/>
        <v>5.6867357581944472E-5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38.0</v>
      </c>
      <c r="G57" s="9">
        <f si="1" t="shared"/>
        <v>4.5771287809857746E-5</v>
      </c>
    </row>
    <row r="58" spans="1:7" x14ac:dyDescent="0.25">
      <c r="A58">
        <v>47</v>
      </c>
      <c r="B58" s="6" t="n">
        <v>381.900134436</v>
      </c>
      <c r="C58" s="9">
        <f si="0" t="shared"/>
        <v>5.2011266062405967E-4</v>
      </c>
      <c r="E58" s="371">
        <v>47</v>
      </c>
      <c r="F58" s="371" t="n">
        <v>32.0</v>
      </c>
      <c r="G58" s="9">
        <f si="1" t="shared"/>
        <v>4.4384279088346909E-5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29.0</v>
      </c>
      <c r="G59" s="9">
        <f si="1" t="shared"/>
        <v>3.4675218037771021E-5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29.0</v>
      </c>
      <c r="G60" s="9">
        <f si="1" t="shared"/>
        <v>4.0223252923814384E-5</v>
      </c>
    </row>
    <row r="61" spans="1:7" x14ac:dyDescent="0.25">
      <c r="A61">
        <v>50</v>
      </c>
      <c r="B61" s="6" t="n">
        <v>14.08625</v>
      </c>
      <c r="C61" s="9">
        <f si="0" t="shared"/>
        <v>1.9184169643028623E-5</v>
      </c>
      <c r="E61" s="371">
        <v>50</v>
      </c>
      <c r="F61" s="371" t="n">
        <v>16.0</v>
      </c>
      <c r="G61" s="9">
        <f si="1" t="shared"/>
        <v>2.7740174430216817E-5</v>
      </c>
    </row>
    <row r="62" spans="1:7" x14ac:dyDescent="0.25">
      <c r="A62">
        <v>51</v>
      </c>
      <c r="B62" s="6" t="n">
        <v>41.7609222283</v>
      </c>
      <c r="C62" s="9">
        <f si="0" t="shared"/>
        <v>5.6874513548817605E-5</v>
      </c>
      <c r="E62" s="371">
        <v>51</v>
      </c>
      <c r="F62" s="371" t="n">
        <v>16.0</v>
      </c>
      <c r="G62" s="9">
        <f si="1" t="shared"/>
        <v>3.1901200594749339E-5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12.0</v>
      </c>
      <c r="G63" s="9">
        <f si="1" t="shared"/>
        <v>2.6353165708705977E-5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9.0</v>
      </c>
      <c r="G64" s="9">
        <f si="1" t="shared"/>
        <v>6.9350436075542043E-6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16.0</v>
      </c>
      <c r="G65" s="9">
        <f si="1" t="shared"/>
        <v>8.3220523290650459E-6</v>
      </c>
    </row>
    <row r="66" spans="1:7" x14ac:dyDescent="0.25">
      <c r="A66">
        <v>55</v>
      </c>
      <c r="B66" s="6" t="n">
        <v>4.59375</v>
      </c>
      <c r="C66" s="9">
        <f si="0" t="shared"/>
        <v>6.2562626176351222E-6</v>
      </c>
      <c r="E66" s="371">
        <v>55</v>
      </c>
      <c r="F66" s="371" t="n">
        <v>7.0</v>
      </c>
      <c r="G66" s="9">
        <f si="1" t="shared"/>
        <v>1.2483078493597568E-5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9.0</v>
      </c>
      <c r="G67" s="9">
        <f si="1" t="shared"/>
        <v>1.5257095936619249E-5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7.0</v>
      </c>
      <c r="G68" s="9">
        <f si="1" t="shared"/>
        <v>9.7090610505758866E-6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9.0</v>
      </c>
      <c r="G69" s="9">
        <f si="1" t="shared"/>
        <v>4.1610261645325229E-6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6.0</v>
      </c>
      <c r="G70" s="9">
        <f si="1" t="shared"/>
        <v>8.3220523290650459E-6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5.0</v>
      </c>
      <c r="G71" s="9">
        <f si="1" t="shared"/>
        <v>6.9350436075542043E-6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1.3870087215108409E-6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5.0</v>
      </c>
      <c r="G73" s="9">
        <f si="1" t="shared"/>
        <v>5.5480348860433636E-6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2.7740174430216818E-6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1.3870087215108409E-6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4.1610261645325229E-6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2.0</v>
      </c>
      <c r="G78" s="9">
        <f si="3" t="shared"/>
        <v>1.3870087215108409E-6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8.0</v>
      </c>
      <c r="G79" s="9">
        <f si="3" t="shared"/>
        <v>2.7740174430216818E-6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0</v>
      </c>
    </row>
    <row r="82" spans="1:7" x14ac:dyDescent="0.25">
      <c r="A82">
        <v>71</v>
      </c>
      <c r="B82" s="6" t="n">
        <v>58.1809956208</v>
      </c>
      <c r="C82" s="9">
        <f si="2" t="shared"/>
        <v>7.9237134793840275E-5</v>
      </c>
      <c r="E82" s="371">
        <v>71</v>
      </c>
      <c r="F82" s="371" t="n">
        <v>0.0</v>
      </c>
      <c r="G82" s="9">
        <f si="3" t="shared"/>
        <v>4.1610261645325229E-6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1.3870087215108409E-6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1.3870087215108409E-6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1.3870087215108409E-6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1.3870087215108409E-6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734264.25339805277</v>
      </c>
      <c r="C102" s="9">
        <f si="2" t="shared"/>
        <v>1</v>
      </c>
      <c r="F102" s="6">
        <f>SUM(F11:F101)</f>
        <v>720976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M102"/>
  <sheetViews>
    <sheetView workbookViewId="0">
      <selection activeCell="A4" sqref="A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6317.0</v>
      </c>
      <c r="G11" s="9">
        <f>F11/F$102</f>
        <v>8.7547990501764279E-3</v>
      </c>
      <c r="K11" s="6" t="n">
        <v>29.23674915490346</v>
      </c>
      <c r="L11" s="6" t="n">
        <v>18.616670208665266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25889.0</v>
      </c>
      <c r="G12" s="9">
        <f>F12/F$102</f>
        <v>3.5492166174740908E-2</v>
      </c>
      <c r="K12" s="6"/>
      <c r="L12" s="371"/>
    </row>
    <row r="13" spans="1:12" x14ac:dyDescent="0.25">
      <c r="A13">
        <v>2</v>
      </c>
      <c r="B13" s="6" t="n">
        <v>1044.3960615591</v>
      </c>
      <c r="C13" s="9">
        <f ref="C13:C76" si="0" t="shared">B13/B$102</f>
        <v>1.4223708381904867E-3</v>
      </c>
      <c r="E13" s="371">
        <v>2</v>
      </c>
      <c r="F13" s="371" t="n">
        <v>28801.0</v>
      </c>
      <c r="G13" s="9">
        <f ref="G13:G76" si="1" t="shared">F13/F$102</f>
        <v>3.8653159051064111E-2</v>
      </c>
    </row>
    <row r="14" spans="1:12" x14ac:dyDescent="0.25">
      <c r="A14">
        <v>3</v>
      </c>
      <c r="B14" s="6" t="n">
        <v>4150.436375078</v>
      </c>
      <c r="C14" s="9">
        <f si="0" t="shared"/>
        <v>5.6525104631887941E-3</v>
      </c>
      <c r="E14" s="371">
        <v>3</v>
      </c>
      <c r="F14" s="371" t="n">
        <v>29639.0</v>
      </c>
      <c r="G14" s="9">
        <f si="1" t="shared"/>
        <v>4.0956980537493623E-2</v>
      </c>
    </row>
    <row r="15" spans="1:12" x14ac:dyDescent="0.25">
      <c r="A15">
        <v>4</v>
      </c>
      <c r="B15" s="6" t="n">
        <v>2903.6099800053003</v>
      </c>
      <c r="C15" s="9">
        <f si="0" t="shared"/>
        <v>3.9544482338175627E-3</v>
      </c>
      <c r="E15" s="371">
        <v>4</v>
      </c>
      <c r="F15" s="371" t="n">
        <v>28726.0</v>
      </c>
      <c r="G15" s="9">
        <f si="1" t="shared"/>
        <v>3.8952752934910455E-2</v>
      </c>
    </row>
    <row r="16" spans="1:12" x14ac:dyDescent="0.25">
      <c r="A16">
        <v>5</v>
      </c>
      <c r="B16" s="6" t="n">
        <v>9135.8767418378</v>
      </c>
      <c r="C16" s="9">
        <f si="0" t="shared"/>
        <v>1.2442219132360707E-2</v>
      </c>
      <c r="E16" s="371">
        <v>5</v>
      </c>
      <c r="F16" s="371" t="n">
        <v>27820.0</v>
      </c>
      <c r="G16" s="9">
        <f si="1" t="shared"/>
        <v>3.7974911786245312E-2</v>
      </c>
    </row>
    <row r="17" spans="1:7" x14ac:dyDescent="0.25">
      <c r="A17">
        <v>6</v>
      </c>
      <c r="B17" s="6" t="n">
        <v>9452.165796167</v>
      </c>
      <c r="C17" s="9">
        <f si="0" t="shared"/>
        <v>1.2872975570339906E-2</v>
      </c>
      <c r="E17" s="371">
        <v>6</v>
      </c>
      <c r="F17" s="371" t="n">
        <v>25598.0</v>
      </c>
      <c r="G17" s="9">
        <f si="1" t="shared"/>
        <v>3.547690907880429E-2</v>
      </c>
    </row>
    <row r="18" spans="1:7" x14ac:dyDescent="0.25">
      <c r="A18">
        <v>7</v>
      </c>
      <c r="B18" s="6" t="n">
        <v>10700.8550858778</v>
      </c>
      <c r="C18" s="9">
        <f si="0" t="shared"/>
        <v>1.4573574889906498E-2</v>
      </c>
      <c r="E18" s="371">
        <v>7</v>
      </c>
      <c r="F18" s="371" t="n">
        <v>23587.0</v>
      </c>
      <c r="G18" s="9">
        <f si="1" t="shared"/>
        <v>3.2192472426266619E-2</v>
      </c>
    </row>
    <row r="19" spans="1:7" x14ac:dyDescent="0.25">
      <c r="A19">
        <v>8</v>
      </c>
      <c r="B19" s="6" t="n">
        <v>6692.2538592712</v>
      </c>
      <c r="C19" s="9">
        <f si="0" t="shared"/>
        <v>9.1142307804044191E-3</v>
      </c>
      <c r="E19" s="371">
        <v>8</v>
      </c>
      <c r="F19" s="371" t="n">
        <v>21555.0</v>
      </c>
      <c r="G19" s="9">
        <f si="1" t="shared"/>
        <v>2.9403197887308316E-2</v>
      </c>
    </row>
    <row r="20" spans="1:7" x14ac:dyDescent="0.25">
      <c r="A20">
        <v>9</v>
      </c>
      <c r="B20" s="6" t="n">
        <v>14984.1949877068</v>
      </c>
      <c r="C20" s="9">
        <f si="0" t="shared"/>
        <v>2.0407087664097011E-2</v>
      </c>
      <c r="E20" s="371">
        <v>9</v>
      </c>
      <c r="F20" s="371" t="n">
        <v>19017.0</v>
      </c>
      <c r="G20" s="9">
        <f si="1" t="shared"/>
        <v>2.6351778699984466E-2</v>
      </c>
    </row>
    <row r="21" spans="1:7" x14ac:dyDescent="0.25">
      <c r="A21">
        <v>10</v>
      </c>
      <c r="B21" s="6" t="n">
        <v>4648.0863389627</v>
      </c>
      <c r="C21" s="9">
        <f si="0" t="shared"/>
        <v>6.3302636856583062E-3</v>
      </c>
      <c r="E21" s="371">
        <v>10</v>
      </c>
      <c r="F21" s="371" t="n">
        <v>17000.0</v>
      </c>
      <c r="G21" s="9">
        <f si="1" t="shared"/>
        <v>2.358608330929185E-2</v>
      </c>
    </row>
    <row r="22" spans="1:7" x14ac:dyDescent="0.25">
      <c r="A22">
        <v>11</v>
      </c>
      <c r="B22" s="6" t="n">
        <v>10179.3547796302</v>
      </c>
      <c r="C22" s="9">
        <f si="0" t="shared"/>
        <v>1.386333970709025E-2</v>
      </c>
      <c r="E22" s="371">
        <v>11</v>
      </c>
      <c r="F22" s="371" t="n">
        <v>15198.0</v>
      </c>
      <c r="G22" s="9">
        <f si="1" t="shared"/>
        <v>2.1018730165775282E-2</v>
      </c>
    </row>
    <row r="23" spans="1:7" x14ac:dyDescent="0.25">
      <c r="A23">
        <v>12</v>
      </c>
      <c r="B23" s="6" t="n">
        <v>9736.667518973</v>
      </c>
      <c r="C23" s="9">
        <f si="0" t="shared"/>
        <v>1.3260440602839272E-2</v>
      </c>
      <c r="E23" s="371">
        <v>12</v>
      </c>
      <c r="F23" s="371" t="n">
        <v>13619.0</v>
      </c>
      <c r="G23" s="9">
        <f si="1" t="shared"/>
        <v>1.8509631388562171E-2</v>
      </c>
    </row>
    <row r="24" spans="1:7" x14ac:dyDescent="0.25">
      <c r="A24">
        <v>13</v>
      </c>
      <c r="B24" s="6" t="n">
        <v>22238.9738842491</v>
      </c>
      <c r="C24" s="9">
        <f si="0" t="shared"/>
        <v>3.028742551653691E-2</v>
      </c>
      <c r="E24" s="371">
        <v>13</v>
      </c>
      <c r="F24" s="371" t="n">
        <v>12030.0</v>
      </c>
      <c r="G24" s="9">
        <f si="1" t="shared"/>
        <v>1.6719003129091674E-2</v>
      </c>
    </row>
    <row r="25" spans="1:7" x14ac:dyDescent="0.25">
      <c r="A25">
        <v>14</v>
      </c>
      <c r="B25" s="6" t="n">
        <v>22549.5723670886</v>
      </c>
      <c r="C25" s="9">
        <f si="0" t="shared"/>
        <v>3.0710431922476057E-2</v>
      </c>
      <c r="E25" s="371">
        <v>14</v>
      </c>
      <c r="F25" s="371" t="n">
        <v>10976.0</v>
      </c>
      <c r="G25" s="9">
        <f si="1" t="shared"/>
        <v>1.5133652160404784E-2</v>
      </c>
    </row>
    <row r="26" spans="1:7" x14ac:dyDescent="0.25">
      <c r="A26">
        <v>15</v>
      </c>
      <c r="B26" s="6" t="n">
        <v>17706.5566950453</v>
      </c>
      <c r="C26" s="9">
        <f si="0" t="shared"/>
        <v>2.4114692514448727E-2</v>
      </c>
      <c r="E26" s="371">
        <v>15</v>
      </c>
      <c r="F26" s="371" t="n">
        <v>9721.0</v>
      </c>
      <c r="G26" s="9">
        <f si="1" t="shared"/>
        <v>1.3469241694591776E-2</v>
      </c>
    </row>
    <row r="27" spans="1:7" x14ac:dyDescent="0.25">
      <c r="A27">
        <v>16</v>
      </c>
      <c r="B27" s="6" t="n">
        <v>29276.3600642935</v>
      </c>
      <c r="C27" s="9">
        <f si="0" t="shared"/>
        <v>3.9871694596063184E-2</v>
      </c>
      <c r="E27" s="371">
        <v>16</v>
      </c>
      <c r="F27" s="371" t="n">
        <v>8422.0</v>
      </c>
      <c r="G27" s="9">
        <f si="1" t="shared"/>
        <v>1.1535751536805663E-2</v>
      </c>
    </row>
    <row r="28" spans="1:7" x14ac:dyDescent="0.25">
      <c r="A28">
        <v>17</v>
      </c>
      <c r="B28" s="6" t="n">
        <v>18146.6777209571</v>
      </c>
      <c r="C28" s="9">
        <f si="0" t="shared"/>
        <v>2.4714096644331114E-2</v>
      </c>
      <c r="E28" s="371">
        <v>17</v>
      </c>
      <c r="F28" s="371" t="n">
        <v>7685.0</v>
      </c>
      <c r="G28" s="9">
        <f si="1" t="shared"/>
        <v>1.0631421850380594E-2</v>
      </c>
    </row>
    <row r="29" spans="1:7" x14ac:dyDescent="0.25">
      <c r="A29">
        <v>18</v>
      </c>
      <c r="B29" s="6" t="n">
        <v>61322.6590463677</v>
      </c>
      <c r="C29" s="9">
        <f si="0" t="shared"/>
        <v>8.351578980261759E-2</v>
      </c>
      <c r="E29" s="371">
        <v>18</v>
      </c>
      <c r="F29" s="371" t="n">
        <v>77121.0</v>
      </c>
      <c r="G29" s="9">
        <f si="1" t="shared"/>
        <v>0.10632947559974257</v>
      </c>
    </row>
    <row r="30" spans="1:7" x14ac:dyDescent="0.25">
      <c r="A30">
        <v>19</v>
      </c>
      <c r="B30" s="6" t="n">
        <v>33890.2280057417</v>
      </c>
      <c r="C30" s="9">
        <f si="0" t="shared"/>
        <v>4.6155355989214206E-2</v>
      </c>
      <c r="E30" s="371">
        <v>19</v>
      </c>
      <c r="F30" s="371" t="n">
        <v>27830.0</v>
      </c>
      <c r="G30" s="9">
        <f si="1" t="shared"/>
        <v>3.7334113756907303E-2</v>
      </c>
    </row>
    <row r="31" spans="1:7" x14ac:dyDescent="0.25">
      <c r="A31">
        <v>20</v>
      </c>
      <c r="B31" s="6" t="n">
        <v>65801.6290295224</v>
      </c>
      <c r="C31" s="9">
        <f si="0" t="shared"/>
        <v>8.9615732653473779E-2</v>
      </c>
      <c r="E31" s="371">
        <v>20</v>
      </c>
      <c r="F31" s="371" t="n">
        <v>28353.0</v>
      </c>
      <c r="G31" s="9">
        <f si="1" t="shared"/>
        <v>3.8805730010430306E-2</v>
      </c>
    </row>
    <row r="32" spans="1:7" x14ac:dyDescent="0.25">
      <c r="A32">
        <v>21</v>
      </c>
      <c r="B32" s="6" t="n">
        <v>38010.5936053178</v>
      </c>
      <c r="C32" s="9">
        <f si="0" t="shared"/>
        <v>5.1766912837457511E-2</v>
      </c>
      <c r="E32" s="371">
        <v>21</v>
      </c>
      <c r="F32" s="371" t="n">
        <v>31513.0</v>
      </c>
      <c r="G32" s="9">
        <f si="1" t="shared"/>
        <v>4.5011207030469805E-2</v>
      </c>
    </row>
    <row r="33" spans="1:7" x14ac:dyDescent="0.25">
      <c r="A33">
        <v>22</v>
      </c>
      <c r="B33" s="6" t="n">
        <v>31167.1752303599</v>
      </c>
      <c r="C33" s="9">
        <f si="0" t="shared"/>
        <v>4.2446809968105362E-2</v>
      </c>
      <c r="E33" s="371">
        <v>22</v>
      </c>
      <c r="F33" s="371" t="n">
        <v>29078.0</v>
      </c>
      <c r="G33" s="9">
        <f si="1" t="shared"/>
        <v>4.0317569516877122E-2</v>
      </c>
    </row>
    <row r="34" spans="1:7" x14ac:dyDescent="0.25">
      <c r="A34">
        <v>23</v>
      </c>
      <c r="B34" s="6" t="n">
        <v>14346.8714492277</v>
      </c>
      <c r="C34" s="9">
        <f si="0" t="shared"/>
        <v>1.9539111951634266E-2</v>
      </c>
      <c r="E34" s="371">
        <v>23</v>
      </c>
      <c r="F34" s="371" t="n">
        <v>25027.0</v>
      </c>
      <c r="G34" s="9">
        <f si="1" t="shared"/>
        <v>3.4511551008632742E-2</v>
      </c>
    </row>
    <row r="35" spans="1:7" x14ac:dyDescent="0.25">
      <c r="A35">
        <v>24</v>
      </c>
      <c r="B35" s="6" t="n">
        <v>20705.3065983122</v>
      </c>
      <c r="C35" s="9">
        <f si="0" t="shared"/>
        <v>2.8198712524123971E-2</v>
      </c>
      <c r="E35" s="371">
        <v>24</v>
      </c>
      <c r="F35" s="371" t="n">
        <v>17151.0</v>
      </c>
      <c r="G35" s="9">
        <f si="1" t="shared"/>
        <v>2.2036794567364241E-2</v>
      </c>
    </row>
    <row r="36" spans="1:7" x14ac:dyDescent="0.25">
      <c r="A36">
        <v>25</v>
      </c>
      <c r="B36" s="6" t="n">
        <v>17557.4414165711</v>
      </c>
      <c r="C36" s="9">
        <f si="0" t="shared"/>
        <v>2.3911611297047605E-2</v>
      </c>
      <c r="E36" s="371">
        <v>25</v>
      </c>
      <c r="F36" s="371" t="n">
        <v>16660.0</v>
      </c>
      <c r="G36" s="9">
        <f si="1" t="shared"/>
        <v>2.3436286367368678E-2</v>
      </c>
    </row>
    <row r="37" spans="1:7" x14ac:dyDescent="0.25">
      <c r="A37">
        <v>26</v>
      </c>
      <c r="B37" s="6" t="n">
        <v>26585.7360832257</v>
      </c>
      <c r="C37" s="9">
        <f si="0" t="shared"/>
        <v>3.6207313593425453E-2</v>
      </c>
      <c r="E37" s="371">
        <v>26</v>
      </c>
      <c r="F37" s="371" t="n">
        <v>13920.0</v>
      </c>
      <c r="G37" s="9">
        <f si="1" t="shared"/>
        <v>1.8542919597878432E-2</v>
      </c>
    </row>
    <row r="38" spans="1:7" x14ac:dyDescent="0.25">
      <c r="A38">
        <v>27</v>
      </c>
      <c r="B38" s="6" t="n">
        <v>13933.790947589</v>
      </c>
      <c r="C38" s="9">
        <f si="0" t="shared"/>
        <v>1.8976534514795917E-2</v>
      </c>
      <c r="E38" s="371">
        <v>27</v>
      </c>
      <c r="F38" s="371" t="n">
        <v>10620.0</v>
      </c>
      <c r="G38" s="9">
        <f si="1" t="shared"/>
        <v>1.620164887596813E-2</v>
      </c>
    </row>
    <row r="39" spans="1:7" x14ac:dyDescent="0.25">
      <c r="A39">
        <v>28</v>
      </c>
      <c r="B39" s="6" t="n">
        <v>12749.6958947154</v>
      </c>
      <c r="C39" s="9">
        <f si="0" t="shared"/>
        <v>1.7363906571390249E-2</v>
      </c>
      <c r="E39" s="371">
        <v>28</v>
      </c>
      <c r="F39" s="371" t="n">
        <v>12193.0</v>
      </c>
      <c r="G39" s="9">
        <f si="1" t="shared"/>
        <v>1.5927021149108985E-2</v>
      </c>
    </row>
    <row r="40" spans="1:7" x14ac:dyDescent="0.25">
      <c r="A40">
        <v>29</v>
      </c>
      <c r="B40" s="6" t="n">
        <v>9826.4347314971</v>
      </c>
      <c r="C40" s="9">
        <f si="0" t="shared"/>
        <v>1.3382695243602012E-2</v>
      </c>
      <c r="E40" s="371">
        <v>29</v>
      </c>
      <c r="F40" s="371" t="n">
        <v>8804.0</v>
      </c>
      <c r="G40" s="9">
        <f si="1" t="shared"/>
        <v>1.4478984043851667E-2</v>
      </c>
    </row>
    <row r="41" spans="1:7" x14ac:dyDescent="0.25">
      <c r="A41">
        <v>30</v>
      </c>
      <c r="B41" s="6" t="n">
        <v>9033.3912870826</v>
      </c>
      <c r="C41" s="9">
        <f si="0" t="shared"/>
        <v>1.230264342200723E-2</v>
      </c>
      <c r="E41" s="371">
        <v>30</v>
      </c>
      <c r="F41" s="371" t="n">
        <v>9331.0</v>
      </c>
      <c r="G41" s="9">
        <f si="1" t="shared"/>
        <v>1.0681354164354985E-2</v>
      </c>
    </row>
    <row r="42" spans="1:7" x14ac:dyDescent="0.25">
      <c r="A42">
        <v>31</v>
      </c>
      <c r="B42" s="6" t="n">
        <v>4067.1342307101</v>
      </c>
      <c r="C42" s="9">
        <f si="0" t="shared"/>
        <v>5.5390606472915998E-3</v>
      </c>
      <c r="E42" s="371">
        <v>31</v>
      </c>
      <c r="F42" s="371" t="n">
        <v>6847.0</v>
      </c>
      <c r="G42" s="9">
        <f si="1" t="shared"/>
        <v>8.8019573467077953E-3</v>
      </c>
    </row>
    <row r="43" spans="1:7" x14ac:dyDescent="0.25">
      <c r="A43">
        <v>32</v>
      </c>
      <c r="B43" s="6" t="n">
        <v>2913.8867434077</v>
      </c>
      <c r="C43" s="9">
        <f si="0" t="shared"/>
        <v>3.9684442350594058E-3</v>
      </c>
      <c r="E43" s="371">
        <v>32</v>
      </c>
      <c r="F43" s="371" t="n">
        <v>7400.0</v>
      </c>
      <c r="G43" s="9">
        <f si="1" t="shared"/>
        <v>1.0206997181598279E-2</v>
      </c>
    </row>
    <row r="44" spans="1:7" x14ac:dyDescent="0.25">
      <c r="A44">
        <v>33</v>
      </c>
      <c r="B44" s="6" t="n">
        <v>7497.7975060959</v>
      </c>
      <c r="C44" s="9">
        <f si="0" t="shared"/>
        <v>1.0211306721520683E-2</v>
      </c>
      <c r="E44" s="371">
        <v>33</v>
      </c>
      <c r="F44" s="371" t="n">
        <v>6729.0</v>
      </c>
      <c r="G44" s="9">
        <f si="1" t="shared"/>
        <v>9.639710614500344E-3</v>
      </c>
    </row>
    <row r="45" spans="1:7" x14ac:dyDescent="0.25">
      <c r="A45">
        <v>34</v>
      </c>
      <c r="B45" s="6" t="n">
        <v>11042.4657995426</v>
      </c>
      <c r="C45" s="9">
        <f si="0" t="shared"/>
        <v>1.5038817085865082E-2</v>
      </c>
      <c r="E45" s="371">
        <v>34</v>
      </c>
      <c r="F45" s="371" t="n">
        <v>7775.0</v>
      </c>
      <c r="G45" s="9">
        <f si="1" t="shared"/>
        <v>1.065500099864628E-2</v>
      </c>
    </row>
    <row r="46" spans="1:7" x14ac:dyDescent="0.25">
      <c r="A46">
        <v>35</v>
      </c>
      <c r="B46" s="6" t="n">
        <v>2875.3258853281</v>
      </c>
      <c r="C46" s="9">
        <f si="0" t="shared"/>
        <v>3.915927912902707E-3</v>
      </c>
      <c r="E46" s="371">
        <v>35</v>
      </c>
      <c r="F46" s="371" t="n">
        <v>4990.0</v>
      </c>
      <c r="G46" s="9">
        <f si="1" t="shared"/>
        <v>6.9170124941745634E-3</v>
      </c>
    </row>
    <row r="47" spans="1:7" x14ac:dyDescent="0.25">
      <c r="A47">
        <v>36</v>
      </c>
      <c r="B47" s="6" t="n">
        <v>3103.3283609385003</v>
      </c>
      <c r="C47" s="9">
        <f si="0" t="shared"/>
        <v>4.2264461964160917E-3</v>
      </c>
      <c r="E47" s="371">
        <v>36</v>
      </c>
      <c r="F47" s="371" t="n">
        <v>3441.0</v>
      </c>
      <c r="G47" s="9">
        <f si="1" t="shared"/>
        <v>4.7962761589844874E-3</v>
      </c>
    </row>
    <row r="48" spans="1:7" x14ac:dyDescent="0.25">
      <c r="A48">
        <v>37</v>
      </c>
      <c r="B48" s="6" t="n">
        <v>4397.7934521712</v>
      </c>
      <c r="C48" s="9">
        <f si="0" t="shared"/>
        <v>5.9893879237875817E-3</v>
      </c>
      <c r="E48" s="371">
        <v>37</v>
      </c>
      <c r="F48" s="371" t="n">
        <v>3941.0</v>
      </c>
      <c r="G48" s="9">
        <f si="1" t="shared"/>
        <v>5.2983733161714123E-3</v>
      </c>
    </row>
    <row r="49" spans="1:7" x14ac:dyDescent="0.25">
      <c r="A49">
        <v>38</v>
      </c>
      <c r="B49" s="6" t="n">
        <v>7401.8104657561</v>
      </c>
      <c r="C49" s="9">
        <f si="0" t="shared"/>
        <v>1.0080581250553538E-2</v>
      </c>
      <c r="E49" s="371">
        <v>38</v>
      </c>
      <c r="F49" s="371" t="n">
        <v>2952.0</v>
      </c>
      <c r="G49" s="9">
        <f si="1" t="shared"/>
        <v>4.8115332549211066E-3</v>
      </c>
    </row>
    <row r="50" spans="1:7" x14ac:dyDescent="0.25">
      <c r="A50">
        <v>39</v>
      </c>
      <c r="B50" s="6" t="n">
        <v>6520.7858791255</v>
      </c>
      <c r="C50" s="9">
        <f si="0" t="shared"/>
        <v>8.8807072507593697E-3</v>
      </c>
      <c r="E50" s="371">
        <v>39</v>
      </c>
      <c r="F50" s="371" t="n">
        <v>3859.0</v>
      </c>
      <c r="G50" s="9">
        <f si="1" t="shared"/>
        <v>4.9668782317303208E-3</v>
      </c>
    </row>
    <row r="51" spans="1:7" x14ac:dyDescent="0.25">
      <c r="A51">
        <v>40</v>
      </c>
      <c r="B51" s="6" t="n">
        <v>1497.7996341572</v>
      </c>
      <c r="C51" s="9">
        <f si="0" t="shared"/>
        <v>2.0398645681382866E-3</v>
      </c>
      <c r="E51" s="371">
        <v>40</v>
      </c>
      <c r="F51" s="371" t="n">
        <v>2311.0</v>
      </c>
      <c r="G51" s="9">
        <f si="1" t="shared"/>
        <v>3.9321697254832335E-3</v>
      </c>
    </row>
    <row r="52" spans="1:7" x14ac:dyDescent="0.25">
      <c r="A52">
        <v>41</v>
      </c>
      <c r="B52" s="6" t="n">
        <v>1361.2943780764</v>
      </c>
      <c r="C52" s="9">
        <f si="0" t="shared"/>
        <v>1.8539570349183645E-3</v>
      </c>
      <c r="E52" s="371">
        <v>41</v>
      </c>
      <c r="F52" s="371" t="n">
        <v>3122.0</v>
      </c>
      <c r="G52" s="9">
        <f si="1" t="shared"/>
        <v>3.6686380683961742E-3</v>
      </c>
    </row>
    <row r="53" spans="1:7" x14ac:dyDescent="0.25">
      <c r="A53">
        <v>42</v>
      </c>
      <c r="B53" s="6" t="n">
        <v>1373.519396406</v>
      </c>
      <c r="C53" s="9">
        <f si="0" t="shared"/>
        <v>1.8706063791742295E-3</v>
      </c>
      <c r="E53" s="371">
        <v>42</v>
      </c>
      <c r="F53" s="371" t="n">
        <v>2398.0</v>
      </c>
      <c r="G53" s="9">
        <f si="1" t="shared"/>
        <v>3.0153569605645678E-3</v>
      </c>
    </row>
    <row r="54" spans="1:7" x14ac:dyDescent="0.25">
      <c r="A54">
        <v>43</v>
      </c>
      <c r="B54" s="6" t="n">
        <v>166.816897117</v>
      </c>
      <c r="C54" s="9">
        <f si="0" t="shared"/>
        <v>2.2718918474513665E-4</v>
      </c>
      <c r="E54" s="371">
        <v>43</v>
      </c>
      <c r="F54" s="371" t="n">
        <v>2234.0</v>
      </c>
      <c r="G54" s="9">
        <f si="1" t="shared"/>
        <v>2.9584896029826234E-3</v>
      </c>
    </row>
    <row r="55" spans="1:7" x14ac:dyDescent="0.25">
      <c r="A55">
        <v>44</v>
      </c>
      <c r="B55" s="6" t="n">
        <v>1677.879461423</v>
      </c>
      <c r="C55" s="9">
        <f si="0" t="shared"/>
        <v>2.2851166370391226E-3</v>
      </c>
      <c r="E55" s="371">
        <v>44</v>
      </c>
      <c r="F55" s="371" t="n">
        <v>2338.0</v>
      </c>
      <c r="G55" s="9">
        <f si="1" t="shared"/>
        <v>2.7601473558065731E-3</v>
      </c>
    </row>
    <row r="56" spans="1:7" x14ac:dyDescent="0.25">
      <c r="A56">
        <v>45</v>
      </c>
      <c r="B56" s="6" t="n">
        <v>34981.9315860991</v>
      </c>
      <c r="C56" s="9">
        <f si="0" t="shared"/>
        <v>4.7642155292469367E-2</v>
      </c>
      <c r="E56" s="371">
        <v>45</v>
      </c>
      <c r="F56" s="371" t="n">
        <v>1967.0</v>
      </c>
      <c r="G56" s="9">
        <f si="1" t="shared"/>
        <v>3.4175894898027118E-3</v>
      </c>
    </row>
    <row r="57" spans="1:7" x14ac:dyDescent="0.25">
      <c r="A57">
        <v>46</v>
      </c>
      <c r="B57" s="6" t="n">
        <v>2459.5135138596</v>
      </c>
      <c r="C57" s="9">
        <f si="0" t="shared"/>
        <v>3.3496299220306335E-3</v>
      </c>
      <c r="E57" s="371">
        <v>46</v>
      </c>
      <c r="F57" s="371" t="n">
        <v>1854.0</v>
      </c>
      <c r="G57" s="9">
        <f si="1" t="shared"/>
        <v>2.274694303277779E-3</v>
      </c>
    </row>
    <row r="58" spans="1:7" x14ac:dyDescent="0.25">
      <c r="A58">
        <v>47</v>
      </c>
      <c r="B58" s="6" t="n">
        <v>576.080338283</v>
      </c>
      <c r="C58" s="9">
        <f si="0" t="shared"/>
        <v>7.8456813826493143E-4</v>
      </c>
      <c r="E58" s="371">
        <v>47</v>
      </c>
      <c r="F58" s="371" t="n">
        <v>1771.0</v>
      </c>
      <c r="G58" s="9">
        <f si="1" t="shared"/>
        <v>2.6048023789973593E-3</v>
      </c>
    </row>
    <row r="59" spans="1:7" x14ac:dyDescent="0.25">
      <c r="A59">
        <v>48</v>
      </c>
      <c r="B59" s="6" t="n">
        <v>1523.3438377319999</v>
      </c>
      <c r="C59" s="9">
        <f si="0" t="shared"/>
        <v>2.0746534107880352E-3</v>
      </c>
      <c r="E59" s="371">
        <v>48</v>
      </c>
      <c r="F59" s="371" t="n">
        <v>1418.0</v>
      </c>
      <c r="G59" s="9">
        <f si="1" t="shared"/>
        <v>2.4092341492643306E-3</v>
      </c>
    </row>
    <row r="60" spans="1:7" x14ac:dyDescent="0.25">
      <c r="A60">
        <v>49</v>
      </c>
      <c r="B60" s="6" t="n">
        <v>1317.0669416869</v>
      </c>
      <c r="C60" s="9">
        <f si="0" t="shared"/>
        <v>1.7937233572133382E-3</v>
      </c>
      <c r="E60" s="371">
        <v>49</v>
      </c>
      <c r="F60" s="371" t="n">
        <v>1496.0</v>
      </c>
      <c r="G60" s="9">
        <f si="1" t="shared"/>
        <v>1.6061560995095537E-3</v>
      </c>
    </row>
    <row r="61" spans="1:7" x14ac:dyDescent="0.25">
      <c r="A61">
        <v>50</v>
      </c>
      <c r="B61" s="6" t="n">
        <v>450.495335368</v>
      </c>
      <c r="C61" s="9">
        <f si="0" t="shared"/>
        <v>6.1353297982733425E-4</v>
      </c>
      <c r="E61" s="371">
        <v>50</v>
      </c>
      <c r="F61" s="371" t="n">
        <v>1183.0</v>
      </c>
      <c r="G61" s="9">
        <f si="1" t="shared"/>
        <v>1.586737977408402E-3</v>
      </c>
    </row>
    <row r="62" spans="1:7" x14ac:dyDescent="0.25">
      <c r="A62">
        <v>51</v>
      </c>
      <c r="B62" s="6" t="n">
        <v>1820.3334592241001</v>
      </c>
      <c r="C62" s="9">
        <f si="0" t="shared"/>
        <v>2.479125806274649E-3</v>
      </c>
      <c r="E62" s="371">
        <v>51</v>
      </c>
      <c r="F62" s="371" t="n">
        <v>1274.0</v>
      </c>
      <c r="G62" s="9">
        <f si="1" t="shared"/>
        <v>2.3038214864295067E-3</v>
      </c>
    </row>
    <row r="63" spans="1:7" x14ac:dyDescent="0.25">
      <c r="A63">
        <v>52</v>
      </c>
      <c r="B63" s="6" t="n">
        <v>940.600064166</v>
      </c>
      <c r="C63" s="9">
        <f si="0" t="shared"/>
        <v>1.2810102899781105E-3</v>
      </c>
      <c r="E63" s="371">
        <v>52</v>
      </c>
      <c r="F63" s="371" t="n">
        <v>830.0</v>
      </c>
      <c r="G63" s="9">
        <f si="1" t="shared"/>
        <v>1.3134972592707664E-3</v>
      </c>
    </row>
    <row r="64" spans="1:7" x14ac:dyDescent="0.25">
      <c r="A64">
        <v>53</v>
      </c>
      <c r="B64" s="6" t="n">
        <v>1634.4932878509999</v>
      </c>
      <c r="C64" s="9">
        <f si="0" t="shared"/>
        <v>2.2260286814819561E-3</v>
      </c>
      <c r="E64" s="371">
        <v>53</v>
      </c>
      <c r="F64" s="371" t="n">
        <v>885.0</v>
      </c>
      <c r="G64" s="9">
        <f si="1" t="shared"/>
        <v>1.2510818668027785E-3</v>
      </c>
    </row>
    <row r="65" spans="1:7" x14ac:dyDescent="0.25">
      <c r="A65">
        <v>54</v>
      </c>
      <c r="B65" s="6" t="n">
        <v>497.294945861</v>
      </c>
      <c r="C65" s="9">
        <f si="0" t="shared"/>
        <v>6.7726972075734572E-4</v>
      </c>
      <c r="E65" s="371">
        <v>54</v>
      </c>
      <c r="F65" s="371" t="n">
        <v>661.0</v>
      </c>
      <c r="G65" s="9">
        <f si="1" t="shared"/>
        <v>1.0139033754244246E-3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674.0</v>
      </c>
      <c r="G66" s="9">
        <f si="1" t="shared"/>
        <v>9.5010097423492597E-4</v>
      </c>
    </row>
    <row r="67" spans="1:7" x14ac:dyDescent="0.25">
      <c r="A67">
        <v>56</v>
      </c>
      <c r="B67" s="6" t="n">
        <v>1219.07842926</v>
      </c>
      <c r="C67" s="9">
        <f si="0" t="shared"/>
        <v>1.6602720663825158E-3</v>
      </c>
      <c r="E67" s="371">
        <v>56</v>
      </c>
      <c r="F67" s="371" t="n">
        <v>645.0</v>
      </c>
      <c r="G67" s="9">
        <f si="1" t="shared"/>
        <v>8.6410643350125389E-4</v>
      </c>
    </row>
    <row r="68" spans="1:7" x14ac:dyDescent="0.25">
      <c r="A68">
        <v>57</v>
      </c>
      <c r="B68" s="6" t="n">
        <v>407.7075447018</v>
      </c>
      <c r="C68" s="9">
        <f si="0" t="shared"/>
        <v>5.5525996644259534E-4</v>
      </c>
      <c r="E68" s="371">
        <v>57</v>
      </c>
      <c r="F68" s="371" t="n">
        <v>653.0</v>
      </c>
      <c r="G68" s="9">
        <f si="1" t="shared"/>
        <v>9.3068285213377419E-4</v>
      </c>
    </row>
    <row r="69" spans="1:7" x14ac:dyDescent="0.25">
      <c r="A69">
        <v>58</v>
      </c>
      <c r="B69" s="6" t="n">
        <v>401.236422482</v>
      </c>
      <c r="C69" s="9">
        <f si="0" t="shared"/>
        <v>5.4644689650237604E-4</v>
      </c>
      <c r="E69" s="371">
        <v>58</v>
      </c>
      <c r="F69" s="371" t="n">
        <v>589.0</v>
      </c>
      <c r="G69" s="9">
        <f si="1" t="shared"/>
        <v>8.8491156432391643E-4</v>
      </c>
    </row>
    <row r="70" spans="1:7" x14ac:dyDescent="0.25">
      <c r="A70">
        <v>59</v>
      </c>
      <c r="B70" s="6" t="n">
        <v>5013.6074087342995</v>
      </c>
      <c r="C70" s="9">
        <f si="0" t="shared"/>
        <v>6.82806957513206E-3</v>
      </c>
      <c r="E70" s="371">
        <v>59</v>
      </c>
      <c r="F70" s="371" t="n">
        <v>534.0</v>
      </c>
      <c r="G70" s="9">
        <f si="1" t="shared"/>
        <v>7.5314573578038658E-4</v>
      </c>
    </row>
    <row r="71" spans="1:7" x14ac:dyDescent="0.25">
      <c r="A71">
        <v>60</v>
      </c>
      <c r="B71" s="6" t="n">
        <v>4757.6773804485</v>
      </c>
      <c r="C71" s="9">
        <f si="0" t="shared"/>
        <v>6.4795165479332034E-3</v>
      </c>
      <c r="E71" s="371">
        <v>60</v>
      </c>
      <c r="F71" s="371" t="n">
        <v>515.0</v>
      </c>
      <c r="G71" s="9">
        <f si="1" t="shared"/>
        <v>6.7686025609729034E-4</v>
      </c>
    </row>
    <row r="72" spans="1:7" x14ac:dyDescent="0.25">
      <c r="A72">
        <v>61</v>
      </c>
      <c r="B72" s="6" t="n">
        <v>4548.43140596</v>
      </c>
      <c r="C72" s="9">
        <f si="0" t="shared"/>
        <v>6.1945428841328146E-3</v>
      </c>
      <c r="E72" s="371">
        <v>61</v>
      </c>
      <c r="F72" s="371" t="n">
        <v>372.0</v>
      </c>
      <c r="G72" s="9">
        <f si="1" t="shared"/>
        <v>5.4232041011073877E-4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381.0</v>
      </c>
      <c r="G73" s="9">
        <f si="1" t="shared"/>
        <v>5.5341647988282547E-4</v>
      </c>
    </row>
    <row r="74" spans="1:7" x14ac:dyDescent="0.25">
      <c r="A74">
        <v>63</v>
      </c>
      <c r="B74" s="6" t="n">
        <v>292.681617382</v>
      </c>
      <c r="C74" s="9">
        <f si="0" t="shared"/>
        <v>3.9860529234198489E-4</v>
      </c>
      <c r="E74" s="371">
        <v>63</v>
      </c>
      <c r="F74" s="371" t="n">
        <v>369.0</v>
      </c>
      <c r="G74" s="9">
        <f si="1" t="shared"/>
        <v>4.8406604380728344E-4</v>
      </c>
    </row>
    <row r="75" spans="1:7" x14ac:dyDescent="0.25">
      <c r="A75">
        <v>64</v>
      </c>
      <c r="B75" s="6" t="n">
        <v>139.99557747</v>
      </c>
      <c r="C75" s="9">
        <f si="0" t="shared"/>
        <v>1.9066102812730404E-4</v>
      </c>
      <c r="E75" s="371">
        <v>64</v>
      </c>
      <c r="F75" s="371" t="n">
        <v>318.0</v>
      </c>
      <c r="G75" s="9">
        <f si="1" t="shared"/>
        <v>4.6048689554159918E-4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275.0</v>
      </c>
      <c r="G76" s="9">
        <f si="1" t="shared"/>
        <v>3.8420141585850294E-4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299.0</v>
      </c>
      <c r="G77" s="9">
        <f ref="G77:G102" si="3" t="shared">F77/F$102</f>
        <v>3.7310534608641618E-4</v>
      </c>
    </row>
    <row r="78" spans="1:7" x14ac:dyDescent="0.25">
      <c r="A78">
        <v>67</v>
      </c>
      <c r="B78" s="6" t="n">
        <v>572.780526274</v>
      </c>
      <c r="C78" s="9">
        <f si="2" t="shared"/>
        <v>7.8007409951290308E-4</v>
      </c>
      <c r="E78" s="371">
        <v>67</v>
      </c>
      <c r="F78" s="371" t="n">
        <v>255.0</v>
      </c>
      <c r="G78" s="9">
        <f si="3" t="shared"/>
        <v>2.8988482279576573E-4</v>
      </c>
    </row>
    <row r="79" spans="1:7" x14ac:dyDescent="0.25">
      <c r="A79">
        <v>68</v>
      </c>
      <c r="B79" s="6" t="n">
        <v>417.967608267</v>
      </c>
      <c r="C79" s="9">
        <f si="2" t="shared"/>
        <v>5.6923322405076323E-4</v>
      </c>
      <c r="E79" s="371">
        <v>68</v>
      </c>
      <c r="F79" s="371" t="n">
        <v>228.0</v>
      </c>
      <c r="G79" s="9">
        <f si="3" t="shared"/>
        <v>3.3149508444109096E-4</v>
      </c>
    </row>
    <row r="80" spans="1:7" x14ac:dyDescent="0.25">
      <c r="A80">
        <v>69</v>
      </c>
      <c r="B80" s="6" t="n">
        <v>1694.7711779184</v>
      </c>
      <c r="C80" s="9">
        <f si="2" t="shared"/>
        <v>2.3081215925673648E-3</v>
      </c>
      <c r="E80" s="371">
        <v>69</v>
      </c>
      <c r="F80" s="371" t="n">
        <v>224.0</v>
      </c>
      <c r="G80" s="9">
        <f si="3" t="shared"/>
        <v>3.2456004083353674E-4</v>
      </c>
    </row>
    <row r="81" spans="1:7" x14ac:dyDescent="0.25">
      <c r="A81">
        <v>70</v>
      </c>
      <c r="B81" s="6" t="n">
        <v>447.66186162099996</v>
      </c>
      <c r="C81" s="9">
        <f si="2" t="shared"/>
        <v>6.0967405065587147E-4</v>
      </c>
      <c r="E81" s="371">
        <v>70</v>
      </c>
      <c r="F81" s="371" t="n">
        <v>228.0</v>
      </c>
      <c r="G81" s="9">
        <f si="3" t="shared"/>
        <v>3.1207696233993918E-4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250.0</v>
      </c>
      <c r="G82" s="9">
        <f si="3" t="shared"/>
        <v>2.5798362220101639E-4</v>
      </c>
    </row>
    <row r="83" spans="1:7" x14ac:dyDescent="0.25">
      <c r="A83">
        <v>72</v>
      </c>
      <c r="B83" s="6" t="n">
        <v>5043.1483091938</v>
      </c>
      <c r="C83" s="9">
        <f si="2" t="shared"/>
        <v>6.8683015492786836E-3</v>
      </c>
      <c r="E83" s="371">
        <v>72</v>
      </c>
      <c r="F83" s="371" t="n">
        <v>248.0</v>
      </c>
      <c r="G83" s="9">
        <f si="3" t="shared"/>
        <v>3.1623798850447172E-4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157.0</v>
      </c>
      <c r="G84" s="9">
        <f si="3" t="shared"/>
        <v>1.9556822973302855E-4</v>
      </c>
    </row>
    <row r="85" spans="1:7" x14ac:dyDescent="0.25">
      <c r="A85">
        <v>74</v>
      </c>
      <c r="B85" s="6" t="n">
        <v>1148.663232487</v>
      </c>
      <c r="C85" s="9">
        <f si="2" t="shared"/>
        <v>1.5643730811777613E-3</v>
      </c>
      <c r="E85" s="371">
        <v>74</v>
      </c>
      <c r="F85" s="371" t="n">
        <v>185.0</v>
      </c>
      <c r="G85" s="9">
        <f si="3" t="shared"/>
        <v>2.3024344777079959E-4</v>
      </c>
    </row>
    <row r="86" spans="1:7" x14ac:dyDescent="0.25">
      <c r="A86">
        <v>75</v>
      </c>
      <c r="B86" s="6" t="n">
        <v>163.60110245</v>
      </c>
      <c r="C86" s="9">
        <f si="2" t="shared"/>
        <v>2.2280956984203085E-4</v>
      </c>
      <c r="E86" s="371">
        <v>75</v>
      </c>
      <c r="F86" s="371" t="n">
        <v>151.0</v>
      </c>
      <c r="G86" s="9">
        <f si="3" t="shared"/>
        <v>2.5520960475799472E-4</v>
      </c>
    </row>
    <row r="87" spans="1:7" x14ac:dyDescent="0.25">
      <c r="A87">
        <v>76</v>
      </c>
      <c r="B87" s="6" t="n">
        <v>389.7060896903</v>
      </c>
      <c r="C87" s="9">
        <f si="2" t="shared"/>
        <v>5.3074364969669322E-4</v>
      </c>
      <c r="E87" s="371">
        <v>76</v>
      </c>
      <c r="F87" s="371" t="n">
        <v>138.0</v>
      </c>
      <c r="G87" s="9">
        <f si="3" t="shared"/>
        <v>1.761501076318768E-4</v>
      </c>
    </row>
    <row r="88" spans="1:7" x14ac:dyDescent="0.25">
      <c r="A88">
        <v>77</v>
      </c>
      <c r="B88" s="6" t="n">
        <v>675.1977254860001</v>
      </c>
      <c r="C88" s="9">
        <f si="2" t="shared"/>
        <v>9.1955685212959451E-4</v>
      </c>
      <c r="E88" s="371">
        <v>77</v>
      </c>
      <c r="F88" s="371" t="n">
        <v>128.0</v>
      </c>
      <c r="G88" s="9">
        <f si="3" t="shared"/>
        <v>1.6921506402432259E-4</v>
      </c>
    </row>
    <row r="89" spans="1:7" x14ac:dyDescent="0.25">
      <c r="A89">
        <v>78</v>
      </c>
      <c r="B89" s="6" t="n">
        <v>396.701349191</v>
      </c>
      <c r="C89" s="9">
        <f si="2" t="shared"/>
        <v>5.4027054613530801E-4</v>
      </c>
      <c r="E89" s="371">
        <v>78</v>
      </c>
      <c r="F89" s="371" t="n">
        <v>162.0</v>
      </c>
      <c r="G89" s="9">
        <f si="3" t="shared"/>
        <v>2.3024344777079959E-4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134.0</v>
      </c>
      <c r="G90" s="9">
        <f si="3" t="shared"/>
        <v>1.8447215996094182E-4</v>
      </c>
    </row>
    <row r="91" spans="1:7" x14ac:dyDescent="0.25">
      <c r="A91">
        <v>80</v>
      </c>
      <c r="B91" s="6" t="n">
        <v>5233.4319689765</v>
      </c>
      <c r="C91" s="9">
        <f si="2" t="shared"/>
        <v>7.1274502943007908E-3</v>
      </c>
      <c r="E91" s="371">
        <v>80</v>
      </c>
      <c r="F91" s="371" t="n">
        <v>138.0</v>
      </c>
      <c r="G91" s="9">
        <f si="3" t="shared"/>
        <v>1.5395796808770335E-4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94.0</v>
      </c>
      <c r="G92" s="9">
        <f si="3" t="shared"/>
        <v>1.5534497680921419E-4</v>
      </c>
    </row>
    <row r="93" spans="1:7" x14ac:dyDescent="0.25">
      <c r="A93">
        <v>82</v>
      </c>
      <c r="B93" s="6" t="n">
        <v>5248.9723716958</v>
      </c>
      <c r="C93" s="9">
        <f si="2" t="shared"/>
        <v>7.1486148854508864E-3</v>
      </c>
      <c r="E93" s="371">
        <v>82</v>
      </c>
      <c r="F93" s="371" t="n">
        <v>99.0</v>
      </c>
      <c r="G93" s="9">
        <f si="3" t="shared"/>
        <v>1.2205676749295399E-4</v>
      </c>
    </row>
    <row r="94" spans="1:7" x14ac:dyDescent="0.25">
      <c r="A94">
        <v>83</v>
      </c>
      <c r="B94" s="6" t="n">
        <v>4737.5454665157</v>
      </c>
      <c r="C94" s="9">
        <f si="2" t="shared"/>
        <v>6.4520987431856171E-3</v>
      </c>
      <c r="E94" s="371">
        <v>83</v>
      </c>
      <c r="F94" s="371" t="n">
        <v>122.0</v>
      </c>
      <c r="G94" s="9">
        <f si="3" t="shared"/>
        <v>1.4840993320165997E-4</v>
      </c>
    </row>
    <row r="95" spans="1:7" x14ac:dyDescent="0.25">
      <c r="A95">
        <v>84</v>
      </c>
      <c r="B95" s="6" t="n">
        <v>1122.5382264593</v>
      </c>
      <c r="C95" s="9">
        <f si="2" t="shared"/>
        <v>1.5287932393063944E-3</v>
      </c>
      <c r="E95" s="371">
        <v>84</v>
      </c>
      <c r="F95" s="371" t="n">
        <v>92.0</v>
      </c>
      <c r="G95" s="9">
        <f si="3" t="shared"/>
        <v>1.1928275004993232E-4</v>
      </c>
    </row>
    <row r="96" spans="1:7" x14ac:dyDescent="0.25">
      <c r="A96">
        <v>85</v>
      </c>
      <c r="B96" s="6" t="n">
        <v>1900.1738153909</v>
      </c>
      <c r="C96" s="9">
        <f si="2" t="shared"/>
        <v>2.5878609868275793E-3</v>
      </c>
      <c r="E96" s="371">
        <v>85</v>
      </c>
      <c r="F96" s="371" t="n">
        <v>81.0</v>
      </c>
      <c r="G96" s="9">
        <f si="3" t="shared"/>
        <v>1.0125163667029138E-4</v>
      </c>
    </row>
    <row r="97" spans="1:7" x14ac:dyDescent="0.25">
      <c r="A97">
        <v>86</v>
      </c>
      <c r="B97" s="6" t="n">
        <v>4191.5226006486</v>
      </c>
      <c r="C97" s="9">
        <f si="2" t="shared"/>
        <v>5.7084661022934625E-3</v>
      </c>
      <c r="E97" s="371">
        <v>86</v>
      </c>
      <c r="F97" s="371" t="n">
        <v>81.0</v>
      </c>
      <c r="G97" s="9">
        <f si="3" t="shared"/>
        <v>1.2621779365748652E-4</v>
      </c>
    </row>
    <row r="98" spans="1:7" x14ac:dyDescent="0.25">
      <c r="A98">
        <v>87</v>
      </c>
      <c r="B98" s="6" t="n">
        <v>180.749366264</v>
      </c>
      <c r="C98" s="9">
        <f si="2" t="shared"/>
        <v>2.4616391908978554E-4</v>
      </c>
      <c r="E98" s="371">
        <v>87</v>
      </c>
      <c r="F98" s="371" t="n">
        <v>77.0</v>
      </c>
      <c r="G98" s="9">
        <f si="3" t="shared"/>
        <v>1.2205676749295399E-4</v>
      </c>
    </row>
    <row r="99" spans="1:7" x14ac:dyDescent="0.25">
      <c r="A99">
        <v>88</v>
      </c>
      <c r="B99" s="6" t="n">
        <v>418.0378414412</v>
      </c>
      <c r="C99" s="9">
        <f si="2" t="shared"/>
        <v>5.6932887513805905E-4</v>
      </c>
      <c r="E99" s="371">
        <v>88</v>
      </c>
      <c r="F99" s="371" t="n">
        <v>74.0</v>
      </c>
      <c r="G99" s="9">
        <f si="3" t="shared"/>
        <v>1.3037881982201903E-4</v>
      </c>
    </row>
    <row r="100" spans="1:7" x14ac:dyDescent="0.25">
      <c r="A100">
        <v>89</v>
      </c>
      <c r="B100" s="6" t="n">
        <v>3949.6120293596</v>
      </c>
      <c r="C100" s="9">
        <f si="2" t="shared"/>
        <v>5.3790062788450534E-3</v>
      </c>
      <c r="E100" s="371">
        <v>89</v>
      </c>
      <c r="F100" s="371" t="n">
        <v>64.0</v>
      </c>
      <c r="G100" s="9">
        <f si="3" t="shared"/>
        <v>8.599454073367213E-5</v>
      </c>
    </row>
    <row ht="15.75" r="101" spans="1:7" thickBot="1" x14ac:dyDescent="0.3">
      <c r="A101" s="1">
        <v>90</v>
      </c>
      <c r="B101" s="7" t="n">
        <v>28975.2719596653</v>
      </c>
      <c r="C101" s="9">
        <f si="2" t="shared"/>
        <v>3.9461640445619645E-2</v>
      </c>
      <c r="E101" s="372">
        <v>90</v>
      </c>
      <c r="F101" s="372" t="n">
        <v>5213.0</v>
      </c>
      <c r="G101" s="9">
        <f si="3" t="shared"/>
        <v>6.9669448081489532E-3</v>
      </c>
    </row>
    <row r="102" spans="1:7" x14ac:dyDescent="0.25">
      <c r="B102" s="6">
        <f>SUM(B11:B101)</f>
        <v>734264.25339805253</v>
      </c>
      <c r="C102" s="9">
        <f si="2" t="shared"/>
        <v>1</v>
      </c>
      <c r="F102" s="6">
        <f>SUM(F11:F101)</f>
        <v>720976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M102"/>
  <sheetViews>
    <sheetView workbookViewId="0">
      <selection activeCell="H11" sqref="H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46892.4357219191</v>
      </c>
      <c r="C11" s="9">
        <f>B11/B$102</f>
        <v>3.1099722656476838E-2</v>
      </c>
      <c r="E11" s="371">
        <v>0</v>
      </c>
      <c r="F11" s="371" t="n">
        <v>182071.0</v>
      </c>
      <c r="G11" s="9">
        <f>F11/F$102</f>
        <v>0.12117028018104251</v>
      </c>
      <c r="K11" s="6" t="n">
        <v>7.033754560866467</v>
      </c>
      <c r="L11" s="6" t="n">
        <v>5.55855884240465</v>
      </c>
    </row>
    <row r="12" spans="1:12" x14ac:dyDescent="0.25">
      <c r="A12">
        <v>1</v>
      </c>
      <c r="B12" s="6" t="n">
        <v>109079.8315300552</v>
      </c>
      <c r="C12" s="9">
        <f>B12/B$102</f>
        <v>7.2343277882113408E-2</v>
      </c>
      <c r="E12" s="371">
        <v>1</v>
      </c>
      <c r="F12" s="371" t="n">
        <v>179522.0</v>
      </c>
      <c r="G12" s="9">
        <f>F12/F$102</f>
        <v>0.11840280631792739</v>
      </c>
      <c r="K12" s="6"/>
      <c r="L12" s="371"/>
    </row>
    <row r="13" spans="1:12" x14ac:dyDescent="0.25">
      <c r="A13">
        <v>2</v>
      </c>
      <c r="B13" s="6" t="n">
        <v>133096.2669498989</v>
      </c>
      <c r="C13" s="9">
        <f ref="C13:C76" si="0" t="shared">B13/B$102</f>
        <v>8.8271315512395809E-2</v>
      </c>
      <c r="E13" s="371">
        <v>2</v>
      </c>
      <c r="F13" s="371" t="n">
        <v>107683.0</v>
      </c>
      <c r="G13" s="9">
        <f ref="G13:G76" si="1" t="shared">F13/F$102</f>
        <v>7.0810873156232676E-2</v>
      </c>
    </row>
    <row r="14" spans="1:12" x14ac:dyDescent="0.25">
      <c r="A14">
        <v>3</v>
      </c>
      <c r="B14" s="6" t="n">
        <v>154626.071349364</v>
      </c>
      <c r="C14" s="9">
        <f si="0" t="shared"/>
        <v>0.10255018448909474</v>
      </c>
      <c r="E14" s="371">
        <v>3</v>
      </c>
      <c r="F14" s="371" t="n">
        <v>61825.0</v>
      </c>
      <c r="G14" s="9">
        <f si="1" t="shared"/>
        <v>4.07027461295138E-2</v>
      </c>
    </row>
    <row r="15" spans="1:12" x14ac:dyDescent="0.25">
      <c r="A15">
        <v>4</v>
      </c>
      <c r="B15" s="6" t="n">
        <v>256586.7896236965</v>
      </c>
      <c r="C15" s="9">
        <f si="0" t="shared"/>
        <v>0.17017196636861229</v>
      </c>
      <c r="E15" s="371">
        <v>4</v>
      </c>
      <c r="F15" s="371" t="n">
        <v>271289.0</v>
      </c>
      <c r="G15" s="9">
        <f si="1" t="shared"/>
        <v>0.17870854755017249</v>
      </c>
    </row>
    <row r="16" spans="1:12" x14ac:dyDescent="0.25">
      <c r="A16">
        <v>5</v>
      </c>
      <c r="B16" s="6" t="n">
        <v>172612.6605739254</v>
      </c>
      <c r="C16" s="9">
        <f si="0" t="shared"/>
        <v>0.11447914334585042</v>
      </c>
      <c r="E16" s="371">
        <v>5</v>
      </c>
      <c r="F16" s="371" t="n">
        <v>146813.0</v>
      </c>
      <c r="G16" s="9">
        <f si="1" t="shared"/>
        <v>9.6218603257598456E-2</v>
      </c>
    </row>
    <row r="17" spans="1:7" x14ac:dyDescent="0.25">
      <c r="A17">
        <v>6</v>
      </c>
      <c r="B17" s="6" t="n">
        <v>164130.9573584652</v>
      </c>
      <c r="C17" s="9">
        <f si="0" t="shared"/>
        <v>0.10885395852457955</v>
      </c>
      <c r="E17" s="371">
        <v>6</v>
      </c>
      <c r="F17" s="371" t="n">
        <v>144940.0</v>
      </c>
      <c r="G17" s="9">
        <f si="1" t="shared"/>
        <v>0.10040859182975428</v>
      </c>
    </row>
    <row r="18" spans="1:7" x14ac:dyDescent="0.25">
      <c r="A18">
        <v>7</v>
      </c>
      <c r="B18" s="6" t="n">
        <v>68863.8214740073</v>
      </c>
      <c r="C18" s="9">
        <f si="0" t="shared"/>
        <v>4.5671454594662562E-2</v>
      </c>
      <c r="E18" s="371">
        <v>7</v>
      </c>
      <c r="F18" s="371" t="n">
        <v>85810.0</v>
      </c>
      <c r="G18" s="9">
        <f si="1" t="shared"/>
        <v>5.5570875171351376E-2</v>
      </c>
    </row>
    <row r="19" spans="1:7" x14ac:dyDescent="0.25">
      <c r="A19">
        <v>8</v>
      </c>
      <c r="B19" s="6" t="n">
        <v>61903.3181778475</v>
      </c>
      <c r="C19" s="9">
        <f si="0" t="shared"/>
        <v>4.1055150947230626E-2</v>
      </c>
      <c r="E19" s="371">
        <v>8</v>
      </c>
      <c r="F19" s="371" t="n">
        <v>108099.0</v>
      </c>
      <c r="G19" s="9">
        <f si="1" t="shared"/>
        <v>7.1721653776093797E-2</v>
      </c>
    </row>
    <row r="20" spans="1:7" x14ac:dyDescent="0.25">
      <c r="A20">
        <v>9</v>
      </c>
      <c r="B20" s="6" t="n">
        <v>49275.3056779097</v>
      </c>
      <c r="C20" s="9">
        <f si="0" t="shared"/>
        <v>3.2680075513326176E-2</v>
      </c>
      <c r="E20" s="371">
        <v>9</v>
      </c>
      <c r="F20" s="371" t="n">
        <v>39859.0</v>
      </c>
      <c r="G20" s="9">
        <f si="1" t="shared"/>
        <v>2.5713312245292975E-2</v>
      </c>
    </row>
    <row r="21" spans="1:7" x14ac:dyDescent="0.25">
      <c r="A21">
        <v>10</v>
      </c>
      <c r="B21" s="6" t="n">
        <v>66157.7538626476</v>
      </c>
      <c r="C21" s="9">
        <f si="0" t="shared"/>
        <v>4.3876752508764667E-2</v>
      </c>
      <c r="E21" s="371">
        <v>10</v>
      </c>
      <c r="F21" s="371" t="n">
        <v>33716.0</v>
      </c>
      <c r="G21" s="9">
        <f si="1" t="shared"/>
        <v>1.8598087228124692E-2</v>
      </c>
    </row>
    <row r="22" spans="1:7" x14ac:dyDescent="0.25">
      <c r="A22">
        <v>11</v>
      </c>
      <c r="B22" s="6" t="n">
        <v>16483.2266288365</v>
      </c>
      <c r="C22" s="9">
        <f si="0" t="shared"/>
        <v>1.0931907646696442E-2</v>
      </c>
      <c r="E22" s="371">
        <v>11</v>
      </c>
      <c r="F22" s="371" t="n">
        <v>34220.0</v>
      </c>
      <c r="G22" s="9">
        <f si="1" t="shared"/>
        <v>2.3043279976879164E-2</v>
      </c>
    </row>
    <row r="23" spans="1:7" x14ac:dyDescent="0.25">
      <c r="A23">
        <v>12</v>
      </c>
      <c r="B23" s="6" t="n">
        <v>40286.6637936804</v>
      </c>
      <c r="C23" s="9">
        <f si="0" t="shared"/>
        <v>2.6718681839607194E-2</v>
      </c>
      <c r="E23" s="371">
        <v>12</v>
      </c>
      <c r="F23" s="371" t="n">
        <v>18011.0</v>
      </c>
      <c r="G23" s="9">
        <f si="1" t="shared"/>
        <v>1.2029728303667782E-2</v>
      </c>
    </row>
    <row r="24" spans="1:7" x14ac:dyDescent="0.25">
      <c r="A24">
        <v>13</v>
      </c>
      <c r="B24" s="6" t="n">
        <v>14585.6770835197</v>
      </c>
      <c r="C24" s="9">
        <f si="0" t="shared"/>
        <v>9.6734261095838079E-3</v>
      </c>
      <c r="E24" s="371">
        <v>13</v>
      </c>
      <c r="F24" s="371" t="n">
        <v>19770.0</v>
      </c>
      <c r="G24" s="9">
        <f si="1" t="shared"/>
        <v>1.3542393059506986E-2</v>
      </c>
    </row>
    <row r="25" spans="1:7" x14ac:dyDescent="0.25">
      <c r="A25">
        <v>14</v>
      </c>
      <c r="B25" s="6" t="n">
        <v>14593.1892177672</v>
      </c>
      <c r="C25" s="9">
        <f si="0" t="shared"/>
        <v>9.6784082626338412E-3</v>
      </c>
      <c r="E25" s="371">
        <v>14</v>
      </c>
      <c r="F25" s="371" t="n">
        <v>13179.0</v>
      </c>
      <c r="G25" s="9">
        <f si="1" t="shared"/>
        <v>8.8850825535796204E-3</v>
      </c>
    </row>
    <row r="26" spans="1:7" x14ac:dyDescent="0.25">
      <c r="A26">
        <v>15</v>
      </c>
      <c r="B26" s="6" t="n">
        <v>19685.263857825</v>
      </c>
      <c r="C26" s="9">
        <f si="0" t="shared"/>
        <v>1.3055543756106468E-2</v>
      </c>
      <c r="E26" s="371">
        <v>15</v>
      </c>
      <c r="F26" s="371" t="n">
        <v>11679.0</v>
      </c>
      <c r="G26" s="9">
        <f si="1" t="shared"/>
        <v>8.3733484644000124E-3</v>
      </c>
    </row>
    <row r="27" spans="1:7" x14ac:dyDescent="0.25">
      <c r="A27">
        <v>16</v>
      </c>
      <c r="B27" s="6" t="n">
        <v>20332.6391129126</v>
      </c>
      <c r="C27" s="9">
        <f si="0" t="shared"/>
        <v>1.3484892127073671E-2</v>
      </c>
      <c r="E27" s="371">
        <v>16</v>
      </c>
      <c r="F27" s="371" t="n">
        <v>15121.0</v>
      </c>
      <c r="G27" s="9">
        <f si="1" t="shared"/>
        <v>9.3338441835985244E-3</v>
      </c>
    </row>
    <row r="28" spans="1:7" x14ac:dyDescent="0.25">
      <c r="A28">
        <v>17</v>
      </c>
      <c r="B28" s="6" t="n">
        <v>11172.1478921238</v>
      </c>
      <c r="C28" s="9">
        <f si="0" t="shared"/>
        <v>7.4095255572271829E-3</v>
      </c>
      <c r="E28" s="371">
        <v>17</v>
      </c>
      <c r="F28" s="371" t="n">
        <v>8673.0</v>
      </c>
      <c r="G28" s="9">
        <f si="1" t="shared"/>
        <v>6.0221556997367091E-3</v>
      </c>
    </row>
    <row r="29" spans="1:7" x14ac:dyDescent="0.25">
      <c r="A29">
        <v>18</v>
      </c>
      <c r="B29" s="6" t="n">
        <v>9152.3354712999</v>
      </c>
      <c r="C29" s="9">
        <f si="0" t="shared"/>
        <v>6.06995756211943E-3</v>
      </c>
      <c r="E29" s="371">
        <v>18</v>
      </c>
      <c r="F29" s="371" t="n">
        <v>6368.0</v>
      </c>
      <c r="G29" s="9">
        <f si="1" t="shared"/>
        <v>4.0991756573661867E-3</v>
      </c>
    </row>
    <row r="30" spans="1:7" x14ac:dyDescent="0.25">
      <c r="A30">
        <v>19</v>
      </c>
      <c r="B30" s="6" t="n">
        <v>5583.9625618093005</v>
      </c>
      <c r="C30" s="9">
        <f si="0" t="shared"/>
        <v>3.7033624788921932E-3</v>
      </c>
      <c r="E30" s="371">
        <v>19</v>
      </c>
      <c r="F30" s="371" t="n">
        <v>3981.0</v>
      </c>
      <c r="G30" s="9">
        <f si="1" t="shared"/>
        <v>2.5825336935799909E-3</v>
      </c>
    </row>
    <row r="31" spans="1:7" x14ac:dyDescent="0.25">
      <c r="A31">
        <v>20</v>
      </c>
      <c r="B31" s="6" t="n">
        <v>5997.6909733095</v>
      </c>
      <c r="C31" s="9">
        <f si="0" t="shared"/>
        <v>3.9777529782269614E-3</v>
      </c>
      <c r="E31" s="371">
        <v>20</v>
      </c>
      <c r="F31" s="371" t="n">
        <v>3408.0</v>
      </c>
      <c r="G31" s="9">
        <f si="1" t="shared"/>
        <v>2.2636941898294839E-3</v>
      </c>
    </row>
    <row r="32" spans="1:7" x14ac:dyDescent="0.25">
      <c r="A32">
        <v>21</v>
      </c>
      <c r="B32" s="6" t="n">
        <v>3107.1403064461</v>
      </c>
      <c r="C32" s="9">
        <f si="0" t="shared"/>
        <v>2.0606991361735876E-3</v>
      </c>
      <c r="E32" s="371">
        <v>21</v>
      </c>
      <c r="F32" s="371" t="n">
        <v>2386.0</v>
      </c>
      <c r="G32" s="9">
        <f si="1" t="shared"/>
        <v>1.7314111929237516E-3</v>
      </c>
    </row>
    <row r="33" spans="1:7" x14ac:dyDescent="0.25">
      <c r="A33">
        <v>22</v>
      </c>
      <c r="B33" s="6" t="n">
        <v>4275.4246781911</v>
      </c>
      <c r="C33" s="9">
        <f si="0" t="shared"/>
        <v>2.8355217570463684E-3</v>
      </c>
      <c r="E33" s="371">
        <v>22</v>
      </c>
      <c r="F33" s="371" t="n">
        <v>2239.0</v>
      </c>
      <c r="G33" s="9">
        <f si="1" t="shared"/>
        <v>1.5159790957950305E-3</v>
      </c>
    </row>
    <row r="34" spans="1:7" x14ac:dyDescent="0.25">
      <c r="A34">
        <v>23</v>
      </c>
      <c r="B34" s="6" t="n">
        <v>3513.8519921847</v>
      </c>
      <c r="C34" s="9">
        <f si="0" t="shared"/>
        <v>2.3304360443313831E-3</v>
      </c>
      <c r="E34" s="371">
        <v>23</v>
      </c>
      <c r="F34" s="371" t="n">
        <v>2290.0</v>
      </c>
      <c r="G34" s="9">
        <f si="1" t="shared"/>
        <v>1.4781956202986088E-3</v>
      </c>
    </row>
    <row r="35" spans="1:7" x14ac:dyDescent="0.25">
      <c r="A35">
        <v>24</v>
      </c>
      <c r="B35" s="6" t="n">
        <v>9946.7736566009</v>
      </c>
      <c r="C35" s="9">
        <f si="0" t="shared"/>
        <v>6.5968401360401337E-3</v>
      </c>
      <c r="E35" s="371">
        <v>24</v>
      </c>
      <c r="F35" s="371" t="n">
        <v>1451.0</v>
      </c>
      <c r="G35" s="9">
        <f si="1" t="shared"/>
        <v>1.012199422509406E-3</v>
      </c>
    </row>
    <row r="36" spans="1:7" x14ac:dyDescent="0.25">
      <c r="A36">
        <v>25</v>
      </c>
      <c r="B36" s="6" t="n">
        <v>2540.727809961</v>
      </c>
      <c r="C36" s="9">
        <f si="0" t="shared"/>
        <v>1.6850464050100554E-3</v>
      </c>
      <c r="E36" s="371">
        <v>25</v>
      </c>
      <c r="F36" s="371" t="n">
        <v>1935.0</v>
      </c>
      <c r="G36" s="9">
        <f si="1" t="shared"/>
        <v>1.2316087275851188E-3</v>
      </c>
    </row>
    <row r="37" spans="1:7" x14ac:dyDescent="0.25">
      <c r="A37">
        <v>26</v>
      </c>
      <c r="B37" s="6" t="n">
        <v>9469.253023868</v>
      </c>
      <c r="C37" s="9">
        <f si="0" t="shared"/>
        <v>6.2801417386950612E-3</v>
      </c>
      <c r="E37" s="371">
        <v>26</v>
      </c>
      <c r="F37" s="371" t="n">
        <v>1004.0</v>
      </c>
      <c r="G37" s="9">
        <f si="1" t="shared"/>
        <v>7.9146438145136276E-4</v>
      </c>
    </row>
    <row r="38" spans="1:7" x14ac:dyDescent="0.25">
      <c r="A38">
        <v>27</v>
      </c>
      <c r="B38" s="6" t="n">
        <v>1765.643180772</v>
      </c>
      <c r="C38" s="9">
        <f si="0" t="shared"/>
        <v>1.1709993816047723E-3</v>
      </c>
      <c r="E38" s="371">
        <v>27</v>
      </c>
      <c r="F38" s="371" t="n">
        <v>1293.0</v>
      </c>
      <c r="G38" s="9">
        <f si="1" t="shared"/>
        <v>8.3123646092128048E-4</v>
      </c>
    </row>
    <row r="39" spans="1:7" x14ac:dyDescent="0.25">
      <c r="A39">
        <v>28</v>
      </c>
      <c r="B39" s="6" t="n">
        <v>638.5252072000001</v>
      </c>
      <c r="C39" s="9">
        <f si="0" t="shared"/>
        <v>4.2347889478061671E-4</v>
      </c>
      <c r="E39" s="371">
        <v>28</v>
      </c>
      <c r="F39" s="371" t="n">
        <v>689.0</v>
      </c>
      <c r="G39" s="9">
        <f si="1" t="shared"/>
        <v>4.3749287416909496E-4</v>
      </c>
    </row>
    <row r="40" spans="1:7" x14ac:dyDescent="0.25">
      <c r="A40">
        <v>29</v>
      </c>
      <c r="B40" s="6" t="n">
        <v>550.7575783498</v>
      </c>
      <c r="C40" s="9">
        <f si="0" t="shared"/>
        <v>3.6527016935537858E-4</v>
      </c>
      <c r="E40" s="371">
        <v>29</v>
      </c>
      <c r="F40" s="371" t="n">
        <v>570.0</v>
      </c>
      <c r="G40" s="9">
        <f si="1" t="shared"/>
        <v>4.229097783634585E-4</v>
      </c>
    </row>
    <row r="41" spans="1:7" x14ac:dyDescent="0.25">
      <c r="A41">
        <v>30</v>
      </c>
      <c r="B41" s="6" t="n">
        <v>361.506881163</v>
      </c>
      <c r="C41" s="9">
        <f si="0" t="shared"/>
        <v>2.3975644620486167E-4</v>
      </c>
      <c r="E41" s="371">
        <v>30</v>
      </c>
      <c r="F41" s="371" t="n">
        <v>506.0</v>
      </c>
      <c r="G41" s="9">
        <f si="1" t="shared"/>
        <v>3.2878252361798655E-4</v>
      </c>
    </row>
    <row r="42" spans="1:7" x14ac:dyDescent="0.25">
      <c r="A42">
        <v>31</v>
      </c>
      <c r="B42" s="6" t="n">
        <v>1676.031328635</v>
      </c>
      <c r="C42" s="9">
        <f si="0" t="shared"/>
        <v>1.111567541366812E-3</v>
      </c>
      <c r="E42" s="371">
        <v>31</v>
      </c>
      <c r="F42" s="371" t="n">
        <v>453.0</v>
      </c>
      <c r="G42" s="9">
        <f si="1" t="shared"/>
        <v>3.1950237174167238E-4</v>
      </c>
    </row>
    <row r="43" spans="1:7" x14ac:dyDescent="0.25">
      <c r="A43">
        <v>32</v>
      </c>
      <c r="B43" s="6" t="n">
        <v>1387.7529686497</v>
      </c>
      <c r="C43" s="9">
        <f si="0" t="shared"/>
        <v>9.2037727996573712E-4</v>
      </c>
      <c r="E43" s="371">
        <v>32</v>
      </c>
      <c r="F43" s="371" t="n">
        <v>347.0</v>
      </c>
      <c r="G43" s="9">
        <f si="1" t="shared"/>
        <v>2.2802658896086162E-4</v>
      </c>
    </row>
    <row r="44" spans="1:7" x14ac:dyDescent="0.25">
      <c r="A44">
        <v>33</v>
      </c>
      <c r="B44" s="6" t="n">
        <v>1376.858994262</v>
      </c>
      <c r="C44" s="9">
        <f si="0" t="shared"/>
        <v>9.1315224298763303E-4</v>
      </c>
      <c r="E44" s="371">
        <v>33</v>
      </c>
      <c r="F44" s="371" t="n">
        <v>321.0</v>
      </c>
      <c r="G44" s="9">
        <f si="1" t="shared"/>
        <v>1.9024311346443979E-4</v>
      </c>
    </row>
    <row r="45" spans="1:7" x14ac:dyDescent="0.25">
      <c r="A45">
        <v>34</v>
      </c>
      <c r="B45" s="6" t="n">
        <v>2187.712304919</v>
      </c>
      <c r="C45" s="9">
        <f si="0" t="shared"/>
        <v>1.4509215588334153E-3</v>
      </c>
      <c r="E45" s="371">
        <v>34</v>
      </c>
      <c r="F45" s="371" t="n">
        <v>225.0</v>
      </c>
      <c r="G45" s="9">
        <f si="1" t="shared"/>
        <v>1.716828097118115E-4</v>
      </c>
    </row>
    <row r="46" spans="1:7" x14ac:dyDescent="0.25">
      <c r="A46">
        <v>35</v>
      </c>
      <c r="B46" s="6" t="n">
        <v>1254.4259388314</v>
      </c>
      <c r="C46" s="9">
        <f si="0" t="shared"/>
        <v>8.3195291927459965E-4</v>
      </c>
      <c r="E46" s="371">
        <v>35</v>
      </c>
      <c r="F46" s="371" t="n">
        <v>172.0</v>
      </c>
      <c r="G46" s="9">
        <f si="1" t="shared"/>
        <v>1.1732763443625728E-4</v>
      </c>
    </row>
    <row r="47" spans="1:7" x14ac:dyDescent="0.25">
      <c r="A47">
        <v>36</v>
      </c>
      <c r="B47" s="6" t="n">
        <v>1401.576476306</v>
      </c>
      <c r="C47" s="9">
        <f si="0" t="shared"/>
        <v>9.2954522459544331E-4</v>
      </c>
      <c r="E47" s="371">
        <v>36</v>
      </c>
      <c r="F47" s="371" t="n">
        <v>247.0</v>
      </c>
      <c r="G47" s="9">
        <f si="1" t="shared"/>
        <v>1.6240265783549739E-4</v>
      </c>
    </row>
    <row r="48" spans="1:7" x14ac:dyDescent="0.25">
      <c r="A48">
        <v>37</v>
      </c>
      <c r="B48" s="6" t="n">
        <v>435.6266693499</v>
      </c>
      <c r="C48" s="9">
        <f si="0" t="shared"/>
        <v>2.8891373181994684E-4</v>
      </c>
      <c r="E48" s="371">
        <v>37</v>
      </c>
      <c r="F48" s="371" t="n">
        <v>134.0</v>
      </c>
      <c r="G48" s="9">
        <f si="1" t="shared"/>
        <v>1.1268755849810023E-4</v>
      </c>
    </row>
    <row r="49" spans="1:7" x14ac:dyDescent="0.25">
      <c r="A49">
        <v>38</v>
      </c>
      <c r="B49" s="6" t="n">
        <v>627.269960355</v>
      </c>
      <c r="C49" s="9">
        <f si="0" t="shared"/>
        <v>4.1601425682950957E-4</v>
      </c>
      <c r="E49" s="371">
        <v>38</v>
      </c>
      <c r="F49" s="371" t="n">
        <v>208.0</v>
      </c>
      <c r="G49" s="9">
        <f si="1" t="shared"/>
        <v>1.2329344635674495E-4</v>
      </c>
    </row>
    <row r="50" spans="1:7" x14ac:dyDescent="0.25">
      <c r="A50">
        <v>39</v>
      </c>
      <c r="B50" s="6" t="n">
        <v>1276.819868687</v>
      </c>
      <c r="C50" s="9">
        <f si="0" t="shared"/>
        <v>8.4680488840300691E-4</v>
      </c>
      <c r="E50" s="371">
        <v>39</v>
      </c>
      <c r="F50" s="371" t="n">
        <v>126.0</v>
      </c>
      <c r="G50" s="9">
        <f si="1" t="shared"/>
        <v>1.027445386306208E-4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105.0</v>
      </c>
      <c r="G51" s="9">
        <f si="1" t="shared"/>
        <v>7.8218422957504865E-5</v>
      </c>
    </row>
    <row r="52" spans="1:7" x14ac:dyDescent="0.25">
      <c r="A52">
        <v>41</v>
      </c>
      <c r="B52" s="6" t="n">
        <v>1460.3671165790001</v>
      </c>
      <c r="C52" s="9">
        <f si="0" t="shared"/>
        <v>9.6853600379338464E-4</v>
      </c>
      <c r="E52" s="371">
        <v>41</v>
      </c>
      <c r="F52" s="371" t="n">
        <v>82.0</v>
      </c>
      <c r="G52" s="9">
        <f si="1" t="shared"/>
        <v>6.8275403090025421E-5</v>
      </c>
    </row>
    <row r="53" spans="1:7" x14ac:dyDescent="0.25">
      <c r="A53">
        <v>42</v>
      </c>
      <c r="B53" s="6" t="n">
        <v>435.7994321551</v>
      </c>
      <c r="C53" s="9">
        <f si="0" t="shared"/>
        <v>2.8902831054131964E-4</v>
      </c>
      <c r="E53" s="371">
        <v>42</v>
      </c>
      <c r="F53" s="371" t="n">
        <v>74.0</v>
      </c>
      <c r="G53" s="9">
        <f si="1" t="shared"/>
        <v>3.7120607505256546E-5</v>
      </c>
    </row>
    <row r="54" spans="1:7" x14ac:dyDescent="0.25">
      <c r="A54">
        <v>43</v>
      </c>
      <c r="B54" s="6" t="n">
        <v>1712.091986692</v>
      </c>
      <c r="C54" s="9">
        <f si="0" t="shared"/>
        <v>1.13548347678619E-3</v>
      </c>
      <c r="E54" s="371">
        <v>43</v>
      </c>
      <c r="F54" s="371" t="n">
        <v>54.0</v>
      </c>
      <c r="G54" s="9">
        <f si="1" t="shared"/>
        <v>3.3806267549430068E-5</v>
      </c>
    </row>
    <row r="55" spans="1:7" x14ac:dyDescent="0.25">
      <c r="A55">
        <v>44</v>
      </c>
      <c r="B55" s="6" t="n">
        <v>4102.962444131</v>
      </c>
      <c r="C55" s="9">
        <f si="0" t="shared"/>
        <v>2.7211423786794135E-3</v>
      </c>
      <c r="E55" s="371">
        <v>44</v>
      </c>
      <c r="F55" s="371" t="n">
        <v>37.0</v>
      </c>
      <c r="G55" s="9">
        <f si="1" t="shared"/>
        <v>3.3143399558264768E-5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68.0</v>
      </c>
      <c r="G56" s="9">
        <f si="1" t="shared"/>
        <v>4.441215540807479E-5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40.0</v>
      </c>
      <c r="G57" s="9">
        <f si="1" t="shared"/>
        <v>2.9166191611272999E-5</v>
      </c>
    </row>
    <row r="58" spans="1:7" x14ac:dyDescent="0.25">
      <c r="A58">
        <v>47</v>
      </c>
      <c r="B58" s="6" t="n">
        <v>803.505355967</v>
      </c>
      <c r="C58" s="9">
        <f si="0" t="shared"/>
        <v>5.3289604898657027E-4</v>
      </c>
      <c r="E58" s="371">
        <v>47</v>
      </c>
      <c r="F58" s="371" t="n">
        <v>33.0</v>
      </c>
      <c r="G58" s="9">
        <f si="1" t="shared"/>
        <v>2.1211775717289452E-5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22.0</v>
      </c>
      <c r="G59" s="9">
        <f si="1" t="shared"/>
        <v>1.1931623840975317E-5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28.0</v>
      </c>
      <c r="G60" s="9">
        <f si="1" t="shared"/>
        <v>1.5245963796801794E-5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10.0</v>
      </c>
      <c r="G61" s="9">
        <f si="1" t="shared"/>
        <v>1.45830958056365E-5</v>
      </c>
    </row>
    <row r="62" spans="1:7" x14ac:dyDescent="0.25">
      <c r="A62">
        <v>51</v>
      </c>
      <c r="B62" s="6" t="n">
        <v>387.674382174</v>
      </c>
      <c r="C62" s="9">
        <f si="0" t="shared"/>
        <v>2.5711110077817446E-4</v>
      </c>
      <c r="E62" s="371">
        <v>51</v>
      </c>
      <c r="F62" s="371" t="n">
        <v>19.0</v>
      </c>
      <c r="G62" s="9">
        <f si="1" t="shared"/>
        <v>1.6571699779132384E-5</v>
      </c>
    </row>
    <row r="63" spans="1:7" x14ac:dyDescent="0.25">
      <c r="A63">
        <v>52</v>
      </c>
      <c r="B63" s="6" t="n">
        <v>181.031838601</v>
      </c>
      <c r="C63" s="9">
        <f si="0" t="shared"/>
        <v>1.200628605831091E-4</v>
      </c>
      <c r="E63" s="371">
        <v>52</v>
      </c>
      <c r="F63" s="371" t="n">
        <v>25.0</v>
      </c>
      <c r="G63" s="9">
        <f si="1" t="shared"/>
        <v>1.3257359823305908E-5</v>
      </c>
    </row>
    <row r="64" spans="1:7" x14ac:dyDescent="0.25">
      <c r="A64">
        <v>53</v>
      </c>
      <c r="B64" s="6" t="n">
        <v>706.8156593735</v>
      </c>
      <c r="C64" s="9">
        <f si="0" t="shared"/>
        <v>4.6877008279387877E-4</v>
      </c>
      <c r="E64" s="371">
        <v>53</v>
      </c>
      <c r="F64" s="371" t="n">
        <v>9.0</v>
      </c>
      <c r="G64" s="9">
        <f si="1" t="shared"/>
        <v>8.6172838851488402E-6</v>
      </c>
    </row>
    <row r="65" spans="1:7" x14ac:dyDescent="0.25">
      <c r="A65">
        <v>54</v>
      </c>
      <c r="B65" s="6" t="n">
        <v>1175.904314993</v>
      </c>
      <c r="C65" s="9">
        <f si="0" t="shared"/>
        <v>7.7987627436769077E-4</v>
      </c>
      <c r="E65" s="371">
        <v>54</v>
      </c>
      <c r="F65" s="371" t="n">
        <v>18.0</v>
      </c>
      <c r="G65" s="9">
        <f si="1" t="shared"/>
        <v>9.2801518763141366E-6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11.0</v>
      </c>
      <c r="G66" s="9">
        <f si="1" t="shared"/>
        <v>6.6286799116529542E-6</v>
      </c>
    </row>
    <row r="67" spans="1:7" x14ac:dyDescent="0.25">
      <c r="A67">
        <v>56</v>
      </c>
      <c r="B67" s="6" t="n">
        <v>1829.478686078</v>
      </c>
      <c r="C67" s="9">
        <f si="0" t="shared"/>
        <v>1.2133359862210404E-3</v>
      </c>
      <c r="E67" s="371">
        <v>56</v>
      </c>
      <c r="F67" s="371" t="n">
        <v>6.0</v>
      </c>
      <c r="G67" s="9">
        <f si="1" t="shared"/>
        <v>1.0605887858644726E-5</v>
      </c>
    </row>
    <row r="68" spans="1:7" x14ac:dyDescent="0.25">
      <c r="A68">
        <v>57</v>
      </c>
      <c r="B68" s="6" t="n">
        <v>542.140045727</v>
      </c>
      <c r="C68" s="9">
        <f si="0" t="shared"/>
        <v>3.5955490056146204E-4</v>
      </c>
      <c r="E68" s="371">
        <v>57</v>
      </c>
      <c r="F68" s="371" t="n">
        <v>12.0</v>
      </c>
      <c r="G68" s="9">
        <f si="1" t="shared"/>
        <v>5.9658119204876586E-6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8.0</v>
      </c>
      <c r="G69" s="9">
        <f si="1" t="shared"/>
        <v>5.9658119204876586E-6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12.0</v>
      </c>
      <c r="G70" s="9">
        <f si="1" t="shared"/>
        <v>1.9886039734958864E-6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3.0</v>
      </c>
      <c r="G71" s="9">
        <f si="1" t="shared"/>
        <v>6.6286799116529538E-7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1.3257359823305908E-6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5.0</v>
      </c>
      <c r="G73" s="9">
        <f si="1" t="shared"/>
        <v>1.9886039734958864E-6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3.0</v>
      </c>
      <c r="G74" s="9">
        <f si="1" t="shared"/>
        <v>1.9886039734958864E-6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4.0</v>
      </c>
      <c r="G75" s="9">
        <f si="1" t="shared"/>
        <v>6.6286799116529538E-7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2.6514719646611815E-6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1.9886039734958864E-6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2.6514719646611815E-6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3.3143399558264771E-6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6.6286799116529538E-7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6.6286799116529538E-7</v>
      </c>
    </row>
    <row r="82" spans="1:7" x14ac:dyDescent="0.25">
      <c r="A82">
        <v>71</v>
      </c>
      <c r="B82" s="6" t="n">
        <v>215.6958943</v>
      </c>
      <c r="C82" s="9">
        <f si="2" t="shared"/>
        <v>1.4305254968308587E-4</v>
      </c>
      <c r="E82" s="371">
        <v>71</v>
      </c>
      <c r="F82" s="371" t="n">
        <v>2.0</v>
      </c>
      <c r="G82" s="9">
        <f si="3" t="shared"/>
        <v>1.3257359823305908E-6</v>
      </c>
    </row>
    <row r="83" spans="1:7" x14ac:dyDescent="0.25">
      <c r="A83">
        <v>72</v>
      </c>
      <c r="B83" s="6" t="n">
        <v>4605.9932193</v>
      </c>
      <c r="C83" s="9">
        <f si="2" t="shared"/>
        <v>3.05475946114877E-3</v>
      </c>
      <c r="E83" s="371">
        <v>72</v>
      </c>
      <c r="F83" s="371" t="n">
        <v>0.0</v>
      </c>
      <c r="G83" s="9">
        <f si="3" t="shared"/>
        <v>6.6286799116529538E-7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6.6286799116529538E-7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6.6286799116529538E-7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6.6286799116529538E-7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1.0</v>
      </c>
      <c r="G97" s="9">
        <f si="3" t="shared"/>
        <v>0</v>
      </c>
    </row>
    <row r="98" spans="1:7" x14ac:dyDescent="0.25">
      <c r="A98">
        <v>87</v>
      </c>
      <c r="B98" s="6" t="n">
        <v>757.659074414</v>
      </c>
      <c r="C98" s="9">
        <f si="2" t="shared"/>
        <v>5.0249015048335849E-4</v>
      </c>
      <c r="E98" s="371">
        <v>87</v>
      </c>
      <c r="F98" s="371" t="n">
        <v>0.0</v>
      </c>
      <c r="G98" s="9">
        <f si="3" t="shared"/>
        <v>6.6286799116529538E-7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1507808.8071680365</v>
      </c>
      <c r="C102" s="9">
        <f si="2" t="shared"/>
        <v>1</v>
      </c>
      <c r="F102" s="6">
        <f>SUM(F11:F101)</f>
        <v>1508596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M102"/>
  <sheetViews>
    <sheetView workbookViewId="0">
      <selection activeCell="H24" sqref="H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3783.0</v>
      </c>
      <c r="G11" s="9">
        <f>F11/F$102</f>
        <v>2.5633105218361972E-3</v>
      </c>
      <c r="K11" s="6" t="n">
        <v>40.889498506544584</v>
      </c>
      <c r="L11" s="6" t="n">
        <v>27.07600458351911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15390.0</v>
      </c>
      <c r="G12" s="9">
        <f>F12/F$102</f>
        <v>1.018695528822826E-2</v>
      </c>
      <c r="K12" s="6"/>
      <c r="L12" s="371"/>
    </row>
    <row r="13" spans="1:12" x14ac:dyDescent="0.25">
      <c r="A13">
        <v>2</v>
      </c>
      <c r="B13" s="6" t="n">
        <v>473.487054336</v>
      </c>
      <c r="C13" s="9">
        <f ref="C13:C76" si="0" t="shared">B13/B$102</f>
        <v>3.1402327144202215E-4</v>
      </c>
      <c r="E13" s="371">
        <v>2</v>
      </c>
      <c r="F13" s="371" t="n">
        <v>16156.0</v>
      </c>
      <c r="G13" s="9">
        <f ref="G13:G76" si="1" t="shared">F13/F$102</f>
        <v>1.0662894505884942E-2</v>
      </c>
    </row>
    <row r="14" spans="1:12" x14ac:dyDescent="0.25">
      <c r="A14">
        <v>3</v>
      </c>
      <c r="B14" s="6" t="n">
        <v>46.542476944</v>
      </c>
      <c r="C14" s="9">
        <f si="0" t="shared"/>
        <v>3.0867625074704251E-5</v>
      </c>
      <c r="E14" s="371">
        <v>3</v>
      </c>
      <c r="F14" s="371" t="n">
        <v>17981.0</v>
      </c>
      <c r="G14" s="9">
        <f si="1" t="shared"/>
        <v>1.1988630488215532E-2</v>
      </c>
    </row>
    <row r="15" spans="1:12" x14ac:dyDescent="0.25">
      <c r="A15">
        <v>4</v>
      </c>
      <c r="B15" s="6" t="n">
        <v>3463.3741416534003</v>
      </c>
      <c r="C15" s="9">
        <f si="0" t="shared"/>
        <v>2.2969584241640706E-3</v>
      </c>
      <c r="E15" s="371">
        <v>4</v>
      </c>
      <c r="F15" s="371" t="n">
        <v>19727.0</v>
      </c>
      <c r="G15" s="9">
        <f si="1" t="shared"/>
        <v>1.3207644723968511E-2</v>
      </c>
    </row>
    <row r="16" spans="1:12" x14ac:dyDescent="0.25">
      <c r="A16">
        <v>5</v>
      </c>
      <c r="B16" s="6" t="n">
        <v>9026.3815429011</v>
      </c>
      <c r="C16" s="9">
        <f si="0" t="shared"/>
        <v>5.9864231459520589E-3</v>
      </c>
      <c r="E16" s="371">
        <v>5</v>
      </c>
      <c r="F16" s="371" t="n">
        <v>21465.0</v>
      </c>
      <c r="G16" s="9">
        <f si="1" t="shared"/>
        <v>1.3926856494382857E-2</v>
      </c>
    </row>
    <row r="17" spans="1:7" x14ac:dyDescent="0.25">
      <c r="A17">
        <v>6</v>
      </c>
      <c r="B17" s="6" t="n">
        <v>5794.6154313998</v>
      </c>
      <c r="C17" s="9">
        <f si="0" t="shared"/>
        <v>3.8430704236853707E-3</v>
      </c>
      <c r="E17" s="371">
        <v>6</v>
      </c>
      <c r="F17" s="371" t="n">
        <v>22507.0</v>
      </c>
      <c r="G17" s="9">
        <f si="1" t="shared"/>
        <v>1.4617564941177094E-2</v>
      </c>
    </row>
    <row r="18" spans="1:7" x14ac:dyDescent="0.25">
      <c r="A18">
        <v>7</v>
      </c>
      <c r="B18" s="6" t="n">
        <v>8133.3446262938</v>
      </c>
      <c r="C18" s="9">
        <f si="0" t="shared"/>
        <v>5.3941485071770006E-3</v>
      </c>
      <c r="E18" s="371">
        <v>7</v>
      </c>
      <c r="F18" s="371" t="n">
        <v>22890.0</v>
      </c>
      <c r="G18" s="9">
        <f si="1" t="shared"/>
        <v>1.5044451927487545E-2</v>
      </c>
    </row>
    <row r="19" spans="1:7" x14ac:dyDescent="0.25">
      <c r="A19">
        <v>8</v>
      </c>
      <c r="B19" s="6" t="n">
        <v>4051.6267664772</v>
      </c>
      <c r="C19" s="9">
        <f si="0" t="shared"/>
        <v>2.6870958355038107E-3</v>
      </c>
      <c r="E19" s="371">
        <v>8</v>
      </c>
      <c r="F19" s="371" t="n">
        <v>22772.0</v>
      </c>
      <c r="G19" s="9">
        <f si="1" t="shared"/>
        <v>1.509018981887795E-2</v>
      </c>
    </row>
    <row r="20" spans="1:7" x14ac:dyDescent="0.25">
      <c r="A20">
        <v>9</v>
      </c>
      <c r="B20" s="6" t="n">
        <v>22959.0916317204</v>
      </c>
      <c r="C20" s="9">
        <f si="0" t="shared"/>
        <v>1.5226792364240209E-2</v>
      </c>
      <c r="E20" s="371">
        <v>9</v>
      </c>
      <c r="F20" s="371" t="n">
        <v>22558.0</v>
      </c>
      <c r="G20" s="9">
        <f si="1" t="shared"/>
        <v>1.4887352213581369E-2</v>
      </c>
    </row>
    <row r="21" spans="1:7" x14ac:dyDescent="0.25">
      <c r="A21">
        <v>10</v>
      </c>
      <c r="B21" s="6" t="n">
        <v>9444.8519503869</v>
      </c>
      <c r="C21" s="9">
        <f si="0" t="shared"/>
        <v>6.2639586036947218E-3</v>
      </c>
      <c r="E21" s="371">
        <v>10</v>
      </c>
      <c r="F21" s="371" t="n">
        <v>22447.0</v>
      </c>
      <c r="G21" s="9">
        <f si="1" t="shared"/>
        <v>1.4766710239189285E-2</v>
      </c>
    </row>
    <row r="22" spans="1:7" x14ac:dyDescent="0.25">
      <c r="A22">
        <v>11</v>
      </c>
      <c r="B22" s="6" t="n">
        <v>11911.3351952793</v>
      </c>
      <c r="C22" s="9">
        <f si="0" t="shared"/>
        <v>7.8997649693074452E-3</v>
      </c>
      <c r="E22" s="371">
        <v>11</v>
      </c>
      <c r="F22" s="371" t="n">
        <v>21703.0</v>
      </c>
      <c r="G22" s="9">
        <f si="1" t="shared"/>
        <v>1.4335183176940679E-2</v>
      </c>
    </row>
    <row r="23" spans="1:7" x14ac:dyDescent="0.25">
      <c r="A23">
        <v>12</v>
      </c>
      <c r="B23" s="6" t="n">
        <v>31315.3583841227</v>
      </c>
      <c r="C23" s="9">
        <f si="0" t="shared"/>
        <v>2.0768785959633131E-2</v>
      </c>
      <c r="E23" s="371">
        <v>12</v>
      </c>
      <c r="F23" s="371" t="n">
        <v>21019.0</v>
      </c>
      <c r="G23" s="9">
        <f si="1" t="shared"/>
        <v>1.3783677008291154E-2</v>
      </c>
    </row>
    <row r="24" spans="1:7" x14ac:dyDescent="0.25">
      <c r="A24">
        <v>13</v>
      </c>
      <c r="B24" s="6" t="n">
        <v>28693.7914331462</v>
      </c>
      <c r="C24" s="9">
        <f si="0" t="shared"/>
        <v>1.903012589974111E-2</v>
      </c>
      <c r="E24" s="371">
        <v>13</v>
      </c>
      <c r="F24" s="371" t="n">
        <v>20088.0</v>
      </c>
      <c r="G24" s="9">
        <f si="1" t="shared"/>
        <v>1.322753076370347E-2</v>
      </c>
    </row>
    <row r="25" spans="1:7" x14ac:dyDescent="0.25">
      <c r="A25">
        <v>14</v>
      </c>
      <c r="B25" s="6" t="n">
        <v>15630.1700016308</v>
      </c>
      <c r="C25" s="9">
        <f si="0" t="shared"/>
        <v>1.0366148497956681E-2</v>
      </c>
      <c r="E25" s="371">
        <v>14</v>
      </c>
      <c r="F25" s="371" t="n">
        <v>19319.0</v>
      </c>
      <c r="G25" s="9">
        <f si="1" t="shared"/>
        <v>1.2910679863926459E-2</v>
      </c>
    </row>
    <row r="26" spans="1:7" x14ac:dyDescent="0.25">
      <c r="A26">
        <v>15</v>
      </c>
      <c r="B26" s="6" t="n">
        <v>7332.6052579494</v>
      </c>
      <c r="C26" s="9">
        <f si="0" t="shared"/>
        <v>4.863086900070231E-3</v>
      </c>
      <c r="E26" s="371">
        <v>15</v>
      </c>
      <c r="F26" s="371" t="n">
        <v>18598.0</v>
      </c>
      <c r="G26" s="9">
        <f si="1" t="shared"/>
        <v>1.2086734950907996E-2</v>
      </c>
    </row>
    <row r="27" spans="1:7" x14ac:dyDescent="0.25">
      <c r="A27">
        <v>16</v>
      </c>
      <c r="B27" s="6" t="n">
        <v>41840.4439951979</v>
      </c>
      <c r="C27" s="9">
        <f si="0" t="shared"/>
        <v>2.7749170714676044E-2</v>
      </c>
      <c r="E27" s="371">
        <v>16</v>
      </c>
      <c r="F27" s="371" t="n">
        <v>17723.0</v>
      </c>
      <c r="G27" s="9">
        <f si="1" t="shared"/>
        <v>1.1749335143404861E-2</v>
      </c>
    </row>
    <row r="28" spans="1:7" x14ac:dyDescent="0.25">
      <c r="A28">
        <v>17</v>
      </c>
      <c r="B28" s="6" t="n">
        <v>23176.6259974718</v>
      </c>
      <c r="C28" s="9">
        <f si="0" t="shared"/>
        <v>1.5371064214037913E-2</v>
      </c>
      <c r="E28" s="371">
        <v>17</v>
      </c>
      <c r="F28" s="371" t="n">
        <v>16472.0</v>
      </c>
      <c r="G28" s="9">
        <f si="1" t="shared"/>
        <v>1.0894898302792796E-2</v>
      </c>
    </row>
    <row r="29" spans="1:7" x14ac:dyDescent="0.25">
      <c r="A29">
        <v>18</v>
      </c>
      <c r="B29" s="6" t="n">
        <v>77109.666512633</v>
      </c>
      <c r="C29" s="9">
        <f si="0" t="shared"/>
        <v>5.1140214957001225E-2</v>
      </c>
      <c r="E29" s="371">
        <v>18</v>
      </c>
      <c r="F29" s="371" t="n">
        <v>186205.0</v>
      </c>
      <c r="G29" s="9">
        <f si="1" t="shared"/>
        <v>0.12338160779956993</v>
      </c>
    </row>
    <row r="30" spans="1:7" x14ac:dyDescent="0.25">
      <c r="A30">
        <v>19</v>
      </c>
      <c r="B30" s="6" t="n">
        <v>74044.0329434949</v>
      </c>
      <c r="C30" s="9">
        <f si="0" t="shared"/>
        <v>4.9107043672575595E-2</v>
      </c>
      <c r="E30" s="371">
        <v>19</v>
      </c>
      <c r="F30" s="371" t="n">
        <v>76622.0</v>
      </c>
      <c r="G30" s="9">
        <f si="1" t="shared"/>
        <v>4.9729019565211627E-2</v>
      </c>
    </row>
    <row r="31" spans="1:7" x14ac:dyDescent="0.25">
      <c r="A31">
        <v>20</v>
      </c>
      <c r="B31" s="6" t="n">
        <v>78826.3133139011</v>
      </c>
      <c r="C31" s="9">
        <f si="0" t="shared"/>
        <v>5.2278719250852847E-2</v>
      </c>
      <c r="E31" s="371">
        <v>20</v>
      </c>
      <c r="F31" s="371" t="n">
        <v>75450.0</v>
      </c>
      <c r="G31" s="9">
        <f si="1" t="shared"/>
        <v>5.0324275021278064E-2</v>
      </c>
    </row>
    <row r="32" spans="1:7" x14ac:dyDescent="0.25">
      <c r="A32">
        <v>21</v>
      </c>
      <c r="B32" s="6" t="n">
        <v>64860.9177118606</v>
      </c>
      <c r="C32" s="9">
        <f si="0" t="shared"/>
        <v>4.3016672540653375E-2</v>
      </c>
      <c r="E32" s="371">
        <v>21</v>
      </c>
      <c r="F32" s="371" t="n">
        <v>83444.0</v>
      </c>
      <c r="G32" s="9">
        <f si="1" t="shared"/>
        <v>5.6488284471124146E-2</v>
      </c>
    </row>
    <row r="33" spans="1:7" x14ac:dyDescent="0.25">
      <c r="A33">
        <v>22</v>
      </c>
      <c r="B33" s="6" t="n">
        <v>67768.0244831405</v>
      </c>
      <c r="C33" s="9">
        <f si="0" t="shared"/>
        <v>4.4944706623926849E-2</v>
      </c>
      <c r="E33" s="371">
        <v>22</v>
      </c>
      <c r="F33" s="371" t="n">
        <v>78103.0</v>
      </c>
      <c r="G33" s="9">
        <f si="1" t="shared"/>
        <v>5.0741881855712198E-2</v>
      </c>
    </row>
    <row r="34" spans="1:7" x14ac:dyDescent="0.25">
      <c r="A34">
        <v>23</v>
      </c>
      <c r="B34" s="6" t="n">
        <v>49470.1657101288</v>
      </c>
      <c r="C34" s="9">
        <f si="0" t="shared"/>
        <v>3.2809309426334733E-2</v>
      </c>
      <c r="E34" s="371">
        <v>23</v>
      </c>
      <c r="F34" s="371" t="n">
        <v>71812.0</v>
      </c>
      <c r="G34" s="9">
        <f si="1" t="shared"/>
        <v>4.6941659662361558E-2</v>
      </c>
    </row>
    <row r="35" spans="1:7" x14ac:dyDescent="0.25">
      <c r="A35">
        <v>24</v>
      </c>
      <c r="B35" s="6" t="n">
        <v>40879.5803881553</v>
      </c>
      <c r="C35" s="9">
        <f si="0" t="shared"/>
        <v>2.711191246119277E-2</v>
      </c>
      <c r="E35" s="371">
        <v>24</v>
      </c>
      <c r="F35" s="371" t="n">
        <v>51583.0</v>
      </c>
      <c r="G35" s="9">
        <f si="1" t="shared"/>
        <v>3.3466879137953431E-2</v>
      </c>
    </row>
    <row r="36" spans="1:7" x14ac:dyDescent="0.25">
      <c r="A36">
        <v>25</v>
      </c>
      <c r="B36" s="6" t="n">
        <v>29315.3011728499</v>
      </c>
      <c r="C36" s="9">
        <f si="0" t="shared"/>
        <v>1.9442319897248667E-2</v>
      </c>
      <c r="E36" s="371">
        <v>25</v>
      </c>
      <c r="F36" s="371" t="n">
        <v>54425.0</v>
      </c>
      <c r="G36" s="9">
        <f si="1" t="shared"/>
        <v>3.7911409018716744E-2</v>
      </c>
    </row>
    <row r="37" spans="1:7" x14ac:dyDescent="0.25">
      <c r="A37">
        <v>26</v>
      </c>
      <c r="B37" s="6" t="n">
        <v>81142.0085875493</v>
      </c>
      <c r="C37" s="9">
        <f si="0" t="shared"/>
        <v>5.3814520913928104E-2</v>
      </c>
      <c r="E37" s="371">
        <v>26</v>
      </c>
      <c r="F37" s="371" t="n">
        <v>49143.0</v>
      </c>
      <c r="G37" s="9">
        <f si="1" t="shared"/>
        <v>2.8686275185669324E-2</v>
      </c>
    </row>
    <row r="38" spans="1:7" x14ac:dyDescent="0.25">
      <c r="A38">
        <v>27</v>
      </c>
      <c r="B38" s="6" t="n">
        <v>27760.1048696995</v>
      </c>
      <c r="C38" s="9">
        <f si="0" t="shared"/>
        <v>1.8410891843667149E-2</v>
      </c>
      <c r="E38" s="371">
        <v>27</v>
      </c>
      <c r="F38" s="371" t="n">
        <v>30190.0</v>
      </c>
      <c r="G38" s="9">
        <f si="1" t="shared"/>
        <v>2.4062770947291388E-2</v>
      </c>
    </row>
    <row r="39" spans="1:7" x14ac:dyDescent="0.25">
      <c r="A39">
        <v>28</v>
      </c>
      <c r="B39" s="6" t="n">
        <v>20966.234812207902</v>
      </c>
      <c r="C39" s="9">
        <f si="0" t="shared"/>
        <v>1.3905101702905317E-2</v>
      </c>
      <c r="E39" s="371">
        <v>28</v>
      </c>
      <c r="F39" s="371" t="n">
        <v>36592.0</v>
      </c>
      <c r="G39" s="9">
        <f si="1" t="shared"/>
        <v>2.2801996028094997E-2</v>
      </c>
    </row>
    <row r="40" spans="1:7" x14ac:dyDescent="0.25">
      <c r="A40">
        <v>29</v>
      </c>
      <c r="B40" s="6" t="n">
        <v>38896.636304045</v>
      </c>
      <c r="C40" s="9">
        <f si="0" t="shared"/>
        <v>2.5796796065345035E-2</v>
      </c>
      <c r="E40" s="371">
        <v>29</v>
      </c>
      <c r="F40" s="371" t="n">
        <v>27942.0</v>
      </c>
      <c r="G40" s="9">
        <f si="1" t="shared"/>
        <v>2.4178109977754152E-2</v>
      </c>
    </row>
    <row r="41" spans="1:7" x14ac:dyDescent="0.25">
      <c r="A41">
        <v>30</v>
      </c>
      <c r="B41" s="6" t="n">
        <v>23526.7204330235</v>
      </c>
      <c r="C41" s="9">
        <f si="0" t="shared"/>
        <v>1.5603251765859716E-2</v>
      </c>
      <c r="E41" s="371">
        <v>30</v>
      </c>
      <c r="F41" s="371" t="n">
        <v>30126.0</v>
      </c>
      <c r="G41" s="9">
        <f si="1" t="shared"/>
        <v>1.6048696934102966E-2</v>
      </c>
    </row>
    <row r="42" spans="1:7" x14ac:dyDescent="0.25">
      <c r="A42">
        <v>31</v>
      </c>
      <c r="B42" s="6" t="n">
        <v>22037.3006118144</v>
      </c>
      <c r="C42" s="9">
        <f si="0" t="shared"/>
        <v>1.4615447599888219E-2</v>
      </c>
      <c r="E42" s="371">
        <v>31</v>
      </c>
      <c r="F42" s="371" t="n">
        <v>22873.0</v>
      </c>
      <c r="G42" s="9">
        <f si="1" t="shared"/>
        <v>1.4761407295259963E-2</v>
      </c>
    </row>
    <row r="43" spans="1:7" x14ac:dyDescent="0.25">
      <c r="A43">
        <v>32</v>
      </c>
      <c r="B43" s="6" t="n">
        <v>13151.2512598721</v>
      </c>
      <c r="C43" s="9">
        <f si="0" t="shared"/>
        <v>8.7220947359849636E-3</v>
      </c>
      <c r="E43" s="371">
        <v>32</v>
      </c>
      <c r="F43" s="371" t="n">
        <v>20848.0</v>
      </c>
      <c r="G43" s="9">
        <f si="1" t="shared"/>
        <v>1.265414995134549E-2</v>
      </c>
    </row>
    <row r="44" spans="1:7" x14ac:dyDescent="0.25">
      <c r="A44">
        <v>33</v>
      </c>
      <c r="B44" s="6" t="n">
        <v>12991.9168243224</v>
      </c>
      <c r="C44" s="9">
        <f si="0" t="shared"/>
        <v>8.6164218981608087E-3</v>
      </c>
      <c r="E44" s="371">
        <v>33</v>
      </c>
      <c r="F44" s="371" t="n">
        <v>26751.0</v>
      </c>
      <c r="G44" s="9">
        <f si="1" t="shared"/>
        <v>1.7702552572060378E-2</v>
      </c>
    </row>
    <row r="45" spans="1:7" x14ac:dyDescent="0.25">
      <c r="A45">
        <v>34</v>
      </c>
      <c r="B45" s="6" t="n">
        <v>22472.5947109247</v>
      </c>
      <c r="C45" s="9">
        <f si="0" t="shared"/>
        <v>1.490414076644948E-2</v>
      </c>
      <c r="E45" s="371">
        <v>34</v>
      </c>
      <c r="F45" s="371" t="n">
        <v>21260.0</v>
      </c>
      <c r="G45" s="9">
        <f si="1" t="shared"/>
        <v>1.369816703743083E-2</v>
      </c>
    </row>
    <row r="46" spans="1:7" x14ac:dyDescent="0.25">
      <c r="A46">
        <v>35</v>
      </c>
      <c r="B46" s="6" t="n">
        <v>18985.763842466502</v>
      </c>
      <c r="C46" s="9">
        <f si="0" t="shared"/>
        <v>1.2591625511277868E-2</v>
      </c>
      <c r="E46" s="371">
        <v>35</v>
      </c>
      <c r="F46" s="371" t="n">
        <v>18127.0</v>
      </c>
      <c r="G46" s="9">
        <f si="1" t="shared"/>
        <v>1.2078117667022848E-2</v>
      </c>
    </row>
    <row r="47" spans="1:7" x14ac:dyDescent="0.25">
      <c r="A47">
        <v>36</v>
      </c>
      <c r="B47" s="6" t="n">
        <v>17617.0479011283</v>
      </c>
      <c r="C47" s="9">
        <f si="0" t="shared"/>
        <v>1.168387385547681E-2</v>
      </c>
      <c r="E47" s="371">
        <v>36</v>
      </c>
      <c r="F47" s="371" t="n">
        <v>10311.0</v>
      </c>
      <c r="G47" s="9">
        <f si="1" t="shared"/>
        <v>6.6545317633084008E-3</v>
      </c>
    </row>
    <row r="48" spans="1:7" x14ac:dyDescent="0.25">
      <c r="A48">
        <v>37</v>
      </c>
      <c r="B48" s="6" t="n">
        <v>14804.7219764652</v>
      </c>
      <c r="C48" s="9">
        <f si="0" t="shared"/>
        <v>9.8186997622539407E-3</v>
      </c>
      <c r="E48" s="371">
        <v>37</v>
      </c>
      <c r="F48" s="371" t="n">
        <v>11563.0</v>
      </c>
      <c r="G48" s="9">
        <f si="1" t="shared"/>
        <v>7.8423912034766095E-3</v>
      </c>
    </row>
    <row r="49" spans="1:7" x14ac:dyDescent="0.25">
      <c r="A49">
        <v>38</v>
      </c>
      <c r="B49" s="6" t="n">
        <v>17793.4470507888</v>
      </c>
      <c r="C49" s="9">
        <f si="0" t="shared"/>
        <v>1.1800864251621142E-2</v>
      </c>
      <c r="E49" s="371">
        <v>38</v>
      </c>
      <c r="F49" s="371" t="n">
        <v>9265.0</v>
      </c>
      <c r="G49" s="9">
        <f si="1" t="shared"/>
        <v>7.0966647134156529E-3</v>
      </c>
    </row>
    <row r="50" spans="1:7" x14ac:dyDescent="0.25">
      <c r="A50">
        <v>39</v>
      </c>
      <c r="B50" s="6" t="n">
        <v>2901.6732048005</v>
      </c>
      <c r="C50" s="9">
        <f si="0" t="shared"/>
        <v>1.9244304655909369E-3</v>
      </c>
      <c r="E50" s="371">
        <v>39</v>
      </c>
      <c r="F50" s="371" t="n">
        <v>11265.0</v>
      </c>
      <c r="G50" s="9">
        <f si="1" t="shared"/>
        <v>6.9627653792002633E-3</v>
      </c>
    </row>
    <row r="51" spans="1:7" x14ac:dyDescent="0.25">
      <c r="A51">
        <v>40</v>
      </c>
      <c r="B51" s="6" t="n">
        <v>7156.9060818151</v>
      </c>
      <c r="C51" s="9">
        <f si="0" t="shared"/>
        <v>4.7465607362097758E-3</v>
      </c>
      <c r="E51" s="371">
        <v>40</v>
      </c>
      <c r="F51" s="371" t="n">
        <v>7070.0</v>
      </c>
      <c r="G51" s="9">
        <f si="1" t="shared"/>
        <v>5.4010483920148272E-3</v>
      </c>
    </row>
    <row r="52" spans="1:7" x14ac:dyDescent="0.25">
      <c r="A52">
        <v>41</v>
      </c>
      <c r="B52" s="6" t="n">
        <v>5068.742351748</v>
      </c>
      <c r="C52" s="9">
        <f si="0" t="shared"/>
        <v>3.3616611918245135E-3</v>
      </c>
      <c r="E52" s="371">
        <v>41</v>
      </c>
      <c r="F52" s="371" t="n">
        <v>8884.0</v>
      </c>
      <c r="G52" s="9">
        <f si="1" t="shared"/>
        <v>5.1478328193896843E-3</v>
      </c>
    </row>
    <row r="53" spans="1:7" x14ac:dyDescent="0.25">
      <c r="A53">
        <v>42</v>
      </c>
      <c r="B53" s="6" t="n">
        <v>7715.7446743122</v>
      </c>
      <c r="C53" s="9">
        <f si="0" t="shared"/>
        <v>5.1171903477629207E-3</v>
      </c>
      <c r="E53" s="371">
        <v>42</v>
      </c>
      <c r="F53" s="371" t="n">
        <v>6502.0</v>
      </c>
      <c r="G53" s="9">
        <f si="1" t="shared"/>
        <v>4.081278221604724E-3</v>
      </c>
    </row>
    <row r="54" spans="1:7" x14ac:dyDescent="0.25">
      <c r="A54">
        <v>43</v>
      </c>
      <c r="B54" s="6" t="n">
        <v>3070.8367582152</v>
      </c>
      <c r="C54" s="9">
        <f si="0" t="shared"/>
        <v>2.0366221125759565E-3</v>
      </c>
      <c r="E54" s="371">
        <v>43</v>
      </c>
      <c r="F54" s="371" t="n">
        <v>5961.0</v>
      </c>
      <c r="G54" s="9">
        <f si="1" t="shared"/>
        <v>4.0441576140994671E-3</v>
      </c>
    </row>
    <row r="55" spans="1:7" x14ac:dyDescent="0.25">
      <c r="A55">
        <v>44</v>
      </c>
      <c r="B55" s="6" t="n">
        <v>1925.8070210993</v>
      </c>
      <c r="C55" s="9">
        <f si="0" t="shared"/>
        <v>1.2772222923384741E-3</v>
      </c>
      <c r="E55" s="371">
        <v>44</v>
      </c>
      <c r="F55" s="371" t="n">
        <v>6841.0</v>
      </c>
      <c r="G55" s="9">
        <f si="1" t="shared"/>
        <v>3.6046761359568766E-3</v>
      </c>
    </row>
    <row r="56" spans="1:7" x14ac:dyDescent="0.25">
      <c r="A56">
        <v>45</v>
      </c>
      <c r="B56" s="6" t="n">
        <v>53360.2548723671</v>
      </c>
      <c r="C56" s="9">
        <f si="0" t="shared"/>
        <v>3.5389271251564193E-2</v>
      </c>
      <c r="E56" s="371">
        <v>45</v>
      </c>
      <c r="F56" s="371" t="n">
        <v>6336.0</v>
      </c>
      <c r="G56" s="9">
        <f si="1" t="shared"/>
        <v>3.9752193430182764E-3</v>
      </c>
    </row>
    <row r="57" spans="1:7" x14ac:dyDescent="0.25">
      <c r="A57">
        <v>46</v>
      </c>
      <c r="B57" s="6" t="n">
        <v>5449.3846316335</v>
      </c>
      <c r="C57" s="9">
        <f si="0" t="shared"/>
        <v>3.6141085034968874E-3</v>
      </c>
      <c r="E57" s="371">
        <v>46</v>
      </c>
      <c r="F57" s="371" t="n">
        <v>4691.0</v>
      </c>
      <c r="G57" s="9">
        <f si="1" t="shared"/>
        <v>2.9225849730477875E-3</v>
      </c>
    </row>
    <row r="58" spans="1:7" x14ac:dyDescent="0.25">
      <c r="A58">
        <v>47</v>
      </c>
      <c r="B58" s="6" t="n">
        <v>3566.1439618548998</v>
      </c>
      <c r="C58" s="9">
        <f si="0" t="shared"/>
        <v>2.3651168138172796E-3</v>
      </c>
      <c r="E58" s="371">
        <v>47</v>
      </c>
      <c r="F58" s="371" t="n">
        <v>5505.0</v>
      </c>
      <c r="G58" s="9">
        <f si="1" t="shared"/>
        <v>3.8863950322021272E-3</v>
      </c>
    </row>
    <row r="59" spans="1:7" x14ac:dyDescent="0.25">
      <c r="A59">
        <v>48</v>
      </c>
      <c r="B59" s="6" t="n">
        <v>11063.2307212976</v>
      </c>
      <c r="C59" s="9">
        <f si="0" t="shared"/>
        <v>7.3372901582107984E-3</v>
      </c>
      <c r="E59" s="371">
        <v>48</v>
      </c>
      <c r="F59" s="371" t="n">
        <v>4522.0</v>
      </c>
      <c r="G59" s="9">
        <f si="1" t="shared"/>
        <v>3.6013617960010498E-3</v>
      </c>
    </row>
    <row r="60" spans="1:7" x14ac:dyDescent="0.25">
      <c r="A60">
        <v>49</v>
      </c>
      <c r="B60" s="6" t="n">
        <v>5976.4873887575</v>
      </c>
      <c r="C60" s="9">
        <f si="0" t="shared"/>
        <v>3.9636904628395997E-3</v>
      </c>
      <c r="E60" s="371">
        <v>49</v>
      </c>
      <c r="F60" s="371" t="n">
        <v>4816.0</v>
      </c>
      <c r="G60" s="9">
        <f si="1" t="shared"/>
        <v>2.6024197333149499E-3</v>
      </c>
    </row>
    <row r="61" spans="1:7" x14ac:dyDescent="0.25">
      <c r="A61">
        <v>50</v>
      </c>
      <c r="B61" s="6" t="n">
        <v>745.499793006</v>
      </c>
      <c r="C61" s="9">
        <f si="0" t="shared"/>
        <v>4.9442594409976695E-4</v>
      </c>
      <c r="E61" s="371">
        <v>50</v>
      </c>
      <c r="F61" s="371" t="n">
        <v>4000.0</v>
      </c>
      <c r="G61" s="9">
        <f si="1" t="shared"/>
        <v>2.6706951364049753E-3</v>
      </c>
    </row>
    <row r="62" spans="1:7" x14ac:dyDescent="0.25">
      <c r="A62">
        <v>51</v>
      </c>
      <c r="B62" s="6" t="n">
        <v>10025.3434292949</v>
      </c>
      <c r="C62" s="9">
        <f si="0" t="shared"/>
        <v>6.6489487139450255E-3</v>
      </c>
      <c r="E62" s="371">
        <v>51</v>
      </c>
      <c r="F62" s="371" t="n">
        <v>4746.0</v>
      </c>
      <c r="G62" s="9">
        <f si="1" t="shared"/>
        <v>3.4495650260241975E-3</v>
      </c>
    </row>
    <row r="63" spans="1:7" x14ac:dyDescent="0.25">
      <c r="A63">
        <v>52</v>
      </c>
      <c r="B63" s="6" t="n">
        <v>4764.1211031618</v>
      </c>
      <c r="C63" s="9">
        <f si="0" t="shared"/>
        <v>3.1596320969299566E-3</v>
      </c>
      <c r="E63" s="371">
        <v>52</v>
      </c>
      <c r="F63" s="371" t="n">
        <v>3248.0</v>
      </c>
      <c r="G63" s="9">
        <f si="1" t="shared"/>
        <v>2.0615194525240689E-3</v>
      </c>
    </row>
    <row r="64" spans="1:7" x14ac:dyDescent="0.25">
      <c r="A64">
        <v>53</v>
      </c>
      <c r="B64" s="6" t="n">
        <v>914.0365333039</v>
      </c>
      <c r="C64" s="9">
        <f si="0" t="shared"/>
        <v>6.0620187981302582E-4</v>
      </c>
      <c r="E64" s="371">
        <v>53</v>
      </c>
      <c r="F64" s="371" t="n">
        <v>2897.0</v>
      </c>
      <c r="G64" s="9">
        <f si="1" t="shared"/>
        <v>2.2583912459001616E-3</v>
      </c>
    </row>
    <row r="65" spans="1:7" x14ac:dyDescent="0.25">
      <c r="A65">
        <v>54</v>
      </c>
      <c r="B65" s="6" t="n">
        <v>22273.999713394798</v>
      </c>
      <c r="C65" s="9">
        <f si="0" t="shared"/>
        <v>1.4772429771934929E-2</v>
      </c>
      <c r="E65" s="371">
        <v>54</v>
      </c>
      <c r="F65" s="371" t="n">
        <v>2696.0</v>
      </c>
      <c r="G65" s="9">
        <f si="1" t="shared"/>
        <v>1.8454244874041824E-3</v>
      </c>
    </row>
    <row r="66" spans="1:7" x14ac:dyDescent="0.25">
      <c r="A66">
        <v>55</v>
      </c>
      <c r="B66" s="6" t="n">
        <v>334.505088392</v>
      </c>
      <c r="C66" s="9">
        <f si="0" t="shared"/>
        <v>2.2184847760656521E-4</v>
      </c>
      <c r="E66" s="371">
        <v>55</v>
      </c>
      <c r="F66" s="371" t="n">
        <v>2535.0</v>
      </c>
      <c r="G66" s="9">
        <f si="1" t="shared"/>
        <v>1.7115251531887928E-3</v>
      </c>
    </row>
    <row r="67" spans="1:7" x14ac:dyDescent="0.25">
      <c r="A67">
        <v>56</v>
      </c>
      <c r="B67" s="6" t="n">
        <v>7948.3993700613</v>
      </c>
      <c r="C67" s="9">
        <f si="0" t="shared"/>
        <v>5.271490212999861E-3</v>
      </c>
      <c r="E67" s="371">
        <v>56</v>
      </c>
      <c r="F67" s="371" t="n">
        <v>2472.0</v>
      </c>
      <c r="G67" s="9">
        <f si="1" t="shared"/>
        <v>1.5763000829910724E-3</v>
      </c>
    </row>
    <row r="68" spans="1:7" x14ac:dyDescent="0.25">
      <c r="A68">
        <v>57</v>
      </c>
      <c r="B68" s="6" t="n">
        <v>2037.2240373599998</v>
      </c>
      <c r="C68" s="9">
        <f si="0" t="shared"/>
        <v>1.3511156239936744E-3</v>
      </c>
      <c r="E68" s="371">
        <v>57</v>
      </c>
      <c r="F68" s="371" t="n">
        <v>2659.0</v>
      </c>
      <c r="G68" s="9">
        <f si="1" t="shared"/>
        <v>1.7287597209590905E-3</v>
      </c>
    </row>
    <row r="69" spans="1:7" x14ac:dyDescent="0.25">
      <c r="A69">
        <v>58</v>
      </c>
      <c r="B69" s="6" t="n">
        <v>2697.693861572</v>
      </c>
      <c r="C69" s="9">
        <f si="0" t="shared"/>
        <v>1.7891484973076943E-3</v>
      </c>
      <c r="E69" s="371">
        <v>58</v>
      </c>
      <c r="F69" s="371" t="n">
        <v>2213.0</v>
      </c>
      <c r="G69" s="9">
        <f si="1" t="shared"/>
        <v>1.5338765315564937E-3</v>
      </c>
    </row>
    <row r="70" spans="1:7" x14ac:dyDescent="0.25">
      <c r="A70">
        <v>59</v>
      </c>
      <c r="B70" s="6" t="n">
        <v>19937.5237891116</v>
      </c>
      <c r="C70" s="9">
        <f si="0" t="shared"/>
        <v>1.3222846089192313E-2</v>
      </c>
      <c r="E70" s="371">
        <v>59</v>
      </c>
      <c r="F70" s="371" t="n">
        <v>2176.0</v>
      </c>
      <c r="G70" s="9">
        <f si="1" t="shared"/>
        <v>1.5226077757066836E-3</v>
      </c>
    </row>
    <row r="71" spans="1:7" x14ac:dyDescent="0.25">
      <c r="A71">
        <v>60</v>
      </c>
      <c r="B71" s="6" t="n">
        <v>15085.353204798701</v>
      </c>
      <c r="C71" s="9">
        <f si="0" t="shared"/>
        <v>1.0004818338428451E-2</v>
      </c>
      <c r="E71" s="371">
        <v>60</v>
      </c>
      <c r="F71" s="371" t="n">
        <v>2200.0</v>
      </c>
      <c r="G71" s="9">
        <f si="1" t="shared"/>
        <v>1.5245963796801795E-3</v>
      </c>
    </row>
    <row r="72" spans="1:7" x14ac:dyDescent="0.25">
      <c r="A72">
        <v>61</v>
      </c>
      <c r="B72" s="6" t="n">
        <v>10052.4940107454</v>
      </c>
      <c r="C72" s="9">
        <f si="0" t="shared"/>
        <v>6.6669553612874657E-3</v>
      </c>
      <c r="E72" s="371">
        <v>61</v>
      </c>
      <c r="F72" s="371" t="n">
        <v>1759.0</v>
      </c>
      <c r="G72" s="9">
        <f si="1" t="shared"/>
        <v>1.1586932485569365E-3</v>
      </c>
    </row>
    <row r="73" spans="1:7" x14ac:dyDescent="0.25">
      <c r="A73">
        <v>62</v>
      </c>
      <c r="B73" s="6" t="n">
        <v>2169.815863151</v>
      </c>
      <c r="C73" s="9">
        <f si="0" t="shared"/>
        <v>1.4390523870372819E-3</v>
      </c>
      <c r="E73" s="371">
        <v>62</v>
      </c>
      <c r="F73" s="371" t="n">
        <v>1696.0</v>
      </c>
      <c r="G73" s="9">
        <f si="1" t="shared"/>
        <v>1.1341671328838204E-3</v>
      </c>
    </row>
    <row r="74" spans="1:7" x14ac:dyDescent="0.25">
      <c r="A74">
        <v>63</v>
      </c>
      <c r="B74" s="6" t="n">
        <v>210.149659191</v>
      </c>
      <c r="C74" s="9">
        <f si="0" t="shared"/>
        <v>1.3937420858132715E-4</v>
      </c>
      <c r="E74" s="371">
        <v>63</v>
      </c>
      <c r="F74" s="371" t="n">
        <v>1748.0</v>
      </c>
      <c r="G74" s="9">
        <f si="1" t="shared"/>
        <v>1.1712877403890769E-3</v>
      </c>
    </row>
    <row r="75" spans="1:7" x14ac:dyDescent="0.25">
      <c r="A75">
        <v>64</v>
      </c>
      <c r="B75" s="6" t="n">
        <v>617.666578062</v>
      </c>
      <c r="C75" s="9">
        <f si="0" t="shared"/>
        <v>4.0964515867373137E-4</v>
      </c>
      <c r="E75" s="371">
        <v>64</v>
      </c>
      <c r="F75" s="371" t="n">
        <v>1652.0</v>
      </c>
      <c r="G75" s="9">
        <f si="1" t="shared"/>
        <v>1.0844520335464233E-3</v>
      </c>
    </row>
    <row r="76" spans="1:7" x14ac:dyDescent="0.25">
      <c r="A76">
        <v>65</v>
      </c>
      <c r="B76" s="6" t="n">
        <v>927.898341994</v>
      </c>
      <c r="C76" s="9">
        <f si="0" t="shared"/>
        <v>6.1539522622684284E-4</v>
      </c>
      <c r="E76" s="371">
        <v>65</v>
      </c>
      <c r="F76" s="371" t="n">
        <v>1512.0</v>
      </c>
      <c r="G76" s="9">
        <f si="1" t="shared"/>
        <v>9.8966191080978607E-4</v>
      </c>
    </row>
    <row r="77" spans="1:7" x14ac:dyDescent="0.25">
      <c r="A77">
        <v>66</v>
      </c>
      <c r="B77" s="6" t="n">
        <v>444.626399536</v>
      </c>
      <c r="C77" s="9">
        <f ref="C77:C102" si="2" t="shared">B77/B$102</f>
        <v>2.9488247941136277E-4</v>
      </c>
      <c r="E77" s="371">
        <v>66</v>
      </c>
      <c r="F77" s="371" t="n">
        <v>1547.0</v>
      </c>
      <c r="G77" s="9">
        <f ref="G77:G102" si="3" t="shared">F77/F$102</f>
        <v>9.1475782780810764E-4</v>
      </c>
    </row>
    <row r="78" spans="1:7" x14ac:dyDescent="0.25">
      <c r="A78">
        <v>67</v>
      </c>
      <c r="B78" s="6" t="n">
        <v>367.4228846463</v>
      </c>
      <c r="C78" s="9">
        <f si="2" t="shared"/>
        <v>2.4368002289122646E-4</v>
      </c>
      <c r="E78" s="371">
        <v>67</v>
      </c>
      <c r="F78" s="371" t="n">
        <v>1439.0</v>
      </c>
      <c r="G78" s="9">
        <f si="3" t="shared"/>
        <v>9.2735231964024829E-4</v>
      </c>
    </row>
    <row r="79" spans="1:7" x14ac:dyDescent="0.25">
      <c r="A79">
        <v>68</v>
      </c>
      <c r="B79" s="6" t="n">
        <v>216.451709176</v>
      </c>
      <c r="C79" s="9">
        <f si="2" t="shared"/>
        <v>1.4355381673525249E-4</v>
      </c>
      <c r="E79" s="371">
        <v>68</v>
      </c>
      <c r="F79" s="371" t="n">
        <v>1381.0</v>
      </c>
      <c r="G79" s="9">
        <f si="3" t="shared"/>
        <v>9.2867805562257886E-4</v>
      </c>
    </row>
    <row r="80" spans="1:7" x14ac:dyDescent="0.25">
      <c r="A80">
        <v>69</v>
      </c>
      <c r="B80" s="6" t="n">
        <v>6926.1072900615</v>
      </c>
      <c r="C80" s="9">
        <f si="2" t="shared"/>
        <v>4.5934917325957921E-3</v>
      </c>
      <c r="E80" s="371">
        <v>69</v>
      </c>
      <c r="F80" s="371" t="n">
        <v>1332.0</v>
      </c>
      <c r="G80" s="9">
        <f si="3" t="shared"/>
        <v>8.1068755319515628E-4</v>
      </c>
    </row>
    <row r="81" spans="1:7" x14ac:dyDescent="0.25">
      <c r="A81">
        <v>70</v>
      </c>
      <c r="B81" s="6" t="n">
        <v>4848.627983235</v>
      </c>
      <c r="C81" s="9">
        <f si="2" t="shared"/>
        <v>3.2156782479216862E-3</v>
      </c>
      <c r="E81" s="371">
        <v>70</v>
      </c>
      <c r="F81" s="371" t="n">
        <v>1142.0</v>
      </c>
      <c r="G81" s="9">
        <f si="3" t="shared"/>
        <v>7.9477872140718919E-4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1325.0</v>
      </c>
      <c r="G82" s="9">
        <f si="3" t="shared"/>
        <v>8.4913389668274343E-4</v>
      </c>
    </row>
    <row r="83" spans="1:7" x14ac:dyDescent="0.25">
      <c r="A83">
        <v>72</v>
      </c>
      <c r="B83" s="6" t="n">
        <v>22270.6571615892</v>
      </c>
      <c r="C83" s="9">
        <f si="2" t="shared"/>
        <v>1.4770212944582741E-2</v>
      </c>
      <c r="E83" s="371">
        <v>72</v>
      </c>
      <c r="F83" s="371" t="n">
        <v>1234.0</v>
      </c>
      <c r="G83" s="9">
        <f si="3" t="shared"/>
        <v>7.9212724944252805E-4</v>
      </c>
    </row>
    <row r="84" spans="1:7" x14ac:dyDescent="0.25">
      <c r="A84">
        <v>73</v>
      </c>
      <c r="B84" s="6" t="n">
        <v>670.276657256</v>
      </c>
      <c r="C84" s="9">
        <f si="2" t="shared"/>
        <v>4.4453690286828354E-4</v>
      </c>
      <c r="E84" s="371">
        <v>73</v>
      </c>
      <c r="F84" s="371" t="n">
        <v>1042.0</v>
      </c>
      <c r="G84" s="9">
        <f si="3" t="shared"/>
        <v>6.9866286268822138E-4</v>
      </c>
    </row>
    <row r="85" spans="1:7" x14ac:dyDescent="0.25">
      <c r="A85">
        <v>74</v>
      </c>
      <c r="B85" s="6" t="n">
        <v>6789.006051028</v>
      </c>
      <c r="C85" s="9">
        <f si="2" t="shared"/>
        <v>4.5025642632895192E-3</v>
      </c>
      <c r="E85" s="371">
        <v>74</v>
      </c>
      <c r="F85" s="371" t="n">
        <v>980.0</v>
      </c>
      <c r="G85" s="9">
        <f si="3" t="shared"/>
        <v>6.6817093509461778E-4</v>
      </c>
    </row>
    <row r="86" spans="1:7" x14ac:dyDescent="0.25">
      <c r="A86">
        <v>75</v>
      </c>
      <c r="B86" s="6" t="n">
        <v>7010.7300745953</v>
      </c>
      <c r="C86" s="9">
        <f si="2" t="shared"/>
        <v>4.6496147530553549E-3</v>
      </c>
      <c r="E86" s="371">
        <v>75</v>
      </c>
      <c r="F86" s="371" t="n">
        <v>995.0</v>
      </c>
      <c r="G86" s="9">
        <f si="3" t="shared"/>
        <v>7.2981765827299027E-4</v>
      </c>
    </row>
    <row r="87" spans="1:7" x14ac:dyDescent="0.25">
      <c r="A87">
        <v>76</v>
      </c>
      <c r="B87" s="6" t="n">
        <v>9914.513539693</v>
      </c>
      <c r="C87" s="9">
        <f si="2" t="shared"/>
        <v>6.5754447729446672E-3</v>
      </c>
      <c r="E87" s="371">
        <v>76</v>
      </c>
      <c r="F87" s="371" t="n">
        <v>888.0</v>
      </c>
      <c r="G87" s="9">
        <f si="3" t="shared"/>
        <v>6.211073077218818E-4</v>
      </c>
    </row>
    <row r="88" spans="1:7" x14ac:dyDescent="0.25">
      <c r="A88">
        <v>77</v>
      </c>
      <c r="B88" s="6" t="n">
        <v>1693.494666494</v>
      </c>
      <c r="C88" s="9">
        <f si="2" t="shared"/>
        <v>1.1231494725612581E-3</v>
      </c>
      <c r="E88" s="371">
        <v>77</v>
      </c>
      <c r="F88" s="371" t="n">
        <v>836.0</v>
      </c>
      <c r="G88" s="9">
        <f si="3" t="shared"/>
        <v>5.5614624458768288E-4</v>
      </c>
    </row>
    <row r="89" spans="1:7" x14ac:dyDescent="0.25">
      <c r="A89">
        <v>78</v>
      </c>
      <c r="B89" s="6" t="n">
        <v>3658.336044595</v>
      </c>
      <c r="C89" s="9">
        <f si="2" t="shared"/>
        <v>2.4262598992680507E-3</v>
      </c>
      <c r="E89" s="371">
        <v>78</v>
      </c>
      <c r="F89" s="371" t="n">
        <v>839.0</v>
      </c>
      <c r="G89" s="9">
        <f si="3" t="shared"/>
        <v>5.6144918851700517E-4</v>
      </c>
    </row>
    <row r="90" spans="1:7" x14ac:dyDescent="0.25">
      <c r="A90">
        <v>79</v>
      </c>
      <c r="B90" s="6" t="n">
        <v>815.65893134</v>
      </c>
      <c r="C90" s="9">
        <f si="2" t="shared"/>
        <v>5.4095647104752552E-4</v>
      </c>
      <c r="E90" s="371">
        <v>79</v>
      </c>
      <c r="F90" s="371" t="n">
        <v>807.0</v>
      </c>
      <c r="G90" s="9">
        <f si="3" t="shared"/>
        <v>5.143855611442692E-4</v>
      </c>
    </row>
    <row r="91" spans="1:7" x14ac:dyDescent="0.25">
      <c r="A91">
        <v>80</v>
      </c>
      <c r="B91" s="6" t="n">
        <v>17566.8535541287</v>
      </c>
      <c r="C91" s="9">
        <f si="2" t="shared"/>
        <v>1.1650584258837648E-2</v>
      </c>
      <c r="E91" s="371">
        <v>80</v>
      </c>
      <c r="F91" s="371" t="n">
        <v>770.0</v>
      </c>
      <c r="G91" s="9">
        <f si="3" t="shared"/>
        <v>5.7205507637564997E-4</v>
      </c>
    </row>
    <row r="92" spans="1:7" x14ac:dyDescent="0.25">
      <c r="A92">
        <v>81</v>
      </c>
      <c r="B92" s="6" t="n">
        <v>1969.6146971590001</v>
      </c>
      <c r="C92" s="9">
        <f si="2" t="shared"/>
        <v>1.3062761590166901E-3</v>
      </c>
      <c r="E92" s="371">
        <v>81</v>
      </c>
      <c r="F92" s="371" t="n">
        <v>723.0</v>
      </c>
      <c r="G92" s="9">
        <f si="3" t="shared"/>
        <v>4.5870464988638444E-4</v>
      </c>
    </row>
    <row r="93" spans="1:7" x14ac:dyDescent="0.25">
      <c r="A93">
        <v>82</v>
      </c>
      <c r="B93" s="6" t="n">
        <v>12908.5163988375</v>
      </c>
      <c r="C93" s="9">
        <f si="2" t="shared"/>
        <v>8.5611095634082739E-3</v>
      </c>
      <c r="E93" s="371">
        <v>82</v>
      </c>
      <c r="F93" s="371" t="n">
        <v>680.0</v>
      </c>
      <c r="G93" s="9">
        <f si="3" t="shared"/>
        <v>4.1893257041646673E-4</v>
      </c>
    </row>
    <row r="94" spans="1:7" x14ac:dyDescent="0.25">
      <c r="A94">
        <v>83</v>
      </c>
      <c r="B94" s="6" t="n">
        <v>1983.3277993009</v>
      </c>
      <c r="C94" s="9">
        <f si="2" t="shared"/>
        <v>1.3153708811569965E-3</v>
      </c>
      <c r="E94" s="371">
        <v>83</v>
      </c>
      <c r="F94" s="371" t="n">
        <v>686.0</v>
      </c>
      <c r="G94" s="9">
        <f si="3" t="shared"/>
        <v>4.5936751787754973E-4</v>
      </c>
    </row>
    <row r="95" spans="1:7" x14ac:dyDescent="0.25">
      <c r="A95">
        <v>84</v>
      </c>
      <c r="B95" s="6" t="n">
        <v>5913.244308391099</v>
      </c>
      <c r="C95" s="9">
        <f si="2" t="shared"/>
        <v>3.9217467627724913E-3</v>
      </c>
      <c r="E95" s="371">
        <v>84</v>
      </c>
      <c r="F95" s="371" t="n">
        <v>624.0</v>
      </c>
      <c r="G95" s="9">
        <f si="3" t="shared"/>
        <v>4.3616713818676439E-4</v>
      </c>
    </row>
    <row r="96" spans="1:7" x14ac:dyDescent="0.25">
      <c r="A96">
        <v>85</v>
      </c>
      <c r="B96" s="6" t="n">
        <v>1408.8821269998</v>
      </c>
      <c r="C96" s="9">
        <f si="2" t="shared"/>
        <v>9.3439043484960099E-4</v>
      </c>
      <c r="E96" s="371">
        <v>85</v>
      </c>
      <c r="F96" s="371" t="n">
        <v>688.0</v>
      </c>
      <c r="G96" s="9">
        <f si="3" t="shared"/>
        <v>4.2489838233695436E-4</v>
      </c>
    </row>
    <row r="97" spans="1:7" x14ac:dyDescent="0.25">
      <c r="A97">
        <v>86</v>
      </c>
      <c r="B97" s="6" t="n">
        <v>1571.3901850464</v>
      </c>
      <c r="C97" s="9">
        <f si="2" t="shared"/>
        <v>1.0421680637333467E-3</v>
      </c>
      <c r="E97" s="371">
        <v>86</v>
      </c>
      <c r="F97" s="371" t="n">
        <v>594.0</v>
      </c>
      <c r="G97" s="9">
        <f si="3" t="shared"/>
        <v>3.5596011125576366E-4</v>
      </c>
    </row>
    <row r="98" spans="1:7" x14ac:dyDescent="0.25">
      <c r="A98">
        <v>87</v>
      </c>
      <c r="B98" s="6" t="n">
        <v>4902.178756339</v>
      </c>
      <c r="C98" s="9">
        <f si="2" t="shared"/>
        <v>3.2511938735430663E-3</v>
      </c>
      <c r="E98" s="371">
        <v>87</v>
      </c>
      <c r="F98" s="371" t="n">
        <v>573.0</v>
      </c>
      <c r="G98" s="9">
        <f si="3" t="shared"/>
        <v>3.7054320706140012E-4</v>
      </c>
    </row>
    <row r="99" spans="1:7" x14ac:dyDescent="0.25">
      <c r="A99">
        <v>88</v>
      </c>
      <c r="B99" s="6" t="n">
        <v>5592.4941541029</v>
      </c>
      <c r="C99" s="9">
        <f si="2" t="shared"/>
        <v>3.7090207508515029E-3</v>
      </c>
      <c r="E99" s="371">
        <v>88</v>
      </c>
      <c r="F99" s="371" t="n">
        <v>578.0</v>
      </c>
      <c r="G99" s="9">
        <f si="3" t="shared"/>
        <v>3.8578917085820192E-4</v>
      </c>
    </row>
    <row r="100" spans="1:7" x14ac:dyDescent="0.25">
      <c r="A100">
        <v>89</v>
      </c>
      <c r="B100" s="6" t="n">
        <v>5038.3174449458</v>
      </c>
      <c r="C100" s="9">
        <f si="2" t="shared"/>
        <v>3.3414829658733438E-3</v>
      </c>
      <c r="E100" s="371">
        <v>89</v>
      </c>
      <c r="F100" s="371" t="n">
        <v>549.0</v>
      </c>
      <c r="G100" s="9">
        <f si="3" t="shared"/>
        <v>3.3408546754730889E-4</v>
      </c>
    </row>
    <row ht="15.75" r="101" spans="1:7" thickBot="1" x14ac:dyDescent="0.3">
      <c r="A101" s="1">
        <v>90</v>
      </c>
      <c r="B101" s="7" t="n">
        <v>137617.7449976564</v>
      </c>
      <c r="C101" s="9">
        <f si="2" t="shared"/>
        <v>9.1270023323533817E-2</v>
      </c>
      <c r="E101" s="372">
        <v>90</v>
      </c>
      <c r="F101" s="372" t="n">
        <v>43251.0</v>
      </c>
      <c r="G101" s="9">
        <f si="3" t="shared"/>
        <v>2.8583530647038703E-2</v>
      </c>
    </row>
    <row r="102" spans="1:7" x14ac:dyDescent="0.25">
      <c r="B102" s="6">
        <f>SUM(B11:B101)</f>
        <v>1507808.8071680367</v>
      </c>
      <c r="C102" s="9">
        <f si="2" t="shared"/>
        <v>1</v>
      </c>
      <c r="F102" s="6">
        <f>SUM(F11:F101)</f>
        <v>1508596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baseType="lpstr" size="36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2019-10-07T21:08:30Z</dcterms:modified>
</cp:coreProperties>
</file>