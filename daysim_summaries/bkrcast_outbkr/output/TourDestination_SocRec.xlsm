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outbkr\output\"/>
    </mc:Choice>
  </mc:AlternateContent>
  <bookViews>
    <workbookView activeTab="6" firstSheet="4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B36"/>
  <c i="6" r="B46" s="1"/>
  <c i="6" r="B35"/>
  <c i="6" r="B45" s="1"/>
  <c i="6" r="B34"/>
  <c i="6" r="B44" s="1"/>
  <c i="6" r="B33"/>
  <c i="6" r="B43" s="1"/>
  <c i="6" l="1" r="O104"/>
  <c i="6" r="P104"/>
  <c i="6" r="N104"/>
  <c i="6" r="M104" s="1"/>
  <c i="6" l="1" r="Q104"/>
  <c i="6" l="1" r="N4"/>
  <c i="6" r="M4" s="1"/>
  <c i="6" r="O4"/>
  <c i="6" r="N5"/>
  <c i="6" r="M5" s="1"/>
  <c i="6" r="O5"/>
  <c i="6" r="N6"/>
  <c i="6" r="M6" s="1"/>
  <c i="6" r="O6"/>
  <c i="6" r="N7"/>
  <c i="6" r="M7" s="1"/>
  <c i="6" r="O7"/>
  <c i="6" r="N8"/>
  <c i="6" r="M8" s="1"/>
  <c i="6" r="O8"/>
  <c i="6" r="N9"/>
  <c i="6" r="M9" s="1"/>
  <c i="6" r="O9"/>
  <c i="6" r="N10"/>
  <c i="6" r="M10" s="1"/>
  <c i="6" r="O10"/>
  <c i="6" r="N11"/>
  <c i="6" r="M11" s="1"/>
  <c i="6" r="O11"/>
  <c i="6" r="N12"/>
  <c i="6" r="M12" s="1"/>
  <c i="6" r="O12"/>
  <c i="6" r="N13"/>
  <c i="6" r="M13" s="1"/>
  <c i="6" r="O13"/>
  <c i="6" r="N14"/>
  <c i="6" r="M14" s="1"/>
  <c i="6" r="O14"/>
  <c i="6" r="N15"/>
  <c i="6" r="M15" s="1"/>
  <c i="6" r="O15"/>
  <c i="6" r="N16"/>
  <c i="6" r="M16" s="1"/>
  <c i="6" r="O16"/>
  <c i="6" r="N17"/>
  <c i="6" r="M17" s="1"/>
  <c i="6" r="O17"/>
  <c i="6" r="N18"/>
  <c i="6" r="M18" s="1"/>
  <c i="6" r="O18"/>
  <c i="6" r="N19"/>
  <c i="6" r="M19" s="1"/>
  <c i="6" r="O19"/>
  <c i="6" r="N20"/>
  <c i="6" r="M20" s="1"/>
  <c i="6" r="O20"/>
  <c i="6" r="N21"/>
  <c i="6" r="M21" s="1"/>
  <c i="6" r="O21"/>
  <c i="6" r="N22"/>
  <c i="6" r="M22" s="1"/>
  <c i="6" r="O22"/>
  <c i="6" r="N23"/>
  <c i="6" r="M23" s="1"/>
  <c i="6" r="O23"/>
  <c i="6" r="N24"/>
  <c i="6" r="M24" s="1"/>
  <c i="6" r="O24"/>
  <c i="6" r="N25"/>
  <c i="6" r="M25" s="1"/>
  <c i="6" r="O25"/>
  <c i="6" r="N26"/>
  <c i="6" r="M26" s="1"/>
  <c i="6" r="O26"/>
  <c i="6" r="N27"/>
  <c i="6" r="M27" s="1"/>
  <c i="6" r="O27"/>
  <c i="6" r="N28"/>
  <c i="6" r="M28" s="1"/>
  <c i="6" r="O28"/>
  <c i="6" r="N29"/>
  <c i="6" r="M29" s="1"/>
  <c i="6" r="O29"/>
  <c i="6" r="N30"/>
  <c i="6" r="M30" s="1"/>
  <c i="6" r="O30"/>
  <c i="6" r="N31"/>
  <c i="6" r="M31" s="1"/>
  <c i="6" r="O31"/>
  <c i="6" r="N32"/>
  <c i="6" r="M32" s="1"/>
  <c i="6" r="O32"/>
  <c i="6" r="N33"/>
  <c i="6" r="M33" s="1"/>
  <c i="6" r="O33"/>
  <c i="6" r="N34"/>
  <c i="6" r="M34" s="1"/>
  <c i="6" r="O34"/>
  <c i="6" r="N35"/>
  <c i="6" r="M35" s="1"/>
  <c i="6" r="O35"/>
  <c i="6" r="N36"/>
  <c i="6" r="O36"/>
  <c i="6" r="N37"/>
  <c i="6" r="M37" s="1"/>
  <c i="6" r="O37"/>
  <c i="6" r="N38"/>
  <c i="6" r="M38" s="1"/>
  <c i="6" r="O38"/>
  <c i="6" r="N39"/>
  <c i="6" r="M39" s="1"/>
  <c i="6" r="O39"/>
  <c i="6" r="N40"/>
  <c i="6" r="M40" s="1"/>
  <c i="6" r="O40"/>
  <c i="6" r="N41"/>
  <c i="6" r="M41" s="1"/>
  <c i="6" r="O41"/>
  <c i="6" r="N42"/>
  <c i="6" r="M42" s="1"/>
  <c i="6" r="O42"/>
  <c i="6" r="N43"/>
  <c i="6" r="M43" s="1"/>
  <c i="6" r="O43"/>
  <c i="6" r="N44"/>
  <c i="6" r="M44" s="1"/>
  <c i="6" r="O44"/>
  <c i="6" r="N45"/>
  <c i="6" r="M45" s="1"/>
  <c i="6" r="O45"/>
  <c i="6" r="N46"/>
  <c i="6" r="M46" s="1"/>
  <c i="6" r="O46"/>
  <c i="6" r="N47"/>
  <c i="6" r="M47" s="1"/>
  <c i="6" r="O47"/>
  <c i="6" r="N48"/>
  <c i="6" r="M48" s="1"/>
  <c i="6" r="O48"/>
  <c i="6" r="N49"/>
  <c i="6" r="M49" s="1"/>
  <c i="6" r="O49"/>
  <c i="6" r="N50"/>
  <c i="6" r="M50" s="1"/>
  <c i="6" r="O50"/>
  <c i="6" r="N51"/>
  <c i="6" r="M51" s="1"/>
  <c i="6" r="O51"/>
  <c i="6" r="N52"/>
  <c i="6" r="O52"/>
  <c i="6" r="N53"/>
  <c i="6" r="O53"/>
  <c i="6" r="N54"/>
  <c i="6" r="O54"/>
  <c i="6" r="N55"/>
  <c i="6" r="O55"/>
  <c i="6" r="N56"/>
  <c i="6" r="M56" s="1"/>
  <c i="6" r="O56"/>
  <c i="6" r="N57"/>
  <c i="6" r="M57" s="1"/>
  <c i="6" r="O57"/>
  <c i="6" r="N58"/>
  <c i="6" r="M58" s="1"/>
  <c i="6" r="O58"/>
  <c i="6" r="N59"/>
  <c i="6" r="M59" s="1"/>
  <c i="6" r="O59"/>
  <c i="6" r="N60"/>
  <c i="6" r="O60"/>
  <c i="6" r="N61"/>
  <c i="6" r="M61" s="1"/>
  <c i="6" r="O61"/>
  <c i="6" r="N62"/>
  <c i="6" r="M62" s="1"/>
  <c i="6" r="O62"/>
  <c i="6" r="N63"/>
  <c i="6" r="M63" s="1"/>
  <c i="6" r="O63"/>
  <c i="6" r="N64"/>
  <c i="6" r="M64" s="1"/>
  <c i="6" r="O64"/>
  <c i="6" r="N65"/>
  <c i="6" r="M65" s="1"/>
  <c i="6" r="O65"/>
  <c i="6" r="N66"/>
  <c i="6" r="M66" s="1"/>
  <c i="6" r="O66"/>
  <c i="6" r="N67"/>
  <c i="6" r="M67" s="1"/>
  <c i="6" r="O67"/>
  <c i="6" r="N68"/>
  <c i="6" r="M68" s="1"/>
  <c i="6" r="O68"/>
  <c i="6" r="N69"/>
  <c i="6" r="M69" s="1"/>
  <c i="6" r="O69"/>
  <c i="6" r="N70"/>
  <c i="6" r="M70" s="1"/>
  <c i="6" r="O70"/>
  <c i="6" r="N71"/>
  <c i="6" r="M71" s="1"/>
  <c i="6" r="O71"/>
  <c i="6" r="N72"/>
  <c i="6" r="M72" s="1"/>
  <c i="6" r="O72"/>
  <c i="6" r="N73"/>
  <c i="6" r="M73" s="1"/>
  <c i="6" r="O73"/>
  <c i="6" r="N74"/>
  <c i="6" r="M74" s="1"/>
  <c i="6" r="O74"/>
  <c i="6" r="N75"/>
  <c i="6" r="M75" s="1"/>
  <c i="6" r="O75"/>
  <c i="6" r="N76"/>
  <c i="6" r="M76" s="1"/>
  <c i="6" r="O76"/>
  <c i="6" r="N77"/>
  <c i="6" r="M77" s="1"/>
  <c i="6" r="O77"/>
  <c i="6" r="N78"/>
  <c i="6" r="M78" s="1"/>
  <c i="6" r="O78"/>
  <c i="6" r="N79"/>
  <c i="6" r="M79" s="1"/>
  <c i="6" r="O79"/>
  <c i="6" r="N80"/>
  <c i="6" r="M80" s="1"/>
  <c i="6" r="O80"/>
  <c i="6" r="N81"/>
  <c i="6" r="O81"/>
  <c i="6" r="N82"/>
  <c i="6" r="M82" s="1"/>
  <c i="6" r="O82"/>
  <c i="6" r="N83"/>
  <c i="6" r="M83" s="1"/>
  <c i="6" r="O83"/>
  <c i="6" r="N84"/>
  <c i="6" r="M84" s="1"/>
  <c i="6" r="O84"/>
  <c i="6" r="N85"/>
  <c i="6" r="M85" s="1"/>
  <c i="6" r="O85"/>
  <c i="6" r="N86"/>
  <c i="6" r="M86" s="1"/>
  <c i="6" r="O86"/>
  <c i="6" r="N87"/>
  <c i="6" r="M87" s="1"/>
  <c i="6" r="O87"/>
  <c i="6" r="N88"/>
  <c i="6" r="M88" s="1"/>
  <c i="6" r="O88"/>
  <c i="6" r="N89"/>
  <c i="6" r="M89" s="1"/>
  <c i="6" r="O89"/>
  <c i="6" r="N90"/>
  <c i="6" r="M90" s="1"/>
  <c i="6" r="O90"/>
  <c i="6" r="N91"/>
  <c i="6" r="M91" s="1"/>
  <c i="6" r="O91"/>
  <c i="6" r="N92"/>
  <c i="6" r="M92" s="1"/>
  <c i="6" r="O92"/>
  <c i="6" r="N93"/>
  <c i="6" r="M93" s="1"/>
  <c i="6" r="O93"/>
  <c i="6" r="N94"/>
  <c i="6" r="M94" s="1"/>
  <c i="6" r="O94"/>
  <c i="6" r="N95"/>
  <c i="6" r="M95" s="1"/>
  <c i="6" r="O95"/>
  <c i="6" r="N96"/>
  <c i="6" r="M96" s="1"/>
  <c i="6" r="O96"/>
  <c i="6" r="N97"/>
  <c i="6" r="M97" s="1"/>
  <c i="6" r="O97"/>
  <c i="6" r="N98"/>
  <c i="6" r="M98" s="1"/>
  <c i="6" r="O98"/>
  <c i="6" r="N99"/>
  <c i="6" r="M99" s="1"/>
  <c i="6" r="O99"/>
  <c i="6" r="N100"/>
  <c i="6" r="M100" s="1"/>
  <c i="6" r="O100"/>
  <c i="6" r="N101"/>
  <c i="6" r="M101" s="1"/>
  <c i="6" r="O101"/>
  <c i="6" r="N102"/>
  <c i="6" r="M102" s="1"/>
  <c i="6" r="O102"/>
  <c i="6" r="N103"/>
  <c i="6" r="M103" s="1"/>
  <c i="6" r="O103"/>
  <c i="6" r="N3"/>
  <c i="6" r="M3" s="1"/>
  <c i="6" r="O3"/>
  <c i="6" l="1" r="M55"/>
  <c i="6" r="R55"/>
  <c i="6" r="M54"/>
  <c i="6" r="R54"/>
  <c i="6" r="M53"/>
  <c i="6" r="R53"/>
  <c i="6" r="M52"/>
  <c i="6" r="R52"/>
  <c i="6" r="M36"/>
  <c i="6" r="M60"/>
  <c i="6" r="M81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P4"/>
  <c i="6" r="Q4" s="1"/>
  <c i="6" r="P5"/>
  <c i="6" r="Q5" s="1"/>
  <c i="6" r="P6"/>
  <c i="6" r="Q6" s="1"/>
  <c i="6" r="P7"/>
  <c i="6" r="Q7" s="1"/>
  <c i="6" r="P8"/>
  <c i="6" r="Q8" s="1"/>
  <c i="6" r="P9"/>
  <c i="6" r="Q9" s="1"/>
  <c i="6" r="P10"/>
  <c i="6" r="Q10" s="1"/>
  <c i="6" r="P11"/>
  <c i="6" r="Q11" s="1"/>
  <c i="6" r="P12"/>
  <c i="6" r="Q12" s="1"/>
  <c i="6" r="P13"/>
  <c i="6" r="Q13" s="1"/>
  <c i="6" r="P14"/>
  <c i="6" r="Q14" s="1"/>
  <c i="6" r="P15"/>
  <c i="6" r="Q15" s="1"/>
  <c i="6" r="P16"/>
  <c i="6" r="Q16" s="1"/>
  <c i="6" r="P17"/>
  <c i="6" r="Q17" s="1"/>
  <c i="6" r="P18"/>
  <c i="6" r="Q18" s="1"/>
  <c i="6" r="P19"/>
  <c i="6" r="Q19" s="1"/>
  <c i="6" r="P20"/>
  <c i="6" r="Q20" s="1"/>
  <c i="6" r="P21"/>
  <c i="6" r="Q21" s="1"/>
  <c i="6" r="P22"/>
  <c i="6" r="Q22" s="1"/>
  <c i="6" r="P23"/>
  <c i="6" r="Q23" s="1"/>
  <c i="6" r="P24"/>
  <c i="6" r="Q24" s="1"/>
  <c i="6" r="P25"/>
  <c i="6" r="Q25" s="1"/>
  <c i="6" r="P26"/>
  <c i="6" r="Q26" s="1"/>
  <c i="6" r="P27"/>
  <c i="6" r="Q27" s="1"/>
  <c i="6" r="P28"/>
  <c i="6" r="Q28" s="1"/>
  <c i="6" r="P29"/>
  <c i="6" r="Q29" s="1"/>
  <c i="6" r="P30"/>
  <c i="6" r="Q30" s="1"/>
  <c i="6" r="P31"/>
  <c i="6" r="Q31" s="1"/>
  <c i="6" r="P32"/>
  <c i="6" r="Q32" s="1"/>
  <c i="6" r="P33"/>
  <c i="6" r="Q33" s="1"/>
  <c i="6" r="P34"/>
  <c i="6" r="Q34" s="1"/>
  <c i="6" r="P35"/>
  <c i="6" r="Q35" s="1"/>
  <c i="6" r="P36"/>
  <c i="6" r="Q36" s="1"/>
  <c i="6" r="P37"/>
  <c i="6" r="Q37" s="1"/>
  <c i="6" r="P38"/>
  <c i="6" r="Q38" s="1"/>
  <c i="6" r="P39"/>
  <c i="6" r="Q39" s="1"/>
  <c i="6" r="P40"/>
  <c i="6" r="Q40" s="1"/>
  <c i="6" r="P41"/>
  <c i="6" r="Q41" s="1"/>
  <c i="6" r="P42"/>
  <c i="6" r="Q42" s="1"/>
  <c i="6" r="P43"/>
  <c i="6" r="Q43" s="1"/>
  <c i="6" r="P44"/>
  <c i="6" r="Q44" s="1"/>
  <c i="6" r="P45"/>
  <c i="6" r="Q45" s="1"/>
  <c i="6" r="P46"/>
  <c i="6" r="Q46" s="1"/>
  <c i="6" r="P47"/>
  <c i="6" r="Q47" s="1"/>
  <c i="6" r="P48"/>
  <c i="6" r="Q48" s="1"/>
  <c i="6" r="P49"/>
  <c i="6" r="Q49" s="1"/>
  <c i="6" r="P50"/>
  <c i="6" r="Q50" s="1"/>
  <c i="6" r="P51"/>
  <c i="6" r="Q51" s="1"/>
  <c i="6" r="P52"/>
  <c i="6" r="D23" s="1"/>
  <c i="6" r="P53"/>
  <c i="6" r="D24" s="1"/>
  <c i="6" r="P54"/>
  <c i="6" r="D25" s="1"/>
  <c i="6" r="P55"/>
  <c i="6" r="D26" s="1"/>
  <c i="6" r="P56"/>
  <c i="6" r="Q56" s="1"/>
  <c i="6" r="P57"/>
  <c i="6" r="Q57" s="1"/>
  <c i="6" r="P58"/>
  <c i="6" r="Q58" s="1"/>
  <c i="6" r="P59"/>
  <c i="6" r="Q59" s="1"/>
  <c i="6" r="P60"/>
  <c i="6" r="Q60" s="1"/>
  <c i="6" r="P61"/>
  <c i="6" r="Q61" s="1"/>
  <c i="6" r="P62"/>
  <c i="6" r="Q62" s="1"/>
  <c i="6" r="P63"/>
  <c i="6" r="Q63" s="1"/>
  <c i="6" r="P64"/>
  <c i="6" r="Q64" s="1"/>
  <c i="6" r="P65"/>
  <c i="6" r="Q65" s="1"/>
  <c i="6" r="P66"/>
  <c i="6" r="Q66" s="1"/>
  <c i="6" r="P67"/>
  <c i="6" r="Q67" s="1"/>
  <c i="6" r="P68"/>
  <c i="6" r="Q68" s="1"/>
  <c i="6" r="P69"/>
  <c i="6" r="Q69" s="1"/>
  <c i="6" r="P70"/>
  <c i="6" r="Q70" s="1"/>
  <c i="6" r="P71"/>
  <c i="6" r="Q71" s="1"/>
  <c i="6" r="P72"/>
  <c i="6" r="Q72" s="1"/>
  <c i="6" r="P73"/>
  <c i="6" r="Q73" s="1"/>
  <c i="6" r="P74"/>
  <c i="6" r="Q74" s="1"/>
  <c i="6" r="P75"/>
  <c i="6" r="Q75" s="1"/>
  <c i="6" r="P76"/>
  <c i="6" r="Q76" s="1"/>
  <c i="6" r="P77"/>
  <c i="6" r="Q77" s="1"/>
  <c i="6" r="P78"/>
  <c i="6" r="Q78" s="1"/>
  <c i="6" r="P79"/>
  <c i="6" r="Q79" s="1"/>
  <c i="6" r="P80"/>
  <c i="6" r="Q80" s="1"/>
  <c i="6" r="P81"/>
  <c i="6" r="Q81" s="1"/>
  <c i="6" r="P82"/>
  <c i="6" r="Q82" s="1"/>
  <c i="6" r="P83"/>
  <c i="6" r="Q83" s="1"/>
  <c i="6" r="P84"/>
  <c i="6" r="Q84" s="1"/>
  <c i="6" r="P85"/>
  <c i="6" r="Q85" s="1"/>
  <c i="6" r="P86"/>
  <c i="6" r="Q86" s="1"/>
  <c i="6" r="P87"/>
  <c i="6" r="Q87" s="1"/>
  <c i="6" r="P88"/>
  <c i="6" r="Q88" s="1"/>
  <c i="6" r="P89"/>
  <c i="6" r="Q89" s="1"/>
  <c i="6" r="P90"/>
  <c i="6" r="Q90" s="1"/>
  <c i="6" r="P91"/>
  <c i="6" r="Q91" s="1"/>
  <c i="6" r="P92"/>
  <c i="6" r="Q92" s="1"/>
  <c i="6" r="P93"/>
  <c i="6" r="Q93" s="1"/>
  <c i="6" r="P94"/>
  <c i="6" r="Q94" s="1"/>
  <c i="6" r="P95"/>
  <c i="6" r="Q95" s="1"/>
  <c i="6" r="P96"/>
  <c i="6" r="Q96" s="1"/>
  <c i="6" r="P97"/>
  <c i="6" r="Q97" s="1"/>
  <c i="6" r="P98"/>
  <c i="6" r="Q98" s="1"/>
  <c i="6" r="P99"/>
  <c i="6" r="Q99" s="1"/>
  <c i="6" r="P100"/>
  <c i="6" r="Q100" s="1"/>
  <c i="6" r="P101"/>
  <c i="6" r="Q101" s="1"/>
  <c i="6" r="P102"/>
  <c i="6" r="Q102" s="1"/>
  <c i="6" r="P103"/>
  <c i="6" r="Q103" s="1"/>
  <c i="6" r="P3"/>
  <c i="6" r="Q3" s="1"/>
  <c i="6" l="1" r="D4"/>
  <c i="6" r="G7"/>
  <c i="6" r="D7"/>
  <c i="6" r="G6"/>
  <c i="6" r="D6"/>
  <c i="6" r="G5"/>
  <c i="6" r="D5"/>
  <c i="6" r="G4"/>
  <c i="6" l="1" r="G8"/>
  <c i="6" r="G12" s="1"/>
  <c i="6" r="D8"/>
  <c i="6" r="D14" s="1"/>
  <c i="1" r="H15"/>
  <c i="1" r="J13"/>
  <c i="6" l="1" r="G14"/>
  <c i="6" r="I14" s="1"/>
  <c i="6" r="J14" s="1"/>
  <c i="6" r="G15"/>
  <c i="6" r="G16"/>
  <c i="6" r="G13"/>
  <c i="6" r="D13"/>
  <c i="6" r="D16"/>
  <c i="6" r="D12"/>
  <c i="6" r="D15"/>
  <c i="1" r="S15"/>
  <c i="1" r="U13"/>
  <c i="6" l="1" r="I13"/>
  <c i="6" r="J13" s="1"/>
  <c i="6" r="I15"/>
  <c i="6" r="J15" s="1"/>
  <c i="6" r="I12"/>
  <c i="6" r="J12" s="1"/>
  <c i="1" r="B26"/>
  <c i="1" r="C26"/>
  <c i="1" r="D26"/>
  <c i="1" r="E26"/>
  <c i="1" r="F26"/>
  <c i="1" r="G26"/>
  <c i="1" r="H26"/>
  <c i="1" r="S28"/>
  <c i="1" r="U26"/>
  <c i="1" r="J27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K12"/>
  <c i="6" r="D33" s="1"/>
  <c i="6" r="D43" s="1"/>
  <c i="6" r="Q52" s="1"/>
  <c i="6" r="K15"/>
  <c i="6" r="D36" s="1"/>
  <c i="6" r="D46" s="1"/>
  <c i="6" r="Q55" s="1"/>
  <c i="6" r="K14"/>
  <c i="6" r="D35" s="1"/>
  <c i="6" r="D45" s="1"/>
  <c i="6" r="Q54" s="1"/>
  <c i="6" r="K13"/>
  <c i="6" r="D34" s="1"/>
  <c i="6" r="D44" s="1"/>
  <c i="6" r="Q53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0"/>
  <c i="1" r="H21"/>
  <c i="1" r="H22"/>
  <c i="1" r="J24"/>
  <c i="1" r="J25"/>
  <c i="1" r="J23"/>
  <c i="1" r="U20"/>
  <c i="1" r="U21"/>
  <c i="1" r="B21"/>
  <c i="1" r="C21"/>
  <c i="1" r="J15"/>
  <c i="1" r="B22"/>
  <c i="1" r="D21"/>
  <c i="1" r="E21"/>
  <c i="1" r="F21"/>
  <c i="1" r="G21"/>
  <c i="1" r="F22"/>
  <c i="1" r="B20"/>
  <c i="1" r="E20"/>
  <c i="1" r="C22"/>
  <c i="1" r="D22"/>
  <c i="1" r="U15"/>
  <c i="1" r="U28" s="1"/>
  <c i="1" r="G22"/>
  <c i="1" r="F20"/>
  <c i="1" r="U22"/>
  <c i="1" r="D20"/>
  <c i="1" r="G20"/>
  <c i="1" r="E22"/>
  <c i="1" r="C20"/>
  <c i="4" r="F102"/>
  <c i="4" r="G101" s="1"/>
  <c i="4" r="B102"/>
  <c i="4" r="C102" s="1"/>
  <c i="3" r="F102"/>
  <c i="3" r="G101" s="1"/>
  <c i="3" r="B102"/>
  <c i="3" r="C14" s="1"/>
  <c i="1" l="1" r="F28"/>
  <c i="1" r="S36"/>
  <c i="1" r="S35"/>
  <c i="1" r="M39"/>
  <c i="1" r="N39"/>
  <c i="1" r="O39"/>
  <c i="1" r="P39"/>
  <c i="1" r="R39"/>
  <c i="1" r="S39"/>
  <c i="1" r="S34"/>
  <c i="1" r="S33"/>
  <c i="1" r="S38"/>
  <c i="1" r="S37"/>
  <c i="1" r="Q39"/>
  <c i="1" r="G28"/>
  <c i="1" r="S41"/>
  <c i="1" r="U39"/>
  <c i="1" r="H28"/>
  <c i="1" r="J21"/>
  <c i="1" r="O36"/>
  <c i="1" r="R41"/>
  <c i="1" r="Q41"/>
  <c i="1" r="O41"/>
  <c i="1" r="N41"/>
  <c i="1" r="R34"/>
  <c i="1" r="U35"/>
  <c i="1" r="Q36"/>
  <c i="1" r="Q38"/>
  <c i="1" r="M34"/>
  <c i="1" r="R36"/>
  <c i="1" r="N37"/>
  <c i="1" r="P35"/>
  <c i="1" r="M37"/>
  <c i="1" r="Q35"/>
  <c i="1" r="O37"/>
  <c i="1" r="O35"/>
  <c i="1" r="U41"/>
  <c i="1" r="T41"/>
  <c i="1" r="U37"/>
  <c i="1" r="R37"/>
  <c i="1" r="R35"/>
  <c i="1" r="P37"/>
  <c i="1" r="N35"/>
  <c i="1" r="O38"/>
  <c i="1" r="Q37"/>
  <c i="1" r="N38"/>
  <c i="1" r="M35"/>
  <c i="1" r="M38"/>
  <c i="1" r="E28"/>
  <c i="1" r="Q33"/>
  <c i="1" r="P36"/>
  <c i="1" r="N36"/>
  <c i="1" r="R38"/>
  <c i="1" r="Q34"/>
  <c i="1" r="M36"/>
  <c i="1" r="O34"/>
  <c i="1" r="M33"/>
  <c i="1" r="R33"/>
  <c i="1" r="J22"/>
  <c i="1" r="O33"/>
  <c i="1" r="C28"/>
  <c i="1" r="N33"/>
  <c i="1" r="P41"/>
  <c i="1" r="D28"/>
  <c i="1" r="P38"/>
  <c i="1" r="J20"/>
  <c i="1" r="B28"/>
  <c i="1" r="P33"/>
  <c i="1" r="U38"/>
  <c i="1" r="U34"/>
  <c i="1" r="M41"/>
  <c i="1" r="U33"/>
  <c i="1" r="N34"/>
  <c i="1" r="P34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F39"/>
  <c i="1" r="AB39" s="1"/>
  <c i="1" r="E39"/>
  <c i="1" r="AA39" s="1"/>
  <c i="1" r="G39"/>
  <c i="1" r="AC39" s="1"/>
  <c i="1" r="D39"/>
  <c i="1" r="Z39" s="1"/>
  <c i="1" r="H39"/>
  <c i="1" r="AD39" s="1"/>
  <c i="1" r="C39"/>
  <c i="1" r="Y39" s="1"/>
  <c i="1" r="B39"/>
  <c i="1" r="X39" s="1"/>
  <c i="1" r="H36"/>
  <c i="1" r="AD36" s="1"/>
  <c i="1" r="H38"/>
  <c i="1" r="AD38" s="1"/>
  <c i="1" r="H37"/>
  <c i="1" r="AD37" s="1"/>
  <c i="1" r="H34"/>
  <c i="1" r="AD34" s="1"/>
  <c i="1" r="H35"/>
  <c i="1" r="AD35" s="1"/>
  <c i="1" r="H33"/>
  <c i="1" r="AD33" s="1"/>
  <c i="1" r="J39"/>
  <c i="1" r="AF39" s="1"/>
  <c i="1" r="H41"/>
  <c i="1" r="AD41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G38"/>
  <c i="1" r="AC38" s="1"/>
  <c i="1" r="F38"/>
  <c i="1" r="AB38" s="1"/>
  <c i="1" r="E38"/>
  <c i="1" r="AA38" s="1"/>
  <c i="1" r="G37"/>
  <c i="1" r="AC37" s="1"/>
  <c i="1" r="B37"/>
  <c i="1" r="X37" s="1"/>
  <c i="1" r="E37"/>
  <c i="1" r="AA37" s="1"/>
  <c i="1" r="G36"/>
  <c i="1" r="AC36" s="1"/>
  <c i="1" r="B36"/>
  <c i="1" r="X36" s="1"/>
  <c i="1" r="C36"/>
  <c i="1" r="Y36" s="1"/>
  <c i="1" r="C37"/>
  <c i="1" r="Y37" s="1"/>
  <c i="1" r="D37"/>
  <c i="1" r="Z37" s="1"/>
  <c i="1" r="J41"/>
  <c i="1" r="AF41" s="1"/>
  <c i="1" r="D34"/>
  <c i="1" r="Z34" s="1"/>
  <c i="1" r="J37"/>
  <c i="1" r="AF37" s="1"/>
  <c i="1" r="G34"/>
  <c i="1" r="AC34" s="1"/>
  <c i="1" r="C34"/>
  <c i="1" r="Y34" s="1"/>
  <c i="1" r="F34"/>
  <c i="1" r="AB34" s="1"/>
  <c i="1" r="F36"/>
  <c i="1" r="AB36" s="1"/>
  <c i="1" r="E34"/>
  <c i="1" r="AA34" s="1"/>
  <c i="1" r="E36"/>
  <c i="1" r="AA36" s="1"/>
  <c i="1" r="D36"/>
  <c i="1" r="Z36" s="1"/>
  <c i="1" r="B35"/>
  <c i="1" r="X35" s="1"/>
  <c i="1" r="D38"/>
  <c i="1" r="Z38" s="1"/>
  <c i="1" r="B38"/>
  <c i="1" r="X38" s="1"/>
  <c i="1" r="I41"/>
  <c i="1" r="AE41" s="1"/>
  <c i="1" r="J36"/>
  <c i="1" r="AF36" s="1"/>
  <c i="1" r="F37"/>
  <c i="1" r="AB37" s="1"/>
  <c i="1" r="B34"/>
  <c i="1" r="X34" s="1"/>
  <c i="1" r="C38"/>
  <c i="1" r="Y38" s="1"/>
  <c i="1" r="J38"/>
  <c i="1" r="AF38" s="1"/>
  <c i="1" r="G33"/>
  <c i="1" r="AC33" s="1"/>
  <c i="1" r="G35"/>
  <c i="1" r="AC35" s="1"/>
  <c i="1" r="C35"/>
  <c i="1" r="Y35" s="1"/>
  <c i="1" r="E35"/>
  <c i="1" r="AA35" s="1"/>
  <c i="1" r="E33"/>
  <c i="1" r="AA33" s="1"/>
  <c i="1" r="J34"/>
  <c i="1" r="AF34" s="1"/>
  <c i="1" r="C33"/>
  <c i="1" r="Y33" s="1"/>
  <c i="1" r="D33"/>
  <c i="1" r="Z33" s="1"/>
  <c i="1" r="F33"/>
  <c i="1" r="AB33" s="1"/>
  <c i="1" r="F35"/>
  <c i="1" r="AB35" s="1"/>
  <c i="1" r="D35"/>
  <c i="1" r="Z35" s="1"/>
  <c i="1" r="B33"/>
  <c i="1" r="X33" s="1"/>
  <c i="1" r="J35"/>
  <c i="1" r="AF35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<sst xmlns="http://schemas.openxmlformats.org/spreadsheetml/2006/main" count="716" uniqueCount="284">
  <si>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</si>
  <si>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</si>
  <si>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</si>
  <si>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</si>
  <si>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</si>
  <si>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</si>
  <si>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</si>
  <si>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</si>
  <si>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</si>
  <si>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</si>
  <si>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</si>
  <si>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</si>
  <si>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</si>
  <si>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</si>
  <si>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</si>
  <si>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</si>
  <si>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</si>
  <si>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</si>
  <si>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</si>
  <si>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</si>
  <si>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</si>
  <si>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</si>
  <si>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</si>
  <si>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</si>
  <si>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</si>
  <si>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</si>
  <si>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</si>
  <si>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</si>
  <si>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</si>
  <si>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</si>
  <si>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</si>
  <si>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</si>
  <si>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</si>
  <si>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</si>
  <si>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</si>
  <si>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</si>
  <si>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</si>
  <si>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</si>
  <si>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</si>
  <si>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</si>
  <si>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</si>
  <si>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</si>
  <si>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</si>
  <si>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</si>
  <si>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</si>
  <si>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</si>
  <si>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</si>
  <si>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</si>
  <si>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</si>
  <si>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</si>
  <si>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</si>
  <si>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</si>
  <si>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</si>
  <si>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</si>
  <si>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</si>
  <si>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</si>
  <si>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</si>
  <si>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</si>
  <si>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</si>
  <si>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</si>
  <si>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</si>
  <si>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</si>
  <si>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</si>
  <si>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</si>
  <si>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</si>
  <si>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</si>
  <si>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</si>
  <si>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</si>
  <si>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</si>
  <si>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</si>
  <si>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</si>
  <si>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</si>
  <si>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</si>
  <si>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</si>
  <si>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</si>
  <si>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</si>
  <si>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</si>
  <si>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</si>
  <si>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</si>
  <si>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</si>
  <si>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</si>
  <si>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</si>
  <si>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</si>
  <si>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</si>
  <si>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</si>
  <si>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</si>
  <si>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</si>
  <si>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</si>
  <si>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</si>
  <si>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</si>
  <si>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</si>
  <si>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</si>
  <si>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</si>
  <si>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</si>
  <si>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</si>
  <si>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</si>
  <si>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</si>
  <si>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</si>
  <si>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</si>
  <si>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</si>
  <si>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</si>
  <si>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</si>
  <si>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</si>
  <si>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</si>
  <si>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</si>
  <si>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</si>
  <si>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</si>
  <si>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</si>
  <si>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</si>
  <si>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</si>
  <si>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</si>
  <si>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</si>
  <si>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</si>
  <si>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</si>
  <si>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</si>
  <si>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</si>
  <si>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</si>
  <si>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</si>
  <si>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</si>
  <si>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</si>
  <si>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</si>
  <si>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</si>
  <si>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</si>
  <si>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</si>
  <si>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</si>
  <si>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</si>
  <si>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</si>
  <si>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</si>
  <si>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</si>
  <si>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</si>
  <si>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</si>
  <si>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</si>
  <si>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</si>
  <si>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</si>
  <si>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</si>
  <si>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</si>
  <si>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</si>
  <si>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</si>
  <si>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</si>
  <si>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</si>
  <si>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</si>
  <si>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</si>
  <si>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</si>
  <si>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</si>
  <si>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</si>
  <si>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</si>
  <si>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</si>
  <si>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</si>
  <si>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</si>
  <si>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</si>
  <si>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</si>
  <si>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</si>
  <si>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</si>
  <si>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</si>
  <si>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</si>
  <si>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</si>
  <si>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</si>
  <si>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</si>
  <si>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</si>
  <si>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</si>
  <si>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</si>
  <si>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</si>
  <si>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</si>
  <si>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</si>
  <si>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</si>
  <si>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</si>
  <si>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</si>
  <si>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</si>
  <si>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</si>
  <si>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</si>
  <si>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</si>
  <si>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</si>
  <si>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</si>
  <si>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</si>
  <si>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</si>
  <si>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</si>
  <si>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</si>
  <si>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</si>
  <si>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</si>
  <si>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</si>
  <si>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</si>
  <si>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</si>
  <si>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</si>
  <si>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</si>
  <si>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</si>
  <si>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</si>
  <si>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</si>
  <si>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</si>
  <si>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</si>
  <si>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</si>
  <si>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</si>
  <si>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</si>
  <si>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</si>
  <si>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</si>
  <si>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</si>
  <si>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</si>
  <si>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</si>
  <si>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</si>
  <si>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</si>
  <si>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</si>
  <si>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</si>
  <si>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</si>
  <si>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</si>
  <si>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</si>
  <si>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</si>
  <si>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</si>
  <si>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</si>
  <si>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</si>
  <si>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</si>
  <si>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</si>
  <si>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</si>
  <si>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</si>
  <si>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</si>
  <si>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</si>
  <si>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</si>
  <si>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</si>
  <si>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</si>
  <si>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</si>
  <si>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</si>
  <si>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</si>
  <si>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</si>
  <si>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</si>
  <si>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</si>
  <si>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</si>
  <si>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</si>
  <si>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</si>
  <si>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</si>
  <si>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</si>
  <si>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</si>
  <si>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</si>
  <si>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</si>
  <si>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</si>
  <si>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</si>
  <si>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</si>
  <si>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</si>
  <si>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</si>
  <si>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</si>
  <si>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</si>
  <si>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</si>
  <si>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</si>
  <si>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</si>
  <si>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</si>
  <si>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</si>
  <si>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</si>
  <si>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</si>
  <si>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</si>
  <si>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</si>
  <si>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</si>
  <si>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</si>
  <si>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</si>
  <si>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</si>
  <si>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</si>
  <si>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</si>
  <si>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</si>
  <si>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v0402)</t>
  </si>
  <si>
    <t>Oct</t>
  </si>
  <si>
    <t>Beta00118</t>
  </si>
  <si>
    <t>011:04:21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</si>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</sst>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Border="1" applyNumberFormat="1" borderId="4" fillId="0" fontId="0" numFmtId="164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Font="1" borderId="0" fillId="0" fontId="0" numFmtId="0" xfId="0">
      <alignment horizontal="left"/>
    </xf>
    <xf applyBorder="1" applyFont="1" borderId="1" fillId="0" fontId="0" numFmtId="0" xfId="0"/>
    <xf applyAlignment="1" applyBorder="1" applyFont="1" borderId="1" fillId="0" fontId="0" numFmtId="0" xfId="0">
      <alignment horizontal="left"/>
    </xf>
    <xf applyAlignment="1" applyBorder="1" applyFont="1" borderId="2" fillId="0" fontId="1" numFmtId="0" xfId="0">
      <alignment horizontal="lef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Font="1" borderId="0" fillId="0" fontId="8" numFmtId="0" xfId="0"/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ont="1" borderId="12" fillId="0" fontId="0" numFmtId="0" xfId="0">
      <alignment horizontal="lef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1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ill="1" applyFont="1" applyNumberFormat="1" borderId="0" fillId="7" fontId="0" numFmtId="172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2.4523639977756161E-2</c:v>
                </c:pt>
                <c:pt idx="1">
                  <c:v>6.534783145225255E-2</c:v>
                </c:pt>
                <c:pt idx="2">
                  <c:v>9.1201154092429348E-2</c:v>
                </c:pt>
                <c:pt idx="3">
                  <c:v>0.10752891019909258</c:v>
                </c:pt>
                <c:pt idx="4">
                  <c:v>0.17889246407837461</c:v>
                </c:pt>
                <c:pt idx="5">
                  <c:v>0.11069849420154268</c:v>
                </c:pt>
                <c:pt idx="6">
                  <c:v>0.11964801114770861</c:v>
                </c:pt>
                <c:pt idx="7">
                  <c:v>3.6554882453466227E-2</c:v>
                </c:pt>
                <c:pt idx="8">
                  <c:v>4.0659292721332223E-2</c:v>
                </c:pt>
                <c:pt idx="9">
                  <c:v>2.5854911959848702E-2</c:v>
                </c:pt>
                <c:pt idx="10">
                  <c:v>4.7346155532818769E-2</c:v>
                </c:pt>
                <c:pt idx="11">
                  <c:v>8.9841786275612727E-3</c:v>
                </c:pt>
                <c:pt idx="12">
                  <c:v>2.8092981056339086E-2</c:v>
                </c:pt>
                <c:pt idx="13">
                  <c:v>7.3310860727167915E-3</c:v>
                </c:pt>
                <c:pt idx="14">
                  <c:v>9.6123426837478546E-3</c:v>
                </c:pt>
                <c:pt idx="15">
                  <c:v>1.8761754215689389E-2</c:v>
                </c:pt>
                <c:pt idx="16">
                  <c:v>1.8731364787065743E-2</c:v>
                </c:pt>
                <c:pt idx="17">
                  <c:v>7.030631325966547E-3</c:v>
                </c:pt>
                <c:pt idx="18">
                  <c:v>8.6139150151855453E-3</c:v>
                </c:pt>
                <c:pt idx="19">
                  <c:v>2.5079858915517607E-3</c:v>
                </c:pt>
                <c:pt idx="20">
                  <c:v>3.5852782908832865E-3</c:v>
                </c:pt>
                <c:pt idx="21">
                  <c:v>9.4076904973705361E-4</c:v>
                </c:pt>
                <c:pt idx="22">
                  <c:v>2.1470495397900359E-3</c:v>
                </c:pt>
                <c:pt idx="23">
                  <c:v>2.0617901559838048E-3</c:v>
                </c:pt>
                <c:pt idx="24">
                  <c:v>1.1206149932386918E-2</c:v>
                </c:pt>
                <c:pt idx="25">
                  <c:v>1.6035688665485828E-3</c:v>
                </c:pt>
                <c:pt idx="26">
                  <c:v>8.0315298866201967E-4</c:v>
                </c:pt>
                <c:pt idx="27">
                  <c:v>2.1617104094213452E-3</c:v>
                </c:pt>
                <c:pt idx="28">
                  <c:v>6.6195504275886349E-4</c:v>
                </c:pt>
                <c:pt idx="29">
                  <c:v>5.7096689718017131E-4</c:v>
                </c:pt>
                <c:pt idx="30">
                  <c:v>0</c:v>
                </c:pt>
                <c:pt idx="31">
                  <c:v>1.5584261850256739E-3</c:v>
                </c:pt>
                <c:pt idx="32">
                  <c:v>0</c:v>
                </c:pt>
                <c:pt idx="33">
                  <c:v>7.9952391776561417E-4</c:v>
                </c:pt>
                <c:pt idx="34">
                  <c:v>9.7056606788619825E-4</c:v>
                </c:pt>
                <c:pt idx="35">
                  <c:v>3.3378747026857023E-4</c:v>
                </c:pt>
                <c:pt idx="36">
                  <c:v>7.5416135022302565E-4</c:v>
                </c:pt>
                <c:pt idx="37">
                  <c:v>1.6168828175723327E-4</c:v>
                </c:pt>
                <c:pt idx="38">
                  <c:v>6.502867995594843E-4</c:v>
                </c:pt>
                <c:pt idx="39">
                  <c:v>3.544013059840544E-4</c:v>
                </c:pt>
                <c:pt idx="40">
                  <c:v>0</c:v>
                </c:pt>
                <c:pt idx="41">
                  <c:v>6.1887999886136257E-4</c:v>
                </c:pt>
                <c:pt idx="42">
                  <c:v>1.3848210266982316E-4</c:v>
                </c:pt>
                <c:pt idx="43">
                  <c:v>1.7695228283098245E-3</c:v>
                </c:pt>
                <c:pt idx="44">
                  <c:v>6.8450390833477051E-4</c:v>
                </c:pt>
                <c:pt idx="45">
                  <c:v>6.4033103389086066E-4</c:v>
                </c:pt>
                <c:pt idx="46">
                  <c:v>0</c:v>
                </c:pt>
                <c:pt idx="47">
                  <c:v>4.1998644344663977E-4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1.8767456180364343E-4</c:v>
                </c:pt>
                <c:pt idx="53">
                  <c:v>4.05886017183869E-5</c:v>
                </c:pt>
                <c:pt idx="54">
                  <c:v>6.921627207782193E-4</c:v>
                </c:pt>
                <c:pt idx="55">
                  <c:v>0</c:v>
                </c:pt>
                <c:pt idx="56">
                  <c:v>0</c:v>
                </c:pt>
                <c:pt idx="57">
                  <c:v>5.6203315562779633E-4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0.10648715469866325</c:v>
                </c:pt>
                <c:pt idx="1">
                  <c:v>7.981363346837686E-2</c:v>
                </c:pt>
                <c:pt idx="2">
                  <c:v>4.8316051426471336E-2</c:v>
                </c:pt>
                <c:pt idx="3">
                  <c:v>2.7195157832793915E-2</c:v>
                </c:pt>
                <c:pt idx="4">
                  <c:v>0.19207974573448913</c:v>
                </c:pt>
                <c:pt idx="5">
                  <c:v>9.51458696404264E-2</c:v>
                </c:pt>
                <c:pt idx="6">
                  <c:v>0.10678785017820788</c:v>
                </c:pt>
                <c:pt idx="7">
                  <c:v>6.2312941006564648E-2</c:v>
                </c:pt>
                <c:pt idx="8">
                  <c:v>6.5620591281555507E-2</c:v>
                </c:pt>
                <c:pt idx="9">
                  <c:v>3.3814769429077358E-2</c:v>
                </c:pt>
                <c:pt idx="10">
                  <c:v>2.5181899209892989E-2</c:v>
                </c:pt>
                <c:pt idx="11">
                  <c:v>2.4222691407761392E-2</c:v>
                </c:pt>
                <c:pt idx="12">
                  <c:v>2.1071316561207698E-2</c:v>
                </c:pt>
                <c:pt idx="13">
                  <c:v>2.1803116670923824E-2</c:v>
                </c:pt>
                <c:pt idx="14">
                  <c:v>1.4628457863294567E-2</c:v>
                </c:pt>
                <c:pt idx="15">
                  <c:v>1.5067106824494072E-2</c:v>
                </c:pt>
                <c:pt idx="16">
                  <c:v>1.4421527640812244E-2</c:v>
                </c:pt>
                <c:pt idx="17">
                  <c:v>1.0260290198081799E-2</c:v>
                </c:pt>
                <c:pt idx="18">
                  <c:v>7.7555722967853607E-3</c:v>
                </c:pt>
                <c:pt idx="19">
                  <c:v>5.3952744465963747E-3</c:v>
                </c:pt>
                <c:pt idx="20">
                  <c:v>3.6934889189943624E-3</c:v>
                </c:pt>
                <c:pt idx="21">
                  <c:v>3.8734751020909654E-3</c:v>
                </c:pt>
                <c:pt idx="22">
                  <c:v>2.6200383898673167E-3</c:v>
                </c:pt>
                <c:pt idx="23">
                  <c:v>2.2902433477861158E-3</c:v>
                </c:pt>
                <c:pt idx="24">
                  <c:v>2.2622215468249681E-3</c:v>
                </c:pt>
                <c:pt idx="25">
                  <c:v>1.5293436755334112E-3</c:v>
                </c:pt>
                <c:pt idx="26">
                  <c:v>1.1661380246139189E-3</c:v>
                </c:pt>
                <c:pt idx="27">
                  <c:v>1.7901619767871713E-3</c:v>
                </c:pt>
                <c:pt idx="28">
                  <c:v>6.498902299835426E-4</c:v>
                </c:pt>
                <c:pt idx="29">
                  <c:v>5.5612497292124039E-4</c:v>
                </c:pt>
                <c:pt idx="30">
                  <c:v>5.2594764880923509E-4</c:v>
                </c:pt>
                <c:pt idx="31">
                  <c:v>3.9122745188064007E-4</c:v>
                </c:pt>
                <c:pt idx="32">
                  <c:v>2.5542949337661625E-4</c:v>
                </c:pt>
                <c:pt idx="33">
                  <c:v>1.9291932200174813E-4</c:v>
                </c:pt>
                <c:pt idx="34">
                  <c:v>1.6597528261602911E-4</c:v>
                </c:pt>
                <c:pt idx="35">
                  <c:v>1.2394258117430745E-4</c:v>
                </c:pt>
                <c:pt idx="36">
                  <c:v>1.3148691220230877E-4</c:v>
                </c:pt>
                <c:pt idx="37">
                  <c:v>8.6220926034300834E-5</c:v>
                </c:pt>
                <c:pt idx="38">
                  <c:v>4.8499270894294224E-5</c:v>
                </c:pt>
                <c:pt idx="39">
                  <c:v>4.8499270894294224E-5</c:v>
                </c:pt>
                <c:pt idx="40">
                  <c:v>3.7721655140006617E-5</c:v>
                </c:pt>
                <c:pt idx="41">
                  <c:v>2.263299308400397E-5</c:v>
                </c:pt>
                <c:pt idx="42">
                  <c:v>2.1555231508575208E-5</c:v>
                </c:pt>
                <c:pt idx="43">
                  <c:v>1.7244185206860169E-5</c:v>
                </c:pt>
                <c:pt idx="44">
                  <c:v>6.0354648224010586E-5</c:v>
                </c:pt>
                <c:pt idx="45">
                  <c:v>8.6220926034300847E-6</c:v>
                </c:pt>
                <c:pt idx="46">
                  <c:v>9.6998541788588445E-6</c:v>
                </c:pt>
                <c:pt idx="47">
                  <c:v>1.2933138905145125E-5</c:v>
                </c:pt>
                <c:pt idx="48">
                  <c:v>7.5443310280013233E-6</c:v>
                </c:pt>
                <c:pt idx="49">
                  <c:v>3.2332847262862814E-6</c:v>
                </c:pt>
                <c:pt idx="50">
                  <c:v>0</c:v>
                </c:pt>
                <c:pt idx="51">
                  <c:v>2.1555231508575212E-6</c:v>
                </c:pt>
                <c:pt idx="52">
                  <c:v>2.1555231508575212E-6</c:v>
                </c:pt>
                <c:pt idx="53">
                  <c:v>2.1555231508575212E-6</c:v>
                </c:pt>
                <c:pt idx="54">
                  <c:v>8.6220926034300847E-6</c:v>
                </c:pt>
                <c:pt idx="55">
                  <c:v>0</c:v>
                </c:pt>
                <c:pt idx="56">
                  <c:v>1.0777615754287606E-6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818152"/>
        <c:axId val="168821680"/>
      </c:lineChart>
      <c:catAx>
        <c:axId val="168818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68821680"/>
        <c:crosses val="autoZero"/>
        <c:auto val="1"/>
        <c:lblAlgn val="ctr"/>
        <c:lblOffset val="100"/>
        <c:tickLblSkip val="10"/>
        <c:noMultiLvlLbl val="0"/>
      </c:catAx>
      <c:valAx>
        <c:axId val="1688216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68818152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1.0842918699166289E-4</c:v>
                </c:pt>
                <c:pt idx="3">
                  <c:v>1.9389918173260694E-3</c:v>
                </c:pt>
                <c:pt idx="4">
                  <c:v>5.2272884370767126E-3</c:v>
                </c:pt>
                <c:pt idx="5">
                  <c:v>1.7248930536361718E-2</c:v>
                </c:pt>
                <c:pt idx="6">
                  <c:v>1.3184513166824693E-2</c:v>
                </c:pt>
                <c:pt idx="7">
                  <c:v>1.8794112987570992E-2</c:v>
                </c:pt>
                <c:pt idx="8">
                  <c:v>1.1996510969705242E-2</c:v>
                </c:pt>
                <c:pt idx="9">
                  <c:v>2.1372694328151625E-2</c:v>
                </c:pt>
                <c:pt idx="10">
                  <c:v>7.4196212979252985E-3</c:v>
                </c:pt>
                <c:pt idx="11">
                  <c:v>1.6129665739756913E-2</c:v>
                </c:pt>
                <c:pt idx="12">
                  <c:v>3.6665521933608919E-2</c:v>
                </c:pt>
                <c:pt idx="13">
                  <c:v>3.1480287814559034E-2</c:v>
                </c:pt>
                <c:pt idx="14">
                  <c:v>2.3830826264161435E-2</c:v>
                </c:pt>
                <c:pt idx="15">
                  <c:v>1.2423854321635487E-2</c:v>
                </c:pt>
                <c:pt idx="16">
                  <c:v>4.930107558133745E-2</c:v>
                </c:pt>
                <c:pt idx="17">
                  <c:v>2.3698036629339995E-2</c:v>
                </c:pt>
                <c:pt idx="18">
                  <c:v>7.2304706662955201E-2</c:v>
                </c:pt>
                <c:pt idx="19">
                  <c:v>6.1760095803589703E-2</c:v>
                </c:pt>
                <c:pt idx="20">
                  <c:v>7.6836870112957464E-2</c:v>
                </c:pt>
                <c:pt idx="21">
                  <c:v>4.9685995866694255E-2</c:v>
                </c:pt>
                <c:pt idx="22">
                  <c:v>5.1426895301966438E-2</c:v>
                </c:pt>
                <c:pt idx="23">
                  <c:v>2.8505668435815451E-2</c:v>
                </c:pt>
                <c:pt idx="24">
                  <c:v>2.9273707230795223E-2</c:v>
                </c:pt>
                <c:pt idx="25">
                  <c:v>1.8563282201761254E-2</c:v>
                </c:pt>
                <c:pt idx="26">
                  <c:v>5.4008578908517089E-2</c:v>
                </c:pt>
                <c:pt idx="27">
                  <c:v>6.9558043136511271E-3</c:v>
                </c:pt>
                <c:pt idx="28">
                  <c:v>2.1632745392532179E-2</c:v>
                </c:pt>
                <c:pt idx="29">
                  <c:v>2.6834632851473871E-2</c:v>
                </c:pt>
                <c:pt idx="30">
                  <c:v>7.4975174509201367E-3</c:v>
                </c:pt>
                <c:pt idx="31">
                  <c:v>1.9375703034380583E-2</c:v>
                </c:pt>
                <c:pt idx="32">
                  <c:v>7.4061751604303158E-3</c:v>
                </c:pt>
                <c:pt idx="33">
                  <c:v>5.0970396476648343E-3</c:v>
                </c:pt>
                <c:pt idx="34">
                  <c:v>1.824004287818189E-2</c:v>
                </c:pt>
                <c:pt idx="35">
                  <c:v>1.1865825302800502E-2</c:v>
                </c:pt>
                <c:pt idx="36">
                  <c:v>4.2066699233381721E-3</c:v>
                </c:pt>
                <c:pt idx="37">
                  <c:v>7.6118152482451233E-3</c:v>
                </c:pt>
                <c:pt idx="38">
                  <c:v>1.3393824983770656E-2</c:v>
                </c:pt>
                <c:pt idx="39">
                  <c:v>4.2491166743803249E-3</c:v>
                </c:pt>
                <c:pt idx="40">
                  <c:v>4.3543356322775879E-3</c:v>
                </c:pt>
                <c:pt idx="41">
                  <c:v>7.1938665988753392E-3</c:v>
                </c:pt>
                <c:pt idx="42">
                  <c:v>6.6205596432634215E-3</c:v>
                </c:pt>
                <c:pt idx="43">
                  <c:v>2.495773969950332E-3</c:v>
                </c:pt>
                <c:pt idx="44">
                  <c:v>5.2265474547382666E-4</c:v>
                </c:pt>
                <c:pt idx="45">
                  <c:v>4.9764521298022127E-2</c:v>
                </c:pt>
                <c:pt idx="46">
                  <c:v>1.7773185004719538E-3</c:v>
                </c:pt>
                <c:pt idx="47">
                  <c:v>2.8277095388219088E-3</c:v>
                </c:pt>
                <c:pt idx="48">
                  <c:v>3.0596513459037336E-3</c:v>
                </c:pt>
                <c:pt idx="49">
                  <c:v>0</c:v>
                </c:pt>
                <c:pt idx="50">
                  <c:v>6.0917977511778609E-4</c:v>
                </c:pt>
                <c:pt idx="51">
                  <c:v>3.5046567779275523E-3</c:v>
                </c:pt>
                <c:pt idx="52">
                  <c:v>3.8519102202584227E-3</c:v>
                </c:pt>
                <c:pt idx="53">
                  <c:v>1.0518349256314738E-3</c:v>
                </c:pt>
                <c:pt idx="54">
                  <c:v>5.212203949571903E-4</c:v>
                </c:pt>
                <c:pt idx="55">
                  <c:v>0</c:v>
                </c:pt>
                <c:pt idx="56">
                  <c:v>6.1887999886136268E-4</c:v>
                </c:pt>
                <c:pt idx="57">
                  <c:v>1.4187931613342394E-3</c:v>
                </c:pt>
                <c:pt idx="58">
                  <c:v>3.0017038442705648E-4</c:v>
                </c:pt>
                <c:pt idx="59">
                  <c:v>7.7242484982427179E-4</c:v>
                </c:pt>
                <c:pt idx="60">
                  <c:v>8.1858568262290865E-4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2.9546833590379469E-2</c:v>
                </c:pt>
                <c:pt idx="1">
                  <c:v>1.7343339271799613E-2</c:v>
                </c:pt>
                <c:pt idx="2">
                  <c:v>2.1034672667643119E-2</c:v>
                </c:pt>
                <c:pt idx="3">
                  <c:v>2.1169392864571715E-2</c:v>
                </c:pt>
                <c:pt idx="4">
                  <c:v>1.9721959068770889E-2</c:v>
                </c:pt>
                <c:pt idx="5">
                  <c:v>1.9418030304499977E-2</c:v>
                </c:pt>
                <c:pt idx="6">
                  <c:v>1.8813406060684445E-2</c:v>
                </c:pt>
                <c:pt idx="7">
                  <c:v>1.7619246235109378E-2</c:v>
                </c:pt>
                <c:pt idx="8">
                  <c:v>1.6127624214715971E-2</c:v>
                </c:pt>
                <c:pt idx="9">
                  <c:v>1.4490504381639685E-2</c:v>
                </c:pt>
                <c:pt idx="10">
                  <c:v>1.3011815500151425E-2</c:v>
                </c:pt>
                <c:pt idx="11">
                  <c:v>1.1244286516448258E-2</c:v>
                </c:pt>
                <c:pt idx="12">
                  <c:v>1.0068448637655481E-2</c:v>
                </c:pt>
                <c:pt idx="13">
                  <c:v>8.5089276380100644E-3</c:v>
                </c:pt>
                <c:pt idx="14">
                  <c:v>7.8364044149425178E-3</c:v>
                </c:pt>
                <c:pt idx="15">
                  <c:v>7.8213157528865141E-3</c:v>
                </c:pt>
                <c:pt idx="16">
                  <c:v>7.7943717135007962E-3</c:v>
                </c:pt>
                <c:pt idx="17">
                  <c:v>6.4676472141479919E-3</c:v>
                </c:pt>
                <c:pt idx="18">
                  <c:v>0.13510711333417399</c:v>
                </c:pt>
                <c:pt idx="19">
                  <c:v>4.595467581470692E-2</c:v>
                </c:pt>
                <c:pt idx="20">
                  <c:v>5.0259255546969389E-2</c:v>
                </c:pt>
                <c:pt idx="21">
                  <c:v>5.752444632693466E-2</c:v>
                </c:pt>
                <c:pt idx="22">
                  <c:v>5.8170025510616494E-2</c:v>
                </c:pt>
                <c:pt idx="23">
                  <c:v>3.5671752623541116E-2</c:v>
                </c:pt>
                <c:pt idx="24">
                  <c:v>4.3726942638295671E-2</c:v>
                </c:pt>
                <c:pt idx="25">
                  <c:v>3.4592913286536929E-2</c:v>
                </c:pt>
                <c:pt idx="26">
                  <c:v>3.5454044785304506E-2</c:v>
                </c:pt>
                <c:pt idx="27">
                  <c:v>2.728676756670536E-2</c:v>
                </c:pt>
                <c:pt idx="28">
                  <c:v>2.0673622539874485E-2</c:v>
                </c:pt>
                <c:pt idx="29">
                  <c:v>3.030342221633046E-2</c:v>
                </c:pt>
                <c:pt idx="30">
                  <c:v>2.452877569518316E-2</c:v>
                </c:pt>
                <c:pt idx="31">
                  <c:v>1.705988797746185E-2</c:v>
                </c:pt>
                <c:pt idx="32">
                  <c:v>1.4758867013921446E-2</c:v>
                </c:pt>
                <c:pt idx="33">
                  <c:v>1.5288047947456968E-2</c:v>
                </c:pt>
                <c:pt idx="34">
                  <c:v>1.0802404270522467E-2</c:v>
                </c:pt>
                <c:pt idx="35">
                  <c:v>1.2213194172758714E-2</c:v>
                </c:pt>
                <c:pt idx="36">
                  <c:v>1.0146047471086351E-2</c:v>
                </c:pt>
                <c:pt idx="37">
                  <c:v>9.1760620532004671E-3</c:v>
                </c:pt>
                <c:pt idx="38">
                  <c:v>6.8491748118497727E-3</c:v>
                </c:pt>
                <c:pt idx="39">
                  <c:v>5.6507039399729909E-3</c:v>
                </c:pt>
                <c:pt idx="40">
                  <c:v>4.8617824667591385E-3</c:v>
                </c:pt>
                <c:pt idx="41">
                  <c:v>4.0340615768298506E-3</c:v>
                </c:pt>
                <c:pt idx="42">
                  <c:v>3.8249758311966709E-3</c:v>
                </c:pt>
                <c:pt idx="43">
                  <c:v>3.1847854553919874E-3</c:v>
                </c:pt>
                <c:pt idx="44">
                  <c:v>2.1005573105106544E-3</c:v>
                </c:pt>
                <c:pt idx="45">
                  <c:v>1.8311169166534641E-3</c:v>
                </c:pt>
                <c:pt idx="46">
                  <c:v>1.7201074743843018E-3</c:v>
                </c:pt>
                <c:pt idx="47">
                  <c:v>1.9022491806317623E-3</c:v>
                </c:pt>
                <c:pt idx="48">
                  <c:v>1.0799170985796181E-3</c:v>
                </c:pt>
                <c:pt idx="49">
                  <c:v>9.2687495486873405E-4</c:v>
                </c:pt>
                <c:pt idx="50">
                  <c:v>9.2471943171787646E-4</c:v>
                </c:pt>
                <c:pt idx="51">
                  <c:v>7.2641130183898463E-4</c:v>
                </c:pt>
                <c:pt idx="52">
                  <c:v>5.5720273449666913E-4</c:v>
                </c:pt>
                <c:pt idx="53">
                  <c:v>5.4211407244066654E-4</c:v>
                </c:pt>
                <c:pt idx="54">
                  <c:v>4.6343747743436703E-4</c:v>
                </c:pt>
                <c:pt idx="55">
                  <c:v>2.7698472488519145E-4</c:v>
                </c:pt>
                <c:pt idx="56">
                  <c:v>2.3171873871718351E-4</c:v>
                </c:pt>
                <c:pt idx="57">
                  <c:v>2.3602978501889856E-4</c:v>
                </c:pt>
                <c:pt idx="58">
                  <c:v>1.7351961364403044E-4</c:v>
                </c:pt>
                <c:pt idx="59">
                  <c:v>1.6058647473888533E-4</c:v>
                </c:pt>
                <c:pt idx="60">
                  <c:v>1.1963153487259242E-4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822072"/>
        <c:axId val="168817368"/>
      </c:lineChart>
      <c:catAx>
        <c:axId val="168822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8817368"/>
        <c:crosses val="autoZero"/>
        <c:auto val="1"/>
        <c:lblAlgn val="ctr"/>
        <c:lblOffset val="100"/>
        <c:tickLblSkip val="10"/>
        <c:noMultiLvlLbl val="0"/>
      </c:catAx>
      <c:valAx>
        <c:axId val="16881736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68822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topLeftCell="A88" workbookViewId="0">
      <selection activeCell="E106" sqref="E106"/>
    </sheetView>
  </sheetViews>
  <sheetFormatPr defaultRowHeight="15" x14ac:dyDescent="0.25"/>
  <cols>
    <col min="1" max="1" customWidth="true" width="13.5703125" collapsed="true"/>
    <col min="2" max="2" bestFit="true" customWidth="true" width="11.5703125" collapsed="true"/>
    <col min="6" max="6" bestFit="true" customWidth="true" width="11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41" t="n">
        <v>23655.6280813759</v>
      </c>
      <c r="C11" s="11">
        <f>B11/B$102</f>
        <v>2.4523639977756161E-2</v>
      </c>
      <c r="E11" s="19">
        <v>0</v>
      </c>
      <c r="F11" s="343" t="n">
        <v>96425.0</v>
      </c>
      <c r="G11" s="11">
        <f>F11/F$102</f>
        <v>0.10648715469866325</v>
      </c>
      <c r="K11" s="8" t="n">
        <v>6.837604038093853</v>
      </c>
      <c r="L11" s="8" t="n">
        <v>6.56045757412781</v>
      </c>
    </row>
    <row r="12" spans="1:12" x14ac:dyDescent="0.25">
      <c r="A12">
        <v>1</v>
      </c>
      <c r="B12" s="341" t="n">
        <v>63034.8511950535</v>
      </c>
      <c r="C12" s="11">
        <f>B12/B$102</f>
        <v>6.534783145225255E-2</v>
      </c>
      <c r="E12" s="20">
        <v>1</v>
      </c>
      <c r="F12" s="343" t="n">
        <v>74062.0</v>
      </c>
      <c r="G12" s="11">
        <f>F12/F$102</f>
        <v>7.981363346837686E-2</v>
      </c>
      <c r="K12" s="8"/>
      <c r="L12" s="289"/>
    </row>
    <row r="13" spans="1:12" x14ac:dyDescent="0.25">
      <c r="A13">
        <v>2</v>
      </c>
      <c r="B13" s="341" t="n">
        <v>87973.0979479238</v>
      </c>
      <c r="C13" s="11">
        <f ref="C13:C76" si="0" t="shared">B13/B$102</f>
        <v>9.1201154092429348E-2</v>
      </c>
      <c r="E13" s="21">
        <v>2</v>
      </c>
      <c r="F13" s="343" t="n">
        <v>45060.0</v>
      </c>
      <c r="G13" s="11">
        <f ref="G13:G76" si="1" t="shared">F13/F$102</f>
        <v>4.8316051426471336E-2</v>
      </c>
    </row>
    <row r="14" spans="1:12" x14ac:dyDescent="0.25">
      <c r="A14">
        <v>3</v>
      </c>
      <c r="B14" s="341" t="n">
        <v>103722.9346855768</v>
      </c>
      <c r="C14" s="11">
        <f si="0" t="shared"/>
        <v>0.10752891019909258</v>
      </c>
      <c r="E14" s="22">
        <v>3</v>
      </c>
      <c r="F14" s="343" t="n">
        <v>25360.0</v>
      </c>
      <c r="G14" s="11">
        <f si="1" t="shared"/>
        <v>2.7195157832793915E-2</v>
      </c>
    </row>
    <row r="15" spans="1:12" x14ac:dyDescent="0.25">
      <c r="A15">
        <v>4</v>
      </c>
      <c r="B15" s="341" t="n">
        <v>172560.5823865192</v>
      </c>
      <c r="C15" s="11">
        <f si="0" t="shared"/>
        <v>0.17889246407837461</v>
      </c>
      <c r="E15" s="23">
        <v>4</v>
      </c>
      <c r="F15" s="343" t="n">
        <v>178612.0</v>
      </c>
      <c r="G15" s="11">
        <f si="1" t="shared"/>
        <v>0.19207974573448913</v>
      </c>
    </row>
    <row r="16" spans="1:12" x14ac:dyDescent="0.25">
      <c r="A16">
        <v>5</v>
      </c>
      <c r="B16" s="341" t="n">
        <v>106780.3315647777</v>
      </c>
      <c r="C16" s="11">
        <f si="0" t="shared"/>
        <v>0.11069849420154268</v>
      </c>
      <c r="E16" s="24">
        <v>5</v>
      </c>
      <c r="F16" s="343" t="n">
        <v>95459.0</v>
      </c>
      <c r="G16" s="11">
        <f si="1" t="shared"/>
        <v>9.51458696404264E-2</v>
      </c>
    </row>
    <row r="17" spans="1:7" x14ac:dyDescent="0.25">
      <c r="A17">
        <v>6</v>
      </c>
      <c r="B17" s="341" t="n">
        <v>115413.0812128111</v>
      </c>
      <c r="C17" s="11">
        <f si="0" t="shared"/>
        <v>0.11964801114770861</v>
      </c>
      <c r="E17" s="25">
        <v>6</v>
      </c>
      <c r="F17" s="343" t="n">
        <v>91499.0</v>
      </c>
      <c r="G17" s="11">
        <f si="1" t="shared"/>
        <v>0.10678785017820788</v>
      </c>
    </row>
    <row r="18" spans="1:7" x14ac:dyDescent="0.25">
      <c r="A18">
        <v>7</v>
      </c>
      <c r="B18" s="341" t="n">
        <v>35261.0258779672</v>
      </c>
      <c r="C18" s="11">
        <f si="0" t="shared"/>
        <v>3.6554882453466227E-2</v>
      </c>
      <c r="E18" s="26">
        <v>7</v>
      </c>
      <c r="F18" s="343" t="n">
        <v>57210.0</v>
      </c>
      <c r="G18" s="11">
        <f si="1" t="shared"/>
        <v>6.2312941006564648E-2</v>
      </c>
    </row>
    <row r="19" spans="1:7" x14ac:dyDescent="0.25">
      <c r="A19">
        <v>8</v>
      </c>
      <c r="B19" s="341" t="n">
        <v>39220.1609361431</v>
      </c>
      <c r="C19" s="11">
        <f si="0" t="shared"/>
        <v>4.0659292721332223E-2</v>
      </c>
      <c r="E19" s="27">
        <v>8</v>
      </c>
      <c r="F19" s="343" t="n">
        <v>58097.0</v>
      </c>
      <c r="G19" s="11">
        <f si="1" t="shared"/>
        <v>6.5620591281555507E-2</v>
      </c>
    </row>
    <row r="20" spans="1:7" x14ac:dyDescent="0.25">
      <c r="A20">
        <v>9</v>
      </c>
      <c r="B20" s="341" t="n">
        <v>24939.7798187241</v>
      </c>
      <c r="C20" s="11">
        <f si="0" t="shared"/>
        <v>2.5854911959848702E-2</v>
      </c>
      <c r="E20" s="28">
        <v>9</v>
      </c>
      <c r="F20" s="343" t="n">
        <v>40556.0</v>
      </c>
      <c r="G20" s="11">
        <f si="1" t="shared"/>
        <v>3.3814769429077358E-2</v>
      </c>
    </row>
    <row r="21" spans="1:7" x14ac:dyDescent="0.25">
      <c r="A21">
        <v>10</v>
      </c>
      <c r="B21" s="341" t="n">
        <v>45670.3428766375</v>
      </c>
      <c r="C21" s="11">
        <f si="0" t="shared"/>
        <v>4.7346155532818769E-2</v>
      </c>
      <c r="E21" s="29">
        <v>10</v>
      </c>
      <c r="F21" s="343" t="n">
        <v>19482.0</v>
      </c>
      <c r="G21" s="11">
        <f si="1" t="shared"/>
        <v>2.5181899209892989E-2</v>
      </c>
    </row>
    <row r="22" spans="1:7" x14ac:dyDescent="0.25">
      <c r="A22">
        <v>11</v>
      </c>
      <c r="B22" s="341" t="n">
        <v>8666.184482524</v>
      </c>
      <c r="C22" s="11">
        <f si="0" t="shared"/>
        <v>8.9841786275612727E-3</v>
      </c>
      <c r="E22" s="30">
        <v>11</v>
      </c>
      <c r="F22" s="343" t="n">
        <v>21611.0</v>
      </c>
      <c r="G22" s="11">
        <f si="1" t="shared"/>
        <v>2.4222691407761392E-2</v>
      </c>
    </row>
    <row r="23" spans="1:7" x14ac:dyDescent="0.25">
      <c r="A23">
        <v>12</v>
      </c>
      <c r="B23" s="341" t="n">
        <v>27098.6326731543</v>
      </c>
      <c r="C23" s="11">
        <f si="0" t="shared"/>
        <v>2.8092981056339086E-2</v>
      </c>
      <c r="E23" s="31">
        <v>12</v>
      </c>
      <c r="F23" s="343" t="n">
        <v>21374.0</v>
      </c>
      <c r="G23" s="11">
        <f si="1" t="shared"/>
        <v>2.1071316561207698E-2</v>
      </c>
    </row>
    <row r="24" spans="1:7" x14ac:dyDescent="0.25">
      <c r="A24">
        <v>13</v>
      </c>
      <c r="B24" s="341" t="n">
        <v>7071.6029808806</v>
      </c>
      <c r="C24" s="11">
        <f si="0" t="shared"/>
        <v>7.3310860727167915E-3</v>
      </c>
      <c r="E24" s="32">
        <v>13</v>
      </c>
      <c r="F24" s="343" t="n">
        <v>18064.0</v>
      </c>
      <c r="G24" s="11">
        <f si="1" t="shared"/>
        <v>2.1803116670923824E-2</v>
      </c>
    </row>
    <row r="25" spans="1:7" x14ac:dyDescent="0.25">
      <c r="A25">
        <v>14</v>
      </c>
      <c r="B25" s="341" t="n">
        <v>9272.1147318963</v>
      </c>
      <c r="C25" s="11">
        <f si="0" t="shared"/>
        <v>9.6123426837478546E-3</v>
      </c>
      <c r="E25" s="33">
        <v>14</v>
      </c>
      <c r="F25" s="343" t="n">
        <v>12747.0</v>
      </c>
      <c r="G25" s="11">
        <f si="1" t="shared"/>
        <v>1.4628457863294567E-2</v>
      </c>
    </row>
    <row r="26" spans="1:7" x14ac:dyDescent="0.25">
      <c r="A26">
        <v>15</v>
      </c>
      <c r="B26" s="341" t="n">
        <v>18097.6837159205</v>
      </c>
      <c r="C26" s="11">
        <f si="0" t="shared"/>
        <v>1.8761754215689389E-2</v>
      </c>
      <c r="E26" s="34">
        <v>15</v>
      </c>
      <c r="F26" s="343" t="n">
        <v>15661.0</v>
      </c>
      <c r="G26" s="11">
        <f si="1" t="shared"/>
        <v>1.5067106824494072E-2</v>
      </c>
    </row>
    <row r="27" spans="1:7" x14ac:dyDescent="0.25">
      <c r="A27">
        <v>16</v>
      </c>
      <c r="B27" s="341" t="n">
        <v>18068.3699182225</v>
      </c>
      <c r="C27" s="11">
        <f si="0" t="shared"/>
        <v>1.8731364787065743E-2</v>
      </c>
      <c r="E27" s="35">
        <v>16</v>
      </c>
      <c r="F27" s="343" t="n">
        <v>13293.0</v>
      </c>
      <c r="G27" s="11">
        <f si="1" t="shared"/>
        <v>1.4421527640812244E-2</v>
      </c>
    </row>
    <row r="28" spans="1:7" x14ac:dyDescent="0.25">
      <c r="A28">
        <v>17</v>
      </c>
      <c r="B28" s="341" t="n">
        <v>6781.782801215</v>
      </c>
      <c r="C28" s="11">
        <f si="0" t="shared"/>
        <v>7.030631325966547E-3</v>
      </c>
      <c r="E28" s="36">
        <v>17</v>
      </c>
      <c r="F28" s="343" t="n">
        <v>9988.0</v>
      </c>
      <c r="G28" s="11">
        <f si="1" t="shared"/>
        <v>1.0260290198081799E-2</v>
      </c>
    </row>
    <row r="29" spans="1:7" x14ac:dyDescent="0.25">
      <c r="A29">
        <v>18</v>
      </c>
      <c r="B29" s="341" t="n">
        <v>8309.0263153689</v>
      </c>
      <c r="C29" s="11">
        <f si="0" t="shared"/>
        <v>8.6139150151855453E-3</v>
      </c>
      <c r="E29" s="37">
        <v>18</v>
      </c>
      <c r="F29" s="343" t="n">
        <v>7138.0</v>
      </c>
      <c r="G29" s="11">
        <f si="1" t="shared"/>
        <v>7.7555722967853607E-3</v>
      </c>
    </row>
    <row r="30" spans="1:7" x14ac:dyDescent="0.25">
      <c r="A30">
        <v>19</v>
      </c>
      <c r="B30" s="341" t="n">
        <v>2419.2159702923</v>
      </c>
      <c r="C30" s="11">
        <f si="0" t="shared"/>
        <v>2.5079858915517607E-3</v>
      </c>
      <c r="E30" s="38">
        <v>19</v>
      </c>
      <c r="F30" s="343" t="n">
        <v>4647.0</v>
      </c>
      <c r="G30" s="11">
        <f si="1" t="shared"/>
        <v>5.3952744465963747E-3</v>
      </c>
    </row>
    <row r="31" spans="1:7" x14ac:dyDescent="0.25">
      <c r="A31">
        <v>20</v>
      </c>
      <c r="B31" s="341" t="n">
        <v>3458.3777079705</v>
      </c>
      <c r="C31" s="11">
        <f si="0" t="shared"/>
        <v>3.5852782908832865E-3</v>
      </c>
      <c r="E31" s="39">
        <v>20</v>
      </c>
      <c r="F31" s="343" t="n">
        <v>3967.0</v>
      </c>
      <c r="G31" s="11">
        <f si="1" t="shared"/>
        <v>3.6934889189943624E-3</v>
      </c>
    </row>
    <row r="32" spans="1:7" x14ac:dyDescent="0.25">
      <c r="A32">
        <v>21</v>
      </c>
      <c r="B32" s="341" t="n">
        <v>907.4706190123</v>
      </c>
      <c r="C32" s="11">
        <f si="0" t="shared"/>
        <v>9.4076904973705361E-4</v>
      </c>
      <c r="E32" s="40">
        <v>21</v>
      </c>
      <c r="F32" s="343" t="n">
        <v>3278.0</v>
      </c>
      <c r="G32" s="11">
        <f si="1" t="shared"/>
        <v>3.8734751020909654E-3</v>
      </c>
    </row>
    <row r="33" spans="1:7" x14ac:dyDescent="0.25">
      <c r="A33">
        <v>22</v>
      </c>
      <c r="B33" s="341" t="n">
        <v>2071.054926252</v>
      </c>
      <c r="C33" s="11">
        <f si="0" t="shared"/>
        <v>2.1470495397900359E-3</v>
      </c>
      <c r="E33" s="41">
        <v>22</v>
      </c>
      <c r="F33" s="343" t="n">
        <v>2508.0</v>
      </c>
      <c r="G33" s="11">
        <f si="1" t="shared"/>
        <v>2.6200383898673167E-3</v>
      </c>
    </row>
    <row r="34" spans="1:7" x14ac:dyDescent="0.25">
      <c r="A34">
        <v>23</v>
      </c>
      <c r="B34" s="341" t="n">
        <v>1988.8132901981</v>
      </c>
      <c r="C34" s="11">
        <f si="0" t="shared"/>
        <v>2.0617901559838048E-3</v>
      </c>
      <c r="E34" s="42">
        <v>23</v>
      </c>
      <c r="F34" s="343" t="n">
        <v>2285.0</v>
      </c>
      <c r="G34" s="11">
        <f si="1" t="shared"/>
        <v>2.2902433477861158E-3</v>
      </c>
    </row>
    <row r="35" spans="1:7" x14ac:dyDescent="0.25">
      <c r="A35">
        <v>24</v>
      </c>
      <c r="B35" s="341" t="n">
        <v>10809.509325089</v>
      </c>
      <c r="C35" s="11">
        <f si="0" t="shared"/>
        <v>1.1206149932386918E-2</v>
      </c>
      <c r="E35" s="43">
        <v>24</v>
      </c>
      <c r="F35" s="343" t="n">
        <v>2120.0</v>
      </c>
      <c r="G35" s="11">
        <f si="1" t="shared"/>
        <v>2.2622215468249681E-3</v>
      </c>
    </row>
    <row r="36" spans="1:7" x14ac:dyDescent="0.25">
      <c r="A36">
        <v>25</v>
      </c>
      <c r="B36" s="341" t="n">
        <v>1546.810699568</v>
      </c>
      <c r="C36" s="11">
        <f si="0" t="shared"/>
        <v>1.6035688665485828E-3</v>
      </c>
      <c r="E36" s="44">
        <v>25</v>
      </c>
      <c r="F36" s="343" t="n">
        <v>1620.0</v>
      </c>
      <c r="G36" s="11">
        <f si="1" t="shared"/>
        <v>1.5293436755334112E-3</v>
      </c>
    </row>
    <row r="37" spans="1:7" x14ac:dyDescent="0.25">
      <c r="A37">
        <v>26</v>
      </c>
      <c r="B37" s="341" t="n">
        <v>774.7254652844</v>
      </c>
      <c r="C37" s="11">
        <f si="0" t="shared"/>
        <v>8.0315298866201967E-4</v>
      </c>
      <c r="E37" s="45">
        <v>26</v>
      </c>
      <c r="F37" s="343" t="n">
        <v>849.0</v>
      </c>
      <c r="G37" s="11">
        <f si="1" t="shared"/>
        <v>1.1661380246139189E-3</v>
      </c>
    </row>
    <row r="38" spans="1:7" x14ac:dyDescent="0.25">
      <c r="A38">
        <v>27</v>
      </c>
      <c r="B38" s="341" t="n">
        <v>2085.196875802</v>
      </c>
      <c r="C38" s="11">
        <f si="0" t="shared"/>
        <v>2.1617104094213452E-3</v>
      </c>
      <c r="E38" s="46">
        <v>27</v>
      </c>
      <c r="F38" s="343" t="n">
        <v>2056.0</v>
      </c>
      <c r="G38" s="11">
        <f si="1" t="shared"/>
        <v>1.7901619767871713E-3</v>
      </c>
    </row>
    <row r="39" spans="1:7" x14ac:dyDescent="0.25">
      <c r="A39">
        <v>28</v>
      </c>
      <c r="B39" s="341" t="n">
        <v>638.5252072000001</v>
      </c>
      <c r="C39" s="11">
        <f si="0" t="shared"/>
        <v>6.6195504275886349E-4</v>
      </c>
      <c r="E39" s="47">
        <v>28</v>
      </c>
      <c r="F39" s="343" t="n">
        <v>596.0</v>
      </c>
      <c r="G39" s="11">
        <f si="1" t="shared"/>
        <v>6.498902299835426E-4</v>
      </c>
    </row>
    <row r="40" spans="1:7" x14ac:dyDescent="0.25">
      <c r="A40">
        <v>29</v>
      </c>
      <c r="B40" s="341" t="n">
        <v>550.7575783498</v>
      </c>
      <c r="C40" s="11">
        <f si="0" t="shared"/>
        <v>5.7096689718017131E-4</v>
      </c>
      <c r="E40" s="48">
        <v>29</v>
      </c>
      <c r="F40" s="343" t="n">
        <v>653.0</v>
      </c>
      <c r="G40" s="11">
        <f si="1" t="shared"/>
        <v>5.5612497292124039E-4</v>
      </c>
    </row>
    <row r="41" spans="1:7" x14ac:dyDescent="0.25">
      <c r="A41">
        <v>30</v>
      </c>
      <c r="B41" s="341" t="n">
        <v>0.0</v>
      </c>
      <c r="C41" s="11">
        <f si="0" t="shared"/>
        <v>0</v>
      </c>
      <c r="E41" s="49">
        <v>30</v>
      </c>
      <c r="F41" s="343" t="n">
        <v>501.0</v>
      </c>
      <c r="G41" s="11">
        <f si="1" t="shared"/>
        <v>5.2594764880923509E-4</v>
      </c>
    </row>
    <row r="42" spans="1:7" x14ac:dyDescent="0.25">
      <c r="A42">
        <v>31</v>
      </c>
      <c r="B42" s="341" t="n">
        <v>1503.265838949</v>
      </c>
      <c r="C42" s="11">
        <f si="0" t="shared"/>
        <v>1.5584261850256739E-3</v>
      </c>
      <c r="E42" s="50">
        <v>31</v>
      </c>
      <c r="F42" s="343" t="n">
        <v>358.0</v>
      </c>
      <c r="G42" s="11">
        <f si="1" t="shared"/>
        <v>3.9122745188064007E-4</v>
      </c>
    </row>
    <row r="43" spans="1:7" x14ac:dyDescent="0.25">
      <c r="A43">
        <v>32</v>
      </c>
      <c r="B43" s="341" t="n">
        <v>0.0</v>
      </c>
      <c r="C43" s="11">
        <f si="0" t="shared"/>
        <v>0</v>
      </c>
      <c r="E43" s="51">
        <v>32</v>
      </c>
      <c r="F43" s="343" t="n">
        <v>233.0</v>
      </c>
      <c r="G43" s="11">
        <f si="1" t="shared"/>
        <v>2.5542949337661625E-4</v>
      </c>
    </row>
    <row r="44" spans="1:7" x14ac:dyDescent="0.25">
      <c r="A44">
        <v>33</v>
      </c>
      <c r="B44" s="341" t="n">
        <v>771.224845006</v>
      </c>
      <c r="C44" s="11">
        <f si="0" t="shared"/>
        <v>7.9952391776561417E-4</v>
      </c>
      <c r="E44" s="52">
        <v>33</v>
      </c>
      <c r="F44" s="343" t="n">
        <v>207.0</v>
      </c>
      <c r="G44" s="11">
        <f si="1" t="shared"/>
        <v>1.9291932200174813E-4</v>
      </c>
    </row>
    <row r="45" spans="1:7" x14ac:dyDescent="0.25">
      <c r="A45">
        <v>34</v>
      </c>
      <c r="B45" s="341" t="n">
        <v>936.2129745479999</v>
      </c>
      <c r="C45" s="11">
        <f si="0" t="shared"/>
        <v>9.7056606788619825E-4</v>
      </c>
      <c r="E45" s="53">
        <v>34</v>
      </c>
      <c r="F45" s="343" t="n">
        <v>138.0</v>
      </c>
      <c r="G45" s="11">
        <f si="1" t="shared"/>
        <v>1.6597528261602911E-4</v>
      </c>
    </row>
    <row r="46" spans="1:7" x14ac:dyDescent="0.25">
      <c r="A46">
        <v>35</v>
      </c>
      <c r="B46" s="341" t="n">
        <v>321.9730946164</v>
      </c>
      <c r="C46" s="11">
        <f si="0" t="shared"/>
        <v>3.3378747026857023E-4</v>
      </c>
      <c r="E46" s="54">
        <v>35</v>
      </c>
      <c r="F46" s="343" t="n">
        <v>116.0</v>
      </c>
      <c r="G46" s="11">
        <f si="1" t="shared"/>
        <v>1.2394258117430745E-4</v>
      </c>
    </row>
    <row r="47" spans="1:7" x14ac:dyDescent="0.25">
      <c r="A47">
        <v>36</v>
      </c>
      <c r="B47" s="341" t="n">
        <v>727.467881212</v>
      </c>
      <c r="C47" s="11">
        <f si="0" t="shared"/>
        <v>7.5416135022302565E-4</v>
      </c>
      <c r="E47" s="55">
        <v>36</v>
      </c>
      <c r="F47" s="343" t="n">
        <v>106.0</v>
      </c>
      <c r="G47" s="11">
        <f si="1" t="shared"/>
        <v>1.3148691220230877E-4</v>
      </c>
    </row>
    <row r="48" spans="1:7" x14ac:dyDescent="0.25">
      <c r="A48">
        <v>37</v>
      </c>
      <c r="B48" s="341" t="n">
        <v>155.96534045660002</v>
      </c>
      <c r="C48" s="11">
        <f si="0" t="shared"/>
        <v>1.6168828175723327E-4</v>
      </c>
      <c r="E48" s="56">
        <v>37</v>
      </c>
      <c r="F48" s="343" t="n">
        <v>97.0</v>
      </c>
      <c r="G48" s="11">
        <f si="1" t="shared"/>
        <v>8.6220926034300834E-5</v>
      </c>
    </row>
    <row r="49" spans="1:7" x14ac:dyDescent="0.25">
      <c r="A49">
        <v>38</v>
      </c>
      <c r="B49" s="341" t="n">
        <v>627.269960355</v>
      </c>
      <c r="C49" s="11">
        <f si="0" t="shared"/>
        <v>6.502867995594843E-4</v>
      </c>
      <c r="E49" s="57">
        <v>38</v>
      </c>
      <c r="F49" s="343" t="n">
        <v>40.0</v>
      </c>
      <c r="G49" s="11">
        <f si="1" t="shared"/>
        <v>4.8499270894294224E-5</v>
      </c>
    </row>
    <row r="50" spans="1:7" x14ac:dyDescent="0.25">
      <c r="A50">
        <v>39</v>
      </c>
      <c r="B50" s="341" t="n">
        <v>341.8573055842</v>
      </c>
      <c r="C50" s="11">
        <f si="0" t="shared"/>
        <v>3.544013059840544E-4</v>
      </c>
      <c r="E50" s="58">
        <v>39</v>
      </c>
      <c r="F50" s="343" t="n">
        <v>56.0</v>
      </c>
      <c r="G50" s="11">
        <f si="1" t="shared"/>
        <v>4.8499270894294224E-5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34.0</v>
      </c>
      <c r="G51" s="11">
        <f si="1" t="shared"/>
        <v>3.7721655140006617E-5</v>
      </c>
    </row>
    <row r="52" spans="1:7" x14ac:dyDescent="0.25">
      <c r="A52">
        <v>41</v>
      </c>
      <c r="B52" s="341" t="n">
        <v>596.97480037</v>
      </c>
      <c r="C52" s="11">
        <f si="0" t="shared"/>
        <v>6.1887999886136257E-4</v>
      </c>
      <c r="E52" s="60">
        <v>41</v>
      </c>
      <c r="F52" s="343" t="n">
        <v>26.0</v>
      </c>
      <c r="G52" s="11">
        <f si="1" t="shared"/>
        <v>2.263299308400397E-5</v>
      </c>
    </row>
    <row r="53" spans="1:7" x14ac:dyDescent="0.25">
      <c r="A53">
        <v>42</v>
      </c>
      <c r="B53" s="341" t="n">
        <v>133.5805418631</v>
      </c>
      <c r="C53" s="11">
        <f si="0" t="shared"/>
        <v>1.3848210266982316E-4</v>
      </c>
      <c r="E53" s="61">
        <v>42</v>
      </c>
      <c r="F53" s="343" t="n">
        <v>32.0</v>
      </c>
      <c r="G53" s="11">
        <f si="1" t="shared"/>
        <v>2.1555231508575208E-5</v>
      </c>
    </row>
    <row r="54" spans="1:7" x14ac:dyDescent="0.25">
      <c r="A54">
        <v>43</v>
      </c>
      <c r="B54" s="341" t="n">
        <v>1706.890736692</v>
      </c>
      <c r="C54" s="11">
        <f si="0" t="shared"/>
        <v>1.7695228283098245E-3</v>
      </c>
      <c r="E54" s="62">
        <v>43</v>
      </c>
      <c r="F54" s="343" t="n">
        <v>14.0</v>
      </c>
      <c r="G54" s="11">
        <f si="1" t="shared"/>
        <v>1.7244185206860169E-5</v>
      </c>
    </row>
    <row r="55" spans="1:7" x14ac:dyDescent="0.25">
      <c r="A55">
        <v>44</v>
      </c>
      <c r="B55" s="341" t="n">
        <v>660.275957831</v>
      </c>
      <c r="C55" s="11">
        <f si="0" t="shared"/>
        <v>6.8450390833477051E-4</v>
      </c>
      <c r="E55" s="63">
        <v>44</v>
      </c>
      <c r="F55" s="343" t="n">
        <v>10.0</v>
      </c>
      <c r="G55" s="11">
        <f si="1" t="shared"/>
        <v>6.0354648224010586E-5</v>
      </c>
    </row>
    <row r="56" spans="1:7" x14ac:dyDescent="0.25">
      <c r="A56">
        <v>45</v>
      </c>
      <c r="B56" s="341" t="n">
        <v>617.666578062</v>
      </c>
      <c r="C56" s="11">
        <f si="0" t="shared"/>
        <v>6.4033103389086066E-4</v>
      </c>
      <c r="E56" s="64">
        <v>45</v>
      </c>
      <c r="F56" s="343" t="n">
        <v>5.0</v>
      </c>
      <c r="G56" s="11">
        <f si="1" t="shared"/>
        <v>8.6220926034300847E-6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7.0</v>
      </c>
      <c r="G57" s="11">
        <f si="1" t="shared"/>
        <v>9.6998541788588445E-6</v>
      </c>
    </row>
    <row r="58" spans="1:7" x14ac:dyDescent="0.25">
      <c r="A58">
        <v>47</v>
      </c>
      <c r="B58" s="341" t="n">
        <v>405.121063366</v>
      </c>
      <c r="C58" s="11">
        <f si="0" t="shared"/>
        <v>4.1998644344663977E-4</v>
      </c>
      <c r="E58" s="66">
        <v>47</v>
      </c>
      <c r="F58" s="343" t="n">
        <v>3.0</v>
      </c>
      <c r="G58" s="11">
        <f si="1" t="shared"/>
        <v>1.2933138905145125E-5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3.0</v>
      </c>
      <c r="G59" s="11">
        <f si="1" t="shared"/>
        <v>7.5443310280013233E-6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2.0</v>
      </c>
      <c r="G60" s="11">
        <f si="1" t="shared"/>
        <v>3.2332847262862814E-6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0.0</v>
      </c>
      <c r="G61" s="11">
        <f si="1" t="shared"/>
        <v>0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1.0</v>
      </c>
      <c r="G62" s="11">
        <f si="1" t="shared"/>
        <v>2.1555231508575212E-6</v>
      </c>
    </row>
    <row r="63" spans="1:7" x14ac:dyDescent="0.25">
      <c r="A63">
        <v>52</v>
      </c>
      <c r="B63" s="341" t="n">
        <v>181.031838601</v>
      </c>
      <c r="C63" s="11">
        <f si="0" t="shared"/>
        <v>1.8767456180364343E-4</v>
      </c>
      <c r="E63" s="71">
        <v>52</v>
      </c>
      <c r="F63" s="343" t="n">
        <v>0.0</v>
      </c>
      <c r="G63" s="11">
        <f si="1" t="shared"/>
        <v>2.1555231508575212E-6</v>
      </c>
    </row>
    <row r="64" spans="1:7" x14ac:dyDescent="0.25">
      <c r="A64">
        <v>53</v>
      </c>
      <c r="B64" s="341" t="n">
        <v>39.1519720345</v>
      </c>
      <c r="C64" s="11">
        <f si="0" t="shared"/>
        <v>4.05886017183869E-5</v>
      </c>
      <c r="E64" s="72">
        <v>53</v>
      </c>
      <c r="F64" s="343" t="n">
        <v>9.0</v>
      </c>
      <c r="G64" s="11">
        <f si="1" t="shared"/>
        <v>2.1555231508575212E-6</v>
      </c>
    </row>
    <row r="65" spans="1:7" x14ac:dyDescent="0.25">
      <c r="A65">
        <v>54</v>
      </c>
      <c r="B65" s="341" t="n">
        <v>667.663687339</v>
      </c>
      <c r="C65" s="11">
        <f si="0" t="shared"/>
        <v>6.921627207782193E-4</v>
      </c>
      <c r="E65" s="73">
        <v>54</v>
      </c>
      <c r="F65" s="343" t="n">
        <v>1.0</v>
      </c>
      <c r="G65" s="11">
        <f si="1" t="shared"/>
        <v>8.6220926034300847E-6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0.0</v>
      </c>
      <c r="G66" s="11">
        <f si="1" t="shared"/>
        <v>0</v>
      </c>
    </row>
    <row r="67" spans="1:7" x14ac:dyDescent="0.25">
      <c r="A67">
        <v>56</v>
      </c>
      <c r="B67" s="341" t="n">
        <v>0.0</v>
      </c>
      <c r="C67" s="11">
        <f si="0" t="shared"/>
        <v>0</v>
      </c>
      <c r="E67" s="75">
        <v>56</v>
      </c>
      <c r="F67" s="343" t="n">
        <v>1.0</v>
      </c>
      <c r="G67" s="11">
        <f si="1" t="shared"/>
        <v>1.0777615754287606E-6</v>
      </c>
    </row>
    <row r="68" spans="1:7" x14ac:dyDescent="0.25">
      <c r="A68">
        <v>57</v>
      </c>
      <c r="B68" s="341" t="n">
        <v>542.140045727</v>
      </c>
      <c r="C68" s="11">
        <f si="0" t="shared"/>
        <v>5.6203315562779633E-4</v>
      </c>
      <c r="E68" s="76">
        <v>57</v>
      </c>
      <c r="F68" s="343" t="n">
        <v>1.0</v>
      </c>
      <c r="G68" s="11">
        <f si="1" t="shared"/>
        <v>0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0.0</v>
      </c>
      <c r="G69" s="11">
        <f si="1" t="shared"/>
        <v>0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0.0</v>
      </c>
      <c r="G70" s="11">
        <f si="1" t="shared"/>
        <v>0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0.0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0.0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0.0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0.0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0.0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0.0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0.0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0.0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0.0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0.0</v>
      </c>
      <c r="G81" s="11">
        <f si="3" t="shared"/>
        <v>0</v>
      </c>
    </row>
    <row r="82" spans="1:7" x14ac:dyDescent="0.25">
      <c r="A82">
        <v>71</v>
      </c>
      <c r="B82" s="341" t="n">
        <v>4605.9932193</v>
      </c>
      <c r="C82" s="11">
        <f si="2" t="shared"/>
        <v>4.7750040312406431E-3</v>
      </c>
      <c r="E82" s="90">
        <v>71</v>
      </c>
      <c r="F82" s="343" t="n">
        <v>0.0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0.0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0.0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0.0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0.0</v>
      </c>
      <c r="G86" s="11">
        <f si="3" t="shared"/>
        <v>0</v>
      </c>
    </row>
    <row r="87" spans="1:7" x14ac:dyDescent="0.25">
      <c r="A87">
        <v>76</v>
      </c>
      <c r="B87" s="341" t="n">
        <v>215.6958943</v>
      </c>
      <c r="C87" s="11">
        <f si="2" t="shared"/>
        <v>2.2361056904922732E-4</v>
      </c>
      <c r="E87" s="95">
        <v>76</v>
      </c>
      <c r="F87" s="343" t="n">
        <v>0.0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0.0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0.0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0.0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0.0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0.0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0.0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0.0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0.0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0.0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0.0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0.0</v>
      </c>
      <c r="G101" s="11">
        <f si="3" t="shared"/>
        <v>0</v>
      </c>
    </row>
    <row r="102" spans="1:7" x14ac:dyDescent="0.25">
      <c r="B102" s="341">
        <f>SUM(B11:B101)</f>
        <v>964605.09544392361</v>
      </c>
      <c r="C102" s="11">
        <f si="2" t="shared"/>
        <v>1</v>
      </c>
      <c r="F102" s="341">
        <f>SUM(F11:F101)</f>
        <v>927849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09">
        <v>0</v>
      </c>
      <c r="F11" s="199" t="n">
        <v>25205.0</v>
      </c>
      <c r="G11" s="11">
        <f>F11/F$102</f>
        <v>2.9546833590379469E-2</v>
      </c>
      <c r="K11" s="8" t="n">
        <v>23.728364069742465</v>
      </c>
      <c r="L11" s="8" t="n">
        <v>20.45488203880957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110">
        <v>1</v>
      </c>
      <c r="F12" s="200" t="n">
        <v>16038.0</v>
      </c>
      <c r="G12" s="11">
        <f>F12/F$102</f>
        <v>1.7343339271799613E-2</v>
      </c>
      <c r="K12" s="8"/>
      <c r="L12" s="290"/>
    </row>
    <row r="13" spans="1:12" x14ac:dyDescent="0.25">
      <c r="A13">
        <v>2</v>
      </c>
      <c r="B13" s="8" t="n">
        <v>104.591346267</v>
      </c>
      <c r="C13" s="11">
        <f ref="C13:C76" si="0" t="shared">B13/B$102</f>
        <v>1.0842918699166289E-4</v>
      </c>
      <c r="E13" s="111">
        <v>2</v>
      </c>
      <c r="F13" s="201" t="n">
        <v>19480.0</v>
      </c>
      <c r="G13" s="11">
        <f ref="G13:G76" si="1" t="shared">F13/F$102</f>
        <v>2.1034672667643119E-2</v>
      </c>
    </row>
    <row r="14" spans="1:12" x14ac:dyDescent="0.25">
      <c r="A14">
        <v>3</v>
      </c>
      <c r="B14" s="8" t="n">
        <v>1870.3613870167999</v>
      </c>
      <c r="C14" s="11">
        <f si="0" t="shared"/>
        <v>1.9389918173260694E-3</v>
      </c>
      <c r="E14" s="112">
        <v>3</v>
      </c>
      <c r="F14" s="202" t="n">
        <v>19675.0</v>
      </c>
      <c r="G14" s="11">
        <f si="1" t="shared"/>
        <v>2.1169392864571715E-2</v>
      </c>
    </row>
    <row r="15" spans="1:12" x14ac:dyDescent="0.25">
      <c r="A15">
        <v>4</v>
      </c>
      <c r="B15" s="8" t="n">
        <v>5042.2690617593</v>
      </c>
      <c r="C15" s="11">
        <f si="0" t="shared"/>
        <v>5.2272884370767126E-3</v>
      </c>
      <c r="E15" s="113">
        <v>4</v>
      </c>
      <c r="F15" s="203" t="n">
        <v>18281.0</v>
      </c>
      <c r="G15" s="11">
        <f si="1" t="shared"/>
        <v>1.9721959068770889E-2</v>
      </c>
    </row>
    <row r="16" spans="1:12" x14ac:dyDescent="0.25">
      <c r="A16">
        <v>5</v>
      </c>
      <c r="B16" s="8" t="n">
        <v>16638.4062863328</v>
      </c>
      <c r="C16" s="11">
        <f si="0" t="shared"/>
        <v>1.7248930536361718E-2</v>
      </c>
      <c r="E16" s="114">
        <v>5</v>
      </c>
      <c r="F16" s="204" t="n">
        <v>17985.0</v>
      </c>
      <c r="G16" s="11">
        <f si="1" t="shared"/>
        <v>1.9418030304499977E-2</v>
      </c>
    </row>
    <row r="17" spans="1:7" x14ac:dyDescent="0.25">
      <c r="A17">
        <v>6</v>
      </c>
      <c r="B17" s="8" t="n">
        <v>12717.8485816666</v>
      </c>
      <c r="C17" s="11">
        <f si="0" t="shared"/>
        <v>1.3184513166824693E-2</v>
      </c>
      <c r="E17" s="115">
        <v>6</v>
      </c>
      <c r="F17" s="205" t="n">
        <v>17556.0</v>
      </c>
      <c r="G17" s="11">
        <f si="1" t="shared"/>
        <v>1.8813406060684445E-2</v>
      </c>
    </row>
    <row r="18" spans="1:7" x14ac:dyDescent="0.25">
      <c r="A18">
        <v>7</v>
      </c>
      <c r="B18" s="8" t="n">
        <v>18128.8971521598</v>
      </c>
      <c r="C18" s="11">
        <f si="0" t="shared"/>
        <v>1.8794112987570992E-2</v>
      </c>
      <c r="E18" s="116">
        <v>7</v>
      </c>
      <c r="F18" s="206" t="n">
        <v>16293.0</v>
      </c>
      <c r="G18" s="11">
        <f si="1" t="shared"/>
        <v>1.7619246235109378E-2</v>
      </c>
    </row>
    <row r="19" spans="1:7" x14ac:dyDescent="0.25">
      <c r="A19">
        <v>8</v>
      </c>
      <c r="B19" s="8" t="n">
        <v>11571.8956089266</v>
      </c>
      <c r="C19" s="11">
        <f si="0" t="shared"/>
        <v>1.1996510969705242E-2</v>
      </c>
      <c r="E19" s="117">
        <v>8</v>
      </c>
      <c r="F19" s="207" t="n">
        <v>14948.0</v>
      </c>
      <c r="G19" s="11">
        <f si="1" t="shared"/>
        <v>1.6127624214715971E-2</v>
      </c>
    </row>
    <row r="20" spans="1:7" x14ac:dyDescent="0.25">
      <c r="A20">
        <v>9</v>
      </c>
      <c r="B20" s="8" t="n">
        <v>20616.2098523005</v>
      </c>
      <c r="C20" s="11">
        <f si="0" t="shared"/>
        <v>2.1372694328151625E-2</v>
      </c>
      <c r="E20" s="118">
        <v>9</v>
      </c>
      <c r="F20" s="208" t="n">
        <v>13479.0</v>
      </c>
      <c r="G20" s="11">
        <f si="1" t="shared"/>
        <v>1.4490504381639685E-2</v>
      </c>
    </row>
    <row r="21" spans="1:7" x14ac:dyDescent="0.25">
      <c r="A21">
        <v>10</v>
      </c>
      <c r="B21" s="8" t="n">
        <v>7157.004510243</v>
      </c>
      <c r="C21" s="11">
        <f si="0" t="shared"/>
        <v>7.4196212979252985E-3</v>
      </c>
      <c r="E21" s="119">
        <v>10</v>
      </c>
      <c r="F21" s="209" t="n">
        <v>12022.0</v>
      </c>
      <c r="G21" s="11">
        <f si="1" t="shared"/>
        <v>1.3011815500151425E-2</v>
      </c>
    </row>
    <row r="22" spans="1:7" x14ac:dyDescent="0.25">
      <c r="A22">
        <v>11</v>
      </c>
      <c r="B22" s="8" t="n">
        <v>15558.7577603768</v>
      </c>
      <c r="C22" s="11">
        <f si="0" t="shared"/>
        <v>1.6129665739756913E-2</v>
      </c>
      <c r="E22" s="120">
        <v>11</v>
      </c>
      <c r="F22" s="210" t="n">
        <v>10476.0</v>
      </c>
      <c r="G22" s="11">
        <f si="1" t="shared"/>
        <v>1.1244286516448258E-2</v>
      </c>
    </row>
    <row r="23" spans="1:7" x14ac:dyDescent="0.25">
      <c r="A23">
        <v>12</v>
      </c>
      <c r="B23" s="8" t="n">
        <v>35367.7492842701</v>
      </c>
      <c r="C23" s="11">
        <f si="0" t="shared"/>
        <v>3.6665521933608919E-2</v>
      </c>
      <c r="E23" s="121">
        <v>12</v>
      </c>
      <c r="F23" s="211" t="n">
        <v>9485.0</v>
      </c>
      <c r="G23" s="11">
        <f si="1" t="shared"/>
        <v>1.0068448637655481E-2</v>
      </c>
    </row>
    <row r="24" spans="1:7" x14ac:dyDescent="0.25">
      <c r="A24">
        <v>13</v>
      </c>
      <c r="B24" s="8" t="n">
        <v>30366.0460319649</v>
      </c>
      <c r="C24" s="11">
        <f si="0" t="shared"/>
        <v>3.1480287814559034E-2</v>
      </c>
      <c r="E24" s="122">
        <v>13</v>
      </c>
      <c r="F24" s="212" t="n">
        <v>7923.0</v>
      </c>
      <c r="G24" s="11">
        <f si="1" t="shared"/>
        <v>8.5089276380100644E-3</v>
      </c>
    </row>
    <row r="25" spans="1:7" x14ac:dyDescent="0.25">
      <c r="A25">
        <v>14</v>
      </c>
      <c r="B25" s="8" t="n">
        <v>22987.336443049</v>
      </c>
      <c r="C25" s="11">
        <f si="0" t="shared"/>
        <v>2.3830826264161435E-2</v>
      </c>
      <c r="E25" s="123">
        <v>14</v>
      </c>
      <c r="F25" s="213" t="n">
        <v>7447.0</v>
      </c>
      <c r="G25" s="11">
        <f si="1" t="shared"/>
        <v>7.8364044149425178E-3</v>
      </c>
    </row>
    <row r="26" spans="1:7" x14ac:dyDescent="0.25">
      <c r="A26">
        <v>15</v>
      </c>
      <c r="B26" s="8" t="n">
        <v>11984.1131837026</v>
      </c>
      <c r="C26" s="11">
        <f si="0" t="shared"/>
        <v>1.2423854321635487E-2</v>
      </c>
      <c r="E26" s="124">
        <v>15</v>
      </c>
      <c r="F26" s="214" t="n">
        <v>7320.0</v>
      </c>
      <c r="G26" s="11">
        <f si="1" t="shared"/>
        <v>7.8213157528865141E-3</v>
      </c>
    </row>
    <row r="27" spans="1:7" x14ac:dyDescent="0.25">
      <c r="A27">
        <v>16</v>
      </c>
      <c r="B27" s="8" t="n">
        <v>47556.0687166241</v>
      </c>
      <c r="C27" s="11">
        <f si="0" t="shared"/>
        <v>4.930107558133745E-2</v>
      </c>
      <c r="E27" s="125">
        <v>16</v>
      </c>
      <c r="F27" s="215" t="n">
        <v>7314.0</v>
      </c>
      <c r="G27" s="11">
        <f si="1" t="shared"/>
        <v>7.7943717135007962E-3</v>
      </c>
    </row>
    <row r="28" spans="1:7" x14ac:dyDescent="0.25">
      <c r="A28">
        <v>17</v>
      </c>
      <c r="B28" s="8" t="n">
        <v>22859.2468846781</v>
      </c>
      <c r="C28" s="11">
        <f si="0" t="shared"/>
        <v>2.3698036629339995E-2</v>
      </c>
      <c r="E28" s="126">
        <v>17</v>
      </c>
      <c r="F28" s="216" t="n">
        <v>6031.0</v>
      </c>
      <c r="G28" s="11">
        <f si="1" t="shared"/>
        <v>6.4676472141479919E-3</v>
      </c>
    </row>
    <row r="29" spans="1:7" x14ac:dyDescent="0.25">
      <c r="A29">
        <v>18</v>
      </c>
      <c r="B29" s="8" t="n">
        <v>69745.4884716648</v>
      </c>
      <c r="C29" s="11">
        <f si="0" t="shared"/>
        <v>7.2304706662955201E-2</v>
      </c>
      <c r="E29" s="127">
        <v>18</v>
      </c>
      <c r="F29" s="217" t="n">
        <v>125624.0</v>
      </c>
      <c r="G29" s="11">
        <f si="1" t="shared"/>
        <v>0.13510711333417399</v>
      </c>
    </row>
    <row r="30" spans="1:7" x14ac:dyDescent="0.25">
      <c r="A30">
        <v>19</v>
      </c>
      <c r="B30" s="8" t="n">
        <v>59574.1031072475</v>
      </c>
      <c r="C30" s="11">
        <f si="0" t="shared"/>
        <v>6.1760095803589703E-2</v>
      </c>
      <c r="E30" s="128">
        <v>19</v>
      </c>
      <c r="F30" s="218" t="n">
        <v>42470.0</v>
      </c>
      <c r="G30" s="11">
        <f si="1" t="shared"/>
        <v>4.595467581470692E-2</v>
      </c>
    </row>
    <row r="31" spans="1:7" x14ac:dyDescent="0.25">
      <c r="A31">
        <v>20</v>
      </c>
      <c r="B31" s="8" t="n">
        <v>74117.2364289217</v>
      </c>
      <c r="C31" s="11">
        <f si="0" t="shared"/>
        <v>7.6836870112957464E-2</v>
      </c>
      <c r="E31" s="129">
        <v>20</v>
      </c>
      <c r="F31" s="219" t="n">
        <v>46746.0</v>
      </c>
      <c r="G31" s="11">
        <f si="1" t="shared"/>
        <v>5.0259255546969389E-2</v>
      </c>
    </row>
    <row r="32" spans="1:7" x14ac:dyDescent="0.25">
      <c r="A32">
        <v>21</v>
      </c>
      <c r="B32" s="8" t="n">
        <v>47927.364785219</v>
      </c>
      <c r="C32" s="11">
        <f si="0" t="shared"/>
        <v>4.9685995866694255E-2</v>
      </c>
      <c r="E32" s="130">
        <v>21</v>
      </c>
      <c r="F32" s="220" t="n">
        <v>54065.0</v>
      </c>
      <c r="G32" s="11">
        <f si="1" t="shared"/>
        <v>5.752444632693466E-2</v>
      </c>
    </row>
    <row r="33" spans="1:7" x14ac:dyDescent="0.25">
      <c r="A33">
        <v>22</v>
      </c>
      <c r="B33" s="8" t="n">
        <v>49606.645251138</v>
      </c>
      <c r="C33" s="11">
        <f si="0" t="shared"/>
        <v>5.1426895301966438E-2</v>
      </c>
      <c r="E33" s="131">
        <v>22</v>
      </c>
      <c r="F33" s="221" t="n">
        <v>55522.0</v>
      </c>
      <c r="G33" s="11">
        <f si="1" t="shared"/>
        <v>5.8170025510616494E-2</v>
      </c>
    </row>
    <row r="34" spans="1:7" x14ac:dyDescent="0.25">
      <c r="A34">
        <v>23</v>
      </c>
      <c r="B34" s="8" t="n">
        <v>27496.7130222226</v>
      </c>
      <c r="C34" s="11">
        <f si="0" t="shared"/>
        <v>2.8505668435815451E-2</v>
      </c>
      <c r="E34" s="132">
        <v>23</v>
      </c>
      <c r="F34" s="222" t="n">
        <v>33719.0</v>
      </c>
      <c r="G34" s="11">
        <f si="1" t="shared"/>
        <v>3.5671752623541116E-2</v>
      </c>
    </row>
    <row r="35" spans="1:7" x14ac:dyDescent="0.25">
      <c r="A35">
        <v>24</v>
      </c>
      <c r="B35" s="8" t="n">
        <v>28237.5671573587</v>
      </c>
      <c r="C35" s="11">
        <f si="0" t="shared"/>
        <v>2.9273707230795223E-2</v>
      </c>
      <c r="E35" s="133">
        <v>24</v>
      </c>
      <c r="F35" s="223" t="n">
        <v>37154.0</v>
      </c>
      <c r="G35" s="11">
        <f si="1" t="shared"/>
        <v>4.3726942638295671E-2</v>
      </c>
    </row>
    <row r="36" spans="1:7" x14ac:dyDescent="0.25">
      <c r="A36">
        <v>25</v>
      </c>
      <c r="B36" s="8" t="n">
        <v>17906.2365999824</v>
      </c>
      <c r="C36" s="11">
        <f si="0" t="shared"/>
        <v>1.8563282201761254E-2</v>
      </c>
      <c r="E36" s="134">
        <v>25</v>
      </c>
      <c r="F36" s="224" t="n">
        <v>36322.0</v>
      </c>
      <c r="G36" s="11">
        <f si="1" t="shared"/>
        <v>3.4592913286536929E-2</v>
      </c>
    </row>
    <row r="37" spans="1:7" x14ac:dyDescent="0.25">
      <c r="A37">
        <v>26</v>
      </c>
      <c r="B37" s="8" t="n">
        <v>52096.9504128408</v>
      </c>
      <c r="C37" s="11">
        <f si="0" t="shared"/>
        <v>5.4008578908517089E-2</v>
      </c>
      <c r="E37" s="135">
        <v>26</v>
      </c>
      <c r="F37" s="225" t="n">
        <v>32675.0</v>
      </c>
      <c r="G37" s="11">
        <f si="1" t="shared"/>
        <v>3.5454044785304506E-2</v>
      </c>
    </row>
    <row r="38" spans="1:7" x14ac:dyDescent="0.25">
      <c r="A38">
        <v>27</v>
      </c>
      <c r="B38" s="8" t="n">
        <v>6709.6042838587</v>
      </c>
      <c r="C38" s="11">
        <f si="0" t="shared"/>
        <v>6.9558043136511271E-3</v>
      </c>
      <c r="E38" s="136">
        <v>27</v>
      </c>
      <c r="F38" s="226" t="n">
        <v>20839.0</v>
      </c>
      <c r="G38" s="11">
        <f si="1" t="shared"/>
        <v>2.728676756670536E-2</v>
      </c>
    </row>
    <row r="39" spans="1:7" x14ac:dyDescent="0.25">
      <c r="A39">
        <v>28</v>
      </c>
      <c r="B39" s="8" t="n">
        <v>20867.0564340776</v>
      </c>
      <c r="C39" s="11">
        <f si="0" t="shared"/>
        <v>2.1632745392532179E-2</v>
      </c>
      <c r="E39" s="137">
        <v>28</v>
      </c>
      <c r="F39" s="227" t="n">
        <v>25637.0</v>
      </c>
      <c r="G39" s="11">
        <f si="1" t="shared"/>
        <v>2.0673622539874485E-2</v>
      </c>
    </row>
    <row r="40" spans="1:7" x14ac:dyDescent="0.25">
      <c r="A40">
        <v>29</v>
      </c>
      <c r="B40" s="8" t="n">
        <v>25884.8235828986</v>
      </c>
      <c r="C40" s="11">
        <f si="0" t="shared"/>
        <v>2.6834632851473871E-2</v>
      </c>
      <c r="E40" s="138">
        <v>29</v>
      </c>
      <c r="F40" s="228" t="n">
        <v>24844.0</v>
      </c>
      <c r="G40" s="11">
        <f si="1" t="shared"/>
        <v>3.030342221633046E-2</v>
      </c>
    </row>
    <row r="41" spans="1:7" x14ac:dyDescent="0.25">
      <c r="A41">
        <v>30</v>
      </c>
      <c r="B41" s="8" t="n">
        <v>7232.1435363373</v>
      </c>
      <c r="C41" s="11">
        <f si="0" t="shared"/>
        <v>7.4975174509201367E-3</v>
      </c>
      <c r="E41" s="139">
        <v>30</v>
      </c>
      <c r="F41" s="229" t="n">
        <v>22034.0</v>
      </c>
      <c r="G41" s="11">
        <f si="1" t="shared"/>
        <v>2.452877569518316E-2</v>
      </c>
    </row>
    <row r="42" spans="1:7" x14ac:dyDescent="0.25">
      <c r="A42">
        <v>31</v>
      </c>
      <c r="B42" s="8" t="n">
        <v>18689.9018747718</v>
      </c>
      <c r="C42" s="11">
        <f si="0" t="shared"/>
        <v>1.9375703034380583E-2</v>
      </c>
      <c r="E42" s="140">
        <v>31</v>
      </c>
      <c r="F42" s="230" t="n">
        <v>14408.0</v>
      </c>
      <c r="G42" s="11">
        <f si="1" t="shared"/>
        <v>1.705988797746185E-2</v>
      </c>
    </row>
    <row r="43" spans="1:7" x14ac:dyDescent="0.25">
      <c r="A43">
        <v>32</v>
      </c>
      <c r="B43" s="8" t="n">
        <v>7144.0342975013</v>
      </c>
      <c r="C43" s="11">
        <f si="0" t="shared"/>
        <v>7.4061751604303158E-3</v>
      </c>
      <c r="E43" s="141">
        <v>32</v>
      </c>
      <c r="F43" s="231" t="n">
        <v>17118.0</v>
      </c>
      <c r="G43" s="11">
        <f si="1" t="shared"/>
        <v>1.4758867013921446E-2</v>
      </c>
    </row>
    <row r="44" spans="1:7" x14ac:dyDescent="0.25">
      <c r="A44">
        <v>33</v>
      </c>
      <c r="B44" s="8" t="n">
        <v>4916.6304158172</v>
      </c>
      <c r="C44" s="11">
        <f si="0" t="shared"/>
        <v>5.0970396476648343E-3</v>
      </c>
      <c r="E44" s="142">
        <v>33</v>
      </c>
      <c r="F44" s="232" t="n">
        <v>13501.0</v>
      </c>
      <c r="G44" s="11">
        <f si="1" t="shared"/>
        <v>1.5288047947456968E-2</v>
      </c>
    </row>
    <row r="45" spans="1:7" x14ac:dyDescent="0.25">
      <c r="A45">
        <v>34</v>
      </c>
      <c r="B45" s="8" t="n">
        <v>17594.4383014099</v>
      </c>
      <c r="C45" s="11">
        <f si="0" t="shared"/>
        <v>1.824004287818189E-2</v>
      </c>
      <c r="E45" s="143">
        <v>34</v>
      </c>
      <c r="F45" s="233" t="n">
        <v>11196.0</v>
      </c>
      <c r="G45" s="11">
        <f si="1" t="shared"/>
        <v>1.0802404270522467E-2</v>
      </c>
    </row>
    <row r="46" spans="1:7" x14ac:dyDescent="0.25">
      <c r="A46">
        <v>35</v>
      </c>
      <c r="B46" s="8" t="n">
        <v>11445.8355487288</v>
      </c>
      <c r="C46" s="11">
        <f si="0" t="shared"/>
        <v>1.1865825302800502E-2</v>
      </c>
      <c r="E46" s="144">
        <v>35</v>
      </c>
      <c r="F46" s="234" t="n">
        <v>10974.0</v>
      </c>
      <c r="G46" s="11">
        <f si="1" t="shared"/>
        <v>1.2213194172758714E-2</v>
      </c>
    </row>
    <row r="47" spans="1:7" x14ac:dyDescent="0.25">
      <c r="A47">
        <v>36</v>
      </c>
      <c r="B47" s="8" t="n">
        <v>4057.7752429027</v>
      </c>
      <c r="C47" s="11">
        <f si="0" t="shared"/>
        <v>4.2066699233381721E-3</v>
      </c>
      <c r="E47" s="145">
        <v>36</v>
      </c>
      <c r="F47" s="235" t="n">
        <v>8115.0</v>
      </c>
      <c r="G47" s="11">
        <f si="1" t="shared"/>
        <v>1.0146047471086351E-2</v>
      </c>
    </row>
    <row r="48" spans="1:7" x14ac:dyDescent="0.25">
      <c r="A48">
        <v>37</v>
      </c>
      <c r="B48" s="8" t="n">
        <v>7342.395774035</v>
      </c>
      <c r="C48" s="11">
        <f si="0" t="shared"/>
        <v>7.6118152482451233E-3</v>
      </c>
      <c r="E48" s="146">
        <v>37</v>
      </c>
      <c r="F48" s="236" t="n">
        <v>9935.0</v>
      </c>
      <c r="G48" s="11">
        <f si="1" t="shared"/>
        <v>9.1760620532004671E-3</v>
      </c>
    </row>
    <row r="49" spans="1:7" x14ac:dyDescent="0.25">
      <c r="A49">
        <v>38</v>
      </c>
      <c r="B49" s="8" t="n">
        <v>12919.7518268293</v>
      </c>
      <c r="C49" s="11">
        <f si="0" t="shared"/>
        <v>1.3393824983770656E-2</v>
      </c>
      <c r="E49" s="147">
        <v>38</v>
      </c>
      <c r="F49" s="237" t="n">
        <v>6337.0</v>
      </c>
      <c r="G49" s="11">
        <f si="1" t="shared"/>
        <v>6.8491748118497727E-3</v>
      </c>
    </row>
    <row r="50" spans="1:7" x14ac:dyDescent="0.25">
      <c r="A50">
        <v>39</v>
      </c>
      <c r="B50" s="8" t="n">
        <v>4098.719595243</v>
      </c>
      <c r="C50" s="11">
        <f si="0" t="shared"/>
        <v>4.2491166743803249E-3</v>
      </c>
      <c r="E50" s="148">
        <v>39</v>
      </c>
      <c r="F50" s="238" t="n">
        <v>5001.0</v>
      </c>
      <c r="G50" s="11">
        <f si="1" t="shared"/>
        <v>5.6507039399729909E-3</v>
      </c>
    </row>
    <row r="51" spans="1:7" x14ac:dyDescent="0.25">
      <c r="A51">
        <v>40</v>
      </c>
      <c r="B51" s="8" t="n">
        <v>4200.214338168</v>
      </c>
      <c r="C51" s="11">
        <f si="0" t="shared"/>
        <v>4.3543356322775879E-3</v>
      </c>
      <c r="E51" s="149">
        <v>40</v>
      </c>
      <c r="F51" s="239" t="n">
        <v>4376.0</v>
      </c>
      <c r="G51" s="11">
        <f si="1" t="shared"/>
        <v>4.8617824667591385E-3</v>
      </c>
    </row>
    <row r="52" spans="1:7" x14ac:dyDescent="0.25">
      <c r="A52">
        <v>41</v>
      </c>
      <c r="B52" s="8" t="n">
        <v>6939.240377219</v>
      </c>
      <c r="C52" s="11">
        <f si="0" t="shared"/>
        <v>7.1938665988753392E-3</v>
      </c>
      <c r="E52" s="150">
        <v>41</v>
      </c>
      <c r="F52" s="240" t="n">
        <v>3464.0</v>
      </c>
      <c r="G52" s="11">
        <f si="1" t="shared"/>
        <v>4.0340615768298506E-3</v>
      </c>
    </row>
    <row r="53" spans="1:7" x14ac:dyDescent="0.25">
      <c r="A53">
        <v>42</v>
      </c>
      <c r="B53" s="8" t="n">
        <v>6386.2255665823</v>
      </c>
      <c r="C53" s="11">
        <f si="0" t="shared"/>
        <v>6.6205596432634215E-3</v>
      </c>
      <c r="E53" s="151">
        <v>42</v>
      </c>
      <c r="F53" s="241" t="n">
        <v>2796.0</v>
      </c>
      <c r="G53" s="11">
        <f si="1" t="shared"/>
        <v>3.8249758311966709E-3</v>
      </c>
    </row>
    <row r="54" spans="1:7" x14ac:dyDescent="0.25">
      <c r="A54">
        <v>43</v>
      </c>
      <c r="B54" s="8" t="n">
        <v>2407.4362884904</v>
      </c>
      <c r="C54" s="11">
        <f si="0" t="shared"/>
        <v>2.495773969950332E-3</v>
      </c>
      <c r="E54" s="152">
        <v>43</v>
      </c>
      <c r="F54" s="242" t="n">
        <v>3524.0</v>
      </c>
      <c r="G54" s="11">
        <f si="1" t="shared"/>
        <v>3.1847854553919874E-3</v>
      </c>
    </row>
    <row r="55" spans="1:7" x14ac:dyDescent="0.25">
      <c r="A55">
        <v>44</v>
      </c>
      <c r="B55" s="8" t="n">
        <v>504.15543064200006</v>
      </c>
      <c r="C55" s="11">
        <f si="0" t="shared"/>
        <v>5.2265474547382666E-4</v>
      </c>
      <c r="E55" s="153">
        <v>44</v>
      </c>
      <c r="F55" s="243" t="n">
        <v>1797.0</v>
      </c>
      <c r="G55" s="11">
        <f si="1" t="shared"/>
        <v>2.1005573105106544E-3</v>
      </c>
    </row>
    <row r="56" spans="1:7" x14ac:dyDescent="0.25">
      <c r="A56">
        <v>45</v>
      </c>
      <c r="B56" s="8" t="n">
        <v>48003.1108163998</v>
      </c>
      <c r="C56" s="11">
        <f si="0" t="shared"/>
        <v>4.9764521298022127E-2</v>
      </c>
      <c r="E56" s="154">
        <v>45</v>
      </c>
      <c r="F56" s="244" t="n">
        <v>1811.0</v>
      </c>
      <c r="G56" s="11">
        <f si="1" t="shared"/>
        <v>1.8311169166534641E-3</v>
      </c>
    </row>
    <row r="57" spans="1:7" x14ac:dyDescent="0.25">
      <c r="A57">
        <v>46</v>
      </c>
      <c r="B57" s="8" t="n">
        <v>1714.410481782</v>
      </c>
      <c r="C57" s="11">
        <f si="0" t="shared"/>
        <v>1.7773185004719538E-3</v>
      </c>
      <c r="E57" s="155">
        <v>46</v>
      </c>
      <c r="F57" s="245" t="n">
        <v>1385.0</v>
      </c>
      <c r="G57" s="11">
        <f si="1" t="shared"/>
        <v>1.7201074743843018E-3</v>
      </c>
    </row>
    <row r="58" spans="1:7" x14ac:dyDescent="0.25">
      <c r="A58">
        <v>47</v>
      </c>
      <c r="B58" s="8" t="n">
        <v>2727.623029583</v>
      </c>
      <c r="C58" s="11">
        <f si="0" t="shared"/>
        <v>2.8277095388219088E-3</v>
      </c>
      <c r="E58" s="156">
        <v>47</v>
      </c>
      <c r="F58" s="246" t="n">
        <v>1277.0</v>
      </c>
      <c r="G58" s="11">
        <f si="1" t="shared"/>
        <v>1.9022491806317623E-3</v>
      </c>
    </row>
    <row r="59" spans="1:7" x14ac:dyDescent="0.25">
      <c r="A59">
        <v>48</v>
      </c>
      <c r="B59" s="8" t="n">
        <v>2951.3552785406</v>
      </c>
      <c r="C59" s="11">
        <f si="0" t="shared"/>
        <v>3.0596513459037336E-3</v>
      </c>
      <c r="E59" s="157">
        <v>48</v>
      </c>
      <c r="F59" s="247" t="n">
        <v>1359.0</v>
      </c>
      <c r="G59" s="11">
        <f si="1" t="shared"/>
        <v>1.0799170985796181E-3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158">
        <v>49</v>
      </c>
      <c r="F60" s="248" t="n">
        <v>965.0</v>
      </c>
      <c r="G60" s="11">
        <f si="1" t="shared"/>
        <v>9.2687495486873405E-4</v>
      </c>
    </row>
    <row r="61" spans="1:7" x14ac:dyDescent="0.25">
      <c r="A61">
        <v>50</v>
      </c>
      <c r="B61" s="8" t="n">
        <v>587.6179151199999</v>
      </c>
      <c r="C61" s="11">
        <f si="0" t="shared"/>
        <v>6.0917977511778609E-4</v>
      </c>
      <c r="E61" s="159">
        <v>50</v>
      </c>
      <c r="F61" s="249" t="n">
        <v>618.0</v>
      </c>
      <c r="G61" s="11">
        <f si="1" t="shared"/>
        <v>9.2471943171787646E-4</v>
      </c>
    </row>
    <row r="62" spans="1:7" x14ac:dyDescent="0.25">
      <c r="A62">
        <v>51</v>
      </c>
      <c r="B62" s="8" t="n">
        <v>3380.609785771</v>
      </c>
      <c r="C62" s="11">
        <f si="0" t="shared"/>
        <v>3.5046567779275523E-3</v>
      </c>
      <c r="E62" s="160">
        <v>51</v>
      </c>
      <c r="F62" s="250" t="n">
        <v>716.0</v>
      </c>
      <c r="G62" s="11">
        <f si="1" t="shared"/>
        <v>7.2641130183898463E-4</v>
      </c>
    </row>
    <row r="63" spans="1:7" x14ac:dyDescent="0.25">
      <c r="A63">
        <v>52</v>
      </c>
      <c r="B63" s="8" t="n">
        <v>3715.5722256538</v>
      </c>
      <c r="C63" s="11">
        <f si="0" t="shared"/>
        <v>3.8519102202584227E-3</v>
      </c>
      <c r="E63" s="161">
        <v>52</v>
      </c>
      <c r="F63" s="251" t="n">
        <v>446.0</v>
      </c>
      <c r="G63" s="11">
        <f si="1" t="shared"/>
        <v>5.5720273449666913E-4</v>
      </c>
    </row>
    <row r="64" spans="1:7" x14ac:dyDescent="0.25">
      <c r="A64">
        <v>53</v>
      </c>
      <c r="B64" s="8" t="n">
        <v>1014.60532883</v>
      </c>
      <c r="C64" s="11">
        <f si="0" t="shared"/>
        <v>1.0518349256314738E-3</v>
      </c>
      <c r="E64" s="162">
        <v>53</v>
      </c>
      <c r="F64" s="252" t="n">
        <v>345.0</v>
      </c>
      <c r="G64" s="11">
        <f si="1" t="shared"/>
        <v>5.4211407244066654E-4</v>
      </c>
    </row>
    <row r="65" spans="1:7" x14ac:dyDescent="0.25">
      <c r="A65">
        <v>54</v>
      </c>
      <c r="B65" s="8" t="n">
        <v>502.771848825</v>
      </c>
      <c r="C65" s="11">
        <f si="0" t="shared"/>
        <v>5.212203949571903E-4</v>
      </c>
      <c r="E65" s="163">
        <v>54</v>
      </c>
      <c r="F65" s="253" t="n">
        <v>458.0</v>
      </c>
      <c r="G65" s="11">
        <f si="1" t="shared"/>
        <v>4.6343747743436703E-4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343.0</v>
      </c>
      <c r="G66" s="11">
        <f si="1" t="shared"/>
        <v>2.7698472488519145E-4</v>
      </c>
    </row>
    <row r="67" spans="1:7" x14ac:dyDescent="0.25">
      <c r="A67">
        <v>56</v>
      </c>
      <c r="B67" s="8" t="n">
        <v>596.97480037</v>
      </c>
      <c r="C67" s="11">
        <f si="0" t="shared"/>
        <v>6.1887999886136268E-4</v>
      </c>
      <c r="E67" s="165">
        <v>56</v>
      </c>
      <c r="F67" s="255" t="n">
        <v>199.0</v>
      </c>
      <c r="G67" s="11">
        <f si="1" t="shared"/>
        <v>2.3171873871718351E-4</v>
      </c>
    </row>
    <row r="68" spans="1:7" x14ac:dyDescent="0.25">
      <c r="A68">
        <v>57</v>
      </c>
      <c r="B68" s="8" t="n">
        <v>1368.575112804</v>
      </c>
      <c r="C68" s="11">
        <f si="0" t="shared"/>
        <v>1.4187931613342394E-3</v>
      </c>
      <c r="E68" s="166">
        <v>57</v>
      </c>
      <c r="F68" s="256" t="n">
        <v>169.0</v>
      </c>
      <c r="G68" s="11">
        <f si="1" t="shared"/>
        <v>2.3602978501889856E-4</v>
      </c>
    </row>
    <row r="69" spans="1:7" x14ac:dyDescent="0.25">
      <c r="A69">
        <v>58</v>
      </c>
      <c r="B69" s="8" t="n">
        <v>289.5458823197</v>
      </c>
      <c r="C69" s="11">
        <f si="0" t="shared"/>
        <v>3.0017038442705648E-4</v>
      </c>
      <c r="E69" s="167">
        <v>58</v>
      </c>
      <c r="F69" s="257" t="n">
        <v>147.0</v>
      </c>
      <c r="G69" s="11">
        <f si="1" t="shared"/>
        <v>1.7351961364403044E-4</v>
      </c>
    </row>
    <row r="70" spans="1:7" x14ac:dyDescent="0.25">
      <c r="A70">
        <v>59</v>
      </c>
      <c r="B70" s="8" t="n">
        <v>745.084945988</v>
      </c>
      <c r="C70" s="11">
        <f si="0" t="shared"/>
        <v>7.7242484982427179E-4</v>
      </c>
      <c r="E70" s="168">
        <v>59</v>
      </c>
      <c r="F70" s="258" t="n">
        <v>160.0</v>
      </c>
      <c r="G70" s="11">
        <f si="1" t="shared"/>
        <v>1.6058647473888533E-4</v>
      </c>
    </row>
    <row r="71" spans="1:7" x14ac:dyDescent="0.25">
      <c r="A71">
        <v>60</v>
      </c>
      <c r="B71" s="8" t="n">
        <v>789.6119205155001</v>
      </c>
      <c r="C71" s="11">
        <f si="0" t="shared"/>
        <v>8.1858568262290865E-4</v>
      </c>
      <c r="E71" s="169">
        <v>60</v>
      </c>
      <c r="F71" s="259" t="n">
        <v>89.0</v>
      </c>
      <c r="G71" s="11">
        <f si="1" t="shared"/>
        <v>1.1963153487259242E-4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82.0</v>
      </c>
      <c r="G72" s="11">
        <f si="1" t="shared"/>
        <v>9.8076303364017203E-5</v>
      </c>
    </row>
    <row r="73" spans="1:7" x14ac:dyDescent="0.25">
      <c r="A73">
        <v>62</v>
      </c>
      <c r="B73" s="8" t="n">
        <v>101.05851781</v>
      </c>
      <c r="C73" s="11">
        <f si="0" t="shared"/>
        <v>1.0476672608026353E-4</v>
      </c>
      <c r="E73" s="171">
        <v>62</v>
      </c>
      <c r="F73" s="261" t="n">
        <v>75.0</v>
      </c>
      <c r="G73" s="11">
        <f si="1" t="shared"/>
        <v>1.03465111241161E-4</v>
      </c>
    </row>
    <row r="74" spans="1:7" x14ac:dyDescent="0.25">
      <c r="A74">
        <v>63</v>
      </c>
      <c r="B74" s="8" t="n">
        <v>210.149659191</v>
      </c>
      <c r="C74" s="11">
        <f si="0" t="shared"/>
        <v>2.1786082219925085E-4</v>
      </c>
      <c r="E74" s="172">
        <v>63</v>
      </c>
      <c r="F74" s="262" t="n">
        <v>62.0</v>
      </c>
      <c r="G74" s="11">
        <f si="1" t="shared"/>
        <v>1.5950871316345656E-4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54.0</v>
      </c>
      <c r="G75" s="11">
        <f si="1" t="shared"/>
        <v>7.7598833430870756E-5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107.0</v>
      </c>
      <c r="G76" s="11">
        <f si="1" t="shared"/>
        <v>6.6821217676583155E-5</v>
      </c>
    </row>
    <row r="77" spans="1:7" x14ac:dyDescent="0.25">
      <c r="A77">
        <v>66</v>
      </c>
      <c r="B77" s="8" t="n">
        <v>617.666578062</v>
      </c>
      <c r="C77" s="11">
        <f ref="C77:C102" si="2" t="shared">B77/B$102</f>
        <v>6.4033103389086077E-4</v>
      </c>
      <c r="E77" s="175">
        <v>66</v>
      </c>
      <c r="F77" s="265" t="n">
        <v>48.0</v>
      </c>
      <c r="G77" s="11">
        <f ref="G77:G102" si="3" t="shared">F77/F$102</f>
        <v>5.4965840346866786E-5</v>
      </c>
    </row>
    <row r="78" spans="1:7" x14ac:dyDescent="0.25">
      <c r="A78">
        <v>67</v>
      </c>
      <c r="B78" s="8" t="n">
        <v>723.6581128263</v>
      </c>
      <c r="C78" s="11">
        <f si="2" t="shared"/>
        <v>7.5021178743956698E-4</v>
      </c>
      <c r="E78" s="176">
        <v>67</v>
      </c>
      <c r="F78" s="266" t="n">
        <v>31.0</v>
      </c>
      <c r="G78" s="11">
        <f si="3" t="shared"/>
        <v>6.2510171374868109E-5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32.0</v>
      </c>
      <c r="G79" s="11">
        <f si="3" t="shared"/>
        <v>4.4188224592579178E-5</v>
      </c>
    </row>
    <row r="80" spans="1:7" x14ac:dyDescent="0.25">
      <c r="A80">
        <v>69</v>
      </c>
      <c r="B80" s="8" t="n">
        <v>62.0623590382</v>
      </c>
      <c r="C80" s="11">
        <f si="2" t="shared"/>
        <v>6.4339654985585702E-5</v>
      </c>
      <c r="E80" s="178">
        <v>69</v>
      </c>
      <c r="F80" s="268" t="n">
        <v>18.0</v>
      </c>
      <c r="G80" s="11">
        <f si="3" t="shared"/>
        <v>2.5866277810290251E-5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23.0</v>
      </c>
      <c r="G81" s="11">
        <f si="3" t="shared"/>
        <v>2.4788516234861493E-5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15.0</v>
      </c>
      <c r="G82" s="11">
        <f si="3" t="shared"/>
        <v>1.8321946782288928E-5</v>
      </c>
    </row>
    <row r="83" spans="1:7" x14ac:dyDescent="0.25">
      <c r="A83">
        <v>72</v>
      </c>
      <c r="B83" s="8" t="n">
        <v>6950.415883637</v>
      </c>
      <c r="C83" s="11">
        <f si="2" t="shared"/>
        <v>7.2054521756785145E-3</v>
      </c>
      <c r="E83" s="181">
        <v>72</v>
      </c>
      <c r="F83" s="271" t="n">
        <v>13.0</v>
      </c>
      <c r="G83" s="11">
        <f si="3" t="shared"/>
        <v>2.047746993314645E-5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13.0</v>
      </c>
      <c r="G84" s="11">
        <f si="3" t="shared"/>
        <v>2.1555231508575208E-5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6.0</v>
      </c>
      <c r="G85" s="11">
        <f si="3" t="shared"/>
        <v>1.7244185206860169E-5</v>
      </c>
    </row>
    <row r="86" spans="1:7" x14ac:dyDescent="0.25">
      <c r="A86">
        <v>75</v>
      </c>
      <c r="B86" s="8" t="n">
        <v>667.663687339</v>
      </c>
      <c r="C86" s="11">
        <f si="2" t="shared"/>
        <v>6.921627207782193E-4</v>
      </c>
      <c r="E86" s="184">
        <v>75</v>
      </c>
      <c r="F86" s="274" t="n">
        <v>5.0</v>
      </c>
      <c r="G86" s="11">
        <f si="3" t="shared"/>
        <v>1.1855377329716366E-5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5.0</v>
      </c>
      <c r="G87" s="11">
        <f si="3" t="shared"/>
        <v>1.5088662056002647E-5</v>
      </c>
    </row>
    <row r="88" spans="1:7" x14ac:dyDescent="0.25">
      <c r="A88">
        <v>77</v>
      </c>
      <c r="B88" s="8" t="n">
        <v>784.020975559</v>
      </c>
      <c r="C88" s="11">
        <f si="2" t="shared"/>
        <v>8.1278958535687979E-4</v>
      </c>
      <c r="E88" s="186">
        <v>77</v>
      </c>
      <c r="F88" s="276" t="n">
        <v>11.0</v>
      </c>
      <c r="G88" s="11">
        <f si="3" t="shared"/>
        <v>1.5088662056002647E-5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5.0</v>
      </c>
      <c r="G89" s="11">
        <f si="3" t="shared"/>
        <v>3.2332847262862814E-6</v>
      </c>
    </row>
    <row r="90" spans="1:7" x14ac:dyDescent="0.25">
      <c r="A90">
        <v>79</v>
      </c>
      <c r="B90" s="8" t="n">
        <v>413.665615618</v>
      </c>
      <c r="C90" s="11">
        <f si="2" t="shared"/>
        <v>4.2884452671030715E-4</v>
      </c>
      <c r="E90" s="188">
        <v>79</v>
      </c>
      <c r="F90" s="278" t="n">
        <v>6.0</v>
      </c>
      <c r="G90" s="11">
        <f si="3" t="shared"/>
        <v>8.6220926034300847E-6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4.0</v>
      </c>
      <c r="G91" s="11">
        <f si="3" t="shared"/>
        <v>4.3110463017150424E-6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6.0</v>
      </c>
      <c r="G92" s="11">
        <f si="3" t="shared"/>
        <v>7.5443310280013233E-6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3.0</v>
      </c>
      <c r="G93" s="11">
        <f si="3" t="shared"/>
        <v>5.3888078771438021E-6</v>
      </c>
    </row>
    <row r="94" spans="1:7" x14ac:dyDescent="0.25">
      <c r="A94">
        <v>83</v>
      </c>
      <c r="B94" s="8" t="n">
        <v>39.1519720345</v>
      </c>
      <c r="C94" s="11">
        <f si="2" t="shared"/>
        <v>4.0588601718386907E-5</v>
      </c>
      <c r="E94" s="192">
        <v>83</v>
      </c>
      <c r="F94" s="282" t="n">
        <v>2.0</v>
      </c>
      <c r="G94" s="11">
        <f si="3" t="shared"/>
        <v>3.2332847262862814E-6</v>
      </c>
    </row>
    <row r="95" spans="1:7" x14ac:dyDescent="0.25">
      <c r="A95">
        <v>84</v>
      </c>
      <c r="B95" s="8" t="n">
        <v>2935.91546136</v>
      </c>
      <c r="C95" s="11">
        <f si="2" t="shared"/>
        <v>3.0436449851105694E-3</v>
      </c>
      <c r="E95" s="193">
        <v>84</v>
      </c>
      <c r="F95" s="283" t="n">
        <v>3.0</v>
      </c>
      <c r="G95" s="11">
        <f si="3" t="shared"/>
        <v>2.1555231508575212E-6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4.0</v>
      </c>
      <c r="G97" s="11">
        <f si="3" t="shared"/>
        <v>5.3888078771438021E-6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2.0</v>
      </c>
      <c r="G98" s="11">
        <f si="3" t="shared"/>
        <v>2.1555231508575212E-6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2.0</v>
      </c>
      <c r="G99" s="11">
        <f si="3" t="shared"/>
        <v>1.0777615754287606E-6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0.0</v>
      </c>
      <c r="G100" s="11">
        <f si="3" t="shared"/>
        <v>1.0777615754287606E-6</v>
      </c>
    </row>
    <row ht="15.75" r="101" spans="1:7" thickBot="1" x14ac:dyDescent="0.3">
      <c r="A101" s="1">
        <v>90</v>
      </c>
      <c r="B101" s="9" t="n">
        <v>6136.7072054994</v>
      </c>
      <c r="C101" s="11">
        <f si="2" t="shared"/>
        <v>6.3618855368737289E-3</v>
      </c>
      <c r="E101" s="292">
        <v>90</v>
      </c>
      <c r="F101" s="292" t="n">
        <v>2.0</v>
      </c>
      <c r="G101" s="11">
        <f si="3" t="shared"/>
        <v>3.2332847262862814E-6</v>
      </c>
    </row>
    <row r="102" spans="1:7" x14ac:dyDescent="0.25">
      <c r="B102" s="8">
        <f>SUM(B11:B101)</f>
        <v>964605.09544392349</v>
      </c>
      <c r="C102" s="11">
        <f si="2" t="shared"/>
        <v>1</v>
      </c>
      <c r="F102" s="8">
        <f>SUM(F11:F101)</f>
        <v>927849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A10" workbookViewId="0">
      <selection activeCell="I44" sqref="I44"/>
    </sheetView>
  </sheetViews>
  <sheetFormatPr defaultRowHeight="15" x14ac:dyDescent="0.25"/>
  <cols>
    <col min="13" max="14" bestFit="true" customWidth="true" width="10.5703125" collapsed="true"/>
    <col min="15" max="18" bestFit="true" customWidth="true" width="11.5703125" collapsed="true"/>
    <col min="19" max="19" bestFit="true" customWidth="true" width="10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248</v>
      </c>
      <c r="B7" s="12" t="n">
        <v>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0</v>
      </c>
      <c r="K7" s="12"/>
      <c r="L7" t="str">
        <f>$A$7</f>
        <v>Bellevue</v>
      </c>
      <c r="M7" s="343" t="n">
        <v>0.0</v>
      </c>
      <c r="N7" s="343" t="n">
        <v>0.0</v>
      </c>
      <c r="O7" s="343" t="n">
        <v>0.0</v>
      </c>
      <c r="P7" s="343" t="n">
        <v>0.0</v>
      </c>
      <c r="Q7" s="343" t="n">
        <v>0.0</v>
      </c>
      <c r="R7" s="343" t="n">
        <v>0.0</v>
      </c>
      <c r="S7" s="343" t="n">
        <v>0.0</v>
      </c>
      <c r="T7" s="291"/>
      <c r="U7" s="12">
        <f>SUM(M7:T7)</f>
        <v>0</v>
      </c>
    </row>
    <row r="8" spans="1:21" x14ac:dyDescent="0.25">
      <c r="A8" t="s">
        <v>249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Bellevue Downtown</v>
      </c>
      <c r="M8" s="343" t="n">
        <v>0.0</v>
      </c>
      <c r="N8" s="343" t="n">
        <v>0.0</v>
      </c>
      <c r="O8" s="343" t="n">
        <v>0.0</v>
      </c>
      <c r="P8" s="343" t="n">
        <v>0.0</v>
      </c>
      <c r="Q8" s="343" t="n">
        <v>0.0</v>
      </c>
      <c r="R8" s="343" t="n">
        <v>0.0</v>
      </c>
      <c r="S8" s="343" t="n">
        <v>0.0</v>
      </c>
      <c r="T8" s="291"/>
      <c r="U8" s="12">
        <f ref="U8:U14" si="1" t="shared">SUM(M8:T8)</f>
        <v>0</v>
      </c>
    </row>
    <row r="9" spans="1:21" x14ac:dyDescent="0.25">
      <c r="A9" t="s">
        <v>250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Kirkland</v>
      </c>
      <c r="M9" s="343" t="n">
        <v>0.0</v>
      </c>
      <c r="N9" s="343" t="n">
        <v>0.0</v>
      </c>
      <c r="O9" s="343" t="n">
        <v>0.0</v>
      </c>
      <c r="P9" s="343" t="n">
        <v>0.0</v>
      </c>
      <c r="Q9" s="343" t="n">
        <v>0.0</v>
      </c>
      <c r="R9" s="343" t="n">
        <v>0.0</v>
      </c>
      <c r="S9" s="343" t="n">
        <v>0.0</v>
      </c>
      <c r="T9" s="291"/>
      <c r="U9" s="12">
        <f si="1" t="shared"/>
        <v>0</v>
      </c>
    </row>
    <row r="10" spans="1:21" x14ac:dyDescent="0.25">
      <c r="A10" t="s">
        <v>251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si="0" t="shared"/>
        <v>0</v>
      </c>
      <c r="K10" s="13"/>
      <c r="L10" t="str">
        <f>$A$10</f>
        <v>Redmond</v>
      </c>
      <c r="M10" s="343" t="n">
        <v>0.0</v>
      </c>
      <c r="N10" s="343" t="n">
        <v>0.0</v>
      </c>
      <c r="O10" s="343" t="n">
        <v>0.0</v>
      </c>
      <c r="P10" s="343" t="n">
        <v>0.0</v>
      </c>
      <c r="Q10" s="343" t="n">
        <v>0.0</v>
      </c>
      <c r="R10" s="343" t="n">
        <v>0.0</v>
      </c>
      <c r="S10" s="343" t="n">
        <v>0.0</v>
      </c>
      <c r="T10" s="291"/>
      <c r="U10" s="12">
        <f si="1" t="shared"/>
        <v>0</v>
      </c>
    </row>
    <row r="11" spans="1:21" x14ac:dyDescent="0.25">
      <c r="A11" t="s">
        <v>247</v>
      </c>
      <c r="B11" s="12" t="n">
        <v>2489.8988629343</v>
      </c>
      <c r="C11" s="12" t="n">
        <v>0.0</v>
      </c>
      <c r="D11" s="12" t="n">
        <v>638.857083462</v>
      </c>
      <c r="E11" s="12" t="n">
        <v>711.9697971848</v>
      </c>
      <c r="F11" s="12" t="n">
        <v>189341.9368765592</v>
      </c>
      <c r="G11" s="12" t="n">
        <v>12867.8462138333</v>
      </c>
      <c r="H11" s="12" t="n">
        <v>12898.9596568138</v>
      </c>
      <c r="I11" s="12"/>
      <c r="J11" s="12">
        <f si="0" t="shared"/>
        <v>218949.4684907874</v>
      </c>
      <c r="K11" s="13"/>
      <c r="L11" t="str">
        <f>$A$11</f>
        <v>Seattle</v>
      </c>
      <c r="M11" s="343" t="n">
        <v>3161.0</v>
      </c>
      <c r="N11" s="343" t="n">
        <v>598.0</v>
      </c>
      <c r="O11" s="343" t="n">
        <v>8716.0</v>
      </c>
      <c r="P11" s="343" t="n">
        <v>808.0</v>
      </c>
      <c r="Q11" s="343" t="n">
        <v>125060.0</v>
      </c>
      <c r="R11" s="343" t="n">
        <v>5083.0</v>
      </c>
      <c r="S11" s="343" t="n">
        <v>42505.0</v>
      </c>
      <c r="T11" s="291"/>
      <c r="U11" s="12">
        <f si="1" t="shared"/>
        <v>185813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56.1388760904</v>
      </c>
      <c r="E12" s="12" t="n">
        <v>225.67193067099998</v>
      </c>
      <c r="F12" s="12" t="n">
        <v>7331.3033444148</v>
      </c>
      <c r="G12" s="12" t="n">
        <v>12142.626569464699</v>
      </c>
      <c r="H12" s="12" t="n">
        <v>524.8426222547</v>
      </c>
      <c r="I12" s="12"/>
      <c r="J12" s="12">
        <f si="0" t="shared"/>
        <v>20280.583342895599</v>
      </c>
      <c r="K12" s="13"/>
      <c r="L12" t="str">
        <f>$A$12</f>
        <v>Seattle Downtown</v>
      </c>
      <c r="M12" s="343" t="n">
        <v>603.0</v>
      </c>
      <c r="N12" s="343" t="n">
        <v>90.0</v>
      </c>
      <c r="O12" s="343" t="n">
        <v>347.0</v>
      </c>
      <c r="P12" s="343" t="n">
        <v>96.0</v>
      </c>
      <c r="Q12" s="343" t="n">
        <v>11651.0</v>
      </c>
      <c r="R12" s="343" t="n">
        <v>2970.0</v>
      </c>
      <c r="S12" s="343" t="n">
        <v>2090.0</v>
      </c>
      <c r="T12" s="291"/>
      <c r="U12" s="12">
        <f si="1" t="shared"/>
        <v>17815</v>
      </c>
    </row>
    <row r="13" spans="1:21" x14ac:dyDescent="0.25">
      <c r="A13" t="s">
        <v>253</v>
      </c>
      <c r="B13" s="12" t="n">
        <v>2336.997559295</v>
      </c>
      <c r="C13" s="12" t="n">
        <v>1118.7955351589999</v>
      </c>
      <c r="D13" s="12" t="n">
        <v>9652.422794497</v>
      </c>
      <c r="E13" s="12" t="n">
        <v>3036.762032086</v>
      </c>
      <c r="F13" s="12" t="n">
        <v>28462.528161741</v>
      </c>
      <c r="G13" s="12" t="n">
        <v>2882.672983305</v>
      </c>
      <c r="H13" s="12" t="n">
        <v>683280.8078995663</v>
      </c>
      <c r="I13" s="12"/>
      <c r="J13" s="12">
        <f si="0" t="shared"/>
        <v>730770.9869656493</v>
      </c>
      <c r="K13" s="13"/>
      <c r="L13" t="str">
        <f>$A$13</f>
        <v>Rest</v>
      </c>
      <c r="M13" s="343" t="n">
        <v>12285.0</v>
      </c>
      <c r="N13" s="343" t="n">
        <v>958.0</v>
      </c>
      <c r="O13" s="343" t="n">
        <v>5478.0</v>
      </c>
      <c r="P13" s="343" t="n">
        <v>6802.0</v>
      </c>
      <c r="Q13" s="343" t="n">
        <v>14219.0</v>
      </c>
      <c r="R13" s="343" t="n">
        <v>937.0</v>
      </c>
      <c r="S13" s="343" t="n">
        <v>679261.0</v>
      </c>
      <c r="T13" s="291"/>
      <c r="U13" s="12">
        <f si="1" t="shared"/>
        <v>718538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4826.8964222292998</v>
      </c>
      <c r="C15" s="15">
        <f si="2" t="shared"/>
        <v>1118.7955351589999</v>
      </c>
      <c r="D15" s="15">
        <f si="2" t="shared"/>
        <v>10347.4187540494</v>
      </c>
      <c r="E15" s="15">
        <f si="2" t="shared"/>
        <v>3974.4037599417998</v>
      </c>
      <c r="F15" s="15">
        <f si="2" t="shared"/>
        <v>225135.768382715</v>
      </c>
      <c r="G15" s="15">
        <f si="2" t="shared"/>
        <v>27893.145766603</v>
      </c>
      <c r="H15" s="15">
        <f si="2" t="shared"/>
        <v>696704.61017863476</v>
      </c>
      <c r="I15" s="15">
        <f si="2" t="shared"/>
        <v>0</v>
      </c>
      <c r="J15" s="15">
        <f si="2" t="shared"/>
        <v>970001.03879933234</v>
      </c>
      <c r="K15" s="12"/>
      <c r="L15" s="15" t="s">
        <v>4</v>
      </c>
      <c r="M15" s="15">
        <f ref="M15:U15" si="3" t="shared">SUM(M7:M14)</f>
        <v>15324</v>
      </c>
      <c r="N15" s="15">
        <f si="3" t="shared"/>
        <v>1594</v>
      </c>
      <c r="O15" s="15">
        <f si="3" t="shared"/>
        <v>13995</v>
      </c>
      <c r="P15" s="15">
        <f si="3" t="shared"/>
        <v>7256</v>
      </c>
      <c r="Q15" s="15">
        <f si="3" t="shared"/>
        <v>151168</v>
      </c>
      <c r="R15" s="15">
        <f si="3" t="shared"/>
        <v>8977</v>
      </c>
      <c r="S15" s="15">
        <f si="3" t="shared"/>
        <v>723852</v>
      </c>
      <c r="T15" s="15">
        <f si="3" t="shared"/>
        <v>0</v>
      </c>
      <c r="U15" s="15">
        <f si="3" t="shared"/>
        <v>922166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 t="e">
        <f ref="B20:G20" si="4" t="shared">($U7/$J7)*B7</f>
        <v>#DIV/0!</v>
      </c>
      <c r="C20" s="12" t="e">
        <f si="4" t="shared"/>
        <v>#DIV/0!</v>
      </c>
      <c r="D20" s="12" t="e">
        <f si="4" t="shared"/>
        <v>#DIV/0!</v>
      </c>
      <c r="E20" s="12" t="e">
        <f si="4" t="shared"/>
        <v>#DIV/0!</v>
      </c>
      <c r="F20" s="12" t="e">
        <f si="4" t="shared"/>
        <v>#DIV/0!</v>
      </c>
      <c r="G20" s="12" t="e">
        <f si="4" t="shared"/>
        <v>#DIV/0!</v>
      </c>
      <c r="H20" s="12" t="e">
        <f ref="H20" si="5" t="shared">($U7/$J7)*H7</f>
        <v>#DIV/0!</v>
      </c>
      <c r="I20" s="12"/>
      <c r="J20" s="12" t="e">
        <f>SUM(B20:I20)</f>
        <v>#DIV/0!</v>
      </c>
      <c r="K20" s="12"/>
      <c r="L20" t="str">
        <f>$A$7</f>
        <v>Bellevue</v>
      </c>
      <c r="M20" s="12">
        <f ref="M20:M26" si="6" t="shared">M7</f>
        <v>0</v>
      </c>
      <c r="N20" s="12">
        <f ref="N20:U20" si="7" t="shared">N7</f>
        <v>0</v>
      </c>
      <c r="O20" s="12">
        <f si="7" t="shared"/>
        <v>0</v>
      </c>
      <c r="P20" s="12">
        <f si="7" t="shared"/>
        <v>0</v>
      </c>
      <c r="Q20" s="12">
        <f si="7" t="shared"/>
        <v>0</v>
      </c>
      <c r="R20" s="12">
        <f si="7" t="shared"/>
        <v>0</v>
      </c>
      <c r="S20" s="12">
        <f ref="S20" si="8" t="shared">S7</f>
        <v>0</v>
      </c>
      <c r="T20" s="12"/>
      <c r="U20" s="12">
        <f si="7" t="shared"/>
        <v>0</v>
      </c>
    </row>
    <row r="21" spans="1:32" x14ac:dyDescent="0.25">
      <c r="A21" t="str">
        <f>$A$8</f>
        <v>Bellevue Downtown</v>
      </c>
      <c r="B21" s="12" t="e">
        <f ref="B21:G26" si="9" t="shared">($U8/$J8)*B8</f>
        <v>#DIV/0!</v>
      </c>
      <c r="C21" s="12" t="e">
        <f si="9" t="shared"/>
        <v>#DIV/0!</v>
      </c>
      <c r="D21" s="12" t="e">
        <f si="9" t="shared"/>
        <v>#DIV/0!</v>
      </c>
      <c r="E21" s="12" t="e">
        <f si="9" t="shared"/>
        <v>#DIV/0!</v>
      </c>
      <c r="F21" s="12" t="e">
        <f si="9" t="shared"/>
        <v>#DIV/0!</v>
      </c>
      <c r="G21" s="12" t="e">
        <f si="9" t="shared"/>
        <v>#DIV/0!</v>
      </c>
      <c r="H21" s="12" t="e">
        <f ref="H21" si="10" t="shared">($U8/$J8)*H8</f>
        <v>#DIV/0!</v>
      </c>
      <c r="I21" s="12"/>
      <c r="J21" s="12" t="e">
        <f ref="J21:J27" si="11" t="shared">SUM(B21:I21)</f>
        <v>#DIV/0!</v>
      </c>
      <c r="K21" s="12"/>
      <c r="L21" t="str">
        <f>$A$8</f>
        <v>Bellevue Downtown</v>
      </c>
      <c r="M21" s="12">
        <f si="6" t="shared"/>
        <v>0</v>
      </c>
      <c r="N21" s="12">
        <f ref="N21:R26" si="12" t="shared">N8</f>
        <v>0</v>
      </c>
      <c r="O21" s="12">
        <f si="12" t="shared"/>
        <v>0</v>
      </c>
      <c r="P21" s="12">
        <f si="12" t="shared"/>
        <v>0</v>
      </c>
      <c r="Q21" s="12">
        <f si="12" t="shared"/>
        <v>0</v>
      </c>
      <c r="R21" s="12">
        <f si="12" t="shared"/>
        <v>0</v>
      </c>
      <c r="S21" s="12">
        <f ref="S21" si="13" t="shared">S8</f>
        <v>0</v>
      </c>
      <c r="T21" s="12"/>
      <c r="U21" s="12">
        <f ref="U21:U26" si="14" t="shared">U8</f>
        <v>0</v>
      </c>
    </row>
    <row r="22" spans="1:32" x14ac:dyDescent="0.25">
      <c r="A22" t="str">
        <f>$A$9</f>
        <v>Kirkland</v>
      </c>
      <c r="B22" s="12" t="e">
        <f si="9" t="shared"/>
        <v>#DIV/0!</v>
      </c>
      <c r="C22" s="12" t="e">
        <f si="9" t="shared"/>
        <v>#DIV/0!</v>
      </c>
      <c r="D22" s="12" t="e">
        <f si="9" t="shared"/>
        <v>#DIV/0!</v>
      </c>
      <c r="E22" s="12" t="e">
        <f si="9" t="shared"/>
        <v>#DIV/0!</v>
      </c>
      <c r="F22" s="12" t="e">
        <f si="9" t="shared"/>
        <v>#DIV/0!</v>
      </c>
      <c r="G22" s="12" t="e">
        <f si="9" t="shared"/>
        <v>#DIV/0!</v>
      </c>
      <c r="H22" s="12" t="e">
        <f ref="H22" si="15" t="shared">($U9/$J9)*H9</f>
        <v>#DIV/0!</v>
      </c>
      <c r="I22" s="12"/>
      <c r="J22" s="12" t="e">
        <f si="11" t="shared"/>
        <v>#DIV/0!</v>
      </c>
      <c r="K22" s="13"/>
      <c r="L22" t="str">
        <f>$A$9</f>
        <v>Kirkland</v>
      </c>
      <c r="M22" s="12">
        <f si="6" t="shared"/>
        <v>0</v>
      </c>
      <c r="N22" s="12">
        <f si="12" t="shared"/>
        <v>0</v>
      </c>
      <c r="O22" s="12">
        <f si="12" t="shared"/>
        <v>0</v>
      </c>
      <c r="P22" s="12">
        <f si="12" t="shared"/>
        <v>0</v>
      </c>
      <c r="Q22" s="12">
        <f si="12" t="shared"/>
        <v>0</v>
      </c>
      <c r="R22" s="12">
        <f si="12" t="shared"/>
        <v>0</v>
      </c>
      <c r="S22" s="12">
        <f ref="S22" si="16" t="shared">S9</f>
        <v>0</v>
      </c>
      <c r="T22" s="12"/>
      <c r="U22" s="12">
        <f si="14" t="shared"/>
        <v>0</v>
      </c>
    </row>
    <row r="23" spans="1:32" x14ac:dyDescent="0.25">
      <c r="A23" t="str">
        <f>$A$10</f>
        <v>Redmond</v>
      </c>
      <c r="B23" s="12" t="e">
        <f si="9" t="shared"/>
        <v>#DIV/0!</v>
      </c>
      <c r="C23" s="12" t="e">
        <f si="9" t="shared"/>
        <v>#DIV/0!</v>
      </c>
      <c r="D23" s="12" t="e">
        <f si="9" t="shared"/>
        <v>#DIV/0!</v>
      </c>
      <c r="E23" s="12" t="e">
        <f si="9" t="shared"/>
        <v>#DIV/0!</v>
      </c>
      <c r="F23" s="12" t="e">
        <f si="9" t="shared"/>
        <v>#DIV/0!</v>
      </c>
      <c r="G23" s="12" t="e">
        <f si="9" t="shared"/>
        <v>#DIV/0!</v>
      </c>
      <c r="H23" s="12" t="e">
        <f ref="H23" si="17" t="shared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si="6" t="shared"/>
        <v>0</v>
      </c>
      <c r="N23" s="12">
        <f si="12" t="shared"/>
        <v>0</v>
      </c>
      <c r="O23" s="12">
        <f si="12" t="shared"/>
        <v>0</v>
      </c>
      <c r="P23" s="12">
        <f si="12" t="shared"/>
        <v>0</v>
      </c>
      <c r="Q23" s="12">
        <f si="12" t="shared"/>
        <v>0</v>
      </c>
      <c r="R23" s="12">
        <f si="12" t="shared"/>
        <v>0</v>
      </c>
      <c r="S23" s="12">
        <f ref="S23" si="18" t="shared">S10</f>
        <v>0</v>
      </c>
      <c r="T23" s="12"/>
      <c r="U23" s="12">
        <f si="14" t="shared"/>
        <v>0</v>
      </c>
    </row>
    <row r="24" spans="1:32" x14ac:dyDescent="0.25">
      <c r="A24" t="str">
        <f>$A$11</f>
        <v>Seattle</v>
      </c>
      <c r="B24" s="12">
        <f si="9" t="shared"/>
        <v>2113.0701097722826</v>
      </c>
      <c r="C24" s="12">
        <f si="9" t="shared"/>
        <v>0</v>
      </c>
      <c r="D24" s="12">
        <f si="9" t="shared"/>
        <v>542.17053856113557</v>
      </c>
      <c r="E24" s="12">
        <f si="9" t="shared"/>
        <v>604.21815515786761</v>
      </c>
      <c r="F24" s="12">
        <f si="9" t="shared"/>
        <v>160686.3609185899</v>
      </c>
      <c r="G24" s="12">
        <f si="9" t="shared"/>
        <v>10920.387818304349</v>
      </c>
      <c r="H24" s="12">
        <f ref="H24" si="19" t="shared">($U11/$J11)*H11</f>
        <v>10946.792459614448</v>
      </c>
      <c r="I24" s="12"/>
      <c r="J24" s="12">
        <f si="11" t="shared"/>
        <v>185813</v>
      </c>
      <c r="K24" s="13"/>
      <c r="L24" t="str">
        <f>$A$11</f>
        <v>Seattle</v>
      </c>
      <c r="M24" s="12">
        <f si="6" t="shared"/>
        <v>3038</v>
      </c>
      <c r="N24" s="12">
        <f si="12" t="shared"/>
        <v>549</v>
      </c>
      <c r="O24" s="12">
        <f si="12" t="shared"/>
        <v>8289</v>
      </c>
      <c r="P24" s="12">
        <f si="12" t="shared"/>
        <v>842</v>
      </c>
      <c r="Q24" s="12">
        <f si="12" t="shared"/>
        <v>125210</v>
      </c>
      <c r="R24" s="12">
        <f si="12" t="shared"/>
        <v>5054</v>
      </c>
      <c r="S24" s="12">
        <f ref="S24" si="20" t="shared">S11</f>
        <v>42831</v>
      </c>
      <c r="T24" s="12"/>
      <c r="U24" s="12">
        <f si="14" t="shared"/>
        <v>185813</v>
      </c>
    </row>
    <row r="25" spans="1:32" x14ac:dyDescent="0.25">
      <c r="A25" t="str">
        <f>$A$12</f>
        <v>Seattle Downtown</v>
      </c>
      <c r="B25" s="12">
        <f si="9" t="shared"/>
        <v>0</v>
      </c>
      <c r="C25" s="12">
        <f si="9" t="shared"/>
        <v>0</v>
      </c>
      <c r="D25" s="12">
        <f si="9" t="shared"/>
        <v>49.313871334022622</v>
      </c>
      <c r="E25" s="12">
        <f si="9" t="shared"/>
        <v>198.23618369006206</v>
      </c>
      <c r="F25" s="12">
        <f si="9" t="shared"/>
        <v>6440.0104707294868</v>
      </c>
      <c r="G25" s="12">
        <f si="9" t="shared"/>
        <v>10666.403854245742</v>
      </c>
      <c r="H25" s="12">
        <f ref="H25:H26" si="21" t="shared">($U12/$J12)*H12</f>
        <v>461.03562000068717</v>
      </c>
      <c r="I25" s="12"/>
      <c r="J25" s="12">
        <f si="11" t="shared"/>
        <v>17815</v>
      </c>
      <c r="K25" s="13"/>
      <c r="L25" t="str">
        <f>$A$12</f>
        <v>Seattle Downtown</v>
      </c>
      <c r="M25" s="12">
        <f si="6" t="shared"/>
        <v>518</v>
      </c>
      <c r="N25" s="12">
        <f si="12" t="shared"/>
        <v>99</v>
      </c>
      <c r="O25" s="12">
        <f si="12" t="shared"/>
        <v>368</v>
      </c>
      <c r="P25" s="12">
        <f si="12" t="shared"/>
        <v>99</v>
      </c>
      <c r="Q25" s="12">
        <f si="12" t="shared"/>
        <v>11746</v>
      </c>
      <c r="R25" s="12">
        <f si="12" t="shared"/>
        <v>2946</v>
      </c>
      <c r="S25" s="12">
        <f ref="S25:S26" si="22" t="shared">S12</f>
        <v>2039</v>
      </c>
      <c r="T25" s="12"/>
      <c r="U25" s="12">
        <f si="14" t="shared"/>
        <v>17815</v>
      </c>
    </row>
    <row r="26" spans="1:32" x14ac:dyDescent="0.25">
      <c r="A26" t="str">
        <f>$A$13</f>
        <v>Rest</v>
      </c>
      <c r="B26" s="12">
        <f si="9" t="shared"/>
        <v>2297.8766018520719</v>
      </c>
      <c r="C26" s="12">
        <f si="9" t="shared"/>
        <v>1100.0670806322878</v>
      </c>
      <c r="D26" s="12">
        <f si="9" t="shared"/>
        <v>9490.8428134384922</v>
      </c>
      <c r="E26" s="12">
        <f si="9" t="shared"/>
        <v>2985.9271316604409</v>
      </c>
      <c r="F26" s="12">
        <f si="9" t="shared"/>
        <v>27986.070089072102</v>
      </c>
      <c r="G26" s="12">
        <f si="9" t="shared"/>
        <v>2834.4175083888113</v>
      </c>
      <c r="H26" s="12">
        <f si="21" t="shared"/>
        <v>671842.79877495579</v>
      </c>
      <c r="I26" s="12"/>
      <c r="J26" s="12">
        <f si="11" t="shared"/>
        <v>718538</v>
      </c>
      <c r="K26" s="13"/>
      <c r="L26" t="str">
        <f>$A$13</f>
        <v>Rest</v>
      </c>
      <c r="M26" s="12">
        <f si="6" t="shared"/>
        <v>11768</v>
      </c>
      <c r="N26" s="12">
        <f si="12" t="shared"/>
        <v>946</v>
      </c>
      <c r="O26" s="12">
        <f si="12" t="shared"/>
        <v>5338</v>
      </c>
      <c r="P26" s="12">
        <f si="12" t="shared"/>
        <v>6315</v>
      </c>
      <c r="Q26" s="12">
        <f si="12" t="shared"/>
        <v>14212</v>
      </c>
      <c r="R26" s="12">
        <f si="12" t="shared"/>
        <v>977</v>
      </c>
      <c r="S26" s="12">
        <f si="22" t="shared"/>
        <v>678982</v>
      </c>
      <c r="T26" s="12"/>
      <c r="U26" s="12">
        <f si="14" t="shared"/>
        <v>718538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15324</v>
      </c>
      <c r="N28" s="15">
        <f si="24" t="shared"/>
        <v>1594</v>
      </c>
      <c r="O28" s="15">
        <f si="24" t="shared"/>
        <v>13995</v>
      </c>
      <c r="P28" s="15">
        <f si="24" t="shared"/>
        <v>7256</v>
      </c>
      <c r="Q28" s="15">
        <f si="24" t="shared"/>
        <v>151168</v>
      </c>
      <c r="R28" s="15">
        <f si="24" t="shared"/>
        <v>8977</v>
      </c>
      <c r="S28" s="15">
        <f si="24" t="shared"/>
        <v>723852</v>
      </c>
      <c r="T28" s="15"/>
      <c r="U28" s="15">
        <f si="24" t="shared"/>
        <v>922166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G33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2"/>
      <c r="J33" s="16" t="e">
        <f ref="J33:J39" si="27" t="shared">J20/$J$28</f>
        <v>#DIV/0!</v>
      </c>
      <c r="K33" s="12"/>
      <c r="L33" t="str">
        <f>$A$7</f>
        <v>Bellevue</v>
      </c>
      <c r="M33" s="16">
        <f ref="M33:R33" si="28" t="shared">M20/$U$28</f>
        <v>0</v>
      </c>
      <c r="N33" s="16">
        <f si="28" t="shared"/>
        <v>0</v>
      </c>
      <c r="O33" s="16">
        <f si="28" t="shared"/>
        <v>0</v>
      </c>
      <c r="P33" s="16">
        <f si="28" t="shared"/>
        <v>0</v>
      </c>
      <c r="Q33" s="16">
        <f si="28" t="shared"/>
        <v>0</v>
      </c>
      <c r="R33" s="16">
        <f si="28" t="shared"/>
        <v>0</v>
      </c>
      <c r="S33" s="16">
        <f ref="S33" si="29" t="shared">S20/$U$28</f>
        <v>0</v>
      </c>
      <c r="T33" s="16"/>
      <c r="U33" s="16">
        <f ref="U33:U39" si="30" t="shared">U20/$U$28</f>
        <v>0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ref="B34:G39" si="33" t="shared">B21/$J$28</f>
        <v>#DIV/0!</v>
      </c>
      <c r="C34" s="16" t="e">
        <f si="33" t="shared"/>
        <v>#DIV/0!</v>
      </c>
      <c r="D34" s="16" t="e">
        <f si="33" t="shared"/>
        <v>#DIV/0!</v>
      </c>
      <c r="E34" s="16" t="e">
        <f si="33" t="shared"/>
        <v>#DIV/0!</v>
      </c>
      <c r="F34" s="16" t="e">
        <f si="33" t="shared"/>
        <v>#DIV/0!</v>
      </c>
      <c r="G34" s="16" t="e">
        <f si="33" t="shared"/>
        <v>#DIV/0!</v>
      </c>
      <c r="H34" s="16" t="e">
        <f ref="H34" si="34" t="shared">H21/$J$28</f>
        <v>#DIV/0!</v>
      </c>
      <c r="I34" s="12"/>
      <c r="J34" s="16" t="e">
        <f si="27" t="shared"/>
        <v>#DIV/0!</v>
      </c>
      <c r="K34" s="12"/>
      <c r="L34" t="str">
        <f>$A$8</f>
        <v>Bellevue Downtown</v>
      </c>
      <c r="M34" s="16">
        <f ref="M34:R39" si="35" t="shared">M21/$U$28</f>
        <v>0</v>
      </c>
      <c r="N34" s="16">
        <f si="35" t="shared"/>
        <v>0</v>
      </c>
      <c r="O34" s="16">
        <f si="35" t="shared"/>
        <v>0</v>
      </c>
      <c r="P34" s="16">
        <f si="35" t="shared"/>
        <v>0</v>
      </c>
      <c r="Q34" s="16">
        <f si="35" t="shared"/>
        <v>0</v>
      </c>
      <c r="R34" s="16">
        <f si="35" t="shared"/>
        <v>0</v>
      </c>
      <c r="S34" s="16">
        <f ref="S34" si="36" t="shared">S21/$U$28</f>
        <v>0</v>
      </c>
      <c r="T34" s="16"/>
      <c r="U34" s="16">
        <f si="30" t="shared"/>
        <v>0</v>
      </c>
      <c r="W34" t="str">
        <f>$A$8</f>
        <v>Bellevue Downtown</v>
      </c>
      <c r="X34" s="16" t="e">
        <f ref="X34:X38" si="37" t="shared">M34-B34</f>
        <v>#DIV/0!</v>
      </c>
      <c r="Y34" s="16" t="e">
        <f ref="Y34:AD38" si="38" t="shared">N34-C34</f>
        <v>#DIV/0!</v>
      </c>
      <c r="Z34" s="16" t="e">
        <f si="38" t="shared"/>
        <v>#DIV/0!</v>
      </c>
      <c r="AA34" s="16" t="e">
        <f si="38" t="shared"/>
        <v>#DIV/0!</v>
      </c>
      <c r="AB34" s="16" t="e">
        <f si="38" t="shared"/>
        <v>#DIV/0!</v>
      </c>
      <c r="AC34" s="16" t="e">
        <f si="38" t="shared"/>
        <v>#DIV/0!</v>
      </c>
      <c r="AD34" s="16" t="e">
        <f si="38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33" t="shared"/>
        <v>#DIV/0!</v>
      </c>
      <c r="C35" s="16" t="e">
        <f si="33" t="shared"/>
        <v>#DIV/0!</v>
      </c>
      <c r="D35" s="16" t="e">
        <f si="33" t="shared"/>
        <v>#DIV/0!</v>
      </c>
      <c r="E35" s="16" t="e">
        <f si="33" t="shared"/>
        <v>#DIV/0!</v>
      </c>
      <c r="F35" s="16" t="e">
        <f si="33" t="shared"/>
        <v>#DIV/0!</v>
      </c>
      <c r="G35" s="16" t="e">
        <f si="33" t="shared"/>
        <v>#DIV/0!</v>
      </c>
      <c r="H35" s="16" t="e">
        <f ref="H35" si="39" t="shared">H22/$J$28</f>
        <v>#DIV/0!</v>
      </c>
      <c r="I35" s="12"/>
      <c r="J35" s="16" t="e">
        <f si="27" t="shared"/>
        <v>#DIV/0!</v>
      </c>
      <c r="K35" s="13"/>
      <c r="L35" t="str">
        <f>$A$9</f>
        <v>Kirkland</v>
      </c>
      <c r="M35" s="16">
        <f si="35" t="shared"/>
        <v>0</v>
      </c>
      <c r="N35" s="16">
        <f si="35" t="shared"/>
        <v>0</v>
      </c>
      <c r="O35" s="16">
        <f si="35" t="shared"/>
        <v>0</v>
      </c>
      <c r="P35" s="16">
        <f si="35" t="shared"/>
        <v>0</v>
      </c>
      <c r="Q35" s="16">
        <f si="35" t="shared"/>
        <v>0</v>
      </c>
      <c r="R35" s="16">
        <f si="35" t="shared"/>
        <v>0</v>
      </c>
      <c r="S35" s="16">
        <f ref="S35" si="40" t="shared">S22/$U$28</f>
        <v>0</v>
      </c>
      <c r="T35" s="16"/>
      <c r="U35" s="16">
        <f si="30" t="shared"/>
        <v>0</v>
      </c>
      <c r="W35" t="str">
        <f>$A$9</f>
        <v>Kirkland</v>
      </c>
      <c r="X35" s="16" t="e">
        <f si="37" t="shared"/>
        <v>#DIV/0!</v>
      </c>
      <c r="Y35" s="16" t="e">
        <f si="38" t="shared"/>
        <v>#DIV/0!</v>
      </c>
      <c r="Z35" s="16" t="e">
        <f si="38" t="shared"/>
        <v>#DIV/0!</v>
      </c>
      <c r="AA35" s="16" t="e">
        <f si="38" t="shared"/>
        <v>#DIV/0!</v>
      </c>
      <c r="AB35" s="16" t="e">
        <f si="38" t="shared"/>
        <v>#DIV/0!</v>
      </c>
      <c r="AC35" s="16" t="e">
        <f si="38" t="shared"/>
        <v>#DIV/0!</v>
      </c>
      <c r="AD35" s="16" t="e">
        <f si="38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33" t="shared"/>
        <v>#DIV/0!</v>
      </c>
      <c r="C36" s="16" t="e">
        <f si="33" t="shared"/>
        <v>#DIV/0!</v>
      </c>
      <c r="D36" s="16" t="e">
        <f si="33" t="shared"/>
        <v>#DIV/0!</v>
      </c>
      <c r="E36" s="16" t="e">
        <f si="33" t="shared"/>
        <v>#DIV/0!</v>
      </c>
      <c r="F36" s="16" t="e">
        <f si="33" t="shared"/>
        <v>#DIV/0!</v>
      </c>
      <c r="G36" s="16" t="e">
        <f si="33" t="shared"/>
        <v>#DIV/0!</v>
      </c>
      <c r="H36" s="16" t="e">
        <f ref="H36" si="41" t="shared">H23/$J$28</f>
        <v>#DIV/0!</v>
      </c>
      <c r="I36" s="12"/>
      <c r="J36" s="16" t="e">
        <f si="27" t="shared"/>
        <v>#DIV/0!</v>
      </c>
      <c r="K36" s="13"/>
      <c r="L36" t="str">
        <f>$A$10</f>
        <v>Redmond</v>
      </c>
      <c r="M36" s="16">
        <f si="35" t="shared"/>
        <v>0</v>
      </c>
      <c r="N36" s="16">
        <f si="35" t="shared"/>
        <v>0</v>
      </c>
      <c r="O36" s="16">
        <f si="35" t="shared"/>
        <v>0</v>
      </c>
      <c r="P36" s="16">
        <f si="35" t="shared"/>
        <v>0</v>
      </c>
      <c r="Q36" s="16">
        <f si="35" t="shared"/>
        <v>0</v>
      </c>
      <c r="R36" s="16">
        <f si="35" t="shared"/>
        <v>0</v>
      </c>
      <c r="S36" s="16">
        <f ref="S36" si="42" t="shared">S23/$U$28</f>
        <v>0</v>
      </c>
      <c r="T36" s="16"/>
      <c r="U36" s="16">
        <f si="30" t="shared"/>
        <v>0</v>
      </c>
      <c r="W36" t="str">
        <f>$A$10</f>
        <v>Redmond</v>
      </c>
      <c r="X36" s="16" t="e">
        <f si="37" t="shared"/>
        <v>#DIV/0!</v>
      </c>
      <c r="Y36" s="16" t="e">
        <f si="38" t="shared"/>
        <v>#DIV/0!</v>
      </c>
      <c r="Z36" s="16" t="e">
        <f si="38" t="shared"/>
        <v>#DIV/0!</v>
      </c>
      <c r="AA36" s="16" t="e">
        <f si="38" t="shared"/>
        <v>#DIV/0!</v>
      </c>
      <c r="AB36" s="16" t="e">
        <f si="38" t="shared"/>
        <v>#DIV/0!</v>
      </c>
      <c r="AC36" s="16" t="e">
        <f si="38" t="shared"/>
        <v>#DIV/0!</v>
      </c>
      <c r="AD36" s="16" t="e">
        <f si="38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33" t="shared"/>
        <v>#DIV/0!</v>
      </c>
      <c r="C37" s="16" t="e">
        <f si="33" t="shared"/>
        <v>#DIV/0!</v>
      </c>
      <c r="D37" s="16" t="e">
        <f si="33" t="shared"/>
        <v>#DIV/0!</v>
      </c>
      <c r="E37" s="16" t="e">
        <f si="33" t="shared"/>
        <v>#DIV/0!</v>
      </c>
      <c r="F37" s="16" t="e">
        <f si="33" t="shared"/>
        <v>#DIV/0!</v>
      </c>
      <c r="G37" s="16" t="e">
        <f si="33" t="shared"/>
        <v>#DIV/0!</v>
      </c>
      <c r="H37" s="16" t="e">
        <f ref="H37" si="43" t="shared">H24/$J$28</f>
        <v>#DIV/0!</v>
      </c>
      <c r="I37" s="12"/>
      <c r="J37" s="16" t="e">
        <f si="27" t="shared"/>
        <v>#DIV/0!</v>
      </c>
      <c r="K37" s="13"/>
      <c r="L37" t="str">
        <f>$A$11</f>
        <v>Seattle</v>
      </c>
      <c r="M37" s="16">
        <f si="35" t="shared"/>
        <v>3.2944177078747211E-3</v>
      </c>
      <c r="N37" s="16">
        <f si="35" t="shared"/>
        <v>5.9533749888848644E-4</v>
      </c>
      <c r="O37" s="16">
        <f si="35" t="shared"/>
        <v>8.9886202701032133E-3</v>
      </c>
      <c r="P37" s="16">
        <f si="35" t="shared"/>
        <v>9.1306771232077522E-4</v>
      </c>
      <c r="Q37" s="16">
        <f si="35" t="shared"/>
        <v>0.1357781570780098</v>
      </c>
      <c r="R37" s="16">
        <f si="35" t="shared"/>
        <v>5.4805750808422779E-3</v>
      </c>
      <c r="S37" s="16">
        <f ref="S37" si="44" t="shared">S24/$U$28</f>
        <v>4.6446084544431263E-2</v>
      </c>
      <c r="T37" s="16"/>
      <c r="U37" s="16">
        <f si="30" t="shared"/>
        <v>0.20149625989247055</v>
      </c>
      <c r="W37" t="str">
        <f>$A$11</f>
        <v>Seattle</v>
      </c>
      <c r="X37" s="16" t="e">
        <f si="37" t="shared"/>
        <v>#DIV/0!</v>
      </c>
      <c r="Y37" s="16" t="e">
        <f si="38" t="shared"/>
        <v>#DIV/0!</v>
      </c>
      <c r="Z37" s="16" t="e">
        <f si="38" t="shared"/>
        <v>#DIV/0!</v>
      </c>
      <c r="AA37" s="16" t="e">
        <f si="38" t="shared"/>
        <v>#DIV/0!</v>
      </c>
      <c r="AB37" s="16" t="e">
        <f si="38" t="shared"/>
        <v>#DIV/0!</v>
      </c>
      <c r="AC37" s="16" t="e">
        <f si="38" t="shared"/>
        <v>#DIV/0!</v>
      </c>
      <c r="AD37" s="16" t="e">
        <f si="38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33" t="shared"/>
        <v>#DIV/0!</v>
      </c>
      <c r="C38" s="16" t="e">
        <f si="33" t="shared"/>
        <v>#DIV/0!</v>
      </c>
      <c r="D38" s="16" t="e">
        <f si="33" t="shared"/>
        <v>#DIV/0!</v>
      </c>
      <c r="E38" s="16" t="e">
        <f si="33" t="shared"/>
        <v>#DIV/0!</v>
      </c>
      <c r="F38" s="16" t="e">
        <f si="33" t="shared"/>
        <v>#DIV/0!</v>
      </c>
      <c r="G38" s="16" t="e">
        <f si="33" t="shared"/>
        <v>#DIV/0!</v>
      </c>
      <c r="H38" s="16" t="e">
        <f ref="H38:H39" si="45" t="shared">H25/$J$28</f>
        <v>#DIV/0!</v>
      </c>
      <c r="I38" s="12"/>
      <c r="J38" s="16" t="e">
        <f si="27" t="shared"/>
        <v>#DIV/0!</v>
      </c>
      <c r="K38" s="13"/>
      <c r="L38" t="str">
        <f>$A$12</f>
        <v>Seattle Downtown</v>
      </c>
      <c r="M38" s="16">
        <f si="35" t="shared"/>
        <v>5.61720991665275E-4</v>
      </c>
      <c r="N38" s="16">
        <f si="35" t="shared"/>
        <v>1.0735594242251395E-4</v>
      </c>
      <c r="O38" s="16">
        <f si="35" t="shared"/>
        <v>3.9906047284328418E-4</v>
      </c>
      <c r="P38" s="16">
        <f si="35" t="shared"/>
        <v>1.0735594242251395E-4</v>
      </c>
      <c r="Q38" s="16">
        <f si="35" t="shared"/>
        <v>1.2737403027220696E-2</v>
      </c>
      <c r="R38" s="16">
        <f si="35" t="shared"/>
        <v>3.1946525896638998E-3</v>
      </c>
      <c r="S38" s="16">
        <f ref="S38:S39" si="46" t="shared">S25/$U$28</f>
        <v>2.2110986525202621E-3</v>
      </c>
      <c r="T38" s="16"/>
      <c r="U38" s="16">
        <f si="30" t="shared"/>
        <v>1.9318647618758445E-2</v>
      </c>
      <c r="W38" t="str">
        <f>$A$12</f>
        <v>Seattle Downtown</v>
      </c>
      <c r="X38" s="16" t="e">
        <f si="37" t="shared"/>
        <v>#DIV/0!</v>
      </c>
      <c r="Y38" s="16" t="e">
        <f si="38" t="shared"/>
        <v>#DIV/0!</v>
      </c>
      <c r="Z38" s="16" t="e">
        <f si="38" t="shared"/>
        <v>#DIV/0!</v>
      </c>
      <c r="AA38" s="16" t="e">
        <f si="38" t="shared"/>
        <v>#DIV/0!</v>
      </c>
      <c r="AB38" s="16" t="e">
        <f si="38" t="shared"/>
        <v>#DIV/0!</v>
      </c>
      <c r="AC38" s="16" t="e">
        <f si="38" t="shared"/>
        <v>#DIV/0!</v>
      </c>
      <c r="AD38" s="16" t="e">
        <f si="38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33" t="shared"/>
        <v>#DIV/0!</v>
      </c>
      <c r="C39" s="16" t="e">
        <f si="33" t="shared"/>
        <v>#DIV/0!</v>
      </c>
      <c r="D39" s="16" t="e">
        <f si="33" t="shared"/>
        <v>#DIV/0!</v>
      </c>
      <c r="E39" s="16" t="e">
        <f si="33" t="shared"/>
        <v>#DIV/0!</v>
      </c>
      <c r="F39" s="16" t="e">
        <f si="33" t="shared"/>
        <v>#DIV/0!</v>
      </c>
      <c r="G39" s="16" t="e">
        <f si="33" t="shared"/>
        <v>#DIV/0!</v>
      </c>
      <c r="H39" s="16" t="e">
        <f si="45" t="shared"/>
        <v>#DIV/0!</v>
      </c>
      <c r="I39" s="12"/>
      <c r="J39" s="16" t="e">
        <f si="27" t="shared"/>
        <v>#DIV/0!</v>
      </c>
      <c r="K39" s="13"/>
      <c r="L39" t="str">
        <f>$A$13</f>
        <v>Rest</v>
      </c>
      <c r="M39" s="16">
        <f si="35" t="shared"/>
        <v>1.2761259903314587E-2</v>
      </c>
      <c r="N39" s="16">
        <f si="35" t="shared"/>
        <v>1.0258456720373555E-3</v>
      </c>
      <c r="O39" s="16">
        <f si="35" t="shared"/>
        <v>5.788545663145247E-3</v>
      </c>
      <c r="P39" s="16">
        <f si="35" t="shared"/>
        <v>6.8480078424058141E-3</v>
      </c>
      <c r="Q39" s="16">
        <f si="35" t="shared"/>
        <v>1.5411541956654225E-2</v>
      </c>
      <c r="R39" s="16">
        <f si="35" t="shared"/>
        <v>1.0594621792605671E-3</v>
      </c>
      <c r="S39" s="16">
        <f si="46" t="shared"/>
        <v>0.73629042927195321</v>
      </c>
      <c r="T39" s="16"/>
      <c r="U39" s="16">
        <f si="30" t="shared"/>
        <v>0.77918509248877099</v>
      </c>
      <c r="W39" t="str">
        <f>$A$13</f>
        <v>Rest</v>
      </c>
      <c r="X39" s="16" t="e">
        <f ref="X39" si="47" t="shared">M39-B39</f>
        <v>#DIV/0!</v>
      </c>
      <c r="Y39" s="16" t="e">
        <f ref="Y39" si="48" t="shared">N39-C39</f>
        <v>#DIV/0!</v>
      </c>
      <c r="Z39" s="16" t="e">
        <f ref="Z39" si="49" t="shared">O39-D39</f>
        <v>#DIV/0!</v>
      </c>
      <c r="AA39" s="16" t="e">
        <f ref="AA39" si="50" t="shared">P39-E39</f>
        <v>#DIV/0!</v>
      </c>
      <c r="AB39" s="16" t="e">
        <f ref="AB39" si="51" t="shared">Q39-F39</f>
        <v>#DIV/0!</v>
      </c>
      <c r="AC39" s="16" t="e">
        <f ref="AC39:AD39" si="52" t="shared">R39-G39</f>
        <v>#DIV/0!</v>
      </c>
      <c r="AD39" s="16" t="e">
        <f si="52" t="shared"/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ht="15.75" r="41" spans="1:32" thickBot="1" x14ac:dyDescent="0.3">
      <c r="A41" s="1" t="s">
        <v>4</v>
      </c>
      <c r="B41" s="18" t="e">
        <f ref="B41:J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 si="53" t="shared"/>
        <v>#DIV/0!</v>
      </c>
      <c r="J41" s="18" t="e">
        <f si="53" t="shared"/>
        <v>#DIV/0!</v>
      </c>
      <c r="K41" s="12"/>
      <c r="L41" s="15" t="s">
        <v>4</v>
      </c>
      <c r="M41" s="18">
        <f>M28/$U$28</f>
        <v>1.6617398602854584E-2</v>
      </c>
      <c r="N41" s="18">
        <f>N28/$U$28</f>
        <v>1.7285391133483559E-3</v>
      </c>
      <c r="O41" s="18">
        <f>O28/$U$28</f>
        <v>1.5176226406091745E-2</v>
      </c>
      <c r="P41" s="18">
        <f>P28/$U$28</f>
        <v>7.8684314971491035E-3</v>
      </c>
      <c r="Q41" s="18">
        <f ref="Q41:S41" si="54" t="shared">Q28/$U$28</f>
        <v>0.16392710206188474</v>
      </c>
      <c r="R41" s="18">
        <f si="54" t="shared"/>
        <v>9.7346898497667443E-3</v>
      </c>
      <c r="S41" s="18">
        <f si="54" t="shared"/>
        <v>0.78494761246890477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295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68" workbookViewId="0">
      <selection activeCell="K98" sqref="K98"/>
    </sheetView>
  </sheetViews>
  <sheetFormatPr defaultRowHeight="15" x14ac:dyDescent="0.25"/>
  <cols>
    <col min="2" max="2" bestFit="true" customWidth="true" width="10.7109375" collapsed="true"/>
    <col min="3" max="3" bestFit="true" customWidth="true" width="13.7109375" collapsed="true"/>
  </cols>
  <sheetData>
    <row r="1" spans="1:4" x14ac:dyDescent="0.25">
      <c r="A1" s="298" t="s">
        <v>42</v>
      </c>
    </row>
    <row r="2" spans="1:4" x14ac:dyDescent="0.25">
      <c r="A2" t="s">
        <v>258</v>
      </c>
      <c r="B2" t="s">
        <v>259</v>
      </c>
      <c r="C2" t="s">
        <v>91</v>
      </c>
      <c r="D2" t="s">
        <v>260</v>
      </c>
    </row>
    <row r="3" spans="1:4" x14ac:dyDescent="0.25">
      <c r="A3">
        <v>1</v>
      </c>
      <c r="B3" t="s">
        <v>45</v>
      </c>
      <c r="C3" t="s">
        <v>277</v>
      </c>
      <c r="D3" t="s">
        <v>46</v>
      </c>
    </row>
    <row r="4" spans="1:4" x14ac:dyDescent="0.25">
      <c r="A4">
        <v>2</v>
      </c>
      <c r="B4" t="s">
        <v>48</v>
      </c>
      <c r="C4" t="s">
        <v>277</v>
      </c>
      <c r="D4" t="s">
        <v>49</v>
      </c>
    </row>
    <row r="5" spans="1:4" x14ac:dyDescent="0.25">
      <c r="A5">
        <v>3</v>
      </c>
      <c r="B5" t="s">
        <v>51</v>
      </c>
      <c r="C5" t="s">
        <v>277</v>
      </c>
      <c r="D5" t="s">
        <v>52</v>
      </c>
    </row>
    <row r="6" spans="1:4" x14ac:dyDescent="0.25">
      <c r="A6">
        <v>4</v>
      </c>
      <c r="B6" t="s">
        <v>54</v>
      </c>
      <c r="C6" t="s">
        <v>277</v>
      </c>
      <c r="D6" t="s">
        <v>55</v>
      </c>
    </row>
    <row r="7" spans="1:4" x14ac:dyDescent="0.25">
      <c r="A7">
        <v>5</v>
      </c>
      <c r="B7" t="s">
        <v>57</v>
      </c>
      <c r="C7" t="s">
        <v>277</v>
      </c>
      <c r="D7" t="s">
        <v>58</v>
      </c>
    </row>
    <row r="8" spans="1:4" x14ac:dyDescent="0.25">
      <c r="A8">
        <v>6</v>
      </c>
      <c r="B8" t="s">
        <v>59</v>
      </c>
      <c r="C8" t="s">
        <v>277</v>
      </c>
      <c r="D8" t="s">
        <v>60</v>
      </c>
    </row>
    <row r="9" spans="1:4" x14ac:dyDescent="0.25">
      <c r="A9">
        <v>7</v>
      </c>
      <c r="B9" t="s">
        <v>61</v>
      </c>
      <c r="C9" t="s">
        <v>277</v>
      </c>
      <c r="D9" t="s">
        <v>62</v>
      </c>
    </row>
    <row r="10" spans="1:4" x14ac:dyDescent="0.25">
      <c r="A10">
        <v>8</v>
      </c>
      <c r="B10" t="s">
        <v>64</v>
      </c>
      <c r="C10" t="s">
        <v>277</v>
      </c>
      <c r="D10" t="s">
        <v>65</v>
      </c>
    </row>
    <row r="11" spans="1:4" x14ac:dyDescent="0.25">
      <c r="A11">
        <v>9</v>
      </c>
      <c r="B11" t="s">
        <v>66</v>
      </c>
      <c r="C11" t="s">
        <v>277</v>
      </c>
      <c r="D11" t="s">
        <v>67</v>
      </c>
    </row>
    <row r="12" spans="1:4" x14ac:dyDescent="0.25">
      <c r="A12">
        <v>10</v>
      </c>
      <c r="B12" t="s">
        <v>68</v>
      </c>
      <c r="C12" t="s">
        <v>277</v>
      </c>
      <c r="D12" t="s">
        <v>69</v>
      </c>
    </row>
    <row r="13" spans="1:4" x14ac:dyDescent="0.25">
      <c r="A13">
        <v>11</v>
      </c>
      <c r="B13" t="s">
        <v>70</v>
      </c>
      <c r="C13" t="s">
        <v>277</v>
      </c>
      <c r="D13" t="s">
        <v>71</v>
      </c>
    </row>
    <row r="14" spans="1:4" x14ac:dyDescent="0.25">
      <c r="A14">
        <v>12</v>
      </c>
      <c r="B14" t="s">
        <v>72</v>
      </c>
      <c r="C14" t="s">
        <v>277</v>
      </c>
      <c r="D14" t="s">
        <v>73</v>
      </c>
    </row>
    <row r="15" spans="1:4" x14ac:dyDescent="0.25">
      <c r="A15">
        <v>13</v>
      </c>
      <c r="B15" t="s">
        <v>74</v>
      </c>
      <c r="C15" t="s">
        <v>277</v>
      </c>
      <c r="D15" t="s">
        <v>75</v>
      </c>
    </row>
    <row r="16" spans="1:4" x14ac:dyDescent="0.25">
      <c r="A16">
        <v>14</v>
      </c>
      <c r="B16" t="s">
        <v>76</v>
      </c>
      <c r="C16" t="s">
        <v>277</v>
      </c>
      <c r="D16" t="s">
        <v>77</v>
      </c>
    </row>
    <row r="17" spans="1:4" x14ac:dyDescent="0.25">
      <c r="A17">
        <v>15</v>
      </c>
      <c r="B17" t="s">
        <v>78</v>
      </c>
      <c r="C17" t="s">
        <v>277</v>
      </c>
      <c r="D17" t="s">
        <v>79</v>
      </c>
    </row>
    <row r="18" spans="1:4" x14ac:dyDescent="0.25">
      <c r="A18">
        <v>16</v>
      </c>
      <c r="B18" t="s">
        <v>80</v>
      </c>
      <c r="C18" t="s">
        <v>277</v>
      </c>
      <c r="D18" t="s">
        <v>81</v>
      </c>
    </row>
    <row r="19" spans="1:4" x14ac:dyDescent="0.25">
      <c r="A19">
        <v>17</v>
      </c>
      <c r="B19" t="s">
        <v>83</v>
      </c>
      <c r="C19" t="s">
        <v>277</v>
      </c>
      <c r="D19" t="s">
        <v>84</v>
      </c>
    </row>
    <row r="20" spans="1:4" x14ac:dyDescent="0.25">
      <c r="A20">
        <v>18</v>
      </c>
      <c r="B20" t="s">
        <v>86</v>
      </c>
      <c r="C20" t="s">
        <v>277</v>
      </c>
      <c r="D20" t="s">
        <v>87</v>
      </c>
    </row>
    <row r="21" spans="1:4" x14ac:dyDescent="0.25">
      <c r="A21">
        <v>19</v>
      </c>
      <c r="B21" t="s">
        <v>89</v>
      </c>
      <c r="C21" t="s">
        <v>277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256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sqref="A1:N1048576"/>
    </sheetView>
  </sheetViews>
  <sheetFormatPr defaultRowHeight="15" x14ac:dyDescent="0.25"/>
  <sheetData>
    <row r="1" spans="1:11" x14ac:dyDescent="0.25">
      <c r="A1" s="351" t="s">
        <v>227</v>
      </c>
      <c r="B1" s="352"/>
      <c r="C1" s="352"/>
      <c r="D1" s="352"/>
      <c r="E1" s="352"/>
      <c r="F1" s="352"/>
      <c r="G1" s="352"/>
      <c r="H1" s="352" t="s">
        <v>228</v>
      </c>
      <c r="I1" s="352"/>
      <c r="J1" s="352"/>
      <c r="K1" s="353"/>
    </row>
    <row r="2" spans="1:11" x14ac:dyDescent="0.25">
      <c r="A2" s="354">
        <v>1</v>
      </c>
      <c r="B2" s="355" t="s">
        <v>264</v>
      </c>
      <c r="C2" s="355"/>
      <c r="D2" s="355"/>
      <c r="E2" s="355"/>
      <c r="F2" s="355"/>
      <c r="G2" s="355"/>
      <c r="H2" s="355"/>
      <c r="I2" s="355"/>
      <c r="J2" s="355"/>
      <c r="K2" s="356"/>
    </row>
    <row r="3" spans="1:11" x14ac:dyDescent="0.25">
      <c r="A3" s="354">
        <v>2</v>
      </c>
      <c r="B3" s="355" t="s">
        <v>229</v>
      </c>
      <c r="C3" s="355"/>
      <c r="D3" s="355"/>
      <c r="E3" s="355"/>
      <c r="F3" s="355"/>
      <c r="G3" s="355"/>
      <c r="H3" s="355"/>
      <c r="I3" s="355"/>
      <c r="J3" s="355"/>
      <c r="K3" s="356"/>
    </row>
    <row r="4" spans="1:11" x14ac:dyDescent="0.25">
      <c r="A4" s="354">
        <v>3</v>
      </c>
      <c r="B4" s="355" t="s">
        <v>230</v>
      </c>
      <c r="C4" s="355"/>
      <c r="D4" s="355"/>
      <c r="E4" s="355"/>
      <c r="F4" s="355"/>
      <c r="G4" s="355"/>
      <c r="H4" s="355"/>
      <c r="I4" s="355"/>
      <c r="J4" s="355"/>
      <c r="K4" s="356"/>
    </row>
    <row r="5" spans="1:11" x14ac:dyDescent="0.25">
      <c r="A5" s="357">
        <v>4</v>
      </c>
      <c r="B5" s="358" t="s">
        <v>231</v>
      </c>
      <c r="C5" s="358"/>
      <c r="D5" s="358"/>
      <c r="E5" s="358"/>
      <c r="F5" s="358"/>
      <c r="G5" s="358"/>
      <c r="H5" s="358"/>
      <c r="I5" s="358"/>
      <c r="J5" s="358"/>
      <c r="K5" s="359"/>
    </row>
    <row r="8" spans="1:11" x14ac:dyDescent="0.25">
      <c r="A8" t="s">
        <v>232</v>
      </c>
      <c r="B8" t="s">
        <v>233</v>
      </c>
      <c r="C8" t="s">
        <v>234</v>
      </c>
      <c r="D8" t="s">
        <v>254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0.46135416666666668</v>
      </c>
      <c r="G9" t="s">
        <v>239</v>
      </c>
      <c r="H9">
        <v>31</v>
      </c>
      <c r="I9" t="s">
        <v>255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336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336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336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336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336">
        <v>0</v>
      </c>
    </row>
    <row r="46" spans="2:6" x14ac:dyDescent="0.25">
      <c r="B46">
        <v>36</v>
      </c>
      <c r="C46" t="s">
        <v>123</v>
      </c>
      <c r="D46" t="s">
        <v>242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256</v>
      </c>
      <c r="D68" t="s">
        <v>241</v>
      </c>
      <c r="E68" s="336">
        <v>-3</v>
      </c>
      <c r="F68" s="336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257</v>
      </c>
      <c r="D115" t="s">
        <v>239</v>
      </c>
      <c r="E115">
        <v>31</v>
      </c>
      <c r="F115" t="s">
        <v>255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Y104"/>
  <sheetViews>
    <sheetView tabSelected="1" workbookViewId="0" zoomScaleNormal="100">
      <selection activeCell="K9" sqref="K9"/>
    </sheetView>
  </sheetViews>
  <sheetFormatPr defaultRowHeight="15" x14ac:dyDescent="0.25"/>
  <cols>
    <col min="1" max="2" style="297" width="9.140625" collapsed="true"/>
    <col min="3" max="3" bestFit="true" customWidth="true" style="297" width="12.7109375" collapsed="true"/>
    <col min="4" max="4" customWidth="true" style="296" width="18.85546875" collapsed="true"/>
    <col min="5" max="5" customWidth="true" style="297" width="6.7109375" collapsed="true"/>
    <col min="6" max="6" customWidth="true" style="297" width="12.7109375" collapsed="true"/>
    <col min="7" max="7" customWidth="true" style="296" width="18.85546875" collapsed="true"/>
    <col min="8" max="8" customWidth="true" style="296" width="8.7109375" collapsed="true"/>
    <col min="9" max="9" customWidth="true" style="296" width="6.5703125" collapsed="true"/>
    <col min="10" max="10" customWidth="true" style="296" width="10.140625" collapsed="true"/>
    <col min="11" max="11" customWidth="true" style="296" width="9.85546875" collapsed="true"/>
    <col min="12" max="14" style="297" width="9.140625" collapsed="true"/>
    <col min="15" max="15" customWidth="true" style="297" width="13.0" collapsed="true"/>
    <col min="16" max="16" bestFit="true" customWidth="true" style="299" width="19.5703125" collapsed="true"/>
    <col min="17" max="17" customWidth="true" style="334" width="19.5703125" collapsed="true"/>
    <col min="18" max="16384" style="297" width="9.140625" collapsed="true"/>
  </cols>
  <sheetData>
    <row r="1" spans="3:25" x14ac:dyDescent="0.25">
      <c r="C1" s="10" t="s">
        <v>40</v>
      </c>
      <c r="F1" s="10" t="s">
        <v>41</v>
      </c>
      <c r="N1" s="298" t="s">
        <v>263</v>
      </c>
      <c r="S1" s="298"/>
      <c r="T1" s="298" t="s">
        <v>263</v>
      </c>
      <c r="U1" s="322"/>
      <c r="V1" s="322"/>
      <c r="W1" s="322"/>
      <c r="X1" s="322"/>
      <c r="Y1" s="322"/>
    </row>
    <row ht="15.75" r="2" spans="3:25" thickBot="1" x14ac:dyDescent="0.3">
      <c r="C2" s="298" t="s">
        <v>43</v>
      </c>
      <c r="M2" s="10" t="s">
        <v>91</v>
      </c>
      <c r="N2" s="10" t="s">
        <v>258</v>
      </c>
      <c r="O2" s="10" t="s">
        <v>259</v>
      </c>
      <c r="P2" s="349" t="s">
        <v>261</v>
      </c>
      <c r="Q2" s="350" t="s">
        <v>262</v>
      </c>
      <c r="T2" s="322"/>
      <c r="U2" s="298" t="s">
        <v>265</v>
      </c>
      <c r="V2"/>
      <c r="W2" s="322"/>
      <c r="X2" s="322"/>
      <c r="Y2" s="322"/>
    </row>
    <row r="3" spans="3:25" x14ac:dyDescent="0.25">
      <c r="C3" s="300" t="s">
        <v>3</v>
      </c>
      <c r="D3" s="301" t="s">
        <v>44</v>
      </c>
      <c r="F3" s="300" t="s">
        <v>3</v>
      </c>
      <c r="G3" s="301" t="s">
        <v>44</v>
      </c>
      <c r="H3" s="366"/>
      <c r="I3" s="366"/>
      <c r="J3" s="366"/>
      <c r="K3" s="366"/>
      <c r="L3" s="302"/>
      <c r="M3" s="297" t="str">
        <f>VLOOKUP(N3,Coeff_Descr!$A:$D,3,FALSE)</f>
        <v>ALL</v>
      </c>
      <c r="N3" s="297">
        <f>OtherTourDestination!B11</f>
        <v>1</v>
      </c>
      <c r="O3" s="297" t="str">
        <f>OtherTourDestination!C11</f>
        <v>Beta00001</v>
      </c>
      <c r="P3" s="299">
        <f>OtherTourDestination!E11</f>
        <v>1</v>
      </c>
      <c r="Q3" s="337">
        <f>_xlfn.IFNA(VLOOKUP(N3,$B$43:$D$46,3,FALSE),P3)</f>
        <v>1</v>
      </c>
      <c r="T3">
        <v>1</v>
      </c>
      <c r="U3" s="294" t="s">
        <v>281</v>
      </c>
      <c r="V3"/>
      <c r="W3" s="322"/>
      <c r="X3" s="322"/>
      <c r="Y3" s="322"/>
    </row>
    <row r="4" spans="3:25" x14ac:dyDescent="0.25">
      <c r="C4" s="303" t="s">
        <v>47</v>
      </c>
      <c r="D4" s="304">
        <f>TLFD!B11</f>
        <v>23655.6280813759</v>
      </c>
      <c r="F4" s="303" t="s">
        <v>47</v>
      </c>
      <c r="G4" s="304">
        <f>TLFD!F11</f>
        <v>98804</v>
      </c>
      <c r="H4" s="304"/>
      <c r="I4" s="304"/>
      <c r="J4" s="304"/>
      <c r="K4" s="304"/>
      <c r="L4" s="305"/>
      <c r="M4" s="297" t="str">
        <f>VLOOKUP(N4,Coeff_Descr!$A:$D,3,FALSE)</f>
        <v>ALL</v>
      </c>
      <c r="N4" s="297">
        <f>OtherTourDestination!B12</f>
        <v>2</v>
      </c>
      <c r="O4" s="297" t="str">
        <f>OtherTourDestination!C12</f>
        <v>Beta00002</v>
      </c>
      <c r="P4" s="299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273</v>
      </c>
      <c r="V4"/>
      <c r="W4" s="322"/>
      <c r="X4" s="322"/>
      <c r="Y4" s="322"/>
    </row>
    <row r="5" spans="3:25" x14ac:dyDescent="0.25">
      <c r="C5" s="306" t="s">
        <v>50</v>
      </c>
      <c r="D5" s="307">
        <f>TLFD!B12+TLFD!B13+(TLFD!B14/2)</f>
        <v>202869.41648576572</v>
      </c>
      <c r="F5" s="306" t="s">
        <v>50</v>
      </c>
      <c r="G5" s="307">
        <f>TLFD!F12+TLFD!F13+(TLFD!F14/2)</f>
        <v>131501.5</v>
      </c>
      <c r="H5" s="307"/>
      <c r="I5" s="307"/>
      <c r="J5" s="307"/>
      <c r="K5" s="307"/>
      <c r="L5" s="305"/>
      <c r="M5" s="297" t="str">
        <f>VLOOKUP(N5,Coeff_Descr!$A:$D,3,FALSE)</f>
        <v>ALL</v>
      </c>
      <c r="N5" s="297">
        <f>OtherTourDestination!B13</f>
        <v>3</v>
      </c>
      <c r="O5" s="297" t="str">
        <f>OtherTourDestination!C13</f>
        <v>Beta00003</v>
      </c>
      <c r="P5" s="299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2" t="s">
        <v>275</v>
      </c>
      <c r="V5" s="322"/>
      <c r="W5" s="322"/>
      <c r="X5" s="322"/>
      <c r="Y5" s="322"/>
    </row>
    <row r="6" spans="3:25" x14ac:dyDescent="0.25">
      <c r="C6" s="306" t="s">
        <v>53</v>
      </c>
      <c r="D6" s="307">
        <f>(TLFD!B14/2)+SUM(TLFD!B15:B20)</f>
        <v>546036.42913973075</v>
      </c>
      <c r="F6" s="306" t="s">
        <v>53</v>
      </c>
      <c r="G6" s="307">
        <f>(TLFD!F14/2)+SUM(TLFD!F15:F20)</f>
        <v>528279.5</v>
      </c>
      <c r="H6" s="307"/>
      <c r="I6" s="307"/>
      <c r="J6" s="307"/>
      <c r="K6" s="307"/>
      <c r="L6" s="308"/>
      <c r="M6" s="297" t="str">
        <f>VLOOKUP(N6,Coeff_Descr!$A:$D,3,FALSE)</f>
        <v>ALL</v>
      </c>
      <c r="N6" s="297">
        <f>OtherTourDestination!B14</f>
        <v>4</v>
      </c>
      <c r="O6" s="297" t="str">
        <f>OtherTourDestination!C14</f>
        <v>Beta00004</v>
      </c>
      <c r="P6" s="299">
        <f>OtherTourDestination!E14</f>
        <v>0.27120783067900001</v>
      </c>
      <c r="Q6" s="337">
        <f si="0" t="shared"/>
        <v>0.27120783067900001</v>
      </c>
      <c r="T6">
        <v>4</v>
      </c>
      <c r="U6" s="322" t="s">
        <v>266</v>
      </c>
      <c r="V6" s="322"/>
      <c r="W6" s="322"/>
      <c r="X6" s="322"/>
      <c r="Y6" s="322"/>
    </row>
    <row r="7" spans="3:25" x14ac:dyDescent="0.25">
      <c r="C7" s="309" t="s">
        <v>56</v>
      </c>
      <c r="D7" s="310">
        <f>SUM(TLFD!B21:B101)</f>
        <v>192043.62173705088</v>
      </c>
      <c r="F7" s="309" t="s">
        <v>56</v>
      </c>
      <c r="G7" s="310">
        <f>SUM(TLFD!F21:F101)</f>
        <v>169264</v>
      </c>
      <c r="H7" s="367"/>
      <c r="I7" s="367"/>
      <c r="J7" s="367"/>
      <c r="K7" s="367"/>
      <c r="L7" s="311"/>
      <c r="M7" s="297" t="str">
        <f>VLOOKUP(N7,Coeff_Descr!$A:$D,3,FALSE)</f>
        <v>ALL</v>
      </c>
      <c r="N7" s="297">
        <f>OtherTourDestination!B15</f>
        <v>5</v>
      </c>
      <c r="O7" s="297" t="str">
        <f>OtherTourDestination!C15</f>
        <v>Beta00005</v>
      </c>
      <c r="P7" s="299">
        <f>OtherTourDestination!E15</f>
        <v>-0.34490013167299999</v>
      </c>
      <c r="Q7" s="337">
        <f si="0" t="shared"/>
        <v>-0.34490013167299999</v>
      </c>
      <c r="T7" s="322">
        <v>5</v>
      </c>
      <c r="U7" s="322" t="s">
        <v>267</v>
      </c>
      <c r="V7" s="322"/>
      <c r="W7" s="322"/>
      <c r="X7" s="322"/>
      <c r="Y7" s="322"/>
    </row>
    <row ht="15.75" r="8" spans="3:25" thickBot="1" x14ac:dyDescent="0.3">
      <c r="C8" s="312" t="s">
        <v>4</v>
      </c>
      <c r="D8" s="313">
        <f>SUM(D4:D7)</f>
        <v>964605.09544392326</v>
      </c>
      <c r="E8" s="314"/>
      <c r="F8" s="312" t="s">
        <v>4</v>
      </c>
      <c r="G8" s="313">
        <f>SUM(G4:G7)</f>
        <v>927849</v>
      </c>
      <c r="H8" s="368"/>
      <c r="I8" s="368"/>
      <c r="J8" s="368" t="s">
        <v>283</v>
      </c>
      <c r="K8" s="380">
        <v>1</v>
      </c>
      <c r="M8" s="297" t="str">
        <f>VLOOKUP(N8,Coeff_Descr!$A:$D,3,FALSE)</f>
        <v>ALL</v>
      </c>
      <c r="N8" s="297">
        <f>OtherTourDestination!B16</f>
        <v>6</v>
      </c>
      <c r="O8" s="297" t="str">
        <f>OtherTourDestination!C16</f>
        <v>Beta00006</v>
      </c>
      <c r="P8" s="299">
        <f>OtherTourDestination!E16</f>
        <v>-8.2865473150899996E-2</v>
      </c>
      <c r="Q8" s="337">
        <f si="0" t="shared"/>
        <v>-8.2865473150899996E-2</v>
      </c>
      <c r="T8" s="322"/>
      <c r="U8" s="322"/>
      <c r="V8" s="322"/>
      <c r="W8" s="322"/>
      <c r="X8" s="322"/>
      <c r="Y8" s="322"/>
    </row>
    <row r="9" spans="3:25" x14ac:dyDescent="0.25">
      <c r="M9" s="297" t="str">
        <f>VLOOKUP(N9,Coeff_Descr!$A:$D,3,FALSE)</f>
        <v>ALL</v>
      </c>
      <c r="N9" s="297">
        <f>OtherTourDestination!B17</f>
        <v>7</v>
      </c>
      <c r="O9" s="297" t="str">
        <f>OtherTourDestination!C17</f>
        <v>Beta00007</v>
      </c>
      <c r="P9" s="299">
        <f>OtherTourDestination!E17</f>
        <v>-3.9895313632499998</v>
      </c>
      <c r="Q9" s="337">
        <f si="0" t="shared"/>
        <v>-3.9895313632499998</v>
      </c>
      <c r="T9" s="322"/>
      <c r="U9" s="360" t="s">
        <v>268</v>
      </c>
      <c r="V9" s="322"/>
      <c r="W9" s="322"/>
      <c r="X9" s="322"/>
      <c r="Y9" s="322"/>
    </row>
    <row ht="15.75" r="10" spans="3:25" thickBot="1" x14ac:dyDescent="0.3">
      <c r="C10" s="315" t="s">
        <v>63</v>
      </c>
      <c r="I10" s="379" t="s">
        <v>282</v>
      </c>
      <c r="J10" s="370"/>
      <c r="K10" s="370"/>
      <c r="L10" s="302"/>
      <c r="M10" s="297" t="str">
        <f>VLOOKUP(N10,Coeff_Descr!$A:$D,3,FALSE)</f>
        <v>ALL</v>
      </c>
      <c r="N10" s="297">
        <f>OtherTourDestination!B18</f>
        <v>8</v>
      </c>
      <c r="O10" s="297" t="str">
        <f>OtherTourDestination!C18</f>
        <v>Beta00008</v>
      </c>
      <c r="P10" s="299">
        <f>OtherTourDestination!E18</f>
        <v>6.9400000000000003E-2</v>
      </c>
      <c r="Q10" s="337">
        <f si="0" t="shared"/>
        <v>6.9400000000000003E-2</v>
      </c>
      <c r="T10" s="322">
        <v>1</v>
      </c>
      <c r="U10" s="294" t="s">
        <v>281</v>
      </c>
      <c r="V10" s="322"/>
      <c r="W10" s="322"/>
      <c r="X10" s="322"/>
      <c r="Y10" s="322"/>
    </row>
    <row r="11" spans="3:25" x14ac:dyDescent="0.25">
      <c r="C11" s="300" t="s">
        <v>3</v>
      </c>
      <c r="D11" s="301" t="s">
        <v>44</v>
      </c>
      <c r="F11" s="300" t="s">
        <v>3</v>
      </c>
      <c r="G11" s="301" t="s">
        <v>44</v>
      </c>
      <c r="H11" s="366"/>
      <c r="I11" s="301" t="s">
        <v>278</v>
      </c>
      <c r="J11" s="301" t="s">
        <v>279</v>
      </c>
      <c r="K11" s="301" t="s">
        <v>280</v>
      </c>
      <c r="L11" s="316"/>
      <c r="M11" s="297" t="str">
        <f>VLOOKUP(N11,Coeff_Descr!$A:$D,3,FALSE)</f>
        <v>ALL</v>
      </c>
      <c r="N11" s="297">
        <f>OtherTourDestination!B19</f>
        <v>9</v>
      </c>
      <c r="O11" s="297" t="str">
        <f>OtherTourDestination!C19</f>
        <v>Beta00009</v>
      </c>
      <c r="P11" s="299">
        <f>OtherTourDestination!E19</f>
        <v>-9.5820044919499997E-2</v>
      </c>
      <c r="Q11" s="337">
        <f si="0" t="shared"/>
        <v>-9.5820044919499997E-2</v>
      </c>
      <c r="T11" s="322">
        <v>2</v>
      </c>
      <c r="U11" s="322" t="s">
        <v>269</v>
      </c>
      <c r="V11" s="322"/>
      <c r="W11" s="322"/>
      <c r="X11" s="322"/>
      <c r="Y11" s="322"/>
    </row>
    <row r="12" spans="3:25" x14ac:dyDescent="0.25">
      <c r="C12" s="303" t="s">
        <v>47</v>
      </c>
      <c r="D12" s="317">
        <f>D4/D$8</f>
        <v>2.4523639977756168E-2</v>
      </c>
      <c r="F12" s="303" t="s">
        <v>47</v>
      </c>
      <c r="G12" s="317">
        <f>G4/G$8</f>
        <v>0.10648715469866325</v>
      </c>
      <c r="H12" s="317"/>
      <c r="I12" s="371">
        <f>D12/G12</f>
        <v>0.23029669679082915</v>
      </c>
      <c r="J12" s="372">
        <f>LN(I12)</f>
        <v>-1.4683868153290109</v>
      </c>
      <c r="K12" s="372">
        <f>K8*J12</f>
        <v>-1.4683868153290109</v>
      </c>
      <c r="L12" s="316"/>
      <c r="M12" s="297" t="str">
        <f>VLOOKUP(N12,Coeff_Descr!$A:$D,3,FALSE)</f>
        <v>ALL</v>
      </c>
      <c r="N12" s="297">
        <f>OtherTourDestination!B20</f>
        <v>10</v>
      </c>
      <c r="O12" s="297" t="str">
        <f>OtherTourDestination!C20</f>
        <v>Beta00010</v>
      </c>
      <c r="P12" s="299">
        <f>OtherTourDestination!E20</f>
        <v>0.517563261484</v>
      </c>
      <c r="Q12" s="337">
        <f si="0" t="shared"/>
        <v>0.517563261484</v>
      </c>
      <c r="T12" s="322">
        <v>3</v>
      </c>
      <c r="U12" s="322" t="s">
        <v>270</v>
      </c>
      <c r="V12" s="322"/>
      <c r="W12" s="322"/>
      <c r="X12" s="322"/>
      <c r="Y12" s="322"/>
    </row>
    <row r="13" spans="3:25" x14ac:dyDescent="0.25">
      <c r="C13" s="306" t="s">
        <v>50</v>
      </c>
      <c r="D13" s="318">
        <f ref="D13:D16" si="1" t="shared">D5/D$8</f>
        <v>0.2103134406442283</v>
      </c>
      <c r="F13" s="306" t="s">
        <v>50</v>
      </c>
      <c r="G13" s="318">
        <f ref="G13:G16" si="2" t="shared">G5/G$8</f>
        <v>0.14172726381124515</v>
      </c>
      <c r="H13" s="318"/>
      <c r="I13" s="371">
        <f ref="I13:I15" si="3" t="shared">D13/G13</f>
        <v>1.4839307200929768</v>
      </c>
      <c r="J13" s="372">
        <f ref="J13:J15" si="4" t="shared">LN(I13)</f>
        <v>0.39469445908196432</v>
      </c>
      <c r="K13" s="372">
        <f>K8*(J13-J12)</f>
        <v>1.8630812744109753</v>
      </c>
      <c r="L13" s="316"/>
      <c r="M13" s="297" t="str">
        <f>VLOOKUP(N13,Coeff_Descr!$A:$D,3,FALSE)</f>
        <v>ALL</v>
      </c>
      <c r="N13" s="297">
        <f>OtherTourDestination!B21</f>
        <v>11</v>
      </c>
      <c r="O13" s="297" t="str">
        <f>OtherTourDestination!C21</f>
        <v>Beta00011</v>
      </c>
      <c r="P13" s="299">
        <f>OtherTourDestination!E21</f>
        <v>-0.80352358260699996</v>
      </c>
      <c r="Q13" s="337">
        <f si="0" t="shared"/>
        <v>-0.80352358260699996</v>
      </c>
      <c r="T13" s="322">
        <v>4</v>
      </c>
      <c r="U13" s="322" t="s">
        <v>271</v>
      </c>
      <c r="V13" s="322"/>
      <c r="W13" s="322"/>
      <c r="X13" s="322"/>
      <c r="Y13" s="322"/>
    </row>
    <row r="14" spans="3:25" x14ac:dyDescent="0.25">
      <c r="C14" s="306" t="s">
        <v>53</v>
      </c>
      <c r="D14" s="318">
        <f si="1" t="shared"/>
        <v>0.56607251166181949</v>
      </c>
      <c r="F14" s="306" t="s">
        <v>53</v>
      </c>
      <c r="G14" s="318">
        <f si="2" t="shared"/>
        <v>0.56935934618671791</v>
      </c>
      <c r="H14" s="318"/>
      <c r="I14" s="371">
        <f si="3" t="shared"/>
        <v>0.99422713520571504</v>
      </c>
      <c r="J14" s="372">
        <f si="4" t="shared"/>
        <v>-5.789592185964039E-3</v>
      </c>
      <c r="K14" s="372">
        <f>K8*(J14-J13-J12)</f>
        <v>1.0679027640610825</v>
      </c>
      <c r="L14" s="319"/>
      <c r="M14" s="297" t="str">
        <f>VLOOKUP(N14,Coeff_Descr!$A:$D,3,FALSE)</f>
        <v>ALL</v>
      </c>
      <c r="N14" s="297">
        <f>OtherTourDestination!B22</f>
        <v>12</v>
      </c>
      <c r="O14" s="297" t="str">
        <f>OtherTourDestination!C22</f>
        <v>Beta00012</v>
      </c>
      <c r="P14" s="299">
        <f>OtherTourDestination!E22</f>
        <v>-0.80534348065299999</v>
      </c>
      <c r="Q14" s="337">
        <f si="0" t="shared"/>
        <v>-0.80534348065299999</v>
      </c>
      <c r="T14" s="322">
        <v>5</v>
      </c>
      <c r="U14" s="294" t="s">
        <v>274</v>
      </c>
      <c r="V14" s="322"/>
      <c r="W14" s="322"/>
      <c r="X14" s="322"/>
      <c r="Y14" s="322"/>
    </row>
    <row ht="15.75" r="15" spans="3:25" thickBot="1" x14ac:dyDescent="0.3">
      <c r="C15" s="309" t="s">
        <v>56</v>
      </c>
      <c r="D15" s="318">
        <f si="1" t="shared"/>
        <v>0.19909040771619604</v>
      </c>
      <c r="F15" s="309" t="s">
        <v>56</v>
      </c>
      <c r="G15" s="318">
        <f si="2" t="shared"/>
        <v>0.18242623530337371</v>
      </c>
      <c r="H15" s="318"/>
      <c r="I15" s="373">
        <f si="3" t="shared"/>
        <v>1.0913474555077558</v>
      </c>
      <c r="J15" s="374">
        <f si="4" t="shared"/>
        <v>8.7413130491325874E-2</v>
      </c>
      <c r="K15" s="374">
        <f>K8*(J15-J14-J13-J12)</f>
        <v>1.1668950789243366</v>
      </c>
      <c r="M15" s="297" t="str">
        <f>VLOOKUP(N15,Coeff_Descr!$A:$D,3,FALSE)</f>
        <v>ALL</v>
      </c>
      <c r="N15" s="297">
        <f>OtherTourDestination!B23</f>
        <v>13</v>
      </c>
      <c r="O15" s="297" t="str">
        <f>OtherTourDestination!C23</f>
        <v>Beta00013</v>
      </c>
      <c r="P15" s="299">
        <f>OtherTourDestination!E23</f>
        <v>-0.51977799879300002</v>
      </c>
      <c r="Q15" s="337">
        <f si="0" t="shared"/>
        <v>-0.51977799879300002</v>
      </c>
      <c r="T15" s="322">
        <v>6</v>
      </c>
      <c r="U15" s="322" t="s">
        <v>276</v>
      </c>
      <c r="V15" s="322"/>
      <c r="W15" s="322"/>
      <c r="X15" s="322"/>
      <c r="Y15" s="322"/>
    </row>
    <row ht="15.75" r="16" spans="3:25" thickBot="1" x14ac:dyDescent="0.3">
      <c r="C16" s="312" t="s">
        <v>4</v>
      </c>
      <c r="D16" s="320">
        <f si="1" t="shared"/>
        <v>1</v>
      </c>
      <c r="E16" s="314"/>
      <c r="F16" s="312" t="s">
        <v>4</v>
      </c>
      <c r="G16" s="320">
        <f si="2" t="shared"/>
        <v>1</v>
      </c>
      <c r="H16" s="369"/>
      <c r="I16" s="371"/>
      <c r="J16" s="371"/>
      <c r="K16" s="371"/>
      <c r="M16" s="297" t="str">
        <f>VLOOKUP(N16,Coeff_Descr!$A:$D,3,FALSE)</f>
        <v>ALL</v>
      </c>
      <c r="N16" s="297">
        <f>OtherTourDestination!B24</f>
        <v>14</v>
      </c>
      <c r="O16" s="297" t="str">
        <f>OtherTourDestination!C24</f>
        <v>Beta00014</v>
      </c>
      <c r="P16" s="299">
        <f>OtherTourDestination!E24</f>
        <v>-0.27562686954600002</v>
      </c>
      <c r="Q16" s="337">
        <f si="0" t="shared"/>
        <v>-0.27562686954600002</v>
      </c>
      <c r="T16" s="322">
        <v>7</v>
      </c>
      <c r="U16" s="322" t="s">
        <v>266</v>
      </c>
      <c r="V16" s="322"/>
      <c r="W16" s="322"/>
      <c r="X16" s="322"/>
      <c r="Y16" s="322"/>
    </row>
    <row r="17" spans="2:25" x14ac:dyDescent="0.25">
      <c r="M17" s="297" t="str">
        <f>VLOOKUP(N17,Coeff_Descr!$A:$D,3,FALSE)</f>
        <v>ALL</v>
      </c>
      <c r="N17" s="297">
        <f>OtherTourDestination!B25</f>
        <v>15</v>
      </c>
      <c r="O17" s="297" t="str">
        <f>OtherTourDestination!C25</f>
        <v>Beta00015</v>
      </c>
      <c r="P17" s="299">
        <f>OtherTourDestination!E25</f>
        <v>-0.55245424085299999</v>
      </c>
      <c r="Q17" s="337">
        <f si="0" t="shared"/>
        <v>-0.55245424085299999</v>
      </c>
      <c r="T17" s="322">
        <v>8</v>
      </c>
      <c r="U17" s="322" t="s">
        <v>272</v>
      </c>
      <c r="V17" s="322"/>
      <c r="W17" s="322"/>
      <c r="X17" s="322"/>
      <c r="Y17" s="322"/>
    </row>
    <row r="18" spans="2:25" x14ac:dyDescent="0.25">
      <c r="I18" s="375"/>
      <c r="J18" s="375"/>
      <c r="K18" s="372"/>
      <c r="M18" s="297" t="str">
        <f>VLOOKUP(N18,Coeff_Descr!$A:$D,3,FALSE)</f>
        <v>ALL</v>
      </c>
      <c r="N18" s="297">
        <f>OtherTourDestination!B26</f>
        <v>16</v>
      </c>
      <c r="O18" s="297" t="str">
        <f>OtherTourDestination!C26</f>
        <v>Beta00016</v>
      </c>
      <c r="P18" s="299">
        <f>OtherTourDestination!E26</f>
        <v>-0.493022087256</v>
      </c>
      <c r="Q18" s="337">
        <f si="0" t="shared"/>
        <v>-0.493022087256</v>
      </c>
    </row>
    <row r="19" spans="2:25" x14ac:dyDescent="0.25">
      <c r="C19" s="321" t="s">
        <v>82</v>
      </c>
      <c r="I19" s="375"/>
      <c r="J19" s="375"/>
      <c r="K19" s="372"/>
      <c r="M19" s="297" t="str">
        <f>VLOOKUP(N19,Coeff_Descr!$A:$D,3,FALSE)</f>
        <v>ALL</v>
      </c>
      <c r="N19" s="297">
        <f>OtherTourDestination!B27</f>
        <v>17</v>
      </c>
      <c r="O19" s="297" t="str">
        <f>OtherTourDestination!C27</f>
        <v>Beta00017</v>
      </c>
      <c r="P19" s="299">
        <f>OtherTourDestination!E27</f>
        <v>0</v>
      </c>
      <c r="Q19" s="337">
        <f si="0" t="shared"/>
        <v>0</v>
      </c>
    </row>
    <row r="20" spans="2:25" x14ac:dyDescent="0.25">
      <c r="C20" s="321" t="s">
        <v>85</v>
      </c>
      <c r="I20" s="375"/>
      <c r="J20" s="375"/>
      <c r="K20" s="372"/>
      <c r="M20" s="297" t="str">
        <f>VLOOKUP(N20,Coeff_Descr!$A:$D,3,FALSE)</f>
        <v>ALL</v>
      </c>
      <c r="N20" s="297">
        <f>OtherTourDestination!B28</f>
        <v>18</v>
      </c>
      <c r="O20" s="297" t="str">
        <f>OtherTourDestination!C28</f>
        <v>Beta00018</v>
      </c>
      <c r="P20" s="299">
        <f>OtherTourDestination!E28</f>
        <v>0</v>
      </c>
      <c r="Q20" s="337">
        <f si="0" t="shared"/>
        <v>0</v>
      </c>
    </row>
    <row ht="15.75" r="21" spans="2:25" thickBot="1" x14ac:dyDescent="0.3">
      <c r="C21" s="322"/>
      <c r="I21" s="375"/>
      <c r="J21" s="375"/>
      <c r="K21" s="372"/>
      <c r="M21" s="297" t="str">
        <f>VLOOKUP(N21,Coeff_Descr!$A:$D,3,FALSE)</f>
        <v>ALL</v>
      </c>
      <c r="N21" s="297">
        <f>OtherTourDestination!B29</f>
        <v>19</v>
      </c>
      <c r="O21" s="297" t="str">
        <f>OtherTourDestination!C29</f>
        <v>Beta00019</v>
      </c>
      <c r="P21" s="299">
        <f>OtherTourDestination!E29</f>
        <v>0</v>
      </c>
      <c r="Q21" s="337">
        <f si="0" t="shared"/>
        <v>0</v>
      </c>
    </row>
    <row r="22" spans="2:25" x14ac:dyDescent="0.25">
      <c r="B22" s="348" t="s">
        <v>258</v>
      </c>
      <c r="C22" s="323" t="s">
        <v>91</v>
      </c>
      <c r="D22" s="324"/>
      <c r="M22" s="297" t="str">
        <f>VLOOKUP(N22,Coeff_Descr!$A:$D,3,FALSE)</f>
        <v>ESCORT</v>
      </c>
      <c r="N22" s="297">
        <f>OtherTourDestination!B30</f>
        <v>20</v>
      </c>
      <c r="O22" s="297" t="str">
        <f>OtherTourDestination!C30</f>
        <v>Beta00020</v>
      </c>
      <c r="P22" s="299">
        <f>OtherTourDestination!E30</f>
        <v>0.63771148688699997</v>
      </c>
      <c r="Q22" s="337">
        <f si="0" t="shared"/>
        <v>0.63771148688699997</v>
      </c>
    </row>
    <row r="23" spans="2:25" x14ac:dyDescent="0.25">
      <c r="B23" s="345">
        <v>50</v>
      </c>
      <c r="C23" s="303" t="s">
        <v>47</v>
      </c>
      <c r="D23" s="361">
        <f>VLOOKUP($B23,$N:$P,3,FALSE)</f>
        <v>-28.552058518999999</v>
      </c>
      <c r="I23" s="376"/>
      <c r="J23" s="376"/>
      <c r="K23" s="376"/>
      <c r="M23" s="297" t="str">
        <f>VLOOKUP(N23,Coeff_Descr!$A:$D,3,FALSE)</f>
        <v>ESCORT</v>
      </c>
      <c r="N23" s="297">
        <f>OtherTourDestination!B31</f>
        <v>21</v>
      </c>
      <c r="O23" s="297" t="str">
        <f>OtherTourDestination!C31</f>
        <v>Beta00021</v>
      </c>
      <c r="P23" s="299">
        <f>OtherTourDestination!E31</f>
        <v>-12.0946718381</v>
      </c>
      <c r="Q23" s="337">
        <f si="0" t="shared"/>
        <v>-12.0946718381</v>
      </c>
    </row>
    <row r="24" spans="2:25" x14ac:dyDescent="0.25">
      <c r="B24" s="345">
        <v>51</v>
      </c>
      <c r="C24" s="306" t="s">
        <v>50</v>
      </c>
      <c r="D24" s="361">
        <f ref="D24:D26" si="5" t="shared">VLOOKUP($B24,$N:$P,3,FALSE)</f>
        <v>-7.25833529236</v>
      </c>
      <c r="M24" s="297" t="str">
        <f>VLOOKUP(N24,Coeff_Descr!$A:$D,3,FALSE)</f>
        <v>ESCORT</v>
      </c>
      <c r="N24" s="297">
        <f>OtherTourDestination!B32</f>
        <v>22</v>
      </c>
      <c r="O24" s="297" t="str">
        <f>OtherTourDestination!C32</f>
        <v>Beta00022</v>
      </c>
      <c r="P24" s="299">
        <f>OtherTourDestination!E32</f>
        <v>-4.03623745316</v>
      </c>
      <c r="Q24" s="337">
        <f si="0" t="shared"/>
        <v>-4.03623745316</v>
      </c>
    </row>
    <row r="25" spans="2:25" x14ac:dyDescent="0.25">
      <c r="B25" s="345">
        <v>52</v>
      </c>
      <c r="C25" s="306" t="s">
        <v>53</v>
      </c>
      <c r="D25" s="361">
        <f si="5" t="shared"/>
        <v>-2.64524710889</v>
      </c>
      <c r="M25" s="297" t="str">
        <f>VLOOKUP(N25,Coeff_Descr!$A:$D,3,FALSE)</f>
        <v>ESCORT</v>
      </c>
      <c r="N25" s="297">
        <f>OtherTourDestination!B33</f>
        <v>23</v>
      </c>
      <c r="O25" s="297" t="str">
        <f>OtherTourDestination!C33</f>
        <v>Beta00023</v>
      </c>
      <c r="P25" s="299">
        <f>OtherTourDestination!E33</f>
        <v>-2.16371815818</v>
      </c>
      <c r="Q25" s="337">
        <f si="0" t="shared"/>
        <v>-2.16371815818</v>
      </c>
    </row>
    <row ht="15.75" r="26" spans="2:25" thickBot="1" x14ac:dyDescent="0.3">
      <c r="B26" s="347">
        <v>53</v>
      </c>
      <c r="C26" s="326" t="s">
        <v>56</v>
      </c>
      <c r="D26" s="362">
        <f si="5" t="shared"/>
        <v>-0.76461618005800003</v>
      </c>
      <c r="M26" s="297" t="str">
        <f>VLOOKUP(N26,Coeff_Descr!$A:$D,3,FALSE)</f>
        <v>ESCORT</v>
      </c>
      <c r="N26" s="297">
        <f>OtherTourDestination!B34</f>
        <v>24</v>
      </c>
      <c r="O26" s="297" t="str">
        <f>OtherTourDestination!C34</f>
        <v>Beta00024</v>
      </c>
      <c r="P26" s="299">
        <f>OtherTourDestination!E34</f>
        <v>0.10429329553199999</v>
      </c>
      <c r="Q26" s="337">
        <f si="0" t="shared"/>
        <v>0.10429329553199999</v>
      </c>
    </row>
    <row r="27" spans="2:25" x14ac:dyDescent="0.25">
      <c r="C27" s="322"/>
      <c r="D27" s="328"/>
      <c r="M27" s="297" t="str">
        <f>VLOOKUP(N27,Coeff_Descr!$A:$D,3,FALSE)</f>
        <v>ESCORT</v>
      </c>
      <c r="N27" s="297">
        <f>OtherTourDestination!B35</f>
        <v>25</v>
      </c>
      <c r="O27" s="297" t="str">
        <f>OtherTourDestination!C35</f>
        <v>Beta00025</v>
      </c>
      <c r="P27" s="299">
        <f>OtherTourDestination!E35</f>
        <v>0</v>
      </c>
      <c r="Q27" s="337">
        <f si="0" t="shared"/>
        <v>0</v>
      </c>
    </row>
    <row r="28" spans="2:25" x14ac:dyDescent="0.25">
      <c r="C28" s="322"/>
      <c r="D28" s="328"/>
      <c r="M28" s="297" t="str">
        <f>VLOOKUP(N28,Coeff_Descr!$A:$D,3,FALSE)</f>
        <v>PERSBUS/MED</v>
      </c>
      <c r="N28" s="297">
        <f>OtherTourDestination!B36</f>
        <v>26</v>
      </c>
      <c r="O28" s="297" t="str">
        <f>OtherTourDestination!C36</f>
        <v>Beta00026</v>
      </c>
      <c r="P28" s="299">
        <f>OtherTourDestination!E36</f>
        <v>0.417326479157</v>
      </c>
      <c r="Q28" s="337">
        <f si="0" t="shared"/>
        <v>0.417326479157</v>
      </c>
    </row>
    <row r="29" spans="2:25" x14ac:dyDescent="0.25">
      <c r="C29" s="321" t="s">
        <v>82</v>
      </c>
      <c r="D29" s="329"/>
      <c r="M29" s="297" t="str">
        <f>VLOOKUP(N29,Coeff_Descr!$A:$D,3,FALSE)</f>
        <v>PERSBUS/MED</v>
      </c>
      <c r="N29" s="297">
        <f>OtherTourDestination!B37</f>
        <v>27</v>
      </c>
      <c r="O29" s="297" t="str">
        <f>OtherTourDestination!C37</f>
        <v>Beta00027</v>
      </c>
      <c r="P29" s="299">
        <f>OtherTourDestination!E37</f>
        <v>-14.8384910501</v>
      </c>
      <c r="Q29" s="337">
        <f si="0" t="shared"/>
        <v>-14.8384910501</v>
      </c>
    </row>
    <row r="30" spans="2:25" x14ac:dyDescent="0.25">
      <c r="C30" s="321" t="s">
        <v>107</v>
      </c>
      <c r="D30" s="329"/>
      <c r="M30" s="297" t="str">
        <f>VLOOKUP(N30,Coeff_Descr!$A:$D,3,FALSE)</f>
        <v>PERSBUS/MED</v>
      </c>
      <c r="N30" s="297">
        <f>OtherTourDestination!B38</f>
        <v>28</v>
      </c>
      <c r="O30" s="297" t="str">
        <f>OtherTourDestination!C38</f>
        <v>Beta00028</v>
      </c>
      <c r="P30" s="299">
        <f>OtherTourDestination!E38</f>
        <v>-5.1880432348000003</v>
      </c>
      <c r="Q30" s="337">
        <f si="0" t="shared"/>
        <v>-5.1880432348000003</v>
      </c>
    </row>
    <row ht="15.75" r="31" spans="2:25" thickBot="1" x14ac:dyDescent="0.3">
      <c r="C31" s="322"/>
      <c r="D31" s="328"/>
      <c r="M31" s="297" t="str">
        <f>VLOOKUP(N31,Coeff_Descr!$A:$D,3,FALSE)</f>
        <v>PERSBUS/MED</v>
      </c>
      <c r="N31" s="297">
        <f>OtherTourDestination!B39</f>
        <v>29</v>
      </c>
      <c r="O31" s="297" t="str">
        <f>OtherTourDestination!C39</f>
        <v>Beta00029</v>
      </c>
      <c r="P31" s="299">
        <f>OtherTourDestination!E39</f>
        <v>-2.6156308707</v>
      </c>
      <c r="Q31" s="337">
        <f si="0" t="shared"/>
        <v>-2.6156308707</v>
      </c>
    </row>
    <row r="32" spans="2:25" x14ac:dyDescent="0.25">
      <c r="B32" s="348" t="s">
        <v>258</v>
      </c>
      <c r="C32" s="323" t="s">
        <v>91</v>
      </c>
      <c r="D32" s="324"/>
      <c r="M32" s="297" t="str">
        <f>VLOOKUP(N32,Coeff_Descr!$A:$D,3,FALSE)</f>
        <v>PERSBUS/MED</v>
      </c>
      <c r="N32" s="297">
        <f>OtherTourDestination!B40</f>
        <v>30</v>
      </c>
      <c r="O32" s="297" t="str">
        <f>OtherTourDestination!C40</f>
        <v>Beta00030</v>
      </c>
      <c r="P32" s="299">
        <f>OtherTourDestination!E40</f>
        <v>-0.91046169190000004</v>
      </c>
      <c r="Q32" s="337">
        <f si="0" t="shared"/>
        <v>-0.91046169190000004</v>
      </c>
    </row>
    <row r="33" spans="2:17" x14ac:dyDescent="0.25">
      <c r="B33" s="345">
        <f>B23</f>
        <v>50</v>
      </c>
      <c r="C33" s="303" t="s">
        <v>47</v>
      </c>
      <c r="D33" s="377">
        <f>K12</f>
        <v>-1.4683868153290109</v>
      </c>
      <c r="M33" s="297" t="str">
        <f>VLOOKUP(N33,Coeff_Descr!$A:$D,3,FALSE)</f>
        <v>PERSBUS/MED</v>
      </c>
      <c r="N33" s="297">
        <f>OtherTourDestination!B41</f>
        <v>31</v>
      </c>
      <c r="O33" s="297" t="str">
        <f>OtherTourDestination!C41</f>
        <v>Beta00031</v>
      </c>
      <c r="P33" s="299">
        <f>OtherTourDestination!E41</f>
        <v>5.7553461640599997E-2</v>
      </c>
      <c r="Q33" s="337">
        <f si="0" t="shared"/>
        <v>5.7553461640599997E-2</v>
      </c>
    </row>
    <row r="34" spans="2:17" x14ac:dyDescent="0.25">
      <c r="B34" s="345">
        <f ref="B34:B36" si="6" t="shared">B24</f>
        <v>51</v>
      </c>
      <c r="C34" s="306" t="s">
        <v>50</v>
      </c>
      <c r="D34" s="378">
        <f ref="D34:D36" si="7" t="shared">K13</f>
        <v>1.8630812744109753</v>
      </c>
      <c r="M34" s="297" t="str">
        <f>VLOOKUP(N34,Coeff_Descr!$A:$D,3,FALSE)</f>
        <v>PERSBUS/MED</v>
      </c>
      <c r="N34" s="297">
        <f>OtherTourDestination!B42</f>
        <v>32</v>
      </c>
      <c r="O34" s="297" t="str">
        <f>OtherTourDestination!C42</f>
        <v>Beta00032</v>
      </c>
      <c r="P34" s="299">
        <f>OtherTourDestination!E42</f>
        <v>0.237798002151</v>
      </c>
      <c r="Q34" s="337">
        <f si="0" t="shared"/>
        <v>0.237798002151</v>
      </c>
    </row>
    <row r="35" spans="2:17" x14ac:dyDescent="0.25">
      <c r="B35" s="345">
        <f si="6" t="shared"/>
        <v>52</v>
      </c>
      <c r="C35" s="306" t="s">
        <v>53</v>
      </c>
      <c r="D35" s="378">
        <f si="7" t="shared"/>
        <v>1.0679027640610825</v>
      </c>
      <c r="G35" s="330"/>
      <c r="H35" s="330"/>
      <c r="I35" s="330"/>
      <c r="J35" s="330"/>
      <c r="K35" s="330"/>
      <c r="M35" s="297" t="str">
        <f>VLOOKUP(N35,Coeff_Descr!$A:$D,3,FALSE)</f>
        <v>PERSBUS/MED</v>
      </c>
      <c r="N35" s="297">
        <f>OtherTourDestination!B43</f>
        <v>33</v>
      </c>
      <c r="O35" s="297" t="str">
        <f>OtherTourDestination!C43</f>
        <v>Beta00033</v>
      </c>
      <c r="P35" s="299">
        <f>OtherTourDestination!E43</f>
        <v>0</v>
      </c>
      <c r="Q35" s="337">
        <f si="0" t="shared"/>
        <v>0</v>
      </c>
    </row>
    <row ht="15.75" r="36" spans="2:17" thickBot="1" x14ac:dyDescent="0.3">
      <c r="B36" s="365">
        <f si="6" t="shared"/>
        <v>53</v>
      </c>
      <c r="C36" s="326" t="s">
        <v>56</v>
      </c>
      <c r="D36" s="327">
        <f si="7" t="shared"/>
        <v>1.1668950789243366</v>
      </c>
      <c r="G36" s="331"/>
      <c r="H36" s="331"/>
      <c r="I36" s="331"/>
      <c r="J36" s="331"/>
      <c r="K36" s="331"/>
      <c r="M36" s="297" t="str">
        <f>VLOOKUP(N36,Coeff_Descr!$A:$D,3,FALSE)</f>
        <v>PERSBUS/MED</v>
      </c>
      <c r="N36" s="297">
        <f>OtherTourDestination!B44</f>
        <v>34</v>
      </c>
      <c r="O36" s="297" t="str">
        <f>OtherTourDestination!C44</f>
        <v>Beta00034</v>
      </c>
      <c r="P36" s="299">
        <f>OtherTourDestination!E44</f>
        <v>0</v>
      </c>
      <c r="Q36" s="337">
        <f si="0" t="shared"/>
        <v>0</v>
      </c>
    </row>
    <row ht="15.75" r="37" spans="2:17" thickTop="1" x14ac:dyDescent="0.25">
      <c r="C37" s="322"/>
      <c r="D37" s="325"/>
      <c r="M37" s="297" t="str">
        <f>VLOOKUP(N37,Coeff_Descr!$A:$D,3,FALSE)</f>
        <v>PERSBUS/MED</v>
      </c>
      <c r="N37" s="297">
        <f>OtherTourDestination!B45</f>
        <v>35</v>
      </c>
      <c r="O37" s="297" t="str">
        <f>OtherTourDestination!C45</f>
        <v>Beta00035</v>
      </c>
      <c r="P37" s="299">
        <f>OtherTourDestination!E45</f>
        <v>0</v>
      </c>
      <c r="Q37" s="337">
        <f si="0" t="shared"/>
        <v>0</v>
      </c>
    </row>
    <row r="38" spans="2:17" x14ac:dyDescent="0.25">
      <c r="C38" s="322"/>
      <c r="D38" s="325"/>
      <c r="M38" s="297" t="str">
        <f>VLOOKUP(N38,Coeff_Descr!$A:$D,3,FALSE)</f>
        <v>SHOP</v>
      </c>
      <c r="N38" s="297">
        <f>OtherTourDestination!B46</f>
        <v>36</v>
      </c>
      <c r="O38" s="297" t="str">
        <f>OtherTourDestination!C46</f>
        <v>Beta00036</v>
      </c>
      <c r="P38" s="299">
        <f>OtherTourDestination!E46</f>
        <v>0.61259135262599995</v>
      </c>
      <c r="Q38" s="337">
        <f si="0" t="shared"/>
        <v>0.61259135262599995</v>
      </c>
    </row>
    <row r="39" spans="2:17" x14ac:dyDescent="0.25">
      <c r="C39" s="321" t="s">
        <v>82</v>
      </c>
      <c r="D39" s="332"/>
      <c r="M39" s="297" t="str">
        <f>VLOOKUP(N39,Coeff_Descr!$A:$D,3,FALSE)</f>
        <v>SHOP</v>
      </c>
      <c r="N39" s="297">
        <f>OtherTourDestination!B47</f>
        <v>37</v>
      </c>
      <c r="O39" s="297" t="str">
        <f>OtherTourDestination!C47</f>
        <v>Beta00037</v>
      </c>
      <c r="P39" s="299">
        <f>OtherTourDestination!E47</f>
        <v>-20.810228388700001</v>
      </c>
      <c r="Q39" s="337">
        <f si="0" t="shared"/>
        <v>-20.810228388700001</v>
      </c>
    </row>
    <row r="40" spans="2:17" x14ac:dyDescent="0.25">
      <c r="C40" s="321" t="s">
        <v>125</v>
      </c>
      <c r="D40" s="332"/>
      <c r="M40" s="297" t="str">
        <f>VLOOKUP(N40,Coeff_Descr!$A:$D,3,FALSE)</f>
        <v>SHOP</v>
      </c>
      <c r="N40" s="297">
        <f>OtherTourDestination!B48</f>
        <v>38</v>
      </c>
      <c r="O40" s="297" t="str">
        <f>OtherTourDestination!C48</f>
        <v>Beta00038</v>
      </c>
      <c r="P40" s="299">
        <f>OtherTourDestination!E48</f>
        <v>-7.1836373472300004</v>
      </c>
      <c r="Q40" s="337">
        <f si="0" t="shared"/>
        <v>-7.1836373472300004</v>
      </c>
    </row>
    <row ht="15.75" r="41" spans="2:17" thickBot="1" x14ac:dyDescent="0.3">
      <c r="B41" s="346"/>
      <c r="C41" s="322"/>
      <c r="D41" s="325"/>
      <c r="M41" s="297" t="str">
        <f>VLOOKUP(N41,Coeff_Descr!$A:$D,3,FALSE)</f>
        <v>SHOP</v>
      </c>
      <c r="N41" s="297">
        <f>OtherTourDestination!B49</f>
        <v>39</v>
      </c>
      <c r="O41" s="297" t="str">
        <f>OtherTourDestination!C49</f>
        <v>Beta00039</v>
      </c>
      <c r="P41" s="299">
        <f>OtherTourDestination!E49</f>
        <v>-3.6600975390500001</v>
      </c>
      <c r="Q41" s="337">
        <f si="0" t="shared"/>
        <v>-3.6600975390500001</v>
      </c>
    </row>
    <row r="42" spans="2:17" x14ac:dyDescent="0.25">
      <c r="B42" s="348" t="s">
        <v>258</v>
      </c>
      <c r="C42" s="323" t="s">
        <v>91</v>
      </c>
      <c r="D42" s="333"/>
      <c r="M42" s="297" t="str">
        <f>VLOOKUP(N42,Coeff_Descr!$A:$D,3,FALSE)</f>
        <v>SHOP</v>
      </c>
      <c r="N42" s="297">
        <f>OtherTourDestination!B50</f>
        <v>40</v>
      </c>
      <c r="O42" s="297" t="str">
        <f>OtherTourDestination!C50</f>
        <v>Beta00040</v>
      </c>
      <c r="P42" s="299">
        <f>OtherTourDestination!E50</f>
        <v>-1.3605457273599999</v>
      </c>
      <c r="Q42" s="337">
        <f si="0" t="shared"/>
        <v>-1.3605457273599999</v>
      </c>
    </row>
    <row r="43" spans="2:17" x14ac:dyDescent="0.25">
      <c r="B43" s="345">
        <f>B33</f>
        <v>50</v>
      </c>
      <c r="C43" s="303" t="s">
        <v>47</v>
      </c>
      <c r="D43" s="363">
        <f>D23+D33</f>
        <v>-30.020445334329011</v>
      </c>
      <c r="M43" s="297" t="str">
        <f>VLOOKUP(N43,Coeff_Descr!$A:$D,3,FALSE)</f>
        <v>SHOP</v>
      </c>
      <c r="N43" s="297">
        <f>OtherTourDestination!B51</f>
        <v>41</v>
      </c>
      <c r="O43" s="297" t="str">
        <f>OtherTourDestination!C51</f>
        <v>Beta00041</v>
      </c>
      <c r="P43" s="299">
        <f>OtherTourDestination!E51</f>
        <v>-0.22141031751900001</v>
      </c>
      <c r="Q43" s="337">
        <f si="0" t="shared"/>
        <v>-0.22141031751900001</v>
      </c>
    </row>
    <row r="44" spans="2:17" x14ac:dyDescent="0.25">
      <c r="B44" s="345">
        <f ref="B44:B46" si="8" t="shared">B34</f>
        <v>51</v>
      </c>
      <c r="C44" s="306" t="s">
        <v>50</v>
      </c>
      <c r="D44" s="363">
        <f ref="D44:D46" si="9" t="shared">D24+D34</f>
        <v>-5.3952540179490249</v>
      </c>
      <c r="M44" s="297" t="str">
        <f>VLOOKUP(N44,Coeff_Descr!$A:$D,3,FALSE)</f>
        <v>SHOP</v>
      </c>
      <c r="N44" s="297">
        <f>OtherTourDestination!B52</f>
        <v>42</v>
      </c>
      <c r="O44" s="297" t="str">
        <f>OtherTourDestination!C52</f>
        <v>Beta00042</v>
      </c>
      <c r="P44" s="299">
        <f>OtherTourDestination!E52</f>
        <v>0.64228876129599999</v>
      </c>
      <c r="Q44" s="337">
        <f si="0" t="shared"/>
        <v>0.64228876129599999</v>
      </c>
    </row>
    <row r="45" spans="2:17" x14ac:dyDescent="0.25">
      <c r="B45" s="345">
        <f si="8" t="shared"/>
        <v>52</v>
      </c>
      <c r="C45" s="306" t="s">
        <v>53</v>
      </c>
      <c r="D45" s="363">
        <f si="9" t="shared"/>
        <v>-1.5773443448289175</v>
      </c>
      <c r="M45" s="297" t="str">
        <f>VLOOKUP(N45,Coeff_Descr!$A:$D,3,FALSE)</f>
        <v>MEAL</v>
      </c>
      <c r="N45" s="297">
        <f>OtherTourDestination!B53</f>
        <v>43</v>
      </c>
      <c r="O45" s="297" t="str">
        <f>OtherTourDestination!C53</f>
        <v>Beta00043</v>
      </c>
      <c r="P45" s="299">
        <f>OtherTourDestination!E53</f>
        <v>0.74588429254199995</v>
      </c>
      <c r="Q45" s="337">
        <f si="0" t="shared"/>
        <v>0.74588429254199995</v>
      </c>
    </row>
    <row ht="15.75" r="46" spans="2:17" thickBot="1" x14ac:dyDescent="0.3">
      <c r="B46" s="365">
        <f si="8" t="shared"/>
        <v>53</v>
      </c>
      <c r="C46" s="326" t="s">
        <v>56</v>
      </c>
      <c r="D46" s="364">
        <f si="9" t="shared"/>
        <v>0.40227889886633661</v>
      </c>
      <c r="M46" s="297" t="str">
        <f>VLOOKUP(N46,Coeff_Descr!$A:$D,3,FALSE)</f>
        <v>MEAL</v>
      </c>
      <c r="N46" s="297">
        <f>OtherTourDestination!B54</f>
        <v>44</v>
      </c>
      <c r="O46" s="297" t="str">
        <f>OtherTourDestination!C54</f>
        <v>Beta00044</v>
      </c>
      <c r="P46" s="299">
        <f>OtherTourDestination!E54</f>
        <v>-32.156094092099998</v>
      </c>
      <c r="Q46" s="337">
        <f si="0" t="shared"/>
        <v>-32.156094092099998</v>
      </c>
    </row>
    <row ht="15.75" r="47" spans="2:17" thickTop="1" x14ac:dyDescent="0.25">
      <c r="M47" s="297" t="str">
        <f>VLOOKUP(N47,Coeff_Descr!$A:$D,3,FALSE)</f>
        <v>MEAL</v>
      </c>
      <c r="N47" s="297">
        <f>OtherTourDestination!B55</f>
        <v>45</v>
      </c>
      <c r="O47" s="297" t="str">
        <f>OtherTourDestination!C55</f>
        <v>Beta00045</v>
      </c>
      <c r="P47" s="299">
        <f>OtherTourDestination!E55</f>
        <v>-7.5551873767200002</v>
      </c>
      <c r="Q47" s="337">
        <f si="0" t="shared"/>
        <v>-7.5551873767200002</v>
      </c>
    </row>
    <row r="48" spans="2:17" x14ac:dyDescent="0.25">
      <c r="M48" s="297" t="str">
        <f>VLOOKUP(N48,Coeff_Descr!$A:$D,3,FALSE)</f>
        <v>MEAL</v>
      </c>
      <c r="N48" s="297">
        <f>OtherTourDestination!B56</f>
        <v>46</v>
      </c>
      <c r="O48" s="297" t="str">
        <f>OtherTourDestination!C56</f>
        <v>Beta00046</v>
      </c>
      <c r="P48" s="299">
        <f>OtherTourDestination!E56</f>
        <v>-3.4784098231399998</v>
      </c>
      <c r="Q48" s="337">
        <f si="0" t="shared"/>
        <v>-3.4784098231399998</v>
      </c>
    </row>
    <row r="49" spans="13:18" x14ac:dyDescent="0.25">
      <c r="M49" s="297" t="str">
        <f>VLOOKUP(N49,Coeff_Descr!$A:$D,3,FALSE)</f>
        <v>MEAL</v>
      </c>
      <c r="N49" s="297">
        <f>OtherTourDestination!B57</f>
        <v>47</v>
      </c>
      <c r="O49" s="297" t="str">
        <f>OtherTourDestination!C57</f>
        <v>Beta00047</v>
      </c>
      <c r="P49" s="299">
        <f>OtherTourDestination!E57</f>
        <v>-0.79171784712299997</v>
      </c>
      <c r="Q49" s="337">
        <f si="0" t="shared"/>
        <v>-0.79171784712299997</v>
      </c>
    </row>
    <row r="50" spans="13:18" x14ac:dyDescent="0.25">
      <c r="M50" s="297" t="str">
        <f>VLOOKUP(N50,Coeff_Descr!$A:$D,3,FALSE)</f>
        <v>MEAL</v>
      </c>
      <c r="N50" s="297">
        <f>OtherTourDestination!B58</f>
        <v>48</v>
      </c>
      <c r="O50" s="297" t="str">
        <f>OtherTourDestination!C58</f>
        <v>Beta00048</v>
      </c>
      <c r="P50" s="299">
        <f>OtherTourDestination!E58</f>
        <v>0.65760260093900003</v>
      </c>
      <c r="Q50" s="337">
        <f si="0" t="shared"/>
        <v>0.65760260093900003</v>
      </c>
    </row>
    <row r="51" spans="13:18" x14ac:dyDescent="0.25">
      <c r="M51" s="297" t="str">
        <f>VLOOKUP(N51,Coeff_Descr!$A:$D,3,FALSE)</f>
        <v>SOCREC</v>
      </c>
      <c r="N51" s="297">
        <f>OtherTourDestination!B59</f>
        <v>49</v>
      </c>
      <c r="O51" s="297" t="str">
        <f>OtherTourDestination!C59</f>
        <v>Beta00049</v>
      </c>
      <c r="P51" s="299">
        <f>OtherTourDestination!E59</f>
        <v>0.201576719663</v>
      </c>
      <c r="Q51" s="337">
        <f si="0" t="shared"/>
        <v>0.201576719663</v>
      </c>
    </row>
    <row r="52" spans="13:18" x14ac:dyDescent="0.25">
      <c r="M52" s="297" t="str">
        <f>VLOOKUP(N52,Coeff_Descr!$A:$D,3,FALSE)</f>
        <v>SOCREC</v>
      </c>
      <c r="N52" s="338">
        <f>OtherTourDestination!B60</f>
        <v>50</v>
      </c>
      <c r="O52" s="338" t="str">
        <f>OtherTourDestination!C60</f>
        <v>Beta00050</v>
      </c>
      <c r="P52" s="339">
        <f>OtherTourDestination!E60</f>
        <v>-28.552058518999999</v>
      </c>
      <c r="Q52" s="340">
        <f si="0" t="shared"/>
        <v>-30.020445334329011</v>
      </c>
      <c r="R52" s="297" t="str">
        <f>VLOOKUP(N52,Coeff_Descr!$A$2:$E$104,4,FALSE)</f>
        <v>distanceFromOrigin4</v>
      </c>
    </row>
    <row r="53" spans="13:18" x14ac:dyDescent="0.25">
      <c r="M53" s="297" t="str">
        <f>VLOOKUP(N53,Coeff_Descr!$A:$D,3,FALSE)</f>
        <v>SOCREC</v>
      </c>
      <c r="N53" s="338">
        <f>OtherTourDestination!B61</f>
        <v>51</v>
      </c>
      <c r="O53" s="338" t="str">
        <f>OtherTourDestination!C61</f>
        <v>Beta00051</v>
      </c>
      <c r="P53" s="339">
        <f>OtherTourDestination!E61</f>
        <v>-7.25833529236</v>
      </c>
      <c r="Q53" s="340">
        <f si="0" t="shared"/>
        <v>-5.3952540179490249</v>
      </c>
      <c r="R53" s="297" t="str">
        <f>VLOOKUP(N53,Coeff_Descr!$A$2:$E$104,4,FALSE)</f>
        <v>distanceFromOrigin8</v>
      </c>
    </row>
    <row r="54" spans="13:18" x14ac:dyDescent="0.25">
      <c r="M54" s="297" t="str">
        <f>VLOOKUP(N54,Coeff_Descr!$A:$D,3,FALSE)</f>
        <v>SOCREC</v>
      </c>
      <c r="N54" s="338">
        <f>OtherTourDestination!B62</f>
        <v>52</v>
      </c>
      <c r="O54" s="338" t="str">
        <f>OtherTourDestination!C62</f>
        <v>Beta00052</v>
      </c>
      <c r="P54" s="339">
        <f>OtherTourDestination!E62</f>
        <v>-2.64524710889</v>
      </c>
      <c r="Q54" s="340">
        <f si="0" t="shared"/>
        <v>-1.5773443448289175</v>
      </c>
      <c r="R54" s="297" t="str">
        <f>VLOOKUP(N54,Coeff_Descr!$A$2:$E$104,4,FALSE)</f>
        <v>distanceFromOrigin9</v>
      </c>
    </row>
    <row r="55" spans="13:18" x14ac:dyDescent="0.25">
      <c r="M55" s="297" t="str">
        <f>VLOOKUP(N55,Coeff_Descr!$A:$D,3,FALSE)</f>
        <v>SOCREC</v>
      </c>
      <c r="N55" s="338">
        <f>OtherTourDestination!B63</f>
        <v>53</v>
      </c>
      <c r="O55" s="338" t="str">
        <f>OtherTourDestination!C63</f>
        <v>Beta00053</v>
      </c>
      <c r="P55" s="339">
        <f>OtherTourDestination!E63</f>
        <v>-0.76461618005800003</v>
      </c>
      <c r="Q55" s="340">
        <f si="0" t="shared"/>
        <v>0.40227889886633661</v>
      </c>
      <c r="R55" s="297" t="str">
        <f>VLOOKUP(N55,Coeff_Descr!$A$2:$E$104,4,FALSE)</f>
        <v>distanceFromOrigin3</v>
      </c>
    </row>
    <row r="56" spans="13:18" x14ac:dyDescent="0.25">
      <c r="M56" s="297" t="str">
        <f>VLOOKUP(N56,Coeff_Descr!$A:$D,3,FALSE)</f>
        <v>SOCREC</v>
      </c>
      <c r="N56" s="297">
        <f>OtherTourDestination!B64</f>
        <v>54</v>
      </c>
      <c r="O56" s="297" t="str">
        <f>OtherTourDestination!C64</f>
        <v>Beta00054</v>
      </c>
      <c r="P56" s="299">
        <f>OtherTourDestination!E64</f>
        <v>0.20818008309700001</v>
      </c>
      <c r="Q56" s="337">
        <f si="0" t="shared"/>
        <v>0.20818008309700001</v>
      </c>
    </row>
    <row r="57" spans="13:18" x14ac:dyDescent="0.25">
      <c r="M57" s="297" t="str">
        <f>VLOOKUP(N57,Coeff_Descr!$A:$D,3,FALSE)</f>
        <v>SOCREC</v>
      </c>
      <c r="N57" s="297">
        <f>OtherTourDestination!B65</f>
        <v>55</v>
      </c>
      <c r="O57" s="297" t="str">
        <f>OtherTourDestination!C65</f>
        <v>Beta00055</v>
      </c>
      <c r="P57" s="299">
        <f>OtherTourDestination!E65</f>
        <v>0.42522231451499998</v>
      </c>
      <c r="Q57" s="337">
        <f si="0" t="shared"/>
        <v>0.42522231451499998</v>
      </c>
    </row>
    <row r="58" spans="13:18" x14ac:dyDescent="0.25">
      <c r="M58" s="297" t="str">
        <f>VLOOKUP(N58,Coeff_Descr!$A:$D,3,FALSE)</f>
        <v>SOCREC</v>
      </c>
      <c r="N58" s="297">
        <f>OtherTourDestination!B66</f>
        <v>56</v>
      </c>
      <c r="O58" s="297" t="str">
        <f>OtherTourDestination!C66</f>
        <v>Beta00056</v>
      </c>
      <c r="P58" s="299">
        <f>OtherTourDestination!E66</f>
        <v>-0.743588483327</v>
      </c>
      <c r="Q58" s="337">
        <f si="0" t="shared"/>
        <v>-0.743588483327</v>
      </c>
    </row>
    <row r="59" spans="13:18" x14ac:dyDescent="0.25">
      <c r="M59" s="297" t="str">
        <f>VLOOKUP(N59,Coeff_Descr!$A:$D,3,FALSE)</f>
        <v>SOCREC</v>
      </c>
      <c r="N59" s="297">
        <f>OtherTourDestination!B67</f>
        <v>57</v>
      </c>
      <c r="O59" s="297" t="str">
        <f>OtherTourDestination!C67</f>
        <v>Beta00057</v>
      </c>
      <c r="P59" s="299">
        <f>OtherTourDestination!E67</f>
        <v>6.2100000000000002E-2</v>
      </c>
      <c r="Q59" s="337">
        <f si="0" t="shared"/>
        <v>6.2100000000000002E-2</v>
      </c>
    </row>
    <row r="60" spans="13:18" x14ac:dyDescent="0.25">
      <c r="M60" s="297">
        <f>VLOOKUP(N60,Coeff_Descr!$A:$D,3,FALSE)</f>
        <v>0</v>
      </c>
      <c r="N60" s="297">
        <f>OtherTourDestination!B68</f>
        <v>118</v>
      </c>
      <c r="O60" s="297" t="str">
        <f>OtherTourDestination!C68</f>
        <v>Beta00118</v>
      </c>
      <c r="P60" s="299">
        <f>OtherTourDestination!E68</f>
        <v>-3</v>
      </c>
      <c r="Q60" s="337">
        <f si="0" t="shared"/>
        <v>-3</v>
      </c>
    </row>
    <row r="61" spans="13:18" x14ac:dyDescent="0.25">
      <c r="M61" s="297" t="str">
        <f>VLOOKUP(N61,Coeff_Descr!$A:$D,3,FALSE)</f>
        <v>ESCORT</v>
      </c>
      <c r="N61" s="297">
        <f>OtherTourDestination!B69</f>
        <v>70</v>
      </c>
      <c r="O61" s="297" t="str">
        <f>OtherTourDestination!C69</f>
        <v>LSM_0070</v>
      </c>
      <c r="P61" s="299">
        <f>OtherTourDestination!E69</f>
        <v>0.29394695214400002</v>
      </c>
      <c r="Q61" s="337">
        <f si="0" t="shared"/>
        <v>0.29394695214400002</v>
      </c>
    </row>
    <row r="62" spans="13:18" x14ac:dyDescent="0.25">
      <c r="M62" s="297" t="str">
        <f>VLOOKUP(N62,Coeff_Descr!$A:$D,3,FALSE)</f>
        <v>ESCORT</v>
      </c>
      <c r="N62" s="297">
        <f>OtherTourDestination!B70</f>
        <v>71</v>
      </c>
      <c r="O62" s="297" t="str">
        <f>OtherTourDestination!C70</f>
        <v>Gamma071</v>
      </c>
      <c r="P62" s="299">
        <f>OtherTourDestination!E70</f>
        <v>0</v>
      </c>
      <c r="Q62" s="337">
        <f si="0" t="shared"/>
        <v>0</v>
      </c>
    </row>
    <row r="63" spans="13:18" x14ac:dyDescent="0.25">
      <c r="M63" s="297" t="str">
        <f>VLOOKUP(N63,Coeff_Descr!$A:$D,3,FALSE)</f>
        <v>ESCORT</v>
      </c>
      <c r="N63" s="297">
        <f>OtherTourDestination!B71</f>
        <v>72</v>
      </c>
      <c r="O63" s="297" t="str">
        <f>OtherTourDestination!C71</f>
        <v>Gamma072</v>
      </c>
      <c r="P63" s="299">
        <f>OtherTourDestination!E71</f>
        <v>-6.2798471793299999</v>
      </c>
      <c r="Q63" s="337">
        <f si="0" t="shared"/>
        <v>-6.2798471793299999</v>
      </c>
    </row>
    <row r="64" spans="13:18" x14ac:dyDescent="0.25">
      <c r="M64" s="297" t="str">
        <f>VLOOKUP(N64,Coeff_Descr!$A:$D,3,FALSE)</f>
        <v>ESCORT</v>
      </c>
      <c r="N64" s="297">
        <f>OtherTourDestination!B72</f>
        <v>73</v>
      </c>
      <c r="O64" s="297" t="str">
        <f>OtherTourDestination!C72</f>
        <v>Gamma073</v>
      </c>
      <c r="P64" s="299">
        <f>OtherTourDestination!E72</f>
        <v>3.2962256518299999</v>
      </c>
      <c r="Q64" s="337">
        <f si="0" t="shared"/>
        <v>3.2962256518299999</v>
      </c>
    </row>
    <row r="65" spans="13:17" x14ac:dyDescent="0.25">
      <c r="M65" s="297" t="str">
        <f>VLOOKUP(N65,Coeff_Descr!$A:$D,3,FALSE)</f>
        <v>ESCORT</v>
      </c>
      <c r="N65" s="297">
        <f>OtherTourDestination!B73</f>
        <v>74</v>
      </c>
      <c r="O65" s="297" t="str">
        <f>OtherTourDestination!C73</f>
        <v>Gamma074</v>
      </c>
      <c r="P65" s="299">
        <f>OtherTourDestination!E73</f>
        <v>-5.4150639062700003</v>
      </c>
      <c r="Q65" s="337">
        <f si="0" t="shared"/>
        <v>-5.4150639062700003</v>
      </c>
    </row>
    <row r="66" spans="13:17" x14ac:dyDescent="0.25">
      <c r="M66" s="297" t="str">
        <f>VLOOKUP(N66,Coeff_Descr!$A:$D,3,FALSE)</f>
        <v>ESCORT</v>
      </c>
      <c r="N66" s="297">
        <f>OtherTourDestination!B74</f>
        <v>75</v>
      </c>
      <c r="O66" s="297" t="str">
        <f>OtherTourDestination!C74</f>
        <v>Gamma075</v>
      </c>
      <c r="P66" s="299">
        <f>OtherTourDestination!E74</f>
        <v>-5.94820877094</v>
      </c>
      <c r="Q66" s="337">
        <f si="0" t="shared"/>
        <v>-5.94820877094</v>
      </c>
    </row>
    <row r="67" spans="13:17" x14ac:dyDescent="0.25">
      <c r="M67" s="297" t="str">
        <f>VLOOKUP(N67,Coeff_Descr!$A:$D,3,FALSE)</f>
        <v>ESCORT</v>
      </c>
      <c r="N67" s="297">
        <f>OtherTourDestination!B75</f>
        <v>76</v>
      </c>
      <c r="O67" s="297" t="str">
        <f>OtherTourDestination!C75</f>
        <v>Gamma076</v>
      </c>
      <c r="P67" s="299">
        <f>OtherTourDestination!E75</f>
        <v>-4.8479831726300002</v>
      </c>
      <c r="Q67" s="337">
        <f si="0" t="shared"/>
        <v>-4.8479831726300002</v>
      </c>
    </row>
    <row r="68" spans="13:17" x14ac:dyDescent="0.25">
      <c r="M68" s="297" t="str">
        <f>VLOOKUP(N68,Coeff_Descr!$A:$D,3,FALSE)</f>
        <v>ESCORT</v>
      </c>
      <c r="N68" s="297">
        <f>OtherTourDestination!B76</f>
        <v>77</v>
      </c>
      <c r="O68" s="297" t="str">
        <f>OtherTourDestination!C76</f>
        <v>Gamma077</v>
      </c>
      <c r="P68" s="299">
        <f>OtherTourDestination!E76</f>
        <v>-5.4883496585599998</v>
      </c>
      <c r="Q68" s="337">
        <f si="0" t="shared"/>
        <v>-5.4883496585599998</v>
      </c>
    </row>
    <row r="69" spans="13:17" x14ac:dyDescent="0.25">
      <c r="M69" s="297" t="str">
        <f>VLOOKUP(N69,Coeff_Descr!$A:$D,3,FALSE)</f>
        <v>ESCORT</v>
      </c>
      <c r="N69" s="297">
        <f>OtherTourDestination!B77</f>
        <v>78</v>
      </c>
      <c r="O69" s="297" t="str">
        <f>OtherTourDestination!C77</f>
        <v>Gamma078</v>
      </c>
      <c r="P69" s="299">
        <f>OtherTourDestination!E77</f>
        <v>-6.9308352438999998</v>
      </c>
      <c r="Q69" s="337">
        <f ref="Q69:Q103" si="10" t="shared">_xlfn.IFNA(VLOOKUP(N69,$B$43:$D$46,3,FALSE),P69)</f>
        <v>-6.9308352438999998</v>
      </c>
    </row>
    <row r="70" spans="13:17" x14ac:dyDescent="0.25">
      <c r="M70" s="297" t="str">
        <f>VLOOKUP(N70,Coeff_Descr!$A:$D,3,FALSE)</f>
        <v>ESCORT</v>
      </c>
      <c r="N70" s="297">
        <f>OtherTourDestination!B78</f>
        <v>79</v>
      </c>
      <c r="O70" s="297" t="str">
        <f>OtherTourDestination!C78</f>
        <v>Gamma079</v>
      </c>
      <c r="P70" s="299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7" t="str">
        <f>VLOOKUP(N71,Coeff_Descr!$A:$D,3,FALSE)</f>
        <v>ESCORT</v>
      </c>
      <c r="N71" s="297">
        <f>OtherTourDestination!B79</f>
        <v>80</v>
      </c>
      <c r="O71" s="297" t="str">
        <f>OtherTourDestination!C79</f>
        <v>Gamma080</v>
      </c>
      <c r="P71" s="299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7" t="str">
        <f>VLOOKUP(N72,Coeff_Descr!$A:$D,3,FALSE)</f>
        <v>ESCORT</v>
      </c>
      <c r="N72" s="297">
        <f>OtherTourDestination!B80</f>
        <v>81</v>
      </c>
      <c r="O72" s="297" t="str">
        <f>OtherTourDestination!C80</f>
        <v>Gamma081</v>
      </c>
      <c r="P72" s="299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7" t="str">
        <f>VLOOKUP(N73,Coeff_Descr!$A:$D,3,FALSE)</f>
        <v>ESCORT</v>
      </c>
      <c r="N73" s="297">
        <f>OtherTourDestination!B81</f>
        <v>82</v>
      </c>
      <c r="O73" s="297" t="str">
        <f>OtherTourDestination!C81</f>
        <v>Gamma082</v>
      </c>
      <c r="P73" s="299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7" t="str">
        <f>VLOOKUP(N74,Coeff_Descr!$A:$D,3,FALSE)</f>
        <v>ESCORT</v>
      </c>
      <c r="N74" s="297">
        <f>OtherTourDestination!B82</f>
        <v>83</v>
      </c>
      <c r="O74" s="297" t="str">
        <f>OtherTourDestination!C82</f>
        <v>Gamma083</v>
      </c>
      <c r="P74" s="299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7" t="str">
        <f>VLOOKUP(N75,Coeff_Descr!$A:$D,3,FALSE)</f>
        <v>ESCORT</v>
      </c>
      <c r="N75" s="297">
        <f>OtherTourDestination!B83</f>
        <v>84</v>
      </c>
      <c r="O75" s="297" t="str">
        <f>OtherTourDestination!C83</f>
        <v>Gamma084</v>
      </c>
      <c r="P75" s="299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7" t="str">
        <f>VLOOKUP(N76,Coeff_Descr!$A:$D,3,FALSE)</f>
        <v>ESCORT</v>
      </c>
      <c r="N76" s="297">
        <f>OtherTourDestination!B84</f>
        <v>85</v>
      </c>
      <c r="O76" s="297" t="str">
        <f>OtherTourDestination!C84</f>
        <v>Gamma085</v>
      </c>
      <c r="P76" s="299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7" t="str">
        <f>VLOOKUP(N77,Coeff_Descr!$A:$D,3,FALSE)</f>
        <v>ESCORT</v>
      </c>
      <c r="N77" s="297">
        <f>OtherTourDestination!B85</f>
        <v>86</v>
      </c>
      <c r="O77" s="297" t="str">
        <f>OtherTourDestination!C85</f>
        <v>Gamma086</v>
      </c>
      <c r="P77" s="299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7" t="str">
        <f>VLOOKUP(N78,Coeff_Descr!$A:$D,3,FALSE)</f>
        <v>ESCORT</v>
      </c>
      <c r="N78" s="297">
        <f>OtherTourDestination!B86</f>
        <v>87</v>
      </c>
      <c r="O78" s="297" t="str">
        <f>OtherTourDestination!C86</f>
        <v>Gamma087</v>
      </c>
      <c r="P78" s="299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7" t="str">
        <f>VLOOKUP(N79,Coeff_Descr!$A:$D,3,FALSE)</f>
        <v>ESCORT</v>
      </c>
      <c r="N79" s="297">
        <f>OtherTourDestination!B87</f>
        <v>88</v>
      </c>
      <c r="O79" s="297" t="str">
        <f>OtherTourDestination!C87</f>
        <v>Gamma088</v>
      </c>
      <c r="P79" s="299">
        <f>OtherTourDestination!E87</f>
        <v>0</v>
      </c>
      <c r="Q79" s="337">
        <f si="10" t="shared"/>
        <v>0</v>
      </c>
    </row>
    <row r="80" spans="13:17" x14ac:dyDescent="0.25">
      <c r="M80" s="297" t="str">
        <f>VLOOKUP(N80,Coeff_Descr!$A:$D,3,FALSE)</f>
        <v>PERSBUS/MED</v>
      </c>
      <c r="N80" s="297">
        <f>OtherTourDestination!B88</f>
        <v>89</v>
      </c>
      <c r="O80" s="297" t="str">
        <f>OtherTourDestination!C88</f>
        <v>Gamma089</v>
      </c>
      <c r="P80" s="299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7" t="str">
        <f>VLOOKUP(N81,Coeff_Descr!$A:$D,3,FALSE)</f>
        <v>PERSBUS/MED</v>
      </c>
      <c r="N81" s="297">
        <f>OtherTourDestination!B89</f>
        <v>90</v>
      </c>
      <c r="O81" s="297" t="str">
        <f>OtherTourDestination!C89</f>
        <v>Gamma090</v>
      </c>
      <c r="P81" s="299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7" t="str">
        <f>VLOOKUP(N82,Coeff_Descr!$A:$D,3,FALSE)</f>
        <v>PERSBUS/MED</v>
      </c>
      <c r="N82" s="297">
        <f>OtherTourDestination!B90</f>
        <v>91</v>
      </c>
      <c r="O82" s="297" t="str">
        <f>OtherTourDestination!C90</f>
        <v>Gamma091</v>
      </c>
      <c r="P82" s="299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7" t="str">
        <f>VLOOKUP(N83,Coeff_Descr!$A:$D,3,FALSE)</f>
        <v>PERSBUS/MED</v>
      </c>
      <c r="N83" s="297">
        <f>OtherTourDestination!B91</f>
        <v>92</v>
      </c>
      <c r="O83" s="297" t="str">
        <f>OtherTourDestination!C91</f>
        <v>Gamma092</v>
      </c>
      <c r="P83" s="299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7" t="str">
        <f>VLOOKUP(N84,Coeff_Descr!$A:$D,3,FALSE)</f>
        <v>PERSBUS/MED</v>
      </c>
      <c r="N84" s="297">
        <f>OtherTourDestination!B92</f>
        <v>93</v>
      </c>
      <c r="O84" s="297" t="str">
        <f>OtherTourDestination!C92</f>
        <v>Gamma093</v>
      </c>
      <c r="P84" s="299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7" t="str">
        <f>VLOOKUP(N85,Coeff_Descr!$A:$D,3,FALSE)</f>
        <v>PERSBUS/MED</v>
      </c>
      <c r="N85" s="297">
        <f>OtherTourDestination!B93</f>
        <v>94</v>
      </c>
      <c r="O85" s="297" t="str">
        <f>OtherTourDestination!C93</f>
        <v>Gamma094</v>
      </c>
      <c r="P85" s="299">
        <f>OtherTourDestination!E93</f>
        <v>0</v>
      </c>
      <c r="Q85" s="337">
        <f si="10" t="shared"/>
        <v>0</v>
      </c>
    </row>
    <row r="86" spans="13:17" x14ac:dyDescent="0.25">
      <c r="M86" s="297" t="str">
        <f>VLOOKUP(N86,Coeff_Descr!$A:$D,3,FALSE)</f>
        <v>PERSBUS/MED</v>
      </c>
      <c r="N86" s="297">
        <f>OtherTourDestination!B94</f>
        <v>95</v>
      </c>
      <c r="O86" s="297" t="str">
        <f>OtherTourDestination!C94</f>
        <v>Gamma095</v>
      </c>
      <c r="P86" s="299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7" t="str">
        <f>VLOOKUP(N87,Coeff_Descr!$A:$D,3,FALSE)</f>
        <v>PERSBUS/MED</v>
      </c>
      <c r="N87" s="297">
        <f>OtherTourDestination!B95</f>
        <v>96</v>
      </c>
      <c r="O87" s="297" t="str">
        <f>OtherTourDestination!C95</f>
        <v>Gamma096</v>
      </c>
      <c r="P87" s="299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7" t="str">
        <f>VLOOKUP(N88,Coeff_Descr!$A:$D,3,FALSE)</f>
        <v>PERSBUS/MED</v>
      </c>
      <c r="N88" s="297">
        <f>OtherTourDestination!B96</f>
        <v>97</v>
      </c>
      <c r="O88" s="297" t="str">
        <f>OtherTourDestination!C96</f>
        <v>Gamma097</v>
      </c>
      <c r="P88" s="299">
        <f>OtherTourDestination!E96</f>
        <v>-30</v>
      </c>
      <c r="Q88" s="337">
        <f si="10" t="shared"/>
        <v>-30</v>
      </c>
    </row>
    <row r="89" spans="13:17" x14ac:dyDescent="0.25">
      <c r="M89" s="297" t="str">
        <f>VLOOKUP(N89,Coeff_Descr!$A:$D,3,FALSE)</f>
        <v>SHOP</v>
      </c>
      <c r="N89" s="297">
        <f>OtherTourDestination!B97</f>
        <v>98</v>
      </c>
      <c r="O89" s="297" t="str">
        <f>OtherTourDestination!C97</f>
        <v>Gamma098</v>
      </c>
      <c r="P89" s="299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7" t="str">
        <f>VLOOKUP(N90,Coeff_Descr!$A:$D,3,FALSE)</f>
        <v>SHOP</v>
      </c>
      <c r="N90" s="297">
        <f>OtherTourDestination!B98</f>
        <v>99</v>
      </c>
      <c r="O90" s="297" t="str">
        <f>OtherTourDestination!C98</f>
        <v>Gamma099</v>
      </c>
      <c r="P90" s="299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7" t="str">
        <f>VLOOKUP(N91,Coeff_Descr!$A:$D,3,FALSE)</f>
        <v>SHOP</v>
      </c>
      <c r="N91" s="297">
        <f>OtherTourDestination!B99</f>
        <v>100</v>
      </c>
      <c r="O91" s="297" t="str">
        <f>OtherTourDestination!C99</f>
        <v>Gamma100</v>
      </c>
      <c r="P91" s="299">
        <f>OtherTourDestination!E99</f>
        <v>-0.7</v>
      </c>
      <c r="Q91" s="337">
        <f si="10" t="shared"/>
        <v>-0.7</v>
      </c>
    </row>
    <row r="92" spans="13:17" x14ac:dyDescent="0.25">
      <c r="M92" s="297" t="str">
        <f>VLOOKUP(N92,Coeff_Descr!$A:$D,3,FALSE)</f>
        <v>SHOP</v>
      </c>
      <c r="N92" s="297">
        <f>OtherTourDestination!B100</f>
        <v>101</v>
      </c>
      <c r="O92" s="297" t="str">
        <f>OtherTourDestination!C100</f>
        <v>Gamma101</v>
      </c>
      <c r="P92" s="299">
        <f>OtherTourDestination!E100</f>
        <v>-17.8758745875</v>
      </c>
      <c r="Q92" s="337">
        <f si="10" t="shared"/>
        <v>-17.8758745875</v>
      </c>
    </row>
    <row r="93" spans="13:17" x14ac:dyDescent="0.25">
      <c r="M93" s="297" t="str">
        <f>VLOOKUP(N93,Coeff_Descr!$A:$D,3,FALSE)</f>
        <v>MEAL</v>
      </c>
      <c r="N93" s="297">
        <f>OtherTourDestination!B101</f>
        <v>102</v>
      </c>
      <c r="O93" s="297" t="str">
        <f>OtherTourDestination!C101</f>
        <v>Gamma102</v>
      </c>
      <c r="P93" s="299">
        <f>OtherTourDestination!E101</f>
        <v>0</v>
      </c>
      <c r="Q93" s="337">
        <f si="10" t="shared"/>
        <v>0</v>
      </c>
    </row>
    <row r="94" spans="13:17" x14ac:dyDescent="0.25">
      <c r="M94" s="297" t="str">
        <f>VLOOKUP(N94,Coeff_Descr!$A:$D,3,FALSE)</f>
        <v>MEAL</v>
      </c>
      <c r="N94" s="297">
        <f>OtherTourDestination!B102</f>
        <v>103</v>
      </c>
      <c r="O94" s="297" t="str">
        <f>OtherTourDestination!C102</f>
        <v>Gamma103</v>
      </c>
      <c r="P94" s="299">
        <f>OtherTourDestination!E102</f>
        <v>5</v>
      </c>
      <c r="Q94" s="337">
        <f si="10" t="shared"/>
        <v>5</v>
      </c>
    </row>
    <row r="95" spans="13:17" x14ac:dyDescent="0.25">
      <c r="M95" s="297" t="str">
        <f>VLOOKUP(N95,Coeff_Descr!$A:$D,3,FALSE)</f>
        <v>MEAL</v>
      </c>
      <c r="N95" s="297">
        <f>OtherTourDestination!B103</f>
        <v>104</v>
      </c>
      <c r="O95" s="297" t="str">
        <f>OtherTourDestination!C103</f>
        <v>Gamma104</v>
      </c>
      <c r="P95" s="299">
        <f>OtherTourDestination!E103</f>
        <v>-30</v>
      </c>
      <c r="Q95" s="337">
        <f si="10" t="shared"/>
        <v>-30</v>
      </c>
    </row>
    <row r="96" spans="13:17" x14ac:dyDescent="0.25">
      <c r="M96" s="297" t="str">
        <f>VLOOKUP(N96,Coeff_Descr!$A:$D,3,FALSE)</f>
        <v>MEAL</v>
      </c>
      <c r="N96" s="297">
        <f>OtherTourDestination!B104</f>
        <v>105</v>
      </c>
      <c r="O96" s="297" t="str">
        <f>OtherTourDestination!C104</f>
        <v>Gamma105</v>
      </c>
      <c r="P96" s="299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7" t="str">
        <f>VLOOKUP(N97,Coeff_Descr!$A:$D,3,FALSE)</f>
        <v>SOCREC</v>
      </c>
      <c r="N97" s="297">
        <f>OtherTourDestination!B105</f>
        <v>106</v>
      </c>
      <c r="O97" s="297" t="str">
        <f>OtherTourDestination!C105</f>
        <v>Gamma106</v>
      </c>
      <c r="P97" s="299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7" t="str">
        <f>VLOOKUP(N98,Coeff_Descr!$A:$D,3,FALSE)</f>
        <v>SOCREC</v>
      </c>
      <c r="N98" s="297">
        <f>OtherTourDestination!B106</f>
        <v>107</v>
      </c>
      <c r="O98" s="297" t="str">
        <f>OtherTourDestination!C106</f>
        <v>Gamma107</v>
      </c>
      <c r="P98" s="299">
        <f>OtherTourDestination!E106</f>
        <v>0</v>
      </c>
      <c r="Q98" s="337">
        <f si="10" t="shared"/>
        <v>0</v>
      </c>
    </row>
    <row r="99" spans="13:17" x14ac:dyDescent="0.25">
      <c r="M99" s="297" t="str">
        <f>VLOOKUP(N99,Coeff_Descr!$A:$D,3,FALSE)</f>
        <v>SOCREC</v>
      </c>
      <c r="N99" s="297">
        <f>OtherTourDestination!B107</f>
        <v>108</v>
      </c>
      <c r="O99" s="297" t="str">
        <f>OtherTourDestination!C107</f>
        <v>Gamma108</v>
      </c>
      <c r="P99" s="299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7" t="str">
        <f>VLOOKUP(N100,Coeff_Descr!$A:$D,3,FALSE)</f>
        <v>SOCREC</v>
      </c>
      <c r="N100" s="297">
        <f>OtherTourDestination!B108</f>
        <v>109</v>
      </c>
      <c r="O100" s="297" t="str">
        <f>OtherTourDestination!C108</f>
        <v>Gamma109</v>
      </c>
      <c r="P100" s="299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7" t="str">
        <f>VLOOKUP(N101,Coeff_Descr!$A:$D,3,FALSE)</f>
        <v>SOCREC</v>
      </c>
      <c r="N101" s="297">
        <f>OtherTourDestination!B109</f>
        <v>110</v>
      </c>
      <c r="O101" s="297" t="str">
        <f>OtherTourDestination!C109</f>
        <v>Gamma110</v>
      </c>
      <c r="P101" s="299">
        <f>OtherTourDestination!E109</f>
        <v>-11.2471450075</v>
      </c>
      <c r="Q101" s="337">
        <f si="10" t="shared"/>
        <v>-11.2471450075</v>
      </c>
    </row>
    <row r="102" spans="13:17" x14ac:dyDescent="0.25">
      <c r="M102" s="297" t="str">
        <f>VLOOKUP(N102,Coeff_Descr!$A:$D,3,FALSE)</f>
        <v>SOCREC</v>
      </c>
      <c r="N102" s="297">
        <f>OtherTourDestination!B110</f>
        <v>111</v>
      </c>
      <c r="O102" s="297" t="str">
        <f>OtherTourDestination!C110</f>
        <v>Gamma111</v>
      </c>
      <c r="P102" s="299">
        <f>OtherTourDestination!E110</f>
        <v>-10.0807778908</v>
      </c>
      <c r="Q102" s="337">
        <f si="10" t="shared"/>
        <v>-10.0807778908</v>
      </c>
    </row>
    <row r="103" spans="13:17" x14ac:dyDescent="0.25">
      <c r="M103" s="297" t="str">
        <f>VLOOKUP(N103,Coeff_Descr!$A:$D,3,FALSE)</f>
        <v>SOCREC</v>
      </c>
      <c r="N103" s="297">
        <f>OtherTourDestination!B111</f>
        <v>112</v>
      </c>
      <c r="O103" s="297" t="str">
        <f>OtherTourDestination!C111</f>
        <v>Gamma112</v>
      </c>
      <c r="P103" s="299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7" t="str">
        <f>VLOOKUP(N104,Coeff_Descr!$A:$D,3,FALSE)</f>
        <v>SOCREC</v>
      </c>
      <c r="N104" s="297">
        <f>OtherTourDestination!B112</f>
        <v>113</v>
      </c>
      <c r="O104" s="297" t="str">
        <f>OtherTourDestination!C112</f>
        <v>Gamma113</v>
      </c>
      <c r="P104" s="299">
        <f>OtherTourDestination!E112</f>
        <v>-12.0597581892</v>
      </c>
      <c r="Q104" s="337">
        <f ref="Q104" si="11" t="shared">_xlfn.IFNA(VLOOKUP(N104,$B$43:$D$46,3,FALSE),P104)</f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2017-10-26T15:42:56Z</dcterms:modified>
</cp:coreProperties>
</file>