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DC695F76-651D-405A-B3F1-BDA1AD91BB30}" revIDLastSave="0" xr10:uidLastSave="{00000000-0000-0000-0000-000000000000}" xr6:coauthVersionLast="41" xr6:coauthVersionMax="41"/>
  <bookViews>
    <workbookView activeTab="6" firstSheet="4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<sst xmlns="http://schemas.openxmlformats.org/spreadsheetml/2006/main" count="716" uniqueCount="284">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</sst>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2.4523639977756161E-2</c:v>
                </c:pt>
                <c:pt idx="1">
                  <c:v>6.534783145225255E-2</c:v>
                </c:pt>
                <c:pt idx="2">
                  <c:v>9.1201154092429348E-2</c:v>
                </c:pt>
                <c:pt idx="3">
                  <c:v>0.10752891019909258</c:v>
                </c:pt>
                <c:pt idx="4">
                  <c:v>0.17889246407837461</c:v>
                </c:pt>
                <c:pt idx="5">
                  <c:v>0.11069849420154268</c:v>
                </c:pt>
                <c:pt idx="6">
                  <c:v>0.11964801114770861</c:v>
                </c:pt>
                <c:pt idx="7">
                  <c:v>3.6554882453466227E-2</c:v>
                </c:pt>
                <c:pt idx="8">
                  <c:v>4.0659292721332223E-2</c:v>
                </c:pt>
                <c:pt idx="9">
                  <c:v>2.5854911959848702E-2</c:v>
                </c:pt>
                <c:pt idx="10">
                  <c:v>4.7346155532818769E-2</c:v>
                </c:pt>
                <c:pt idx="11">
                  <c:v>8.9841786275612727E-3</c:v>
                </c:pt>
                <c:pt idx="12">
                  <c:v>2.8092981056339086E-2</c:v>
                </c:pt>
                <c:pt idx="13">
                  <c:v>7.3310860727167915E-3</c:v>
                </c:pt>
                <c:pt idx="14">
                  <c:v>9.6123426837478546E-3</c:v>
                </c:pt>
                <c:pt idx="15">
                  <c:v>1.8761754215689389E-2</c:v>
                </c:pt>
                <c:pt idx="16">
                  <c:v>1.8731364787065743E-2</c:v>
                </c:pt>
                <c:pt idx="17">
                  <c:v>7.030631325966547E-3</c:v>
                </c:pt>
                <c:pt idx="18">
                  <c:v>8.6139150151855453E-3</c:v>
                </c:pt>
                <c:pt idx="19">
                  <c:v>2.5079858915517607E-3</c:v>
                </c:pt>
                <c:pt idx="20">
                  <c:v>3.5852782908832865E-3</c:v>
                </c:pt>
                <c:pt idx="21">
                  <c:v>9.4076904973705361E-4</c:v>
                </c:pt>
                <c:pt idx="22">
                  <c:v>2.1470495397900359E-3</c:v>
                </c:pt>
                <c:pt idx="23">
                  <c:v>2.0617901559838048E-3</c:v>
                </c:pt>
                <c:pt idx="24">
                  <c:v>1.1206149932386918E-2</c:v>
                </c:pt>
                <c:pt idx="25">
                  <c:v>1.6035688665485828E-3</c:v>
                </c:pt>
                <c:pt idx="26">
                  <c:v>8.0315298866201967E-4</c:v>
                </c:pt>
                <c:pt idx="27">
                  <c:v>2.1617104094213452E-3</c:v>
                </c:pt>
                <c:pt idx="28">
                  <c:v>6.6195504275886349E-4</c:v>
                </c:pt>
                <c:pt idx="29">
                  <c:v>5.7096689718017131E-4</c:v>
                </c:pt>
                <c:pt idx="30">
                  <c:v>0</c:v>
                </c:pt>
                <c:pt idx="31">
                  <c:v>1.5584261850256739E-3</c:v>
                </c:pt>
                <c:pt idx="32">
                  <c:v>0</c:v>
                </c:pt>
                <c:pt idx="33">
                  <c:v>7.9952391776561417E-4</c:v>
                </c:pt>
                <c:pt idx="34">
                  <c:v>9.7056606788619825E-4</c:v>
                </c:pt>
                <c:pt idx="35">
                  <c:v>3.3378747026857023E-4</c:v>
                </c:pt>
                <c:pt idx="36">
                  <c:v>7.5416135022302565E-4</c:v>
                </c:pt>
                <c:pt idx="37">
                  <c:v>1.6168828175723327E-4</c:v>
                </c:pt>
                <c:pt idx="38">
                  <c:v>6.502867995594843E-4</c:v>
                </c:pt>
                <c:pt idx="39">
                  <c:v>3.544013059840544E-4</c:v>
                </c:pt>
                <c:pt idx="40">
                  <c:v>0</c:v>
                </c:pt>
                <c:pt idx="41">
                  <c:v>6.1887999886136257E-4</c:v>
                </c:pt>
                <c:pt idx="42">
                  <c:v>1.3848210266982316E-4</c:v>
                </c:pt>
                <c:pt idx="43">
                  <c:v>1.7695228283098245E-3</c:v>
                </c:pt>
                <c:pt idx="44">
                  <c:v>6.8450390833477051E-4</c:v>
                </c:pt>
                <c:pt idx="45">
                  <c:v>6.4033103389086066E-4</c:v>
                </c:pt>
                <c:pt idx="46">
                  <c:v>0</c:v>
                </c:pt>
                <c:pt idx="47">
                  <c:v>4.1998644344663977E-4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1.8767456180364343E-4</c:v>
                </c:pt>
                <c:pt idx="53">
                  <c:v>4.05886017183869E-5</c:v>
                </c:pt>
                <c:pt idx="54">
                  <c:v>6.921627207782193E-4</c:v>
                </c:pt>
                <c:pt idx="55">
                  <c:v>0</c:v>
                </c:pt>
                <c:pt idx="56">
                  <c:v>0</c:v>
                </c:pt>
                <c:pt idx="57">
                  <c:v>5.6203315562779633E-4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0.10884592350672347</c:v>
                </c:pt>
                <c:pt idx="1">
                  <c:v>0.11272891667218782</c:v>
                </c:pt>
                <c:pt idx="2">
                  <c:v>6.2990489329888141E-2</c:v>
                </c:pt>
                <c:pt idx="3">
                  <c:v>3.4349355064584475E-2</c:v>
                </c:pt>
                <c:pt idx="4">
                  <c:v>0.21011422937070567</c:v>
                </c:pt>
                <c:pt idx="5">
                  <c:v>9.9489845628612295E-2</c:v>
                </c:pt>
                <c:pt idx="6">
                  <c:v>0.10288048201598665</c:v>
                </c:pt>
                <c:pt idx="7">
                  <c:v>4.5077276630460905E-2</c:v>
                </c:pt>
                <c:pt idx="8">
                  <c:v>7.9068081640288557E-2</c:v>
                </c:pt>
                <c:pt idx="9">
                  <c:v>3.2279897683324954E-2</c:v>
                </c:pt>
                <c:pt idx="10">
                  <c:v>1.6721943133441677E-2</c:v>
                </c:pt>
                <c:pt idx="11">
                  <c:v>1.9390283033697209E-2</c:v>
                </c:pt>
                <c:pt idx="12">
                  <c:v>1.4616111108945954E-2</c:v>
                </c:pt>
                <c:pt idx="13">
                  <c:v>1.6089284160012055E-2</c:v>
                </c:pt>
                <c:pt idx="14">
                  <c:v>8.2921195634523166E-3</c:v>
                </c:pt>
                <c:pt idx="15">
                  <c:v>1.0690247828238934E-2</c:v>
                </c:pt>
                <c:pt idx="16">
                  <c:v>7.3385842729033592E-3</c:v>
                </c:pt>
                <c:pt idx="17">
                  <c:v>5.938160508309657E-3</c:v>
                </c:pt>
                <c:pt idx="18">
                  <c:v>3.1035365246886394E-3</c:v>
                </c:pt>
                <c:pt idx="19">
                  <c:v>1.9265569971173096E-3</c:v>
                </c:pt>
                <c:pt idx="20">
                  <c:v>1.5537169039462591E-3</c:v>
                </c:pt>
                <c:pt idx="21">
                  <c:v>1.6784299664703735E-3</c:v>
                </c:pt>
                <c:pt idx="22">
                  <c:v>8.2492494482096527E-4</c:v>
                </c:pt>
                <c:pt idx="23">
                  <c:v>8.3661679443260107E-4</c:v>
                </c:pt>
                <c:pt idx="24">
                  <c:v>6.8332365508004371E-4</c:v>
                </c:pt>
                <c:pt idx="25">
                  <c:v>4.572812292550863E-4</c:v>
                </c:pt>
                <c:pt idx="26">
                  <c:v>3.1957722271804326E-4</c:v>
                </c:pt>
                <c:pt idx="27">
                  <c:v>1.037976426632994E-3</c:v>
                </c:pt>
                <c:pt idx="28">
                  <c:v>1.6628408336548592E-4</c:v>
                </c:pt>
                <c:pt idx="29">
                  <c:v>1.3640491213575017E-4</c:v>
                </c:pt>
                <c:pt idx="30">
                  <c:v>1.3250762893187159E-4</c:v>
                </c:pt>
                <c:pt idx="31">
                  <c:v>5.8459248058178643E-5</c:v>
                </c:pt>
                <c:pt idx="32">
                  <c:v>4.8066492847835775E-5</c:v>
                </c:pt>
                <c:pt idx="33">
                  <c:v>3.5075548834907187E-5</c:v>
                </c:pt>
                <c:pt idx="34">
                  <c:v>3.2477360032321468E-5</c:v>
                </c:pt>
                <c:pt idx="35">
                  <c:v>1.2990944012928587E-5</c:v>
                </c:pt>
                <c:pt idx="36">
                  <c:v>1.1691849611635728E-5</c:v>
                </c:pt>
                <c:pt idx="37">
                  <c:v>1.1691849611635728E-5</c:v>
                </c:pt>
                <c:pt idx="38">
                  <c:v>5.1963776051714351E-6</c:v>
                </c:pt>
                <c:pt idx="39">
                  <c:v>6.4954720064642937E-6</c:v>
                </c:pt>
                <c:pt idx="40">
                  <c:v>1.2990944012928588E-6</c:v>
                </c:pt>
                <c:pt idx="41">
                  <c:v>5.1963776051714351E-6</c:v>
                </c:pt>
                <c:pt idx="42">
                  <c:v>3.8972832038785766E-6</c:v>
                </c:pt>
                <c:pt idx="43">
                  <c:v>0</c:v>
                </c:pt>
                <c:pt idx="44">
                  <c:v>2.5981888025857176E-6</c:v>
                </c:pt>
                <c:pt idx="45">
                  <c:v>3.8972832038785766E-6</c:v>
                </c:pt>
                <c:pt idx="46">
                  <c:v>0</c:v>
                </c:pt>
                <c:pt idx="47">
                  <c:v>1.2990944012928588E-6</c:v>
                </c:pt>
                <c:pt idx="48">
                  <c:v>1.2990944012928588E-6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18152"/>
        <c:axId val="168821680"/>
      </c:lineChart>
      <c:catAx>
        <c:axId val="16881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8821680"/>
        <c:crosses val="autoZero"/>
        <c:auto val="1"/>
        <c:lblAlgn val="ctr"/>
        <c:lblOffset val="100"/>
        <c:tickLblSkip val="10"/>
        <c:noMultiLvlLbl val="0"/>
      </c:catAx>
      <c:valAx>
        <c:axId val="168821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8818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1.0842918699166289E-4</c:v>
                </c:pt>
                <c:pt idx="3">
                  <c:v>1.9389918173260694E-3</c:v>
                </c:pt>
                <c:pt idx="4">
                  <c:v>5.2272884370767126E-3</c:v>
                </c:pt>
                <c:pt idx="5">
                  <c:v>1.7248930536361718E-2</c:v>
                </c:pt>
                <c:pt idx="6">
                  <c:v>1.3184513166824693E-2</c:v>
                </c:pt>
                <c:pt idx="7">
                  <c:v>1.8794112987570992E-2</c:v>
                </c:pt>
                <c:pt idx="8">
                  <c:v>1.1996510969705242E-2</c:v>
                </c:pt>
                <c:pt idx="9">
                  <c:v>2.1372694328151625E-2</c:v>
                </c:pt>
                <c:pt idx="10">
                  <c:v>7.4196212979252985E-3</c:v>
                </c:pt>
                <c:pt idx="11">
                  <c:v>1.6129665739756913E-2</c:v>
                </c:pt>
                <c:pt idx="12">
                  <c:v>3.6665521933608919E-2</c:v>
                </c:pt>
                <c:pt idx="13">
                  <c:v>3.1480287814559034E-2</c:v>
                </c:pt>
                <c:pt idx="14">
                  <c:v>2.3830826264161435E-2</c:v>
                </c:pt>
                <c:pt idx="15">
                  <c:v>1.2423854321635487E-2</c:v>
                </c:pt>
                <c:pt idx="16">
                  <c:v>4.930107558133745E-2</c:v>
                </c:pt>
                <c:pt idx="17">
                  <c:v>2.3698036629339995E-2</c:v>
                </c:pt>
                <c:pt idx="18">
                  <c:v>7.2304706662955201E-2</c:v>
                </c:pt>
                <c:pt idx="19">
                  <c:v>6.1760095803589703E-2</c:v>
                </c:pt>
                <c:pt idx="20">
                  <c:v>7.6836870112957464E-2</c:v>
                </c:pt>
                <c:pt idx="21">
                  <c:v>4.9685995866694255E-2</c:v>
                </c:pt>
                <c:pt idx="22">
                  <c:v>5.1426895301966438E-2</c:v>
                </c:pt>
                <c:pt idx="23">
                  <c:v>2.8505668435815451E-2</c:v>
                </c:pt>
                <c:pt idx="24">
                  <c:v>2.9273707230795223E-2</c:v>
                </c:pt>
                <c:pt idx="25">
                  <c:v>1.8563282201761254E-2</c:v>
                </c:pt>
                <c:pt idx="26">
                  <c:v>5.4008578908517089E-2</c:v>
                </c:pt>
                <c:pt idx="27">
                  <c:v>6.9558043136511271E-3</c:v>
                </c:pt>
                <c:pt idx="28">
                  <c:v>2.1632745392532179E-2</c:v>
                </c:pt>
                <c:pt idx="29">
                  <c:v>2.6834632851473871E-2</c:v>
                </c:pt>
                <c:pt idx="30">
                  <c:v>7.4975174509201367E-3</c:v>
                </c:pt>
                <c:pt idx="31">
                  <c:v>1.9375703034380583E-2</c:v>
                </c:pt>
                <c:pt idx="32">
                  <c:v>7.4061751604303158E-3</c:v>
                </c:pt>
                <c:pt idx="33">
                  <c:v>5.0970396476648343E-3</c:v>
                </c:pt>
                <c:pt idx="34">
                  <c:v>1.824004287818189E-2</c:v>
                </c:pt>
                <c:pt idx="35">
                  <c:v>1.1865825302800502E-2</c:v>
                </c:pt>
                <c:pt idx="36">
                  <c:v>4.2066699233381721E-3</c:v>
                </c:pt>
                <c:pt idx="37">
                  <c:v>7.6118152482451233E-3</c:v>
                </c:pt>
                <c:pt idx="38">
                  <c:v>1.3393824983770656E-2</c:v>
                </c:pt>
                <c:pt idx="39">
                  <c:v>4.2491166743803249E-3</c:v>
                </c:pt>
                <c:pt idx="40">
                  <c:v>4.3543356322775879E-3</c:v>
                </c:pt>
                <c:pt idx="41">
                  <c:v>7.1938665988753392E-3</c:v>
                </c:pt>
                <c:pt idx="42">
                  <c:v>6.6205596432634215E-3</c:v>
                </c:pt>
                <c:pt idx="43">
                  <c:v>2.495773969950332E-3</c:v>
                </c:pt>
                <c:pt idx="44">
                  <c:v>5.2265474547382666E-4</c:v>
                </c:pt>
                <c:pt idx="45">
                  <c:v>4.9764521298022127E-2</c:v>
                </c:pt>
                <c:pt idx="46">
                  <c:v>1.7773185004719538E-3</c:v>
                </c:pt>
                <c:pt idx="47">
                  <c:v>2.8277095388219088E-3</c:v>
                </c:pt>
                <c:pt idx="48">
                  <c:v>3.0596513459037336E-3</c:v>
                </c:pt>
                <c:pt idx="49">
                  <c:v>0</c:v>
                </c:pt>
                <c:pt idx="50">
                  <c:v>6.0917977511778609E-4</c:v>
                </c:pt>
                <c:pt idx="51">
                  <c:v>3.5046567779275523E-3</c:v>
                </c:pt>
                <c:pt idx="52">
                  <c:v>3.8519102202584227E-3</c:v>
                </c:pt>
                <c:pt idx="53">
                  <c:v>1.0518349256314738E-3</c:v>
                </c:pt>
                <c:pt idx="54">
                  <c:v>5.212203949571903E-4</c:v>
                </c:pt>
                <c:pt idx="55">
                  <c:v>0</c:v>
                </c:pt>
                <c:pt idx="56">
                  <c:v>6.1887999886136268E-4</c:v>
                </c:pt>
                <c:pt idx="57">
                  <c:v>1.4187931613342394E-3</c:v>
                </c:pt>
                <c:pt idx="58">
                  <c:v>3.0017038442705648E-4</c:v>
                </c:pt>
                <c:pt idx="59">
                  <c:v>7.7242484982427179E-4</c:v>
                </c:pt>
                <c:pt idx="60">
                  <c:v>8.1858568262290865E-4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1.6412758665933978E-2</c:v>
                </c:pt>
                <c:pt idx="1">
                  <c:v>1.8296445547808623E-2</c:v>
                </c:pt>
                <c:pt idx="2">
                  <c:v>2.3470738548158079E-2</c:v>
                </c:pt>
                <c:pt idx="3">
                  <c:v>2.6845785802716925E-2</c:v>
                </c:pt>
                <c:pt idx="4">
                  <c:v>2.7618746971486176E-2</c:v>
                </c:pt>
                <c:pt idx="5">
                  <c:v>2.7226420462295734E-2</c:v>
                </c:pt>
                <c:pt idx="6">
                  <c:v>2.6769139233040647E-2</c:v>
                </c:pt>
                <c:pt idx="7">
                  <c:v>2.4426872027509622E-2</c:v>
                </c:pt>
                <c:pt idx="8">
                  <c:v>2.2243094338936328E-2</c:v>
                </c:pt>
                <c:pt idx="9">
                  <c:v>1.9793002298097995E-2</c:v>
                </c:pt>
                <c:pt idx="10">
                  <c:v>1.7310432897227342E-2</c:v>
                </c:pt>
                <c:pt idx="11">
                  <c:v>1.5066896866194576E-2</c:v>
                </c:pt>
                <c:pt idx="12">
                  <c:v>1.2876623705614815E-2</c:v>
                </c:pt>
                <c:pt idx="13">
                  <c:v>1.0813661796361757E-2</c:v>
                </c:pt>
                <c:pt idx="14">
                  <c:v>9.5496429439038046E-3</c:v>
                </c:pt>
                <c:pt idx="15">
                  <c:v>7.9140830926760948E-3</c:v>
                </c:pt>
                <c:pt idx="16">
                  <c:v>7.2229648711882944E-3</c:v>
                </c:pt>
                <c:pt idx="17">
                  <c:v>6.1810911613514223E-3</c:v>
                </c:pt>
                <c:pt idx="18">
                  <c:v>0.15162899942450117</c:v>
                </c:pt>
                <c:pt idx="19">
                  <c:v>4.60243164490034E-2</c:v>
                </c:pt>
                <c:pt idx="20">
                  <c:v>5.0856947621812837E-2</c:v>
                </c:pt>
                <c:pt idx="21">
                  <c:v>5.713157358005734E-2</c:v>
                </c:pt>
                <c:pt idx="22">
                  <c:v>5.3685076133427385E-2</c:v>
                </c:pt>
                <c:pt idx="23">
                  <c:v>3.6456486183481497E-2</c:v>
                </c:pt>
                <c:pt idx="24">
                  <c:v>3.621225643603844E-2</c:v>
                </c:pt>
                <c:pt idx="25">
                  <c:v>3.7442498834062775E-2</c:v>
                </c:pt>
                <c:pt idx="26">
                  <c:v>3.0861286597113152E-2</c:v>
                </c:pt>
                <c:pt idx="27">
                  <c:v>1.9856657923761345E-2</c:v>
                </c:pt>
                <c:pt idx="28">
                  <c:v>2.0645208225346112E-2</c:v>
                </c:pt>
                <c:pt idx="29">
                  <c:v>1.9594240854700188E-2</c:v>
                </c:pt>
                <c:pt idx="30">
                  <c:v>2.5558383251035703E-2</c:v>
                </c:pt>
                <c:pt idx="31">
                  <c:v>1.4291337508622739E-2</c:v>
                </c:pt>
                <c:pt idx="32">
                  <c:v>1.4955174747683389E-2</c:v>
                </c:pt>
                <c:pt idx="33">
                  <c:v>7.7062279884692383E-3</c:v>
                </c:pt>
                <c:pt idx="34">
                  <c:v>1.0812362701960463E-2</c:v>
                </c:pt>
                <c:pt idx="35">
                  <c:v>6.8488256836159514E-3</c:v>
                </c:pt>
                <c:pt idx="36">
                  <c:v>7.8543247502166243E-3</c:v>
                </c:pt>
                <c:pt idx="37">
                  <c:v>5.2210603987959993E-3</c:v>
                </c:pt>
                <c:pt idx="38">
                  <c:v>5.6068914359799779E-3</c:v>
                </c:pt>
                <c:pt idx="39">
                  <c:v>2.8865877596727322E-3</c:v>
                </c:pt>
                <c:pt idx="40">
                  <c:v>2.6215725018089889E-3</c:v>
                </c:pt>
                <c:pt idx="41">
                  <c:v>2.6085815577960602E-3</c:v>
                </c:pt>
                <c:pt idx="42">
                  <c:v>1.3718436877652588E-3</c:v>
                </c:pt>
                <c:pt idx="43">
                  <c:v>2.3214816951103385E-3</c:v>
                </c:pt>
                <c:pt idx="44">
                  <c:v>1.6173725296096092E-3</c:v>
                </c:pt>
                <c:pt idx="45">
                  <c:v>1.7823575185738022E-3</c:v>
                </c:pt>
                <c:pt idx="46">
                  <c:v>1.214653265208823E-3</c:v>
                </c:pt>
                <c:pt idx="47">
                  <c:v>5.1833866611585065E-4</c:v>
                </c:pt>
                <c:pt idx="48">
                  <c:v>6.1577074621281503E-4</c:v>
                </c:pt>
                <c:pt idx="49">
                  <c:v>6.1706984061410787E-4</c:v>
                </c:pt>
                <c:pt idx="50">
                  <c:v>3.3646544993485043E-4</c:v>
                </c:pt>
                <c:pt idx="51">
                  <c:v>3.936256035917362E-4</c:v>
                </c:pt>
                <c:pt idx="52">
                  <c:v>3.0788537310640752E-4</c:v>
                </c:pt>
                <c:pt idx="53">
                  <c:v>2.0655600980556453E-4</c:v>
                </c:pt>
                <c:pt idx="54">
                  <c:v>1.2211487372152871E-4</c:v>
                </c:pt>
                <c:pt idx="55">
                  <c:v>1.5069495054997162E-4</c:v>
                </c:pt>
                <c:pt idx="56">
                  <c:v>1.5848951695772876E-4</c:v>
                </c:pt>
                <c:pt idx="57">
                  <c:v>1.7927502737841451E-4</c:v>
                </c:pt>
                <c:pt idx="58">
                  <c:v>1.039275521034287E-4</c:v>
                </c:pt>
                <c:pt idx="59">
                  <c:v>6.8852003268521519E-5</c:v>
                </c:pt>
                <c:pt idx="60">
                  <c:v>6.1057436860764355E-5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22072"/>
        <c:axId val="168817368"/>
      </c:lineChart>
      <c:catAx>
        <c:axId val="168822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8817368"/>
        <c:crosses val="autoZero"/>
        <c:auto val="1"/>
        <c:lblAlgn val="ctr"/>
        <c:lblOffset val="100"/>
        <c:tickLblSkip val="10"/>
        <c:noMultiLvlLbl val="0"/>
      </c:catAx>
      <c:valAx>
        <c:axId val="16881736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8822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opLeftCell="A88" workbookViewId="0">
      <selection activeCell="E106" sqref="E106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1" t="n">
        <v>23655.6280813759</v>
      </c>
      <c r="C11" s="11">
        <f>B11/B$102</f>
        <v>2.4523639977756161E-2</v>
      </c>
      <c r="E11" s="19">
        <v>0</v>
      </c>
      <c r="F11" s="343" t="n">
        <v>84882.0</v>
      </c>
      <c r="G11" s="11">
        <f>F11/F$102</f>
        <v>0.10884592350672347</v>
      </c>
      <c r="K11" s="8" t="n">
        <v>6.837604038093853</v>
      </c>
      <c r="L11" s="8" t="n">
        <v>5.483449802316077</v>
      </c>
    </row>
    <row r="12" spans="1:12" x14ac:dyDescent="0.25">
      <c r="A12">
        <v>1</v>
      </c>
      <c r="B12" s="341" t="n">
        <v>63034.8511950535</v>
      </c>
      <c r="C12" s="11">
        <f>B12/B$102</f>
        <v>6.534783145225255E-2</v>
      </c>
      <c r="E12" s="20">
        <v>1</v>
      </c>
      <c r="F12" s="343" t="n">
        <v>88446.0</v>
      </c>
      <c r="G12" s="11">
        <f>F12/F$102</f>
        <v>0.11272891667218782</v>
      </c>
      <c r="K12" s="8"/>
      <c r="L12" s="289"/>
    </row>
    <row r="13" spans="1:12" x14ac:dyDescent="0.25">
      <c r="A13">
        <v>2</v>
      </c>
      <c r="B13" s="341" t="n">
        <v>87973.0979479238</v>
      </c>
      <c r="C13" s="11">
        <f ref="C13:C76" si="0" t="shared">B13/B$102</f>
        <v>9.1201154092429348E-2</v>
      </c>
      <c r="E13" s="21">
        <v>2</v>
      </c>
      <c r="F13" s="343" t="n">
        <v>49228.0</v>
      </c>
      <c r="G13" s="11">
        <f ref="G13:G76" si="1" t="shared">F13/F$102</f>
        <v>6.2990489329888141E-2</v>
      </c>
    </row>
    <row r="14" spans="1:12" x14ac:dyDescent="0.25">
      <c r="A14">
        <v>3</v>
      </c>
      <c r="B14" s="341" t="n">
        <v>103722.9346855768</v>
      </c>
      <c r="C14" s="11">
        <f si="0" t="shared"/>
        <v>0.10752891019909258</v>
      </c>
      <c r="E14" s="22">
        <v>3</v>
      </c>
      <c r="F14" s="343" t="n">
        <v>26684.0</v>
      </c>
      <c r="G14" s="11">
        <f si="1" t="shared"/>
        <v>3.4349355064584475E-2</v>
      </c>
    </row>
    <row r="15" spans="1:12" x14ac:dyDescent="0.25">
      <c r="A15">
        <v>4</v>
      </c>
      <c r="B15" s="341" t="n">
        <v>172560.5823865192</v>
      </c>
      <c r="C15" s="11">
        <f si="0" t="shared"/>
        <v>0.17889246407837461</v>
      </c>
      <c r="E15" s="23">
        <v>4</v>
      </c>
      <c r="F15" s="343" t="n">
        <v>163627.0</v>
      </c>
      <c r="G15" s="11">
        <f si="1" t="shared"/>
        <v>0.21011422937070567</v>
      </c>
    </row>
    <row r="16" spans="1:12" x14ac:dyDescent="0.25">
      <c r="A16">
        <v>5</v>
      </c>
      <c r="B16" s="341" t="n">
        <v>106780.3315647777</v>
      </c>
      <c r="C16" s="11">
        <f si="0" t="shared"/>
        <v>0.11069849420154268</v>
      </c>
      <c r="E16" s="24">
        <v>5</v>
      </c>
      <c r="F16" s="343" t="n">
        <v>76802.0</v>
      </c>
      <c r="G16" s="11">
        <f si="1" t="shared"/>
        <v>9.9489845628612295E-2</v>
      </c>
    </row>
    <row r="17" spans="1:7" x14ac:dyDescent="0.25">
      <c r="A17">
        <v>6</v>
      </c>
      <c r="B17" s="341" t="n">
        <v>115413.0812128111</v>
      </c>
      <c r="C17" s="11">
        <f si="0" t="shared"/>
        <v>0.11964801114770861</v>
      </c>
      <c r="E17" s="25">
        <v>6</v>
      </c>
      <c r="F17" s="343" t="n">
        <v>79025.0</v>
      </c>
      <c r="G17" s="11">
        <f si="1" t="shared"/>
        <v>0.10288048201598665</v>
      </c>
    </row>
    <row r="18" spans="1:7" x14ac:dyDescent="0.25">
      <c r="A18">
        <v>7</v>
      </c>
      <c r="B18" s="341" t="n">
        <v>35261.0258779672</v>
      </c>
      <c r="C18" s="11">
        <f si="0" t="shared"/>
        <v>3.6554882453466227E-2</v>
      </c>
      <c r="E18" s="26">
        <v>7</v>
      </c>
      <c r="F18" s="343" t="n">
        <v>53114.0</v>
      </c>
      <c r="G18" s="11">
        <f si="1" t="shared"/>
        <v>4.5077276630460905E-2</v>
      </c>
    </row>
    <row r="19" spans="1:7" x14ac:dyDescent="0.25">
      <c r="A19">
        <v>8</v>
      </c>
      <c r="B19" s="341" t="n">
        <v>39220.1609361431</v>
      </c>
      <c r="C19" s="11">
        <f si="0" t="shared"/>
        <v>4.0659292721332223E-2</v>
      </c>
      <c r="E19" s="27">
        <v>8</v>
      </c>
      <c r="F19" s="343" t="n">
        <v>47072.0</v>
      </c>
      <c r="G19" s="11">
        <f si="1" t="shared"/>
        <v>7.9068081640288557E-2</v>
      </c>
    </row>
    <row r="20" spans="1:7" x14ac:dyDescent="0.25">
      <c r="A20">
        <v>9</v>
      </c>
      <c r="B20" s="341" t="n">
        <v>24939.7798187241</v>
      </c>
      <c r="C20" s="11">
        <f si="0" t="shared"/>
        <v>2.5854911959848702E-2</v>
      </c>
      <c r="E20" s="28">
        <v>9</v>
      </c>
      <c r="F20" s="343" t="n">
        <v>21972.0</v>
      </c>
      <c r="G20" s="11">
        <f si="1" t="shared"/>
        <v>3.2279897683324954E-2</v>
      </c>
    </row>
    <row r="21" spans="1:7" x14ac:dyDescent="0.25">
      <c r="A21">
        <v>10</v>
      </c>
      <c r="B21" s="341" t="n">
        <v>45670.3428766375</v>
      </c>
      <c r="C21" s="11">
        <f si="0" t="shared"/>
        <v>4.7346155532818769E-2</v>
      </c>
      <c r="E21" s="29">
        <v>10</v>
      </c>
      <c r="F21" s="343" t="n">
        <v>14499.0</v>
      </c>
      <c r="G21" s="11">
        <f si="1" t="shared"/>
        <v>1.6721943133441677E-2</v>
      </c>
    </row>
    <row r="22" spans="1:7" x14ac:dyDescent="0.25">
      <c r="A22">
        <v>11</v>
      </c>
      <c r="B22" s="341" t="n">
        <v>8666.184482524</v>
      </c>
      <c r="C22" s="11">
        <f si="0" t="shared"/>
        <v>8.9841786275612727E-3</v>
      </c>
      <c r="E22" s="30">
        <v>11</v>
      </c>
      <c r="F22" s="343" t="n">
        <v>15235.0</v>
      </c>
      <c r="G22" s="11">
        <f si="1" t="shared"/>
        <v>1.9390283033697209E-2</v>
      </c>
    </row>
    <row r="23" spans="1:7" x14ac:dyDescent="0.25">
      <c r="A23">
        <v>12</v>
      </c>
      <c r="B23" s="341" t="n">
        <v>27098.6326731543</v>
      </c>
      <c r="C23" s="11">
        <f si="0" t="shared"/>
        <v>2.8092981056339086E-2</v>
      </c>
      <c r="E23" s="31">
        <v>12</v>
      </c>
      <c r="F23" s="343" t="n">
        <v>11246.0</v>
      </c>
      <c r="G23" s="11">
        <f si="1" t="shared"/>
        <v>1.4616111108945954E-2</v>
      </c>
    </row>
    <row r="24" spans="1:7" x14ac:dyDescent="0.25">
      <c r="A24">
        <v>13</v>
      </c>
      <c r="B24" s="341" t="n">
        <v>7071.6029808806</v>
      </c>
      <c r="C24" s="11">
        <f si="0" t="shared"/>
        <v>7.3310860727167915E-3</v>
      </c>
      <c r="E24" s="32">
        <v>13</v>
      </c>
      <c r="F24" s="343" t="n">
        <v>11609.0</v>
      </c>
      <c r="G24" s="11">
        <f si="1" t="shared"/>
        <v>1.6089284160012055E-2</v>
      </c>
    </row>
    <row r="25" spans="1:7" x14ac:dyDescent="0.25">
      <c r="A25">
        <v>14</v>
      </c>
      <c r="B25" s="341" t="n">
        <v>9272.1147318963</v>
      </c>
      <c r="C25" s="11">
        <f si="0" t="shared"/>
        <v>9.6123426837478546E-3</v>
      </c>
      <c r="E25" s="33">
        <v>14</v>
      </c>
      <c r="F25" s="343" t="n">
        <v>6569.0</v>
      </c>
      <c r="G25" s="11">
        <f si="1" t="shared"/>
        <v>8.2921195634523166E-3</v>
      </c>
    </row>
    <row r="26" spans="1:7" x14ac:dyDescent="0.25">
      <c r="A26">
        <v>15</v>
      </c>
      <c r="B26" s="341" t="n">
        <v>18097.6837159205</v>
      </c>
      <c r="C26" s="11">
        <f si="0" t="shared"/>
        <v>1.8761754215689389E-2</v>
      </c>
      <c r="E26" s="34">
        <v>15</v>
      </c>
      <c r="F26" s="343" t="n">
        <v>8813.0</v>
      </c>
      <c r="G26" s="11">
        <f si="1" t="shared"/>
        <v>1.0690247828238934E-2</v>
      </c>
    </row>
    <row r="27" spans="1:7" x14ac:dyDescent="0.25">
      <c r="A27">
        <v>16</v>
      </c>
      <c r="B27" s="341" t="n">
        <v>18068.3699182225</v>
      </c>
      <c r="C27" s="11">
        <f si="0" t="shared"/>
        <v>1.8731364787065743E-2</v>
      </c>
      <c r="E27" s="35">
        <v>16</v>
      </c>
      <c r="F27" s="343" t="n">
        <v>5716.0</v>
      </c>
      <c r="G27" s="11">
        <f si="1" t="shared"/>
        <v>7.3385842729033592E-3</v>
      </c>
    </row>
    <row r="28" spans="1:7" x14ac:dyDescent="0.25">
      <c r="A28">
        <v>17</v>
      </c>
      <c r="B28" s="341" t="n">
        <v>6781.782801215</v>
      </c>
      <c r="C28" s="11">
        <f si="0" t="shared"/>
        <v>7.030631325966547E-3</v>
      </c>
      <c r="E28" s="36">
        <v>17</v>
      </c>
      <c r="F28" s="343" t="n">
        <v>4507.0</v>
      </c>
      <c r="G28" s="11">
        <f si="1" t="shared"/>
        <v>5.938160508309657E-3</v>
      </c>
    </row>
    <row r="29" spans="1:7" x14ac:dyDescent="0.25">
      <c r="A29">
        <v>18</v>
      </c>
      <c r="B29" s="341" t="n">
        <v>8309.0263153689</v>
      </c>
      <c r="C29" s="11">
        <f si="0" t="shared"/>
        <v>8.6139150151855453E-3</v>
      </c>
      <c r="E29" s="37">
        <v>18</v>
      </c>
      <c r="F29" s="343" t="n">
        <v>2294.0</v>
      </c>
      <c r="G29" s="11">
        <f si="1" t="shared"/>
        <v>3.1035365246886394E-3</v>
      </c>
    </row>
    <row r="30" spans="1:7" x14ac:dyDescent="0.25">
      <c r="A30">
        <v>19</v>
      </c>
      <c r="B30" s="341" t="n">
        <v>2419.2159702923</v>
      </c>
      <c r="C30" s="11">
        <f si="0" t="shared"/>
        <v>2.5079858915517607E-3</v>
      </c>
      <c r="E30" s="38">
        <v>19</v>
      </c>
      <c r="F30" s="343" t="n">
        <v>1620.0</v>
      </c>
      <c r="G30" s="11">
        <f si="1" t="shared"/>
        <v>1.9265569971173096E-3</v>
      </c>
    </row>
    <row r="31" spans="1:7" x14ac:dyDescent="0.25">
      <c r="A31">
        <v>20</v>
      </c>
      <c r="B31" s="341" t="n">
        <v>3458.3777079705</v>
      </c>
      <c r="C31" s="11">
        <f si="0" t="shared"/>
        <v>3.5852782908832865E-3</v>
      </c>
      <c r="E31" s="39">
        <v>20</v>
      </c>
      <c r="F31" s="343" t="n">
        <v>1245.0</v>
      </c>
      <c r="G31" s="11">
        <f si="1" t="shared"/>
        <v>1.5537169039462591E-3</v>
      </c>
    </row>
    <row r="32" spans="1:7" x14ac:dyDescent="0.25">
      <c r="A32">
        <v>21</v>
      </c>
      <c r="B32" s="341" t="n">
        <v>907.4706190123</v>
      </c>
      <c r="C32" s="11">
        <f si="0" t="shared"/>
        <v>9.4076904973705361E-4</v>
      </c>
      <c r="E32" s="40">
        <v>21</v>
      </c>
      <c r="F32" s="343" t="n">
        <v>1213.0</v>
      </c>
      <c r="G32" s="11">
        <f si="1" t="shared"/>
        <v>1.6784299664703735E-3</v>
      </c>
    </row>
    <row r="33" spans="1:7" x14ac:dyDescent="0.25">
      <c r="A33">
        <v>22</v>
      </c>
      <c r="B33" s="341" t="n">
        <v>2071.054926252</v>
      </c>
      <c r="C33" s="11">
        <f si="0" t="shared"/>
        <v>2.1470495397900359E-3</v>
      </c>
      <c r="E33" s="41">
        <v>22</v>
      </c>
      <c r="F33" s="343" t="n">
        <v>552.0</v>
      </c>
      <c r="G33" s="11">
        <f si="1" t="shared"/>
        <v>8.2492494482096527E-4</v>
      </c>
    </row>
    <row r="34" spans="1:7" x14ac:dyDescent="0.25">
      <c r="A34">
        <v>23</v>
      </c>
      <c r="B34" s="341" t="n">
        <v>1988.8132901981</v>
      </c>
      <c r="C34" s="11">
        <f si="0" t="shared"/>
        <v>2.0617901559838048E-3</v>
      </c>
      <c r="E34" s="42">
        <v>23</v>
      </c>
      <c r="F34" s="343" t="n">
        <v>714.0</v>
      </c>
      <c r="G34" s="11">
        <f si="1" t="shared"/>
        <v>8.3661679443260107E-4</v>
      </c>
    </row>
    <row r="35" spans="1:7" x14ac:dyDescent="0.25">
      <c r="A35">
        <v>24</v>
      </c>
      <c r="B35" s="341" t="n">
        <v>10809.509325089</v>
      </c>
      <c r="C35" s="11">
        <f si="0" t="shared"/>
        <v>1.1206149932386918E-2</v>
      </c>
      <c r="E35" s="43">
        <v>24</v>
      </c>
      <c r="F35" s="343" t="n">
        <v>507.0</v>
      </c>
      <c r="G35" s="11">
        <f si="1" t="shared"/>
        <v>6.8332365508004371E-4</v>
      </c>
    </row>
    <row r="36" spans="1:7" x14ac:dyDescent="0.25">
      <c r="A36">
        <v>25</v>
      </c>
      <c r="B36" s="341" t="n">
        <v>1546.810699568</v>
      </c>
      <c r="C36" s="11">
        <f si="0" t="shared"/>
        <v>1.6035688665485828E-3</v>
      </c>
      <c r="E36" s="44">
        <v>25</v>
      </c>
      <c r="F36" s="343" t="n">
        <v>406.0</v>
      </c>
      <c r="G36" s="11">
        <f si="1" t="shared"/>
        <v>4.572812292550863E-4</v>
      </c>
    </row>
    <row r="37" spans="1:7" x14ac:dyDescent="0.25">
      <c r="A37">
        <v>26</v>
      </c>
      <c r="B37" s="341" t="n">
        <v>774.7254652844</v>
      </c>
      <c r="C37" s="11">
        <f si="0" t="shared"/>
        <v>8.0315298866201967E-4</v>
      </c>
      <c r="E37" s="45">
        <v>26</v>
      </c>
      <c r="F37" s="343" t="n">
        <v>221.0</v>
      </c>
      <c r="G37" s="11">
        <f si="1" t="shared"/>
        <v>3.1957722271804326E-4</v>
      </c>
    </row>
    <row r="38" spans="1:7" x14ac:dyDescent="0.25">
      <c r="A38">
        <v>27</v>
      </c>
      <c r="B38" s="341" t="n">
        <v>2085.196875802</v>
      </c>
      <c r="C38" s="11">
        <f si="0" t="shared"/>
        <v>2.1617104094213452E-3</v>
      </c>
      <c r="E38" s="46">
        <v>27</v>
      </c>
      <c r="F38" s="343" t="n">
        <v>805.0</v>
      </c>
      <c r="G38" s="11">
        <f si="1" t="shared"/>
        <v>1.037976426632994E-3</v>
      </c>
    </row>
    <row r="39" spans="1:7" x14ac:dyDescent="0.25">
      <c r="A39">
        <v>28</v>
      </c>
      <c r="B39" s="341" t="n">
        <v>638.5252072000001</v>
      </c>
      <c r="C39" s="11">
        <f si="0" t="shared"/>
        <v>6.6195504275886349E-4</v>
      </c>
      <c r="E39" s="47">
        <v>28</v>
      </c>
      <c r="F39" s="343" t="n">
        <v>110.0</v>
      </c>
      <c r="G39" s="11">
        <f si="1" t="shared"/>
        <v>1.6628408336548592E-4</v>
      </c>
    </row>
    <row r="40" spans="1:7" x14ac:dyDescent="0.25">
      <c r="A40">
        <v>29</v>
      </c>
      <c r="B40" s="341" t="n">
        <v>550.7575783498</v>
      </c>
      <c r="C40" s="11">
        <f si="0" t="shared"/>
        <v>5.7096689718017131E-4</v>
      </c>
      <c r="E40" s="48">
        <v>29</v>
      </c>
      <c r="F40" s="343" t="n">
        <v>117.0</v>
      </c>
      <c r="G40" s="11">
        <f si="1" t="shared"/>
        <v>1.3640491213575017E-4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110.0</v>
      </c>
      <c r="G41" s="11">
        <f si="1" t="shared"/>
        <v>1.3250762893187159E-4</v>
      </c>
    </row>
    <row r="42" spans="1:7" x14ac:dyDescent="0.25">
      <c r="A42">
        <v>31</v>
      </c>
      <c r="B42" s="341" t="n">
        <v>1503.265838949</v>
      </c>
      <c r="C42" s="11">
        <f si="0" t="shared"/>
        <v>1.5584261850256739E-3</v>
      </c>
      <c r="E42" s="50">
        <v>31</v>
      </c>
      <c r="F42" s="343" t="n">
        <v>51.0</v>
      </c>
      <c r="G42" s="11">
        <f si="1" t="shared"/>
        <v>5.8459248058178643E-5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38.0</v>
      </c>
      <c r="G43" s="11">
        <f si="1" t="shared"/>
        <v>4.8066492847835775E-5</v>
      </c>
    </row>
    <row r="44" spans="1:7" x14ac:dyDescent="0.25">
      <c r="A44">
        <v>33</v>
      </c>
      <c r="B44" s="341" t="n">
        <v>771.224845006</v>
      </c>
      <c r="C44" s="11">
        <f si="0" t="shared"/>
        <v>7.9952391776561417E-4</v>
      </c>
      <c r="E44" s="52">
        <v>33</v>
      </c>
      <c r="F44" s="343" t="n">
        <v>32.0</v>
      </c>
      <c r="G44" s="11">
        <f si="1" t="shared"/>
        <v>3.5075548834907187E-5</v>
      </c>
    </row>
    <row r="45" spans="1:7" x14ac:dyDescent="0.25">
      <c r="A45">
        <v>34</v>
      </c>
      <c r="B45" s="341" t="n">
        <v>936.2129745479999</v>
      </c>
      <c r="C45" s="11">
        <f si="0" t="shared"/>
        <v>9.7056606788619825E-4</v>
      </c>
      <c r="E45" s="53">
        <v>34</v>
      </c>
      <c r="F45" s="343" t="n">
        <v>19.0</v>
      </c>
      <c r="G45" s="11">
        <f si="1" t="shared"/>
        <v>3.2477360032321468E-5</v>
      </c>
    </row>
    <row r="46" spans="1:7" x14ac:dyDescent="0.25">
      <c r="A46">
        <v>35</v>
      </c>
      <c r="B46" s="341" t="n">
        <v>321.9730946164</v>
      </c>
      <c r="C46" s="11">
        <f si="0" t="shared"/>
        <v>3.3378747026857023E-4</v>
      </c>
      <c r="E46" s="54">
        <v>35</v>
      </c>
      <c r="F46" s="343" t="n">
        <v>8.0</v>
      </c>
      <c r="G46" s="11">
        <f si="1" t="shared"/>
        <v>1.2990944012928587E-5</v>
      </c>
    </row>
    <row r="47" spans="1:7" x14ac:dyDescent="0.25">
      <c r="A47">
        <v>36</v>
      </c>
      <c r="B47" s="341" t="n">
        <v>727.467881212</v>
      </c>
      <c r="C47" s="11">
        <f si="0" t="shared"/>
        <v>7.5416135022302565E-4</v>
      </c>
      <c r="E47" s="55">
        <v>36</v>
      </c>
      <c r="F47" s="343" t="n">
        <v>17.0</v>
      </c>
      <c r="G47" s="11">
        <f si="1" t="shared"/>
        <v>1.1691849611635728E-5</v>
      </c>
    </row>
    <row r="48" spans="1:7" x14ac:dyDescent="0.25">
      <c r="A48">
        <v>37</v>
      </c>
      <c r="B48" s="341" t="n">
        <v>155.96534045660002</v>
      </c>
      <c r="C48" s="11">
        <f si="0" t="shared"/>
        <v>1.6168828175723327E-4</v>
      </c>
      <c r="E48" s="56">
        <v>37</v>
      </c>
      <c r="F48" s="343" t="n">
        <v>4.0</v>
      </c>
      <c r="G48" s="11">
        <f si="1" t="shared"/>
        <v>1.1691849611635728E-5</v>
      </c>
    </row>
    <row r="49" spans="1:7" x14ac:dyDescent="0.25">
      <c r="A49">
        <v>38</v>
      </c>
      <c r="B49" s="341" t="n">
        <v>627.269960355</v>
      </c>
      <c r="C49" s="11">
        <f si="0" t="shared"/>
        <v>6.502867995594843E-4</v>
      </c>
      <c r="E49" s="57">
        <v>38</v>
      </c>
      <c r="F49" s="343" t="n">
        <v>13.0</v>
      </c>
      <c r="G49" s="11">
        <f si="1" t="shared"/>
        <v>5.1963776051714351E-6</v>
      </c>
    </row>
    <row r="50" spans="1:7" x14ac:dyDescent="0.25">
      <c r="A50">
        <v>39</v>
      </c>
      <c r="B50" s="341" t="n">
        <v>341.8573055842</v>
      </c>
      <c r="C50" s="11">
        <f si="0" t="shared"/>
        <v>3.544013059840544E-4</v>
      </c>
      <c r="E50" s="58">
        <v>39</v>
      </c>
      <c r="F50" s="343" t="n">
        <v>3.0</v>
      </c>
      <c r="G50" s="11">
        <f si="1" t="shared"/>
        <v>6.4954720064642937E-6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4.0</v>
      </c>
      <c r="G51" s="11">
        <f si="1" t="shared"/>
        <v>1.2990944012928588E-6</v>
      </c>
    </row>
    <row r="52" spans="1:7" x14ac:dyDescent="0.25">
      <c r="A52">
        <v>41</v>
      </c>
      <c r="B52" s="341" t="n">
        <v>596.97480037</v>
      </c>
      <c r="C52" s="11">
        <f si="0" t="shared"/>
        <v>6.1887999886136257E-4</v>
      </c>
      <c r="E52" s="60">
        <v>41</v>
      </c>
      <c r="F52" s="343" t="n">
        <v>4.0</v>
      </c>
      <c r="G52" s="11">
        <f si="1" t="shared"/>
        <v>5.1963776051714351E-6</v>
      </c>
    </row>
    <row r="53" spans="1:7" x14ac:dyDescent="0.25">
      <c r="A53">
        <v>42</v>
      </c>
      <c r="B53" s="341" t="n">
        <v>133.5805418631</v>
      </c>
      <c r="C53" s="11">
        <f si="0" t="shared"/>
        <v>1.3848210266982316E-4</v>
      </c>
      <c r="E53" s="61">
        <v>42</v>
      </c>
      <c r="F53" s="343" t="n">
        <v>3.0</v>
      </c>
      <c r="G53" s="11">
        <f si="1" t="shared"/>
        <v>3.8972832038785766E-6</v>
      </c>
    </row>
    <row r="54" spans="1:7" x14ac:dyDescent="0.25">
      <c r="A54">
        <v>43</v>
      </c>
      <c r="B54" s="341" t="n">
        <v>1706.890736692</v>
      </c>
      <c r="C54" s="11">
        <f si="0" t="shared"/>
        <v>1.7695228283098245E-3</v>
      </c>
      <c r="E54" s="62">
        <v>43</v>
      </c>
      <c r="F54" s="343" t="n">
        <v>1.0</v>
      </c>
      <c r="G54" s="11">
        <f si="1" t="shared"/>
        <v>0</v>
      </c>
    </row>
    <row r="55" spans="1:7" x14ac:dyDescent="0.25">
      <c r="A55">
        <v>44</v>
      </c>
      <c r="B55" s="341" t="n">
        <v>660.275957831</v>
      </c>
      <c r="C55" s="11">
        <f si="0" t="shared"/>
        <v>6.8450390833477051E-4</v>
      </c>
      <c r="E55" s="63">
        <v>44</v>
      </c>
      <c r="F55" s="343" t="n">
        <v>8.0</v>
      </c>
      <c r="G55" s="11">
        <f si="1" t="shared"/>
        <v>2.5981888025857176E-6</v>
      </c>
    </row>
    <row r="56" spans="1:7" x14ac:dyDescent="0.25">
      <c r="A56">
        <v>45</v>
      </c>
      <c r="B56" s="341" t="n">
        <v>617.666578062</v>
      </c>
      <c r="C56" s="11">
        <f si="0" t="shared"/>
        <v>6.4033103389086066E-4</v>
      </c>
      <c r="E56" s="64">
        <v>45</v>
      </c>
      <c r="F56" s="343" t="n">
        <v>1.0</v>
      </c>
      <c r="G56" s="11">
        <f si="1" t="shared"/>
        <v>3.8972832038785766E-6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0.0</v>
      </c>
      <c r="G57" s="11">
        <f si="1" t="shared"/>
        <v>0</v>
      </c>
    </row>
    <row r="58" spans="1:7" x14ac:dyDescent="0.25">
      <c r="A58">
        <v>47</v>
      </c>
      <c r="B58" s="341" t="n">
        <v>405.121063366</v>
      </c>
      <c r="C58" s="11">
        <f si="0" t="shared"/>
        <v>4.1998644344663977E-4</v>
      </c>
      <c r="E58" s="66">
        <v>47</v>
      </c>
      <c r="F58" s="343" t="n">
        <v>0.0</v>
      </c>
      <c r="G58" s="11">
        <f si="1" t="shared"/>
        <v>1.2990944012928588E-6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0.0</v>
      </c>
      <c r="G59" s="11">
        <f si="1" t="shared"/>
        <v>1.2990944012928588E-6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0.0</v>
      </c>
      <c r="G60" s="11">
        <f si="1" t="shared"/>
        <v>0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0.0</v>
      </c>
      <c r="G61" s="11">
        <f si="1" t="shared"/>
        <v>0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0</v>
      </c>
    </row>
    <row r="63" spans="1:7" x14ac:dyDescent="0.25">
      <c r="A63">
        <v>52</v>
      </c>
      <c r="B63" s="341" t="n">
        <v>181.031838601</v>
      </c>
      <c r="C63" s="11">
        <f si="0" t="shared"/>
        <v>1.8767456180364343E-4</v>
      </c>
      <c r="E63" s="71">
        <v>52</v>
      </c>
      <c r="F63" s="343" t="n">
        <v>0.0</v>
      </c>
      <c r="G63" s="11">
        <f si="1" t="shared"/>
        <v>0</v>
      </c>
    </row>
    <row r="64" spans="1:7" x14ac:dyDescent="0.25">
      <c r="A64">
        <v>53</v>
      </c>
      <c r="B64" s="341" t="n">
        <v>39.1519720345</v>
      </c>
      <c r="C64" s="11">
        <f si="0" t="shared"/>
        <v>4.05886017183869E-5</v>
      </c>
      <c r="E64" s="72">
        <v>53</v>
      </c>
      <c r="F64" s="343" t="n">
        <v>0.0</v>
      </c>
      <c r="G64" s="11">
        <f si="1" t="shared"/>
        <v>0</v>
      </c>
    </row>
    <row r="65" spans="1:7" x14ac:dyDescent="0.25">
      <c r="A65">
        <v>54</v>
      </c>
      <c r="B65" s="341" t="n">
        <v>667.663687339</v>
      </c>
      <c r="C65" s="11">
        <f si="0" t="shared"/>
        <v>6.921627207782193E-4</v>
      </c>
      <c r="E65" s="73">
        <v>54</v>
      </c>
      <c r="F65" s="343" t="n">
        <v>0.0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542.140045727</v>
      </c>
      <c r="C68" s="11">
        <f si="0" t="shared"/>
        <v>5.6203315562779633E-4</v>
      </c>
      <c r="E68" s="76">
        <v>57</v>
      </c>
      <c r="F68" s="343" t="n">
        <v>0.0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4605.9932193</v>
      </c>
      <c r="C82" s="11">
        <f si="2" t="shared"/>
        <v>4.7750040312406431E-3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215.6958943</v>
      </c>
      <c r="C87" s="11">
        <f si="2" t="shared"/>
        <v>2.2361056904922732E-4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964605.09544392361</v>
      </c>
      <c r="C102" s="11">
        <f si="2" t="shared"/>
        <v>1</v>
      </c>
      <c r="F102" s="341">
        <f>SUM(F11:F101)</f>
        <v>769767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12969.0</v>
      </c>
      <c r="G11" s="11">
        <f>F11/F$102</f>
        <v>1.6412758665933978E-2</v>
      </c>
      <c r="K11" s="8" t="n">
        <v>23.728364069742465</v>
      </c>
      <c r="L11" s="8" t="n">
        <v>18.915004631546495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14367.0</v>
      </c>
      <c r="G12" s="11">
        <f>F12/F$102</f>
        <v>1.8296445547808623E-2</v>
      </c>
      <c r="K12" s="8"/>
      <c r="L12" s="290"/>
    </row>
    <row r="13" spans="1:12" x14ac:dyDescent="0.25">
      <c r="A13">
        <v>2</v>
      </c>
      <c r="B13" s="8" t="n">
        <v>104.591346267</v>
      </c>
      <c r="C13" s="11">
        <f ref="C13:C76" si="0" t="shared">B13/B$102</f>
        <v>1.0842918699166289E-4</v>
      </c>
      <c r="E13" s="111">
        <v>2</v>
      </c>
      <c r="F13" s="201" t="n">
        <v>18592.0</v>
      </c>
      <c r="G13" s="11">
        <f ref="G13:G76" si="1" t="shared">F13/F$102</f>
        <v>2.3470738548158079E-2</v>
      </c>
    </row>
    <row r="14" spans="1:12" x14ac:dyDescent="0.25">
      <c r="A14">
        <v>3</v>
      </c>
      <c r="B14" s="8" t="n">
        <v>1870.3613870167999</v>
      </c>
      <c r="C14" s="11">
        <f si="0" t="shared"/>
        <v>1.9389918173260694E-3</v>
      </c>
      <c r="E14" s="112">
        <v>3</v>
      </c>
      <c r="F14" s="202" t="n">
        <v>20615.0</v>
      </c>
      <c r="G14" s="11">
        <f si="1" t="shared"/>
        <v>2.6845785802716925E-2</v>
      </c>
    </row>
    <row r="15" spans="1:12" x14ac:dyDescent="0.25">
      <c r="A15">
        <v>4</v>
      </c>
      <c r="B15" s="8" t="n">
        <v>5042.2690617593</v>
      </c>
      <c r="C15" s="11">
        <f si="0" t="shared"/>
        <v>5.2272884370767126E-3</v>
      </c>
      <c r="E15" s="113">
        <v>4</v>
      </c>
      <c r="F15" s="203" t="n">
        <v>21405.0</v>
      </c>
      <c r="G15" s="11">
        <f si="1" t="shared"/>
        <v>2.7618746971486176E-2</v>
      </c>
    </row>
    <row r="16" spans="1:12" x14ac:dyDescent="0.25">
      <c r="A16">
        <v>5</v>
      </c>
      <c r="B16" s="8" t="n">
        <v>16638.4062863328</v>
      </c>
      <c r="C16" s="11">
        <f si="0" t="shared"/>
        <v>1.7248930536361718E-2</v>
      </c>
      <c r="E16" s="114">
        <v>5</v>
      </c>
      <c r="F16" s="204" t="n">
        <v>21147.0</v>
      </c>
      <c r="G16" s="11">
        <f si="1" t="shared"/>
        <v>2.7226420462295734E-2</v>
      </c>
    </row>
    <row r="17" spans="1:7" x14ac:dyDescent="0.25">
      <c r="A17">
        <v>6</v>
      </c>
      <c r="B17" s="8" t="n">
        <v>12717.8485816666</v>
      </c>
      <c r="C17" s="11">
        <f si="0" t="shared"/>
        <v>1.3184513166824693E-2</v>
      </c>
      <c r="E17" s="115">
        <v>6</v>
      </c>
      <c r="F17" s="205" t="n">
        <v>20672.0</v>
      </c>
      <c r="G17" s="11">
        <f si="1" t="shared"/>
        <v>2.6769139233040647E-2</v>
      </c>
    </row>
    <row r="18" spans="1:7" x14ac:dyDescent="0.25">
      <c r="A18">
        <v>7</v>
      </c>
      <c r="B18" s="8" t="n">
        <v>18128.8971521598</v>
      </c>
      <c r="C18" s="11">
        <f si="0" t="shared"/>
        <v>1.8794112987570992E-2</v>
      </c>
      <c r="E18" s="116">
        <v>7</v>
      </c>
      <c r="F18" s="206" t="n">
        <v>19297.0</v>
      </c>
      <c r="G18" s="11">
        <f si="1" t="shared"/>
        <v>2.4426872027509622E-2</v>
      </c>
    </row>
    <row r="19" spans="1:7" x14ac:dyDescent="0.25">
      <c r="A19">
        <v>8</v>
      </c>
      <c r="B19" s="8" t="n">
        <v>11571.8956089266</v>
      </c>
      <c r="C19" s="11">
        <f si="0" t="shared"/>
        <v>1.1996510969705242E-2</v>
      </c>
      <c r="E19" s="117">
        <v>8</v>
      </c>
      <c r="F19" s="207" t="n">
        <v>17506.0</v>
      </c>
      <c r="G19" s="11">
        <f si="1" t="shared"/>
        <v>2.2243094338936328E-2</v>
      </c>
    </row>
    <row r="20" spans="1:7" x14ac:dyDescent="0.25">
      <c r="A20">
        <v>9</v>
      </c>
      <c r="B20" s="8" t="n">
        <v>20616.2098523005</v>
      </c>
      <c r="C20" s="11">
        <f si="0" t="shared"/>
        <v>2.1372694328151625E-2</v>
      </c>
      <c r="E20" s="118">
        <v>9</v>
      </c>
      <c r="F20" s="208" t="n">
        <v>15666.0</v>
      </c>
      <c r="G20" s="11">
        <f si="1" t="shared"/>
        <v>1.9793002298097995E-2</v>
      </c>
    </row>
    <row r="21" spans="1:7" x14ac:dyDescent="0.25">
      <c r="A21">
        <v>10</v>
      </c>
      <c r="B21" s="8" t="n">
        <v>7157.004510243</v>
      </c>
      <c r="C21" s="11">
        <f si="0" t="shared"/>
        <v>7.4196212979252985E-3</v>
      </c>
      <c r="E21" s="119">
        <v>10</v>
      </c>
      <c r="F21" s="209" t="n">
        <v>13775.0</v>
      </c>
      <c r="G21" s="11">
        <f si="1" t="shared"/>
        <v>1.7310432897227342E-2</v>
      </c>
    </row>
    <row r="22" spans="1:7" x14ac:dyDescent="0.25">
      <c r="A22">
        <v>11</v>
      </c>
      <c r="B22" s="8" t="n">
        <v>15558.7577603768</v>
      </c>
      <c r="C22" s="11">
        <f si="0" t="shared"/>
        <v>1.6129665739756913E-2</v>
      </c>
      <c r="E22" s="120">
        <v>11</v>
      </c>
      <c r="F22" s="210" t="n">
        <v>11716.0</v>
      </c>
      <c r="G22" s="11">
        <f si="1" t="shared"/>
        <v>1.5066896866194576E-2</v>
      </c>
    </row>
    <row r="23" spans="1:7" x14ac:dyDescent="0.25">
      <c r="A23">
        <v>12</v>
      </c>
      <c r="B23" s="8" t="n">
        <v>35367.7492842701</v>
      </c>
      <c r="C23" s="11">
        <f si="0" t="shared"/>
        <v>3.6665521933608919E-2</v>
      </c>
      <c r="E23" s="121">
        <v>12</v>
      </c>
      <c r="F23" s="211" t="n">
        <v>9952.0</v>
      </c>
      <c r="G23" s="11">
        <f si="1" t="shared"/>
        <v>1.2876623705614815E-2</v>
      </c>
    </row>
    <row r="24" spans="1:7" x14ac:dyDescent="0.25">
      <c r="A24">
        <v>13</v>
      </c>
      <c r="B24" s="8" t="n">
        <v>30366.0460319649</v>
      </c>
      <c r="C24" s="11">
        <f si="0" t="shared"/>
        <v>3.1480287814559034E-2</v>
      </c>
      <c r="E24" s="122">
        <v>13</v>
      </c>
      <c r="F24" s="212" t="n">
        <v>8432.0</v>
      </c>
      <c r="G24" s="11">
        <f si="1" t="shared"/>
        <v>1.0813661796361757E-2</v>
      </c>
    </row>
    <row r="25" spans="1:7" x14ac:dyDescent="0.25">
      <c r="A25">
        <v>14</v>
      </c>
      <c r="B25" s="8" t="n">
        <v>22987.336443049</v>
      </c>
      <c r="C25" s="11">
        <f si="0" t="shared"/>
        <v>2.3830826264161435E-2</v>
      </c>
      <c r="E25" s="123">
        <v>14</v>
      </c>
      <c r="F25" s="213" t="n">
        <v>7385.0</v>
      </c>
      <c r="G25" s="11">
        <f si="1" t="shared"/>
        <v>9.5496429439038046E-3</v>
      </c>
    </row>
    <row r="26" spans="1:7" x14ac:dyDescent="0.25">
      <c r="A26">
        <v>15</v>
      </c>
      <c r="B26" s="8" t="n">
        <v>11984.1131837026</v>
      </c>
      <c r="C26" s="11">
        <f si="0" t="shared"/>
        <v>1.2423854321635487E-2</v>
      </c>
      <c r="E26" s="124">
        <v>15</v>
      </c>
      <c r="F26" s="214" t="n">
        <v>6175.0</v>
      </c>
      <c r="G26" s="11">
        <f si="1" t="shared"/>
        <v>7.9140830926760948E-3</v>
      </c>
    </row>
    <row r="27" spans="1:7" x14ac:dyDescent="0.25">
      <c r="A27">
        <v>16</v>
      </c>
      <c r="B27" s="8" t="n">
        <v>47556.0687166241</v>
      </c>
      <c r="C27" s="11">
        <f si="0" t="shared"/>
        <v>4.930107558133745E-2</v>
      </c>
      <c r="E27" s="125">
        <v>16</v>
      </c>
      <c r="F27" s="215" t="n">
        <v>5558.0</v>
      </c>
      <c r="G27" s="11">
        <f si="1" t="shared"/>
        <v>7.2229648711882944E-3</v>
      </c>
    </row>
    <row r="28" spans="1:7" x14ac:dyDescent="0.25">
      <c r="A28">
        <v>17</v>
      </c>
      <c r="B28" s="8" t="n">
        <v>22859.2468846781</v>
      </c>
      <c r="C28" s="11">
        <f si="0" t="shared"/>
        <v>2.3698036629339995E-2</v>
      </c>
      <c r="E28" s="126">
        <v>17</v>
      </c>
      <c r="F28" s="216" t="n">
        <v>4859.0</v>
      </c>
      <c r="G28" s="11">
        <f si="1" t="shared"/>
        <v>6.1810911613514223E-3</v>
      </c>
    </row>
    <row r="29" spans="1:7" x14ac:dyDescent="0.25">
      <c r="A29">
        <v>18</v>
      </c>
      <c r="B29" s="8" t="n">
        <v>69745.4884716648</v>
      </c>
      <c r="C29" s="11">
        <f si="0" t="shared"/>
        <v>7.2304706662955201E-2</v>
      </c>
      <c r="E29" s="127">
        <v>18</v>
      </c>
      <c r="F29" s="217" t="n">
        <v>117227.0</v>
      </c>
      <c r="G29" s="11">
        <f si="1" t="shared"/>
        <v>0.15162899942450117</v>
      </c>
    </row>
    <row r="30" spans="1:7" x14ac:dyDescent="0.25">
      <c r="A30">
        <v>19</v>
      </c>
      <c r="B30" s="8" t="n">
        <v>59574.1031072475</v>
      </c>
      <c r="C30" s="11">
        <f si="0" t="shared"/>
        <v>6.1760095803589703E-2</v>
      </c>
      <c r="E30" s="128">
        <v>19</v>
      </c>
      <c r="F30" s="218" t="n">
        <v>36170.0</v>
      </c>
      <c r="G30" s="11">
        <f si="1" t="shared"/>
        <v>4.60243164490034E-2</v>
      </c>
    </row>
    <row r="31" spans="1:7" x14ac:dyDescent="0.25">
      <c r="A31">
        <v>20</v>
      </c>
      <c r="B31" s="8" t="n">
        <v>74117.2364289217</v>
      </c>
      <c r="C31" s="11">
        <f si="0" t="shared"/>
        <v>7.6836870112957464E-2</v>
      </c>
      <c r="E31" s="129">
        <v>20</v>
      </c>
      <c r="F31" s="219" t="n">
        <v>40525.0</v>
      </c>
      <c r="G31" s="11">
        <f si="1" t="shared"/>
        <v>5.0856947621812837E-2</v>
      </c>
    </row>
    <row r="32" spans="1:7" x14ac:dyDescent="0.25">
      <c r="A32">
        <v>21</v>
      </c>
      <c r="B32" s="8" t="n">
        <v>47927.364785219</v>
      </c>
      <c r="C32" s="11">
        <f si="0" t="shared"/>
        <v>4.9685995866694255E-2</v>
      </c>
      <c r="E32" s="130">
        <v>21</v>
      </c>
      <c r="F32" s="220" t="n">
        <v>43373.0</v>
      </c>
      <c r="G32" s="11">
        <f si="1" t="shared"/>
        <v>5.713157358005734E-2</v>
      </c>
    </row>
    <row r="33" spans="1:7" x14ac:dyDescent="0.25">
      <c r="A33">
        <v>22</v>
      </c>
      <c r="B33" s="8" t="n">
        <v>49606.645251138</v>
      </c>
      <c r="C33" s="11">
        <f si="0" t="shared"/>
        <v>5.1426895301966438E-2</v>
      </c>
      <c r="E33" s="131">
        <v>22</v>
      </c>
      <c r="F33" s="221" t="n">
        <v>39976.0</v>
      </c>
      <c r="G33" s="11">
        <f si="1" t="shared"/>
        <v>5.3685076133427385E-2</v>
      </c>
    </row>
    <row r="34" spans="1:7" x14ac:dyDescent="0.25">
      <c r="A34">
        <v>23</v>
      </c>
      <c r="B34" s="8" t="n">
        <v>27496.7130222226</v>
      </c>
      <c r="C34" s="11">
        <f si="0" t="shared"/>
        <v>2.8505668435815451E-2</v>
      </c>
      <c r="E34" s="132">
        <v>23</v>
      </c>
      <c r="F34" s="222" t="n">
        <v>29523.0</v>
      </c>
      <c r="G34" s="11">
        <f si="1" t="shared"/>
        <v>3.6456486183481497E-2</v>
      </c>
    </row>
    <row r="35" spans="1:7" x14ac:dyDescent="0.25">
      <c r="A35">
        <v>24</v>
      </c>
      <c r="B35" s="8" t="n">
        <v>28237.5671573587</v>
      </c>
      <c r="C35" s="11">
        <f si="0" t="shared"/>
        <v>2.9273707230795223E-2</v>
      </c>
      <c r="E35" s="133">
        <v>24</v>
      </c>
      <c r="F35" s="223" t="n">
        <v>26601.0</v>
      </c>
      <c r="G35" s="11">
        <f si="1" t="shared"/>
        <v>3.621225643603844E-2</v>
      </c>
    </row>
    <row r="36" spans="1:7" x14ac:dyDescent="0.25">
      <c r="A36">
        <v>25</v>
      </c>
      <c r="B36" s="8" t="n">
        <v>17906.2365999824</v>
      </c>
      <c r="C36" s="11">
        <f si="0" t="shared"/>
        <v>1.8563282201761254E-2</v>
      </c>
      <c r="E36" s="134">
        <v>25</v>
      </c>
      <c r="F36" s="224" t="n">
        <v>31051.0</v>
      </c>
      <c r="G36" s="11">
        <f si="1" t="shared"/>
        <v>3.7442498834062775E-2</v>
      </c>
    </row>
    <row r="37" spans="1:7" x14ac:dyDescent="0.25">
      <c r="A37">
        <v>26</v>
      </c>
      <c r="B37" s="8" t="n">
        <v>52096.9504128408</v>
      </c>
      <c r="C37" s="11">
        <f si="0" t="shared"/>
        <v>5.4008578908517089E-2</v>
      </c>
      <c r="E37" s="135">
        <v>26</v>
      </c>
      <c r="F37" s="225" t="n">
        <v>24346.0</v>
      </c>
      <c r="G37" s="11">
        <f si="1" t="shared"/>
        <v>3.0861286597113152E-2</v>
      </c>
    </row>
    <row r="38" spans="1:7" x14ac:dyDescent="0.25">
      <c r="A38">
        <v>27</v>
      </c>
      <c r="B38" s="8" t="n">
        <v>6709.6042838587</v>
      </c>
      <c r="C38" s="11">
        <f si="0" t="shared"/>
        <v>6.9558043136511271E-3</v>
      </c>
      <c r="E38" s="136">
        <v>27</v>
      </c>
      <c r="F38" s="226" t="n">
        <v>14926.0</v>
      </c>
      <c r="G38" s="11">
        <f si="1" t="shared"/>
        <v>1.9856657923761345E-2</v>
      </c>
    </row>
    <row r="39" spans="1:7" x14ac:dyDescent="0.25">
      <c r="A39">
        <v>28</v>
      </c>
      <c r="B39" s="8" t="n">
        <v>20867.0564340776</v>
      </c>
      <c r="C39" s="11">
        <f si="0" t="shared"/>
        <v>2.1632745392532179E-2</v>
      </c>
      <c r="E39" s="137">
        <v>28</v>
      </c>
      <c r="F39" s="227" t="n">
        <v>16796.0</v>
      </c>
      <c r="G39" s="11">
        <f si="1" t="shared"/>
        <v>2.0645208225346112E-2</v>
      </c>
    </row>
    <row r="40" spans="1:7" x14ac:dyDescent="0.25">
      <c r="A40">
        <v>29</v>
      </c>
      <c r="B40" s="8" t="n">
        <v>25884.8235828986</v>
      </c>
      <c r="C40" s="11">
        <f si="0" t="shared"/>
        <v>2.6834632851473871E-2</v>
      </c>
      <c r="E40" s="138">
        <v>29</v>
      </c>
      <c r="F40" s="228" t="n">
        <v>13004.0</v>
      </c>
      <c r="G40" s="11">
        <f si="1" t="shared"/>
        <v>1.9594240854700188E-2</v>
      </c>
    </row>
    <row r="41" spans="1:7" x14ac:dyDescent="0.25">
      <c r="A41">
        <v>30</v>
      </c>
      <c r="B41" s="8" t="n">
        <v>7232.1435363373</v>
      </c>
      <c r="C41" s="11">
        <f si="0" t="shared"/>
        <v>7.4975174509201367E-3</v>
      </c>
      <c r="E41" s="139">
        <v>30</v>
      </c>
      <c r="F41" s="229" t="n">
        <v>21990.0</v>
      </c>
      <c r="G41" s="11">
        <f si="1" t="shared"/>
        <v>2.5558383251035703E-2</v>
      </c>
    </row>
    <row r="42" spans="1:7" x14ac:dyDescent="0.25">
      <c r="A42">
        <v>31</v>
      </c>
      <c r="B42" s="8" t="n">
        <v>18689.9018747718</v>
      </c>
      <c r="C42" s="11">
        <f si="0" t="shared"/>
        <v>1.9375703034380583E-2</v>
      </c>
      <c r="E42" s="140">
        <v>31</v>
      </c>
      <c r="F42" s="230" t="n">
        <v>11369.0</v>
      </c>
      <c r="G42" s="11">
        <f si="1" t="shared"/>
        <v>1.4291337508622739E-2</v>
      </c>
    </row>
    <row r="43" spans="1:7" x14ac:dyDescent="0.25">
      <c r="A43">
        <v>32</v>
      </c>
      <c r="B43" s="8" t="n">
        <v>7144.0342975013</v>
      </c>
      <c r="C43" s="11">
        <f si="0" t="shared"/>
        <v>7.4061751604303158E-3</v>
      </c>
      <c r="E43" s="141">
        <v>32</v>
      </c>
      <c r="F43" s="231" t="n">
        <v>11183.0</v>
      </c>
      <c r="G43" s="11">
        <f si="1" t="shared"/>
        <v>1.4955174747683389E-2</v>
      </c>
    </row>
    <row r="44" spans="1:7" x14ac:dyDescent="0.25">
      <c r="A44">
        <v>33</v>
      </c>
      <c r="B44" s="8" t="n">
        <v>4916.6304158172</v>
      </c>
      <c r="C44" s="11">
        <f si="0" t="shared"/>
        <v>5.0970396476648343E-3</v>
      </c>
      <c r="E44" s="142">
        <v>33</v>
      </c>
      <c r="F44" s="232" t="n">
        <v>6968.0</v>
      </c>
      <c r="G44" s="11">
        <f si="1" t="shared"/>
        <v>7.7062279884692383E-3</v>
      </c>
    </row>
    <row r="45" spans="1:7" x14ac:dyDescent="0.25">
      <c r="A45">
        <v>34</v>
      </c>
      <c r="B45" s="8" t="n">
        <v>17594.4383014099</v>
      </c>
      <c r="C45" s="11">
        <f si="0" t="shared"/>
        <v>1.824004287818189E-2</v>
      </c>
      <c r="E45" s="143">
        <v>34</v>
      </c>
      <c r="F45" s="233" t="n">
        <v>7539.0</v>
      </c>
      <c r="G45" s="11">
        <f si="1" t="shared"/>
        <v>1.0812362701960463E-2</v>
      </c>
    </row>
    <row r="46" spans="1:7" x14ac:dyDescent="0.25">
      <c r="A46">
        <v>35</v>
      </c>
      <c r="B46" s="8" t="n">
        <v>11445.8355487288</v>
      </c>
      <c r="C46" s="11">
        <f si="0" t="shared"/>
        <v>1.1865825302800502E-2</v>
      </c>
      <c r="E46" s="144">
        <v>35</v>
      </c>
      <c r="F46" s="234" t="n">
        <v>5124.0</v>
      </c>
      <c r="G46" s="11">
        <f si="1" t="shared"/>
        <v>6.8488256836159514E-3</v>
      </c>
    </row>
    <row r="47" spans="1:7" x14ac:dyDescent="0.25">
      <c r="A47">
        <v>36</v>
      </c>
      <c r="B47" s="8" t="n">
        <v>4057.7752429027</v>
      </c>
      <c r="C47" s="11">
        <f si="0" t="shared"/>
        <v>4.2066699233381721E-3</v>
      </c>
      <c r="E47" s="145">
        <v>36</v>
      </c>
      <c r="F47" s="235" t="n">
        <v>5395.0</v>
      </c>
      <c r="G47" s="11">
        <f si="1" t="shared"/>
        <v>7.8543247502166243E-3</v>
      </c>
    </row>
    <row r="48" spans="1:7" x14ac:dyDescent="0.25">
      <c r="A48">
        <v>37</v>
      </c>
      <c r="B48" s="8" t="n">
        <v>7342.395774035</v>
      </c>
      <c r="C48" s="11">
        <f si="0" t="shared"/>
        <v>7.6118152482451233E-3</v>
      </c>
      <c r="E48" s="146">
        <v>37</v>
      </c>
      <c r="F48" s="236" t="n">
        <v>4610.0</v>
      </c>
      <c r="G48" s="11">
        <f si="1" t="shared"/>
        <v>5.2210603987959993E-3</v>
      </c>
    </row>
    <row r="49" spans="1:7" x14ac:dyDescent="0.25">
      <c r="A49">
        <v>38</v>
      </c>
      <c r="B49" s="8" t="n">
        <v>12919.7518268293</v>
      </c>
      <c r="C49" s="11">
        <f si="0" t="shared"/>
        <v>1.3393824983770656E-2</v>
      </c>
      <c r="E49" s="147">
        <v>38</v>
      </c>
      <c r="F49" s="237" t="n">
        <v>4526.0</v>
      </c>
      <c r="G49" s="11">
        <f si="1" t="shared"/>
        <v>5.6068914359799779E-3</v>
      </c>
    </row>
    <row r="50" spans="1:7" x14ac:dyDescent="0.25">
      <c r="A50">
        <v>39</v>
      </c>
      <c r="B50" s="8" t="n">
        <v>4098.719595243</v>
      </c>
      <c r="C50" s="11">
        <f si="0" t="shared"/>
        <v>4.2491166743803249E-3</v>
      </c>
      <c r="E50" s="148">
        <v>39</v>
      </c>
      <c r="F50" s="238" t="n">
        <v>2723.0</v>
      </c>
      <c r="G50" s="11">
        <f si="1" t="shared"/>
        <v>2.8865877596727322E-3</v>
      </c>
    </row>
    <row r="51" spans="1:7" x14ac:dyDescent="0.25">
      <c r="A51">
        <v>40</v>
      </c>
      <c r="B51" s="8" t="n">
        <v>4200.214338168</v>
      </c>
      <c r="C51" s="11">
        <f si="0" t="shared"/>
        <v>4.3543356322775879E-3</v>
      </c>
      <c r="E51" s="149">
        <v>40</v>
      </c>
      <c r="F51" s="239" t="n">
        <v>3027.0</v>
      </c>
      <c r="G51" s="11">
        <f si="1" t="shared"/>
        <v>2.6215725018089889E-3</v>
      </c>
    </row>
    <row r="52" spans="1:7" x14ac:dyDescent="0.25">
      <c r="A52">
        <v>41</v>
      </c>
      <c r="B52" s="8" t="n">
        <v>6939.240377219</v>
      </c>
      <c r="C52" s="11">
        <f si="0" t="shared"/>
        <v>7.1938665988753392E-3</v>
      </c>
      <c r="E52" s="150">
        <v>41</v>
      </c>
      <c r="F52" s="240" t="n">
        <v>1370.0</v>
      </c>
      <c r="G52" s="11">
        <f si="1" t="shared"/>
        <v>2.6085815577960602E-3</v>
      </c>
    </row>
    <row r="53" spans="1:7" x14ac:dyDescent="0.25">
      <c r="A53">
        <v>42</v>
      </c>
      <c r="B53" s="8" t="n">
        <v>6386.2255665823</v>
      </c>
      <c r="C53" s="11">
        <f si="0" t="shared"/>
        <v>6.6205596432634215E-3</v>
      </c>
      <c r="E53" s="151">
        <v>42</v>
      </c>
      <c r="F53" s="241" t="n">
        <v>1378.0</v>
      </c>
      <c r="G53" s="11">
        <f si="1" t="shared"/>
        <v>1.3718436877652588E-3</v>
      </c>
    </row>
    <row r="54" spans="1:7" x14ac:dyDescent="0.25">
      <c r="A54">
        <v>43</v>
      </c>
      <c r="B54" s="8" t="n">
        <v>2407.4362884904</v>
      </c>
      <c r="C54" s="11">
        <f si="0" t="shared"/>
        <v>2.495773969950332E-3</v>
      </c>
      <c r="E54" s="152">
        <v>43</v>
      </c>
      <c r="F54" s="242" t="n">
        <v>1823.0</v>
      </c>
      <c r="G54" s="11">
        <f si="1" t="shared"/>
        <v>2.3214816951103385E-3</v>
      </c>
    </row>
    <row r="55" spans="1:7" x14ac:dyDescent="0.25">
      <c r="A55">
        <v>44</v>
      </c>
      <c r="B55" s="8" t="n">
        <v>504.15543064200006</v>
      </c>
      <c r="C55" s="11">
        <f si="0" t="shared"/>
        <v>5.2265474547382666E-4</v>
      </c>
      <c r="E55" s="153">
        <v>44</v>
      </c>
      <c r="F55" s="243" t="n">
        <v>908.0</v>
      </c>
      <c r="G55" s="11">
        <f si="1" t="shared"/>
        <v>1.6173725296096092E-3</v>
      </c>
    </row>
    <row r="56" spans="1:7" x14ac:dyDescent="0.25">
      <c r="A56">
        <v>45</v>
      </c>
      <c r="B56" s="8" t="n">
        <v>48003.1108163998</v>
      </c>
      <c r="C56" s="11">
        <f si="0" t="shared"/>
        <v>4.9764521298022127E-2</v>
      </c>
      <c r="E56" s="154">
        <v>45</v>
      </c>
      <c r="F56" s="244" t="n">
        <v>770.0</v>
      </c>
      <c r="G56" s="11">
        <f si="1" t="shared"/>
        <v>1.7823575185738022E-3</v>
      </c>
    </row>
    <row r="57" spans="1:7" x14ac:dyDescent="0.25">
      <c r="A57">
        <v>46</v>
      </c>
      <c r="B57" s="8" t="n">
        <v>1714.410481782</v>
      </c>
      <c r="C57" s="11">
        <f si="0" t="shared"/>
        <v>1.7773185004719538E-3</v>
      </c>
      <c r="E57" s="155">
        <v>46</v>
      </c>
      <c r="F57" s="245" t="n">
        <v>864.0</v>
      </c>
      <c r="G57" s="11">
        <f si="1" t="shared"/>
        <v>1.214653265208823E-3</v>
      </c>
    </row>
    <row r="58" spans="1:7" x14ac:dyDescent="0.25">
      <c r="A58">
        <v>47</v>
      </c>
      <c r="B58" s="8" t="n">
        <v>2727.623029583</v>
      </c>
      <c r="C58" s="11">
        <f si="0" t="shared"/>
        <v>2.8277095388219088E-3</v>
      </c>
      <c r="E58" s="156">
        <v>47</v>
      </c>
      <c r="F58" s="246" t="n">
        <v>450.0</v>
      </c>
      <c r="G58" s="11">
        <f si="1" t="shared"/>
        <v>5.1833866611585065E-4</v>
      </c>
    </row>
    <row r="59" spans="1:7" x14ac:dyDescent="0.25">
      <c r="A59">
        <v>48</v>
      </c>
      <c r="B59" s="8" t="n">
        <v>2951.3552785406</v>
      </c>
      <c r="C59" s="11">
        <f si="0" t="shared"/>
        <v>3.0596513459037336E-3</v>
      </c>
      <c r="E59" s="157">
        <v>48</v>
      </c>
      <c r="F59" s="247" t="n">
        <v>948.0</v>
      </c>
      <c r="G59" s="11">
        <f si="1" t="shared"/>
        <v>6.1577074621281503E-4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641.0</v>
      </c>
      <c r="G60" s="11">
        <f si="1" t="shared"/>
        <v>6.1706984061410787E-4</v>
      </c>
    </row>
    <row r="61" spans="1:7" x14ac:dyDescent="0.25">
      <c r="A61">
        <v>50</v>
      </c>
      <c r="B61" s="8" t="n">
        <v>587.6179151199999</v>
      </c>
      <c r="C61" s="11">
        <f si="0" t="shared"/>
        <v>6.0917977511778609E-4</v>
      </c>
      <c r="E61" s="159">
        <v>50</v>
      </c>
      <c r="F61" s="249" t="n">
        <v>263.0</v>
      </c>
      <c r="G61" s="11">
        <f si="1" t="shared"/>
        <v>3.3646544993485043E-4</v>
      </c>
    </row>
    <row r="62" spans="1:7" x14ac:dyDescent="0.25">
      <c r="A62">
        <v>51</v>
      </c>
      <c r="B62" s="8" t="n">
        <v>3380.609785771</v>
      </c>
      <c r="C62" s="11">
        <f si="0" t="shared"/>
        <v>3.5046567779275523E-3</v>
      </c>
      <c r="E62" s="160">
        <v>51</v>
      </c>
      <c r="F62" s="250" t="n">
        <v>308.0</v>
      </c>
      <c r="G62" s="11">
        <f si="1" t="shared"/>
        <v>3.936256035917362E-4</v>
      </c>
    </row>
    <row r="63" spans="1:7" x14ac:dyDescent="0.25">
      <c r="A63">
        <v>52</v>
      </c>
      <c r="B63" s="8" t="n">
        <v>3715.5722256538</v>
      </c>
      <c r="C63" s="11">
        <f si="0" t="shared"/>
        <v>3.8519102202584227E-3</v>
      </c>
      <c r="E63" s="161">
        <v>52</v>
      </c>
      <c r="F63" s="251" t="n">
        <v>178.0</v>
      </c>
      <c r="G63" s="11">
        <f si="1" t="shared"/>
        <v>3.0788537310640752E-4</v>
      </c>
    </row>
    <row r="64" spans="1:7" x14ac:dyDescent="0.25">
      <c r="A64">
        <v>53</v>
      </c>
      <c r="B64" s="8" t="n">
        <v>1014.60532883</v>
      </c>
      <c r="C64" s="11">
        <f si="0" t="shared"/>
        <v>1.0518349256314738E-3</v>
      </c>
      <c r="E64" s="162">
        <v>53</v>
      </c>
      <c r="F64" s="252" t="n">
        <v>147.0</v>
      </c>
      <c r="G64" s="11">
        <f si="1" t="shared"/>
        <v>2.0655600980556453E-4</v>
      </c>
    </row>
    <row r="65" spans="1:7" x14ac:dyDescent="0.25">
      <c r="A65">
        <v>54</v>
      </c>
      <c r="B65" s="8" t="n">
        <v>502.771848825</v>
      </c>
      <c r="C65" s="11">
        <f si="0" t="shared"/>
        <v>5.212203949571903E-4</v>
      </c>
      <c r="E65" s="163">
        <v>54</v>
      </c>
      <c r="F65" s="253" t="n">
        <v>122.0</v>
      </c>
      <c r="G65" s="11">
        <f si="1" t="shared"/>
        <v>1.2211487372152871E-4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104.0</v>
      </c>
      <c r="G66" s="11">
        <f si="1" t="shared"/>
        <v>1.5069495054997162E-4</v>
      </c>
    </row>
    <row r="67" spans="1:7" x14ac:dyDescent="0.25">
      <c r="A67">
        <v>56</v>
      </c>
      <c r="B67" s="8" t="n">
        <v>596.97480037</v>
      </c>
      <c r="C67" s="11">
        <f si="0" t="shared"/>
        <v>6.1887999886136268E-4</v>
      </c>
      <c r="E67" s="165">
        <v>56</v>
      </c>
      <c r="F67" s="255" t="n">
        <v>181.0</v>
      </c>
      <c r="G67" s="11">
        <f si="1" t="shared"/>
        <v>1.5848951695772876E-4</v>
      </c>
    </row>
    <row r="68" spans="1:7" x14ac:dyDescent="0.25">
      <c r="A68">
        <v>57</v>
      </c>
      <c r="B68" s="8" t="n">
        <v>1368.575112804</v>
      </c>
      <c r="C68" s="11">
        <f si="0" t="shared"/>
        <v>1.4187931613342394E-3</v>
      </c>
      <c r="E68" s="166">
        <v>57</v>
      </c>
      <c r="F68" s="256" t="n">
        <v>86.0</v>
      </c>
      <c r="G68" s="11">
        <f si="1" t="shared"/>
        <v>1.7927502737841451E-4</v>
      </c>
    </row>
    <row r="69" spans="1:7" x14ac:dyDescent="0.25">
      <c r="A69">
        <v>58</v>
      </c>
      <c r="B69" s="8" t="n">
        <v>289.5458823197</v>
      </c>
      <c r="C69" s="11">
        <f si="0" t="shared"/>
        <v>3.0017038442705648E-4</v>
      </c>
      <c r="E69" s="167">
        <v>58</v>
      </c>
      <c r="F69" s="257" t="n">
        <v>66.0</v>
      </c>
      <c r="G69" s="11">
        <f si="1" t="shared"/>
        <v>1.039275521034287E-4</v>
      </c>
    </row>
    <row r="70" spans="1:7" x14ac:dyDescent="0.25">
      <c r="A70">
        <v>59</v>
      </c>
      <c r="B70" s="8" t="n">
        <v>745.084945988</v>
      </c>
      <c r="C70" s="11">
        <f si="0" t="shared"/>
        <v>7.7242484982427179E-4</v>
      </c>
      <c r="E70" s="168">
        <v>59</v>
      </c>
      <c r="F70" s="258" t="n">
        <v>52.0</v>
      </c>
      <c r="G70" s="11">
        <f si="1" t="shared"/>
        <v>6.8852003268521519E-5</v>
      </c>
    </row>
    <row r="71" spans="1:7" x14ac:dyDescent="0.25">
      <c r="A71">
        <v>60</v>
      </c>
      <c r="B71" s="8" t="n">
        <v>789.6119205155001</v>
      </c>
      <c r="C71" s="11">
        <f si="0" t="shared"/>
        <v>8.1858568262290865E-4</v>
      </c>
      <c r="E71" s="169">
        <v>60</v>
      </c>
      <c r="F71" s="259" t="n">
        <v>78.0</v>
      </c>
      <c r="G71" s="11">
        <f si="1" t="shared"/>
        <v>6.1057436860764355E-5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37.0</v>
      </c>
      <c r="G72" s="11">
        <f si="1" t="shared"/>
        <v>4.2870115242664337E-5</v>
      </c>
    </row>
    <row r="73" spans="1:7" x14ac:dyDescent="0.25">
      <c r="A73">
        <v>62</v>
      </c>
      <c r="B73" s="8" t="n">
        <v>101.05851781</v>
      </c>
      <c r="C73" s="11">
        <f si="0" t="shared"/>
        <v>1.0476672608026353E-4</v>
      </c>
      <c r="E73" s="171">
        <v>62</v>
      </c>
      <c r="F73" s="261" t="n">
        <v>70.0</v>
      </c>
      <c r="G73" s="11">
        <f si="1" t="shared"/>
        <v>4.6767398446542912E-5</v>
      </c>
    </row>
    <row r="74" spans="1:7" x14ac:dyDescent="0.25">
      <c r="A74">
        <v>63</v>
      </c>
      <c r="B74" s="8" t="n">
        <v>210.149659191</v>
      </c>
      <c r="C74" s="11">
        <f si="0" t="shared"/>
        <v>2.1786082219925085E-4</v>
      </c>
      <c r="E74" s="172">
        <v>63</v>
      </c>
      <c r="F74" s="262" t="n">
        <v>22.0</v>
      </c>
      <c r="G74" s="11">
        <f si="1" t="shared"/>
        <v>4.2870115242664337E-5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19.0</v>
      </c>
      <c r="G75" s="11">
        <f si="1" t="shared"/>
        <v>2.5981888025857175E-5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21.0</v>
      </c>
      <c r="G76" s="11">
        <f si="1" t="shared"/>
        <v>2.7280982427150034E-5</v>
      </c>
    </row>
    <row r="77" spans="1:7" x14ac:dyDescent="0.25">
      <c r="A77">
        <v>66</v>
      </c>
      <c r="B77" s="8" t="n">
        <v>617.666578062</v>
      </c>
      <c r="C77" s="11">
        <f ref="C77:C102" si="2" t="shared">B77/B$102</f>
        <v>6.4033103389086077E-4</v>
      </c>
      <c r="E77" s="175">
        <v>66</v>
      </c>
      <c r="F77" s="265" t="n">
        <v>22.0</v>
      </c>
      <c r="G77" s="11">
        <f ref="G77:G102" si="3" t="shared">F77/F$102</f>
        <v>3.1178265631028612E-5</v>
      </c>
    </row>
    <row r="78" spans="1:7" x14ac:dyDescent="0.25">
      <c r="A78">
        <v>67</v>
      </c>
      <c r="B78" s="8" t="n">
        <v>723.6581128263</v>
      </c>
      <c r="C78" s="11">
        <f si="2" t="shared"/>
        <v>7.5021178743956698E-4</v>
      </c>
      <c r="E78" s="176">
        <v>67</v>
      </c>
      <c r="F78" s="266" t="n">
        <v>21.0</v>
      </c>
      <c r="G78" s="11">
        <f si="3" t="shared"/>
        <v>2.078551042068574E-5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8.0</v>
      </c>
      <c r="G79" s="11">
        <f si="3" t="shared"/>
        <v>2.4682793624564315E-5</v>
      </c>
    </row>
    <row r="80" spans="1:7" x14ac:dyDescent="0.25">
      <c r="A80">
        <v>69</v>
      </c>
      <c r="B80" s="8" t="n">
        <v>62.0623590382</v>
      </c>
      <c r="C80" s="11">
        <f si="2" t="shared"/>
        <v>6.4339654985585702E-5</v>
      </c>
      <c r="E80" s="178">
        <v>69</v>
      </c>
      <c r="F80" s="268" t="n">
        <v>18.0</v>
      </c>
      <c r="G80" s="11">
        <f si="3" t="shared"/>
        <v>2.3383699223271456E-5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10.0</v>
      </c>
      <c r="G81" s="11">
        <f si="3" t="shared"/>
        <v>7.1450192071107231E-5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45.0</v>
      </c>
      <c r="G82" s="11">
        <f si="3" t="shared"/>
        <v>1.039275521034287E-5</v>
      </c>
    </row>
    <row r="83" spans="1:7" x14ac:dyDescent="0.25">
      <c r="A83">
        <v>72</v>
      </c>
      <c r="B83" s="8" t="n">
        <v>6950.415883637</v>
      </c>
      <c r="C83" s="11">
        <f si="2" t="shared"/>
        <v>7.2054521756785145E-3</v>
      </c>
      <c r="E83" s="181">
        <v>72</v>
      </c>
      <c r="F83" s="271" t="n">
        <v>12.0</v>
      </c>
      <c r="G83" s="11">
        <f si="3" t="shared"/>
        <v>1.039275521034287E-5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5.0</v>
      </c>
      <c r="G84" s="11">
        <f si="3" t="shared"/>
        <v>7.7945664077571531E-6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13.0</v>
      </c>
      <c r="G85" s="11">
        <f si="3" t="shared"/>
        <v>1.5589132815514306E-5</v>
      </c>
    </row>
    <row r="86" spans="1:7" x14ac:dyDescent="0.25">
      <c r="A86">
        <v>75</v>
      </c>
      <c r="B86" s="8" t="n">
        <v>667.663687339</v>
      </c>
      <c r="C86" s="11">
        <f si="2" t="shared"/>
        <v>6.921627207782193E-4</v>
      </c>
      <c r="E86" s="184">
        <v>75</v>
      </c>
      <c r="F86" s="274" t="n">
        <v>6.0</v>
      </c>
      <c r="G86" s="11">
        <f si="3" t="shared"/>
        <v>5.1963776051714351E-6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5.0</v>
      </c>
      <c r="G87" s="11">
        <f si="3" t="shared"/>
        <v>5.1963776051714351E-6</v>
      </c>
    </row>
    <row r="88" spans="1:7" x14ac:dyDescent="0.25">
      <c r="A88">
        <v>77</v>
      </c>
      <c r="B88" s="8" t="n">
        <v>784.020975559</v>
      </c>
      <c r="C88" s="11">
        <f si="2" t="shared"/>
        <v>8.1278958535687979E-4</v>
      </c>
      <c r="E88" s="186">
        <v>77</v>
      </c>
      <c r="F88" s="276" t="n">
        <v>8.0</v>
      </c>
      <c r="G88" s="11">
        <f si="3" t="shared"/>
        <v>6.4954720064642937E-6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4.0</v>
      </c>
      <c r="G89" s="11">
        <f si="3" t="shared"/>
        <v>6.4954720064642937E-6</v>
      </c>
    </row>
    <row r="90" spans="1:7" x14ac:dyDescent="0.25">
      <c r="A90">
        <v>79</v>
      </c>
      <c r="B90" s="8" t="n">
        <v>413.665615618</v>
      </c>
      <c r="C90" s="11">
        <f si="2" t="shared"/>
        <v>4.2884452671030715E-4</v>
      </c>
      <c r="E90" s="188">
        <v>79</v>
      </c>
      <c r="F90" s="278" t="n">
        <v>3.0</v>
      </c>
      <c r="G90" s="11">
        <f si="3" t="shared"/>
        <v>5.1963776051714351E-6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6.0</v>
      </c>
      <c r="G91" s="11">
        <f si="3" t="shared"/>
        <v>5.1963776051714351E-6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3.0</v>
      </c>
      <c r="G92" s="11">
        <f si="3" t="shared"/>
        <v>5.1963776051714351E-6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2.0</v>
      </c>
      <c r="G93" s="11">
        <f si="3" t="shared"/>
        <v>1.2990944012928588E-6</v>
      </c>
    </row>
    <row r="94" spans="1:7" x14ac:dyDescent="0.25">
      <c r="A94">
        <v>83</v>
      </c>
      <c r="B94" s="8" t="n">
        <v>39.1519720345</v>
      </c>
      <c r="C94" s="11">
        <f si="2" t="shared"/>
        <v>4.0588601718386907E-5</v>
      </c>
      <c r="E94" s="192">
        <v>83</v>
      </c>
      <c r="F94" s="282" t="n">
        <v>1.0</v>
      </c>
      <c r="G94" s="11">
        <f si="3" t="shared"/>
        <v>1.2990944012928588E-6</v>
      </c>
    </row>
    <row r="95" spans="1:7" x14ac:dyDescent="0.25">
      <c r="A95">
        <v>84</v>
      </c>
      <c r="B95" s="8" t="n">
        <v>2935.91546136</v>
      </c>
      <c r="C95" s="11">
        <f si="2" t="shared"/>
        <v>3.0436449851105694E-3</v>
      </c>
      <c r="E95" s="193">
        <v>84</v>
      </c>
      <c r="F95" s="283" t="n">
        <v>1.0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1.0</v>
      </c>
      <c r="G96" s="11">
        <f si="3" t="shared"/>
        <v>1.2990944012928588E-6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3.0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1.2990944012928588E-6</v>
      </c>
    </row>
    <row ht="15.75" r="101" spans="1:7" thickBot="1" x14ac:dyDescent="0.3">
      <c r="A101" s="1">
        <v>90</v>
      </c>
      <c r="B101" s="9" t="n">
        <v>6136.7072054994</v>
      </c>
      <c r="C101" s="11">
        <f si="2" t="shared"/>
        <v>6.3618855368737289E-3</v>
      </c>
      <c r="E101" s="292">
        <v>90</v>
      </c>
      <c r="F101" s="292" t="n">
        <v>4.0</v>
      </c>
      <c r="G101" s="11">
        <f si="3" t="shared"/>
        <v>1.2990944012928588E-6</v>
      </c>
    </row>
    <row r="102" spans="1:7" x14ac:dyDescent="0.25">
      <c r="B102" s="8">
        <f>SUM(B11:B101)</f>
        <v>964605.09544392349</v>
      </c>
      <c r="C102" s="11">
        <f si="2" t="shared"/>
        <v>1</v>
      </c>
      <c r="F102" s="8">
        <f>SUM(F11:F101)</f>
        <v>769767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si="1" t="shared"/>
        <v>0</v>
      </c>
    </row>
    <row r="11" spans="1:21" x14ac:dyDescent="0.2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si="0" t="shared"/>
        <v>218949.4684907874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128704.0</v>
      </c>
      <c r="R11" s="343" t="n">
        <v>3478.0</v>
      </c>
      <c r="S11" s="343" t="n">
        <v>27625.0</v>
      </c>
      <c r="T11" s="291"/>
      <c r="U11" s="12">
        <f si="1" t="shared"/>
        <v>155766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si="0" t="shared"/>
        <v>20280.583342895599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16083.0</v>
      </c>
      <c r="R12" s="343" t="n">
        <v>3578.0</v>
      </c>
      <c r="S12" s="343" t="n">
        <v>1556.0</v>
      </c>
      <c r="T12" s="291"/>
      <c r="U12" s="12">
        <f si="1" t="shared"/>
        <v>21058</v>
      </c>
    </row>
    <row r="13" spans="1:21" x14ac:dyDescent="0.2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si="0" t="shared"/>
        <v>730770.9869656493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8753.0</v>
      </c>
      <c r="R13" s="343" t="n">
        <v>403.0</v>
      </c>
      <c r="S13" s="343" t="n">
        <v>588697.0</v>
      </c>
      <c r="T13" s="291"/>
      <c r="U13" s="12">
        <f si="1" t="shared"/>
        <v>592657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4826.8964222292998</v>
      </c>
      <c r="C15" s="15">
        <f si="2" t="shared"/>
        <v>1118.7955351589999</v>
      </c>
      <c r="D15" s="15">
        <f si="2" t="shared"/>
        <v>10347.4187540494</v>
      </c>
      <c r="E15" s="15">
        <f si="2" t="shared"/>
        <v>3974.4037599417998</v>
      </c>
      <c r="F15" s="15">
        <f si="2" t="shared"/>
        <v>225135.768382715</v>
      </c>
      <c r="G15" s="15">
        <f si="2" t="shared"/>
        <v>27893.145766603</v>
      </c>
      <c r="H15" s="15">
        <f si="2" t="shared"/>
        <v>696704.61017863476</v>
      </c>
      <c r="I15" s="15">
        <f si="2" t="shared"/>
        <v>0</v>
      </c>
      <c r="J15" s="15">
        <f si="2" t="shared"/>
        <v>970001.03879933234</v>
      </c>
      <c r="K15" s="12"/>
      <c r="L15" s="15" t="s">
        <v>4</v>
      </c>
      <c r="M15" s="15">
        <f ref="M15:U15" si="3" t="shared">SUM(M7:M14)</f>
        <v>0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149944</v>
      </c>
      <c r="R15" s="15">
        <f si="3" t="shared"/>
        <v>7483</v>
      </c>
      <c r="S15" s="15">
        <f si="3" t="shared"/>
        <v>612054</v>
      </c>
      <c r="T15" s="15">
        <f si="3" t="shared"/>
        <v>0</v>
      </c>
      <c r="U15" s="15">
        <f si="3" t="shared"/>
        <v>769481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1771.3748699971979</v>
      </c>
      <c r="C24" s="12">
        <f si="9" t="shared"/>
        <v>0</v>
      </c>
      <c r="D24" s="12">
        <f si="9" t="shared"/>
        <v>454.49853406120047</v>
      </c>
      <c r="E24" s="12">
        <f si="9" t="shared"/>
        <v>506.51270447342438</v>
      </c>
      <c r="F24" s="12">
        <f si="9" t="shared"/>
        <v>134702.4788085068</v>
      </c>
      <c r="G24" s="12">
        <f si="9" t="shared"/>
        <v>9154.5001098200628</v>
      </c>
      <c r="H24" s="12">
        <f ref="H24" si="19" t="shared">($U11/$J11)*H11</f>
        <v>9176.6349731412975</v>
      </c>
      <c r="I24" s="12"/>
      <c r="J24" s="12">
        <f si="11" t="shared"/>
        <v>155766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125293</v>
      </c>
      <c r="R24" s="12">
        <f si="12" t="shared"/>
        <v>3403</v>
      </c>
      <c r="S24" s="12">
        <f ref="S24" si="20" t="shared">S11</f>
        <v>27070</v>
      </c>
      <c r="T24" s="12"/>
      <c r="U24" s="12">
        <f si="14" t="shared"/>
        <v>155766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58.290850550201981</v>
      </c>
      <c r="E25" s="12">
        <f si="9" t="shared"/>
        <v>234.32262453804807</v>
      </c>
      <c r="F25" s="12">
        <f si="9" t="shared"/>
        <v>7612.3345771889717</v>
      </c>
      <c r="G25" s="12">
        <f si="9" t="shared"/>
        <v>12608.09050590552</v>
      </c>
      <c r="H25" s="12">
        <f ref="H25:H26" si="21" t="shared">($U12/$J12)*H12</f>
        <v>544.96144181725901</v>
      </c>
      <c r="I25" s="12"/>
      <c r="J25" s="12">
        <f si="11" t="shared"/>
        <v>21058.000000000004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15791</v>
      </c>
      <c r="R25" s="12">
        <f si="12" t="shared"/>
        <v>3701</v>
      </c>
      <c r="S25" s="12">
        <f ref="S25:S26" si="22" t="shared">S12</f>
        <v>1566</v>
      </c>
      <c r="T25" s="12"/>
      <c r="U25" s="12">
        <f si="14" t="shared"/>
        <v>21058</v>
      </c>
    </row>
    <row r="26" spans="1:32" x14ac:dyDescent="0.25">
      <c r="A26" t="str">
        <f>$A$13</f>
        <v>Rest</v>
      </c>
      <c r="B26" s="12">
        <f si="9" t="shared"/>
        <v>1895.310551736781</v>
      </c>
      <c r="C26" s="12">
        <f si="9" t="shared"/>
        <v>907.3458269517962</v>
      </c>
      <c r="D26" s="12">
        <f si="9" t="shared"/>
        <v>7828.1377314547253</v>
      </c>
      <c r="E26" s="12">
        <f si="9" t="shared"/>
        <v>2462.8211953556829</v>
      </c>
      <c r="F26" s="12">
        <f si="9" t="shared"/>
        <v>23083.177703585894</v>
      </c>
      <c r="G26" s="12">
        <f si="9" t="shared"/>
        <v>2337.8546121001082</v>
      </c>
      <c r="H26" s="12">
        <f si="21" t="shared"/>
        <v>554142.35237881495</v>
      </c>
      <c r="I26" s="12"/>
      <c r="J26" s="12">
        <f si="11" t="shared"/>
        <v>592656.99999999988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8860</v>
      </c>
      <c r="R26" s="12">
        <f si="12" t="shared"/>
        <v>379</v>
      </c>
      <c r="S26" s="12">
        <f si="22" t="shared"/>
        <v>583418</v>
      </c>
      <c r="T26" s="12"/>
      <c r="U26" s="12">
        <f si="14" t="shared"/>
        <v>592657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0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149944</v>
      </c>
      <c r="R28" s="15">
        <f si="24" t="shared"/>
        <v>7483</v>
      </c>
      <c r="S28" s="15">
        <f si="24" t="shared"/>
        <v>612054</v>
      </c>
      <c r="T28" s="15"/>
      <c r="U28" s="15">
        <f si="24" t="shared"/>
        <v>769481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0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0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0</v>
      </c>
      <c r="N34" s="16">
        <f si="35" t="shared"/>
        <v>0</v>
      </c>
      <c r="O34" s="16">
        <f si="35" t="shared"/>
        <v>0</v>
      </c>
      <c r="P34" s="16">
        <f si="35" t="shared"/>
        <v>0</v>
      </c>
      <c r="Q34" s="16">
        <f si="35" t="shared"/>
        <v>0</v>
      </c>
      <c r="R34" s="16">
        <f si="35" t="shared"/>
        <v>0</v>
      </c>
      <c r="S34" s="16">
        <f ref="S34" si="36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0</v>
      </c>
      <c r="N35" s="16">
        <f si="35" t="shared"/>
        <v>0</v>
      </c>
      <c r="O35" s="16">
        <f si="35" t="shared"/>
        <v>0</v>
      </c>
      <c r="P35" s="16">
        <f si="35" t="shared"/>
        <v>0</v>
      </c>
      <c r="Q35" s="16">
        <f si="35" t="shared"/>
        <v>0</v>
      </c>
      <c r="R35" s="16">
        <f si="35" t="shared"/>
        <v>0</v>
      </c>
      <c r="S35" s="16">
        <f ref="S35" si="40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0</v>
      </c>
      <c r="N36" s="16">
        <f si="35" t="shared"/>
        <v>0</v>
      </c>
      <c r="O36" s="16">
        <f si="35" t="shared"/>
        <v>0</v>
      </c>
      <c r="P36" s="16">
        <f si="35" t="shared"/>
        <v>0</v>
      </c>
      <c r="Q36" s="16">
        <f si="35" t="shared"/>
        <v>0</v>
      </c>
      <c r="R36" s="16">
        <f si="35" t="shared"/>
        <v>0</v>
      </c>
      <c r="S36" s="16">
        <f ref="S36" si="42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0</v>
      </c>
      <c r="N37" s="16">
        <f si="35" t="shared"/>
        <v>0</v>
      </c>
      <c r="O37" s="16">
        <f si="35" t="shared"/>
        <v>0</v>
      </c>
      <c r="P37" s="16">
        <f si="35" t="shared"/>
        <v>0</v>
      </c>
      <c r="Q37" s="16">
        <f si="35" t="shared"/>
        <v>0.16282793207369642</v>
      </c>
      <c r="R37" s="16">
        <f si="35" t="shared"/>
        <v>4.4224613733152606E-3</v>
      </c>
      <c r="S37" s="16">
        <f ref="S37" si="44" t="shared">S24/$U$28</f>
        <v>3.5179556090403789E-2</v>
      </c>
      <c r="T37" s="16"/>
      <c r="U37" s="16">
        <f si="30" t="shared"/>
        <v>0.20242994953741547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0</v>
      </c>
      <c r="N38" s="16">
        <f si="35" t="shared"/>
        <v>0</v>
      </c>
      <c r="O38" s="16">
        <f si="35" t="shared"/>
        <v>0</v>
      </c>
      <c r="P38" s="16">
        <f si="35" t="shared"/>
        <v>0</v>
      </c>
      <c r="Q38" s="16">
        <f si="35" t="shared"/>
        <v>2.0521624315610131E-2</v>
      </c>
      <c r="R38" s="16">
        <f si="35" t="shared"/>
        <v>4.8097353930766319E-3</v>
      </c>
      <c r="S38" s="16">
        <f ref="S38:S39" si="46" t="shared">S25/$U$28</f>
        <v>2.035137969618483E-3</v>
      </c>
      <c r="T38" s="16"/>
      <c r="U38" s="16">
        <f si="30" t="shared"/>
        <v>2.7366497678305249E-2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0</v>
      </c>
      <c r="N39" s="16">
        <f si="35" t="shared"/>
        <v>0</v>
      </c>
      <c r="O39" s="16">
        <f si="35" t="shared"/>
        <v>0</v>
      </c>
      <c r="P39" s="16">
        <f si="35" t="shared"/>
        <v>0</v>
      </c>
      <c r="Q39" s="16">
        <f si="35" t="shared"/>
        <v>1.1514254413039438E-2</v>
      </c>
      <c r="R39" s="16">
        <f si="35" t="shared"/>
        <v>4.9253977681060354E-4</v>
      </c>
      <c r="S39" s="16">
        <f si="46" t="shared"/>
        <v>0.75819675859442925</v>
      </c>
      <c r="T39" s="16"/>
      <c r="U39" s="16">
        <f si="30" t="shared"/>
        <v>0.77020355278427932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0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0.19486381080234599</v>
      </c>
      <c r="R41" s="18">
        <f si="54" t="shared"/>
        <v>9.7247365432024963E-3</v>
      </c>
      <c r="S41" s="18">
        <f si="54" t="shared"/>
        <v>0.79541145265445146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sqref="A1:N1048576"/>
    </sheetView>
  </sheetViews>
  <sheetFormatPr defaultRowHeight="15" x14ac:dyDescent="0.25"/>
  <sheetData>
    <row r="1" spans="1:11" x14ac:dyDescent="0.2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2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2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2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2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Z104"/>
  <sheetViews>
    <sheetView tabSelected="1" workbookViewId="0" zoomScaleNormal="100">
      <selection activeCell="K9" sqref="K9"/>
    </sheetView>
  </sheetViews>
  <sheetFormatPr defaultColWidth="9.140625"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4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23655.6280813759</v>
      </c>
      <c r="F4" s="303" t="s">
        <v>47</v>
      </c>
      <c r="G4" s="304">
        <f>TLFD!F11</f>
        <v>83786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202869.41648576572</v>
      </c>
      <c r="F5" s="306" t="s">
        <v>50</v>
      </c>
      <c r="G5" s="307">
        <f>TLFD!F12+TLFD!F13+(TLFD!F14/2)</f>
        <v>148483.5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546036.42913973075</v>
      </c>
      <c r="F6" s="306" t="s">
        <v>53</v>
      </c>
      <c r="G6" s="307">
        <f>(TLFD!F14/2)+SUM(TLFD!F15:F20)</f>
        <v>451148.5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192043.62173705088</v>
      </c>
      <c r="F7" s="309" t="s">
        <v>56</v>
      </c>
      <c r="G7" s="310">
        <f>SUM(TLFD!F21:F101)</f>
        <v>86349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964605.09544392326</v>
      </c>
      <c r="E8" s="314"/>
      <c r="F8" s="312" t="s">
        <v>4</v>
      </c>
      <c r="G8" s="313">
        <f>SUM(G4:G7)</f>
        <v>769767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si="0" t="shared"/>
        <v>-3.9895313632499998</v>
      </c>
      <c r="T9" s="322"/>
      <c r="U9" s="360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2.4523639977756168E-2</v>
      </c>
      <c r="F12" s="303" t="s">
        <v>47</v>
      </c>
      <c r="G12" s="317">
        <f>G4/G$8</f>
        <v>0.10884592350672347</v>
      </c>
      <c r="H12" s="317"/>
      <c r="I12" s="371">
        <f>D12/G12</f>
        <v>0.22530600308831344</v>
      </c>
      <c r="J12" s="372">
        <f>LN(I12)</f>
        <v>-1.4902957870328903</v>
      </c>
      <c r="K12" s="372">
        <f>K8*J12</f>
        <v>-1.4902957870328903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0.2103134406442283</v>
      </c>
      <c r="F13" s="306" t="s">
        <v>50</v>
      </c>
      <c r="G13" s="318">
        <f ref="G13:G16" si="2" t="shared">G5/G$8</f>
        <v>0.19289408353436818</v>
      </c>
      <c r="H13" s="318"/>
      <c r="I13" s="371">
        <f ref="I13:I15" si="3" t="shared">D13/G13</f>
        <v>1.0903052949612966</v>
      </c>
      <c r="J13" s="372">
        <f ref="J13:J15" si="4" t="shared">LN(I13)</f>
        <v>8.645774414443301E-2</v>
      </c>
      <c r="K13" s="372">
        <f>K8*(J13-J12)</f>
        <v>1.5767535311773233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0.56607251166181949</v>
      </c>
      <c r="F14" s="306" t="s">
        <v>53</v>
      </c>
      <c r="G14" s="318">
        <f si="2" t="shared"/>
        <v>0.58608449050167133</v>
      </c>
      <c r="H14" s="318"/>
      <c r="I14" s="371">
        <f si="3" t="shared"/>
        <v>0.96585478857711771</v>
      </c>
      <c r="J14" s="372">
        <f si="4" t="shared"/>
        <v>-3.474177845309713E-2</v>
      </c>
      <c r="K14" s="372">
        <f>K8*(J14-J13-J12)</f>
        <v>1.3690962644353601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0.19909040771619604</v>
      </c>
      <c r="F15" s="309" t="s">
        <v>56</v>
      </c>
      <c r="G15" s="318">
        <f si="2" t="shared"/>
        <v>0.11217550245723706</v>
      </c>
      <c r="H15" s="318"/>
      <c r="I15" s="373">
        <f si="3" t="shared"/>
        <v>1.7748118203624024</v>
      </c>
      <c r="J15" s="374">
        <f si="4" t="shared"/>
        <v>0.57369440060997379</v>
      </c>
      <c r="K15" s="374">
        <f>K8*(J15-J14-J13-J12)</f>
        <v>2.0122742219515284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si="0" t="shared"/>
        <v>-0.493022087256</v>
      </c>
    </row>
    <row r="19" spans="2:25" x14ac:dyDescent="0.2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si="0" t="shared"/>
        <v>0</v>
      </c>
    </row>
    <row r="20" spans="2:25" x14ac:dyDescent="0.2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si="0" t="shared"/>
        <v>0</v>
      </c>
    </row>
    <row ht="15.75" r="21" spans="2:25" thickBot="1" x14ac:dyDescent="0.3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si="0" t="shared"/>
        <v>0</v>
      </c>
    </row>
    <row r="22" spans="2:25" x14ac:dyDescent="0.2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si="0" t="shared"/>
        <v>0.63771148688699997</v>
      </c>
    </row>
    <row r="23" spans="2:25" x14ac:dyDescent="0.2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si="0" t="shared"/>
        <v>-12.0946718381</v>
      </c>
    </row>
    <row r="24" spans="2:25" x14ac:dyDescent="0.25">
      <c r="B24" s="345">
        <v>51</v>
      </c>
      <c r="C24" s="306" t="s">
        <v>50</v>
      </c>
      <c r="D24" s="361">
        <f ref="D24:D26" si="5" t="shared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si="0" t="shared"/>
        <v>-4.03623745316</v>
      </c>
    </row>
    <row r="25" spans="2:25" x14ac:dyDescent="0.25">
      <c r="B25" s="345">
        <v>52</v>
      </c>
      <c r="C25" s="306" t="s">
        <v>53</v>
      </c>
      <c r="D25" s="361">
        <f si="5" t="shared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si="0" t="shared"/>
        <v>-2.16371815818</v>
      </c>
    </row>
    <row ht="15.75" r="26" spans="2:25" thickBot="1" x14ac:dyDescent="0.3">
      <c r="B26" s="347">
        <v>53</v>
      </c>
      <c r="C26" s="326" t="s">
        <v>56</v>
      </c>
      <c r="D26" s="362">
        <f si="5" t="shared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si="0" t="shared"/>
        <v>-2.6156308707</v>
      </c>
    </row>
    <row r="32" spans="2:25" x14ac:dyDescent="0.2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si="0" t="shared"/>
        <v>-0.91046169190000004</v>
      </c>
    </row>
    <row r="33" spans="2:17" x14ac:dyDescent="0.25">
      <c r="B33" s="345">
        <f>B23</f>
        <v>50</v>
      </c>
      <c r="C33" s="303" t="s">
        <v>47</v>
      </c>
      <c r="D33" s="377">
        <f>K12</f>
        <v>-1.4902957870328903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si="0" t="shared"/>
        <v>5.7553461640599997E-2</v>
      </c>
    </row>
    <row r="34" spans="2:17" x14ac:dyDescent="0.25">
      <c r="B34" s="345">
        <f ref="B34:B36" si="6" t="shared">B24</f>
        <v>51</v>
      </c>
      <c r="C34" s="306" t="s">
        <v>50</v>
      </c>
      <c r="D34" s="378">
        <f ref="D34:D36" si="7" t="shared">K13</f>
        <v>1.5767535311773233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si="0" t="shared"/>
        <v>0.237798002151</v>
      </c>
    </row>
    <row r="35" spans="2:17" x14ac:dyDescent="0.25">
      <c r="B35" s="345">
        <f si="6" t="shared"/>
        <v>52</v>
      </c>
      <c r="C35" s="306" t="s">
        <v>53</v>
      </c>
      <c r="D35" s="378">
        <f si="7" t="shared"/>
        <v>1.3690962644353601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si="0" t="shared"/>
        <v>0</v>
      </c>
    </row>
    <row ht="15.75" r="36" spans="2:17" thickBot="1" x14ac:dyDescent="0.3">
      <c r="B36" s="365">
        <f si="6" t="shared"/>
        <v>53</v>
      </c>
      <c r="C36" s="326" t="s">
        <v>56</v>
      </c>
      <c r="D36" s="327">
        <f si="7" t="shared"/>
        <v>2.0122742219515284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si="0" t="shared"/>
        <v>-7.1836373472300004</v>
      </c>
    </row>
    <row ht="15.75" r="41" spans="2:17" thickBot="1" x14ac:dyDescent="0.3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si="0" t="shared"/>
        <v>-3.6600975390500001</v>
      </c>
    </row>
    <row r="42" spans="2:17" x14ac:dyDescent="0.2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si="0" t="shared"/>
        <v>-1.3605457273599999</v>
      </c>
    </row>
    <row r="43" spans="2:17" x14ac:dyDescent="0.25">
      <c r="B43" s="345">
        <f>B33</f>
        <v>50</v>
      </c>
      <c r="C43" s="303" t="s">
        <v>47</v>
      </c>
      <c r="D43" s="363">
        <f>D23+D33</f>
        <v>-30.042354306032891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si="0" t="shared"/>
        <v>-0.22141031751900001</v>
      </c>
    </row>
    <row r="44" spans="2:17" x14ac:dyDescent="0.25">
      <c r="B44" s="345">
        <f ref="B44:B46" si="8" t="shared">B34</f>
        <v>51</v>
      </c>
      <c r="C44" s="306" t="s">
        <v>50</v>
      </c>
      <c r="D44" s="363">
        <f ref="D44:D46" si="9" t="shared">D24+D34</f>
        <v>-5.6815817611826764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si="0" t="shared"/>
        <v>0.64228876129599999</v>
      </c>
    </row>
    <row r="45" spans="2:17" x14ac:dyDescent="0.25">
      <c r="B45" s="345">
        <f si="8" t="shared"/>
        <v>52</v>
      </c>
      <c r="C45" s="306" t="s">
        <v>53</v>
      </c>
      <c r="D45" s="363">
        <f si="9" t="shared"/>
        <v>-1.2761508444546399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si="0" t="shared"/>
        <v>0.74588429254199995</v>
      </c>
    </row>
    <row ht="15.75" r="46" spans="2:17" thickBot="1" x14ac:dyDescent="0.3">
      <c r="B46" s="365">
        <f si="8" t="shared"/>
        <v>53</v>
      </c>
      <c r="C46" s="326" t="s">
        <v>56</v>
      </c>
      <c r="D46" s="364">
        <f si="9" t="shared"/>
        <v>1.2476580418935284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si="0" t="shared"/>
        <v>-32.156094092099998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si="0" t="shared"/>
        <v>-30.042354306032891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si="0" t="shared"/>
        <v>-5.6815817611826764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si="0" t="shared"/>
        <v>-1.2761508444546399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si="0" t="shared"/>
        <v>1.2476580418935284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2019-10-07T21:08:05Z</dcterms:modified>
</cp:coreProperties>
</file>