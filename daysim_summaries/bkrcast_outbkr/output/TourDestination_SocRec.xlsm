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outbkr\output\"/>
    </mc:Choice>
  </mc:AlternateContent>
  <xr:revisionPtr revIDLastSave="0" documentId="13_ncr:1_{1AE68722-A15C-48F0-B252-16D8F3E0C274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6" i="6" l="1"/>
  <c r="B46" i="6" s="1"/>
  <c r="B35" i="6"/>
  <c r="B45" i="6" s="1"/>
  <c r="B34" i="6"/>
  <c r="B44" i="6" s="1"/>
  <c r="B33" i="6"/>
  <c r="B43" i="6" s="1"/>
  <c r="O104" i="6" l="1"/>
  <c r="P104" i="6"/>
  <c r="N104" i="6"/>
  <c r="M104" i="6" s="1"/>
  <c r="Q104" i="6" l="1"/>
  <c r="N4" i="6" l="1"/>
  <c r="M4" i="6" s="1"/>
  <c r="O4" i="6"/>
  <c r="N5" i="6"/>
  <c r="M5" i="6" s="1"/>
  <c r="O5" i="6"/>
  <c r="N6" i="6"/>
  <c r="M6" i="6" s="1"/>
  <c r="O6" i="6"/>
  <c r="N7" i="6"/>
  <c r="M7" i="6" s="1"/>
  <c r="O7" i="6"/>
  <c r="N8" i="6"/>
  <c r="M8" i="6" s="1"/>
  <c r="O8" i="6"/>
  <c r="N9" i="6"/>
  <c r="M9" i="6" s="1"/>
  <c r="O9" i="6"/>
  <c r="N10" i="6"/>
  <c r="M10" i="6" s="1"/>
  <c r="O10" i="6"/>
  <c r="N11" i="6"/>
  <c r="M11" i="6" s="1"/>
  <c r="O11" i="6"/>
  <c r="N12" i="6"/>
  <c r="M12" i="6" s="1"/>
  <c r="O12" i="6"/>
  <c r="N13" i="6"/>
  <c r="M13" i="6" s="1"/>
  <c r="O13" i="6"/>
  <c r="N14" i="6"/>
  <c r="M14" i="6" s="1"/>
  <c r="O14" i="6"/>
  <c r="N15" i="6"/>
  <c r="M15" i="6" s="1"/>
  <c r="O15" i="6"/>
  <c r="N16" i="6"/>
  <c r="M16" i="6" s="1"/>
  <c r="O16" i="6"/>
  <c r="N17" i="6"/>
  <c r="M17" i="6" s="1"/>
  <c r="O17" i="6"/>
  <c r="N18" i="6"/>
  <c r="M18" i="6" s="1"/>
  <c r="O18" i="6"/>
  <c r="N19" i="6"/>
  <c r="M19" i="6" s="1"/>
  <c r="O19" i="6"/>
  <c r="N20" i="6"/>
  <c r="M20" i="6" s="1"/>
  <c r="O20" i="6"/>
  <c r="N21" i="6"/>
  <c r="M21" i="6" s="1"/>
  <c r="O21" i="6"/>
  <c r="N22" i="6"/>
  <c r="M22" i="6" s="1"/>
  <c r="O22" i="6"/>
  <c r="N23" i="6"/>
  <c r="M23" i="6" s="1"/>
  <c r="O23" i="6"/>
  <c r="N24" i="6"/>
  <c r="M24" i="6" s="1"/>
  <c r="O24" i="6"/>
  <c r="N25" i="6"/>
  <c r="M25" i="6" s="1"/>
  <c r="O25" i="6"/>
  <c r="N26" i="6"/>
  <c r="M26" i="6" s="1"/>
  <c r="O26" i="6"/>
  <c r="N27" i="6"/>
  <c r="M27" i="6" s="1"/>
  <c r="O27" i="6"/>
  <c r="N28" i="6"/>
  <c r="M28" i="6" s="1"/>
  <c r="O28" i="6"/>
  <c r="N29" i="6"/>
  <c r="M29" i="6" s="1"/>
  <c r="O29" i="6"/>
  <c r="N30" i="6"/>
  <c r="M30" i="6" s="1"/>
  <c r="O30" i="6"/>
  <c r="N31" i="6"/>
  <c r="M31" i="6" s="1"/>
  <c r="O31" i="6"/>
  <c r="N32" i="6"/>
  <c r="M32" i="6" s="1"/>
  <c r="O32" i="6"/>
  <c r="N33" i="6"/>
  <c r="M33" i="6" s="1"/>
  <c r="O33" i="6"/>
  <c r="N34" i="6"/>
  <c r="M34" i="6" s="1"/>
  <c r="O34" i="6"/>
  <c r="N35" i="6"/>
  <c r="M35" i="6" s="1"/>
  <c r="O35" i="6"/>
  <c r="N36" i="6"/>
  <c r="O36" i="6"/>
  <c r="N37" i="6"/>
  <c r="M37" i="6" s="1"/>
  <c r="O37" i="6"/>
  <c r="N38" i="6"/>
  <c r="M38" i="6" s="1"/>
  <c r="O38" i="6"/>
  <c r="N39" i="6"/>
  <c r="M39" i="6" s="1"/>
  <c r="O39" i="6"/>
  <c r="N40" i="6"/>
  <c r="M40" i="6" s="1"/>
  <c r="O40" i="6"/>
  <c r="N41" i="6"/>
  <c r="M41" i="6" s="1"/>
  <c r="O41" i="6"/>
  <c r="N42" i="6"/>
  <c r="M42" i="6" s="1"/>
  <c r="O42" i="6"/>
  <c r="N43" i="6"/>
  <c r="M43" i="6" s="1"/>
  <c r="O43" i="6"/>
  <c r="N44" i="6"/>
  <c r="M44" i="6" s="1"/>
  <c r="O44" i="6"/>
  <c r="N45" i="6"/>
  <c r="M45" i="6" s="1"/>
  <c r="O45" i="6"/>
  <c r="N46" i="6"/>
  <c r="M46" i="6" s="1"/>
  <c r="O46" i="6"/>
  <c r="N47" i="6"/>
  <c r="M47" i="6" s="1"/>
  <c r="O47" i="6"/>
  <c r="N48" i="6"/>
  <c r="M48" i="6" s="1"/>
  <c r="O48" i="6"/>
  <c r="N49" i="6"/>
  <c r="M49" i="6" s="1"/>
  <c r="O49" i="6"/>
  <c r="N50" i="6"/>
  <c r="M50" i="6" s="1"/>
  <c r="O50" i="6"/>
  <c r="N51" i="6"/>
  <c r="M51" i="6" s="1"/>
  <c r="O51" i="6"/>
  <c r="N52" i="6"/>
  <c r="O52" i="6"/>
  <c r="N53" i="6"/>
  <c r="O53" i="6"/>
  <c r="N54" i="6"/>
  <c r="O54" i="6"/>
  <c r="N55" i="6"/>
  <c r="O55" i="6"/>
  <c r="N56" i="6"/>
  <c r="M56" i="6" s="1"/>
  <c r="O56" i="6"/>
  <c r="N57" i="6"/>
  <c r="M57" i="6" s="1"/>
  <c r="O57" i="6"/>
  <c r="N58" i="6"/>
  <c r="M58" i="6" s="1"/>
  <c r="O58" i="6"/>
  <c r="N59" i="6"/>
  <c r="M59" i="6" s="1"/>
  <c r="O59" i="6"/>
  <c r="N60" i="6"/>
  <c r="O60" i="6"/>
  <c r="N61" i="6"/>
  <c r="M61" i="6" s="1"/>
  <c r="O61" i="6"/>
  <c r="N62" i="6"/>
  <c r="M62" i="6" s="1"/>
  <c r="O62" i="6"/>
  <c r="N63" i="6"/>
  <c r="M63" i="6" s="1"/>
  <c r="O63" i="6"/>
  <c r="N64" i="6"/>
  <c r="M64" i="6" s="1"/>
  <c r="O64" i="6"/>
  <c r="N65" i="6"/>
  <c r="M65" i="6" s="1"/>
  <c r="O65" i="6"/>
  <c r="N66" i="6"/>
  <c r="M66" i="6" s="1"/>
  <c r="O66" i="6"/>
  <c r="N67" i="6"/>
  <c r="M67" i="6" s="1"/>
  <c r="O67" i="6"/>
  <c r="N68" i="6"/>
  <c r="M68" i="6" s="1"/>
  <c r="O68" i="6"/>
  <c r="N69" i="6"/>
  <c r="M69" i="6" s="1"/>
  <c r="O69" i="6"/>
  <c r="N70" i="6"/>
  <c r="M70" i="6" s="1"/>
  <c r="O70" i="6"/>
  <c r="N71" i="6"/>
  <c r="M71" i="6" s="1"/>
  <c r="O71" i="6"/>
  <c r="N72" i="6"/>
  <c r="M72" i="6" s="1"/>
  <c r="O72" i="6"/>
  <c r="N73" i="6"/>
  <c r="M73" i="6" s="1"/>
  <c r="O73" i="6"/>
  <c r="N74" i="6"/>
  <c r="M74" i="6" s="1"/>
  <c r="O74" i="6"/>
  <c r="N75" i="6"/>
  <c r="M75" i="6" s="1"/>
  <c r="O75" i="6"/>
  <c r="N76" i="6"/>
  <c r="M76" i="6" s="1"/>
  <c r="O76" i="6"/>
  <c r="N77" i="6"/>
  <c r="M77" i="6" s="1"/>
  <c r="O77" i="6"/>
  <c r="N78" i="6"/>
  <c r="M78" i="6" s="1"/>
  <c r="O78" i="6"/>
  <c r="N79" i="6"/>
  <c r="M79" i="6" s="1"/>
  <c r="O79" i="6"/>
  <c r="N80" i="6"/>
  <c r="M80" i="6" s="1"/>
  <c r="O80" i="6"/>
  <c r="N81" i="6"/>
  <c r="O81" i="6"/>
  <c r="N82" i="6"/>
  <c r="M82" i="6" s="1"/>
  <c r="O82" i="6"/>
  <c r="N83" i="6"/>
  <c r="M83" i="6" s="1"/>
  <c r="O83" i="6"/>
  <c r="N84" i="6"/>
  <c r="M84" i="6" s="1"/>
  <c r="O84" i="6"/>
  <c r="N85" i="6"/>
  <c r="M85" i="6" s="1"/>
  <c r="O85" i="6"/>
  <c r="N86" i="6"/>
  <c r="M86" i="6" s="1"/>
  <c r="O86" i="6"/>
  <c r="N87" i="6"/>
  <c r="M87" i="6" s="1"/>
  <c r="O87" i="6"/>
  <c r="N88" i="6"/>
  <c r="M88" i="6" s="1"/>
  <c r="O88" i="6"/>
  <c r="N89" i="6"/>
  <c r="M89" i="6" s="1"/>
  <c r="O89" i="6"/>
  <c r="N90" i="6"/>
  <c r="M90" i="6" s="1"/>
  <c r="O90" i="6"/>
  <c r="N91" i="6"/>
  <c r="M91" i="6" s="1"/>
  <c r="O91" i="6"/>
  <c r="N92" i="6"/>
  <c r="M92" i="6" s="1"/>
  <c r="O92" i="6"/>
  <c r="N93" i="6"/>
  <c r="M93" i="6" s="1"/>
  <c r="O93" i="6"/>
  <c r="N94" i="6"/>
  <c r="M94" i="6" s="1"/>
  <c r="O94" i="6"/>
  <c r="N95" i="6"/>
  <c r="M95" i="6" s="1"/>
  <c r="O95" i="6"/>
  <c r="N96" i="6"/>
  <c r="M96" i="6" s="1"/>
  <c r="O96" i="6"/>
  <c r="N97" i="6"/>
  <c r="M97" i="6" s="1"/>
  <c r="O97" i="6"/>
  <c r="N98" i="6"/>
  <c r="M98" i="6" s="1"/>
  <c r="O98" i="6"/>
  <c r="N99" i="6"/>
  <c r="M99" i="6" s="1"/>
  <c r="O99" i="6"/>
  <c r="N100" i="6"/>
  <c r="M100" i="6" s="1"/>
  <c r="O100" i="6"/>
  <c r="N101" i="6"/>
  <c r="M101" i="6" s="1"/>
  <c r="O101" i="6"/>
  <c r="N102" i="6"/>
  <c r="M102" i="6" s="1"/>
  <c r="O102" i="6"/>
  <c r="N103" i="6"/>
  <c r="M103" i="6" s="1"/>
  <c r="O103" i="6"/>
  <c r="N3" i="6"/>
  <c r="M3" i="6" s="1"/>
  <c r="O3" i="6"/>
  <c r="M55" i="6" l="1"/>
  <c r="R55" i="6"/>
  <c r="M54" i="6"/>
  <c r="R54" i="6"/>
  <c r="M53" i="6"/>
  <c r="R53" i="6"/>
  <c r="M52" i="6"/>
  <c r="R52" i="6"/>
  <c r="M36" i="6"/>
  <c r="M60" i="6"/>
  <c r="M81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P4" i="6" l="1"/>
  <c r="Q4" i="6" s="1"/>
  <c r="P5" i="6"/>
  <c r="Q5" i="6" s="1"/>
  <c r="P6" i="6"/>
  <c r="Q6" i="6" s="1"/>
  <c r="P7" i="6"/>
  <c r="Q7" i="6" s="1"/>
  <c r="P8" i="6"/>
  <c r="Q8" i="6" s="1"/>
  <c r="P9" i="6"/>
  <c r="Q9" i="6" s="1"/>
  <c r="P10" i="6"/>
  <c r="Q10" i="6" s="1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Q25" i="6" s="1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36" i="6"/>
  <c r="Q36" i="6" s="1"/>
  <c r="P37" i="6"/>
  <c r="Q37" i="6" s="1"/>
  <c r="P38" i="6"/>
  <c r="Q38" i="6" s="1"/>
  <c r="P39" i="6"/>
  <c r="Q39" i="6" s="1"/>
  <c r="P40" i="6"/>
  <c r="Q40" i="6" s="1"/>
  <c r="P41" i="6"/>
  <c r="Q41" i="6" s="1"/>
  <c r="P42" i="6"/>
  <c r="Q42" i="6" s="1"/>
  <c r="P43" i="6"/>
  <c r="Q43" i="6" s="1"/>
  <c r="P44" i="6"/>
  <c r="Q44" i="6" s="1"/>
  <c r="P45" i="6"/>
  <c r="Q45" i="6" s="1"/>
  <c r="P46" i="6"/>
  <c r="Q46" i="6" s="1"/>
  <c r="P47" i="6"/>
  <c r="Q47" i="6" s="1"/>
  <c r="P48" i="6"/>
  <c r="Q48" i="6" s="1"/>
  <c r="P49" i="6"/>
  <c r="Q49" i="6" s="1"/>
  <c r="P50" i="6"/>
  <c r="Q50" i="6" s="1"/>
  <c r="P51" i="6"/>
  <c r="Q51" i="6" s="1"/>
  <c r="P52" i="6"/>
  <c r="D23" i="6" s="1"/>
  <c r="P53" i="6"/>
  <c r="D24" i="6" s="1"/>
  <c r="P54" i="6"/>
  <c r="D25" i="6" s="1"/>
  <c r="P55" i="6"/>
  <c r="D26" i="6" s="1"/>
  <c r="P56" i="6"/>
  <c r="Q56" i="6" s="1"/>
  <c r="P57" i="6"/>
  <c r="Q57" i="6" s="1"/>
  <c r="P58" i="6"/>
  <c r="Q58" i="6" s="1"/>
  <c r="P59" i="6"/>
  <c r="Q59" i="6" s="1"/>
  <c r="P60" i="6"/>
  <c r="Q60" i="6" s="1"/>
  <c r="P61" i="6"/>
  <c r="Q61" i="6" s="1"/>
  <c r="P62" i="6"/>
  <c r="Q62" i="6" s="1"/>
  <c r="P63" i="6"/>
  <c r="Q63" i="6" s="1"/>
  <c r="P64" i="6"/>
  <c r="Q64" i="6" s="1"/>
  <c r="P65" i="6"/>
  <c r="Q65" i="6" s="1"/>
  <c r="P66" i="6"/>
  <c r="Q66" i="6" s="1"/>
  <c r="P67" i="6"/>
  <c r="Q67" i="6" s="1"/>
  <c r="P68" i="6"/>
  <c r="Q68" i="6" s="1"/>
  <c r="P69" i="6"/>
  <c r="Q69" i="6" s="1"/>
  <c r="P70" i="6"/>
  <c r="Q70" i="6" s="1"/>
  <c r="P71" i="6"/>
  <c r="Q71" i="6" s="1"/>
  <c r="P72" i="6"/>
  <c r="Q72" i="6" s="1"/>
  <c r="P73" i="6"/>
  <c r="Q73" i="6" s="1"/>
  <c r="P74" i="6"/>
  <c r="Q74" i="6" s="1"/>
  <c r="P75" i="6"/>
  <c r="Q75" i="6" s="1"/>
  <c r="P76" i="6"/>
  <c r="Q76" i="6" s="1"/>
  <c r="P77" i="6"/>
  <c r="Q77" i="6" s="1"/>
  <c r="P78" i="6"/>
  <c r="Q78" i="6" s="1"/>
  <c r="P79" i="6"/>
  <c r="Q79" i="6" s="1"/>
  <c r="P80" i="6"/>
  <c r="Q80" i="6" s="1"/>
  <c r="P81" i="6"/>
  <c r="Q81" i="6" s="1"/>
  <c r="P82" i="6"/>
  <c r="Q82" i="6" s="1"/>
  <c r="P83" i="6"/>
  <c r="Q83" i="6" s="1"/>
  <c r="P84" i="6"/>
  <c r="Q84" i="6" s="1"/>
  <c r="P85" i="6"/>
  <c r="Q85" i="6" s="1"/>
  <c r="P86" i="6"/>
  <c r="Q86" i="6" s="1"/>
  <c r="P87" i="6"/>
  <c r="Q87" i="6" s="1"/>
  <c r="P88" i="6"/>
  <c r="Q88" i="6" s="1"/>
  <c r="P89" i="6"/>
  <c r="Q89" i="6" s="1"/>
  <c r="P90" i="6"/>
  <c r="Q90" i="6" s="1"/>
  <c r="P91" i="6"/>
  <c r="Q91" i="6" s="1"/>
  <c r="P92" i="6"/>
  <c r="Q92" i="6" s="1"/>
  <c r="P93" i="6"/>
  <c r="Q93" i="6" s="1"/>
  <c r="P94" i="6"/>
  <c r="Q94" i="6" s="1"/>
  <c r="P95" i="6"/>
  <c r="Q95" i="6" s="1"/>
  <c r="P96" i="6"/>
  <c r="Q96" i="6" s="1"/>
  <c r="P97" i="6"/>
  <c r="Q97" i="6" s="1"/>
  <c r="P98" i="6"/>
  <c r="Q98" i="6" s="1"/>
  <c r="P99" i="6"/>
  <c r="Q99" i="6" s="1"/>
  <c r="P100" i="6"/>
  <c r="Q100" i="6" s="1"/>
  <c r="P101" i="6"/>
  <c r="Q101" i="6" s="1"/>
  <c r="P102" i="6"/>
  <c r="Q102" i="6" s="1"/>
  <c r="P103" i="6"/>
  <c r="Q103" i="6" s="1"/>
  <c r="P3" i="6"/>
  <c r="Q3" i="6" s="1"/>
  <c r="D4" i="6" l="1"/>
  <c r="G7" i="6"/>
  <c r="D7" i="6"/>
  <c r="G6" i="6"/>
  <c r="D6" i="6"/>
  <c r="G5" i="6"/>
  <c r="D5" i="6"/>
  <c r="G4" i="6"/>
  <c r="G8" i="6" l="1"/>
  <c r="G12" i="6" s="1"/>
  <c r="D8" i="6"/>
  <c r="D14" i="6" s="1"/>
  <c r="H15" i="1"/>
  <c r="J13" i="1"/>
  <c r="G14" i="6" l="1"/>
  <c r="I14" i="6" s="1"/>
  <c r="J14" i="6" s="1"/>
  <c r="G15" i="6"/>
  <c r="G16" i="6"/>
  <c r="G13" i="6"/>
  <c r="D13" i="6"/>
  <c r="D16" i="6"/>
  <c r="D12" i="6"/>
  <c r="D15" i="6"/>
  <c r="S15" i="1"/>
  <c r="U13" i="1"/>
  <c r="I13" i="6" l="1"/>
  <c r="J13" i="6" s="1"/>
  <c r="I15" i="6"/>
  <c r="J15" i="6" s="1"/>
  <c r="I12" i="6"/>
  <c r="J12" i="6" s="1"/>
  <c r="B26" i="1"/>
  <c r="C26" i="1"/>
  <c r="D26" i="1"/>
  <c r="E26" i="1"/>
  <c r="F26" i="1"/>
  <c r="G26" i="1"/>
  <c r="H26" i="1"/>
  <c r="S28" i="1"/>
  <c r="U26" i="1"/>
  <c r="J27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K12" i="6" l="1"/>
  <c r="D33" i="6" s="1"/>
  <c r="D43" i="6" s="1"/>
  <c r="Q52" i="6" s="1"/>
  <c r="K15" i="6"/>
  <c r="D36" i="6" s="1"/>
  <c r="D46" i="6" s="1"/>
  <c r="Q55" i="6" s="1"/>
  <c r="K14" i="6"/>
  <c r="D35" i="6" s="1"/>
  <c r="D45" i="6" s="1"/>
  <c r="Q54" i="6" s="1"/>
  <c r="K13" i="6"/>
  <c r="D34" i="6" s="1"/>
  <c r="D44" i="6" s="1"/>
  <c r="Q53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0" i="1" l="1"/>
  <c r="H21" i="1"/>
  <c r="H22" i="1"/>
  <c r="J24" i="1"/>
  <c r="J25" i="1"/>
  <c r="J23" i="1"/>
  <c r="U20" i="1"/>
  <c r="U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U22" i="1"/>
  <c r="D20" i="1"/>
  <c r="G20" i="1"/>
  <c r="E22" i="1"/>
  <c r="C20" i="1"/>
  <c r="F102" i="4"/>
  <c r="G101" i="4" s="1"/>
  <c r="B102" i="4"/>
  <c r="C102" i="4" s="1"/>
  <c r="F102" i="3"/>
  <c r="G101" i="3" s="1"/>
  <c r="B102" i="3"/>
  <c r="C14" i="3" s="1"/>
  <c r="F28" i="1" l="1"/>
  <c r="S36" i="1"/>
  <c r="S35" i="1"/>
  <c r="M39" i="1"/>
  <c r="N39" i="1"/>
  <c r="O39" i="1"/>
  <c r="P39" i="1"/>
  <c r="R39" i="1"/>
  <c r="S39" i="1"/>
  <c r="S34" i="1"/>
  <c r="S33" i="1"/>
  <c r="S38" i="1"/>
  <c r="S37" i="1"/>
  <c r="Q39" i="1"/>
  <c r="G28" i="1"/>
  <c r="S41" i="1"/>
  <c r="U39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F39" i="1" l="1"/>
  <c r="AB39" i="1" s="1"/>
  <c r="E39" i="1"/>
  <c r="AA39" i="1" s="1"/>
  <c r="G39" i="1"/>
  <c r="AC39" i="1" s="1"/>
  <c r="D39" i="1"/>
  <c r="Z39" i="1" s="1"/>
  <c r="H39" i="1"/>
  <c r="AD39" i="1" s="1"/>
  <c r="C39" i="1"/>
  <c r="Y39" i="1" s="1"/>
  <c r="B39" i="1"/>
  <c r="X39" i="1" s="1"/>
  <c r="H36" i="1"/>
  <c r="AD36" i="1" s="1"/>
  <c r="H38" i="1"/>
  <c r="AD38" i="1" s="1"/>
  <c r="H37" i="1"/>
  <c r="AD37" i="1" s="1"/>
  <c r="H34" i="1"/>
  <c r="AD34" i="1" s="1"/>
  <c r="H35" i="1"/>
  <c r="AD35" i="1" s="1"/>
  <c r="H33" i="1"/>
  <c r="AD33" i="1" s="1"/>
  <c r="J39" i="1"/>
  <c r="AF39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AE41" i="1" s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<sst xmlns="http://schemas.openxmlformats.org/spreadsheetml/2006/main" count="716" uniqueCount="284">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</sst>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8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0" xfId="0" applyFont="1" applyAlignment="1">
      <alignment horizontal="left"/>
    </xf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8" fillId="0" borderId="0" xfId="0" applyFont="1"/>
    <xf numFmtId="166" fontId="7" fillId="6" borderId="0" xfId="0" applyNumberFormat="1" applyFont="1" applyFill="1" applyAlignment="1">
      <alignment horizontal="right"/>
    </xf>
    <xf numFmtId="166" fontId="7" fillId="6" borderId="1" xfId="0" applyNumberFormat="1" applyFont="1" applyFill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  <xf numFmtId="0" fontId="0" fillId="0" borderId="12" xfId="0" applyFont="1" applyBorder="1" applyAlignment="1">
      <alignment horizontal="lef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1" fontId="0" fillId="0" borderId="0" xfId="0" applyNumberFormat="1" applyFont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72" fontId="0" fillId="7" borderId="0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2.4523639977756161E-2</c:v>
                </c:pt>
                <c:pt idx="1">
                  <c:v>6.534783145225255E-2</c:v>
                </c:pt>
                <c:pt idx="2">
                  <c:v>9.1201154092429348E-2</c:v>
                </c:pt>
                <c:pt idx="3">
                  <c:v>0.10752891019909258</c:v>
                </c:pt>
                <c:pt idx="4">
                  <c:v>0.17889246407837461</c:v>
                </c:pt>
                <c:pt idx="5">
                  <c:v>0.11069849420154268</c:v>
                </c:pt>
                <c:pt idx="6">
                  <c:v>0.11964801114770861</c:v>
                </c:pt>
                <c:pt idx="7">
                  <c:v>3.6554882453466227E-2</c:v>
                </c:pt>
                <c:pt idx="8">
                  <c:v>4.0659292721332223E-2</c:v>
                </c:pt>
                <c:pt idx="9">
                  <c:v>2.5854911959848702E-2</c:v>
                </c:pt>
                <c:pt idx="10">
                  <c:v>4.7346155532818769E-2</c:v>
                </c:pt>
                <c:pt idx="11">
                  <c:v>8.9841786275612727E-3</c:v>
                </c:pt>
                <c:pt idx="12">
                  <c:v>2.8092981056339086E-2</c:v>
                </c:pt>
                <c:pt idx="13">
                  <c:v>7.3310860727167915E-3</c:v>
                </c:pt>
                <c:pt idx="14">
                  <c:v>9.6123426837478546E-3</c:v>
                </c:pt>
                <c:pt idx="15">
                  <c:v>1.8761754215689389E-2</c:v>
                </c:pt>
                <c:pt idx="16">
                  <c:v>1.8731364787065743E-2</c:v>
                </c:pt>
                <c:pt idx="17">
                  <c:v>7.030631325966547E-3</c:v>
                </c:pt>
                <c:pt idx="18">
                  <c:v>8.6139150151855453E-3</c:v>
                </c:pt>
                <c:pt idx="19">
                  <c:v>2.5079858915517607E-3</c:v>
                </c:pt>
                <c:pt idx="20">
                  <c:v>3.5852782908832865E-3</c:v>
                </c:pt>
                <c:pt idx="21">
                  <c:v>9.4076904973705361E-4</c:v>
                </c:pt>
                <c:pt idx="22">
                  <c:v>2.1470495397900359E-3</c:v>
                </c:pt>
                <c:pt idx="23">
                  <c:v>2.0617901559838048E-3</c:v>
                </c:pt>
                <c:pt idx="24">
                  <c:v>1.1206149932386918E-2</c:v>
                </c:pt>
                <c:pt idx="25">
                  <c:v>1.6035688665485828E-3</c:v>
                </c:pt>
                <c:pt idx="26">
                  <c:v>8.0315298866201967E-4</c:v>
                </c:pt>
                <c:pt idx="27">
                  <c:v>2.1617104094213452E-3</c:v>
                </c:pt>
                <c:pt idx="28">
                  <c:v>6.6195504275886349E-4</c:v>
                </c:pt>
                <c:pt idx="29">
                  <c:v>5.7096689718017131E-4</c:v>
                </c:pt>
                <c:pt idx="30">
                  <c:v>0</c:v>
                </c:pt>
                <c:pt idx="31">
                  <c:v>1.5584261850256739E-3</c:v>
                </c:pt>
                <c:pt idx="32">
                  <c:v>0</c:v>
                </c:pt>
                <c:pt idx="33">
                  <c:v>7.9952391776561417E-4</c:v>
                </c:pt>
                <c:pt idx="34">
                  <c:v>9.7056606788619825E-4</c:v>
                </c:pt>
                <c:pt idx="35">
                  <c:v>3.3378747026857023E-4</c:v>
                </c:pt>
                <c:pt idx="36">
                  <c:v>7.5416135022302565E-4</c:v>
                </c:pt>
                <c:pt idx="37">
                  <c:v>1.6168828175723327E-4</c:v>
                </c:pt>
                <c:pt idx="38">
                  <c:v>6.502867995594843E-4</c:v>
                </c:pt>
                <c:pt idx="39">
                  <c:v>3.544013059840544E-4</c:v>
                </c:pt>
                <c:pt idx="40">
                  <c:v>0</c:v>
                </c:pt>
                <c:pt idx="41">
                  <c:v>6.1887999886136257E-4</c:v>
                </c:pt>
                <c:pt idx="42">
                  <c:v>1.3848210266982316E-4</c:v>
                </c:pt>
                <c:pt idx="43">
                  <c:v>1.7695228283098245E-3</c:v>
                </c:pt>
                <c:pt idx="44">
                  <c:v>6.8450390833477051E-4</c:v>
                </c:pt>
                <c:pt idx="45">
                  <c:v>6.4033103389086066E-4</c:v>
                </c:pt>
                <c:pt idx="46">
                  <c:v>0</c:v>
                </c:pt>
                <c:pt idx="47">
                  <c:v>4.1998644344663977E-4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1.8767456180364343E-4</c:v>
                </c:pt>
                <c:pt idx="53">
                  <c:v>4.05886017183869E-5</c:v>
                </c:pt>
                <c:pt idx="54">
                  <c:v>6.921627207782193E-4</c:v>
                </c:pt>
                <c:pt idx="55">
                  <c:v>0</c:v>
                </c:pt>
                <c:pt idx="56">
                  <c:v>0</c:v>
                </c:pt>
                <c:pt idx="57">
                  <c:v>5.6203315562779633E-4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0.113837216183694</c:v>
                </c:pt>
                <c:pt idx="1">
                  <c:v>0.11546465981496459</c:v>
                </c:pt>
                <c:pt idx="2">
                  <c:v>6.3279940031168005E-2</c:v>
                </c:pt>
                <c:pt idx="3">
                  <c:v>3.3009488489535041E-2</c:v>
                </c:pt>
                <c:pt idx="4">
                  <c:v>0.20051289132621861</c:v>
                </c:pt>
                <c:pt idx="5">
                  <c:v>0.10490698913064921</c:v>
                </c:pt>
                <c:pt idx="6">
                  <c:v>9.0116978675556778E-2</c:v>
                </c:pt>
                <c:pt idx="7">
                  <c:v>6.4551318722506065E-2</c:v>
                </c:pt>
                <c:pt idx="8">
                  <c:v>5.9174836762472136E-2</c:v>
                </c:pt>
                <c:pt idx="9">
                  <c:v>2.9928195214329396E-2</c:v>
                </c:pt>
                <c:pt idx="10">
                  <c:v>1.9057858086915354E-2</c:v>
                </c:pt>
                <c:pt idx="11">
                  <c:v>2.3270471268222438E-2</c:v>
                </c:pt>
                <c:pt idx="12">
                  <c:v>1.1543013828339218E-2</c:v>
                </c:pt>
                <c:pt idx="13">
                  <c:v>1.6428303710571478E-2</c:v>
                </c:pt>
                <c:pt idx="14">
                  <c:v>8.8769652614759439E-3</c:v>
                </c:pt>
                <c:pt idx="15">
                  <c:v>1.3569920896376226E-2</c:v>
                </c:pt>
                <c:pt idx="16">
                  <c:v>8.1934389363422962E-3</c:v>
                </c:pt>
                <c:pt idx="17">
                  <c:v>6.7504389166157062E-3</c:v>
                </c:pt>
                <c:pt idx="18">
                  <c:v>4.4611682086284103E-3</c:v>
                </c:pt>
                <c:pt idx="19">
                  <c:v>2.506263192156708E-3</c:v>
                </c:pt>
                <c:pt idx="20">
                  <c:v>2.6088414574004302E-3</c:v>
                </c:pt>
                <c:pt idx="21">
                  <c:v>1.5100704239244078E-3</c:v>
                </c:pt>
                <c:pt idx="22">
                  <c:v>1.1924723334582684E-3</c:v>
                </c:pt>
                <c:pt idx="23">
                  <c:v>1.0257826524372202E-3</c:v>
                </c:pt>
                <c:pt idx="24">
                  <c:v>9.9717909770579761E-4</c:v>
                </c:pt>
                <c:pt idx="25">
                  <c:v>8.1076282721480287E-4</c:v>
                </c:pt>
                <c:pt idx="26">
                  <c:v>1.0188783461227387E-3</c:v>
                </c:pt>
                <c:pt idx="27">
                  <c:v>3.1957074941313396E-4</c:v>
                </c:pt>
                <c:pt idx="28">
                  <c:v>1.8838892943798946E-4</c:v>
                </c:pt>
                <c:pt idx="29">
                  <c:v>2.1995147258990392E-4</c:v>
                </c:pt>
                <c:pt idx="30">
                  <c:v>2.2488311995739056E-4</c:v>
                </c:pt>
                <c:pt idx="31">
                  <c:v>1.0948257155820331E-4</c:v>
                </c:pt>
                <c:pt idx="32">
                  <c:v>8.8769652614759437E-5</c:v>
                </c:pt>
                <c:pt idx="33">
                  <c:v>4.3398496833882392E-5</c:v>
                </c:pt>
                <c:pt idx="34">
                  <c:v>6.8056733671315568E-5</c:v>
                </c:pt>
                <c:pt idx="35">
                  <c:v>1.1835953681967925E-5</c:v>
                </c:pt>
                <c:pt idx="36">
                  <c:v>4.3398496833882392E-5</c:v>
                </c:pt>
                <c:pt idx="37">
                  <c:v>2.1699248416941196E-5</c:v>
                </c:pt>
                <c:pt idx="38">
                  <c:v>2.2685577890438523E-5</c:v>
                </c:pt>
                <c:pt idx="39">
                  <c:v>1.0849624208470598E-5</c:v>
                </c:pt>
                <c:pt idx="40">
                  <c:v>7.8906357879786159E-6</c:v>
                </c:pt>
                <c:pt idx="41">
                  <c:v>5.9179768409839624E-6</c:v>
                </c:pt>
                <c:pt idx="42">
                  <c:v>3.945317893989308E-6</c:v>
                </c:pt>
                <c:pt idx="43">
                  <c:v>1.972658946994654E-6</c:v>
                </c:pt>
                <c:pt idx="44">
                  <c:v>1.972658946994654E-6</c:v>
                </c:pt>
                <c:pt idx="45">
                  <c:v>0</c:v>
                </c:pt>
                <c:pt idx="46">
                  <c:v>0</c:v>
                </c:pt>
                <c:pt idx="47">
                  <c:v>9.8632947349732699E-7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18152"/>
        <c:axId val="168821680"/>
      </c:lineChart>
      <c:catAx>
        <c:axId val="168818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8821680"/>
        <c:crosses val="autoZero"/>
        <c:auto val="1"/>
        <c:lblAlgn val="ctr"/>
        <c:lblOffset val="100"/>
        <c:tickLblSkip val="10"/>
        <c:noMultiLvlLbl val="0"/>
      </c:catAx>
      <c:valAx>
        <c:axId val="1688216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88181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1.0842918699166289E-4</c:v>
                </c:pt>
                <c:pt idx="3">
                  <c:v>1.9389918173260694E-3</c:v>
                </c:pt>
                <c:pt idx="4">
                  <c:v>5.2272884370767126E-3</c:v>
                </c:pt>
                <c:pt idx="5">
                  <c:v>1.7248930536361718E-2</c:v>
                </c:pt>
                <c:pt idx="6">
                  <c:v>1.3184513166824693E-2</c:v>
                </c:pt>
                <c:pt idx="7">
                  <c:v>1.8794112987570992E-2</c:v>
                </c:pt>
                <c:pt idx="8">
                  <c:v>1.1996510969705242E-2</c:v>
                </c:pt>
                <c:pt idx="9">
                  <c:v>2.1372694328151625E-2</c:v>
                </c:pt>
                <c:pt idx="10">
                  <c:v>7.4196212979252985E-3</c:v>
                </c:pt>
                <c:pt idx="11">
                  <c:v>1.6129665739756913E-2</c:v>
                </c:pt>
                <c:pt idx="12">
                  <c:v>3.6665521933608919E-2</c:v>
                </c:pt>
                <c:pt idx="13">
                  <c:v>3.1480287814559034E-2</c:v>
                </c:pt>
                <c:pt idx="14">
                  <c:v>2.3830826264161435E-2</c:v>
                </c:pt>
                <c:pt idx="15">
                  <c:v>1.2423854321635487E-2</c:v>
                </c:pt>
                <c:pt idx="16">
                  <c:v>4.930107558133745E-2</c:v>
                </c:pt>
                <c:pt idx="17">
                  <c:v>2.3698036629339995E-2</c:v>
                </c:pt>
                <c:pt idx="18">
                  <c:v>7.2304706662955201E-2</c:v>
                </c:pt>
                <c:pt idx="19">
                  <c:v>6.1760095803589703E-2</c:v>
                </c:pt>
                <c:pt idx="20">
                  <c:v>7.6836870112957464E-2</c:v>
                </c:pt>
                <c:pt idx="21">
                  <c:v>4.9685995866694255E-2</c:v>
                </c:pt>
                <c:pt idx="22">
                  <c:v>5.1426895301966438E-2</c:v>
                </c:pt>
                <c:pt idx="23">
                  <c:v>2.8505668435815451E-2</c:v>
                </c:pt>
                <c:pt idx="24">
                  <c:v>2.9273707230795223E-2</c:v>
                </c:pt>
                <c:pt idx="25">
                  <c:v>1.8563282201761254E-2</c:v>
                </c:pt>
                <c:pt idx="26">
                  <c:v>5.4008578908517089E-2</c:v>
                </c:pt>
                <c:pt idx="27">
                  <c:v>6.9558043136511271E-3</c:v>
                </c:pt>
                <c:pt idx="28">
                  <c:v>2.1632745392532179E-2</c:v>
                </c:pt>
                <c:pt idx="29">
                  <c:v>2.6834632851473871E-2</c:v>
                </c:pt>
                <c:pt idx="30">
                  <c:v>7.4975174509201367E-3</c:v>
                </c:pt>
                <c:pt idx="31">
                  <c:v>1.9375703034380583E-2</c:v>
                </c:pt>
                <c:pt idx="32">
                  <c:v>7.4061751604303158E-3</c:v>
                </c:pt>
                <c:pt idx="33">
                  <c:v>5.0970396476648343E-3</c:v>
                </c:pt>
                <c:pt idx="34">
                  <c:v>1.824004287818189E-2</c:v>
                </c:pt>
                <c:pt idx="35">
                  <c:v>1.1865825302800502E-2</c:v>
                </c:pt>
                <c:pt idx="36">
                  <c:v>4.2066699233381721E-3</c:v>
                </c:pt>
                <c:pt idx="37">
                  <c:v>7.6118152482451233E-3</c:v>
                </c:pt>
                <c:pt idx="38">
                  <c:v>1.3393824983770656E-2</c:v>
                </c:pt>
                <c:pt idx="39">
                  <c:v>4.2491166743803249E-3</c:v>
                </c:pt>
                <c:pt idx="40">
                  <c:v>4.3543356322775879E-3</c:v>
                </c:pt>
                <c:pt idx="41">
                  <c:v>7.1938665988753392E-3</c:v>
                </c:pt>
                <c:pt idx="42">
                  <c:v>6.6205596432634215E-3</c:v>
                </c:pt>
                <c:pt idx="43">
                  <c:v>2.495773969950332E-3</c:v>
                </c:pt>
                <c:pt idx="44">
                  <c:v>5.2265474547382666E-4</c:v>
                </c:pt>
                <c:pt idx="45">
                  <c:v>4.9764521298022127E-2</c:v>
                </c:pt>
                <c:pt idx="46">
                  <c:v>1.7773185004719538E-3</c:v>
                </c:pt>
                <c:pt idx="47">
                  <c:v>2.8277095388219088E-3</c:v>
                </c:pt>
                <c:pt idx="48">
                  <c:v>3.0596513459037336E-3</c:v>
                </c:pt>
                <c:pt idx="49">
                  <c:v>0</c:v>
                </c:pt>
                <c:pt idx="50">
                  <c:v>6.0917977511778609E-4</c:v>
                </c:pt>
                <c:pt idx="51">
                  <c:v>3.5046567779275523E-3</c:v>
                </c:pt>
                <c:pt idx="52">
                  <c:v>3.8519102202584227E-3</c:v>
                </c:pt>
                <c:pt idx="53">
                  <c:v>1.0518349256314738E-3</c:v>
                </c:pt>
                <c:pt idx="54">
                  <c:v>5.212203949571903E-4</c:v>
                </c:pt>
                <c:pt idx="55">
                  <c:v>0</c:v>
                </c:pt>
                <c:pt idx="56">
                  <c:v>6.1887999886136268E-4</c:v>
                </c:pt>
                <c:pt idx="57">
                  <c:v>1.4187931613342394E-3</c:v>
                </c:pt>
                <c:pt idx="58">
                  <c:v>3.0017038442705648E-4</c:v>
                </c:pt>
                <c:pt idx="59">
                  <c:v>7.7242484982427179E-4</c:v>
                </c:pt>
                <c:pt idx="60">
                  <c:v>8.1858568262290865E-4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1.736137139249995E-2</c:v>
                </c:pt>
                <c:pt idx="1">
                  <c:v>1.9414909356321387E-2</c:v>
                </c:pt>
                <c:pt idx="2">
                  <c:v>2.4802240940563786E-2</c:v>
                </c:pt>
                <c:pt idx="3">
                  <c:v>2.7202966879056281E-2</c:v>
                </c:pt>
                <c:pt idx="4">
                  <c:v>2.8103485688359339E-2</c:v>
                </c:pt>
                <c:pt idx="5">
                  <c:v>2.7959481585228731E-2</c:v>
                </c:pt>
                <c:pt idx="6">
                  <c:v>2.6980056418045885E-2</c:v>
                </c:pt>
                <c:pt idx="7">
                  <c:v>2.5091235476298504E-2</c:v>
                </c:pt>
                <c:pt idx="8">
                  <c:v>2.2719113092537432E-2</c:v>
                </c:pt>
                <c:pt idx="9">
                  <c:v>1.9999802734105301E-2</c:v>
                </c:pt>
                <c:pt idx="10">
                  <c:v>1.7605981101927289E-2</c:v>
                </c:pt>
                <c:pt idx="11">
                  <c:v>1.4999112303473852E-2</c:v>
                </c:pt>
                <c:pt idx="12">
                  <c:v>1.331347523326692E-2</c:v>
                </c:pt>
                <c:pt idx="13">
                  <c:v>1.0994614641074705E-2</c:v>
                </c:pt>
                <c:pt idx="14">
                  <c:v>9.7873473655139768E-3</c:v>
                </c:pt>
                <c:pt idx="15">
                  <c:v>9.4145148245319867E-3</c:v>
                </c:pt>
                <c:pt idx="16">
                  <c:v>8.6984396267729275E-3</c:v>
                </c:pt>
                <c:pt idx="17">
                  <c:v>7.6519440553922636E-3</c:v>
                </c:pt>
                <c:pt idx="18">
                  <c:v>0.13887518986842365</c:v>
                </c:pt>
                <c:pt idx="19">
                  <c:v>5.0019726589469946E-2</c:v>
                </c:pt>
                <c:pt idx="20">
                  <c:v>5.1027755311384218E-2</c:v>
                </c:pt>
                <c:pt idx="21">
                  <c:v>5.4512457341250271E-2</c:v>
                </c:pt>
                <c:pt idx="22">
                  <c:v>5.0727911151441027E-2</c:v>
                </c:pt>
                <c:pt idx="23">
                  <c:v>3.7094865168760975E-2</c:v>
                </c:pt>
                <c:pt idx="24">
                  <c:v>3.563016590061744E-2</c:v>
                </c:pt>
                <c:pt idx="25">
                  <c:v>3.6984396267729272E-2</c:v>
                </c:pt>
                <c:pt idx="26">
                  <c:v>2.7830272424200581E-2</c:v>
                </c:pt>
                <c:pt idx="27">
                  <c:v>2.2703331820961473E-2</c:v>
                </c:pt>
                <c:pt idx="28">
                  <c:v>1.8981910717456058E-2</c:v>
                </c:pt>
                <c:pt idx="29">
                  <c:v>1.909928392480224E-2</c:v>
                </c:pt>
                <c:pt idx="30">
                  <c:v>2.3981614818614008E-2</c:v>
                </c:pt>
                <c:pt idx="31">
                  <c:v>1.5183555915017853E-2</c:v>
                </c:pt>
                <c:pt idx="32">
                  <c:v>1.2350817667133529E-2</c:v>
                </c:pt>
                <c:pt idx="33">
                  <c:v>1.4649951669855799E-2</c:v>
                </c:pt>
                <c:pt idx="34">
                  <c:v>8.194425265815793E-3</c:v>
                </c:pt>
                <c:pt idx="35">
                  <c:v>6.8332905923894818E-3</c:v>
                </c:pt>
                <c:pt idx="36">
                  <c:v>6.2306432840826152E-3</c:v>
                </c:pt>
                <c:pt idx="37">
                  <c:v>5.8765510030970745E-3</c:v>
                </c:pt>
                <c:pt idx="38">
                  <c:v>6.8658394650148932E-3</c:v>
                </c:pt>
                <c:pt idx="39">
                  <c:v>3.6247608151026771E-3</c:v>
                </c:pt>
                <c:pt idx="40">
                  <c:v>3.2233247193892648E-3</c:v>
                </c:pt>
                <c:pt idx="41">
                  <c:v>2.9964689404848796E-3</c:v>
                </c:pt>
                <c:pt idx="42">
                  <c:v>2.3632454184995956E-3</c:v>
                </c:pt>
                <c:pt idx="43">
                  <c:v>1.6994456828358945E-3</c:v>
                </c:pt>
                <c:pt idx="44">
                  <c:v>2.4372201290118953E-3</c:v>
                </c:pt>
                <c:pt idx="45">
                  <c:v>1.1254019292604501E-3</c:v>
                </c:pt>
                <c:pt idx="46">
                  <c:v>1.2102262639812204E-3</c:v>
                </c:pt>
                <c:pt idx="47">
                  <c:v>1.2151579113487069E-3</c:v>
                </c:pt>
                <c:pt idx="48">
                  <c:v>8.7191525457163712E-4</c:v>
                </c:pt>
                <c:pt idx="49">
                  <c:v>6.2927820409129469E-4</c:v>
                </c:pt>
                <c:pt idx="50">
                  <c:v>4.9217840727516619E-4</c:v>
                </c:pt>
                <c:pt idx="51">
                  <c:v>3.0181681889018206E-4</c:v>
                </c:pt>
                <c:pt idx="52">
                  <c:v>3.7085988203499498E-4</c:v>
                </c:pt>
                <c:pt idx="53">
                  <c:v>1.9825222417296274E-4</c:v>
                </c:pt>
                <c:pt idx="54">
                  <c:v>2.2685577890438523E-4</c:v>
                </c:pt>
                <c:pt idx="55">
                  <c:v>2.2093780206340125E-4</c:v>
                </c:pt>
                <c:pt idx="56">
                  <c:v>2.5447300416231038E-4</c:v>
                </c:pt>
                <c:pt idx="57">
                  <c:v>1.2329118418716588E-4</c:v>
                </c:pt>
                <c:pt idx="58">
                  <c:v>8.3838005247272796E-5</c:v>
                </c:pt>
                <c:pt idx="59">
                  <c:v>1.0060560629672736E-4</c:v>
                </c:pt>
                <c:pt idx="60">
                  <c:v>7.6933698932791516E-5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22072"/>
        <c:axId val="168817368"/>
      </c:lineChart>
      <c:catAx>
        <c:axId val="168822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8817368"/>
        <c:crosses val="autoZero"/>
        <c:auto val="1"/>
        <c:lblAlgn val="ctr"/>
        <c:lblOffset val="100"/>
        <c:tickLblSkip val="10"/>
        <c:noMultiLvlLbl val="0"/>
      </c:catAx>
      <c:valAx>
        <c:axId val="16881736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68822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topLeftCell="A88" workbookViewId="0">
      <selection activeCell="E106" sqref="E106"/>
    </sheetView>
  </sheetViews>
  <sheetFormatPr defaultRowHeight="14.25" x14ac:dyDescent="0.45"/>
  <cols>
    <col min="1" max="1" customWidth="true" width="13.59765625" collapsed="true"/>
    <col min="2" max="2" bestFit="true" customWidth="true" width="11.59765625" collapsed="true"/>
    <col min="6" max="6" bestFit="true" customWidth="true" width="11.597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341" t="n">
        <v>23655.6280813759</v>
      </c>
      <c r="C11" s="11">
        <f>B11/B$102</f>
        <v>2.4523639977756161E-2</v>
      </c>
      <c r="E11" s="19">
        <v>0</v>
      </c>
      <c r="F11" s="343" t="n">
        <v>116753.0</v>
      </c>
      <c r="G11" s="11">
        <f>F11/F$102</f>
        <v>0.113837216183694</v>
      </c>
      <c r="K11" s="8" t="n">
        <v>6.837604038093853</v>
      </c>
      <c r="L11" s="8" t="n">
        <v>5.597866296045122</v>
      </c>
    </row>
    <row r="12" spans="1:12" x14ac:dyDescent="0.45">
      <c r="A12">
        <v>1</v>
      </c>
      <c r="B12" s="341" t="n">
        <v>63034.8511950535</v>
      </c>
      <c r="C12" s="11">
        <f>B12/B$102</f>
        <v>6.534783145225255E-2</v>
      </c>
      <c r="E12" s="20">
        <v>1</v>
      </c>
      <c r="F12" s="343" t="n">
        <v>116433.0</v>
      </c>
      <c r="G12" s="11">
        <f>F12/F$102</f>
        <v>0.11546465981496459</v>
      </c>
      <c r="K12" s="8"/>
      <c r="L12" s="289"/>
    </row>
    <row r="13" spans="1:12" x14ac:dyDescent="0.45">
      <c r="A13">
        <v>2</v>
      </c>
      <c r="B13" s="341" t="n">
        <v>87973.0979479238</v>
      </c>
      <c r="C13" s="11">
        <f t="shared" ref="C13:C76" si="0">B13/B$102</f>
        <v>9.1201154092429348E-2</v>
      </c>
      <c r="E13" s="21">
        <v>2</v>
      </c>
      <c r="F13" s="343" t="n">
        <v>64828.0</v>
      </c>
      <c r="G13" s="11">
        <f t="shared" ref="G13:G76" si="1">F13/F$102</f>
        <v>6.3279940031168005E-2</v>
      </c>
    </row>
    <row r="14" spans="1:12" x14ac:dyDescent="0.45">
      <c r="A14">
        <v>3</v>
      </c>
      <c r="B14" s="341" t="n">
        <v>103722.9346855768</v>
      </c>
      <c r="C14" s="11">
        <f t="shared" si="0"/>
        <v>0.10752891019909258</v>
      </c>
      <c r="E14" s="22">
        <v>3</v>
      </c>
      <c r="F14" s="343" t="n">
        <v>33820.0</v>
      </c>
      <c r="G14" s="11">
        <f t="shared" si="1"/>
        <v>3.3009488489535041E-2</v>
      </c>
    </row>
    <row r="15" spans="1:12" x14ac:dyDescent="0.45">
      <c r="A15">
        <v>4</v>
      </c>
      <c r="B15" s="341" t="n">
        <v>172560.5823865192</v>
      </c>
      <c r="C15" s="11">
        <f t="shared" si="0"/>
        <v>0.17889246407837461</v>
      </c>
      <c r="E15" s="23">
        <v>4</v>
      </c>
      <c r="F15" s="343" t="n">
        <v>204734.0</v>
      </c>
      <c r="G15" s="11">
        <f t="shared" si="1"/>
        <v>0.20051289132621861</v>
      </c>
    </row>
    <row r="16" spans="1:12" x14ac:dyDescent="0.45">
      <c r="A16">
        <v>5</v>
      </c>
      <c r="B16" s="341" t="n">
        <v>106780.3315647777</v>
      </c>
      <c r="C16" s="11">
        <f t="shared" si="0"/>
        <v>0.11069849420154268</v>
      </c>
      <c r="E16" s="24">
        <v>5</v>
      </c>
      <c r="F16" s="343" t="n">
        <v>107289.0</v>
      </c>
      <c r="G16" s="11">
        <f t="shared" si="1"/>
        <v>0.10490698913064921</v>
      </c>
    </row>
    <row r="17" spans="1:7" x14ac:dyDescent="0.45">
      <c r="A17">
        <v>6</v>
      </c>
      <c r="B17" s="341" t="n">
        <v>115413.0812128111</v>
      </c>
      <c r="C17" s="11">
        <f t="shared" si="0"/>
        <v>0.11964801114770861</v>
      </c>
      <c r="E17" s="25">
        <v>6</v>
      </c>
      <c r="F17" s="343" t="n">
        <v>93525.0</v>
      </c>
      <c r="G17" s="11">
        <f t="shared" si="1"/>
        <v>9.0116978675556778E-2</v>
      </c>
    </row>
    <row r="18" spans="1:7" x14ac:dyDescent="0.45">
      <c r="A18">
        <v>7</v>
      </c>
      <c r="B18" s="341" t="n">
        <v>35261.0258779672</v>
      </c>
      <c r="C18" s="11">
        <f t="shared" si="0"/>
        <v>3.6554882453466227E-2</v>
      </c>
      <c r="E18" s="26">
        <v>7</v>
      </c>
      <c r="F18" s="343" t="n">
        <v>45778.0</v>
      </c>
      <c r="G18" s="11">
        <f t="shared" si="1"/>
        <v>6.4551318722506065E-2</v>
      </c>
    </row>
    <row r="19" spans="1:7" x14ac:dyDescent="0.45">
      <c r="A19">
        <v>8</v>
      </c>
      <c r="B19" s="341" t="n">
        <v>39220.1609361431</v>
      </c>
      <c r="C19" s="11">
        <f t="shared" si="0"/>
        <v>4.0659292721332223E-2</v>
      </c>
      <c r="E19" s="27">
        <v>8</v>
      </c>
      <c r="F19" s="343" t="n">
        <v>80068.0</v>
      </c>
      <c r="G19" s="11">
        <f t="shared" si="1"/>
        <v>5.9174836762472136E-2</v>
      </c>
    </row>
    <row r="20" spans="1:7" x14ac:dyDescent="0.45">
      <c r="A20">
        <v>9</v>
      </c>
      <c r="B20" s="341" t="n">
        <v>24939.7798187241</v>
      </c>
      <c r="C20" s="11">
        <f t="shared" si="0"/>
        <v>2.5854911959848702E-2</v>
      </c>
      <c r="E20" s="28">
        <v>9</v>
      </c>
      <c r="F20" s="343" t="n">
        <v>27182.0</v>
      </c>
      <c r="G20" s="11">
        <f t="shared" si="1"/>
        <v>2.9928195214329396E-2</v>
      </c>
    </row>
    <row r="21" spans="1:7" x14ac:dyDescent="0.45">
      <c r="A21">
        <v>10</v>
      </c>
      <c r="B21" s="341" t="n">
        <v>45670.3428766375</v>
      </c>
      <c r="C21" s="11">
        <f t="shared" si="0"/>
        <v>4.7346155532818769E-2</v>
      </c>
      <c r="E21" s="29">
        <v>10</v>
      </c>
      <c r="F21" s="343" t="n">
        <v>17735.0</v>
      </c>
      <c r="G21" s="11">
        <f t="shared" si="1"/>
        <v>1.9057858086915354E-2</v>
      </c>
    </row>
    <row r="22" spans="1:7" x14ac:dyDescent="0.45">
      <c r="A22">
        <v>11</v>
      </c>
      <c r="B22" s="341" t="n">
        <v>8666.184482524</v>
      </c>
      <c r="C22" s="11">
        <f t="shared" si="0"/>
        <v>8.9841786275612727E-3</v>
      </c>
      <c r="E22" s="30">
        <v>11</v>
      </c>
      <c r="F22" s="343" t="n">
        <v>23176.0</v>
      </c>
      <c r="G22" s="11">
        <f t="shared" si="1"/>
        <v>2.3270471268222438E-2</v>
      </c>
    </row>
    <row r="23" spans="1:7" x14ac:dyDescent="0.45">
      <c r="A23">
        <v>12</v>
      </c>
      <c r="B23" s="341" t="n">
        <v>27098.6326731543</v>
      </c>
      <c r="C23" s="11">
        <f t="shared" si="0"/>
        <v>2.8092981056339086E-2</v>
      </c>
      <c r="E23" s="31">
        <v>12</v>
      </c>
      <c r="F23" s="343" t="n">
        <v>14146.0</v>
      </c>
      <c r="G23" s="11">
        <f t="shared" si="1"/>
        <v>1.1543013828339218E-2</v>
      </c>
    </row>
    <row r="24" spans="1:7" x14ac:dyDescent="0.45">
      <c r="A24">
        <v>13</v>
      </c>
      <c r="B24" s="341" t="n">
        <v>7071.6029808806</v>
      </c>
      <c r="C24" s="11">
        <f t="shared" si="0"/>
        <v>7.3310860727167915E-3</v>
      </c>
      <c r="E24" s="32">
        <v>13</v>
      </c>
      <c r="F24" s="343" t="n">
        <v>15224.0</v>
      </c>
      <c r="G24" s="11">
        <f t="shared" si="1"/>
        <v>1.6428303710571478E-2</v>
      </c>
    </row>
    <row r="25" spans="1:7" x14ac:dyDescent="0.45">
      <c r="A25">
        <v>14</v>
      </c>
      <c r="B25" s="341" t="n">
        <v>9272.1147318963</v>
      </c>
      <c r="C25" s="11">
        <f t="shared" si="0"/>
        <v>9.6123426837478546E-3</v>
      </c>
      <c r="E25" s="33">
        <v>14</v>
      </c>
      <c r="F25" s="343" t="n">
        <v>9338.0</v>
      </c>
      <c r="G25" s="11">
        <f t="shared" si="1"/>
        <v>8.8769652614759439E-3</v>
      </c>
    </row>
    <row r="26" spans="1:7" x14ac:dyDescent="0.45">
      <c r="A26">
        <v>15</v>
      </c>
      <c r="B26" s="341" t="n">
        <v>18097.6837159205</v>
      </c>
      <c r="C26" s="11">
        <f t="shared" si="0"/>
        <v>1.8761754215689389E-2</v>
      </c>
      <c r="E26" s="34">
        <v>15</v>
      </c>
      <c r="F26" s="343" t="n">
        <v>15241.0</v>
      </c>
      <c r="G26" s="11">
        <f t="shared" si="1"/>
        <v>1.3569920896376226E-2</v>
      </c>
    </row>
    <row r="27" spans="1:7" x14ac:dyDescent="0.45">
      <c r="A27">
        <v>16</v>
      </c>
      <c r="B27" s="341" t="n">
        <v>18068.3699182225</v>
      </c>
      <c r="C27" s="11">
        <f t="shared" si="0"/>
        <v>1.8731364787065743E-2</v>
      </c>
      <c r="E27" s="35">
        <v>16</v>
      </c>
      <c r="F27" s="343" t="n">
        <v>8351.0</v>
      </c>
      <c r="G27" s="11">
        <f t="shared" si="1"/>
        <v>8.1934389363422962E-3</v>
      </c>
    </row>
    <row r="28" spans="1:7" x14ac:dyDescent="0.45">
      <c r="A28">
        <v>17</v>
      </c>
      <c r="B28" s="341" t="n">
        <v>6781.782801215</v>
      </c>
      <c r="C28" s="11">
        <f t="shared" si="0"/>
        <v>7.030631325966547E-3</v>
      </c>
      <c r="E28" s="36">
        <v>17</v>
      </c>
      <c r="F28" s="343" t="n">
        <v>7003.0</v>
      </c>
      <c r="G28" s="11">
        <f t="shared" si="1"/>
        <v>6.7504389166157062E-3</v>
      </c>
    </row>
    <row r="29" spans="1:7" x14ac:dyDescent="0.45">
      <c r="A29">
        <v>18</v>
      </c>
      <c r="B29" s="341" t="n">
        <v>8309.0263153689</v>
      </c>
      <c r="C29" s="11">
        <f t="shared" si="0"/>
        <v>8.6139150151855453E-3</v>
      </c>
      <c r="E29" s="37">
        <v>18</v>
      </c>
      <c r="F29" s="343" t="n">
        <v>3917.0</v>
      </c>
      <c r="G29" s="11">
        <f t="shared" si="1"/>
        <v>4.4611682086284103E-3</v>
      </c>
    </row>
    <row r="30" spans="1:7" x14ac:dyDescent="0.45">
      <c r="A30">
        <v>19</v>
      </c>
      <c r="B30" s="341" t="n">
        <v>2419.2159702923</v>
      </c>
      <c r="C30" s="11">
        <f t="shared" si="0"/>
        <v>2.5079858915517607E-3</v>
      </c>
      <c r="E30" s="38">
        <v>19</v>
      </c>
      <c r="F30" s="343" t="n">
        <v>2659.0</v>
      </c>
      <c r="G30" s="11">
        <f t="shared" si="1"/>
        <v>2.506263192156708E-3</v>
      </c>
    </row>
    <row r="31" spans="1:7" x14ac:dyDescent="0.45">
      <c r="A31">
        <v>20</v>
      </c>
      <c r="B31" s="341" t="n">
        <v>3458.3777079705</v>
      </c>
      <c r="C31" s="11">
        <f t="shared" si="0"/>
        <v>3.5852782908832865E-3</v>
      </c>
      <c r="E31" s="39">
        <v>20</v>
      </c>
      <c r="F31" s="343" t="n">
        <v>2229.0</v>
      </c>
      <c r="G31" s="11">
        <f t="shared" si="1"/>
        <v>2.6088414574004302E-3</v>
      </c>
    </row>
    <row r="32" spans="1:7" x14ac:dyDescent="0.45">
      <c r="A32">
        <v>21</v>
      </c>
      <c r="B32" s="341" t="n">
        <v>907.4706190123</v>
      </c>
      <c r="C32" s="11">
        <f t="shared" si="0"/>
        <v>9.4076904973705361E-4</v>
      </c>
      <c r="E32" s="40">
        <v>21</v>
      </c>
      <c r="F32" s="343" t="n">
        <v>1802.0</v>
      </c>
      <c r="G32" s="11">
        <f t="shared" si="1"/>
        <v>1.5100704239244078E-3</v>
      </c>
    </row>
    <row r="33" spans="1:7" x14ac:dyDescent="0.45">
      <c r="A33">
        <v>22</v>
      </c>
      <c r="B33" s="341" t="n">
        <v>2071.054926252</v>
      </c>
      <c r="C33" s="11">
        <f t="shared" si="0"/>
        <v>2.1470495397900359E-3</v>
      </c>
      <c r="E33" s="41">
        <v>22</v>
      </c>
      <c r="F33" s="343" t="n">
        <v>1360.0</v>
      </c>
      <c r="G33" s="11">
        <f t="shared" si="1"/>
        <v>1.1924723334582684E-3</v>
      </c>
    </row>
    <row r="34" spans="1:7" x14ac:dyDescent="0.45">
      <c r="A34">
        <v>23</v>
      </c>
      <c r="B34" s="341" t="n">
        <v>1988.8132901981</v>
      </c>
      <c r="C34" s="11">
        <f t="shared" si="0"/>
        <v>2.0617901559838048E-3</v>
      </c>
      <c r="E34" s="42">
        <v>23</v>
      </c>
      <c r="F34" s="343" t="n">
        <v>1022.0</v>
      </c>
      <c r="G34" s="11">
        <f t="shared" si="1"/>
        <v>1.0257826524372202E-3</v>
      </c>
    </row>
    <row r="35" spans="1:7" x14ac:dyDescent="0.45">
      <c r="A35">
        <v>24</v>
      </c>
      <c r="B35" s="341" t="n">
        <v>10809.509325089</v>
      </c>
      <c r="C35" s="11">
        <f t="shared" si="0"/>
        <v>1.1206149932386918E-2</v>
      </c>
      <c r="E35" s="43">
        <v>24</v>
      </c>
      <c r="F35" s="343" t="n">
        <v>1034.0</v>
      </c>
      <c r="G35" s="11">
        <f t="shared" si="1"/>
        <v>9.9717909770579761E-4</v>
      </c>
    </row>
    <row r="36" spans="1:7" x14ac:dyDescent="0.45">
      <c r="A36">
        <v>25</v>
      </c>
      <c r="B36" s="341" t="n">
        <v>1546.810699568</v>
      </c>
      <c r="C36" s="11">
        <f t="shared" si="0"/>
        <v>1.6035688665485828E-3</v>
      </c>
      <c r="E36" s="44">
        <v>25</v>
      </c>
      <c r="F36" s="343" t="n">
        <v>1380.0</v>
      </c>
      <c r="G36" s="11">
        <f t="shared" si="1"/>
        <v>8.1076282721480287E-4</v>
      </c>
    </row>
    <row r="37" spans="1:7" x14ac:dyDescent="0.45">
      <c r="A37">
        <v>26</v>
      </c>
      <c r="B37" s="341" t="n">
        <v>774.7254652844</v>
      </c>
      <c r="C37" s="11">
        <f t="shared" si="0"/>
        <v>8.0315298866201967E-4</v>
      </c>
      <c r="E37" s="45">
        <v>26</v>
      </c>
      <c r="F37" s="343" t="n">
        <v>482.0</v>
      </c>
      <c r="G37" s="11">
        <f t="shared" si="1"/>
        <v>1.0188783461227387E-3</v>
      </c>
    </row>
    <row r="38" spans="1:7" x14ac:dyDescent="0.45">
      <c r="A38">
        <v>27</v>
      </c>
      <c r="B38" s="341" t="n">
        <v>2085.196875802</v>
      </c>
      <c r="C38" s="11">
        <f t="shared" si="0"/>
        <v>2.1617104094213452E-3</v>
      </c>
      <c r="E38" s="46">
        <v>27</v>
      </c>
      <c r="F38" s="343" t="n">
        <v>288.0</v>
      </c>
      <c r="G38" s="11">
        <f t="shared" si="1"/>
        <v>3.1957074941313396E-4</v>
      </c>
    </row>
    <row r="39" spans="1:7" x14ac:dyDescent="0.45">
      <c r="A39">
        <v>28</v>
      </c>
      <c r="B39" s="341" t="n">
        <v>638.5252072000001</v>
      </c>
      <c r="C39" s="11">
        <f t="shared" si="0"/>
        <v>6.6195504275886349E-4</v>
      </c>
      <c r="E39" s="47">
        <v>28</v>
      </c>
      <c r="F39" s="343" t="n">
        <v>245.0</v>
      </c>
      <c r="G39" s="11">
        <f t="shared" si="1"/>
        <v>1.8838892943798946E-4</v>
      </c>
    </row>
    <row r="40" spans="1:7" x14ac:dyDescent="0.45">
      <c r="A40">
        <v>29</v>
      </c>
      <c r="B40" s="341" t="n">
        <v>550.7575783498</v>
      </c>
      <c r="C40" s="11">
        <f t="shared" si="0"/>
        <v>5.7096689718017131E-4</v>
      </c>
      <c r="E40" s="48">
        <v>29</v>
      </c>
      <c r="F40" s="343" t="n">
        <v>244.0</v>
      </c>
      <c r="G40" s="11">
        <f t="shared" si="1"/>
        <v>2.1995147258990392E-4</v>
      </c>
    </row>
    <row r="41" spans="1:7" x14ac:dyDescent="0.45">
      <c r="A41">
        <v>30</v>
      </c>
      <c r="B41" s="341" t="n">
        <v>0.0</v>
      </c>
      <c r="C41" s="11">
        <f t="shared" si="0"/>
        <v>0</v>
      </c>
      <c r="E41" s="49">
        <v>30</v>
      </c>
      <c r="F41" s="343" t="n">
        <v>179.0</v>
      </c>
      <c r="G41" s="11">
        <f t="shared" si="1"/>
        <v>2.2488311995739056E-4</v>
      </c>
    </row>
    <row r="42" spans="1:7" x14ac:dyDescent="0.45">
      <c r="A42">
        <v>31</v>
      </c>
      <c r="B42" s="341" t="n">
        <v>1503.265838949</v>
      </c>
      <c r="C42" s="11">
        <f t="shared" si="0"/>
        <v>1.5584261850256739E-3</v>
      </c>
      <c r="E42" s="50">
        <v>31</v>
      </c>
      <c r="F42" s="343" t="n">
        <v>140.0</v>
      </c>
      <c r="G42" s="11">
        <f t="shared" si="1"/>
        <v>1.0948257155820331E-4</v>
      </c>
    </row>
    <row r="43" spans="1:7" x14ac:dyDescent="0.45">
      <c r="A43">
        <v>32</v>
      </c>
      <c r="B43" s="341" t="n">
        <v>0.0</v>
      </c>
      <c r="C43" s="11">
        <f t="shared" si="0"/>
        <v>0</v>
      </c>
      <c r="E43" s="51">
        <v>32</v>
      </c>
      <c r="F43" s="343" t="n">
        <v>70.0</v>
      </c>
      <c r="G43" s="11">
        <f t="shared" si="1"/>
        <v>8.8769652614759437E-5</v>
      </c>
    </row>
    <row r="44" spans="1:7" x14ac:dyDescent="0.45">
      <c r="A44">
        <v>33</v>
      </c>
      <c r="B44" s="341" t="n">
        <v>771.224845006</v>
      </c>
      <c r="C44" s="11">
        <f t="shared" si="0"/>
        <v>7.9952391776561417E-4</v>
      </c>
      <c r="E44" s="52">
        <v>33</v>
      </c>
      <c r="F44" s="343" t="n">
        <v>58.0</v>
      </c>
      <c r="G44" s="11">
        <f t="shared" si="1"/>
        <v>4.3398496833882392E-5</v>
      </c>
    </row>
    <row r="45" spans="1:7" x14ac:dyDescent="0.45">
      <c r="A45">
        <v>34</v>
      </c>
      <c r="B45" s="341" t="n">
        <v>936.2129745479999</v>
      </c>
      <c r="C45" s="11">
        <f t="shared" si="0"/>
        <v>9.7056606788619825E-4</v>
      </c>
      <c r="E45" s="53">
        <v>34</v>
      </c>
      <c r="F45" s="343" t="n">
        <v>43.0</v>
      </c>
      <c r="G45" s="11">
        <f t="shared" si="1"/>
        <v>6.8056733671315568E-5</v>
      </c>
    </row>
    <row r="46" spans="1:7" x14ac:dyDescent="0.45">
      <c r="A46">
        <v>35</v>
      </c>
      <c r="B46" s="341" t="n">
        <v>321.9730946164</v>
      </c>
      <c r="C46" s="11">
        <f t="shared" si="0"/>
        <v>3.3378747026857023E-4</v>
      </c>
      <c r="E46" s="54">
        <v>35</v>
      </c>
      <c r="F46" s="343" t="n">
        <v>43.0</v>
      </c>
      <c r="G46" s="11">
        <f t="shared" si="1"/>
        <v>1.1835953681967925E-5</v>
      </c>
    </row>
    <row r="47" spans="1:7" x14ac:dyDescent="0.45">
      <c r="A47">
        <v>36</v>
      </c>
      <c r="B47" s="341" t="n">
        <v>727.467881212</v>
      </c>
      <c r="C47" s="11">
        <f t="shared" si="0"/>
        <v>7.5416135022302565E-4</v>
      </c>
      <c r="E47" s="55">
        <v>36</v>
      </c>
      <c r="F47" s="343" t="n">
        <v>29.0</v>
      </c>
      <c r="G47" s="11">
        <f t="shared" si="1"/>
        <v>4.3398496833882392E-5</v>
      </c>
    </row>
    <row r="48" spans="1:7" x14ac:dyDescent="0.45">
      <c r="A48">
        <v>37</v>
      </c>
      <c r="B48" s="341" t="n">
        <v>155.96534045660002</v>
      </c>
      <c r="C48" s="11">
        <f t="shared" si="0"/>
        <v>1.6168828175723327E-4</v>
      </c>
      <c r="E48" s="56">
        <v>37</v>
      </c>
      <c r="F48" s="343" t="n">
        <v>12.0</v>
      </c>
      <c r="G48" s="11">
        <f t="shared" si="1"/>
        <v>2.1699248416941196E-5</v>
      </c>
    </row>
    <row r="49" spans="1:7" x14ac:dyDescent="0.45">
      <c r="A49">
        <v>38</v>
      </c>
      <c r="B49" s="341" t="n">
        <v>627.269960355</v>
      </c>
      <c r="C49" s="11">
        <f t="shared" si="0"/>
        <v>6.502867995594843E-4</v>
      </c>
      <c r="E49" s="57">
        <v>38</v>
      </c>
      <c r="F49" s="343" t="n">
        <v>10.0</v>
      </c>
      <c r="G49" s="11">
        <f t="shared" si="1"/>
        <v>2.2685577890438523E-5</v>
      </c>
    </row>
    <row r="50" spans="1:7" x14ac:dyDescent="0.45">
      <c r="A50">
        <v>39</v>
      </c>
      <c r="B50" s="341" t="n">
        <v>341.8573055842</v>
      </c>
      <c r="C50" s="11">
        <f t="shared" si="0"/>
        <v>3.544013059840544E-4</v>
      </c>
      <c r="E50" s="58">
        <v>39</v>
      </c>
      <c r="F50" s="343" t="n">
        <v>12.0</v>
      </c>
      <c r="G50" s="11">
        <f t="shared" si="1"/>
        <v>1.0849624208470598E-5</v>
      </c>
    </row>
    <row r="51" spans="1:7" x14ac:dyDescent="0.45">
      <c r="A51">
        <v>40</v>
      </c>
      <c r="B51" s="341" t="n">
        <v>0.0</v>
      </c>
      <c r="C51" s="11">
        <f t="shared" si="0"/>
        <v>0</v>
      </c>
      <c r="E51" s="59">
        <v>40</v>
      </c>
      <c r="F51" s="343" t="n">
        <v>5.0</v>
      </c>
      <c r="G51" s="11">
        <f t="shared" si="1"/>
        <v>7.8906357879786159E-6</v>
      </c>
    </row>
    <row r="52" spans="1:7" x14ac:dyDescent="0.45">
      <c r="A52">
        <v>41</v>
      </c>
      <c r="B52" s="341" t="n">
        <v>596.97480037</v>
      </c>
      <c r="C52" s="11">
        <f t="shared" si="0"/>
        <v>6.1887999886136257E-4</v>
      </c>
      <c r="E52" s="60">
        <v>41</v>
      </c>
      <c r="F52" s="343" t="n">
        <v>1.0</v>
      </c>
      <c r="G52" s="11">
        <f t="shared" si="1"/>
        <v>5.9179768409839624E-6</v>
      </c>
    </row>
    <row r="53" spans="1:7" x14ac:dyDescent="0.45">
      <c r="A53">
        <v>42</v>
      </c>
      <c r="B53" s="341" t="n">
        <v>133.5805418631</v>
      </c>
      <c r="C53" s="11">
        <f t="shared" si="0"/>
        <v>1.3848210266982316E-4</v>
      </c>
      <c r="E53" s="61">
        <v>42</v>
      </c>
      <c r="F53" s="343" t="n">
        <v>12.0</v>
      </c>
      <c r="G53" s="11">
        <f t="shared" si="1"/>
        <v>3.945317893989308E-6</v>
      </c>
    </row>
    <row r="54" spans="1:7" x14ac:dyDescent="0.45">
      <c r="A54">
        <v>43</v>
      </c>
      <c r="B54" s="341" t="n">
        <v>1706.890736692</v>
      </c>
      <c r="C54" s="11">
        <f t="shared" si="0"/>
        <v>1.7695228283098245E-3</v>
      </c>
      <c r="E54" s="62">
        <v>43</v>
      </c>
      <c r="F54" s="343" t="n">
        <v>7.0</v>
      </c>
      <c r="G54" s="11">
        <f t="shared" si="1"/>
        <v>1.972658946994654E-6</v>
      </c>
    </row>
    <row r="55" spans="1:7" x14ac:dyDescent="0.45">
      <c r="A55">
        <v>44</v>
      </c>
      <c r="B55" s="341" t="n">
        <v>660.275957831</v>
      </c>
      <c r="C55" s="11">
        <f t="shared" si="0"/>
        <v>6.8450390833477051E-4</v>
      </c>
      <c r="E55" s="63">
        <v>44</v>
      </c>
      <c r="F55" s="343" t="n">
        <v>1.0</v>
      </c>
      <c r="G55" s="11">
        <f t="shared" si="1"/>
        <v>1.972658946994654E-6</v>
      </c>
    </row>
    <row r="56" spans="1:7" x14ac:dyDescent="0.45">
      <c r="A56">
        <v>45</v>
      </c>
      <c r="B56" s="341" t="n">
        <v>617.666578062</v>
      </c>
      <c r="C56" s="11">
        <f t="shared" si="0"/>
        <v>6.4033103389086066E-4</v>
      </c>
      <c r="E56" s="64">
        <v>45</v>
      </c>
      <c r="F56" s="343" t="n">
        <v>0.0</v>
      </c>
      <c r="G56" s="11">
        <f t="shared" si="1"/>
        <v>0</v>
      </c>
    </row>
    <row r="57" spans="1:7" x14ac:dyDescent="0.45">
      <c r="A57">
        <v>46</v>
      </c>
      <c r="B57" s="341" t="n">
        <v>0.0</v>
      </c>
      <c r="C57" s="11">
        <f t="shared" si="0"/>
        <v>0</v>
      </c>
      <c r="E57" s="65">
        <v>46</v>
      </c>
      <c r="F57" s="343" t="n">
        <v>0.0</v>
      </c>
      <c r="G57" s="11">
        <f t="shared" si="1"/>
        <v>0</v>
      </c>
    </row>
    <row r="58" spans="1:7" x14ac:dyDescent="0.45">
      <c r="A58">
        <v>47</v>
      </c>
      <c r="B58" s="341" t="n">
        <v>405.121063366</v>
      </c>
      <c r="C58" s="11">
        <f t="shared" si="0"/>
        <v>4.1998644344663977E-4</v>
      </c>
      <c r="E58" s="66">
        <v>47</v>
      </c>
      <c r="F58" s="343" t="n">
        <v>3.0</v>
      </c>
      <c r="G58" s="11">
        <f t="shared" si="1"/>
        <v>9.8632947349732699E-7</v>
      </c>
    </row>
    <row r="59" spans="1:7" x14ac:dyDescent="0.45">
      <c r="A59">
        <v>48</v>
      </c>
      <c r="B59" s="341" t="n">
        <v>0.0</v>
      </c>
      <c r="C59" s="11">
        <f t="shared" si="0"/>
        <v>0</v>
      </c>
      <c r="E59" s="67">
        <v>48</v>
      </c>
      <c r="F59" s="343" t="n">
        <v>0.0</v>
      </c>
      <c r="G59" s="11">
        <f t="shared" si="1"/>
        <v>0</v>
      </c>
    </row>
    <row r="60" spans="1:7" x14ac:dyDescent="0.45">
      <c r="A60">
        <v>49</v>
      </c>
      <c r="B60" s="341" t="n">
        <v>0.0</v>
      </c>
      <c r="C60" s="11">
        <f t="shared" si="0"/>
        <v>0</v>
      </c>
      <c r="E60" s="68">
        <v>49</v>
      </c>
      <c r="F60" s="343" t="n">
        <v>0.0</v>
      </c>
      <c r="G60" s="11">
        <f t="shared" si="1"/>
        <v>0</v>
      </c>
    </row>
    <row r="61" spans="1:7" x14ac:dyDescent="0.45">
      <c r="A61">
        <v>50</v>
      </c>
      <c r="B61" s="341" t="n">
        <v>0.0</v>
      </c>
      <c r="C61" s="11">
        <f t="shared" si="0"/>
        <v>0</v>
      </c>
      <c r="E61" s="69">
        <v>50</v>
      </c>
      <c r="F61" s="343" t="n">
        <v>2.0</v>
      </c>
      <c r="G61" s="11">
        <f t="shared" si="1"/>
        <v>0</v>
      </c>
    </row>
    <row r="62" spans="1:7" x14ac:dyDescent="0.45">
      <c r="A62">
        <v>51</v>
      </c>
      <c r="B62" s="341" t="n">
        <v>0.0</v>
      </c>
      <c r="C62" s="11">
        <f t="shared" si="0"/>
        <v>0</v>
      </c>
      <c r="E62" s="70">
        <v>51</v>
      </c>
      <c r="F62" s="343" t="n">
        <v>0.0</v>
      </c>
      <c r="G62" s="11">
        <f t="shared" si="1"/>
        <v>0</v>
      </c>
    </row>
    <row r="63" spans="1:7" x14ac:dyDescent="0.45">
      <c r="A63">
        <v>52</v>
      </c>
      <c r="B63" s="341" t="n">
        <v>181.031838601</v>
      </c>
      <c r="C63" s="11">
        <f t="shared" si="0"/>
        <v>1.8767456180364343E-4</v>
      </c>
      <c r="E63" s="71">
        <v>52</v>
      </c>
      <c r="F63" s="343" t="n">
        <v>0.0</v>
      </c>
      <c r="G63" s="11">
        <f t="shared" si="1"/>
        <v>0</v>
      </c>
    </row>
    <row r="64" spans="1:7" x14ac:dyDescent="0.45">
      <c r="A64">
        <v>53</v>
      </c>
      <c r="B64" s="341" t="n">
        <v>39.1519720345</v>
      </c>
      <c r="C64" s="11">
        <f t="shared" si="0"/>
        <v>4.05886017183869E-5</v>
      </c>
      <c r="E64" s="72">
        <v>53</v>
      </c>
      <c r="F64" s="343" t="n">
        <v>0.0</v>
      </c>
      <c r="G64" s="11">
        <f t="shared" si="1"/>
        <v>0</v>
      </c>
    </row>
    <row r="65" spans="1:7" x14ac:dyDescent="0.45">
      <c r="A65">
        <v>54</v>
      </c>
      <c r="B65" s="341" t="n">
        <v>667.663687339</v>
      </c>
      <c r="C65" s="11">
        <f t="shared" si="0"/>
        <v>6.921627207782193E-4</v>
      </c>
      <c r="E65" s="73">
        <v>54</v>
      </c>
      <c r="F65" s="343" t="n">
        <v>0.0</v>
      </c>
      <c r="G65" s="11">
        <f t="shared" si="1"/>
        <v>0</v>
      </c>
    </row>
    <row r="66" spans="1:7" x14ac:dyDescent="0.45">
      <c r="A66">
        <v>55</v>
      </c>
      <c r="B66" s="341" t="n">
        <v>0.0</v>
      </c>
      <c r="C66" s="11">
        <f t="shared" si="0"/>
        <v>0</v>
      </c>
      <c r="E66" s="74">
        <v>55</v>
      </c>
      <c r="F66" s="343" t="n">
        <v>0.0</v>
      </c>
      <c r="G66" s="11">
        <f t="shared" si="1"/>
        <v>0</v>
      </c>
    </row>
    <row r="67" spans="1:7" x14ac:dyDescent="0.45">
      <c r="A67">
        <v>56</v>
      </c>
      <c r="B67" s="341" t="n">
        <v>0.0</v>
      </c>
      <c r="C67" s="11">
        <f t="shared" si="0"/>
        <v>0</v>
      </c>
      <c r="E67" s="75">
        <v>56</v>
      </c>
      <c r="F67" s="343" t="n">
        <v>1.0</v>
      </c>
      <c r="G67" s="11">
        <f t="shared" si="1"/>
        <v>0</v>
      </c>
    </row>
    <row r="68" spans="1:7" x14ac:dyDescent="0.45">
      <c r="A68">
        <v>57</v>
      </c>
      <c r="B68" s="341" t="n">
        <v>542.140045727</v>
      </c>
      <c r="C68" s="11">
        <f t="shared" si="0"/>
        <v>5.6203315562779633E-4</v>
      </c>
      <c r="E68" s="76">
        <v>57</v>
      </c>
      <c r="F68" s="343" t="n">
        <v>0.0</v>
      </c>
      <c r="G68" s="11">
        <f t="shared" si="1"/>
        <v>0</v>
      </c>
    </row>
    <row r="69" spans="1:7" x14ac:dyDescent="0.45">
      <c r="A69">
        <v>58</v>
      </c>
      <c r="B69" s="341" t="n">
        <v>0.0</v>
      </c>
      <c r="C69" s="11">
        <f t="shared" si="0"/>
        <v>0</v>
      </c>
      <c r="E69" s="77">
        <v>58</v>
      </c>
      <c r="F69" s="343" t="n">
        <v>0.0</v>
      </c>
      <c r="G69" s="11">
        <f t="shared" si="1"/>
        <v>0</v>
      </c>
    </row>
    <row r="70" spans="1:7" x14ac:dyDescent="0.45">
      <c r="A70">
        <v>59</v>
      </c>
      <c r="B70" s="341" t="n">
        <v>0.0</v>
      </c>
      <c r="C70" s="11">
        <f t="shared" si="0"/>
        <v>0</v>
      </c>
      <c r="E70" s="78">
        <v>59</v>
      </c>
      <c r="F70" s="343" t="n">
        <v>0.0</v>
      </c>
      <c r="G70" s="11">
        <f t="shared" si="1"/>
        <v>0</v>
      </c>
    </row>
    <row r="71" spans="1:7" x14ac:dyDescent="0.45">
      <c r="A71">
        <v>60</v>
      </c>
      <c r="B71" s="341" t="n">
        <v>0.0</v>
      </c>
      <c r="C71" s="11">
        <f t="shared" si="0"/>
        <v>0</v>
      </c>
      <c r="E71" s="79">
        <v>60</v>
      </c>
      <c r="F71" s="343" t="n">
        <v>0.0</v>
      </c>
      <c r="G71" s="11">
        <f t="shared" si="1"/>
        <v>0</v>
      </c>
    </row>
    <row r="72" spans="1:7" x14ac:dyDescent="0.45">
      <c r="A72">
        <v>61</v>
      </c>
      <c r="B72" s="341" t="n">
        <v>0.0</v>
      </c>
      <c r="C72" s="11">
        <f t="shared" si="0"/>
        <v>0</v>
      </c>
      <c r="E72" s="80">
        <v>61</v>
      </c>
      <c r="F72" s="343" t="n">
        <v>0.0</v>
      </c>
      <c r="G72" s="11">
        <f t="shared" si="1"/>
        <v>0</v>
      </c>
    </row>
    <row r="73" spans="1:7" x14ac:dyDescent="0.45">
      <c r="A73">
        <v>62</v>
      </c>
      <c r="B73" s="341" t="n">
        <v>0.0</v>
      </c>
      <c r="C73" s="11">
        <f t="shared" si="0"/>
        <v>0</v>
      </c>
      <c r="E73" s="81">
        <v>62</v>
      </c>
      <c r="F73" s="343" t="n">
        <v>0.0</v>
      </c>
      <c r="G73" s="11">
        <f t="shared" si="1"/>
        <v>0</v>
      </c>
    </row>
    <row r="74" spans="1:7" x14ac:dyDescent="0.45">
      <c r="A74">
        <v>63</v>
      </c>
      <c r="B74" s="341" t="n">
        <v>0.0</v>
      </c>
      <c r="C74" s="11">
        <f t="shared" si="0"/>
        <v>0</v>
      </c>
      <c r="E74" s="82">
        <v>63</v>
      </c>
      <c r="F74" s="343" t="n">
        <v>0.0</v>
      </c>
      <c r="G74" s="11">
        <f t="shared" si="1"/>
        <v>0</v>
      </c>
    </row>
    <row r="75" spans="1:7" x14ac:dyDescent="0.45">
      <c r="A75">
        <v>64</v>
      </c>
      <c r="B75" s="341" t="n">
        <v>0.0</v>
      </c>
      <c r="C75" s="11">
        <f t="shared" si="0"/>
        <v>0</v>
      </c>
      <c r="E75" s="83">
        <v>64</v>
      </c>
      <c r="F75" s="343" t="n">
        <v>0.0</v>
      </c>
      <c r="G75" s="11">
        <f t="shared" si="1"/>
        <v>0</v>
      </c>
    </row>
    <row r="76" spans="1:7" x14ac:dyDescent="0.45">
      <c r="A76">
        <v>65</v>
      </c>
      <c r="B76" s="341" t="n">
        <v>0.0</v>
      </c>
      <c r="C76" s="11">
        <f t="shared" si="0"/>
        <v>0</v>
      </c>
      <c r="E76" s="84">
        <v>65</v>
      </c>
      <c r="F76" s="343" t="n">
        <v>0.0</v>
      </c>
      <c r="G76" s="11">
        <f t="shared" si="1"/>
        <v>0</v>
      </c>
    </row>
    <row r="77" spans="1:7" x14ac:dyDescent="0.45">
      <c r="A77">
        <v>66</v>
      </c>
      <c r="B77" s="341" t="n">
        <v>0.0</v>
      </c>
      <c r="C77" s="11">
        <f t="shared" ref="C77:C102" si="2">B77/B$102</f>
        <v>0</v>
      </c>
      <c r="E77" s="85">
        <v>66</v>
      </c>
      <c r="F77" s="343" t="n">
        <v>0.0</v>
      </c>
      <c r="G77" s="11">
        <f t="shared" ref="G77:G102" si="3">F77/F$102</f>
        <v>0</v>
      </c>
    </row>
    <row r="78" spans="1:7" x14ac:dyDescent="0.45">
      <c r="A78">
        <v>67</v>
      </c>
      <c r="B78" s="341" t="n">
        <v>0.0</v>
      </c>
      <c r="C78" s="11">
        <f t="shared" si="2"/>
        <v>0</v>
      </c>
      <c r="E78" s="86">
        <v>67</v>
      </c>
      <c r="F78" s="343" t="n">
        <v>0.0</v>
      </c>
      <c r="G78" s="11">
        <f t="shared" si="3"/>
        <v>0</v>
      </c>
    </row>
    <row r="79" spans="1:7" x14ac:dyDescent="0.45">
      <c r="A79">
        <v>68</v>
      </c>
      <c r="B79" s="341" t="n">
        <v>0.0</v>
      </c>
      <c r="C79" s="11">
        <f t="shared" si="2"/>
        <v>0</v>
      </c>
      <c r="E79" s="87">
        <v>68</v>
      </c>
      <c r="F79" s="343" t="n">
        <v>0.0</v>
      </c>
      <c r="G79" s="11">
        <f t="shared" si="3"/>
        <v>0</v>
      </c>
    </row>
    <row r="80" spans="1:7" x14ac:dyDescent="0.45">
      <c r="A80">
        <v>69</v>
      </c>
      <c r="B80" s="341" t="n">
        <v>0.0</v>
      </c>
      <c r="C80" s="11">
        <f t="shared" si="2"/>
        <v>0</v>
      </c>
      <c r="E80" s="88">
        <v>69</v>
      </c>
      <c r="F80" s="343" t="n">
        <v>0.0</v>
      </c>
      <c r="G80" s="11">
        <f t="shared" si="3"/>
        <v>0</v>
      </c>
    </row>
    <row r="81" spans="1:7" x14ac:dyDescent="0.45">
      <c r="A81">
        <v>70</v>
      </c>
      <c r="B81" s="341" t="n">
        <v>0.0</v>
      </c>
      <c r="C81" s="11">
        <f t="shared" si="2"/>
        <v>0</v>
      </c>
      <c r="E81" s="89">
        <v>70</v>
      </c>
      <c r="F81" s="343" t="n">
        <v>0.0</v>
      </c>
      <c r="G81" s="11">
        <f t="shared" si="3"/>
        <v>0</v>
      </c>
    </row>
    <row r="82" spans="1:7" x14ac:dyDescent="0.45">
      <c r="A82">
        <v>71</v>
      </c>
      <c r="B82" s="341" t="n">
        <v>4605.9932193</v>
      </c>
      <c r="C82" s="11">
        <f t="shared" si="2"/>
        <v>4.7750040312406431E-3</v>
      </c>
      <c r="E82" s="90">
        <v>71</v>
      </c>
      <c r="F82" s="343" t="n">
        <v>0.0</v>
      </c>
      <c r="G82" s="11">
        <f t="shared" si="3"/>
        <v>0</v>
      </c>
    </row>
    <row r="83" spans="1:7" x14ac:dyDescent="0.45">
      <c r="A83">
        <v>72</v>
      </c>
      <c r="B83" s="341" t="n">
        <v>0.0</v>
      </c>
      <c r="C83" s="11">
        <f t="shared" si="2"/>
        <v>0</v>
      </c>
      <c r="E83" s="91">
        <v>72</v>
      </c>
      <c r="F83" s="343" t="n">
        <v>0.0</v>
      </c>
      <c r="G83" s="11">
        <f t="shared" si="3"/>
        <v>0</v>
      </c>
    </row>
    <row r="84" spans="1:7" x14ac:dyDescent="0.45">
      <c r="A84">
        <v>73</v>
      </c>
      <c r="B84" s="341" t="n">
        <v>0.0</v>
      </c>
      <c r="C84" s="11">
        <f t="shared" si="2"/>
        <v>0</v>
      </c>
      <c r="E84" s="92">
        <v>73</v>
      </c>
      <c r="F84" s="343" t="n">
        <v>0.0</v>
      </c>
      <c r="G84" s="11">
        <f t="shared" si="3"/>
        <v>0</v>
      </c>
    </row>
    <row r="85" spans="1:7" x14ac:dyDescent="0.45">
      <c r="A85">
        <v>74</v>
      </c>
      <c r="B85" s="341" t="n">
        <v>0.0</v>
      </c>
      <c r="C85" s="11">
        <f t="shared" si="2"/>
        <v>0</v>
      </c>
      <c r="E85" s="93">
        <v>74</v>
      </c>
      <c r="F85" s="343" t="n">
        <v>0.0</v>
      </c>
      <c r="G85" s="11">
        <f t="shared" si="3"/>
        <v>0</v>
      </c>
    </row>
    <row r="86" spans="1:7" x14ac:dyDescent="0.45">
      <c r="A86">
        <v>75</v>
      </c>
      <c r="B86" s="341" t="n">
        <v>0.0</v>
      </c>
      <c r="C86" s="11">
        <f t="shared" si="2"/>
        <v>0</v>
      </c>
      <c r="E86" s="94">
        <v>75</v>
      </c>
      <c r="F86" s="343" t="n">
        <v>0.0</v>
      </c>
      <c r="G86" s="11">
        <f t="shared" si="3"/>
        <v>0</v>
      </c>
    </row>
    <row r="87" spans="1:7" x14ac:dyDescent="0.45">
      <c r="A87">
        <v>76</v>
      </c>
      <c r="B87" s="341" t="n">
        <v>215.6958943</v>
      </c>
      <c r="C87" s="11">
        <f t="shared" si="2"/>
        <v>2.2361056904922732E-4</v>
      </c>
      <c r="E87" s="95">
        <v>76</v>
      </c>
      <c r="F87" s="343" t="n">
        <v>0.0</v>
      </c>
      <c r="G87" s="11">
        <f t="shared" si="3"/>
        <v>0</v>
      </c>
    </row>
    <row r="88" spans="1:7" x14ac:dyDescent="0.45">
      <c r="A88">
        <v>77</v>
      </c>
      <c r="B88" s="341" t="n">
        <v>0.0</v>
      </c>
      <c r="C88" s="11">
        <f t="shared" si="2"/>
        <v>0</v>
      </c>
      <c r="E88" s="96">
        <v>77</v>
      </c>
      <c r="F88" s="343" t="n">
        <v>0.0</v>
      </c>
      <c r="G88" s="11">
        <f t="shared" si="3"/>
        <v>0</v>
      </c>
    </row>
    <row r="89" spans="1:7" x14ac:dyDescent="0.45">
      <c r="A89">
        <v>78</v>
      </c>
      <c r="B89" s="341" t="n">
        <v>0.0</v>
      </c>
      <c r="C89" s="11">
        <f t="shared" si="2"/>
        <v>0</v>
      </c>
      <c r="E89" s="97">
        <v>78</v>
      </c>
      <c r="F89" s="343" t="n">
        <v>0.0</v>
      </c>
      <c r="G89" s="11">
        <f t="shared" si="3"/>
        <v>0</v>
      </c>
    </row>
    <row r="90" spans="1:7" x14ac:dyDescent="0.45">
      <c r="A90">
        <v>79</v>
      </c>
      <c r="B90" s="341" t="n">
        <v>0.0</v>
      </c>
      <c r="C90" s="11">
        <f t="shared" si="2"/>
        <v>0</v>
      </c>
      <c r="E90" s="98">
        <v>79</v>
      </c>
      <c r="F90" s="343" t="n">
        <v>0.0</v>
      </c>
      <c r="G90" s="11">
        <f t="shared" si="3"/>
        <v>0</v>
      </c>
    </row>
    <row r="91" spans="1:7" x14ac:dyDescent="0.45">
      <c r="A91">
        <v>80</v>
      </c>
      <c r="B91" s="341" t="n">
        <v>0.0</v>
      </c>
      <c r="C91" s="11">
        <f t="shared" si="2"/>
        <v>0</v>
      </c>
      <c r="E91" s="99">
        <v>80</v>
      </c>
      <c r="F91" s="343" t="n">
        <v>0.0</v>
      </c>
      <c r="G91" s="11">
        <f t="shared" si="3"/>
        <v>0</v>
      </c>
    </row>
    <row r="92" spans="1:7" x14ac:dyDescent="0.45">
      <c r="A92">
        <v>81</v>
      </c>
      <c r="B92" s="341" t="n">
        <v>0.0</v>
      </c>
      <c r="C92" s="11">
        <f t="shared" si="2"/>
        <v>0</v>
      </c>
      <c r="E92" s="100">
        <v>81</v>
      </c>
      <c r="F92" s="343" t="n">
        <v>0.0</v>
      </c>
      <c r="G92" s="11">
        <f t="shared" si="3"/>
        <v>0</v>
      </c>
    </row>
    <row r="93" spans="1:7" x14ac:dyDescent="0.45">
      <c r="A93">
        <v>82</v>
      </c>
      <c r="B93" s="341" t="n">
        <v>0.0</v>
      </c>
      <c r="C93" s="11">
        <f t="shared" si="2"/>
        <v>0</v>
      </c>
      <c r="E93" s="101">
        <v>82</v>
      </c>
      <c r="F93" s="343" t="n">
        <v>0.0</v>
      </c>
      <c r="G93" s="11">
        <f t="shared" si="3"/>
        <v>0</v>
      </c>
    </row>
    <row r="94" spans="1:7" x14ac:dyDescent="0.45">
      <c r="A94">
        <v>83</v>
      </c>
      <c r="B94" s="341" t="n">
        <v>0.0</v>
      </c>
      <c r="C94" s="11">
        <f t="shared" si="2"/>
        <v>0</v>
      </c>
      <c r="E94" s="102">
        <v>83</v>
      </c>
      <c r="F94" s="343" t="n">
        <v>0.0</v>
      </c>
      <c r="G94" s="11">
        <f t="shared" si="3"/>
        <v>0</v>
      </c>
    </row>
    <row r="95" spans="1:7" x14ac:dyDescent="0.45">
      <c r="A95">
        <v>84</v>
      </c>
      <c r="B95" s="341" t="n">
        <v>0.0</v>
      </c>
      <c r="C95" s="11">
        <f t="shared" si="2"/>
        <v>0</v>
      </c>
      <c r="E95" s="103">
        <v>84</v>
      </c>
      <c r="F95" s="343" t="n">
        <v>0.0</v>
      </c>
      <c r="G95" s="11">
        <f t="shared" si="3"/>
        <v>0</v>
      </c>
    </row>
    <row r="96" spans="1:7" x14ac:dyDescent="0.45">
      <c r="A96">
        <v>85</v>
      </c>
      <c r="B96" s="341" t="n">
        <v>0.0</v>
      </c>
      <c r="C96" s="11">
        <f t="shared" si="2"/>
        <v>0</v>
      </c>
      <c r="E96" s="104">
        <v>85</v>
      </c>
      <c r="F96" s="343" t="n">
        <v>0.0</v>
      </c>
      <c r="G96" s="11">
        <f t="shared" si="3"/>
        <v>0</v>
      </c>
    </row>
    <row r="97" spans="1:7" x14ac:dyDescent="0.45">
      <c r="A97">
        <v>86</v>
      </c>
      <c r="B97" s="341" t="n">
        <v>0.0</v>
      </c>
      <c r="C97" s="11">
        <f t="shared" si="2"/>
        <v>0</v>
      </c>
      <c r="E97" s="105">
        <v>86</v>
      </c>
      <c r="F97" s="343" t="n">
        <v>0.0</v>
      </c>
      <c r="G97" s="11">
        <f t="shared" si="3"/>
        <v>0</v>
      </c>
    </row>
    <row r="98" spans="1:7" x14ac:dyDescent="0.45">
      <c r="A98">
        <v>87</v>
      </c>
      <c r="B98" s="341" t="n">
        <v>0.0</v>
      </c>
      <c r="C98" s="11">
        <f t="shared" si="2"/>
        <v>0</v>
      </c>
      <c r="E98" s="106">
        <v>87</v>
      </c>
      <c r="F98" s="343" t="n">
        <v>0.0</v>
      </c>
      <c r="G98" s="11">
        <f t="shared" si="3"/>
        <v>0</v>
      </c>
    </row>
    <row r="99" spans="1:7" x14ac:dyDescent="0.45">
      <c r="A99">
        <v>88</v>
      </c>
      <c r="B99" s="341" t="n">
        <v>0.0</v>
      </c>
      <c r="C99" s="11">
        <f t="shared" si="2"/>
        <v>0</v>
      </c>
      <c r="E99" s="107">
        <v>88</v>
      </c>
      <c r="F99" s="343" t="n">
        <v>0.0</v>
      </c>
      <c r="G99" s="11">
        <f t="shared" si="3"/>
        <v>0</v>
      </c>
    </row>
    <row r="100" spans="1:7" x14ac:dyDescent="0.45">
      <c r="A100">
        <v>89</v>
      </c>
      <c r="B100" s="341" t="n">
        <v>0.0</v>
      </c>
      <c r="C100" s="11">
        <f t="shared" si="2"/>
        <v>0</v>
      </c>
      <c r="E100" s="108">
        <v>89</v>
      </c>
      <c r="F100" s="343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342" t="n">
        <v>0.0</v>
      </c>
      <c r="C101" s="11">
        <f t="shared" si="2"/>
        <v>0</v>
      </c>
      <c r="E101" s="292">
        <v>90</v>
      </c>
      <c r="F101" s="344" t="n">
        <v>0.0</v>
      </c>
      <c r="G101" s="11">
        <f t="shared" si="3"/>
        <v>0</v>
      </c>
    </row>
    <row r="102" spans="1:7" x14ac:dyDescent="0.45">
      <c r="B102" s="341">
        <f>SUM(B11:B101)</f>
        <v>964605.09544392361</v>
      </c>
      <c r="C102" s="11">
        <f t="shared" si="2"/>
        <v>1</v>
      </c>
      <c r="F102" s="341">
        <f>SUM(F11:F101)</f>
        <v>1013860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245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18338.0</v>
      </c>
      <c r="G11" s="11">
        <f>F11/F$102</f>
        <v>1.736137139249995E-2</v>
      </c>
      <c r="K11" s="8" t="n">
        <v>23.728364069742465</v>
      </c>
      <c r="L11" s="8" t="n">
        <v>18.83220886834378</v>
      </c>
    </row>
    <row r="12" spans="1:12" x14ac:dyDescent="0.4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19716.0</v>
      </c>
      <c r="G12" s="11">
        <f>F12/F$102</f>
        <v>1.9414909356321387E-2</v>
      </c>
      <c r="K12" s="8"/>
      <c r="L12" s="290"/>
    </row>
    <row r="13" spans="1:12" x14ac:dyDescent="0.45">
      <c r="A13">
        <v>2</v>
      </c>
      <c r="B13" s="8" t="n">
        <v>104.591346267</v>
      </c>
      <c r="C13" s="11">
        <f t="shared" ref="C13:C76" si="0">B13/B$102</f>
        <v>1.0842918699166289E-4</v>
      </c>
      <c r="E13" s="111">
        <v>2</v>
      </c>
      <c r="F13" s="201" t="n">
        <v>25304.0</v>
      </c>
      <c r="G13" s="11">
        <f t="shared" ref="G13:G76" si="1">F13/F$102</f>
        <v>2.4802240940563786E-2</v>
      </c>
    </row>
    <row r="14" spans="1:12" x14ac:dyDescent="0.45">
      <c r="A14">
        <v>3</v>
      </c>
      <c r="B14" s="8" t="n">
        <v>1870.3613870167999</v>
      </c>
      <c r="C14" s="11">
        <f t="shared" si="0"/>
        <v>1.9389918173260694E-3</v>
      </c>
      <c r="E14" s="112">
        <v>3</v>
      </c>
      <c r="F14" s="202" t="n">
        <v>27846.0</v>
      </c>
      <c r="G14" s="11">
        <f t="shared" si="1"/>
        <v>2.7202966879056281E-2</v>
      </c>
    </row>
    <row r="15" spans="1:12" x14ac:dyDescent="0.45">
      <c r="A15">
        <v>4</v>
      </c>
      <c r="B15" s="8" t="n">
        <v>5042.2690617593</v>
      </c>
      <c r="C15" s="11">
        <f t="shared" si="0"/>
        <v>5.2272884370767126E-3</v>
      </c>
      <c r="E15" s="113">
        <v>4</v>
      </c>
      <c r="F15" s="203" t="n">
        <v>28555.0</v>
      </c>
      <c r="G15" s="11">
        <f t="shared" si="1"/>
        <v>2.8103485688359339E-2</v>
      </c>
    </row>
    <row r="16" spans="1:12" x14ac:dyDescent="0.45">
      <c r="A16">
        <v>5</v>
      </c>
      <c r="B16" s="8" t="n">
        <v>16638.4062863328</v>
      </c>
      <c r="C16" s="11">
        <f t="shared" si="0"/>
        <v>1.7248930536361718E-2</v>
      </c>
      <c r="E16" s="114">
        <v>5</v>
      </c>
      <c r="F16" s="204" t="n">
        <v>28429.0</v>
      </c>
      <c r="G16" s="11">
        <f t="shared" si="1"/>
        <v>2.7959481585228731E-2</v>
      </c>
    </row>
    <row r="17" spans="1:7" x14ac:dyDescent="0.45">
      <c r="A17">
        <v>6</v>
      </c>
      <c r="B17" s="8" t="n">
        <v>12717.8485816666</v>
      </c>
      <c r="C17" s="11">
        <f t="shared" si="0"/>
        <v>1.3184513166824693E-2</v>
      </c>
      <c r="E17" s="115">
        <v>6</v>
      </c>
      <c r="F17" s="205" t="n">
        <v>27289.0</v>
      </c>
      <c r="G17" s="11">
        <f t="shared" si="1"/>
        <v>2.6980056418045885E-2</v>
      </c>
    </row>
    <row r="18" spans="1:7" x14ac:dyDescent="0.45">
      <c r="A18">
        <v>7</v>
      </c>
      <c r="B18" s="8" t="n">
        <v>18128.8971521598</v>
      </c>
      <c r="C18" s="11">
        <f t="shared" si="0"/>
        <v>1.8794112987570992E-2</v>
      </c>
      <c r="E18" s="116">
        <v>7</v>
      </c>
      <c r="F18" s="206" t="n">
        <v>25465.0</v>
      </c>
      <c r="G18" s="11">
        <f t="shared" si="1"/>
        <v>2.5091235476298504E-2</v>
      </c>
    </row>
    <row r="19" spans="1:7" x14ac:dyDescent="0.45">
      <c r="A19">
        <v>8</v>
      </c>
      <c r="B19" s="8" t="n">
        <v>11571.8956089266</v>
      </c>
      <c r="C19" s="11">
        <f t="shared" si="0"/>
        <v>1.1996510969705242E-2</v>
      </c>
      <c r="E19" s="117">
        <v>8</v>
      </c>
      <c r="F19" s="207" t="n">
        <v>22562.0</v>
      </c>
      <c r="G19" s="11">
        <f t="shared" si="1"/>
        <v>2.2719113092537432E-2</v>
      </c>
    </row>
    <row r="20" spans="1:7" x14ac:dyDescent="0.45">
      <c r="A20">
        <v>9</v>
      </c>
      <c r="B20" s="8" t="n">
        <v>20616.2098523005</v>
      </c>
      <c r="C20" s="11">
        <f t="shared" si="0"/>
        <v>2.1372694328151625E-2</v>
      </c>
      <c r="E20" s="118">
        <v>9</v>
      </c>
      <c r="F20" s="208" t="n">
        <v>20461.0</v>
      </c>
      <c r="G20" s="11">
        <f t="shared" si="1"/>
        <v>1.9999802734105301E-2</v>
      </c>
    </row>
    <row r="21" spans="1:7" x14ac:dyDescent="0.45">
      <c r="A21">
        <v>10</v>
      </c>
      <c r="B21" s="8" t="n">
        <v>7157.004510243</v>
      </c>
      <c r="C21" s="11">
        <f t="shared" si="0"/>
        <v>7.4196212979252985E-3</v>
      </c>
      <c r="E21" s="119">
        <v>10</v>
      </c>
      <c r="F21" s="209" t="n">
        <v>18107.0</v>
      </c>
      <c r="G21" s="11">
        <f t="shared" si="1"/>
        <v>1.7605981101927289E-2</v>
      </c>
    </row>
    <row r="22" spans="1:7" x14ac:dyDescent="0.45">
      <c r="A22">
        <v>11</v>
      </c>
      <c r="B22" s="8" t="n">
        <v>15558.7577603768</v>
      </c>
      <c r="C22" s="11">
        <f t="shared" si="0"/>
        <v>1.6129665739756913E-2</v>
      </c>
      <c r="E22" s="120">
        <v>11</v>
      </c>
      <c r="F22" s="210" t="n">
        <v>15309.0</v>
      </c>
      <c r="G22" s="11">
        <f t="shared" si="1"/>
        <v>1.4999112303473852E-2</v>
      </c>
    </row>
    <row r="23" spans="1:7" x14ac:dyDescent="0.45">
      <c r="A23">
        <v>12</v>
      </c>
      <c r="B23" s="8" t="n">
        <v>35367.7492842701</v>
      </c>
      <c r="C23" s="11">
        <f t="shared" si="0"/>
        <v>3.6665521933608919E-2</v>
      </c>
      <c r="E23" s="121">
        <v>12</v>
      </c>
      <c r="F23" s="211" t="n">
        <v>13535.0</v>
      </c>
      <c r="G23" s="11">
        <f t="shared" si="1"/>
        <v>1.331347523326692E-2</v>
      </c>
    </row>
    <row r="24" spans="1:7" x14ac:dyDescent="0.45">
      <c r="A24">
        <v>13</v>
      </c>
      <c r="B24" s="8" t="n">
        <v>30366.0460319649</v>
      </c>
      <c r="C24" s="11">
        <f t="shared" si="0"/>
        <v>3.1480287814559034E-2</v>
      </c>
      <c r="E24" s="122">
        <v>13</v>
      </c>
      <c r="F24" s="212" t="n">
        <v>11166.0</v>
      </c>
      <c r="G24" s="11">
        <f t="shared" si="1"/>
        <v>1.0994614641074705E-2</v>
      </c>
    </row>
    <row r="25" spans="1:7" x14ac:dyDescent="0.45">
      <c r="A25">
        <v>14</v>
      </c>
      <c r="B25" s="8" t="n">
        <v>22987.336443049</v>
      </c>
      <c r="C25" s="11">
        <f t="shared" si="0"/>
        <v>2.3830826264161435E-2</v>
      </c>
      <c r="E25" s="123">
        <v>14</v>
      </c>
      <c r="F25" s="213" t="n">
        <v>9968.0</v>
      </c>
      <c r="G25" s="11">
        <f t="shared" si="1"/>
        <v>9.7873473655139768E-3</v>
      </c>
    </row>
    <row r="26" spans="1:7" x14ac:dyDescent="0.45">
      <c r="A26">
        <v>15</v>
      </c>
      <c r="B26" s="8" t="n">
        <v>11984.1131837026</v>
      </c>
      <c r="C26" s="11">
        <f t="shared" si="0"/>
        <v>1.2423854321635487E-2</v>
      </c>
      <c r="E26" s="124">
        <v>15</v>
      </c>
      <c r="F26" s="214" t="n">
        <v>9682.0</v>
      </c>
      <c r="G26" s="11">
        <f t="shared" si="1"/>
        <v>9.4145148245319867E-3</v>
      </c>
    </row>
    <row r="27" spans="1:7" x14ac:dyDescent="0.45">
      <c r="A27">
        <v>16</v>
      </c>
      <c r="B27" s="8" t="n">
        <v>47556.0687166241</v>
      </c>
      <c r="C27" s="11">
        <f t="shared" si="0"/>
        <v>4.930107558133745E-2</v>
      </c>
      <c r="E27" s="125">
        <v>16</v>
      </c>
      <c r="F27" s="215" t="n">
        <v>9126.0</v>
      </c>
      <c r="G27" s="11">
        <f t="shared" si="1"/>
        <v>8.6984396267729275E-3</v>
      </c>
    </row>
    <row r="28" spans="1:7" x14ac:dyDescent="0.45">
      <c r="A28">
        <v>17</v>
      </c>
      <c r="B28" s="8" t="n">
        <v>22859.2468846781</v>
      </c>
      <c r="C28" s="11">
        <f t="shared" si="0"/>
        <v>2.3698036629339995E-2</v>
      </c>
      <c r="E28" s="126">
        <v>17</v>
      </c>
      <c r="F28" s="216" t="n">
        <v>7607.0</v>
      </c>
      <c r="G28" s="11">
        <f t="shared" si="1"/>
        <v>7.6519440553922636E-3</v>
      </c>
    </row>
    <row r="29" spans="1:7" x14ac:dyDescent="0.45">
      <c r="A29">
        <v>18</v>
      </c>
      <c r="B29" s="8" t="n">
        <v>69745.4884716648</v>
      </c>
      <c r="C29" s="11">
        <f t="shared" si="0"/>
        <v>7.2304706662955201E-2</v>
      </c>
      <c r="E29" s="127">
        <v>18</v>
      </c>
      <c r="F29" s="217" t="n">
        <v>141286.0</v>
      </c>
      <c r="G29" s="11">
        <f t="shared" si="1"/>
        <v>0.13887518986842365</v>
      </c>
    </row>
    <row r="30" spans="1:7" x14ac:dyDescent="0.45">
      <c r="A30">
        <v>19</v>
      </c>
      <c r="B30" s="8" t="n">
        <v>59574.1031072475</v>
      </c>
      <c r="C30" s="11">
        <f t="shared" si="0"/>
        <v>6.1760095803589703E-2</v>
      </c>
      <c r="E30" s="128">
        <v>19</v>
      </c>
      <c r="F30" s="218" t="n">
        <v>51785.0</v>
      </c>
      <c r="G30" s="11">
        <f t="shared" si="1"/>
        <v>5.0019726589469946E-2</v>
      </c>
    </row>
    <row r="31" spans="1:7" x14ac:dyDescent="0.45">
      <c r="A31">
        <v>20</v>
      </c>
      <c r="B31" s="8" t="n">
        <v>74117.2364289217</v>
      </c>
      <c r="C31" s="11">
        <f t="shared" si="0"/>
        <v>7.6836870112957464E-2</v>
      </c>
      <c r="E31" s="129">
        <v>20</v>
      </c>
      <c r="F31" s="219" t="n">
        <v>53219.0</v>
      </c>
      <c r="G31" s="11">
        <f t="shared" si="1"/>
        <v>5.1027755311384218E-2</v>
      </c>
    </row>
    <row r="32" spans="1:7" x14ac:dyDescent="0.45">
      <c r="A32">
        <v>21</v>
      </c>
      <c r="B32" s="8" t="n">
        <v>47927.364785219</v>
      </c>
      <c r="C32" s="11">
        <f t="shared" si="0"/>
        <v>4.9685995866694255E-2</v>
      </c>
      <c r="E32" s="130">
        <v>21</v>
      </c>
      <c r="F32" s="220" t="n">
        <v>55734.0</v>
      </c>
      <c r="G32" s="11">
        <f t="shared" si="1"/>
        <v>5.4512457341250271E-2</v>
      </c>
    </row>
    <row r="33" spans="1:7" x14ac:dyDescent="0.45">
      <c r="A33">
        <v>22</v>
      </c>
      <c r="B33" s="8" t="n">
        <v>49606.645251138</v>
      </c>
      <c r="C33" s="11">
        <f t="shared" si="0"/>
        <v>5.1426895301966438E-2</v>
      </c>
      <c r="E33" s="131">
        <v>22</v>
      </c>
      <c r="F33" s="221" t="n">
        <v>52067.0</v>
      </c>
      <c r="G33" s="11">
        <f t="shared" si="1"/>
        <v>5.0727911151441027E-2</v>
      </c>
    </row>
    <row r="34" spans="1:7" x14ac:dyDescent="0.45">
      <c r="A34">
        <v>23</v>
      </c>
      <c r="B34" s="8" t="n">
        <v>27496.7130222226</v>
      </c>
      <c r="C34" s="11">
        <f t="shared" si="0"/>
        <v>2.8505668435815451E-2</v>
      </c>
      <c r="E34" s="132">
        <v>23</v>
      </c>
      <c r="F34" s="222" t="n">
        <v>35971.0</v>
      </c>
      <c r="G34" s="11">
        <f t="shared" si="1"/>
        <v>3.7094865168760975E-2</v>
      </c>
    </row>
    <row r="35" spans="1:7" x14ac:dyDescent="0.45">
      <c r="A35">
        <v>24</v>
      </c>
      <c r="B35" s="8" t="n">
        <v>28237.5671573587</v>
      </c>
      <c r="C35" s="11">
        <f t="shared" si="0"/>
        <v>2.9273707230795223E-2</v>
      </c>
      <c r="E35" s="133">
        <v>24</v>
      </c>
      <c r="F35" s="223" t="n">
        <v>42434.0</v>
      </c>
      <c r="G35" s="11">
        <f t="shared" si="1"/>
        <v>3.563016590061744E-2</v>
      </c>
    </row>
    <row r="36" spans="1:7" x14ac:dyDescent="0.45">
      <c r="A36">
        <v>25</v>
      </c>
      <c r="B36" s="8" t="n">
        <v>17906.2365999824</v>
      </c>
      <c r="C36" s="11">
        <f t="shared" si="0"/>
        <v>1.8563282201761254E-2</v>
      </c>
      <c r="E36" s="134">
        <v>25</v>
      </c>
      <c r="F36" s="224" t="n">
        <v>31202.0</v>
      </c>
      <c r="G36" s="11">
        <f t="shared" si="1"/>
        <v>3.6984396267729272E-2</v>
      </c>
    </row>
    <row r="37" spans="1:7" x14ac:dyDescent="0.45">
      <c r="A37">
        <v>26</v>
      </c>
      <c r="B37" s="8" t="n">
        <v>52096.9504128408</v>
      </c>
      <c r="C37" s="11">
        <f t="shared" si="0"/>
        <v>5.4008578908517089E-2</v>
      </c>
      <c r="E37" s="135">
        <v>26</v>
      </c>
      <c r="F37" s="225" t="n">
        <v>32685.0</v>
      </c>
      <c r="G37" s="11">
        <f t="shared" si="1"/>
        <v>2.7830272424200581E-2</v>
      </c>
    </row>
    <row r="38" spans="1:7" x14ac:dyDescent="0.45">
      <c r="A38">
        <v>27</v>
      </c>
      <c r="B38" s="8" t="n">
        <v>6709.6042838587</v>
      </c>
      <c r="C38" s="11">
        <f t="shared" si="0"/>
        <v>6.9558043136511271E-3</v>
      </c>
      <c r="E38" s="136">
        <v>27</v>
      </c>
      <c r="F38" s="226" t="n">
        <v>19025.0</v>
      </c>
      <c r="G38" s="11">
        <f t="shared" si="1"/>
        <v>2.2703331820961473E-2</v>
      </c>
    </row>
    <row r="39" spans="1:7" x14ac:dyDescent="0.45">
      <c r="A39">
        <v>28</v>
      </c>
      <c r="B39" s="8" t="n">
        <v>20867.0564340776</v>
      </c>
      <c r="C39" s="11">
        <f t="shared" si="0"/>
        <v>2.1632745392532179E-2</v>
      </c>
      <c r="E39" s="137">
        <v>28</v>
      </c>
      <c r="F39" s="227" t="n">
        <v>18466.0</v>
      </c>
      <c r="G39" s="11">
        <f t="shared" si="1"/>
        <v>1.8981910717456058E-2</v>
      </c>
    </row>
    <row r="40" spans="1:7" x14ac:dyDescent="0.45">
      <c r="A40">
        <v>29</v>
      </c>
      <c r="B40" s="8" t="n">
        <v>25884.8235828986</v>
      </c>
      <c r="C40" s="11">
        <f t="shared" si="0"/>
        <v>2.6834632851473871E-2</v>
      </c>
      <c r="E40" s="138">
        <v>29</v>
      </c>
      <c r="F40" s="228" t="n">
        <v>26189.0</v>
      </c>
      <c r="G40" s="11">
        <f t="shared" si="1"/>
        <v>1.909928392480224E-2</v>
      </c>
    </row>
    <row r="41" spans="1:7" x14ac:dyDescent="0.45">
      <c r="A41">
        <v>30</v>
      </c>
      <c r="B41" s="8" t="n">
        <v>7232.1435363373</v>
      </c>
      <c r="C41" s="11">
        <f t="shared" si="0"/>
        <v>7.4975174509201367E-3</v>
      </c>
      <c r="E41" s="139">
        <v>30</v>
      </c>
      <c r="F41" s="229" t="n">
        <v>21189.0</v>
      </c>
      <c r="G41" s="11">
        <f t="shared" si="1"/>
        <v>2.3981614818614008E-2</v>
      </c>
    </row>
    <row r="42" spans="1:7" x14ac:dyDescent="0.45">
      <c r="A42">
        <v>31</v>
      </c>
      <c r="B42" s="8" t="n">
        <v>18689.9018747718</v>
      </c>
      <c r="C42" s="11">
        <f t="shared" si="0"/>
        <v>1.9375703034380583E-2</v>
      </c>
      <c r="E42" s="140">
        <v>31</v>
      </c>
      <c r="F42" s="230" t="n">
        <v>12377.0</v>
      </c>
      <c r="G42" s="11">
        <f t="shared" si="1"/>
        <v>1.5183555915017853E-2</v>
      </c>
    </row>
    <row r="43" spans="1:7" x14ac:dyDescent="0.45">
      <c r="A43">
        <v>32</v>
      </c>
      <c r="B43" s="8" t="n">
        <v>7144.0342975013</v>
      </c>
      <c r="C43" s="11">
        <f t="shared" si="0"/>
        <v>7.4061751604303158E-3</v>
      </c>
      <c r="E43" s="141">
        <v>32</v>
      </c>
      <c r="F43" s="231" t="n">
        <v>14201.0</v>
      </c>
      <c r="G43" s="11">
        <f t="shared" si="1"/>
        <v>1.2350817667133529E-2</v>
      </c>
    </row>
    <row r="44" spans="1:7" x14ac:dyDescent="0.45">
      <c r="A44">
        <v>33</v>
      </c>
      <c r="B44" s="8" t="n">
        <v>4916.6304158172</v>
      </c>
      <c r="C44" s="11">
        <f t="shared" si="0"/>
        <v>5.0970396476648343E-3</v>
      </c>
      <c r="E44" s="142">
        <v>33</v>
      </c>
      <c r="F44" s="232" t="n">
        <v>11099.0</v>
      </c>
      <c r="G44" s="11">
        <f t="shared" si="1"/>
        <v>1.4649951669855799E-2</v>
      </c>
    </row>
    <row r="45" spans="1:7" x14ac:dyDescent="0.45">
      <c r="A45">
        <v>34</v>
      </c>
      <c r="B45" s="8" t="n">
        <v>17594.4383014099</v>
      </c>
      <c r="C45" s="11">
        <f t="shared" si="0"/>
        <v>1.824004287818189E-2</v>
      </c>
      <c r="E45" s="143">
        <v>34</v>
      </c>
      <c r="F45" s="233" t="n">
        <v>8119.0</v>
      </c>
      <c r="G45" s="11">
        <f t="shared" si="1"/>
        <v>8.194425265815793E-3</v>
      </c>
    </row>
    <row r="46" spans="1:7" x14ac:dyDescent="0.45">
      <c r="A46">
        <v>35</v>
      </c>
      <c r="B46" s="8" t="n">
        <v>11445.8355487288</v>
      </c>
      <c r="C46" s="11">
        <f t="shared" si="0"/>
        <v>1.1865825302800502E-2</v>
      </c>
      <c r="E46" s="144">
        <v>35</v>
      </c>
      <c r="F46" s="234" t="n">
        <v>7576.0</v>
      </c>
      <c r="G46" s="11">
        <f t="shared" si="1"/>
        <v>6.8332905923894818E-3</v>
      </c>
    </row>
    <row r="47" spans="1:7" x14ac:dyDescent="0.45">
      <c r="A47">
        <v>36</v>
      </c>
      <c r="B47" s="8" t="n">
        <v>4057.7752429027</v>
      </c>
      <c r="C47" s="11">
        <f t="shared" si="0"/>
        <v>4.2066699233381721E-3</v>
      </c>
      <c r="E47" s="145">
        <v>36</v>
      </c>
      <c r="F47" s="235" t="n">
        <v>7227.0</v>
      </c>
      <c r="G47" s="11">
        <f t="shared" si="1"/>
        <v>6.2306432840826152E-3</v>
      </c>
    </row>
    <row r="48" spans="1:7" x14ac:dyDescent="0.45">
      <c r="A48">
        <v>37</v>
      </c>
      <c r="B48" s="8" t="n">
        <v>7342.395774035</v>
      </c>
      <c r="C48" s="11">
        <f t="shared" si="0"/>
        <v>7.6118152482451233E-3</v>
      </c>
      <c r="E48" s="146">
        <v>37</v>
      </c>
      <c r="F48" s="236" t="n">
        <v>6746.0</v>
      </c>
      <c r="G48" s="11">
        <f t="shared" si="1"/>
        <v>5.8765510030970745E-3</v>
      </c>
    </row>
    <row r="49" spans="1:7" x14ac:dyDescent="0.45">
      <c r="A49">
        <v>38</v>
      </c>
      <c r="B49" s="8" t="n">
        <v>12919.7518268293</v>
      </c>
      <c r="C49" s="11">
        <f t="shared" si="0"/>
        <v>1.3393824983770656E-2</v>
      </c>
      <c r="E49" s="147">
        <v>38</v>
      </c>
      <c r="F49" s="237" t="n">
        <v>4031.0</v>
      </c>
      <c r="G49" s="11">
        <f t="shared" si="1"/>
        <v>6.8658394650148932E-3</v>
      </c>
    </row>
    <row r="50" spans="1:7" x14ac:dyDescent="0.45">
      <c r="A50">
        <v>39</v>
      </c>
      <c r="B50" s="8" t="n">
        <v>4098.719595243</v>
      </c>
      <c r="C50" s="11">
        <f t="shared" si="0"/>
        <v>4.2491166743803249E-3</v>
      </c>
      <c r="E50" s="148">
        <v>39</v>
      </c>
      <c r="F50" s="238" t="n">
        <v>6236.0</v>
      </c>
      <c r="G50" s="11">
        <f t="shared" si="1"/>
        <v>3.6247608151026771E-3</v>
      </c>
    </row>
    <row r="51" spans="1:7" x14ac:dyDescent="0.45">
      <c r="A51">
        <v>40</v>
      </c>
      <c r="B51" s="8" t="n">
        <v>4200.214338168</v>
      </c>
      <c r="C51" s="11">
        <f t="shared" si="0"/>
        <v>4.3543356322775879E-3</v>
      </c>
      <c r="E51" s="149">
        <v>40</v>
      </c>
      <c r="F51" s="239" t="n">
        <v>3312.0</v>
      </c>
      <c r="G51" s="11">
        <f t="shared" si="1"/>
        <v>3.2233247193892648E-3</v>
      </c>
    </row>
    <row r="52" spans="1:7" x14ac:dyDescent="0.45">
      <c r="A52">
        <v>41</v>
      </c>
      <c r="B52" s="8" t="n">
        <v>6939.240377219</v>
      </c>
      <c r="C52" s="11">
        <f t="shared" si="0"/>
        <v>7.1938665988753392E-3</v>
      </c>
      <c r="E52" s="150">
        <v>41</v>
      </c>
      <c r="F52" s="240" t="n">
        <v>2518.0</v>
      </c>
      <c r="G52" s="11">
        <f t="shared" si="1"/>
        <v>2.9964689404848796E-3</v>
      </c>
    </row>
    <row r="53" spans="1:7" x14ac:dyDescent="0.45">
      <c r="A53">
        <v>42</v>
      </c>
      <c r="B53" s="8" t="n">
        <v>6386.2255665823</v>
      </c>
      <c r="C53" s="11">
        <f t="shared" si="0"/>
        <v>6.6205596432634215E-3</v>
      </c>
      <c r="E53" s="151">
        <v>42</v>
      </c>
      <c r="F53" s="241" t="n">
        <v>2159.0</v>
      </c>
      <c r="G53" s="11">
        <f t="shared" si="1"/>
        <v>2.3632454184995956E-3</v>
      </c>
    </row>
    <row r="54" spans="1:7" x14ac:dyDescent="0.45">
      <c r="A54">
        <v>43</v>
      </c>
      <c r="B54" s="8" t="n">
        <v>2407.4362884904</v>
      </c>
      <c r="C54" s="11">
        <f t="shared" si="0"/>
        <v>2.495773969950332E-3</v>
      </c>
      <c r="E54" s="152">
        <v>43</v>
      </c>
      <c r="F54" s="242" t="n">
        <v>2165.0</v>
      </c>
      <c r="G54" s="11">
        <f t="shared" si="1"/>
        <v>1.6994456828358945E-3</v>
      </c>
    </row>
    <row r="55" spans="1:7" x14ac:dyDescent="0.45">
      <c r="A55">
        <v>44</v>
      </c>
      <c r="B55" s="8" t="n">
        <v>504.15543064200006</v>
      </c>
      <c r="C55" s="11">
        <f t="shared" si="0"/>
        <v>5.2265474547382666E-4</v>
      </c>
      <c r="E55" s="153">
        <v>44</v>
      </c>
      <c r="F55" s="243" t="n">
        <v>1172.0</v>
      </c>
      <c r="G55" s="11">
        <f t="shared" si="1"/>
        <v>2.4372201290118953E-3</v>
      </c>
    </row>
    <row r="56" spans="1:7" x14ac:dyDescent="0.45">
      <c r="A56">
        <v>45</v>
      </c>
      <c r="B56" s="8" t="n">
        <v>48003.1108163998</v>
      </c>
      <c r="C56" s="11">
        <f t="shared" si="0"/>
        <v>4.9764521298022127E-2</v>
      </c>
      <c r="E56" s="154">
        <v>45</v>
      </c>
      <c r="F56" s="244" t="n">
        <v>1019.0</v>
      </c>
      <c r="G56" s="11">
        <f t="shared" si="1"/>
        <v>1.1254019292604501E-3</v>
      </c>
    </row>
    <row r="57" spans="1:7" x14ac:dyDescent="0.45">
      <c r="A57">
        <v>46</v>
      </c>
      <c r="B57" s="8" t="n">
        <v>1714.410481782</v>
      </c>
      <c r="C57" s="11">
        <f t="shared" si="0"/>
        <v>1.7773185004719538E-3</v>
      </c>
      <c r="E57" s="155">
        <v>46</v>
      </c>
      <c r="F57" s="245" t="n">
        <v>1369.0</v>
      </c>
      <c r="G57" s="11">
        <f t="shared" si="1"/>
        <v>1.2102262639812204E-3</v>
      </c>
    </row>
    <row r="58" spans="1:7" x14ac:dyDescent="0.45">
      <c r="A58">
        <v>47</v>
      </c>
      <c r="B58" s="8" t="n">
        <v>2727.623029583</v>
      </c>
      <c r="C58" s="11">
        <f t="shared" si="0"/>
        <v>2.8277095388219088E-3</v>
      </c>
      <c r="E58" s="156">
        <v>47</v>
      </c>
      <c r="F58" s="246" t="n">
        <v>1613.0</v>
      </c>
      <c r="G58" s="11">
        <f t="shared" si="1"/>
        <v>1.2151579113487069E-3</v>
      </c>
    </row>
    <row r="59" spans="1:7" x14ac:dyDescent="0.45">
      <c r="A59">
        <v>48</v>
      </c>
      <c r="B59" s="8" t="n">
        <v>2951.3552785406</v>
      </c>
      <c r="C59" s="11">
        <f t="shared" si="0"/>
        <v>3.0596513459037336E-3</v>
      </c>
      <c r="E59" s="157">
        <v>48</v>
      </c>
      <c r="F59" s="247" t="n">
        <v>603.0</v>
      </c>
      <c r="G59" s="11">
        <f t="shared" si="1"/>
        <v>8.7191525457163712E-4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158">
        <v>49</v>
      </c>
      <c r="F60" s="248" t="n">
        <v>712.0</v>
      </c>
      <c r="G60" s="11">
        <f t="shared" si="1"/>
        <v>6.2927820409129469E-4</v>
      </c>
    </row>
    <row r="61" spans="1:7" x14ac:dyDescent="0.45">
      <c r="A61">
        <v>50</v>
      </c>
      <c r="B61" s="8" t="n">
        <v>587.6179151199999</v>
      </c>
      <c r="C61" s="11">
        <f t="shared" si="0"/>
        <v>6.0917977511778609E-4</v>
      </c>
      <c r="E61" s="159">
        <v>50</v>
      </c>
      <c r="F61" s="249" t="n">
        <v>914.0</v>
      </c>
      <c r="G61" s="11">
        <f t="shared" si="1"/>
        <v>4.9217840727516619E-4</v>
      </c>
    </row>
    <row r="62" spans="1:7" x14ac:dyDescent="0.45">
      <c r="A62">
        <v>51</v>
      </c>
      <c r="B62" s="8" t="n">
        <v>3380.609785771</v>
      </c>
      <c r="C62" s="11">
        <f t="shared" si="0"/>
        <v>3.5046567779275523E-3</v>
      </c>
      <c r="E62" s="160">
        <v>51</v>
      </c>
      <c r="F62" s="250" t="n">
        <v>386.0</v>
      </c>
      <c r="G62" s="11">
        <f t="shared" si="1"/>
        <v>3.0181681889018206E-4</v>
      </c>
    </row>
    <row r="63" spans="1:7" x14ac:dyDescent="0.45">
      <c r="A63">
        <v>52</v>
      </c>
      <c r="B63" s="8" t="n">
        <v>3715.5722256538</v>
      </c>
      <c r="C63" s="11">
        <f t="shared" si="0"/>
        <v>3.8519102202584227E-3</v>
      </c>
      <c r="E63" s="161">
        <v>52</v>
      </c>
      <c r="F63" s="251" t="n">
        <v>917.0</v>
      </c>
      <c r="G63" s="11">
        <f t="shared" si="1"/>
        <v>3.7085988203499498E-4</v>
      </c>
    </row>
    <row r="64" spans="1:7" x14ac:dyDescent="0.45">
      <c r="A64">
        <v>53</v>
      </c>
      <c r="B64" s="8" t="n">
        <v>1014.60532883</v>
      </c>
      <c r="C64" s="11">
        <f t="shared" si="0"/>
        <v>1.0518349256314738E-3</v>
      </c>
      <c r="E64" s="162">
        <v>53</v>
      </c>
      <c r="F64" s="252" t="n">
        <v>301.0</v>
      </c>
      <c r="G64" s="11">
        <f t="shared" si="1"/>
        <v>1.9825222417296274E-4</v>
      </c>
    </row>
    <row r="65" spans="1:7" x14ac:dyDescent="0.45">
      <c r="A65">
        <v>54</v>
      </c>
      <c r="B65" s="8" t="n">
        <v>502.771848825</v>
      </c>
      <c r="C65" s="11">
        <f t="shared" si="0"/>
        <v>5.212203949571903E-4</v>
      </c>
      <c r="E65" s="163">
        <v>54</v>
      </c>
      <c r="F65" s="253" t="n">
        <v>198.0</v>
      </c>
      <c r="G65" s="11">
        <f t="shared" si="1"/>
        <v>2.2685577890438523E-4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164">
        <v>55</v>
      </c>
      <c r="F66" s="254" t="n">
        <v>216.0</v>
      </c>
      <c r="G66" s="11">
        <f t="shared" si="1"/>
        <v>2.2093780206340125E-4</v>
      </c>
    </row>
    <row r="67" spans="1:7" x14ac:dyDescent="0.45">
      <c r="A67">
        <v>56</v>
      </c>
      <c r="B67" s="8" t="n">
        <v>596.97480037</v>
      </c>
      <c r="C67" s="11">
        <f t="shared" si="0"/>
        <v>6.1887999886136268E-4</v>
      </c>
      <c r="E67" s="165">
        <v>56</v>
      </c>
      <c r="F67" s="255" t="n">
        <v>133.0</v>
      </c>
      <c r="G67" s="11">
        <f t="shared" si="1"/>
        <v>2.5447300416231038E-4</v>
      </c>
    </row>
    <row r="68" spans="1:7" x14ac:dyDescent="0.45">
      <c r="A68">
        <v>57</v>
      </c>
      <c r="B68" s="8" t="n">
        <v>1368.575112804</v>
      </c>
      <c r="C68" s="11">
        <f t="shared" si="0"/>
        <v>1.4187931613342394E-3</v>
      </c>
      <c r="E68" s="166">
        <v>57</v>
      </c>
      <c r="F68" s="256" t="n">
        <v>108.0</v>
      </c>
      <c r="G68" s="11">
        <f t="shared" si="1"/>
        <v>1.2329118418716588E-4</v>
      </c>
    </row>
    <row r="69" spans="1:7" x14ac:dyDescent="0.45">
      <c r="A69">
        <v>58</v>
      </c>
      <c r="B69" s="8" t="n">
        <v>289.5458823197</v>
      </c>
      <c r="C69" s="11">
        <f t="shared" si="0"/>
        <v>3.0017038442705648E-4</v>
      </c>
      <c r="E69" s="167">
        <v>58</v>
      </c>
      <c r="F69" s="257" t="n">
        <v>126.0</v>
      </c>
      <c r="G69" s="11">
        <f t="shared" si="1"/>
        <v>8.3838005247272796E-5</v>
      </c>
    </row>
    <row r="70" spans="1:7" x14ac:dyDescent="0.45">
      <c r="A70">
        <v>59</v>
      </c>
      <c r="B70" s="8" t="n">
        <v>745.084945988</v>
      </c>
      <c r="C70" s="11">
        <f t="shared" si="0"/>
        <v>7.7242484982427179E-4</v>
      </c>
      <c r="E70" s="168">
        <v>59</v>
      </c>
      <c r="F70" s="258" t="n">
        <v>68.0</v>
      </c>
      <c r="G70" s="11">
        <f t="shared" si="1"/>
        <v>1.0060560629672736E-4</v>
      </c>
    </row>
    <row r="71" spans="1:7" x14ac:dyDescent="0.45">
      <c r="A71">
        <v>60</v>
      </c>
      <c r="B71" s="8" t="n">
        <v>789.6119205155001</v>
      </c>
      <c r="C71" s="11">
        <f t="shared" si="0"/>
        <v>8.1858568262290865E-4</v>
      </c>
      <c r="E71" s="169">
        <v>60</v>
      </c>
      <c r="F71" s="259" t="n">
        <v>144.0</v>
      </c>
      <c r="G71" s="11">
        <f t="shared" si="1"/>
        <v>7.6933698932791516E-5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89.0</v>
      </c>
      <c r="G72" s="11">
        <f t="shared" si="1"/>
        <v>5.8193438936342293E-5</v>
      </c>
    </row>
    <row r="73" spans="1:7" x14ac:dyDescent="0.45">
      <c r="A73">
        <v>62</v>
      </c>
      <c r="B73" s="8" t="n">
        <v>101.05851781</v>
      </c>
      <c r="C73" s="11">
        <f t="shared" si="0"/>
        <v>1.0476672608026353E-4</v>
      </c>
      <c r="E73" s="171">
        <v>62</v>
      </c>
      <c r="F73" s="261" t="n">
        <v>49.0</v>
      </c>
      <c r="G73" s="11">
        <f t="shared" si="1"/>
        <v>5.5234450515850313E-5</v>
      </c>
    </row>
    <row r="74" spans="1:7" x14ac:dyDescent="0.45">
      <c r="A74">
        <v>63</v>
      </c>
      <c r="B74" s="8" t="n">
        <v>210.149659191</v>
      </c>
      <c r="C74" s="11">
        <f t="shared" si="0"/>
        <v>2.1786082219925085E-4</v>
      </c>
      <c r="E74" s="172">
        <v>63</v>
      </c>
      <c r="F74" s="262" t="n">
        <v>41.0</v>
      </c>
      <c r="G74" s="11">
        <f t="shared" si="1"/>
        <v>4.6357485254374372E-5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64.0</v>
      </c>
      <c r="G75" s="11">
        <f t="shared" si="1"/>
        <v>3.9453178939893085E-5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174">
        <v>65</v>
      </c>
      <c r="F76" s="264" t="n">
        <v>25.0</v>
      </c>
      <c r="G76" s="11">
        <f t="shared" si="1"/>
        <v>3.3535202098909117E-5</v>
      </c>
    </row>
    <row r="77" spans="1:7" x14ac:dyDescent="0.45">
      <c r="A77">
        <v>66</v>
      </c>
      <c r="B77" s="8" t="n">
        <v>617.666578062</v>
      </c>
      <c r="C77" s="11">
        <f t="shared" ref="C77:C102" si="2">B77/B$102</f>
        <v>6.4033103389086077E-4</v>
      </c>
      <c r="E77" s="175">
        <v>66</v>
      </c>
      <c r="F77" s="265" t="n">
        <v>24.0</v>
      </c>
      <c r="G77" s="11">
        <f t="shared" ref="G77:G102" si="3">F77/F$102</f>
        <v>2.663089578442783E-5</v>
      </c>
    </row>
    <row r="78" spans="1:7" x14ac:dyDescent="0.45">
      <c r="A78">
        <v>67</v>
      </c>
      <c r="B78" s="8" t="n">
        <v>723.6581128263</v>
      </c>
      <c r="C78" s="11">
        <f t="shared" si="2"/>
        <v>7.5021178743956698E-4</v>
      </c>
      <c r="E78" s="176">
        <v>67</v>
      </c>
      <c r="F78" s="266" t="n">
        <v>18.0</v>
      </c>
      <c r="G78" s="11">
        <f t="shared" si="3"/>
        <v>1.3808612628962578E-5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14.0</v>
      </c>
      <c r="G79" s="11">
        <f t="shared" si="3"/>
        <v>4.9316473674866352E-5</v>
      </c>
    </row>
    <row r="80" spans="1:7" x14ac:dyDescent="0.45">
      <c r="A80">
        <v>69</v>
      </c>
      <c r="B80" s="8" t="n">
        <v>62.0623590382</v>
      </c>
      <c r="C80" s="11">
        <f t="shared" si="2"/>
        <v>6.4339654985585702E-5</v>
      </c>
      <c r="E80" s="178">
        <v>69</v>
      </c>
      <c r="F80" s="268" t="n">
        <v>11.0</v>
      </c>
      <c r="G80" s="11">
        <f t="shared" si="3"/>
        <v>1.6767601049454559E-5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15.0</v>
      </c>
      <c r="G81" s="11">
        <f t="shared" si="3"/>
        <v>9.8632947349732712E-6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12.0</v>
      </c>
      <c r="G82" s="11">
        <f t="shared" si="3"/>
        <v>8.8769652614759427E-6</v>
      </c>
    </row>
    <row r="83" spans="1:7" x14ac:dyDescent="0.45">
      <c r="A83">
        <v>72</v>
      </c>
      <c r="B83" s="8" t="n">
        <v>6950.415883637</v>
      </c>
      <c r="C83" s="11">
        <f t="shared" si="2"/>
        <v>7.2054521756785145E-3</v>
      </c>
      <c r="E83" s="181">
        <v>72</v>
      </c>
      <c r="F83" s="271" t="n">
        <v>7.0</v>
      </c>
      <c r="G83" s="11">
        <f t="shared" si="3"/>
        <v>2.9589884204919812E-6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4.0</v>
      </c>
      <c r="G84" s="11">
        <f t="shared" si="3"/>
        <v>8.8769652614759427E-6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3.0</v>
      </c>
      <c r="G85" s="11">
        <f t="shared" si="3"/>
        <v>8.8769652614759427E-6</v>
      </c>
    </row>
    <row r="86" spans="1:7" x14ac:dyDescent="0.45">
      <c r="A86">
        <v>75</v>
      </c>
      <c r="B86" s="8" t="n">
        <v>667.663687339</v>
      </c>
      <c r="C86" s="11">
        <f t="shared" si="2"/>
        <v>6.921627207782193E-4</v>
      </c>
      <c r="E86" s="184">
        <v>75</v>
      </c>
      <c r="F86" s="274" t="n">
        <v>5.0</v>
      </c>
      <c r="G86" s="11">
        <f t="shared" si="3"/>
        <v>3.945317893989308E-6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4.0</v>
      </c>
      <c r="G87" s="11">
        <f t="shared" si="3"/>
        <v>1.972658946994654E-6</v>
      </c>
    </row>
    <row r="88" spans="1:7" x14ac:dyDescent="0.45">
      <c r="A88">
        <v>77</v>
      </c>
      <c r="B88" s="8" t="n">
        <v>784.020975559</v>
      </c>
      <c r="C88" s="11">
        <f t="shared" si="2"/>
        <v>8.1278958535687979E-4</v>
      </c>
      <c r="E88" s="186">
        <v>77</v>
      </c>
      <c r="F88" s="276" t="n">
        <v>28.0</v>
      </c>
      <c r="G88" s="11">
        <f t="shared" si="3"/>
        <v>9.8632947349732699E-7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187">
        <v>78</v>
      </c>
      <c r="F89" s="277" t="n">
        <v>4.0</v>
      </c>
      <c r="G89" s="11">
        <f t="shared" si="3"/>
        <v>2.9589884204919812E-6</v>
      </c>
    </row>
    <row r="90" spans="1:7" x14ac:dyDescent="0.45">
      <c r="A90">
        <v>79</v>
      </c>
      <c r="B90" s="8" t="n">
        <v>413.665615618</v>
      </c>
      <c r="C90" s="11">
        <f t="shared" si="2"/>
        <v>4.2884452671030715E-4</v>
      </c>
      <c r="E90" s="188">
        <v>79</v>
      </c>
      <c r="F90" s="278" t="n">
        <v>0.0</v>
      </c>
      <c r="G90" s="11">
        <f t="shared" si="3"/>
        <v>1.972658946994654E-6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1.0</v>
      </c>
      <c r="G91" s="11">
        <f t="shared" si="3"/>
        <v>2.9589884204919812E-6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90">
        <v>81</v>
      </c>
      <c r="F92" s="280" t="n">
        <v>3.0</v>
      </c>
      <c r="G92" s="11">
        <f t="shared" si="3"/>
        <v>0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91">
        <v>82</v>
      </c>
      <c r="F93" s="281" t="n">
        <v>5.0</v>
      </c>
      <c r="G93" s="11">
        <f t="shared" si="3"/>
        <v>9.8632947349732699E-7</v>
      </c>
    </row>
    <row r="94" spans="1:7" x14ac:dyDescent="0.45">
      <c r="A94">
        <v>83</v>
      </c>
      <c r="B94" s="8" t="n">
        <v>39.1519720345</v>
      </c>
      <c r="C94" s="11">
        <f t="shared" si="2"/>
        <v>4.0588601718386907E-5</v>
      </c>
      <c r="E94" s="192">
        <v>83</v>
      </c>
      <c r="F94" s="282" t="n">
        <v>0.0</v>
      </c>
      <c r="G94" s="11">
        <f t="shared" si="3"/>
        <v>9.8632947349732699E-7</v>
      </c>
    </row>
    <row r="95" spans="1:7" x14ac:dyDescent="0.45">
      <c r="A95">
        <v>84</v>
      </c>
      <c r="B95" s="8" t="n">
        <v>2935.91546136</v>
      </c>
      <c r="C95" s="11">
        <f t="shared" si="2"/>
        <v>3.0436449851105694E-3</v>
      </c>
      <c r="E95" s="193">
        <v>84</v>
      </c>
      <c r="F95" s="283" t="n">
        <v>3.0</v>
      </c>
      <c r="G95" s="11">
        <f t="shared" si="3"/>
        <v>9.8632947349732699E-7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0.0</v>
      </c>
      <c r="G96" s="11">
        <f t="shared" si="3"/>
        <v>0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1.0</v>
      </c>
      <c r="G97" s="11">
        <f t="shared" si="3"/>
        <v>9.8632947349732699E-7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0.0</v>
      </c>
      <c r="G98" s="11">
        <f t="shared" si="3"/>
        <v>0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0.0</v>
      </c>
      <c r="G99" s="11">
        <f t="shared" si="3"/>
        <v>0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2.0</v>
      </c>
      <c r="G100" s="11">
        <f t="shared" si="3"/>
        <v>0</v>
      </c>
    </row>
    <row r="101" spans="1:7" ht="14.65" thickBot="1" x14ac:dyDescent="0.5">
      <c r="A101" s="1">
        <v>90</v>
      </c>
      <c r="B101" s="9" t="n">
        <v>6136.7072054994</v>
      </c>
      <c r="C101" s="11">
        <f t="shared" si="2"/>
        <v>6.3618855368737289E-3</v>
      </c>
      <c r="E101" s="292">
        <v>90</v>
      </c>
      <c r="F101" s="292" t="n">
        <v>0.0</v>
      </c>
      <c r="G101" s="11">
        <f t="shared" si="3"/>
        <v>1.972658946994654E-6</v>
      </c>
    </row>
    <row r="102" spans="1:7" x14ac:dyDescent="0.45">
      <c r="B102" s="8">
        <f>SUM(B11:B101)</f>
        <v>964605.09544392349</v>
      </c>
      <c r="C102" s="11">
        <f t="shared" si="2"/>
        <v>1</v>
      </c>
      <c r="F102" s="8">
        <f>SUM(F11:F101)</f>
        <v>1013860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I44" sqref="I44"/>
    </sheetView>
  </sheetViews>
  <sheetFormatPr defaultRowHeight="14.25" x14ac:dyDescent="0.45"/>
  <cols>
    <col min="13" max="14" bestFit="true" customWidth="true" width="10.59765625" collapsed="true"/>
    <col min="15" max="18" bestFit="true" customWidth="true" width="11.59765625" collapsed="true"/>
    <col min="19" max="19" bestFit="true" customWidth="true" width="10.597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r="5" spans="1:21" ht="14.65" thickBot="1" x14ac:dyDescent="0.5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94" t="s">
        <v>248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343" t="n">
        <v>0.0</v>
      </c>
      <c r="N7" s="343" t="n">
        <v>0.0</v>
      </c>
      <c r="O7" s="343" t="n">
        <v>0.0</v>
      </c>
      <c r="P7" s="343" t="n">
        <v>0.0</v>
      </c>
      <c r="Q7" s="343" t="n">
        <v>0.0</v>
      </c>
      <c r="R7" s="343" t="n">
        <v>0.0</v>
      </c>
      <c r="S7" s="343" t="n">
        <v>0.0</v>
      </c>
      <c r="T7" s="291"/>
      <c r="U7" s="12">
        <f>SUM(M7:T7)</f>
        <v>0</v>
      </c>
    </row>
    <row r="8" spans="1:21" x14ac:dyDescent="0.45">
      <c r="A8" t="s">
        <v>249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t="shared" ref="J8:J14" si="0">SUM(B8:I8)</f>
        <v>0</v>
      </c>
      <c r="K8" s="12"/>
      <c r="L8" t="str">
        <f>$A$8</f>
        <v>Bellevue Downtown</v>
      </c>
      <c r="M8" s="343" t="n">
        <v>0.0</v>
      </c>
      <c r="N8" s="343" t="n">
        <v>0.0</v>
      </c>
      <c r="O8" s="343" t="n">
        <v>0.0</v>
      </c>
      <c r="P8" s="343" t="n">
        <v>0.0</v>
      </c>
      <c r="Q8" s="343" t="n">
        <v>0.0</v>
      </c>
      <c r="R8" s="343" t="n">
        <v>0.0</v>
      </c>
      <c r="S8" s="343" t="n">
        <v>0.0</v>
      </c>
      <c r="T8" s="291"/>
      <c r="U8" s="12">
        <f t="shared" ref="U8:U14" si="1">SUM(M8:T8)</f>
        <v>0</v>
      </c>
    </row>
    <row r="9" spans="1:21" x14ac:dyDescent="0.45">
      <c r="A9" t="s">
        <v>250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t="shared" si="0"/>
        <v>0</v>
      </c>
      <c r="K9" s="13"/>
      <c r="L9" t="str">
        <f>$A$9</f>
        <v>Kirkland</v>
      </c>
      <c r="M9" s="343" t="n">
        <v>0.0</v>
      </c>
      <c r="N9" s="343" t="n">
        <v>0.0</v>
      </c>
      <c r="O9" s="343" t="n">
        <v>0.0</v>
      </c>
      <c r="P9" s="343" t="n">
        <v>0.0</v>
      </c>
      <c r="Q9" s="343" t="n">
        <v>0.0</v>
      </c>
      <c r="R9" s="343" t="n">
        <v>0.0</v>
      </c>
      <c r="S9" s="343" t="n">
        <v>0.0</v>
      </c>
      <c r="T9" s="291"/>
      <c r="U9" s="12">
        <f t="shared" si="1"/>
        <v>0</v>
      </c>
    </row>
    <row r="10" spans="1:21" x14ac:dyDescent="0.45">
      <c r="A10" t="s">
        <v>251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t="shared" si="0"/>
        <v>0</v>
      </c>
      <c r="K10" s="13"/>
      <c r="L10" t="str">
        <f>$A$10</f>
        <v>Redmond</v>
      </c>
      <c r="M10" s="343" t="n">
        <v>0.0</v>
      </c>
      <c r="N10" s="343" t="n">
        <v>0.0</v>
      </c>
      <c r="O10" s="343" t="n">
        <v>0.0</v>
      </c>
      <c r="P10" s="343" t="n">
        <v>0.0</v>
      </c>
      <c r="Q10" s="343" t="n">
        <v>0.0</v>
      </c>
      <c r="R10" s="343" t="n">
        <v>0.0</v>
      </c>
      <c r="S10" s="343" t="n">
        <v>0.0</v>
      </c>
      <c r="T10" s="291"/>
      <c r="U10" s="12">
        <f t="shared" si="1"/>
        <v>0</v>
      </c>
    </row>
    <row r="11" spans="1:21" x14ac:dyDescent="0.45">
      <c r="A11" t="s">
        <v>247</v>
      </c>
      <c r="B11" s="12" t="n">
        <v>2489.8988629343</v>
      </c>
      <c r="C11" s="12" t="n">
        <v>0.0</v>
      </c>
      <c r="D11" s="12" t="n">
        <v>638.857083462</v>
      </c>
      <c r="E11" s="12" t="n">
        <v>711.9697971848</v>
      </c>
      <c r="F11" s="12" t="n">
        <v>189341.9368765592</v>
      </c>
      <c r="G11" s="12" t="n">
        <v>12867.8462138333</v>
      </c>
      <c r="H11" s="12" t="n">
        <v>12898.9596568138</v>
      </c>
      <c r="I11" s="12"/>
      <c r="J11" s="12">
        <f t="shared" si="0"/>
        <v>218949.4684907874</v>
      </c>
      <c r="K11" s="13"/>
      <c r="L11" t="str">
        <f>$A$11</f>
        <v>Seattle</v>
      </c>
      <c r="M11" s="343" t="n">
        <v>1920.0</v>
      </c>
      <c r="N11" s="343" t="n">
        <v>674.0</v>
      </c>
      <c r="O11" s="343" t="n">
        <v>4103.0</v>
      </c>
      <c r="P11" s="343" t="n">
        <v>290.0</v>
      </c>
      <c r="Q11" s="343" t="n">
        <v>165640.0</v>
      </c>
      <c r="R11" s="343" t="n">
        <v>4413.0</v>
      </c>
      <c r="S11" s="343" t="n">
        <v>38826.0</v>
      </c>
      <c r="T11" s="291"/>
      <c r="U11" s="12">
        <f t="shared" si="1"/>
        <v>215972</v>
      </c>
    </row>
    <row r="12" spans="1:21" x14ac:dyDescent="0.45">
      <c r="A12" t="s">
        <v>252</v>
      </c>
      <c r="B12" s="12" t="n">
        <v>0.0</v>
      </c>
      <c r="C12" s="12" t="n">
        <v>0.0</v>
      </c>
      <c r="D12" s="12" t="n">
        <v>56.1388760904</v>
      </c>
      <c r="E12" s="12" t="n">
        <v>225.67193067099998</v>
      </c>
      <c r="F12" s="12" t="n">
        <v>7331.3033444148</v>
      </c>
      <c r="G12" s="12" t="n">
        <v>12142.626569464699</v>
      </c>
      <c r="H12" s="12" t="n">
        <v>524.8426222547</v>
      </c>
      <c r="I12" s="12"/>
      <c r="J12" s="12">
        <f t="shared" si="0"/>
        <v>20280.583342895599</v>
      </c>
      <c r="K12" s="13"/>
      <c r="L12" t="str">
        <f>$A$12</f>
        <v>Seattle Downtown</v>
      </c>
      <c r="M12" s="343" t="n">
        <v>554.0</v>
      </c>
      <c r="N12" s="343" t="n">
        <v>141.0</v>
      </c>
      <c r="O12" s="343" t="n">
        <v>191.0</v>
      </c>
      <c r="P12" s="343" t="n">
        <v>41.0</v>
      </c>
      <c r="Q12" s="343" t="n">
        <v>19852.0</v>
      </c>
      <c r="R12" s="343" t="n">
        <v>4664.0</v>
      </c>
      <c r="S12" s="343" t="n">
        <v>2020.0</v>
      </c>
      <c r="T12" s="291"/>
      <c r="U12" s="12">
        <f t="shared" si="1"/>
        <v>27434</v>
      </c>
    </row>
    <row r="13" spans="1:21" x14ac:dyDescent="0.45">
      <c r="A13" t="s">
        <v>253</v>
      </c>
      <c r="B13" s="12" t="n">
        <v>2336.997559295</v>
      </c>
      <c r="C13" s="12" t="n">
        <v>1118.7955351589999</v>
      </c>
      <c r="D13" s="12" t="n">
        <v>9652.422794497</v>
      </c>
      <c r="E13" s="12" t="n">
        <v>3036.762032086</v>
      </c>
      <c r="F13" s="12" t="n">
        <v>28462.528161741</v>
      </c>
      <c r="G13" s="12" t="n">
        <v>2882.672983305</v>
      </c>
      <c r="H13" s="12" t="n">
        <v>683280.8078995663</v>
      </c>
      <c r="I13" s="12"/>
      <c r="J13" s="12">
        <f t="shared" si="0"/>
        <v>730770.9869656493</v>
      </c>
      <c r="K13" s="13"/>
      <c r="L13" t="str">
        <f>$A$13</f>
        <v>Rest</v>
      </c>
      <c r="M13" s="343" t="n">
        <v>8660.0</v>
      </c>
      <c r="N13" s="343" t="n">
        <v>1178.0</v>
      </c>
      <c r="O13" s="343" t="n">
        <v>2572.0</v>
      </c>
      <c r="P13" s="343" t="n">
        <v>5773.0</v>
      </c>
      <c r="Q13" s="343" t="n">
        <v>12156.0</v>
      </c>
      <c r="R13" s="343" t="n">
        <v>680.0</v>
      </c>
      <c r="S13" s="343" t="n">
        <v>743566.0</v>
      </c>
      <c r="T13" s="291"/>
      <c r="U13" s="12">
        <f t="shared" si="1"/>
        <v>770454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4.65" thickBot="1" x14ac:dyDescent="0.5">
      <c r="A15" s="1" t="s">
        <v>4</v>
      </c>
      <c r="B15" s="15">
        <f t="shared" ref="B15:J15" si="2">SUM(B7:B14)</f>
        <v>4826.8964222292998</v>
      </c>
      <c r="C15" s="15">
        <f t="shared" si="2"/>
        <v>1118.7955351589999</v>
      </c>
      <c r="D15" s="15">
        <f t="shared" si="2"/>
        <v>10347.4187540494</v>
      </c>
      <c r="E15" s="15">
        <f t="shared" si="2"/>
        <v>3974.4037599417998</v>
      </c>
      <c r="F15" s="15">
        <f t="shared" si="2"/>
        <v>225135.768382715</v>
      </c>
      <c r="G15" s="15">
        <f t="shared" si="2"/>
        <v>27893.145766603</v>
      </c>
      <c r="H15" s="15">
        <f t="shared" si="2"/>
        <v>696704.61017863476</v>
      </c>
      <c r="I15" s="15">
        <f t="shared" si="2"/>
        <v>0</v>
      </c>
      <c r="J15" s="15">
        <f t="shared" si="2"/>
        <v>970001.03879933234</v>
      </c>
      <c r="K15" s="12"/>
      <c r="L15" s="15" t="s">
        <v>4</v>
      </c>
      <c r="M15" s="15">
        <f t="shared" ref="M15:U15" si="3">SUM(M7:M14)</f>
        <v>12062</v>
      </c>
      <c r="N15" s="15">
        <f t="shared" si="3"/>
        <v>2008</v>
      </c>
      <c r="O15" s="15">
        <f t="shared" si="3"/>
        <v>6971</v>
      </c>
      <c r="P15" s="15">
        <f t="shared" si="3"/>
        <v>6185</v>
      </c>
      <c r="Q15" s="15">
        <f t="shared" si="3"/>
        <v>197902</v>
      </c>
      <c r="R15" s="15">
        <f t="shared" si="3"/>
        <v>9748</v>
      </c>
      <c r="S15" s="15">
        <f t="shared" si="3"/>
        <v>778984</v>
      </c>
      <c r="T15" s="15">
        <f t="shared" si="3"/>
        <v>0</v>
      </c>
      <c r="U15" s="15">
        <f t="shared" si="3"/>
        <v>1013860</v>
      </c>
    </row>
    <row r="18" spans="1:32" ht="14.65" thickBot="1" x14ac:dyDescent="0.5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 t="e">
        <f t="shared" ref="B20:G20" si="4">($U7/$J7)*B7</f>
        <v>#DIV/0!</v>
      </c>
      <c r="C20" s="12" t="e">
        <f t="shared" si="4"/>
        <v>#DIV/0!</v>
      </c>
      <c r="D20" s="12" t="e">
        <f t="shared" si="4"/>
        <v>#DIV/0!</v>
      </c>
      <c r="E20" s="12" t="e">
        <f t="shared" si="4"/>
        <v>#DIV/0!</v>
      </c>
      <c r="F20" s="12" t="e">
        <f t="shared" si="4"/>
        <v>#DIV/0!</v>
      </c>
      <c r="G20" s="12" t="e">
        <f t="shared" si="4"/>
        <v>#DIV/0!</v>
      </c>
      <c r="H20" s="12" t="e">
        <f t="shared" ref="H20" si="5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 t="shared" ref="M20:M26" si="6">M7</f>
        <v>0</v>
      </c>
      <c r="N20" s="12">
        <f t="shared" ref="N20:U20" si="7">N7</f>
        <v>0</v>
      </c>
      <c r="O20" s="12">
        <f t="shared" si="7"/>
        <v>0</v>
      </c>
      <c r="P20" s="12">
        <f t="shared" si="7"/>
        <v>0</v>
      </c>
      <c r="Q20" s="12">
        <f t="shared" si="7"/>
        <v>0</v>
      </c>
      <c r="R20" s="12">
        <f t="shared" si="7"/>
        <v>0</v>
      </c>
      <c r="S20" s="12">
        <f t="shared" ref="S20" si="8">S7</f>
        <v>0</v>
      </c>
      <c r="T20" s="12"/>
      <c r="U20" s="12">
        <f t="shared" si="7"/>
        <v>0</v>
      </c>
    </row>
    <row r="21" spans="1:32" x14ac:dyDescent="0.45">
      <c r="A21" t="str">
        <f>$A$8</f>
        <v>Bellevue Downtown</v>
      </c>
      <c r="B21" s="12" t="e">
        <f t="shared" ref="B21:G26" si="9">($U8/$J8)*B8</f>
        <v>#DIV/0!</v>
      </c>
      <c r="C21" s="12" t="e">
        <f t="shared" si="9"/>
        <v>#DIV/0!</v>
      </c>
      <c r="D21" s="12" t="e">
        <f t="shared" si="9"/>
        <v>#DIV/0!</v>
      </c>
      <c r="E21" s="12" t="e">
        <f t="shared" si="9"/>
        <v>#DIV/0!</v>
      </c>
      <c r="F21" s="12" t="e">
        <f t="shared" si="9"/>
        <v>#DIV/0!</v>
      </c>
      <c r="G21" s="12" t="e">
        <f t="shared" si="9"/>
        <v>#DIV/0!</v>
      </c>
      <c r="H21" s="12" t="e">
        <f t="shared" ref="H21" si="10">($U8/$J8)*H8</f>
        <v>#DIV/0!</v>
      </c>
      <c r="I21" s="12"/>
      <c r="J21" s="12" t="e">
        <f t="shared" ref="J21:J27" si="11">SUM(B21:I21)</f>
        <v>#DIV/0!</v>
      </c>
      <c r="K21" s="12"/>
      <c r="L21" t="str">
        <f>$A$8</f>
        <v>Bellevue Downtown</v>
      </c>
      <c r="M21" s="12">
        <f t="shared" si="6"/>
        <v>0</v>
      </c>
      <c r="N21" s="12">
        <f t="shared" ref="N21:R26" si="12">N8</f>
        <v>0</v>
      </c>
      <c r="O21" s="12">
        <f t="shared" si="12"/>
        <v>0</v>
      </c>
      <c r="P21" s="12">
        <f t="shared" si="12"/>
        <v>0</v>
      </c>
      <c r="Q21" s="12">
        <f t="shared" si="12"/>
        <v>0</v>
      </c>
      <c r="R21" s="12">
        <f t="shared" si="12"/>
        <v>0</v>
      </c>
      <c r="S21" s="12">
        <f t="shared" ref="S21" si="13">S8</f>
        <v>0</v>
      </c>
      <c r="T21" s="12"/>
      <c r="U21" s="12">
        <f t="shared" ref="U21:U26" si="14">U8</f>
        <v>0</v>
      </c>
    </row>
    <row r="22" spans="1:32" x14ac:dyDescent="0.45">
      <c r="A22" t="str">
        <f>$A$9</f>
        <v>Kirkland</v>
      </c>
      <c r="B22" s="12" t="e">
        <f t="shared" si="9"/>
        <v>#DIV/0!</v>
      </c>
      <c r="C22" s="12" t="e">
        <f t="shared" si="9"/>
        <v>#DIV/0!</v>
      </c>
      <c r="D22" s="12" t="e">
        <f t="shared" si="9"/>
        <v>#DIV/0!</v>
      </c>
      <c r="E22" s="12" t="e">
        <f t="shared" si="9"/>
        <v>#DIV/0!</v>
      </c>
      <c r="F22" s="12" t="e">
        <f t="shared" si="9"/>
        <v>#DIV/0!</v>
      </c>
      <c r="G22" s="12" t="e">
        <f t="shared" si="9"/>
        <v>#DIV/0!</v>
      </c>
      <c r="H22" s="12" t="e">
        <f t="shared" ref="H22" si="15">($U9/$J9)*H9</f>
        <v>#DIV/0!</v>
      </c>
      <c r="I22" s="12"/>
      <c r="J22" s="12" t="e">
        <f t="shared" si="11"/>
        <v>#DIV/0!</v>
      </c>
      <c r="K22" s="13"/>
      <c r="L22" t="str">
        <f>$A$9</f>
        <v>Kirkland</v>
      </c>
      <c r="M22" s="12">
        <f t="shared" si="6"/>
        <v>0</v>
      </c>
      <c r="N22" s="12">
        <f t="shared" si="12"/>
        <v>0</v>
      </c>
      <c r="O22" s="12">
        <f t="shared" si="12"/>
        <v>0</v>
      </c>
      <c r="P22" s="12">
        <f t="shared" si="12"/>
        <v>0</v>
      </c>
      <c r="Q22" s="12">
        <f t="shared" si="12"/>
        <v>0</v>
      </c>
      <c r="R22" s="12">
        <f t="shared" si="12"/>
        <v>0</v>
      </c>
      <c r="S22" s="12">
        <f t="shared" ref="S22" si="16">S9</f>
        <v>0</v>
      </c>
      <c r="T22" s="12"/>
      <c r="U22" s="12">
        <f t="shared" si="14"/>
        <v>0</v>
      </c>
    </row>
    <row r="23" spans="1:32" x14ac:dyDescent="0.45">
      <c r="A23" t="str">
        <f>$A$10</f>
        <v>Redmond</v>
      </c>
      <c r="B23" s="12" t="e">
        <f t="shared" si="9"/>
        <v>#DIV/0!</v>
      </c>
      <c r="C23" s="12" t="e">
        <f t="shared" si="9"/>
        <v>#DIV/0!</v>
      </c>
      <c r="D23" s="12" t="e">
        <f t="shared" si="9"/>
        <v>#DIV/0!</v>
      </c>
      <c r="E23" s="12" t="e">
        <f t="shared" si="9"/>
        <v>#DIV/0!</v>
      </c>
      <c r="F23" s="12" t="e">
        <f t="shared" si="9"/>
        <v>#DIV/0!</v>
      </c>
      <c r="G23" s="12" t="e">
        <f t="shared" si="9"/>
        <v>#DIV/0!</v>
      </c>
      <c r="H23" s="12" t="e">
        <f t="shared" ref="H23" si="17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t="shared" si="6"/>
        <v>0</v>
      </c>
      <c r="N23" s="12">
        <f t="shared" si="12"/>
        <v>0</v>
      </c>
      <c r="O23" s="12">
        <f t="shared" si="12"/>
        <v>0</v>
      </c>
      <c r="P23" s="12">
        <f t="shared" si="12"/>
        <v>0</v>
      </c>
      <c r="Q23" s="12">
        <f t="shared" si="12"/>
        <v>0</v>
      </c>
      <c r="R23" s="12">
        <f t="shared" si="12"/>
        <v>0</v>
      </c>
      <c r="S23" s="12">
        <f t="shared" ref="S23" si="18">S10</f>
        <v>0</v>
      </c>
      <c r="T23" s="12"/>
      <c r="U23" s="12">
        <f t="shared" si="14"/>
        <v>0</v>
      </c>
    </row>
    <row r="24" spans="1:32" x14ac:dyDescent="0.45">
      <c r="A24" t="str">
        <f>$A$11</f>
        <v>Seattle</v>
      </c>
      <c r="B24" s="12">
        <f t="shared" si="9"/>
        <v>2456.0390163645138</v>
      </c>
      <c r="C24" s="12">
        <f t="shared" si="9"/>
        <v>0</v>
      </c>
      <c r="D24" s="12">
        <f t="shared" si="9"/>
        <v>630.16933989616223</v>
      </c>
      <c r="E24" s="12">
        <f t="shared" si="9"/>
        <v>702.28780228377445</v>
      </c>
      <c r="F24" s="12">
        <f t="shared" si="9"/>
        <v>186767.09778276924</v>
      </c>
      <c r="G24" s="12">
        <f t="shared" si="9"/>
        <v>12692.857861908624</v>
      </c>
      <c r="H24" s="12">
        <f t="shared" ref="H24" si="19">($U11/$J11)*H11</f>
        <v>12723.548196777683</v>
      </c>
      <c r="I24" s="12"/>
      <c r="J24" s="12">
        <f t="shared" si="11"/>
        <v>215971.99999999997</v>
      </c>
      <c r="K24" s="13"/>
      <c r="L24" t="str">
        <f>$A$11</f>
        <v>Seattle</v>
      </c>
      <c r="M24" s="12">
        <f t="shared" si="6"/>
        <v>2458</v>
      </c>
      <c r="N24" s="12">
        <f t="shared" si="12"/>
        <v>663</v>
      </c>
      <c r="O24" s="12">
        <f t="shared" si="12"/>
        <v>4267</v>
      </c>
      <c r="P24" s="12">
        <f t="shared" si="12"/>
        <v>373</v>
      </c>
      <c r="Q24" s="12">
        <f t="shared" si="12"/>
        <v>165623</v>
      </c>
      <c r="R24" s="12">
        <f t="shared" si="12"/>
        <v>4390</v>
      </c>
      <c r="S24" s="12">
        <f t="shared" ref="S24" si="20">S11</f>
        <v>38198</v>
      </c>
      <c r="T24" s="12"/>
      <c r="U24" s="12">
        <f t="shared" si="14"/>
        <v>215972</v>
      </c>
    </row>
    <row r="25" spans="1:32" x14ac:dyDescent="0.4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75.940316933908306</v>
      </c>
      <c r="E25" s="12">
        <f t="shared" si="9"/>
        <v>305.27148264682359</v>
      </c>
      <c r="F25" s="12">
        <f t="shared" si="9"/>
        <v>9917.2184818407368</v>
      </c>
      <c r="G25" s="12">
        <f t="shared" si="9"/>
        <v>16425.603330753729</v>
      </c>
      <c r="H25" s="12">
        <f t="shared" ref="H25:H26" si="21">($U12/$J12)*H12</f>
        <v>709.96638782480215</v>
      </c>
      <c r="I25" s="12"/>
      <c r="J25" s="12">
        <f t="shared" si="11"/>
        <v>27434</v>
      </c>
      <c r="K25" s="13"/>
      <c r="L25" t="str">
        <f>$A$12</f>
        <v>Seattle Downtown</v>
      </c>
      <c r="M25" s="12">
        <f t="shared" si="6"/>
        <v>547</v>
      </c>
      <c r="N25" s="12">
        <f t="shared" si="12"/>
        <v>158</v>
      </c>
      <c r="O25" s="12">
        <f t="shared" si="12"/>
        <v>155</v>
      </c>
      <c r="P25" s="12">
        <f t="shared" si="12"/>
        <v>41</v>
      </c>
      <c r="Q25" s="12">
        <f t="shared" si="12"/>
        <v>19923</v>
      </c>
      <c r="R25" s="12">
        <f t="shared" si="12"/>
        <v>4642</v>
      </c>
      <c r="S25" s="12">
        <f t="shared" ref="S25:S26" si="22">S12</f>
        <v>1968</v>
      </c>
      <c r="T25" s="12"/>
      <c r="U25" s="12">
        <f t="shared" si="14"/>
        <v>27434</v>
      </c>
    </row>
    <row r="26" spans="1:32" x14ac:dyDescent="0.45">
      <c r="A26" t="str">
        <f>$A$13</f>
        <v>Rest</v>
      </c>
      <c r="B26" s="12">
        <f t="shared" si="9"/>
        <v>2463.9033974589179</v>
      </c>
      <c r="C26" s="12">
        <f t="shared" si="9"/>
        <v>1179.5494219393665</v>
      </c>
      <c r="D26" s="12">
        <f t="shared" si="9"/>
        <v>10176.577730036461</v>
      </c>
      <c r="E26" s="12">
        <f t="shared" si="9"/>
        <v>3201.6671384064766</v>
      </c>
      <c r="F26" s="12">
        <f t="shared" si="9"/>
        <v>30008.127119798748</v>
      </c>
      <c r="G26" s="12">
        <f t="shared" si="9"/>
        <v>3039.2106012600489</v>
      </c>
      <c r="H26" s="12">
        <f t="shared" si="21"/>
        <v>720384.96459109988</v>
      </c>
      <c r="I26" s="12"/>
      <c r="J26" s="12">
        <f t="shared" si="11"/>
        <v>770453.99999999988</v>
      </c>
      <c r="K26" s="13"/>
      <c r="L26" t="str">
        <f>$A$13</f>
        <v>Rest</v>
      </c>
      <c r="M26" s="12">
        <f t="shared" si="6"/>
        <v>9057</v>
      </c>
      <c r="N26" s="12">
        <f t="shared" si="12"/>
        <v>1187</v>
      </c>
      <c r="O26" s="12">
        <f t="shared" si="12"/>
        <v>2549</v>
      </c>
      <c r="P26" s="12">
        <f t="shared" si="12"/>
        <v>5771</v>
      </c>
      <c r="Q26" s="12">
        <f t="shared" si="12"/>
        <v>12356</v>
      </c>
      <c r="R26" s="12">
        <f t="shared" si="12"/>
        <v>716</v>
      </c>
      <c r="S26" s="12">
        <f t="shared" si="22"/>
        <v>738818</v>
      </c>
      <c r="T26" s="12"/>
      <c r="U26" s="12">
        <f t="shared" si="14"/>
        <v>770454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5" t="e">
        <f t="shared" ref="B28:J28" si="23">SUM(B20:B27)</f>
        <v>#DIV/0!</v>
      </c>
      <c r="C28" s="15" t="e">
        <f t="shared" si="23"/>
        <v>#DIV/0!</v>
      </c>
      <c r="D28" s="15" t="e">
        <f t="shared" si="23"/>
        <v>#DIV/0!</v>
      </c>
      <c r="E28" s="15" t="e">
        <f t="shared" si="23"/>
        <v>#DIV/0!</v>
      </c>
      <c r="F28" s="15" t="e">
        <f t="shared" si="23"/>
        <v>#DIV/0!</v>
      </c>
      <c r="G28" s="15" t="e">
        <f t="shared" si="23"/>
        <v>#DIV/0!</v>
      </c>
      <c r="H28" s="15" t="e">
        <f t="shared" si="23"/>
        <v>#DIV/0!</v>
      </c>
      <c r="I28" s="15">
        <f t="shared" si="23"/>
        <v>0</v>
      </c>
      <c r="J28" s="15" t="e">
        <f t="shared" si="23"/>
        <v>#DIV/0!</v>
      </c>
      <c r="K28" s="12"/>
      <c r="L28" s="15" t="s">
        <v>4</v>
      </c>
      <c r="M28" s="15">
        <f t="shared" ref="M28:U28" si="24">M15</f>
        <v>12062</v>
      </c>
      <c r="N28" s="15">
        <f t="shared" si="24"/>
        <v>2008</v>
      </c>
      <c r="O28" s="15">
        <f t="shared" si="24"/>
        <v>6971</v>
      </c>
      <c r="P28" s="15">
        <f t="shared" si="24"/>
        <v>6185</v>
      </c>
      <c r="Q28" s="15">
        <f t="shared" si="24"/>
        <v>197902</v>
      </c>
      <c r="R28" s="15">
        <f t="shared" si="24"/>
        <v>9748</v>
      </c>
      <c r="S28" s="15">
        <f t="shared" si="24"/>
        <v>778984</v>
      </c>
      <c r="T28" s="15"/>
      <c r="U28" s="15">
        <f t="shared" si="24"/>
        <v>1013860</v>
      </c>
    </row>
    <row r="31" spans="1:32" ht="14.65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6" t="e">
        <f t="shared" ref="B33:G33" si="25">B20/$J$28</f>
        <v>#DIV/0!</v>
      </c>
      <c r="C33" s="16" t="e">
        <f t="shared" si="25"/>
        <v>#DIV/0!</v>
      </c>
      <c r="D33" s="16" t="e">
        <f t="shared" si="25"/>
        <v>#DIV/0!</v>
      </c>
      <c r="E33" s="16" t="e">
        <f t="shared" si="25"/>
        <v>#DIV/0!</v>
      </c>
      <c r="F33" s="16" t="e">
        <f t="shared" si="25"/>
        <v>#DIV/0!</v>
      </c>
      <c r="G33" s="16" t="e">
        <f t="shared" si="25"/>
        <v>#DIV/0!</v>
      </c>
      <c r="H33" s="16" t="e">
        <f t="shared" ref="H33" si="26">H20/$J$28</f>
        <v>#DIV/0!</v>
      </c>
      <c r="I33" s="12"/>
      <c r="J33" s="16" t="e">
        <f t="shared" ref="J33:J39" si="27">J20/$J$28</f>
        <v>#DIV/0!</v>
      </c>
      <c r="K33" s="12"/>
      <c r="L33" t="str">
        <f>$A$7</f>
        <v>Bellevue</v>
      </c>
      <c r="M33" s="16">
        <f t="shared" ref="M33:R33" si="28">M20/$U$28</f>
        <v>0</v>
      </c>
      <c r="N33" s="16">
        <f t="shared" si="28"/>
        <v>0</v>
      </c>
      <c r="O33" s="16">
        <f t="shared" si="28"/>
        <v>0</v>
      </c>
      <c r="P33" s="16">
        <f t="shared" si="28"/>
        <v>0</v>
      </c>
      <c r="Q33" s="16">
        <f t="shared" si="28"/>
        <v>0</v>
      </c>
      <c r="R33" s="16">
        <f t="shared" si="28"/>
        <v>0</v>
      </c>
      <c r="S33" s="16">
        <f t="shared" ref="S33" si="29">S20/$U$28</f>
        <v>0</v>
      </c>
      <c r="T33" s="16"/>
      <c r="U33" s="16">
        <f t="shared" ref="U33:U39" si="30">U20/$U$28</f>
        <v>0</v>
      </c>
      <c r="W33" t="str">
        <f>$A$7</f>
        <v>Bellevue</v>
      </c>
      <c r="X33" s="16" t="e">
        <f t="shared" ref="X33:AD33" si="31">M33-B33</f>
        <v>#DIV/0!</v>
      </c>
      <c r="Y33" s="16" t="e">
        <f t="shared" si="31"/>
        <v>#DIV/0!</v>
      </c>
      <c r="Z33" s="16" t="e">
        <f t="shared" si="31"/>
        <v>#DIV/0!</v>
      </c>
      <c r="AA33" s="16" t="e">
        <f t="shared" si="31"/>
        <v>#DIV/0!</v>
      </c>
      <c r="AB33" s="16" t="e">
        <f t="shared" si="31"/>
        <v>#DIV/0!</v>
      </c>
      <c r="AC33" s="16" t="e">
        <f t="shared" si="31"/>
        <v>#DIV/0!</v>
      </c>
      <c r="AD33" s="16" t="e">
        <f t="shared" si="31"/>
        <v>#DIV/0!</v>
      </c>
      <c r="AE33" s="16"/>
      <c r="AF33" s="16" t="e">
        <f t="shared" ref="AF33:AF39" si="32">U33-J33</f>
        <v>#DIV/0!</v>
      </c>
    </row>
    <row r="34" spans="1:32" x14ac:dyDescent="0.45">
      <c r="A34" t="str">
        <f>$A$8</f>
        <v>Bellevue Downtown</v>
      </c>
      <c r="B34" s="16" t="e">
        <f t="shared" ref="B34:G39" si="33">B21/$J$28</f>
        <v>#DIV/0!</v>
      </c>
      <c r="C34" s="16" t="e">
        <f t="shared" si="33"/>
        <v>#DIV/0!</v>
      </c>
      <c r="D34" s="16" t="e">
        <f t="shared" si="33"/>
        <v>#DIV/0!</v>
      </c>
      <c r="E34" s="16" t="e">
        <f t="shared" si="33"/>
        <v>#DIV/0!</v>
      </c>
      <c r="F34" s="16" t="e">
        <f t="shared" si="33"/>
        <v>#DIV/0!</v>
      </c>
      <c r="G34" s="16" t="e">
        <f t="shared" si="33"/>
        <v>#DIV/0!</v>
      </c>
      <c r="H34" s="16" t="e">
        <f t="shared" ref="H34" si="34">H21/$J$28</f>
        <v>#DIV/0!</v>
      </c>
      <c r="I34" s="12"/>
      <c r="J34" s="16" t="e">
        <f t="shared" si="27"/>
        <v>#DIV/0!</v>
      </c>
      <c r="K34" s="12"/>
      <c r="L34" t="str">
        <f>$A$8</f>
        <v>Bellevue Downtown</v>
      </c>
      <c r="M34" s="16">
        <f t="shared" ref="M34:R39" si="35">M21/$U$28</f>
        <v>0</v>
      </c>
      <c r="N34" s="16">
        <f t="shared" si="35"/>
        <v>0</v>
      </c>
      <c r="O34" s="16">
        <f t="shared" si="35"/>
        <v>0</v>
      </c>
      <c r="P34" s="16">
        <f t="shared" si="35"/>
        <v>0</v>
      </c>
      <c r="Q34" s="16">
        <f t="shared" si="35"/>
        <v>0</v>
      </c>
      <c r="R34" s="16">
        <f t="shared" si="35"/>
        <v>0</v>
      </c>
      <c r="S34" s="16">
        <f t="shared" ref="S34" si="36">S21/$U$28</f>
        <v>0</v>
      </c>
      <c r="T34" s="16"/>
      <c r="U34" s="16">
        <f t="shared" si="30"/>
        <v>0</v>
      </c>
      <c r="W34" t="str">
        <f>$A$8</f>
        <v>Bellevue Downtown</v>
      </c>
      <c r="X34" s="16" t="e">
        <f t="shared" ref="X34:X38" si="37">M34-B34</f>
        <v>#DIV/0!</v>
      </c>
      <c r="Y34" s="16" t="e">
        <f t="shared" ref="Y34:AD38" si="38">N34-C34</f>
        <v>#DIV/0!</v>
      </c>
      <c r="Z34" s="16" t="e">
        <f t="shared" si="38"/>
        <v>#DIV/0!</v>
      </c>
      <c r="AA34" s="16" t="e">
        <f t="shared" si="38"/>
        <v>#DIV/0!</v>
      </c>
      <c r="AB34" s="16" t="e">
        <f t="shared" si="38"/>
        <v>#DIV/0!</v>
      </c>
      <c r="AC34" s="16" t="e">
        <f t="shared" si="38"/>
        <v>#DIV/0!</v>
      </c>
      <c r="AD34" s="16" t="e">
        <f t="shared" si="38"/>
        <v>#DIV/0!</v>
      </c>
      <c r="AE34" s="16"/>
      <c r="AF34" s="16" t="e">
        <f t="shared" si="32"/>
        <v>#DIV/0!</v>
      </c>
    </row>
    <row r="35" spans="1:32" x14ac:dyDescent="0.45">
      <c r="A35" t="str">
        <f>$A$9</f>
        <v>Kirkland</v>
      </c>
      <c r="B35" s="16" t="e">
        <f t="shared" si="33"/>
        <v>#DIV/0!</v>
      </c>
      <c r="C35" s="16" t="e">
        <f t="shared" si="33"/>
        <v>#DIV/0!</v>
      </c>
      <c r="D35" s="16" t="e">
        <f t="shared" si="33"/>
        <v>#DIV/0!</v>
      </c>
      <c r="E35" s="16" t="e">
        <f t="shared" si="33"/>
        <v>#DIV/0!</v>
      </c>
      <c r="F35" s="16" t="e">
        <f t="shared" si="33"/>
        <v>#DIV/0!</v>
      </c>
      <c r="G35" s="16" t="e">
        <f t="shared" si="33"/>
        <v>#DIV/0!</v>
      </c>
      <c r="H35" s="16" t="e">
        <f t="shared" ref="H35" si="39">H22/$J$28</f>
        <v>#DIV/0!</v>
      </c>
      <c r="I35" s="12"/>
      <c r="J35" s="16" t="e">
        <f t="shared" si="27"/>
        <v>#DIV/0!</v>
      </c>
      <c r="K35" s="13"/>
      <c r="L35" t="str">
        <f>$A$9</f>
        <v>Kirkland</v>
      </c>
      <c r="M35" s="16">
        <f t="shared" si="35"/>
        <v>0</v>
      </c>
      <c r="N35" s="16">
        <f t="shared" si="35"/>
        <v>0</v>
      </c>
      <c r="O35" s="16">
        <f t="shared" si="35"/>
        <v>0</v>
      </c>
      <c r="P35" s="16">
        <f t="shared" si="35"/>
        <v>0</v>
      </c>
      <c r="Q35" s="16">
        <f t="shared" si="35"/>
        <v>0</v>
      </c>
      <c r="R35" s="16">
        <f t="shared" si="35"/>
        <v>0</v>
      </c>
      <c r="S35" s="16">
        <f t="shared" ref="S35" si="40">S22/$U$28</f>
        <v>0</v>
      </c>
      <c r="T35" s="16"/>
      <c r="U35" s="16">
        <f t="shared" si="30"/>
        <v>0</v>
      </c>
      <c r="W35" t="str">
        <f>$A$9</f>
        <v>Kirkland</v>
      </c>
      <c r="X35" s="16" t="e">
        <f t="shared" si="37"/>
        <v>#DIV/0!</v>
      </c>
      <c r="Y35" s="16" t="e">
        <f t="shared" si="38"/>
        <v>#DIV/0!</v>
      </c>
      <c r="Z35" s="16" t="e">
        <f t="shared" si="38"/>
        <v>#DIV/0!</v>
      </c>
      <c r="AA35" s="16" t="e">
        <f t="shared" si="38"/>
        <v>#DIV/0!</v>
      </c>
      <c r="AB35" s="16" t="e">
        <f t="shared" si="38"/>
        <v>#DIV/0!</v>
      </c>
      <c r="AC35" s="16" t="e">
        <f t="shared" si="38"/>
        <v>#DIV/0!</v>
      </c>
      <c r="AD35" s="16" t="e">
        <f t="shared" si="38"/>
        <v>#DIV/0!</v>
      </c>
      <c r="AE35" s="16"/>
      <c r="AF35" s="16" t="e">
        <f t="shared" si="32"/>
        <v>#DIV/0!</v>
      </c>
    </row>
    <row r="36" spans="1:32" x14ac:dyDescent="0.45">
      <c r="A36" t="str">
        <f>$A$10</f>
        <v>Redmond</v>
      </c>
      <c r="B36" s="16" t="e">
        <f t="shared" si="33"/>
        <v>#DIV/0!</v>
      </c>
      <c r="C36" s="16" t="e">
        <f t="shared" si="33"/>
        <v>#DIV/0!</v>
      </c>
      <c r="D36" s="16" t="e">
        <f t="shared" si="33"/>
        <v>#DIV/0!</v>
      </c>
      <c r="E36" s="16" t="e">
        <f t="shared" si="33"/>
        <v>#DIV/0!</v>
      </c>
      <c r="F36" s="16" t="e">
        <f t="shared" si="33"/>
        <v>#DIV/0!</v>
      </c>
      <c r="G36" s="16" t="e">
        <f t="shared" si="33"/>
        <v>#DIV/0!</v>
      </c>
      <c r="H36" s="16" t="e">
        <f t="shared" ref="H36" si="41">H23/$J$28</f>
        <v>#DIV/0!</v>
      </c>
      <c r="I36" s="12"/>
      <c r="J36" s="16" t="e">
        <f t="shared" si="27"/>
        <v>#DIV/0!</v>
      </c>
      <c r="K36" s="13"/>
      <c r="L36" t="str">
        <f>$A$10</f>
        <v>Redmond</v>
      </c>
      <c r="M36" s="16">
        <f t="shared" si="35"/>
        <v>0</v>
      </c>
      <c r="N36" s="16">
        <f t="shared" si="35"/>
        <v>0</v>
      </c>
      <c r="O36" s="16">
        <f t="shared" si="35"/>
        <v>0</v>
      </c>
      <c r="P36" s="16">
        <f t="shared" si="35"/>
        <v>0</v>
      </c>
      <c r="Q36" s="16">
        <f t="shared" si="35"/>
        <v>0</v>
      </c>
      <c r="R36" s="16">
        <f t="shared" si="35"/>
        <v>0</v>
      </c>
      <c r="S36" s="16">
        <f t="shared" ref="S36" si="42">S23/$U$28</f>
        <v>0</v>
      </c>
      <c r="T36" s="16"/>
      <c r="U36" s="16">
        <f t="shared" si="30"/>
        <v>0</v>
      </c>
      <c r="W36" t="str">
        <f>$A$10</f>
        <v>Redmond</v>
      </c>
      <c r="X36" s="16" t="e">
        <f t="shared" si="37"/>
        <v>#DIV/0!</v>
      </c>
      <c r="Y36" s="16" t="e">
        <f t="shared" si="38"/>
        <v>#DIV/0!</v>
      </c>
      <c r="Z36" s="16" t="e">
        <f t="shared" si="38"/>
        <v>#DIV/0!</v>
      </c>
      <c r="AA36" s="16" t="e">
        <f t="shared" si="38"/>
        <v>#DIV/0!</v>
      </c>
      <c r="AB36" s="16" t="e">
        <f t="shared" si="38"/>
        <v>#DIV/0!</v>
      </c>
      <c r="AC36" s="16" t="e">
        <f t="shared" si="38"/>
        <v>#DIV/0!</v>
      </c>
      <c r="AD36" s="16" t="e">
        <f t="shared" si="38"/>
        <v>#DIV/0!</v>
      </c>
      <c r="AE36" s="16"/>
      <c r="AF36" s="16" t="e">
        <f t="shared" si="32"/>
        <v>#DIV/0!</v>
      </c>
    </row>
    <row r="37" spans="1:32" x14ac:dyDescent="0.45">
      <c r="A37" t="str">
        <f>$A$11</f>
        <v>Seattle</v>
      </c>
      <c r="B37" s="16" t="e">
        <f t="shared" si="33"/>
        <v>#DIV/0!</v>
      </c>
      <c r="C37" s="16" t="e">
        <f t="shared" si="33"/>
        <v>#DIV/0!</v>
      </c>
      <c r="D37" s="16" t="e">
        <f t="shared" si="33"/>
        <v>#DIV/0!</v>
      </c>
      <c r="E37" s="16" t="e">
        <f t="shared" si="33"/>
        <v>#DIV/0!</v>
      </c>
      <c r="F37" s="16" t="e">
        <f t="shared" si="33"/>
        <v>#DIV/0!</v>
      </c>
      <c r="G37" s="16" t="e">
        <f t="shared" si="33"/>
        <v>#DIV/0!</v>
      </c>
      <c r="H37" s="16" t="e">
        <f t="shared" ref="H37" si="43">H24/$J$28</f>
        <v>#DIV/0!</v>
      </c>
      <c r="I37" s="12"/>
      <c r="J37" s="16" t="e">
        <f t="shared" si="27"/>
        <v>#DIV/0!</v>
      </c>
      <c r="K37" s="13"/>
      <c r="L37" t="str">
        <f>$A$11</f>
        <v>Seattle</v>
      </c>
      <c r="M37" s="16">
        <f t="shared" si="35"/>
        <v>2.42439784585643E-3</v>
      </c>
      <c r="N37" s="16">
        <f t="shared" si="35"/>
        <v>6.5393644092872781E-4</v>
      </c>
      <c r="O37" s="16">
        <f t="shared" si="35"/>
        <v>4.2086678634130946E-3</v>
      </c>
      <c r="P37" s="16">
        <f t="shared" si="35"/>
        <v>3.6790089361450298E-4</v>
      </c>
      <c r="Q37" s="16">
        <f t="shared" si="35"/>
        <v>0.1633588463890478</v>
      </c>
      <c r="R37" s="16">
        <f t="shared" si="35"/>
        <v>4.3299863886532659E-3</v>
      </c>
      <c r="S37" s="16">
        <f t="shared" ref="S37" si="44">S24/$U$28</f>
        <v>3.7675813228650899E-2</v>
      </c>
      <c r="T37" s="16"/>
      <c r="U37" s="16">
        <f t="shared" si="30"/>
        <v>0.21301954905016471</v>
      </c>
      <c r="W37" t="str">
        <f>$A$11</f>
        <v>Seattle</v>
      </c>
      <c r="X37" s="16" t="e">
        <f t="shared" si="37"/>
        <v>#DIV/0!</v>
      </c>
      <c r="Y37" s="16" t="e">
        <f t="shared" si="38"/>
        <v>#DIV/0!</v>
      </c>
      <c r="Z37" s="16" t="e">
        <f t="shared" si="38"/>
        <v>#DIV/0!</v>
      </c>
      <c r="AA37" s="16" t="e">
        <f t="shared" si="38"/>
        <v>#DIV/0!</v>
      </c>
      <c r="AB37" s="16" t="e">
        <f t="shared" si="38"/>
        <v>#DIV/0!</v>
      </c>
      <c r="AC37" s="16" t="e">
        <f t="shared" si="38"/>
        <v>#DIV/0!</v>
      </c>
      <c r="AD37" s="16" t="e">
        <f t="shared" si="38"/>
        <v>#DIV/0!</v>
      </c>
      <c r="AE37" s="16"/>
      <c r="AF37" s="16" t="e">
        <f t="shared" si="32"/>
        <v>#DIV/0!</v>
      </c>
    </row>
    <row r="38" spans="1:32" x14ac:dyDescent="0.45">
      <c r="A38" t="str">
        <f>$A$12</f>
        <v>Seattle Downtown</v>
      </c>
      <c r="B38" s="16" t="e">
        <f t="shared" si="33"/>
        <v>#DIV/0!</v>
      </c>
      <c r="C38" s="16" t="e">
        <f t="shared" si="33"/>
        <v>#DIV/0!</v>
      </c>
      <c r="D38" s="16" t="e">
        <f t="shared" si="33"/>
        <v>#DIV/0!</v>
      </c>
      <c r="E38" s="16" t="e">
        <f t="shared" si="33"/>
        <v>#DIV/0!</v>
      </c>
      <c r="F38" s="16" t="e">
        <f t="shared" si="33"/>
        <v>#DIV/0!</v>
      </c>
      <c r="G38" s="16" t="e">
        <f t="shared" si="33"/>
        <v>#DIV/0!</v>
      </c>
      <c r="H38" s="16" t="e">
        <f t="shared" ref="H38:H39" si="45">H25/$J$28</f>
        <v>#DIV/0!</v>
      </c>
      <c r="I38" s="12"/>
      <c r="J38" s="16" t="e">
        <f t="shared" si="27"/>
        <v>#DIV/0!</v>
      </c>
      <c r="K38" s="13"/>
      <c r="L38" t="str">
        <f>$A$12</f>
        <v>Seattle Downtown</v>
      </c>
      <c r="M38" s="16">
        <f t="shared" si="35"/>
        <v>5.3952222200303788E-4</v>
      </c>
      <c r="N38" s="16">
        <f t="shared" si="35"/>
        <v>1.5584005681257767E-4</v>
      </c>
      <c r="O38" s="16">
        <f t="shared" si="35"/>
        <v>1.528810683920857E-4</v>
      </c>
      <c r="P38" s="16">
        <f t="shared" si="35"/>
        <v>4.0439508413390411E-5</v>
      </c>
      <c r="Q38" s="16">
        <f t="shared" si="35"/>
        <v>1.9650642100487246E-2</v>
      </c>
      <c r="R38" s="16">
        <f t="shared" si="35"/>
        <v>4.5785414159745918E-3</v>
      </c>
      <c r="S38" s="16">
        <f t="shared" ref="S38:S39" si="46">S25/$U$28</f>
        <v>1.9410964038427396E-3</v>
      </c>
      <c r="T38" s="16"/>
      <c r="U38" s="16">
        <f t="shared" si="30"/>
        <v>2.705896277592567E-2</v>
      </c>
      <c r="W38" t="str">
        <f>$A$12</f>
        <v>Seattle Downtown</v>
      </c>
      <c r="X38" s="16" t="e">
        <f t="shared" si="37"/>
        <v>#DIV/0!</v>
      </c>
      <c r="Y38" s="16" t="e">
        <f t="shared" si="38"/>
        <v>#DIV/0!</v>
      </c>
      <c r="Z38" s="16" t="e">
        <f t="shared" si="38"/>
        <v>#DIV/0!</v>
      </c>
      <c r="AA38" s="16" t="e">
        <f t="shared" si="38"/>
        <v>#DIV/0!</v>
      </c>
      <c r="AB38" s="16" t="e">
        <f t="shared" si="38"/>
        <v>#DIV/0!</v>
      </c>
      <c r="AC38" s="16" t="e">
        <f t="shared" si="38"/>
        <v>#DIV/0!</v>
      </c>
      <c r="AD38" s="16" t="e">
        <f t="shared" si="38"/>
        <v>#DIV/0!</v>
      </c>
      <c r="AE38" s="16"/>
      <c r="AF38" s="16" t="e">
        <f t="shared" si="32"/>
        <v>#DIV/0!</v>
      </c>
    </row>
    <row r="39" spans="1:32" x14ac:dyDescent="0.45">
      <c r="A39" t="str">
        <f>$A$13</f>
        <v>Rest</v>
      </c>
      <c r="B39" s="16" t="e">
        <f t="shared" si="33"/>
        <v>#DIV/0!</v>
      </c>
      <c r="C39" s="16" t="e">
        <f t="shared" si="33"/>
        <v>#DIV/0!</v>
      </c>
      <c r="D39" s="16" t="e">
        <f t="shared" si="33"/>
        <v>#DIV/0!</v>
      </c>
      <c r="E39" s="16" t="e">
        <f t="shared" si="33"/>
        <v>#DIV/0!</v>
      </c>
      <c r="F39" s="16" t="e">
        <f t="shared" si="33"/>
        <v>#DIV/0!</v>
      </c>
      <c r="G39" s="16" t="e">
        <f t="shared" si="33"/>
        <v>#DIV/0!</v>
      </c>
      <c r="H39" s="16" t="e">
        <f t="shared" si="45"/>
        <v>#DIV/0!</v>
      </c>
      <c r="I39" s="12"/>
      <c r="J39" s="16" t="e">
        <f t="shared" si="27"/>
        <v>#DIV/0!</v>
      </c>
      <c r="K39" s="13"/>
      <c r="L39" t="str">
        <f>$A$13</f>
        <v>Rest</v>
      </c>
      <c r="M39" s="16">
        <f t="shared" si="35"/>
        <v>8.9331860414652905E-3</v>
      </c>
      <c r="N39" s="16">
        <f t="shared" si="35"/>
        <v>1.1707730850413272E-3</v>
      </c>
      <c r="O39" s="16">
        <f t="shared" si="35"/>
        <v>2.5141538279446866E-3</v>
      </c>
      <c r="P39" s="16">
        <f t="shared" si="35"/>
        <v>5.6921073915530748E-3</v>
      </c>
      <c r="Q39" s="16">
        <f t="shared" si="35"/>
        <v>1.2187086974532973E-2</v>
      </c>
      <c r="R39" s="16">
        <f t="shared" si="35"/>
        <v>7.0621190302408616E-4</v>
      </c>
      <c r="S39" s="16">
        <f t="shared" si="46"/>
        <v>0.72871796895034813</v>
      </c>
      <c r="T39" s="16"/>
      <c r="U39" s="16">
        <f t="shared" si="30"/>
        <v>0.75992148817390959</v>
      </c>
      <c r="W39" t="str">
        <f>$A$13</f>
        <v>Rest</v>
      </c>
      <c r="X39" s="16" t="e">
        <f t="shared" ref="X39" si="47">M39-B39</f>
        <v>#DIV/0!</v>
      </c>
      <c r="Y39" s="16" t="e">
        <f t="shared" ref="Y39" si="48">N39-C39</f>
        <v>#DIV/0!</v>
      </c>
      <c r="Z39" s="16" t="e">
        <f t="shared" ref="Z39" si="49">O39-D39</f>
        <v>#DIV/0!</v>
      </c>
      <c r="AA39" s="16" t="e">
        <f t="shared" ref="AA39" si="50">P39-E39</f>
        <v>#DIV/0!</v>
      </c>
      <c r="AB39" s="16" t="e">
        <f t="shared" ref="AB39" si="51">Q39-F39</f>
        <v>#DIV/0!</v>
      </c>
      <c r="AC39" s="16" t="e">
        <f t="shared" ref="AC39:AD39" si="52">R39-G39</f>
        <v>#DIV/0!</v>
      </c>
      <c r="AD39" s="16" t="e">
        <f t="shared" si="52"/>
        <v>#DIV/0!</v>
      </c>
      <c r="AE39" s="16"/>
      <c r="AF39" s="16" t="e">
        <f t="shared" si="32"/>
        <v>#DIV/0!</v>
      </c>
    </row>
    <row r="40" spans="1:32" x14ac:dyDescent="0.4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4.65" thickBot="1" x14ac:dyDescent="0.5">
      <c r="A41" s="1" t="s">
        <v>4</v>
      </c>
      <c r="B41" s="18" t="e">
        <f t="shared" ref="B41:J41" si="53">B28/$J$28</f>
        <v>#DIV/0!</v>
      </c>
      <c r="C41" s="18" t="e">
        <f t="shared" si="53"/>
        <v>#DIV/0!</v>
      </c>
      <c r="D41" s="18" t="e">
        <f t="shared" si="53"/>
        <v>#DIV/0!</v>
      </c>
      <c r="E41" s="18" t="e">
        <f t="shared" si="53"/>
        <v>#DIV/0!</v>
      </c>
      <c r="F41" s="18" t="e">
        <f t="shared" si="53"/>
        <v>#DIV/0!</v>
      </c>
      <c r="G41" s="18" t="e">
        <f t="shared" si="53"/>
        <v>#DIV/0!</v>
      </c>
      <c r="H41" s="18" t="e">
        <f t="shared" si="53"/>
        <v>#DIV/0!</v>
      </c>
      <c r="I41" s="18" t="e">
        <f t="shared" si="53"/>
        <v>#DIV/0!</v>
      </c>
      <c r="J41" s="18" t="e">
        <f t="shared" si="53"/>
        <v>#DIV/0!</v>
      </c>
      <c r="K41" s="12"/>
      <c r="L41" s="15" t="s">
        <v>4</v>
      </c>
      <c r="M41" s="18">
        <f>M28/$U$28</f>
        <v>1.1897106109324759E-2</v>
      </c>
      <c r="N41" s="18">
        <f>N28/$U$28</f>
        <v>1.9805495827826328E-3</v>
      </c>
      <c r="O41" s="18">
        <f>O28/$U$28</f>
        <v>6.8757027597498672E-3</v>
      </c>
      <c r="P41" s="18">
        <f>P28/$U$28</f>
        <v>6.1004477935809676E-3</v>
      </c>
      <c r="Q41" s="18">
        <f t="shared" ref="Q41:S41" si="54">Q28/$U$28</f>
        <v>0.19519657546406802</v>
      </c>
      <c r="R41" s="18">
        <f t="shared" si="54"/>
        <v>9.6147397076519446E-3</v>
      </c>
      <c r="S41" s="18">
        <f t="shared" si="54"/>
        <v>0.76833487858284177</v>
      </c>
      <c r="T41" s="18">
        <f>T28/$U$28</f>
        <v>0</v>
      </c>
      <c r="U41" s="18">
        <f>U28/$U$28</f>
        <v>1</v>
      </c>
      <c r="W41" s="15" t="s">
        <v>4</v>
      </c>
      <c r="X41" s="18" t="e">
        <f t="shared" ref="X41:AF41" si="55">M41-B41</f>
        <v>#DIV/0!</v>
      </c>
      <c r="Y41" s="18" t="e">
        <f t="shared" si="55"/>
        <v>#DIV/0!</v>
      </c>
      <c r="Z41" s="18" t="e">
        <f t="shared" si="55"/>
        <v>#DIV/0!</v>
      </c>
      <c r="AA41" s="18" t="e">
        <f t="shared" si="55"/>
        <v>#DIV/0!</v>
      </c>
      <c r="AB41" s="18" t="e">
        <f t="shared" si="55"/>
        <v>#DIV/0!</v>
      </c>
      <c r="AC41" s="18" t="e">
        <f t="shared" si="55"/>
        <v>#DIV/0!</v>
      </c>
      <c r="AD41" s="295" t="e">
        <f t="shared" si="55"/>
        <v>#DIV/0!</v>
      </c>
      <c r="AE41" s="18" t="e">
        <f t="shared" si="55"/>
        <v>#DIV/0!</v>
      </c>
      <c r="AF41" s="18" t="e">
        <f t="shared" si="55"/>
        <v>#DIV/0!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10" t="s">
        <v>19</v>
      </c>
    </row>
    <row r="2" spans="1:3" x14ac:dyDescent="0.45">
      <c r="A2">
        <v>1</v>
      </c>
      <c r="B2" t="s">
        <v>246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68" workbookViewId="0">
      <selection activeCell="K98" sqref="K98"/>
    </sheetView>
  </sheetViews>
  <sheetFormatPr defaultRowHeight="14.25" x14ac:dyDescent="0.45"/>
  <cols>
    <col min="2" max="2" bestFit="true" customWidth="true" width="10.73046875" collapsed="true"/>
    <col min="3" max="3" bestFit="true" customWidth="true" width="13.73046875" collapsed="true"/>
  </cols>
  <sheetData>
    <row r="1" spans="1:4" x14ac:dyDescent="0.45">
      <c r="A1" s="298" t="s">
        <v>42</v>
      </c>
    </row>
    <row r="2" spans="1:4" x14ac:dyDescent="0.45">
      <c r="A2" t="s">
        <v>258</v>
      </c>
      <c r="B2" t="s">
        <v>259</v>
      </c>
      <c r="C2" t="s">
        <v>91</v>
      </c>
      <c r="D2" t="s">
        <v>260</v>
      </c>
    </row>
    <row r="3" spans="1:4" x14ac:dyDescent="0.45">
      <c r="A3">
        <v>1</v>
      </c>
      <c r="B3" t="s">
        <v>45</v>
      </c>
      <c r="C3" t="s">
        <v>277</v>
      </c>
      <c r="D3" t="s">
        <v>46</v>
      </c>
    </row>
    <row r="4" spans="1:4" x14ac:dyDescent="0.45">
      <c r="A4">
        <v>2</v>
      </c>
      <c r="B4" t="s">
        <v>48</v>
      </c>
      <c r="C4" t="s">
        <v>277</v>
      </c>
      <c r="D4" t="s">
        <v>49</v>
      </c>
    </row>
    <row r="5" spans="1:4" x14ac:dyDescent="0.45">
      <c r="A5">
        <v>3</v>
      </c>
      <c r="B5" t="s">
        <v>51</v>
      </c>
      <c r="C5" t="s">
        <v>277</v>
      </c>
      <c r="D5" t="s">
        <v>52</v>
      </c>
    </row>
    <row r="6" spans="1:4" x14ac:dyDescent="0.45">
      <c r="A6">
        <v>4</v>
      </c>
      <c r="B6" t="s">
        <v>54</v>
      </c>
      <c r="C6" t="s">
        <v>277</v>
      </c>
      <c r="D6" t="s">
        <v>55</v>
      </c>
    </row>
    <row r="7" spans="1:4" x14ac:dyDescent="0.45">
      <c r="A7">
        <v>5</v>
      </c>
      <c r="B7" t="s">
        <v>57</v>
      </c>
      <c r="C7" t="s">
        <v>277</v>
      </c>
      <c r="D7" t="s">
        <v>58</v>
      </c>
    </row>
    <row r="8" spans="1:4" x14ac:dyDescent="0.45">
      <c r="A8">
        <v>6</v>
      </c>
      <c r="B8" t="s">
        <v>59</v>
      </c>
      <c r="C8" t="s">
        <v>277</v>
      </c>
      <c r="D8" t="s">
        <v>60</v>
      </c>
    </row>
    <row r="9" spans="1:4" x14ac:dyDescent="0.45">
      <c r="A9">
        <v>7</v>
      </c>
      <c r="B9" t="s">
        <v>61</v>
      </c>
      <c r="C9" t="s">
        <v>277</v>
      </c>
      <c r="D9" t="s">
        <v>62</v>
      </c>
    </row>
    <row r="10" spans="1:4" x14ac:dyDescent="0.45">
      <c r="A10">
        <v>8</v>
      </c>
      <c r="B10" t="s">
        <v>64</v>
      </c>
      <c r="C10" t="s">
        <v>277</v>
      </c>
      <c r="D10" t="s">
        <v>65</v>
      </c>
    </row>
    <row r="11" spans="1:4" x14ac:dyDescent="0.45">
      <c r="A11">
        <v>9</v>
      </c>
      <c r="B11" t="s">
        <v>66</v>
      </c>
      <c r="C11" t="s">
        <v>277</v>
      </c>
      <c r="D11" t="s">
        <v>67</v>
      </c>
    </row>
    <row r="12" spans="1:4" x14ac:dyDescent="0.45">
      <c r="A12">
        <v>10</v>
      </c>
      <c r="B12" t="s">
        <v>68</v>
      </c>
      <c r="C12" t="s">
        <v>277</v>
      </c>
      <c r="D12" t="s">
        <v>69</v>
      </c>
    </row>
    <row r="13" spans="1:4" x14ac:dyDescent="0.45">
      <c r="A13">
        <v>11</v>
      </c>
      <c r="B13" t="s">
        <v>70</v>
      </c>
      <c r="C13" t="s">
        <v>277</v>
      </c>
      <c r="D13" t="s">
        <v>71</v>
      </c>
    </row>
    <row r="14" spans="1:4" x14ac:dyDescent="0.45">
      <c r="A14">
        <v>12</v>
      </c>
      <c r="B14" t="s">
        <v>72</v>
      </c>
      <c r="C14" t="s">
        <v>277</v>
      </c>
      <c r="D14" t="s">
        <v>73</v>
      </c>
    </row>
    <row r="15" spans="1:4" x14ac:dyDescent="0.45">
      <c r="A15">
        <v>13</v>
      </c>
      <c r="B15" t="s">
        <v>74</v>
      </c>
      <c r="C15" t="s">
        <v>277</v>
      </c>
      <c r="D15" t="s">
        <v>75</v>
      </c>
    </row>
    <row r="16" spans="1:4" x14ac:dyDescent="0.45">
      <c r="A16">
        <v>14</v>
      </c>
      <c r="B16" t="s">
        <v>76</v>
      </c>
      <c r="C16" t="s">
        <v>277</v>
      </c>
      <c r="D16" t="s">
        <v>77</v>
      </c>
    </row>
    <row r="17" spans="1:4" x14ac:dyDescent="0.45">
      <c r="A17">
        <v>15</v>
      </c>
      <c r="B17" t="s">
        <v>78</v>
      </c>
      <c r="C17" t="s">
        <v>277</v>
      </c>
      <c r="D17" t="s">
        <v>79</v>
      </c>
    </row>
    <row r="18" spans="1:4" x14ac:dyDescent="0.45">
      <c r="A18">
        <v>16</v>
      </c>
      <c r="B18" t="s">
        <v>80</v>
      </c>
      <c r="C18" t="s">
        <v>277</v>
      </c>
      <c r="D18" t="s">
        <v>81</v>
      </c>
    </row>
    <row r="19" spans="1:4" x14ac:dyDescent="0.45">
      <c r="A19">
        <v>17</v>
      </c>
      <c r="B19" t="s">
        <v>83</v>
      </c>
      <c r="C19" t="s">
        <v>277</v>
      </c>
      <c r="D19" t="s">
        <v>84</v>
      </c>
    </row>
    <row r="20" spans="1:4" x14ac:dyDescent="0.45">
      <c r="A20">
        <v>18</v>
      </c>
      <c r="B20" t="s">
        <v>86</v>
      </c>
      <c r="C20" t="s">
        <v>277</v>
      </c>
      <c r="D20" t="s">
        <v>87</v>
      </c>
    </row>
    <row r="21" spans="1:4" x14ac:dyDescent="0.45">
      <c r="A21">
        <v>19</v>
      </c>
      <c r="B21" t="s">
        <v>89</v>
      </c>
      <c r="C21" t="s">
        <v>277</v>
      </c>
      <c r="D21" t="s">
        <v>90</v>
      </c>
    </row>
    <row r="22" spans="1:4" x14ac:dyDescent="0.45">
      <c r="A22">
        <v>20</v>
      </c>
      <c r="B22" t="s">
        <v>92</v>
      </c>
      <c r="C22" t="s">
        <v>88</v>
      </c>
      <c r="D22" t="s">
        <v>93</v>
      </c>
    </row>
    <row r="23" spans="1:4" x14ac:dyDescent="0.45">
      <c r="A23">
        <v>21</v>
      </c>
      <c r="B23" t="s">
        <v>94</v>
      </c>
      <c r="C23" t="s">
        <v>88</v>
      </c>
      <c r="D23" t="s">
        <v>95</v>
      </c>
    </row>
    <row r="24" spans="1:4" x14ac:dyDescent="0.45">
      <c r="A24">
        <v>22</v>
      </c>
      <c r="B24" t="s">
        <v>96</v>
      </c>
      <c r="C24" t="s">
        <v>88</v>
      </c>
      <c r="D24" t="s">
        <v>97</v>
      </c>
    </row>
    <row r="25" spans="1:4" x14ac:dyDescent="0.45">
      <c r="A25">
        <v>23</v>
      </c>
      <c r="B25" t="s">
        <v>98</v>
      </c>
      <c r="C25" t="s">
        <v>88</v>
      </c>
      <c r="D25" t="s">
        <v>99</v>
      </c>
    </row>
    <row r="26" spans="1:4" x14ac:dyDescent="0.45">
      <c r="A26">
        <v>24</v>
      </c>
      <c r="B26" t="s">
        <v>100</v>
      </c>
      <c r="C26" t="s">
        <v>88</v>
      </c>
      <c r="D26" t="s">
        <v>101</v>
      </c>
    </row>
    <row r="27" spans="1:4" x14ac:dyDescent="0.45">
      <c r="A27">
        <v>25</v>
      </c>
      <c r="B27" t="s">
        <v>103</v>
      </c>
      <c r="C27" t="s">
        <v>88</v>
      </c>
      <c r="D27" t="s">
        <v>104</v>
      </c>
    </row>
    <row r="28" spans="1:4" x14ac:dyDescent="0.45">
      <c r="A28">
        <v>26</v>
      </c>
      <c r="B28" t="s">
        <v>105</v>
      </c>
      <c r="C28" t="s">
        <v>102</v>
      </c>
      <c r="D28" t="s">
        <v>93</v>
      </c>
    </row>
    <row r="29" spans="1:4" x14ac:dyDescent="0.45">
      <c r="A29">
        <v>27</v>
      </c>
      <c r="B29" t="s">
        <v>106</v>
      </c>
      <c r="C29" t="s">
        <v>102</v>
      </c>
      <c r="D29" t="s">
        <v>95</v>
      </c>
    </row>
    <row r="30" spans="1:4" x14ac:dyDescent="0.45">
      <c r="A30">
        <v>28</v>
      </c>
      <c r="B30" t="s">
        <v>108</v>
      </c>
      <c r="C30" t="s">
        <v>102</v>
      </c>
      <c r="D30" t="s">
        <v>97</v>
      </c>
    </row>
    <row r="31" spans="1:4" x14ac:dyDescent="0.45">
      <c r="A31">
        <v>29</v>
      </c>
      <c r="B31" t="s">
        <v>109</v>
      </c>
      <c r="C31" t="s">
        <v>102</v>
      </c>
      <c r="D31" t="s">
        <v>99</v>
      </c>
    </row>
    <row r="32" spans="1:4" x14ac:dyDescent="0.45">
      <c r="A32">
        <v>30</v>
      </c>
      <c r="B32" t="s">
        <v>110</v>
      </c>
      <c r="C32" t="s">
        <v>102</v>
      </c>
      <c r="D32" t="s">
        <v>111</v>
      </c>
    </row>
    <row r="33" spans="1:4" x14ac:dyDescent="0.45">
      <c r="A33">
        <v>31</v>
      </c>
      <c r="B33" t="s">
        <v>112</v>
      </c>
      <c r="C33" t="s">
        <v>102</v>
      </c>
      <c r="D33" t="s">
        <v>113</v>
      </c>
    </row>
    <row r="34" spans="1:4" x14ac:dyDescent="0.45">
      <c r="A34">
        <v>32</v>
      </c>
      <c r="B34" t="s">
        <v>114</v>
      </c>
      <c r="C34" t="s">
        <v>102</v>
      </c>
      <c r="D34" t="s">
        <v>115</v>
      </c>
    </row>
    <row r="35" spans="1:4" x14ac:dyDescent="0.45">
      <c r="A35">
        <v>33</v>
      </c>
      <c r="B35" t="s">
        <v>116</v>
      </c>
      <c r="C35" t="s">
        <v>102</v>
      </c>
      <c r="D35" t="s">
        <v>117</v>
      </c>
    </row>
    <row r="36" spans="1:4" x14ac:dyDescent="0.45">
      <c r="A36">
        <v>34</v>
      </c>
      <c r="B36" t="s">
        <v>118</v>
      </c>
      <c r="C36" t="s">
        <v>102</v>
      </c>
      <c r="D36" t="s">
        <v>119</v>
      </c>
    </row>
    <row r="37" spans="1:4" x14ac:dyDescent="0.45">
      <c r="A37">
        <v>35</v>
      </c>
      <c r="B37" t="s">
        <v>121</v>
      </c>
      <c r="C37" t="s">
        <v>102</v>
      </c>
      <c r="D37" t="s">
        <v>122</v>
      </c>
    </row>
    <row r="38" spans="1:4" x14ac:dyDescent="0.45">
      <c r="A38">
        <v>36</v>
      </c>
      <c r="B38" t="s">
        <v>123</v>
      </c>
      <c r="C38" t="s">
        <v>120</v>
      </c>
      <c r="D38" t="s">
        <v>93</v>
      </c>
    </row>
    <row r="39" spans="1:4" x14ac:dyDescent="0.45">
      <c r="A39">
        <v>37</v>
      </c>
      <c r="B39" t="s">
        <v>124</v>
      </c>
      <c r="C39" t="s">
        <v>120</v>
      </c>
      <c r="D39" t="s">
        <v>95</v>
      </c>
    </row>
    <row r="40" spans="1:4" x14ac:dyDescent="0.45">
      <c r="A40">
        <v>38</v>
      </c>
      <c r="B40" t="s">
        <v>126</v>
      </c>
      <c r="C40" t="s">
        <v>120</v>
      </c>
      <c r="D40" t="s">
        <v>97</v>
      </c>
    </row>
    <row r="41" spans="1:4" x14ac:dyDescent="0.45">
      <c r="A41">
        <v>39</v>
      </c>
      <c r="B41" t="s">
        <v>127</v>
      </c>
      <c r="C41" t="s">
        <v>120</v>
      </c>
      <c r="D41" t="s">
        <v>99</v>
      </c>
    </row>
    <row r="42" spans="1:4" x14ac:dyDescent="0.45">
      <c r="A42">
        <v>40</v>
      </c>
      <c r="B42" t="s">
        <v>128</v>
      </c>
      <c r="C42" t="s">
        <v>120</v>
      </c>
      <c r="D42" t="s">
        <v>111</v>
      </c>
    </row>
    <row r="43" spans="1:4" x14ac:dyDescent="0.45">
      <c r="A43">
        <v>41</v>
      </c>
      <c r="B43" t="s">
        <v>129</v>
      </c>
      <c r="C43" t="s">
        <v>120</v>
      </c>
      <c r="D43" t="s">
        <v>113</v>
      </c>
    </row>
    <row r="44" spans="1:4" x14ac:dyDescent="0.45">
      <c r="A44">
        <v>42</v>
      </c>
      <c r="B44" t="s">
        <v>131</v>
      </c>
      <c r="C44" t="s">
        <v>120</v>
      </c>
      <c r="D44" t="s">
        <v>132</v>
      </c>
    </row>
    <row r="45" spans="1:4" x14ac:dyDescent="0.45">
      <c r="A45">
        <v>43</v>
      </c>
      <c r="B45" t="s">
        <v>133</v>
      </c>
      <c r="C45" t="s">
        <v>130</v>
      </c>
      <c r="D45" t="s">
        <v>93</v>
      </c>
    </row>
    <row r="46" spans="1:4" x14ac:dyDescent="0.45">
      <c r="A46">
        <v>44</v>
      </c>
      <c r="B46" t="s">
        <v>134</v>
      </c>
      <c r="C46" t="s">
        <v>130</v>
      </c>
      <c r="D46" t="s">
        <v>135</v>
      </c>
    </row>
    <row r="47" spans="1:4" x14ac:dyDescent="0.45">
      <c r="A47">
        <v>45</v>
      </c>
      <c r="B47" t="s">
        <v>136</v>
      </c>
      <c r="C47" t="s">
        <v>130</v>
      </c>
      <c r="D47" t="s">
        <v>137</v>
      </c>
    </row>
    <row r="48" spans="1:4" x14ac:dyDescent="0.45">
      <c r="A48">
        <v>46</v>
      </c>
      <c r="B48" t="s">
        <v>138</v>
      </c>
      <c r="C48" t="s">
        <v>130</v>
      </c>
      <c r="D48" t="s">
        <v>139</v>
      </c>
    </row>
    <row r="49" spans="1:4" x14ac:dyDescent="0.45">
      <c r="A49">
        <v>47</v>
      </c>
      <c r="B49" t="s">
        <v>140</v>
      </c>
      <c r="C49" t="s">
        <v>130</v>
      </c>
      <c r="D49" t="s">
        <v>141</v>
      </c>
    </row>
    <row r="50" spans="1:4" x14ac:dyDescent="0.45">
      <c r="A50">
        <v>48</v>
      </c>
      <c r="B50" t="s">
        <v>143</v>
      </c>
      <c r="C50" t="s">
        <v>130</v>
      </c>
      <c r="D50" t="s">
        <v>144</v>
      </c>
    </row>
    <row r="51" spans="1:4" x14ac:dyDescent="0.45">
      <c r="A51">
        <v>49</v>
      </c>
      <c r="B51" t="s">
        <v>145</v>
      </c>
      <c r="C51" t="s">
        <v>142</v>
      </c>
      <c r="D51" t="s">
        <v>93</v>
      </c>
    </row>
    <row r="52" spans="1:4" x14ac:dyDescent="0.45">
      <c r="A52">
        <v>50</v>
      </c>
      <c r="B52" t="s">
        <v>146</v>
      </c>
      <c r="C52" t="s">
        <v>142</v>
      </c>
      <c r="D52" t="s">
        <v>95</v>
      </c>
    </row>
    <row r="53" spans="1:4" x14ac:dyDescent="0.45">
      <c r="A53">
        <v>51</v>
      </c>
      <c r="B53" t="s">
        <v>147</v>
      </c>
      <c r="C53" t="s">
        <v>142</v>
      </c>
      <c r="D53" t="s">
        <v>97</v>
      </c>
    </row>
    <row r="54" spans="1:4" x14ac:dyDescent="0.45">
      <c r="A54">
        <v>52</v>
      </c>
      <c r="B54" t="s">
        <v>148</v>
      </c>
      <c r="C54" t="s">
        <v>142</v>
      </c>
      <c r="D54" t="s">
        <v>99</v>
      </c>
    </row>
    <row r="55" spans="1:4" x14ac:dyDescent="0.45">
      <c r="A55">
        <v>53</v>
      </c>
      <c r="B55" t="s">
        <v>149</v>
      </c>
      <c r="C55" t="s">
        <v>142</v>
      </c>
      <c r="D55" t="s">
        <v>111</v>
      </c>
    </row>
    <row r="56" spans="1:4" x14ac:dyDescent="0.45">
      <c r="A56">
        <v>54</v>
      </c>
      <c r="B56" t="s">
        <v>150</v>
      </c>
      <c r="C56" t="s">
        <v>142</v>
      </c>
      <c r="D56" t="s">
        <v>151</v>
      </c>
    </row>
    <row r="57" spans="1:4" x14ac:dyDescent="0.45">
      <c r="A57">
        <v>55</v>
      </c>
      <c r="B57" t="s">
        <v>152</v>
      </c>
      <c r="C57" t="s">
        <v>142</v>
      </c>
      <c r="D57" t="s">
        <v>115</v>
      </c>
    </row>
    <row r="58" spans="1:4" x14ac:dyDescent="0.45">
      <c r="A58">
        <v>56</v>
      </c>
      <c r="B58" t="s">
        <v>153</v>
      </c>
      <c r="C58" t="s">
        <v>142</v>
      </c>
      <c r="D58" t="s">
        <v>119</v>
      </c>
    </row>
    <row r="59" spans="1:4" x14ac:dyDescent="0.45">
      <c r="A59">
        <v>57</v>
      </c>
      <c r="B59" t="s">
        <v>154</v>
      </c>
      <c r="C59" t="s">
        <v>142</v>
      </c>
      <c r="D59" t="s">
        <v>122</v>
      </c>
    </row>
    <row r="60" spans="1:4" x14ac:dyDescent="0.45">
      <c r="A60">
        <v>118</v>
      </c>
      <c r="B60" t="s">
        <v>256</v>
      </c>
    </row>
    <row r="61" spans="1:4" x14ac:dyDescent="0.45">
      <c r="A61">
        <v>70</v>
      </c>
      <c r="B61" t="s">
        <v>155</v>
      </c>
      <c r="C61" t="s">
        <v>88</v>
      </c>
    </row>
    <row r="62" spans="1:4" x14ac:dyDescent="0.45">
      <c r="A62">
        <v>71</v>
      </c>
      <c r="B62" t="s">
        <v>156</v>
      </c>
      <c r="C62" t="s">
        <v>88</v>
      </c>
      <c r="D62" t="s">
        <v>157</v>
      </c>
    </row>
    <row r="63" spans="1:4" x14ac:dyDescent="0.45">
      <c r="A63">
        <v>72</v>
      </c>
      <c r="B63" t="s">
        <v>158</v>
      </c>
      <c r="C63" t="s">
        <v>88</v>
      </c>
      <c r="D63" t="s">
        <v>159</v>
      </c>
    </row>
    <row r="64" spans="1:4" x14ac:dyDescent="0.45">
      <c r="A64">
        <v>73</v>
      </c>
      <c r="B64" t="s">
        <v>160</v>
      </c>
      <c r="C64" t="s">
        <v>88</v>
      </c>
      <c r="D64" t="s">
        <v>161</v>
      </c>
    </row>
    <row r="65" spans="1:4" x14ac:dyDescent="0.45">
      <c r="A65">
        <v>74</v>
      </c>
      <c r="B65" t="s">
        <v>162</v>
      </c>
      <c r="C65" t="s">
        <v>88</v>
      </c>
      <c r="D65" t="s">
        <v>163</v>
      </c>
    </row>
    <row r="66" spans="1:4" x14ac:dyDescent="0.45">
      <c r="A66">
        <v>75</v>
      </c>
      <c r="B66" t="s">
        <v>164</v>
      </c>
      <c r="C66" t="s">
        <v>88</v>
      </c>
      <c r="D66" t="s">
        <v>165</v>
      </c>
    </row>
    <row r="67" spans="1:4" x14ac:dyDescent="0.45">
      <c r="A67">
        <v>76</v>
      </c>
      <c r="B67" t="s">
        <v>166</v>
      </c>
      <c r="C67" t="s">
        <v>88</v>
      </c>
      <c r="D67" t="s">
        <v>167</v>
      </c>
    </row>
    <row r="68" spans="1:4" x14ac:dyDescent="0.45">
      <c r="A68">
        <v>77</v>
      </c>
      <c r="B68" t="s">
        <v>168</v>
      </c>
      <c r="C68" t="s">
        <v>88</v>
      </c>
      <c r="D68" t="s">
        <v>169</v>
      </c>
    </row>
    <row r="69" spans="1:4" x14ac:dyDescent="0.45">
      <c r="A69">
        <v>78</v>
      </c>
      <c r="B69" t="s">
        <v>170</v>
      </c>
      <c r="C69" t="s">
        <v>88</v>
      </c>
      <c r="D69" t="s">
        <v>171</v>
      </c>
    </row>
    <row r="70" spans="1:4" x14ac:dyDescent="0.45">
      <c r="A70">
        <v>79</v>
      </c>
      <c r="B70" t="s">
        <v>172</v>
      </c>
      <c r="C70" t="s">
        <v>88</v>
      </c>
      <c r="D70" t="s">
        <v>173</v>
      </c>
    </row>
    <row r="71" spans="1:4" x14ac:dyDescent="0.45">
      <c r="A71">
        <v>80</v>
      </c>
      <c r="B71" t="s">
        <v>174</v>
      </c>
      <c r="C71" t="s">
        <v>88</v>
      </c>
      <c r="D71" t="s">
        <v>175</v>
      </c>
    </row>
    <row r="72" spans="1:4" x14ac:dyDescent="0.45">
      <c r="A72">
        <v>81</v>
      </c>
      <c r="B72" t="s">
        <v>176</v>
      </c>
      <c r="C72" t="s">
        <v>88</v>
      </c>
      <c r="D72" t="s">
        <v>177</v>
      </c>
    </row>
    <row r="73" spans="1:4" x14ac:dyDescent="0.45">
      <c r="A73">
        <v>82</v>
      </c>
      <c r="B73" t="s">
        <v>178</v>
      </c>
      <c r="C73" t="s">
        <v>88</v>
      </c>
      <c r="D73" t="s">
        <v>177</v>
      </c>
    </row>
    <row r="74" spans="1:4" x14ac:dyDescent="0.45">
      <c r="A74">
        <v>83</v>
      </c>
      <c r="B74" t="s">
        <v>179</v>
      </c>
      <c r="C74" t="s">
        <v>88</v>
      </c>
      <c r="D74" t="s">
        <v>180</v>
      </c>
    </row>
    <row r="75" spans="1:4" x14ac:dyDescent="0.45">
      <c r="A75">
        <v>84</v>
      </c>
      <c r="B75" t="s">
        <v>181</v>
      </c>
      <c r="C75" t="s">
        <v>88</v>
      </c>
      <c r="D75" t="s">
        <v>182</v>
      </c>
    </row>
    <row r="76" spans="1:4" x14ac:dyDescent="0.45">
      <c r="A76">
        <v>85</v>
      </c>
      <c r="B76" t="s">
        <v>183</v>
      </c>
      <c r="C76" t="s">
        <v>88</v>
      </c>
      <c r="D76" t="s">
        <v>184</v>
      </c>
    </row>
    <row r="77" spans="1:4" x14ac:dyDescent="0.45">
      <c r="A77">
        <v>86</v>
      </c>
      <c r="B77" t="s">
        <v>185</v>
      </c>
      <c r="C77" t="s">
        <v>88</v>
      </c>
      <c r="D77" t="s">
        <v>186</v>
      </c>
    </row>
    <row r="78" spans="1:4" x14ac:dyDescent="0.45">
      <c r="A78">
        <v>87</v>
      </c>
      <c r="B78" t="s">
        <v>187</v>
      </c>
      <c r="C78" t="s">
        <v>88</v>
      </c>
      <c r="D78" t="s">
        <v>188</v>
      </c>
    </row>
    <row r="79" spans="1:4" x14ac:dyDescent="0.45">
      <c r="A79">
        <v>88</v>
      </c>
      <c r="B79" t="s">
        <v>189</v>
      </c>
      <c r="C79" t="s">
        <v>88</v>
      </c>
      <c r="D79" t="s">
        <v>190</v>
      </c>
    </row>
    <row r="80" spans="1:4" x14ac:dyDescent="0.45">
      <c r="A80">
        <v>89</v>
      </c>
      <c r="B80" t="s">
        <v>191</v>
      </c>
      <c r="C80" t="s">
        <v>102</v>
      </c>
      <c r="D80" t="s">
        <v>192</v>
      </c>
    </row>
    <row r="81" spans="1:4" x14ac:dyDescent="0.45">
      <c r="A81">
        <v>90</v>
      </c>
      <c r="B81" t="s">
        <v>193</v>
      </c>
      <c r="C81" t="s">
        <v>102</v>
      </c>
      <c r="D81" t="s">
        <v>194</v>
      </c>
    </row>
    <row r="82" spans="1:4" x14ac:dyDescent="0.45">
      <c r="A82">
        <v>91</v>
      </c>
      <c r="B82" t="s">
        <v>195</v>
      </c>
      <c r="C82" t="s">
        <v>102</v>
      </c>
      <c r="D82" t="s">
        <v>196</v>
      </c>
    </row>
    <row r="83" spans="1:4" x14ac:dyDescent="0.45">
      <c r="A83">
        <v>92</v>
      </c>
      <c r="B83" t="s">
        <v>197</v>
      </c>
      <c r="C83" t="s">
        <v>102</v>
      </c>
      <c r="D83" t="s">
        <v>198</v>
      </c>
    </row>
    <row r="84" spans="1:4" x14ac:dyDescent="0.45">
      <c r="A84">
        <v>93</v>
      </c>
      <c r="B84" t="s">
        <v>199</v>
      </c>
      <c r="C84" t="s">
        <v>102</v>
      </c>
      <c r="D84" t="s">
        <v>200</v>
      </c>
    </row>
    <row r="85" spans="1:4" x14ac:dyDescent="0.45">
      <c r="A85">
        <v>94</v>
      </c>
      <c r="B85" t="s">
        <v>201</v>
      </c>
      <c r="C85" t="s">
        <v>102</v>
      </c>
      <c r="D85" t="s">
        <v>202</v>
      </c>
    </row>
    <row r="86" spans="1:4" x14ac:dyDescent="0.45">
      <c r="A86">
        <v>95</v>
      </c>
      <c r="B86" t="s">
        <v>203</v>
      </c>
      <c r="C86" t="s">
        <v>102</v>
      </c>
      <c r="D86" t="s">
        <v>204</v>
      </c>
    </row>
    <row r="87" spans="1:4" x14ac:dyDescent="0.45">
      <c r="A87">
        <v>96</v>
      </c>
      <c r="B87" t="s">
        <v>205</v>
      </c>
      <c r="C87" t="s">
        <v>102</v>
      </c>
      <c r="D87" t="s">
        <v>206</v>
      </c>
    </row>
    <row r="88" spans="1:4" x14ac:dyDescent="0.45">
      <c r="A88">
        <v>97</v>
      </c>
      <c r="B88" t="s">
        <v>207</v>
      </c>
      <c r="C88" t="s">
        <v>102</v>
      </c>
      <c r="D88" t="s">
        <v>208</v>
      </c>
    </row>
    <row r="89" spans="1:4" x14ac:dyDescent="0.45">
      <c r="A89">
        <v>98</v>
      </c>
      <c r="B89" t="s">
        <v>209</v>
      </c>
      <c r="C89" t="s">
        <v>120</v>
      </c>
      <c r="D89" t="s">
        <v>194</v>
      </c>
    </row>
    <row r="90" spans="1:4" x14ac:dyDescent="0.45">
      <c r="A90">
        <v>99</v>
      </c>
      <c r="B90" t="s">
        <v>210</v>
      </c>
      <c r="C90" t="s">
        <v>120</v>
      </c>
      <c r="D90" t="s">
        <v>196</v>
      </c>
    </row>
    <row r="91" spans="1:4" x14ac:dyDescent="0.45">
      <c r="A91">
        <v>100</v>
      </c>
      <c r="B91" t="s">
        <v>211</v>
      </c>
      <c r="C91" t="s">
        <v>120</v>
      </c>
      <c r="D91" t="s">
        <v>198</v>
      </c>
    </row>
    <row r="92" spans="1:4" x14ac:dyDescent="0.45">
      <c r="A92">
        <v>101</v>
      </c>
      <c r="B92" t="s">
        <v>212</v>
      </c>
      <c r="C92" t="s">
        <v>120</v>
      </c>
      <c r="D92" t="s">
        <v>200</v>
      </c>
    </row>
    <row r="93" spans="1:4" x14ac:dyDescent="0.45">
      <c r="A93">
        <v>102</v>
      </c>
      <c r="B93" t="s">
        <v>213</v>
      </c>
      <c r="C93" t="s">
        <v>130</v>
      </c>
      <c r="D93" t="s">
        <v>194</v>
      </c>
    </row>
    <row r="94" spans="1:4" x14ac:dyDescent="0.45">
      <c r="A94">
        <v>103</v>
      </c>
      <c r="B94" t="s">
        <v>214</v>
      </c>
      <c r="C94" t="s">
        <v>130</v>
      </c>
      <c r="D94" t="s">
        <v>196</v>
      </c>
    </row>
    <row r="95" spans="1:4" x14ac:dyDescent="0.45">
      <c r="A95">
        <v>104</v>
      </c>
      <c r="B95" t="s">
        <v>215</v>
      </c>
      <c r="C95" t="s">
        <v>130</v>
      </c>
      <c r="D95" t="s">
        <v>198</v>
      </c>
    </row>
    <row r="96" spans="1:4" x14ac:dyDescent="0.45">
      <c r="A96">
        <v>105</v>
      </c>
      <c r="B96" t="s">
        <v>216</v>
      </c>
      <c r="C96" t="s">
        <v>130</v>
      </c>
      <c r="D96" t="s">
        <v>200</v>
      </c>
    </row>
    <row r="97" spans="1:4" x14ac:dyDescent="0.45">
      <c r="A97">
        <v>106</v>
      </c>
      <c r="B97" t="s">
        <v>217</v>
      </c>
      <c r="C97" t="s">
        <v>142</v>
      </c>
      <c r="D97" t="s">
        <v>194</v>
      </c>
    </row>
    <row r="98" spans="1:4" x14ac:dyDescent="0.45">
      <c r="A98">
        <v>107</v>
      </c>
      <c r="B98" t="s">
        <v>218</v>
      </c>
      <c r="C98" t="s">
        <v>142</v>
      </c>
      <c r="D98" t="s">
        <v>219</v>
      </c>
    </row>
    <row r="99" spans="1:4" x14ac:dyDescent="0.45">
      <c r="A99">
        <v>108</v>
      </c>
      <c r="B99" t="s">
        <v>220</v>
      </c>
      <c r="C99" t="s">
        <v>142</v>
      </c>
      <c r="D99" t="s">
        <v>196</v>
      </c>
    </row>
    <row r="100" spans="1:4" x14ac:dyDescent="0.45">
      <c r="A100">
        <v>109</v>
      </c>
      <c r="B100" t="s">
        <v>221</v>
      </c>
      <c r="C100" t="s">
        <v>142</v>
      </c>
      <c r="D100" t="s">
        <v>198</v>
      </c>
    </row>
    <row r="101" spans="1:4" x14ac:dyDescent="0.45">
      <c r="A101">
        <v>110</v>
      </c>
      <c r="B101" t="s">
        <v>222</v>
      </c>
      <c r="C101" t="s">
        <v>142</v>
      </c>
      <c r="D101" t="s">
        <v>200</v>
      </c>
    </row>
    <row r="102" spans="1:4" x14ac:dyDescent="0.45">
      <c r="A102">
        <v>111</v>
      </c>
      <c r="B102" t="s">
        <v>223</v>
      </c>
      <c r="C102" t="s">
        <v>142</v>
      </c>
      <c r="D102" t="s">
        <v>206</v>
      </c>
    </row>
    <row r="103" spans="1:4" x14ac:dyDescent="0.45">
      <c r="A103">
        <v>112</v>
      </c>
      <c r="B103" t="s">
        <v>224</v>
      </c>
      <c r="C103" t="s">
        <v>142</v>
      </c>
      <c r="D103" t="s">
        <v>225</v>
      </c>
    </row>
    <row r="104" spans="1:4" x14ac:dyDescent="0.4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sqref="A1:N1048576"/>
    </sheetView>
  </sheetViews>
  <sheetFormatPr defaultRowHeight="14.25" x14ac:dyDescent="0.45"/>
  <sheetData>
    <row r="1" spans="1:11" x14ac:dyDescent="0.45">
      <c r="A1" s="351" t="s">
        <v>227</v>
      </c>
      <c r="B1" s="352"/>
      <c r="C1" s="352"/>
      <c r="D1" s="352"/>
      <c r="E1" s="352"/>
      <c r="F1" s="352"/>
      <c r="G1" s="352"/>
      <c r="H1" s="352" t="s">
        <v>228</v>
      </c>
      <c r="I1" s="352"/>
      <c r="J1" s="352"/>
      <c r="K1" s="353"/>
    </row>
    <row r="2" spans="1:11" x14ac:dyDescent="0.45">
      <c r="A2" s="354">
        <v>1</v>
      </c>
      <c r="B2" s="355" t="s">
        <v>264</v>
      </c>
      <c r="C2" s="355"/>
      <c r="D2" s="355"/>
      <c r="E2" s="355"/>
      <c r="F2" s="355"/>
      <c r="G2" s="355"/>
      <c r="H2" s="355"/>
      <c r="I2" s="355"/>
      <c r="J2" s="355"/>
      <c r="K2" s="356"/>
    </row>
    <row r="3" spans="1:11" x14ac:dyDescent="0.45">
      <c r="A3" s="354">
        <v>2</v>
      </c>
      <c r="B3" s="355" t="s">
        <v>229</v>
      </c>
      <c r="C3" s="355"/>
      <c r="D3" s="355"/>
      <c r="E3" s="355"/>
      <c r="F3" s="355"/>
      <c r="G3" s="355"/>
      <c r="H3" s="355"/>
      <c r="I3" s="355"/>
      <c r="J3" s="355"/>
      <c r="K3" s="356"/>
    </row>
    <row r="4" spans="1:11" x14ac:dyDescent="0.45">
      <c r="A4" s="354">
        <v>3</v>
      </c>
      <c r="B4" s="355" t="s">
        <v>230</v>
      </c>
      <c r="C4" s="355"/>
      <c r="D4" s="355"/>
      <c r="E4" s="355"/>
      <c r="F4" s="355"/>
      <c r="G4" s="355"/>
      <c r="H4" s="355"/>
      <c r="I4" s="355"/>
      <c r="J4" s="355"/>
      <c r="K4" s="356"/>
    </row>
    <row r="5" spans="1:11" x14ac:dyDescent="0.45">
      <c r="A5" s="357">
        <v>4</v>
      </c>
      <c r="B5" s="358" t="s">
        <v>231</v>
      </c>
      <c r="C5" s="358"/>
      <c r="D5" s="358"/>
      <c r="E5" s="358"/>
      <c r="F5" s="358"/>
      <c r="G5" s="358"/>
      <c r="H5" s="358"/>
      <c r="I5" s="358"/>
      <c r="J5" s="358"/>
      <c r="K5" s="359"/>
    </row>
    <row r="8" spans="1:11" x14ac:dyDescent="0.45">
      <c r="A8" t="s">
        <v>232</v>
      </c>
      <c r="B8" t="s">
        <v>233</v>
      </c>
      <c r="C8" t="s">
        <v>234</v>
      </c>
      <c r="D8" t="s">
        <v>254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4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4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4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4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4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4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4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4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4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4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4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4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4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4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4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4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4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4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4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4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4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4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4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4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4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4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4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4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4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4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45">
      <c r="B68">
        <v>118</v>
      </c>
      <c r="C68" t="s">
        <v>256</v>
      </c>
      <c r="D68" t="s">
        <v>241</v>
      </c>
      <c r="E68" s="336">
        <v>-3</v>
      </c>
      <c r="F68" s="336">
        <v>0</v>
      </c>
    </row>
    <row r="69" spans="2:6" x14ac:dyDescent="0.4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4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4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4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4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4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4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4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4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4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4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4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45">
      <c r="A113">
        <v>-1</v>
      </c>
    </row>
    <row r="114" spans="1:11" x14ac:dyDescent="0.4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4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1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Y104"/>
  <sheetViews>
    <sheetView tabSelected="1" zoomScaleNormal="100" workbookViewId="0">
      <selection activeCell="K9" sqref="K9"/>
    </sheetView>
  </sheetViews>
  <sheetFormatPr defaultColWidth="9.1328125" defaultRowHeight="14.25" x14ac:dyDescent="0.45"/>
  <cols>
    <col min="1" max="2" style="297" width="9.1328125" collapsed="true"/>
    <col min="3" max="3" bestFit="true" customWidth="true" style="297" width="12.73046875" collapsed="true"/>
    <col min="4" max="4" customWidth="true" style="296" width="18.86328125" collapsed="true"/>
    <col min="5" max="5" customWidth="true" style="297" width="6.73046875" collapsed="true"/>
    <col min="6" max="6" customWidth="true" style="297" width="12.73046875" collapsed="true"/>
    <col min="7" max="7" customWidth="true" style="296" width="18.86328125" collapsed="true"/>
    <col min="8" max="8" customWidth="true" style="296" width="8.73046875" collapsed="true"/>
    <col min="9" max="9" customWidth="true" style="296" width="6.59765625" collapsed="true"/>
    <col min="10" max="10" customWidth="true" style="296" width="10.1328125" collapsed="true"/>
    <col min="11" max="11" customWidth="true" style="296" width="9.86328125" collapsed="true"/>
    <col min="12" max="14" style="297" width="9.1328125" collapsed="true"/>
    <col min="15" max="15" customWidth="true" style="297" width="13.0" collapsed="true"/>
    <col min="16" max="16" bestFit="true" customWidth="true" style="299" width="19.59765625" collapsed="true"/>
    <col min="17" max="17" customWidth="true" style="334" width="19.59765625" collapsed="true"/>
    <col min="18" max="16384" style="297" width="9.1328125" collapsed="true"/>
  </cols>
  <sheetData>
    <row r="1" spans="3:25" x14ac:dyDescent="0.4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r="2" spans="3:25" ht="14.65" thickBot="1" x14ac:dyDescent="0.5">
      <c r="C2" s="298" t="s">
        <v>43</v>
      </c>
      <c r="M2" s="10" t="s">
        <v>91</v>
      </c>
      <c r="N2" s="10" t="s">
        <v>258</v>
      </c>
      <c r="O2" s="10" t="s">
        <v>259</v>
      </c>
      <c r="P2" s="349" t="s">
        <v>261</v>
      </c>
      <c r="Q2" s="350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45">
      <c r="C3" s="300" t="s">
        <v>3</v>
      </c>
      <c r="D3" s="301" t="s">
        <v>44</v>
      </c>
      <c r="F3" s="300" t="s">
        <v>3</v>
      </c>
      <c r="G3" s="301" t="s">
        <v>44</v>
      </c>
      <c r="H3" s="366"/>
      <c r="I3" s="366"/>
      <c r="J3" s="366"/>
      <c r="K3" s="366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7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45">
      <c r="C4" s="303" t="s">
        <v>47</v>
      </c>
      <c r="D4" s="304">
        <f>TLFD!B11</f>
        <v>23655.6280813759</v>
      </c>
      <c r="F4" s="303" t="s">
        <v>47</v>
      </c>
      <c r="G4" s="304">
        <f>TLFD!F11</f>
        <v>115415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45">
      <c r="C5" s="306" t="s">
        <v>50</v>
      </c>
      <c r="D5" s="307">
        <f>TLFD!B12+TLFD!B13+(TLFD!B14/2)</f>
        <v>202869.41648576572</v>
      </c>
      <c r="F5" s="306" t="s">
        <v>50</v>
      </c>
      <c r="G5" s="307">
        <f>TLFD!F12+TLFD!F13+(TLFD!F14/2)</f>
        <v>197955.5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7">
        <f t="shared" ref="Q5:Q68" si="0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45">
      <c r="C6" s="306" t="s">
        <v>53</v>
      </c>
      <c r="D6" s="307">
        <f>(TLFD!B14/2)+SUM(TLFD!B15:B20)</f>
        <v>546036.42913973075</v>
      </c>
      <c r="F6" s="306" t="s">
        <v>53</v>
      </c>
      <c r="G6" s="307">
        <f>(TLFD!F14/2)+SUM(TLFD!F15:F20)</f>
        <v>573536.5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7">
        <f t="shared" si="0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45">
      <c r="C7" s="309" t="s">
        <v>56</v>
      </c>
      <c r="D7" s="310">
        <f>SUM(TLFD!B21:B101)</f>
        <v>192043.62173705088</v>
      </c>
      <c r="F7" s="309" t="s">
        <v>56</v>
      </c>
      <c r="G7" s="310">
        <f>SUM(TLFD!F21:F101)</f>
        <v>126953</v>
      </c>
      <c r="H7" s="367"/>
      <c r="I7" s="367"/>
      <c r="J7" s="367"/>
      <c r="K7" s="367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7">
        <f t="shared" si="0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r="8" spans="3:25" ht="14.65" thickBot="1" x14ac:dyDescent="0.5">
      <c r="C8" s="312" t="s">
        <v>4</v>
      </c>
      <c r="D8" s="313">
        <f>SUM(D4:D7)</f>
        <v>964605.09544392326</v>
      </c>
      <c r="E8" s="314"/>
      <c r="F8" s="312" t="s">
        <v>4</v>
      </c>
      <c r="G8" s="313">
        <f>SUM(G4:G7)</f>
        <v>1013860</v>
      </c>
      <c r="H8" s="368"/>
      <c r="I8" s="368"/>
      <c r="J8" s="368" t="s">
        <v>283</v>
      </c>
      <c r="K8" s="380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7">
        <f t="shared" si="0"/>
        <v>-8.2865473150899996E-2</v>
      </c>
      <c r="T8" s="322"/>
      <c r="U8" s="322"/>
      <c r="V8" s="322"/>
      <c r="W8" s="322"/>
      <c r="X8" s="322"/>
      <c r="Y8" s="322"/>
    </row>
    <row r="9" spans="3:25" x14ac:dyDescent="0.4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7">
        <f t="shared" si="0"/>
        <v>-3.9895313632499998</v>
      </c>
      <c r="T9" s="322"/>
      <c r="U9" s="360" t="s">
        <v>268</v>
      </c>
      <c r="V9" s="322"/>
      <c r="W9" s="322"/>
      <c r="X9" s="322"/>
      <c r="Y9" s="322"/>
    </row>
    <row r="10" spans="3:25" ht="14.65" thickBot="1" x14ac:dyDescent="0.5">
      <c r="C10" s="315" t="s">
        <v>63</v>
      </c>
      <c r="I10" s="379" t="s">
        <v>282</v>
      </c>
      <c r="J10" s="370"/>
      <c r="K10" s="370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7">
        <f t="shared" si="0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45">
      <c r="C11" s="300" t="s">
        <v>3</v>
      </c>
      <c r="D11" s="301" t="s">
        <v>44</v>
      </c>
      <c r="F11" s="300" t="s">
        <v>3</v>
      </c>
      <c r="G11" s="301" t="s">
        <v>44</v>
      </c>
      <c r="H11" s="366"/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7">
        <f t="shared" si="0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45">
      <c r="C12" s="303" t="s">
        <v>47</v>
      </c>
      <c r="D12" s="317">
        <f>D4/D$8</f>
        <v>2.4523639977756168E-2</v>
      </c>
      <c r="F12" s="303" t="s">
        <v>47</v>
      </c>
      <c r="G12" s="317">
        <f>G4/G$8</f>
        <v>0.113837216183694</v>
      </c>
      <c r="H12" s="317"/>
      <c r="I12" s="371">
        <f>D12/G12</f>
        <v>0.21542726359526812</v>
      </c>
      <c r="J12" s="372">
        <f>LN(I12)</f>
        <v>-1.5351319503322227</v>
      </c>
      <c r="K12" s="372">
        <f>K8*J12</f>
        <v>-1.5351319503322227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7">
        <f t="shared" si="0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45">
      <c r="C13" s="306" t="s">
        <v>50</v>
      </c>
      <c r="D13" s="318">
        <f t="shared" ref="D13:D16" si="1">D5/D$8</f>
        <v>0.2103134406442283</v>
      </c>
      <c r="F13" s="306" t="s">
        <v>50</v>
      </c>
      <c r="G13" s="318">
        <f t="shared" ref="G13:G16" si="2">G5/G$8</f>
        <v>0.19524934409090011</v>
      </c>
      <c r="H13" s="318"/>
      <c r="I13" s="371">
        <f t="shared" ref="I13:I15" si="3">D13/G13</f>
        <v>1.0771531224520527</v>
      </c>
      <c r="J13" s="372">
        <f t="shared" ref="J13:J15" si="4">LN(I13)</f>
        <v>7.4321563047040448E-2</v>
      </c>
      <c r="K13" s="372">
        <f>K8*(J13-J12)</f>
        <v>1.6094535133792631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7">
        <f t="shared" si="0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45">
      <c r="C14" s="306" t="s">
        <v>53</v>
      </c>
      <c r="D14" s="318">
        <f t="shared" si="1"/>
        <v>0.56607251166181949</v>
      </c>
      <c r="F14" s="306" t="s">
        <v>53</v>
      </c>
      <c r="G14" s="318">
        <f t="shared" si="2"/>
        <v>0.56569595407649975</v>
      </c>
      <c r="H14" s="318"/>
      <c r="I14" s="371">
        <f t="shared" si="3"/>
        <v>1.0006656536653766</v>
      </c>
      <c r="J14" s="372">
        <f t="shared" si="4"/>
        <v>6.6543221624235224E-4</v>
      </c>
      <c r="K14" s="372">
        <f>K8*(J14-J13-J12)</f>
        <v>1.4614758195014246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7">
        <f t="shared" si="0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r="15" spans="3:25" ht="14.65" thickBot="1" x14ac:dyDescent="0.5">
      <c r="C15" s="309" t="s">
        <v>56</v>
      </c>
      <c r="D15" s="318">
        <f t="shared" si="1"/>
        <v>0.19909040771619604</v>
      </c>
      <c r="F15" s="309" t="s">
        <v>56</v>
      </c>
      <c r="G15" s="318">
        <f t="shared" si="2"/>
        <v>0.12521748564890617</v>
      </c>
      <c r="H15" s="318"/>
      <c r="I15" s="373">
        <f t="shared" si="3"/>
        <v>1.5899569192310739</v>
      </c>
      <c r="J15" s="374">
        <f t="shared" si="4"/>
        <v>0.4637069210418448</v>
      </c>
      <c r="K15" s="374">
        <f>K8*(J15-J14-J13-J12)</f>
        <v>1.9238518761107848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7">
        <f t="shared" si="0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r="16" spans="3:25" ht="14.65" thickBot="1" x14ac:dyDescent="0.5">
      <c r="C16" s="312" t="s">
        <v>4</v>
      </c>
      <c r="D16" s="320">
        <f t="shared" si="1"/>
        <v>1</v>
      </c>
      <c r="E16" s="314"/>
      <c r="F16" s="312" t="s">
        <v>4</v>
      </c>
      <c r="G16" s="320">
        <f t="shared" si="2"/>
        <v>1</v>
      </c>
      <c r="H16" s="369"/>
      <c r="I16" s="371"/>
      <c r="J16" s="371"/>
      <c r="K16" s="371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7">
        <f t="shared" si="0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4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7">
        <f t="shared" si="0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45">
      <c r="I18" s="375"/>
      <c r="J18" s="375"/>
      <c r="K18" s="372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7">
        <f t="shared" si="0"/>
        <v>-0.493022087256</v>
      </c>
    </row>
    <row r="19" spans="2:25" x14ac:dyDescent="0.45">
      <c r="C19" s="321" t="s">
        <v>82</v>
      </c>
      <c r="I19" s="375"/>
      <c r="J19" s="375"/>
      <c r="K19" s="372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7">
        <f t="shared" si="0"/>
        <v>0</v>
      </c>
    </row>
    <row r="20" spans="2:25" x14ac:dyDescent="0.45">
      <c r="C20" s="321" t="s">
        <v>85</v>
      </c>
      <c r="I20" s="375"/>
      <c r="J20" s="375"/>
      <c r="K20" s="372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7">
        <f t="shared" si="0"/>
        <v>0</v>
      </c>
    </row>
    <row r="21" spans="2:25" ht="14.65" thickBot="1" x14ac:dyDescent="0.5">
      <c r="C21" s="322"/>
      <c r="I21" s="375"/>
      <c r="J21" s="375"/>
      <c r="K21" s="372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7">
        <f t="shared" si="0"/>
        <v>0</v>
      </c>
    </row>
    <row r="22" spans="2:25" x14ac:dyDescent="0.45">
      <c r="B22" s="348" t="s">
        <v>258</v>
      </c>
      <c r="C22" s="323" t="s">
        <v>91</v>
      </c>
      <c r="D22" s="324"/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7">
        <f t="shared" si="0"/>
        <v>0.63771148688699997</v>
      </c>
    </row>
    <row r="23" spans="2:25" x14ac:dyDescent="0.45">
      <c r="B23" s="345">
        <v>50</v>
      </c>
      <c r="C23" s="303" t="s">
        <v>47</v>
      </c>
      <c r="D23" s="361">
        <f>VLOOKUP($B23,$N:$P,3,FALSE)</f>
        <v>-28.552058518999999</v>
      </c>
      <c r="I23" s="376"/>
      <c r="J23" s="376"/>
      <c r="K23" s="376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7">
        <f t="shared" si="0"/>
        <v>-12.0946718381</v>
      </c>
    </row>
    <row r="24" spans="2:25" x14ac:dyDescent="0.45">
      <c r="B24" s="345">
        <v>51</v>
      </c>
      <c r="C24" s="306" t="s">
        <v>50</v>
      </c>
      <c r="D24" s="361">
        <f t="shared" ref="D24:D26" si="5">VLOOKUP($B24,$N:$P,3,FALSE)</f>
        <v>-7.25833529236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7">
        <f t="shared" si="0"/>
        <v>-4.03623745316</v>
      </c>
    </row>
    <row r="25" spans="2:25" x14ac:dyDescent="0.45">
      <c r="B25" s="345">
        <v>52</v>
      </c>
      <c r="C25" s="306" t="s">
        <v>53</v>
      </c>
      <c r="D25" s="361">
        <f t="shared" si="5"/>
        <v>-2.64524710889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-2.16371815818</v>
      </c>
      <c r="Q25" s="337">
        <f t="shared" si="0"/>
        <v>-2.16371815818</v>
      </c>
    </row>
    <row r="26" spans="2:25" ht="14.65" thickBot="1" x14ac:dyDescent="0.5">
      <c r="B26" s="347">
        <v>53</v>
      </c>
      <c r="C26" s="326" t="s">
        <v>56</v>
      </c>
      <c r="D26" s="362">
        <f t="shared" si="5"/>
        <v>-0.76461618005800003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7">
        <f t="shared" si="0"/>
        <v>0.10429329553199999</v>
      </c>
    </row>
    <row r="27" spans="2:25" x14ac:dyDescent="0.4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7">
        <f t="shared" si="0"/>
        <v>0</v>
      </c>
    </row>
    <row r="28" spans="2:25" x14ac:dyDescent="0.4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7">
        <f t="shared" si="0"/>
        <v>0.417326479157</v>
      </c>
    </row>
    <row r="29" spans="2:25" x14ac:dyDescent="0.4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7">
        <f t="shared" si="0"/>
        <v>-14.8384910501</v>
      </c>
    </row>
    <row r="30" spans="2:25" x14ac:dyDescent="0.4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7">
        <f t="shared" si="0"/>
        <v>-5.1880432348000003</v>
      </c>
    </row>
    <row r="31" spans="2:25" ht="14.65" thickBot="1" x14ac:dyDescent="0.5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7">
        <f t="shared" si="0"/>
        <v>-2.6156308707</v>
      </c>
    </row>
    <row r="32" spans="2:25" x14ac:dyDescent="0.45">
      <c r="B32" s="348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7">
        <f t="shared" si="0"/>
        <v>-0.91046169190000004</v>
      </c>
    </row>
    <row r="33" spans="2:17" x14ac:dyDescent="0.45">
      <c r="B33" s="345">
        <f>B23</f>
        <v>50</v>
      </c>
      <c r="C33" s="303" t="s">
        <v>47</v>
      </c>
      <c r="D33" s="377">
        <f>K12</f>
        <v>-1.5351319503322227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7">
        <f t="shared" si="0"/>
        <v>5.7553461640599997E-2</v>
      </c>
    </row>
    <row r="34" spans="2:17" x14ac:dyDescent="0.45">
      <c r="B34" s="345">
        <f t="shared" ref="B34:B36" si="6">B24</f>
        <v>51</v>
      </c>
      <c r="C34" s="306" t="s">
        <v>50</v>
      </c>
      <c r="D34" s="378">
        <f t="shared" ref="D34:D36" si="7">K13</f>
        <v>1.6094535133792631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7">
        <f t="shared" si="0"/>
        <v>0.237798002151</v>
      </c>
    </row>
    <row r="35" spans="2:17" x14ac:dyDescent="0.45">
      <c r="B35" s="345">
        <f t="shared" si="6"/>
        <v>52</v>
      </c>
      <c r="C35" s="306" t="s">
        <v>53</v>
      </c>
      <c r="D35" s="378">
        <f t="shared" si="7"/>
        <v>1.4614758195014246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7">
        <f t="shared" si="0"/>
        <v>0</v>
      </c>
    </row>
    <row r="36" spans="2:17" ht="14.65" thickBot="1" x14ac:dyDescent="0.5">
      <c r="B36" s="365">
        <f t="shared" si="6"/>
        <v>53</v>
      </c>
      <c r="C36" s="326" t="s">
        <v>56</v>
      </c>
      <c r="D36" s="327">
        <f t="shared" si="7"/>
        <v>1.9238518761107848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7">
        <f t="shared" si="0"/>
        <v>0</v>
      </c>
    </row>
    <row r="37" spans="2:17" ht="14.65" thickTop="1" x14ac:dyDescent="0.4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7">
        <f t="shared" si="0"/>
        <v>0</v>
      </c>
    </row>
    <row r="38" spans="2:17" x14ac:dyDescent="0.4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7">
        <f t="shared" si="0"/>
        <v>0.61259135262599995</v>
      </c>
    </row>
    <row r="39" spans="2:17" x14ac:dyDescent="0.4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7">
        <f t="shared" si="0"/>
        <v>-20.810228388700001</v>
      </c>
    </row>
    <row r="40" spans="2:17" x14ac:dyDescent="0.4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7">
        <f t="shared" si="0"/>
        <v>-7.1836373472300004</v>
      </c>
    </row>
    <row r="41" spans="2:17" ht="14.65" thickBot="1" x14ac:dyDescent="0.5">
      <c r="B41" s="346"/>
      <c r="C41" s="322"/>
      <c r="D41" s="325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7">
        <f t="shared" si="0"/>
        <v>-3.6600975390500001</v>
      </c>
    </row>
    <row r="42" spans="2:17" x14ac:dyDescent="0.45">
      <c r="B42" s="348" t="s">
        <v>258</v>
      </c>
      <c r="C42" s="323" t="s">
        <v>91</v>
      </c>
      <c r="D42" s="333"/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7">
        <f t="shared" si="0"/>
        <v>-1.3605457273599999</v>
      </c>
    </row>
    <row r="43" spans="2:17" x14ac:dyDescent="0.45">
      <c r="B43" s="345">
        <f>B33</f>
        <v>50</v>
      </c>
      <c r="C43" s="303" t="s">
        <v>47</v>
      </c>
      <c r="D43" s="363">
        <f>D23+D33</f>
        <v>-30.087190469332221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7">
        <f t="shared" si="0"/>
        <v>-0.22141031751900001</v>
      </c>
    </row>
    <row r="44" spans="2:17" x14ac:dyDescent="0.45">
      <c r="B44" s="345">
        <f t="shared" ref="B44:B46" si="8">B34</f>
        <v>51</v>
      </c>
      <c r="C44" s="306" t="s">
        <v>50</v>
      </c>
      <c r="D44" s="363">
        <f t="shared" ref="D44:D46" si="9">D24+D34</f>
        <v>-5.6488817789807371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7">
        <f t="shared" si="0"/>
        <v>0.64228876129599999</v>
      </c>
    </row>
    <row r="45" spans="2:17" x14ac:dyDescent="0.45">
      <c r="B45" s="345">
        <f t="shared" si="8"/>
        <v>52</v>
      </c>
      <c r="C45" s="306" t="s">
        <v>53</v>
      </c>
      <c r="D45" s="363">
        <f t="shared" si="9"/>
        <v>-1.1837712893885755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7">
        <f t="shared" si="0"/>
        <v>0.74588429254199995</v>
      </c>
    </row>
    <row r="46" spans="2:17" ht="14.65" thickBot="1" x14ac:dyDescent="0.5">
      <c r="B46" s="365">
        <f t="shared" si="8"/>
        <v>53</v>
      </c>
      <c r="C46" s="326" t="s">
        <v>56</v>
      </c>
      <c r="D46" s="364">
        <f t="shared" si="9"/>
        <v>1.1592356960527848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7">
        <f t="shared" si="0"/>
        <v>-32.156094092099998</v>
      </c>
    </row>
    <row r="47" spans="2:17" ht="14.65" thickTop="1" x14ac:dyDescent="0.4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7">
        <f t="shared" si="0"/>
        <v>-7.5551873767200002</v>
      </c>
    </row>
    <row r="48" spans="2:17" x14ac:dyDescent="0.4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7">
        <f t="shared" si="0"/>
        <v>-3.4784098231399998</v>
      </c>
    </row>
    <row r="49" spans="13:18" x14ac:dyDescent="0.4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7">
        <f t="shared" si="0"/>
        <v>-0.79171784712299997</v>
      </c>
    </row>
    <row r="50" spans="13:18" x14ac:dyDescent="0.4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7">
        <f t="shared" si="0"/>
        <v>0.65760260093900003</v>
      </c>
    </row>
    <row r="51" spans="13:18" x14ac:dyDescent="0.4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7">
        <f t="shared" si="0"/>
        <v>0.201576719663</v>
      </c>
    </row>
    <row r="52" spans="13:18" x14ac:dyDescent="0.45">
      <c r="M52" s="297" t="str">
        <f>VLOOKUP(N52,Coeff_Descr!$A:$D,3,FALSE)</f>
        <v>SOCREC</v>
      </c>
      <c r="N52" s="338">
        <f>OtherTourDestination!B60</f>
        <v>50</v>
      </c>
      <c r="O52" s="338" t="str">
        <f>OtherTourDestination!C60</f>
        <v>Beta00050</v>
      </c>
      <c r="P52" s="339">
        <f>OtherTourDestination!E60</f>
        <v>-28.552058518999999</v>
      </c>
      <c r="Q52" s="340">
        <f t="shared" si="0"/>
        <v>-30.087190469332221</v>
      </c>
      <c r="R52" s="297" t="str">
        <f>VLOOKUP(N52,Coeff_Descr!$A$2:$E$104,4,FALSE)</f>
        <v>distanceFromOrigin4</v>
      </c>
    </row>
    <row r="53" spans="13:18" x14ac:dyDescent="0.45">
      <c r="M53" s="297" t="str">
        <f>VLOOKUP(N53,Coeff_Descr!$A:$D,3,FALSE)</f>
        <v>SOCREC</v>
      </c>
      <c r="N53" s="338">
        <f>OtherTourDestination!B61</f>
        <v>51</v>
      </c>
      <c r="O53" s="338" t="str">
        <f>OtherTourDestination!C61</f>
        <v>Beta00051</v>
      </c>
      <c r="P53" s="339">
        <f>OtherTourDestination!E61</f>
        <v>-7.25833529236</v>
      </c>
      <c r="Q53" s="340">
        <f t="shared" si="0"/>
        <v>-5.6488817789807371</v>
      </c>
      <c r="R53" s="297" t="str">
        <f>VLOOKUP(N53,Coeff_Descr!$A$2:$E$104,4,FALSE)</f>
        <v>distanceFromOrigin8</v>
      </c>
    </row>
    <row r="54" spans="13:18" x14ac:dyDescent="0.45">
      <c r="M54" s="297" t="str">
        <f>VLOOKUP(N54,Coeff_Descr!$A:$D,3,FALSE)</f>
        <v>SOCREC</v>
      </c>
      <c r="N54" s="338">
        <f>OtherTourDestination!B62</f>
        <v>52</v>
      </c>
      <c r="O54" s="338" t="str">
        <f>OtherTourDestination!C62</f>
        <v>Beta00052</v>
      </c>
      <c r="P54" s="339">
        <f>OtherTourDestination!E62</f>
        <v>-2.64524710889</v>
      </c>
      <c r="Q54" s="340">
        <f t="shared" si="0"/>
        <v>-1.1837712893885755</v>
      </c>
      <c r="R54" s="297" t="str">
        <f>VLOOKUP(N54,Coeff_Descr!$A$2:$E$104,4,FALSE)</f>
        <v>distanceFromOrigin9</v>
      </c>
    </row>
    <row r="55" spans="13:18" x14ac:dyDescent="0.45">
      <c r="M55" s="297" t="str">
        <f>VLOOKUP(N55,Coeff_Descr!$A:$D,3,FALSE)</f>
        <v>SOCREC</v>
      </c>
      <c r="N55" s="338">
        <f>OtherTourDestination!B63</f>
        <v>53</v>
      </c>
      <c r="O55" s="338" t="str">
        <f>OtherTourDestination!C63</f>
        <v>Beta00053</v>
      </c>
      <c r="P55" s="339">
        <f>OtherTourDestination!E63</f>
        <v>-0.76461618005800003</v>
      </c>
      <c r="Q55" s="340">
        <f t="shared" si="0"/>
        <v>1.1592356960527848</v>
      </c>
      <c r="R55" s="297" t="str">
        <f>VLOOKUP(N55,Coeff_Descr!$A$2:$E$104,4,FALSE)</f>
        <v>distanceFromOrigin3</v>
      </c>
    </row>
    <row r="56" spans="13:18" x14ac:dyDescent="0.4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7">
        <f t="shared" si="0"/>
        <v>0.20818008309700001</v>
      </c>
    </row>
    <row r="57" spans="13:18" x14ac:dyDescent="0.4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7">
        <f t="shared" si="0"/>
        <v>0.42522231451499998</v>
      </c>
    </row>
    <row r="58" spans="13:18" x14ac:dyDescent="0.4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7">
        <f t="shared" si="0"/>
        <v>-0.743588483327</v>
      </c>
    </row>
    <row r="59" spans="13:18" x14ac:dyDescent="0.4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7">
        <f t="shared" si="0"/>
        <v>6.2100000000000002E-2</v>
      </c>
    </row>
    <row r="60" spans="13:18" x14ac:dyDescent="0.4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7">
        <f t="shared" si="0"/>
        <v>-3</v>
      </c>
    </row>
    <row r="61" spans="13:18" x14ac:dyDescent="0.4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7">
        <f t="shared" si="0"/>
        <v>0.29394695214400002</v>
      </c>
    </row>
    <row r="62" spans="13:18" x14ac:dyDescent="0.4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7">
        <f t="shared" si="0"/>
        <v>0</v>
      </c>
    </row>
    <row r="63" spans="13:18" x14ac:dyDescent="0.4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7">
        <f t="shared" si="0"/>
        <v>-6.2798471793299999</v>
      </c>
    </row>
    <row r="64" spans="13:18" x14ac:dyDescent="0.4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7">
        <f t="shared" si="0"/>
        <v>3.2962256518299999</v>
      </c>
    </row>
    <row r="65" spans="13:17" x14ac:dyDescent="0.4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7">
        <f t="shared" si="0"/>
        <v>-5.4150639062700003</v>
      </c>
    </row>
    <row r="66" spans="13:17" x14ac:dyDescent="0.4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7">
        <f t="shared" si="0"/>
        <v>-5.94820877094</v>
      </c>
    </row>
    <row r="67" spans="13:17" x14ac:dyDescent="0.4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7">
        <f t="shared" si="0"/>
        <v>-4.8479831726300002</v>
      </c>
    </row>
    <row r="68" spans="13:17" x14ac:dyDescent="0.4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7">
        <f t="shared" si="0"/>
        <v>-5.4883496585599998</v>
      </c>
    </row>
    <row r="69" spans="13:17" x14ac:dyDescent="0.4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7">
        <f t="shared" ref="Q69:Q103" si="10">_xlfn.IFNA(VLOOKUP(N69,$B$43:$D$46,3,FALSE),P69)</f>
        <v>-6.9308352438999998</v>
      </c>
    </row>
    <row r="70" spans="13:17" x14ac:dyDescent="0.4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7">
        <f t="shared" si="10"/>
        <v>-22.404820174200001</v>
      </c>
    </row>
    <row r="71" spans="13:17" x14ac:dyDescent="0.4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7">
        <f t="shared" si="10"/>
        <v>-2.8929233973800002</v>
      </c>
    </row>
    <row r="72" spans="13:17" x14ac:dyDescent="0.4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7">
        <f t="shared" si="10"/>
        <v>-2.5610724948299999</v>
      </c>
    </row>
    <row r="73" spans="13:17" x14ac:dyDescent="0.4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7">
        <f t="shared" si="10"/>
        <v>-6.7871010869299999</v>
      </c>
    </row>
    <row r="74" spans="13:17" x14ac:dyDescent="0.4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7">
        <f t="shared" si="10"/>
        <v>-7.1983706387300002</v>
      </c>
    </row>
    <row r="75" spans="13:17" x14ac:dyDescent="0.4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7">
        <f t="shared" si="10"/>
        <v>-6.5584328775399996</v>
      </c>
    </row>
    <row r="76" spans="13:17" x14ac:dyDescent="0.4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7">
        <f t="shared" si="10"/>
        <v>-7.3832576457999997</v>
      </c>
    </row>
    <row r="77" spans="13:17" x14ac:dyDescent="0.4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7">
        <f t="shared" si="10"/>
        <v>-8.5452246906399996</v>
      </c>
    </row>
    <row r="78" spans="13:17" x14ac:dyDescent="0.4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7">
        <f t="shared" si="10"/>
        <v>-24.633851965200002</v>
      </c>
    </row>
    <row r="79" spans="13:17" x14ac:dyDescent="0.4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7">
        <f t="shared" si="10"/>
        <v>0</v>
      </c>
    </row>
    <row r="80" spans="13:17" x14ac:dyDescent="0.4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7">
        <f t="shared" si="10"/>
        <v>-0.55009338373399996</v>
      </c>
    </row>
    <row r="81" spans="13:17" x14ac:dyDescent="0.4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7">
        <f t="shared" si="10"/>
        <v>-9.9117567037699992</v>
      </c>
    </row>
    <row r="82" spans="13:17" x14ac:dyDescent="0.4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7">
        <f t="shared" si="10"/>
        <v>-9.3194311560499994</v>
      </c>
    </row>
    <row r="83" spans="13:17" x14ac:dyDescent="0.4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7">
        <f t="shared" si="10"/>
        <v>-0.20086270196799999</v>
      </c>
    </row>
    <row r="84" spans="13:17" x14ac:dyDescent="0.4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7">
        <f t="shared" si="10"/>
        <v>-2.1843835309699999</v>
      </c>
    </row>
    <row r="85" spans="13:17" x14ac:dyDescent="0.4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7">
        <f t="shared" si="10"/>
        <v>0</v>
      </c>
    </row>
    <row r="86" spans="13:17" x14ac:dyDescent="0.4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7">
        <f t="shared" si="10"/>
        <v>-9.9476357147400005</v>
      </c>
    </row>
    <row r="87" spans="13:17" x14ac:dyDescent="0.4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7">
        <f t="shared" si="10"/>
        <v>-12.800107987600001</v>
      </c>
    </row>
    <row r="88" spans="13:17" x14ac:dyDescent="0.4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7">
        <f t="shared" si="10"/>
        <v>-30</v>
      </c>
    </row>
    <row r="89" spans="13:17" x14ac:dyDescent="0.4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7">
        <f t="shared" si="10"/>
        <v>-21.699928591700001</v>
      </c>
    </row>
    <row r="90" spans="13:17" x14ac:dyDescent="0.4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7">
        <f t="shared" si="10"/>
        <v>-17.700475093400001</v>
      </c>
    </row>
    <row r="91" spans="13:17" x14ac:dyDescent="0.4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7">
        <f t="shared" si="10"/>
        <v>-0.7</v>
      </c>
    </row>
    <row r="92" spans="13:17" x14ac:dyDescent="0.4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7">
        <f t="shared" si="10"/>
        <v>-17.8758745875</v>
      </c>
    </row>
    <row r="93" spans="13:17" x14ac:dyDescent="0.4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7">
        <f t="shared" si="10"/>
        <v>0</v>
      </c>
    </row>
    <row r="94" spans="13:17" x14ac:dyDescent="0.4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7">
        <f t="shared" si="10"/>
        <v>5</v>
      </c>
    </row>
    <row r="95" spans="13:17" x14ac:dyDescent="0.4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7">
        <f t="shared" si="10"/>
        <v>-30</v>
      </c>
    </row>
    <row r="96" spans="13:17" x14ac:dyDescent="0.4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7">
        <f t="shared" si="10"/>
        <v>-24.158093970700001</v>
      </c>
    </row>
    <row r="97" spans="13:17" x14ac:dyDescent="0.4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7">
        <f t="shared" si="10"/>
        <v>-9.5803170794600003</v>
      </c>
    </row>
    <row r="98" spans="13:17" x14ac:dyDescent="0.4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7">
        <f t="shared" si="10"/>
        <v>0</v>
      </c>
    </row>
    <row r="99" spans="13:17" x14ac:dyDescent="0.4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7">
        <f t="shared" si="10"/>
        <v>-15.671349338700001</v>
      </c>
    </row>
    <row r="100" spans="13:17" x14ac:dyDescent="0.4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7">
        <f t="shared" si="10"/>
        <v>-18.208541213899998</v>
      </c>
    </row>
    <row r="101" spans="13:17" x14ac:dyDescent="0.4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7">
        <f t="shared" si="10"/>
        <v>-11.2471450075</v>
      </c>
    </row>
    <row r="102" spans="13:17" x14ac:dyDescent="0.4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7">
        <f t="shared" si="10"/>
        <v>-10.0807778908</v>
      </c>
    </row>
    <row r="103" spans="13:17" x14ac:dyDescent="0.4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7">
        <f t="shared" si="10"/>
        <v>-5.6623999999999999</v>
      </c>
    </row>
    <row r="104" spans="13:17" x14ac:dyDescent="0.4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7">
        <f t="shared" ref="Q104" si="11">_xlfn.IFNA(VLOOKUP(N104,$B$43:$D$46,3,FALSE),P104)</f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2022-01-21T23:37:55Z</dcterms:modified>
</cp:coreProperties>
</file>