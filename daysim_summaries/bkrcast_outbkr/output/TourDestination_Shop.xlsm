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I12" s="1"/>
  <c i="6" r="J12" s="1"/>
  <c i="6" r="K12" s="1"/>
  <c i="6" r="D33" s="1"/>
  <c i="6" r="D43" s="1"/>
  <c i="6" r="Q39" s="1"/>
  <c i="6" r="D13"/>
  <c i="6" r="I13" s="1"/>
  <c i="6" r="J13" s="1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K14"/>
  <c i="6" r="D35" s="1"/>
  <c i="6" r="D45" s="1"/>
  <c i="6" r="Q41" s="1"/>
  <c i="6" r="K13"/>
  <c i="6" r="D34" s="1"/>
  <c i="6" r="D44" s="1"/>
  <c i="6" r="Q40" s="1"/>
  <c i="6" r="K15"/>
  <c i="6" r="D36" s="1"/>
  <c i="6" r="D46" s="1"/>
  <c i="6" r="Q42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8" s="1"/>
  <c i="1" r="H22"/>
  <c i="1" r="J23"/>
  <c i="1" r="J25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<sst xmlns="http://schemas.openxmlformats.org/spreadsheetml/2006/main" count="716" uniqueCount="285">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</sst>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2.6240482246273945E-2</c:v>
                </c:pt>
                <c:pt idx="1">
                  <c:v>3.4691534360557622E-2</c:v>
                </c:pt>
                <c:pt idx="2">
                  <c:v>6.7160902242041021E-2</c:v>
                </c:pt>
                <c:pt idx="3">
                  <c:v>0.10899278957275935</c:v>
                </c:pt>
                <c:pt idx="4">
                  <c:v>0.24387416861015357</c:v>
                </c:pt>
                <c:pt idx="5">
                  <c:v>0.12326033242601567</c:v>
                </c:pt>
                <c:pt idx="6">
                  <c:v>0.15329451482365417</c:v>
                </c:pt>
                <c:pt idx="7">
                  <c:v>3.8988301798656762E-2</c:v>
                </c:pt>
                <c:pt idx="8">
                  <c:v>4.7911313696947296E-2</c:v>
                </c:pt>
                <c:pt idx="9">
                  <c:v>3.2335622616879646E-2</c:v>
                </c:pt>
                <c:pt idx="10">
                  <c:v>4.6262393056899685E-2</c:v>
                </c:pt>
                <c:pt idx="11">
                  <c:v>1.1980811207329691E-2</c:v>
                </c:pt>
                <c:pt idx="12">
                  <c:v>5.6502699489663329E-3</c:v>
                </c:pt>
                <c:pt idx="13">
                  <c:v>4.4505401717048936E-3</c:v>
                </c:pt>
                <c:pt idx="14">
                  <c:v>7.2820771286120989E-3</c:v>
                </c:pt>
                <c:pt idx="15">
                  <c:v>7.4483316527892661E-3</c:v>
                </c:pt>
                <c:pt idx="16">
                  <c:v>7.2201550850603752E-3</c:v>
                </c:pt>
                <c:pt idx="17">
                  <c:v>4.7149277522862678E-3</c:v>
                </c:pt>
                <c:pt idx="18">
                  <c:v>1.5735170282139303E-3</c:v>
                </c:pt>
                <c:pt idx="19">
                  <c:v>8.092794514410731E-4</c:v>
                </c:pt>
                <c:pt idx="20">
                  <c:v>1.5768818444062015E-4</c:v>
                </c:pt>
                <c:pt idx="21">
                  <c:v>0</c:v>
                </c:pt>
                <c:pt idx="22">
                  <c:v>3.5352993761308907E-3</c:v>
                </c:pt>
                <c:pt idx="23">
                  <c:v>1.1125750309500923E-3</c:v>
                </c:pt>
                <c:pt idx="24">
                  <c:v>1.8674732699965725E-3</c:v>
                </c:pt>
                <c:pt idx="25">
                  <c:v>0</c:v>
                </c:pt>
                <c:pt idx="26">
                  <c:v>1.4434474925086281E-2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1.40597534241879E-3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2.8927503692880802E-4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3.9570629903868027E-4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7.0254788032374335E-4</c:v>
                </c:pt>
                <c:pt idx="55">
                  <c:v>0</c:v>
                </c:pt>
                <c:pt idx="56">
                  <c:v>1.0567498137286876E-3</c:v>
                </c:pt>
                <c:pt idx="57">
                  <c:v>8.9996996371392022E-4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0.15821055622527436</c:v>
                </c:pt>
                <c:pt idx="1">
                  <c:v>0.10645838692484746</c:v>
                </c:pt>
                <c:pt idx="2">
                  <c:v>6.8082659551394892E-2</c:v>
                </c:pt>
                <c:pt idx="3">
                  <c:v>4.047399277376227E-2</c:v>
                </c:pt>
                <c:pt idx="4">
                  <c:v>0.15187709006905109</c:v>
                </c:pt>
                <c:pt idx="5">
                  <c:v>8.5880926801137236E-2</c:v>
                </c:pt>
                <c:pt idx="6">
                  <c:v>8.5657313581392697E-2</c:v>
                </c:pt>
                <c:pt idx="7">
                  <c:v>5.897168182360784E-2</c:v>
                </c:pt>
                <c:pt idx="8">
                  <c:v>5.2155681877409515E-2</c:v>
                </c:pt>
                <c:pt idx="9">
                  <c:v>1.9651062499054267E-2</c:v>
                </c:pt>
                <c:pt idx="10">
                  <c:v>1.7408205091992462E-2</c:v>
                </c:pt>
                <c:pt idx="11">
                  <c:v>1.7994979631021375E-2</c:v>
                </c:pt>
                <c:pt idx="12">
                  <c:v>2.1350859229593611E-2</c:v>
                </c:pt>
                <c:pt idx="13">
                  <c:v>2.3319664344788046E-2</c:v>
                </c:pt>
                <c:pt idx="14">
                  <c:v>1.0652732032341534E-2</c:v>
                </c:pt>
                <c:pt idx="15">
                  <c:v>2.079939204105068E-2</c:v>
                </c:pt>
                <c:pt idx="16">
                  <c:v>8.8268376214951146E-3</c:v>
                </c:pt>
                <c:pt idx="17">
                  <c:v>7.1522604270171843E-3</c:v>
                </c:pt>
                <c:pt idx="18">
                  <c:v>6.9252846024644528E-3</c:v>
                </c:pt>
                <c:pt idx="19">
                  <c:v>4.167948659749789E-3</c:v>
                </c:pt>
                <c:pt idx="20">
                  <c:v>3.3088031312575976E-3</c:v>
                </c:pt>
                <c:pt idx="21">
                  <c:v>6.2443571288062581E-3</c:v>
                </c:pt>
                <c:pt idx="22">
                  <c:v>2.9237848807200009E-3</c:v>
                </c:pt>
                <c:pt idx="23">
                  <c:v>2.2663956407191267E-3</c:v>
                </c:pt>
                <c:pt idx="24">
                  <c:v>3.1793428461423358E-3</c:v>
                </c:pt>
                <c:pt idx="25">
                  <c:v>2.2294069878290518E-3</c:v>
                </c:pt>
                <c:pt idx="26">
                  <c:v>1.546798211766763E-3</c:v>
                </c:pt>
                <c:pt idx="27">
                  <c:v>2.9389166023568499E-3</c:v>
                </c:pt>
                <c:pt idx="28">
                  <c:v>1.5451169093626687E-3</c:v>
                </c:pt>
                <c:pt idx="29">
                  <c:v>1.5652925382118005E-3</c:v>
                </c:pt>
                <c:pt idx="30">
                  <c:v>1.2912402463444283E-3</c:v>
                </c:pt>
                <c:pt idx="31">
                  <c:v>7.4145436020558965E-4</c:v>
                </c:pt>
                <c:pt idx="32">
                  <c:v>7.532234770342498E-4</c:v>
                </c:pt>
                <c:pt idx="33">
                  <c:v>6.9101528808276046E-4</c:v>
                </c:pt>
                <c:pt idx="34">
                  <c:v>3.6652392409255904E-4</c:v>
                </c:pt>
                <c:pt idx="35">
                  <c:v>2.3706363897729737E-4</c:v>
                </c:pt>
                <c:pt idx="36">
                  <c:v>6.3721361115174258E-4</c:v>
                </c:pt>
                <c:pt idx="37">
                  <c:v>3.3626048081886151E-4</c:v>
                </c:pt>
                <c:pt idx="38">
                  <c:v>1.9334977647084538E-4</c:v>
                </c:pt>
                <c:pt idx="39">
                  <c:v>1.9839368368312831E-4</c:v>
                </c:pt>
                <c:pt idx="40">
                  <c:v>1.2609768030707308E-4</c:v>
                </c:pt>
                <c:pt idx="41">
                  <c:v>1.2273507549888444E-4</c:v>
                </c:pt>
                <c:pt idx="42">
                  <c:v>1.0592205145794138E-4</c:v>
                </c:pt>
                <c:pt idx="43">
                  <c:v>6.0526886547395076E-5</c:v>
                </c:pt>
                <c:pt idx="44">
                  <c:v>5.5482979335112153E-5</c:v>
                </c:pt>
                <c:pt idx="45">
                  <c:v>4.0351257698263384E-5</c:v>
                </c:pt>
                <c:pt idx="46">
                  <c:v>6.5570793759677992E-5</c:v>
                </c:pt>
                <c:pt idx="47">
                  <c:v>4.2032560102357689E-5</c:v>
                </c:pt>
                <c:pt idx="48">
                  <c:v>3.1944745677791843E-5</c:v>
                </c:pt>
                <c:pt idx="49">
                  <c:v>8.4065120204715389E-6</c:v>
                </c:pt>
                <c:pt idx="50">
                  <c:v>2.5219536061414615E-5</c:v>
                </c:pt>
                <c:pt idx="51">
                  <c:v>3.8669955294169072E-5</c:v>
                </c:pt>
                <c:pt idx="52">
                  <c:v>2.3538233657320306E-5</c:v>
                </c:pt>
                <c:pt idx="53">
                  <c:v>1.0087814424565846E-5</c:v>
                </c:pt>
                <c:pt idx="54">
                  <c:v>8.4065120204715389E-6</c:v>
                </c:pt>
                <c:pt idx="55">
                  <c:v>3.362604808188615E-6</c:v>
                </c:pt>
                <c:pt idx="56">
                  <c:v>5.043907212282923E-6</c:v>
                </c:pt>
                <c:pt idx="57">
                  <c:v>3.362604808188615E-6</c:v>
                </c:pt>
                <c:pt idx="58">
                  <c:v>3.362604808188615E-6</c:v>
                </c:pt>
                <c:pt idx="59">
                  <c:v>3.362604808188615E-6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217408"/>
        <c:axId val="172217800"/>
      </c:lineChart>
      <c:catAx>
        <c:axId val="172217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72217800"/>
        <c:crosses val="autoZero"/>
        <c:auto val="1"/>
        <c:lblAlgn val="ctr"/>
        <c:lblOffset val="100"/>
        <c:tickLblSkip val="10"/>
        <c:noMultiLvlLbl val="0"/>
      </c:catAx>
      <c:valAx>
        <c:axId val="1722178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722174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1.4311507456928776E-3</c:v>
                </c:pt>
                <c:pt idx="4">
                  <c:v>3.0379230788462612E-3</c:v>
                </c:pt>
                <c:pt idx="5">
                  <c:v>2.1771408421734806E-2</c:v>
                </c:pt>
                <c:pt idx="6">
                  <c:v>7.2964527922652605E-3</c:v>
                </c:pt>
                <c:pt idx="7">
                  <c:v>1.4377635504371723E-2</c:v>
                </c:pt>
                <c:pt idx="8">
                  <c:v>3.210165932905332E-3</c:v>
                </c:pt>
                <c:pt idx="9">
                  <c:v>9.8072801310153061E-3</c:v>
                </c:pt>
                <c:pt idx="10">
                  <c:v>0</c:v>
                </c:pt>
                <c:pt idx="11">
                  <c:v>1.0700225531988947E-2</c:v>
                </c:pt>
                <c:pt idx="12">
                  <c:v>2.1167863003203582E-2</c:v>
                </c:pt>
                <c:pt idx="13">
                  <c:v>3.5628861582219902E-2</c:v>
                </c:pt>
                <c:pt idx="14">
                  <c:v>2.1510511888800984E-2</c:v>
                </c:pt>
                <c:pt idx="15">
                  <c:v>1.0923435753256766E-2</c:v>
                </c:pt>
                <c:pt idx="16">
                  <c:v>4.6945300365718021E-2</c:v>
                </c:pt>
                <c:pt idx="17">
                  <c:v>2.9277493689612164E-2</c:v>
                </c:pt>
                <c:pt idx="18">
                  <c:v>0.13763001365345331</c:v>
                </c:pt>
                <c:pt idx="19">
                  <c:v>6.0603539567176394E-2</c:v>
                </c:pt>
                <c:pt idx="20">
                  <c:v>8.3184132587429488E-2</c:v>
                </c:pt>
                <c:pt idx="21">
                  <c:v>7.6418100130891967E-2</c:v>
                </c:pt>
                <c:pt idx="22">
                  <c:v>6.1542423520017007E-2</c:v>
                </c:pt>
                <c:pt idx="23">
                  <c:v>2.8610523351288417E-2</c:v>
                </c:pt>
                <c:pt idx="24">
                  <c:v>2.1189240691739261E-2</c:v>
                </c:pt>
                <c:pt idx="25">
                  <c:v>1.6982874710369002E-2</c:v>
                </c:pt>
                <c:pt idx="26">
                  <c:v>7.6275664534793855E-2</c:v>
                </c:pt>
                <c:pt idx="27">
                  <c:v>9.2777602247353878E-3</c:v>
                </c:pt>
                <c:pt idx="28">
                  <c:v>2.9006758520600428E-2</c:v>
                </c:pt>
                <c:pt idx="29">
                  <c:v>1.1174782845923804E-2</c:v>
                </c:pt>
                <c:pt idx="30">
                  <c:v>4.2999325512585954E-3</c:v>
                </c:pt>
                <c:pt idx="31">
                  <c:v>4.4309167779440712E-3</c:v>
                </c:pt>
                <c:pt idx="32">
                  <c:v>6.4197513883062817E-3</c:v>
                </c:pt>
                <c:pt idx="33">
                  <c:v>6.0457474899060981E-3</c:v>
                </c:pt>
                <c:pt idx="34">
                  <c:v>1.2025998522552097E-2</c:v>
                </c:pt>
                <c:pt idx="35">
                  <c:v>2.289706740395222E-3</c:v>
                </c:pt>
                <c:pt idx="36">
                  <c:v>2.2471636744625153E-3</c:v>
                </c:pt>
                <c:pt idx="37">
                  <c:v>1.6476174604143825E-2</c:v>
                </c:pt>
                <c:pt idx="38">
                  <c:v>1.3587518280540223E-2</c:v>
                </c:pt>
                <c:pt idx="39">
                  <c:v>1.7262112119334242E-3</c:v>
                </c:pt>
                <c:pt idx="40">
                  <c:v>8.1536245833210169E-4</c:v>
                </c:pt>
                <c:pt idx="41">
                  <c:v>3.9600286680454176E-3</c:v>
                </c:pt>
                <c:pt idx="42">
                  <c:v>1.8899961754864608E-3</c:v>
                </c:pt>
                <c:pt idx="43">
                  <c:v>0</c:v>
                </c:pt>
                <c:pt idx="44">
                  <c:v>2.4849943870701842E-4</c:v>
                </c:pt>
                <c:pt idx="45">
                  <c:v>4.4325081473707714E-2</c:v>
                </c:pt>
                <c:pt idx="46">
                  <c:v>1.8053638884362607E-3</c:v>
                </c:pt>
                <c:pt idx="47">
                  <c:v>2.1155916943345204E-3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1.7222294008321652E-3</c:v>
                </c:pt>
                <c:pt idx="53">
                  <c:v>0</c:v>
                </c:pt>
                <c:pt idx="54">
                  <c:v>1.6634999318468305E-2</c:v>
                </c:pt>
                <c:pt idx="55">
                  <c:v>2.8927503692880802E-4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1.0176840520625258E-3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3.4612972593089514E-2</c:v>
                </c:pt>
                <c:pt idx="1">
                  <c:v>2.8205529131086104E-2</c:v>
                </c:pt>
                <c:pt idx="2">
                  <c:v>3.4426348026235044E-2</c:v>
                </c:pt>
                <c:pt idx="3">
                  <c:v>3.4391040675749066E-2</c:v>
                </c:pt>
                <c:pt idx="4">
                  <c:v>3.1020029355539977E-2</c:v>
                </c:pt>
                <c:pt idx="5">
                  <c:v>2.8301363368119479E-2</c:v>
                </c:pt>
                <c:pt idx="6">
                  <c:v>2.6154340198091049E-2</c:v>
                </c:pt>
                <c:pt idx="7">
                  <c:v>2.3739989945811623E-2</c:v>
                </c:pt>
                <c:pt idx="8">
                  <c:v>2.1122202102636788E-2</c:v>
                </c:pt>
                <c:pt idx="9">
                  <c:v>1.8778466551329323E-2</c:v>
                </c:pt>
                <c:pt idx="10">
                  <c:v>1.7129108892912807E-2</c:v>
                </c:pt>
                <c:pt idx="11">
                  <c:v>1.5284720155621351E-2</c:v>
                </c:pt>
                <c:pt idx="12">
                  <c:v>1.3966579070811414E-2</c:v>
                </c:pt>
                <c:pt idx="13">
                  <c:v>1.2334034436435841E-2</c:v>
                </c:pt>
                <c:pt idx="14">
                  <c:v>1.124455047858273E-2</c:v>
                </c:pt>
                <c:pt idx="15">
                  <c:v>1.0139934799092769E-2</c:v>
                </c:pt>
                <c:pt idx="16">
                  <c:v>9.1748672191426361E-3</c:v>
                </c:pt>
                <c:pt idx="17">
                  <c:v>8.2568761065071449E-3</c:v>
                </c:pt>
                <c:pt idx="18">
                  <c:v>0.10443409883031791</c:v>
                </c:pt>
                <c:pt idx="19">
                  <c:v>3.5150989362399687E-2</c:v>
                </c:pt>
                <c:pt idx="20">
                  <c:v>4.1847616837907317E-2</c:v>
                </c:pt>
                <c:pt idx="21">
                  <c:v>4.2876573909213032E-2</c:v>
                </c:pt>
                <c:pt idx="22">
                  <c:v>4.513456303791169E-2</c:v>
                </c:pt>
                <c:pt idx="23">
                  <c:v>3.0276893692930292E-2</c:v>
                </c:pt>
                <c:pt idx="24">
                  <c:v>3.1980053028277826E-2</c:v>
                </c:pt>
                <c:pt idx="25">
                  <c:v>2.3817329856399963E-2</c:v>
                </c:pt>
                <c:pt idx="26">
                  <c:v>2.4210754618958028E-2</c:v>
                </c:pt>
                <c:pt idx="27">
                  <c:v>2.0621173986216684E-2</c:v>
                </c:pt>
                <c:pt idx="28">
                  <c:v>1.5230918478690333E-2</c:v>
                </c:pt>
                <c:pt idx="29">
                  <c:v>2.6051780751441298E-2</c:v>
                </c:pt>
                <c:pt idx="30">
                  <c:v>2.2287344668674141E-2</c:v>
                </c:pt>
                <c:pt idx="31">
                  <c:v>1.543267476718165E-2</c:v>
                </c:pt>
                <c:pt idx="32">
                  <c:v>2.0681700872764077E-2</c:v>
                </c:pt>
                <c:pt idx="33">
                  <c:v>1.6078294890353863E-2</c:v>
                </c:pt>
                <c:pt idx="34">
                  <c:v>1.0909971300167963E-2</c:v>
                </c:pt>
                <c:pt idx="35">
                  <c:v>1.0198780383236071E-2</c:v>
                </c:pt>
                <c:pt idx="36">
                  <c:v>1.1928840557049113E-2</c:v>
                </c:pt>
                <c:pt idx="37">
                  <c:v>1.0397174066919198E-2</c:v>
                </c:pt>
                <c:pt idx="38">
                  <c:v>1.008949572696994E-2</c:v>
                </c:pt>
                <c:pt idx="39">
                  <c:v>7.2918085265570119E-3</c:v>
                </c:pt>
                <c:pt idx="40">
                  <c:v>5.9534918128979434E-3</c:v>
                </c:pt>
                <c:pt idx="41">
                  <c:v>3.7577108731507774E-3</c:v>
                </c:pt>
                <c:pt idx="42">
                  <c:v>4.9816990233314332E-3</c:v>
                </c:pt>
                <c:pt idx="43">
                  <c:v>5.8004932941253615E-3</c:v>
                </c:pt>
                <c:pt idx="44">
                  <c:v>2.9557296263977928E-3</c:v>
                </c:pt>
                <c:pt idx="45">
                  <c:v>2.1386166580079592E-3</c:v>
                </c:pt>
                <c:pt idx="46">
                  <c:v>2.3605485753484079E-3</c:v>
                </c:pt>
                <c:pt idx="47">
                  <c:v>3.0801460043007717E-3</c:v>
                </c:pt>
                <c:pt idx="48">
                  <c:v>1.4610517891579533E-3</c:v>
                </c:pt>
                <c:pt idx="49">
                  <c:v>1.3668988545286721E-3</c:v>
                </c:pt>
                <c:pt idx="50">
                  <c:v>1.393799692994181E-3</c:v>
                </c:pt>
                <c:pt idx="51">
                  <c:v>1.6459950536083271E-3</c:v>
                </c:pt>
                <c:pt idx="52">
                  <c:v>1.0289570713057162E-3</c:v>
                </c:pt>
                <c:pt idx="53">
                  <c:v>1.1550547516127893E-3</c:v>
                </c:pt>
                <c:pt idx="54">
                  <c:v>7.9693733954070182E-4</c:v>
                </c:pt>
                <c:pt idx="55">
                  <c:v>5.5987370056340439E-4</c:v>
                </c:pt>
                <c:pt idx="56">
                  <c:v>6.2544449432308242E-4</c:v>
                </c:pt>
                <c:pt idx="57">
                  <c:v>5.9349974864529055E-4</c:v>
                </c:pt>
                <c:pt idx="58">
                  <c:v>3.1776615437382414E-4</c:v>
                </c:pt>
                <c:pt idx="59">
                  <c:v>3.513922024557103E-4</c:v>
                </c:pt>
                <c:pt idx="60">
                  <c:v>3.2953527120248429E-4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222504"/>
        <c:axId val="172220544"/>
      </c:lineChart>
      <c:catAx>
        <c:axId val="172222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2220544"/>
        <c:crosses val="autoZero"/>
        <c:auto val="1"/>
        <c:lblAlgn val="ctr"/>
        <c:lblOffset val="100"/>
        <c:tickLblSkip val="10"/>
        <c:noMultiLvlLbl val="0"/>
      </c:catAx>
      <c:valAx>
        <c:axId val="172220544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22225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L31" sqref="L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16604.9834637422</v>
      </c>
      <c r="C11" s="11">
        <f>B11/B$102</f>
        <v>2.6240482246273945E-2</v>
      </c>
      <c r="E11" s="19">
        <v>0</v>
      </c>
      <c r="F11" s="343" t="n">
        <v>93419.0</v>
      </c>
      <c r="G11" s="11">
        <f>F11/F$102</f>
        <v>0.15821055622527436</v>
      </c>
      <c r="K11" s="8" t="n">
        <v>5.874764463737331</v>
      </c>
      <c r="L11" s="8" t="n">
        <v>6.170932349458482</v>
      </c>
    </row>
    <row r="12" spans="1:12" x14ac:dyDescent="0.25">
      <c r="A12">
        <v>1</v>
      </c>
      <c r="B12" s="341" t="n">
        <v>21952.8112701016</v>
      </c>
      <c r="C12" s="11">
        <f>B12/B$102</f>
        <v>3.4691534360557622E-2</v>
      </c>
      <c r="E12" s="20">
        <v>1</v>
      </c>
      <c r="F12" s="343" t="n">
        <v>63609.0</v>
      </c>
      <c r="G12" s="11">
        <f>F12/F$102</f>
        <v>0.10645838692484746</v>
      </c>
      <c r="K12" s="8"/>
      <c r="L12" s="289"/>
    </row>
    <row r="13" spans="1:12" x14ac:dyDescent="0.25">
      <c r="A13">
        <v>2</v>
      </c>
      <c r="B13" s="341" t="n">
        <v>42499.4350588756</v>
      </c>
      <c r="C13" s="11">
        <f ref="C13:C76" si="0" t="shared">B13/B$102</f>
        <v>6.7160902242041021E-2</v>
      </c>
      <c r="E13" s="21">
        <v>2</v>
      </c>
      <c r="F13" s="343" t="n">
        <v>40841.0</v>
      </c>
      <c r="G13" s="11">
        <f ref="G13:G76" si="1" t="shared">F13/F$102</f>
        <v>6.8082659551394892E-2</v>
      </c>
    </row>
    <row r="14" spans="1:12" x14ac:dyDescent="0.25">
      <c r="A14">
        <v>3</v>
      </c>
      <c r="B14" s="341" t="n">
        <v>68970.6634023386</v>
      </c>
      <c r="C14" s="11">
        <f si="0" t="shared"/>
        <v>0.10899278957275935</v>
      </c>
      <c r="E14" s="22">
        <v>3</v>
      </c>
      <c r="F14" s="343" t="n">
        <v>24159.0</v>
      </c>
      <c r="G14" s="11">
        <f si="1" t="shared"/>
        <v>4.047399277376227E-2</v>
      </c>
    </row>
    <row r="15" spans="1:12" x14ac:dyDescent="0.25">
      <c r="A15">
        <v>4</v>
      </c>
      <c r="B15" s="341" t="n">
        <v>154323.6324317361</v>
      </c>
      <c r="C15" s="11">
        <f si="0" t="shared"/>
        <v>0.24387416861015357</v>
      </c>
      <c r="E15" s="23">
        <v>4</v>
      </c>
      <c r="F15" s="343" t="n">
        <v>91454.0</v>
      </c>
      <c r="G15" s="11">
        <f si="1" t="shared"/>
        <v>0.15187709006905109</v>
      </c>
    </row>
    <row r="16" spans="1:12" x14ac:dyDescent="0.25">
      <c r="A16">
        <v>5</v>
      </c>
      <c r="B16" s="341" t="n">
        <v>77999.16794440719</v>
      </c>
      <c r="C16" s="11">
        <f si="0" t="shared"/>
        <v>0.12326033242601567</v>
      </c>
      <c r="E16" s="24">
        <v>5</v>
      </c>
      <c r="F16" s="343" t="n">
        <v>54950.0</v>
      </c>
      <c r="G16" s="11">
        <f si="1" t="shared"/>
        <v>8.5880926801137236E-2</v>
      </c>
    </row>
    <row r="17" spans="1:7" x14ac:dyDescent="0.25">
      <c r="A17">
        <v>6</v>
      </c>
      <c r="B17" s="341" t="n">
        <v>97004.8057745054</v>
      </c>
      <c r="C17" s="11">
        <f si="0" t="shared"/>
        <v>0.15329451482365417</v>
      </c>
      <c r="E17" s="25">
        <v>6</v>
      </c>
      <c r="F17" s="343" t="n">
        <v>46890.0</v>
      </c>
      <c r="G17" s="11">
        <f si="1" t="shared"/>
        <v>8.5657313581392697E-2</v>
      </c>
    </row>
    <row r="18" spans="1:7" x14ac:dyDescent="0.25">
      <c r="A18">
        <v>7</v>
      </c>
      <c r="B18" s="341" t="n">
        <v>24671.8067362506</v>
      </c>
      <c r="C18" s="11">
        <f si="0" t="shared"/>
        <v>3.8988301798656762E-2</v>
      </c>
      <c r="E18" s="26">
        <v>7</v>
      </c>
      <c r="F18" s="343" t="n">
        <v>36239.0</v>
      </c>
      <c r="G18" s="11">
        <f si="1" t="shared"/>
        <v>5.897168182360784E-2</v>
      </c>
    </row>
    <row r="19" spans="1:7" x14ac:dyDescent="0.25">
      <c r="A19">
        <v>8</v>
      </c>
      <c r="B19" s="341" t="n">
        <v>30318.2908072104</v>
      </c>
      <c r="C19" s="11">
        <f si="0" t="shared"/>
        <v>4.7911313696947296E-2</v>
      </c>
      <c r="E19" s="27">
        <v>8</v>
      </c>
      <c r="F19" s="343" t="n">
        <v>30290.0</v>
      </c>
      <c r="G19" s="11">
        <f si="1" t="shared"/>
        <v>5.2155681877409515E-2</v>
      </c>
    </row>
    <row r="20" spans="1:7" x14ac:dyDescent="0.25">
      <c r="A20">
        <v>9</v>
      </c>
      <c r="B20" s="341" t="n">
        <v>20461.9897532309</v>
      </c>
      <c r="C20" s="11">
        <f si="0" t="shared"/>
        <v>3.2335622616879646E-2</v>
      </c>
      <c r="E20" s="28">
        <v>9</v>
      </c>
      <c r="F20" s="343" t="n">
        <v>15376.0</v>
      </c>
      <c r="G20" s="11">
        <f si="1" t="shared"/>
        <v>1.9651062499054267E-2</v>
      </c>
    </row>
    <row r="21" spans="1:7" x14ac:dyDescent="0.25">
      <c r="A21">
        <v>10</v>
      </c>
      <c r="B21" s="341" t="n">
        <v>29274.8534304106</v>
      </c>
      <c r="C21" s="11">
        <f si="0" t="shared"/>
        <v>4.6262393056899685E-2</v>
      </c>
      <c r="E21" s="29">
        <v>10</v>
      </c>
      <c r="F21" s="343" t="n">
        <v>9631.0</v>
      </c>
      <c r="G21" s="11">
        <f si="1" t="shared"/>
        <v>1.7408205091992462E-2</v>
      </c>
    </row>
    <row r="22" spans="1:7" x14ac:dyDescent="0.25">
      <c r="A22">
        <v>11</v>
      </c>
      <c r="B22" s="341" t="n">
        <v>7581.4602076597</v>
      </c>
      <c r="C22" s="11">
        <f si="0" t="shared"/>
        <v>1.1980811207329691E-2</v>
      </c>
      <c r="E22" s="30">
        <v>11</v>
      </c>
      <c r="F22" s="343" t="n">
        <v>11437.0</v>
      </c>
      <c r="G22" s="11">
        <f si="1" t="shared"/>
        <v>1.7994979631021375E-2</v>
      </c>
    </row>
    <row r="23" spans="1:7" x14ac:dyDescent="0.25">
      <c r="A23">
        <v>12</v>
      </c>
      <c r="B23" s="341" t="n">
        <v>3575.4921798965</v>
      </c>
      <c r="C23" s="11">
        <f si="0" t="shared"/>
        <v>5.6502699489663329E-3</v>
      </c>
      <c r="E23" s="31">
        <v>12</v>
      </c>
      <c r="F23" s="343" t="n">
        <v>13260.0</v>
      </c>
      <c r="G23" s="11">
        <f si="1" t="shared"/>
        <v>2.1350859229593611E-2</v>
      </c>
    </row>
    <row r="24" spans="1:7" x14ac:dyDescent="0.25">
      <c r="A24">
        <v>13</v>
      </c>
      <c r="B24" s="341" t="n">
        <v>2816.3028888836</v>
      </c>
      <c r="C24" s="11">
        <f si="0" t="shared"/>
        <v>4.4505401717048936E-3</v>
      </c>
      <c r="E24" s="32">
        <v>13</v>
      </c>
      <c r="F24" s="343" t="n">
        <v>13226.0</v>
      </c>
      <c r="G24" s="11">
        <f si="1" t="shared"/>
        <v>2.3319664344788046E-2</v>
      </c>
    </row>
    <row r="25" spans="1:7" x14ac:dyDescent="0.25">
      <c r="A25">
        <v>14</v>
      </c>
      <c r="B25" s="341" t="n">
        <v>4608.1001548464</v>
      </c>
      <c r="C25" s="11">
        <f si="0" t="shared"/>
        <v>7.2820771286120989E-3</v>
      </c>
      <c r="E25" s="33">
        <v>14</v>
      </c>
      <c r="F25" s="343" t="n">
        <v>6278.0</v>
      </c>
      <c r="G25" s="11">
        <f si="1" t="shared"/>
        <v>1.0652732032341534E-2</v>
      </c>
    </row>
    <row r="26" spans="1:7" x14ac:dyDescent="0.25">
      <c r="A26">
        <v>15</v>
      </c>
      <c r="B26" s="341" t="n">
        <v>4713.3060576504995</v>
      </c>
      <c r="C26" s="11">
        <f si="0" t="shared"/>
        <v>7.4483316527892661E-3</v>
      </c>
      <c r="E26" s="34">
        <v>15</v>
      </c>
      <c r="F26" s="343" t="n">
        <v>15343.0</v>
      </c>
      <c r="G26" s="11">
        <f si="1" t="shared"/>
        <v>2.079939204105068E-2</v>
      </c>
    </row>
    <row r="27" spans="1:7" x14ac:dyDescent="0.25">
      <c r="A27">
        <v>16</v>
      </c>
      <c r="B27" s="341" t="n">
        <v>4568.9158708242</v>
      </c>
      <c r="C27" s="11">
        <f si="0" t="shared"/>
        <v>7.2201550850603752E-3</v>
      </c>
      <c r="E27" s="35">
        <v>16</v>
      </c>
      <c r="F27" s="343" t="n">
        <v>4882.0</v>
      </c>
      <c r="G27" s="11">
        <f si="1" t="shared"/>
        <v>8.8268376214951146E-3</v>
      </c>
    </row>
    <row r="28" spans="1:7" x14ac:dyDescent="0.25">
      <c r="A28">
        <v>17</v>
      </c>
      <c r="B28" s="341" t="n">
        <v>2983.6074133344</v>
      </c>
      <c r="C28" s="11">
        <f si="0" t="shared"/>
        <v>4.7149277522862678E-3</v>
      </c>
      <c r="E28" s="36">
        <v>17</v>
      </c>
      <c r="F28" s="343" t="n">
        <v>4943.0</v>
      </c>
      <c r="G28" s="11">
        <f si="1" t="shared"/>
        <v>7.1522604270171843E-3</v>
      </c>
    </row>
    <row r="29" spans="1:7" x14ac:dyDescent="0.25">
      <c r="A29">
        <v>18</v>
      </c>
      <c r="B29" s="341" t="n">
        <v>995.7219531329</v>
      </c>
      <c r="C29" s="11">
        <f si="0" t="shared"/>
        <v>1.5735170282139303E-3</v>
      </c>
      <c r="E29" s="37">
        <v>18</v>
      </c>
      <c r="F29" s="343" t="n">
        <v>3277.0</v>
      </c>
      <c r="G29" s="11">
        <f si="1" t="shared"/>
        <v>6.9252846024644528E-3</v>
      </c>
    </row>
    <row r="30" spans="1:7" x14ac:dyDescent="0.25">
      <c r="A30">
        <v>19</v>
      </c>
      <c r="B30" s="341" t="n">
        <v>512.112231117</v>
      </c>
      <c r="C30" s="11">
        <f si="0" t="shared"/>
        <v>8.092794514410731E-4</v>
      </c>
      <c r="E30" s="38">
        <v>19</v>
      </c>
      <c r="F30" s="343" t="n">
        <v>1933.0</v>
      </c>
      <c r="G30" s="11">
        <f si="1" t="shared"/>
        <v>4.167948659749789E-3</v>
      </c>
    </row>
    <row r="31" spans="1:7" x14ac:dyDescent="0.25">
      <c r="A31">
        <v>20</v>
      </c>
      <c r="B31" s="341" t="n">
        <v>99.7851209627</v>
      </c>
      <c r="C31" s="11">
        <f si="0" t="shared"/>
        <v>1.5768818444062015E-4</v>
      </c>
      <c r="E31" s="39">
        <v>20</v>
      </c>
      <c r="F31" s="343" t="n">
        <v>2470.0</v>
      </c>
      <c r="G31" s="11">
        <f si="1" t="shared"/>
        <v>3.3088031312575976E-3</v>
      </c>
    </row>
    <row r="32" spans="1:7" x14ac:dyDescent="0.25">
      <c r="A32">
        <v>21</v>
      </c>
      <c r="B32" s="341" t="n">
        <v>0.0</v>
      </c>
      <c r="C32" s="11">
        <f si="0" t="shared"/>
        <v>0</v>
      </c>
      <c r="E32" s="40">
        <v>21</v>
      </c>
      <c r="F32" s="343" t="n">
        <v>2828.0</v>
      </c>
      <c r="G32" s="11">
        <f si="1" t="shared"/>
        <v>6.2443571288062581E-3</v>
      </c>
    </row>
    <row r="33" spans="1:7" x14ac:dyDescent="0.25">
      <c r="A33">
        <v>22</v>
      </c>
      <c r="B33" s="341" t="n">
        <v>2237.1382937662</v>
      </c>
      <c r="C33" s="11">
        <f si="0" t="shared"/>
        <v>3.5352993761308907E-3</v>
      </c>
      <c r="E33" s="41">
        <v>22</v>
      </c>
      <c r="F33" s="343" t="n">
        <v>2311.0</v>
      </c>
      <c r="G33" s="11">
        <f si="1" t="shared"/>
        <v>2.9237848807200009E-3</v>
      </c>
    </row>
    <row r="34" spans="1:7" x14ac:dyDescent="0.25">
      <c r="A34">
        <v>23</v>
      </c>
      <c r="B34" s="341" t="n">
        <v>704.037746628</v>
      </c>
      <c r="C34" s="11">
        <f si="0" t="shared"/>
        <v>1.1125750309500923E-3</v>
      </c>
      <c r="E34" s="42">
        <v>23</v>
      </c>
      <c r="F34" s="343" t="n">
        <v>1492.0</v>
      </c>
      <c r="G34" s="11">
        <f si="1" t="shared"/>
        <v>2.2663956407191267E-3</v>
      </c>
    </row>
    <row r="35" spans="1:7" x14ac:dyDescent="0.25">
      <c r="A35">
        <v>24</v>
      </c>
      <c r="B35" s="341" t="n">
        <v>1181.7375334889998</v>
      </c>
      <c r="C35" s="11">
        <f si="0" t="shared"/>
        <v>1.8674732699965725E-3</v>
      </c>
      <c r="E35" s="43">
        <v>24</v>
      </c>
      <c r="F35" s="343" t="n">
        <v>1931.0</v>
      </c>
      <c r="G35" s="11">
        <f si="1" t="shared"/>
        <v>3.1793428461423358E-3</v>
      </c>
    </row>
    <row r="36" spans="1:7" x14ac:dyDescent="0.25">
      <c r="A36">
        <v>25</v>
      </c>
      <c r="B36" s="341" t="n">
        <v>0.0</v>
      </c>
      <c r="C36" s="11">
        <f si="0" t="shared"/>
        <v>0</v>
      </c>
      <c r="E36" s="44">
        <v>25</v>
      </c>
      <c r="F36" s="343" t="n">
        <v>1426.0</v>
      </c>
      <c r="G36" s="11">
        <f si="1" t="shared"/>
        <v>2.2294069878290518E-3</v>
      </c>
    </row>
    <row r="37" spans="1:7" x14ac:dyDescent="0.25">
      <c r="A37">
        <v>26</v>
      </c>
      <c r="B37" s="341" t="n">
        <v>9134.13919719</v>
      </c>
      <c r="C37" s="11">
        <f si="0" t="shared"/>
        <v>1.4434474925086281E-2</v>
      </c>
      <c r="E37" s="45">
        <v>26</v>
      </c>
      <c r="F37" s="343" t="n">
        <v>803.0</v>
      </c>
      <c r="G37" s="11">
        <f si="1" t="shared"/>
        <v>1.546798211766763E-3</v>
      </c>
    </row>
    <row r="38" spans="1:7" x14ac:dyDescent="0.25">
      <c r="A38">
        <v>27</v>
      </c>
      <c r="B38" s="341" t="n">
        <v>0.0</v>
      </c>
      <c r="C38" s="11">
        <f si="0" t="shared"/>
        <v>0</v>
      </c>
      <c r="E38" s="46">
        <v>27</v>
      </c>
      <c r="F38" s="343" t="n">
        <v>2106.0</v>
      </c>
      <c r="G38" s="11">
        <f si="1" t="shared"/>
        <v>2.9389166023568499E-3</v>
      </c>
    </row>
    <row r="39" spans="1:7" x14ac:dyDescent="0.25">
      <c r="A39">
        <v>28</v>
      </c>
      <c r="B39" s="341" t="n">
        <v>0.0</v>
      </c>
      <c r="C39" s="11">
        <f si="0" t="shared"/>
        <v>0</v>
      </c>
      <c r="E39" s="47">
        <v>28</v>
      </c>
      <c r="F39" s="343" t="n">
        <v>749.0</v>
      </c>
      <c r="G39" s="11">
        <f si="1" t="shared"/>
        <v>1.5451169093626687E-3</v>
      </c>
    </row>
    <row r="40" spans="1:7" x14ac:dyDescent="0.25">
      <c r="A40">
        <v>29</v>
      </c>
      <c r="B40" s="341" t="n">
        <v>0.0</v>
      </c>
      <c r="C40" s="11">
        <f si="0" t="shared"/>
        <v>0</v>
      </c>
      <c r="E40" s="48">
        <v>29</v>
      </c>
      <c r="F40" s="343" t="n">
        <v>910.0</v>
      </c>
      <c r="G40" s="11">
        <f si="1" t="shared"/>
        <v>1.5652925382118005E-3</v>
      </c>
    </row>
    <row r="41" spans="1:7" x14ac:dyDescent="0.25">
      <c r="A41">
        <v>30</v>
      </c>
      <c r="B41" s="341" t="n">
        <v>0.0</v>
      </c>
      <c r="C41" s="11">
        <f si="0" t="shared"/>
        <v>0</v>
      </c>
      <c r="E41" s="49">
        <v>30</v>
      </c>
      <c r="F41" s="343" t="n">
        <v>910.0</v>
      </c>
      <c r="G41" s="11">
        <f si="1" t="shared"/>
        <v>1.2912402463444283E-3</v>
      </c>
    </row>
    <row r="42" spans="1:7" x14ac:dyDescent="0.25">
      <c r="A42">
        <v>31</v>
      </c>
      <c r="B42" s="341" t="n">
        <v>889.701534148</v>
      </c>
      <c r="C42" s="11">
        <f si="0" t="shared"/>
        <v>1.40597534241879E-3</v>
      </c>
      <c r="E42" s="50">
        <v>31</v>
      </c>
      <c r="F42" s="343" t="n">
        <v>415.0</v>
      </c>
      <c r="G42" s="11">
        <f si="1" t="shared"/>
        <v>7.4145436020558965E-4</v>
      </c>
    </row>
    <row r="43" spans="1:7" x14ac:dyDescent="0.25">
      <c r="A43">
        <v>32</v>
      </c>
      <c r="B43" s="341" t="n">
        <v>0.0</v>
      </c>
      <c r="C43" s="11">
        <f si="0" t="shared"/>
        <v>0</v>
      </c>
      <c r="E43" s="51">
        <v>32</v>
      </c>
      <c r="F43" s="343" t="n">
        <v>478.0</v>
      </c>
      <c r="G43" s="11">
        <f si="1" t="shared"/>
        <v>7.532234770342498E-4</v>
      </c>
    </row>
    <row r="44" spans="1:7" x14ac:dyDescent="0.25">
      <c r="A44">
        <v>33</v>
      </c>
      <c r="B44" s="341" t="n">
        <v>0.0</v>
      </c>
      <c r="C44" s="11">
        <f si="0" t="shared"/>
        <v>0</v>
      </c>
      <c r="E44" s="52">
        <v>33</v>
      </c>
      <c r="F44" s="343" t="n">
        <v>366.0</v>
      </c>
      <c r="G44" s="11">
        <f si="1" t="shared"/>
        <v>6.9101528808276046E-4</v>
      </c>
    </row>
    <row r="45" spans="1:7" x14ac:dyDescent="0.25">
      <c r="A45">
        <v>34</v>
      </c>
      <c r="B45" s="341" t="n">
        <v>0.0</v>
      </c>
      <c r="C45" s="11">
        <f si="0" t="shared"/>
        <v>0</v>
      </c>
      <c r="E45" s="53">
        <v>34</v>
      </c>
      <c r="F45" s="343" t="n">
        <v>254.0</v>
      </c>
      <c r="G45" s="11">
        <f si="1" t="shared"/>
        <v>3.6652392409255904E-4</v>
      </c>
    </row>
    <row r="46" spans="1:7" x14ac:dyDescent="0.25">
      <c r="A46">
        <v>35</v>
      </c>
      <c r="B46" s="341" t="n">
        <v>0.0</v>
      </c>
      <c r="C46" s="11">
        <f si="0" t="shared"/>
        <v>0</v>
      </c>
      <c r="E46" s="54">
        <v>35</v>
      </c>
      <c r="F46" s="343" t="n">
        <v>146.0</v>
      </c>
      <c r="G46" s="11">
        <f si="1" t="shared"/>
        <v>2.3706363897729737E-4</v>
      </c>
    </row>
    <row r="47" spans="1:7" x14ac:dyDescent="0.25">
      <c r="A47">
        <v>36</v>
      </c>
      <c r="B47" s="341" t="n">
        <v>183.053312801</v>
      </c>
      <c r="C47" s="11">
        <f si="0" t="shared"/>
        <v>2.8927503692880802E-4</v>
      </c>
      <c r="E47" s="55">
        <v>36</v>
      </c>
      <c r="F47" s="343" t="n">
        <v>376.0</v>
      </c>
      <c r="G47" s="11">
        <f si="1" t="shared"/>
        <v>6.3721361115174258E-4</v>
      </c>
    </row>
    <row r="48" spans="1:7" x14ac:dyDescent="0.25">
      <c r="A48">
        <v>37</v>
      </c>
      <c r="B48" s="341" t="n">
        <v>0.0</v>
      </c>
      <c r="C48" s="11">
        <f si="0" t="shared"/>
        <v>0</v>
      </c>
      <c r="E48" s="56">
        <v>37</v>
      </c>
      <c r="F48" s="343" t="n">
        <v>190.0</v>
      </c>
      <c r="G48" s="11">
        <f si="1" t="shared"/>
        <v>3.3626048081886151E-4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198.0</v>
      </c>
      <c r="G49" s="11">
        <f si="1" t="shared"/>
        <v>1.9334977647084538E-4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145.0</v>
      </c>
      <c r="G50" s="11">
        <f si="1" t="shared"/>
        <v>1.9839368368312831E-4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83.0</v>
      </c>
      <c r="G51" s="11">
        <f si="1" t="shared"/>
        <v>1.2609768030707308E-4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99.0</v>
      </c>
      <c r="G52" s="11">
        <f si="1" t="shared"/>
        <v>1.2273507549888444E-4</v>
      </c>
    </row>
    <row r="53" spans="1:7" x14ac:dyDescent="0.25">
      <c r="A53">
        <v>42</v>
      </c>
      <c r="B53" s="341" t="n">
        <v>0.0</v>
      </c>
      <c r="C53" s="11">
        <f si="0" t="shared"/>
        <v>0</v>
      </c>
      <c r="E53" s="61">
        <v>42</v>
      </c>
      <c r="F53" s="343" t="n">
        <v>44.0</v>
      </c>
      <c r="G53" s="11">
        <f si="1" t="shared"/>
        <v>1.0592205145794138E-4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46.0</v>
      </c>
      <c r="G54" s="11">
        <f si="1" t="shared"/>
        <v>6.0526886547395076E-5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54.0</v>
      </c>
      <c r="G55" s="11">
        <f si="1" t="shared"/>
        <v>5.5482979335112153E-5</v>
      </c>
    </row>
    <row r="56" spans="1:7" x14ac:dyDescent="0.25">
      <c r="A56">
        <v>45</v>
      </c>
      <c r="B56" s="341" t="n">
        <v>250.40304101</v>
      </c>
      <c r="C56" s="11">
        <f si="0" t="shared"/>
        <v>3.9570629903868027E-4</v>
      </c>
      <c r="E56" s="64">
        <v>45</v>
      </c>
      <c r="F56" s="343" t="n">
        <v>45.0</v>
      </c>
      <c r="G56" s="11">
        <f si="1" t="shared"/>
        <v>4.0351257698263384E-5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33.0</v>
      </c>
      <c r="G57" s="11">
        <f si="1" t="shared"/>
        <v>6.5570793759677992E-5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32.0</v>
      </c>
      <c r="G58" s="11">
        <f si="1" t="shared"/>
        <v>4.2032560102357689E-5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13.0</v>
      </c>
      <c r="G59" s="11">
        <f si="1" t="shared"/>
        <v>3.1944745677791843E-5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12.0</v>
      </c>
      <c r="G60" s="11">
        <f si="1" t="shared"/>
        <v>8.4065120204715389E-6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18.0</v>
      </c>
      <c r="G61" s="11">
        <f si="1" t="shared"/>
        <v>2.5219536061414615E-5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17.0</v>
      </c>
      <c r="G62" s="11">
        <f si="1" t="shared"/>
        <v>3.8669955294169072E-5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6.0</v>
      </c>
      <c r="G63" s="11">
        <f si="1" t="shared"/>
        <v>2.3538233657320306E-5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3.0</v>
      </c>
      <c r="G64" s="11">
        <f si="1" t="shared"/>
        <v>1.0087814424565846E-5</v>
      </c>
    </row>
    <row r="65" spans="1:7" x14ac:dyDescent="0.25">
      <c r="A65">
        <v>54</v>
      </c>
      <c r="B65" s="341" t="n">
        <v>444.572467296</v>
      </c>
      <c r="C65" s="11">
        <f si="0" t="shared"/>
        <v>7.0254788032374335E-4</v>
      </c>
      <c r="E65" s="73">
        <v>54</v>
      </c>
      <c r="F65" s="343" t="n">
        <v>9.0</v>
      </c>
      <c r="G65" s="11">
        <f si="1" t="shared"/>
        <v>8.4065120204715389E-6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7.0</v>
      </c>
      <c r="G66" s="11">
        <f si="1" t="shared"/>
        <v>3.362604808188615E-6</v>
      </c>
    </row>
    <row r="67" spans="1:7" x14ac:dyDescent="0.25">
      <c r="A67">
        <v>56</v>
      </c>
      <c r="B67" s="341" t="n">
        <v>668.711535771</v>
      </c>
      <c r="C67" s="11">
        <f si="0" t="shared"/>
        <v>1.0567498137286876E-3</v>
      </c>
      <c r="E67" s="75">
        <v>56</v>
      </c>
      <c r="F67" s="343" t="n">
        <v>5.0</v>
      </c>
      <c r="G67" s="11">
        <f si="1" t="shared"/>
        <v>5.043907212282923E-6</v>
      </c>
    </row>
    <row r="68" spans="1:7" x14ac:dyDescent="0.25">
      <c r="A68">
        <v>57</v>
      </c>
      <c r="B68" s="341" t="n">
        <v>569.501209051</v>
      </c>
      <c r="C68" s="11">
        <f si="0" t="shared"/>
        <v>8.9996996371392022E-4</v>
      </c>
      <c r="E68" s="76">
        <v>57</v>
      </c>
      <c r="F68" s="343" t="n">
        <v>1.0</v>
      </c>
      <c r="G68" s="11">
        <f si="1" t="shared"/>
        <v>3.362604808188615E-6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3.0</v>
      </c>
      <c r="G69" s="11">
        <f si="1" t="shared"/>
        <v>3.362604808188615E-6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1.0</v>
      </c>
      <c r="G70" s="11">
        <f si="1" t="shared"/>
        <v>3.362604808188615E-6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2.0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2.0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0.0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0.0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0.0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0.0</v>
      </c>
      <c r="G81" s="11">
        <f si="3" t="shared"/>
        <v>1.6813024040943075E-6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0.0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3.362604808188615E-6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0.0</v>
      </c>
      <c r="G101" s="11">
        <f si="3" t="shared"/>
        <v>0</v>
      </c>
    </row>
    <row r="102" spans="1:7" x14ac:dyDescent="0.25">
      <c r="B102" s="341">
        <f>SUM(B11:B101)</f>
        <v>632800.24002226745</v>
      </c>
      <c r="C102" s="11">
        <f si="2" t="shared"/>
        <v>1</v>
      </c>
      <c r="F102" s="341">
        <f>SUM(F11:F101)</f>
        <v>594777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G19" sqref="G1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19387.0</v>
      </c>
      <c r="G11" s="11">
        <f>F11/F$102</f>
        <v>3.4612972593089514E-2</v>
      </c>
      <c r="K11" s="8" t="n">
        <v>22.604928500566565</v>
      </c>
      <c r="L11" s="8" t="n">
        <v>19.327457122093126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16939.0</v>
      </c>
      <c r="G12" s="11">
        <f>F12/F$102</f>
        <v>2.8205529131086104E-2</v>
      </c>
      <c r="K12" s="8"/>
      <c r="L12" s="290"/>
    </row>
    <row r="13" spans="1:12" x14ac:dyDescent="0.25">
      <c r="A13">
        <v>2</v>
      </c>
      <c r="B13" s="8" t="n">
        <v>0.0</v>
      </c>
      <c r="C13" s="11">
        <f ref="C13:C76" si="0" t="shared">B13/B$102</f>
        <v>0</v>
      </c>
      <c r="E13" s="111">
        <v>2</v>
      </c>
      <c r="F13" s="201" t="n">
        <v>20529.0</v>
      </c>
      <c r="G13" s="11">
        <f ref="G13:G76" si="1" t="shared">F13/F$102</f>
        <v>3.4426348026235044E-2</v>
      </c>
    </row>
    <row r="14" spans="1:12" x14ac:dyDescent="0.25">
      <c r="A14">
        <v>3</v>
      </c>
      <c r="B14" s="8" t="n">
        <v>905.6325353825</v>
      </c>
      <c r="C14" s="11">
        <f si="0" t="shared"/>
        <v>1.4311507456928776E-3</v>
      </c>
      <c r="E14" s="112">
        <v>3</v>
      </c>
      <c r="F14" s="202" t="n">
        <v>20746.0</v>
      </c>
      <c r="G14" s="11">
        <f si="1" t="shared"/>
        <v>3.4391040675749066E-2</v>
      </c>
    </row>
    <row r="15" spans="1:12" x14ac:dyDescent="0.25">
      <c r="A15">
        <v>4</v>
      </c>
      <c r="B15" s="8" t="n">
        <v>1922.3984534631</v>
      </c>
      <c r="C15" s="11">
        <f si="0" t="shared"/>
        <v>3.0379230788462612E-3</v>
      </c>
      <c r="E15" s="113">
        <v>4</v>
      </c>
      <c r="F15" s="203" t="n">
        <v>18528.0</v>
      </c>
      <c r="G15" s="11">
        <f si="1" t="shared"/>
        <v>3.1020029355539977E-2</v>
      </c>
    </row>
    <row r="16" spans="1:12" x14ac:dyDescent="0.25">
      <c r="A16">
        <v>5</v>
      </c>
      <c r="B16" s="8" t="n">
        <v>13776.9524748966</v>
      </c>
      <c r="C16" s="11">
        <f si="0" t="shared"/>
        <v>2.1771408421734806E-2</v>
      </c>
      <c r="E16" s="114">
        <v>5</v>
      </c>
      <c r="F16" s="204" t="n">
        <v>16880.0</v>
      </c>
      <c r="G16" s="11">
        <f si="1" t="shared"/>
        <v>2.8301363368119479E-2</v>
      </c>
    </row>
    <row r="17" spans="1:7" x14ac:dyDescent="0.25">
      <c r="A17">
        <v>6</v>
      </c>
      <c r="B17" s="8" t="n">
        <v>4617.1970782566</v>
      </c>
      <c r="C17" s="11">
        <f si="0" t="shared"/>
        <v>7.2964527922652605E-3</v>
      </c>
      <c r="E17" s="115">
        <v>6</v>
      </c>
      <c r="F17" s="205" t="n">
        <v>15586.0</v>
      </c>
      <c r="G17" s="11">
        <f si="1" t="shared"/>
        <v>2.6154340198091049E-2</v>
      </c>
    </row>
    <row r="18" spans="1:7" x14ac:dyDescent="0.25">
      <c r="A18">
        <v>7</v>
      </c>
      <c r="B18" s="8" t="n">
        <v>9098.1711981191</v>
      </c>
      <c r="C18" s="11">
        <f si="0" t="shared"/>
        <v>1.4377635504371723E-2</v>
      </c>
      <c r="E18" s="116">
        <v>7</v>
      </c>
      <c r="F18" s="206" t="n">
        <v>14174.0</v>
      </c>
      <c r="G18" s="11">
        <f si="1" t="shared"/>
        <v>2.3739989945811623E-2</v>
      </c>
    </row>
    <row r="19" spans="1:7" x14ac:dyDescent="0.25">
      <c r="A19">
        <v>8</v>
      </c>
      <c r="B19" s="8" t="n">
        <v>2031.3937728538</v>
      </c>
      <c r="C19" s="11">
        <f si="0" t="shared"/>
        <v>3.210165932905332E-3</v>
      </c>
      <c r="E19" s="117">
        <v>8</v>
      </c>
      <c r="F19" s="207" t="n">
        <v>12655.0</v>
      </c>
      <c r="G19" s="11">
        <f si="1" t="shared"/>
        <v>2.1122202102636788E-2</v>
      </c>
    </row>
    <row r="20" spans="1:7" x14ac:dyDescent="0.25">
      <c r="A20">
        <v>9</v>
      </c>
      <c r="B20" s="8" t="n">
        <v>6206.0492208721</v>
      </c>
      <c r="C20" s="11">
        <f si="0" t="shared"/>
        <v>9.8072801310153061E-3</v>
      </c>
      <c r="E20" s="118">
        <v>9</v>
      </c>
      <c r="F20" s="208" t="n">
        <v>11235.0</v>
      </c>
      <c r="G20" s="11">
        <f si="1" t="shared"/>
        <v>1.8778466551329323E-2</v>
      </c>
    </row>
    <row r="21" spans="1:7" x14ac:dyDescent="0.25">
      <c r="A21">
        <v>10</v>
      </c>
      <c r="B21" s="8" t="n">
        <v>0.0</v>
      </c>
      <c r="C21" s="11">
        <f si="0" t="shared"/>
        <v>0</v>
      </c>
      <c r="E21" s="119">
        <v>10</v>
      </c>
      <c r="F21" s="209" t="n">
        <v>10270.0</v>
      </c>
      <c r="G21" s="11">
        <f si="1" t="shared"/>
        <v>1.7129108892912807E-2</v>
      </c>
    </row>
    <row r="22" spans="1:7" x14ac:dyDescent="0.25">
      <c r="A22">
        <v>11</v>
      </c>
      <c r="B22" s="8" t="n">
        <v>6771.105284935</v>
      </c>
      <c r="C22" s="11">
        <f si="0" t="shared"/>
        <v>1.0700225531988947E-2</v>
      </c>
      <c r="E22" s="120">
        <v>11</v>
      </c>
      <c r="F22" s="210" t="n">
        <v>9331.0</v>
      </c>
      <c r="G22" s="11">
        <f si="1" t="shared"/>
        <v>1.5284720155621351E-2</v>
      </c>
    </row>
    <row r="23" spans="1:7" x14ac:dyDescent="0.25">
      <c r="A23">
        <v>12</v>
      </c>
      <c r="B23" s="8" t="n">
        <v>13395.0287891857</v>
      </c>
      <c r="C23" s="11">
        <f si="0" t="shared"/>
        <v>2.1167863003203582E-2</v>
      </c>
      <c r="E23" s="121">
        <v>12</v>
      </c>
      <c r="F23" s="211" t="n">
        <v>8325.0</v>
      </c>
      <c r="G23" s="11">
        <f si="1" t="shared"/>
        <v>1.3966579070811414E-2</v>
      </c>
    </row>
    <row r="24" spans="1:7" x14ac:dyDescent="0.25">
      <c r="A24">
        <v>13</v>
      </c>
      <c r="B24" s="8" t="n">
        <v>22545.9521609489</v>
      </c>
      <c r="C24" s="11">
        <f si="0" t="shared"/>
        <v>3.5628861582219902E-2</v>
      </c>
      <c r="E24" s="122">
        <v>13</v>
      </c>
      <c r="F24" s="212" t="n">
        <v>7341.0</v>
      </c>
      <c r="G24" s="11">
        <f si="1" t="shared"/>
        <v>1.2334034436435841E-2</v>
      </c>
    </row>
    <row r="25" spans="1:7" x14ac:dyDescent="0.25">
      <c r="A25">
        <v>14</v>
      </c>
      <c r="B25" s="8" t="n">
        <v>13611.8570862351</v>
      </c>
      <c r="C25" s="11">
        <f si="0" t="shared"/>
        <v>2.1510511888800984E-2</v>
      </c>
      <c r="E25" s="123">
        <v>14</v>
      </c>
      <c r="F25" s="213" t="n">
        <v>6745.0</v>
      </c>
      <c r="G25" s="11">
        <f si="1" t="shared"/>
        <v>1.124455047858273E-2</v>
      </c>
    </row>
    <row r="26" spans="1:7" x14ac:dyDescent="0.25">
      <c r="A26">
        <v>15</v>
      </c>
      <c r="B26" s="8" t="n">
        <v>6912.3527665287</v>
      </c>
      <c r="C26" s="11">
        <f si="0" t="shared"/>
        <v>1.0923435753256766E-2</v>
      </c>
      <c r="E26" s="124">
        <v>15</v>
      </c>
      <c r="F26" s="214" t="n">
        <v>6112.0</v>
      </c>
      <c r="G26" s="11">
        <f si="1" t="shared"/>
        <v>1.0139934799092769E-2</v>
      </c>
    </row>
    <row r="27" spans="1:7" x14ac:dyDescent="0.25">
      <c r="A27">
        <v>16</v>
      </c>
      <c r="B27" s="8" t="n">
        <v>29706.9973393438</v>
      </c>
      <c r="C27" s="11">
        <f si="0" t="shared"/>
        <v>4.6945300365718021E-2</v>
      </c>
      <c r="E27" s="125">
        <v>16</v>
      </c>
      <c r="F27" s="215" t="n">
        <v>5637.0</v>
      </c>
      <c r="G27" s="11">
        <f si="1" t="shared"/>
        <v>9.1748672191426361E-3</v>
      </c>
    </row>
    <row r="28" spans="1:7" x14ac:dyDescent="0.25">
      <c r="A28">
        <v>17</v>
      </c>
      <c r="B28" s="8" t="n">
        <v>18526.805034037</v>
      </c>
      <c r="C28" s="11">
        <f si="0" t="shared"/>
        <v>2.9277493689612164E-2</v>
      </c>
      <c r="E28" s="126">
        <v>17</v>
      </c>
      <c r="F28" s="216" t="n">
        <v>5139.0</v>
      </c>
      <c r="G28" s="11">
        <f si="1" t="shared"/>
        <v>8.2568761065071449E-3</v>
      </c>
    </row>
    <row r="29" spans="1:7" x14ac:dyDescent="0.25">
      <c r="A29">
        <v>18</v>
      </c>
      <c r="B29" s="8" t="n">
        <v>87092.3056741732</v>
      </c>
      <c r="C29" s="11">
        <f si="0" t="shared"/>
        <v>0.13763001365345331</v>
      </c>
      <c r="E29" s="127">
        <v>18</v>
      </c>
      <c r="F29" s="217" t="n">
        <v>62257.0</v>
      </c>
      <c r="G29" s="11">
        <f si="1" t="shared"/>
        <v>0.10443409883031791</v>
      </c>
    </row>
    <row r="30" spans="1:7" x14ac:dyDescent="0.25">
      <c r="A30">
        <v>19</v>
      </c>
      <c r="B30" s="8" t="n">
        <v>38349.9343843082</v>
      </c>
      <c r="C30" s="11">
        <f si="0" t="shared"/>
        <v>6.0603539567176394E-2</v>
      </c>
      <c r="E30" s="128">
        <v>19</v>
      </c>
      <c r="F30" s="218" t="n">
        <v>21140.0</v>
      </c>
      <c r="G30" s="11">
        <f si="1" t="shared"/>
        <v>3.5150989362399687E-2</v>
      </c>
    </row>
    <row r="31" spans="1:7" x14ac:dyDescent="0.25">
      <c r="A31">
        <v>20</v>
      </c>
      <c r="B31" s="8" t="n">
        <v>52638.9390673695</v>
      </c>
      <c r="C31" s="11">
        <f si="0" t="shared"/>
        <v>8.3184132587429488E-2</v>
      </c>
      <c r="E31" s="129">
        <v>20</v>
      </c>
      <c r="F31" s="219" t="n">
        <v>24849.0</v>
      </c>
      <c r="G31" s="11">
        <f si="1" t="shared"/>
        <v>4.1847616837907317E-2</v>
      </c>
    </row>
    <row r="32" spans="1:7" x14ac:dyDescent="0.25">
      <c r="A32">
        <v>21</v>
      </c>
      <c r="B32" s="8" t="n">
        <v>48357.3921048741</v>
      </c>
      <c r="C32" s="11">
        <f si="0" t="shared"/>
        <v>7.6418100130891967E-2</v>
      </c>
      <c r="E32" s="130">
        <v>21</v>
      </c>
      <c r="F32" s="220" t="n">
        <v>26080.0</v>
      </c>
      <c r="G32" s="11">
        <f si="1" t="shared"/>
        <v>4.2876573909213032E-2</v>
      </c>
    </row>
    <row r="33" spans="1:7" x14ac:dyDescent="0.25">
      <c r="A33">
        <v>22</v>
      </c>
      <c r="B33" s="8" t="n">
        <v>38944.0603750188</v>
      </c>
      <c r="C33" s="11">
        <f si="0" t="shared"/>
        <v>6.1542423520017007E-2</v>
      </c>
      <c r="E33" s="131">
        <v>22</v>
      </c>
      <c r="F33" s="221" t="n">
        <v>27788.0</v>
      </c>
      <c r="G33" s="11">
        <f si="1" t="shared"/>
        <v>4.513456303791169E-2</v>
      </c>
    </row>
    <row r="34" spans="1:7" x14ac:dyDescent="0.25">
      <c r="A34">
        <v>23</v>
      </c>
      <c r="B34" s="8" t="n">
        <v>18104.746043858</v>
      </c>
      <c r="C34" s="11">
        <f si="0" t="shared"/>
        <v>2.8610523351288417E-2</v>
      </c>
      <c r="E34" s="132">
        <v>23</v>
      </c>
      <c r="F34" s="222" t="n">
        <v>18075.0</v>
      </c>
      <c r="G34" s="11">
        <f si="1" t="shared"/>
        <v>3.0276893692930292E-2</v>
      </c>
    </row>
    <row r="35" spans="1:7" x14ac:dyDescent="0.25">
      <c r="A35">
        <v>24</v>
      </c>
      <c r="B35" s="8" t="n">
        <v>13408.5565956222</v>
      </c>
      <c r="C35" s="11">
        <f si="0" t="shared"/>
        <v>2.1189240691739261E-2</v>
      </c>
      <c r="E35" s="133">
        <v>24</v>
      </c>
      <c r="F35" s="223" t="n">
        <v>15813.0</v>
      </c>
      <c r="G35" s="11">
        <f si="1" t="shared"/>
        <v>3.1980053028277826E-2</v>
      </c>
    </row>
    <row r="36" spans="1:7" x14ac:dyDescent="0.25">
      <c r="A36">
        <v>25</v>
      </c>
      <c r="B36" s="8" t="n">
        <v>10746.7671929896</v>
      </c>
      <c r="C36" s="11">
        <f si="0" t="shared"/>
        <v>1.6982874710369002E-2</v>
      </c>
      <c r="E36" s="134">
        <v>25</v>
      </c>
      <c r="F36" s="224" t="n">
        <v>17959.0</v>
      </c>
      <c r="G36" s="11">
        <f si="1" t="shared"/>
        <v>2.3817329856399963E-2</v>
      </c>
    </row>
    <row r="37" spans="1:7" x14ac:dyDescent="0.25">
      <c r="A37">
        <v>26</v>
      </c>
      <c r="B37" s="8" t="n">
        <v>48267.2588254755</v>
      </c>
      <c r="C37" s="11">
        <f si="0" t="shared"/>
        <v>7.6275664534793855E-2</v>
      </c>
      <c r="E37" s="135">
        <v>26</v>
      </c>
      <c r="F37" s="225" t="n">
        <v>14853.0</v>
      </c>
      <c r="G37" s="11">
        <f si="1" t="shared"/>
        <v>2.4210754618958028E-2</v>
      </c>
    </row>
    <row r="38" spans="1:7" x14ac:dyDescent="0.25">
      <c r="A38">
        <v>27</v>
      </c>
      <c r="B38" s="8" t="n">
        <v>5870.9688970816</v>
      </c>
      <c r="C38" s="11">
        <f si="0" t="shared"/>
        <v>9.2777602247353878E-3</v>
      </c>
      <c r="E38" s="136">
        <v>27</v>
      </c>
      <c r="F38" s="226" t="n">
        <v>8718.0</v>
      </c>
      <c r="G38" s="11">
        <f si="1" t="shared"/>
        <v>2.0621173986216684E-2</v>
      </c>
    </row>
    <row r="39" spans="1:7" x14ac:dyDescent="0.25">
      <c r="A39">
        <v>28</v>
      </c>
      <c r="B39" s="8" t="n">
        <v>18355.4837541039</v>
      </c>
      <c r="C39" s="11">
        <f si="0" t="shared"/>
        <v>2.9006758520600428E-2</v>
      </c>
      <c r="E39" s="137">
        <v>28</v>
      </c>
      <c r="F39" s="227" t="n">
        <v>12503.0</v>
      </c>
      <c r="G39" s="11">
        <f si="1" t="shared"/>
        <v>1.5230918478690333E-2</v>
      </c>
    </row>
    <row r="40" spans="1:7" x14ac:dyDescent="0.25">
      <c r="A40">
        <v>29</v>
      </c>
      <c r="B40" s="8" t="n">
        <v>7071.405267097301</v>
      </c>
      <c r="C40" s="11">
        <f si="0" t="shared"/>
        <v>1.1174782845923804E-2</v>
      </c>
      <c r="E40" s="138">
        <v>29</v>
      </c>
      <c r="F40" s="228" t="n">
        <v>14812.0</v>
      </c>
      <c r="G40" s="11">
        <f si="1" t="shared"/>
        <v>2.6051780751441298E-2</v>
      </c>
    </row>
    <row r="41" spans="1:7" x14ac:dyDescent="0.25">
      <c r="A41">
        <v>30</v>
      </c>
      <c r="B41" s="8" t="n">
        <v>2720.998350516</v>
      </c>
      <c r="C41" s="11">
        <f si="0" t="shared"/>
        <v>4.2999325512585954E-3</v>
      </c>
      <c r="E41" s="139">
        <v>30</v>
      </c>
      <c r="F41" s="229" t="n">
        <v>13246.0</v>
      </c>
      <c r="G41" s="11">
        <f si="1" t="shared"/>
        <v>2.2287344668674141E-2</v>
      </c>
    </row>
    <row r="42" spans="1:7" x14ac:dyDescent="0.25">
      <c r="A42">
        <v>31</v>
      </c>
      <c r="B42" s="8" t="n">
        <v>2803.8852006017</v>
      </c>
      <c r="C42" s="11">
        <f si="0" t="shared"/>
        <v>4.4309167779440712E-3</v>
      </c>
      <c r="E42" s="140">
        <v>31</v>
      </c>
      <c r="F42" s="230" t="n">
        <v>7820.0</v>
      </c>
      <c r="G42" s="11">
        <f si="1" t="shared"/>
        <v>1.543267476718165E-2</v>
      </c>
    </row>
    <row r="43" spans="1:7" x14ac:dyDescent="0.25">
      <c r="A43">
        <v>32</v>
      </c>
      <c r="B43" s="8" t="n">
        <v>4062.4202194034997</v>
      </c>
      <c r="C43" s="11">
        <f si="0" t="shared"/>
        <v>6.4197513883062817E-3</v>
      </c>
      <c r="E43" s="141">
        <v>32</v>
      </c>
      <c r="F43" s="231" t="n">
        <v>15444.0</v>
      </c>
      <c r="G43" s="11">
        <f si="1" t="shared"/>
        <v>2.0681700872764077E-2</v>
      </c>
    </row>
    <row r="44" spans="1:7" x14ac:dyDescent="0.25">
      <c r="A44">
        <v>33</v>
      </c>
      <c r="B44" s="8" t="n">
        <v>3825.7504627266</v>
      </c>
      <c r="C44" s="11">
        <f si="0" t="shared"/>
        <v>6.0457474899060981E-3</v>
      </c>
      <c r="E44" s="142">
        <v>33</v>
      </c>
      <c r="F44" s="232" t="n">
        <v>10038.0</v>
      </c>
      <c r="G44" s="11">
        <f si="1" t="shared"/>
        <v>1.6078294890353863E-2</v>
      </c>
    </row>
    <row r="45" spans="1:7" x14ac:dyDescent="0.25">
      <c r="A45">
        <v>34</v>
      </c>
      <c r="B45" s="8" t="n">
        <v>7610.0547515784</v>
      </c>
      <c r="C45" s="11">
        <f si="0" t="shared"/>
        <v>1.2025998522552097E-2</v>
      </c>
      <c r="E45" s="143">
        <v>34</v>
      </c>
      <c r="F45" s="233" t="n">
        <v>7799.0</v>
      </c>
      <c r="G45" s="11">
        <f si="1" t="shared"/>
        <v>1.0909971300167963E-2</v>
      </c>
    </row>
    <row r="46" spans="1:7" x14ac:dyDescent="0.25">
      <c r="A46">
        <v>35</v>
      </c>
      <c r="B46" s="8" t="n">
        <v>1448.9269749027</v>
      </c>
      <c r="C46" s="11">
        <f si="0" t="shared"/>
        <v>2.289706740395222E-3</v>
      </c>
      <c r="E46" s="144">
        <v>35</v>
      </c>
      <c r="F46" s="234" t="n">
        <v>5698.0</v>
      </c>
      <c r="G46" s="11">
        <f si="1" t="shared"/>
        <v>1.0198780383236071E-2</v>
      </c>
    </row>
    <row r="47" spans="1:7" x14ac:dyDescent="0.25">
      <c r="A47">
        <v>36</v>
      </c>
      <c r="B47" s="8" t="n">
        <v>1422.0057125692</v>
      </c>
      <c r="C47" s="11">
        <f si="0" t="shared"/>
        <v>2.2471636744625153E-3</v>
      </c>
      <c r="E47" s="145">
        <v>36</v>
      </c>
      <c r="F47" s="235" t="n">
        <v>5178.0</v>
      </c>
      <c r="G47" s="11">
        <f si="1" t="shared"/>
        <v>1.1928840557049113E-2</v>
      </c>
    </row>
    <row r="48" spans="1:7" x14ac:dyDescent="0.25">
      <c r="A48">
        <v>37</v>
      </c>
      <c r="B48" s="8" t="n">
        <v>10426.127244151</v>
      </c>
      <c r="C48" s="11">
        <f si="0" t="shared"/>
        <v>1.6476174604143825E-2</v>
      </c>
      <c r="E48" s="146">
        <v>37</v>
      </c>
      <c r="F48" s="236" t="n">
        <v>9508.0</v>
      </c>
      <c r="G48" s="11">
        <f si="1" t="shared"/>
        <v>1.0397174066919198E-2</v>
      </c>
    </row>
    <row r="49" spans="1:7" x14ac:dyDescent="0.25">
      <c r="A49">
        <v>38</v>
      </c>
      <c r="B49" s="8" t="n">
        <v>8598.1848292328</v>
      </c>
      <c r="C49" s="11">
        <f si="0" t="shared"/>
        <v>1.3587518280540223E-2</v>
      </c>
      <c r="E49" s="147">
        <v>38</v>
      </c>
      <c r="F49" s="237" t="n">
        <v>5807.0</v>
      </c>
      <c r="G49" s="11">
        <f si="1" t="shared"/>
        <v>1.008949572696994E-2</v>
      </c>
    </row>
    <row r="50" spans="1:7" x14ac:dyDescent="0.25">
      <c r="A50">
        <v>39</v>
      </c>
      <c r="B50" s="8" t="n">
        <v>1092.3468692406</v>
      </c>
      <c r="C50" s="11">
        <f si="0" t="shared"/>
        <v>1.7262112119334242E-3</v>
      </c>
      <c r="E50" s="148">
        <v>39</v>
      </c>
      <c r="F50" s="238" t="n">
        <v>4641.0</v>
      </c>
      <c r="G50" s="11">
        <f si="1" t="shared"/>
        <v>7.2918085265570119E-3</v>
      </c>
    </row>
    <row r="51" spans="1:7" x14ac:dyDescent="0.25">
      <c r="A51">
        <v>40</v>
      </c>
      <c r="B51" s="8" t="n">
        <v>515.9615593377</v>
      </c>
      <c r="C51" s="11">
        <f si="0" t="shared"/>
        <v>8.1536245833210169E-4</v>
      </c>
      <c r="E51" s="149">
        <v>40</v>
      </c>
      <c r="F51" s="239" t="n">
        <v>3713.0</v>
      </c>
      <c r="G51" s="11">
        <f si="1" t="shared"/>
        <v>5.9534918128979434E-3</v>
      </c>
    </row>
    <row r="52" spans="1:7" x14ac:dyDescent="0.25">
      <c r="A52">
        <v>41</v>
      </c>
      <c r="B52" s="8" t="n">
        <v>2505.9070916342002</v>
      </c>
      <c r="C52" s="11">
        <f si="0" t="shared"/>
        <v>3.9600286680454176E-3</v>
      </c>
      <c r="E52" s="150">
        <v>41</v>
      </c>
      <c r="F52" s="240" t="n">
        <v>2187.0</v>
      </c>
      <c r="G52" s="11">
        <f si="1" t="shared"/>
        <v>3.7577108731507774E-3</v>
      </c>
    </row>
    <row r="53" spans="1:7" x14ac:dyDescent="0.25">
      <c r="A53">
        <v>42</v>
      </c>
      <c r="B53" s="8" t="n">
        <v>1195.9900334889999</v>
      </c>
      <c r="C53" s="11">
        <f si="0" t="shared"/>
        <v>1.8899961754864608E-3</v>
      </c>
      <c r="E53" s="151">
        <v>42</v>
      </c>
      <c r="F53" s="241" t="n">
        <v>1905.0</v>
      </c>
      <c r="G53" s="11">
        <f si="1" t="shared"/>
        <v>4.9816990233314332E-3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4798.0</v>
      </c>
      <c r="G54" s="11">
        <f si="1" t="shared"/>
        <v>5.8004932941253615E-3</v>
      </c>
    </row>
    <row r="55" spans="1:7" x14ac:dyDescent="0.25">
      <c r="A55">
        <v>44</v>
      </c>
      <c r="B55" s="8" t="n">
        <v>157.2505044592</v>
      </c>
      <c r="C55" s="11">
        <f si="0" t="shared"/>
        <v>2.4849943870701842E-4</v>
      </c>
      <c r="E55" s="153">
        <v>44</v>
      </c>
      <c r="F55" s="243" t="n">
        <v>1480.0</v>
      </c>
      <c r="G55" s="11">
        <f si="1" t="shared"/>
        <v>2.9557296263977928E-3</v>
      </c>
    </row>
    <row r="56" spans="1:7" x14ac:dyDescent="0.25">
      <c r="A56">
        <v>45</v>
      </c>
      <c r="B56" s="8" t="n">
        <v>28048.9221955688</v>
      </c>
      <c r="C56" s="11">
        <f si="0" t="shared"/>
        <v>4.4325081473707714E-2</v>
      </c>
      <c r="E56" s="154">
        <v>45</v>
      </c>
      <c r="F56" s="244" t="n">
        <v>1438.0</v>
      </c>
      <c r="G56" s="11">
        <f si="1" t="shared"/>
        <v>2.1386166580079592E-3</v>
      </c>
    </row>
    <row r="57" spans="1:7" x14ac:dyDescent="0.25">
      <c r="A57">
        <v>46</v>
      </c>
      <c r="B57" s="8" t="n">
        <v>1142.4347019299998</v>
      </c>
      <c r="C57" s="11">
        <f si="0" t="shared"/>
        <v>1.8053638884362607E-3</v>
      </c>
      <c r="E57" s="155">
        <v>46</v>
      </c>
      <c r="F57" s="245" t="n">
        <v>1394.0</v>
      </c>
      <c r="G57" s="11">
        <f si="1" t="shared"/>
        <v>2.3605485753484079E-3</v>
      </c>
    </row>
    <row r="58" spans="1:7" x14ac:dyDescent="0.25">
      <c r="A58">
        <v>47</v>
      </c>
      <c r="B58" s="8" t="n">
        <v>1338.746931964</v>
      </c>
      <c r="C58" s="11">
        <f si="0" t="shared"/>
        <v>2.1155916943345204E-3</v>
      </c>
      <c r="E58" s="156">
        <v>47</v>
      </c>
      <c r="F58" s="246" t="n">
        <v>1293.0</v>
      </c>
      <c r="G58" s="11">
        <f si="1" t="shared"/>
        <v>3.0801460043007717E-3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157">
        <v>48</v>
      </c>
      <c r="F59" s="247" t="n">
        <v>1443.0</v>
      </c>
      <c r="G59" s="11">
        <f si="1" t="shared"/>
        <v>1.4610517891579533E-3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813.0</v>
      </c>
      <c r="G60" s="11">
        <f si="1" t="shared"/>
        <v>1.3668988545286721E-3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733.0</v>
      </c>
      <c r="G61" s="11">
        <f si="1" t="shared"/>
        <v>1.393799692994181E-3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1000.0</v>
      </c>
      <c r="G62" s="11">
        <f si="1" t="shared"/>
        <v>1.6459950536083271E-3</v>
      </c>
    </row>
    <row r="63" spans="1:7" x14ac:dyDescent="0.25">
      <c r="A63">
        <v>52</v>
      </c>
      <c r="B63" s="8" t="n">
        <v>1089.82717822</v>
      </c>
      <c r="C63" s="11">
        <f si="0" t="shared"/>
        <v>1.7222294008321652E-3</v>
      </c>
      <c r="E63" s="161">
        <v>52</v>
      </c>
      <c r="F63" s="251" t="n">
        <v>582.0</v>
      </c>
      <c r="G63" s="11">
        <f si="1" t="shared"/>
        <v>1.0289570713057162E-3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556.0</v>
      </c>
      <c r="G64" s="11">
        <f si="1" t="shared"/>
        <v>1.1550547516127893E-3</v>
      </c>
    </row>
    <row r="65" spans="1:7" x14ac:dyDescent="0.25">
      <c r="A65">
        <v>54</v>
      </c>
      <c r="B65" s="8" t="n">
        <v>10526.631561496999</v>
      </c>
      <c r="C65" s="11">
        <f si="0" t="shared"/>
        <v>1.6634999318468305E-2</v>
      </c>
      <c r="E65" s="163">
        <v>54</v>
      </c>
      <c r="F65" s="253" t="n">
        <v>572.0</v>
      </c>
      <c r="G65" s="11">
        <f si="1" t="shared"/>
        <v>7.9693733954070182E-4</v>
      </c>
    </row>
    <row r="66" spans="1:7" x14ac:dyDescent="0.25">
      <c r="A66">
        <v>55</v>
      </c>
      <c r="B66" s="8" t="n">
        <v>183.053312801</v>
      </c>
      <c r="C66" s="11">
        <f si="0" t="shared"/>
        <v>2.8927503692880802E-4</v>
      </c>
      <c r="E66" s="164">
        <v>55</v>
      </c>
      <c r="F66" s="254" t="n">
        <v>443.0</v>
      </c>
      <c r="G66" s="11">
        <f si="1" t="shared"/>
        <v>5.5987370056340439E-4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345.0</v>
      </c>
      <c r="G67" s="11">
        <f si="1" t="shared"/>
        <v>6.2544449432308242E-4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307.0</v>
      </c>
      <c r="G68" s="11">
        <f si="1" t="shared"/>
        <v>5.9349974864529055E-4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232.0</v>
      </c>
      <c r="G69" s="11">
        <f si="1" t="shared"/>
        <v>3.1776615437382414E-4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233.0</v>
      </c>
      <c r="G70" s="11">
        <f si="1" t="shared"/>
        <v>3.513922024557103E-4</v>
      </c>
    </row>
    <row r="71" spans="1:7" x14ac:dyDescent="0.25">
      <c r="A71">
        <v>60</v>
      </c>
      <c r="B71" s="8" t="n">
        <v>643.990712412</v>
      </c>
      <c r="C71" s="11">
        <f si="0" t="shared"/>
        <v>1.0176840520625258E-3</v>
      </c>
      <c r="E71" s="169">
        <v>60</v>
      </c>
      <c r="F71" s="259" t="n">
        <v>205.0</v>
      </c>
      <c r="G71" s="11">
        <f si="1" t="shared"/>
        <v>3.2953527120248429E-4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126.0</v>
      </c>
      <c r="G72" s="11">
        <f si="1" t="shared"/>
        <v>2.8750271110012662E-4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159.0</v>
      </c>
      <c r="G73" s="11">
        <f si="1" t="shared"/>
        <v>2.5555796542233475E-4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134.0</v>
      </c>
      <c r="G74" s="11">
        <f si="1" t="shared"/>
        <v>3.6652392409255904E-4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92.0</v>
      </c>
      <c r="G75" s="11">
        <f si="1" t="shared"/>
        <v>1.6140503079305354E-4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163.0</v>
      </c>
      <c r="G76" s="11">
        <f si="1" t="shared"/>
        <v>1.6140503079305354E-4</v>
      </c>
    </row>
    <row r="77" spans="1:7" x14ac:dyDescent="0.25">
      <c r="A77">
        <v>66</v>
      </c>
      <c r="B77" s="8" t="n">
        <v>250.40304101</v>
      </c>
      <c r="C77" s="11">
        <f ref="C77:C102" si="2" t="shared">B77/B$102</f>
        <v>3.9570629903868027E-4</v>
      </c>
      <c r="E77" s="175">
        <v>66</v>
      </c>
      <c r="F77" s="265" t="n">
        <v>81.0</v>
      </c>
      <c r="G77" s="11">
        <f ref="G77:G102" si="3" t="shared">F77/F$102</f>
        <v>1.1096595867022431E-4</v>
      </c>
    </row>
    <row r="78" spans="1:7" x14ac:dyDescent="0.25">
      <c r="A78">
        <v>67</v>
      </c>
      <c r="B78" s="8" t="n">
        <v>1607.34705911</v>
      </c>
      <c r="C78" s="11">
        <f si="2" t="shared"/>
        <v>2.5400544396971775E-3</v>
      </c>
      <c r="E78" s="176">
        <v>67</v>
      </c>
      <c r="F78" s="266" t="n">
        <v>54.0</v>
      </c>
      <c r="G78" s="11">
        <f si="3" t="shared"/>
        <v>1.0760335386203568E-4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63.0</v>
      </c>
      <c r="G79" s="11">
        <f si="3" t="shared"/>
        <v>9.0790329821092614E-5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36.0</v>
      </c>
      <c r="G80" s="11">
        <f si="3" t="shared"/>
        <v>8.7427725012903989E-5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40.0</v>
      </c>
      <c r="G81" s="11">
        <f si="3" t="shared"/>
        <v>4.2032560102357689E-5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38.0</v>
      </c>
      <c r="G82" s="11">
        <f si="3" t="shared"/>
        <v>7.7339910588338143E-5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41.0</v>
      </c>
      <c r="G83" s="11">
        <f si="3" t="shared"/>
        <v>5.8845584143300764E-5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38.0</v>
      </c>
      <c r="G84" s="11">
        <f si="3" t="shared"/>
        <v>4.5395164910546307E-5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23.0</v>
      </c>
      <c r="G85" s="11">
        <f si="3" t="shared"/>
        <v>5.043907212282923E-5</v>
      </c>
    </row>
    <row r="86" spans="1:7" x14ac:dyDescent="0.25">
      <c r="A86">
        <v>75</v>
      </c>
      <c r="B86" s="8" t="n">
        <v>444.572467296</v>
      </c>
      <c r="C86" s="11">
        <f si="2" t="shared"/>
        <v>7.0254788032374335E-4</v>
      </c>
      <c r="E86" s="184">
        <v>75</v>
      </c>
      <c r="F86" s="274" t="n">
        <v>11.0</v>
      </c>
      <c r="G86" s="11">
        <f si="3" t="shared"/>
        <v>2.690083846550892E-5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11.0</v>
      </c>
      <c r="G87" s="11">
        <f si="3" t="shared"/>
        <v>8.4065120204715389E-6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12.0</v>
      </c>
      <c r="G88" s="11">
        <f si="3" t="shared"/>
        <v>3.0263443273697538E-5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12.0</v>
      </c>
      <c r="G89" s="11">
        <f si="3" t="shared"/>
        <v>3.0263443273697538E-5</v>
      </c>
    </row>
    <row r="90" spans="1:7" x14ac:dyDescent="0.25">
      <c r="A90">
        <v>79</v>
      </c>
      <c r="B90" s="8" t="n">
        <v>256.371317496</v>
      </c>
      <c r="C90" s="11">
        <f si="2" t="shared"/>
        <v>4.0513783225963796E-4</v>
      </c>
      <c r="E90" s="188">
        <v>79</v>
      </c>
      <c r="F90" s="278" t="n">
        <v>18.0</v>
      </c>
      <c r="G90" s="11">
        <f si="3" t="shared"/>
        <v>1.0087814424565846E-5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11.0</v>
      </c>
      <c r="G91" s="11">
        <f si="3" t="shared"/>
        <v>1.5131721636848769E-5</v>
      </c>
    </row>
    <row r="92" spans="1:7" x14ac:dyDescent="0.25">
      <c r="A92">
        <v>81</v>
      </c>
      <c r="B92" s="8" t="n">
        <v>668.711535771</v>
      </c>
      <c r="C92" s="11">
        <f si="2" t="shared"/>
        <v>1.0567498137286876E-3</v>
      </c>
      <c r="E92" s="190">
        <v>81</v>
      </c>
      <c r="F92" s="280" t="n">
        <v>10.0</v>
      </c>
      <c r="G92" s="11">
        <f si="3" t="shared"/>
        <v>6.7252096163772301E-6</v>
      </c>
    </row>
    <row r="93" spans="1:7" x14ac:dyDescent="0.25">
      <c r="A93">
        <v>82</v>
      </c>
      <c r="B93" s="8" t="n">
        <v>569.501209051</v>
      </c>
      <c r="C93" s="11">
        <f si="2" t="shared"/>
        <v>8.9996996371392022E-4</v>
      </c>
      <c r="E93" s="191">
        <v>82</v>
      </c>
      <c r="F93" s="281" t="n">
        <v>6.0</v>
      </c>
      <c r="G93" s="11">
        <f si="3" t="shared"/>
        <v>8.4065120204715389E-6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11.0</v>
      </c>
      <c r="G94" s="11">
        <f si="3" t="shared"/>
        <v>8.4065120204715389E-6</v>
      </c>
    </row>
    <row r="95" spans="1:7" x14ac:dyDescent="0.25">
      <c r="A95">
        <v>84</v>
      </c>
      <c r="B95" s="8" t="n">
        <v>258.883817246</v>
      </c>
      <c r="C95" s="11">
        <f si="2" t="shared"/>
        <v>4.0910827915755876E-4</v>
      </c>
      <c r="E95" s="193">
        <v>84</v>
      </c>
      <c r="F95" s="283" t="n">
        <v>3.0</v>
      </c>
      <c r="G95" s="11">
        <f si="3" t="shared"/>
        <v>6.7252096163772301E-6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3.0</v>
      </c>
      <c r="G96" s="11">
        <f si="3" t="shared"/>
        <v>8.4065120204715389E-6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3.0</v>
      </c>
      <c r="G97" s="11">
        <f si="3" t="shared"/>
        <v>1.0087814424565846E-5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6.0</v>
      </c>
      <c r="G98" s="11">
        <f si="3" t="shared"/>
        <v>1.0087814424565846E-5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0.0</v>
      </c>
      <c r="G99" s="11">
        <f si="3" t="shared"/>
        <v>1.1769116828660153E-5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5.0</v>
      </c>
      <c r="G100" s="11">
        <f si="3" t="shared"/>
        <v>3.362604808188615E-6</v>
      </c>
    </row>
    <row ht="15.75" r="101" spans="1:7" thickBot="1" x14ac:dyDescent="0.3">
      <c r="A101" s="1">
        <v>90</v>
      </c>
      <c r="B101" s="9" t="n">
        <v>149.321800022</v>
      </c>
      <c r="C101" s="11">
        <f si="2" t="shared"/>
        <v>2.3596988524648085E-4</v>
      </c>
      <c r="E101" s="292">
        <v>90</v>
      </c>
      <c r="F101" s="292" t="n">
        <v>9.0</v>
      </c>
      <c r="G101" s="11">
        <f si="3" t="shared"/>
        <v>3.5307350485980461E-5</v>
      </c>
    </row>
    <row r="102" spans="1:7" x14ac:dyDescent="0.25">
      <c r="B102" s="8">
        <f>SUM(B11:B101)</f>
        <v>632800.24002226745</v>
      </c>
      <c r="C102" s="11">
        <f si="2" t="shared"/>
        <v>1</v>
      </c>
      <c r="F102" s="8">
        <f>SUM(F11:F101)</f>
        <v>594777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3" workbookViewId="0" zoomScaleNormal="100">
      <selection activeCell="AD37" sqref="AD37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343" t="n">
        <v>0.0</v>
      </c>
      <c r="N7" s="343" t="n">
        <v>0.0</v>
      </c>
      <c r="O7" s="343" t="n">
        <v>0.0</v>
      </c>
      <c r="P7" s="343" t="n">
        <v>0.0</v>
      </c>
      <c r="Q7" s="343" t="n">
        <v>0.0</v>
      </c>
      <c r="R7" s="343" t="n">
        <v>0.0</v>
      </c>
      <c r="S7" s="343" t="n">
        <v>0.0</v>
      </c>
      <c r="T7" s="291"/>
      <c r="U7" s="12">
        <f>SUM(M7:T7)</f>
        <v>0</v>
      </c>
    </row>
    <row r="8" spans="1:21" x14ac:dyDescent="0.25">
      <c r="A8" t="s">
        <v>250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43" t="n">
        <v>0.0</v>
      </c>
      <c r="N8" s="343" t="n">
        <v>0.0</v>
      </c>
      <c r="O8" s="343" t="n">
        <v>0.0</v>
      </c>
      <c r="P8" s="343" t="n">
        <v>0.0</v>
      </c>
      <c r="Q8" s="343" t="n">
        <v>0.0</v>
      </c>
      <c r="R8" s="343" t="n">
        <v>0.0</v>
      </c>
      <c r="S8" s="343" t="n">
        <v>0.0</v>
      </c>
      <c r="T8" s="291"/>
      <c r="U8" s="12">
        <f ref="U8:U14" si="1" t="shared">SUM(M8:T8)</f>
        <v>0</v>
      </c>
    </row>
    <row r="9" spans="1:21" x14ac:dyDescent="0.25">
      <c r="A9" t="s">
        <v>251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343" t="n">
        <v>0.0</v>
      </c>
      <c r="N9" s="343" t="n">
        <v>0.0</v>
      </c>
      <c r="O9" s="343" t="n">
        <v>0.0</v>
      </c>
      <c r="P9" s="343" t="n">
        <v>0.0</v>
      </c>
      <c r="Q9" s="343" t="n">
        <v>0.0</v>
      </c>
      <c r="R9" s="343" t="n">
        <v>0.0</v>
      </c>
      <c r="S9" s="343" t="n">
        <v>0.0</v>
      </c>
      <c r="T9" s="291"/>
      <c r="U9" s="12">
        <f si="1" t="shared"/>
        <v>0</v>
      </c>
    </row>
    <row r="10" spans="1:21" x14ac:dyDescent="0.25">
      <c r="A10" t="s">
        <v>252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Redmond</v>
      </c>
      <c r="M10" s="343" t="n">
        <v>0.0</v>
      </c>
      <c r="N10" s="343" t="n">
        <v>0.0</v>
      </c>
      <c r="O10" s="343" t="n">
        <v>0.0</v>
      </c>
      <c r="P10" s="343" t="n">
        <v>0.0</v>
      </c>
      <c r="Q10" s="343" t="n">
        <v>0.0</v>
      </c>
      <c r="R10" s="343" t="n">
        <v>0.0</v>
      </c>
      <c r="S10" s="343" t="n">
        <v>0.0</v>
      </c>
      <c r="T10" s="291"/>
      <c r="U10" s="12">
        <f si="1" t="shared"/>
        <v>0</v>
      </c>
    </row>
    <row r="11" spans="1:21" x14ac:dyDescent="0.25">
      <c r="A11" t="s">
        <v>248</v>
      </c>
      <c r="B11" s="12" t="n">
        <v>0.0</v>
      </c>
      <c r="C11" s="12" t="n">
        <v>109.0593083993</v>
      </c>
      <c r="D11" s="12" t="n">
        <v>0.0</v>
      </c>
      <c r="E11" s="12" t="n">
        <v>0.0</v>
      </c>
      <c r="F11" s="12" t="n">
        <v>89978.8314132858</v>
      </c>
      <c r="G11" s="12" t="n">
        <v>6946.5674062645</v>
      </c>
      <c r="H11" s="12" t="n">
        <v>8080.0100283098</v>
      </c>
      <c r="I11" s="12"/>
      <c r="J11" s="12">
        <f si="0" t="shared"/>
        <v>105114.46815625941</v>
      </c>
      <c r="K11" s="13"/>
      <c r="L11" t="str">
        <f>$A$11</f>
        <v>Seattle</v>
      </c>
      <c r="M11" s="343" t="n">
        <v>949.0</v>
      </c>
      <c r="N11" s="343" t="n">
        <v>816.0</v>
      </c>
      <c r="O11" s="343" t="n">
        <v>1568.0</v>
      </c>
      <c r="P11" s="343" t="n">
        <v>556.0</v>
      </c>
      <c r="Q11" s="343" t="n">
        <v>72035.0</v>
      </c>
      <c r="R11" s="343" t="n">
        <v>9224.0</v>
      </c>
      <c r="S11" s="343" t="n">
        <v>9726.0</v>
      </c>
      <c r="T11" s="291"/>
      <c r="U11" s="12">
        <f si="1" t="shared"/>
        <v>94952</v>
      </c>
    </row>
    <row r="12" spans="1:21" x14ac:dyDescent="0.25">
      <c r="A12" t="s">
        <v>253</v>
      </c>
      <c r="B12" s="12" t="n">
        <v>71.9144943498</v>
      </c>
      <c r="C12" s="12" t="n">
        <v>0.0</v>
      </c>
      <c r="D12" s="12" t="n">
        <v>0.0</v>
      </c>
      <c r="E12" s="12" t="n">
        <v>0.0</v>
      </c>
      <c r="F12" s="12" t="n">
        <v>4435.5454678812</v>
      </c>
      <c r="G12" s="12" t="n">
        <v>8152.8204414182</v>
      </c>
      <c r="H12" s="12" t="n">
        <v>144.2305369303</v>
      </c>
      <c r="I12" s="12"/>
      <c r="J12" s="12">
        <f si="0" t="shared"/>
        <v>12804.510940579501</v>
      </c>
      <c r="K12" s="13"/>
      <c r="L12" t="str">
        <f>$A$12</f>
        <v>Seattle Downtown</v>
      </c>
      <c r="M12" s="343" t="n">
        <v>68.0</v>
      </c>
      <c r="N12" s="343" t="n">
        <v>56.0</v>
      </c>
      <c r="O12" s="343" t="n">
        <v>35.0</v>
      </c>
      <c r="P12" s="343" t="n">
        <v>18.0</v>
      </c>
      <c r="Q12" s="343" t="n">
        <v>1430.0</v>
      </c>
      <c r="R12" s="343" t="n">
        <v>8571.0</v>
      </c>
      <c r="S12" s="343" t="n">
        <v>181.0</v>
      </c>
      <c r="T12" s="291"/>
      <c r="U12" s="12">
        <f si="1" t="shared"/>
        <v>10373</v>
      </c>
    </row>
    <row r="13" spans="1:21" x14ac:dyDescent="0.25">
      <c r="A13" t="s">
        <v>254</v>
      </c>
      <c r="B13" s="12" t="n">
        <v>776.0514419</v>
      </c>
      <c r="C13" s="12" t="n">
        <v>1602.1303793089999</v>
      </c>
      <c r="D13" s="12" t="n">
        <v>1020.4236710519999</v>
      </c>
      <c r="E13" s="12" t="n">
        <v>272.274861354</v>
      </c>
      <c r="F13" s="12" t="n">
        <v>7156.233199811</v>
      </c>
      <c r="G13" s="12" t="n">
        <v>3107.520417879</v>
      </c>
      <c r="H13" s="12" t="n">
        <v>510378.8141281464</v>
      </c>
      <c r="I13" s="12"/>
      <c r="J13" s="12">
        <f si="0" t="shared"/>
        <v>524313.44809945137</v>
      </c>
      <c r="K13" s="13"/>
      <c r="L13" t="str">
        <f>$A$13</f>
        <v>Rest</v>
      </c>
      <c r="M13" s="343" t="n">
        <v>4673.0</v>
      </c>
      <c r="N13" s="343" t="n">
        <v>2879.0</v>
      </c>
      <c r="O13" s="343" t="n">
        <v>4940.0</v>
      </c>
      <c r="P13" s="343" t="n">
        <v>6106.0</v>
      </c>
      <c r="Q13" s="343" t="n">
        <v>10201.0</v>
      </c>
      <c r="R13" s="343" t="n">
        <v>2133.0</v>
      </c>
      <c r="S13" s="343" t="n">
        <v>462724.0</v>
      </c>
      <c r="T13" s="291"/>
      <c r="U13" s="12">
        <f si="1" t="shared"/>
        <v>485368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847.96593624979994</v>
      </c>
      <c r="C15" s="15">
        <f si="2" t="shared"/>
        <v>1711.1896877083</v>
      </c>
      <c r="D15" s="15">
        <f si="2" t="shared"/>
        <v>1020.4236710519999</v>
      </c>
      <c r="E15" s="15">
        <f si="2" t="shared"/>
        <v>272.274861354</v>
      </c>
      <c r="F15" s="15">
        <f si="2" t="shared"/>
        <v>101570.610080978</v>
      </c>
      <c r="G15" s="15">
        <f si="2" t="shared"/>
        <v>18206.908265561702</v>
      </c>
      <c r="H15" s="15">
        <f si="2" t="shared"/>
        <v>518603.05469338648</v>
      </c>
      <c r="I15" s="15">
        <f si="2" t="shared"/>
        <v>0</v>
      </c>
      <c r="J15" s="15">
        <f si="2" t="shared"/>
        <v>642232.42719629034</v>
      </c>
      <c r="K15" s="12"/>
      <c r="L15" s="15" t="s">
        <v>4</v>
      </c>
      <c r="M15" s="15">
        <f ref="M15:U15" si="3" t="shared">SUM(M7:M14)</f>
        <v>6087</v>
      </c>
      <c r="N15" s="15">
        <f si="3" t="shared"/>
        <v>3763</v>
      </c>
      <c r="O15" s="15">
        <f si="3" t="shared"/>
        <v>5703</v>
      </c>
      <c r="P15" s="15">
        <f si="3" t="shared"/>
        <v>6033</v>
      </c>
      <c r="Q15" s="15">
        <f si="3" t="shared"/>
        <v>83717</v>
      </c>
      <c r="R15" s="15">
        <f si="3" t="shared"/>
        <v>20106</v>
      </c>
      <c r="S15" s="15">
        <f si="3" t="shared"/>
        <v>465284</v>
      </c>
      <c r="T15" s="15">
        <f si="3" t="shared"/>
        <v>0</v>
      </c>
      <c r="U15" s="15">
        <f si="3" t="shared"/>
        <v>590693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 t="e">
        <f ref="B20:G20" si="4" t="shared">($U7/$J7)*B7</f>
        <v>#DIV/0!</v>
      </c>
      <c r="C20" s="12" t="e">
        <f si="4" t="shared"/>
        <v>#DIV/0!</v>
      </c>
      <c r="D20" s="12" t="e">
        <f si="4" t="shared"/>
        <v>#DIV/0!</v>
      </c>
      <c r="E20" s="12" t="e">
        <f si="4" t="shared"/>
        <v>#DIV/0!</v>
      </c>
      <c r="F20" s="12" t="e">
        <f si="4" t="shared"/>
        <v>#DIV/0!</v>
      </c>
      <c r="G20" s="12" t="e">
        <f si="4" t="shared"/>
        <v>#DIV/0!</v>
      </c>
      <c r="H20" s="12" t="e">
        <f ref="H20" si="5" t="shared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 ref="M20:M26" si="6" t="shared">M7</f>
        <v>0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0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6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>
        <f si="9" t="shared"/>
        <v>0</v>
      </c>
      <c r="C24" s="12">
        <f si="9" t="shared"/>
        <v>98.515453036744347</v>
      </c>
      <c r="D24" s="12">
        <f si="9" t="shared"/>
        <v>0</v>
      </c>
      <c r="E24" s="12">
        <f si="9" t="shared"/>
        <v>0</v>
      </c>
      <c r="F24" s="12">
        <f si="9" t="shared"/>
        <v>81279.676815313374</v>
      </c>
      <c r="G24" s="12">
        <f si="9" t="shared"/>
        <v>6274.9731785647555</v>
      </c>
      <c r="H24" s="12">
        <f ref="H24" si="19" t="shared">($U11/$J11)*H11</f>
        <v>7298.8345530851238</v>
      </c>
      <c r="I24" s="12"/>
      <c r="J24" s="12">
        <f si="11" t="shared"/>
        <v>94952</v>
      </c>
      <c r="K24" s="13"/>
      <c r="L24" t="str">
        <f>$A$11</f>
        <v>Seattle</v>
      </c>
      <c r="M24" s="12">
        <f si="6" t="shared"/>
        <v>1121</v>
      </c>
      <c r="N24" s="12">
        <f si="12" t="shared"/>
        <v>901</v>
      </c>
      <c r="O24" s="12">
        <f si="12" t="shared"/>
        <v>1333</v>
      </c>
      <c r="P24" s="12">
        <f si="12" t="shared"/>
        <v>540</v>
      </c>
      <c r="Q24" s="12">
        <f si="12" t="shared"/>
        <v>72012</v>
      </c>
      <c r="R24" s="12">
        <f si="12" t="shared"/>
        <v>9362</v>
      </c>
      <c r="S24" s="12">
        <f ref="S24" si="20" t="shared">S11</f>
        <v>9683</v>
      </c>
      <c r="T24" s="12"/>
      <c r="U24" s="12">
        <f si="14" t="shared"/>
        <v>94952</v>
      </c>
    </row>
    <row r="25" spans="1:32" x14ac:dyDescent="0.25">
      <c r="A25" t="str">
        <f>$A$12</f>
        <v>Seattle Downtown</v>
      </c>
      <c r="B25" s="12">
        <f si="9" t="shared"/>
        <v>58.258300793541636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3593.2581378425834</v>
      </c>
      <c r="G25" s="12">
        <f si="9" t="shared"/>
        <v>6604.6416634951611</v>
      </c>
      <c r="H25" s="12">
        <f ref="H25:H26" si="21" t="shared">($U12/$J12)*H12</f>
        <v>116.84189786871248</v>
      </c>
      <c r="I25" s="12"/>
      <c r="J25" s="12">
        <f si="11" t="shared"/>
        <v>10373</v>
      </c>
      <c r="K25" s="13"/>
      <c r="L25" t="str">
        <f>$A$12</f>
        <v>Seattle Downtown</v>
      </c>
      <c r="M25" s="12">
        <f si="6" t="shared"/>
        <v>73</v>
      </c>
      <c r="N25" s="12">
        <f si="12" t="shared"/>
        <v>54</v>
      </c>
      <c r="O25" s="12">
        <f si="12" t="shared"/>
        <v>41</v>
      </c>
      <c r="P25" s="12">
        <f si="12" t="shared"/>
        <v>23</v>
      </c>
      <c r="Q25" s="12">
        <f si="12" t="shared"/>
        <v>1413</v>
      </c>
      <c r="R25" s="12">
        <f si="12" t="shared"/>
        <v>8610</v>
      </c>
      <c r="S25" s="12">
        <f ref="S25:S26" si="22" t="shared">S12</f>
        <v>159</v>
      </c>
      <c r="T25" s="12"/>
      <c r="U25" s="12">
        <f si="14" t="shared"/>
        <v>10373</v>
      </c>
    </row>
    <row r="26" spans="1:32" x14ac:dyDescent="0.25">
      <c r="A26" t="str">
        <f>$A$13</f>
        <v>Rest</v>
      </c>
      <c r="B26" s="12">
        <f si="9" t="shared"/>
        <v>718.40716200869326</v>
      </c>
      <c r="C26" s="12">
        <f si="9" t="shared"/>
        <v>1483.1258300987765</v>
      </c>
      <c r="D26" s="12">
        <f si="9" t="shared"/>
        <v>944.62768057252379</v>
      </c>
      <c r="E26" s="12">
        <f si="9" t="shared"/>
        <v>252.05057277226558</v>
      </c>
      <c r="F26" s="12">
        <f si="9" t="shared"/>
        <v>6624.6757704124966</v>
      </c>
      <c r="G26" s="12">
        <f si="9" t="shared"/>
        <v>2876.6970895985924</v>
      </c>
      <c r="H26" s="12">
        <f si="21" t="shared"/>
        <v>472468.41589453665</v>
      </c>
      <c r="I26" s="12"/>
      <c r="J26" s="12">
        <f si="11" t="shared"/>
        <v>485368</v>
      </c>
      <c r="K26" s="13"/>
      <c r="L26" t="str">
        <f>$A$13</f>
        <v>Rest</v>
      </c>
      <c r="M26" s="12">
        <f si="6" t="shared"/>
        <v>4893</v>
      </c>
      <c r="N26" s="12">
        <f si="12" t="shared"/>
        <v>2808</v>
      </c>
      <c r="O26" s="12">
        <f si="12" t="shared"/>
        <v>4329</v>
      </c>
      <c r="P26" s="12">
        <f si="12" t="shared"/>
        <v>5470</v>
      </c>
      <c r="Q26" s="12">
        <f si="12" t="shared"/>
        <v>10292</v>
      </c>
      <c r="R26" s="12">
        <f si="12" t="shared"/>
        <v>2134</v>
      </c>
      <c r="S26" s="12">
        <f si="22" t="shared"/>
        <v>455442</v>
      </c>
      <c r="T26" s="12"/>
      <c r="U26" s="12">
        <f si="14" t="shared"/>
        <v>485368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6087</v>
      </c>
      <c r="N28" s="15">
        <f si="24" t="shared"/>
        <v>3763</v>
      </c>
      <c r="O28" s="15">
        <f si="24" t="shared"/>
        <v>5703</v>
      </c>
      <c r="P28" s="15">
        <f si="24" t="shared"/>
        <v>6033</v>
      </c>
      <c r="Q28" s="15">
        <f si="24" t="shared"/>
        <v>83717</v>
      </c>
      <c r="R28" s="15">
        <f si="24" t="shared"/>
        <v>20106</v>
      </c>
      <c r="S28" s="15">
        <f si="24" t="shared"/>
        <v>465284</v>
      </c>
      <c r="T28" s="15">
        <f si="24" t="shared"/>
        <v>0</v>
      </c>
      <c r="U28" s="15">
        <f si="24" t="shared"/>
        <v>590693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6"/>
      <c r="J33" s="16" t="e">
        <f ref="J33:J38" si="27" t="shared">J20/$J$28</f>
        <v>#DIV/0!</v>
      </c>
      <c r="K33" s="12"/>
      <c r="L33" t="str">
        <f>$A$7</f>
        <v>Bellevue</v>
      </c>
      <c r="M33" s="16">
        <f ref="M33:R33" si="28" t="shared">M20/$U$28</f>
        <v>0</v>
      </c>
      <c r="N33" s="16">
        <f si="28" t="shared"/>
        <v>0</v>
      </c>
      <c r="O33" s="16">
        <f si="28" t="shared"/>
        <v>0</v>
      </c>
      <c r="P33" s="16">
        <f si="28" t="shared"/>
        <v>0</v>
      </c>
      <c r="Q33" s="16">
        <f si="28" t="shared"/>
        <v>0</v>
      </c>
      <c r="R33" s="16">
        <f si="28" t="shared"/>
        <v>0</v>
      </c>
      <c r="S33" s="16">
        <f ref="S33" si="29" t="shared">S20/$U$28</f>
        <v>0</v>
      </c>
      <c r="T33" s="16"/>
      <c r="U33" s="16">
        <f ref="U33:U39" si="30" t="shared">U20/$U$28</f>
        <v>0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si="25" t="shared"/>
        <v>#DIV/0!</v>
      </c>
      <c r="C34" s="16" t="e">
        <f si="25" t="shared"/>
        <v>#DIV/0!</v>
      </c>
      <c r="D34" s="16" t="e">
        <f si="25" t="shared"/>
        <v>#DIV/0!</v>
      </c>
      <c r="E34" s="16" t="e">
        <f si="25" t="shared"/>
        <v>#DIV/0!</v>
      </c>
      <c r="F34" s="16" t="e">
        <f si="25" t="shared"/>
        <v>#DIV/0!</v>
      </c>
      <c r="G34" s="16" t="e">
        <f ref="G34:H34" si="33" t="shared">G21/$J$28</f>
        <v>#DIV/0!</v>
      </c>
      <c r="H34" s="16" t="e">
        <f si="33" t="shared"/>
        <v>#DIV/0!</v>
      </c>
      <c r="I34" s="16"/>
      <c r="J34" s="16" t="e">
        <f si="27" t="shared"/>
        <v>#DIV/0!</v>
      </c>
      <c r="K34" s="12"/>
      <c r="L34" t="str">
        <f>$A$8</f>
        <v>Bellevue Downtown</v>
      </c>
      <c r="M34" s="16">
        <f ref="M34:R39" si="34" t="shared">M21/$U$28</f>
        <v>0</v>
      </c>
      <c r="N34" s="16">
        <f si="34" t="shared"/>
        <v>0</v>
      </c>
      <c r="O34" s="16">
        <f si="34" t="shared"/>
        <v>0</v>
      </c>
      <c r="P34" s="16">
        <f si="34" t="shared"/>
        <v>0</v>
      </c>
      <c r="Q34" s="16">
        <f si="34" t="shared"/>
        <v>0</v>
      </c>
      <c r="R34" s="16">
        <f si="34" t="shared"/>
        <v>0</v>
      </c>
      <c r="S34" s="16">
        <f ref="S34" si="35" t="shared">S21/$U$28</f>
        <v>0</v>
      </c>
      <c r="T34" s="16"/>
      <c r="U34" s="16">
        <f si="30" t="shared"/>
        <v>0</v>
      </c>
      <c r="W34" t="str">
        <f>$A$8</f>
        <v>Bellevue Downtown</v>
      </c>
      <c r="X34" s="16" t="e">
        <f ref="X34:X38" si="36" t="shared">M34-B34</f>
        <v>#DIV/0!</v>
      </c>
      <c r="Y34" s="16" t="e">
        <f ref="Y34:AD38" si="37" t="shared">N34-C34</f>
        <v>#DIV/0!</v>
      </c>
      <c r="Z34" s="16" t="e">
        <f si="37" t="shared"/>
        <v>#DIV/0!</v>
      </c>
      <c r="AA34" s="16" t="e">
        <f si="37" t="shared"/>
        <v>#DIV/0!</v>
      </c>
      <c r="AB34" s="16" t="e">
        <f si="37" t="shared"/>
        <v>#DIV/0!</v>
      </c>
      <c r="AC34" s="16" t="e">
        <f si="37" t="shared"/>
        <v>#DIV/0!</v>
      </c>
      <c r="AD34" s="16" t="e">
        <f si="37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25" t="shared"/>
        <v>#DIV/0!</v>
      </c>
      <c r="C35" s="16" t="e">
        <f si="25" t="shared"/>
        <v>#DIV/0!</v>
      </c>
      <c r="D35" s="16" t="e">
        <f si="25" t="shared"/>
        <v>#DIV/0!</v>
      </c>
      <c r="E35" s="16" t="e">
        <f si="25" t="shared"/>
        <v>#DIV/0!</v>
      </c>
      <c r="F35" s="16" t="e">
        <f si="25" t="shared"/>
        <v>#DIV/0!</v>
      </c>
      <c r="G35" s="16" t="e">
        <f ref="G35:H35" si="38" t="shared">G22/$J$28</f>
        <v>#DIV/0!</v>
      </c>
      <c r="H35" s="16" t="e">
        <f si="38" t="shared"/>
        <v>#DIV/0!</v>
      </c>
      <c r="I35" s="16"/>
      <c r="J35" s="16" t="e">
        <f si="27" t="shared"/>
        <v>#DIV/0!</v>
      </c>
      <c r="K35" s="13"/>
      <c r="L35" t="str">
        <f>$A$9</f>
        <v>Kirkland</v>
      </c>
      <c r="M35" s="16">
        <f si="34" t="shared"/>
        <v>0</v>
      </c>
      <c r="N35" s="16">
        <f si="34" t="shared"/>
        <v>0</v>
      </c>
      <c r="O35" s="16">
        <f si="34" t="shared"/>
        <v>0</v>
      </c>
      <c r="P35" s="16">
        <f si="34" t="shared"/>
        <v>0</v>
      </c>
      <c r="Q35" s="16">
        <f si="34" t="shared"/>
        <v>0</v>
      </c>
      <c r="R35" s="16">
        <f si="34" t="shared"/>
        <v>0</v>
      </c>
      <c r="S35" s="16">
        <f ref="S35" si="39" t="shared">S22/$U$28</f>
        <v>0</v>
      </c>
      <c r="T35" s="16"/>
      <c r="U35" s="16">
        <f si="30" t="shared"/>
        <v>0</v>
      </c>
      <c r="W35" t="str">
        <f>$A$9</f>
        <v>Kirkland</v>
      </c>
      <c r="X35" s="16" t="e">
        <f si="36" t="shared"/>
        <v>#DIV/0!</v>
      </c>
      <c r="Y35" s="16" t="e">
        <f si="37" t="shared"/>
        <v>#DIV/0!</v>
      </c>
      <c r="Z35" s="16" t="e">
        <f si="37" t="shared"/>
        <v>#DIV/0!</v>
      </c>
      <c r="AA35" s="16" t="e">
        <f si="37" t="shared"/>
        <v>#DIV/0!</v>
      </c>
      <c r="AB35" s="16" t="e">
        <f si="37" t="shared"/>
        <v>#DIV/0!</v>
      </c>
      <c r="AC35" s="16" t="e">
        <f si="37" t="shared"/>
        <v>#DIV/0!</v>
      </c>
      <c r="AD35" s="16" t="e">
        <f si="37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25" t="shared"/>
        <v>#DIV/0!</v>
      </c>
      <c r="C36" s="16" t="e">
        <f si="25" t="shared"/>
        <v>#DIV/0!</v>
      </c>
      <c r="D36" s="16" t="e">
        <f si="25" t="shared"/>
        <v>#DIV/0!</v>
      </c>
      <c r="E36" s="16" t="e">
        <f si="25" t="shared"/>
        <v>#DIV/0!</v>
      </c>
      <c r="F36" s="16" t="e">
        <f si="25" t="shared"/>
        <v>#DIV/0!</v>
      </c>
      <c r="G36" s="16" t="e">
        <f ref="G36:H36" si="40" t="shared">G23/$J$28</f>
        <v>#DIV/0!</v>
      </c>
      <c r="H36" s="16" t="e">
        <f si="40" t="shared"/>
        <v>#DIV/0!</v>
      </c>
      <c r="I36" s="16"/>
      <c r="J36" s="16" t="e">
        <f si="27" t="shared"/>
        <v>#DIV/0!</v>
      </c>
      <c r="K36" s="13"/>
      <c r="L36" t="str">
        <f>$A$10</f>
        <v>Redmond</v>
      </c>
      <c r="M36" s="16">
        <f si="34" t="shared"/>
        <v>0</v>
      </c>
      <c r="N36" s="16">
        <f si="34" t="shared"/>
        <v>0</v>
      </c>
      <c r="O36" s="16">
        <f si="34" t="shared"/>
        <v>0</v>
      </c>
      <c r="P36" s="16">
        <f si="34" t="shared"/>
        <v>0</v>
      </c>
      <c r="Q36" s="16">
        <f si="34" t="shared"/>
        <v>0</v>
      </c>
      <c r="R36" s="16">
        <f si="34" t="shared"/>
        <v>0</v>
      </c>
      <c r="S36" s="16">
        <f ref="S36" si="41" t="shared">S23/$U$28</f>
        <v>0</v>
      </c>
      <c r="T36" s="16"/>
      <c r="U36" s="16">
        <f si="30" t="shared"/>
        <v>0</v>
      </c>
      <c r="W36" t="str">
        <f>$A$10</f>
        <v>Redmond</v>
      </c>
      <c r="X36" s="16" t="e">
        <f si="36" t="shared"/>
        <v>#DIV/0!</v>
      </c>
      <c r="Y36" s="16" t="e">
        <f si="37" t="shared"/>
        <v>#DIV/0!</v>
      </c>
      <c r="Z36" s="16" t="e">
        <f si="37" t="shared"/>
        <v>#DIV/0!</v>
      </c>
      <c r="AA36" s="16" t="e">
        <f si="37" t="shared"/>
        <v>#DIV/0!</v>
      </c>
      <c r="AB36" s="16" t="e">
        <f si="37" t="shared"/>
        <v>#DIV/0!</v>
      </c>
      <c r="AC36" s="16" t="e">
        <f si="37" t="shared"/>
        <v>#DIV/0!</v>
      </c>
      <c r="AD36" s="16" t="e">
        <f si="37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25" t="shared"/>
        <v>#DIV/0!</v>
      </c>
      <c r="C37" s="16" t="e">
        <f si="25" t="shared"/>
        <v>#DIV/0!</v>
      </c>
      <c r="D37" s="16" t="e">
        <f si="25" t="shared"/>
        <v>#DIV/0!</v>
      </c>
      <c r="E37" s="16" t="e">
        <f si="25" t="shared"/>
        <v>#DIV/0!</v>
      </c>
      <c r="F37" s="16" t="e">
        <f si="25" t="shared"/>
        <v>#DIV/0!</v>
      </c>
      <c r="G37" s="16" t="e">
        <f ref="G37:H37" si="42" t="shared">G24/$J$28</f>
        <v>#DIV/0!</v>
      </c>
      <c r="H37" s="16" t="e">
        <f si="42" t="shared"/>
        <v>#DIV/0!</v>
      </c>
      <c r="I37" s="16"/>
      <c r="J37" s="16" t="e">
        <f si="27" t="shared"/>
        <v>#DIV/0!</v>
      </c>
      <c r="K37" s="13"/>
      <c r="L37" t="str">
        <f>$A$11</f>
        <v>Seattle</v>
      </c>
      <c r="M37" s="16">
        <f si="34" t="shared"/>
        <v>1.897770923305338E-3</v>
      </c>
      <c r="N37" s="16">
        <f si="34" t="shared"/>
        <v>1.5253270311312306E-3</v>
      </c>
      <c r="O37" s="16">
        <f si="34" t="shared"/>
        <v>2.2566714012185688E-3</v>
      </c>
      <c r="P37" s="16">
        <f si="34" t="shared"/>
        <v>9.1418046260917265E-4</v>
      </c>
      <c r="Q37" s="16">
        <f si="34" t="shared"/>
        <v>0.121911043469281</v>
      </c>
      <c r="R37" s="16">
        <f si="34" t="shared"/>
        <v>1.5849180538790877E-2</v>
      </c>
      <c r="S37" s="16">
        <f ref="S37" si="43" t="shared">S24/$U$28</f>
        <v>1.6392610036008552E-2</v>
      </c>
      <c r="T37" s="16"/>
      <c r="U37" s="16">
        <f si="30" t="shared"/>
        <v>0.16074678386234473</v>
      </c>
      <c r="W37" t="str">
        <f>$A$11</f>
        <v>Seattle</v>
      </c>
      <c r="X37" s="16" t="e">
        <f si="36" t="shared"/>
        <v>#DIV/0!</v>
      </c>
      <c r="Y37" s="16" t="e">
        <f si="37" t="shared"/>
        <v>#DIV/0!</v>
      </c>
      <c r="Z37" s="16" t="e">
        <f si="37" t="shared"/>
        <v>#DIV/0!</v>
      </c>
      <c r="AA37" s="16" t="e">
        <f si="37" t="shared"/>
        <v>#DIV/0!</v>
      </c>
      <c r="AB37" s="16" t="e">
        <f si="37" t="shared"/>
        <v>#DIV/0!</v>
      </c>
      <c r="AC37" s="16" t="e">
        <f si="37" t="shared"/>
        <v>#DIV/0!</v>
      </c>
      <c r="AD37" s="16" t="e">
        <f si="37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25" t="shared"/>
        <v>#DIV/0!</v>
      </c>
      <c r="C38" s="16" t="e">
        <f si="25" t="shared"/>
        <v>#DIV/0!</v>
      </c>
      <c r="D38" s="16" t="e">
        <f si="25" t="shared"/>
        <v>#DIV/0!</v>
      </c>
      <c r="E38" s="16" t="e">
        <f si="25" t="shared"/>
        <v>#DIV/0!</v>
      </c>
      <c r="F38" s="16" t="e">
        <f si="25" t="shared"/>
        <v>#DIV/0!</v>
      </c>
      <c r="G38" s="16" t="e">
        <f ref="G38:H39" si="44" t="shared">G25/$J$28</f>
        <v>#DIV/0!</v>
      </c>
      <c r="H38" s="16" t="e">
        <f si="44" t="shared"/>
        <v>#DIV/0!</v>
      </c>
      <c r="I38" s="16"/>
      <c r="J38" s="16" t="e">
        <f si="27" t="shared"/>
        <v>#DIV/0!</v>
      </c>
      <c r="K38" s="13"/>
      <c r="L38" t="str">
        <f>$A$12</f>
        <v>Seattle Downtown</v>
      </c>
      <c r="M38" s="16">
        <f si="34" t="shared"/>
        <v>1.2358365513049927E-4</v>
      </c>
      <c r="N38" s="16">
        <f si="34" t="shared"/>
        <v>9.1418046260917268E-5</v>
      </c>
      <c r="O38" s="16">
        <f si="34" t="shared"/>
        <v>6.9409998086992732E-5</v>
      </c>
      <c r="P38" s="16">
        <f si="34" t="shared"/>
        <v>3.8937316000020316E-5</v>
      </c>
      <c r="Q38" s="16">
        <f si="34" t="shared"/>
        <v>2.392105543827335E-3</v>
      </c>
      <c r="R38" s="16">
        <f si="34" t="shared"/>
        <v>1.4576099598268475E-2</v>
      </c>
      <c r="S38" s="16">
        <f ref="S38:S39" si="45" t="shared">S25/$U$28</f>
        <v>2.6917535843492304E-4</v>
      </c>
      <c r="T38" s="16"/>
      <c r="U38" s="16">
        <f si="30" t="shared"/>
        <v>1.7560729516009163E-2</v>
      </c>
      <c r="W38" t="str">
        <f>$A$12</f>
        <v>Seattle Downtown</v>
      </c>
      <c r="X38" s="16" t="e">
        <f si="36" t="shared"/>
        <v>#DIV/0!</v>
      </c>
      <c r="Y38" s="16" t="e">
        <f si="37" t="shared"/>
        <v>#DIV/0!</v>
      </c>
      <c r="Z38" s="16" t="e">
        <f si="37" t="shared"/>
        <v>#DIV/0!</v>
      </c>
      <c r="AA38" s="16" t="e">
        <f si="37" t="shared"/>
        <v>#DIV/0!</v>
      </c>
      <c r="AB38" s="16" t="e">
        <f si="37" t="shared"/>
        <v>#DIV/0!</v>
      </c>
      <c r="AC38" s="16" t="e">
        <f si="37" t="shared"/>
        <v>#DIV/0!</v>
      </c>
      <c r="AD38" s="16" t="e">
        <f si="37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25" t="shared"/>
        <v>#DIV/0!</v>
      </c>
      <c r="C39" s="16" t="e">
        <f si="25" t="shared"/>
        <v>#DIV/0!</v>
      </c>
      <c r="D39" s="16" t="e">
        <f si="25" t="shared"/>
        <v>#DIV/0!</v>
      </c>
      <c r="E39" s="16" t="e">
        <f si="25" t="shared"/>
        <v>#DIV/0!</v>
      </c>
      <c r="F39" s="16" t="e">
        <f si="25" t="shared"/>
        <v>#DIV/0!</v>
      </c>
      <c r="G39" s="16" t="e">
        <f si="44" t="shared"/>
        <v>#DIV/0!</v>
      </c>
      <c r="H39" s="16" t="e">
        <f si="44" t="shared"/>
        <v>#DIV/0!</v>
      </c>
      <c r="I39" s="16"/>
      <c r="J39" s="16" t="e">
        <f si="25" t="shared"/>
        <v>#DIV/0!</v>
      </c>
      <c r="K39" s="13"/>
      <c r="L39" t="str">
        <f>$A$13</f>
        <v>Rest</v>
      </c>
      <c r="M39" s="16">
        <f si="34" t="shared"/>
        <v>8.2834907473086691E-3</v>
      </c>
      <c r="N39" s="16">
        <f si="34" t="shared"/>
        <v>4.7537384055676979E-3</v>
      </c>
      <c r="O39" s="16">
        <f si="34" t="shared"/>
        <v>7.3286800419168673E-3</v>
      </c>
      <c r="P39" s="16">
        <f si="34" t="shared"/>
        <v>9.2603095008743971E-3</v>
      </c>
      <c r="Q39" s="16">
        <f si="34" t="shared"/>
        <v>1.7423602446617788E-2</v>
      </c>
      <c r="R39" s="16">
        <f si="34" t="shared"/>
        <v>3.6127057540888416E-3</v>
      </c>
      <c r="S39" s="16">
        <f si="45" t="shared"/>
        <v>0.77102995972527189</v>
      </c>
      <c r="T39" s="16"/>
      <c r="U39" s="16">
        <f si="30" t="shared"/>
        <v>0.82169248662164607</v>
      </c>
      <c r="W39" t="str">
        <f>$A$13</f>
        <v>Rest</v>
      </c>
      <c r="X39" s="16" t="e">
        <f ref="X39" si="46" t="shared">M39-B39</f>
        <v>#DIV/0!</v>
      </c>
      <c r="Y39" s="16" t="e">
        <f ref="Y39" si="47" t="shared">N39-C39</f>
        <v>#DIV/0!</v>
      </c>
      <c r="Z39" s="16" t="e">
        <f ref="Z39" si="48" t="shared">O39-D39</f>
        <v>#DIV/0!</v>
      </c>
      <c r="AA39" s="16" t="e">
        <f ref="AA39" si="49" t="shared">P39-E39</f>
        <v>#DIV/0!</v>
      </c>
      <c r="AB39" s="16" t="e">
        <f ref="AB39" si="50" t="shared">Q39-F39</f>
        <v>#DIV/0!</v>
      </c>
      <c r="AC39" s="16" t="e">
        <f ref="AC39" si="51" t="shared">R39-G39</f>
        <v>#DIV/0!</v>
      </c>
      <c r="AD39" s="16" t="e">
        <f ref="AD39" si="52" t="shared">S39-H39</f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1.0304845325744508E-2</v>
      </c>
      <c r="N41" s="18">
        <f>N28/$U$28</f>
        <v>6.3704834829598454E-3</v>
      </c>
      <c r="O41" s="18">
        <f>O28/$U$28</f>
        <v>9.6547614412224279E-3</v>
      </c>
      <c r="P41" s="18">
        <f>P28/$U$28</f>
        <v>1.021342727948359E-2</v>
      </c>
      <c r="Q41" s="18">
        <f ref="Q41:S41" si="54" t="shared">Q28/$U$28</f>
        <v>0.14172675145972613</v>
      </c>
      <c r="R41" s="18">
        <f si="54" t="shared"/>
        <v>3.4037985891148197E-2</v>
      </c>
      <c r="S41" s="18">
        <f si="54" t="shared"/>
        <v>0.78769174511971529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18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abSelected="1" topLeftCell="F1" workbookViewId="0">
      <selection activeCell="T18" sqref="T18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16604.983463742199</v>
      </c>
      <c r="F4" s="302" t="s">
        <v>48</v>
      </c>
      <c r="G4" s="303">
        <f>TLFD!F11</f>
        <v>94100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98937.578030146498</v>
      </c>
      <c r="F5" s="305" t="s">
        <v>51</v>
      </c>
      <c r="G5" s="306">
        <f>TLFD!F12+TLFD!F13+(TLFD!F14/2)</f>
        <v>115849.5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439265.02514850983</v>
      </c>
      <c r="F6" s="305" t="s">
        <v>54</v>
      </c>
      <c r="G6" s="306">
        <f>(TLFD!F14/2)+SUM(TLFD!F15:F20)</f>
        <v>282180.5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77992.653379868687</v>
      </c>
      <c r="F7" s="308" t="s">
        <v>57</v>
      </c>
      <c r="G7" s="309">
        <f>SUM(TLFD!F21:F101)</f>
        <v>102647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632800.24002226721</v>
      </c>
      <c r="E8" s="313"/>
      <c r="F8" s="311" t="s">
        <v>4</v>
      </c>
      <c r="G8" s="312">
        <f>SUM(G4:G7)</f>
        <v>594777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2.6240482246273952E-2</v>
      </c>
      <c r="F12" s="302" t="s">
        <v>48</v>
      </c>
      <c r="G12" s="316">
        <f>G4/G$8</f>
        <v>0.15821055622527436</v>
      </c>
      <c r="H12" s="316"/>
      <c r="I12" s="356">
        <f>D12/G12</f>
        <v>0.16585797352807738</v>
      </c>
      <c r="J12" s="357">
        <f>LN(I12)</f>
        <v>-1.7966234380002128</v>
      </c>
      <c r="K12" s="357">
        <f>K8*J12</f>
        <v>-1.7966234380002128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0.15634883138897837</v>
      </c>
      <c r="F13" s="305" t="s">
        <v>51</v>
      </c>
      <c r="G13" s="317">
        <f ref="G13:G16" si="2" t="shared">G5/G$8</f>
        <v>0.1947780428631235</v>
      </c>
      <c r="H13" s="317"/>
      <c r="I13" s="356">
        <f ref="I13:I15" si="3" t="shared">D13/G13</f>
        <v>0.80270254845331557</v>
      </c>
      <c r="J13" s="357">
        <f ref="J13:J15" si="4" t="shared">LN(I13)</f>
        <v>-0.21977105899812513</v>
      </c>
      <c r="K13" s="357">
        <f>K8*(J13-J12)</f>
        <v>1.5768523790020876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0.69416064875868699</v>
      </c>
      <c r="F14" s="305" t="s">
        <v>54</v>
      </c>
      <c r="G14" s="317">
        <f si="2" t="shared"/>
        <v>0.47443075303853377</v>
      </c>
      <c r="H14" s="317"/>
      <c r="I14" s="356">
        <f si="3" t="shared"/>
        <v>1.463144293056202</v>
      </c>
      <c r="J14" s="357">
        <f si="4" t="shared"/>
        <v>0.38058774537427409</v>
      </c>
      <c r="K14" s="357">
        <f>K8*(J14-J13-J12)</f>
        <v>2.3969822423726121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0.12325003760606072</v>
      </c>
      <c r="F15" s="308" t="s">
        <v>57</v>
      </c>
      <c r="G15" s="317">
        <f si="2" t="shared"/>
        <v>0.1725806478730684</v>
      </c>
      <c r="H15" s="317"/>
      <c r="I15" s="358">
        <f si="3" t="shared"/>
        <v>0.7141590851872921</v>
      </c>
      <c r="J15" s="359">
        <f si="4" t="shared"/>
        <v>-0.33664953307509143</v>
      </c>
      <c r="K15" s="359">
        <f>K8*(J15-J14-J13-J12)</f>
        <v>1.2991572185489724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54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-1.7966234380002128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1.5768523790020876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2.3969822423726121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1.2991572185489724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-22.606851826700215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-5.6067849682279132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-1.263115296677388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-6.1388508811027531E-2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-22.606851826700215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-5.6067849682279132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-1.263115296677388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-6.1388508811027531E-2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2017-10-26T15:42:47Z</dcterms:modified>
</cp:coreProperties>
</file>